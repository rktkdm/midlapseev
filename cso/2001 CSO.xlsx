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actuary\dswg_r\iml\mid\research\datasets\cso\"/>
    </mc:Choice>
  </mc:AlternateContent>
  <xr:revisionPtr revIDLastSave="0" documentId="13_ncr:1_{5DA68429-FE25-4A6F-9ADB-CDEB8B7DE8C7}" xr6:coauthVersionLast="47" xr6:coauthVersionMax="47" xr10:uidLastSave="{00000000-0000-0000-0000-000000000000}"/>
  <bookViews>
    <workbookView xWindow="-120" yWindow="-120" windowWidth="29040" windowHeight="15720" activeTab="2" xr2:uid="{2E4C96BB-4B29-40E5-B306-499151A397AE}"/>
  </bookViews>
  <sheets>
    <sheet name="Sheet1" sheetId="1" r:id="rId1"/>
    <sheet name="Dur6" sheetId="2" r:id="rId2"/>
    <sheet name="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C3" i="3"/>
  <c r="M2" i="3"/>
  <c r="L2" i="3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 s="1"/>
  <c r="G400" i="2" a="1"/>
  <c r="G400" i="2" s="1"/>
  <c r="G401" i="2" a="1"/>
  <c r="G401" i="2" s="1"/>
  <c r="G402" i="2" a="1"/>
  <c r="G402" i="2" s="1"/>
  <c r="G403" i="2" a="1"/>
  <c r="G403" i="2" s="1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 s="1"/>
  <c r="G420" i="2" a="1"/>
  <c r="G420" i="2" s="1"/>
  <c r="G421" i="2" a="1"/>
  <c r="G421" i="2" s="1"/>
  <c r="G422" i="2" a="1"/>
  <c r="G422" i="2" s="1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 s="1"/>
  <c r="G477" i="2" a="1"/>
  <c r="G477" i="2" s="1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 s="1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 s="1"/>
  <c r="G513" i="2" a="1"/>
  <c r="G513" i="2"/>
  <c r="G514" i="2" a="1"/>
  <c r="G514" i="2"/>
  <c r="G515" i="2" a="1"/>
  <c r="G515" i="2" s="1"/>
  <c r="G516" i="2" a="1"/>
  <c r="G516" i="2"/>
  <c r="G517" i="2" a="1"/>
  <c r="G517" i="2"/>
  <c r="G518" i="2" a="1"/>
  <c r="G518" i="2" s="1"/>
  <c r="G519" i="2" a="1"/>
  <c r="G519" i="2"/>
  <c r="G520" i="2" a="1"/>
  <c r="G520" i="2" s="1"/>
  <c r="G521" i="2" a="1"/>
  <c r="G521" i="2" s="1"/>
  <c r="G522" i="2" a="1"/>
  <c r="G522" i="2"/>
  <c r="G523" i="2" a="1"/>
  <c r="G523" i="2"/>
  <c r="G524" i="2" a="1"/>
  <c r="G524" i="2" s="1"/>
  <c r="G525" i="2" a="1"/>
  <c r="G525" i="2"/>
  <c r="G526" i="2" a="1"/>
  <c r="G526" i="2" s="1"/>
  <c r="G527" i="2" a="1"/>
  <c r="G527" i="2" s="1"/>
  <c r="G528" i="2" a="1"/>
  <c r="G528" i="2"/>
  <c r="G529" i="2" a="1"/>
  <c r="G529" i="2" s="1"/>
  <c r="G530" i="2" a="1"/>
  <c r="G530" i="2" s="1"/>
  <c r="G531" i="2" a="1"/>
  <c r="G531" i="2" s="1"/>
  <c r="G532" i="2" a="1"/>
  <c r="G532" i="2" s="1"/>
  <c r="G533" i="2" a="1"/>
  <c r="G533" i="2" s="1"/>
  <c r="G534" i="2" a="1"/>
  <c r="G534" i="2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/>
  <c r="G541" i="2" a="1"/>
  <c r="G541" i="2" s="1"/>
  <c r="G542" i="2" a="1"/>
  <c r="G542" i="2" s="1"/>
  <c r="G543" i="2" a="1"/>
  <c r="G543" i="2" s="1"/>
  <c r="G544" i="2" a="1"/>
  <c r="G544" i="2" s="1"/>
  <c r="G545" i="2" a="1"/>
  <c r="G545" i="2" s="1"/>
  <c r="G546" i="2" a="1"/>
  <c r="G546" i="2"/>
  <c r="G547" i="2" a="1"/>
  <c r="G547" i="2" s="1"/>
  <c r="G548" i="2" a="1"/>
  <c r="G548" i="2" s="1"/>
  <c r="G549" i="2" a="1"/>
  <c r="G549" i="2" s="1"/>
  <c r="G550" i="2" a="1"/>
  <c r="G550" i="2" s="1"/>
  <c r="G551" i="2" a="1"/>
  <c r="G551" i="2" s="1"/>
  <c r="G552" i="2" a="1"/>
  <c r="G552" i="2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/>
  <c r="G559" i="2" a="1"/>
  <c r="G559" i="2" s="1"/>
  <c r="G560" i="2" a="1"/>
  <c r="G560" i="2" s="1"/>
  <c r="G561" i="2" a="1"/>
  <c r="G561" i="2" s="1"/>
  <c r="G562" i="2" a="1"/>
  <c r="G562" i="2" s="1"/>
  <c r="G563" i="2" a="1"/>
  <c r="G563" i="2" s="1"/>
  <c r="G564" i="2" a="1"/>
  <c r="G564" i="2"/>
  <c r="G565" i="2" a="1"/>
  <c r="G565" i="2" s="1"/>
  <c r="G566" i="2" a="1"/>
  <c r="G566" i="2" s="1"/>
  <c r="G567" i="2" a="1"/>
  <c r="G567" i="2" s="1"/>
  <c r="G568" i="2" a="1"/>
  <c r="G568" i="2" s="1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 s="1"/>
  <c r="G578" i="2" a="1"/>
  <c r="G578" i="2" s="1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 s="1"/>
  <c r="G587" i="2" a="1"/>
  <c r="G587" i="2" s="1"/>
  <c r="G588" i="2" a="1"/>
  <c r="G588" i="2" s="1"/>
  <c r="G589" i="2" a="1"/>
  <c r="G589" i="2" s="1"/>
  <c r="G590" i="2" a="1"/>
  <c r="G590" i="2" s="1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599" i="2" a="1"/>
  <c r="G599" i="2" s="1"/>
  <c r="G600" i="2" a="1"/>
  <c r="G600" i="2" s="1"/>
  <c r="G601" i="2" a="1"/>
  <c r="G601" i="2" s="1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 s="1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 s="1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 s="1"/>
  <c r="G636" i="2" a="1"/>
  <c r="G636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 s="1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 s="1"/>
  <c r="G660" i="2" a="1"/>
  <c r="G660" i="2" s="1"/>
  <c r="G661" i="2" a="1"/>
  <c r="G661" i="2" s="1"/>
  <c r="G662" i="2" a="1"/>
  <c r="G662" i="2" s="1"/>
  <c r="G663" i="2" a="1"/>
  <c r="G663" i="2" s="1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 s="1"/>
  <c r="G683" i="2" a="1"/>
  <c r="G683" i="2" s="1"/>
  <c r="G684" i="2" a="1"/>
  <c r="G684" i="2" s="1"/>
  <c r="G685" i="2" a="1"/>
  <c r="G685" i="2" s="1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 s="1"/>
  <c r="G692" i="2" a="1"/>
  <c r="G692" i="2" s="1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 s="1"/>
  <c r="G702" i="2" a="1"/>
  <c r="G702" i="2" s="1"/>
  <c r="G703" i="2" a="1"/>
  <c r="G703" i="2" s="1"/>
  <c r="G704" i="2" a="1"/>
  <c r="G704" i="2" s="1"/>
  <c r="G705" i="2" a="1"/>
  <c r="G705" i="2" s="1"/>
  <c r="G706" i="2" a="1"/>
  <c r="G706" i="2" s="1"/>
  <c r="G707" i="2" a="1"/>
  <c r="G707" i="2" s="1"/>
  <c r="G708" i="2" a="1"/>
  <c r="G708" i="2" s="1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 s="1"/>
  <c r="G718" i="2" a="1"/>
  <c r="G718" i="2" s="1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 s="1"/>
  <c r="G726" i="2" a="1"/>
  <c r="G726" i="2" s="1"/>
  <c r="G727" i="2" a="1"/>
  <c r="G727" i="2" s="1"/>
  <c r="G728" i="2" a="1"/>
  <c r="G728" i="2" s="1"/>
  <c r="G729" i="2" a="1"/>
  <c r="G729" i="2" s="1"/>
  <c r="G730" i="2" a="1"/>
  <c r="G730" i="2" s="1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7" i="2" a="1"/>
  <c r="G737" i="2" s="1"/>
  <c r="G738" i="2" a="1"/>
  <c r="G738" i="2" s="1"/>
  <c r="G739" i="2" a="1"/>
  <c r="G739" i="2" s="1"/>
  <c r="G740" i="2" a="1"/>
  <c r="G740" i="2" s="1"/>
  <c r="G741" i="2" a="1"/>
  <c r="G741" i="2" s="1"/>
  <c r="G742" i="2" a="1"/>
  <c r="G742" i="2" s="1"/>
  <c r="G743" i="2" a="1"/>
  <c r="G743" i="2" s="1"/>
  <c r="G744" i="2" a="1"/>
  <c r="G744" i="2" s="1"/>
  <c r="G745" i="2" a="1"/>
  <c r="G745" i="2" s="1"/>
  <c r="G746" i="2" a="1"/>
  <c r="G746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 s="1"/>
  <c r="G752" i="2" a="1"/>
  <c r="G752" i="2" s="1"/>
  <c r="G753" i="2" a="1"/>
  <c r="G753" i="2" s="1"/>
  <c r="G754" i="2" a="1"/>
  <c r="G754" i="2" s="1"/>
  <c r="G755" i="2" a="1"/>
  <c r="G755" i="2" s="1"/>
  <c r="G756" i="2" a="1"/>
  <c r="G756" i="2" s="1"/>
  <c r="G757" i="2" a="1"/>
  <c r="G757" i="2" s="1"/>
  <c r="G758" i="2" a="1"/>
  <c r="G758" i="2" s="1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 s="1"/>
  <c r="G771" i="2" a="1"/>
  <c r="G771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 s="1"/>
  <c r="G778" i="2" a="1"/>
  <c r="G778" i="2" s="1"/>
  <c r="G779" i="2" a="1"/>
  <c r="G779" i="2" s="1"/>
  <c r="G780" i="2" a="1"/>
  <c r="G780" i="2" s="1"/>
  <c r="G781" i="2" a="1"/>
  <c r="G781" i="2" s="1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 s="1"/>
  <c r="G796" i="2" a="1"/>
  <c r="G796" i="2" s="1"/>
  <c r="G797" i="2" a="1"/>
  <c r="G797" i="2" s="1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 s="1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 s="1"/>
  <c r="G815" i="2" a="1"/>
  <c r="G815" i="2" s="1"/>
  <c r="G816" i="2" a="1"/>
  <c r="G816" i="2" s="1"/>
  <c r="G817" i="2" a="1"/>
  <c r="G817" i="2" s="1"/>
  <c r="G818" i="2" a="1"/>
  <c r="G818" i="2" s="1"/>
  <c r="G819" i="2" a="1"/>
  <c r="G819" i="2" s="1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 s="1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 s="1"/>
  <c r="G832" i="2" a="1"/>
  <c r="G832" i="2" s="1"/>
  <c r="G833" i="2" a="1"/>
  <c r="G833" i="2" s="1"/>
  <c r="G834" i="2" a="1"/>
  <c r="G834" i="2" s="1"/>
  <c r="G835" i="2" a="1"/>
  <c r="G835" i="2" s="1"/>
  <c r="G836" i="2" a="1"/>
  <c r="G836" i="2" s="1"/>
  <c r="G837" i="2" a="1"/>
  <c r="G837" i="2" s="1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 s="1"/>
  <c r="G844" i="2" a="1"/>
  <c r="G844" i="2" s="1"/>
  <c r="G845" i="2" a="1"/>
  <c r="G845" i="2" s="1"/>
  <c r="G846" i="2" a="1"/>
  <c r="G846" i="2" s="1"/>
  <c r="G847" i="2" a="1"/>
  <c r="G847" i="2" s="1"/>
  <c r="G848" i="2" a="1"/>
  <c r="G848" i="2" s="1"/>
  <c r="G849" i="2" a="1"/>
  <c r="G849" i="2" s="1"/>
  <c r="G850" i="2" a="1"/>
  <c r="G850" i="2" s="1"/>
  <c r="G851" i="2" a="1"/>
  <c r="G851" i="2" s="1"/>
  <c r="G852" i="2" a="1"/>
  <c r="G852" i="2" s="1"/>
  <c r="G853" i="2" a="1"/>
  <c r="G853" i="2" s="1"/>
  <c r="G854" i="2" a="1"/>
  <c r="G854" i="2" s="1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 s="1"/>
  <c r="G862" i="2" a="1"/>
  <c r="G862" i="2" s="1"/>
  <c r="G863" i="2" a="1"/>
  <c r="G863" i="2" s="1"/>
  <c r="G864" i="2" a="1"/>
  <c r="G864" i="2" s="1"/>
  <c r="G865" i="2" a="1"/>
  <c r="G865" i="2" s="1"/>
  <c r="G866" i="2" a="1"/>
  <c r="G866" i="2" s="1"/>
  <c r="G867" i="2" a="1"/>
  <c r="G867" i="2" s="1"/>
  <c r="G868" i="2" a="1"/>
  <c r="G868" i="2" s="1"/>
  <c r="G869" i="2" a="1"/>
  <c r="G869" i="2" s="1"/>
  <c r="G870" i="2" a="1"/>
  <c r="G870" i="2" s="1"/>
  <c r="G871" i="2" a="1"/>
  <c r="G871" i="2" s="1"/>
  <c r="G872" i="2" a="1"/>
  <c r="G872" i="2" s="1"/>
  <c r="G873" i="2" a="1"/>
  <c r="G873" i="2" s="1"/>
  <c r="G874" i="2" a="1"/>
  <c r="G874" i="2" s="1"/>
  <c r="G875" i="2" a="1"/>
  <c r="G875" i="2" s="1"/>
  <c r="G876" i="2" a="1"/>
  <c r="G876" i="2" s="1"/>
  <c r="G877" i="2" a="1"/>
  <c r="G877" i="2" s="1"/>
  <c r="G878" i="2" a="1"/>
  <c r="G878" i="2" s="1"/>
  <c r="G879" i="2" a="1"/>
  <c r="G879" i="2" s="1"/>
  <c r="G880" i="2" a="1"/>
  <c r="G880" i="2" s="1"/>
  <c r="G881" i="2" a="1"/>
  <c r="G881" i="2" s="1"/>
  <c r="G882" i="2" a="1"/>
  <c r="G882" i="2" s="1"/>
  <c r="G883" i="2" a="1"/>
  <c r="G883" i="2" s="1"/>
  <c r="G884" i="2" a="1"/>
  <c r="G884" i="2" s="1"/>
  <c r="G885" i="2" a="1"/>
  <c r="G885" i="2" s="1"/>
  <c r="G886" i="2" a="1"/>
  <c r="G886" i="2" s="1"/>
  <c r="G887" i="2" a="1"/>
  <c r="G887" i="2" s="1"/>
  <c r="G888" i="2" a="1"/>
  <c r="G888" i="2" s="1"/>
  <c r="G889" i="2" a="1"/>
  <c r="G889" i="2" s="1"/>
  <c r="G890" i="2" a="1"/>
  <c r="G890" i="2" s="1"/>
  <c r="G891" i="2" a="1"/>
  <c r="G891" i="2" s="1"/>
  <c r="G892" i="2" a="1"/>
  <c r="G892" i="2" s="1"/>
  <c r="G893" i="2" a="1"/>
  <c r="G893" i="2" s="1"/>
  <c r="G894" i="2" a="1"/>
  <c r="G894" i="2" s="1"/>
  <c r="G895" i="2" a="1"/>
  <c r="G895" i="2" s="1"/>
  <c r="G896" i="2" a="1"/>
  <c r="G896" i="2" s="1"/>
  <c r="G897" i="2" a="1"/>
  <c r="G897" i="2" s="1"/>
  <c r="G898" i="2" a="1"/>
  <c r="G898" i="2" s="1"/>
  <c r="G899" i="2" a="1"/>
  <c r="G899" i="2" s="1"/>
  <c r="G900" i="2" a="1"/>
  <c r="G900" i="2" s="1"/>
  <c r="G901" i="2" a="1"/>
  <c r="G901" i="2" s="1"/>
  <c r="G902" i="2" a="1"/>
  <c r="G902" i="2" s="1"/>
  <c r="G903" i="2" a="1"/>
  <c r="G903" i="2" s="1"/>
  <c r="G904" i="2" a="1"/>
  <c r="G904" i="2" s="1"/>
  <c r="G905" i="2" a="1"/>
  <c r="G905" i="2" s="1"/>
  <c r="G906" i="2" a="1"/>
  <c r="G906" i="2" s="1"/>
  <c r="G907" i="2" a="1"/>
  <c r="G907" i="2" s="1"/>
  <c r="G908" i="2" a="1"/>
  <c r="G908" i="2" s="1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 s="1"/>
  <c r="G915" i="2" a="1"/>
  <c r="G915" i="2" s="1"/>
  <c r="G916" i="2" a="1"/>
  <c r="G916" i="2" s="1"/>
  <c r="G917" i="2" a="1"/>
  <c r="G917" i="2" s="1"/>
  <c r="G918" i="2" a="1"/>
  <c r="G918" i="2" s="1"/>
  <c r="G919" i="2" a="1"/>
  <c r="G919" i="2" s="1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 s="1"/>
  <c r="G931" i="2" a="1"/>
  <c r="G931" i="2" s="1"/>
  <c r="G932" i="2" a="1"/>
  <c r="G932" i="2" s="1"/>
  <c r="G933" i="2" a="1"/>
  <c r="G933" i="2" s="1"/>
  <c r="G934" i="2" a="1"/>
  <c r="G934" i="2" s="1"/>
  <c r="G935" i="2" a="1"/>
  <c r="G935" i="2" s="1"/>
  <c r="G936" i="2" a="1"/>
  <c r="G936" i="2" s="1"/>
  <c r="G937" i="2" a="1"/>
  <c r="G937" i="2" s="1"/>
  <c r="G938" i="2" a="1"/>
  <c r="G938" i="2" s="1"/>
  <c r="G939" i="2" a="1"/>
  <c r="G939" i="2" s="1"/>
  <c r="G940" i="2" a="1"/>
  <c r="G940" i="2" s="1"/>
  <c r="G941" i="2" a="1"/>
  <c r="G941" i="2" s="1"/>
  <c r="G942" i="2" a="1"/>
  <c r="G942" i="2" s="1"/>
  <c r="G943" i="2" a="1"/>
  <c r="G943" i="2" s="1"/>
  <c r="G944" i="2" a="1"/>
  <c r="G944" i="2" s="1"/>
  <c r="G945" i="2" a="1"/>
  <c r="G945" i="2" s="1"/>
  <c r="G946" i="2" a="1"/>
  <c r="G946" i="2" s="1"/>
  <c r="G947" i="2" a="1"/>
  <c r="G947" i="2" s="1"/>
  <c r="G948" i="2" a="1"/>
  <c r="G948" i="2" s="1"/>
  <c r="G949" i="2" a="1"/>
  <c r="G949" i="2" s="1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 s="1"/>
  <c r="G958" i="2" a="1"/>
  <c r="G958" i="2" s="1"/>
  <c r="G959" i="2" a="1"/>
  <c r="G959" i="2" s="1"/>
  <c r="G960" i="2" a="1"/>
  <c r="G960" i="2" s="1"/>
  <c r="G961" i="2" a="1"/>
  <c r="G961" i="2" s="1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 s="1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 s="1"/>
  <c r="G984" i="2" a="1"/>
  <c r="G984" i="2" s="1"/>
  <c r="G985" i="2" a="1"/>
  <c r="G985" i="2" s="1"/>
  <c r="G986" i="2" a="1"/>
  <c r="G986" i="2" s="1"/>
  <c r="G987" i="2" a="1"/>
  <c r="G987" i="2" s="1"/>
  <c r="G988" i="2" a="1"/>
  <c r="G988" i="2" s="1"/>
  <c r="G989" i="2" a="1"/>
  <c r="G989" i="2" s="1"/>
  <c r="G990" i="2" a="1"/>
  <c r="G990" i="2" s="1"/>
  <c r="G991" i="2" a="1"/>
  <c r="G991" i="2" s="1"/>
  <c r="G992" i="2" a="1"/>
  <c r="G992" i="2" s="1"/>
  <c r="G993" i="2" a="1"/>
  <c r="G993" i="2" s="1"/>
  <c r="G994" i="2" a="1"/>
  <c r="G994" i="2" s="1"/>
  <c r="G995" i="2" a="1"/>
  <c r="G995" i="2" s="1"/>
  <c r="G996" i="2" a="1"/>
  <c r="G996" i="2" s="1"/>
  <c r="G997" i="2" a="1"/>
  <c r="G997" i="2" s="1"/>
  <c r="G998" i="2" a="1"/>
  <c r="G998" i="2" s="1"/>
  <c r="G999" i="2" a="1"/>
  <c r="G999" i="2" s="1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 s="1"/>
  <c r="G1005" i="2" a="1"/>
  <c r="G1005" i="2" s="1"/>
  <c r="G1006" i="2" a="1"/>
  <c r="G1006" i="2" s="1"/>
  <c r="G1007" i="2" a="1"/>
  <c r="G1007" i="2" s="1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 s="1"/>
  <c r="G1013" i="2" a="1"/>
  <c r="G1013" i="2" s="1"/>
  <c r="G1014" i="2" a="1"/>
  <c r="G1014" i="2" s="1"/>
  <c r="G1015" i="2" a="1"/>
  <c r="G1015" i="2" s="1"/>
  <c r="G1016" i="2" a="1"/>
  <c r="G1016" i="2" s="1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2" i="2" a="1"/>
  <c r="G1042" i="2" s="1"/>
  <c r="G1043" i="2" a="1"/>
  <c r="G1043" i="2" s="1"/>
  <c r="G1044" i="2" a="1"/>
  <c r="G1044" i="2" s="1"/>
  <c r="G1045" i="2" a="1"/>
  <c r="G1045" i="2" s="1"/>
  <c r="G1046" i="2" a="1"/>
  <c r="G1046" i="2" s="1"/>
  <c r="G1047" i="2" a="1"/>
  <c r="G1047" i="2" s="1"/>
  <c r="G1048" i="2" a="1"/>
  <c r="G1048" i="2" s="1"/>
  <c r="G1049" i="2" a="1"/>
  <c r="G1049" i="2" s="1"/>
  <c r="G1050" i="2" a="1"/>
  <c r="G1050" i="2" s="1"/>
  <c r="G1051" i="2" a="1"/>
  <c r="G1051" i="2" s="1"/>
  <c r="G1052" i="2" a="1"/>
  <c r="G1052" i="2" s="1"/>
  <c r="G1053" i="2" a="1"/>
  <c r="G1053" i="2" s="1"/>
  <c r="G1054" i="2" a="1"/>
  <c r="G1054" i="2" s="1"/>
  <c r="G1055" i="2" a="1"/>
  <c r="G1055" i="2" s="1"/>
  <c r="G1056" i="2" a="1"/>
  <c r="G1056" i="2" s="1"/>
  <c r="G1057" i="2" a="1"/>
  <c r="G1057" i="2" s="1"/>
  <c r="G1058" i="2" a="1"/>
  <c r="G1058" i="2" s="1"/>
  <c r="G1059" i="2" a="1"/>
  <c r="G1059" i="2" s="1"/>
  <c r="G1060" i="2" a="1"/>
  <c r="G1060" i="2" s="1"/>
  <c r="G1061" i="2" a="1"/>
  <c r="G1061" i="2" s="1"/>
  <c r="G1062" i="2" a="1"/>
  <c r="G1062" i="2" s="1"/>
  <c r="G1063" i="2" a="1"/>
  <c r="G1063" i="2" s="1"/>
  <c r="G1064" i="2" a="1"/>
  <c r="G1064" i="2" s="1"/>
  <c r="G1065" i="2" a="1"/>
  <c r="G1065" i="2" s="1"/>
  <c r="G1066" i="2" a="1"/>
  <c r="G1066" i="2" s="1"/>
  <c r="G1067" i="2" a="1"/>
  <c r="G1067" i="2" s="1"/>
  <c r="G1068" i="2" a="1"/>
  <c r="G1068" i="2" s="1"/>
  <c r="G1069" i="2" a="1"/>
  <c r="G1069" i="2" s="1"/>
  <c r="G1070" i="2" a="1"/>
  <c r="G1070" i="2" s="1"/>
  <c r="G1071" i="2" a="1"/>
  <c r="G1071" i="2" s="1"/>
  <c r="G1072" i="2" a="1"/>
  <c r="G1072" i="2" s="1"/>
  <c r="G1073" i="2" a="1"/>
  <c r="G1073" i="2" s="1"/>
  <c r="G1074" i="2" a="1"/>
  <c r="G1074" i="2" s="1"/>
  <c r="G1075" i="2" a="1"/>
  <c r="G1075" i="2" s="1"/>
  <c r="G1076" i="2" a="1"/>
  <c r="G1076" i="2" s="1"/>
  <c r="G1077" i="2" a="1"/>
  <c r="G1077" i="2" s="1"/>
  <c r="G1078" i="2" a="1"/>
  <c r="G1078" i="2" s="1"/>
  <c r="G1079" i="2" a="1"/>
  <c r="G1079" i="2" s="1"/>
  <c r="G1080" i="2" a="1"/>
  <c r="G1080" i="2" s="1"/>
  <c r="G1081" i="2" a="1"/>
  <c r="G1081" i="2" s="1"/>
  <c r="G1082" i="2" a="1"/>
  <c r="G1082" i="2" s="1"/>
  <c r="G1083" i="2" a="1"/>
  <c r="G1083" i="2" s="1"/>
  <c r="G1084" i="2" a="1"/>
  <c r="G1084" i="2" s="1"/>
  <c r="G1085" i="2" a="1"/>
  <c r="G1085" i="2" s="1"/>
  <c r="G1086" i="2" a="1"/>
  <c r="G1086" i="2" s="1"/>
  <c r="G1087" i="2" a="1"/>
  <c r="G1087" i="2" s="1"/>
  <c r="G1088" i="2" a="1"/>
  <c r="G1088" i="2" s="1"/>
  <c r="G1089" i="2" a="1"/>
  <c r="G1089" i="2" s="1"/>
  <c r="G1090" i="2" a="1"/>
  <c r="G1090" i="2" s="1"/>
  <c r="G1091" i="2" a="1"/>
  <c r="G1091" i="2" s="1"/>
  <c r="G1092" i="2" a="1"/>
  <c r="G1092" i="2" s="1"/>
  <c r="G1093" i="2" a="1"/>
  <c r="G1093" i="2" s="1"/>
  <c r="G1094" i="2" a="1"/>
  <c r="G1094" i="2" s="1"/>
  <c r="G1095" i="2" a="1"/>
  <c r="G1095" i="2" s="1"/>
  <c r="G1096" i="2" a="1"/>
  <c r="G1096" i="2" s="1"/>
  <c r="G1097" i="2" a="1"/>
  <c r="G1097" i="2" s="1"/>
  <c r="G1098" i="2" a="1"/>
  <c r="G1098" i="2" s="1"/>
  <c r="G1099" i="2" a="1"/>
  <c r="G1099" i="2" s="1"/>
  <c r="G1100" i="2" a="1"/>
  <c r="G1100" i="2" s="1"/>
  <c r="G1101" i="2" a="1"/>
  <c r="G1101" i="2" s="1"/>
  <c r="G1102" i="2" a="1"/>
  <c r="G1102" i="2" s="1"/>
  <c r="G1103" i="2" a="1"/>
  <c r="G1103" i="2" s="1"/>
  <c r="G1104" i="2" a="1"/>
  <c r="G1104" i="2" s="1"/>
  <c r="G1105" i="2" a="1"/>
  <c r="G1105" i="2" s="1"/>
  <c r="G1106" i="2" a="1"/>
  <c r="G1106" i="2" s="1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 s="1"/>
  <c r="G1112" i="2" a="1"/>
  <c r="G1112" i="2" s="1"/>
  <c r="G1113" i="2" a="1"/>
  <c r="G1113" i="2" s="1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 s="1"/>
  <c r="G1119" i="2" a="1"/>
  <c r="G1119" i="2" s="1"/>
  <c r="G1120" i="2" a="1"/>
  <c r="G1120" i="2" s="1"/>
  <c r="G1121" i="2" a="1"/>
  <c r="G1121" i="2" s="1"/>
  <c r="G1122" i="2" a="1"/>
  <c r="G1122" i="2" s="1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 s="1"/>
  <c r="G1130" i="2" a="1"/>
  <c r="G1130" i="2" s="1"/>
  <c r="G1131" i="2" a="1"/>
  <c r="G1131" i="2" s="1"/>
  <c r="G1132" i="2" a="1"/>
  <c r="G1132" i="2" s="1"/>
  <c r="G1133" i="2" a="1"/>
  <c r="G1133" i="2" s="1"/>
  <c r="G1134" i="2" a="1"/>
  <c r="G1134" i="2" s="1"/>
  <c r="G1135" i="2" a="1"/>
  <c r="G1135" i="2" s="1"/>
  <c r="G1136" i="2" a="1"/>
  <c r="G1136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2" i="2" a="1"/>
  <c r="G1142" i="2" s="1"/>
  <c r="G1143" i="2" a="1"/>
  <c r="G1143" i="2" s="1"/>
  <c r="G1144" i="2" a="1"/>
  <c r="G1144" i="2" s="1"/>
  <c r="G1145" i="2" a="1"/>
  <c r="G1145" i="2" s="1"/>
  <c r="G1146" i="2" a="1"/>
  <c r="G1146" i="2" s="1"/>
  <c r="G1147" i="2" a="1"/>
  <c r="G1147" i="2" s="1"/>
  <c r="G1148" i="2" a="1"/>
  <c r="G1148" i="2" s="1"/>
  <c r="G1149" i="2" a="1"/>
  <c r="G1149" i="2" s="1"/>
  <c r="G1150" i="2" a="1"/>
  <c r="G1150" i="2" s="1"/>
  <c r="G1151" i="2" a="1"/>
  <c r="G1151" i="2" s="1"/>
  <c r="G1152" i="2" a="1"/>
  <c r="G1152" i="2" s="1"/>
  <c r="G1153" i="2" a="1"/>
  <c r="G1153" i="2" s="1"/>
  <c r="G1154" i="2" a="1"/>
  <c r="G1154" i="2" s="1"/>
  <c r="G1155" i="2" a="1"/>
  <c r="G1155" i="2" s="1"/>
  <c r="G1156" i="2" a="1"/>
  <c r="G1156" i="2" s="1"/>
  <c r="G1157" i="2" a="1"/>
  <c r="G1157" i="2" s="1"/>
  <c r="G1158" i="2" a="1"/>
  <c r="G1158" i="2" s="1"/>
  <c r="G1159" i="2" a="1"/>
  <c r="G1159" i="2" s="1"/>
  <c r="G1160" i="2" a="1"/>
  <c r="G1160" i="2" s="1"/>
  <c r="G1161" i="2" a="1"/>
  <c r="G1161" i="2" s="1"/>
  <c r="G1162" i="2" a="1"/>
  <c r="G1162" i="2" s="1"/>
  <c r="G1163" i="2" a="1"/>
  <c r="G1163" i="2" s="1"/>
  <c r="G1164" i="2" a="1"/>
  <c r="G1164" i="2" s="1"/>
  <c r="G1165" i="2" a="1"/>
  <c r="G1165" i="2" s="1"/>
  <c r="G1166" i="2" a="1"/>
  <c r="G1166" i="2" s="1"/>
  <c r="G1167" i="2" a="1"/>
  <c r="G1167" i="2" s="1"/>
  <c r="G1168" i="2" a="1"/>
  <c r="G1168" i="2" s="1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 s="1"/>
  <c r="G1176" i="2" a="1"/>
  <c r="G1176" i="2" s="1"/>
  <c r="G1177" i="2" a="1"/>
  <c r="G1177" i="2" s="1"/>
  <c r="G1178" i="2" a="1"/>
  <c r="G1178" i="2" s="1"/>
  <c r="G1179" i="2" a="1"/>
  <c r="G1179" i="2" s="1"/>
  <c r="G1180" i="2" a="1"/>
  <c r="G1180" i="2" s="1"/>
  <c r="G1181" i="2" a="1"/>
  <c r="G1181" i="2" s="1"/>
  <c r="G1182" i="2" a="1"/>
  <c r="G1182" i="2" s="1"/>
  <c r="G1183" i="2" a="1"/>
  <c r="G1183" i="2" s="1"/>
  <c r="G1184" i="2" a="1"/>
  <c r="G1184" i="2" s="1"/>
  <c r="G1185" i="2" a="1"/>
  <c r="G1185" i="2" s="1"/>
  <c r="G1186" i="2" a="1"/>
  <c r="G1186" i="2" s="1"/>
  <c r="G1187" i="2" a="1"/>
  <c r="G1187" i="2" s="1"/>
  <c r="G1188" i="2" a="1"/>
  <c r="G1188" i="2" s="1"/>
  <c r="G1189" i="2" a="1"/>
  <c r="G1189" i="2" s="1"/>
  <c r="G1190" i="2" a="1"/>
  <c r="G1190" i="2" s="1"/>
  <c r="G1191" i="2" a="1"/>
  <c r="G1191" i="2" s="1"/>
  <c r="G1192" i="2" a="1"/>
  <c r="G1192" i="2" s="1"/>
  <c r="G1193" i="2" a="1"/>
  <c r="G1193" i="2" s="1"/>
  <c r="G1194" i="2" a="1"/>
  <c r="G1194" i="2" s="1"/>
  <c r="G1195" i="2" a="1"/>
  <c r="G1195" i="2" s="1"/>
  <c r="G1196" i="2" a="1"/>
  <c r="G1196" i="2" s="1"/>
  <c r="G1197" i="2" a="1"/>
  <c r="G1197" i="2" s="1"/>
  <c r="G1198" i="2" a="1"/>
  <c r="G1198" i="2" s="1"/>
  <c r="G1199" i="2" a="1"/>
  <c r="G1199" i="2" s="1"/>
  <c r="G1200" i="2" a="1"/>
  <c r="G1200" i="2" s="1"/>
  <c r="G1201" i="2" a="1"/>
  <c r="G1201" i="2" s="1"/>
  <c r="G1202" i="2" a="1"/>
  <c r="G1202" i="2" s="1"/>
  <c r="G1203" i="2" a="1"/>
  <c r="G1203" i="2" s="1"/>
  <c r="G1204" i="2" a="1"/>
  <c r="G1204" i="2" s="1"/>
  <c r="G1205" i="2" a="1"/>
  <c r="G1205" i="2" s="1"/>
  <c r="G1206" i="2" a="1"/>
  <c r="G1206" i="2" s="1"/>
  <c r="G1207" i="2" a="1"/>
  <c r="G1207" i="2" s="1"/>
  <c r="G1208" i="2" a="1"/>
  <c r="G1208" i="2" s="1"/>
  <c r="G1209" i="2" a="1"/>
  <c r="G1209" i="2" s="1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 s="1"/>
  <c r="G1217" i="2" a="1"/>
  <c r="G1217" i="2" s="1"/>
  <c r="G1218" i="2" a="1"/>
  <c r="G1218" i="2" s="1"/>
  <c r="G1219" i="2" a="1"/>
  <c r="G1219" i="2" s="1"/>
  <c r="G1220" i="2" a="1"/>
  <c r="G1220" i="2" s="1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 s="1"/>
  <c r="G1226" i="2" a="1"/>
  <c r="G1226" i="2" s="1"/>
  <c r="G1227" i="2" a="1"/>
  <c r="G1227" i="2" s="1"/>
  <c r="G1228" i="2" a="1"/>
  <c r="G1228" i="2" s="1"/>
  <c r="G1229" i="2" a="1"/>
  <c r="G1229" i="2" s="1"/>
  <c r="G1230" i="2" a="1"/>
  <c r="G1230" i="2" s="1"/>
  <c r="G1231" i="2" a="1"/>
  <c r="G1231" i="2" s="1"/>
  <c r="G1232" i="2" a="1"/>
  <c r="G1232" i="2" s="1"/>
  <c r="G1233" i="2" a="1"/>
  <c r="G1233" i="2" s="1"/>
  <c r="G1234" i="2" a="1"/>
  <c r="G1234" i="2" s="1"/>
  <c r="G1235" i="2" a="1"/>
  <c r="G1235" i="2" s="1"/>
  <c r="G1236" i="2" a="1"/>
  <c r="G1236" i="2" s="1"/>
  <c r="G1237" i="2" a="1"/>
  <c r="G1237" i="2" s="1"/>
  <c r="G1238" i="2" a="1"/>
  <c r="G1238" i="2" s="1"/>
  <c r="G1239" i="2" a="1"/>
  <c r="G1239" i="2" s="1"/>
  <c r="G1240" i="2" a="1"/>
  <c r="G1240" i="2" s="1"/>
  <c r="G1241" i="2" a="1"/>
  <c r="G1241" i="2" s="1"/>
  <c r="G1242" i="2" a="1"/>
  <c r="G1242" i="2" s="1"/>
  <c r="G1243" i="2" a="1"/>
  <c r="G1243" i="2" s="1"/>
  <c r="G1244" i="2" a="1"/>
  <c r="G1244" i="2" s="1"/>
  <c r="G1245" i="2" a="1"/>
  <c r="G1245" i="2" s="1"/>
  <c r="G1246" i="2" a="1"/>
  <c r="G1246" i="2" s="1"/>
  <c r="G1247" i="2" a="1"/>
  <c r="G1247" i="2" s="1"/>
  <c r="G1248" i="2" a="1"/>
  <c r="G1248" i="2" s="1"/>
  <c r="G1249" i="2" a="1"/>
  <c r="G1249" i="2" s="1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 s="1"/>
  <c r="G1257" i="2" a="1"/>
  <c r="G1257" i="2" s="1"/>
  <c r="G1258" i="2" a="1"/>
  <c r="G1258" i="2" s="1"/>
  <c r="G1259" i="2" a="1"/>
  <c r="G1259" i="2" s="1"/>
  <c r="G1260" i="2" a="1"/>
  <c r="G1260" i="2" s="1"/>
  <c r="G1261" i="2" a="1"/>
  <c r="G1261" i="2" s="1"/>
  <c r="G1262" i="2" a="1"/>
  <c r="G1262" i="2" s="1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 s="1"/>
  <c r="G1268" i="2" a="1"/>
  <c r="G1268" i="2" s="1"/>
  <c r="G1269" i="2" a="1"/>
  <c r="G1269" i="2" s="1"/>
  <c r="G1270" i="2" a="1"/>
  <c r="G1270" i="2" s="1"/>
  <c r="G1271" i="2" a="1"/>
  <c r="G1271" i="2" s="1"/>
  <c r="G1272" i="2" a="1"/>
  <c r="G1272" i="2" s="1"/>
  <c r="G1273" i="2" a="1"/>
  <c r="G1273" i="2" s="1"/>
  <c r="G1274" i="2" a="1"/>
  <c r="G1274" i="2" s="1"/>
  <c r="G1275" i="2" a="1"/>
  <c r="G1275" i="2" s="1"/>
  <c r="G1276" i="2" a="1"/>
  <c r="G1276" i="2" s="1"/>
  <c r="G1277" i="2" a="1"/>
  <c r="G1277" i="2" s="1"/>
  <c r="G1278" i="2" a="1"/>
  <c r="G1278" i="2" s="1"/>
  <c r="G1279" i="2" a="1"/>
  <c r="G1279" i="2" s="1"/>
  <c r="G1280" i="2" a="1"/>
  <c r="G1280" i="2" s="1"/>
  <c r="G1281" i="2" a="1"/>
  <c r="G1281" i="2" s="1"/>
  <c r="G1282" i="2" a="1"/>
  <c r="G1282" i="2" s="1"/>
  <c r="G1283" i="2" a="1"/>
  <c r="G1283" i="2" s="1"/>
  <c r="G1284" i="2" a="1"/>
  <c r="G1284" i="2" s="1"/>
  <c r="G1285" i="2" a="1"/>
  <c r="G1285" i="2" s="1"/>
  <c r="G1286" i="2" a="1"/>
  <c r="G1286" i="2" s="1"/>
  <c r="G1287" i="2" a="1"/>
  <c r="G1287" i="2" s="1"/>
  <c r="G1288" i="2" a="1"/>
  <c r="G1288" i="2" s="1"/>
  <c r="G1289" i="2" a="1"/>
  <c r="G1289" i="2" s="1"/>
  <c r="G1290" i="2" a="1"/>
  <c r="G1290" i="2" s="1"/>
  <c r="G1291" i="2" a="1"/>
  <c r="G1291" i="2" s="1"/>
  <c r="G1292" i="2" a="1"/>
  <c r="G1292" i="2" s="1"/>
  <c r="G1293" i="2" a="1"/>
  <c r="G1293" i="2" s="1"/>
  <c r="G1294" i="2" a="1"/>
  <c r="G1294" i="2" s="1"/>
  <c r="G1295" i="2" a="1"/>
  <c r="G1295" i="2" s="1"/>
  <c r="G1296" i="2" a="1"/>
  <c r="G1296" i="2" s="1"/>
  <c r="G1297" i="2" a="1"/>
  <c r="G1297" i="2" s="1"/>
  <c r="G1298" i="2" a="1"/>
  <c r="G1298" i="2" s="1"/>
  <c r="G1299" i="2" a="1"/>
  <c r="G1299" i="2" s="1"/>
  <c r="G1300" i="2" a="1"/>
  <c r="G1300" i="2" s="1"/>
  <c r="G1301" i="2" a="1"/>
  <c r="G1301" i="2" s="1"/>
  <c r="G1302" i="2" a="1"/>
  <c r="G1302" i="2" s="1"/>
  <c r="G1303" i="2" a="1"/>
  <c r="G1303" i="2" s="1"/>
  <c r="G1304" i="2" a="1"/>
  <c r="G1304" i="2" s="1"/>
  <c r="G1305" i="2" a="1"/>
  <c r="G1305" i="2" s="1"/>
  <c r="G1306" i="2" a="1"/>
  <c r="G1306" i="2" s="1"/>
  <c r="G1307" i="2" a="1"/>
  <c r="G1307" i="2" s="1"/>
  <c r="G1308" i="2" a="1"/>
  <c r="G1308" i="2" s="1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6" i="2" a="1"/>
  <c r="G1316" i="2" s="1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 s="1"/>
  <c r="G1322" i="2" a="1"/>
  <c r="G1322" i="2" s="1"/>
  <c r="G1323" i="2" a="1"/>
  <c r="G1323" i="2" s="1"/>
  <c r="G1324" i="2" a="1"/>
  <c r="G1324" i="2" s="1"/>
  <c r="G1325" i="2" a="1"/>
  <c r="G1325" i="2" s="1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 s="1"/>
  <c r="G1333" i="2" a="1"/>
  <c r="G1333" i="2" s="1"/>
  <c r="G1334" i="2" a="1"/>
  <c r="G1334" i="2" s="1"/>
  <c r="G1335" i="2" a="1"/>
  <c r="G1335" i="2" s="1"/>
  <c r="G1336" i="2" a="1"/>
  <c r="G1336" i="2" s="1"/>
  <c r="G1337" i="2" a="1"/>
  <c r="G1337" i="2" s="1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 s="1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 s="1"/>
  <c r="G1348" i="2" a="1"/>
  <c r="G1348" i="2" s="1"/>
  <c r="G1349" i="2" a="1"/>
  <c r="G1349" i="2" s="1"/>
  <c r="G1350" i="2" a="1"/>
  <c r="G1350" i="2" s="1"/>
  <c r="G1351" i="2" a="1"/>
  <c r="G1351" i="2" s="1"/>
  <c r="G1352" i="2" a="1"/>
  <c r="G1352" i="2" s="1"/>
  <c r="G1353" i="2" a="1"/>
  <c r="G1353" i="2" s="1"/>
  <c r="G1354" i="2" a="1"/>
  <c r="G1354" i="2" s="1"/>
  <c r="G1355" i="2" a="1"/>
  <c r="G1355" i="2" s="1"/>
  <c r="G1356" i="2" a="1"/>
  <c r="G1356" i="2" s="1"/>
  <c r="G1357" i="2" a="1"/>
  <c r="G1357" i="2" s="1"/>
  <c r="G1358" i="2" a="1"/>
  <c r="G1358" i="2" s="1"/>
  <c r="G1359" i="2" a="1"/>
  <c r="G1359" i="2" s="1"/>
  <c r="G1360" i="2" a="1"/>
  <c r="G1360" i="2" s="1"/>
  <c r="G1361" i="2" a="1"/>
  <c r="G1361" i="2" s="1"/>
  <c r="G1362" i="2" a="1"/>
  <c r="G1362" i="2" s="1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 s="1"/>
  <c r="G1368" i="2" a="1"/>
  <c r="G1368" i="2" s="1"/>
  <c r="G1369" i="2" a="1"/>
  <c r="G1369" i="2" s="1"/>
  <c r="G1370" i="2" a="1"/>
  <c r="G1370" i="2" s="1"/>
  <c r="G1371" i="2" a="1"/>
  <c r="G1371" i="2" s="1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 s="1"/>
  <c r="G1377" i="2" a="1"/>
  <c r="G1377" i="2" s="1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 s="1"/>
  <c r="G1384" i="2" a="1"/>
  <c r="G1384" i="2" s="1"/>
  <c r="G1385" i="2" a="1"/>
  <c r="G1385" i="2" s="1"/>
  <c r="G1386" i="2" a="1"/>
  <c r="G1386" i="2" s="1"/>
  <c r="G1387" i="2" a="1"/>
  <c r="G1387" i="2" s="1"/>
  <c r="G1388" i="2" a="1"/>
  <c r="G1388" i="2" s="1"/>
  <c r="G1389" i="2" a="1"/>
  <c r="G1389" i="2" s="1"/>
  <c r="G1390" i="2" a="1"/>
  <c r="G1390" i="2" s="1"/>
  <c r="G1391" i="2" a="1"/>
  <c r="G1391" i="2" s="1"/>
  <c r="G1392" i="2" a="1"/>
  <c r="G1392" i="2" s="1"/>
  <c r="G1393" i="2" a="1"/>
  <c r="G1393" i="2" s="1"/>
  <c r="G1394" i="2" a="1"/>
  <c r="G1394" i="2" s="1"/>
  <c r="G1395" i="2" a="1"/>
  <c r="G1395" i="2" s="1"/>
  <c r="G1396" i="2" a="1"/>
  <c r="G1396" i="2" s="1"/>
  <c r="G1397" i="2" a="1"/>
  <c r="G1397" i="2" s="1"/>
  <c r="G1398" i="2" a="1"/>
  <c r="G1398" i="2" s="1"/>
  <c r="G1399" i="2" a="1"/>
  <c r="G1399" i="2" s="1"/>
  <c r="G1400" i="2" a="1"/>
  <c r="G1400" i="2" s="1"/>
  <c r="G1401" i="2" a="1"/>
  <c r="G1401" i="2" s="1"/>
  <c r="G1402" i="2" a="1"/>
  <c r="G1402" i="2" s="1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 s="1"/>
  <c r="G1408" i="2" a="1"/>
  <c r="G1408" i="2" s="1"/>
  <c r="G1409" i="2" a="1"/>
  <c r="G1409" i="2" s="1"/>
  <c r="G1410" i="2" a="1"/>
  <c r="G1410" i="2" s="1"/>
  <c r="G1411" i="2" a="1"/>
  <c r="G1411" i="2" s="1"/>
  <c r="G1412" i="2" a="1"/>
  <c r="G1412" i="2" s="1"/>
  <c r="G1413" i="2" a="1"/>
  <c r="G1413" i="2" s="1"/>
  <c r="G1414" i="2" a="1"/>
  <c r="G1414" i="2" s="1"/>
  <c r="G1415" i="2" a="1"/>
  <c r="G1415" i="2" s="1"/>
  <c r="G1416" i="2" a="1"/>
  <c r="G1416" i="2" s="1"/>
  <c r="G1417" i="2" a="1"/>
  <c r="G1417" i="2" s="1"/>
  <c r="G1418" i="2" a="1"/>
  <c r="G1418" i="2" s="1"/>
  <c r="G1419" i="2" a="1"/>
  <c r="G1419" i="2" s="1"/>
  <c r="G1420" i="2" a="1"/>
  <c r="G1420" i="2" s="1"/>
  <c r="G1421" i="2" a="1"/>
  <c r="G1421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28" i="2" a="1"/>
  <c r="G1428" i="2" s="1"/>
  <c r="G1429" i="2" a="1"/>
  <c r="G1429" i="2" s="1"/>
  <c r="G1430" i="2" a="1"/>
  <c r="G1430" i="2" s="1"/>
  <c r="G1431" i="2" a="1"/>
  <c r="G1431" i="2" s="1"/>
  <c r="G1432" i="2" a="1"/>
  <c r="G1432" i="2" s="1"/>
  <c r="G1433" i="2" a="1"/>
  <c r="G1433" i="2" s="1"/>
  <c r="G1434" i="2" a="1"/>
  <c r="G1434" i="2" s="1"/>
  <c r="G1435" i="2" a="1"/>
  <c r="G1435" i="2" s="1"/>
  <c r="G1436" i="2" a="1"/>
  <c r="G1436" i="2" s="1"/>
  <c r="G1437" i="2" a="1"/>
  <c r="G1437" i="2" s="1"/>
  <c r="G1438" i="2" a="1"/>
  <c r="G1438" i="2" s="1"/>
  <c r="G1439" i="2" a="1"/>
  <c r="G1439" i="2" s="1"/>
  <c r="G1440" i="2" a="1"/>
  <c r="G1440" i="2" s="1"/>
  <c r="G1441" i="2" a="1"/>
  <c r="G1441" i="2" s="1"/>
  <c r="G1442" i="2" a="1"/>
  <c r="G1442" i="2" s="1"/>
  <c r="G1443" i="2" a="1"/>
  <c r="G1443" i="2" s="1"/>
  <c r="G1444" i="2" a="1"/>
  <c r="G1444" i="2" s="1"/>
  <c r="G1445" i="2" a="1"/>
  <c r="G1445" i="2" s="1"/>
  <c r="G1446" i="2" a="1"/>
  <c r="G1446" i="2" s="1"/>
  <c r="G1447" i="2" a="1"/>
  <c r="G1447" i="2" s="1"/>
  <c r="G1448" i="2" a="1"/>
  <c r="G1448" i="2" s="1"/>
  <c r="G1449" i="2" a="1"/>
  <c r="G1449" i="2" s="1"/>
  <c r="G1450" i="2" a="1"/>
  <c r="G1450" i="2" s="1"/>
  <c r="G1451" i="2" a="1"/>
  <c r="G1451" i="2" s="1"/>
  <c r="G1452" i="2" a="1"/>
  <c r="G1452" i="2" s="1"/>
  <c r="G1453" i="2" a="1"/>
  <c r="G1453" i="2" s="1"/>
  <c r="G1454" i="2" a="1"/>
  <c r="G1454" i="2" s="1"/>
  <c r="G1455" i="2" a="1"/>
  <c r="G1455" i="2" s="1"/>
  <c r="G1456" i="2" a="1"/>
  <c r="G1456" i="2" s="1"/>
  <c r="G1457" i="2" a="1"/>
  <c r="G1457" i="2" s="1"/>
  <c r="G1458" i="2" a="1"/>
  <c r="G1458" i="2" s="1"/>
  <c r="G1459" i="2" a="1"/>
  <c r="G1459" i="2" s="1"/>
  <c r="G1460" i="2" a="1"/>
  <c r="G1460" i="2" s="1"/>
  <c r="G1461" i="2" a="1"/>
  <c r="G1461" i="2" s="1"/>
  <c r="G1462" i="2" a="1"/>
  <c r="G1462" i="2" s="1"/>
  <c r="G1463" i="2" a="1"/>
  <c r="G1463" i="2" s="1"/>
  <c r="G1464" i="2" a="1"/>
  <c r="G1464" i="2" s="1"/>
  <c r="G1465" i="2" a="1"/>
  <c r="G1465" i="2" s="1"/>
  <c r="G1466" i="2" a="1"/>
  <c r="G1466" i="2" s="1"/>
  <c r="G1467" i="2" a="1"/>
  <c r="G1467" i="2" s="1"/>
  <c r="G1468" i="2" a="1"/>
  <c r="G1468" i="2" s="1"/>
  <c r="G1469" i="2" a="1"/>
  <c r="G1469" i="2" s="1"/>
  <c r="G1470" i="2" a="1"/>
  <c r="G1470" i="2" s="1"/>
  <c r="G1471" i="2" a="1"/>
  <c r="G1471" i="2" s="1"/>
  <c r="G1472" i="2" a="1"/>
  <c r="G1472" i="2" s="1"/>
  <c r="G1473" i="2" a="1"/>
  <c r="G1473" i="2" s="1"/>
  <c r="G1474" i="2" a="1"/>
  <c r="G1474" i="2" s="1"/>
  <c r="G1475" i="2" a="1"/>
  <c r="G1475" i="2" s="1"/>
  <c r="G1476" i="2" a="1"/>
  <c r="G1476" i="2" s="1"/>
  <c r="G1477" i="2" a="1"/>
  <c r="G1477" i="2" s="1"/>
  <c r="G1478" i="2" a="1"/>
  <c r="G1478" i="2" s="1"/>
  <c r="G1479" i="2" a="1"/>
  <c r="G1479" i="2" s="1"/>
  <c r="G1480" i="2" a="1"/>
  <c r="G1480" i="2" s="1"/>
  <c r="G1481" i="2" a="1"/>
  <c r="G1481" i="2" s="1"/>
  <c r="G1482" i="2" a="1"/>
  <c r="G1482" i="2" s="1"/>
  <c r="G1483" i="2" a="1"/>
  <c r="G1483" i="2" s="1"/>
  <c r="G1484" i="2" a="1"/>
  <c r="G1484" i="2" s="1"/>
  <c r="G1485" i="2" a="1"/>
  <c r="G1485" i="2" s="1"/>
  <c r="G1486" i="2" a="1"/>
  <c r="G1486" i="2" s="1"/>
  <c r="G1487" i="2" a="1"/>
  <c r="G1487" i="2" s="1"/>
  <c r="G1488" i="2" a="1"/>
  <c r="G1488" i="2" s="1"/>
  <c r="G1489" i="2" a="1"/>
  <c r="G1489" i="2" s="1"/>
  <c r="G1490" i="2" a="1"/>
  <c r="G1490" i="2" s="1"/>
  <c r="G1491" i="2" a="1"/>
  <c r="G1491" i="2" s="1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 s="1"/>
  <c r="G1497" i="2" a="1"/>
  <c r="G1497" i="2" s="1"/>
  <c r="G1498" i="2" a="1"/>
  <c r="G1498" i="2" s="1"/>
  <c r="G1499" i="2" a="1"/>
  <c r="G1499" i="2" s="1"/>
  <c r="G1500" i="2" a="1"/>
  <c r="G1500" i="2" s="1"/>
  <c r="G1501" i="2" a="1"/>
  <c r="G1501" i="2" s="1"/>
  <c r="G1502" i="2" a="1"/>
  <c r="G1502" i="2" s="1"/>
  <c r="G1503" i="2" a="1"/>
  <c r="G1503" i="2" s="1"/>
  <c r="G1504" i="2" a="1"/>
  <c r="G1504" i="2" s="1"/>
  <c r="G1505" i="2" a="1"/>
  <c r="G1505" i="2" s="1"/>
  <c r="G1506" i="2" a="1"/>
  <c r="G1506" i="2" s="1"/>
  <c r="G1507" i="2" a="1"/>
  <c r="G1507" i="2" s="1"/>
  <c r="G1508" i="2" a="1"/>
  <c r="G1508" i="2" s="1"/>
  <c r="G1509" i="2" a="1"/>
  <c r="G1509" i="2" s="1"/>
  <c r="G1510" i="2" a="1"/>
  <c r="G1510" i="2" s="1"/>
  <c r="G1511" i="2" a="1"/>
  <c r="G1511" i="2" s="1"/>
  <c r="G1512" i="2" a="1"/>
  <c r="G1512" i="2" s="1"/>
  <c r="G1513" i="2" a="1"/>
  <c r="G1513" i="2" s="1"/>
  <c r="G1514" i="2" a="1"/>
  <c r="G1514" i="2" s="1"/>
  <c r="G1515" i="2" a="1"/>
  <c r="G1515" i="2" s="1"/>
  <c r="G1516" i="2" a="1"/>
  <c r="G1516" i="2" s="1"/>
  <c r="G1517" i="2" a="1"/>
  <c r="G1517" i="2" s="1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 s="1"/>
  <c r="G1525" i="2" a="1"/>
  <c r="G1525" i="2" s="1"/>
  <c r="G1526" i="2" a="1"/>
  <c r="G1526" i="2" s="1"/>
  <c r="G1527" i="2" a="1"/>
  <c r="G1527" i="2" s="1"/>
  <c r="G1528" i="2" a="1"/>
  <c r="G1528" i="2" s="1"/>
  <c r="G1529" i="2" a="1"/>
  <c r="G1529" i="2" s="1"/>
  <c r="G1530" i="2" a="1"/>
  <c r="G1530" i="2" s="1"/>
  <c r="G1531" i="2" a="1"/>
  <c r="G1531" i="2" s="1"/>
  <c r="G1532" i="2" a="1"/>
  <c r="G1532" i="2"/>
  <c r="G1533" i="2" a="1"/>
  <c r="G1533" i="2" s="1"/>
  <c r="G1534" i="2" a="1"/>
  <c r="G1534" i="2" s="1"/>
  <c r="G1535" i="2" a="1"/>
  <c r="G1535" i="2"/>
  <c r="G1536" i="2" a="1"/>
  <c r="G1536" i="2" s="1"/>
  <c r="G1537" i="2" a="1"/>
  <c r="G1537" i="2" s="1"/>
  <c r="G1538" i="2" a="1"/>
  <c r="G1538" i="2" s="1"/>
  <c r="G1539" i="2" a="1"/>
  <c r="G1539" i="2" s="1"/>
  <c r="G1540" i="2" a="1"/>
  <c r="G1540" i="2"/>
  <c r="G1541" i="2" a="1"/>
  <c r="G1541" i="2"/>
  <c r="G1542" i="2" a="1"/>
  <c r="G1542" i="2" s="1"/>
  <c r="G1543" i="2" a="1"/>
  <c r="G1543" i="2"/>
  <c r="G1544" i="2" a="1"/>
  <c r="G1544" i="2" s="1"/>
  <c r="G1545" i="2" a="1"/>
  <c r="G1545" i="2" s="1"/>
  <c r="G1546" i="2" a="1"/>
  <c r="G1546" i="2"/>
  <c r="G1547" i="2" a="1"/>
  <c r="G1547" i="2"/>
  <c r="G1548" i="2" a="1"/>
  <c r="G1548" i="2" s="1"/>
  <c r="G1549" i="2" a="1"/>
  <c r="G1549" i="2"/>
  <c r="G1550" i="2" a="1"/>
  <c r="G1550" i="2" s="1"/>
  <c r="G1551" i="2" a="1"/>
  <c r="G1551" i="2" s="1"/>
  <c r="G1552" i="2" a="1"/>
  <c r="G1552" i="2"/>
  <c r="G1553" i="2" a="1"/>
  <c r="G1553" i="2"/>
  <c r="G1554" i="2" a="1"/>
  <c r="G1554" i="2" s="1"/>
  <c r="G1555" i="2" a="1"/>
  <c r="G1555" i="2"/>
  <c r="G1556" i="2" a="1"/>
  <c r="G1556" i="2" s="1"/>
  <c r="G1557" i="2" a="1"/>
  <c r="G1557" i="2" s="1"/>
  <c r="G1558" i="2" a="1"/>
  <c r="G1558" i="2"/>
  <c r="G1559" i="2" a="1"/>
  <c r="G1559" i="2"/>
  <c r="G1560" i="2" a="1"/>
  <c r="G1560" i="2" s="1"/>
  <c r="G1561" i="2" a="1"/>
  <c r="G1561" i="2"/>
  <c r="G1562" i="2" a="1"/>
  <c r="G1562" i="2" s="1"/>
  <c r="G1563" i="2" a="1"/>
  <c r="G1563" i="2" s="1"/>
  <c r="G1564" i="2" a="1"/>
  <c r="G1564" i="2"/>
  <c r="G1565" i="2" a="1"/>
  <c r="G1565" i="2"/>
  <c r="G1566" i="2" a="1"/>
  <c r="G1566" i="2" s="1"/>
  <c r="G1567" i="2" a="1"/>
  <c r="G1567" i="2"/>
  <c r="G1568" i="2" a="1"/>
  <c r="G1568" i="2" s="1"/>
  <c r="G1569" i="2" a="1"/>
  <c r="G1569" i="2" s="1"/>
  <c r="G1570" i="2" a="1"/>
  <c r="G1570" i="2"/>
  <c r="G1571" i="2" a="1"/>
  <c r="G1571" i="2"/>
  <c r="G1572" i="2" a="1"/>
  <c r="G1572" i="2" s="1"/>
  <c r="G1573" i="2" a="1"/>
  <c r="G1573" i="2" s="1"/>
  <c r="G1574" i="2" a="1"/>
  <c r="G1574" i="2" s="1"/>
  <c r="G1575" i="2" a="1"/>
  <c r="G1575" i="2" s="1"/>
  <c r="G1576" i="2" a="1"/>
  <c r="G1576" i="2"/>
  <c r="G1577" i="2" a="1"/>
  <c r="G1577" i="2"/>
  <c r="G1578" i="2" a="1"/>
  <c r="G1578" i="2" s="1"/>
  <c r="G1579" i="2" a="1"/>
  <c r="G1579" i="2" s="1"/>
  <c r="G1580" i="2" a="1"/>
  <c r="G1580" i="2" s="1"/>
  <c r="G1581" i="2" a="1"/>
  <c r="G1581" i="2" s="1"/>
  <c r="G1582" i="2" a="1"/>
  <c r="G1582" i="2" s="1"/>
  <c r="G1583" i="2" a="1"/>
  <c r="G1583" i="2"/>
  <c r="G1584" i="2" a="1"/>
  <c r="G1584" i="2" s="1"/>
  <c r="G1585" i="2" a="1"/>
  <c r="G1585" i="2" s="1"/>
  <c r="G1586" i="2" a="1"/>
  <c r="G1586" i="2" s="1"/>
  <c r="G1587" i="2" a="1"/>
  <c r="G1587" i="2" s="1"/>
  <c r="G1588" i="2" a="1"/>
  <c r="G1588" i="2" s="1"/>
  <c r="G1589" i="2" a="1"/>
  <c r="G1589" i="2"/>
  <c r="G1590" i="2" a="1"/>
  <c r="G1590" i="2" s="1"/>
  <c r="G1591" i="2" a="1"/>
  <c r="G1591" i="2" s="1"/>
  <c r="G1592" i="2" a="1"/>
  <c r="G1592" i="2" s="1"/>
  <c r="G1593" i="2" a="1"/>
  <c r="G1593" i="2" s="1"/>
  <c r="G1594" i="2" a="1"/>
  <c r="G1594" i="2" s="1"/>
  <c r="G1595" i="2" a="1"/>
  <c r="G1595" i="2"/>
  <c r="G1596" i="2" a="1"/>
  <c r="G1596" i="2" s="1"/>
  <c r="G1597" i="2" a="1"/>
  <c r="G1597" i="2" s="1"/>
  <c r="G1598" i="2" a="1"/>
  <c r="G1598" i="2" s="1"/>
  <c r="G1599" i="2" a="1"/>
  <c r="G1599" i="2" s="1"/>
  <c r="G1600" i="2" a="1"/>
  <c r="G1600" i="2" s="1"/>
  <c r="G1601" i="2" a="1"/>
  <c r="G1601" i="2"/>
  <c r="G1602" i="2" a="1"/>
  <c r="G1602" i="2" s="1"/>
  <c r="G1603" i="2" a="1"/>
  <c r="G1603" i="2" s="1"/>
  <c r="G1604" i="2" a="1"/>
  <c r="G1604" i="2" s="1"/>
  <c r="G1605" i="2" a="1"/>
  <c r="G1605" i="2" s="1"/>
  <c r="G1606" i="2" a="1"/>
  <c r="G1606" i="2" s="1"/>
  <c r="G1607" i="2" a="1"/>
  <c r="G1607" i="2"/>
  <c r="G1608" i="2" a="1"/>
  <c r="G1608" i="2" s="1"/>
  <c r="G1609" i="2" a="1"/>
  <c r="G1609" i="2" s="1"/>
  <c r="G1610" i="2" a="1"/>
  <c r="G1610" i="2" s="1"/>
  <c r="G1611" i="2" a="1"/>
  <c r="G1611" i="2" s="1"/>
  <c r="G1612" i="2" a="1"/>
  <c r="G1612" i="2" s="1"/>
  <c r="G1613" i="2" a="1"/>
  <c r="G1613" i="2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 s="1"/>
  <c r="G1619" i="2" a="1"/>
  <c r="G1619" i="2"/>
  <c r="G1620" i="2" a="1"/>
  <c r="G1620" i="2" s="1"/>
  <c r="G1621" i="2" a="1"/>
  <c r="G1621" i="2" s="1"/>
  <c r="G1622" i="2" a="1"/>
  <c r="G1622" i="2" s="1"/>
  <c r="G1623" i="2" a="1"/>
  <c r="G1623" i="2" s="1"/>
  <c r="G1624" i="2" a="1"/>
  <c r="G1624" i="2" s="1"/>
  <c r="G1625" i="2" a="1"/>
  <c r="G1625" i="2"/>
  <c r="G1626" i="2" a="1"/>
  <c r="G1626" i="2" s="1"/>
  <c r="G1627" i="2" a="1"/>
  <c r="G1627" i="2" s="1"/>
  <c r="G1628" i="2" a="1"/>
  <c r="G1628" i="2" s="1"/>
  <c r="G1629" i="2" a="1"/>
  <c r="G1629" i="2" s="1"/>
  <c r="G1630" i="2" a="1"/>
  <c r="G1630" i="2" s="1"/>
  <c r="G1631" i="2" a="1"/>
  <c r="G1631" i="2"/>
  <c r="G1632" i="2" a="1"/>
  <c r="G1632" i="2" s="1"/>
  <c r="G1633" i="2" a="1"/>
  <c r="G1633" i="2" s="1"/>
  <c r="G1634" i="2" a="1"/>
  <c r="G1634" i="2" s="1"/>
  <c r="G1635" i="2" a="1"/>
  <c r="G1635" i="2" s="1"/>
  <c r="G1636" i="2" a="1"/>
  <c r="G1636" i="2" s="1"/>
  <c r="G1637" i="2" a="1"/>
  <c r="G1637" i="2" s="1"/>
  <c r="G1638" i="2" a="1"/>
  <c r="G1638" i="2" s="1"/>
  <c r="G1639" i="2" a="1"/>
  <c r="G1639" i="2" s="1"/>
  <c r="G1640" i="2" a="1"/>
  <c r="G1640" i="2" s="1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 s="1"/>
  <c r="G1646" i="2" a="1"/>
  <c r="G1646" i="2" s="1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 s="1"/>
  <c r="G1654" i="2" a="1"/>
  <c r="G1654" i="2" s="1"/>
  <c r="G1655" i="2" a="1"/>
  <c r="G1655" i="2" s="1"/>
  <c r="G1656" i="2" a="1"/>
  <c r="G1656" i="2" s="1"/>
  <c r="G1657" i="2" a="1"/>
  <c r="G1657" i="2" s="1"/>
  <c r="G1658" i="2" a="1"/>
  <c r="G1658" i="2" s="1"/>
  <c r="G1659" i="2" a="1"/>
  <c r="G1659" i="2" s="1"/>
  <c r="G1660" i="2" a="1"/>
  <c r="G1660" i="2" s="1"/>
  <c r="G1661" i="2" a="1"/>
  <c r="G1661" i="2" s="1"/>
  <c r="G1662" i="2" a="1"/>
  <c r="G1662" i="2" s="1"/>
  <c r="G1663" i="2" a="1"/>
  <c r="G1663" i="2" s="1"/>
  <c r="G1664" i="2" a="1"/>
  <c r="G1664" i="2" s="1"/>
  <c r="G1665" i="2" a="1"/>
  <c r="G1665" i="2" s="1"/>
  <c r="G1666" i="2" a="1"/>
  <c r="G1666" i="2" s="1"/>
  <c r="G1667" i="2" a="1"/>
  <c r="G1667" i="2" s="1"/>
  <c r="G1668" i="2" a="1"/>
  <c r="G1668" i="2" s="1"/>
  <c r="G1669" i="2" a="1"/>
  <c r="G1669" i="2" s="1"/>
  <c r="G1670" i="2" a="1"/>
  <c r="G1670" i="2" s="1"/>
  <c r="G1671" i="2" a="1"/>
  <c r="G1671" i="2" s="1"/>
  <c r="G1672" i="2" a="1"/>
  <c r="G1672" i="2" s="1"/>
  <c r="G1673" i="2" a="1"/>
  <c r="G1673" i="2" s="1"/>
  <c r="G1674" i="2" a="1"/>
  <c r="G1674" i="2" s="1"/>
  <c r="G1675" i="2" a="1"/>
  <c r="G1675" i="2" s="1"/>
  <c r="G1676" i="2" a="1"/>
  <c r="G1676" i="2" s="1"/>
  <c r="G1677" i="2" a="1"/>
  <c r="G1677" i="2" s="1"/>
  <c r="G1678" i="2" a="1"/>
  <c r="G1678" i="2" s="1"/>
  <c r="G1679" i="2" a="1"/>
  <c r="G1679" i="2" s="1"/>
  <c r="G1680" i="2" a="1"/>
  <c r="G1680" i="2" s="1"/>
  <c r="G1681" i="2" a="1"/>
  <c r="G1681" i="2" s="1"/>
  <c r="G1682" i="2" a="1"/>
  <c r="G1682" i="2" s="1"/>
  <c r="G1683" i="2" a="1"/>
  <c r="G1683" i="2" s="1"/>
  <c r="G1684" i="2" a="1"/>
  <c r="G1684" i="2" s="1"/>
  <c r="G1685" i="2" a="1"/>
  <c r="G1685" i="2" s="1"/>
  <c r="G1686" i="2" a="1"/>
  <c r="G1686" i="2" s="1"/>
  <c r="G1687" i="2" a="1"/>
  <c r="G1687" i="2" s="1"/>
  <c r="G1688" i="2" a="1"/>
  <c r="G1688" i="2" s="1"/>
  <c r="G1689" i="2" a="1"/>
  <c r="G1689" i="2" s="1"/>
  <c r="G1690" i="2" a="1"/>
  <c r="G1690" i="2" s="1"/>
  <c r="G1691" i="2" a="1"/>
  <c r="G1691" i="2" s="1"/>
  <c r="G1692" i="2" a="1"/>
  <c r="G1692" i="2" s="1"/>
  <c r="G1693" i="2" a="1"/>
  <c r="G1693" i="2" s="1"/>
  <c r="G1694" i="2" a="1"/>
  <c r="G1694" i="2" s="1"/>
  <c r="G1695" i="2" a="1"/>
  <c r="G1695" i="2" s="1"/>
  <c r="G1696" i="2" a="1"/>
  <c r="G1696" i="2" s="1"/>
  <c r="G1697" i="2" a="1"/>
  <c r="G1697" i="2" s="1"/>
  <c r="G1698" i="2" a="1"/>
  <c r="G1698" i="2" s="1"/>
  <c r="G1699" i="2" a="1"/>
  <c r="G1699" i="2" s="1"/>
  <c r="G1700" i="2" a="1"/>
  <c r="G1700" i="2" s="1"/>
  <c r="G1701" i="2" a="1"/>
  <c r="G1701" i="2" s="1"/>
  <c r="G1702" i="2" a="1"/>
  <c r="G1702" i="2" s="1"/>
  <c r="G1703" i="2" a="1"/>
  <c r="G1703" i="2" s="1"/>
  <c r="G1704" i="2" a="1"/>
  <c r="G1704" i="2" s="1"/>
  <c r="G1705" i="2" a="1"/>
  <c r="G1705" i="2" s="1"/>
  <c r="G1706" i="2" a="1"/>
  <c r="G1706" i="2" s="1"/>
  <c r="G1707" i="2" a="1"/>
  <c r="G1707" i="2" s="1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 s="1"/>
  <c r="G1713" i="2" a="1"/>
  <c r="G1713" i="2" s="1"/>
  <c r="G1714" i="2" a="1"/>
  <c r="G1714" i="2" s="1"/>
  <c r="G1715" i="2" a="1"/>
  <c r="G1715" i="2" s="1"/>
  <c r="G1716" i="2" a="1"/>
  <c r="G1716" i="2" s="1"/>
  <c r="G1717" i="2" a="1"/>
  <c r="G1717" i="2" s="1"/>
  <c r="G1718" i="2" a="1"/>
  <c r="G1718" i="2" s="1"/>
  <c r="G1719" i="2" a="1"/>
  <c r="G1719" i="2" s="1"/>
  <c r="G1720" i="2" a="1"/>
  <c r="G1720" i="2" s="1"/>
  <c r="G1721" i="2" a="1"/>
  <c r="G1721" i="2" s="1"/>
  <c r="G1722" i="2" a="1"/>
  <c r="G1722" i="2" s="1"/>
  <c r="G1723" i="2" a="1"/>
  <c r="G1723" i="2" s="1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 s="1"/>
  <c r="G1730" i="2" a="1"/>
  <c r="G1730" i="2" s="1"/>
  <c r="G1731" i="2" a="1"/>
  <c r="G1731" i="2" s="1"/>
  <c r="G1732" i="2" a="1"/>
  <c r="G1732" i="2" s="1"/>
  <c r="G1733" i="2" a="1"/>
  <c r="G1733" i="2" s="1"/>
  <c r="G1734" i="2" a="1"/>
  <c r="G1734" i="2" s="1"/>
  <c r="G1735" i="2" a="1"/>
  <c r="G1735" i="2" s="1"/>
  <c r="G1736" i="2" a="1"/>
  <c r="G1736" i="2" s="1"/>
  <c r="G1737" i="2" a="1"/>
  <c r="G1737" i="2" s="1"/>
  <c r="G1738" i="2" a="1"/>
  <c r="G1738" i="2" s="1"/>
  <c r="G1739" i="2" a="1"/>
  <c r="G1739" i="2" s="1"/>
  <c r="G1740" i="2" a="1"/>
  <c r="G1740" i="2" s="1"/>
  <c r="G1741" i="2" a="1"/>
  <c r="G1741" i="2" s="1"/>
  <c r="G1742" i="2" a="1"/>
  <c r="G1742" i="2" s="1"/>
  <c r="G1743" i="2" a="1"/>
  <c r="G1743" i="2" s="1"/>
  <c r="G1744" i="2" a="1"/>
  <c r="G1744" i="2" s="1"/>
  <c r="G1745" i="2" a="1"/>
  <c r="G1745" i="2" s="1"/>
  <c r="G1746" i="2" a="1"/>
  <c r="G1746" i="2" s="1"/>
  <c r="G1747" i="2" a="1"/>
  <c r="G1747" i="2" s="1"/>
  <c r="G1748" i="2" a="1"/>
  <c r="G1748" i="2" s="1"/>
  <c r="G1749" i="2" a="1"/>
  <c r="G1749" i="2" s="1"/>
  <c r="G1750" i="2" a="1"/>
  <c r="G1750" i="2" s="1"/>
  <c r="G1751" i="2" a="1"/>
  <c r="G1751" i="2" s="1"/>
  <c r="G1752" i="2" a="1"/>
  <c r="G1752" i="2" s="1"/>
  <c r="G1753" i="2" a="1"/>
  <c r="G1753" i="2" s="1"/>
  <c r="G1754" i="2" a="1"/>
  <c r="G1754" i="2" s="1"/>
  <c r="G1755" i="2" a="1"/>
  <c r="G1755" i="2" s="1"/>
  <c r="G1756" i="2" a="1"/>
  <c r="G1756" i="2" s="1"/>
  <c r="G1757" i="2" a="1"/>
  <c r="G1757" i="2" s="1"/>
  <c r="G1758" i="2" a="1"/>
  <c r="G1758" i="2" s="1"/>
  <c r="G1759" i="2" a="1"/>
  <c r="G1759" i="2" s="1"/>
  <c r="G1760" i="2" a="1"/>
  <c r="G1760" i="2" s="1"/>
  <c r="G1761" i="2" a="1"/>
  <c r="G1761" i="2" s="1"/>
  <c r="G1762" i="2" a="1"/>
  <c r="G1762" i="2" s="1"/>
  <c r="G1763" i="2" a="1"/>
  <c r="G1763" i="2" s="1"/>
  <c r="G1764" i="2" a="1"/>
  <c r="G1764" i="2" s="1"/>
  <c r="G1765" i="2" a="1"/>
  <c r="G1765" i="2" s="1"/>
  <c r="G1766" i="2" a="1"/>
  <c r="G1766" i="2" s="1"/>
  <c r="G1767" i="2" a="1"/>
  <c r="G1767" i="2" s="1"/>
  <c r="G1768" i="2" a="1"/>
  <c r="G1768" i="2" s="1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 s="1"/>
  <c r="G1777" i="2" a="1"/>
  <c r="G1777" i="2" s="1"/>
  <c r="G1778" i="2" a="1"/>
  <c r="G1778" i="2" s="1"/>
  <c r="G1779" i="2" a="1"/>
  <c r="G1779" i="2" s="1"/>
  <c r="G1780" i="2" a="1"/>
  <c r="G1780" i="2" s="1"/>
  <c r="G1781" i="2" a="1"/>
  <c r="G1781" i="2" s="1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 s="1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 s="1"/>
  <c r="G1794" i="2" a="1"/>
  <c r="G1794" i="2" s="1"/>
  <c r="G1795" i="2" a="1"/>
  <c r="G1795" i="2" s="1"/>
  <c r="G1796" i="2" a="1"/>
  <c r="G1796" i="2" s="1"/>
  <c r="G1797" i="2" a="1"/>
  <c r="G1797" i="2" s="1"/>
  <c r="G1798" i="2" a="1"/>
  <c r="G1798" i="2" s="1"/>
  <c r="G1799" i="2" a="1"/>
  <c r="G1799" i="2" s="1"/>
  <c r="G1800" i="2" a="1"/>
  <c r="G1800" i="2" s="1"/>
  <c r="G1801" i="2" a="1"/>
  <c r="G1801" i="2" s="1"/>
  <c r="G2" i="2" a="1"/>
  <c r="G2" i="2" s="1"/>
  <c r="B2" i="3" a="1"/>
  <c r="B2" i="3" s="1"/>
  <c r="A2" i="3" a="1"/>
  <c r="A2" i="3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3" i="2"/>
  <c r="C3" i="2"/>
  <c r="F3" i="2" s="1"/>
  <c r="C12" i="1"/>
  <c r="C13" i="1"/>
  <c r="C14" i="1"/>
  <c r="C15" i="1"/>
  <c r="C16" i="1"/>
  <c r="C17" i="1"/>
  <c r="C18" i="1"/>
  <c r="C19" i="1"/>
  <c r="C20" i="1"/>
  <c r="C11" i="1"/>
  <c r="C3" i="1"/>
  <c r="C4" i="1"/>
  <c r="C5" i="1"/>
  <c r="C6" i="1"/>
  <c r="C7" i="1"/>
  <c r="C8" i="1"/>
  <c r="C9" i="1"/>
  <c r="C10" i="1"/>
  <c r="C2" i="1"/>
  <c r="A2" i="2" a="1"/>
  <c r="A2" i="2" s="1"/>
  <c r="B2" i="2" a="1"/>
  <c r="B2" i="2" s="1"/>
  <c r="F3" i="3" l="1"/>
  <c r="G3" i="3" a="1"/>
  <c r="G3" i="3" s="1"/>
  <c r="L3" i="3"/>
  <c r="M3" i="3"/>
  <c r="C4" i="3"/>
  <c r="J2" i="3" a="1"/>
  <c r="J2" i="3" s="1"/>
  <c r="H3" i="3" a="1"/>
  <c r="H3" i="3" s="1"/>
  <c r="I3" i="3" a="1"/>
  <c r="I3" i="3" s="1"/>
  <c r="J3" i="3" a="1"/>
  <c r="J3" i="3" s="1"/>
  <c r="K3" i="3" a="1"/>
  <c r="K3" i="3" s="1"/>
  <c r="H2" i="3" a="1"/>
  <c r="H2" i="3" s="1"/>
  <c r="I2" i="3" a="1"/>
  <c r="I2" i="3" s="1"/>
  <c r="K2" i="3" a="1"/>
  <c r="K2" i="3" s="1"/>
  <c r="C4" i="2"/>
  <c r="H2" i="2" a="1"/>
  <c r="H2" i="2" s="1"/>
  <c r="I2" i="2" a="1"/>
  <c r="I2" i="2" s="1"/>
  <c r="J2" i="2" a="1"/>
  <c r="J2" i="2" s="1"/>
  <c r="K2" i="2" a="1"/>
  <c r="K2" i="2" s="1"/>
  <c r="A3" i="2" a="1"/>
  <c r="A3" i="2" s="1"/>
  <c r="B3" i="2" a="1"/>
  <c r="B3" i="2" s="1"/>
  <c r="D2" i="2" a="1"/>
  <c r="C5" i="3" l="1"/>
  <c r="L4" i="3"/>
  <c r="M4" i="3"/>
  <c r="F4" i="3"/>
  <c r="G4" i="3" s="1" a="1"/>
  <c r="G4" i="3" s="1"/>
  <c r="D2" i="2"/>
  <c r="B3" i="3" a="1"/>
  <c r="B3" i="3" s="1"/>
  <c r="A3" i="3" a="1"/>
  <c r="A3" i="3" s="1"/>
  <c r="C5" i="2"/>
  <c r="C6" i="2" s="1"/>
  <c r="F4" i="2"/>
  <c r="H3" i="2" a="1"/>
  <c r="H3" i="2" s="1"/>
  <c r="I3" i="2" a="1"/>
  <c r="I3" i="2" s="1"/>
  <c r="J3" i="2" a="1"/>
  <c r="J3" i="2" s="1"/>
  <c r="K3" i="2" a="1"/>
  <c r="K3" i="2" s="1"/>
  <c r="D3" i="2" a="1"/>
  <c r="H4" i="3" l="1" a="1"/>
  <c r="H4" i="3" s="1"/>
  <c r="I4" i="3" a="1"/>
  <c r="I4" i="3" s="1"/>
  <c r="J4" i="3" a="1"/>
  <c r="J4" i="3" s="1"/>
  <c r="K4" i="3" a="1"/>
  <c r="K4" i="3" s="1"/>
  <c r="C6" i="3"/>
  <c r="G5" i="3" a="1"/>
  <c r="G5" i="3" s="1"/>
  <c r="J5" i="3" s="1" a="1"/>
  <c r="J5" i="3" s="1"/>
  <c r="L5" i="3"/>
  <c r="M5" i="3"/>
  <c r="F5" i="3"/>
  <c r="A4" i="3" a="1"/>
  <c r="A4" i="3" s="1"/>
  <c r="B4" i="3" a="1"/>
  <c r="B4" i="3" s="1"/>
  <c r="D3" i="2"/>
  <c r="F5" i="2"/>
  <c r="A4" i="2" a="1"/>
  <c r="A4" i="2" s="1"/>
  <c r="B4" i="2" a="1"/>
  <c r="B4" i="2" s="1"/>
  <c r="C7" i="2"/>
  <c r="F6" i="3" l="1"/>
  <c r="K5" i="3" a="1"/>
  <c r="K5" i="3" s="1"/>
  <c r="I5" i="3" a="1"/>
  <c r="I5" i="3" s="1"/>
  <c r="H5" i="3" a="1"/>
  <c r="H5" i="3" s="1"/>
  <c r="C7" i="3"/>
  <c r="G6" i="3" a="1"/>
  <c r="G6" i="3" s="1"/>
  <c r="L6" i="3"/>
  <c r="M6" i="3"/>
  <c r="A5" i="3" a="1"/>
  <c r="A5" i="3" s="1"/>
  <c r="B5" i="3" a="1"/>
  <c r="B5" i="3" s="1"/>
  <c r="J4" i="2" a="1"/>
  <c r="J4" i="2" s="1"/>
  <c r="K4" i="2" a="1"/>
  <c r="K4" i="2" s="1"/>
  <c r="H4" i="2" a="1"/>
  <c r="H4" i="2" s="1"/>
  <c r="I4" i="2" a="1"/>
  <c r="I4" i="2" s="1"/>
  <c r="A5" i="2" a="1"/>
  <c r="A5" i="2" s="1"/>
  <c r="B5" i="2" a="1"/>
  <c r="B5" i="2" s="1"/>
  <c r="F6" i="2"/>
  <c r="C8" i="2"/>
  <c r="F7" i="2"/>
  <c r="D4" i="2" a="1"/>
  <c r="C8" i="3" l="1"/>
  <c r="G7" i="3" a="1"/>
  <c r="G7" i="3" s="1"/>
  <c r="L7" i="3"/>
  <c r="M7" i="3"/>
  <c r="J7" i="3" a="1"/>
  <c r="J7" i="3" s="1"/>
  <c r="H6" i="3" a="1"/>
  <c r="H6" i="3" s="1"/>
  <c r="I6" i="3" a="1"/>
  <c r="I6" i="3" s="1"/>
  <c r="K6" i="3" a="1"/>
  <c r="K6" i="3" s="1"/>
  <c r="J6" i="3" a="1"/>
  <c r="J6" i="3" s="1"/>
  <c r="F7" i="3"/>
  <c r="B6" i="3" a="1"/>
  <c r="B6" i="3" s="1"/>
  <c r="A6" i="3" a="1"/>
  <c r="A6" i="3" s="1"/>
  <c r="D4" i="2"/>
  <c r="H5" i="2" a="1"/>
  <c r="H5" i="2" s="1"/>
  <c r="J5" i="2" a="1"/>
  <c r="J5" i="2" s="1"/>
  <c r="K5" i="2" a="1"/>
  <c r="K5" i="2" s="1"/>
  <c r="I5" i="2" a="1"/>
  <c r="I5" i="2" s="1"/>
  <c r="A7" i="2" a="1"/>
  <c r="A7" i="2" s="1"/>
  <c r="B7" i="2" a="1"/>
  <c r="B7" i="2" s="1"/>
  <c r="C9" i="2"/>
  <c r="F8" i="2"/>
  <c r="A6" i="2" a="1"/>
  <c r="A6" i="2" s="1"/>
  <c r="B6" i="2" a="1"/>
  <c r="B6" i="2" s="1"/>
  <c r="D5" i="2" a="1"/>
  <c r="C9" i="3" l="1"/>
  <c r="L8" i="3"/>
  <c r="M8" i="3"/>
  <c r="F8" i="3"/>
  <c r="F9" i="3" s="1"/>
  <c r="H7" i="3" a="1"/>
  <c r="H7" i="3" s="1"/>
  <c r="I7" i="3" a="1"/>
  <c r="I7" i="3" s="1"/>
  <c r="K7" i="3" a="1"/>
  <c r="K7" i="3" s="1"/>
  <c r="A7" i="3" a="1"/>
  <c r="A7" i="3" s="1"/>
  <c r="B7" i="3" a="1"/>
  <c r="B7" i="3" s="1"/>
  <c r="D5" i="2"/>
  <c r="H7" i="2" a="1"/>
  <c r="H7" i="2" s="1"/>
  <c r="I7" i="2" a="1"/>
  <c r="I7" i="2" s="1"/>
  <c r="K7" i="2" a="1"/>
  <c r="K7" i="2" s="1"/>
  <c r="J7" i="2" a="1"/>
  <c r="J7" i="2" s="1"/>
  <c r="C10" i="2"/>
  <c r="F9" i="2"/>
  <c r="J6" i="2" a="1"/>
  <c r="J6" i="2" s="1"/>
  <c r="I6" i="2" a="1"/>
  <c r="I6" i="2" s="1"/>
  <c r="H6" i="2" a="1"/>
  <c r="H6" i="2" s="1"/>
  <c r="K6" i="2" a="1"/>
  <c r="K6" i="2" s="1"/>
  <c r="B8" i="2" a="1"/>
  <c r="B8" i="2" s="1"/>
  <c r="A8" i="2" a="1"/>
  <c r="A8" i="2" s="1"/>
  <c r="D6" i="2" a="1"/>
  <c r="D7" i="2" a="1"/>
  <c r="G8" i="3" l="1" a="1"/>
  <c r="G8" i="3" s="1"/>
  <c r="C10" i="3"/>
  <c r="G9" i="3" a="1"/>
  <c r="G9" i="3" s="1"/>
  <c r="L9" i="3"/>
  <c r="M9" i="3"/>
  <c r="A8" i="3" a="1"/>
  <c r="A8" i="3" s="1"/>
  <c r="B8" i="3" a="1"/>
  <c r="B8" i="3" s="1"/>
  <c r="D7" i="2"/>
  <c r="D6" i="2"/>
  <c r="A9" i="2" a="1"/>
  <c r="A9" i="2" s="1"/>
  <c r="B9" i="2" a="1"/>
  <c r="B9" i="2" s="1"/>
  <c r="J8" i="2" a="1"/>
  <c r="J8" i="2" s="1"/>
  <c r="H8" i="2" a="1"/>
  <c r="H8" i="2" s="1"/>
  <c r="I8" i="2" a="1"/>
  <c r="I8" i="2" s="1"/>
  <c r="K8" i="2" a="1"/>
  <c r="K8" i="2" s="1"/>
  <c r="C11" i="2"/>
  <c r="F10" i="2"/>
  <c r="D8" i="2" a="1"/>
  <c r="H8" i="3" l="1" a="1"/>
  <c r="H8" i="3" s="1"/>
  <c r="I8" i="3" a="1"/>
  <c r="I8" i="3" s="1"/>
  <c r="K8" i="3" a="1"/>
  <c r="K8" i="3" s="1"/>
  <c r="J8" i="3" a="1"/>
  <c r="J8" i="3" s="1"/>
  <c r="H9" i="3" a="1"/>
  <c r="H9" i="3" s="1"/>
  <c r="I9" i="3" a="1"/>
  <c r="I9" i="3" s="1"/>
  <c r="K9" i="3" a="1"/>
  <c r="K9" i="3" s="1"/>
  <c r="C11" i="3"/>
  <c r="L10" i="3"/>
  <c r="M10" i="3"/>
  <c r="F10" i="3"/>
  <c r="F11" i="3" s="1"/>
  <c r="J9" i="3" a="1"/>
  <c r="J9" i="3" s="1"/>
  <c r="A9" i="3" a="1"/>
  <c r="A9" i="3" s="1"/>
  <c r="B9" i="3" a="1"/>
  <c r="B9" i="3" s="1"/>
  <c r="D8" i="2"/>
  <c r="K9" i="2" a="1"/>
  <c r="K9" i="2" s="1"/>
  <c r="H9" i="2" a="1"/>
  <c r="H9" i="2" s="1"/>
  <c r="I9" i="2" a="1"/>
  <c r="I9" i="2" s="1"/>
  <c r="J9" i="2" a="1"/>
  <c r="J9" i="2" s="1"/>
  <c r="C12" i="2"/>
  <c r="F11" i="2"/>
  <c r="A10" i="2" a="1"/>
  <c r="A10" i="2" s="1"/>
  <c r="B10" i="2" a="1"/>
  <c r="B10" i="2" s="1"/>
  <c r="D9" i="2" a="1"/>
  <c r="C12" i="3" l="1"/>
  <c r="G11" i="3" a="1"/>
  <c r="G11" i="3" s="1"/>
  <c r="L11" i="3"/>
  <c r="M11" i="3"/>
  <c r="J11" i="3" a="1"/>
  <c r="J11" i="3" s="1"/>
  <c r="F12" i="3"/>
  <c r="G10" i="3" a="1"/>
  <c r="G10" i="3" s="1"/>
  <c r="A10" i="3" a="1"/>
  <c r="A10" i="3" s="1"/>
  <c r="B10" i="3" a="1"/>
  <c r="B10" i="3" s="1"/>
  <c r="D9" i="2"/>
  <c r="B11" i="2" a="1"/>
  <c r="B11" i="2" s="1"/>
  <c r="A11" i="2" a="1"/>
  <c r="A11" i="2" s="1"/>
  <c r="J10" i="2" a="1"/>
  <c r="J10" i="2" s="1"/>
  <c r="H10" i="2" a="1"/>
  <c r="H10" i="2" s="1"/>
  <c r="I10" i="2" a="1"/>
  <c r="I10" i="2" s="1"/>
  <c r="K10" i="2" a="1"/>
  <c r="K10" i="2" s="1"/>
  <c r="C13" i="2"/>
  <c r="F12" i="2"/>
  <c r="D10" i="2" a="1"/>
  <c r="K11" i="3" l="1" a="1"/>
  <c r="K11" i="3" s="1"/>
  <c r="I11" i="3" a="1"/>
  <c r="I11" i="3" s="1"/>
  <c r="H11" i="3" a="1"/>
  <c r="H11" i="3" s="1"/>
  <c r="C13" i="3"/>
  <c r="G12" i="3" a="1"/>
  <c r="G12" i="3" s="1"/>
  <c r="L12" i="3"/>
  <c r="M12" i="3"/>
  <c r="H10" i="3" a="1"/>
  <c r="H10" i="3" s="1"/>
  <c r="I10" i="3" a="1"/>
  <c r="I10" i="3" s="1"/>
  <c r="K10" i="3" a="1"/>
  <c r="K10" i="3" s="1"/>
  <c r="J10" i="3" a="1"/>
  <c r="J10" i="3" s="1"/>
  <c r="B11" i="3" a="1"/>
  <c r="B11" i="3" s="1"/>
  <c r="A11" i="3" a="1"/>
  <c r="A11" i="3" s="1"/>
  <c r="D10" i="2"/>
  <c r="A12" i="2" a="1"/>
  <c r="A12" i="2" s="1"/>
  <c r="B12" i="2" a="1"/>
  <c r="B12" i="2" s="1"/>
  <c r="C14" i="2"/>
  <c r="F13" i="2"/>
  <c r="H11" i="2" a="1"/>
  <c r="H11" i="2" s="1"/>
  <c r="K11" i="2" a="1"/>
  <c r="K11" i="2" s="1"/>
  <c r="J11" i="2" a="1"/>
  <c r="J11" i="2" s="1"/>
  <c r="I11" i="2" a="1"/>
  <c r="I11" i="2" s="1"/>
  <c r="D11" i="2" a="1"/>
  <c r="C14" i="3" l="1"/>
  <c r="G13" i="3" a="1"/>
  <c r="G13" i="3" s="1"/>
  <c r="L13" i="3"/>
  <c r="M13" i="3"/>
  <c r="J13" i="3" a="1"/>
  <c r="J13" i="3" s="1"/>
  <c r="H12" i="3" a="1"/>
  <c r="H12" i="3" s="1"/>
  <c r="I12" i="3" a="1"/>
  <c r="I12" i="3" s="1"/>
  <c r="K12" i="3" a="1"/>
  <c r="K12" i="3" s="1"/>
  <c r="F13" i="3"/>
  <c r="J12" i="3" a="1"/>
  <c r="J12" i="3" s="1"/>
  <c r="A12" i="3" a="1"/>
  <c r="A12" i="3" s="1"/>
  <c r="B12" i="3" a="1"/>
  <c r="B12" i="3" s="1"/>
  <c r="D11" i="2"/>
  <c r="C15" i="2"/>
  <c r="F14" i="2"/>
  <c r="K12" i="2" a="1"/>
  <c r="K12" i="2" s="1"/>
  <c r="I12" i="2" a="1"/>
  <c r="I12" i="2" s="1"/>
  <c r="H12" i="2" a="1"/>
  <c r="H12" i="2" s="1"/>
  <c r="J12" i="2" a="1"/>
  <c r="J12" i="2" s="1"/>
  <c r="A13" i="2" a="1"/>
  <c r="A13" i="2" s="1"/>
  <c r="B13" i="2" a="1"/>
  <c r="B13" i="2" s="1"/>
  <c r="D12" i="2" a="1"/>
  <c r="C15" i="3" l="1"/>
  <c r="G14" i="3" a="1"/>
  <c r="G14" i="3" s="1"/>
  <c r="L14" i="3"/>
  <c r="M14" i="3"/>
  <c r="J14" i="3" a="1"/>
  <c r="J14" i="3" s="1"/>
  <c r="H13" i="3" a="1"/>
  <c r="H13" i="3" s="1"/>
  <c r="I13" i="3" a="1"/>
  <c r="I13" i="3" s="1"/>
  <c r="K13" i="3" a="1"/>
  <c r="K13" i="3" s="1"/>
  <c r="F14" i="3"/>
  <c r="A13" i="3" a="1"/>
  <c r="A13" i="3" s="1"/>
  <c r="B13" i="3" a="1"/>
  <c r="B13" i="3" s="1"/>
  <c r="D12" i="2"/>
  <c r="K13" i="2" a="1"/>
  <c r="K13" i="2" s="1"/>
  <c r="H13" i="2" a="1"/>
  <c r="H13" i="2" s="1"/>
  <c r="I13" i="2" a="1"/>
  <c r="I13" i="2" s="1"/>
  <c r="J13" i="2" a="1"/>
  <c r="J13" i="2" s="1"/>
  <c r="A14" i="2" a="1"/>
  <c r="A14" i="2" s="1"/>
  <c r="B14" i="2" a="1"/>
  <c r="B14" i="2" s="1"/>
  <c r="C16" i="2"/>
  <c r="F15" i="2"/>
  <c r="D13" i="2" a="1"/>
  <c r="K14" i="3" l="1" a="1"/>
  <c r="K14" i="3" s="1"/>
  <c r="H14" i="3" a="1"/>
  <c r="H14" i="3" s="1"/>
  <c r="I14" i="3" a="1"/>
  <c r="I14" i="3" s="1"/>
  <c r="F15" i="3"/>
  <c r="C16" i="3"/>
  <c r="G15" i="3" a="1"/>
  <c r="G15" i="3" s="1"/>
  <c r="M15" i="3"/>
  <c r="L15" i="3"/>
  <c r="A14" i="3" a="1"/>
  <c r="A14" i="3" s="1"/>
  <c r="B14" i="3" a="1"/>
  <c r="B14" i="3" s="1"/>
  <c r="D13" i="2"/>
  <c r="C17" i="2"/>
  <c r="F16" i="2"/>
  <c r="A15" i="2" a="1"/>
  <c r="A15" i="2" s="1"/>
  <c r="B15" i="2" a="1"/>
  <c r="B15" i="2" s="1"/>
  <c r="K14" i="2" a="1"/>
  <c r="K14" i="2" s="1"/>
  <c r="H14" i="2" a="1"/>
  <c r="H14" i="2" s="1"/>
  <c r="J14" i="2" a="1"/>
  <c r="J14" i="2" s="1"/>
  <c r="I14" i="2" a="1"/>
  <c r="I14" i="2" s="1"/>
  <c r="D14" i="2" a="1"/>
  <c r="C17" i="3" l="1"/>
  <c r="G16" i="3" a="1"/>
  <c r="G16" i="3" s="1"/>
  <c r="L16" i="3"/>
  <c r="M16" i="3"/>
  <c r="F16" i="3"/>
  <c r="H15" i="3" a="1"/>
  <c r="H15" i="3" s="1"/>
  <c r="I15" i="3" a="1"/>
  <c r="I15" i="3" s="1"/>
  <c r="K15" i="3" a="1"/>
  <c r="K15" i="3" s="1"/>
  <c r="J15" i="3" a="1"/>
  <c r="J15" i="3" s="1"/>
  <c r="A15" i="3" a="1"/>
  <c r="A15" i="3" s="1"/>
  <c r="B15" i="3" a="1"/>
  <c r="B15" i="3" s="1"/>
  <c r="D14" i="2"/>
  <c r="H15" i="2" a="1"/>
  <c r="H15" i="2" s="1"/>
  <c r="I15" i="2" a="1"/>
  <c r="I15" i="2" s="1"/>
  <c r="J15" i="2" a="1"/>
  <c r="J15" i="2" s="1"/>
  <c r="K15" i="2" a="1"/>
  <c r="K15" i="2" s="1"/>
  <c r="B16" i="2" a="1"/>
  <c r="B16" i="2" s="1"/>
  <c r="A16" i="2" a="1"/>
  <c r="A16" i="2" s="1"/>
  <c r="C18" i="2"/>
  <c r="F17" i="2"/>
  <c r="D15" i="2" a="1"/>
  <c r="H16" i="3" l="1" a="1"/>
  <c r="H16" i="3" s="1"/>
  <c r="I16" i="3" a="1"/>
  <c r="I16" i="3" s="1"/>
  <c r="K16" i="3" a="1"/>
  <c r="K16" i="3" s="1"/>
  <c r="C18" i="3"/>
  <c r="L17" i="3"/>
  <c r="M17" i="3"/>
  <c r="F17" i="3"/>
  <c r="F18" i="3" s="1"/>
  <c r="J16" i="3" a="1"/>
  <c r="J16" i="3" s="1"/>
  <c r="A16" i="3" a="1"/>
  <c r="A16" i="3" s="1"/>
  <c r="B16" i="3" a="1"/>
  <c r="B16" i="3" s="1"/>
  <c r="D15" i="2"/>
  <c r="A17" i="2" a="1"/>
  <c r="A17" i="2" s="1"/>
  <c r="B17" i="2" a="1"/>
  <c r="B17" i="2" s="1"/>
  <c r="C19" i="2"/>
  <c r="F18" i="2"/>
  <c r="K16" i="2" a="1"/>
  <c r="K16" i="2" s="1"/>
  <c r="I16" i="2" a="1"/>
  <c r="I16" i="2" s="1"/>
  <c r="H16" i="2" a="1"/>
  <c r="H16" i="2" s="1"/>
  <c r="J16" i="2" a="1"/>
  <c r="J16" i="2" s="1"/>
  <c r="D16" i="2" a="1"/>
  <c r="G17" i="3" l="1" a="1"/>
  <c r="G17" i="3" s="1"/>
  <c r="C19" i="3"/>
  <c r="G18" i="3" a="1"/>
  <c r="G18" i="3" s="1"/>
  <c r="L18" i="3"/>
  <c r="M18" i="3"/>
  <c r="F19" i="3"/>
  <c r="A17" i="3" a="1"/>
  <c r="A17" i="3" s="1"/>
  <c r="B17" i="3" a="1"/>
  <c r="B17" i="3" s="1"/>
  <c r="D16" i="2"/>
  <c r="K17" i="2" a="1"/>
  <c r="K17" i="2" s="1"/>
  <c r="H17" i="2" a="1"/>
  <c r="H17" i="2" s="1"/>
  <c r="I17" i="2" a="1"/>
  <c r="I17" i="2" s="1"/>
  <c r="J17" i="2" a="1"/>
  <c r="J17" i="2" s="1"/>
  <c r="B18" i="2" a="1"/>
  <c r="B18" i="2" s="1"/>
  <c r="A18" i="2" a="1"/>
  <c r="A18" i="2" s="1"/>
  <c r="C20" i="2"/>
  <c r="F19" i="2"/>
  <c r="D17" i="2" a="1"/>
  <c r="H18" i="3" l="1" a="1"/>
  <c r="H18" i="3" s="1"/>
  <c r="I18" i="3" a="1"/>
  <c r="I18" i="3" s="1"/>
  <c r="K18" i="3" a="1"/>
  <c r="K18" i="3" s="1"/>
  <c r="J18" i="3" a="1"/>
  <c r="J18" i="3" s="1"/>
  <c r="C20" i="3"/>
  <c r="G19" i="3" a="1"/>
  <c r="G19" i="3" s="1"/>
  <c r="L19" i="3"/>
  <c r="M19" i="3"/>
  <c r="J19" i="3" a="1"/>
  <c r="J19" i="3" s="1"/>
  <c r="K17" i="3" a="1"/>
  <c r="K17" i="3" s="1"/>
  <c r="I17" i="3" a="1"/>
  <c r="I17" i="3" s="1"/>
  <c r="H17" i="3" a="1"/>
  <c r="H17" i="3" s="1"/>
  <c r="J17" i="3" a="1"/>
  <c r="J17" i="3" s="1"/>
  <c r="B18" i="3" a="1"/>
  <c r="B18" i="3" s="1"/>
  <c r="A18" i="3" a="1"/>
  <c r="A18" i="3" s="1"/>
  <c r="D17" i="2"/>
  <c r="A19" i="2" a="1"/>
  <c r="A19" i="2" s="1"/>
  <c r="B19" i="2" a="1"/>
  <c r="B19" i="2" s="1"/>
  <c r="C21" i="2"/>
  <c r="F20" i="2"/>
  <c r="H18" i="2" a="1"/>
  <c r="H18" i="2" s="1"/>
  <c r="J18" i="2" a="1"/>
  <c r="J18" i="2" s="1"/>
  <c r="I18" i="2" a="1"/>
  <c r="I18" i="2" s="1"/>
  <c r="K18" i="2" a="1"/>
  <c r="K18" i="2" s="1"/>
  <c r="D18" i="2" a="1"/>
  <c r="C21" i="3" l="1"/>
  <c r="L20" i="3"/>
  <c r="M20" i="3"/>
  <c r="F20" i="3"/>
  <c r="F21" i="3" s="1"/>
  <c r="H19" i="3" a="1"/>
  <c r="H19" i="3" s="1"/>
  <c r="I19" i="3" a="1"/>
  <c r="I19" i="3" s="1"/>
  <c r="K19" i="3" a="1"/>
  <c r="K19" i="3" s="1"/>
  <c r="A19" i="3" a="1"/>
  <c r="A19" i="3" s="1"/>
  <c r="B19" i="3" a="1"/>
  <c r="B19" i="3" s="1"/>
  <c r="D18" i="2"/>
  <c r="C22" i="2"/>
  <c r="F21" i="2"/>
  <c r="A20" i="2" a="1"/>
  <c r="A20" i="2" s="1"/>
  <c r="B20" i="2" a="1"/>
  <c r="B20" i="2" s="1"/>
  <c r="H19" i="2" a="1"/>
  <c r="H19" i="2" s="1"/>
  <c r="J19" i="2" a="1"/>
  <c r="J19" i="2" s="1"/>
  <c r="K19" i="2" a="1"/>
  <c r="K19" i="2" s="1"/>
  <c r="I19" i="2" a="1"/>
  <c r="I19" i="2" s="1"/>
  <c r="D19" i="2" a="1"/>
  <c r="G20" i="3" l="1" a="1"/>
  <c r="G20" i="3" s="1"/>
  <c r="C22" i="3"/>
  <c r="G21" i="3" a="1"/>
  <c r="G21" i="3" s="1"/>
  <c r="M21" i="3"/>
  <c r="L21" i="3"/>
  <c r="J21" i="3" a="1"/>
  <c r="J21" i="3" s="1"/>
  <c r="A20" i="3" a="1"/>
  <c r="A20" i="3" s="1"/>
  <c r="B20" i="3" a="1"/>
  <c r="B20" i="3" s="1"/>
  <c r="D19" i="2"/>
  <c r="K20" i="2" a="1"/>
  <c r="K20" i="2" s="1"/>
  <c r="H20" i="2" a="1"/>
  <c r="H20" i="2" s="1"/>
  <c r="I20" i="2" a="1"/>
  <c r="I20" i="2" s="1"/>
  <c r="J20" i="2" a="1"/>
  <c r="J20" i="2" s="1"/>
  <c r="B21" i="2" a="1"/>
  <c r="B21" i="2" s="1"/>
  <c r="A21" i="2" a="1"/>
  <c r="A21" i="2" s="1"/>
  <c r="C23" i="2"/>
  <c r="F22" i="2"/>
  <c r="D20" i="2" a="1"/>
  <c r="C23" i="3" l="1"/>
  <c r="G22" i="3" a="1"/>
  <c r="G22" i="3" s="1"/>
  <c r="L22" i="3"/>
  <c r="M22" i="3"/>
  <c r="J22" i="3" a="1"/>
  <c r="J22" i="3" s="1"/>
  <c r="H21" i="3" a="1"/>
  <c r="H21" i="3" s="1"/>
  <c r="I21" i="3" a="1"/>
  <c r="I21" i="3" s="1"/>
  <c r="K21" i="3" a="1"/>
  <c r="K21" i="3" s="1"/>
  <c r="H20" i="3" a="1"/>
  <c r="H20" i="3" s="1"/>
  <c r="I20" i="3" a="1"/>
  <c r="I20" i="3" s="1"/>
  <c r="K20" i="3" a="1"/>
  <c r="K20" i="3" s="1"/>
  <c r="J20" i="3" a="1"/>
  <c r="J20" i="3" s="1"/>
  <c r="F22" i="3"/>
  <c r="F23" i="3" s="1"/>
  <c r="A21" i="3" a="1"/>
  <c r="A21" i="3" s="1"/>
  <c r="B21" i="3" a="1"/>
  <c r="B21" i="3" s="1"/>
  <c r="D20" i="2"/>
  <c r="I21" i="2" a="1"/>
  <c r="I21" i="2" s="1"/>
  <c r="H21" i="2" a="1"/>
  <c r="H21" i="2" s="1"/>
  <c r="J21" i="2" a="1"/>
  <c r="J21" i="2" s="1"/>
  <c r="K21" i="2" a="1"/>
  <c r="K21" i="2" s="1"/>
  <c r="A22" i="2" a="1"/>
  <c r="A22" i="2" s="1"/>
  <c r="B22" i="2" a="1"/>
  <c r="B22" i="2" s="1"/>
  <c r="C24" i="2"/>
  <c r="F23" i="2"/>
  <c r="D21" i="2" a="1"/>
  <c r="H22" i="3" l="1" a="1"/>
  <c r="H22" i="3" s="1"/>
  <c r="I22" i="3" a="1"/>
  <c r="I22" i="3" s="1"/>
  <c r="K22" i="3" a="1"/>
  <c r="K22" i="3" s="1"/>
  <c r="C24" i="3"/>
  <c r="F24" i="3" s="1"/>
  <c r="G23" i="3" a="1"/>
  <c r="G23" i="3" s="1"/>
  <c r="L23" i="3"/>
  <c r="M23" i="3"/>
  <c r="J23" i="3" a="1"/>
  <c r="J23" i="3" s="1"/>
  <c r="A22" i="3" a="1"/>
  <c r="A22" i="3" s="1"/>
  <c r="B22" i="3" a="1"/>
  <c r="B22" i="3" s="1"/>
  <c r="D21" i="2"/>
  <c r="C25" i="2"/>
  <c r="F24" i="2"/>
  <c r="A23" i="2" a="1"/>
  <c r="A23" i="2" s="1"/>
  <c r="B23" i="2" a="1"/>
  <c r="B23" i="2" s="1"/>
  <c r="K22" i="2" a="1"/>
  <c r="K22" i="2" s="1"/>
  <c r="I22" i="2" a="1"/>
  <c r="I22" i="2" s="1"/>
  <c r="H22" i="2" a="1"/>
  <c r="H22" i="2" s="1"/>
  <c r="J22" i="2" a="1"/>
  <c r="J22" i="2" s="1"/>
  <c r="D22" i="2" a="1"/>
  <c r="K23" i="3" l="1" a="1"/>
  <c r="K23" i="3" s="1"/>
  <c r="I23" i="3" a="1"/>
  <c r="I23" i="3" s="1"/>
  <c r="H23" i="3" a="1"/>
  <c r="H23" i="3" s="1"/>
  <c r="C25" i="3"/>
  <c r="G24" i="3" a="1"/>
  <c r="G24" i="3" s="1"/>
  <c r="L24" i="3"/>
  <c r="M24" i="3"/>
  <c r="B23" i="3" a="1"/>
  <c r="B23" i="3" s="1"/>
  <c r="A23" i="3" a="1"/>
  <c r="A23" i="3" s="1"/>
  <c r="D22" i="2"/>
  <c r="C26" i="2"/>
  <c r="F25" i="2"/>
  <c r="H23" i="2" a="1"/>
  <c r="H23" i="2" s="1"/>
  <c r="I23" i="2" a="1"/>
  <c r="I23" i="2" s="1"/>
  <c r="K23" i="2" a="1"/>
  <c r="K23" i="2" s="1"/>
  <c r="J23" i="2" a="1"/>
  <c r="J23" i="2" s="1"/>
  <c r="B24" i="2" a="1"/>
  <c r="B24" i="2" s="1"/>
  <c r="A24" i="2" a="1"/>
  <c r="A24" i="2" s="1"/>
  <c r="D23" i="2" a="1"/>
  <c r="H24" i="3" l="1" a="1"/>
  <c r="H24" i="3" s="1"/>
  <c r="I24" i="3" a="1"/>
  <c r="I24" i="3" s="1"/>
  <c r="K24" i="3" a="1"/>
  <c r="K24" i="3" s="1"/>
  <c r="J24" i="3" a="1"/>
  <c r="J24" i="3" s="1"/>
  <c r="C26" i="3"/>
  <c r="L25" i="3"/>
  <c r="M25" i="3"/>
  <c r="F25" i="3"/>
  <c r="F26" i="3" s="1"/>
  <c r="A24" i="3" a="1"/>
  <c r="A24" i="3" s="1"/>
  <c r="B24" i="3" a="1"/>
  <c r="B24" i="3" s="1"/>
  <c r="D23" i="2"/>
  <c r="I24" i="2" a="1"/>
  <c r="I24" i="2" s="1"/>
  <c r="J24" i="2" a="1"/>
  <c r="J24" i="2" s="1"/>
  <c r="H24" i="2" a="1"/>
  <c r="H24" i="2" s="1"/>
  <c r="K24" i="2" a="1"/>
  <c r="K24" i="2" s="1"/>
  <c r="A25" i="2" a="1"/>
  <c r="A25" i="2" s="1"/>
  <c r="B25" i="2" a="1"/>
  <c r="B25" i="2" s="1"/>
  <c r="C27" i="2"/>
  <c r="F26" i="2"/>
  <c r="D24" i="2" a="1"/>
  <c r="C27" i="3" l="1"/>
  <c r="G26" i="3" a="1"/>
  <c r="G26" i="3" s="1"/>
  <c r="L26" i="3"/>
  <c r="M26" i="3"/>
  <c r="J26" i="3" a="1"/>
  <c r="J26" i="3" s="1"/>
  <c r="G25" i="3" a="1"/>
  <c r="G25" i="3" s="1"/>
  <c r="A25" i="3" a="1"/>
  <c r="A25" i="3" s="1"/>
  <c r="B25" i="3" a="1"/>
  <c r="B25" i="3" s="1"/>
  <c r="D24" i="2"/>
  <c r="A26" i="2" a="1"/>
  <c r="A26" i="2" s="1"/>
  <c r="B26" i="2" a="1"/>
  <c r="B26" i="2" s="1"/>
  <c r="C28" i="2"/>
  <c r="F27" i="2"/>
  <c r="H25" i="2" a="1"/>
  <c r="H25" i="2" s="1"/>
  <c r="I25" i="2" a="1"/>
  <c r="I25" i="2" s="1"/>
  <c r="J25" i="2" a="1"/>
  <c r="J25" i="2" s="1"/>
  <c r="K25" i="2" a="1"/>
  <c r="K25" i="2" s="1"/>
  <c r="D25" i="2" a="1"/>
  <c r="H25" i="3" l="1" a="1"/>
  <c r="H25" i="3" s="1"/>
  <c r="I25" i="3" a="1"/>
  <c r="I25" i="3" s="1"/>
  <c r="K25" i="3" a="1"/>
  <c r="K25" i="3" s="1"/>
  <c r="J25" i="3" a="1"/>
  <c r="J25" i="3" s="1"/>
  <c r="C28" i="3"/>
  <c r="G27" i="3" a="1"/>
  <c r="G27" i="3" s="1"/>
  <c r="L27" i="3"/>
  <c r="M27" i="3"/>
  <c r="J27" i="3" a="1"/>
  <c r="J27" i="3" s="1"/>
  <c r="K26" i="3" a="1"/>
  <c r="K26" i="3" s="1"/>
  <c r="H26" i="3" a="1"/>
  <c r="H26" i="3" s="1"/>
  <c r="I26" i="3" a="1"/>
  <c r="I26" i="3" s="1"/>
  <c r="F27" i="3"/>
  <c r="A26" i="3" a="1"/>
  <c r="A26" i="3" s="1"/>
  <c r="B26" i="3" a="1"/>
  <c r="B26" i="3" s="1"/>
  <c r="D25" i="2"/>
  <c r="A27" i="2" a="1"/>
  <c r="A27" i="2" s="1"/>
  <c r="B27" i="2" a="1"/>
  <c r="B27" i="2" s="1"/>
  <c r="C29" i="2"/>
  <c r="F28" i="2"/>
  <c r="K26" i="2" a="1"/>
  <c r="K26" i="2" s="1"/>
  <c r="H26" i="2" a="1"/>
  <c r="H26" i="2" s="1"/>
  <c r="I26" i="2" a="1"/>
  <c r="I26" i="2" s="1"/>
  <c r="J26" i="2" a="1"/>
  <c r="J26" i="2" s="1"/>
  <c r="D26" i="2" a="1"/>
  <c r="C29" i="3" l="1"/>
  <c r="L28" i="3"/>
  <c r="M28" i="3"/>
  <c r="I27" i="3" a="1"/>
  <c r="I27" i="3" s="1"/>
  <c r="K27" i="3" a="1"/>
  <c r="K27" i="3" s="1"/>
  <c r="H27" i="3" a="1"/>
  <c r="H27" i="3" s="1"/>
  <c r="F28" i="3"/>
  <c r="F29" i="3" s="1"/>
  <c r="A27" i="3" a="1"/>
  <c r="A27" i="3" s="1"/>
  <c r="B27" i="3" a="1"/>
  <c r="B27" i="3" s="1"/>
  <c r="D26" i="2"/>
  <c r="C30" i="2"/>
  <c r="F29" i="2"/>
  <c r="J27" i="2" a="1"/>
  <c r="J27" i="2" s="1"/>
  <c r="K27" i="2" a="1"/>
  <c r="K27" i="2" s="1"/>
  <c r="H27" i="2" a="1"/>
  <c r="H27" i="2" s="1"/>
  <c r="I27" i="2" a="1"/>
  <c r="I27" i="2" s="1"/>
  <c r="A28" i="2" a="1"/>
  <c r="A28" i="2" s="1"/>
  <c r="B28" i="2" a="1"/>
  <c r="B28" i="2" s="1"/>
  <c r="D27" i="2" a="1"/>
  <c r="G28" i="3" l="1" a="1"/>
  <c r="G28" i="3" s="1"/>
  <c r="C30" i="3"/>
  <c r="G29" i="3" a="1"/>
  <c r="G29" i="3" s="1"/>
  <c r="L29" i="3"/>
  <c r="M29" i="3"/>
  <c r="J29" i="3" a="1"/>
  <c r="J29" i="3" s="1"/>
  <c r="A28" i="3" a="1"/>
  <c r="A28" i="3" s="1"/>
  <c r="B28" i="3" a="1"/>
  <c r="B28" i="3" s="1"/>
  <c r="D27" i="2"/>
  <c r="H28" i="2" a="1"/>
  <c r="H28" i="2" s="1"/>
  <c r="J28" i="2" a="1"/>
  <c r="J28" i="2" s="1"/>
  <c r="I28" i="2" a="1"/>
  <c r="I28" i="2" s="1"/>
  <c r="K28" i="2" a="1"/>
  <c r="K28" i="2" s="1"/>
  <c r="A29" i="2" a="1"/>
  <c r="A29" i="2" s="1"/>
  <c r="B29" i="2" a="1"/>
  <c r="B29" i="2" s="1"/>
  <c r="C31" i="2"/>
  <c r="F30" i="2"/>
  <c r="D28" i="2" a="1"/>
  <c r="H28" i="3" l="1" a="1"/>
  <c r="H28" i="3" s="1"/>
  <c r="I28" i="3" a="1"/>
  <c r="I28" i="3" s="1"/>
  <c r="K28" i="3" a="1"/>
  <c r="K28" i="3" s="1"/>
  <c r="J28" i="3" a="1"/>
  <c r="J28" i="3" s="1"/>
  <c r="I29" i="3" a="1"/>
  <c r="I29" i="3" s="1"/>
  <c r="K29" i="3" a="1"/>
  <c r="K29" i="3" s="1"/>
  <c r="H29" i="3" a="1"/>
  <c r="H29" i="3" s="1"/>
  <c r="C31" i="3"/>
  <c r="G30" i="3" a="1"/>
  <c r="G30" i="3" s="1"/>
  <c r="L30" i="3"/>
  <c r="M30" i="3"/>
  <c r="F30" i="3"/>
  <c r="A29" i="3" a="1"/>
  <c r="A29" i="3" s="1"/>
  <c r="B29" i="3" a="1"/>
  <c r="B29" i="3" s="1"/>
  <c r="D28" i="2"/>
  <c r="B30" i="2" a="1"/>
  <c r="B30" i="2" s="1"/>
  <c r="A30" i="2" a="1"/>
  <c r="A30" i="2" s="1"/>
  <c r="C32" i="2"/>
  <c r="F31" i="2"/>
  <c r="I29" i="2" a="1"/>
  <c r="I29" i="2" s="1"/>
  <c r="J29" i="2" a="1"/>
  <c r="J29" i="2" s="1"/>
  <c r="K29" i="2" a="1"/>
  <c r="K29" i="2" s="1"/>
  <c r="H29" i="2" a="1"/>
  <c r="H29" i="2" s="1"/>
  <c r="D29" i="2" a="1"/>
  <c r="H30" i="3" l="1" a="1"/>
  <c r="H30" i="3" s="1"/>
  <c r="I30" i="3" a="1"/>
  <c r="I30" i="3" s="1"/>
  <c r="K30" i="3" a="1"/>
  <c r="K30" i="3" s="1"/>
  <c r="J30" i="3" a="1"/>
  <c r="J30" i="3" s="1"/>
  <c r="C32" i="3"/>
  <c r="L31" i="3"/>
  <c r="M31" i="3"/>
  <c r="F31" i="3"/>
  <c r="F32" i="3" s="1"/>
  <c r="B30" i="3" a="1"/>
  <c r="B30" i="3" s="1"/>
  <c r="A30" i="3" a="1"/>
  <c r="A30" i="3" s="1"/>
  <c r="D29" i="2"/>
  <c r="A31" i="2" a="1"/>
  <c r="A31" i="2" s="1"/>
  <c r="B31" i="2" a="1"/>
  <c r="B31" i="2" s="1"/>
  <c r="C33" i="2"/>
  <c r="F32" i="2"/>
  <c r="I30" i="2" a="1"/>
  <c r="I30" i="2" s="1"/>
  <c r="H30" i="2" a="1"/>
  <c r="H30" i="2" s="1"/>
  <c r="K30" i="2" a="1"/>
  <c r="K30" i="2" s="1"/>
  <c r="J30" i="2" a="1"/>
  <c r="J30" i="2" s="1"/>
  <c r="D30" i="2" a="1"/>
  <c r="G31" i="3" l="1" a="1"/>
  <c r="G31" i="3" s="1"/>
  <c r="C33" i="3"/>
  <c r="F33" i="3" s="1"/>
  <c r="G32" i="3" a="1"/>
  <c r="G32" i="3" s="1"/>
  <c r="L32" i="3"/>
  <c r="M32" i="3"/>
  <c r="J32" i="3" a="1"/>
  <c r="J32" i="3" s="1"/>
  <c r="A31" i="3" a="1"/>
  <c r="A31" i="3" s="1"/>
  <c r="B31" i="3" a="1"/>
  <c r="B31" i="3" s="1"/>
  <c r="D30" i="2"/>
  <c r="C34" i="2"/>
  <c r="F33" i="2"/>
  <c r="H31" i="2" a="1"/>
  <c r="H31" i="2" s="1"/>
  <c r="I31" i="2" a="1"/>
  <c r="I31" i="2" s="1"/>
  <c r="J31" i="2" a="1"/>
  <c r="J31" i="2" s="1"/>
  <c r="K31" i="2" a="1"/>
  <c r="K31" i="2" s="1"/>
  <c r="A32" i="2" a="1"/>
  <c r="A32" i="2" s="1"/>
  <c r="B32" i="2" a="1"/>
  <c r="B32" i="2" s="1"/>
  <c r="D31" i="2" a="1"/>
  <c r="H32" i="3" l="1" a="1"/>
  <c r="H32" i="3" s="1"/>
  <c r="I32" i="3" a="1"/>
  <c r="I32" i="3" s="1"/>
  <c r="K32" i="3" a="1"/>
  <c r="K32" i="3" s="1"/>
  <c r="C34" i="3"/>
  <c r="G33" i="3" a="1"/>
  <c r="G33" i="3" s="1"/>
  <c r="L33" i="3"/>
  <c r="M33" i="3"/>
  <c r="J33" i="3" a="1"/>
  <c r="J33" i="3" s="1"/>
  <c r="I31" i="3" a="1"/>
  <c r="I31" i="3" s="1"/>
  <c r="K31" i="3" a="1"/>
  <c r="K31" i="3" s="1"/>
  <c r="H31" i="3" a="1"/>
  <c r="H31" i="3" s="1"/>
  <c r="J31" i="3" a="1"/>
  <c r="J31" i="3" s="1"/>
  <c r="A32" i="3" a="1"/>
  <c r="A32" i="3" s="1"/>
  <c r="B32" i="3" a="1"/>
  <c r="B32" i="3" s="1"/>
  <c r="D31" i="2"/>
  <c r="I32" i="2" a="1"/>
  <c r="I32" i="2" s="1"/>
  <c r="J32" i="2" a="1"/>
  <c r="J32" i="2" s="1"/>
  <c r="K32" i="2" a="1"/>
  <c r="K32" i="2" s="1"/>
  <c r="H32" i="2" a="1"/>
  <c r="H32" i="2" s="1"/>
  <c r="A33" i="2" a="1"/>
  <c r="A33" i="2" s="1"/>
  <c r="B33" i="2" a="1"/>
  <c r="B33" i="2" s="1"/>
  <c r="C35" i="2"/>
  <c r="F34" i="2"/>
  <c r="D32" i="2" a="1"/>
  <c r="I33" i="3" l="1" a="1"/>
  <c r="I33" i="3" s="1"/>
  <c r="H33" i="3" a="1"/>
  <c r="H33" i="3" s="1"/>
  <c r="K33" i="3" a="1"/>
  <c r="K33" i="3" s="1"/>
  <c r="C35" i="3"/>
  <c r="L34" i="3"/>
  <c r="M34" i="3"/>
  <c r="F34" i="3"/>
  <c r="F35" i="3" s="1"/>
  <c r="A33" i="3" a="1"/>
  <c r="A33" i="3" s="1"/>
  <c r="B33" i="3" a="1"/>
  <c r="B33" i="3" s="1"/>
  <c r="D32" i="2"/>
  <c r="A34" i="2" a="1"/>
  <c r="A34" i="2" s="1"/>
  <c r="B34" i="2" a="1"/>
  <c r="B34" i="2" s="1"/>
  <c r="H33" i="2" a="1"/>
  <c r="H33" i="2" s="1"/>
  <c r="I33" i="2" a="1"/>
  <c r="I33" i="2" s="1"/>
  <c r="J33" i="2" a="1"/>
  <c r="J33" i="2" s="1"/>
  <c r="K33" i="2" a="1"/>
  <c r="K33" i="2" s="1"/>
  <c r="C36" i="2"/>
  <c r="F35" i="2"/>
  <c r="D33" i="2" a="1"/>
  <c r="F36" i="3" l="1"/>
  <c r="G34" i="3" a="1"/>
  <c r="G34" i="3" s="1"/>
  <c r="C36" i="3"/>
  <c r="G35" i="3" a="1"/>
  <c r="G35" i="3" s="1"/>
  <c r="L35" i="3"/>
  <c r="M35" i="3"/>
  <c r="J35" i="3" a="1"/>
  <c r="J35" i="3" s="1"/>
  <c r="A34" i="3" a="1"/>
  <c r="A34" i="3" s="1"/>
  <c r="B34" i="3" a="1"/>
  <c r="B34" i="3" s="1"/>
  <c r="D33" i="2"/>
  <c r="C37" i="2"/>
  <c r="F36" i="2"/>
  <c r="B35" i="2" a="1"/>
  <c r="B35" i="2" s="1"/>
  <c r="A35" i="2" a="1"/>
  <c r="A35" i="2" s="1"/>
  <c r="K34" i="2" a="1"/>
  <c r="K34" i="2" s="1"/>
  <c r="H34" i="2" a="1"/>
  <c r="H34" i="2" s="1"/>
  <c r="I34" i="2" a="1"/>
  <c r="I34" i="2" s="1"/>
  <c r="J34" i="2" a="1"/>
  <c r="J34" i="2" s="1"/>
  <c r="D34" i="2" a="1"/>
  <c r="F37" i="3" l="1"/>
  <c r="H35" i="3" a="1"/>
  <c r="H35" i="3" s="1"/>
  <c r="I35" i="3" a="1"/>
  <c r="I35" i="3" s="1"/>
  <c r="K35" i="3" a="1"/>
  <c r="K35" i="3" s="1"/>
  <c r="C37" i="3"/>
  <c r="G36" i="3" a="1"/>
  <c r="G36" i="3" s="1"/>
  <c r="L36" i="3"/>
  <c r="M36" i="3"/>
  <c r="J36" i="3" a="1"/>
  <c r="J36" i="3" s="1"/>
  <c r="H34" i="3" a="1"/>
  <c r="H34" i="3" s="1"/>
  <c r="I34" i="3" a="1"/>
  <c r="I34" i="3" s="1"/>
  <c r="K34" i="3" a="1"/>
  <c r="K34" i="3" s="1"/>
  <c r="J34" i="3" a="1"/>
  <c r="J34" i="3" s="1"/>
  <c r="B35" i="3" a="1"/>
  <c r="B35" i="3" s="1"/>
  <c r="A35" i="3" a="1"/>
  <c r="A35" i="3" s="1"/>
  <c r="D34" i="2"/>
  <c r="C38" i="2"/>
  <c r="F37" i="2"/>
  <c r="H35" i="2" a="1"/>
  <c r="H35" i="2" s="1"/>
  <c r="I35" i="2" a="1"/>
  <c r="I35" i="2" s="1"/>
  <c r="K35" i="2" a="1"/>
  <c r="K35" i="2" s="1"/>
  <c r="J35" i="2" a="1"/>
  <c r="J35" i="2" s="1"/>
  <c r="B36" i="2" a="1"/>
  <c r="B36" i="2" s="1"/>
  <c r="A36" i="2" a="1"/>
  <c r="A36" i="2" s="1"/>
  <c r="D35" i="2" a="1"/>
  <c r="I36" i="3" l="1" a="1"/>
  <c r="I36" i="3" s="1"/>
  <c r="K36" i="3" a="1"/>
  <c r="K36" i="3" s="1"/>
  <c r="H36" i="3" a="1"/>
  <c r="H36" i="3" s="1"/>
  <c r="C38" i="3"/>
  <c r="G37" i="3" a="1"/>
  <c r="G37" i="3" s="1"/>
  <c r="L37" i="3"/>
  <c r="M37" i="3"/>
  <c r="J37" i="3" a="1"/>
  <c r="J37" i="3" s="1"/>
  <c r="A36" i="3" a="1"/>
  <c r="A36" i="3" s="1"/>
  <c r="B36" i="3" a="1"/>
  <c r="B36" i="3" s="1"/>
  <c r="D35" i="2"/>
  <c r="I36" i="2" a="1"/>
  <c r="I36" i="2" s="1"/>
  <c r="H36" i="2" a="1"/>
  <c r="H36" i="2" s="1"/>
  <c r="K36" i="2" a="1"/>
  <c r="K36" i="2" s="1"/>
  <c r="J36" i="2" a="1"/>
  <c r="J36" i="2" s="1"/>
  <c r="A37" i="2" a="1"/>
  <c r="A37" i="2" s="1"/>
  <c r="B37" i="2" a="1"/>
  <c r="B37" i="2" s="1"/>
  <c r="C39" i="2"/>
  <c r="F38" i="2"/>
  <c r="D36" i="2" a="1"/>
  <c r="H37" i="3" l="1" a="1"/>
  <c r="H37" i="3" s="1"/>
  <c r="I37" i="3" a="1"/>
  <c r="I37" i="3" s="1"/>
  <c r="K37" i="3" a="1"/>
  <c r="K37" i="3" s="1"/>
  <c r="C39" i="3"/>
  <c r="L38" i="3"/>
  <c r="M38" i="3"/>
  <c r="F38" i="3"/>
  <c r="F39" i="3" s="1"/>
  <c r="A37" i="3" a="1"/>
  <c r="A37" i="3" s="1"/>
  <c r="B37" i="3" a="1"/>
  <c r="B37" i="3" s="1"/>
  <c r="D36" i="2"/>
  <c r="A38" i="2" a="1"/>
  <c r="A38" i="2" s="1"/>
  <c r="B38" i="2" a="1"/>
  <c r="B38" i="2" s="1"/>
  <c r="C40" i="2"/>
  <c r="F39" i="2"/>
  <c r="I37" i="2" a="1"/>
  <c r="I37" i="2" s="1"/>
  <c r="K37" i="2" a="1"/>
  <c r="K37" i="2" s="1"/>
  <c r="H37" i="2" a="1"/>
  <c r="H37" i="2" s="1"/>
  <c r="J37" i="2" a="1"/>
  <c r="J37" i="2" s="1"/>
  <c r="D37" i="2" a="1"/>
  <c r="G38" i="3" l="1" a="1"/>
  <c r="G38" i="3" s="1"/>
  <c r="C40" i="3"/>
  <c r="G39" i="3" a="1"/>
  <c r="G39" i="3" s="1"/>
  <c r="L39" i="3"/>
  <c r="M39" i="3"/>
  <c r="J39" i="3" a="1"/>
  <c r="J39" i="3" s="1"/>
  <c r="A38" i="3" a="1"/>
  <c r="A38" i="3" s="1"/>
  <c r="B38" i="3" a="1"/>
  <c r="B38" i="3" s="1"/>
  <c r="D37" i="2"/>
  <c r="A39" i="2" a="1"/>
  <c r="A39" i="2" s="1"/>
  <c r="B39" i="2" a="1"/>
  <c r="B39" i="2" s="1"/>
  <c r="C41" i="2"/>
  <c r="F40" i="2"/>
  <c r="I38" i="2" a="1"/>
  <c r="I38" i="2" s="1"/>
  <c r="K38" i="2" a="1"/>
  <c r="K38" i="2" s="1"/>
  <c r="H38" i="2" a="1"/>
  <c r="H38" i="2" s="1"/>
  <c r="J38" i="2" a="1"/>
  <c r="J38" i="2" s="1"/>
  <c r="D38" i="2" a="1"/>
  <c r="K38" i="3" l="1" a="1"/>
  <c r="K38" i="3" s="1"/>
  <c r="I38" i="3" a="1"/>
  <c r="I38" i="3" s="1"/>
  <c r="H38" i="3" a="1"/>
  <c r="H38" i="3" s="1"/>
  <c r="J38" i="3" a="1"/>
  <c r="J38" i="3" s="1"/>
  <c r="H39" i="3" a="1"/>
  <c r="H39" i="3" s="1"/>
  <c r="I39" i="3" a="1"/>
  <c r="I39" i="3" s="1"/>
  <c r="K39" i="3" a="1"/>
  <c r="K39" i="3" s="1"/>
  <c r="C41" i="3"/>
  <c r="G40" i="3" a="1"/>
  <c r="G40" i="3" s="1"/>
  <c r="L40" i="3"/>
  <c r="M40" i="3"/>
  <c r="J40" i="3" a="1"/>
  <c r="J40" i="3" s="1"/>
  <c r="F40" i="3"/>
  <c r="A39" i="3" a="1"/>
  <c r="A39" i="3" s="1"/>
  <c r="B39" i="3" a="1"/>
  <c r="B39" i="3" s="1"/>
  <c r="D38" i="2"/>
  <c r="J39" i="2" a="1"/>
  <c r="J39" i="2" s="1"/>
  <c r="H39" i="2" a="1"/>
  <c r="H39" i="2" s="1"/>
  <c r="I39" i="2" a="1"/>
  <c r="I39" i="2" s="1"/>
  <c r="K39" i="2" a="1"/>
  <c r="K39" i="2" s="1"/>
  <c r="A40" i="2" a="1"/>
  <c r="A40" i="2" s="1"/>
  <c r="B40" i="2" a="1"/>
  <c r="B40" i="2" s="1"/>
  <c r="C42" i="2"/>
  <c r="F41" i="2"/>
  <c r="D39" i="2" a="1"/>
  <c r="I40" i="3" l="1" a="1"/>
  <c r="I40" i="3" s="1"/>
  <c r="K40" i="3" a="1"/>
  <c r="K40" i="3" s="1"/>
  <c r="H40" i="3" a="1"/>
  <c r="H40" i="3" s="1"/>
  <c r="C42" i="3"/>
  <c r="L41" i="3"/>
  <c r="M41" i="3"/>
  <c r="F41" i="3"/>
  <c r="F42" i="3" s="1"/>
  <c r="A40" i="3" a="1"/>
  <c r="A40" i="3" s="1"/>
  <c r="B40" i="3" a="1"/>
  <c r="B40" i="3" s="1"/>
  <c r="D39" i="2"/>
  <c r="A41" i="2" a="1"/>
  <c r="A41" i="2" s="1"/>
  <c r="B41" i="2" a="1"/>
  <c r="B41" i="2" s="1"/>
  <c r="C43" i="2"/>
  <c r="F42" i="2"/>
  <c r="I40" i="2" a="1"/>
  <c r="I40" i="2" s="1"/>
  <c r="H40" i="2" a="1"/>
  <c r="H40" i="2" s="1"/>
  <c r="J40" i="2" a="1"/>
  <c r="J40" i="2" s="1"/>
  <c r="K40" i="2" a="1"/>
  <c r="K40" i="2" s="1"/>
  <c r="D40" i="2" a="1"/>
  <c r="C43" i="3" l="1"/>
  <c r="G42" i="3" a="1"/>
  <c r="G42" i="3" s="1"/>
  <c r="L42" i="3"/>
  <c r="M42" i="3"/>
  <c r="J42" i="3" a="1"/>
  <c r="J42" i="3" s="1"/>
  <c r="F43" i="3"/>
  <c r="G41" i="3" a="1"/>
  <c r="G41" i="3" s="1"/>
  <c r="A41" i="3" a="1"/>
  <c r="A41" i="3" s="1"/>
  <c r="B41" i="3" a="1"/>
  <c r="B41" i="3" s="1"/>
  <c r="D40" i="2"/>
  <c r="C44" i="2"/>
  <c r="F43" i="2"/>
  <c r="H41" i="2" a="1"/>
  <c r="H41" i="2" s="1"/>
  <c r="J41" i="2" a="1"/>
  <c r="J41" i="2" s="1"/>
  <c r="I41" i="2" a="1"/>
  <c r="I41" i="2" s="1"/>
  <c r="K41" i="2" a="1"/>
  <c r="K41" i="2" s="1"/>
  <c r="A42" i="2" a="1"/>
  <c r="A42" i="2" s="1"/>
  <c r="B42" i="2" a="1"/>
  <c r="B42" i="2" s="1"/>
  <c r="D41" i="2" a="1"/>
  <c r="H41" i="3" l="1" a="1"/>
  <c r="H41" i="3" s="1"/>
  <c r="I41" i="3" a="1"/>
  <c r="I41" i="3" s="1"/>
  <c r="K41" i="3" a="1"/>
  <c r="K41" i="3" s="1"/>
  <c r="J41" i="3" a="1"/>
  <c r="J41" i="3" s="1"/>
  <c r="H42" i="3" a="1"/>
  <c r="H42" i="3" s="1"/>
  <c r="I42" i="3" a="1"/>
  <c r="I42" i="3" s="1"/>
  <c r="K42" i="3" a="1"/>
  <c r="K42" i="3" s="1"/>
  <c r="C44" i="3"/>
  <c r="G43" i="3" a="1"/>
  <c r="G43" i="3" s="1"/>
  <c r="L43" i="3"/>
  <c r="M43" i="3"/>
  <c r="B42" i="3" a="1"/>
  <c r="B42" i="3" s="1"/>
  <c r="A42" i="3" a="1"/>
  <c r="A42" i="3" s="1"/>
  <c r="D41" i="2"/>
  <c r="A43" i="2" a="1"/>
  <c r="A43" i="2" s="1"/>
  <c r="B43" i="2" a="1"/>
  <c r="B43" i="2" s="1"/>
  <c r="I42" i="2" a="1"/>
  <c r="I42" i="2" s="1"/>
  <c r="J42" i="2" a="1"/>
  <c r="J42" i="2" s="1"/>
  <c r="H42" i="2" a="1"/>
  <c r="H42" i="2" s="1"/>
  <c r="K42" i="2" a="1"/>
  <c r="K42" i="2" s="1"/>
  <c r="C45" i="2"/>
  <c r="F44" i="2"/>
  <c r="D42" i="2" a="1"/>
  <c r="C45" i="3" l="1"/>
  <c r="L44" i="3"/>
  <c r="M44" i="3"/>
  <c r="H43" i="3" a="1"/>
  <c r="H43" i="3" s="1"/>
  <c r="I43" i="3" a="1"/>
  <c r="I43" i="3" s="1"/>
  <c r="K43" i="3" a="1"/>
  <c r="K43" i="3" s="1"/>
  <c r="J43" i="3" a="1"/>
  <c r="J43" i="3" s="1"/>
  <c r="F44" i="3"/>
  <c r="F45" i="3" s="1"/>
  <c r="A43" i="3" a="1"/>
  <c r="A43" i="3" s="1"/>
  <c r="B43" i="3" a="1"/>
  <c r="B43" i="3" s="1"/>
  <c r="D42" i="2"/>
  <c r="A44" i="2" a="1"/>
  <c r="A44" i="2" s="1"/>
  <c r="B44" i="2" a="1"/>
  <c r="B44" i="2" s="1"/>
  <c r="H43" i="2" a="1"/>
  <c r="H43" i="2" s="1"/>
  <c r="K43" i="2" a="1"/>
  <c r="K43" i="2" s="1"/>
  <c r="J43" i="2" a="1"/>
  <c r="J43" i="2" s="1"/>
  <c r="I43" i="2" a="1"/>
  <c r="I43" i="2" s="1"/>
  <c r="C46" i="2"/>
  <c r="F45" i="2"/>
  <c r="D43" i="2" a="1"/>
  <c r="G44" i="3" l="1" a="1"/>
  <c r="G44" i="3" s="1"/>
  <c r="C46" i="3"/>
  <c r="G45" i="3" a="1"/>
  <c r="G45" i="3" s="1"/>
  <c r="L45" i="3"/>
  <c r="M45" i="3"/>
  <c r="J45" i="3" a="1"/>
  <c r="J45" i="3" s="1"/>
  <c r="A44" i="3" a="1"/>
  <c r="A44" i="3" s="1"/>
  <c r="B44" i="3" a="1"/>
  <c r="B44" i="3" s="1"/>
  <c r="D43" i="2"/>
  <c r="K44" i="2" a="1"/>
  <c r="K44" i="2" s="1"/>
  <c r="J44" i="2" a="1"/>
  <c r="J44" i="2" s="1"/>
  <c r="H44" i="2" a="1"/>
  <c r="H44" i="2" s="1"/>
  <c r="I44" i="2" a="1"/>
  <c r="I44" i="2" s="1"/>
  <c r="A45" i="2" a="1"/>
  <c r="A45" i="2" s="1"/>
  <c r="B45" i="2" a="1"/>
  <c r="B45" i="2" s="1"/>
  <c r="C47" i="2"/>
  <c r="F46" i="2"/>
  <c r="D44" i="2" a="1"/>
  <c r="C47" i="3" l="1"/>
  <c r="L46" i="3"/>
  <c r="M46" i="3"/>
  <c r="F46" i="3"/>
  <c r="F47" i="3" s="1"/>
  <c r="I45" i="3" a="1"/>
  <c r="I45" i="3" s="1"/>
  <c r="K45" i="3" a="1"/>
  <c r="K45" i="3" s="1"/>
  <c r="H45" i="3" a="1"/>
  <c r="H45" i="3" s="1"/>
  <c r="H44" i="3" a="1"/>
  <c r="H44" i="3" s="1"/>
  <c r="I44" i="3" a="1"/>
  <c r="I44" i="3" s="1"/>
  <c r="K44" i="3" a="1"/>
  <c r="K44" i="3" s="1"/>
  <c r="J44" i="3" a="1"/>
  <c r="J44" i="3" s="1"/>
  <c r="A45" i="3" a="1"/>
  <c r="A45" i="3" s="1"/>
  <c r="B45" i="3" a="1"/>
  <c r="B45" i="3" s="1"/>
  <c r="D44" i="2"/>
  <c r="A46" i="2" a="1"/>
  <c r="A46" i="2" s="1"/>
  <c r="B46" i="2" a="1"/>
  <c r="B46" i="2" s="1"/>
  <c r="C48" i="2"/>
  <c r="F47" i="2"/>
  <c r="J45" i="2" a="1"/>
  <c r="J45" i="2" s="1"/>
  <c r="H45" i="2" a="1"/>
  <c r="H45" i="2" s="1"/>
  <c r="I45" i="2" a="1"/>
  <c r="I45" i="2" s="1"/>
  <c r="K45" i="2" a="1"/>
  <c r="K45" i="2" s="1"/>
  <c r="D45" i="2" a="1"/>
  <c r="G46" i="3" l="1" a="1"/>
  <c r="G46" i="3" s="1"/>
  <c r="C48" i="3"/>
  <c r="G47" i="3" a="1"/>
  <c r="G47" i="3" s="1"/>
  <c r="L47" i="3"/>
  <c r="M47" i="3"/>
  <c r="J47" i="3" a="1"/>
  <c r="J47" i="3" s="1"/>
  <c r="A46" i="3" a="1"/>
  <c r="A46" i="3" s="1"/>
  <c r="B46" i="3" a="1"/>
  <c r="B46" i="3" s="1"/>
  <c r="D45" i="2"/>
  <c r="C49" i="2"/>
  <c r="F48" i="2"/>
  <c r="H46" i="2" a="1"/>
  <c r="H46" i="2" s="1"/>
  <c r="I46" i="2" a="1"/>
  <c r="I46" i="2" s="1"/>
  <c r="J46" i="2" a="1"/>
  <c r="J46" i="2" s="1"/>
  <c r="K46" i="2" a="1"/>
  <c r="K46" i="2" s="1"/>
  <c r="B47" i="2" a="1"/>
  <c r="B47" i="2" s="1"/>
  <c r="A47" i="2" a="1"/>
  <c r="A47" i="2" s="1"/>
  <c r="D46" i="2" a="1"/>
  <c r="H46" i="3" l="1" a="1"/>
  <c r="H46" i="3" s="1"/>
  <c r="I46" i="3" a="1"/>
  <c r="I46" i="3" s="1"/>
  <c r="K46" i="3" a="1"/>
  <c r="K46" i="3" s="1"/>
  <c r="J46" i="3" a="1"/>
  <c r="J46" i="3" s="1"/>
  <c r="H47" i="3" a="1"/>
  <c r="H47" i="3" s="1"/>
  <c r="I47" i="3" a="1"/>
  <c r="I47" i="3" s="1"/>
  <c r="K47" i="3" a="1"/>
  <c r="K47" i="3" s="1"/>
  <c r="C49" i="3"/>
  <c r="G48" i="3" a="1"/>
  <c r="G48" i="3" s="1"/>
  <c r="L48" i="3"/>
  <c r="M48" i="3"/>
  <c r="J48" i="3" a="1"/>
  <c r="J48" i="3" s="1"/>
  <c r="F48" i="3"/>
  <c r="B47" i="3" a="1"/>
  <c r="B47" i="3" s="1"/>
  <c r="A47" i="3" a="1"/>
  <c r="A47" i="3" s="1"/>
  <c r="D46" i="2"/>
  <c r="I47" i="2" a="1"/>
  <c r="I47" i="2" s="1"/>
  <c r="H47" i="2" a="1"/>
  <c r="H47" i="2" s="1"/>
  <c r="J47" i="2" a="1"/>
  <c r="J47" i="2" s="1"/>
  <c r="K47" i="2" a="1"/>
  <c r="K47" i="2" s="1"/>
  <c r="A48" i="2" a="1"/>
  <c r="A48" i="2" s="1"/>
  <c r="B48" i="2" a="1"/>
  <c r="B48" i="2" s="1"/>
  <c r="C50" i="2"/>
  <c r="F49" i="2"/>
  <c r="D47" i="2" a="1"/>
  <c r="H48" i="3" l="1" a="1"/>
  <c r="H48" i="3" s="1"/>
  <c r="I48" i="3" a="1"/>
  <c r="I48" i="3" s="1"/>
  <c r="K48" i="3" a="1"/>
  <c r="K48" i="3" s="1"/>
  <c r="C50" i="3"/>
  <c r="M49" i="3"/>
  <c r="L49" i="3"/>
  <c r="F49" i="3"/>
  <c r="F50" i="3" s="1"/>
  <c r="A48" i="3" a="1"/>
  <c r="A48" i="3" s="1"/>
  <c r="B48" i="3" a="1"/>
  <c r="B48" i="3" s="1"/>
  <c r="D47" i="2"/>
  <c r="A49" i="2" a="1"/>
  <c r="A49" i="2" s="1"/>
  <c r="B49" i="2" a="1"/>
  <c r="B49" i="2" s="1"/>
  <c r="C51" i="2"/>
  <c r="F50" i="2"/>
  <c r="K48" i="2" a="1"/>
  <c r="K48" i="2" s="1"/>
  <c r="I48" i="2" a="1"/>
  <c r="I48" i="2" s="1"/>
  <c r="H48" i="2" a="1"/>
  <c r="H48" i="2" s="1"/>
  <c r="J48" i="2" a="1"/>
  <c r="J48" i="2" s="1"/>
  <c r="D48" i="2" a="1"/>
  <c r="C51" i="3" l="1"/>
  <c r="G50" i="3" a="1"/>
  <c r="G50" i="3" s="1"/>
  <c r="L50" i="3"/>
  <c r="M50" i="3"/>
  <c r="G49" i="3" a="1"/>
  <c r="G49" i="3" s="1"/>
  <c r="A49" i="3" a="1"/>
  <c r="A49" i="3" s="1"/>
  <c r="B49" i="3" a="1"/>
  <c r="B49" i="3" s="1"/>
  <c r="D48" i="2"/>
  <c r="C52" i="2"/>
  <c r="F51" i="2"/>
  <c r="J49" i="2" a="1"/>
  <c r="J49" i="2" s="1"/>
  <c r="H49" i="2" a="1"/>
  <c r="H49" i="2" s="1"/>
  <c r="I49" i="2" a="1"/>
  <c r="I49" i="2" s="1"/>
  <c r="K49" i="2" a="1"/>
  <c r="K49" i="2" s="1"/>
  <c r="A50" i="2" a="1"/>
  <c r="A50" i="2" s="1"/>
  <c r="B50" i="2" a="1"/>
  <c r="B50" i="2" s="1"/>
  <c r="D49" i="2" a="1"/>
  <c r="K50" i="3" l="1" a="1"/>
  <c r="K50" i="3" s="1"/>
  <c r="I50" i="3" a="1"/>
  <c r="I50" i="3" s="1"/>
  <c r="H50" i="3" a="1"/>
  <c r="H50" i="3" s="1"/>
  <c r="C52" i="3"/>
  <c r="G51" i="3" a="1"/>
  <c r="G51" i="3" s="1"/>
  <c r="L51" i="3"/>
  <c r="M51" i="3"/>
  <c r="J51" i="3" a="1"/>
  <c r="J51" i="3" s="1"/>
  <c r="H49" i="3" a="1"/>
  <c r="H49" i="3" s="1"/>
  <c r="I49" i="3" a="1"/>
  <c r="I49" i="3" s="1"/>
  <c r="K49" i="3" a="1"/>
  <c r="K49" i="3" s="1"/>
  <c r="J49" i="3" a="1"/>
  <c r="J49" i="3" s="1"/>
  <c r="J50" i="3" a="1"/>
  <c r="J50" i="3" s="1"/>
  <c r="F51" i="3"/>
  <c r="F52" i="3" s="1"/>
  <c r="A50" i="3" a="1"/>
  <c r="A50" i="3" s="1"/>
  <c r="B50" i="3" a="1"/>
  <c r="B50" i="3" s="1"/>
  <c r="D49" i="2"/>
  <c r="K50" i="2" a="1"/>
  <c r="K50" i="2" s="1"/>
  <c r="H50" i="2" a="1"/>
  <c r="H50" i="2" s="1"/>
  <c r="J50" i="2" a="1"/>
  <c r="J50" i="2" s="1"/>
  <c r="I50" i="2" a="1"/>
  <c r="I50" i="2" s="1"/>
  <c r="A51" i="2" a="1"/>
  <c r="A51" i="2" s="1"/>
  <c r="B51" i="2" a="1"/>
  <c r="B51" i="2" s="1"/>
  <c r="C53" i="2"/>
  <c r="F52" i="2"/>
  <c r="D50" i="2" a="1"/>
  <c r="C53" i="3" l="1"/>
  <c r="G52" i="3" a="1"/>
  <c r="G52" i="3" s="1"/>
  <c r="L52" i="3"/>
  <c r="M52" i="3"/>
  <c r="J52" i="3" a="1"/>
  <c r="J52" i="3" s="1"/>
  <c r="K51" i="3" a="1"/>
  <c r="K51" i="3" s="1"/>
  <c r="H51" i="3" a="1"/>
  <c r="H51" i="3" s="1"/>
  <c r="I51" i="3" a="1"/>
  <c r="I51" i="3" s="1"/>
  <c r="F53" i="3"/>
  <c r="A51" i="3" a="1"/>
  <c r="A51" i="3" s="1"/>
  <c r="B51" i="3" a="1"/>
  <c r="B51" i="3" s="1"/>
  <c r="D50" i="2"/>
  <c r="J51" i="2" a="1"/>
  <c r="J51" i="2" s="1"/>
  <c r="I51" i="2" a="1"/>
  <c r="I51" i="2" s="1"/>
  <c r="K51" i="2" a="1"/>
  <c r="K51" i="2" s="1"/>
  <c r="H51" i="2" a="1"/>
  <c r="H51" i="2" s="1"/>
  <c r="B52" i="2" a="1"/>
  <c r="B52" i="2" s="1"/>
  <c r="A52" i="2" a="1"/>
  <c r="A52" i="2" s="1"/>
  <c r="C54" i="2"/>
  <c r="F53" i="2"/>
  <c r="D51" i="2" a="1"/>
  <c r="K52" i="3" l="1" a="1"/>
  <c r="K52" i="3" s="1"/>
  <c r="H52" i="3" a="1"/>
  <c r="H52" i="3" s="1"/>
  <c r="I52" i="3" a="1"/>
  <c r="I52" i="3" s="1"/>
  <c r="C54" i="3"/>
  <c r="G53" i="3" a="1"/>
  <c r="G53" i="3" s="1"/>
  <c r="J53" i="3" a="1"/>
  <c r="J53" i="3" s="1"/>
  <c r="L53" i="3"/>
  <c r="M53" i="3"/>
  <c r="A52" i="3" a="1"/>
  <c r="A52" i="3" s="1"/>
  <c r="B52" i="3" a="1"/>
  <c r="B52" i="3" s="1"/>
  <c r="D51" i="2"/>
  <c r="K52" i="2" a="1"/>
  <c r="K52" i="2" s="1"/>
  <c r="I52" i="2" a="1"/>
  <c r="I52" i="2" s="1"/>
  <c r="J52" i="2" a="1"/>
  <c r="J52" i="2" s="1"/>
  <c r="H52" i="2" a="1"/>
  <c r="H52" i="2" s="1"/>
  <c r="A53" i="2" a="1"/>
  <c r="A53" i="2" s="1"/>
  <c r="B53" i="2" a="1"/>
  <c r="B53" i="2" s="1"/>
  <c r="C55" i="2"/>
  <c r="F54" i="2"/>
  <c r="D52" i="2" a="1"/>
  <c r="H53" i="3" l="1" a="1"/>
  <c r="H53" i="3" s="1"/>
  <c r="I53" i="3" a="1"/>
  <c r="I53" i="3" s="1"/>
  <c r="K53" i="3" a="1"/>
  <c r="K53" i="3" s="1"/>
  <c r="C55" i="3"/>
  <c r="L54" i="3"/>
  <c r="M54" i="3"/>
  <c r="F54" i="3"/>
  <c r="F55" i="3" s="1"/>
  <c r="A53" i="3" a="1"/>
  <c r="A53" i="3" s="1"/>
  <c r="B53" i="3" a="1"/>
  <c r="B53" i="3" s="1"/>
  <c r="D52" i="2"/>
  <c r="B54" i="2" a="1"/>
  <c r="B54" i="2" s="1"/>
  <c r="A54" i="2" a="1"/>
  <c r="A54" i="2" s="1"/>
  <c r="J53" i="2" a="1"/>
  <c r="J53" i="2" s="1"/>
  <c r="I53" i="2" a="1"/>
  <c r="I53" i="2" s="1"/>
  <c r="H53" i="2" a="1"/>
  <c r="H53" i="2" s="1"/>
  <c r="K53" i="2" a="1"/>
  <c r="K53" i="2" s="1"/>
  <c r="C56" i="2"/>
  <c r="F55" i="2"/>
  <c r="D53" i="2" a="1"/>
  <c r="G54" i="3" l="1" a="1"/>
  <c r="G54" i="3" s="1"/>
  <c r="C56" i="3"/>
  <c r="G55" i="3" a="1"/>
  <c r="G55" i="3" s="1"/>
  <c r="L55" i="3"/>
  <c r="M55" i="3"/>
  <c r="J55" i="3" a="1"/>
  <c r="J55" i="3" s="1"/>
  <c r="B54" i="3" a="1"/>
  <c r="B54" i="3" s="1"/>
  <c r="A54" i="3" a="1"/>
  <c r="A54" i="3" s="1"/>
  <c r="D53" i="2"/>
  <c r="C57" i="2"/>
  <c r="F56" i="2"/>
  <c r="B55" i="2" a="1"/>
  <c r="B55" i="2" s="1"/>
  <c r="A55" i="2" a="1"/>
  <c r="A55" i="2" s="1"/>
  <c r="J54" i="2" a="1"/>
  <c r="J54" i="2" s="1"/>
  <c r="K54" i="2" a="1"/>
  <c r="K54" i="2" s="1"/>
  <c r="I54" i="2" a="1"/>
  <c r="I54" i="2" s="1"/>
  <c r="H54" i="2" a="1"/>
  <c r="H54" i="2" s="1"/>
  <c r="D54" i="2" a="1"/>
  <c r="I54" i="3" l="1" a="1"/>
  <c r="I54" i="3" s="1"/>
  <c r="K54" i="3" a="1"/>
  <c r="K54" i="3" s="1"/>
  <c r="H54" i="3" a="1"/>
  <c r="H54" i="3" s="1"/>
  <c r="J54" i="3" a="1"/>
  <c r="J54" i="3" s="1"/>
  <c r="I55" i="3" a="1"/>
  <c r="I55" i="3" s="1"/>
  <c r="H55" i="3" a="1"/>
  <c r="H55" i="3" s="1"/>
  <c r="K55" i="3" a="1"/>
  <c r="K55" i="3" s="1"/>
  <c r="C57" i="3"/>
  <c r="G56" i="3" a="1"/>
  <c r="G56" i="3" s="1"/>
  <c r="L56" i="3"/>
  <c r="M56" i="3"/>
  <c r="J56" i="3" a="1"/>
  <c r="J56" i="3" s="1"/>
  <c r="F56" i="3"/>
  <c r="A55" i="3" a="1"/>
  <c r="A55" i="3" s="1"/>
  <c r="B55" i="3" a="1"/>
  <c r="B55" i="3" s="1"/>
  <c r="D54" i="2"/>
  <c r="H55" i="2" a="1"/>
  <c r="H55" i="2" s="1"/>
  <c r="I55" i="2" a="1"/>
  <c r="I55" i="2" s="1"/>
  <c r="J55" i="2" a="1"/>
  <c r="J55" i="2" s="1"/>
  <c r="K55" i="2" a="1"/>
  <c r="K55" i="2" s="1"/>
  <c r="A56" i="2" a="1"/>
  <c r="A56" i="2" s="1"/>
  <c r="B56" i="2" a="1"/>
  <c r="B56" i="2" s="1"/>
  <c r="C58" i="2"/>
  <c r="F57" i="2"/>
  <c r="D55" i="2" a="1"/>
  <c r="C58" i="3" l="1"/>
  <c r="L57" i="3"/>
  <c r="M57" i="3"/>
  <c r="K56" i="3" a="1"/>
  <c r="K56" i="3" s="1"/>
  <c r="H56" i="3" a="1"/>
  <c r="H56" i="3" s="1"/>
  <c r="I56" i="3" a="1"/>
  <c r="I56" i="3" s="1"/>
  <c r="F57" i="3"/>
  <c r="F58" i="3" s="1"/>
  <c r="A56" i="3" a="1"/>
  <c r="A56" i="3" s="1"/>
  <c r="B56" i="3" a="1"/>
  <c r="B56" i="3" s="1"/>
  <c r="D55" i="2"/>
  <c r="C59" i="2"/>
  <c r="F58" i="2"/>
  <c r="A57" i="2" a="1"/>
  <c r="A57" i="2" s="1"/>
  <c r="B57" i="2" a="1"/>
  <c r="B57" i="2" s="1"/>
  <c r="I56" i="2" a="1"/>
  <c r="I56" i="2" s="1"/>
  <c r="J56" i="2" a="1"/>
  <c r="J56" i="2" s="1"/>
  <c r="H56" i="2" a="1"/>
  <c r="H56" i="2" s="1"/>
  <c r="K56" i="2" a="1"/>
  <c r="K56" i="2" s="1"/>
  <c r="D56" i="2" a="1"/>
  <c r="G57" i="3" l="1" a="1"/>
  <c r="G57" i="3" s="1"/>
  <c r="C59" i="3"/>
  <c r="G58" i="3" a="1"/>
  <c r="G58" i="3" s="1"/>
  <c r="L58" i="3"/>
  <c r="M58" i="3"/>
  <c r="J58" i="3" a="1"/>
  <c r="J58" i="3" s="1"/>
  <c r="A57" i="3" a="1"/>
  <c r="A57" i="3" s="1"/>
  <c r="B57" i="3" a="1"/>
  <c r="B57" i="3" s="1"/>
  <c r="D56" i="2"/>
  <c r="B58" i="2" a="1"/>
  <c r="B58" i="2" s="1"/>
  <c r="A58" i="2" a="1"/>
  <c r="A58" i="2" s="1"/>
  <c r="H57" i="2" a="1"/>
  <c r="H57" i="2" s="1"/>
  <c r="I57" i="2" a="1"/>
  <c r="I57" i="2" s="1"/>
  <c r="J57" i="2" a="1"/>
  <c r="J57" i="2" s="1"/>
  <c r="K57" i="2" a="1"/>
  <c r="K57" i="2" s="1"/>
  <c r="C60" i="2"/>
  <c r="F59" i="2"/>
  <c r="D57" i="2" a="1"/>
  <c r="C60" i="3" l="1"/>
  <c r="G59" i="3" a="1"/>
  <c r="G59" i="3" s="1"/>
  <c r="J59" i="3" a="1"/>
  <c r="J59" i="3" s="1"/>
  <c r="L59" i="3"/>
  <c r="M59" i="3"/>
  <c r="K57" i="3" a="1"/>
  <c r="K57" i="3" s="1"/>
  <c r="H57" i="3" a="1"/>
  <c r="H57" i="3" s="1"/>
  <c r="I57" i="3" a="1"/>
  <c r="I57" i="3" s="1"/>
  <c r="J57" i="3" a="1"/>
  <c r="J57" i="3" s="1"/>
  <c r="K58" i="3" a="1"/>
  <c r="K58" i="3" s="1"/>
  <c r="I58" i="3" a="1"/>
  <c r="I58" i="3" s="1"/>
  <c r="H58" i="3" a="1"/>
  <c r="H58" i="3" s="1"/>
  <c r="F59" i="3"/>
  <c r="F60" i="3" s="1"/>
  <c r="A58" i="3" a="1"/>
  <c r="A58" i="3" s="1"/>
  <c r="B58" i="3" a="1"/>
  <c r="B58" i="3" s="1"/>
  <c r="D57" i="2"/>
  <c r="B59" i="2" a="1"/>
  <c r="B59" i="2" s="1"/>
  <c r="A59" i="2" a="1"/>
  <c r="A59" i="2" s="1"/>
  <c r="J58" i="2" a="1"/>
  <c r="J58" i="2" s="1"/>
  <c r="I58" i="2" a="1"/>
  <c r="I58" i="2" s="1"/>
  <c r="H58" i="2" a="1"/>
  <c r="H58" i="2" s="1"/>
  <c r="K58" i="2" a="1"/>
  <c r="K58" i="2" s="1"/>
  <c r="C61" i="2"/>
  <c r="F60" i="2"/>
  <c r="D58" i="2" a="1"/>
  <c r="H59" i="3" l="1" a="1"/>
  <c r="H59" i="3" s="1"/>
  <c r="I59" i="3" a="1"/>
  <c r="I59" i="3" s="1"/>
  <c r="K59" i="3" a="1"/>
  <c r="K59" i="3" s="1"/>
  <c r="C61" i="3"/>
  <c r="L60" i="3"/>
  <c r="M60" i="3"/>
  <c r="G60" i="3" a="1"/>
  <c r="G60" i="3" s="1"/>
  <c r="J60" i="3" s="1" a="1"/>
  <c r="J60" i="3" s="1"/>
  <c r="B59" i="3" a="1"/>
  <c r="B59" i="3" s="1"/>
  <c r="A59" i="3" a="1"/>
  <c r="A59" i="3" s="1"/>
  <c r="D58" i="2"/>
  <c r="H59" i="2" a="1"/>
  <c r="H59" i="2" s="1"/>
  <c r="K59" i="2" a="1"/>
  <c r="K59" i="2" s="1"/>
  <c r="J59" i="2" a="1"/>
  <c r="J59" i="2" s="1"/>
  <c r="I59" i="2" a="1"/>
  <c r="I59" i="2" s="1"/>
  <c r="A60" i="2" a="1"/>
  <c r="A60" i="2" s="1"/>
  <c r="B60" i="2" a="1"/>
  <c r="B60" i="2" s="1"/>
  <c r="C62" i="2"/>
  <c r="F61" i="2"/>
  <c r="D59" i="2" a="1"/>
  <c r="C62" i="3" l="1"/>
  <c r="L61" i="3"/>
  <c r="M61" i="3"/>
  <c r="F61" i="3"/>
  <c r="F62" i="3" s="1"/>
  <c r="I60" i="3" a="1"/>
  <c r="I60" i="3" s="1"/>
  <c r="K60" i="3" a="1"/>
  <c r="K60" i="3" s="1"/>
  <c r="H60" i="3" a="1"/>
  <c r="H60" i="3" s="1"/>
  <c r="A60" i="3" a="1"/>
  <c r="A60" i="3" s="1"/>
  <c r="B60" i="3" a="1"/>
  <c r="B60" i="3" s="1"/>
  <c r="D59" i="2"/>
  <c r="A61" i="2" a="1"/>
  <c r="A61" i="2" s="1"/>
  <c r="B61" i="2" a="1"/>
  <c r="B61" i="2" s="1"/>
  <c r="K60" i="2" a="1"/>
  <c r="K60" i="2" s="1"/>
  <c r="I60" i="2" a="1"/>
  <c r="I60" i="2" s="1"/>
  <c r="H60" i="2" a="1"/>
  <c r="H60" i="2" s="1"/>
  <c r="J60" i="2" a="1"/>
  <c r="J60" i="2" s="1"/>
  <c r="C63" i="2"/>
  <c r="F62" i="2"/>
  <c r="D60" i="2" a="1"/>
  <c r="G61" i="3" l="1" a="1"/>
  <c r="G61" i="3" s="1"/>
  <c r="C63" i="3"/>
  <c r="G62" i="3" a="1"/>
  <c r="G62" i="3" s="1"/>
  <c r="L62" i="3"/>
  <c r="M62" i="3"/>
  <c r="J62" i="3" a="1"/>
  <c r="J62" i="3" s="1"/>
  <c r="A61" i="3" a="1"/>
  <c r="A61" i="3" s="1"/>
  <c r="B61" i="3" a="1"/>
  <c r="B61" i="3" s="1"/>
  <c r="D60" i="2"/>
  <c r="I61" i="2" a="1"/>
  <c r="I61" i="2" s="1"/>
  <c r="H61" i="2" a="1"/>
  <c r="H61" i="2" s="1"/>
  <c r="J61" i="2" a="1"/>
  <c r="J61" i="2" s="1"/>
  <c r="K61" i="2" a="1"/>
  <c r="K61" i="2" s="1"/>
  <c r="B62" i="2" a="1"/>
  <c r="B62" i="2" s="1"/>
  <c r="A62" i="2" a="1"/>
  <c r="A62" i="2" s="1"/>
  <c r="C64" i="2"/>
  <c r="F63" i="2"/>
  <c r="D61" i="2" a="1"/>
  <c r="C64" i="3" l="1"/>
  <c r="L63" i="3"/>
  <c r="M63" i="3"/>
  <c r="I61" i="3" a="1"/>
  <c r="I61" i="3" s="1"/>
  <c r="H61" i="3" a="1"/>
  <c r="H61" i="3" s="1"/>
  <c r="K61" i="3" a="1"/>
  <c r="K61" i="3" s="1"/>
  <c r="J61" i="3" a="1"/>
  <c r="J61" i="3" s="1"/>
  <c r="K62" i="3" a="1"/>
  <c r="K62" i="3" s="1"/>
  <c r="H62" i="3" a="1"/>
  <c r="H62" i="3" s="1"/>
  <c r="I62" i="3" a="1"/>
  <c r="I62" i="3" s="1"/>
  <c r="F63" i="3"/>
  <c r="F64" i="3" s="1"/>
  <c r="A62" i="3" a="1"/>
  <c r="A62" i="3" s="1"/>
  <c r="B62" i="3" a="1"/>
  <c r="B62" i="3" s="1"/>
  <c r="D61" i="2"/>
  <c r="A63" i="2" a="1"/>
  <c r="A63" i="2" s="1"/>
  <c r="B63" i="2" a="1"/>
  <c r="B63" i="2" s="1"/>
  <c r="C65" i="2"/>
  <c r="F64" i="2"/>
  <c r="I62" i="2" a="1"/>
  <c r="I62" i="2" s="1"/>
  <c r="K62" i="2" a="1"/>
  <c r="K62" i="2" s="1"/>
  <c r="J62" i="2" a="1"/>
  <c r="J62" i="2" s="1"/>
  <c r="H62" i="2" a="1"/>
  <c r="H62" i="2" s="1"/>
  <c r="D62" i="2" a="1"/>
  <c r="F65" i="3" l="1"/>
  <c r="C65" i="3"/>
  <c r="G64" i="3" a="1"/>
  <c r="G64" i="3" s="1"/>
  <c r="L64" i="3"/>
  <c r="M64" i="3"/>
  <c r="G63" i="3" a="1"/>
  <c r="G63" i="3" s="1"/>
  <c r="A63" i="3" a="1"/>
  <c r="A63" i="3" s="1"/>
  <c r="B63" i="3" a="1"/>
  <c r="B63" i="3" s="1"/>
  <c r="D62" i="2"/>
  <c r="C66" i="2"/>
  <c r="F65" i="2"/>
  <c r="J63" i="2" a="1"/>
  <c r="J63" i="2" s="1"/>
  <c r="K63" i="2" a="1"/>
  <c r="K63" i="2" s="1"/>
  <c r="I63" i="2" a="1"/>
  <c r="I63" i="2" s="1"/>
  <c r="H63" i="2" a="1"/>
  <c r="H63" i="2" s="1"/>
  <c r="A64" i="2" a="1"/>
  <c r="A64" i="2" s="1"/>
  <c r="B64" i="2" a="1"/>
  <c r="B64" i="2" s="1"/>
  <c r="D63" i="2" a="1"/>
  <c r="F66" i="3" l="1"/>
  <c r="K64" i="3" a="1"/>
  <c r="K64" i="3" s="1"/>
  <c r="H64" i="3" a="1"/>
  <c r="H64" i="3" s="1"/>
  <c r="I64" i="3" a="1"/>
  <c r="I64" i="3" s="1"/>
  <c r="K63" i="3" a="1"/>
  <c r="K63" i="3" s="1"/>
  <c r="H63" i="3" a="1"/>
  <c r="H63" i="3" s="1"/>
  <c r="I63" i="3" a="1"/>
  <c r="I63" i="3" s="1"/>
  <c r="J63" i="3" a="1"/>
  <c r="J63" i="3" s="1"/>
  <c r="J64" i="3" a="1"/>
  <c r="J64" i="3" s="1"/>
  <c r="C66" i="3"/>
  <c r="G65" i="3" a="1"/>
  <c r="G65" i="3" s="1"/>
  <c r="J65" i="3" s="1" a="1"/>
  <c r="J65" i="3" s="1"/>
  <c r="L65" i="3"/>
  <c r="M65" i="3"/>
  <c r="A64" i="3" a="1"/>
  <c r="A64" i="3" s="1"/>
  <c r="B64" i="3" a="1"/>
  <c r="B64" i="3" s="1"/>
  <c r="D63" i="2"/>
  <c r="A65" i="2" a="1"/>
  <c r="A65" i="2" s="1"/>
  <c r="B65" i="2" a="1"/>
  <c r="B65" i="2" s="1"/>
  <c r="J64" i="2" a="1"/>
  <c r="J64" i="2" s="1"/>
  <c r="K64" i="2" a="1"/>
  <c r="K64" i="2" s="1"/>
  <c r="H64" i="2" a="1"/>
  <c r="H64" i="2" s="1"/>
  <c r="I64" i="2" a="1"/>
  <c r="I64" i="2" s="1"/>
  <c r="C67" i="2"/>
  <c r="F66" i="2"/>
  <c r="D64" i="2" a="1"/>
  <c r="H65" i="3" l="1" a="1"/>
  <c r="H65" i="3" s="1"/>
  <c r="I65" i="3" a="1"/>
  <c r="I65" i="3" s="1"/>
  <c r="K65" i="3" a="1"/>
  <c r="K65" i="3" s="1"/>
  <c r="C67" i="3"/>
  <c r="G66" i="3" a="1"/>
  <c r="G66" i="3" s="1"/>
  <c r="L66" i="3"/>
  <c r="M66" i="3"/>
  <c r="A65" i="3" a="1"/>
  <c r="A65" i="3" s="1"/>
  <c r="B65" i="3" a="1"/>
  <c r="B65" i="3" s="1"/>
  <c r="D64" i="2"/>
  <c r="B66" i="2" a="1"/>
  <c r="B66" i="2" s="1"/>
  <c r="A66" i="2" a="1"/>
  <c r="A66" i="2" s="1"/>
  <c r="C68" i="2"/>
  <c r="F67" i="2"/>
  <c r="I65" i="2" a="1"/>
  <c r="I65" i="2" s="1"/>
  <c r="K65" i="2" a="1"/>
  <c r="K65" i="2" s="1"/>
  <c r="H65" i="2" a="1"/>
  <c r="H65" i="2" s="1"/>
  <c r="J65" i="2" a="1"/>
  <c r="J65" i="2" s="1"/>
  <c r="D65" i="2" a="1"/>
  <c r="I66" i="3" l="1" a="1"/>
  <c r="I66" i="3" s="1"/>
  <c r="K66" i="3" a="1"/>
  <c r="K66" i="3" s="1"/>
  <c r="H66" i="3" a="1"/>
  <c r="H66" i="3" s="1"/>
  <c r="C68" i="3"/>
  <c r="L67" i="3"/>
  <c r="M67" i="3"/>
  <c r="J66" i="3" a="1"/>
  <c r="J66" i="3" s="1"/>
  <c r="F67" i="3"/>
  <c r="F68" i="3" s="1"/>
  <c r="B66" i="3" a="1"/>
  <c r="B66" i="3" s="1"/>
  <c r="A66" i="3" a="1"/>
  <c r="A66" i="3" s="1"/>
  <c r="D65" i="2"/>
  <c r="J66" i="2" a="1"/>
  <c r="J66" i="2" s="1"/>
  <c r="K66" i="2" a="1"/>
  <c r="K66" i="2" s="1"/>
  <c r="I66" i="2" a="1"/>
  <c r="I66" i="2" s="1"/>
  <c r="H66" i="2" a="1"/>
  <c r="H66" i="2" s="1"/>
  <c r="C69" i="2"/>
  <c r="F68" i="2"/>
  <c r="A67" i="2" a="1"/>
  <c r="A67" i="2" s="1"/>
  <c r="B67" i="2" a="1"/>
  <c r="B67" i="2" s="1"/>
  <c r="D66" i="2" a="1"/>
  <c r="C69" i="3" l="1"/>
  <c r="G68" i="3" a="1"/>
  <c r="G68" i="3" s="1"/>
  <c r="L68" i="3"/>
  <c r="M68" i="3"/>
  <c r="J68" i="3" a="1"/>
  <c r="J68" i="3" s="1"/>
  <c r="G67" i="3" a="1"/>
  <c r="G67" i="3" s="1"/>
  <c r="F69" i="3"/>
  <c r="A67" i="3" a="1"/>
  <c r="A67" i="3" s="1"/>
  <c r="B67" i="3" a="1"/>
  <c r="B67" i="3" s="1"/>
  <c r="D66" i="2"/>
  <c r="A68" i="2" a="1"/>
  <c r="A68" i="2" s="1"/>
  <c r="B68" i="2" a="1"/>
  <c r="B68" i="2" s="1"/>
  <c r="C70" i="2"/>
  <c r="F69" i="2"/>
  <c r="I67" i="2" a="1"/>
  <c r="I67" i="2" s="1"/>
  <c r="H67" i="2" a="1"/>
  <c r="H67" i="2" s="1"/>
  <c r="K67" i="2" a="1"/>
  <c r="K67" i="2" s="1"/>
  <c r="J67" i="2" a="1"/>
  <c r="J67" i="2" s="1"/>
  <c r="D67" i="2" a="1"/>
  <c r="I67" i="3" l="1" a="1"/>
  <c r="I67" i="3" s="1"/>
  <c r="H67" i="3" a="1"/>
  <c r="H67" i="3" s="1"/>
  <c r="K67" i="3" a="1"/>
  <c r="K67" i="3" s="1"/>
  <c r="J67" i="3" a="1"/>
  <c r="J67" i="3" s="1"/>
  <c r="K68" i="3" a="1"/>
  <c r="K68" i="3" s="1"/>
  <c r="H68" i="3" a="1"/>
  <c r="H68" i="3" s="1"/>
  <c r="I68" i="3" a="1"/>
  <c r="I68" i="3" s="1"/>
  <c r="C70" i="3"/>
  <c r="G69" i="3" a="1"/>
  <c r="G69" i="3" s="1"/>
  <c r="J69" i="3" s="1" a="1"/>
  <c r="J69" i="3" s="1"/>
  <c r="L69" i="3"/>
  <c r="M69" i="3"/>
  <c r="A68" i="3" a="1"/>
  <c r="A68" i="3" s="1"/>
  <c r="B68" i="3" a="1"/>
  <c r="B68" i="3" s="1"/>
  <c r="D67" i="2"/>
  <c r="C71" i="2"/>
  <c r="F70" i="2"/>
  <c r="I68" i="2" a="1"/>
  <c r="I68" i="2" s="1"/>
  <c r="J68" i="2" a="1"/>
  <c r="J68" i="2" s="1"/>
  <c r="H68" i="2" a="1"/>
  <c r="H68" i="2" s="1"/>
  <c r="K68" i="2" a="1"/>
  <c r="K68" i="2" s="1"/>
  <c r="B69" i="2" a="1"/>
  <c r="B69" i="2" s="1"/>
  <c r="A69" i="2" a="1"/>
  <c r="A69" i="2" s="1"/>
  <c r="D68" i="2" a="1"/>
  <c r="C71" i="3" l="1"/>
  <c r="L70" i="3"/>
  <c r="M70" i="3"/>
  <c r="F70" i="3"/>
  <c r="K69" i="3" a="1"/>
  <c r="K69" i="3" s="1"/>
  <c r="H69" i="3" a="1"/>
  <c r="H69" i="3" s="1"/>
  <c r="I69" i="3" a="1"/>
  <c r="I69" i="3" s="1"/>
  <c r="A69" i="3" a="1"/>
  <c r="A69" i="3" s="1"/>
  <c r="B69" i="3" a="1"/>
  <c r="B69" i="3" s="1"/>
  <c r="D68" i="2"/>
  <c r="A70" i="2" a="1"/>
  <c r="A70" i="2" s="1"/>
  <c r="B70" i="2" a="1"/>
  <c r="B70" i="2" s="1"/>
  <c r="I69" i="2" a="1"/>
  <c r="I69" i="2" s="1"/>
  <c r="K69" i="2" a="1"/>
  <c r="K69" i="2" s="1"/>
  <c r="J69" i="2" a="1"/>
  <c r="J69" i="2" s="1"/>
  <c r="H69" i="2" a="1"/>
  <c r="H69" i="2" s="1"/>
  <c r="C72" i="2"/>
  <c r="F71" i="2"/>
  <c r="D69" i="2" a="1"/>
  <c r="C72" i="3" l="1"/>
  <c r="L71" i="3"/>
  <c r="M71" i="3"/>
  <c r="F71" i="3"/>
  <c r="F72" i="3" s="1"/>
  <c r="G70" i="3" a="1"/>
  <c r="G70" i="3" s="1"/>
  <c r="A70" i="3" a="1"/>
  <c r="A70" i="3" s="1"/>
  <c r="B70" i="3" a="1"/>
  <c r="B70" i="3" s="1"/>
  <c r="D69" i="2"/>
  <c r="I70" i="2" a="1"/>
  <c r="I70" i="2" s="1"/>
  <c r="K70" i="2" a="1"/>
  <c r="K70" i="2" s="1"/>
  <c r="J70" i="2" a="1"/>
  <c r="J70" i="2" s="1"/>
  <c r="H70" i="2" a="1"/>
  <c r="H70" i="2" s="1"/>
  <c r="B71" i="2" a="1"/>
  <c r="B71" i="2" s="1"/>
  <c r="A71" i="2" a="1"/>
  <c r="A71" i="2" s="1"/>
  <c r="C73" i="2"/>
  <c r="F72" i="2"/>
  <c r="D70" i="2" a="1"/>
  <c r="K70" i="3" l="1" a="1"/>
  <c r="K70" i="3" s="1"/>
  <c r="I70" i="3" a="1"/>
  <c r="I70" i="3" s="1"/>
  <c r="H70" i="3" a="1"/>
  <c r="H70" i="3" s="1"/>
  <c r="J70" i="3" a="1"/>
  <c r="J70" i="3" s="1"/>
  <c r="G71" i="3" a="1"/>
  <c r="G71" i="3" s="1"/>
  <c r="C73" i="3"/>
  <c r="L72" i="3"/>
  <c r="M72" i="3"/>
  <c r="G72" i="3" a="1"/>
  <c r="G72" i="3" s="1"/>
  <c r="B71" i="3" a="1"/>
  <c r="B71" i="3" s="1"/>
  <c r="A71" i="3" a="1"/>
  <c r="A71" i="3" s="1"/>
  <c r="D70" i="2"/>
  <c r="C74" i="2"/>
  <c r="F73" i="2"/>
  <c r="K71" i="2" a="1"/>
  <c r="K71" i="2" s="1"/>
  <c r="I71" i="2" a="1"/>
  <c r="I71" i="2" s="1"/>
  <c r="J71" i="2" a="1"/>
  <c r="J71" i="2" s="1"/>
  <c r="H71" i="2" a="1"/>
  <c r="H71" i="2" s="1"/>
  <c r="A72" i="2" a="1"/>
  <c r="A72" i="2" s="1"/>
  <c r="B72" i="2" a="1"/>
  <c r="B72" i="2" s="1"/>
  <c r="D71" i="2" a="1"/>
  <c r="I72" i="3" l="1" a="1"/>
  <c r="I72" i="3" s="1"/>
  <c r="K72" i="3" a="1"/>
  <c r="K72" i="3" s="1"/>
  <c r="H72" i="3" a="1"/>
  <c r="H72" i="3" s="1"/>
  <c r="C74" i="3"/>
  <c r="L73" i="3"/>
  <c r="M73" i="3"/>
  <c r="F73" i="3"/>
  <c r="F74" i="3" s="1"/>
  <c r="J72" i="3" a="1"/>
  <c r="J72" i="3" s="1"/>
  <c r="H71" i="3" a="1"/>
  <c r="H71" i="3" s="1"/>
  <c r="I71" i="3" a="1"/>
  <c r="I71" i="3" s="1"/>
  <c r="K71" i="3" a="1"/>
  <c r="K71" i="3" s="1"/>
  <c r="J71" i="3" a="1"/>
  <c r="J71" i="3" s="1"/>
  <c r="A72" i="3" a="1"/>
  <c r="A72" i="3" s="1"/>
  <c r="B72" i="3" a="1"/>
  <c r="B72" i="3" s="1"/>
  <c r="D71" i="2"/>
  <c r="B73" i="2" a="1"/>
  <c r="B73" i="2" s="1"/>
  <c r="A73" i="2" a="1"/>
  <c r="A73" i="2" s="1"/>
  <c r="J72" i="2" a="1"/>
  <c r="J72" i="2" s="1"/>
  <c r="H72" i="2" a="1"/>
  <c r="H72" i="2" s="1"/>
  <c r="K72" i="2" a="1"/>
  <c r="K72" i="2" s="1"/>
  <c r="I72" i="2" a="1"/>
  <c r="I72" i="2" s="1"/>
  <c r="C75" i="2"/>
  <c r="F74" i="2"/>
  <c r="D72" i="2" a="1"/>
  <c r="G73" i="3" l="1" a="1"/>
  <c r="G73" i="3" s="1"/>
  <c r="C75" i="3"/>
  <c r="G74" i="3" a="1"/>
  <c r="G74" i="3" s="1"/>
  <c r="L74" i="3"/>
  <c r="M74" i="3"/>
  <c r="J74" i="3" a="1"/>
  <c r="J74" i="3" s="1"/>
  <c r="F75" i="3"/>
  <c r="A73" i="3" a="1"/>
  <c r="A73" i="3" s="1"/>
  <c r="B73" i="3" a="1"/>
  <c r="B73" i="3" s="1"/>
  <c r="D72" i="2"/>
  <c r="I73" i="2" a="1"/>
  <c r="I73" i="2" s="1"/>
  <c r="H73" i="2" a="1"/>
  <c r="H73" i="2" s="1"/>
  <c r="J73" i="2" a="1"/>
  <c r="J73" i="2" s="1"/>
  <c r="K73" i="2" a="1"/>
  <c r="K73" i="2" s="1"/>
  <c r="C76" i="2"/>
  <c r="F75" i="2"/>
  <c r="A74" i="2" a="1"/>
  <c r="A74" i="2" s="1"/>
  <c r="B74" i="2" a="1"/>
  <c r="B74" i="2" s="1"/>
  <c r="D73" i="2" a="1"/>
  <c r="K74" i="3" l="1" a="1"/>
  <c r="K74" i="3" s="1"/>
  <c r="H74" i="3" a="1"/>
  <c r="H74" i="3" s="1"/>
  <c r="I74" i="3" a="1"/>
  <c r="I74" i="3" s="1"/>
  <c r="C76" i="3"/>
  <c r="G75" i="3" a="1"/>
  <c r="G75" i="3" s="1"/>
  <c r="L75" i="3"/>
  <c r="M75" i="3"/>
  <c r="F76" i="3"/>
  <c r="I73" i="3" a="1"/>
  <c r="I73" i="3" s="1"/>
  <c r="H73" i="3" a="1"/>
  <c r="H73" i="3" s="1"/>
  <c r="K73" i="3" a="1"/>
  <c r="K73" i="3" s="1"/>
  <c r="J73" i="3" a="1"/>
  <c r="J73" i="3" s="1"/>
  <c r="A74" i="3" a="1"/>
  <c r="A74" i="3" s="1"/>
  <c r="B74" i="3" a="1"/>
  <c r="B74" i="3" s="1"/>
  <c r="D73" i="2"/>
  <c r="C77" i="2"/>
  <c r="F76" i="2"/>
  <c r="I74" i="2" a="1"/>
  <c r="I74" i="2" s="1"/>
  <c r="K74" i="2" a="1"/>
  <c r="K74" i="2" s="1"/>
  <c r="J74" i="2" a="1"/>
  <c r="J74" i="2" s="1"/>
  <c r="H74" i="2" a="1"/>
  <c r="H74" i="2" s="1"/>
  <c r="A75" i="2" a="1"/>
  <c r="A75" i="2" s="1"/>
  <c r="B75" i="2" a="1"/>
  <c r="B75" i="2" s="1"/>
  <c r="D74" i="2" a="1"/>
  <c r="F77" i="3" l="1"/>
  <c r="K75" i="3" a="1"/>
  <c r="K75" i="3" s="1"/>
  <c r="H75" i="3" a="1"/>
  <c r="H75" i="3" s="1"/>
  <c r="I75" i="3" a="1"/>
  <c r="I75" i="3" s="1"/>
  <c r="C77" i="3"/>
  <c r="G76" i="3" a="1"/>
  <c r="G76" i="3" s="1"/>
  <c r="L76" i="3"/>
  <c r="M76" i="3"/>
  <c r="J76" i="3" a="1"/>
  <c r="J76" i="3" s="1"/>
  <c r="J75" i="3" a="1"/>
  <c r="J75" i="3" s="1"/>
  <c r="A75" i="3" a="1"/>
  <c r="A75" i="3" s="1"/>
  <c r="B75" i="3" a="1"/>
  <c r="B75" i="3" s="1"/>
  <c r="D74" i="2"/>
  <c r="A76" i="2" a="1"/>
  <c r="A76" i="2" s="1"/>
  <c r="B76" i="2" a="1"/>
  <c r="B76" i="2" s="1"/>
  <c r="I75" i="2" a="1"/>
  <c r="I75" i="2" s="1"/>
  <c r="K75" i="2" a="1"/>
  <c r="K75" i="2" s="1"/>
  <c r="H75" i="2" a="1"/>
  <c r="H75" i="2" s="1"/>
  <c r="J75" i="2" a="1"/>
  <c r="J75" i="2" s="1"/>
  <c r="C78" i="2"/>
  <c r="F77" i="2"/>
  <c r="D75" i="2" a="1"/>
  <c r="C78" i="3" l="1"/>
  <c r="G77" i="3" a="1"/>
  <c r="G77" i="3" s="1"/>
  <c r="J77" i="3" a="1"/>
  <c r="J77" i="3" s="1"/>
  <c r="L77" i="3"/>
  <c r="M77" i="3"/>
  <c r="K76" i="3" a="1"/>
  <c r="K76" i="3" s="1"/>
  <c r="H76" i="3" a="1"/>
  <c r="H76" i="3" s="1"/>
  <c r="I76" i="3" a="1"/>
  <c r="I76" i="3" s="1"/>
  <c r="A76" i="3" a="1"/>
  <c r="A76" i="3" s="1"/>
  <c r="B76" i="3" a="1"/>
  <c r="B76" i="3" s="1"/>
  <c r="D75" i="2"/>
  <c r="H76" i="2" a="1"/>
  <c r="H76" i="2" s="1"/>
  <c r="K76" i="2" a="1"/>
  <c r="K76" i="2" s="1"/>
  <c r="J76" i="2" a="1"/>
  <c r="J76" i="2" s="1"/>
  <c r="I76" i="2" a="1"/>
  <c r="I76" i="2" s="1"/>
  <c r="A77" i="2" a="1"/>
  <c r="A77" i="2" s="1"/>
  <c r="B77" i="2" a="1"/>
  <c r="B77" i="2" s="1"/>
  <c r="C79" i="2"/>
  <c r="F78" i="2"/>
  <c r="D76" i="2" a="1"/>
  <c r="C79" i="3" l="1"/>
  <c r="L78" i="3"/>
  <c r="M78" i="3"/>
  <c r="F78" i="3"/>
  <c r="F79" i="3" s="1"/>
  <c r="H77" i="3" a="1"/>
  <c r="H77" i="3" s="1"/>
  <c r="I77" i="3" a="1"/>
  <c r="I77" i="3" s="1"/>
  <c r="K77" i="3" a="1"/>
  <c r="K77" i="3" s="1"/>
  <c r="A77" i="3" a="1"/>
  <c r="A77" i="3" s="1"/>
  <c r="B77" i="3" a="1"/>
  <c r="B77" i="3" s="1"/>
  <c r="D76" i="2"/>
  <c r="C80" i="2"/>
  <c r="F79" i="2"/>
  <c r="H77" i="2" a="1"/>
  <c r="H77" i="2" s="1"/>
  <c r="K77" i="2" a="1"/>
  <c r="K77" i="2" s="1"/>
  <c r="J77" i="2" a="1"/>
  <c r="J77" i="2" s="1"/>
  <c r="I77" i="2" a="1"/>
  <c r="I77" i="2" s="1"/>
  <c r="B78" i="2" a="1"/>
  <c r="B78" i="2" s="1"/>
  <c r="A78" i="2" a="1"/>
  <c r="A78" i="2" s="1"/>
  <c r="D77" i="2" a="1"/>
  <c r="G78" i="3" l="1" a="1"/>
  <c r="G78" i="3" s="1"/>
  <c r="C80" i="3"/>
  <c r="G79" i="3" a="1"/>
  <c r="G79" i="3" s="1"/>
  <c r="L79" i="3"/>
  <c r="M79" i="3"/>
  <c r="J79" i="3" a="1"/>
  <c r="J79" i="3" s="1"/>
  <c r="B78" i="3" a="1"/>
  <c r="B78" i="3" s="1"/>
  <c r="A78" i="3" a="1"/>
  <c r="A78" i="3" s="1"/>
  <c r="D77" i="2"/>
  <c r="I78" i="2" a="1"/>
  <c r="I78" i="2" s="1"/>
  <c r="H78" i="2" a="1"/>
  <c r="H78" i="2" s="1"/>
  <c r="K78" i="2" a="1"/>
  <c r="K78" i="2" s="1"/>
  <c r="J78" i="2" a="1"/>
  <c r="J78" i="2" s="1"/>
  <c r="B79" i="2" a="1"/>
  <c r="B79" i="2" s="1"/>
  <c r="A79" i="2" a="1"/>
  <c r="A79" i="2" s="1"/>
  <c r="C81" i="2"/>
  <c r="F80" i="2"/>
  <c r="D78" i="2" a="1"/>
  <c r="I78" i="3" l="1" a="1"/>
  <c r="I78" i="3" s="1"/>
  <c r="K78" i="3" a="1"/>
  <c r="K78" i="3" s="1"/>
  <c r="H78" i="3" a="1"/>
  <c r="H78" i="3" s="1"/>
  <c r="J78" i="3" a="1"/>
  <c r="J78" i="3" s="1"/>
  <c r="I79" i="3" a="1"/>
  <c r="I79" i="3" s="1"/>
  <c r="H79" i="3" a="1"/>
  <c r="H79" i="3" s="1"/>
  <c r="K79" i="3" a="1"/>
  <c r="K79" i="3" s="1"/>
  <c r="C81" i="3"/>
  <c r="G80" i="3" a="1"/>
  <c r="G80" i="3" s="1"/>
  <c r="L80" i="3"/>
  <c r="M80" i="3"/>
  <c r="J80" i="3" a="1"/>
  <c r="J80" i="3" s="1"/>
  <c r="F80" i="3"/>
  <c r="A79" i="3" a="1"/>
  <c r="A79" i="3" s="1"/>
  <c r="B79" i="3" a="1"/>
  <c r="B79" i="3" s="1"/>
  <c r="D78" i="2"/>
  <c r="A80" i="2" a="1"/>
  <c r="A80" i="2" s="1"/>
  <c r="B80" i="2" a="1"/>
  <c r="B80" i="2" s="1"/>
  <c r="J79" i="2" a="1"/>
  <c r="J79" i="2" s="1"/>
  <c r="K79" i="2" a="1"/>
  <c r="K79" i="2" s="1"/>
  <c r="H79" i="2" a="1"/>
  <c r="H79" i="2" s="1"/>
  <c r="I79" i="2" a="1"/>
  <c r="I79" i="2" s="1"/>
  <c r="C82" i="2"/>
  <c r="F81" i="2"/>
  <c r="D79" i="2" a="1"/>
  <c r="K80" i="3" l="1" a="1"/>
  <c r="K80" i="3" s="1"/>
  <c r="H80" i="3" a="1"/>
  <c r="H80" i="3" s="1"/>
  <c r="I80" i="3" a="1"/>
  <c r="I80" i="3" s="1"/>
  <c r="C82" i="3"/>
  <c r="L81" i="3"/>
  <c r="M81" i="3"/>
  <c r="F81" i="3"/>
  <c r="F82" i="3" s="1"/>
  <c r="A80" i="3" a="1"/>
  <c r="A80" i="3" s="1"/>
  <c r="B80" i="3" a="1"/>
  <c r="B80" i="3" s="1"/>
  <c r="D79" i="2"/>
  <c r="C83" i="2"/>
  <c r="F82" i="2"/>
  <c r="A81" i="2" a="1"/>
  <c r="A81" i="2" s="1"/>
  <c r="B81" i="2" a="1"/>
  <c r="B81" i="2" s="1"/>
  <c r="H80" i="2" a="1"/>
  <c r="H80" i="2" s="1"/>
  <c r="I80" i="2" a="1"/>
  <c r="I80" i="2" s="1"/>
  <c r="K80" i="2" a="1"/>
  <c r="K80" i="2" s="1"/>
  <c r="J80" i="2" a="1"/>
  <c r="J80" i="2" s="1"/>
  <c r="D80" i="2" a="1"/>
  <c r="C83" i="3" l="1"/>
  <c r="G82" i="3" a="1"/>
  <c r="G82" i="3" s="1"/>
  <c r="L82" i="3"/>
  <c r="M82" i="3"/>
  <c r="J82" i="3" a="1"/>
  <c r="J82" i="3" s="1"/>
  <c r="G81" i="3" a="1"/>
  <c r="G81" i="3" s="1"/>
  <c r="A81" i="3" a="1"/>
  <c r="A81" i="3" s="1"/>
  <c r="B81" i="3" a="1"/>
  <c r="B81" i="3" s="1"/>
  <c r="D80" i="2"/>
  <c r="K81" i="2" a="1"/>
  <c r="K81" i="2" s="1"/>
  <c r="H81" i="2" a="1"/>
  <c r="H81" i="2" s="1"/>
  <c r="I81" i="2" a="1"/>
  <c r="I81" i="2" s="1"/>
  <c r="J81" i="2" a="1"/>
  <c r="J81" i="2" s="1"/>
  <c r="A82" i="2" a="1"/>
  <c r="A82" i="2" s="1"/>
  <c r="B82" i="2" a="1"/>
  <c r="B82" i="2" s="1"/>
  <c r="C84" i="2"/>
  <c r="F83" i="2"/>
  <c r="D81" i="2" a="1"/>
  <c r="K81" i="3" l="1" a="1"/>
  <c r="K81" i="3" s="1"/>
  <c r="H81" i="3" a="1"/>
  <c r="H81" i="3" s="1"/>
  <c r="I81" i="3" a="1"/>
  <c r="I81" i="3" s="1"/>
  <c r="J81" i="3" a="1"/>
  <c r="J81" i="3" s="1"/>
  <c r="C84" i="3"/>
  <c r="G83" i="3" a="1"/>
  <c r="G83" i="3" s="1"/>
  <c r="J83" i="3" a="1"/>
  <c r="J83" i="3" s="1"/>
  <c r="L83" i="3"/>
  <c r="M83" i="3"/>
  <c r="K82" i="3" a="1"/>
  <c r="K82" i="3" s="1"/>
  <c r="I82" i="3" a="1"/>
  <c r="I82" i="3" s="1"/>
  <c r="H82" i="3" a="1"/>
  <c r="H82" i="3" s="1"/>
  <c r="F83" i="3"/>
  <c r="A82" i="3" a="1"/>
  <c r="A82" i="3" s="1"/>
  <c r="B82" i="3" a="1"/>
  <c r="B82" i="3" s="1"/>
  <c r="D81" i="2"/>
  <c r="C85" i="2"/>
  <c r="F84" i="2"/>
  <c r="B83" i="2" a="1"/>
  <c r="B83" i="2" s="1"/>
  <c r="A83" i="2" a="1"/>
  <c r="A83" i="2" s="1"/>
  <c r="I82" i="2" a="1"/>
  <c r="I82" i="2" s="1"/>
  <c r="K82" i="2" a="1"/>
  <c r="K82" i="2" s="1"/>
  <c r="J82" i="2" a="1"/>
  <c r="J82" i="2" s="1"/>
  <c r="H82" i="2" a="1"/>
  <c r="H82" i="2" s="1"/>
  <c r="D82" i="2" a="1"/>
  <c r="H83" i="3" l="1" a="1"/>
  <c r="H83" i="3" s="1"/>
  <c r="I83" i="3" a="1"/>
  <c r="I83" i="3" s="1"/>
  <c r="K83" i="3" a="1"/>
  <c r="K83" i="3" s="1"/>
  <c r="C85" i="3"/>
  <c r="L84" i="3"/>
  <c r="M84" i="3"/>
  <c r="F84" i="3"/>
  <c r="F85" i="3" s="1"/>
  <c r="B83" i="3" a="1"/>
  <c r="B83" i="3" s="1"/>
  <c r="A83" i="3" a="1"/>
  <c r="A83" i="3" s="1"/>
  <c r="D82" i="2"/>
  <c r="K83" i="2" a="1"/>
  <c r="K83" i="2" s="1"/>
  <c r="H83" i="2" a="1"/>
  <c r="H83" i="2" s="1"/>
  <c r="I83" i="2" a="1"/>
  <c r="I83" i="2" s="1"/>
  <c r="J83" i="2" a="1"/>
  <c r="J83" i="2" s="1"/>
  <c r="B84" i="2" a="1"/>
  <c r="B84" i="2" s="1"/>
  <c r="A84" i="2" a="1"/>
  <c r="A84" i="2" s="1"/>
  <c r="C86" i="2"/>
  <c r="F85" i="2"/>
  <c r="D83" i="2" a="1"/>
  <c r="G84" i="3" l="1" a="1"/>
  <c r="G84" i="3" s="1"/>
  <c r="C86" i="3"/>
  <c r="G85" i="3" a="1"/>
  <c r="G85" i="3" s="1"/>
  <c r="L85" i="3"/>
  <c r="M85" i="3"/>
  <c r="J85" i="3" a="1"/>
  <c r="J85" i="3" s="1"/>
  <c r="F86" i="3"/>
  <c r="A84" i="3" a="1"/>
  <c r="A84" i="3" s="1"/>
  <c r="B84" i="3" a="1"/>
  <c r="B84" i="3" s="1"/>
  <c r="D83" i="2"/>
  <c r="A85" i="2" a="1"/>
  <c r="A85" i="2" s="1"/>
  <c r="B85" i="2" a="1"/>
  <c r="B85" i="2" s="1"/>
  <c r="C87" i="2"/>
  <c r="F86" i="2"/>
  <c r="J84" i="2" a="1"/>
  <c r="J84" i="2" s="1"/>
  <c r="I84" i="2" a="1"/>
  <c r="I84" i="2" s="1"/>
  <c r="H84" i="2" a="1"/>
  <c r="H84" i="2" s="1"/>
  <c r="K84" i="2" a="1"/>
  <c r="K84" i="2" s="1"/>
  <c r="D84" i="2" a="1"/>
  <c r="I85" i="3" l="1" a="1"/>
  <c r="I85" i="3" s="1"/>
  <c r="H85" i="3" a="1"/>
  <c r="H85" i="3" s="1"/>
  <c r="K85" i="3" a="1"/>
  <c r="K85" i="3" s="1"/>
  <c r="C87" i="3"/>
  <c r="G86" i="3" a="1"/>
  <c r="G86" i="3" s="1"/>
  <c r="L86" i="3"/>
  <c r="M86" i="3"/>
  <c r="J86" i="3" a="1"/>
  <c r="J86" i="3" s="1"/>
  <c r="F87" i="3"/>
  <c r="I84" i="3" a="1"/>
  <c r="I84" i="3" s="1"/>
  <c r="K84" i="3" a="1"/>
  <c r="K84" i="3" s="1"/>
  <c r="H84" i="3" a="1"/>
  <c r="H84" i="3" s="1"/>
  <c r="J84" i="3" a="1"/>
  <c r="J84" i="3" s="1"/>
  <c r="A85" i="3" a="1"/>
  <c r="A85" i="3" s="1"/>
  <c r="B85" i="3" a="1"/>
  <c r="B85" i="3" s="1"/>
  <c r="D84" i="2"/>
  <c r="C88" i="2"/>
  <c r="F87" i="2"/>
  <c r="J85" i="2" a="1"/>
  <c r="J85" i="2" s="1"/>
  <c r="H85" i="2" a="1"/>
  <c r="H85" i="2" s="1"/>
  <c r="I85" i="2" a="1"/>
  <c r="I85" i="2" s="1"/>
  <c r="K85" i="2" a="1"/>
  <c r="K85" i="2" s="1"/>
  <c r="A86" i="2" a="1"/>
  <c r="A86" i="2" s="1"/>
  <c r="B86" i="2" a="1"/>
  <c r="B86" i="2" s="1"/>
  <c r="D85" i="2" a="1"/>
  <c r="C88" i="3" l="1"/>
  <c r="G87" i="3" a="1"/>
  <c r="G87" i="3" s="1"/>
  <c r="J87" i="3" a="1"/>
  <c r="J87" i="3" s="1"/>
  <c r="L87" i="3"/>
  <c r="M87" i="3"/>
  <c r="K86" i="3" a="1"/>
  <c r="K86" i="3" s="1"/>
  <c r="H86" i="3" a="1"/>
  <c r="H86" i="3" s="1"/>
  <c r="I86" i="3" a="1"/>
  <c r="I86" i="3" s="1"/>
  <c r="F88" i="3"/>
  <c r="A86" i="3" a="1"/>
  <c r="A86" i="3" s="1"/>
  <c r="B86" i="3" a="1"/>
  <c r="B86" i="3" s="1"/>
  <c r="D85" i="2"/>
  <c r="H86" i="2" a="1"/>
  <c r="H86" i="2" s="1"/>
  <c r="I86" i="2" a="1"/>
  <c r="I86" i="2" s="1"/>
  <c r="K86" i="2" a="1"/>
  <c r="K86" i="2" s="1"/>
  <c r="J86" i="2" a="1"/>
  <c r="J86" i="2" s="1"/>
  <c r="A87" i="2" a="1"/>
  <c r="A87" i="2" s="1"/>
  <c r="B87" i="2" a="1"/>
  <c r="B87" i="2" s="1"/>
  <c r="C89" i="2"/>
  <c r="F88" i="2"/>
  <c r="D86" i="2" a="1"/>
  <c r="K87" i="3" l="1" a="1"/>
  <c r="K87" i="3" s="1"/>
  <c r="H87" i="3" a="1"/>
  <c r="H87" i="3" s="1"/>
  <c r="I87" i="3" a="1"/>
  <c r="I87" i="3" s="1"/>
  <c r="C89" i="3"/>
  <c r="G88" i="3" a="1"/>
  <c r="G88" i="3" s="1"/>
  <c r="M88" i="3"/>
  <c r="L88" i="3"/>
  <c r="J88" i="3" a="1"/>
  <c r="J88" i="3" s="1"/>
  <c r="A87" i="3" a="1"/>
  <c r="A87" i="3" s="1"/>
  <c r="B87" i="3" a="1"/>
  <c r="B87" i="3" s="1"/>
  <c r="D86" i="2"/>
  <c r="K87" i="2" a="1"/>
  <c r="K87" i="2" s="1"/>
  <c r="J87" i="2" a="1"/>
  <c r="J87" i="2" s="1"/>
  <c r="I87" i="2" a="1"/>
  <c r="I87" i="2" s="1"/>
  <c r="H87" i="2" a="1"/>
  <c r="H87" i="2" s="1"/>
  <c r="A88" i="2" a="1"/>
  <c r="A88" i="2" s="1"/>
  <c r="B88" i="2" a="1"/>
  <c r="B88" i="2" s="1"/>
  <c r="C90" i="2"/>
  <c r="F89" i="2"/>
  <c r="D87" i="2" a="1"/>
  <c r="I88" i="3" l="1" a="1"/>
  <c r="I88" i="3" s="1"/>
  <c r="K88" i="3" a="1"/>
  <c r="K88" i="3" s="1"/>
  <c r="H88" i="3" a="1"/>
  <c r="H88" i="3" s="1"/>
  <c r="C90" i="3"/>
  <c r="L89" i="3"/>
  <c r="M89" i="3"/>
  <c r="F89" i="3"/>
  <c r="F90" i="3" s="1"/>
  <c r="A88" i="3" a="1"/>
  <c r="A88" i="3" s="1"/>
  <c r="B88" i="3" a="1"/>
  <c r="B88" i="3" s="1"/>
  <c r="D87" i="2"/>
  <c r="C91" i="2"/>
  <c r="F90" i="2"/>
  <c r="B89" i="2" a="1"/>
  <c r="B89" i="2" s="1"/>
  <c r="A89" i="2" a="1"/>
  <c r="A89" i="2" s="1"/>
  <c r="I88" i="2" a="1"/>
  <c r="I88" i="2" s="1"/>
  <c r="H88" i="2" a="1"/>
  <c r="H88" i="2" s="1"/>
  <c r="J88" i="2" a="1"/>
  <c r="J88" i="2" s="1"/>
  <c r="K88" i="2" a="1"/>
  <c r="K88" i="2" s="1"/>
  <c r="D88" i="2" a="1"/>
  <c r="C91" i="3" l="1"/>
  <c r="G90" i="3" a="1"/>
  <c r="G90" i="3" s="1"/>
  <c r="J90" i="3" a="1"/>
  <c r="J90" i="3" s="1"/>
  <c r="L90" i="3"/>
  <c r="M90" i="3"/>
  <c r="F91" i="3"/>
  <c r="G89" i="3" a="1"/>
  <c r="G89" i="3" s="1"/>
  <c r="A89" i="3" a="1"/>
  <c r="A89" i="3" s="1"/>
  <c r="B89" i="3" a="1"/>
  <c r="B89" i="3" s="1"/>
  <c r="D88" i="2"/>
  <c r="B90" i="2" a="1"/>
  <c r="B90" i="2" s="1"/>
  <c r="A90" i="2" a="1"/>
  <c r="A90" i="2" s="1"/>
  <c r="H89" i="2" a="1"/>
  <c r="H89" i="2" s="1"/>
  <c r="K89" i="2" a="1"/>
  <c r="K89" i="2" s="1"/>
  <c r="J89" i="2" a="1"/>
  <c r="J89" i="2" s="1"/>
  <c r="I89" i="2" a="1"/>
  <c r="I89" i="2" s="1"/>
  <c r="C92" i="2"/>
  <c r="F91" i="2"/>
  <c r="D89" i="2" a="1"/>
  <c r="I90" i="3" l="1" a="1"/>
  <c r="I90" i="3" s="1"/>
  <c r="K90" i="3" a="1"/>
  <c r="K90" i="3" s="1"/>
  <c r="H90" i="3" a="1"/>
  <c r="H90" i="3" s="1"/>
  <c r="K89" i="3" a="1"/>
  <c r="K89" i="3" s="1"/>
  <c r="H89" i="3" a="1"/>
  <c r="H89" i="3" s="1"/>
  <c r="I89" i="3" a="1"/>
  <c r="I89" i="3" s="1"/>
  <c r="J89" i="3" a="1"/>
  <c r="J89" i="3" s="1"/>
  <c r="C92" i="3"/>
  <c r="G91" i="3" a="1"/>
  <c r="G91" i="3" s="1"/>
  <c r="L91" i="3"/>
  <c r="M91" i="3"/>
  <c r="B90" i="3" a="1"/>
  <c r="B90" i="3" s="1"/>
  <c r="A90" i="3" a="1"/>
  <c r="A90" i="3" s="1"/>
  <c r="D89" i="2"/>
  <c r="J90" i="2" a="1"/>
  <c r="J90" i="2" s="1"/>
  <c r="I90" i="2" a="1"/>
  <c r="I90" i="2" s="1"/>
  <c r="K90" i="2" a="1"/>
  <c r="K90" i="2" s="1"/>
  <c r="H90" i="2" a="1"/>
  <c r="H90" i="2" s="1"/>
  <c r="A91" i="2" a="1"/>
  <c r="A91" i="2" s="1"/>
  <c r="B91" i="2" a="1"/>
  <c r="B91" i="2" s="1"/>
  <c r="C93" i="2"/>
  <c r="F92" i="2"/>
  <c r="D90" i="2" a="1"/>
  <c r="K91" i="3" l="1" a="1"/>
  <c r="K91" i="3" s="1"/>
  <c r="H91" i="3" a="1"/>
  <c r="H91" i="3" s="1"/>
  <c r="I91" i="3" a="1"/>
  <c r="I91" i="3" s="1"/>
  <c r="C93" i="3"/>
  <c r="M92" i="3"/>
  <c r="L92" i="3"/>
  <c r="J91" i="3" a="1"/>
  <c r="J91" i="3" s="1"/>
  <c r="F92" i="3"/>
  <c r="F93" i="3" s="1"/>
  <c r="A91" i="3" a="1"/>
  <c r="A91" i="3" s="1"/>
  <c r="B91" i="3" a="1"/>
  <c r="B91" i="3" s="1"/>
  <c r="D90" i="2"/>
  <c r="A92" i="2" a="1"/>
  <c r="A92" i="2" s="1"/>
  <c r="B92" i="2" a="1"/>
  <c r="B92" i="2" s="1"/>
  <c r="K91" i="2" a="1"/>
  <c r="K91" i="2" s="1"/>
  <c r="J91" i="2" a="1"/>
  <c r="J91" i="2" s="1"/>
  <c r="H91" i="2" a="1"/>
  <c r="H91" i="2" s="1"/>
  <c r="I91" i="2" a="1"/>
  <c r="I91" i="2" s="1"/>
  <c r="C94" i="2"/>
  <c r="F93" i="2"/>
  <c r="D91" i="2" a="1"/>
  <c r="C94" i="3" l="1"/>
  <c r="G93" i="3" a="1"/>
  <c r="G93" i="3" s="1"/>
  <c r="J93" i="3" a="1"/>
  <c r="J93" i="3" s="1"/>
  <c r="L93" i="3"/>
  <c r="M93" i="3"/>
  <c r="F94" i="3"/>
  <c r="G92" i="3" a="1"/>
  <c r="G92" i="3" s="1"/>
  <c r="A92" i="3" a="1"/>
  <c r="A92" i="3" s="1"/>
  <c r="B92" i="3" a="1"/>
  <c r="B92" i="3" s="1"/>
  <c r="D91" i="2"/>
  <c r="C95" i="2"/>
  <c r="F94" i="2"/>
  <c r="A93" i="2" a="1"/>
  <c r="A93" i="2" s="1"/>
  <c r="B93" i="2" a="1"/>
  <c r="B93" i="2" s="1"/>
  <c r="J92" i="2" a="1"/>
  <c r="J92" i="2" s="1"/>
  <c r="K92" i="2" a="1"/>
  <c r="K92" i="2" s="1"/>
  <c r="I92" i="2" a="1"/>
  <c r="I92" i="2" s="1"/>
  <c r="H92" i="2" a="1"/>
  <c r="H92" i="2" s="1"/>
  <c r="D92" i="2" a="1"/>
  <c r="K93" i="3" l="1" a="1"/>
  <c r="K93" i="3" s="1"/>
  <c r="H93" i="3" a="1"/>
  <c r="H93" i="3" s="1"/>
  <c r="I93" i="3" a="1"/>
  <c r="I93" i="3" s="1"/>
  <c r="K92" i="3" a="1"/>
  <c r="K92" i="3" s="1"/>
  <c r="H92" i="3" a="1"/>
  <c r="H92" i="3" s="1"/>
  <c r="I92" i="3" a="1"/>
  <c r="I92" i="3" s="1"/>
  <c r="J92" i="3" a="1"/>
  <c r="J92" i="3" s="1"/>
  <c r="C95" i="3"/>
  <c r="G94" i="3" a="1"/>
  <c r="G94" i="3" s="1"/>
  <c r="L94" i="3"/>
  <c r="M94" i="3"/>
  <c r="A93" i="3" a="1"/>
  <c r="A93" i="3" s="1"/>
  <c r="B93" i="3" a="1"/>
  <c r="B93" i="3" s="1"/>
  <c r="D92" i="2"/>
  <c r="J93" i="2" a="1"/>
  <c r="J93" i="2" s="1"/>
  <c r="I93" i="2" a="1"/>
  <c r="I93" i="2" s="1"/>
  <c r="H93" i="2" a="1"/>
  <c r="H93" i="2" s="1"/>
  <c r="K93" i="2" a="1"/>
  <c r="K93" i="2" s="1"/>
  <c r="A94" i="2" a="1"/>
  <c r="A94" i="2" s="1"/>
  <c r="B94" i="2" a="1"/>
  <c r="B94" i="2" s="1"/>
  <c r="C96" i="2"/>
  <c r="F95" i="2"/>
  <c r="D93" i="2" a="1"/>
  <c r="I94" i="3" l="1" a="1"/>
  <c r="I94" i="3" s="1"/>
  <c r="K94" i="3" a="1"/>
  <c r="K94" i="3" s="1"/>
  <c r="H94" i="3" a="1"/>
  <c r="H94" i="3" s="1"/>
  <c r="C96" i="3"/>
  <c r="L95" i="3"/>
  <c r="M95" i="3"/>
  <c r="J94" i="3" a="1"/>
  <c r="J94" i="3" s="1"/>
  <c r="F95" i="3"/>
  <c r="F96" i="3" s="1"/>
  <c r="A94" i="3" a="1"/>
  <c r="A94" i="3" s="1"/>
  <c r="B94" i="3" a="1"/>
  <c r="B94" i="3" s="1"/>
  <c r="D93" i="2"/>
  <c r="C97" i="2"/>
  <c r="F96" i="2"/>
  <c r="B95" i="2" a="1"/>
  <c r="B95" i="2" s="1"/>
  <c r="A95" i="2" a="1"/>
  <c r="A95" i="2" s="1"/>
  <c r="H94" i="2" a="1"/>
  <c r="H94" i="2" s="1"/>
  <c r="J94" i="2" a="1"/>
  <c r="J94" i="2" s="1"/>
  <c r="K94" i="2" a="1"/>
  <c r="K94" i="2" s="1"/>
  <c r="I94" i="2" a="1"/>
  <c r="I94" i="2" s="1"/>
  <c r="D94" i="2" a="1"/>
  <c r="C97" i="3" l="1"/>
  <c r="G96" i="3" a="1"/>
  <c r="G96" i="3" s="1"/>
  <c r="J96" i="3" a="1"/>
  <c r="J96" i="3" s="1"/>
  <c r="L96" i="3"/>
  <c r="M96" i="3"/>
  <c r="F97" i="3"/>
  <c r="G95" i="3" a="1"/>
  <c r="G95" i="3" s="1"/>
  <c r="B95" i="3" a="1"/>
  <c r="B95" i="3" s="1"/>
  <c r="A95" i="3" a="1"/>
  <c r="A95" i="3" s="1"/>
  <c r="D94" i="2"/>
  <c r="I95" i="2" a="1"/>
  <c r="I95" i="2" s="1"/>
  <c r="H95" i="2" a="1"/>
  <c r="H95" i="2" s="1"/>
  <c r="J95" i="2" a="1"/>
  <c r="J95" i="2" s="1"/>
  <c r="K95" i="2" a="1"/>
  <c r="K95" i="2" s="1"/>
  <c r="A96" i="2" a="1"/>
  <c r="A96" i="2" s="1"/>
  <c r="B96" i="2" a="1"/>
  <c r="B96" i="2" s="1"/>
  <c r="C98" i="2"/>
  <c r="F97" i="2"/>
  <c r="D95" i="2" a="1"/>
  <c r="K96" i="3" l="1" a="1"/>
  <c r="K96" i="3" s="1"/>
  <c r="H96" i="3" a="1"/>
  <c r="H96" i="3" s="1"/>
  <c r="I96" i="3" a="1"/>
  <c r="I96" i="3" s="1"/>
  <c r="K95" i="3" a="1"/>
  <c r="K95" i="3" s="1"/>
  <c r="H95" i="3" a="1"/>
  <c r="H95" i="3" s="1"/>
  <c r="I95" i="3" a="1"/>
  <c r="I95" i="3" s="1"/>
  <c r="J95" i="3" a="1"/>
  <c r="J95" i="3" s="1"/>
  <c r="C98" i="3"/>
  <c r="G97" i="3" a="1"/>
  <c r="G97" i="3" s="1"/>
  <c r="J97" i="3" s="1" a="1"/>
  <c r="J97" i="3" s="1"/>
  <c r="L97" i="3"/>
  <c r="M97" i="3"/>
  <c r="A96" i="3" a="1"/>
  <c r="A96" i="3" s="1"/>
  <c r="B96" i="3" a="1"/>
  <c r="B96" i="3" s="1"/>
  <c r="D95" i="2"/>
  <c r="I96" i="2" a="1"/>
  <c r="I96" i="2" s="1"/>
  <c r="K96" i="2" a="1"/>
  <c r="K96" i="2" s="1"/>
  <c r="J96" i="2" a="1"/>
  <c r="J96" i="2" s="1"/>
  <c r="H96" i="2" a="1"/>
  <c r="H96" i="2" s="1"/>
  <c r="B97" i="2" a="1"/>
  <c r="B97" i="2" s="1"/>
  <c r="A97" i="2" a="1"/>
  <c r="A97" i="2" s="1"/>
  <c r="C99" i="2"/>
  <c r="F98" i="2"/>
  <c r="D96" i="2" a="1"/>
  <c r="C99" i="3" l="1"/>
  <c r="L98" i="3"/>
  <c r="M98" i="3"/>
  <c r="H97" i="3" a="1"/>
  <c r="H97" i="3" s="1"/>
  <c r="I97" i="3" a="1"/>
  <c r="I97" i="3" s="1"/>
  <c r="K97" i="3" a="1"/>
  <c r="K97" i="3" s="1"/>
  <c r="F98" i="3"/>
  <c r="F99" i="3" s="1"/>
  <c r="A97" i="3" a="1"/>
  <c r="A97" i="3" s="1"/>
  <c r="B97" i="3" a="1"/>
  <c r="B97" i="3" s="1"/>
  <c r="D96" i="2"/>
  <c r="A98" i="2" a="1"/>
  <c r="A98" i="2" s="1"/>
  <c r="B98" i="2" a="1"/>
  <c r="B98" i="2" s="1"/>
  <c r="C100" i="2"/>
  <c r="F99" i="2"/>
  <c r="J97" i="2" a="1"/>
  <c r="J97" i="2" s="1"/>
  <c r="K97" i="2" a="1"/>
  <c r="K97" i="2" s="1"/>
  <c r="H97" i="2" a="1"/>
  <c r="H97" i="2" s="1"/>
  <c r="I97" i="2" a="1"/>
  <c r="I97" i="2" s="1"/>
  <c r="D97" i="2" a="1"/>
  <c r="G98" i="3" l="1" a="1"/>
  <c r="G98" i="3" s="1"/>
  <c r="C100" i="3"/>
  <c r="G99" i="3" a="1"/>
  <c r="G99" i="3" s="1"/>
  <c r="J99" i="3" a="1"/>
  <c r="J99" i="3" s="1"/>
  <c r="M99" i="3"/>
  <c r="L99" i="3"/>
  <c r="A98" i="3" a="1"/>
  <c r="A98" i="3" s="1"/>
  <c r="B98" i="3" a="1"/>
  <c r="B98" i="3" s="1"/>
  <c r="D97" i="2"/>
  <c r="B99" i="2" a="1"/>
  <c r="B99" i="2" s="1"/>
  <c r="A99" i="2" a="1"/>
  <c r="A99" i="2" s="1"/>
  <c r="K98" i="2" a="1"/>
  <c r="K98" i="2" s="1"/>
  <c r="H98" i="2" a="1"/>
  <c r="H98" i="2" s="1"/>
  <c r="I98" i="2" a="1"/>
  <c r="I98" i="2" s="1"/>
  <c r="J98" i="2" a="1"/>
  <c r="J98" i="2" s="1"/>
  <c r="C101" i="2"/>
  <c r="F100" i="2"/>
  <c r="D98" i="2" a="1"/>
  <c r="I98" i="3" l="1" a="1"/>
  <c r="I98" i="3" s="1"/>
  <c r="H98" i="3" a="1"/>
  <c r="H98" i="3" s="1"/>
  <c r="K98" i="3" a="1"/>
  <c r="K98" i="3" s="1"/>
  <c r="J98" i="3" a="1"/>
  <c r="J98" i="3" s="1"/>
  <c r="K99" i="3" a="1"/>
  <c r="K99" i="3" s="1"/>
  <c r="H99" i="3" a="1"/>
  <c r="H99" i="3" s="1"/>
  <c r="I99" i="3" a="1"/>
  <c r="I99" i="3" s="1"/>
  <c r="C101" i="3"/>
  <c r="G100" i="3" a="1"/>
  <c r="G100" i="3" s="1"/>
  <c r="J100" i="3" a="1"/>
  <c r="J100" i="3" s="1"/>
  <c r="L100" i="3"/>
  <c r="M100" i="3"/>
  <c r="F100" i="3"/>
  <c r="A99" i="3" a="1"/>
  <c r="A99" i="3" s="1"/>
  <c r="B99" i="3" a="1"/>
  <c r="B99" i="3" s="1"/>
  <c r="D98" i="2"/>
  <c r="C102" i="2"/>
  <c r="F101" i="2"/>
  <c r="I99" i="2" a="1"/>
  <c r="I99" i="2" s="1"/>
  <c r="K99" i="2" a="1"/>
  <c r="K99" i="2" s="1"/>
  <c r="H99" i="2" a="1"/>
  <c r="H99" i="2" s="1"/>
  <c r="J99" i="2" a="1"/>
  <c r="J99" i="2" s="1"/>
  <c r="A100" i="2" a="1"/>
  <c r="A100" i="2" s="1"/>
  <c r="B100" i="2" a="1"/>
  <c r="B100" i="2" s="1"/>
  <c r="D99" i="2" a="1"/>
  <c r="K100" i="3" l="1" a="1"/>
  <c r="K100" i="3" s="1"/>
  <c r="H100" i="3" a="1"/>
  <c r="H100" i="3" s="1"/>
  <c r="I100" i="3" a="1"/>
  <c r="I100" i="3" s="1"/>
  <c r="C102" i="3"/>
  <c r="L101" i="3"/>
  <c r="M101" i="3"/>
  <c r="F101" i="3"/>
  <c r="F102" i="3" s="1"/>
  <c r="A100" i="3" a="1"/>
  <c r="A100" i="3" s="1"/>
  <c r="B100" i="3" a="1"/>
  <c r="B100" i="3" s="1"/>
  <c r="D99" i="2"/>
  <c r="A101" i="2" a="1"/>
  <c r="A101" i="2" s="1"/>
  <c r="B101" i="2" a="1"/>
  <c r="B101" i="2" s="1"/>
  <c r="H100" i="2" a="1"/>
  <c r="H100" i="2" s="1"/>
  <c r="K100" i="2" a="1"/>
  <c r="K100" i="2" s="1"/>
  <c r="J100" i="2" a="1"/>
  <c r="J100" i="2" s="1"/>
  <c r="I100" i="2" a="1"/>
  <c r="I100" i="2" s="1"/>
  <c r="C103" i="2"/>
  <c r="F102" i="2"/>
  <c r="D100" i="2" a="1"/>
  <c r="C103" i="3" l="1"/>
  <c r="G102" i="3" a="1"/>
  <c r="G102" i="3" s="1"/>
  <c r="L102" i="3"/>
  <c r="M102" i="3"/>
  <c r="F103" i="3"/>
  <c r="G101" i="3" a="1"/>
  <c r="G101" i="3" s="1"/>
  <c r="A101" i="3" a="1"/>
  <c r="A101" i="3" s="1"/>
  <c r="B101" i="3" a="1"/>
  <c r="B101" i="3" s="1"/>
  <c r="D100" i="2"/>
  <c r="C104" i="2"/>
  <c r="F103" i="2"/>
  <c r="K101" i="2" a="1"/>
  <c r="K101" i="2" s="1"/>
  <c r="H101" i="2" a="1"/>
  <c r="H101" i="2" s="1"/>
  <c r="I101" i="2" a="1"/>
  <c r="I101" i="2" s="1"/>
  <c r="J101" i="2" a="1"/>
  <c r="J101" i="2" s="1"/>
  <c r="B102" i="2" a="1"/>
  <c r="B102" i="2" s="1"/>
  <c r="A102" i="2" a="1"/>
  <c r="A102" i="2" s="1"/>
  <c r="D101" i="2" a="1"/>
  <c r="K101" i="3" l="1" a="1"/>
  <c r="K101" i="3" s="1"/>
  <c r="H101" i="3" a="1"/>
  <c r="H101" i="3" s="1"/>
  <c r="I101" i="3" a="1"/>
  <c r="I101" i="3" s="1"/>
  <c r="J101" i="3" a="1"/>
  <c r="J101" i="3" s="1"/>
  <c r="K102" i="3" a="1"/>
  <c r="K102" i="3" s="1"/>
  <c r="H102" i="3" a="1"/>
  <c r="H102" i="3" s="1"/>
  <c r="I102" i="3" a="1"/>
  <c r="I102" i="3" s="1"/>
  <c r="J102" i="3" a="1"/>
  <c r="J102" i="3" s="1"/>
  <c r="C104" i="3"/>
  <c r="G103" i="3" a="1"/>
  <c r="G103" i="3" s="1"/>
  <c r="L103" i="3"/>
  <c r="M103" i="3"/>
  <c r="B102" i="3" a="1"/>
  <c r="B102" i="3" s="1"/>
  <c r="A102" i="3" a="1"/>
  <c r="A102" i="3" s="1"/>
  <c r="D101" i="2"/>
  <c r="I102" i="2" a="1"/>
  <c r="I102" i="2" s="1"/>
  <c r="J102" i="2" a="1"/>
  <c r="J102" i="2" s="1"/>
  <c r="H102" i="2" a="1"/>
  <c r="H102" i="2" s="1"/>
  <c r="K102" i="2" a="1"/>
  <c r="K102" i="2" s="1"/>
  <c r="A103" i="2" a="1"/>
  <c r="A103" i="2" s="1"/>
  <c r="B103" i="2" a="1"/>
  <c r="B103" i="2" s="1"/>
  <c r="C105" i="2"/>
  <c r="F104" i="2"/>
  <c r="D102" i="2" a="1"/>
  <c r="C105" i="3" l="1"/>
  <c r="L104" i="3"/>
  <c r="M104" i="3"/>
  <c r="F104" i="3"/>
  <c r="F105" i="3" s="1"/>
  <c r="I103" i="3" a="1"/>
  <c r="I103" i="3" s="1"/>
  <c r="H103" i="3" a="1"/>
  <c r="H103" i="3" s="1"/>
  <c r="K103" i="3" a="1"/>
  <c r="K103" i="3" s="1"/>
  <c r="J103" i="3" a="1"/>
  <c r="J103" i="3" s="1"/>
  <c r="A103" i="3" a="1"/>
  <c r="A103" i="3" s="1"/>
  <c r="B103" i="3" a="1"/>
  <c r="B103" i="3" s="1"/>
  <c r="D102" i="2"/>
  <c r="A104" i="2" a="1"/>
  <c r="A104" i="2" s="1"/>
  <c r="B104" i="2" a="1"/>
  <c r="B104" i="2" s="1"/>
  <c r="C106" i="2"/>
  <c r="F105" i="2"/>
  <c r="K103" i="2" a="1"/>
  <c r="K103" i="2" s="1"/>
  <c r="H103" i="2" a="1"/>
  <c r="H103" i="2" s="1"/>
  <c r="I103" i="2" a="1"/>
  <c r="I103" i="2" s="1"/>
  <c r="J103" i="2" a="1"/>
  <c r="J103" i="2" s="1"/>
  <c r="D103" i="2" a="1"/>
  <c r="G104" i="3" l="1" a="1"/>
  <c r="G104" i="3" s="1"/>
  <c r="C106" i="3"/>
  <c r="G105" i="3" a="1"/>
  <c r="G105" i="3" s="1"/>
  <c r="M105" i="3"/>
  <c r="L105" i="3"/>
  <c r="J105" i="3" a="1"/>
  <c r="J105" i="3" s="1"/>
  <c r="A104" i="3" a="1"/>
  <c r="A104" i="3" s="1"/>
  <c r="B104" i="3" a="1"/>
  <c r="B104" i="3" s="1"/>
  <c r="D103" i="2"/>
  <c r="I104" i="2" a="1"/>
  <c r="I104" i="2" s="1"/>
  <c r="K104" i="2" a="1"/>
  <c r="K104" i="2" s="1"/>
  <c r="H104" i="2" a="1"/>
  <c r="H104" i="2" s="1"/>
  <c r="J104" i="2" a="1"/>
  <c r="J104" i="2" s="1"/>
  <c r="C107" i="2"/>
  <c r="F106" i="2"/>
  <c r="A105" i="2" a="1"/>
  <c r="A105" i="2" s="1"/>
  <c r="B105" i="2" a="1"/>
  <c r="B105" i="2" s="1"/>
  <c r="D104" i="2" a="1"/>
  <c r="K104" i="3" l="1" a="1"/>
  <c r="K104" i="3" s="1"/>
  <c r="H104" i="3" a="1"/>
  <c r="H104" i="3" s="1"/>
  <c r="I104" i="3" a="1"/>
  <c r="I104" i="3" s="1"/>
  <c r="J104" i="3" a="1"/>
  <c r="J104" i="3" s="1"/>
  <c r="K105" i="3" a="1"/>
  <c r="K105" i="3" s="1"/>
  <c r="H105" i="3" a="1"/>
  <c r="H105" i="3" s="1"/>
  <c r="I105" i="3" a="1"/>
  <c r="I105" i="3" s="1"/>
  <c r="C107" i="3"/>
  <c r="G106" i="3" a="1"/>
  <c r="G106" i="3" s="1"/>
  <c r="L106" i="3"/>
  <c r="M106" i="3"/>
  <c r="J106" i="3" a="1"/>
  <c r="J106" i="3" s="1"/>
  <c r="F106" i="3"/>
  <c r="A105" i="3" a="1"/>
  <c r="A105" i="3" s="1"/>
  <c r="B105" i="3" a="1"/>
  <c r="B105" i="3" s="1"/>
  <c r="D104" i="2"/>
  <c r="K105" i="2" a="1"/>
  <c r="K105" i="2" s="1"/>
  <c r="H105" i="2" a="1"/>
  <c r="H105" i="2" s="1"/>
  <c r="J105" i="2" a="1"/>
  <c r="J105" i="2" s="1"/>
  <c r="I105" i="2" a="1"/>
  <c r="I105" i="2" s="1"/>
  <c r="A106" i="2" a="1"/>
  <c r="A106" i="2" s="1"/>
  <c r="B106" i="2" a="1"/>
  <c r="B106" i="2" s="1"/>
  <c r="C108" i="2"/>
  <c r="F107" i="2"/>
  <c r="D105" i="2" a="1"/>
  <c r="K106" i="3" l="1" a="1"/>
  <c r="K106" i="3" s="1"/>
  <c r="H106" i="3" a="1"/>
  <c r="H106" i="3" s="1"/>
  <c r="I106" i="3" a="1"/>
  <c r="I106" i="3" s="1"/>
  <c r="C108" i="3"/>
  <c r="L107" i="3"/>
  <c r="M107" i="3"/>
  <c r="F107" i="3"/>
  <c r="F108" i="3" s="1"/>
  <c r="A106" i="3" a="1"/>
  <c r="A106" i="3" s="1"/>
  <c r="B106" i="3" a="1"/>
  <c r="B106" i="3" s="1"/>
  <c r="D105" i="2"/>
  <c r="C109" i="2"/>
  <c r="F108" i="2"/>
  <c r="A107" i="2" a="1"/>
  <c r="A107" i="2" s="1"/>
  <c r="B107" i="2" a="1"/>
  <c r="B107" i="2" s="1"/>
  <c r="J106" i="2" a="1"/>
  <c r="J106" i="2" s="1"/>
  <c r="K106" i="2" a="1"/>
  <c r="K106" i="2" s="1"/>
  <c r="H106" i="2" a="1"/>
  <c r="H106" i="2" s="1"/>
  <c r="I106" i="2" a="1"/>
  <c r="I106" i="2" s="1"/>
  <c r="D106" i="2" a="1"/>
  <c r="C109" i="3" l="1"/>
  <c r="L108" i="3"/>
  <c r="M108" i="3"/>
  <c r="G108" i="3" a="1"/>
  <c r="G108" i="3" s="1"/>
  <c r="J108" i="3" a="1"/>
  <c r="J108" i="3" s="1"/>
  <c r="G107" i="3" a="1"/>
  <c r="G107" i="3" s="1"/>
  <c r="B107" i="3" a="1"/>
  <c r="B107" i="3" s="1"/>
  <c r="A107" i="3" a="1"/>
  <c r="A107" i="3" s="1"/>
  <c r="D106" i="2"/>
  <c r="I107" i="2" a="1"/>
  <c r="I107" i="2" s="1"/>
  <c r="H107" i="2" a="1"/>
  <c r="H107" i="2" s="1"/>
  <c r="K107" i="2" a="1"/>
  <c r="K107" i="2" s="1"/>
  <c r="J107" i="2" a="1"/>
  <c r="J107" i="2" s="1"/>
  <c r="A108" i="2" a="1"/>
  <c r="A108" i="2" s="1"/>
  <c r="B108" i="2" a="1"/>
  <c r="B108" i="2" s="1"/>
  <c r="C110" i="2"/>
  <c r="F109" i="2"/>
  <c r="D107" i="2" a="1"/>
  <c r="K107" i="3" l="1" a="1"/>
  <c r="K107" i="3" s="1"/>
  <c r="H107" i="3" a="1"/>
  <c r="H107" i="3" s="1"/>
  <c r="I107" i="3" a="1"/>
  <c r="I107" i="3" s="1"/>
  <c r="J107" i="3" a="1"/>
  <c r="J107" i="3" s="1"/>
  <c r="C110" i="3"/>
  <c r="G109" i="3" a="1"/>
  <c r="G109" i="3" s="1"/>
  <c r="L109" i="3"/>
  <c r="M109" i="3"/>
  <c r="J109" i="3" a="1"/>
  <c r="J109" i="3" s="1"/>
  <c r="H108" i="3" a="1"/>
  <c r="H108" i="3" s="1"/>
  <c r="I108" i="3" a="1"/>
  <c r="I108" i="3" s="1"/>
  <c r="K108" i="3" a="1"/>
  <c r="K108" i="3" s="1"/>
  <c r="F109" i="3"/>
  <c r="A108" i="3" a="1"/>
  <c r="A108" i="3" s="1"/>
  <c r="B108" i="3" a="1"/>
  <c r="B108" i="3" s="1"/>
  <c r="D107" i="2"/>
  <c r="A109" i="2" a="1"/>
  <c r="A109" i="2" s="1"/>
  <c r="B109" i="2" a="1"/>
  <c r="B109" i="2" s="1"/>
  <c r="K108" i="2" a="1"/>
  <c r="K108" i="2" s="1"/>
  <c r="H108" i="2" a="1"/>
  <c r="H108" i="2" s="1"/>
  <c r="I108" i="2" a="1"/>
  <c r="I108" i="2" s="1"/>
  <c r="J108" i="2" a="1"/>
  <c r="J108" i="2" s="1"/>
  <c r="C111" i="2"/>
  <c r="F110" i="2"/>
  <c r="D108" i="2" a="1"/>
  <c r="C111" i="3" l="1"/>
  <c r="L110" i="3"/>
  <c r="M110" i="3"/>
  <c r="K109" i="3" a="1"/>
  <c r="K109" i="3" s="1"/>
  <c r="I109" i="3" a="1"/>
  <c r="I109" i="3" s="1"/>
  <c r="H109" i="3" a="1"/>
  <c r="H109" i="3" s="1"/>
  <c r="F110" i="3"/>
  <c r="F111" i="3" s="1"/>
  <c r="A109" i="3" a="1"/>
  <c r="A109" i="3" s="1"/>
  <c r="B109" i="3" a="1"/>
  <c r="B109" i="3" s="1"/>
  <c r="D108" i="2"/>
  <c r="C112" i="2"/>
  <c r="F111" i="2"/>
  <c r="A110" i="2" a="1"/>
  <c r="A110" i="2" s="1"/>
  <c r="B110" i="2" a="1"/>
  <c r="B110" i="2" s="1"/>
  <c r="J109" i="2" a="1"/>
  <c r="J109" i="2" s="1"/>
  <c r="K109" i="2" a="1"/>
  <c r="K109" i="2" s="1"/>
  <c r="H109" i="2" a="1"/>
  <c r="H109" i="2" s="1"/>
  <c r="I109" i="2" a="1"/>
  <c r="I109" i="2" s="1"/>
  <c r="D109" i="2" a="1"/>
  <c r="G110" i="3" l="1" a="1"/>
  <c r="G110" i="3" s="1"/>
  <c r="C112" i="3"/>
  <c r="G111" i="3" a="1"/>
  <c r="G111" i="3" s="1"/>
  <c r="L111" i="3"/>
  <c r="M111" i="3"/>
  <c r="J111" i="3" a="1"/>
  <c r="J111" i="3" s="1"/>
  <c r="A110" i="3" a="1"/>
  <c r="A110" i="3" s="1"/>
  <c r="B110" i="3" a="1"/>
  <c r="B110" i="3" s="1"/>
  <c r="D109" i="2"/>
  <c r="J110" i="2" a="1"/>
  <c r="J110" i="2" s="1"/>
  <c r="K110" i="2" a="1"/>
  <c r="K110" i="2" s="1"/>
  <c r="H110" i="2" a="1"/>
  <c r="H110" i="2" s="1"/>
  <c r="I110" i="2" a="1"/>
  <c r="I110" i="2" s="1"/>
  <c r="A111" i="2" a="1"/>
  <c r="A111" i="2" s="1"/>
  <c r="B111" i="2" a="1"/>
  <c r="B111" i="2" s="1"/>
  <c r="C113" i="2"/>
  <c r="F112" i="2"/>
  <c r="D110" i="2" a="1"/>
  <c r="C113" i="3" l="1"/>
  <c r="L112" i="3"/>
  <c r="M112" i="3"/>
  <c r="K111" i="3" a="1"/>
  <c r="K111" i="3" s="1"/>
  <c r="H111" i="3" a="1"/>
  <c r="H111" i="3" s="1"/>
  <c r="I111" i="3" a="1"/>
  <c r="I111" i="3" s="1"/>
  <c r="F112" i="3"/>
  <c r="F113" i="3" s="1"/>
  <c r="I110" i="3" a="1"/>
  <c r="I110" i="3" s="1"/>
  <c r="K110" i="3" a="1"/>
  <c r="K110" i="3" s="1"/>
  <c r="H110" i="3" a="1"/>
  <c r="H110" i="3" s="1"/>
  <c r="J110" i="3" a="1"/>
  <c r="J110" i="3" s="1"/>
  <c r="A111" i="3" a="1"/>
  <c r="A111" i="3" s="1"/>
  <c r="B111" i="3" a="1"/>
  <c r="B111" i="3" s="1"/>
  <c r="D110" i="2"/>
  <c r="C114" i="2"/>
  <c r="F113" i="2"/>
  <c r="A112" i="2" a="1"/>
  <c r="A112" i="2" s="1"/>
  <c r="B112" i="2" a="1"/>
  <c r="B112" i="2" s="1"/>
  <c r="K111" i="2" a="1"/>
  <c r="K111" i="2" s="1"/>
  <c r="I111" i="2" a="1"/>
  <c r="I111" i="2" s="1"/>
  <c r="H111" i="2" a="1"/>
  <c r="H111" i="2" s="1"/>
  <c r="J111" i="2" a="1"/>
  <c r="J111" i="2" s="1"/>
  <c r="D111" i="2" a="1"/>
  <c r="G112" i="3" l="1" a="1"/>
  <c r="G112" i="3" s="1"/>
  <c r="C114" i="3"/>
  <c r="G113" i="3" a="1"/>
  <c r="G113" i="3" s="1"/>
  <c r="L113" i="3"/>
  <c r="M113" i="3"/>
  <c r="J113" i="3" a="1"/>
  <c r="J113" i="3" s="1"/>
  <c r="A112" i="3" a="1"/>
  <c r="A112" i="3" s="1"/>
  <c r="B112" i="3" a="1"/>
  <c r="B112" i="3" s="1"/>
  <c r="D111" i="2"/>
  <c r="B113" i="2" a="1"/>
  <c r="B113" i="2" s="1"/>
  <c r="A113" i="2" a="1"/>
  <c r="A113" i="2" s="1"/>
  <c r="I112" i="2" a="1"/>
  <c r="I112" i="2" s="1"/>
  <c r="J112" i="2" a="1"/>
  <c r="J112" i="2" s="1"/>
  <c r="K112" i="2" a="1"/>
  <c r="K112" i="2" s="1"/>
  <c r="H112" i="2" a="1"/>
  <c r="H112" i="2" s="1"/>
  <c r="C115" i="2"/>
  <c r="F114" i="2"/>
  <c r="D112" i="2" a="1"/>
  <c r="C115" i="3" l="1"/>
  <c r="G114" i="3" a="1"/>
  <c r="G114" i="3" s="1"/>
  <c r="L114" i="3"/>
  <c r="M114" i="3"/>
  <c r="J114" i="3" a="1"/>
  <c r="J114" i="3" s="1"/>
  <c r="K113" i="3" a="1"/>
  <c r="K113" i="3" s="1"/>
  <c r="H113" i="3" a="1"/>
  <c r="H113" i="3" s="1"/>
  <c r="I113" i="3" a="1"/>
  <c r="I113" i="3" s="1"/>
  <c r="K112" i="3" a="1"/>
  <c r="K112" i="3" s="1"/>
  <c r="H112" i="3" a="1"/>
  <c r="H112" i="3" s="1"/>
  <c r="I112" i="3" a="1"/>
  <c r="I112" i="3" s="1"/>
  <c r="J112" i="3" a="1"/>
  <c r="J112" i="3" s="1"/>
  <c r="F114" i="3"/>
  <c r="F115" i="3" s="1"/>
  <c r="A113" i="3" a="1"/>
  <c r="A113" i="3" s="1"/>
  <c r="B113" i="3" a="1"/>
  <c r="B113" i="3" s="1"/>
  <c r="D112" i="2"/>
  <c r="J113" i="2" a="1"/>
  <c r="J113" i="2" s="1"/>
  <c r="K113" i="2" a="1"/>
  <c r="K113" i="2" s="1"/>
  <c r="H113" i="2" a="1"/>
  <c r="H113" i="2" s="1"/>
  <c r="I113" i="2" a="1"/>
  <c r="I113" i="2" s="1"/>
  <c r="B114" i="2" a="1"/>
  <c r="B114" i="2" s="1"/>
  <c r="A114" i="2" a="1"/>
  <c r="A114" i="2" s="1"/>
  <c r="C116" i="2"/>
  <c r="F115" i="2"/>
  <c r="D113" i="2" a="1"/>
  <c r="K114" i="3" l="1" a="1"/>
  <c r="K114" i="3" s="1"/>
  <c r="H114" i="3" a="1"/>
  <c r="H114" i="3" s="1"/>
  <c r="I114" i="3" a="1"/>
  <c r="I114" i="3" s="1"/>
  <c r="C116" i="3"/>
  <c r="G115" i="3" a="1"/>
  <c r="G115" i="3" s="1"/>
  <c r="L115" i="3"/>
  <c r="M115" i="3"/>
  <c r="B114" i="3" a="1"/>
  <c r="B114" i="3" s="1"/>
  <c r="A114" i="3" a="1"/>
  <c r="A114" i="3" s="1"/>
  <c r="D113" i="2"/>
  <c r="A115" i="2" a="1"/>
  <c r="A115" i="2" s="1"/>
  <c r="B115" i="2" a="1"/>
  <c r="B115" i="2" s="1"/>
  <c r="C117" i="2"/>
  <c r="F116" i="2"/>
  <c r="I114" i="2" a="1"/>
  <c r="I114" i="2" s="1"/>
  <c r="K114" i="2" a="1"/>
  <c r="K114" i="2" s="1"/>
  <c r="J114" i="2" a="1"/>
  <c r="J114" i="2" s="1"/>
  <c r="H114" i="2" a="1"/>
  <c r="H114" i="2" s="1"/>
  <c r="D114" i="2" a="1"/>
  <c r="I115" i="3" l="1" a="1"/>
  <c r="I115" i="3" s="1"/>
  <c r="K115" i="3" a="1"/>
  <c r="K115" i="3" s="1"/>
  <c r="H115" i="3" a="1"/>
  <c r="H115" i="3" s="1"/>
  <c r="J115" i="3" a="1"/>
  <c r="J115" i="3" s="1"/>
  <c r="C117" i="3"/>
  <c r="L116" i="3"/>
  <c r="M116" i="3"/>
  <c r="F116" i="3"/>
  <c r="F117" i="3" s="1"/>
  <c r="A115" i="3" a="1"/>
  <c r="A115" i="3" s="1"/>
  <c r="B115" i="3" a="1"/>
  <c r="B115" i="3" s="1"/>
  <c r="D114" i="2"/>
  <c r="J115" i="2" a="1"/>
  <c r="J115" i="2" s="1"/>
  <c r="H115" i="2" a="1"/>
  <c r="H115" i="2" s="1"/>
  <c r="K115" i="2" a="1"/>
  <c r="K115" i="2" s="1"/>
  <c r="I115" i="2" a="1"/>
  <c r="I115" i="2" s="1"/>
  <c r="A116" i="2" a="1"/>
  <c r="A116" i="2" s="1"/>
  <c r="B116" i="2" a="1"/>
  <c r="B116" i="2" s="1"/>
  <c r="C118" i="2"/>
  <c r="F117" i="2"/>
  <c r="D115" i="2" a="1"/>
  <c r="G116" i="3" l="1" a="1"/>
  <c r="G116" i="3" s="1"/>
  <c r="C118" i="3"/>
  <c r="G117" i="3" a="1"/>
  <c r="G117" i="3" s="1"/>
  <c r="L117" i="3"/>
  <c r="M117" i="3"/>
  <c r="J117" i="3" a="1"/>
  <c r="J117" i="3" s="1"/>
  <c r="A116" i="3" a="1"/>
  <c r="A116" i="3" s="1"/>
  <c r="B116" i="3" a="1"/>
  <c r="B116" i="3" s="1"/>
  <c r="D115" i="2"/>
  <c r="I116" i="2" a="1"/>
  <c r="I116" i="2" s="1"/>
  <c r="K116" i="2" a="1"/>
  <c r="K116" i="2" s="1"/>
  <c r="J116" i="2" a="1"/>
  <c r="J116" i="2" s="1"/>
  <c r="H116" i="2" a="1"/>
  <c r="H116" i="2" s="1"/>
  <c r="B117" i="2" a="1"/>
  <c r="B117" i="2" s="1"/>
  <c r="A117" i="2" a="1"/>
  <c r="A117" i="2" s="1"/>
  <c r="C119" i="2"/>
  <c r="F118" i="2"/>
  <c r="D116" i="2" a="1"/>
  <c r="K116" i="3" l="1" a="1"/>
  <c r="K116" i="3" s="1"/>
  <c r="H116" i="3" a="1"/>
  <c r="H116" i="3" s="1"/>
  <c r="I116" i="3" a="1"/>
  <c r="I116" i="3" s="1"/>
  <c r="J116" i="3" a="1"/>
  <c r="J116" i="3" s="1"/>
  <c r="I117" i="3" a="1"/>
  <c r="I117" i="3" s="1"/>
  <c r="K117" i="3" a="1"/>
  <c r="K117" i="3" s="1"/>
  <c r="H117" i="3" a="1"/>
  <c r="H117" i="3" s="1"/>
  <c r="C119" i="3"/>
  <c r="G118" i="3" a="1"/>
  <c r="G118" i="3" s="1"/>
  <c r="L118" i="3"/>
  <c r="M118" i="3"/>
  <c r="F118" i="3"/>
  <c r="A117" i="3" a="1"/>
  <c r="A117" i="3" s="1"/>
  <c r="B117" i="3" a="1"/>
  <c r="B117" i="3" s="1"/>
  <c r="D116" i="2"/>
  <c r="H117" i="2" a="1"/>
  <c r="H117" i="2" s="1"/>
  <c r="K117" i="2" a="1"/>
  <c r="K117" i="2" s="1"/>
  <c r="I117" i="2" a="1"/>
  <c r="I117" i="2" s="1"/>
  <c r="J117" i="2" a="1"/>
  <c r="J117" i="2" s="1"/>
  <c r="C120" i="2"/>
  <c r="F119" i="2"/>
  <c r="B118" i="2" a="1"/>
  <c r="B118" i="2" s="1"/>
  <c r="A118" i="2" a="1"/>
  <c r="A118" i="2" s="1"/>
  <c r="D117" i="2" a="1"/>
  <c r="I118" i="3" l="1" a="1"/>
  <c r="I118" i="3" s="1"/>
  <c r="K118" i="3" a="1"/>
  <c r="K118" i="3" s="1"/>
  <c r="H118" i="3" a="1"/>
  <c r="H118" i="3" s="1"/>
  <c r="J118" i="3" a="1"/>
  <c r="J118" i="3" s="1"/>
  <c r="C120" i="3"/>
  <c r="L119" i="3"/>
  <c r="M119" i="3"/>
  <c r="F119" i="3"/>
  <c r="F120" i="3" s="1"/>
  <c r="A118" i="3" a="1"/>
  <c r="A118" i="3" s="1"/>
  <c r="B118" i="3" a="1"/>
  <c r="B118" i="3" s="1"/>
  <c r="D117" i="2"/>
  <c r="A119" i="2" a="1"/>
  <c r="A119" i="2" s="1"/>
  <c r="B119" i="2" a="1"/>
  <c r="B119" i="2" s="1"/>
  <c r="C121" i="2"/>
  <c r="F120" i="2"/>
  <c r="J118" i="2" a="1"/>
  <c r="J118" i="2" s="1"/>
  <c r="I118" i="2" a="1"/>
  <c r="I118" i="2" s="1"/>
  <c r="H118" i="2" a="1"/>
  <c r="H118" i="2" s="1"/>
  <c r="K118" i="2" a="1"/>
  <c r="K118" i="2" s="1"/>
  <c r="D118" i="2" a="1"/>
  <c r="C121" i="3" l="1"/>
  <c r="G120" i="3" a="1"/>
  <c r="G120" i="3" s="1"/>
  <c r="L120" i="3"/>
  <c r="M120" i="3"/>
  <c r="J120" i="3" a="1"/>
  <c r="J120" i="3" s="1"/>
  <c r="G119" i="3" a="1"/>
  <c r="G119" i="3" s="1"/>
  <c r="B119" i="3" a="1"/>
  <c r="B119" i="3" s="1"/>
  <c r="A119" i="3" a="1"/>
  <c r="A119" i="3" s="1"/>
  <c r="D118" i="2"/>
  <c r="J119" i="2" a="1"/>
  <c r="J119" i="2" s="1"/>
  <c r="H119" i="2" a="1"/>
  <c r="H119" i="2" s="1"/>
  <c r="K119" i="2" a="1"/>
  <c r="K119" i="2" s="1"/>
  <c r="I119" i="2" a="1"/>
  <c r="I119" i="2" s="1"/>
  <c r="B120" i="2" a="1"/>
  <c r="B120" i="2" s="1"/>
  <c r="A120" i="2" a="1"/>
  <c r="A120" i="2" s="1"/>
  <c r="C122" i="2"/>
  <c r="F121" i="2"/>
  <c r="D119" i="2" a="1"/>
  <c r="I119" i="3" l="1" a="1"/>
  <c r="I119" i="3" s="1"/>
  <c r="H119" i="3" a="1"/>
  <c r="H119" i="3" s="1"/>
  <c r="K119" i="3" a="1"/>
  <c r="K119" i="3" s="1"/>
  <c r="J119" i="3" a="1"/>
  <c r="J119" i="3" s="1"/>
  <c r="C122" i="3"/>
  <c r="G121" i="3" a="1"/>
  <c r="G121" i="3" s="1"/>
  <c r="L121" i="3"/>
  <c r="M121" i="3"/>
  <c r="J121" i="3" a="1"/>
  <c r="J121" i="3" s="1"/>
  <c r="K120" i="3" a="1"/>
  <c r="K120" i="3" s="1"/>
  <c r="H120" i="3" a="1"/>
  <c r="H120" i="3" s="1"/>
  <c r="I120" i="3" a="1"/>
  <c r="I120" i="3" s="1"/>
  <c r="F121" i="3"/>
  <c r="A120" i="3" a="1"/>
  <c r="A120" i="3" s="1"/>
  <c r="B120" i="3" a="1"/>
  <c r="B120" i="3" s="1"/>
  <c r="D119" i="2"/>
  <c r="J120" i="2" a="1"/>
  <c r="J120" i="2" s="1"/>
  <c r="K120" i="2" a="1"/>
  <c r="K120" i="2" s="1"/>
  <c r="I120" i="2" a="1"/>
  <c r="I120" i="2" s="1"/>
  <c r="H120" i="2" a="1"/>
  <c r="H120" i="2" s="1"/>
  <c r="B121" i="2" a="1"/>
  <c r="B121" i="2" s="1"/>
  <c r="A121" i="2" a="1"/>
  <c r="A121" i="2" s="1"/>
  <c r="C123" i="2"/>
  <c r="F122" i="2"/>
  <c r="D120" i="2" a="1"/>
  <c r="C123" i="3" l="1"/>
  <c r="L122" i="3"/>
  <c r="M122" i="3"/>
  <c r="K121" i="3" a="1"/>
  <c r="K121" i="3" s="1"/>
  <c r="I121" i="3" a="1"/>
  <c r="I121" i="3" s="1"/>
  <c r="H121" i="3" a="1"/>
  <c r="H121" i="3" s="1"/>
  <c r="F122" i="3"/>
  <c r="F123" i="3" s="1"/>
  <c r="A121" i="3" a="1"/>
  <c r="A121" i="3" s="1"/>
  <c r="B121" i="3" a="1"/>
  <c r="B121" i="3" s="1"/>
  <c r="D120" i="2"/>
  <c r="K121" i="2" a="1"/>
  <c r="K121" i="2" s="1"/>
  <c r="H121" i="2" a="1"/>
  <c r="H121" i="2" s="1"/>
  <c r="J121" i="2" a="1"/>
  <c r="J121" i="2" s="1"/>
  <c r="I121" i="2" a="1"/>
  <c r="I121" i="2" s="1"/>
  <c r="C124" i="2"/>
  <c r="F123" i="2"/>
  <c r="B122" i="2" a="1"/>
  <c r="B122" i="2" s="1"/>
  <c r="A122" i="2" a="1"/>
  <c r="A122" i="2" s="1"/>
  <c r="D121" i="2" a="1"/>
  <c r="G122" i="3" l="1" a="1"/>
  <c r="G122" i="3" s="1"/>
  <c r="C124" i="3"/>
  <c r="G123" i="3" a="1"/>
  <c r="G123" i="3" s="1"/>
  <c r="L123" i="3"/>
  <c r="M123" i="3"/>
  <c r="J123" i="3" a="1"/>
  <c r="J123" i="3" s="1"/>
  <c r="A122" i="3" a="1"/>
  <c r="A122" i="3" s="1"/>
  <c r="B122" i="3" a="1"/>
  <c r="B122" i="3" s="1"/>
  <c r="D121" i="2"/>
  <c r="A123" i="2" a="1"/>
  <c r="A123" i="2" s="1"/>
  <c r="B123" i="2" a="1"/>
  <c r="B123" i="2" s="1"/>
  <c r="J122" i="2" a="1"/>
  <c r="J122" i="2" s="1"/>
  <c r="I122" i="2" a="1"/>
  <c r="I122" i="2" s="1"/>
  <c r="K122" i="2" a="1"/>
  <c r="K122" i="2" s="1"/>
  <c r="H122" i="2" a="1"/>
  <c r="H122" i="2" s="1"/>
  <c r="C125" i="2"/>
  <c r="F124" i="2"/>
  <c r="D122" i="2" a="1"/>
  <c r="C125" i="3" l="1"/>
  <c r="G124" i="3" a="1"/>
  <c r="G124" i="3" s="1"/>
  <c r="L124" i="3"/>
  <c r="M124" i="3"/>
  <c r="J124" i="3" a="1"/>
  <c r="J124" i="3" s="1"/>
  <c r="K123" i="3" a="1"/>
  <c r="K123" i="3" s="1"/>
  <c r="H123" i="3" a="1"/>
  <c r="H123" i="3" s="1"/>
  <c r="I123" i="3" a="1"/>
  <c r="I123" i="3" s="1"/>
  <c r="K122" i="3" a="1"/>
  <c r="K122" i="3" s="1"/>
  <c r="H122" i="3" a="1"/>
  <c r="H122" i="3" s="1"/>
  <c r="I122" i="3" a="1"/>
  <c r="I122" i="3" s="1"/>
  <c r="J122" i="3" a="1"/>
  <c r="J122" i="3" s="1"/>
  <c r="F124" i="3"/>
  <c r="F125" i="3" s="1"/>
  <c r="A123" i="3" a="1"/>
  <c r="A123" i="3" s="1"/>
  <c r="B123" i="3" a="1"/>
  <c r="B123" i="3" s="1"/>
  <c r="D122" i="2"/>
  <c r="A124" i="2" a="1"/>
  <c r="A124" i="2" s="1"/>
  <c r="B124" i="2" a="1"/>
  <c r="B124" i="2" s="1"/>
  <c r="K123" i="2" a="1"/>
  <c r="K123" i="2" s="1"/>
  <c r="H123" i="2" a="1"/>
  <c r="H123" i="2" s="1"/>
  <c r="I123" i="2" a="1"/>
  <c r="I123" i="2" s="1"/>
  <c r="J123" i="2" a="1"/>
  <c r="J123" i="2" s="1"/>
  <c r="C126" i="2"/>
  <c r="F125" i="2"/>
  <c r="D123" i="2" a="1"/>
  <c r="K124" i="3" l="1" a="1"/>
  <c r="K124" i="3" s="1"/>
  <c r="H124" i="3" a="1"/>
  <c r="H124" i="3" s="1"/>
  <c r="I124" i="3" a="1"/>
  <c r="I124" i="3" s="1"/>
  <c r="C126" i="3"/>
  <c r="G125" i="3" a="1"/>
  <c r="G125" i="3" s="1"/>
  <c r="L125" i="3"/>
  <c r="M125" i="3"/>
  <c r="J125" i="3" a="1"/>
  <c r="J125" i="3" s="1"/>
  <c r="A124" i="3" a="1"/>
  <c r="A124" i="3" s="1"/>
  <c r="B124" i="3" a="1"/>
  <c r="B124" i="3" s="1"/>
  <c r="D123" i="2"/>
  <c r="A125" i="2" a="1"/>
  <c r="A125" i="2" s="1"/>
  <c r="B125" i="2" a="1"/>
  <c r="B125" i="2" s="1"/>
  <c r="I124" i="2" a="1"/>
  <c r="I124" i="2" s="1"/>
  <c r="J124" i="2" a="1"/>
  <c r="J124" i="2" s="1"/>
  <c r="H124" i="2" a="1"/>
  <c r="H124" i="2" s="1"/>
  <c r="K124" i="2" a="1"/>
  <c r="K124" i="2" s="1"/>
  <c r="C127" i="2"/>
  <c r="F126" i="2"/>
  <c r="D124" i="2" a="1"/>
  <c r="I125" i="3" l="1" a="1"/>
  <c r="I125" i="3" s="1"/>
  <c r="K125" i="3" a="1"/>
  <c r="K125" i="3" s="1"/>
  <c r="H125" i="3" a="1"/>
  <c r="H125" i="3" s="1"/>
  <c r="C127" i="3"/>
  <c r="L126" i="3"/>
  <c r="M126" i="3"/>
  <c r="F126" i="3"/>
  <c r="F127" i="3" s="1"/>
  <c r="A125" i="3" a="1"/>
  <c r="A125" i="3" s="1"/>
  <c r="B125" i="3" a="1"/>
  <c r="B125" i="3" s="1"/>
  <c r="D124" i="2"/>
  <c r="I125" i="2" a="1"/>
  <c r="I125" i="2" s="1"/>
  <c r="K125" i="2" a="1"/>
  <c r="K125" i="2" s="1"/>
  <c r="H125" i="2" a="1"/>
  <c r="H125" i="2" s="1"/>
  <c r="J125" i="2" a="1"/>
  <c r="J125" i="2" s="1"/>
  <c r="B126" i="2" a="1"/>
  <c r="B126" i="2" s="1"/>
  <c r="A126" i="2" a="1"/>
  <c r="A126" i="2" s="1"/>
  <c r="C128" i="2"/>
  <c r="F127" i="2"/>
  <c r="D125" i="2" a="1"/>
  <c r="C128" i="3" l="1"/>
  <c r="G127" i="3" a="1"/>
  <c r="G127" i="3" s="1"/>
  <c r="J127" i="3" s="1" a="1"/>
  <c r="J127" i="3" s="1"/>
  <c r="L127" i="3"/>
  <c r="M127" i="3"/>
  <c r="F128" i="3"/>
  <c r="G126" i="3" a="1"/>
  <c r="G126" i="3" s="1"/>
  <c r="B126" i="3" a="1"/>
  <c r="B126" i="3" s="1"/>
  <c r="A126" i="3" a="1"/>
  <c r="A126" i="3" s="1"/>
  <c r="D125" i="2"/>
  <c r="C129" i="2"/>
  <c r="F128" i="2"/>
  <c r="A127" i="2" a="1"/>
  <c r="A127" i="2" s="1"/>
  <c r="B127" i="2" a="1"/>
  <c r="B127" i="2" s="1"/>
  <c r="H126" i="2" a="1"/>
  <c r="H126" i="2" s="1"/>
  <c r="K126" i="2" a="1"/>
  <c r="K126" i="2" s="1"/>
  <c r="J126" i="2" a="1"/>
  <c r="J126" i="2" s="1"/>
  <c r="I126" i="2" a="1"/>
  <c r="I126" i="2" s="1"/>
  <c r="D126" i="2" a="1"/>
  <c r="I126" i="3" l="1" a="1"/>
  <c r="I126" i="3" s="1"/>
  <c r="K126" i="3" a="1"/>
  <c r="K126" i="3" s="1"/>
  <c r="H126" i="3" a="1"/>
  <c r="H126" i="3" s="1"/>
  <c r="J126" i="3" a="1"/>
  <c r="J126" i="3" s="1"/>
  <c r="I127" i="3" a="1"/>
  <c r="I127" i="3" s="1"/>
  <c r="H127" i="3" a="1"/>
  <c r="H127" i="3" s="1"/>
  <c r="K127" i="3" a="1"/>
  <c r="K127" i="3" s="1"/>
  <c r="C129" i="3"/>
  <c r="G128" i="3" a="1"/>
  <c r="G128" i="3" s="1"/>
  <c r="L128" i="3"/>
  <c r="M128" i="3"/>
  <c r="A127" i="3" a="1"/>
  <c r="A127" i="3" s="1"/>
  <c r="B127" i="3" a="1"/>
  <c r="B127" i="3" s="1"/>
  <c r="D126" i="2"/>
  <c r="A128" i="2" a="1"/>
  <c r="A128" i="2" s="1"/>
  <c r="B128" i="2" a="1"/>
  <c r="B128" i="2" s="1"/>
  <c r="H127" i="2" a="1"/>
  <c r="H127" i="2" s="1"/>
  <c r="K127" i="2" a="1"/>
  <c r="K127" i="2" s="1"/>
  <c r="J127" i="2" a="1"/>
  <c r="J127" i="2" s="1"/>
  <c r="I127" i="2" a="1"/>
  <c r="I127" i="2" s="1"/>
  <c r="C130" i="2"/>
  <c r="F129" i="2"/>
  <c r="D127" i="2" a="1"/>
  <c r="K128" i="3" l="1" a="1"/>
  <c r="K128" i="3" s="1"/>
  <c r="H128" i="3" a="1"/>
  <c r="H128" i="3" s="1"/>
  <c r="I128" i="3" a="1"/>
  <c r="I128" i="3" s="1"/>
  <c r="C130" i="3"/>
  <c r="L129" i="3"/>
  <c r="M129" i="3"/>
  <c r="F129" i="3"/>
  <c r="F130" i="3" s="1"/>
  <c r="J128" i="3" a="1"/>
  <c r="J128" i="3" s="1"/>
  <c r="A128" i="3" a="1"/>
  <c r="A128" i="3" s="1"/>
  <c r="B128" i="3" a="1"/>
  <c r="B128" i="3" s="1"/>
  <c r="D127" i="2"/>
  <c r="A129" i="2" a="1"/>
  <c r="A129" i="2" s="1"/>
  <c r="B129" i="2" a="1"/>
  <c r="B129" i="2" s="1"/>
  <c r="C131" i="2"/>
  <c r="F130" i="2"/>
  <c r="I128" i="2" a="1"/>
  <c r="I128" i="2" s="1"/>
  <c r="K128" i="2" a="1"/>
  <c r="K128" i="2" s="1"/>
  <c r="H128" i="2" a="1"/>
  <c r="H128" i="2" s="1"/>
  <c r="J128" i="2" a="1"/>
  <c r="J128" i="2" s="1"/>
  <c r="D128" i="2" a="1"/>
  <c r="G129" i="3" l="1" a="1"/>
  <c r="G129" i="3" s="1"/>
  <c r="C131" i="3"/>
  <c r="G130" i="3" a="1"/>
  <c r="G130" i="3" s="1"/>
  <c r="L130" i="3"/>
  <c r="M130" i="3"/>
  <c r="J130" i="3" a="1"/>
  <c r="J130" i="3" s="1"/>
  <c r="A129" i="3" a="1"/>
  <c r="A129" i="3" s="1"/>
  <c r="B129" i="3" a="1"/>
  <c r="B129" i="3" s="1"/>
  <c r="D128" i="2"/>
  <c r="J129" i="2" a="1"/>
  <c r="J129" i="2" s="1"/>
  <c r="H129" i="2" a="1"/>
  <c r="H129" i="2" s="1"/>
  <c r="I129" i="2" a="1"/>
  <c r="I129" i="2" s="1"/>
  <c r="K129" i="2" a="1"/>
  <c r="K129" i="2" s="1"/>
  <c r="A130" i="2" a="1"/>
  <c r="A130" i="2" s="1"/>
  <c r="B130" i="2" a="1"/>
  <c r="B130" i="2" s="1"/>
  <c r="C132" i="2"/>
  <c r="F131" i="2"/>
  <c r="D129" i="2" a="1"/>
  <c r="H129" i="3" l="1" a="1"/>
  <c r="H129" i="3" s="1"/>
  <c r="I129" i="3" a="1"/>
  <c r="I129" i="3" s="1"/>
  <c r="K129" i="3" a="1"/>
  <c r="K129" i="3" s="1"/>
  <c r="J129" i="3" a="1"/>
  <c r="J129" i="3" s="1"/>
  <c r="K130" i="3" a="1"/>
  <c r="K130" i="3" s="1"/>
  <c r="H130" i="3" a="1"/>
  <c r="H130" i="3" s="1"/>
  <c r="I130" i="3" a="1"/>
  <c r="I130" i="3" s="1"/>
  <c r="C132" i="3"/>
  <c r="G131" i="3" a="1"/>
  <c r="G131" i="3" s="1"/>
  <c r="M131" i="3"/>
  <c r="L131" i="3"/>
  <c r="F131" i="3"/>
  <c r="A130" i="3" a="1"/>
  <c r="A130" i="3" s="1"/>
  <c r="B130" i="3" a="1"/>
  <c r="B130" i="3" s="1"/>
  <c r="D129" i="2"/>
  <c r="H130" i="2" a="1"/>
  <c r="H130" i="2" s="1"/>
  <c r="K130" i="2" a="1"/>
  <c r="K130" i="2" s="1"/>
  <c r="J130" i="2" a="1"/>
  <c r="J130" i="2" s="1"/>
  <c r="I130" i="2" a="1"/>
  <c r="I130" i="2" s="1"/>
  <c r="B131" i="2" a="1"/>
  <c r="B131" i="2" s="1"/>
  <c r="A131" i="2" a="1"/>
  <c r="A131" i="2" s="1"/>
  <c r="C133" i="2"/>
  <c r="F132" i="2"/>
  <c r="D130" i="2" a="1"/>
  <c r="K131" i="3" l="1" a="1"/>
  <c r="K131" i="3" s="1"/>
  <c r="H131" i="3" a="1"/>
  <c r="H131" i="3" s="1"/>
  <c r="I131" i="3" a="1"/>
  <c r="I131" i="3" s="1"/>
  <c r="J131" i="3" a="1"/>
  <c r="J131" i="3" s="1"/>
  <c r="C133" i="3"/>
  <c r="L132" i="3"/>
  <c r="M132" i="3"/>
  <c r="G132" i="3" a="1"/>
  <c r="G132" i="3" s="1"/>
  <c r="J132" i="3" s="1" a="1"/>
  <c r="J132" i="3" s="1"/>
  <c r="F132" i="3"/>
  <c r="F133" i="3" s="1"/>
  <c r="B131" i="3" a="1"/>
  <c r="B131" i="3" s="1"/>
  <c r="A131" i="3" a="1"/>
  <c r="A131" i="3" s="1"/>
  <c r="D130" i="2"/>
  <c r="A132" i="2" a="1"/>
  <c r="A132" i="2" s="1"/>
  <c r="B132" i="2" a="1"/>
  <c r="B132" i="2" s="1"/>
  <c r="C134" i="2"/>
  <c r="F133" i="2"/>
  <c r="H131" i="2" a="1"/>
  <c r="H131" i="2" s="1"/>
  <c r="K131" i="2" a="1"/>
  <c r="K131" i="2" s="1"/>
  <c r="J131" i="2" a="1"/>
  <c r="J131" i="2" s="1"/>
  <c r="I131" i="2" a="1"/>
  <c r="I131" i="2" s="1"/>
  <c r="D131" i="2" a="1"/>
  <c r="I132" i="3" l="1" a="1"/>
  <c r="I132" i="3" s="1"/>
  <c r="K132" i="3" a="1"/>
  <c r="K132" i="3" s="1"/>
  <c r="H132" i="3" a="1"/>
  <c r="H132" i="3" s="1"/>
  <c r="C134" i="3"/>
  <c r="G133" i="3" a="1"/>
  <c r="G133" i="3" s="1"/>
  <c r="L133" i="3"/>
  <c r="M133" i="3"/>
  <c r="J133" i="3" a="1"/>
  <c r="J133" i="3" s="1"/>
  <c r="A132" i="3" a="1"/>
  <c r="A132" i="3" s="1"/>
  <c r="B132" i="3" a="1"/>
  <c r="B132" i="3" s="1"/>
  <c r="D131" i="2"/>
  <c r="B133" i="2" a="1"/>
  <c r="B133" i="2" s="1"/>
  <c r="A133" i="2" a="1"/>
  <c r="A133" i="2" s="1"/>
  <c r="C135" i="2"/>
  <c r="F134" i="2"/>
  <c r="J132" i="2" a="1"/>
  <c r="J132" i="2" s="1"/>
  <c r="K132" i="2" a="1"/>
  <c r="K132" i="2" s="1"/>
  <c r="I132" i="2" a="1"/>
  <c r="I132" i="2" s="1"/>
  <c r="H132" i="2" a="1"/>
  <c r="H132" i="2" s="1"/>
  <c r="D132" i="2" a="1"/>
  <c r="C135" i="3" l="1"/>
  <c r="L134" i="3"/>
  <c r="M134" i="3"/>
  <c r="K133" i="3" a="1"/>
  <c r="K133" i="3" s="1"/>
  <c r="H133" i="3" a="1"/>
  <c r="H133" i="3" s="1"/>
  <c r="I133" i="3" a="1"/>
  <c r="I133" i="3" s="1"/>
  <c r="F134" i="3"/>
  <c r="F135" i="3" s="1"/>
  <c r="A133" i="3" a="1"/>
  <c r="A133" i="3" s="1"/>
  <c r="B133" i="3" a="1"/>
  <c r="B133" i="3" s="1"/>
  <c r="D132" i="2"/>
  <c r="J133" i="2" a="1"/>
  <c r="J133" i="2" s="1"/>
  <c r="K133" i="2" a="1"/>
  <c r="K133" i="2" s="1"/>
  <c r="I133" i="2" a="1"/>
  <c r="I133" i="2" s="1"/>
  <c r="H133" i="2" a="1"/>
  <c r="H133" i="2" s="1"/>
  <c r="C136" i="2"/>
  <c r="F135" i="2"/>
  <c r="A134" i="2" a="1"/>
  <c r="A134" i="2" s="1"/>
  <c r="B134" i="2" a="1"/>
  <c r="B134" i="2" s="1"/>
  <c r="D133" i="2" a="1"/>
  <c r="G134" i="3" l="1" a="1"/>
  <c r="G134" i="3" s="1"/>
  <c r="C136" i="3"/>
  <c r="G135" i="3" a="1"/>
  <c r="G135" i="3" s="1"/>
  <c r="M135" i="3"/>
  <c r="L135" i="3"/>
  <c r="J135" i="3" a="1"/>
  <c r="J135" i="3" s="1"/>
  <c r="A134" i="3" a="1"/>
  <c r="A134" i="3" s="1"/>
  <c r="B134" i="3" a="1"/>
  <c r="B134" i="3" s="1"/>
  <c r="D133" i="2"/>
  <c r="J134" i="2" a="1"/>
  <c r="J134" i="2" s="1"/>
  <c r="H134" i="2" a="1"/>
  <c r="H134" i="2" s="1"/>
  <c r="I134" i="2" a="1"/>
  <c r="I134" i="2" s="1"/>
  <c r="K134" i="2" a="1"/>
  <c r="K134" i="2" s="1"/>
  <c r="A135" i="2" a="1"/>
  <c r="A135" i="2" s="1"/>
  <c r="B135" i="2" a="1"/>
  <c r="B135" i="2" s="1"/>
  <c r="C137" i="2"/>
  <c r="F136" i="2"/>
  <c r="D134" i="2" a="1"/>
  <c r="K134" i="3" l="1" a="1"/>
  <c r="K134" i="3" s="1"/>
  <c r="H134" i="3" a="1"/>
  <c r="H134" i="3" s="1"/>
  <c r="I134" i="3" a="1"/>
  <c r="I134" i="3" s="1"/>
  <c r="J134" i="3" a="1"/>
  <c r="J134" i="3" s="1"/>
  <c r="K135" i="3" a="1"/>
  <c r="K135" i="3" s="1"/>
  <c r="I135" i="3" a="1"/>
  <c r="I135" i="3" s="1"/>
  <c r="H135" i="3" a="1"/>
  <c r="H135" i="3" s="1"/>
  <c r="C137" i="3"/>
  <c r="G136" i="3" a="1"/>
  <c r="G136" i="3" s="1"/>
  <c r="L136" i="3"/>
  <c r="M136" i="3"/>
  <c r="F136" i="3"/>
  <c r="A135" i="3" a="1"/>
  <c r="A135" i="3" s="1"/>
  <c r="B135" i="3" a="1"/>
  <c r="B135" i="3" s="1"/>
  <c r="D134" i="2"/>
  <c r="C138" i="2"/>
  <c r="F137" i="2"/>
  <c r="A136" i="2" a="1"/>
  <c r="A136" i="2" s="1"/>
  <c r="B136" i="2" a="1"/>
  <c r="B136" i="2" s="1"/>
  <c r="K135" i="2" a="1"/>
  <c r="K135" i="2" s="1"/>
  <c r="I135" i="2" a="1"/>
  <c r="I135" i="2" s="1"/>
  <c r="H135" i="2" a="1"/>
  <c r="H135" i="2" s="1"/>
  <c r="J135" i="2" a="1"/>
  <c r="J135" i="2" s="1"/>
  <c r="D135" i="2" a="1"/>
  <c r="C138" i="3" l="1"/>
  <c r="L137" i="3"/>
  <c r="M137" i="3"/>
  <c r="K136" i="3" a="1"/>
  <c r="K136" i="3" s="1"/>
  <c r="H136" i="3" a="1"/>
  <c r="H136" i="3" s="1"/>
  <c r="I136" i="3" a="1"/>
  <c r="I136" i="3" s="1"/>
  <c r="J136" i="3" a="1"/>
  <c r="J136" i="3" s="1"/>
  <c r="F137" i="3"/>
  <c r="F138" i="3" s="1"/>
  <c r="A136" i="3" a="1"/>
  <c r="A136" i="3" s="1"/>
  <c r="B136" i="3" a="1"/>
  <c r="B136" i="3" s="1"/>
  <c r="D135" i="2"/>
  <c r="I136" i="2" a="1"/>
  <c r="I136" i="2" s="1"/>
  <c r="K136" i="2" a="1"/>
  <c r="K136" i="2" s="1"/>
  <c r="J136" i="2" a="1"/>
  <c r="J136" i="2" s="1"/>
  <c r="H136" i="2" a="1"/>
  <c r="H136" i="2" s="1"/>
  <c r="A137" i="2" a="1"/>
  <c r="A137" i="2" s="1"/>
  <c r="B137" i="2" a="1"/>
  <c r="B137" i="2" s="1"/>
  <c r="C139" i="2"/>
  <c r="F138" i="2"/>
  <c r="D136" i="2" a="1"/>
  <c r="G137" i="3" l="1" a="1"/>
  <c r="G137" i="3" s="1"/>
  <c r="C139" i="3"/>
  <c r="G138" i="3" a="1"/>
  <c r="G138" i="3" s="1"/>
  <c r="L138" i="3"/>
  <c r="M138" i="3"/>
  <c r="A137" i="3" a="1"/>
  <c r="A137" i="3" s="1"/>
  <c r="B137" i="3" a="1"/>
  <c r="B137" i="3" s="1"/>
  <c r="D136" i="2"/>
  <c r="K137" i="2" a="1"/>
  <c r="K137" i="2" s="1"/>
  <c r="I137" i="2" a="1"/>
  <c r="I137" i="2" s="1"/>
  <c r="H137" i="2" a="1"/>
  <c r="H137" i="2" s="1"/>
  <c r="J137" i="2" a="1"/>
  <c r="J137" i="2" s="1"/>
  <c r="C140" i="2"/>
  <c r="F139" i="2"/>
  <c r="A138" i="2" a="1"/>
  <c r="A138" i="2" s="1"/>
  <c r="B138" i="2" a="1"/>
  <c r="B138" i="2" s="1"/>
  <c r="D137" i="2" a="1"/>
  <c r="H138" i="3" l="1" a="1"/>
  <c r="H138" i="3" s="1"/>
  <c r="I138" i="3" a="1"/>
  <c r="I138" i="3" s="1"/>
  <c r="K138" i="3" a="1"/>
  <c r="K138" i="3" s="1"/>
  <c r="I137" i="3" a="1"/>
  <c r="I137" i="3" s="1"/>
  <c r="K137" i="3" a="1"/>
  <c r="K137" i="3" s="1"/>
  <c r="H137" i="3" a="1"/>
  <c r="H137" i="3" s="1"/>
  <c r="J137" i="3" a="1"/>
  <c r="J137" i="3" s="1"/>
  <c r="J138" i="3" a="1"/>
  <c r="J138" i="3" s="1"/>
  <c r="C140" i="3"/>
  <c r="G139" i="3" a="1"/>
  <c r="G139" i="3" s="1"/>
  <c r="L139" i="3"/>
  <c r="M139" i="3"/>
  <c r="F139" i="3"/>
  <c r="B138" i="3" a="1"/>
  <c r="B138" i="3" s="1"/>
  <c r="A138" i="3" a="1"/>
  <c r="A138" i="3" s="1"/>
  <c r="D137" i="2"/>
  <c r="H138" i="2" a="1"/>
  <c r="H138" i="2" s="1"/>
  <c r="I138" i="2" a="1"/>
  <c r="I138" i="2" s="1"/>
  <c r="K138" i="2" a="1"/>
  <c r="K138" i="2" s="1"/>
  <c r="J138" i="2" a="1"/>
  <c r="J138" i="2" s="1"/>
  <c r="A139" i="2" a="1"/>
  <c r="A139" i="2" s="1"/>
  <c r="B139" i="2" a="1"/>
  <c r="B139" i="2" s="1"/>
  <c r="C141" i="2"/>
  <c r="F140" i="2"/>
  <c r="D138" i="2" a="1"/>
  <c r="K139" i="3" l="1" a="1"/>
  <c r="K139" i="3" s="1"/>
  <c r="H139" i="3" a="1"/>
  <c r="H139" i="3" s="1"/>
  <c r="I139" i="3" a="1"/>
  <c r="I139" i="3" s="1"/>
  <c r="C141" i="3"/>
  <c r="L140" i="3"/>
  <c r="M140" i="3"/>
  <c r="F140" i="3"/>
  <c r="F141" i="3" s="1"/>
  <c r="J139" i="3" a="1"/>
  <c r="J139" i="3" s="1"/>
  <c r="A139" i="3" a="1"/>
  <c r="A139" i="3" s="1"/>
  <c r="B139" i="3" a="1"/>
  <c r="B139" i="3" s="1"/>
  <c r="D138" i="2"/>
  <c r="B140" i="2" a="1"/>
  <c r="B140" i="2" s="1"/>
  <c r="A140" i="2" a="1"/>
  <c r="A140" i="2" s="1"/>
  <c r="C142" i="2"/>
  <c r="F141" i="2"/>
  <c r="K139" i="2" a="1"/>
  <c r="K139" i="2" s="1"/>
  <c r="J139" i="2" a="1"/>
  <c r="J139" i="2" s="1"/>
  <c r="H139" i="2" a="1"/>
  <c r="H139" i="2" s="1"/>
  <c r="I139" i="2" a="1"/>
  <c r="I139" i="2" s="1"/>
  <c r="D139" i="2" a="1"/>
  <c r="C142" i="3" l="1"/>
  <c r="G141" i="3" a="1"/>
  <c r="G141" i="3" s="1"/>
  <c r="L141" i="3"/>
  <c r="M141" i="3"/>
  <c r="J141" i="3" a="1"/>
  <c r="J141" i="3" s="1"/>
  <c r="F142" i="3"/>
  <c r="G140" i="3" a="1"/>
  <c r="G140" i="3" s="1"/>
  <c r="A140" i="3" a="1"/>
  <c r="A140" i="3" s="1"/>
  <c r="B140" i="3" a="1"/>
  <c r="B140" i="3" s="1"/>
  <c r="D139" i="2"/>
  <c r="A141" i="2" a="1"/>
  <c r="A141" i="2" s="1"/>
  <c r="B141" i="2" a="1"/>
  <c r="B141" i="2" s="1"/>
  <c r="C143" i="2"/>
  <c r="F142" i="2"/>
  <c r="H140" i="2" a="1"/>
  <c r="H140" i="2" s="1"/>
  <c r="J140" i="2" a="1"/>
  <c r="J140" i="2" s="1"/>
  <c r="K140" i="2" a="1"/>
  <c r="K140" i="2" s="1"/>
  <c r="I140" i="2" a="1"/>
  <c r="I140" i="2" s="1"/>
  <c r="D140" i="2" a="1"/>
  <c r="K140" i="3" l="1" a="1"/>
  <c r="K140" i="3" s="1"/>
  <c r="H140" i="3" a="1"/>
  <c r="H140" i="3" s="1"/>
  <c r="I140" i="3" a="1"/>
  <c r="I140" i="3" s="1"/>
  <c r="J140" i="3" a="1"/>
  <c r="J140" i="3" s="1"/>
  <c r="K141" i="3" a="1"/>
  <c r="K141" i="3" s="1"/>
  <c r="H141" i="3" a="1"/>
  <c r="H141" i="3" s="1"/>
  <c r="I141" i="3" a="1"/>
  <c r="I141" i="3" s="1"/>
  <c r="C143" i="3"/>
  <c r="F143" i="3" s="1"/>
  <c r="G142" i="3" a="1"/>
  <c r="G142" i="3" s="1"/>
  <c r="L142" i="3"/>
  <c r="M142" i="3"/>
  <c r="A141" i="3" a="1"/>
  <c r="A141" i="3" s="1"/>
  <c r="B141" i="3" a="1"/>
  <c r="B141" i="3" s="1"/>
  <c r="D140" i="2"/>
  <c r="C144" i="2"/>
  <c r="F143" i="2"/>
  <c r="I141" i="2" a="1"/>
  <c r="I141" i="2" s="1"/>
  <c r="H141" i="2" a="1"/>
  <c r="H141" i="2" s="1"/>
  <c r="J141" i="2" a="1"/>
  <c r="J141" i="2" s="1"/>
  <c r="K141" i="2" a="1"/>
  <c r="K141" i="2" s="1"/>
  <c r="B142" i="2" a="1"/>
  <c r="B142" i="2" s="1"/>
  <c r="A142" i="2" a="1"/>
  <c r="A142" i="2" s="1"/>
  <c r="D141" i="2" a="1"/>
  <c r="H142" i="3" l="1" a="1"/>
  <c r="H142" i="3" s="1"/>
  <c r="I142" i="3" a="1"/>
  <c r="I142" i="3" s="1"/>
  <c r="K142" i="3" a="1"/>
  <c r="K142" i="3" s="1"/>
  <c r="C144" i="3"/>
  <c r="G143" i="3" a="1"/>
  <c r="G143" i="3" s="1"/>
  <c r="L143" i="3"/>
  <c r="M143" i="3"/>
  <c r="J143" i="3" a="1"/>
  <c r="J143" i="3" s="1"/>
  <c r="J142" i="3" a="1"/>
  <c r="J142" i="3" s="1"/>
  <c r="A142" i="3" a="1"/>
  <c r="A142" i="3" s="1"/>
  <c r="B142" i="3" a="1"/>
  <c r="B142" i="3" s="1"/>
  <c r="D141" i="2"/>
  <c r="I142" i="2" a="1"/>
  <c r="I142" i="2" s="1"/>
  <c r="H142" i="2" a="1"/>
  <c r="H142" i="2" s="1"/>
  <c r="J142" i="2" a="1"/>
  <c r="J142" i="2" s="1"/>
  <c r="K142" i="2" a="1"/>
  <c r="K142" i="2" s="1"/>
  <c r="A143" i="2" a="1"/>
  <c r="A143" i="2" s="1"/>
  <c r="B143" i="2" a="1"/>
  <c r="B143" i="2" s="1"/>
  <c r="C145" i="2"/>
  <c r="F144" i="2"/>
  <c r="D142" i="2" a="1"/>
  <c r="K143" i="3" l="1" a="1"/>
  <c r="K143" i="3" s="1"/>
  <c r="H143" i="3" a="1"/>
  <c r="H143" i="3" s="1"/>
  <c r="I143" i="3" a="1"/>
  <c r="I143" i="3" s="1"/>
  <c r="C145" i="3"/>
  <c r="L144" i="3"/>
  <c r="M144" i="3"/>
  <c r="F144" i="3"/>
  <c r="F145" i="3" s="1"/>
  <c r="B143" i="3" a="1"/>
  <c r="B143" i="3" s="1"/>
  <c r="A143" i="3" a="1"/>
  <c r="A143" i="3" s="1"/>
  <c r="D142" i="2"/>
  <c r="C146" i="2"/>
  <c r="F145" i="2"/>
  <c r="H143" i="2" a="1"/>
  <c r="H143" i="2" s="1"/>
  <c r="I143" i="2" a="1"/>
  <c r="I143" i="2" s="1"/>
  <c r="K143" i="2" a="1"/>
  <c r="K143" i="2" s="1"/>
  <c r="J143" i="2" a="1"/>
  <c r="J143" i="2" s="1"/>
  <c r="B144" i="2" a="1"/>
  <c r="B144" i="2" s="1"/>
  <c r="A144" i="2" a="1"/>
  <c r="A144" i="2" s="1"/>
  <c r="D143" i="2" a="1"/>
  <c r="C146" i="3" l="1"/>
  <c r="G145" i="3" a="1"/>
  <c r="G145" i="3" s="1"/>
  <c r="L145" i="3"/>
  <c r="M145" i="3"/>
  <c r="J145" i="3" a="1"/>
  <c r="J145" i="3" s="1"/>
  <c r="G144" i="3" a="1"/>
  <c r="G144" i="3" s="1"/>
  <c r="F146" i="3"/>
  <c r="A144" i="3" a="1"/>
  <c r="A144" i="3" s="1"/>
  <c r="B144" i="3" a="1"/>
  <c r="B144" i="3" s="1"/>
  <c r="D143" i="2"/>
  <c r="J144" i="2" a="1"/>
  <c r="J144" i="2" s="1"/>
  <c r="K144" i="2" a="1"/>
  <c r="K144" i="2" s="1"/>
  <c r="I144" i="2" a="1"/>
  <c r="I144" i="2" s="1"/>
  <c r="H144" i="2" a="1"/>
  <c r="H144" i="2" s="1"/>
  <c r="A145" i="2" a="1"/>
  <c r="A145" i="2" s="1"/>
  <c r="B145" i="2" a="1"/>
  <c r="B145" i="2" s="1"/>
  <c r="C147" i="2"/>
  <c r="F146" i="2"/>
  <c r="D144" i="2" a="1"/>
  <c r="K144" i="3" l="1" a="1"/>
  <c r="K144" i="3" s="1"/>
  <c r="H144" i="3" a="1"/>
  <c r="H144" i="3" s="1"/>
  <c r="I144" i="3" a="1"/>
  <c r="I144" i="3" s="1"/>
  <c r="J144" i="3" a="1"/>
  <c r="J144" i="3" s="1"/>
  <c r="K145" i="3" a="1"/>
  <c r="K145" i="3" s="1"/>
  <c r="H145" i="3" a="1"/>
  <c r="H145" i="3" s="1"/>
  <c r="I145" i="3" a="1"/>
  <c r="I145" i="3" s="1"/>
  <c r="C147" i="3"/>
  <c r="G146" i="3" a="1"/>
  <c r="G146" i="3" s="1"/>
  <c r="L146" i="3"/>
  <c r="M146" i="3"/>
  <c r="A145" i="3" a="1"/>
  <c r="A145" i="3" s="1"/>
  <c r="B145" i="3" a="1"/>
  <c r="B145" i="3" s="1"/>
  <c r="D144" i="2"/>
  <c r="C148" i="2"/>
  <c r="F147" i="2"/>
  <c r="H145" i="2" a="1"/>
  <c r="H145" i="2" s="1"/>
  <c r="K145" i="2" a="1"/>
  <c r="K145" i="2" s="1"/>
  <c r="I145" i="2" a="1"/>
  <c r="I145" i="2" s="1"/>
  <c r="J145" i="2" a="1"/>
  <c r="J145" i="2" s="1"/>
  <c r="A146" i="2" a="1"/>
  <c r="A146" i="2" s="1"/>
  <c r="B146" i="2" a="1"/>
  <c r="B146" i="2" s="1"/>
  <c r="D145" i="2" a="1"/>
  <c r="C148" i="3" l="1"/>
  <c r="L147" i="3"/>
  <c r="M147" i="3"/>
  <c r="F147" i="3"/>
  <c r="F148" i="3" s="1"/>
  <c r="K146" i="3" a="1"/>
  <c r="K146" i="3" s="1"/>
  <c r="H146" i="3" a="1"/>
  <c r="H146" i="3" s="1"/>
  <c r="I146" i="3" a="1"/>
  <c r="I146" i="3" s="1"/>
  <c r="J146" i="3" a="1"/>
  <c r="J146" i="3" s="1"/>
  <c r="A146" i="3" a="1"/>
  <c r="A146" i="3" s="1"/>
  <c r="B146" i="3" a="1"/>
  <c r="B146" i="3" s="1"/>
  <c r="D145" i="2"/>
  <c r="K146" i="2" a="1"/>
  <c r="K146" i="2" s="1"/>
  <c r="I146" i="2" a="1"/>
  <c r="I146" i="2" s="1"/>
  <c r="H146" i="2" a="1"/>
  <c r="H146" i="2" s="1"/>
  <c r="J146" i="2" a="1"/>
  <c r="J146" i="2" s="1"/>
  <c r="B147" i="2" a="1"/>
  <c r="B147" i="2" s="1"/>
  <c r="A147" i="2" a="1"/>
  <c r="A147" i="2" s="1"/>
  <c r="C149" i="2"/>
  <c r="F148" i="2"/>
  <c r="D146" i="2" a="1"/>
  <c r="G147" i="3" l="1" a="1"/>
  <c r="G147" i="3" s="1"/>
  <c r="C149" i="3"/>
  <c r="G148" i="3" a="1"/>
  <c r="G148" i="3" s="1"/>
  <c r="M148" i="3"/>
  <c r="L148" i="3"/>
  <c r="J148" i="3" a="1"/>
  <c r="J148" i="3" s="1"/>
  <c r="A147" i="3" a="1"/>
  <c r="A147" i="3" s="1"/>
  <c r="B147" i="3" a="1"/>
  <c r="B147" i="3" s="1"/>
  <c r="D146" i="2"/>
  <c r="A148" i="2" a="1"/>
  <c r="A148" i="2" s="1"/>
  <c r="B148" i="2" a="1"/>
  <c r="B148" i="2" s="1"/>
  <c r="C150" i="2"/>
  <c r="F149" i="2"/>
  <c r="K147" i="2" a="1"/>
  <c r="K147" i="2" s="1"/>
  <c r="H147" i="2" a="1"/>
  <c r="H147" i="2" s="1"/>
  <c r="J147" i="2" a="1"/>
  <c r="J147" i="2" s="1"/>
  <c r="I147" i="2" a="1"/>
  <c r="I147" i="2" s="1"/>
  <c r="D147" i="2" a="1"/>
  <c r="C150" i="3" l="1"/>
  <c r="G149" i="3" a="1"/>
  <c r="G149" i="3" s="1"/>
  <c r="L149" i="3"/>
  <c r="M149" i="3"/>
  <c r="J149" i="3" a="1"/>
  <c r="J149" i="3" s="1"/>
  <c r="K147" i="3" a="1"/>
  <c r="K147" i="3" s="1"/>
  <c r="H147" i="3" a="1"/>
  <c r="H147" i="3" s="1"/>
  <c r="I147" i="3" a="1"/>
  <c r="I147" i="3" s="1"/>
  <c r="J147" i="3" a="1"/>
  <c r="J147" i="3" s="1"/>
  <c r="K148" i="3" a="1"/>
  <c r="K148" i="3" s="1"/>
  <c r="H148" i="3" a="1"/>
  <c r="H148" i="3" s="1"/>
  <c r="I148" i="3" a="1"/>
  <c r="I148" i="3" s="1"/>
  <c r="F149" i="3"/>
  <c r="F150" i="3" s="1"/>
  <c r="A148" i="3" a="1"/>
  <c r="A148" i="3" s="1"/>
  <c r="B148" i="3" a="1"/>
  <c r="B148" i="3" s="1"/>
  <c r="D147" i="2"/>
  <c r="J148" i="2" a="1"/>
  <c r="J148" i="2" s="1"/>
  <c r="K148" i="2" a="1"/>
  <c r="K148" i="2" s="1"/>
  <c r="H148" i="2" a="1"/>
  <c r="H148" i="2" s="1"/>
  <c r="I148" i="2" a="1"/>
  <c r="I148" i="2" s="1"/>
  <c r="C151" i="2"/>
  <c r="F150" i="2"/>
  <c r="A149" i="2" a="1"/>
  <c r="A149" i="2" s="1"/>
  <c r="B149" i="2" a="1"/>
  <c r="B149" i="2" s="1"/>
  <c r="D148" i="2" a="1"/>
  <c r="K149" i="3" l="1" a="1"/>
  <c r="K149" i="3" s="1"/>
  <c r="H149" i="3" a="1"/>
  <c r="H149" i="3" s="1"/>
  <c r="I149" i="3" a="1"/>
  <c r="I149" i="3" s="1"/>
  <c r="C151" i="3"/>
  <c r="G150" i="3" a="1"/>
  <c r="G150" i="3" s="1"/>
  <c r="L150" i="3"/>
  <c r="M150" i="3"/>
  <c r="J150" i="3" a="1"/>
  <c r="J150" i="3" s="1"/>
  <c r="A149" i="3" a="1"/>
  <c r="A149" i="3" s="1"/>
  <c r="B149" i="3" a="1"/>
  <c r="B149" i="3" s="1"/>
  <c r="D148" i="2"/>
  <c r="B150" i="2" a="1"/>
  <c r="B150" i="2" s="1"/>
  <c r="A150" i="2" a="1"/>
  <c r="A150" i="2" s="1"/>
  <c r="C152" i="2"/>
  <c r="F151" i="2"/>
  <c r="J149" i="2" a="1"/>
  <c r="J149" i="2" s="1"/>
  <c r="I149" i="2" a="1"/>
  <c r="I149" i="2" s="1"/>
  <c r="K149" i="2" a="1"/>
  <c r="K149" i="2" s="1"/>
  <c r="H149" i="2" a="1"/>
  <c r="H149" i="2" s="1"/>
  <c r="D149" i="2" a="1"/>
  <c r="I150" i="3" l="1" a="1"/>
  <c r="I150" i="3" s="1"/>
  <c r="K150" i="3" a="1"/>
  <c r="K150" i="3" s="1"/>
  <c r="H150" i="3" a="1"/>
  <c r="H150" i="3" s="1"/>
  <c r="C152" i="3"/>
  <c r="L151" i="3"/>
  <c r="M151" i="3"/>
  <c r="F151" i="3"/>
  <c r="F152" i="3" s="1"/>
  <c r="B150" i="3" a="1"/>
  <c r="B150" i="3" s="1"/>
  <c r="A150" i="3" a="1"/>
  <c r="A150" i="3" s="1"/>
  <c r="D149" i="2"/>
  <c r="A151" i="2" a="1"/>
  <c r="A151" i="2" s="1"/>
  <c r="B151" i="2" a="1"/>
  <c r="B151" i="2" s="1"/>
  <c r="C153" i="2"/>
  <c r="F152" i="2"/>
  <c r="I150" i="2" a="1"/>
  <c r="I150" i="2" s="1"/>
  <c r="J150" i="2" a="1"/>
  <c r="J150" i="2" s="1"/>
  <c r="H150" i="2" a="1"/>
  <c r="H150" i="2" s="1"/>
  <c r="K150" i="2" a="1"/>
  <c r="K150" i="2" s="1"/>
  <c r="D150" i="2" a="1"/>
  <c r="C153" i="3" l="1"/>
  <c r="G152" i="3" a="1"/>
  <c r="G152" i="3" s="1"/>
  <c r="L152" i="3"/>
  <c r="M152" i="3"/>
  <c r="J152" i="3" a="1"/>
  <c r="J152" i="3" s="1"/>
  <c r="F153" i="3"/>
  <c r="G151" i="3" a="1"/>
  <c r="G151" i="3" s="1"/>
  <c r="A151" i="3" a="1"/>
  <c r="A151" i="3" s="1"/>
  <c r="B151" i="3" a="1"/>
  <c r="B151" i="3" s="1"/>
  <c r="D150" i="2"/>
  <c r="C154" i="2"/>
  <c r="F153" i="2"/>
  <c r="K151" i="2" a="1"/>
  <c r="K151" i="2" s="1"/>
  <c r="H151" i="2" a="1"/>
  <c r="H151" i="2" s="1"/>
  <c r="I151" i="2" a="1"/>
  <c r="I151" i="2" s="1"/>
  <c r="J151" i="2" a="1"/>
  <c r="J151" i="2" s="1"/>
  <c r="B152" i="2" a="1"/>
  <c r="B152" i="2" s="1"/>
  <c r="A152" i="2" a="1"/>
  <c r="A152" i="2" s="1"/>
  <c r="D151" i="2" a="1"/>
  <c r="K151" i="3" l="1" a="1"/>
  <c r="K151" i="3" s="1"/>
  <c r="H151" i="3" a="1"/>
  <c r="H151" i="3" s="1"/>
  <c r="I151" i="3" a="1"/>
  <c r="I151" i="3" s="1"/>
  <c r="J151" i="3" a="1"/>
  <c r="J151" i="3" s="1"/>
  <c r="H152" i="3" a="1"/>
  <c r="H152" i="3" s="1"/>
  <c r="I152" i="3" a="1"/>
  <c r="I152" i="3" s="1"/>
  <c r="K152" i="3" a="1"/>
  <c r="K152" i="3" s="1"/>
  <c r="C154" i="3"/>
  <c r="G153" i="3" a="1"/>
  <c r="G153" i="3" s="1"/>
  <c r="M153" i="3"/>
  <c r="L153" i="3"/>
  <c r="A152" i="3" a="1"/>
  <c r="A152" i="3" s="1"/>
  <c r="B152" i="3" a="1"/>
  <c r="B152" i="3" s="1"/>
  <c r="D151" i="2"/>
  <c r="I152" i="2" a="1"/>
  <c r="I152" i="2" s="1"/>
  <c r="H152" i="2" a="1"/>
  <c r="H152" i="2" s="1"/>
  <c r="K152" i="2" a="1"/>
  <c r="K152" i="2" s="1"/>
  <c r="J152" i="2" a="1"/>
  <c r="J152" i="2" s="1"/>
  <c r="A153" i="2" a="1"/>
  <c r="A153" i="2" s="1"/>
  <c r="B153" i="2" a="1"/>
  <c r="B153" i="2" s="1"/>
  <c r="C155" i="2"/>
  <c r="F154" i="2"/>
  <c r="D152" i="2" a="1"/>
  <c r="C155" i="3" l="1"/>
  <c r="L154" i="3"/>
  <c r="M154" i="3"/>
  <c r="H153" i="3" a="1"/>
  <c r="H153" i="3" s="1"/>
  <c r="I153" i="3" a="1"/>
  <c r="I153" i="3" s="1"/>
  <c r="K153" i="3" a="1"/>
  <c r="K153" i="3" s="1"/>
  <c r="F154" i="3"/>
  <c r="F155" i="3" s="1"/>
  <c r="J153" i="3" a="1"/>
  <c r="J153" i="3" s="1"/>
  <c r="A153" i="3" a="1"/>
  <c r="A153" i="3" s="1"/>
  <c r="B153" i="3" a="1"/>
  <c r="B153" i="3" s="1"/>
  <c r="D152" i="2"/>
  <c r="C156" i="2"/>
  <c r="F155" i="2"/>
  <c r="A154" i="2" a="1"/>
  <c r="A154" i="2" s="1"/>
  <c r="B154" i="2" a="1"/>
  <c r="B154" i="2" s="1"/>
  <c r="J153" i="2" a="1"/>
  <c r="J153" i="2" s="1"/>
  <c r="H153" i="2" a="1"/>
  <c r="H153" i="2" s="1"/>
  <c r="K153" i="2" a="1"/>
  <c r="K153" i="2" s="1"/>
  <c r="I153" i="2" a="1"/>
  <c r="I153" i="2" s="1"/>
  <c r="D153" i="2" a="1"/>
  <c r="G154" i="3" l="1" a="1"/>
  <c r="G154" i="3" s="1"/>
  <c r="C156" i="3"/>
  <c r="G155" i="3" a="1"/>
  <c r="G155" i="3" s="1"/>
  <c r="L155" i="3"/>
  <c r="M155" i="3"/>
  <c r="J155" i="3" a="1"/>
  <c r="J155" i="3" s="1"/>
  <c r="A154" i="3" a="1"/>
  <c r="A154" i="3" s="1"/>
  <c r="B154" i="3" a="1"/>
  <c r="B154" i="3" s="1"/>
  <c r="D153" i="2"/>
  <c r="J154" i="2" a="1"/>
  <c r="J154" i="2" s="1"/>
  <c r="I154" i="2" a="1"/>
  <c r="I154" i="2" s="1"/>
  <c r="K154" i="2" a="1"/>
  <c r="K154" i="2" s="1"/>
  <c r="H154" i="2" a="1"/>
  <c r="H154" i="2" s="1"/>
  <c r="B155" i="2" a="1"/>
  <c r="B155" i="2" s="1"/>
  <c r="A155" i="2" a="1"/>
  <c r="A155" i="2" s="1"/>
  <c r="C157" i="2"/>
  <c r="F156" i="2"/>
  <c r="D154" i="2" a="1"/>
  <c r="K154" i="3" l="1" a="1"/>
  <c r="K154" i="3" s="1"/>
  <c r="H154" i="3" a="1"/>
  <c r="H154" i="3" s="1"/>
  <c r="I154" i="3" a="1"/>
  <c r="I154" i="3" s="1"/>
  <c r="J154" i="3" a="1"/>
  <c r="J154" i="3" s="1"/>
  <c r="K155" i="3" a="1"/>
  <c r="K155" i="3" s="1"/>
  <c r="H155" i="3" a="1"/>
  <c r="H155" i="3" s="1"/>
  <c r="I155" i="3" a="1"/>
  <c r="I155" i="3" s="1"/>
  <c r="C157" i="3"/>
  <c r="G156" i="3" a="1"/>
  <c r="G156" i="3" s="1"/>
  <c r="L156" i="3"/>
  <c r="M156" i="3"/>
  <c r="J156" i="3" a="1"/>
  <c r="J156" i="3" s="1"/>
  <c r="F156" i="3"/>
  <c r="B155" i="3" a="1"/>
  <c r="B155" i="3" s="1"/>
  <c r="A155" i="3" a="1"/>
  <c r="A155" i="3" s="1"/>
  <c r="D154" i="2"/>
  <c r="B156" i="2" a="1"/>
  <c r="B156" i="2" s="1"/>
  <c r="A156" i="2" a="1"/>
  <c r="A156" i="2" s="1"/>
  <c r="J155" i="2" a="1"/>
  <c r="J155" i="2" s="1"/>
  <c r="H155" i="2" a="1"/>
  <c r="H155" i="2" s="1"/>
  <c r="K155" i="2" a="1"/>
  <c r="K155" i="2" s="1"/>
  <c r="I155" i="2" a="1"/>
  <c r="I155" i="2" s="1"/>
  <c r="C158" i="2"/>
  <c r="F157" i="2"/>
  <c r="D155" i="2" a="1"/>
  <c r="H156" i="3" l="1" a="1"/>
  <c r="H156" i="3" s="1"/>
  <c r="I156" i="3" a="1"/>
  <c r="I156" i="3" s="1"/>
  <c r="K156" i="3" a="1"/>
  <c r="K156" i="3" s="1"/>
  <c r="C158" i="3"/>
  <c r="M157" i="3"/>
  <c r="L157" i="3"/>
  <c r="F157" i="3"/>
  <c r="F158" i="3" s="1"/>
  <c r="B156" i="3" a="1"/>
  <c r="B156" i="3" s="1"/>
  <c r="A156" i="3" a="1"/>
  <c r="A156" i="3" s="1"/>
  <c r="D155" i="2"/>
  <c r="B157" i="2" a="1"/>
  <c r="B157" i="2" s="1"/>
  <c r="A157" i="2" a="1"/>
  <c r="A157" i="2" s="1"/>
  <c r="K156" i="2" a="1"/>
  <c r="K156" i="2" s="1"/>
  <c r="I156" i="2" a="1"/>
  <c r="I156" i="2" s="1"/>
  <c r="J156" i="2" a="1"/>
  <c r="J156" i="2" s="1"/>
  <c r="H156" i="2" a="1"/>
  <c r="H156" i="2" s="1"/>
  <c r="C159" i="2"/>
  <c r="F158" i="2"/>
  <c r="D156" i="2" a="1"/>
  <c r="C159" i="3" l="1"/>
  <c r="G158" i="3" a="1"/>
  <c r="G158" i="3" s="1"/>
  <c r="L158" i="3"/>
  <c r="M158" i="3"/>
  <c r="J158" i="3" a="1"/>
  <c r="J158" i="3" s="1"/>
  <c r="F159" i="3"/>
  <c r="G157" i="3" a="1"/>
  <c r="G157" i="3" s="1"/>
  <c r="A157" i="3" a="1"/>
  <c r="A157" i="3" s="1"/>
  <c r="B157" i="3" a="1"/>
  <c r="B157" i="3" s="1"/>
  <c r="D156" i="2"/>
  <c r="A158" i="2" a="1"/>
  <c r="A158" i="2" s="1"/>
  <c r="B158" i="2" a="1"/>
  <c r="B158" i="2" s="1"/>
  <c r="C160" i="2"/>
  <c r="F159" i="2"/>
  <c r="H157" i="2" a="1"/>
  <c r="H157" i="2" s="1"/>
  <c r="K157" i="2" a="1"/>
  <c r="K157" i="2" s="1"/>
  <c r="I157" i="2" a="1"/>
  <c r="I157" i="2" s="1"/>
  <c r="J157" i="2" a="1"/>
  <c r="J157" i="2" s="1"/>
  <c r="D157" i="2" a="1"/>
  <c r="H157" i="3" l="1" a="1"/>
  <c r="H157" i="3" s="1"/>
  <c r="I157" i="3" a="1"/>
  <c r="I157" i="3" s="1"/>
  <c r="K157" i="3" a="1"/>
  <c r="K157" i="3" s="1"/>
  <c r="J157" i="3" a="1"/>
  <c r="J157" i="3" s="1"/>
  <c r="H158" i="3" a="1"/>
  <c r="H158" i="3" s="1"/>
  <c r="I158" i="3" a="1"/>
  <c r="I158" i="3" s="1"/>
  <c r="K158" i="3" a="1"/>
  <c r="K158" i="3" s="1"/>
  <c r="C160" i="3"/>
  <c r="G159" i="3" a="1"/>
  <c r="G159" i="3" s="1"/>
  <c r="L159" i="3"/>
  <c r="M159" i="3"/>
  <c r="A158" i="3" a="1"/>
  <c r="A158" i="3" s="1"/>
  <c r="B158" i="3" a="1"/>
  <c r="B158" i="3" s="1"/>
  <c r="D157" i="2"/>
  <c r="A159" i="2" a="1"/>
  <c r="A159" i="2" s="1"/>
  <c r="B159" i="2" a="1"/>
  <c r="B159" i="2" s="1"/>
  <c r="H158" i="2" a="1"/>
  <c r="H158" i="2" s="1"/>
  <c r="J158" i="2" a="1"/>
  <c r="J158" i="2" s="1"/>
  <c r="K158" i="2" a="1"/>
  <c r="K158" i="2" s="1"/>
  <c r="I158" i="2" a="1"/>
  <c r="I158" i="2" s="1"/>
  <c r="C161" i="2"/>
  <c r="F160" i="2"/>
  <c r="D158" i="2" a="1"/>
  <c r="C161" i="3" l="1"/>
  <c r="L160" i="3"/>
  <c r="M160" i="3"/>
  <c r="F160" i="3"/>
  <c r="F161" i="3" s="1"/>
  <c r="H159" i="3" a="1"/>
  <c r="H159" i="3" s="1"/>
  <c r="K159" i="3" a="1"/>
  <c r="K159" i="3" s="1"/>
  <c r="I159" i="3" a="1"/>
  <c r="I159" i="3" s="1"/>
  <c r="J159" i="3" a="1"/>
  <c r="J159" i="3" s="1"/>
  <c r="A159" i="3" a="1"/>
  <c r="A159" i="3" s="1"/>
  <c r="B159" i="3" a="1"/>
  <c r="B159" i="3" s="1"/>
  <c r="D158" i="2"/>
  <c r="C162" i="2"/>
  <c r="F161" i="2"/>
  <c r="B160" i="2" a="1"/>
  <c r="B160" i="2" s="1"/>
  <c r="A160" i="2" a="1"/>
  <c r="A160" i="2" s="1"/>
  <c r="I159" i="2" a="1"/>
  <c r="I159" i="2" s="1"/>
  <c r="K159" i="2" a="1"/>
  <c r="K159" i="2" s="1"/>
  <c r="H159" i="2" a="1"/>
  <c r="H159" i="2" s="1"/>
  <c r="J159" i="2" a="1"/>
  <c r="J159" i="2" s="1"/>
  <c r="D159" i="2" a="1"/>
  <c r="G160" i="3" l="1" a="1"/>
  <c r="G160" i="3" s="1"/>
  <c r="C162" i="3"/>
  <c r="G161" i="3" a="1"/>
  <c r="G161" i="3" s="1"/>
  <c r="L161" i="3"/>
  <c r="M161" i="3"/>
  <c r="J161" i="3" a="1"/>
  <c r="J161" i="3" s="1"/>
  <c r="A160" i="3" a="1"/>
  <c r="A160" i="3" s="1"/>
  <c r="B160" i="3" a="1"/>
  <c r="B160" i="3" s="1"/>
  <c r="D159" i="2"/>
  <c r="H160" i="2" a="1"/>
  <c r="H160" i="2" s="1"/>
  <c r="K160" i="2" a="1"/>
  <c r="K160" i="2" s="1"/>
  <c r="J160" i="2" a="1"/>
  <c r="J160" i="2" s="1"/>
  <c r="I160" i="2" a="1"/>
  <c r="I160" i="2" s="1"/>
  <c r="A161" i="2" a="1"/>
  <c r="A161" i="2" s="1"/>
  <c r="B161" i="2" a="1"/>
  <c r="B161" i="2" s="1"/>
  <c r="C163" i="2"/>
  <c r="F162" i="2"/>
  <c r="D160" i="2" a="1"/>
  <c r="C163" i="3" l="1"/>
  <c r="M162" i="3"/>
  <c r="L162" i="3"/>
  <c r="F162" i="3"/>
  <c r="F163" i="3" s="1"/>
  <c r="K161" i="3" a="1"/>
  <c r="K161" i="3" s="1"/>
  <c r="H161" i="3" a="1"/>
  <c r="H161" i="3" s="1"/>
  <c r="I161" i="3" a="1"/>
  <c r="I161" i="3" s="1"/>
  <c r="K160" i="3" a="1"/>
  <c r="K160" i="3" s="1"/>
  <c r="H160" i="3" a="1"/>
  <c r="H160" i="3" s="1"/>
  <c r="I160" i="3" a="1"/>
  <c r="I160" i="3" s="1"/>
  <c r="J160" i="3" a="1"/>
  <c r="J160" i="3" s="1"/>
  <c r="A161" i="3" a="1"/>
  <c r="A161" i="3" s="1"/>
  <c r="B161" i="3" a="1"/>
  <c r="B161" i="3" s="1"/>
  <c r="D160" i="2"/>
  <c r="B162" i="2" a="1"/>
  <c r="B162" i="2" s="1"/>
  <c r="A162" i="2" a="1"/>
  <c r="A162" i="2" s="1"/>
  <c r="C164" i="2"/>
  <c r="F163" i="2"/>
  <c r="I161" i="2" a="1"/>
  <c r="I161" i="2" s="1"/>
  <c r="K161" i="2" a="1"/>
  <c r="K161" i="2" s="1"/>
  <c r="H161" i="2" a="1"/>
  <c r="H161" i="2" s="1"/>
  <c r="J161" i="2" a="1"/>
  <c r="J161" i="2" s="1"/>
  <c r="D161" i="2" a="1"/>
  <c r="G162" i="3" l="1" a="1"/>
  <c r="G162" i="3" s="1"/>
  <c r="C164" i="3"/>
  <c r="G163" i="3" a="1"/>
  <c r="G163" i="3" s="1"/>
  <c r="J163" i="3" a="1"/>
  <c r="J163" i="3" s="1"/>
  <c r="L163" i="3"/>
  <c r="M163" i="3"/>
  <c r="B162" i="3" a="1"/>
  <c r="B162" i="3" s="1"/>
  <c r="A162" i="3" a="1"/>
  <c r="A162" i="3" s="1"/>
  <c r="D161" i="2"/>
  <c r="C165" i="2"/>
  <c r="F164" i="2"/>
  <c r="A163" i="2" a="1"/>
  <c r="A163" i="2" s="1"/>
  <c r="B163" i="2" a="1"/>
  <c r="B163" i="2" s="1"/>
  <c r="H162" i="2" a="1"/>
  <c r="H162" i="2" s="1"/>
  <c r="I162" i="2" a="1"/>
  <c r="I162" i="2" s="1"/>
  <c r="K162" i="2" a="1"/>
  <c r="K162" i="2" s="1"/>
  <c r="J162" i="2" a="1"/>
  <c r="J162" i="2" s="1"/>
  <c r="D162" i="2" a="1"/>
  <c r="C165" i="3" l="1"/>
  <c r="L164" i="3"/>
  <c r="M164" i="3"/>
  <c r="F164" i="3"/>
  <c r="F165" i="3" s="1"/>
  <c r="H163" i="3" a="1"/>
  <c r="H163" i="3" s="1"/>
  <c r="I163" i="3" a="1"/>
  <c r="I163" i="3" s="1"/>
  <c r="K163" i="3" a="1"/>
  <c r="K163" i="3" s="1"/>
  <c r="H162" i="3" a="1"/>
  <c r="H162" i="3" s="1"/>
  <c r="K162" i="3" a="1"/>
  <c r="K162" i="3" s="1"/>
  <c r="I162" i="3" a="1"/>
  <c r="I162" i="3" s="1"/>
  <c r="J162" i="3" a="1"/>
  <c r="J162" i="3" s="1"/>
  <c r="A163" i="3" a="1"/>
  <c r="A163" i="3" s="1"/>
  <c r="B163" i="3" a="1"/>
  <c r="B163" i="3" s="1"/>
  <c r="D162" i="2"/>
  <c r="K163" i="2" a="1"/>
  <c r="K163" i="2" s="1"/>
  <c r="J163" i="2" a="1"/>
  <c r="J163" i="2" s="1"/>
  <c r="I163" i="2" a="1"/>
  <c r="I163" i="2" s="1"/>
  <c r="H163" i="2" a="1"/>
  <c r="H163" i="2" s="1"/>
  <c r="B164" i="2" a="1"/>
  <c r="B164" i="2" s="1"/>
  <c r="A164" i="2" a="1"/>
  <c r="A164" i="2" s="1"/>
  <c r="C166" i="2"/>
  <c r="F165" i="2"/>
  <c r="D163" i="2" a="1"/>
  <c r="G164" i="3" l="1" a="1"/>
  <c r="G164" i="3" s="1"/>
  <c r="C166" i="3"/>
  <c r="G165" i="3" a="1"/>
  <c r="G165" i="3" s="1"/>
  <c r="J165" i="3" s="1" a="1"/>
  <c r="J165" i="3" s="1"/>
  <c r="L165" i="3"/>
  <c r="M165" i="3"/>
  <c r="A164" i="3" a="1"/>
  <c r="A164" i="3" s="1"/>
  <c r="B164" i="3" a="1"/>
  <c r="B164" i="3" s="1"/>
  <c r="D163" i="2"/>
  <c r="H164" i="2" a="1"/>
  <c r="H164" i="2" s="1"/>
  <c r="K164" i="2" a="1"/>
  <c r="K164" i="2" s="1"/>
  <c r="J164" i="2" a="1"/>
  <c r="J164" i="2" s="1"/>
  <c r="I164" i="2" a="1"/>
  <c r="I164" i="2" s="1"/>
  <c r="B165" i="2" a="1"/>
  <c r="B165" i="2" s="1"/>
  <c r="A165" i="2" a="1"/>
  <c r="A165" i="2" s="1"/>
  <c r="C167" i="2"/>
  <c r="F166" i="2"/>
  <c r="D164" i="2" a="1"/>
  <c r="C167" i="3" l="1"/>
  <c r="M166" i="3"/>
  <c r="L166" i="3"/>
  <c r="H165" i="3" a="1"/>
  <c r="H165" i="3" s="1"/>
  <c r="I165" i="3" a="1"/>
  <c r="I165" i="3" s="1"/>
  <c r="K165" i="3" a="1"/>
  <c r="K165" i="3" s="1"/>
  <c r="F166" i="3"/>
  <c r="F167" i="3" s="1"/>
  <c r="H164" i="3" a="1"/>
  <c r="H164" i="3" s="1"/>
  <c r="I164" i="3" a="1"/>
  <c r="I164" i="3" s="1"/>
  <c r="K164" i="3" a="1"/>
  <c r="K164" i="3" s="1"/>
  <c r="J164" i="3" a="1"/>
  <c r="J164" i="3" s="1"/>
  <c r="A165" i="3" a="1"/>
  <c r="A165" i="3" s="1"/>
  <c r="B165" i="3" a="1"/>
  <c r="B165" i="3" s="1"/>
  <c r="D164" i="2"/>
  <c r="A166" i="2" a="1"/>
  <c r="A166" i="2" s="1"/>
  <c r="B166" i="2" a="1"/>
  <c r="B166" i="2" s="1"/>
  <c r="C168" i="2"/>
  <c r="F167" i="2"/>
  <c r="H165" i="2" a="1"/>
  <c r="H165" i="2" s="1"/>
  <c r="J165" i="2" a="1"/>
  <c r="J165" i="2" s="1"/>
  <c r="K165" i="2" a="1"/>
  <c r="K165" i="2" s="1"/>
  <c r="I165" i="2" a="1"/>
  <c r="I165" i="2" s="1"/>
  <c r="D165" i="2" a="1"/>
  <c r="G166" i="3" l="1" a="1"/>
  <c r="G166" i="3" s="1"/>
  <c r="C168" i="3"/>
  <c r="G167" i="3" a="1"/>
  <c r="G167" i="3" s="1"/>
  <c r="L167" i="3"/>
  <c r="M167" i="3"/>
  <c r="J167" i="3" a="1"/>
  <c r="J167" i="3" s="1"/>
  <c r="A166" i="3" a="1"/>
  <c r="A166" i="3" s="1"/>
  <c r="B166" i="3" a="1"/>
  <c r="B166" i="3" s="1"/>
  <c r="D165" i="2"/>
  <c r="C169" i="2"/>
  <c r="F168" i="2"/>
  <c r="K166" i="2" a="1"/>
  <c r="K166" i="2" s="1"/>
  <c r="I166" i="2" a="1"/>
  <c r="I166" i="2" s="1"/>
  <c r="H166" i="2" a="1"/>
  <c r="H166" i="2" s="1"/>
  <c r="J166" i="2" a="1"/>
  <c r="J166" i="2" s="1"/>
  <c r="B167" i="2" a="1"/>
  <c r="B167" i="2" s="1"/>
  <c r="A167" i="2" a="1"/>
  <c r="A167" i="2" s="1"/>
  <c r="D166" i="2" a="1"/>
  <c r="K166" i="3" l="1" a="1"/>
  <c r="K166" i="3" s="1"/>
  <c r="H166" i="3" a="1"/>
  <c r="H166" i="3" s="1"/>
  <c r="I166" i="3" a="1"/>
  <c r="I166" i="3" s="1"/>
  <c r="J166" i="3" a="1"/>
  <c r="J166" i="3" s="1"/>
  <c r="K167" i="3" a="1"/>
  <c r="K167" i="3" s="1"/>
  <c r="H167" i="3" a="1"/>
  <c r="H167" i="3" s="1"/>
  <c r="I167" i="3" a="1"/>
  <c r="I167" i="3" s="1"/>
  <c r="C169" i="3"/>
  <c r="G168" i="3" a="1"/>
  <c r="G168" i="3" s="1"/>
  <c r="L168" i="3"/>
  <c r="M168" i="3"/>
  <c r="J168" i="3" a="1"/>
  <c r="J168" i="3" s="1"/>
  <c r="F168" i="3"/>
  <c r="A167" i="3" a="1"/>
  <c r="A167" i="3" s="1"/>
  <c r="B167" i="3" a="1"/>
  <c r="B167" i="3" s="1"/>
  <c r="D166" i="2"/>
  <c r="J167" i="2" a="1"/>
  <c r="J167" i="2" s="1"/>
  <c r="H167" i="2" a="1"/>
  <c r="H167" i="2" s="1"/>
  <c r="I167" i="2" a="1"/>
  <c r="I167" i="2" s="1"/>
  <c r="K167" i="2" a="1"/>
  <c r="K167" i="2" s="1"/>
  <c r="B168" i="2" a="1"/>
  <c r="B168" i="2" s="1"/>
  <c r="A168" i="2" a="1"/>
  <c r="A168" i="2" s="1"/>
  <c r="C170" i="2"/>
  <c r="F169" i="2"/>
  <c r="D167" i="2" a="1"/>
  <c r="H168" i="3" l="1" a="1"/>
  <c r="H168" i="3" s="1"/>
  <c r="K168" i="3" a="1"/>
  <c r="K168" i="3" s="1"/>
  <c r="I168" i="3" a="1"/>
  <c r="I168" i="3" s="1"/>
  <c r="C170" i="3"/>
  <c r="L169" i="3"/>
  <c r="M169" i="3"/>
  <c r="F169" i="3"/>
  <c r="F170" i="3" s="1"/>
  <c r="B168" i="3" a="1"/>
  <c r="B168" i="3" s="1"/>
  <c r="A168" i="3" a="1"/>
  <c r="A168" i="3" s="1"/>
  <c r="D167" i="2"/>
  <c r="J168" i="2" a="1"/>
  <c r="J168" i="2" s="1"/>
  <c r="K168" i="2" a="1"/>
  <c r="K168" i="2" s="1"/>
  <c r="I168" i="2" a="1"/>
  <c r="I168" i="2" s="1"/>
  <c r="H168" i="2" a="1"/>
  <c r="H168" i="2" s="1"/>
  <c r="C171" i="2"/>
  <c r="F170" i="2"/>
  <c r="A169" i="2" a="1"/>
  <c r="A169" i="2" s="1"/>
  <c r="B169" i="2" a="1"/>
  <c r="B169" i="2" s="1"/>
  <c r="D168" i="2" a="1"/>
  <c r="C171" i="3" l="1"/>
  <c r="G170" i="3" a="1"/>
  <c r="G170" i="3" s="1"/>
  <c r="M170" i="3"/>
  <c r="L170" i="3"/>
  <c r="J170" i="3" a="1"/>
  <c r="J170" i="3" s="1"/>
  <c r="F171" i="3"/>
  <c r="G169" i="3" a="1"/>
  <c r="G169" i="3" s="1"/>
  <c r="A169" i="3" a="1"/>
  <c r="A169" i="3" s="1"/>
  <c r="B169" i="3" a="1"/>
  <c r="B169" i="3" s="1"/>
  <c r="D168" i="2"/>
  <c r="B170" i="2" a="1"/>
  <c r="B170" i="2" s="1"/>
  <c r="A170" i="2" a="1"/>
  <c r="A170" i="2" s="1"/>
  <c r="K169" i="2" a="1"/>
  <c r="K169" i="2" s="1"/>
  <c r="I169" i="2" a="1"/>
  <c r="I169" i="2" s="1"/>
  <c r="J169" i="2" a="1"/>
  <c r="J169" i="2" s="1"/>
  <c r="H169" i="2" a="1"/>
  <c r="H169" i="2" s="1"/>
  <c r="C172" i="2"/>
  <c r="F171" i="2"/>
  <c r="D169" i="2" a="1"/>
  <c r="I169" i="3" l="1" a="1"/>
  <c r="I169" i="3" s="1"/>
  <c r="H169" i="3" a="1"/>
  <c r="H169" i="3" s="1"/>
  <c r="K169" i="3" a="1"/>
  <c r="K169" i="3" s="1"/>
  <c r="J169" i="3" a="1"/>
  <c r="J169" i="3" s="1"/>
  <c r="H170" i="3" a="1"/>
  <c r="H170" i="3" s="1"/>
  <c r="I170" i="3" a="1"/>
  <c r="I170" i="3" s="1"/>
  <c r="K170" i="3" a="1"/>
  <c r="K170" i="3" s="1"/>
  <c r="C172" i="3"/>
  <c r="G171" i="3" a="1"/>
  <c r="G171" i="3" s="1"/>
  <c r="L171" i="3"/>
  <c r="M171" i="3"/>
  <c r="A170" i="3" a="1"/>
  <c r="A170" i="3" s="1"/>
  <c r="B170" i="3" a="1"/>
  <c r="B170" i="3" s="1"/>
  <c r="D169" i="2"/>
  <c r="H170" i="2" a="1"/>
  <c r="H170" i="2" s="1"/>
  <c r="K170" i="2" a="1"/>
  <c r="K170" i="2" s="1"/>
  <c r="I170" i="2" a="1"/>
  <c r="I170" i="2" s="1"/>
  <c r="J170" i="2" a="1"/>
  <c r="J170" i="2" s="1"/>
  <c r="B171" i="2" a="1"/>
  <c r="B171" i="2" s="1"/>
  <c r="A171" i="2" a="1"/>
  <c r="A171" i="2" s="1"/>
  <c r="C173" i="2"/>
  <c r="F172" i="2"/>
  <c r="D170" i="2" a="1"/>
  <c r="C173" i="3" l="1"/>
  <c r="L172" i="3"/>
  <c r="M172" i="3"/>
  <c r="H171" i="3" a="1"/>
  <c r="H171" i="3" s="1"/>
  <c r="K171" i="3" a="1"/>
  <c r="K171" i="3" s="1"/>
  <c r="I171" i="3" a="1"/>
  <c r="I171" i="3" s="1"/>
  <c r="J171" i="3" a="1"/>
  <c r="J171" i="3" s="1"/>
  <c r="F172" i="3"/>
  <c r="F173" i="3" s="1"/>
  <c r="A171" i="3" a="1"/>
  <c r="A171" i="3" s="1"/>
  <c r="B171" i="3" a="1"/>
  <c r="B171" i="3" s="1"/>
  <c r="D170" i="2"/>
  <c r="A172" i="2" a="1"/>
  <c r="A172" i="2" s="1"/>
  <c r="B172" i="2" a="1"/>
  <c r="B172" i="2" s="1"/>
  <c r="J171" i="2" a="1"/>
  <c r="J171" i="2" s="1"/>
  <c r="I171" i="2" a="1"/>
  <c r="I171" i="2" s="1"/>
  <c r="K171" i="2" a="1"/>
  <c r="K171" i="2" s="1"/>
  <c r="H171" i="2" a="1"/>
  <c r="H171" i="2" s="1"/>
  <c r="C174" i="2"/>
  <c r="F173" i="2"/>
  <c r="D171" i="2" a="1"/>
  <c r="G172" i="3" l="1" a="1"/>
  <c r="G172" i="3" s="1"/>
  <c r="C174" i="3"/>
  <c r="G173" i="3" a="1"/>
  <c r="G173" i="3" s="1"/>
  <c r="L173" i="3"/>
  <c r="M173" i="3"/>
  <c r="J173" i="3" a="1"/>
  <c r="J173" i="3" s="1"/>
  <c r="A172" i="3" a="1"/>
  <c r="A172" i="3" s="1"/>
  <c r="B172" i="3" a="1"/>
  <c r="B172" i="3" s="1"/>
  <c r="D171" i="2"/>
  <c r="J172" i="2" a="1"/>
  <c r="J172" i="2" s="1"/>
  <c r="I172" i="2" a="1"/>
  <c r="I172" i="2" s="1"/>
  <c r="K172" i="2" a="1"/>
  <c r="K172" i="2" s="1"/>
  <c r="H172" i="2" a="1"/>
  <c r="H172" i="2" s="1"/>
  <c r="C175" i="2"/>
  <c r="F174" i="2"/>
  <c r="A173" i="2" a="1"/>
  <c r="A173" i="2" s="1"/>
  <c r="B173" i="2" a="1"/>
  <c r="B173" i="2" s="1"/>
  <c r="D172" i="2" a="1"/>
  <c r="K172" i="3" l="1" a="1"/>
  <c r="K172" i="3" s="1"/>
  <c r="H172" i="3" a="1"/>
  <c r="H172" i="3" s="1"/>
  <c r="I172" i="3" a="1"/>
  <c r="I172" i="3" s="1"/>
  <c r="J172" i="3" a="1"/>
  <c r="J172" i="3" s="1"/>
  <c r="K173" i="3" a="1"/>
  <c r="K173" i="3" s="1"/>
  <c r="H173" i="3" a="1"/>
  <c r="H173" i="3" s="1"/>
  <c r="I173" i="3" a="1"/>
  <c r="I173" i="3" s="1"/>
  <c r="C175" i="3"/>
  <c r="G174" i="3" a="1"/>
  <c r="G174" i="3" s="1"/>
  <c r="J174" i="3" s="1" a="1"/>
  <c r="J174" i="3" s="1"/>
  <c r="L174" i="3"/>
  <c r="M174" i="3"/>
  <c r="F174" i="3"/>
  <c r="A173" i="3" a="1"/>
  <c r="A173" i="3" s="1"/>
  <c r="B173" i="3" a="1"/>
  <c r="B173" i="3" s="1"/>
  <c r="D172" i="2"/>
  <c r="I173" i="2" a="1"/>
  <c r="I173" i="2" s="1"/>
  <c r="J173" i="2" a="1"/>
  <c r="J173" i="2" s="1"/>
  <c r="H173" i="2" a="1"/>
  <c r="H173" i="2" s="1"/>
  <c r="K173" i="2" a="1"/>
  <c r="K173" i="2" s="1"/>
  <c r="B174" i="2" a="1"/>
  <c r="B174" i="2" s="1"/>
  <c r="A174" i="2" a="1"/>
  <c r="A174" i="2" s="1"/>
  <c r="C176" i="2"/>
  <c r="F175" i="2"/>
  <c r="D173" i="2" a="1"/>
  <c r="H174" i="3" l="1" a="1"/>
  <c r="H174" i="3" s="1"/>
  <c r="K174" i="3" a="1"/>
  <c r="K174" i="3" s="1"/>
  <c r="I174" i="3" a="1"/>
  <c r="I174" i="3" s="1"/>
  <c r="C176" i="3"/>
  <c r="L175" i="3"/>
  <c r="M175" i="3"/>
  <c r="F175" i="3"/>
  <c r="F176" i="3" s="1"/>
  <c r="B174" i="3" a="1"/>
  <c r="B174" i="3" s="1"/>
  <c r="A174" i="3" a="1"/>
  <c r="A174" i="3" s="1"/>
  <c r="D173" i="2"/>
  <c r="C177" i="2"/>
  <c r="F176" i="2"/>
  <c r="B175" i="2" a="1"/>
  <c r="B175" i="2" s="1"/>
  <c r="A175" i="2" a="1"/>
  <c r="A175" i="2" s="1"/>
  <c r="K174" i="2" a="1"/>
  <c r="K174" i="2" s="1"/>
  <c r="I174" i="2" a="1"/>
  <c r="I174" i="2" s="1"/>
  <c r="J174" i="2" a="1"/>
  <c r="J174" i="2" s="1"/>
  <c r="H174" i="2" a="1"/>
  <c r="H174" i="2" s="1"/>
  <c r="D174" i="2" a="1"/>
  <c r="G175" i="3" l="1" a="1"/>
  <c r="G175" i="3" s="1"/>
  <c r="C177" i="3"/>
  <c r="G176" i="3" a="1"/>
  <c r="G176" i="3" s="1"/>
  <c r="L176" i="3"/>
  <c r="M176" i="3"/>
  <c r="J176" i="3" a="1"/>
  <c r="J176" i="3" s="1"/>
  <c r="B175" i="3" a="1"/>
  <c r="B175" i="3" s="1"/>
  <c r="A175" i="3" a="1"/>
  <c r="A175" i="3" s="1"/>
  <c r="D174" i="2"/>
  <c r="H175" i="2" a="1"/>
  <c r="H175" i="2" s="1"/>
  <c r="I175" i="2" a="1"/>
  <c r="I175" i="2" s="1"/>
  <c r="J175" i="2" a="1"/>
  <c r="J175" i="2" s="1"/>
  <c r="K175" i="2" a="1"/>
  <c r="K175" i="2" s="1"/>
  <c r="A176" i="2" a="1"/>
  <c r="A176" i="2" s="1"/>
  <c r="B176" i="2" a="1"/>
  <c r="B176" i="2" s="1"/>
  <c r="C178" i="2"/>
  <c r="F177" i="2"/>
  <c r="D175" i="2" a="1"/>
  <c r="H175" i="3" l="1" a="1"/>
  <c r="H175" i="3" s="1"/>
  <c r="I175" i="3" a="1"/>
  <c r="I175" i="3" s="1"/>
  <c r="K175" i="3" a="1"/>
  <c r="K175" i="3" s="1"/>
  <c r="J175" i="3" a="1"/>
  <c r="J175" i="3" s="1"/>
  <c r="H176" i="3" a="1"/>
  <c r="H176" i="3" s="1"/>
  <c r="I176" i="3" a="1"/>
  <c r="I176" i="3" s="1"/>
  <c r="K176" i="3" a="1"/>
  <c r="K176" i="3" s="1"/>
  <c r="C178" i="3"/>
  <c r="G177" i="3" a="1"/>
  <c r="G177" i="3" s="1"/>
  <c r="M177" i="3"/>
  <c r="L177" i="3"/>
  <c r="J177" i="3" a="1"/>
  <c r="J177" i="3" s="1"/>
  <c r="F177" i="3"/>
  <c r="A176" i="3" a="1"/>
  <c r="A176" i="3" s="1"/>
  <c r="B176" i="3" a="1"/>
  <c r="B176" i="3" s="1"/>
  <c r="D175" i="2"/>
  <c r="C179" i="2"/>
  <c r="F178" i="2"/>
  <c r="B177" i="2" a="1"/>
  <c r="B177" i="2" s="1"/>
  <c r="A177" i="2" a="1"/>
  <c r="A177" i="2" s="1"/>
  <c r="H176" i="2" a="1"/>
  <c r="H176" i="2" s="1"/>
  <c r="J176" i="2" a="1"/>
  <c r="J176" i="2" s="1"/>
  <c r="K176" i="2" a="1"/>
  <c r="K176" i="2" s="1"/>
  <c r="I176" i="2" a="1"/>
  <c r="I176" i="2" s="1"/>
  <c r="D176" i="2" a="1"/>
  <c r="H177" i="3" l="1" a="1"/>
  <c r="H177" i="3" s="1"/>
  <c r="I177" i="3" a="1"/>
  <c r="I177" i="3" s="1"/>
  <c r="K177" i="3" a="1"/>
  <c r="K177" i="3" s="1"/>
  <c r="C179" i="3"/>
  <c r="L178" i="3"/>
  <c r="M178" i="3"/>
  <c r="F178" i="3"/>
  <c r="F179" i="3" s="1"/>
  <c r="A177" i="3" a="1"/>
  <c r="A177" i="3" s="1"/>
  <c r="B177" i="3" a="1"/>
  <c r="B177" i="3" s="1"/>
  <c r="D176" i="2"/>
  <c r="A178" i="2" a="1"/>
  <c r="A178" i="2" s="1"/>
  <c r="B178" i="2" a="1"/>
  <c r="B178" i="2" s="1"/>
  <c r="H177" i="2" a="1"/>
  <c r="H177" i="2" s="1"/>
  <c r="I177" i="2" a="1"/>
  <c r="I177" i="2" s="1"/>
  <c r="J177" i="2" a="1"/>
  <c r="J177" i="2" s="1"/>
  <c r="K177" i="2" a="1"/>
  <c r="K177" i="2" s="1"/>
  <c r="C180" i="2"/>
  <c r="F179" i="2"/>
  <c r="D177" i="2" a="1"/>
  <c r="C180" i="3" l="1"/>
  <c r="G179" i="3" a="1"/>
  <c r="G179" i="3" s="1"/>
  <c r="M179" i="3"/>
  <c r="L179" i="3"/>
  <c r="J179" i="3" a="1"/>
  <c r="J179" i="3" s="1"/>
  <c r="F180" i="3"/>
  <c r="G178" i="3" a="1"/>
  <c r="G178" i="3" s="1"/>
  <c r="A178" i="3" a="1"/>
  <c r="A178" i="3" s="1"/>
  <c r="B178" i="3" a="1"/>
  <c r="B178" i="3" s="1"/>
  <c r="D177" i="2"/>
  <c r="I178" i="2" a="1"/>
  <c r="I178" i="2" s="1"/>
  <c r="K178" i="2" a="1"/>
  <c r="K178" i="2" s="1"/>
  <c r="J178" i="2" a="1"/>
  <c r="J178" i="2" s="1"/>
  <c r="H178" i="2" a="1"/>
  <c r="H178" i="2" s="1"/>
  <c r="A179" i="2" a="1"/>
  <c r="A179" i="2" s="1"/>
  <c r="B179" i="2" a="1"/>
  <c r="B179" i="2" s="1"/>
  <c r="C181" i="2"/>
  <c r="F180" i="2"/>
  <c r="D178" i="2" a="1"/>
  <c r="K178" i="3" l="1" a="1"/>
  <c r="K178" i="3" s="1"/>
  <c r="H178" i="3" a="1"/>
  <c r="H178" i="3" s="1"/>
  <c r="I178" i="3" a="1"/>
  <c r="I178" i="3" s="1"/>
  <c r="J178" i="3" a="1"/>
  <c r="J178" i="3" s="1"/>
  <c r="K179" i="3" a="1"/>
  <c r="K179" i="3" s="1"/>
  <c r="H179" i="3" a="1"/>
  <c r="H179" i="3" s="1"/>
  <c r="I179" i="3" a="1"/>
  <c r="I179" i="3" s="1"/>
  <c r="C181" i="3"/>
  <c r="L180" i="3"/>
  <c r="G180" i="3" a="1"/>
  <c r="G180" i="3" s="1"/>
  <c r="M180" i="3"/>
  <c r="A179" i="3" a="1"/>
  <c r="A179" i="3" s="1"/>
  <c r="B179" i="3" a="1"/>
  <c r="B179" i="3" s="1"/>
  <c r="D178" i="2"/>
  <c r="B180" i="2" a="1"/>
  <c r="B180" i="2" s="1"/>
  <c r="A180" i="2" a="1"/>
  <c r="A180" i="2" s="1"/>
  <c r="C182" i="2"/>
  <c r="F181" i="2"/>
  <c r="H179" i="2" a="1"/>
  <c r="H179" i="2" s="1"/>
  <c r="I179" i="2" a="1"/>
  <c r="I179" i="2" s="1"/>
  <c r="J179" i="2" a="1"/>
  <c r="J179" i="2" s="1"/>
  <c r="K179" i="2" a="1"/>
  <c r="K179" i="2" s="1"/>
  <c r="D179" i="2" a="1"/>
  <c r="K180" i="3" l="1" a="1"/>
  <c r="K180" i="3" s="1"/>
  <c r="H180" i="3" a="1"/>
  <c r="H180" i="3" s="1"/>
  <c r="I180" i="3" a="1"/>
  <c r="I180" i="3" s="1"/>
  <c r="C182" i="3"/>
  <c r="L181" i="3"/>
  <c r="M181" i="3"/>
  <c r="F181" i="3"/>
  <c r="F182" i="3" s="1"/>
  <c r="J180" i="3" a="1"/>
  <c r="J180" i="3" s="1"/>
  <c r="B180" i="3" a="1"/>
  <c r="B180" i="3" s="1"/>
  <c r="A180" i="3" a="1"/>
  <c r="A180" i="3" s="1"/>
  <c r="D179" i="2"/>
  <c r="C183" i="2"/>
  <c r="F182" i="2"/>
  <c r="J180" i="2" a="1"/>
  <c r="J180" i="2" s="1"/>
  <c r="K180" i="2" a="1"/>
  <c r="K180" i="2" s="1"/>
  <c r="I180" i="2" a="1"/>
  <c r="I180" i="2" s="1"/>
  <c r="H180" i="2" a="1"/>
  <c r="H180" i="2" s="1"/>
  <c r="B181" i="2" a="1"/>
  <c r="B181" i="2" s="1"/>
  <c r="A181" i="2" a="1"/>
  <c r="A181" i="2" s="1"/>
  <c r="D180" i="2" a="1"/>
  <c r="G181" i="3" l="1" a="1"/>
  <c r="G181" i="3" s="1"/>
  <c r="C183" i="3"/>
  <c r="G182" i="3" a="1"/>
  <c r="G182" i="3" s="1"/>
  <c r="L182" i="3"/>
  <c r="M182" i="3"/>
  <c r="J182" i="3" a="1"/>
  <c r="J182" i="3" s="1"/>
  <c r="A181" i="3" a="1"/>
  <c r="A181" i="3" s="1"/>
  <c r="B181" i="3" a="1"/>
  <c r="B181" i="3" s="1"/>
  <c r="D180" i="2"/>
  <c r="H181" i="2" a="1"/>
  <c r="H181" i="2" s="1"/>
  <c r="K181" i="2" a="1"/>
  <c r="K181" i="2" s="1"/>
  <c r="I181" i="2" a="1"/>
  <c r="I181" i="2" s="1"/>
  <c r="J181" i="2" a="1"/>
  <c r="J181" i="2" s="1"/>
  <c r="B182" i="2" a="1"/>
  <c r="B182" i="2" s="1"/>
  <c r="A182" i="2" a="1"/>
  <c r="A182" i="2" s="1"/>
  <c r="C184" i="2"/>
  <c r="F183" i="2"/>
  <c r="D181" i="2" a="1"/>
  <c r="C184" i="3" l="1"/>
  <c r="M183" i="3"/>
  <c r="L183" i="3"/>
  <c r="H181" i="3" a="1"/>
  <c r="H181" i="3" s="1"/>
  <c r="I181" i="3" a="1"/>
  <c r="I181" i="3" s="1"/>
  <c r="K181" i="3" a="1"/>
  <c r="K181" i="3" s="1"/>
  <c r="J181" i="3" a="1"/>
  <c r="J181" i="3" s="1"/>
  <c r="H182" i="3" a="1"/>
  <c r="H182" i="3" s="1"/>
  <c r="I182" i="3" a="1"/>
  <c r="I182" i="3" s="1"/>
  <c r="K182" i="3" a="1"/>
  <c r="K182" i="3" s="1"/>
  <c r="F183" i="3"/>
  <c r="F184" i="3" s="1"/>
  <c r="A182" i="3" a="1"/>
  <c r="A182" i="3" s="1"/>
  <c r="B182" i="3" a="1"/>
  <c r="B182" i="3" s="1"/>
  <c r="D181" i="2"/>
  <c r="C185" i="2"/>
  <c r="F184" i="2"/>
  <c r="A183" i="2" a="1"/>
  <c r="A183" i="2" s="1"/>
  <c r="B183" i="2" a="1"/>
  <c r="B183" i="2" s="1"/>
  <c r="K182" i="2" a="1"/>
  <c r="K182" i="2" s="1"/>
  <c r="I182" i="2" a="1"/>
  <c r="I182" i="2" s="1"/>
  <c r="J182" i="2" a="1"/>
  <c r="J182" i="2" s="1"/>
  <c r="H182" i="2" a="1"/>
  <c r="H182" i="2" s="1"/>
  <c r="D182" i="2" a="1"/>
  <c r="G183" i="3" l="1" a="1"/>
  <c r="G183" i="3" s="1"/>
  <c r="C185" i="3"/>
  <c r="G184" i="3" a="1"/>
  <c r="G184" i="3" s="1"/>
  <c r="L184" i="3"/>
  <c r="M184" i="3"/>
  <c r="J184" i="3" a="1"/>
  <c r="J184" i="3" s="1"/>
  <c r="A183" i="3" a="1"/>
  <c r="A183" i="3" s="1"/>
  <c r="B183" i="3" a="1"/>
  <c r="B183" i="3" s="1"/>
  <c r="D182" i="2"/>
  <c r="J183" i="2" a="1"/>
  <c r="J183" i="2" s="1"/>
  <c r="H183" i="2" a="1"/>
  <c r="H183" i="2" s="1"/>
  <c r="K183" i="2" a="1"/>
  <c r="K183" i="2" s="1"/>
  <c r="I183" i="2" a="1"/>
  <c r="I183" i="2" s="1"/>
  <c r="A184" i="2" a="1"/>
  <c r="A184" i="2" s="1"/>
  <c r="B184" i="2" a="1"/>
  <c r="B184" i="2" s="1"/>
  <c r="C186" i="2"/>
  <c r="F185" i="2"/>
  <c r="D183" i="2" a="1"/>
  <c r="C186" i="3" l="1"/>
  <c r="L185" i="3"/>
  <c r="M185" i="3"/>
  <c r="F185" i="3"/>
  <c r="F186" i="3" s="1"/>
  <c r="K184" i="3" a="1"/>
  <c r="K184" i="3" s="1"/>
  <c r="H184" i="3" a="1"/>
  <c r="H184" i="3" s="1"/>
  <c r="I184" i="3" a="1"/>
  <c r="I184" i="3" s="1"/>
  <c r="H183" i="3" a="1"/>
  <c r="H183" i="3" s="1"/>
  <c r="I183" i="3" a="1"/>
  <c r="I183" i="3" s="1"/>
  <c r="K183" i="3" a="1"/>
  <c r="K183" i="3" s="1"/>
  <c r="J183" i="3" a="1"/>
  <c r="J183" i="3" s="1"/>
  <c r="A184" i="3" a="1"/>
  <c r="A184" i="3" s="1"/>
  <c r="B184" i="3" a="1"/>
  <c r="B184" i="3" s="1"/>
  <c r="D183" i="2"/>
  <c r="A185" i="2" a="1"/>
  <c r="A185" i="2" s="1"/>
  <c r="B185" i="2" a="1"/>
  <c r="B185" i="2" s="1"/>
  <c r="C187" i="2"/>
  <c r="F186" i="2"/>
  <c r="J184" i="2" a="1"/>
  <c r="J184" i="2" s="1"/>
  <c r="H184" i="2" a="1"/>
  <c r="H184" i="2" s="1"/>
  <c r="K184" i="2" a="1"/>
  <c r="K184" i="2" s="1"/>
  <c r="I184" i="2" a="1"/>
  <c r="I184" i="2" s="1"/>
  <c r="D184" i="2" a="1"/>
  <c r="G185" i="3" l="1" a="1"/>
  <c r="G185" i="3" s="1"/>
  <c r="C187" i="3"/>
  <c r="G186" i="3" a="1"/>
  <c r="G186" i="3" s="1"/>
  <c r="L186" i="3"/>
  <c r="M186" i="3"/>
  <c r="J186" i="3" a="1"/>
  <c r="J186" i="3" s="1"/>
  <c r="A185" i="3" a="1"/>
  <c r="A185" i="3" s="1"/>
  <c r="B185" i="3" a="1"/>
  <c r="B185" i="3" s="1"/>
  <c r="D184" i="2"/>
  <c r="C188" i="2"/>
  <c r="F187" i="2"/>
  <c r="H185" i="2" a="1"/>
  <c r="H185" i="2" s="1"/>
  <c r="J185" i="2" a="1"/>
  <c r="J185" i="2" s="1"/>
  <c r="I185" i="2" a="1"/>
  <c r="I185" i="2" s="1"/>
  <c r="K185" i="2" a="1"/>
  <c r="K185" i="2" s="1"/>
  <c r="B186" i="2" a="1"/>
  <c r="B186" i="2" s="1"/>
  <c r="A186" i="2" a="1"/>
  <c r="A186" i="2" s="1"/>
  <c r="D185" i="2" a="1"/>
  <c r="C188" i="3" l="1"/>
  <c r="G187" i="3" a="1"/>
  <c r="G187" i="3" s="1"/>
  <c r="L187" i="3"/>
  <c r="M187" i="3"/>
  <c r="J187" i="3" a="1"/>
  <c r="J187" i="3" s="1"/>
  <c r="K185" i="3" a="1"/>
  <c r="K185" i="3" s="1"/>
  <c r="H185" i="3" a="1"/>
  <c r="H185" i="3" s="1"/>
  <c r="I185" i="3" a="1"/>
  <c r="I185" i="3" s="1"/>
  <c r="J185" i="3" a="1"/>
  <c r="J185" i="3" s="1"/>
  <c r="H186" i="3" a="1"/>
  <c r="H186" i="3" s="1"/>
  <c r="I186" i="3" a="1"/>
  <c r="I186" i="3" s="1"/>
  <c r="K186" i="3" a="1"/>
  <c r="K186" i="3" s="1"/>
  <c r="F187" i="3"/>
  <c r="F188" i="3" s="1"/>
  <c r="B186" i="3" a="1"/>
  <c r="B186" i="3" s="1"/>
  <c r="A186" i="3" a="1"/>
  <c r="A186" i="3" s="1"/>
  <c r="D185" i="2"/>
  <c r="A187" i="2" a="1"/>
  <c r="A187" i="2" s="1"/>
  <c r="B187" i="2" a="1"/>
  <c r="B187" i="2" s="1"/>
  <c r="J186" i="2" a="1"/>
  <c r="J186" i="2" s="1"/>
  <c r="I186" i="2" a="1"/>
  <c r="I186" i="2" s="1"/>
  <c r="K186" i="2" a="1"/>
  <c r="K186" i="2" s="1"/>
  <c r="H186" i="2" a="1"/>
  <c r="H186" i="2" s="1"/>
  <c r="C189" i="2"/>
  <c r="F188" i="2"/>
  <c r="D186" i="2" a="1"/>
  <c r="H187" i="3" l="1" a="1"/>
  <c r="H187" i="3" s="1"/>
  <c r="I187" i="3" a="1"/>
  <c r="I187" i="3" s="1"/>
  <c r="K187" i="3" a="1"/>
  <c r="K187" i="3" s="1"/>
  <c r="C189" i="3"/>
  <c r="F189" i="3" s="1"/>
  <c r="G188" i="3" a="1"/>
  <c r="G188" i="3" s="1"/>
  <c r="L188" i="3"/>
  <c r="M188" i="3"/>
  <c r="J188" i="3" a="1"/>
  <c r="J188" i="3" s="1"/>
  <c r="B187" i="3" a="1"/>
  <c r="B187" i="3" s="1"/>
  <c r="A187" i="3" a="1"/>
  <c r="A187" i="3" s="1"/>
  <c r="D186" i="2"/>
  <c r="C190" i="2"/>
  <c r="F189" i="2"/>
  <c r="J187" i="2" a="1"/>
  <c r="J187" i="2" s="1"/>
  <c r="I187" i="2" a="1"/>
  <c r="I187" i="2" s="1"/>
  <c r="K187" i="2" a="1"/>
  <c r="K187" i="2" s="1"/>
  <c r="H187" i="2" a="1"/>
  <c r="H187" i="2" s="1"/>
  <c r="A188" i="2" a="1"/>
  <c r="A188" i="2" s="1"/>
  <c r="B188" i="2" a="1"/>
  <c r="B188" i="2" s="1"/>
  <c r="D187" i="2" a="1"/>
  <c r="K188" i="3" l="1" a="1"/>
  <c r="K188" i="3" s="1"/>
  <c r="I188" i="3" a="1"/>
  <c r="I188" i="3" s="1"/>
  <c r="H188" i="3" a="1"/>
  <c r="H188" i="3" s="1"/>
  <c r="C190" i="3"/>
  <c r="G189" i="3" a="1"/>
  <c r="G189" i="3" s="1"/>
  <c r="L189" i="3"/>
  <c r="M189" i="3"/>
  <c r="J189" i="3" a="1"/>
  <c r="J189" i="3" s="1"/>
  <c r="A188" i="3" a="1"/>
  <c r="A188" i="3" s="1"/>
  <c r="B188" i="3" a="1"/>
  <c r="B188" i="3" s="1"/>
  <c r="D187" i="2"/>
  <c r="H188" i="2" a="1"/>
  <c r="H188" i="2" s="1"/>
  <c r="J188" i="2" a="1"/>
  <c r="J188" i="2" s="1"/>
  <c r="K188" i="2" a="1"/>
  <c r="K188" i="2" s="1"/>
  <c r="I188" i="2" a="1"/>
  <c r="I188" i="2" s="1"/>
  <c r="A189" i="2" a="1"/>
  <c r="A189" i="2" s="1"/>
  <c r="B189" i="2" a="1"/>
  <c r="B189" i="2" s="1"/>
  <c r="C191" i="2"/>
  <c r="F190" i="2"/>
  <c r="D188" i="2" a="1"/>
  <c r="H189" i="3" l="1" a="1"/>
  <c r="H189" i="3" s="1"/>
  <c r="K189" i="3" a="1"/>
  <c r="K189" i="3" s="1"/>
  <c r="I189" i="3" a="1"/>
  <c r="I189" i="3" s="1"/>
  <c r="C191" i="3"/>
  <c r="L190" i="3"/>
  <c r="M190" i="3"/>
  <c r="F190" i="3"/>
  <c r="F191" i="3" s="1"/>
  <c r="A189" i="3" a="1"/>
  <c r="A189" i="3" s="1"/>
  <c r="B189" i="3" a="1"/>
  <c r="B189" i="3" s="1"/>
  <c r="D188" i="2"/>
  <c r="A190" i="2" a="1"/>
  <c r="A190" i="2" s="1"/>
  <c r="B190" i="2" a="1"/>
  <c r="B190" i="2" s="1"/>
  <c r="J189" i="2" a="1"/>
  <c r="J189" i="2" s="1"/>
  <c r="K189" i="2" a="1"/>
  <c r="K189" i="2" s="1"/>
  <c r="I189" i="2" a="1"/>
  <c r="I189" i="2" s="1"/>
  <c r="H189" i="2" a="1"/>
  <c r="H189" i="2" s="1"/>
  <c r="C192" i="2"/>
  <c r="F191" i="2"/>
  <c r="D189" i="2" a="1"/>
  <c r="C192" i="3" l="1"/>
  <c r="G191" i="3" a="1"/>
  <c r="G191" i="3" s="1"/>
  <c r="M191" i="3"/>
  <c r="L191" i="3"/>
  <c r="J191" i="3" a="1"/>
  <c r="J191" i="3" s="1"/>
  <c r="F192" i="3"/>
  <c r="G190" i="3" a="1"/>
  <c r="G190" i="3" s="1"/>
  <c r="A190" i="3" a="1"/>
  <c r="A190" i="3" s="1"/>
  <c r="B190" i="3" a="1"/>
  <c r="B190" i="3" s="1"/>
  <c r="D189" i="2"/>
  <c r="B191" i="2" a="1"/>
  <c r="B191" i="2" s="1"/>
  <c r="A191" i="2" a="1"/>
  <c r="A191" i="2" s="1"/>
  <c r="I190" i="2" a="1"/>
  <c r="I190" i="2" s="1"/>
  <c r="J190" i="2" a="1"/>
  <c r="J190" i="2" s="1"/>
  <c r="H190" i="2" a="1"/>
  <c r="H190" i="2" s="1"/>
  <c r="K190" i="2" a="1"/>
  <c r="K190" i="2" s="1"/>
  <c r="C193" i="2"/>
  <c r="F192" i="2"/>
  <c r="D190" i="2" a="1"/>
  <c r="I190" i="3" l="1" a="1"/>
  <c r="I190" i="3" s="1"/>
  <c r="K190" i="3" a="1"/>
  <c r="K190" i="3" s="1"/>
  <c r="H190" i="3" a="1"/>
  <c r="H190" i="3" s="1"/>
  <c r="J190" i="3" a="1"/>
  <c r="J190" i="3" s="1"/>
  <c r="K191" i="3" a="1"/>
  <c r="K191" i="3" s="1"/>
  <c r="H191" i="3" a="1"/>
  <c r="H191" i="3" s="1"/>
  <c r="I191" i="3" a="1"/>
  <c r="I191" i="3" s="1"/>
  <c r="C193" i="3"/>
  <c r="G192" i="3" a="1"/>
  <c r="G192" i="3" s="1"/>
  <c r="L192" i="3"/>
  <c r="M192" i="3"/>
  <c r="A191" i="3" a="1"/>
  <c r="A191" i="3" s="1"/>
  <c r="B191" i="3" a="1"/>
  <c r="B191" i="3" s="1"/>
  <c r="D190" i="2"/>
  <c r="C194" i="2"/>
  <c r="F193" i="2"/>
  <c r="A192" i="2" a="1"/>
  <c r="A192" i="2" s="1"/>
  <c r="B192" i="2" a="1"/>
  <c r="B192" i="2" s="1"/>
  <c r="J191" i="2" a="1"/>
  <c r="J191" i="2" s="1"/>
  <c r="K191" i="2" a="1"/>
  <c r="K191" i="2" s="1"/>
  <c r="I191" i="2" a="1"/>
  <c r="I191" i="2" s="1"/>
  <c r="H191" i="2" a="1"/>
  <c r="H191" i="2" s="1"/>
  <c r="D191" i="2" a="1"/>
  <c r="H192" i="3" l="1" a="1"/>
  <c r="H192" i="3" s="1"/>
  <c r="I192" i="3" a="1"/>
  <c r="I192" i="3" s="1"/>
  <c r="K192" i="3" a="1"/>
  <c r="K192" i="3" s="1"/>
  <c r="C194" i="3"/>
  <c r="L193" i="3"/>
  <c r="M193" i="3"/>
  <c r="F193" i="3"/>
  <c r="F194" i="3" s="1"/>
  <c r="J192" i="3" a="1"/>
  <c r="J192" i="3" s="1"/>
  <c r="B192" i="3" a="1"/>
  <c r="B192" i="3" s="1"/>
  <c r="A192" i="3" a="1"/>
  <c r="A192" i="3" s="1"/>
  <c r="D191" i="2"/>
  <c r="K192" i="2" a="1"/>
  <c r="K192" i="2" s="1"/>
  <c r="J192" i="2" a="1"/>
  <c r="J192" i="2" s="1"/>
  <c r="H192" i="2" a="1"/>
  <c r="H192" i="2" s="1"/>
  <c r="I192" i="2" a="1"/>
  <c r="I192" i="2" s="1"/>
  <c r="B193" i="2" a="1"/>
  <c r="B193" i="2" s="1"/>
  <c r="A193" i="2" a="1"/>
  <c r="A193" i="2" s="1"/>
  <c r="C195" i="2"/>
  <c r="F194" i="2"/>
  <c r="D192" i="2" a="1"/>
  <c r="C195" i="3" l="1"/>
  <c r="G194" i="3" a="1"/>
  <c r="G194" i="3" s="1"/>
  <c r="L194" i="3"/>
  <c r="M194" i="3"/>
  <c r="J194" i="3" a="1"/>
  <c r="J194" i="3" s="1"/>
  <c r="F195" i="3"/>
  <c r="G193" i="3" a="1"/>
  <c r="G193" i="3" s="1"/>
  <c r="A193" i="3" a="1"/>
  <c r="A193" i="3" s="1"/>
  <c r="B193" i="3" a="1"/>
  <c r="B193" i="3" s="1"/>
  <c r="D192" i="2"/>
  <c r="J193" i="2" a="1"/>
  <c r="J193" i="2" s="1"/>
  <c r="H193" i="2" a="1"/>
  <c r="H193" i="2" s="1"/>
  <c r="K193" i="2" a="1"/>
  <c r="K193" i="2" s="1"/>
  <c r="I193" i="2" a="1"/>
  <c r="I193" i="2" s="1"/>
  <c r="A194" i="2" a="1"/>
  <c r="A194" i="2" s="1"/>
  <c r="B194" i="2" a="1"/>
  <c r="B194" i="2" s="1"/>
  <c r="C196" i="2"/>
  <c r="F195" i="2"/>
  <c r="D193" i="2" a="1"/>
  <c r="H193" i="3" l="1" a="1"/>
  <c r="H193" i="3" s="1"/>
  <c r="I193" i="3" a="1"/>
  <c r="I193" i="3" s="1"/>
  <c r="K193" i="3" a="1"/>
  <c r="K193" i="3" s="1"/>
  <c r="J193" i="3" a="1"/>
  <c r="J193" i="3" s="1"/>
  <c r="H194" i="3" a="1"/>
  <c r="H194" i="3" s="1"/>
  <c r="I194" i="3" a="1"/>
  <c r="I194" i="3" s="1"/>
  <c r="K194" i="3" a="1"/>
  <c r="K194" i="3" s="1"/>
  <c r="C196" i="3"/>
  <c r="G195" i="3" a="1"/>
  <c r="G195" i="3" s="1"/>
  <c r="M195" i="3"/>
  <c r="L195" i="3"/>
  <c r="A194" i="3" a="1"/>
  <c r="A194" i="3" s="1"/>
  <c r="B194" i="3" a="1"/>
  <c r="B194" i="3" s="1"/>
  <c r="D193" i="2"/>
  <c r="B195" i="2" a="1"/>
  <c r="B195" i="2" s="1"/>
  <c r="A195" i="2" a="1"/>
  <c r="A195" i="2" s="1"/>
  <c r="C197" i="2"/>
  <c r="F196" i="2"/>
  <c r="K194" i="2" a="1"/>
  <c r="K194" i="2" s="1"/>
  <c r="H194" i="2" a="1"/>
  <c r="H194" i="2" s="1"/>
  <c r="J194" i="2" a="1"/>
  <c r="J194" i="2" s="1"/>
  <c r="I194" i="2" a="1"/>
  <c r="I194" i="2" s="1"/>
  <c r="D194" i="2" a="1"/>
  <c r="C197" i="3" l="1"/>
  <c r="L196" i="3"/>
  <c r="M196" i="3"/>
  <c r="H195" i="3" a="1"/>
  <c r="H195" i="3" s="1"/>
  <c r="I195" i="3" a="1"/>
  <c r="I195" i="3" s="1"/>
  <c r="K195" i="3" a="1"/>
  <c r="K195" i="3" s="1"/>
  <c r="F196" i="3"/>
  <c r="F197" i="3" s="1"/>
  <c r="J195" i="3" a="1"/>
  <c r="J195" i="3" s="1"/>
  <c r="A195" i="3" a="1"/>
  <c r="A195" i="3" s="1"/>
  <c r="B195" i="3" a="1"/>
  <c r="B195" i="3" s="1"/>
  <c r="D194" i="2"/>
  <c r="A196" i="2" a="1"/>
  <c r="A196" i="2" s="1"/>
  <c r="B196" i="2" a="1"/>
  <c r="B196" i="2" s="1"/>
  <c r="C198" i="2"/>
  <c r="F197" i="2"/>
  <c r="J195" i="2" a="1"/>
  <c r="J195" i="2" s="1"/>
  <c r="H195" i="2" a="1"/>
  <c r="H195" i="2" s="1"/>
  <c r="K195" i="2" a="1"/>
  <c r="K195" i="2" s="1"/>
  <c r="I195" i="2" a="1"/>
  <c r="I195" i="2" s="1"/>
  <c r="D195" i="2" a="1"/>
  <c r="G196" i="3" l="1" a="1"/>
  <c r="G196" i="3" s="1"/>
  <c r="C198" i="3"/>
  <c r="G197" i="3" a="1"/>
  <c r="G197" i="3" s="1"/>
  <c r="M197" i="3"/>
  <c r="L197" i="3"/>
  <c r="J197" i="3" a="1"/>
  <c r="J197" i="3" s="1"/>
  <c r="A196" i="3" a="1"/>
  <c r="A196" i="3" s="1"/>
  <c r="B196" i="3" a="1"/>
  <c r="B196" i="3" s="1"/>
  <c r="D195" i="2"/>
  <c r="I196" i="2" a="1"/>
  <c r="I196" i="2" s="1"/>
  <c r="J196" i="2" a="1"/>
  <c r="J196" i="2" s="1"/>
  <c r="H196" i="2" a="1"/>
  <c r="H196" i="2" s="1"/>
  <c r="K196" i="2" a="1"/>
  <c r="K196" i="2" s="1"/>
  <c r="A197" i="2" a="1"/>
  <c r="A197" i="2" s="1"/>
  <c r="B197" i="2" a="1"/>
  <c r="B197" i="2" s="1"/>
  <c r="C199" i="2"/>
  <c r="F198" i="2"/>
  <c r="D196" i="2" a="1"/>
  <c r="K196" i="3" l="1" a="1"/>
  <c r="K196" i="3" s="1"/>
  <c r="H196" i="3" a="1"/>
  <c r="H196" i="3" s="1"/>
  <c r="I196" i="3" a="1"/>
  <c r="I196" i="3" s="1"/>
  <c r="J196" i="3" a="1"/>
  <c r="J196" i="3" s="1"/>
  <c r="K197" i="3" a="1"/>
  <c r="K197" i="3" s="1"/>
  <c r="H197" i="3" a="1"/>
  <c r="H197" i="3" s="1"/>
  <c r="I197" i="3" a="1"/>
  <c r="I197" i="3" s="1"/>
  <c r="C199" i="3"/>
  <c r="G198" i="3" a="1"/>
  <c r="G198" i="3" s="1"/>
  <c r="L198" i="3"/>
  <c r="M198" i="3"/>
  <c r="J198" i="3" a="1"/>
  <c r="J198" i="3" s="1"/>
  <c r="F198" i="3"/>
  <c r="A197" i="3" a="1"/>
  <c r="A197" i="3" s="1"/>
  <c r="B197" i="3" a="1"/>
  <c r="B197" i="3" s="1"/>
  <c r="D196" i="2"/>
  <c r="I197" i="2" a="1"/>
  <c r="I197" i="2" s="1"/>
  <c r="J197" i="2" a="1"/>
  <c r="J197" i="2" s="1"/>
  <c r="K197" i="2" a="1"/>
  <c r="K197" i="2" s="1"/>
  <c r="H197" i="2" a="1"/>
  <c r="H197" i="2" s="1"/>
  <c r="B198" i="2" a="1"/>
  <c r="B198" i="2" s="1"/>
  <c r="A198" i="2" a="1"/>
  <c r="A198" i="2" s="1"/>
  <c r="C200" i="2"/>
  <c r="F199" i="2"/>
  <c r="D197" i="2" a="1"/>
  <c r="C200" i="3" l="1"/>
  <c r="L199" i="3"/>
  <c r="M199" i="3"/>
  <c r="I198" i="3" a="1"/>
  <c r="I198" i="3" s="1"/>
  <c r="K198" i="3" a="1"/>
  <c r="K198" i="3" s="1"/>
  <c r="H198" i="3" a="1"/>
  <c r="H198" i="3" s="1"/>
  <c r="F199" i="3"/>
  <c r="F200" i="3" s="1"/>
  <c r="B198" i="3" a="1"/>
  <c r="B198" i="3" s="1"/>
  <c r="A198" i="3" a="1"/>
  <c r="A198" i="3" s="1"/>
  <c r="D197" i="2"/>
  <c r="C201" i="2"/>
  <c r="F200" i="2"/>
  <c r="B199" i="2" a="1"/>
  <c r="B199" i="2" s="1"/>
  <c r="A199" i="2" a="1"/>
  <c r="A199" i="2" s="1"/>
  <c r="I198" i="2" a="1"/>
  <c r="I198" i="2" s="1"/>
  <c r="H198" i="2" a="1"/>
  <c r="H198" i="2" s="1"/>
  <c r="K198" i="2" a="1"/>
  <c r="K198" i="2" s="1"/>
  <c r="J198" i="2" a="1"/>
  <c r="J198" i="2" s="1"/>
  <c r="D198" i="2" a="1"/>
  <c r="G199" i="3" l="1" a="1"/>
  <c r="G199" i="3" s="1"/>
  <c r="C201" i="3"/>
  <c r="G200" i="3" a="1"/>
  <c r="G200" i="3" s="1"/>
  <c r="L200" i="3"/>
  <c r="M200" i="3"/>
  <c r="J200" i="3" a="1"/>
  <c r="J200" i="3" s="1"/>
  <c r="B199" i="3" a="1"/>
  <c r="B199" i="3" s="1"/>
  <c r="A199" i="3" a="1"/>
  <c r="A199" i="3" s="1"/>
  <c r="D198" i="2"/>
  <c r="A200" i="2" a="1"/>
  <c r="A200" i="2" s="1"/>
  <c r="B200" i="2" a="1"/>
  <c r="B200" i="2" s="1"/>
  <c r="H199" i="2" a="1"/>
  <c r="H199" i="2" s="1"/>
  <c r="K199" i="2" a="1"/>
  <c r="K199" i="2" s="1"/>
  <c r="J199" i="2" a="1"/>
  <c r="J199" i="2" s="1"/>
  <c r="I199" i="2" a="1"/>
  <c r="I199" i="2" s="1"/>
  <c r="C202" i="2"/>
  <c r="F201" i="2"/>
  <c r="D199" i="2" a="1"/>
  <c r="H199" i="3" l="1" a="1"/>
  <c r="H199" i="3" s="1"/>
  <c r="I199" i="3" a="1"/>
  <c r="I199" i="3" s="1"/>
  <c r="K199" i="3" a="1"/>
  <c r="K199" i="3" s="1"/>
  <c r="J199" i="3" a="1"/>
  <c r="J199" i="3" s="1"/>
  <c r="H200" i="3" a="1"/>
  <c r="H200" i="3" s="1"/>
  <c r="I200" i="3" a="1"/>
  <c r="I200" i="3" s="1"/>
  <c r="K200" i="3" a="1"/>
  <c r="K200" i="3" s="1"/>
  <c r="C202" i="3"/>
  <c r="M201" i="3"/>
  <c r="L201" i="3"/>
  <c r="F201" i="3"/>
  <c r="F202" i="3" s="1"/>
  <c r="A200" i="3" a="1"/>
  <c r="A200" i="3" s="1"/>
  <c r="B200" i="3" a="1"/>
  <c r="B200" i="3" s="1"/>
  <c r="D199" i="2"/>
  <c r="A201" i="2" a="1"/>
  <c r="A201" i="2" s="1"/>
  <c r="B201" i="2" a="1"/>
  <c r="B201" i="2" s="1"/>
  <c r="C203" i="2"/>
  <c r="F202" i="2"/>
  <c r="K200" i="2" a="1"/>
  <c r="K200" i="2" s="1"/>
  <c r="J200" i="2" a="1"/>
  <c r="J200" i="2" s="1"/>
  <c r="I200" i="2" a="1"/>
  <c r="I200" i="2" s="1"/>
  <c r="H200" i="2" a="1"/>
  <c r="H200" i="2" s="1"/>
  <c r="D200" i="2" a="1"/>
  <c r="G201" i="3" l="1" a="1"/>
  <c r="G201" i="3" s="1"/>
  <c r="C203" i="3"/>
  <c r="G202" i="3" a="1"/>
  <c r="G202" i="3" s="1"/>
  <c r="L202" i="3"/>
  <c r="M202" i="3"/>
  <c r="F203" i="3"/>
  <c r="A201" i="3" a="1"/>
  <c r="A201" i="3" s="1"/>
  <c r="B201" i="3" a="1"/>
  <c r="B201" i="3" s="1"/>
  <c r="D200" i="2"/>
  <c r="H201" i="2" a="1"/>
  <c r="H201" i="2" s="1"/>
  <c r="J201" i="2" a="1"/>
  <c r="J201" i="2" s="1"/>
  <c r="K201" i="2" a="1"/>
  <c r="K201" i="2" s="1"/>
  <c r="I201" i="2" a="1"/>
  <c r="I201" i="2" s="1"/>
  <c r="B202" i="2" a="1"/>
  <c r="B202" i="2" s="1"/>
  <c r="A202" i="2" a="1"/>
  <c r="A202" i="2" s="1"/>
  <c r="C204" i="2"/>
  <c r="F203" i="2"/>
  <c r="D201" i="2" a="1"/>
  <c r="K202" i="3" l="1" a="1"/>
  <c r="K202" i="3" s="1"/>
  <c r="H202" i="3" a="1"/>
  <c r="H202" i="3" s="1"/>
  <c r="I202" i="3" a="1"/>
  <c r="I202" i="3" s="1"/>
  <c r="C204" i="3"/>
  <c r="G203" i="3" a="1"/>
  <c r="G203" i="3" s="1"/>
  <c r="L203" i="3"/>
  <c r="M203" i="3"/>
  <c r="J203" i="3" a="1"/>
  <c r="J203" i="3" s="1"/>
  <c r="F204" i="3"/>
  <c r="J202" i="3" a="1"/>
  <c r="J202" i="3" s="1"/>
  <c r="H201" i="3" a="1"/>
  <c r="H201" i="3" s="1"/>
  <c r="I201" i="3" a="1"/>
  <c r="I201" i="3" s="1"/>
  <c r="K201" i="3" a="1"/>
  <c r="K201" i="3" s="1"/>
  <c r="J201" i="3" a="1"/>
  <c r="J201" i="3" s="1"/>
  <c r="A202" i="3" a="1"/>
  <c r="A202" i="3" s="1"/>
  <c r="B202" i="3" a="1"/>
  <c r="B202" i="3" s="1"/>
  <c r="D201" i="2"/>
  <c r="A203" i="2" a="1"/>
  <c r="A203" i="2" s="1"/>
  <c r="B203" i="2" a="1"/>
  <c r="B203" i="2" s="1"/>
  <c r="C205" i="2"/>
  <c r="F204" i="2"/>
  <c r="I202" i="2" a="1"/>
  <c r="I202" i="2" s="1"/>
  <c r="J202" i="2" a="1"/>
  <c r="J202" i="2" s="1"/>
  <c r="K202" i="2" a="1"/>
  <c r="K202" i="2" s="1"/>
  <c r="H202" i="2" a="1"/>
  <c r="H202" i="2" s="1"/>
  <c r="D202" i="2" a="1"/>
  <c r="C205" i="3" l="1"/>
  <c r="G204" i="3" a="1"/>
  <c r="G204" i="3" s="1"/>
  <c r="L204" i="3"/>
  <c r="M204" i="3"/>
  <c r="J204" i="3" a="1"/>
  <c r="J204" i="3" s="1"/>
  <c r="F205" i="3"/>
  <c r="K203" i="3" a="1"/>
  <c r="K203" i="3" s="1"/>
  <c r="H203" i="3" a="1"/>
  <c r="H203" i="3" s="1"/>
  <c r="I203" i="3" a="1"/>
  <c r="I203" i="3" s="1"/>
  <c r="A203" i="3" a="1"/>
  <c r="A203" i="3" s="1"/>
  <c r="B203" i="3" a="1"/>
  <c r="B203" i="3" s="1"/>
  <c r="D202" i="2"/>
  <c r="B204" i="2" a="1"/>
  <c r="B204" i="2" s="1"/>
  <c r="A204" i="2" a="1"/>
  <c r="A204" i="2" s="1"/>
  <c r="C206" i="2"/>
  <c r="F205" i="2"/>
  <c r="J203" i="2" a="1"/>
  <c r="J203" i="2" s="1"/>
  <c r="K203" i="2" a="1"/>
  <c r="K203" i="2" s="1"/>
  <c r="H203" i="2" a="1"/>
  <c r="H203" i="2" s="1"/>
  <c r="I203" i="2" a="1"/>
  <c r="I203" i="2" s="1"/>
  <c r="D203" i="2" a="1"/>
  <c r="H204" i="3" l="1" a="1"/>
  <c r="H204" i="3" s="1"/>
  <c r="I204" i="3" a="1"/>
  <c r="I204" i="3" s="1"/>
  <c r="K204" i="3" a="1"/>
  <c r="K204" i="3" s="1"/>
  <c r="C206" i="3"/>
  <c r="G205" i="3" a="1"/>
  <c r="G205" i="3" s="1"/>
  <c r="L205" i="3"/>
  <c r="M205" i="3"/>
  <c r="J205" i="3" a="1"/>
  <c r="J205" i="3" s="1"/>
  <c r="B204" i="3" a="1"/>
  <c r="B204" i="3" s="1"/>
  <c r="A204" i="3" a="1"/>
  <c r="A204" i="3" s="1"/>
  <c r="D203" i="2"/>
  <c r="K204" i="2" a="1"/>
  <c r="K204" i="2" s="1"/>
  <c r="H204" i="2" a="1"/>
  <c r="H204" i="2" s="1"/>
  <c r="J204" i="2" a="1"/>
  <c r="J204" i="2" s="1"/>
  <c r="I204" i="2" a="1"/>
  <c r="I204" i="2" s="1"/>
  <c r="B205" i="2" a="1"/>
  <c r="B205" i="2" s="1"/>
  <c r="A205" i="2" a="1"/>
  <c r="A205" i="2" s="1"/>
  <c r="C207" i="2"/>
  <c r="F206" i="2"/>
  <c r="D204" i="2" a="1"/>
  <c r="H205" i="3" l="1" a="1"/>
  <c r="H205" i="3" s="1"/>
  <c r="I205" i="3" a="1"/>
  <c r="I205" i="3" s="1"/>
  <c r="K205" i="3" a="1"/>
  <c r="K205" i="3" s="1"/>
  <c r="C207" i="3"/>
  <c r="L206" i="3"/>
  <c r="M206" i="3"/>
  <c r="F206" i="3"/>
  <c r="F207" i="3" s="1"/>
  <c r="A205" i="3" a="1"/>
  <c r="A205" i="3" s="1"/>
  <c r="B205" i="3" a="1"/>
  <c r="B205" i="3" s="1"/>
  <c r="D204" i="2"/>
  <c r="A206" i="2" a="1"/>
  <c r="A206" i="2" s="1"/>
  <c r="B206" i="2" a="1"/>
  <c r="B206" i="2" s="1"/>
  <c r="C208" i="2"/>
  <c r="F207" i="2"/>
  <c r="K205" i="2" a="1"/>
  <c r="K205" i="2" s="1"/>
  <c r="H205" i="2" a="1"/>
  <c r="H205" i="2" s="1"/>
  <c r="I205" i="2" a="1"/>
  <c r="I205" i="2" s="1"/>
  <c r="J205" i="2" a="1"/>
  <c r="J205" i="2" s="1"/>
  <c r="D205" i="2" a="1"/>
  <c r="C208" i="3" l="1"/>
  <c r="G207" i="3" a="1"/>
  <c r="G207" i="3" s="1"/>
  <c r="L207" i="3"/>
  <c r="M207" i="3"/>
  <c r="J207" i="3" a="1"/>
  <c r="J207" i="3" s="1"/>
  <c r="F208" i="3"/>
  <c r="G206" i="3" a="1"/>
  <c r="G206" i="3" s="1"/>
  <c r="A206" i="3" a="1"/>
  <c r="A206" i="3" s="1"/>
  <c r="B206" i="3" a="1"/>
  <c r="B206" i="3" s="1"/>
  <c r="D205" i="2"/>
  <c r="H206" i="2" a="1"/>
  <c r="H206" i="2" s="1"/>
  <c r="I206" i="2" a="1"/>
  <c r="I206" i="2" s="1"/>
  <c r="K206" i="2" a="1"/>
  <c r="K206" i="2" s="1"/>
  <c r="J206" i="2" a="1"/>
  <c r="J206" i="2" s="1"/>
  <c r="B207" i="2" a="1"/>
  <c r="B207" i="2" s="1"/>
  <c r="A207" i="2" a="1"/>
  <c r="A207" i="2" s="1"/>
  <c r="C209" i="2"/>
  <c r="F208" i="2"/>
  <c r="D206" i="2" a="1"/>
  <c r="K206" i="3" l="1" a="1"/>
  <c r="K206" i="3" s="1"/>
  <c r="I206" i="3" a="1"/>
  <c r="I206" i="3" s="1"/>
  <c r="H206" i="3" a="1"/>
  <c r="H206" i="3" s="1"/>
  <c r="J206" i="3" a="1"/>
  <c r="J206" i="3" s="1"/>
  <c r="H207" i="3" a="1"/>
  <c r="H207" i="3" s="1"/>
  <c r="I207" i="3" a="1"/>
  <c r="I207" i="3" s="1"/>
  <c r="K207" i="3" a="1"/>
  <c r="K207" i="3" s="1"/>
  <c r="C209" i="3"/>
  <c r="G208" i="3" a="1"/>
  <c r="G208" i="3" s="1"/>
  <c r="L208" i="3"/>
  <c r="M208" i="3"/>
  <c r="A207" i="3" a="1"/>
  <c r="A207" i="3" s="1"/>
  <c r="B207" i="3" a="1"/>
  <c r="B207" i="3" s="1"/>
  <c r="D206" i="2"/>
  <c r="B208" i="2" a="1"/>
  <c r="B208" i="2" s="1"/>
  <c r="A208" i="2" a="1"/>
  <c r="A208" i="2" s="1"/>
  <c r="C210" i="2"/>
  <c r="F209" i="2"/>
  <c r="K207" i="2" a="1"/>
  <c r="K207" i="2" s="1"/>
  <c r="I207" i="2" a="1"/>
  <c r="I207" i="2" s="1"/>
  <c r="J207" i="2" a="1"/>
  <c r="J207" i="2" s="1"/>
  <c r="H207" i="2" a="1"/>
  <c r="H207" i="2" s="1"/>
  <c r="D207" i="2" a="1"/>
  <c r="C210" i="3" l="1"/>
  <c r="L209" i="3"/>
  <c r="M209" i="3"/>
  <c r="H208" i="3" a="1"/>
  <c r="H208" i="3" s="1"/>
  <c r="I208" i="3" a="1"/>
  <c r="I208" i="3" s="1"/>
  <c r="K208" i="3" a="1"/>
  <c r="K208" i="3" s="1"/>
  <c r="J208" i="3" a="1"/>
  <c r="J208" i="3" s="1"/>
  <c r="F209" i="3"/>
  <c r="F210" i="3" s="1"/>
  <c r="A208" i="3" a="1"/>
  <c r="A208" i="3" s="1"/>
  <c r="B208" i="3" a="1"/>
  <c r="B208" i="3" s="1"/>
  <c r="D207" i="2"/>
  <c r="H208" i="2" a="1"/>
  <c r="H208" i="2" s="1"/>
  <c r="I208" i="2" a="1"/>
  <c r="I208" i="2" s="1"/>
  <c r="K208" i="2" a="1"/>
  <c r="K208" i="2" s="1"/>
  <c r="J208" i="2" a="1"/>
  <c r="J208" i="2" s="1"/>
  <c r="B209" i="2" a="1"/>
  <c r="B209" i="2" s="1"/>
  <c r="A209" i="2" a="1"/>
  <c r="A209" i="2" s="1"/>
  <c r="C211" i="2"/>
  <c r="F210" i="2"/>
  <c r="D208" i="2" a="1"/>
  <c r="G209" i="3" l="1" a="1"/>
  <c r="G209" i="3" s="1"/>
  <c r="C211" i="3"/>
  <c r="G210" i="3" a="1"/>
  <c r="G210" i="3" s="1"/>
  <c r="L210" i="3"/>
  <c r="M210" i="3"/>
  <c r="J210" i="3" a="1"/>
  <c r="J210" i="3" s="1"/>
  <c r="A209" i="3" a="1"/>
  <c r="A209" i="3" s="1"/>
  <c r="B209" i="3" a="1"/>
  <c r="B209" i="3" s="1"/>
  <c r="D208" i="2"/>
  <c r="J209" i="2" a="1"/>
  <c r="J209" i="2" s="1"/>
  <c r="H209" i="2" a="1"/>
  <c r="H209" i="2" s="1"/>
  <c r="I209" i="2" a="1"/>
  <c r="I209" i="2" s="1"/>
  <c r="K209" i="2" a="1"/>
  <c r="K209" i="2" s="1"/>
  <c r="A210" i="2" a="1"/>
  <c r="A210" i="2" s="1"/>
  <c r="B210" i="2" a="1"/>
  <c r="B210" i="2" s="1"/>
  <c r="C212" i="2"/>
  <c r="F211" i="2"/>
  <c r="D209" i="2" a="1"/>
  <c r="H209" i="3" l="1" a="1"/>
  <c r="H209" i="3" s="1"/>
  <c r="I209" i="3" a="1"/>
  <c r="I209" i="3" s="1"/>
  <c r="K209" i="3" a="1"/>
  <c r="K209" i="3" s="1"/>
  <c r="J209" i="3" a="1"/>
  <c r="J209" i="3" s="1"/>
  <c r="K210" i="3" a="1"/>
  <c r="K210" i="3" s="1"/>
  <c r="H210" i="3" a="1"/>
  <c r="H210" i="3" s="1"/>
  <c r="I210" i="3" a="1"/>
  <c r="I210" i="3" s="1"/>
  <c r="C212" i="3"/>
  <c r="G211" i="3" a="1"/>
  <c r="G211" i="3" s="1"/>
  <c r="L211" i="3"/>
  <c r="M211" i="3"/>
  <c r="J211" i="3" a="1"/>
  <c r="J211" i="3" s="1"/>
  <c r="F211" i="3"/>
  <c r="A210" i="3" a="1"/>
  <c r="A210" i="3" s="1"/>
  <c r="B210" i="3" a="1"/>
  <c r="B210" i="3" s="1"/>
  <c r="D209" i="2"/>
  <c r="A211" i="2" a="1"/>
  <c r="A211" i="2" s="1"/>
  <c r="B211" i="2" a="1"/>
  <c r="B211" i="2" s="1"/>
  <c r="C213" i="2"/>
  <c r="F212" i="2"/>
  <c r="H210" i="2" a="1"/>
  <c r="H210" i="2" s="1"/>
  <c r="I210" i="2" a="1"/>
  <c r="I210" i="2" s="1"/>
  <c r="J210" i="2" a="1"/>
  <c r="J210" i="2" s="1"/>
  <c r="K210" i="2" a="1"/>
  <c r="K210" i="2" s="1"/>
  <c r="D210" i="2" a="1"/>
  <c r="K211" i="3" l="1" a="1"/>
  <c r="K211" i="3" s="1"/>
  <c r="H211" i="3" a="1"/>
  <c r="H211" i="3" s="1"/>
  <c r="I211" i="3" a="1"/>
  <c r="I211" i="3" s="1"/>
  <c r="C213" i="3"/>
  <c r="L212" i="3"/>
  <c r="M212" i="3"/>
  <c r="F212" i="3"/>
  <c r="F213" i="3" s="1"/>
  <c r="A211" i="3" a="1"/>
  <c r="A211" i="3" s="1"/>
  <c r="B211" i="3" a="1"/>
  <c r="B211" i="3" s="1"/>
  <c r="D210" i="2"/>
  <c r="J211" i="2" a="1"/>
  <c r="J211" i="2" s="1"/>
  <c r="K211" i="2" a="1"/>
  <c r="K211" i="2" s="1"/>
  <c r="I211" i="2" a="1"/>
  <c r="I211" i="2" s="1"/>
  <c r="H211" i="2" a="1"/>
  <c r="H211" i="2" s="1"/>
  <c r="A212" i="2" a="1"/>
  <c r="A212" i="2" s="1"/>
  <c r="B212" i="2" a="1"/>
  <c r="B212" i="2" s="1"/>
  <c r="C214" i="2"/>
  <c r="F213" i="2"/>
  <c r="D211" i="2" a="1"/>
  <c r="G212" i="3" l="1" a="1"/>
  <c r="G212" i="3" s="1"/>
  <c r="C214" i="3"/>
  <c r="G213" i="3" a="1"/>
  <c r="G213" i="3" s="1"/>
  <c r="L213" i="3"/>
  <c r="M213" i="3"/>
  <c r="J213" i="3" a="1"/>
  <c r="J213" i="3" s="1"/>
  <c r="B212" i="3" a="1"/>
  <c r="B212" i="3" s="1"/>
  <c r="A212" i="3" a="1"/>
  <c r="A212" i="3" s="1"/>
  <c r="D211" i="2"/>
  <c r="B213" i="2" a="1"/>
  <c r="B213" i="2" s="1"/>
  <c r="A213" i="2" a="1"/>
  <c r="A213" i="2" s="1"/>
  <c r="C215" i="2"/>
  <c r="F214" i="2"/>
  <c r="I212" i="2" a="1"/>
  <c r="I212" i="2" s="1"/>
  <c r="J212" i="2" a="1"/>
  <c r="J212" i="2" s="1"/>
  <c r="H212" i="2" a="1"/>
  <c r="H212" i="2" s="1"/>
  <c r="K212" i="2" a="1"/>
  <c r="K212" i="2" s="1"/>
  <c r="D212" i="2" a="1"/>
  <c r="H212" i="3" l="1" a="1"/>
  <c r="H212" i="3" s="1"/>
  <c r="I212" i="3" a="1"/>
  <c r="I212" i="3" s="1"/>
  <c r="K212" i="3" a="1"/>
  <c r="K212" i="3" s="1"/>
  <c r="J212" i="3" a="1"/>
  <c r="J212" i="3" s="1"/>
  <c r="H213" i="3" a="1"/>
  <c r="H213" i="3" s="1"/>
  <c r="I213" i="3" a="1"/>
  <c r="I213" i="3" s="1"/>
  <c r="K213" i="3" a="1"/>
  <c r="K213" i="3" s="1"/>
  <c r="C215" i="3"/>
  <c r="G214" i="3" a="1"/>
  <c r="G214" i="3" s="1"/>
  <c r="L214" i="3"/>
  <c r="M214" i="3"/>
  <c r="J214" i="3" a="1"/>
  <c r="J214" i="3" s="1"/>
  <c r="F214" i="3"/>
  <c r="A213" i="3" a="1"/>
  <c r="A213" i="3" s="1"/>
  <c r="B213" i="3" a="1"/>
  <c r="B213" i="3" s="1"/>
  <c r="D212" i="2"/>
  <c r="B214" i="2" a="1"/>
  <c r="B214" i="2" s="1"/>
  <c r="A214" i="2" a="1"/>
  <c r="A214" i="2" s="1"/>
  <c r="C216" i="2"/>
  <c r="F215" i="2"/>
  <c r="J213" i="2" a="1"/>
  <c r="J213" i="2" s="1"/>
  <c r="H213" i="2" a="1"/>
  <c r="H213" i="2" s="1"/>
  <c r="I213" i="2" a="1"/>
  <c r="I213" i="2" s="1"/>
  <c r="K213" i="2" a="1"/>
  <c r="K213" i="2" s="1"/>
  <c r="D213" i="2" a="1"/>
  <c r="C216" i="3" l="1"/>
  <c r="L215" i="3"/>
  <c r="M215" i="3"/>
  <c r="H214" i="3" a="1"/>
  <c r="H214" i="3" s="1"/>
  <c r="K214" i="3" a="1"/>
  <c r="K214" i="3" s="1"/>
  <c r="I214" i="3" a="1"/>
  <c r="I214" i="3" s="1"/>
  <c r="F215" i="3"/>
  <c r="F216" i="3" s="1"/>
  <c r="A214" i="3" a="1"/>
  <c r="A214" i="3" s="1"/>
  <c r="B214" i="3" a="1"/>
  <c r="B214" i="3" s="1"/>
  <c r="D213" i="2"/>
  <c r="C217" i="2"/>
  <c r="F216" i="2"/>
  <c r="I214" i="2" a="1"/>
  <c r="I214" i="2" s="1"/>
  <c r="J214" i="2" a="1"/>
  <c r="J214" i="2" s="1"/>
  <c r="H214" i="2" a="1"/>
  <c r="H214" i="2" s="1"/>
  <c r="K214" i="2" a="1"/>
  <c r="K214" i="2" s="1"/>
  <c r="A215" i="2" a="1"/>
  <c r="A215" i="2" s="1"/>
  <c r="B215" i="2" a="1"/>
  <c r="B215" i="2" s="1"/>
  <c r="D214" i="2" a="1"/>
  <c r="G215" i="3" l="1" a="1"/>
  <c r="G215" i="3" s="1"/>
  <c r="C217" i="3"/>
  <c r="G216" i="3" a="1"/>
  <c r="G216" i="3" s="1"/>
  <c r="L216" i="3"/>
  <c r="M216" i="3"/>
  <c r="J216" i="3" a="1"/>
  <c r="J216" i="3" s="1"/>
  <c r="A215" i="3" a="1"/>
  <c r="A215" i="3" s="1"/>
  <c r="B215" i="3" a="1"/>
  <c r="B215" i="3" s="1"/>
  <c r="D214" i="2"/>
  <c r="A216" i="2" a="1"/>
  <c r="A216" i="2" s="1"/>
  <c r="B216" i="2" a="1"/>
  <c r="B216" i="2" s="1"/>
  <c r="J215" i="2" a="1"/>
  <c r="J215" i="2" s="1"/>
  <c r="I215" i="2" a="1"/>
  <c r="I215" i="2" s="1"/>
  <c r="K215" i="2" a="1"/>
  <c r="K215" i="2" s="1"/>
  <c r="H215" i="2" a="1"/>
  <c r="H215" i="2" s="1"/>
  <c r="C218" i="2"/>
  <c r="F217" i="2"/>
  <c r="D215" i="2" a="1"/>
  <c r="H216" i="3" l="1" a="1"/>
  <c r="H216" i="3" s="1"/>
  <c r="I216" i="3" a="1"/>
  <c r="I216" i="3" s="1"/>
  <c r="K216" i="3" a="1"/>
  <c r="K216" i="3" s="1"/>
  <c r="K215" i="3" a="1"/>
  <c r="K215" i="3" s="1"/>
  <c r="I215" i="3" a="1"/>
  <c r="I215" i="3" s="1"/>
  <c r="H215" i="3" a="1"/>
  <c r="H215" i="3" s="1"/>
  <c r="J215" i="3" a="1"/>
  <c r="J215" i="3" s="1"/>
  <c r="C218" i="3"/>
  <c r="G217" i="3" a="1"/>
  <c r="G217" i="3" s="1"/>
  <c r="L217" i="3"/>
  <c r="M217" i="3"/>
  <c r="F217" i="3"/>
  <c r="A216" i="3" a="1"/>
  <c r="A216" i="3" s="1"/>
  <c r="B216" i="3" a="1"/>
  <c r="B216" i="3" s="1"/>
  <c r="D215" i="2"/>
  <c r="C219" i="2"/>
  <c r="F218" i="2"/>
  <c r="B217" i="2" a="1"/>
  <c r="B217" i="2" s="1"/>
  <c r="A217" i="2" a="1"/>
  <c r="A217" i="2" s="1"/>
  <c r="I216" i="2" a="1"/>
  <c r="I216" i="2" s="1"/>
  <c r="H216" i="2" a="1"/>
  <c r="H216" i="2" s="1"/>
  <c r="K216" i="2" a="1"/>
  <c r="K216" i="2" s="1"/>
  <c r="J216" i="2" a="1"/>
  <c r="J216" i="2" s="1"/>
  <c r="D216" i="2" a="1"/>
  <c r="H217" i="3" l="1" a="1"/>
  <c r="H217" i="3" s="1"/>
  <c r="I217" i="3" a="1"/>
  <c r="I217" i="3" s="1"/>
  <c r="K217" i="3" a="1"/>
  <c r="K217" i="3" s="1"/>
  <c r="J217" i="3" a="1"/>
  <c r="J217" i="3" s="1"/>
  <c r="C219" i="3"/>
  <c r="L218" i="3"/>
  <c r="M218" i="3"/>
  <c r="F218" i="3"/>
  <c r="F219" i="3" s="1"/>
  <c r="B217" i="3" a="1"/>
  <c r="B217" i="3" s="1"/>
  <c r="A217" i="3" a="1"/>
  <c r="A217" i="3" s="1"/>
  <c r="D216" i="2"/>
  <c r="H217" i="2" a="1"/>
  <c r="H217" i="2" s="1"/>
  <c r="K217" i="2" a="1"/>
  <c r="K217" i="2" s="1"/>
  <c r="I217" i="2" a="1"/>
  <c r="I217" i="2" s="1"/>
  <c r="J217" i="2" a="1"/>
  <c r="J217" i="2" s="1"/>
  <c r="B218" i="2" a="1"/>
  <c r="B218" i="2" s="1"/>
  <c r="A218" i="2" a="1"/>
  <c r="A218" i="2" s="1"/>
  <c r="C220" i="2"/>
  <c r="F219" i="2"/>
  <c r="D217" i="2" a="1"/>
  <c r="C220" i="3" l="1"/>
  <c r="G219" i="3" a="1"/>
  <c r="G219" i="3" s="1"/>
  <c r="L219" i="3"/>
  <c r="M219" i="3"/>
  <c r="J219" i="3" a="1"/>
  <c r="J219" i="3" s="1"/>
  <c r="G218" i="3" a="1"/>
  <c r="G218" i="3" s="1"/>
  <c r="A218" i="3" a="1"/>
  <c r="A218" i="3" s="1"/>
  <c r="B218" i="3" a="1"/>
  <c r="B218" i="3" s="1"/>
  <c r="D217" i="2"/>
  <c r="C221" i="2"/>
  <c r="F220" i="2"/>
  <c r="J218" i="2" a="1"/>
  <c r="J218" i="2" s="1"/>
  <c r="K218" i="2" a="1"/>
  <c r="K218" i="2" s="1"/>
  <c r="I218" i="2" a="1"/>
  <c r="I218" i="2" s="1"/>
  <c r="H218" i="2" a="1"/>
  <c r="H218" i="2" s="1"/>
  <c r="B219" i="2" a="1"/>
  <c r="B219" i="2" s="1"/>
  <c r="A219" i="2" a="1"/>
  <c r="A219" i="2" s="1"/>
  <c r="D218" i="2" a="1"/>
  <c r="H218" i="3" l="1" a="1"/>
  <c r="H218" i="3" s="1"/>
  <c r="I218" i="3" a="1"/>
  <c r="I218" i="3" s="1"/>
  <c r="K218" i="3" a="1"/>
  <c r="K218" i="3" s="1"/>
  <c r="J218" i="3" a="1"/>
  <c r="J218" i="3" s="1"/>
  <c r="C221" i="3"/>
  <c r="G220" i="3" a="1"/>
  <c r="G220" i="3" s="1"/>
  <c r="L220" i="3"/>
  <c r="M220" i="3"/>
  <c r="J220" i="3" a="1"/>
  <c r="J220" i="3" s="1"/>
  <c r="K219" i="3" a="1"/>
  <c r="K219" i="3" s="1"/>
  <c r="H219" i="3" a="1"/>
  <c r="H219" i="3" s="1"/>
  <c r="I219" i="3" a="1"/>
  <c r="I219" i="3" s="1"/>
  <c r="F220" i="3"/>
  <c r="B219" i="3" a="1"/>
  <c r="B219" i="3" s="1"/>
  <c r="A219" i="3" a="1"/>
  <c r="A219" i="3" s="1"/>
  <c r="D218" i="2"/>
  <c r="H219" i="2" a="1"/>
  <c r="H219" i="2" s="1"/>
  <c r="J219" i="2" a="1"/>
  <c r="J219" i="2" s="1"/>
  <c r="I219" i="2" a="1"/>
  <c r="I219" i="2" s="1"/>
  <c r="K219" i="2" a="1"/>
  <c r="K219" i="2" s="1"/>
  <c r="A220" i="2" a="1"/>
  <c r="A220" i="2" s="1"/>
  <c r="B220" i="2" a="1"/>
  <c r="B220" i="2" s="1"/>
  <c r="C222" i="2"/>
  <c r="F221" i="2"/>
  <c r="D219" i="2" a="1"/>
  <c r="C222" i="3" l="1"/>
  <c r="L221" i="3"/>
  <c r="M221" i="3"/>
  <c r="K220" i="3" a="1"/>
  <c r="K220" i="3" s="1"/>
  <c r="H220" i="3" a="1"/>
  <c r="H220" i="3" s="1"/>
  <c r="I220" i="3" a="1"/>
  <c r="I220" i="3" s="1"/>
  <c r="F221" i="3"/>
  <c r="F222" i="3" s="1"/>
  <c r="A220" i="3" a="1"/>
  <c r="A220" i="3" s="1"/>
  <c r="B220" i="3" a="1"/>
  <c r="B220" i="3" s="1"/>
  <c r="D219" i="2"/>
  <c r="C223" i="2"/>
  <c r="F222" i="2"/>
  <c r="I220" i="2" a="1"/>
  <c r="I220" i="2" s="1"/>
  <c r="H220" i="2" a="1"/>
  <c r="H220" i="2" s="1"/>
  <c r="K220" i="2" a="1"/>
  <c r="K220" i="2" s="1"/>
  <c r="J220" i="2" a="1"/>
  <c r="J220" i="2" s="1"/>
  <c r="A221" i="2" a="1"/>
  <c r="A221" i="2" s="1"/>
  <c r="B221" i="2" a="1"/>
  <c r="B221" i="2" s="1"/>
  <c r="D220" i="2" a="1"/>
  <c r="G221" i="3" l="1" a="1"/>
  <c r="G221" i="3" s="1"/>
  <c r="C223" i="3"/>
  <c r="G222" i="3" a="1"/>
  <c r="G222" i="3" s="1"/>
  <c r="L222" i="3"/>
  <c r="M222" i="3"/>
  <c r="J222" i="3" a="1"/>
  <c r="J222" i="3" s="1"/>
  <c r="A221" i="3" a="1"/>
  <c r="A221" i="3" s="1"/>
  <c r="B221" i="3" a="1"/>
  <c r="B221" i="3" s="1"/>
  <c r="D220" i="2"/>
  <c r="I221" i="2" a="1"/>
  <c r="I221" i="2" s="1"/>
  <c r="K221" i="2" a="1"/>
  <c r="K221" i="2" s="1"/>
  <c r="J221" i="2" a="1"/>
  <c r="J221" i="2" s="1"/>
  <c r="H221" i="2" a="1"/>
  <c r="H221" i="2" s="1"/>
  <c r="B222" i="2" a="1"/>
  <c r="B222" i="2" s="1"/>
  <c r="A222" i="2" a="1"/>
  <c r="A222" i="2" s="1"/>
  <c r="C224" i="2"/>
  <c r="F223" i="2"/>
  <c r="D221" i="2" a="1"/>
  <c r="H222" i="3" l="1" a="1"/>
  <c r="H222" i="3" s="1"/>
  <c r="I222" i="3" a="1"/>
  <c r="I222" i="3" s="1"/>
  <c r="K222" i="3" a="1"/>
  <c r="K222" i="3" s="1"/>
  <c r="C224" i="3"/>
  <c r="G223" i="3" a="1"/>
  <c r="G223" i="3" s="1"/>
  <c r="M223" i="3"/>
  <c r="L223" i="3"/>
  <c r="H221" i="3" a="1"/>
  <c r="H221" i="3" s="1"/>
  <c r="I221" i="3" a="1"/>
  <c r="I221" i="3" s="1"/>
  <c r="K221" i="3" a="1"/>
  <c r="K221" i="3" s="1"/>
  <c r="J221" i="3" a="1"/>
  <c r="J221" i="3" s="1"/>
  <c r="F223" i="3"/>
  <c r="F224" i="3" s="1"/>
  <c r="A222" i="3" a="1"/>
  <c r="A222" i="3" s="1"/>
  <c r="B222" i="3" a="1"/>
  <c r="B222" i="3" s="1"/>
  <c r="D221" i="2"/>
  <c r="A223" i="2" a="1"/>
  <c r="A223" i="2" s="1"/>
  <c r="B223" i="2" a="1"/>
  <c r="B223" i="2" s="1"/>
  <c r="C225" i="2"/>
  <c r="F224" i="2"/>
  <c r="I222" i="2" a="1"/>
  <c r="I222" i="2" s="1"/>
  <c r="K222" i="2" a="1"/>
  <c r="K222" i="2" s="1"/>
  <c r="J222" i="2" a="1"/>
  <c r="J222" i="2" s="1"/>
  <c r="H222" i="2" a="1"/>
  <c r="H222" i="2" s="1"/>
  <c r="D222" i="2" a="1"/>
  <c r="H223" i="3" l="1" a="1"/>
  <c r="H223" i="3" s="1"/>
  <c r="K223" i="3" a="1"/>
  <c r="K223" i="3" s="1"/>
  <c r="I223" i="3" a="1"/>
  <c r="I223" i="3" s="1"/>
  <c r="C225" i="3"/>
  <c r="G224" i="3" a="1"/>
  <c r="G224" i="3" s="1"/>
  <c r="J224" i="3" s="1" a="1"/>
  <c r="J224" i="3" s="1"/>
  <c r="L224" i="3"/>
  <c r="M224" i="3"/>
  <c r="J223" i="3" a="1"/>
  <c r="J223" i="3" s="1"/>
  <c r="F225" i="3"/>
  <c r="A223" i="3" a="1"/>
  <c r="A223" i="3" s="1"/>
  <c r="B223" i="3" a="1"/>
  <c r="B223" i="3" s="1"/>
  <c r="D222" i="2"/>
  <c r="H223" i="2" a="1"/>
  <c r="H223" i="2" s="1"/>
  <c r="J223" i="2" a="1"/>
  <c r="J223" i="2" s="1"/>
  <c r="I223" i="2" a="1"/>
  <c r="I223" i="2" s="1"/>
  <c r="K223" i="2" a="1"/>
  <c r="K223" i="2" s="1"/>
  <c r="A224" i="2" a="1"/>
  <c r="A224" i="2" s="1"/>
  <c r="B224" i="2" a="1"/>
  <c r="B224" i="2" s="1"/>
  <c r="C226" i="2"/>
  <c r="F225" i="2"/>
  <c r="D223" i="2" a="1"/>
  <c r="C226" i="3" l="1"/>
  <c r="G225" i="3" a="1"/>
  <c r="G225" i="3" s="1"/>
  <c r="L225" i="3"/>
  <c r="M225" i="3"/>
  <c r="F226" i="3"/>
  <c r="I224" i="3" a="1"/>
  <c r="I224" i="3" s="1"/>
  <c r="K224" i="3" a="1"/>
  <c r="K224" i="3" s="1"/>
  <c r="H224" i="3" a="1"/>
  <c r="H224" i="3" s="1"/>
  <c r="B224" i="3" a="1"/>
  <c r="B224" i="3" s="1"/>
  <c r="A224" i="3" a="1"/>
  <c r="A224" i="3" s="1"/>
  <c r="D223" i="2"/>
  <c r="C227" i="2"/>
  <c r="F226" i="2"/>
  <c r="B225" i="2" a="1"/>
  <c r="B225" i="2" s="1"/>
  <c r="A225" i="2" a="1"/>
  <c r="A225" i="2" s="1"/>
  <c r="I224" i="2" a="1"/>
  <c r="I224" i="2" s="1"/>
  <c r="H224" i="2" a="1"/>
  <c r="H224" i="2" s="1"/>
  <c r="J224" i="2" a="1"/>
  <c r="J224" i="2" s="1"/>
  <c r="K224" i="2" a="1"/>
  <c r="K224" i="2" s="1"/>
  <c r="D224" i="2" a="1"/>
  <c r="H225" i="3" l="1" a="1"/>
  <c r="H225" i="3" s="1"/>
  <c r="I225" i="3" a="1"/>
  <c r="I225" i="3" s="1"/>
  <c r="K225" i="3" a="1"/>
  <c r="K225" i="3" s="1"/>
  <c r="J225" i="3" a="1"/>
  <c r="J225" i="3" s="1"/>
  <c r="C227" i="3"/>
  <c r="F227" i="3" s="1"/>
  <c r="G226" i="3" a="1"/>
  <c r="G226" i="3" s="1"/>
  <c r="J226" i="3" s="1" a="1"/>
  <c r="J226" i="3" s="1"/>
  <c r="M226" i="3"/>
  <c r="L226" i="3"/>
  <c r="A225" i="3" a="1"/>
  <c r="A225" i="3" s="1"/>
  <c r="B225" i="3" a="1"/>
  <c r="B225" i="3" s="1"/>
  <c r="D224" i="2"/>
  <c r="J225" i="2" a="1"/>
  <c r="J225" i="2" s="1"/>
  <c r="K225" i="2" a="1"/>
  <c r="K225" i="2" s="1"/>
  <c r="H225" i="2" a="1"/>
  <c r="H225" i="2" s="1"/>
  <c r="I225" i="2" a="1"/>
  <c r="I225" i="2" s="1"/>
  <c r="B226" i="2" a="1"/>
  <c r="B226" i="2" s="1"/>
  <c r="A226" i="2" a="1"/>
  <c r="A226" i="2" s="1"/>
  <c r="C228" i="2"/>
  <c r="F227" i="2"/>
  <c r="D225" i="2" a="1"/>
  <c r="K226" i="3" l="1" a="1"/>
  <c r="K226" i="3" s="1"/>
  <c r="H226" i="3" a="1"/>
  <c r="H226" i="3" s="1"/>
  <c r="I226" i="3" a="1"/>
  <c r="I226" i="3" s="1"/>
  <c r="C228" i="3"/>
  <c r="G227" i="3" a="1"/>
  <c r="G227" i="3" s="1"/>
  <c r="J227" i="3" a="1"/>
  <c r="J227" i="3" s="1"/>
  <c r="L227" i="3"/>
  <c r="M227" i="3"/>
  <c r="A226" i="3" a="1"/>
  <c r="A226" i="3" s="1"/>
  <c r="B226" i="3" a="1"/>
  <c r="B226" i="3" s="1"/>
  <c r="D225" i="2"/>
  <c r="C229" i="2"/>
  <c r="F228" i="2"/>
  <c r="K226" i="2" a="1"/>
  <c r="K226" i="2" s="1"/>
  <c r="J226" i="2" a="1"/>
  <c r="J226" i="2" s="1"/>
  <c r="H226" i="2" a="1"/>
  <c r="H226" i="2" s="1"/>
  <c r="I226" i="2" a="1"/>
  <c r="I226" i="2" s="1"/>
  <c r="A227" i="2" a="1"/>
  <c r="A227" i="2" s="1"/>
  <c r="B227" i="2" a="1"/>
  <c r="B227" i="2" s="1"/>
  <c r="D226" i="2" a="1"/>
  <c r="H227" i="3" l="1" a="1"/>
  <c r="H227" i="3" s="1"/>
  <c r="I227" i="3" a="1"/>
  <c r="I227" i="3" s="1"/>
  <c r="K227" i="3" a="1"/>
  <c r="K227" i="3" s="1"/>
  <c r="C229" i="3"/>
  <c r="L228" i="3"/>
  <c r="M228" i="3"/>
  <c r="F228" i="3"/>
  <c r="F229" i="3" s="1"/>
  <c r="A227" i="3" a="1"/>
  <c r="A227" i="3" s="1"/>
  <c r="B227" i="3" a="1"/>
  <c r="B227" i="3" s="1"/>
  <c r="D226" i="2"/>
  <c r="H227" i="2" a="1"/>
  <c r="H227" i="2" s="1"/>
  <c r="I227" i="2" a="1"/>
  <c r="I227" i="2" s="1"/>
  <c r="J227" i="2" a="1"/>
  <c r="J227" i="2" s="1"/>
  <c r="K227" i="2" a="1"/>
  <c r="K227" i="2" s="1"/>
  <c r="A228" i="2" a="1"/>
  <c r="A228" i="2" s="1"/>
  <c r="B228" i="2" a="1"/>
  <c r="B228" i="2" s="1"/>
  <c r="C230" i="2"/>
  <c r="F229" i="2"/>
  <c r="D227" i="2" a="1"/>
  <c r="C230" i="3" l="1"/>
  <c r="G229" i="3" a="1"/>
  <c r="G229" i="3" s="1"/>
  <c r="L229" i="3"/>
  <c r="M229" i="3"/>
  <c r="G228" i="3" a="1"/>
  <c r="G228" i="3" s="1"/>
  <c r="F230" i="3"/>
  <c r="A228" i="3" a="1"/>
  <c r="A228" i="3" s="1"/>
  <c r="B228" i="3" a="1"/>
  <c r="B228" i="3" s="1"/>
  <c r="D227" i="2"/>
  <c r="A229" i="2" a="1"/>
  <c r="A229" i="2" s="1"/>
  <c r="B229" i="2" a="1"/>
  <c r="B229" i="2" s="1"/>
  <c r="C231" i="2"/>
  <c r="F230" i="2"/>
  <c r="K228" i="2" a="1"/>
  <c r="K228" i="2" s="1"/>
  <c r="I228" i="2" a="1"/>
  <c r="I228" i="2" s="1"/>
  <c r="J228" i="2" a="1"/>
  <c r="J228" i="2" s="1"/>
  <c r="H228" i="2" a="1"/>
  <c r="H228" i="2" s="1"/>
  <c r="D228" i="2" a="1"/>
  <c r="I228" i="3" l="1" a="1"/>
  <c r="I228" i="3" s="1"/>
  <c r="K228" i="3" a="1"/>
  <c r="K228" i="3" s="1"/>
  <c r="H228" i="3" a="1"/>
  <c r="H228" i="3" s="1"/>
  <c r="J228" i="3" a="1"/>
  <c r="J228" i="3" s="1"/>
  <c r="H229" i="3" a="1"/>
  <c r="H229" i="3" s="1"/>
  <c r="I229" i="3" a="1"/>
  <c r="I229" i="3" s="1"/>
  <c r="K229" i="3" a="1"/>
  <c r="K229" i="3" s="1"/>
  <c r="J229" i="3" a="1"/>
  <c r="J229" i="3" s="1"/>
  <c r="C231" i="3"/>
  <c r="G230" i="3" a="1"/>
  <c r="G230" i="3" s="1"/>
  <c r="J230" i="3" s="1" a="1"/>
  <c r="J230" i="3" s="1"/>
  <c r="L230" i="3"/>
  <c r="M230" i="3"/>
  <c r="B229" i="3" a="1"/>
  <c r="B229" i="3" s="1"/>
  <c r="A229" i="3" a="1"/>
  <c r="A229" i="3" s="1"/>
  <c r="D228" i="2"/>
  <c r="I229" i="2" a="1"/>
  <c r="I229" i="2" s="1"/>
  <c r="J229" i="2" a="1"/>
  <c r="J229" i="2" s="1"/>
  <c r="H229" i="2" a="1"/>
  <c r="H229" i="2" s="1"/>
  <c r="K229" i="2" a="1"/>
  <c r="K229" i="2" s="1"/>
  <c r="A230" i="2" a="1"/>
  <c r="A230" i="2" s="1"/>
  <c r="B230" i="2" a="1"/>
  <c r="B230" i="2" s="1"/>
  <c r="C232" i="2"/>
  <c r="F231" i="2"/>
  <c r="D229" i="2" a="1"/>
  <c r="H230" i="3" l="1" a="1"/>
  <c r="H230" i="3" s="1"/>
  <c r="I230" i="3" a="1"/>
  <c r="I230" i="3" s="1"/>
  <c r="K230" i="3" a="1"/>
  <c r="K230" i="3" s="1"/>
  <c r="C232" i="3"/>
  <c r="L231" i="3"/>
  <c r="M231" i="3"/>
  <c r="F231" i="3"/>
  <c r="F232" i="3" s="1"/>
  <c r="A230" i="3" a="1"/>
  <c r="A230" i="3" s="1"/>
  <c r="B230" i="3" a="1"/>
  <c r="B230" i="3" s="1"/>
  <c r="D229" i="2"/>
  <c r="B231" i="2" a="1"/>
  <c r="B231" i="2" s="1"/>
  <c r="A231" i="2" a="1"/>
  <c r="A231" i="2" s="1"/>
  <c r="C233" i="2"/>
  <c r="F232" i="2"/>
  <c r="K230" i="2" a="1"/>
  <c r="K230" i="2" s="1"/>
  <c r="H230" i="2" a="1"/>
  <c r="H230" i="2" s="1"/>
  <c r="I230" i="2" a="1"/>
  <c r="I230" i="2" s="1"/>
  <c r="J230" i="2" a="1"/>
  <c r="J230" i="2" s="1"/>
  <c r="D230" i="2" a="1"/>
  <c r="C233" i="3" l="1"/>
  <c r="G232" i="3" a="1"/>
  <c r="G232" i="3" s="1"/>
  <c r="L232" i="3"/>
  <c r="M232" i="3"/>
  <c r="J232" i="3" a="1"/>
  <c r="J232" i="3" s="1"/>
  <c r="F233" i="3"/>
  <c r="G231" i="3" a="1"/>
  <c r="G231" i="3" s="1"/>
  <c r="B231" i="3" a="1"/>
  <c r="B231" i="3" s="1"/>
  <c r="A231" i="3" a="1"/>
  <c r="A231" i="3" s="1"/>
  <c r="D230" i="2"/>
  <c r="H231" i="2" a="1"/>
  <c r="H231" i="2" s="1"/>
  <c r="K231" i="2" a="1"/>
  <c r="K231" i="2" s="1"/>
  <c r="J231" i="2" a="1"/>
  <c r="J231" i="2" s="1"/>
  <c r="I231" i="2" a="1"/>
  <c r="I231" i="2" s="1"/>
  <c r="A232" i="2" a="1"/>
  <c r="A232" i="2" s="1"/>
  <c r="B232" i="2" a="1"/>
  <c r="B232" i="2" s="1"/>
  <c r="C234" i="2"/>
  <c r="F233" i="2"/>
  <c r="D231" i="2" a="1"/>
  <c r="H231" i="3" l="1" a="1"/>
  <c r="H231" i="3" s="1"/>
  <c r="I231" i="3" a="1"/>
  <c r="I231" i="3" s="1"/>
  <c r="K231" i="3" a="1"/>
  <c r="K231" i="3" s="1"/>
  <c r="J231" i="3" a="1"/>
  <c r="J231" i="3" s="1"/>
  <c r="H232" i="3" a="1"/>
  <c r="H232" i="3" s="1"/>
  <c r="I232" i="3" a="1"/>
  <c r="I232" i="3" s="1"/>
  <c r="K232" i="3" a="1"/>
  <c r="K232" i="3" s="1"/>
  <c r="C234" i="3"/>
  <c r="F234" i="3" s="1"/>
  <c r="G233" i="3" a="1"/>
  <c r="G233" i="3" s="1"/>
  <c r="J233" i="3" s="1" a="1"/>
  <c r="J233" i="3" s="1"/>
  <c r="L233" i="3"/>
  <c r="M233" i="3"/>
  <c r="A232" i="3" a="1"/>
  <c r="A232" i="3" s="1"/>
  <c r="B232" i="3" a="1"/>
  <c r="B232" i="3" s="1"/>
  <c r="D231" i="2"/>
  <c r="C235" i="2"/>
  <c r="F234" i="2"/>
  <c r="J232" i="2" a="1"/>
  <c r="J232" i="2" s="1"/>
  <c r="K232" i="2" a="1"/>
  <c r="K232" i="2" s="1"/>
  <c r="I232" i="2" a="1"/>
  <c r="I232" i="2" s="1"/>
  <c r="H232" i="2" a="1"/>
  <c r="H232" i="2" s="1"/>
  <c r="A233" i="2" a="1"/>
  <c r="A233" i="2" s="1"/>
  <c r="B233" i="2" a="1"/>
  <c r="B233" i="2" s="1"/>
  <c r="D232" i="2" a="1"/>
  <c r="H233" i="3" l="1" a="1"/>
  <c r="H233" i="3" s="1"/>
  <c r="I233" i="3" a="1"/>
  <c r="I233" i="3" s="1"/>
  <c r="K233" i="3" a="1"/>
  <c r="K233" i="3" s="1"/>
  <c r="C235" i="3"/>
  <c r="G234" i="3" a="1"/>
  <c r="G234" i="3" s="1"/>
  <c r="L234" i="3"/>
  <c r="M234" i="3"/>
  <c r="J234" i="3" a="1"/>
  <c r="J234" i="3" s="1"/>
  <c r="A233" i="3" a="1"/>
  <c r="A233" i="3" s="1"/>
  <c r="B233" i="3" a="1"/>
  <c r="B233" i="3" s="1"/>
  <c r="D232" i="2"/>
  <c r="A234" i="2" a="1"/>
  <c r="A234" i="2" s="1"/>
  <c r="B234" i="2" a="1"/>
  <c r="B234" i="2" s="1"/>
  <c r="H233" i="2" a="1"/>
  <c r="H233" i="2" s="1"/>
  <c r="K233" i="2" a="1"/>
  <c r="K233" i="2" s="1"/>
  <c r="J233" i="2" a="1"/>
  <c r="J233" i="2" s="1"/>
  <c r="I233" i="2" a="1"/>
  <c r="I233" i="2" s="1"/>
  <c r="C236" i="2"/>
  <c r="F235" i="2"/>
  <c r="D233" i="2" a="1"/>
  <c r="I234" i="3" l="1" a="1"/>
  <c r="I234" i="3" s="1"/>
  <c r="K234" i="3" a="1"/>
  <c r="K234" i="3" s="1"/>
  <c r="H234" i="3" a="1"/>
  <c r="H234" i="3" s="1"/>
  <c r="C236" i="3"/>
  <c r="L235" i="3"/>
  <c r="M235" i="3"/>
  <c r="F235" i="3"/>
  <c r="F236" i="3" s="1"/>
  <c r="A234" i="3" a="1"/>
  <c r="A234" i="3" s="1"/>
  <c r="B234" i="3" a="1"/>
  <c r="B234" i="3" s="1"/>
  <c r="D233" i="2"/>
  <c r="C237" i="2"/>
  <c r="F236" i="2"/>
  <c r="A235" i="2" a="1"/>
  <c r="A235" i="2" s="1"/>
  <c r="B235" i="2" a="1"/>
  <c r="B235" i="2" s="1"/>
  <c r="H234" i="2" a="1"/>
  <c r="H234" i="2" s="1"/>
  <c r="K234" i="2" a="1"/>
  <c r="K234" i="2" s="1"/>
  <c r="I234" i="2" a="1"/>
  <c r="I234" i="2" s="1"/>
  <c r="J234" i="2" a="1"/>
  <c r="J234" i="2" s="1"/>
  <c r="D234" i="2" a="1"/>
  <c r="C237" i="3" l="1"/>
  <c r="G236" i="3" a="1"/>
  <c r="G236" i="3" s="1"/>
  <c r="M236" i="3"/>
  <c r="J236" i="3" a="1"/>
  <c r="J236" i="3" s="1"/>
  <c r="L236" i="3"/>
  <c r="G235" i="3" a="1"/>
  <c r="G235" i="3" s="1"/>
  <c r="A235" i="3" a="1"/>
  <c r="A235" i="3" s="1"/>
  <c r="B235" i="3" a="1"/>
  <c r="B235" i="3" s="1"/>
  <c r="D234" i="2"/>
  <c r="K235" i="2" a="1"/>
  <c r="K235" i="2" s="1"/>
  <c r="J235" i="2" a="1"/>
  <c r="J235" i="2" s="1"/>
  <c r="I235" i="2" a="1"/>
  <c r="I235" i="2" s="1"/>
  <c r="H235" i="2" a="1"/>
  <c r="H235" i="2" s="1"/>
  <c r="A236" i="2" a="1"/>
  <c r="A236" i="2" s="1"/>
  <c r="B236" i="2" a="1"/>
  <c r="B236" i="2" s="1"/>
  <c r="C238" i="2"/>
  <c r="F237" i="2"/>
  <c r="D235" i="2" a="1"/>
  <c r="C238" i="3" l="1"/>
  <c r="G237" i="3" a="1"/>
  <c r="G237" i="3" s="1"/>
  <c r="J237" i="3" a="1"/>
  <c r="J237" i="3" s="1"/>
  <c r="L237" i="3"/>
  <c r="M237" i="3"/>
  <c r="K235" i="3" a="1"/>
  <c r="K235" i="3" s="1"/>
  <c r="H235" i="3" a="1"/>
  <c r="H235" i="3" s="1"/>
  <c r="I235" i="3" a="1"/>
  <c r="I235" i="3" s="1"/>
  <c r="J235" i="3" a="1"/>
  <c r="J235" i="3" s="1"/>
  <c r="H236" i="3" a="1"/>
  <c r="H236" i="3" s="1"/>
  <c r="I236" i="3" a="1"/>
  <c r="I236" i="3" s="1"/>
  <c r="K236" i="3" a="1"/>
  <c r="K236" i="3" s="1"/>
  <c r="F237" i="3"/>
  <c r="F238" i="3" s="1"/>
  <c r="B236" i="3" a="1"/>
  <c r="B236" i="3" s="1"/>
  <c r="A236" i="3" a="1"/>
  <c r="A236" i="3" s="1"/>
  <c r="D235" i="2"/>
  <c r="H236" i="2" a="1"/>
  <c r="H236" i="2" s="1"/>
  <c r="J236" i="2" a="1"/>
  <c r="J236" i="2" s="1"/>
  <c r="K236" i="2" a="1"/>
  <c r="K236" i="2" s="1"/>
  <c r="I236" i="2" a="1"/>
  <c r="I236" i="2" s="1"/>
  <c r="B237" i="2" a="1"/>
  <c r="B237" i="2" s="1"/>
  <c r="A237" i="2" a="1"/>
  <c r="A237" i="2" s="1"/>
  <c r="C239" i="2"/>
  <c r="F238" i="2"/>
  <c r="D236" i="2" a="1"/>
  <c r="H237" i="3" l="1" a="1"/>
  <c r="H237" i="3" s="1"/>
  <c r="I237" i="3" a="1"/>
  <c r="I237" i="3" s="1"/>
  <c r="K237" i="3" a="1"/>
  <c r="K237" i="3" s="1"/>
  <c r="C239" i="3"/>
  <c r="F239" i="3" s="1"/>
  <c r="G238" i="3" a="1"/>
  <c r="G238" i="3" s="1"/>
  <c r="L238" i="3"/>
  <c r="M238" i="3"/>
  <c r="A237" i="3" a="1"/>
  <c r="A237" i="3" s="1"/>
  <c r="B237" i="3" a="1"/>
  <c r="B237" i="3" s="1"/>
  <c r="D236" i="2"/>
  <c r="I237" i="2" a="1"/>
  <c r="I237" i="2" s="1"/>
  <c r="J237" i="2" a="1"/>
  <c r="J237" i="2" s="1"/>
  <c r="K237" i="2" a="1"/>
  <c r="K237" i="2" s="1"/>
  <c r="H237" i="2" a="1"/>
  <c r="H237" i="2" s="1"/>
  <c r="B238" i="2" a="1"/>
  <c r="B238" i="2" s="1"/>
  <c r="A238" i="2" a="1"/>
  <c r="A238" i="2" s="1"/>
  <c r="C240" i="2"/>
  <c r="F239" i="2"/>
  <c r="D237" i="2" a="1"/>
  <c r="H238" i="3" l="1" a="1"/>
  <c r="H238" i="3" s="1"/>
  <c r="I238" i="3" a="1"/>
  <c r="I238" i="3" s="1"/>
  <c r="K238" i="3" a="1"/>
  <c r="K238" i="3" s="1"/>
  <c r="J238" i="3" a="1"/>
  <c r="J238" i="3" s="1"/>
  <c r="C240" i="3"/>
  <c r="G239" i="3" a="1"/>
  <c r="G239" i="3" s="1"/>
  <c r="M239" i="3"/>
  <c r="L239" i="3"/>
  <c r="J239" i="3" a="1"/>
  <c r="J239" i="3" s="1"/>
  <c r="A238" i="3" a="1"/>
  <c r="A238" i="3" s="1"/>
  <c r="B238" i="3" a="1"/>
  <c r="B238" i="3" s="1"/>
  <c r="D237" i="2"/>
  <c r="A239" i="2" a="1"/>
  <c r="A239" i="2" s="1"/>
  <c r="B239" i="2" a="1"/>
  <c r="B239" i="2" s="1"/>
  <c r="C241" i="2"/>
  <c r="F240" i="2"/>
  <c r="I238" i="2" a="1"/>
  <c r="I238" i="2" s="1"/>
  <c r="H238" i="2" a="1"/>
  <c r="H238" i="2" s="1"/>
  <c r="K238" i="2" a="1"/>
  <c r="K238" i="2" s="1"/>
  <c r="J238" i="2" a="1"/>
  <c r="J238" i="2" s="1"/>
  <c r="D238" i="2" a="1"/>
  <c r="H239" i="3" l="1" a="1"/>
  <c r="H239" i="3" s="1"/>
  <c r="I239" i="3" a="1"/>
  <c r="I239" i="3" s="1"/>
  <c r="K239" i="3" a="1"/>
  <c r="K239" i="3" s="1"/>
  <c r="C241" i="3"/>
  <c r="L240" i="3"/>
  <c r="M240" i="3"/>
  <c r="F240" i="3"/>
  <c r="F241" i="3" s="1"/>
  <c r="A239" i="3" a="1"/>
  <c r="A239" i="3" s="1"/>
  <c r="B239" i="3" a="1"/>
  <c r="B239" i="3" s="1"/>
  <c r="D238" i="2"/>
  <c r="I239" i="2" a="1"/>
  <c r="I239" i="2" s="1"/>
  <c r="J239" i="2" a="1"/>
  <c r="J239" i="2" s="1"/>
  <c r="H239" i="2" a="1"/>
  <c r="H239" i="2" s="1"/>
  <c r="K239" i="2" a="1"/>
  <c r="K239" i="2" s="1"/>
  <c r="B240" i="2" a="1"/>
  <c r="B240" i="2" s="1"/>
  <c r="A240" i="2" a="1"/>
  <c r="A240" i="2" s="1"/>
  <c r="C242" i="2"/>
  <c r="F241" i="2"/>
  <c r="D239" i="2" a="1"/>
  <c r="C242" i="3" l="1"/>
  <c r="G241" i="3" a="1"/>
  <c r="G241" i="3" s="1"/>
  <c r="L241" i="3"/>
  <c r="M241" i="3"/>
  <c r="J241" i="3" a="1"/>
  <c r="J241" i="3" s="1"/>
  <c r="F242" i="3"/>
  <c r="G240" i="3" a="1"/>
  <c r="G240" i="3" s="1"/>
  <c r="A240" i="3" a="1"/>
  <c r="A240" i="3" s="1"/>
  <c r="B240" i="3" a="1"/>
  <c r="B240" i="3" s="1"/>
  <c r="D239" i="2"/>
  <c r="K240" i="2" a="1"/>
  <c r="K240" i="2" s="1"/>
  <c r="J240" i="2" a="1"/>
  <c r="J240" i="2" s="1"/>
  <c r="I240" i="2" a="1"/>
  <c r="I240" i="2" s="1"/>
  <c r="H240" i="2" a="1"/>
  <c r="H240" i="2" s="1"/>
  <c r="B241" i="2" a="1"/>
  <c r="B241" i="2" s="1"/>
  <c r="A241" i="2" a="1"/>
  <c r="A241" i="2" s="1"/>
  <c r="C243" i="2"/>
  <c r="F242" i="2"/>
  <c r="D240" i="2" a="1"/>
  <c r="H240" i="3" l="1" a="1"/>
  <c r="H240" i="3" s="1"/>
  <c r="I240" i="3" a="1"/>
  <c r="I240" i="3" s="1"/>
  <c r="K240" i="3" a="1"/>
  <c r="K240" i="3" s="1"/>
  <c r="J240" i="3" a="1"/>
  <c r="J240" i="3" s="1"/>
  <c r="H241" i="3" a="1"/>
  <c r="H241" i="3" s="1"/>
  <c r="K241" i="3" a="1"/>
  <c r="K241" i="3" s="1"/>
  <c r="I241" i="3" a="1"/>
  <c r="I241" i="3" s="1"/>
  <c r="C243" i="3"/>
  <c r="G242" i="3" a="1"/>
  <c r="G242" i="3" s="1"/>
  <c r="L242" i="3"/>
  <c r="M242" i="3"/>
  <c r="B241" i="3" a="1"/>
  <c r="B241" i="3" s="1"/>
  <c r="A241" i="3" a="1"/>
  <c r="A241" i="3" s="1"/>
  <c r="D240" i="2"/>
  <c r="C244" i="2"/>
  <c r="F243" i="2"/>
  <c r="A242" i="2" a="1"/>
  <c r="A242" i="2" s="1"/>
  <c r="B242" i="2" a="1"/>
  <c r="B242" i="2" s="1"/>
  <c r="K241" i="2" a="1"/>
  <c r="K241" i="2" s="1"/>
  <c r="J241" i="2" a="1"/>
  <c r="J241" i="2" s="1"/>
  <c r="H241" i="2" a="1"/>
  <c r="H241" i="2" s="1"/>
  <c r="I241" i="2" a="1"/>
  <c r="I241" i="2" s="1"/>
  <c r="D241" i="2" a="1"/>
  <c r="H242" i="3" l="1" a="1"/>
  <c r="H242" i="3" s="1"/>
  <c r="K242" i="3" a="1"/>
  <c r="K242" i="3" s="1"/>
  <c r="I242" i="3" a="1"/>
  <c r="I242" i="3" s="1"/>
  <c r="C244" i="3"/>
  <c r="L243" i="3"/>
  <c r="M243" i="3"/>
  <c r="F243" i="3"/>
  <c r="F244" i="3" s="1"/>
  <c r="J242" i="3" a="1"/>
  <c r="J242" i="3" s="1"/>
  <c r="A242" i="3" a="1"/>
  <c r="A242" i="3" s="1"/>
  <c r="B242" i="3" a="1"/>
  <c r="B242" i="3" s="1"/>
  <c r="D241" i="2"/>
  <c r="J242" i="2" a="1"/>
  <c r="J242" i="2" s="1"/>
  <c r="K242" i="2" a="1"/>
  <c r="K242" i="2" s="1"/>
  <c r="H242" i="2" a="1"/>
  <c r="H242" i="2" s="1"/>
  <c r="I242" i="2" a="1"/>
  <c r="I242" i="2" s="1"/>
  <c r="B243" i="2" a="1"/>
  <c r="B243" i="2" s="1"/>
  <c r="A243" i="2" a="1"/>
  <c r="A243" i="2" s="1"/>
  <c r="C245" i="2"/>
  <c r="F244" i="2"/>
  <c r="D242" i="2" a="1"/>
  <c r="C245" i="3" l="1"/>
  <c r="G244" i="3" a="1"/>
  <c r="G244" i="3" s="1"/>
  <c r="J244" i="3" s="1" a="1"/>
  <c r="J244" i="3" s="1"/>
  <c r="M244" i="3"/>
  <c r="L244" i="3"/>
  <c r="F245" i="3"/>
  <c r="G243" i="3" a="1"/>
  <c r="G243" i="3" s="1"/>
  <c r="B243" i="3" a="1"/>
  <c r="B243" i="3" s="1"/>
  <c r="A243" i="3" a="1"/>
  <c r="A243" i="3" s="1"/>
  <c r="D242" i="2"/>
  <c r="A244" i="2" a="1"/>
  <c r="A244" i="2" s="1"/>
  <c r="B244" i="2" a="1"/>
  <c r="B244" i="2" s="1"/>
  <c r="C246" i="2"/>
  <c r="F245" i="2"/>
  <c r="K243" i="2" a="1"/>
  <c r="K243" i="2" s="1"/>
  <c r="I243" i="2" a="1"/>
  <c r="I243" i="2" s="1"/>
  <c r="J243" i="2" a="1"/>
  <c r="J243" i="2" s="1"/>
  <c r="H243" i="2" a="1"/>
  <c r="H243" i="2" s="1"/>
  <c r="D243" i="2" a="1"/>
  <c r="I244" i="3" l="1" a="1"/>
  <c r="I244" i="3" s="1"/>
  <c r="H244" i="3" a="1"/>
  <c r="H244" i="3" s="1"/>
  <c r="K244" i="3" a="1"/>
  <c r="K244" i="3" s="1"/>
  <c r="H243" i="3" a="1"/>
  <c r="H243" i="3" s="1"/>
  <c r="I243" i="3" a="1"/>
  <c r="I243" i="3" s="1"/>
  <c r="K243" i="3" a="1"/>
  <c r="K243" i="3" s="1"/>
  <c r="J243" i="3" a="1"/>
  <c r="J243" i="3" s="1"/>
  <c r="C246" i="3"/>
  <c r="G245" i="3" a="1"/>
  <c r="G245" i="3" s="1"/>
  <c r="L245" i="3"/>
  <c r="M245" i="3"/>
  <c r="A244" i="3" a="1"/>
  <c r="A244" i="3" s="1"/>
  <c r="B244" i="3" a="1"/>
  <c r="B244" i="3" s="1"/>
  <c r="D243" i="2"/>
  <c r="A245" i="2" a="1"/>
  <c r="A245" i="2" s="1"/>
  <c r="B245" i="2" a="1"/>
  <c r="B245" i="2" s="1"/>
  <c r="C247" i="2"/>
  <c r="F246" i="2"/>
  <c r="I244" i="2" a="1"/>
  <c r="I244" i="2" s="1"/>
  <c r="K244" i="2" a="1"/>
  <c r="K244" i="2" s="1"/>
  <c r="J244" i="2" a="1"/>
  <c r="J244" i="2" s="1"/>
  <c r="H244" i="2" a="1"/>
  <c r="H244" i="2" s="1"/>
  <c r="D244" i="2" a="1"/>
  <c r="C247" i="3" l="1"/>
  <c r="M246" i="3"/>
  <c r="L246" i="3"/>
  <c r="I245" i="3" a="1"/>
  <c r="I245" i="3" s="1"/>
  <c r="H245" i="3" a="1"/>
  <c r="H245" i="3" s="1"/>
  <c r="K245" i="3" a="1"/>
  <c r="K245" i="3" s="1"/>
  <c r="F246" i="3"/>
  <c r="F247" i="3" s="1"/>
  <c r="J245" i="3" a="1"/>
  <c r="J245" i="3" s="1"/>
  <c r="A245" i="3" a="1"/>
  <c r="A245" i="3" s="1"/>
  <c r="B245" i="3" a="1"/>
  <c r="B245" i="3" s="1"/>
  <c r="D244" i="2"/>
  <c r="B246" i="2" a="1"/>
  <c r="B246" i="2" s="1"/>
  <c r="A246" i="2" a="1"/>
  <c r="A246" i="2" s="1"/>
  <c r="K245" i="2" a="1"/>
  <c r="K245" i="2" s="1"/>
  <c r="H245" i="2" a="1"/>
  <c r="H245" i="2" s="1"/>
  <c r="I245" i="2" a="1"/>
  <c r="I245" i="2" s="1"/>
  <c r="J245" i="2" a="1"/>
  <c r="J245" i="2" s="1"/>
  <c r="C248" i="2"/>
  <c r="F247" i="2"/>
  <c r="D245" i="2" a="1"/>
  <c r="G246" i="3" l="1" a="1"/>
  <c r="G246" i="3" s="1"/>
  <c r="C248" i="3"/>
  <c r="G247" i="3" a="1"/>
  <c r="G247" i="3" s="1"/>
  <c r="L247" i="3"/>
  <c r="M247" i="3"/>
  <c r="J247" i="3" a="1"/>
  <c r="J247" i="3" s="1"/>
  <c r="A246" i="3" a="1"/>
  <c r="A246" i="3" s="1"/>
  <c r="B246" i="3" a="1"/>
  <c r="B246" i="3" s="1"/>
  <c r="D245" i="2"/>
  <c r="A247" i="2" a="1"/>
  <c r="A247" i="2" s="1"/>
  <c r="B247" i="2" a="1"/>
  <c r="B247" i="2" s="1"/>
  <c r="I246" i="2" a="1"/>
  <c r="I246" i="2" s="1"/>
  <c r="J246" i="2" a="1"/>
  <c r="J246" i="2" s="1"/>
  <c r="K246" i="2" a="1"/>
  <c r="K246" i="2" s="1"/>
  <c r="H246" i="2" a="1"/>
  <c r="H246" i="2" s="1"/>
  <c r="C249" i="2"/>
  <c r="F248" i="2"/>
  <c r="D246" i="2" a="1"/>
  <c r="C249" i="3" l="1"/>
  <c r="G248" i="3" a="1"/>
  <c r="G248" i="3" s="1"/>
  <c r="L248" i="3"/>
  <c r="M248" i="3"/>
  <c r="J248" i="3" a="1"/>
  <c r="J248" i="3" s="1"/>
  <c r="H246" i="3" a="1"/>
  <c r="H246" i="3" s="1"/>
  <c r="K246" i="3" a="1"/>
  <c r="K246" i="3" s="1"/>
  <c r="I246" i="3" a="1"/>
  <c r="I246" i="3" s="1"/>
  <c r="J246" i="3" a="1"/>
  <c r="J246" i="3" s="1"/>
  <c r="H247" i="3" a="1"/>
  <c r="H247" i="3" s="1"/>
  <c r="K247" i="3" a="1"/>
  <c r="K247" i="3" s="1"/>
  <c r="I247" i="3" a="1"/>
  <c r="I247" i="3" s="1"/>
  <c r="F248" i="3"/>
  <c r="F249" i="3" s="1"/>
  <c r="A247" i="3" a="1"/>
  <c r="A247" i="3" s="1"/>
  <c r="B247" i="3" a="1"/>
  <c r="B247" i="3" s="1"/>
  <c r="D246" i="2"/>
  <c r="J247" i="2" a="1"/>
  <c r="J247" i="2" s="1"/>
  <c r="H247" i="2" a="1"/>
  <c r="H247" i="2" s="1"/>
  <c r="K247" i="2" a="1"/>
  <c r="K247" i="2" s="1"/>
  <c r="I247" i="2" a="1"/>
  <c r="I247" i="2" s="1"/>
  <c r="C250" i="2"/>
  <c r="F249" i="2"/>
  <c r="A248" i="2" a="1"/>
  <c r="A248" i="2" s="1"/>
  <c r="B248" i="2" a="1"/>
  <c r="B248" i="2" s="1"/>
  <c r="D247" i="2" a="1"/>
  <c r="H248" i="3" l="1" a="1"/>
  <c r="H248" i="3" s="1"/>
  <c r="K248" i="3" a="1"/>
  <c r="K248" i="3" s="1"/>
  <c r="I248" i="3" a="1"/>
  <c r="I248" i="3" s="1"/>
  <c r="C250" i="3"/>
  <c r="F250" i="3" s="1"/>
  <c r="G249" i="3" a="1"/>
  <c r="G249" i="3" s="1"/>
  <c r="L249" i="3"/>
  <c r="M249" i="3"/>
  <c r="B248" i="3" a="1"/>
  <c r="B248" i="3" s="1"/>
  <c r="A248" i="3" a="1"/>
  <c r="A248" i="3" s="1"/>
  <c r="D247" i="2"/>
  <c r="C251" i="2"/>
  <c r="F250" i="2"/>
  <c r="K248" i="2" a="1"/>
  <c r="K248" i="2" s="1"/>
  <c r="I248" i="2" a="1"/>
  <c r="I248" i="2" s="1"/>
  <c r="H248" i="2" a="1"/>
  <c r="H248" i="2" s="1"/>
  <c r="J248" i="2" a="1"/>
  <c r="J248" i="2" s="1"/>
  <c r="B249" i="2" a="1"/>
  <c r="B249" i="2" s="1"/>
  <c r="A249" i="2" a="1"/>
  <c r="A249" i="2" s="1"/>
  <c r="D248" i="2" a="1"/>
  <c r="K249" i="3" l="1" a="1"/>
  <c r="K249" i="3" s="1"/>
  <c r="I249" i="3" a="1"/>
  <c r="I249" i="3" s="1"/>
  <c r="H249" i="3" a="1"/>
  <c r="H249" i="3" s="1"/>
  <c r="J249" i="3" a="1"/>
  <c r="J249" i="3" s="1"/>
  <c r="C251" i="3"/>
  <c r="G250" i="3" a="1"/>
  <c r="G250" i="3" s="1"/>
  <c r="M250" i="3"/>
  <c r="L250" i="3"/>
  <c r="J250" i="3" a="1"/>
  <c r="J250" i="3" s="1"/>
  <c r="A249" i="3" a="1"/>
  <c r="A249" i="3" s="1"/>
  <c r="B249" i="3" a="1"/>
  <c r="B249" i="3" s="1"/>
  <c r="D248" i="2"/>
  <c r="K249" i="2" a="1"/>
  <c r="K249" i="2" s="1"/>
  <c r="J249" i="2" a="1"/>
  <c r="J249" i="2" s="1"/>
  <c r="I249" i="2" a="1"/>
  <c r="I249" i="2" s="1"/>
  <c r="H249" i="2" a="1"/>
  <c r="H249" i="2" s="1"/>
  <c r="B250" i="2" a="1"/>
  <c r="B250" i="2" s="1"/>
  <c r="A250" i="2" a="1"/>
  <c r="A250" i="2" s="1"/>
  <c r="C252" i="2"/>
  <c r="F251" i="2"/>
  <c r="D249" i="2" a="1"/>
  <c r="H250" i="3" l="1" a="1"/>
  <c r="H250" i="3" s="1"/>
  <c r="K250" i="3" a="1"/>
  <c r="K250" i="3" s="1"/>
  <c r="I250" i="3" a="1"/>
  <c r="I250" i="3" s="1"/>
  <c r="C252" i="3"/>
  <c r="L251" i="3"/>
  <c r="M251" i="3"/>
  <c r="F251" i="3"/>
  <c r="F252" i="3" s="1"/>
  <c r="A250" i="3" a="1"/>
  <c r="A250" i="3" s="1"/>
  <c r="B250" i="3" a="1"/>
  <c r="B250" i="3" s="1"/>
  <c r="D249" i="2"/>
  <c r="C253" i="2"/>
  <c r="F252" i="2"/>
  <c r="H250" i="2" a="1"/>
  <c r="H250" i="2" s="1"/>
  <c r="J250" i="2" a="1"/>
  <c r="J250" i="2" s="1"/>
  <c r="K250" i="2" a="1"/>
  <c r="K250" i="2" s="1"/>
  <c r="I250" i="2" a="1"/>
  <c r="I250" i="2" s="1"/>
  <c r="B251" i="2" a="1"/>
  <c r="B251" i="2" s="1"/>
  <c r="A251" i="2" a="1"/>
  <c r="A251" i="2" s="1"/>
  <c r="D250" i="2" a="1"/>
  <c r="C253" i="3" l="1"/>
  <c r="M252" i="3"/>
  <c r="G252" i="3" a="1"/>
  <c r="G252" i="3" s="1"/>
  <c r="J252" i="3" s="1" a="1"/>
  <c r="J252" i="3" s="1"/>
  <c r="L252" i="3"/>
  <c r="F253" i="3"/>
  <c r="G251" i="3" a="1"/>
  <c r="G251" i="3" s="1"/>
  <c r="A251" i="3" a="1"/>
  <c r="A251" i="3" s="1"/>
  <c r="B251" i="3" a="1"/>
  <c r="B251" i="3" s="1"/>
  <c r="D250" i="2"/>
  <c r="C254" i="2"/>
  <c r="F253" i="2"/>
  <c r="K251" i="2" a="1"/>
  <c r="K251" i="2" s="1"/>
  <c r="J251" i="2" a="1"/>
  <c r="J251" i="2" s="1"/>
  <c r="H251" i="2" a="1"/>
  <c r="H251" i="2" s="1"/>
  <c r="I251" i="2" a="1"/>
  <c r="I251" i="2" s="1"/>
  <c r="B252" i="2" a="1"/>
  <c r="B252" i="2" s="1"/>
  <c r="A252" i="2" a="1"/>
  <c r="A252" i="2" s="1"/>
  <c r="D251" i="2" a="1"/>
  <c r="K251" i="3" l="1" a="1"/>
  <c r="K251" i="3" s="1"/>
  <c r="I251" i="3" a="1"/>
  <c r="I251" i="3" s="1"/>
  <c r="H251" i="3" a="1"/>
  <c r="H251" i="3" s="1"/>
  <c r="J251" i="3" a="1"/>
  <c r="J251" i="3" s="1"/>
  <c r="H252" i="3" a="1"/>
  <c r="H252" i="3" s="1"/>
  <c r="K252" i="3" a="1"/>
  <c r="K252" i="3" s="1"/>
  <c r="I252" i="3" a="1"/>
  <c r="I252" i="3" s="1"/>
  <c r="C254" i="3"/>
  <c r="G253" i="3" a="1"/>
  <c r="G253" i="3" s="1"/>
  <c r="J253" i="3" a="1"/>
  <c r="J253" i="3" s="1"/>
  <c r="L253" i="3"/>
  <c r="M253" i="3"/>
  <c r="A252" i="3" a="1"/>
  <c r="A252" i="3" s="1"/>
  <c r="B252" i="3" a="1"/>
  <c r="B252" i="3" s="1"/>
  <c r="D251" i="2"/>
  <c r="K252" i="2" a="1"/>
  <c r="K252" i="2" s="1"/>
  <c r="J252" i="2" a="1"/>
  <c r="J252" i="2" s="1"/>
  <c r="I252" i="2" a="1"/>
  <c r="I252" i="2" s="1"/>
  <c r="H252" i="2" a="1"/>
  <c r="H252" i="2" s="1"/>
  <c r="C255" i="2"/>
  <c r="F254" i="2"/>
  <c r="A253" i="2" a="1"/>
  <c r="A253" i="2" s="1"/>
  <c r="B253" i="2" a="1"/>
  <c r="B253" i="2" s="1"/>
  <c r="D252" i="2" a="1"/>
  <c r="C255" i="3" l="1"/>
  <c r="L254" i="3"/>
  <c r="M254" i="3"/>
  <c r="I253" i="3" a="1"/>
  <c r="I253" i="3" s="1"/>
  <c r="H253" i="3" a="1"/>
  <c r="H253" i="3" s="1"/>
  <c r="K253" i="3" a="1"/>
  <c r="K253" i="3" s="1"/>
  <c r="F254" i="3"/>
  <c r="F255" i="3" s="1"/>
  <c r="B253" i="3" a="1"/>
  <c r="B253" i="3" s="1"/>
  <c r="A253" i="3" a="1"/>
  <c r="A253" i="3" s="1"/>
  <c r="D252" i="2"/>
  <c r="J253" i="2" a="1"/>
  <c r="J253" i="2" s="1"/>
  <c r="H253" i="2" a="1"/>
  <c r="H253" i="2" s="1"/>
  <c r="I253" i="2" a="1"/>
  <c r="I253" i="2" s="1"/>
  <c r="K253" i="2" a="1"/>
  <c r="K253" i="2" s="1"/>
  <c r="B254" i="2" a="1"/>
  <c r="B254" i="2" s="1"/>
  <c r="A254" i="2" a="1"/>
  <c r="A254" i="2" s="1"/>
  <c r="C256" i="2"/>
  <c r="F255" i="2"/>
  <c r="D253" i="2" a="1"/>
  <c r="G254" i="3" l="1" a="1"/>
  <c r="G254" i="3" s="1"/>
  <c r="C256" i="3"/>
  <c r="G255" i="3" a="1"/>
  <c r="G255" i="3" s="1"/>
  <c r="M255" i="3"/>
  <c r="L255" i="3"/>
  <c r="J255" i="3" a="1"/>
  <c r="J255" i="3" s="1"/>
  <c r="A254" i="3" a="1"/>
  <c r="A254" i="3" s="1"/>
  <c r="B254" i="3" a="1"/>
  <c r="B254" i="3" s="1"/>
  <c r="D253" i="2"/>
  <c r="C257" i="2"/>
  <c r="F256" i="2"/>
  <c r="B255" i="2" a="1"/>
  <c r="B255" i="2" s="1"/>
  <c r="A255" i="2" a="1"/>
  <c r="A255" i="2" s="1"/>
  <c r="J254" i="2" a="1"/>
  <c r="J254" i="2" s="1"/>
  <c r="H254" i="2" a="1"/>
  <c r="H254" i="2" s="1"/>
  <c r="I254" i="2" a="1"/>
  <c r="I254" i="2" s="1"/>
  <c r="K254" i="2" a="1"/>
  <c r="K254" i="2" s="1"/>
  <c r="D254" i="2" a="1"/>
  <c r="H254" i="3" l="1" a="1"/>
  <c r="H254" i="3" s="1"/>
  <c r="K254" i="3" a="1"/>
  <c r="K254" i="3" s="1"/>
  <c r="I254" i="3" a="1"/>
  <c r="I254" i="3" s="1"/>
  <c r="J254" i="3" a="1"/>
  <c r="J254" i="3" s="1"/>
  <c r="H255" i="3" a="1"/>
  <c r="H255" i="3" s="1"/>
  <c r="K255" i="3" a="1"/>
  <c r="K255" i="3" s="1"/>
  <c r="I255" i="3" a="1"/>
  <c r="I255" i="3" s="1"/>
  <c r="C257" i="3"/>
  <c r="G256" i="3" a="1"/>
  <c r="G256" i="3" s="1"/>
  <c r="L256" i="3"/>
  <c r="M256" i="3"/>
  <c r="F256" i="3"/>
  <c r="B255" i="3" a="1"/>
  <c r="B255" i="3" s="1"/>
  <c r="A255" i="3" a="1"/>
  <c r="A255" i="3" s="1"/>
  <c r="D254" i="2"/>
  <c r="C258" i="2"/>
  <c r="F257" i="2"/>
  <c r="K255" i="2" a="1"/>
  <c r="K255" i="2" s="1"/>
  <c r="J255" i="2" a="1"/>
  <c r="J255" i="2" s="1"/>
  <c r="I255" i="2" a="1"/>
  <c r="I255" i="2" s="1"/>
  <c r="H255" i="2" a="1"/>
  <c r="H255" i="2" s="1"/>
  <c r="A256" i="2" a="1"/>
  <c r="A256" i="2" s="1"/>
  <c r="B256" i="2" a="1"/>
  <c r="B256" i="2" s="1"/>
  <c r="D255" i="2" a="1"/>
  <c r="H256" i="3" l="1" a="1"/>
  <c r="H256" i="3" s="1"/>
  <c r="K256" i="3" a="1"/>
  <c r="K256" i="3" s="1"/>
  <c r="I256" i="3" a="1"/>
  <c r="I256" i="3" s="1"/>
  <c r="J256" i="3" a="1"/>
  <c r="J256" i="3" s="1"/>
  <c r="C258" i="3"/>
  <c r="M257" i="3"/>
  <c r="L257" i="3"/>
  <c r="F257" i="3"/>
  <c r="F258" i="3" s="1"/>
  <c r="A256" i="3" a="1"/>
  <c r="A256" i="3" s="1"/>
  <c r="B256" i="3" a="1"/>
  <c r="B256" i="3" s="1"/>
  <c r="D255" i="2"/>
  <c r="C259" i="2"/>
  <c r="F258" i="2"/>
  <c r="K256" i="2" a="1"/>
  <c r="K256" i="2" s="1"/>
  <c r="J256" i="2" a="1"/>
  <c r="J256" i="2" s="1"/>
  <c r="H256" i="2" a="1"/>
  <c r="H256" i="2" s="1"/>
  <c r="I256" i="2" a="1"/>
  <c r="I256" i="2" s="1"/>
  <c r="A257" i="2" a="1"/>
  <c r="A257" i="2" s="1"/>
  <c r="B257" i="2" a="1"/>
  <c r="B257" i="2" s="1"/>
  <c r="D256" i="2" a="1"/>
  <c r="C259" i="3" l="1"/>
  <c r="G258" i="3" a="1"/>
  <c r="G258" i="3" s="1"/>
  <c r="L258" i="3"/>
  <c r="M258" i="3"/>
  <c r="J258" i="3" a="1"/>
  <c r="J258" i="3" s="1"/>
  <c r="G257" i="3" a="1"/>
  <c r="G257" i="3" s="1"/>
  <c r="A257" i="3" a="1"/>
  <c r="A257" i="3" s="1"/>
  <c r="B257" i="3" a="1"/>
  <c r="B257" i="3" s="1"/>
  <c r="D256" i="2"/>
  <c r="K257" i="2" a="1"/>
  <c r="K257" i="2" s="1"/>
  <c r="J257" i="2" a="1"/>
  <c r="J257" i="2" s="1"/>
  <c r="H257" i="2" a="1"/>
  <c r="H257" i="2" s="1"/>
  <c r="I257" i="2" a="1"/>
  <c r="I257" i="2" s="1"/>
  <c r="C260" i="2"/>
  <c r="F259" i="2"/>
  <c r="B258" i="2" a="1"/>
  <c r="B258" i="2" s="1"/>
  <c r="A258" i="2" a="1"/>
  <c r="A258" i="2" s="1"/>
  <c r="D257" i="2" a="1"/>
  <c r="C260" i="3" l="1"/>
  <c r="L259" i="3"/>
  <c r="M259" i="3"/>
  <c r="H257" i="3" a="1"/>
  <c r="H257" i="3" s="1"/>
  <c r="K257" i="3" a="1"/>
  <c r="K257" i="3" s="1"/>
  <c r="I257" i="3" a="1"/>
  <c r="I257" i="3" s="1"/>
  <c r="J257" i="3" a="1"/>
  <c r="J257" i="3" s="1"/>
  <c r="H258" i="3" a="1"/>
  <c r="H258" i="3" s="1"/>
  <c r="I258" i="3" a="1"/>
  <c r="I258" i="3" s="1"/>
  <c r="K258" i="3" a="1"/>
  <c r="K258" i="3" s="1"/>
  <c r="F259" i="3"/>
  <c r="F260" i="3" s="1"/>
  <c r="A258" i="3" a="1"/>
  <c r="A258" i="3" s="1"/>
  <c r="B258" i="3" a="1"/>
  <c r="B258" i="3" s="1"/>
  <c r="D257" i="2"/>
  <c r="J258" i="2" a="1"/>
  <c r="J258" i="2" s="1"/>
  <c r="H258" i="2" a="1"/>
  <c r="H258" i="2" s="1"/>
  <c r="K258" i="2" a="1"/>
  <c r="K258" i="2" s="1"/>
  <c r="I258" i="2" a="1"/>
  <c r="I258" i="2" s="1"/>
  <c r="A259" i="2" a="1"/>
  <c r="A259" i="2" s="1"/>
  <c r="B259" i="2" a="1"/>
  <c r="B259" i="2" s="1"/>
  <c r="C261" i="2"/>
  <c r="F260" i="2"/>
  <c r="D258" i="2" a="1"/>
  <c r="G259" i="3" l="1" a="1"/>
  <c r="G259" i="3" s="1"/>
  <c r="C261" i="3"/>
  <c r="G260" i="3" a="1"/>
  <c r="G260" i="3" s="1"/>
  <c r="M260" i="3"/>
  <c r="L260" i="3"/>
  <c r="A259" i="3" a="1"/>
  <c r="A259" i="3" s="1"/>
  <c r="B259" i="3" a="1"/>
  <c r="B259" i="3" s="1"/>
  <c r="D258" i="2"/>
  <c r="J259" i="2" a="1"/>
  <c r="J259" i="2" s="1"/>
  <c r="K259" i="2" a="1"/>
  <c r="K259" i="2" s="1"/>
  <c r="I259" i="2" a="1"/>
  <c r="I259" i="2" s="1"/>
  <c r="H259" i="2" a="1"/>
  <c r="H259" i="2" s="1"/>
  <c r="A260" i="2" a="1"/>
  <c r="A260" i="2" s="1"/>
  <c r="B260" i="2" a="1"/>
  <c r="B260" i="2" s="1"/>
  <c r="C262" i="2"/>
  <c r="F261" i="2"/>
  <c r="D259" i="2" a="1"/>
  <c r="C262" i="3" l="1"/>
  <c r="M261" i="3"/>
  <c r="L261" i="3"/>
  <c r="I260" i="3" a="1"/>
  <c r="I260" i="3" s="1"/>
  <c r="H260" i="3" a="1"/>
  <c r="H260" i="3" s="1"/>
  <c r="K260" i="3" a="1"/>
  <c r="K260" i="3" s="1"/>
  <c r="F261" i="3"/>
  <c r="F262" i="3" s="1"/>
  <c r="J260" i="3" a="1"/>
  <c r="J260" i="3" s="1"/>
  <c r="K259" i="3" a="1"/>
  <c r="K259" i="3" s="1"/>
  <c r="H259" i="3" a="1"/>
  <c r="H259" i="3" s="1"/>
  <c r="I259" i="3" a="1"/>
  <c r="I259" i="3" s="1"/>
  <c r="J259" i="3" a="1"/>
  <c r="J259" i="3" s="1"/>
  <c r="B260" i="3" a="1"/>
  <c r="B260" i="3" s="1"/>
  <c r="A260" i="3" a="1"/>
  <c r="A260" i="3" s="1"/>
  <c r="D259" i="2"/>
  <c r="H260" i="2" a="1"/>
  <c r="H260" i="2" s="1"/>
  <c r="K260" i="2" a="1"/>
  <c r="K260" i="2" s="1"/>
  <c r="J260" i="2" a="1"/>
  <c r="J260" i="2" s="1"/>
  <c r="I260" i="2" a="1"/>
  <c r="I260" i="2" s="1"/>
  <c r="B261" i="2" a="1"/>
  <c r="B261" i="2" s="1"/>
  <c r="A261" i="2" a="1"/>
  <c r="A261" i="2" s="1"/>
  <c r="C263" i="2"/>
  <c r="F262" i="2"/>
  <c r="D260" i="2" a="1"/>
  <c r="G261" i="3" l="1" a="1"/>
  <c r="G261" i="3" s="1"/>
  <c r="C263" i="3"/>
  <c r="G262" i="3" a="1"/>
  <c r="G262" i="3" s="1"/>
  <c r="L262" i="3"/>
  <c r="M262" i="3"/>
  <c r="J262" i="3" a="1"/>
  <c r="J262" i="3" s="1"/>
  <c r="A261" i="3" a="1"/>
  <c r="A261" i="3" s="1"/>
  <c r="B261" i="3" a="1"/>
  <c r="B261" i="3" s="1"/>
  <c r="D260" i="2"/>
  <c r="I261" i="2" a="1"/>
  <c r="I261" i="2" s="1"/>
  <c r="K261" i="2" a="1"/>
  <c r="K261" i="2" s="1"/>
  <c r="H261" i="2" a="1"/>
  <c r="H261" i="2" s="1"/>
  <c r="J261" i="2" a="1"/>
  <c r="J261" i="2" s="1"/>
  <c r="C264" i="2"/>
  <c r="F263" i="2"/>
  <c r="B262" i="2" a="1"/>
  <c r="B262" i="2" s="1"/>
  <c r="A262" i="2" a="1"/>
  <c r="A262" i="2" s="1"/>
  <c r="D261" i="2" a="1"/>
  <c r="C264" i="3" l="1"/>
  <c r="G263" i="3" a="1"/>
  <c r="G263" i="3" s="1"/>
  <c r="L263" i="3"/>
  <c r="M263" i="3"/>
  <c r="J263" i="3" a="1"/>
  <c r="J263" i="3" s="1"/>
  <c r="I262" i="3" a="1"/>
  <c r="I262" i="3" s="1"/>
  <c r="H262" i="3" a="1"/>
  <c r="H262" i="3" s="1"/>
  <c r="K262" i="3" a="1"/>
  <c r="K262" i="3" s="1"/>
  <c r="I261" i="3" a="1"/>
  <c r="I261" i="3" s="1"/>
  <c r="H261" i="3" a="1"/>
  <c r="H261" i="3" s="1"/>
  <c r="K261" i="3" a="1"/>
  <c r="K261" i="3" s="1"/>
  <c r="J261" i="3" a="1"/>
  <c r="J261" i="3" s="1"/>
  <c r="F263" i="3"/>
  <c r="F264" i="3" s="1"/>
  <c r="A262" i="3" a="1"/>
  <c r="A262" i="3" s="1"/>
  <c r="B262" i="3" a="1"/>
  <c r="B262" i="3" s="1"/>
  <c r="D261" i="2"/>
  <c r="C265" i="2"/>
  <c r="F264" i="2"/>
  <c r="J262" i="2" a="1"/>
  <c r="J262" i="2" s="1"/>
  <c r="K262" i="2" a="1"/>
  <c r="K262" i="2" s="1"/>
  <c r="I262" i="2" a="1"/>
  <c r="I262" i="2" s="1"/>
  <c r="H262" i="2" a="1"/>
  <c r="H262" i="2" s="1"/>
  <c r="B263" i="2" a="1"/>
  <c r="B263" i="2" s="1"/>
  <c r="A263" i="2" a="1"/>
  <c r="A263" i="2" s="1"/>
  <c r="D262" i="2" a="1"/>
  <c r="H263" i="3" l="1" a="1"/>
  <c r="H263" i="3" s="1"/>
  <c r="K263" i="3" a="1"/>
  <c r="K263" i="3" s="1"/>
  <c r="I263" i="3" a="1"/>
  <c r="I263" i="3" s="1"/>
  <c r="C265" i="3"/>
  <c r="F265" i="3" s="1"/>
  <c r="L264" i="3"/>
  <c r="M264" i="3"/>
  <c r="G264" i="3" a="1"/>
  <c r="G264" i="3" s="1"/>
  <c r="A263" i="3" a="1"/>
  <c r="A263" i="3" s="1"/>
  <c r="B263" i="3" a="1"/>
  <c r="B263" i="3" s="1"/>
  <c r="D262" i="2"/>
  <c r="C266" i="2"/>
  <c r="F265" i="2"/>
  <c r="K263" i="2" a="1"/>
  <c r="K263" i="2" s="1"/>
  <c r="J263" i="2" a="1"/>
  <c r="J263" i="2" s="1"/>
  <c r="I263" i="2" a="1"/>
  <c r="I263" i="2" s="1"/>
  <c r="H263" i="2" a="1"/>
  <c r="H263" i="2" s="1"/>
  <c r="A264" i="2" a="1"/>
  <c r="A264" i="2" s="1"/>
  <c r="B264" i="2" a="1"/>
  <c r="B264" i="2" s="1"/>
  <c r="D263" i="2" a="1"/>
  <c r="I264" i="3" l="1" a="1"/>
  <c r="I264" i="3" s="1"/>
  <c r="H264" i="3" a="1"/>
  <c r="H264" i="3" s="1"/>
  <c r="K264" i="3" a="1"/>
  <c r="K264" i="3" s="1"/>
  <c r="J264" i="3" a="1"/>
  <c r="J264" i="3" s="1"/>
  <c r="C266" i="3"/>
  <c r="G265" i="3" a="1"/>
  <c r="G265" i="3" s="1"/>
  <c r="L265" i="3"/>
  <c r="M265" i="3"/>
  <c r="A264" i="3" a="1"/>
  <c r="A264" i="3" s="1"/>
  <c r="B264" i="3" a="1"/>
  <c r="B264" i="3" s="1"/>
  <c r="D263" i="2"/>
  <c r="C267" i="2"/>
  <c r="F266" i="2"/>
  <c r="K264" i="2" a="1"/>
  <c r="K264" i="2" s="1"/>
  <c r="I264" i="2" a="1"/>
  <c r="I264" i="2" s="1"/>
  <c r="H264" i="2" a="1"/>
  <c r="H264" i="2" s="1"/>
  <c r="J264" i="2" a="1"/>
  <c r="J264" i="2" s="1"/>
  <c r="A265" i="2" a="1"/>
  <c r="A265" i="2" s="1"/>
  <c r="B265" i="2" a="1"/>
  <c r="B265" i="2" s="1"/>
  <c r="D264" i="2" a="1"/>
  <c r="I265" i="3" l="1" a="1"/>
  <c r="I265" i="3" s="1"/>
  <c r="H265" i="3" a="1"/>
  <c r="H265" i="3" s="1"/>
  <c r="K265" i="3" a="1"/>
  <c r="K265" i="3" s="1"/>
  <c r="C267" i="3"/>
  <c r="M266" i="3"/>
  <c r="L266" i="3"/>
  <c r="J265" i="3" a="1"/>
  <c r="J265" i="3" s="1"/>
  <c r="F266" i="3"/>
  <c r="F267" i="3" s="1"/>
  <c r="B265" i="3" a="1"/>
  <c r="B265" i="3" s="1"/>
  <c r="A265" i="3" a="1"/>
  <c r="A265" i="3" s="1"/>
  <c r="D264" i="2"/>
  <c r="H265" i="2" a="1"/>
  <c r="H265" i="2" s="1"/>
  <c r="J265" i="2" a="1"/>
  <c r="J265" i="2" s="1"/>
  <c r="K265" i="2" a="1"/>
  <c r="K265" i="2" s="1"/>
  <c r="I265" i="2" a="1"/>
  <c r="I265" i="2" s="1"/>
  <c r="A266" i="2" a="1"/>
  <c r="A266" i="2" s="1"/>
  <c r="B266" i="2" a="1"/>
  <c r="B266" i="2" s="1"/>
  <c r="C268" i="2"/>
  <c r="F267" i="2"/>
  <c r="D265" i="2" a="1"/>
  <c r="C268" i="3" l="1"/>
  <c r="G267" i="3" a="1"/>
  <c r="G267" i="3" s="1"/>
  <c r="L267" i="3"/>
  <c r="M267" i="3"/>
  <c r="J267" i="3" a="1"/>
  <c r="J267" i="3" s="1"/>
  <c r="F268" i="3"/>
  <c r="G266" i="3" a="1"/>
  <c r="G266" i="3" s="1"/>
  <c r="A266" i="3" a="1"/>
  <c r="A266" i="3" s="1"/>
  <c r="B266" i="3" a="1"/>
  <c r="B266" i="3" s="1"/>
  <c r="D265" i="2"/>
  <c r="A267" i="2" a="1"/>
  <c r="A267" i="2" s="1"/>
  <c r="B267" i="2" a="1"/>
  <c r="B267" i="2" s="1"/>
  <c r="C269" i="2"/>
  <c r="F268" i="2"/>
  <c r="H266" i="2" a="1"/>
  <c r="H266" i="2" s="1"/>
  <c r="K266" i="2" a="1"/>
  <c r="K266" i="2" s="1"/>
  <c r="J266" i="2" a="1"/>
  <c r="J266" i="2" s="1"/>
  <c r="I266" i="2" a="1"/>
  <c r="I266" i="2" s="1"/>
  <c r="D266" i="2" a="1"/>
  <c r="H266" i="3" l="1" a="1"/>
  <c r="H266" i="3" s="1"/>
  <c r="K266" i="3" a="1"/>
  <c r="K266" i="3" s="1"/>
  <c r="I266" i="3" a="1"/>
  <c r="I266" i="3" s="1"/>
  <c r="J266" i="3" a="1"/>
  <c r="J266" i="3" s="1"/>
  <c r="I267" i="3" a="1"/>
  <c r="I267" i="3" s="1"/>
  <c r="H267" i="3" a="1"/>
  <c r="H267" i="3" s="1"/>
  <c r="K267" i="3" a="1"/>
  <c r="K267" i="3" s="1"/>
  <c r="C269" i="3"/>
  <c r="G268" i="3" a="1"/>
  <c r="G268" i="3" s="1"/>
  <c r="L268" i="3"/>
  <c r="M268" i="3"/>
  <c r="B267" i="3" a="1"/>
  <c r="B267" i="3" s="1"/>
  <c r="A267" i="3" a="1"/>
  <c r="A267" i="3" s="1"/>
  <c r="D266" i="2"/>
  <c r="A268" i="2" a="1"/>
  <c r="A268" i="2" s="1"/>
  <c r="B268" i="2" a="1"/>
  <c r="B268" i="2" s="1"/>
  <c r="H267" i="2" a="1"/>
  <c r="H267" i="2" s="1"/>
  <c r="J267" i="2" a="1"/>
  <c r="J267" i="2" s="1"/>
  <c r="I267" i="2" a="1"/>
  <c r="I267" i="2" s="1"/>
  <c r="K267" i="2" a="1"/>
  <c r="K267" i="2" s="1"/>
  <c r="C270" i="2"/>
  <c r="F269" i="2"/>
  <c r="D267" i="2" a="1"/>
  <c r="C270" i="3" l="1"/>
  <c r="L269" i="3"/>
  <c r="M269" i="3"/>
  <c r="F269" i="3"/>
  <c r="F270" i="3" s="1"/>
  <c r="H268" i="3" a="1"/>
  <c r="H268" i="3" s="1"/>
  <c r="K268" i="3" a="1"/>
  <c r="K268" i="3" s="1"/>
  <c r="I268" i="3" a="1"/>
  <c r="I268" i="3" s="1"/>
  <c r="J268" i="3" a="1"/>
  <c r="J268" i="3" s="1"/>
  <c r="A268" i="3" a="1"/>
  <c r="A268" i="3" s="1"/>
  <c r="B268" i="3" a="1"/>
  <c r="B268" i="3" s="1"/>
  <c r="D267" i="2"/>
  <c r="C271" i="2"/>
  <c r="F270" i="2"/>
  <c r="A269" i="2" a="1"/>
  <c r="A269" i="2" s="1"/>
  <c r="B269" i="2" a="1"/>
  <c r="B269" i="2" s="1"/>
  <c r="H268" i="2" a="1"/>
  <c r="H268" i="2" s="1"/>
  <c r="J268" i="2" a="1"/>
  <c r="J268" i="2" s="1"/>
  <c r="I268" i="2" a="1"/>
  <c r="I268" i="2" s="1"/>
  <c r="K268" i="2" a="1"/>
  <c r="K268" i="2" s="1"/>
  <c r="D268" i="2" a="1"/>
  <c r="G269" i="3" l="1" a="1"/>
  <c r="G269" i="3" s="1"/>
  <c r="C271" i="3"/>
  <c r="G270" i="3" a="1"/>
  <c r="G270" i="3" s="1"/>
  <c r="L270" i="3"/>
  <c r="M270" i="3"/>
  <c r="J270" i="3" a="1"/>
  <c r="J270" i="3" s="1"/>
  <c r="A269" i="3" a="1"/>
  <c r="A269" i="3" s="1"/>
  <c r="B269" i="3" a="1"/>
  <c r="B269" i="3" s="1"/>
  <c r="D268" i="2"/>
  <c r="J269" i="2" a="1"/>
  <c r="J269" i="2" s="1"/>
  <c r="I269" i="2" a="1"/>
  <c r="I269" i="2" s="1"/>
  <c r="K269" i="2" a="1"/>
  <c r="K269" i="2" s="1"/>
  <c r="H269" i="2" a="1"/>
  <c r="H269" i="2" s="1"/>
  <c r="A270" i="2" a="1"/>
  <c r="A270" i="2" s="1"/>
  <c r="B270" i="2" a="1"/>
  <c r="B270" i="2" s="1"/>
  <c r="C272" i="2"/>
  <c r="F271" i="2"/>
  <c r="D269" i="2" a="1"/>
  <c r="H269" i="3" l="1" a="1"/>
  <c r="H269" i="3" s="1"/>
  <c r="K269" i="3" a="1"/>
  <c r="K269" i="3" s="1"/>
  <c r="I269" i="3" a="1"/>
  <c r="I269" i="3" s="1"/>
  <c r="J269" i="3" a="1"/>
  <c r="J269" i="3" s="1"/>
  <c r="I270" i="3" a="1"/>
  <c r="I270" i="3" s="1"/>
  <c r="H270" i="3" a="1"/>
  <c r="H270" i="3" s="1"/>
  <c r="K270" i="3" a="1"/>
  <c r="K270" i="3" s="1"/>
  <c r="C272" i="3"/>
  <c r="G271" i="3" a="1"/>
  <c r="G271" i="3" s="1"/>
  <c r="L271" i="3"/>
  <c r="M271" i="3"/>
  <c r="F271" i="3"/>
  <c r="A270" i="3" a="1"/>
  <c r="A270" i="3" s="1"/>
  <c r="B270" i="3" a="1"/>
  <c r="B270" i="3" s="1"/>
  <c r="D269" i="2"/>
  <c r="A271" i="2" a="1"/>
  <c r="A271" i="2" s="1"/>
  <c r="B271" i="2" a="1"/>
  <c r="B271" i="2" s="1"/>
  <c r="C273" i="2"/>
  <c r="F272" i="2"/>
  <c r="I270" i="2" a="1"/>
  <c r="I270" i="2" s="1"/>
  <c r="H270" i="2" a="1"/>
  <c r="H270" i="2" s="1"/>
  <c r="J270" i="2" a="1"/>
  <c r="J270" i="2" s="1"/>
  <c r="K270" i="2" a="1"/>
  <c r="K270" i="2" s="1"/>
  <c r="D270" i="2" a="1"/>
  <c r="I271" i="3" l="1" a="1"/>
  <c r="I271" i="3" s="1"/>
  <c r="H271" i="3" a="1"/>
  <c r="H271" i="3" s="1"/>
  <c r="K271" i="3" a="1"/>
  <c r="K271" i="3" s="1"/>
  <c r="C273" i="3"/>
  <c r="L272" i="3"/>
  <c r="M272" i="3"/>
  <c r="J271" i="3" a="1"/>
  <c r="J271" i="3" s="1"/>
  <c r="F272" i="3"/>
  <c r="F273" i="3" s="1"/>
  <c r="A271" i="3" a="1"/>
  <c r="A271" i="3" s="1"/>
  <c r="B271" i="3" a="1"/>
  <c r="B271" i="3" s="1"/>
  <c r="D270" i="2"/>
  <c r="J271" i="2" a="1"/>
  <c r="J271" i="2" s="1"/>
  <c r="I271" i="2" a="1"/>
  <c r="I271" i="2" s="1"/>
  <c r="K271" i="2" a="1"/>
  <c r="K271" i="2" s="1"/>
  <c r="H271" i="2" a="1"/>
  <c r="H271" i="2" s="1"/>
  <c r="A272" i="2" a="1"/>
  <c r="A272" i="2" s="1"/>
  <c r="B272" i="2" a="1"/>
  <c r="B272" i="2" s="1"/>
  <c r="C274" i="2"/>
  <c r="F273" i="2"/>
  <c r="D271" i="2" a="1"/>
  <c r="C274" i="3" l="1"/>
  <c r="G273" i="3" a="1"/>
  <c r="G273" i="3" s="1"/>
  <c r="L273" i="3"/>
  <c r="M273" i="3"/>
  <c r="J273" i="3" a="1"/>
  <c r="J273" i="3" s="1"/>
  <c r="F274" i="3"/>
  <c r="G272" i="3" a="1"/>
  <c r="G272" i="3" s="1"/>
  <c r="B272" i="3" a="1"/>
  <c r="B272" i="3" s="1"/>
  <c r="A272" i="3" a="1"/>
  <c r="A272" i="3" s="1"/>
  <c r="D271" i="2"/>
  <c r="B273" i="2" a="1"/>
  <c r="B273" i="2" s="1"/>
  <c r="A273" i="2" a="1"/>
  <c r="A273" i="2" s="1"/>
  <c r="C275" i="2"/>
  <c r="F274" i="2"/>
  <c r="H272" i="2" a="1"/>
  <c r="H272" i="2" s="1"/>
  <c r="K272" i="2" a="1"/>
  <c r="K272" i="2" s="1"/>
  <c r="J272" i="2" a="1"/>
  <c r="J272" i="2" s="1"/>
  <c r="I272" i="2" a="1"/>
  <c r="I272" i="2" s="1"/>
  <c r="D272" i="2" a="1"/>
  <c r="I272" i="3" l="1" a="1"/>
  <c r="I272" i="3" s="1"/>
  <c r="H272" i="3" a="1"/>
  <c r="H272" i="3" s="1"/>
  <c r="K272" i="3" a="1"/>
  <c r="K272" i="3" s="1"/>
  <c r="J272" i="3" a="1"/>
  <c r="J272" i="3" s="1"/>
  <c r="I273" i="3" a="1"/>
  <c r="I273" i="3" s="1"/>
  <c r="H273" i="3" a="1"/>
  <c r="H273" i="3" s="1"/>
  <c r="K273" i="3" a="1"/>
  <c r="K273" i="3" s="1"/>
  <c r="C275" i="3"/>
  <c r="G274" i="3" a="1"/>
  <c r="G274" i="3" s="1"/>
  <c r="L274" i="3"/>
  <c r="M274" i="3"/>
  <c r="A273" i="3" a="1"/>
  <c r="A273" i="3" s="1"/>
  <c r="B273" i="3" a="1"/>
  <c r="B273" i="3" s="1"/>
  <c r="D272" i="2"/>
  <c r="B274" i="2" a="1"/>
  <c r="B274" i="2" s="1"/>
  <c r="A274" i="2" a="1"/>
  <c r="A274" i="2" s="1"/>
  <c r="H273" i="2" a="1"/>
  <c r="H273" i="2" s="1"/>
  <c r="J273" i="2" a="1"/>
  <c r="J273" i="2" s="1"/>
  <c r="I273" i="2" a="1"/>
  <c r="I273" i="2" s="1"/>
  <c r="K273" i="2" a="1"/>
  <c r="K273" i="2" s="1"/>
  <c r="C276" i="2"/>
  <c r="F275" i="2"/>
  <c r="D273" i="2" a="1"/>
  <c r="I274" i="3" l="1" a="1"/>
  <c r="I274" i="3" s="1"/>
  <c r="H274" i="3" a="1"/>
  <c r="H274" i="3" s="1"/>
  <c r="K274" i="3" a="1"/>
  <c r="K274" i="3" s="1"/>
  <c r="C276" i="3"/>
  <c r="M275" i="3"/>
  <c r="L275" i="3"/>
  <c r="J274" i="3" a="1"/>
  <c r="J274" i="3" s="1"/>
  <c r="F275" i="3"/>
  <c r="F276" i="3" s="1"/>
  <c r="A274" i="3" a="1"/>
  <c r="A274" i="3" s="1"/>
  <c r="B274" i="3" a="1"/>
  <c r="B274" i="3" s="1"/>
  <c r="D273" i="2"/>
  <c r="A275" i="2" a="1"/>
  <c r="A275" i="2" s="1"/>
  <c r="B275" i="2" a="1"/>
  <c r="B275" i="2" s="1"/>
  <c r="J274" i="2" a="1"/>
  <c r="J274" i="2" s="1"/>
  <c r="H274" i="2" a="1"/>
  <c r="H274" i="2" s="1"/>
  <c r="K274" i="2" a="1"/>
  <c r="K274" i="2" s="1"/>
  <c r="I274" i="2" a="1"/>
  <c r="I274" i="2" s="1"/>
  <c r="C277" i="2"/>
  <c r="F276" i="2"/>
  <c r="D274" i="2" a="1"/>
  <c r="C277" i="3" l="1"/>
  <c r="L276" i="3"/>
  <c r="M276" i="3"/>
  <c r="G276" i="3" a="1"/>
  <c r="G276" i="3" s="1"/>
  <c r="J276" i="3" s="1" a="1"/>
  <c r="J276" i="3" s="1"/>
  <c r="G275" i="3" a="1"/>
  <c r="G275" i="3" s="1"/>
  <c r="A275" i="3" a="1"/>
  <c r="A275" i="3" s="1"/>
  <c r="B275" i="3" a="1"/>
  <c r="B275" i="3" s="1"/>
  <c r="D274" i="2"/>
  <c r="C278" i="2"/>
  <c r="F277" i="2"/>
  <c r="J275" i="2" a="1"/>
  <c r="J275" i="2" s="1"/>
  <c r="H275" i="2" a="1"/>
  <c r="H275" i="2" s="1"/>
  <c r="I275" i="2" a="1"/>
  <c r="I275" i="2" s="1"/>
  <c r="K275" i="2" a="1"/>
  <c r="K275" i="2" s="1"/>
  <c r="A276" i="2" a="1"/>
  <c r="A276" i="2" s="1"/>
  <c r="B276" i="2" a="1"/>
  <c r="B276" i="2" s="1"/>
  <c r="D275" i="2" a="1"/>
  <c r="K275" i="3" l="1" a="1"/>
  <c r="K275" i="3" s="1"/>
  <c r="I275" i="3" a="1"/>
  <c r="I275" i="3" s="1"/>
  <c r="H275" i="3" a="1"/>
  <c r="H275" i="3" s="1"/>
  <c r="J275" i="3" a="1"/>
  <c r="J275" i="3" s="1"/>
  <c r="H276" i="3" a="1"/>
  <c r="H276" i="3" s="1"/>
  <c r="K276" i="3" a="1"/>
  <c r="K276" i="3" s="1"/>
  <c r="I276" i="3" a="1"/>
  <c r="I276" i="3" s="1"/>
  <c r="C278" i="3"/>
  <c r="G277" i="3" a="1"/>
  <c r="G277" i="3" s="1"/>
  <c r="J277" i="3" s="1" a="1"/>
  <c r="J277" i="3" s="1"/>
  <c r="L277" i="3"/>
  <c r="M277" i="3"/>
  <c r="F277" i="3"/>
  <c r="A276" i="3" a="1"/>
  <c r="A276" i="3" s="1"/>
  <c r="B276" i="3" a="1"/>
  <c r="B276" i="3" s="1"/>
  <c r="D275" i="2"/>
  <c r="K276" i="2" a="1"/>
  <c r="K276" i="2" s="1"/>
  <c r="I276" i="2" a="1"/>
  <c r="I276" i="2" s="1"/>
  <c r="J276" i="2" a="1"/>
  <c r="J276" i="2" s="1"/>
  <c r="H276" i="2" a="1"/>
  <c r="H276" i="2" s="1"/>
  <c r="A277" i="2" a="1"/>
  <c r="A277" i="2" s="1"/>
  <c r="B277" i="2" a="1"/>
  <c r="B277" i="2" s="1"/>
  <c r="C279" i="2"/>
  <c r="F278" i="2"/>
  <c r="D276" i="2" a="1"/>
  <c r="I277" i="3" l="1" a="1"/>
  <c r="I277" i="3" s="1"/>
  <c r="H277" i="3" a="1"/>
  <c r="H277" i="3" s="1"/>
  <c r="K277" i="3" a="1"/>
  <c r="K277" i="3" s="1"/>
  <c r="C279" i="3"/>
  <c r="M278" i="3"/>
  <c r="L278" i="3"/>
  <c r="F278" i="3"/>
  <c r="F279" i="3" s="1"/>
  <c r="B277" i="3" a="1"/>
  <c r="B277" i="3" s="1"/>
  <c r="A277" i="3" a="1"/>
  <c r="A277" i="3" s="1"/>
  <c r="D276" i="2"/>
  <c r="A278" i="2" a="1"/>
  <c r="A278" i="2" s="1"/>
  <c r="B278" i="2" a="1"/>
  <c r="B278" i="2" s="1"/>
  <c r="C280" i="2"/>
  <c r="F279" i="2"/>
  <c r="K277" i="2" a="1"/>
  <c r="K277" i="2" s="1"/>
  <c r="J277" i="2" a="1"/>
  <c r="J277" i="2" s="1"/>
  <c r="I277" i="2" a="1"/>
  <c r="I277" i="2" s="1"/>
  <c r="H277" i="2" a="1"/>
  <c r="H277" i="2" s="1"/>
  <c r="D277" i="2" a="1"/>
  <c r="C280" i="3" l="1"/>
  <c r="G279" i="3" a="1"/>
  <c r="G279" i="3" s="1"/>
  <c r="L279" i="3"/>
  <c r="M279" i="3"/>
  <c r="J279" i="3" a="1"/>
  <c r="J279" i="3" s="1"/>
  <c r="G278" i="3" a="1"/>
  <c r="G278" i="3" s="1"/>
  <c r="A278" i="3" a="1"/>
  <c r="A278" i="3" s="1"/>
  <c r="B278" i="3" a="1"/>
  <c r="B278" i="3" s="1"/>
  <c r="D277" i="2"/>
  <c r="K278" i="2" a="1"/>
  <c r="K278" i="2" s="1"/>
  <c r="H278" i="2" a="1"/>
  <c r="H278" i="2" s="1"/>
  <c r="I278" i="2" a="1"/>
  <c r="I278" i="2" s="1"/>
  <c r="J278" i="2" a="1"/>
  <c r="J278" i="2" s="1"/>
  <c r="B279" i="2" a="1"/>
  <c r="B279" i="2" s="1"/>
  <c r="A279" i="2" a="1"/>
  <c r="A279" i="2" s="1"/>
  <c r="C281" i="2"/>
  <c r="F280" i="2"/>
  <c r="D278" i="2" a="1"/>
  <c r="C281" i="3" l="1"/>
  <c r="G280" i="3" a="1"/>
  <c r="G280" i="3" s="1"/>
  <c r="L280" i="3"/>
  <c r="M280" i="3"/>
  <c r="J280" i="3" a="1"/>
  <c r="J280" i="3" s="1"/>
  <c r="I278" i="3" a="1"/>
  <c r="I278" i="3" s="1"/>
  <c r="H278" i="3" a="1"/>
  <c r="H278" i="3" s="1"/>
  <c r="K278" i="3" a="1"/>
  <c r="K278" i="3" s="1"/>
  <c r="J278" i="3" a="1"/>
  <c r="J278" i="3" s="1"/>
  <c r="I279" i="3" a="1"/>
  <c r="I279" i="3" s="1"/>
  <c r="K279" i="3" a="1"/>
  <c r="K279" i="3" s="1"/>
  <c r="H279" i="3" a="1"/>
  <c r="H279" i="3" s="1"/>
  <c r="F280" i="3"/>
  <c r="F281" i="3" s="1"/>
  <c r="B279" i="3" a="1"/>
  <c r="B279" i="3" s="1"/>
  <c r="A279" i="3" a="1"/>
  <c r="A279" i="3" s="1"/>
  <c r="D278" i="2"/>
  <c r="J279" i="2" a="1"/>
  <c r="J279" i="2" s="1"/>
  <c r="K279" i="2" a="1"/>
  <c r="K279" i="2" s="1"/>
  <c r="H279" i="2" a="1"/>
  <c r="H279" i="2" s="1"/>
  <c r="I279" i="2" a="1"/>
  <c r="I279" i="2" s="1"/>
  <c r="C282" i="2"/>
  <c r="F281" i="2"/>
  <c r="A280" i="2" a="1"/>
  <c r="A280" i="2" s="1"/>
  <c r="B280" i="2" a="1"/>
  <c r="B280" i="2" s="1"/>
  <c r="D279" i="2" a="1"/>
  <c r="I280" i="3" l="1" a="1"/>
  <c r="I280" i="3" s="1"/>
  <c r="K280" i="3" a="1"/>
  <c r="K280" i="3" s="1"/>
  <c r="H280" i="3" a="1"/>
  <c r="H280" i="3" s="1"/>
  <c r="C282" i="3"/>
  <c r="F282" i="3" s="1"/>
  <c r="G281" i="3" a="1"/>
  <c r="G281" i="3" s="1"/>
  <c r="L281" i="3"/>
  <c r="M281" i="3"/>
  <c r="J281" i="3" a="1"/>
  <c r="J281" i="3" s="1"/>
  <c r="A280" i="3" a="1"/>
  <c r="A280" i="3" s="1"/>
  <c r="B280" i="3" a="1"/>
  <c r="B280" i="3" s="1"/>
  <c r="D279" i="2"/>
  <c r="A281" i="2" a="1"/>
  <c r="A281" i="2" s="1"/>
  <c r="B281" i="2" a="1"/>
  <c r="B281" i="2" s="1"/>
  <c r="C283" i="2"/>
  <c r="F282" i="2"/>
  <c r="I280" i="2" a="1"/>
  <c r="I280" i="2" s="1"/>
  <c r="H280" i="2" a="1"/>
  <c r="H280" i="2" s="1"/>
  <c r="K280" i="2" a="1"/>
  <c r="K280" i="2" s="1"/>
  <c r="J280" i="2" a="1"/>
  <c r="J280" i="2" s="1"/>
  <c r="D280" i="2" a="1"/>
  <c r="C283" i="3" l="1"/>
  <c r="G282" i="3" a="1"/>
  <c r="G282" i="3" s="1"/>
  <c r="J282" i="3" s="1" a="1"/>
  <c r="J282" i="3" s="1"/>
  <c r="L282" i="3"/>
  <c r="M282" i="3"/>
  <c r="H281" i="3" a="1"/>
  <c r="H281" i="3" s="1"/>
  <c r="K281" i="3" a="1"/>
  <c r="K281" i="3" s="1"/>
  <c r="I281" i="3" a="1"/>
  <c r="I281" i="3" s="1"/>
  <c r="A281" i="3" a="1"/>
  <c r="A281" i="3" s="1"/>
  <c r="B281" i="3" a="1"/>
  <c r="B281" i="3" s="1"/>
  <c r="D280" i="2"/>
  <c r="K281" i="2" a="1"/>
  <c r="K281" i="2" s="1"/>
  <c r="J281" i="2" a="1"/>
  <c r="J281" i="2" s="1"/>
  <c r="I281" i="2" a="1"/>
  <c r="I281" i="2" s="1"/>
  <c r="H281" i="2" a="1"/>
  <c r="H281" i="2" s="1"/>
  <c r="B282" i="2" a="1"/>
  <c r="B282" i="2" s="1"/>
  <c r="A282" i="2" a="1"/>
  <c r="A282" i="2" s="1"/>
  <c r="C284" i="2"/>
  <c r="F283" i="2"/>
  <c r="D281" i="2" a="1"/>
  <c r="C284" i="3" l="1"/>
  <c r="L283" i="3"/>
  <c r="M283" i="3"/>
  <c r="I282" i="3" a="1"/>
  <c r="I282" i="3" s="1"/>
  <c r="K282" i="3" a="1"/>
  <c r="K282" i="3" s="1"/>
  <c r="H282" i="3" a="1"/>
  <c r="H282" i="3" s="1"/>
  <c r="F283" i="3"/>
  <c r="F284" i="3" s="1"/>
  <c r="A282" i="3" a="1"/>
  <c r="A282" i="3" s="1"/>
  <c r="B282" i="3" a="1"/>
  <c r="B282" i="3" s="1"/>
  <c r="D281" i="2"/>
  <c r="A283" i="2" a="1"/>
  <c r="A283" i="2" s="1"/>
  <c r="B283" i="2" a="1"/>
  <c r="B283" i="2" s="1"/>
  <c r="H282" i="2" a="1"/>
  <c r="H282" i="2" s="1"/>
  <c r="J282" i="2" a="1"/>
  <c r="J282" i="2" s="1"/>
  <c r="K282" i="2" a="1"/>
  <c r="K282" i="2" s="1"/>
  <c r="I282" i="2" a="1"/>
  <c r="I282" i="2" s="1"/>
  <c r="C285" i="2"/>
  <c r="F284" i="2"/>
  <c r="D282" i="2" a="1"/>
  <c r="G283" i="3" l="1" a="1"/>
  <c r="G283" i="3" s="1"/>
  <c r="C285" i="3"/>
  <c r="G284" i="3" a="1"/>
  <c r="G284" i="3" s="1"/>
  <c r="L284" i="3"/>
  <c r="M284" i="3"/>
  <c r="J284" i="3" a="1"/>
  <c r="J284" i="3" s="1"/>
  <c r="A283" i="3" a="1"/>
  <c r="A283" i="3" s="1"/>
  <c r="B283" i="3" a="1"/>
  <c r="B283" i="3" s="1"/>
  <c r="D282" i="2"/>
  <c r="B284" i="2" a="1"/>
  <c r="B284" i="2" s="1"/>
  <c r="A284" i="2" a="1"/>
  <c r="A284" i="2" s="1"/>
  <c r="H283" i="2" a="1"/>
  <c r="H283" i="2" s="1"/>
  <c r="J283" i="2" a="1"/>
  <c r="J283" i="2" s="1"/>
  <c r="K283" i="2" a="1"/>
  <c r="K283" i="2" s="1"/>
  <c r="I283" i="2" a="1"/>
  <c r="I283" i="2" s="1"/>
  <c r="C286" i="2"/>
  <c r="F285" i="2"/>
  <c r="D283" i="2" a="1"/>
  <c r="C286" i="3" l="1"/>
  <c r="L285" i="3"/>
  <c r="M285" i="3"/>
  <c r="F285" i="3"/>
  <c r="F286" i="3" s="1"/>
  <c r="H284" i="3" a="1"/>
  <c r="H284" i="3" s="1"/>
  <c r="K284" i="3" a="1"/>
  <c r="K284" i="3" s="1"/>
  <c r="I284" i="3" a="1"/>
  <c r="I284" i="3" s="1"/>
  <c r="K283" i="3" a="1"/>
  <c r="K283" i="3" s="1"/>
  <c r="I283" i="3" a="1"/>
  <c r="I283" i="3" s="1"/>
  <c r="H283" i="3" a="1"/>
  <c r="H283" i="3" s="1"/>
  <c r="J283" i="3" a="1"/>
  <c r="J283" i="3" s="1"/>
  <c r="B284" i="3" a="1"/>
  <c r="B284" i="3" s="1"/>
  <c r="A284" i="3" a="1"/>
  <c r="A284" i="3" s="1"/>
  <c r="D283" i="2"/>
  <c r="C287" i="2"/>
  <c r="F286" i="2"/>
  <c r="H284" i="2" a="1"/>
  <c r="H284" i="2" s="1"/>
  <c r="I284" i="2" a="1"/>
  <c r="I284" i="2" s="1"/>
  <c r="J284" i="2" a="1"/>
  <c r="J284" i="2" s="1"/>
  <c r="K284" i="2" a="1"/>
  <c r="K284" i="2" s="1"/>
  <c r="B285" i="2" a="1"/>
  <c r="B285" i="2" s="1"/>
  <c r="A285" i="2" a="1"/>
  <c r="A285" i="2" s="1"/>
  <c r="D284" i="2" a="1"/>
  <c r="G285" i="3" l="1" a="1"/>
  <c r="G285" i="3" s="1"/>
  <c r="C287" i="3"/>
  <c r="G286" i="3" a="1"/>
  <c r="G286" i="3" s="1"/>
  <c r="L286" i="3"/>
  <c r="M286" i="3"/>
  <c r="J286" i="3" a="1"/>
  <c r="J286" i="3" s="1"/>
  <c r="A285" i="3" a="1"/>
  <c r="A285" i="3" s="1"/>
  <c r="B285" i="3" a="1"/>
  <c r="B285" i="3" s="1"/>
  <c r="D284" i="2"/>
  <c r="K285" i="2" a="1"/>
  <c r="K285" i="2" s="1"/>
  <c r="H285" i="2" a="1"/>
  <c r="H285" i="2" s="1"/>
  <c r="I285" i="2" a="1"/>
  <c r="I285" i="2" s="1"/>
  <c r="J285" i="2" a="1"/>
  <c r="J285" i="2" s="1"/>
  <c r="B286" i="2" a="1"/>
  <c r="B286" i="2" s="1"/>
  <c r="A286" i="2" a="1"/>
  <c r="A286" i="2" s="1"/>
  <c r="C288" i="2"/>
  <c r="F287" i="2"/>
  <c r="D285" i="2" a="1"/>
  <c r="I285" i="3" l="1" a="1"/>
  <c r="I285" i="3" s="1"/>
  <c r="H285" i="3" a="1"/>
  <c r="H285" i="3" s="1"/>
  <c r="K285" i="3" a="1"/>
  <c r="K285" i="3" s="1"/>
  <c r="J285" i="3" a="1"/>
  <c r="J285" i="3" s="1"/>
  <c r="I286" i="3" a="1"/>
  <c r="I286" i="3" s="1"/>
  <c r="H286" i="3" a="1"/>
  <c r="H286" i="3" s="1"/>
  <c r="K286" i="3" a="1"/>
  <c r="K286" i="3" s="1"/>
  <c r="C288" i="3"/>
  <c r="G287" i="3" a="1"/>
  <c r="G287" i="3" s="1"/>
  <c r="L287" i="3"/>
  <c r="M287" i="3"/>
  <c r="J287" i="3" a="1"/>
  <c r="J287" i="3" s="1"/>
  <c r="F287" i="3"/>
  <c r="A286" i="3" a="1"/>
  <c r="A286" i="3" s="1"/>
  <c r="B286" i="3" a="1"/>
  <c r="B286" i="3" s="1"/>
  <c r="D285" i="2"/>
  <c r="B287" i="2" a="1"/>
  <c r="B287" i="2" s="1"/>
  <c r="A287" i="2" a="1"/>
  <c r="A287" i="2" s="1"/>
  <c r="C289" i="2"/>
  <c r="F288" i="2"/>
  <c r="J286" i="2" a="1"/>
  <c r="J286" i="2" s="1"/>
  <c r="K286" i="2" a="1"/>
  <c r="K286" i="2" s="1"/>
  <c r="H286" i="2" a="1"/>
  <c r="H286" i="2" s="1"/>
  <c r="I286" i="2" a="1"/>
  <c r="I286" i="2" s="1"/>
  <c r="D286" i="2" a="1"/>
  <c r="H287" i="3" l="1" a="1"/>
  <c r="H287" i="3" s="1"/>
  <c r="K287" i="3" a="1"/>
  <c r="K287" i="3" s="1"/>
  <c r="I287" i="3" a="1"/>
  <c r="I287" i="3" s="1"/>
  <c r="C289" i="3"/>
  <c r="L288" i="3"/>
  <c r="M288" i="3"/>
  <c r="F288" i="3"/>
  <c r="F289" i="3" s="1"/>
  <c r="A287" i="3" a="1"/>
  <c r="A287" i="3" s="1"/>
  <c r="B287" i="3" a="1"/>
  <c r="B287" i="3" s="1"/>
  <c r="D286" i="2"/>
  <c r="A288" i="2" a="1"/>
  <c r="A288" i="2" s="1"/>
  <c r="B288" i="2" a="1"/>
  <c r="B288" i="2" s="1"/>
  <c r="H287" i="2" a="1"/>
  <c r="H287" i="2" s="1"/>
  <c r="I287" i="2" a="1"/>
  <c r="I287" i="2" s="1"/>
  <c r="J287" i="2" a="1"/>
  <c r="J287" i="2" s="1"/>
  <c r="K287" i="2" a="1"/>
  <c r="K287" i="2" s="1"/>
  <c r="C290" i="2"/>
  <c r="F289" i="2"/>
  <c r="D287" i="2" a="1"/>
  <c r="C290" i="3" l="1"/>
  <c r="G289" i="3" a="1"/>
  <c r="G289" i="3" s="1"/>
  <c r="M289" i="3"/>
  <c r="L289" i="3"/>
  <c r="J289" i="3" a="1"/>
  <c r="J289" i="3" s="1"/>
  <c r="F290" i="3"/>
  <c r="G288" i="3" a="1"/>
  <c r="G288" i="3" s="1"/>
  <c r="A288" i="3" a="1"/>
  <c r="A288" i="3" s="1"/>
  <c r="B288" i="3" a="1"/>
  <c r="B288" i="3" s="1"/>
  <c r="D287" i="2"/>
  <c r="I288" i="2" a="1"/>
  <c r="I288" i="2" s="1"/>
  <c r="K288" i="2" a="1"/>
  <c r="K288" i="2" s="1"/>
  <c r="J288" i="2" a="1"/>
  <c r="J288" i="2" s="1"/>
  <c r="H288" i="2" a="1"/>
  <c r="H288" i="2" s="1"/>
  <c r="C291" i="2"/>
  <c r="F290" i="2"/>
  <c r="B289" i="2" a="1"/>
  <c r="B289" i="2" s="1"/>
  <c r="A289" i="2" a="1"/>
  <c r="A289" i="2" s="1"/>
  <c r="D288" i="2" a="1"/>
  <c r="I288" i="3" l="1" a="1"/>
  <c r="I288" i="3" s="1"/>
  <c r="H288" i="3" a="1"/>
  <c r="H288" i="3" s="1"/>
  <c r="K288" i="3" a="1"/>
  <c r="K288" i="3" s="1"/>
  <c r="J288" i="3" a="1"/>
  <c r="J288" i="3" s="1"/>
  <c r="I289" i="3" a="1"/>
  <c r="I289" i="3" s="1"/>
  <c r="K289" i="3" a="1"/>
  <c r="K289" i="3" s="1"/>
  <c r="H289" i="3" a="1"/>
  <c r="H289" i="3" s="1"/>
  <c r="C291" i="3"/>
  <c r="G290" i="3" a="1"/>
  <c r="G290" i="3" s="1"/>
  <c r="L290" i="3"/>
  <c r="M290" i="3"/>
  <c r="B289" i="3" a="1"/>
  <c r="B289" i="3" s="1"/>
  <c r="A289" i="3" a="1"/>
  <c r="A289" i="3" s="1"/>
  <c r="D288" i="2"/>
  <c r="H289" i="2" a="1"/>
  <c r="H289" i="2" s="1"/>
  <c r="I289" i="2" a="1"/>
  <c r="I289" i="2" s="1"/>
  <c r="J289" i="2" a="1"/>
  <c r="J289" i="2" s="1"/>
  <c r="K289" i="2" a="1"/>
  <c r="K289" i="2" s="1"/>
  <c r="A290" i="2" a="1"/>
  <c r="A290" i="2" s="1"/>
  <c r="B290" i="2" a="1"/>
  <c r="B290" i="2" s="1"/>
  <c r="C292" i="2"/>
  <c r="F291" i="2"/>
  <c r="D289" i="2" a="1"/>
  <c r="H290" i="3" l="1" a="1"/>
  <c r="H290" i="3" s="1"/>
  <c r="K290" i="3" a="1"/>
  <c r="K290" i="3" s="1"/>
  <c r="I290" i="3" a="1"/>
  <c r="I290" i="3" s="1"/>
  <c r="C292" i="3"/>
  <c r="L291" i="3"/>
  <c r="M291" i="3"/>
  <c r="J290" i="3" a="1"/>
  <c r="J290" i="3" s="1"/>
  <c r="F291" i="3"/>
  <c r="F292" i="3" s="1"/>
  <c r="A290" i="3" a="1"/>
  <c r="A290" i="3" s="1"/>
  <c r="B290" i="3" a="1"/>
  <c r="B290" i="3" s="1"/>
  <c r="D289" i="2"/>
  <c r="B291" i="2" a="1"/>
  <c r="B291" i="2" s="1"/>
  <c r="A291" i="2" a="1"/>
  <c r="A291" i="2" s="1"/>
  <c r="C293" i="2"/>
  <c r="F292" i="2"/>
  <c r="H290" i="2" a="1"/>
  <c r="H290" i="2" s="1"/>
  <c r="I290" i="2" a="1"/>
  <c r="I290" i="2" s="1"/>
  <c r="J290" i="2" a="1"/>
  <c r="J290" i="2" s="1"/>
  <c r="K290" i="2" a="1"/>
  <c r="K290" i="2" s="1"/>
  <c r="D290" i="2" a="1"/>
  <c r="C293" i="3" l="1"/>
  <c r="G292" i="3" a="1"/>
  <c r="G292" i="3" s="1"/>
  <c r="M292" i="3"/>
  <c r="L292" i="3"/>
  <c r="G291" i="3" a="1"/>
  <c r="G291" i="3" s="1"/>
  <c r="F293" i="3"/>
  <c r="B291" i="3" a="1"/>
  <c r="B291" i="3" s="1"/>
  <c r="A291" i="3" a="1"/>
  <c r="A291" i="3" s="1"/>
  <c r="D290" i="2"/>
  <c r="J291" i="2" a="1"/>
  <c r="J291" i="2" s="1"/>
  <c r="I291" i="2" a="1"/>
  <c r="I291" i="2" s="1"/>
  <c r="K291" i="2" a="1"/>
  <c r="K291" i="2" s="1"/>
  <c r="H291" i="2" a="1"/>
  <c r="H291" i="2" s="1"/>
  <c r="A292" i="2" a="1"/>
  <c r="A292" i="2" s="1"/>
  <c r="B292" i="2" a="1"/>
  <c r="B292" i="2" s="1"/>
  <c r="C294" i="2"/>
  <c r="F293" i="2"/>
  <c r="D291" i="2" a="1"/>
  <c r="H291" i="3" l="1" a="1"/>
  <c r="H291" i="3" s="1"/>
  <c r="I291" i="3" a="1"/>
  <c r="I291" i="3" s="1"/>
  <c r="K291" i="3" a="1"/>
  <c r="K291" i="3" s="1"/>
  <c r="J291" i="3" a="1"/>
  <c r="J291" i="3" s="1"/>
  <c r="K292" i="3" a="1"/>
  <c r="K292" i="3" s="1"/>
  <c r="I292" i="3" a="1"/>
  <c r="I292" i="3" s="1"/>
  <c r="H292" i="3" a="1"/>
  <c r="H292" i="3" s="1"/>
  <c r="J292" i="3" a="1"/>
  <c r="J292" i="3" s="1"/>
  <c r="C294" i="3"/>
  <c r="F294" i="3" s="1"/>
  <c r="G293" i="3" a="1"/>
  <c r="G293" i="3" s="1"/>
  <c r="L293" i="3"/>
  <c r="M293" i="3"/>
  <c r="A292" i="3" a="1"/>
  <c r="A292" i="3" s="1"/>
  <c r="B292" i="3" a="1"/>
  <c r="B292" i="3" s="1"/>
  <c r="D291" i="2"/>
  <c r="B293" i="2" a="1"/>
  <c r="B293" i="2" s="1"/>
  <c r="A293" i="2" a="1"/>
  <c r="A293" i="2" s="1"/>
  <c r="C295" i="2"/>
  <c r="F294" i="2"/>
  <c r="K292" i="2" a="1"/>
  <c r="K292" i="2" s="1"/>
  <c r="J292" i="2" a="1"/>
  <c r="J292" i="2" s="1"/>
  <c r="I292" i="2" a="1"/>
  <c r="I292" i="2" s="1"/>
  <c r="H292" i="2" a="1"/>
  <c r="H292" i="2" s="1"/>
  <c r="D292" i="2" a="1"/>
  <c r="K293" i="3" l="1" a="1"/>
  <c r="K293" i="3" s="1"/>
  <c r="I293" i="3" a="1"/>
  <c r="I293" i="3" s="1"/>
  <c r="H293" i="3" a="1"/>
  <c r="H293" i="3" s="1"/>
  <c r="C295" i="3"/>
  <c r="G294" i="3" a="1"/>
  <c r="G294" i="3" s="1"/>
  <c r="J294" i="3" a="1"/>
  <c r="J294" i="3" s="1"/>
  <c r="M294" i="3"/>
  <c r="L294" i="3"/>
  <c r="J293" i="3" a="1"/>
  <c r="J293" i="3" s="1"/>
  <c r="A293" i="3" a="1"/>
  <c r="A293" i="3" s="1"/>
  <c r="B293" i="3" a="1"/>
  <c r="B293" i="3" s="1"/>
  <c r="D292" i="2"/>
  <c r="A294" i="2" a="1"/>
  <c r="A294" i="2" s="1"/>
  <c r="B294" i="2" a="1"/>
  <c r="B294" i="2" s="1"/>
  <c r="C296" i="2"/>
  <c r="F295" i="2"/>
  <c r="H293" i="2" a="1"/>
  <c r="H293" i="2" s="1"/>
  <c r="I293" i="2" a="1"/>
  <c r="I293" i="2" s="1"/>
  <c r="J293" i="2" a="1"/>
  <c r="J293" i="2" s="1"/>
  <c r="K293" i="2" a="1"/>
  <c r="K293" i="2" s="1"/>
  <c r="D293" i="2" a="1"/>
  <c r="C296" i="3" l="1"/>
  <c r="L295" i="3"/>
  <c r="M295" i="3"/>
  <c r="I294" i="3" a="1"/>
  <c r="I294" i="3" s="1"/>
  <c r="H294" i="3" a="1"/>
  <c r="H294" i="3" s="1"/>
  <c r="K294" i="3" a="1"/>
  <c r="K294" i="3" s="1"/>
  <c r="F295" i="3"/>
  <c r="F296" i="3" s="1"/>
  <c r="A294" i="3" a="1"/>
  <c r="A294" i="3" s="1"/>
  <c r="B294" i="3" a="1"/>
  <c r="B294" i="3" s="1"/>
  <c r="D293" i="2"/>
  <c r="I294" i="2" a="1"/>
  <c r="I294" i="2" s="1"/>
  <c r="J294" i="2" a="1"/>
  <c r="J294" i="2" s="1"/>
  <c r="H294" i="2" a="1"/>
  <c r="H294" i="2" s="1"/>
  <c r="K294" i="2" a="1"/>
  <c r="K294" i="2" s="1"/>
  <c r="C297" i="2"/>
  <c r="F296" i="2"/>
  <c r="B295" i="2" a="1"/>
  <c r="B295" i="2" s="1"/>
  <c r="A295" i="2" a="1"/>
  <c r="A295" i="2" s="1"/>
  <c r="D294" i="2" a="1"/>
  <c r="G295" i="3" l="1" a="1"/>
  <c r="G295" i="3" s="1"/>
  <c r="C297" i="3"/>
  <c r="G296" i="3" a="1"/>
  <c r="G296" i="3" s="1"/>
  <c r="L296" i="3"/>
  <c r="M296" i="3"/>
  <c r="J296" i="3" a="1"/>
  <c r="J296" i="3" s="1"/>
  <c r="A295" i="3" a="1"/>
  <c r="A295" i="3" s="1"/>
  <c r="B295" i="3" a="1"/>
  <c r="B295" i="3" s="1"/>
  <c r="D294" i="2"/>
  <c r="K295" i="2" a="1"/>
  <c r="K295" i="2" s="1"/>
  <c r="H295" i="2" a="1"/>
  <c r="H295" i="2" s="1"/>
  <c r="I295" i="2" a="1"/>
  <c r="I295" i="2" s="1"/>
  <c r="J295" i="2" a="1"/>
  <c r="J295" i="2" s="1"/>
  <c r="A296" i="2" a="1"/>
  <c r="A296" i="2" s="1"/>
  <c r="B296" i="2" a="1"/>
  <c r="B296" i="2" s="1"/>
  <c r="C298" i="2"/>
  <c r="F297" i="2"/>
  <c r="D295" i="2" a="1"/>
  <c r="C298" i="3" l="1"/>
  <c r="G297" i="3" a="1"/>
  <c r="G297" i="3" s="1"/>
  <c r="J297" i="3" a="1"/>
  <c r="J297" i="3" s="1"/>
  <c r="L297" i="3"/>
  <c r="M297" i="3"/>
  <c r="K295" i="3" a="1"/>
  <c r="K295" i="3" s="1"/>
  <c r="H295" i="3" a="1"/>
  <c r="H295" i="3" s="1"/>
  <c r="I295" i="3" a="1"/>
  <c r="I295" i="3" s="1"/>
  <c r="J295" i="3" a="1"/>
  <c r="J295" i="3" s="1"/>
  <c r="I296" i="3" a="1"/>
  <c r="I296" i="3" s="1"/>
  <c r="H296" i="3" a="1"/>
  <c r="H296" i="3" s="1"/>
  <c r="K296" i="3" a="1"/>
  <c r="K296" i="3" s="1"/>
  <c r="F297" i="3"/>
  <c r="F298" i="3" s="1"/>
  <c r="B296" i="3" a="1"/>
  <c r="B296" i="3" s="1"/>
  <c r="A296" i="3" a="1"/>
  <c r="A296" i="3" s="1"/>
  <c r="D295" i="2"/>
  <c r="C299" i="2"/>
  <c r="F298" i="2"/>
  <c r="B297" i="2" a="1"/>
  <c r="B297" i="2" s="1"/>
  <c r="A297" i="2" a="1"/>
  <c r="A297" i="2" s="1"/>
  <c r="I296" i="2" a="1"/>
  <c r="I296" i="2" s="1"/>
  <c r="J296" i="2" a="1"/>
  <c r="J296" i="2" s="1"/>
  <c r="K296" i="2" a="1"/>
  <c r="K296" i="2" s="1"/>
  <c r="H296" i="2" a="1"/>
  <c r="H296" i="2" s="1"/>
  <c r="D296" i="2" a="1"/>
  <c r="H297" i="3" l="1" a="1"/>
  <c r="H297" i="3" s="1"/>
  <c r="I297" i="3" a="1"/>
  <c r="I297" i="3" s="1"/>
  <c r="K297" i="3" a="1"/>
  <c r="K297" i="3" s="1"/>
  <c r="C299" i="3"/>
  <c r="F299" i="3" s="1"/>
  <c r="G298" i="3" a="1"/>
  <c r="G298" i="3" s="1"/>
  <c r="L298" i="3"/>
  <c r="M298" i="3"/>
  <c r="J298" i="3" a="1"/>
  <c r="J298" i="3" s="1"/>
  <c r="A297" i="3" a="1"/>
  <c r="A297" i="3" s="1"/>
  <c r="B297" i="3" a="1"/>
  <c r="B297" i="3" s="1"/>
  <c r="D296" i="2"/>
  <c r="H297" i="2" a="1"/>
  <c r="H297" i="2" s="1"/>
  <c r="J297" i="2" a="1"/>
  <c r="J297" i="2" s="1"/>
  <c r="K297" i="2" a="1"/>
  <c r="K297" i="2" s="1"/>
  <c r="I297" i="2" a="1"/>
  <c r="I297" i="2" s="1"/>
  <c r="B298" i="2" a="1"/>
  <c r="B298" i="2" s="1"/>
  <c r="A298" i="2" a="1"/>
  <c r="A298" i="2" s="1"/>
  <c r="C300" i="2"/>
  <c r="F299" i="2"/>
  <c r="D297" i="2" a="1"/>
  <c r="C300" i="3" l="1"/>
  <c r="G299" i="3" a="1"/>
  <c r="G299" i="3" s="1"/>
  <c r="L299" i="3"/>
  <c r="M299" i="3"/>
  <c r="J299" i="3" a="1"/>
  <c r="J299" i="3" s="1"/>
  <c r="K298" i="3" a="1"/>
  <c r="K298" i="3" s="1"/>
  <c r="I298" i="3" a="1"/>
  <c r="I298" i="3" s="1"/>
  <c r="H298" i="3" a="1"/>
  <c r="H298" i="3" s="1"/>
  <c r="A298" i="3" a="1"/>
  <c r="A298" i="3" s="1"/>
  <c r="B298" i="3" a="1"/>
  <c r="B298" i="3" s="1"/>
  <c r="D297" i="2"/>
  <c r="C301" i="2"/>
  <c r="F300" i="2"/>
  <c r="J298" i="2" a="1"/>
  <c r="J298" i="2" s="1"/>
  <c r="K298" i="2" a="1"/>
  <c r="K298" i="2" s="1"/>
  <c r="H298" i="2" a="1"/>
  <c r="H298" i="2" s="1"/>
  <c r="I298" i="2" a="1"/>
  <c r="I298" i="2" s="1"/>
  <c r="A299" i="2" a="1"/>
  <c r="A299" i="2" s="1"/>
  <c r="B299" i="2" a="1"/>
  <c r="B299" i="2" s="1"/>
  <c r="D298" i="2" a="1"/>
  <c r="I299" i="3" l="1" a="1"/>
  <c r="I299" i="3" s="1"/>
  <c r="H299" i="3" a="1"/>
  <c r="H299" i="3" s="1"/>
  <c r="K299" i="3" a="1"/>
  <c r="K299" i="3" s="1"/>
  <c r="C301" i="3"/>
  <c r="L300" i="3"/>
  <c r="M300" i="3"/>
  <c r="F300" i="3"/>
  <c r="F301" i="3" s="1"/>
  <c r="A299" i="3" a="1"/>
  <c r="A299" i="3" s="1"/>
  <c r="B299" i="3" a="1"/>
  <c r="B299" i="3" s="1"/>
  <c r="D298" i="2"/>
  <c r="H299" i="2" a="1"/>
  <c r="H299" i="2" s="1"/>
  <c r="K299" i="2" a="1"/>
  <c r="K299" i="2" s="1"/>
  <c r="J299" i="2" a="1"/>
  <c r="J299" i="2" s="1"/>
  <c r="I299" i="2" a="1"/>
  <c r="I299" i="2" s="1"/>
  <c r="A300" i="2" a="1"/>
  <c r="A300" i="2" s="1"/>
  <c r="B300" i="2" a="1"/>
  <c r="B300" i="2" s="1"/>
  <c r="C302" i="2"/>
  <c r="F301" i="2"/>
  <c r="D299" i="2" a="1"/>
  <c r="C302" i="3" l="1"/>
  <c r="G301" i="3" a="1"/>
  <c r="G301" i="3" s="1"/>
  <c r="M301" i="3"/>
  <c r="L301" i="3"/>
  <c r="J301" i="3" a="1"/>
  <c r="J301" i="3" s="1"/>
  <c r="G300" i="3" a="1"/>
  <c r="G300" i="3" s="1"/>
  <c r="A300" i="3" a="1"/>
  <c r="A300" i="3" s="1"/>
  <c r="B300" i="3" a="1"/>
  <c r="B300" i="3" s="1"/>
  <c r="D299" i="2"/>
  <c r="C303" i="2"/>
  <c r="F302" i="2"/>
  <c r="A301" i="2" a="1"/>
  <c r="A301" i="2" s="1"/>
  <c r="B301" i="2" a="1"/>
  <c r="B301" i="2" s="1"/>
  <c r="I300" i="2" a="1"/>
  <c r="I300" i="2" s="1"/>
  <c r="J300" i="2" a="1"/>
  <c r="J300" i="2" s="1"/>
  <c r="K300" i="2" a="1"/>
  <c r="K300" i="2" s="1"/>
  <c r="H300" i="2" a="1"/>
  <c r="H300" i="2" s="1"/>
  <c r="D300" i="2" a="1"/>
  <c r="H300" i="3" l="1" a="1"/>
  <c r="H300" i="3" s="1"/>
  <c r="K300" i="3" a="1"/>
  <c r="K300" i="3" s="1"/>
  <c r="I300" i="3" a="1"/>
  <c r="I300" i="3" s="1"/>
  <c r="J300" i="3" a="1"/>
  <c r="J300" i="3" s="1"/>
  <c r="C303" i="3"/>
  <c r="G302" i="3" a="1"/>
  <c r="G302" i="3" s="1"/>
  <c r="L302" i="3"/>
  <c r="M302" i="3"/>
  <c r="J302" i="3" a="1"/>
  <c r="J302" i="3" s="1"/>
  <c r="K301" i="3" a="1"/>
  <c r="K301" i="3" s="1"/>
  <c r="H301" i="3" a="1"/>
  <c r="H301" i="3" s="1"/>
  <c r="I301" i="3" a="1"/>
  <c r="I301" i="3" s="1"/>
  <c r="F302" i="3"/>
  <c r="B301" i="3" a="1"/>
  <c r="B301" i="3" s="1"/>
  <c r="A301" i="3" a="1"/>
  <c r="A301" i="3" s="1"/>
  <c r="D300" i="2"/>
  <c r="H301" i="2" a="1"/>
  <c r="H301" i="2" s="1"/>
  <c r="I301" i="2" a="1"/>
  <c r="I301" i="2" s="1"/>
  <c r="J301" i="2" a="1"/>
  <c r="J301" i="2" s="1"/>
  <c r="K301" i="2" a="1"/>
  <c r="K301" i="2" s="1"/>
  <c r="A302" i="2" a="1"/>
  <c r="A302" i="2" s="1"/>
  <c r="B302" i="2" a="1"/>
  <c r="B302" i="2" s="1"/>
  <c r="C304" i="2"/>
  <c r="F303" i="2"/>
  <c r="D301" i="2" a="1"/>
  <c r="H302" i="3" l="1" a="1"/>
  <c r="H302" i="3" s="1"/>
  <c r="K302" i="3" a="1"/>
  <c r="K302" i="3" s="1"/>
  <c r="I302" i="3" a="1"/>
  <c r="I302" i="3" s="1"/>
  <c r="C304" i="3"/>
  <c r="L303" i="3"/>
  <c r="M303" i="3"/>
  <c r="F303" i="3"/>
  <c r="F304" i="3" s="1"/>
  <c r="A302" i="3" a="1"/>
  <c r="A302" i="3" s="1"/>
  <c r="B302" i="3" a="1"/>
  <c r="B302" i="3" s="1"/>
  <c r="D301" i="2"/>
  <c r="B303" i="2" a="1"/>
  <c r="B303" i="2" s="1"/>
  <c r="A303" i="2" a="1"/>
  <c r="A303" i="2" s="1"/>
  <c r="C305" i="2"/>
  <c r="F304" i="2"/>
  <c r="K302" i="2" a="1"/>
  <c r="K302" i="2" s="1"/>
  <c r="J302" i="2" a="1"/>
  <c r="J302" i="2" s="1"/>
  <c r="H302" i="2" a="1"/>
  <c r="H302" i="2" s="1"/>
  <c r="I302" i="2" a="1"/>
  <c r="I302" i="2" s="1"/>
  <c r="D302" i="2" a="1"/>
  <c r="C305" i="3" l="1"/>
  <c r="G304" i="3" a="1"/>
  <c r="G304" i="3" s="1"/>
  <c r="L304" i="3"/>
  <c r="M304" i="3"/>
  <c r="J304" i="3" a="1"/>
  <c r="J304" i="3" s="1"/>
  <c r="F305" i="3"/>
  <c r="G303" i="3" a="1"/>
  <c r="G303" i="3" s="1"/>
  <c r="B303" i="3" a="1"/>
  <c r="B303" i="3" s="1"/>
  <c r="A303" i="3" a="1"/>
  <c r="A303" i="3" s="1"/>
  <c r="D302" i="2"/>
  <c r="C306" i="2"/>
  <c r="F305" i="2"/>
  <c r="I303" i="2" a="1"/>
  <c r="I303" i="2" s="1"/>
  <c r="J303" i="2" a="1"/>
  <c r="J303" i="2" s="1"/>
  <c r="H303" i="2" a="1"/>
  <c r="H303" i="2" s="1"/>
  <c r="K303" i="2" a="1"/>
  <c r="K303" i="2" s="1"/>
  <c r="A304" i="2" a="1"/>
  <c r="A304" i="2" s="1"/>
  <c r="B304" i="2" a="1"/>
  <c r="B304" i="2" s="1"/>
  <c r="D303" i="2" a="1"/>
  <c r="K304" i="3" l="1" a="1"/>
  <c r="K304" i="3" s="1"/>
  <c r="H304" i="3" a="1"/>
  <c r="H304" i="3" s="1"/>
  <c r="I304" i="3" a="1"/>
  <c r="I304" i="3" s="1"/>
  <c r="I303" i="3" a="1"/>
  <c r="I303" i="3" s="1"/>
  <c r="K303" i="3" a="1"/>
  <c r="K303" i="3" s="1"/>
  <c r="H303" i="3" a="1"/>
  <c r="H303" i="3" s="1"/>
  <c r="J303" i="3" a="1"/>
  <c r="J303" i="3" s="1"/>
  <c r="C306" i="3"/>
  <c r="G305" i="3" a="1"/>
  <c r="G305" i="3" s="1"/>
  <c r="J305" i="3" a="1"/>
  <c r="J305" i="3" s="1"/>
  <c r="M305" i="3"/>
  <c r="L305" i="3"/>
  <c r="A304" i="3" a="1"/>
  <c r="A304" i="3" s="1"/>
  <c r="B304" i="3" a="1"/>
  <c r="B304" i="3" s="1"/>
  <c r="D303" i="2"/>
  <c r="K304" i="2" a="1"/>
  <c r="K304" i="2" s="1"/>
  <c r="J304" i="2" a="1"/>
  <c r="J304" i="2" s="1"/>
  <c r="H304" i="2" a="1"/>
  <c r="H304" i="2" s="1"/>
  <c r="I304" i="2" a="1"/>
  <c r="I304" i="2" s="1"/>
  <c r="B305" i="2" a="1"/>
  <c r="B305" i="2" s="1"/>
  <c r="A305" i="2" a="1"/>
  <c r="A305" i="2" s="1"/>
  <c r="C307" i="2"/>
  <c r="F306" i="2"/>
  <c r="D304" i="2" a="1"/>
  <c r="H305" i="3" l="1" a="1"/>
  <c r="H305" i="3" s="1"/>
  <c r="K305" i="3" a="1"/>
  <c r="K305" i="3" s="1"/>
  <c r="I305" i="3" a="1"/>
  <c r="I305" i="3" s="1"/>
  <c r="C307" i="3"/>
  <c r="L306" i="3"/>
  <c r="M306" i="3"/>
  <c r="F306" i="3"/>
  <c r="F307" i="3" s="1"/>
  <c r="A305" i="3" a="1"/>
  <c r="A305" i="3" s="1"/>
  <c r="B305" i="3" a="1"/>
  <c r="B305" i="3" s="1"/>
  <c r="D304" i="2"/>
  <c r="C308" i="2"/>
  <c r="F307" i="2"/>
  <c r="A306" i="2" a="1"/>
  <c r="A306" i="2" s="1"/>
  <c r="B306" i="2" a="1"/>
  <c r="B306" i="2" s="1"/>
  <c r="K305" i="2" a="1"/>
  <c r="K305" i="2" s="1"/>
  <c r="I305" i="2" a="1"/>
  <c r="I305" i="2" s="1"/>
  <c r="J305" i="2" a="1"/>
  <c r="J305" i="2" s="1"/>
  <c r="H305" i="2" a="1"/>
  <c r="H305" i="2" s="1"/>
  <c r="D305" i="2" a="1"/>
  <c r="C308" i="3" l="1"/>
  <c r="G307" i="3" a="1"/>
  <c r="G307" i="3" s="1"/>
  <c r="L307" i="3"/>
  <c r="M307" i="3"/>
  <c r="F308" i="3"/>
  <c r="G306" i="3" a="1"/>
  <c r="G306" i="3" s="1"/>
  <c r="A306" i="3" a="1"/>
  <c r="A306" i="3" s="1"/>
  <c r="B306" i="3" a="1"/>
  <c r="B306" i="3" s="1"/>
  <c r="D305" i="2"/>
  <c r="A307" i="2" a="1"/>
  <c r="A307" i="2" s="1"/>
  <c r="B307" i="2" a="1"/>
  <c r="B307" i="2" s="1"/>
  <c r="I306" i="2" a="1"/>
  <c r="I306" i="2" s="1"/>
  <c r="K306" i="2" a="1"/>
  <c r="K306" i="2" s="1"/>
  <c r="H306" i="2" a="1"/>
  <c r="H306" i="2" s="1"/>
  <c r="J306" i="2" a="1"/>
  <c r="J306" i="2" s="1"/>
  <c r="C309" i="2"/>
  <c r="F308" i="2"/>
  <c r="D306" i="2" a="1"/>
  <c r="H307" i="3" l="1" a="1"/>
  <c r="H307" i="3" s="1"/>
  <c r="I307" i="3" a="1"/>
  <c r="I307" i="3" s="1"/>
  <c r="K307" i="3" a="1"/>
  <c r="K307" i="3" s="1"/>
  <c r="I306" i="3" a="1"/>
  <c r="I306" i="3" s="1"/>
  <c r="K306" i="3" a="1"/>
  <c r="K306" i="3" s="1"/>
  <c r="H306" i="3" a="1"/>
  <c r="H306" i="3" s="1"/>
  <c r="J306" i="3" a="1"/>
  <c r="J306" i="3" s="1"/>
  <c r="J307" i="3" a="1"/>
  <c r="J307" i="3" s="1"/>
  <c r="C309" i="3"/>
  <c r="G308" i="3" a="1"/>
  <c r="G308" i="3" s="1"/>
  <c r="M308" i="3"/>
  <c r="L308" i="3"/>
  <c r="A307" i="3" a="1"/>
  <c r="A307" i="3" s="1"/>
  <c r="B307" i="3" a="1"/>
  <c r="B307" i="3" s="1"/>
  <c r="D306" i="2"/>
  <c r="J307" i="2" a="1"/>
  <c r="J307" i="2" s="1"/>
  <c r="I307" i="2" a="1"/>
  <c r="I307" i="2" s="1"/>
  <c r="H307" i="2" a="1"/>
  <c r="H307" i="2" s="1"/>
  <c r="K307" i="2" a="1"/>
  <c r="K307" i="2" s="1"/>
  <c r="A308" i="2" a="1"/>
  <c r="A308" i="2" s="1"/>
  <c r="B308" i="2" a="1"/>
  <c r="B308" i="2" s="1"/>
  <c r="C310" i="2"/>
  <c r="F309" i="2"/>
  <c r="D307" i="2" a="1"/>
  <c r="C310" i="3" l="1"/>
  <c r="M309" i="3"/>
  <c r="L309" i="3"/>
  <c r="F309" i="3"/>
  <c r="F310" i="3" s="1"/>
  <c r="H308" i="3" a="1"/>
  <c r="H308" i="3" s="1"/>
  <c r="I308" i="3" a="1"/>
  <c r="I308" i="3" s="1"/>
  <c r="K308" i="3" a="1"/>
  <c r="K308" i="3" s="1"/>
  <c r="J308" i="3" a="1"/>
  <c r="J308" i="3" s="1"/>
  <c r="B308" i="3" a="1"/>
  <c r="B308" i="3" s="1"/>
  <c r="A308" i="3" a="1"/>
  <c r="A308" i="3" s="1"/>
  <c r="D307" i="2"/>
  <c r="C311" i="2"/>
  <c r="F310" i="2"/>
  <c r="A309" i="2" a="1"/>
  <c r="A309" i="2" s="1"/>
  <c r="B309" i="2" a="1"/>
  <c r="B309" i="2" s="1"/>
  <c r="I308" i="2" a="1"/>
  <c r="I308" i="2" s="1"/>
  <c r="K308" i="2" a="1"/>
  <c r="K308" i="2" s="1"/>
  <c r="H308" i="2" a="1"/>
  <c r="H308" i="2" s="1"/>
  <c r="J308" i="2" a="1"/>
  <c r="J308" i="2" s="1"/>
  <c r="D308" i="2" a="1"/>
  <c r="G309" i="3" l="1" a="1"/>
  <c r="G309" i="3" s="1"/>
  <c r="C311" i="3"/>
  <c r="G310" i="3" a="1"/>
  <c r="G310" i="3" s="1"/>
  <c r="J310" i="3" a="1"/>
  <c r="J310" i="3" s="1"/>
  <c r="L310" i="3"/>
  <c r="M310" i="3"/>
  <c r="A309" i="3" a="1"/>
  <c r="A309" i="3" s="1"/>
  <c r="B309" i="3" a="1"/>
  <c r="B309" i="3" s="1"/>
  <c r="D308" i="2"/>
  <c r="H309" i="2" a="1"/>
  <c r="H309" i="2" s="1"/>
  <c r="J309" i="2" a="1"/>
  <c r="J309" i="2" s="1"/>
  <c r="K309" i="2" a="1"/>
  <c r="K309" i="2" s="1"/>
  <c r="I309" i="2" a="1"/>
  <c r="I309" i="2" s="1"/>
  <c r="B310" i="2" a="1"/>
  <c r="B310" i="2" s="1"/>
  <c r="A310" i="2" a="1"/>
  <c r="A310" i="2" s="1"/>
  <c r="C312" i="2"/>
  <c r="F311" i="2"/>
  <c r="D309" i="2" a="1"/>
  <c r="C312" i="3" l="1"/>
  <c r="L311" i="3"/>
  <c r="M311" i="3"/>
  <c r="F311" i="3"/>
  <c r="F312" i="3" s="1"/>
  <c r="H310" i="3" a="1"/>
  <c r="H310" i="3" s="1"/>
  <c r="K310" i="3" a="1"/>
  <c r="K310" i="3" s="1"/>
  <c r="I310" i="3" a="1"/>
  <c r="I310" i="3" s="1"/>
  <c r="I309" i="3" a="1"/>
  <c r="I309" i="3" s="1"/>
  <c r="H309" i="3" a="1"/>
  <c r="H309" i="3" s="1"/>
  <c r="K309" i="3" a="1"/>
  <c r="K309" i="3" s="1"/>
  <c r="J309" i="3" a="1"/>
  <c r="J309" i="3" s="1"/>
  <c r="A310" i="3" a="1"/>
  <c r="A310" i="3" s="1"/>
  <c r="B310" i="3" a="1"/>
  <c r="B310" i="3" s="1"/>
  <c r="D309" i="2"/>
  <c r="A311" i="2" a="1"/>
  <c r="A311" i="2" s="1"/>
  <c r="B311" i="2" a="1"/>
  <c r="B311" i="2" s="1"/>
  <c r="K310" i="2" a="1"/>
  <c r="K310" i="2" s="1"/>
  <c r="I310" i="2" a="1"/>
  <c r="I310" i="2" s="1"/>
  <c r="H310" i="2" a="1"/>
  <c r="H310" i="2" s="1"/>
  <c r="J310" i="2" a="1"/>
  <c r="J310" i="2" s="1"/>
  <c r="C313" i="2"/>
  <c r="F312" i="2"/>
  <c r="D310" i="2" a="1"/>
  <c r="G311" i="3" l="1" a="1"/>
  <c r="G311" i="3" s="1"/>
  <c r="C313" i="3"/>
  <c r="G312" i="3" a="1"/>
  <c r="G312" i="3" s="1"/>
  <c r="L312" i="3"/>
  <c r="M312" i="3"/>
  <c r="J312" i="3" a="1"/>
  <c r="J312" i="3" s="1"/>
  <c r="A311" i="3" a="1"/>
  <c r="A311" i="3" s="1"/>
  <c r="B311" i="3" a="1"/>
  <c r="B311" i="3" s="1"/>
  <c r="D310" i="2"/>
  <c r="C314" i="2"/>
  <c r="F313" i="2"/>
  <c r="A312" i="2" a="1"/>
  <c r="A312" i="2" s="1"/>
  <c r="B312" i="2" a="1"/>
  <c r="B312" i="2" s="1"/>
  <c r="J311" i="2" a="1"/>
  <c r="J311" i="2" s="1"/>
  <c r="H311" i="2" a="1"/>
  <c r="H311" i="2" s="1"/>
  <c r="I311" i="2" a="1"/>
  <c r="I311" i="2" s="1"/>
  <c r="K311" i="2" a="1"/>
  <c r="K311" i="2" s="1"/>
  <c r="D311" i="2" a="1"/>
  <c r="H311" i="3" l="1" a="1"/>
  <c r="H311" i="3" s="1"/>
  <c r="K311" i="3" a="1"/>
  <c r="K311" i="3" s="1"/>
  <c r="I311" i="3" a="1"/>
  <c r="I311" i="3" s="1"/>
  <c r="J311" i="3" a="1"/>
  <c r="J311" i="3" s="1"/>
  <c r="H312" i="3" a="1"/>
  <c r="H312" i="3" s="1"/>
  <c r="I312" i="3" a="1"/>
  <c r="I312" i="3" s="1"/>
  <c r="K312" i="3" a="1"/>
  <c r="K312" i="3" s="1"/>
  <c r="C314" i="3"/>
  <c r="G313" i="3" a="1"/>
  <c r="G313" i="3" s="1"/>
  <c r="J313" i="3" s="1" a="1"/>
  <c r="J313" i="3" s="1"/>
  <c r="L313" i="3"/>
  <c r="M313" i="3"/>
  <c r="F313" i="3"/>
  <c r="A312" i="3" a="1"/>
  <c r="A312" i="3" s="1"/>
  <c r="B312" i="3" a="1"/>
  <c r="B312" i="3" s="1"/>
  <c r="D311" i="2"/>
  <c r="I312" i="2" a="1"/>
  <c r="I312" i="2" s="1"/>
  <c r="J312" i="2" a="1"/>
  <c r="J312" i="2" s="1"/>
  <c r="K312" i="2" a="1"/>
  <c r="K312" i="2" s="1"/>
  <c r="H312" i="2" a="1"/>
  <c r="H312" i="2" s="1"/>
  <c r="B313" i="2" a="1"/>
  <c r="B313" i="2" s="1"/>
  <c r="A313" i="2" a="1"/>
  <c r="A313" i="2" s="1"/>
  <c r="C315" i="2"/>
  <c r="F314" i="2"/>
  <c r="D312" i="2" a="1"/>
  <c r="H313" i="3" l="1" a="1"/>
  <c r="H313" i="3" s="1"/>
  <c r="I313" i="3" a="1"/>
  <c r="I313" i="3" s="1"/>
  <c r="K313" i="3" a="1"/>
  <c r="K313" i="3" s="1"/>
  <c r="C315" i="3"/>
  <c r="L314" i="3"/>
  <c r="M314" i="3"/>
  <c r="F314" i="3"/>
  <c r="F315" i="3" s="1"/>
  <c r="B313" i="3" a="1"/>
  <c r="B313" i="3" s="1"/>
  <c r="A313" i="3" a="1"/>
  <c r="A313" i="3" s="1"/>
  <c r="D312" i="2"/>
  <c r="B314" i="2" a="1"/>
  <c r="B314" i="2" s="1"/>
  <c r="A314" i="2" a="1"/>
  <c r="A314" i="2" s="1"/>
  <c r="C316" i="2"/>
  <c r="F315" i="2"/>
  <c r="K313" i="2" a="1"/>
  <c r="K313" i="2" s="1"/>
  <c r="I313" i="2" a="1"/>
  <c r="I313" i="2" s="1"/>
  <c r="H313" i="2" a="1"/>
  <c r="H313" i="2" s="1"/>
  <c r="J313" i="2" a="1"/>
  <c r="J313" i="2" s="1"/>
  <c r="D313" i="2" a="1"/>
  <c r="C316" i="3" l="1"/>
  <c r="G315" i="3" a="1"/>
  <c r="G315" i="3" s="1"/>
  <c r="L315" i="3"/>
  <c r="M315" i="3"/>
  <c r="J315" i="3" a="1"/>
  <c r="J315" i="3" s="1"/>
  <c r="G314" i="3" a="1"/>
  <c r="G314" i="3" s="1"/>
  <c r="A314" i="3" a="1"/>
  <c r="A314" i="3" s="1"/>
  <c r="B314" i="3" a="1"/>
  <c r="B314" i="3" s="1"/>
  <c r="D313" i="2"/>
  <c r="C317" i="2"/>
  <c r="F316" i="2"/>
  <c r="K314" i="2" a="1"/>
  <c r="K314" i="2" s="1"/>
  <c r="I314" i="2" a="1"/>
  <c r="I314" i="2" s="1"/>
  <c r="J314" i="2" a="1"/>
  <c r="J314" i="2" s="1"/>
  <c r="H314" i="2" a="1"/>
  <c r="H314" i="2" s="1"/>
  <c r="B315" i="2" a="1"/>
  <c r="B315" i="2" s="1"/>
  <c r="A315" i="2" a="1"/>
  <c r="A315" i="2" s="1"/>
  <c r="D314" i="2" a="1"/>
  <c r="H314" i="3" l="1" a="1"/>
  <c r="H314" i="3" s="1"/>
  <c r="I314" i="3" a="1"/>
  <c r="I314" i="3" s="1"/>
  <c r="K314" i="3" a="1"/>
  <c r="K314" i="3" s="1"/>
  <c r="J314" i="3" a="1"/>
  <c r="J314" i="3" s="1"/>
  <c r="I315" i="3" a="1"/>
  <c r="I315" i="3" s="1"/>
  <c r="H315" i="3" a="1"/>
  <c r="H315" i="3" s="1"/>
  <c r="K315" i="3" a="1"/>
  <c r="K315" i="3" s="1"/>
  <c r="C317" i="3"/>
  <c r="G316" i="3" a="1"/>
  <c r="G316" i="3" s="1"/>
  <c r="J316" i="3" s="1" a="1"/>
  <c r="J316" i="3" s="1"/>
  <c r="L316" i="3"/>
  <c r="M316" i="3"/>
  <c r="F316" i="3"/>
  <c r="B315" i="3" a="1"/>
  <c r="B315" i="3" s="1"/>
  <c r="A315" i="3" a="1"/>
  <c r="A315" i="3" s="1"/>
  <c r="D314" i="2"/>
  <c r="I315" i="2" a="1"/>
  <c r="I315" i="2" s="1"/>
  <c r="H315" i="2" a="1"/>
  <c r="H315" i="2" s="1"/>
  <c r="K315" i="2" a="1"/>
  <c r="K315" i="2" s="1"/>
  <c r="J315" i="2" a="1"/>
  <c r="J315" i="2" s="1"/>
  <c r="A316" i="2" a="1"/>
  <c r="A316" i="2" s="1"/>
  <c r="B316" i="2" a="1"/>
  <c r="B316" i="2" s="1"/>
  <c r="C318" i="2"/>
  <c r="F317" i="2"/>
  <c r="D315" i="2" a="1"/>
  <c r="C318" i="3" l="1"/>
  <c r="L317" i="3"/>
  <c r="M317" i="3"/>
  <c r="H316" i="3" a="1"/>
  <c r="H316" i="3" s="1"/>
  <c r="I316" i="3" a="1"/>
  <c r="I316" i="3" s="1"/>
  <c r="K316" i="3" a="1"/>
  <c r="K316" i="3" s="1"/>
  <c r="F317" i="3"/>
  <c r="F318" i="3" s="1"/>
  <c r="A316" i="3" a="1"/>
  <c r="A316" i="3" s="1"/>
  <c r="B316" i="3" a="1"/>
  <c r="B316" i="3" s="1"/>
  <c r="D315" i="2"/>
  <c r="A317" i="2" a="1"/>
  <c r="A317" i="2" s="1"/>
  <c r="B317" i="2" a="1"/>
  <c r="B317" i="2" s="1"/>
  <c r="C319" i="2"/>
  <c r="F318" i="2"/>
  <c r="K316" i="2" a="1"/>
  <c r="K316" i="2" s="1"/>
  <c r="I316" i="2" a="1"/>
  <c r="I316" i="2" s="1"/>
  <c r="J316" i="2" a="1"/>
  <c r="J316" i="2" s="1"/>
  <c r="H316" i="2" a="1"/>
  <c r="H316" i="2" s="1"/>
  <c r="D316" i="2" a="1"/>
  <c r="G317" i="3" l="1" a="1"/>
  <c r="G317" i="3" s="1"/>
  <c r="C319" i="3"/>
  <c r="G318" i="3" a="1"/>
  <c r="G318" i="3" s="1"/>
  <c r="J318" i="3" s="1" a="1"/>
  <c r="J318" i="3" s="1"/>
  <c r="L318" i="3"/>
  <c r="M318" i="3"/>
  <c r="A317" i="3" a="1"/>
  <c r="A317" i="3" s="1"/>
  <c r="B317" i="3" a="1"/>
  <c r="B317" i="3" s="1"/>
  <c r="D316" i="2"/>
  <c r="B318" i="2" a="1"/>
  <c r="B318" i="2" s="1"/>
  <c r="A318" i="2" a="1"/>
  <c r="A318" i="2" s="1"/>
  <c r="C320" i="2"/>
  <c r="F319" i="2"/>
  <c r="I317" i="2" a="1"/>
  <c r="I317" i="2" s="1"/>
  <c r="J317" i="2" a="1"/>
  <c r="J317" i="2" s="1"/>
  <c r="H317" i="2" a="1"/>
  <c r="H317" i="2" s="1"/>
  <c r="K317" i="2" a="1"/>
  <c r="K317" i="2" s="1"/>
  <c r="D317" i="2" a="1"/>
  <c r="H317" i="3" l="1" a="1"/>
  <c r="H317" i="3" s="1"/>
  <c r="I317" i="3" a="1"/>
  <c r="I317" i="3" s="1"/>
  <c r="K317" i="3" a="1"/>
  <c r="K317" i="3" s="1"/>
  <c r="J317" i="3" a="1"/>
  <c r="J317" i="3" s="1"/>
  <c r="K318" i="3" a="1"/>
  <c r="K318" i="3" s="1"/>
  <c r="I318" i="3" a="1"/>
  <c r="I318" i="3" s="1"/>
  <c r="H318" i="3" a="1"/>
  <c r="H318" i="3" s="1"/>
  <c r="C320" i="3"/>
  <c r="G319" i="3" a="1"/>
  <c r="G319" i="3" s="1"/>
  <c r="L319" i="3"/>
  <c r="M319" i="3"/>
  <c r="J319" i="3" a="1"/>
  <c r="J319" i="3" s="1"/>
  <c r="F319" i="3"/>
  <c r="A318" i="3" a="1"/>
  <c r="A318" i="3" s="1"/>
  <c r="B318" i="3" a="1"/>
  <c r="B318" i="3" s="1"/>
  <c r="D317" i="2"/>
  <c r="A319" i="2" a="1"/>
  <c r="A319" i="2" s="1"/>
  <c r="B319" i="2" a="1"/>
  <c r="B319" i="2" s="1"/>
  <c r="C321" i="2"/>
  <c r="F320" i="2"/>
  <c r="K318" i="2" a="1"/>
  <c r="K318" i="2" s="1"/>
  <c r="I318" i="2" a="1"/>
  <c r="I318" i="2" s="1"/>
  <c r="H318" i="2" a="1"/>
  <c r="H318" i="2" s="1"/>
  <c r="J318" i="2" a="1"/>
  <c r="J318" i="2" s="1"/>
  <c r="D318" i="2" a="1"/>
  <c r="H319" i="3" l="1" a="1"/>
  <c r="H319" i="3" s="1"/>
  <c r="I319" i="3" a="1"/>
  <c r="I319" i="3" s="1"/>
  <c r="K319" i="3" a="1"/>
  <c r="K319" i="3" s="1"/>
  <c r="C321" i="3"/>
  <c r="L320" i="3"/>
  <c r="M320" i="3"/>
  <c r="F320" i="3"/>
  <c r="F321" i="3" s="1"/>
  <c r="A319" i="3" a="1"/>
  <c r="A319" i="3" s="1"/>
  <c r="B319" i="3" a="1"/>
  <c r="B319" i="3" s="1"/>
  <c r="D318" i="2"/>
  <c r="I319" i="2" a="1"/>
  <c r="I319" i="2" s="1"/>
  <c r="H319" i="2" a="1"/>
  <c r="H319" i="2" s="1"/>
  <c r="J319" i="2" a="1"/>
  <c r="J319" i="2" s="1"/>
  <c r="K319" i="2" a="1"/>
  <c r="K319" i="2" s="1"/>
  <c r="A320" i="2" a="1"/>
  <c r="A320" i="2" s="1"/>
  <c r="B320" i="2" a="1"/>
  <c r="B320" i="2" s="1"/>
  <c r="C322" i="2"/>
  <c r="F321" i="2"/>
  <c r="D319" i="2" a="1"/>
  <c r="G320" i="3" l="1" a="1"/>
  <c r="G320" i="3" s="1"/>
  <c r="C322" i="3"/>
  <c r="G321" i="3" a="1"/>
  <c r="G321" i="3" s="1"/>
  <c r="M321" i="3"/>
  <c r="J321" i="3" a="1"/>
  <c r="J321" i="3" s="1"/>
  <c r="L321" i="3"/>
  <c r="B320" i="3" a="1"/>
  <c r="B320" i="3" s="1"/>
  <c r="A320" i="3" a="1"/>
  <c r="A320" i="3" s="1"/>
  <c r="D319" i="2"/>
  <c r="C323" i="2"/>
  <c r="F322" i="2"/>
  <c r="B321" i="2" a="1"/>
  <c r="B321" i="2" s="1"/>
  <c r="A321" i="2" a="1"/>
  <c r="A321" i="2" s="1"/>
  <c r="H320" i="2" a="1"/>
  <c r="H320" i="2" s="1"/>
  <c r="I320" i="2" a="1"/>
  <c r="I320" i="2" s="1"/>
  <c r="K320" i="2" a="1"/>
  <c r="K320" i="2" s="1"/>
  <c r="J320" i="2" a="1"/>
  <c r="J320" i="2" s="1"/>
  <c r="D320" i="2" a="1"/>
  <c r="C323" i="3" l="1"/>
  <c r="G322" i="3" a="1"/>
  <c r="G322" i="3" s="1"/>
  <c r="L322" i="3"/>
  <c r="M322" i="3"/>
  <c r="J322" i="3" a="1"/>
  <c r="J322" i="3" s="1"/>
  <c r="H320" i="3" a="1"/>
  <c r="H320" i="3" s="1"/>
  <c r="I320" i="3" a="1"/>
  <c r="I320" i="3" s="1"/>
  <c r="K320" i="3" a="1"/>
  <c r="K320" i="3" s="1"/>
  <c r="J320" i="3" a="1"/>
  <c r="J320" i="3" s="1"/>
  <c r="H321" i="3" a="1"/>
  <c r="H321" i="3" s="1"/>
  <c r="K321" i="3" a="1"/>
  <c r="K321" i="3" s="1"/>
  <c r="I321" i="3" a="1"/>
  <c r="I321" i="3" s="1"/>
  <c r="F322" i="3"/>
  <c r="F323" i="3" s="1"/>
  <c r="A321" i="3" a="1"/>
  <c r="A321" i="3" s="1"/>
  <c r="B321" i="3" a="1"/>
  <c r="B321" i="3" s="1"/>
  <c r="D320" i="2"/>
  <c r="J321" i="2" a="1"/>
  <c r="J321" i="2" s="1"/>
  <c r="H321" i="2" a="1"/>
  <c r="H321" i="2" s="1"/>
  <c r="I321" i="2" a="1"/>
  <c r="I321" i="2" s="1"/>
  <c r="K321" i="2" a="1"/>
  <c r="K321" i="2" s="1"/>
  <c r="B322" i="2" a="1"/>
  <c r="B322" i="2" s="1"/>
  <c r="A322" i="2" a="1"/>
  <c r="A322" i="2" s="1"/>
  <c r="C324" i="2"/>
  <c r="F323" i="2"/>
  <c r="D321" i="2" a="1"/>
  <c r="H322" i="3" l="1" a="1"/>
  <c r="H322" i="3" s="1"/>
  <c r="K322" i="3" a="1"/>
  <c r="K322" i="3" s="1"/>
  <c r="I322" i="3" a="1"/>
  <c r="I322" i="3" s="1"/>
  <c r="C324" i="3"/>
  <c r="F324" i="3" s="1"/>
  <c r="G323" i="3" a="1"/>
  <c r="G323" i="3" s="1"/>
  <c r="L323" i="3"/>
  <c r="M323" i="3"/>
  <c r="J323" i="3" a="1"/>
  <c r="J323" i="3" s="1"/>
  <c r="A322" i="3" a="1"/>
  <c r="A322" i="3" s="1"/>
  <c r="B322" i="3" a="1"/>
  <c r="B322" i="3" s="1"/>
  <c r="D321" i="2"/>
  <c r="C325" i="2"/>
  <c r="F324" i="2"/>
  <c r="B323" i="2" a="1"/>
  <c r="B323" i="2" s="1"/>
  <c r="A323" i="2" a="1"/>
  <c r="A323" i="2" s="1"/>
  <c r="J322" i="2" a="1"/>
  <c r="J322" i="2" s="1"/>
  <c r="I322" i="2" a="1"/>
  <c r="I322" i="2" s="1"/>
  <c r="K322" i="2" a="1"/>
  <c r="K322" i="2" s="1"/>
  <c r="H322" i="2" a="1"/>
  <c r="H322" i="2" s="1"/>
  <c r="D322" i="2" a="1"/>
  <c r="C325" i="3" l="1"/>
  <c r="G324" i="3" a="1"/>
  <c r="G324" i="3" s="1"/>
  <c r="M324" i="3"/>
  <c r="L324" i="3"/>
  <c r="J324" i="3" a="1"/>
  <c r="J324" i="3" s="1"/>
  <c r="H323" i="3" a="1"/>
  <c r="H323" i="3" s="1"/>
  <c r="I323" i="3" a="1"/>
  <c r="I323" i="3" s="1"/>
  <c r="K323" i="3" a="1"/>
  <c r="K323" i="3" s="1"/>
  <c r="A323" i="3" a="1"/>
  <c r="A323" i="3" s="1"/>
  <c r="B323" i="3" a="1"/>
  <c r="B323" i="3" s="1"/>
  <c r="D322" i="2"/>
  <c r="K323" i="2" a="1"/>
  <c r="K323" i="2" s="1"/>
  <c r="I323" i="2" a="1"/>
  <c r="I323" i="2" s="1"/>
  <c r="J323" i="2" a="1"/>
  <c r="J323" i="2" s="1"/>
  <c r="H323" i="2" a="1"/>
  <c r="H323" i="2" s="1"/>
  <c r="A324" i="2" a="1"/>
  <c r="A324" i="2" s="1"/>
  <c r="B324" i="2" a="1"/>
  <c r="B324" i="2" s="1"/>
  <c r="C326" i="2"/>
  <c r="F325" i="2"/>
  <c r="D323" i="2" a="1"/>
  <c r="C326" i="3" l="1"/>
  <c r="L325" i="3"/>
  <c r="M325" i="3"/>
  <c r="H324" i="3" a="1"/>
  <c r="H324" i="3" s="1"/>
  <c r="I324" i="3" a="1"/>
  <c r="I324" i="3" s="1"/>
  <c r="K324" i="3" a="1"/>
  <c r="K324" i="3" s="1"/>
  <c r="F325" i="3"/>
  <c r="F326" i="3" s="1"/>
  <c r="A324" i="3" a="1"/>
  <c r="A324" i="3" s="1"/>
  <c r="B324" i="3" a="1"/>
  <c r="B324" i="3" s="1"/>
  <c r="D323" i="2"/>
  <c r="C327" i="2"/>
  <c r="F326" i="2"/>
  <c r="A325" i="2" a="1"/>
  <c r="A325" i="2" s="1"/>
  <c r="B325" i="2" a="1"/>
  <c r="B325" i="2" s="1"/>
  <c r="I324" i="2" a="1"/>
  <c r="I324" i="2" s="1"/>
  <c r="H324" i="2" a="1"/>
  <c r="H324" i="2" s="1"/>
  <c r="J324" i="2" a="1"/>
  <c r="J324" i="2" s="1"/>
  <c r="K324" i="2" a="1"/>
  <c r="K324" i="2" s="1"/>
  <c r="D324" i="2" a="1"/>
  <c r="G325" i="3" l="1" a="1"/>
  <c r="G325" i="3" s="1"/>
  <c r="C327" i="3"/>
  <c r="G326" i="3" a="1"/>
  <c r="G326" i="3" s="1"/>
  <c r="L326" i="3"/>
  <c r="M326" i="3"/>
  <c r="J326" i="3" a="1"/>
  <c r="J326" i="3" s="1"/>
  <c r="B325" i="3" a="1"/>
  <c r="B325" i="3" s="1"/>
  <c r="A325" i="3" a="1"/>
  <c r="A325" i="3" s="1"/>
  <c r="D324" i="2"/>
  <c r="I325" i="2" a="1"/>
  <c r="I325" i="2" s="1"/>
  <c r="J325" i="2" a="1"/>
  <c r="J325" i="2" s="1"/>
  <c r="H325" i="2" a="1"/>
  <c r="H325" i="2" s="1"/>
  <c r="K325" i="2" a="1"/>
  <c r="K325" i="2" s="1"/>
  <c r="A326" i="2" a="1"/>
  <c r="A326" i="2" s="1"/>
  <c r="B326" i="2" a="1"/>
  <c r="B326" i="2" s="1"/>
  <c r="C328" i="2"/>
  <c r="F327" i="2"/>
  <c r="D325" i="2" a="1"/>
  <c r="H325" i="3" l="1" a="1"/>
  <c r="H325" i="3" s="1"/>
  <c r="K325" i="3" a="1"/>
  <c r="K325" i="3" s="1"/>
  <c r="I325" i="3" a="1"/>
  <c r="I325" i="3" s="1"/>
  <c r="J325" i="3" a="1"/>
  <c r="J325" i="3" s="1"/>
  <c r="K326" i="3" a="1"/>
  <c r="K326" i="3" s="1"/>
  <c r="H326" i="3" a="1"/>
  <c r="H326" i="3" s="1"/>
  <c r="I326" i="3" a="1"/>
  <c r="I326" i="3" s="1"/>
  <c r="C328" i="3"/>
  <c r="G327" i="3" a="1"/>
  <c r="G327" i="3" s="1"/>
  <c r="L327" i="3"/>
  <c r="M327" i="3"/>
  <c r="J327" i="3" a="1"/>
  <c r="J327" i="3" s="1"/>
  <c r="F327" i="3"/>
  <c r="A326" i="3" a="1"/>
  <c r="A326" i="3" s="1"/>
  <c r="B326" i="3" a="1"/>
  <c r="B326" i="3" s="1"/>
  <c r="D325" i="2"/>
  <c r="C329" i="2"/>
  <c r="F328" i="2"/>
  <c r="B327" i="2" a="1"/>
  <c r="B327" i="2" s="1"/>
  <c r="A327" i="2" a="1"/>
  <c r="A327" i="2" s="1"/>
  <c r="I326" i="2" a="1"/>
  <c r="I326" i="2" s="1"/>
  <c r="J326" i="2" a="1"/>
  <c r="J326" i="2" s="1"/>
  <c r="K326" i="2" a="1"/>
  <c r="K326" i="2" s="1"/>
  <c r="H326" i="2" a="1"/>
  <c r="H326" i="2" s="1"/>
  <c r="D326" i="2" a="1"/>
  <c r="C329" i="3" l="1"/>
  <c r="L328" i="3"/>
  <c r="M328" i="3"/>
  <c r="H327" i="3" a="1"/>
  <c r="H327" i="3" s="1"/>
  <c r="I327" i="3" a="1"/>
  <c r="I327" i="3" s="1"/>
  <c r="K327" i="3" a="1"/>
  <c r="K327" i="3" s="1"/>
  <c r="F328" i="3"/>
  <c r="F329" i="3" s="1"/>
  <c r="B327" i="3" a="1"/>
  <c r="B327" i="3" s="1"/>
  <c r="A327" i="3" a="1"/>
  <c r="A327" i="3" s="1"/>
  <c r="D326" i="2"/>
  <c r="H327" i="2" a="1"/>
  <c r="H327" i="2" s="1"/>
  <c r="I327" i="2" a="1"/>
  <c r="I327" i="2" s="1"/>
  <c r="J327" i="2" a="1"/>
  <c r="J327" i="2" s="1"/>
  <c r="K327" i="2" a="1"/>
  <c r="K327" i="2" s="1"/>
  <c r="B328" i="2" a="1"/>
  <c r="B328" i="2" s="1"/>
  <c r="A328" i="2" a="1"/>
  <c r="A328" i="2" s="1"/>
  <c r="C330" i="2"/>
  <c r="F329" i="2"/>
  <c r="D327" i="2" a="1"/>
  <c r="G328" i="3" l="1" a="1"/>
  <c r="G328" i="3" s="1"/>
  <c r="C330" i="3"/>
  <c r="G329" i="3" a="1"/>
  <c r="G329" i="3" s="1"/>
  <c r="J329" i="3" a="1"/>
  <c r="J329" i="3" s="1"/>
  <c r="L329" i="3"/>
  <c r="M329" i="3"/>
  <c r="A328" i="3" a="1"/>
  <c r="A328" i="3" s="1"/>
  <c r="B328" i="3" a="1"/>
  <c r="B328" i="3" s="1"/>
  <c r="D327" i="2"/>
  <c r="A329" i="2" a="1"/>
  <c r="A329" i="2" s="1"/>
  <c r="B329" i="2" a="1"/>
  <c r="B329" i="2" s="1"/>
  <c r="C331" i="2"/>
  <c r="F330" i="2"/>
  <c r="H328" i="2" a="1"/>
  <c r="H328" i="2" s="1"/>
  <c r="J328" i="2" a="1"/>
  <c r="J328" i="2" s="1"/>
  <c r="I328" i="2" a="1"/>
  <c r="I328" i="2" s="1"/>
  <c r="K328" i="2" a="1"/>
  <c r="K328" i="2" s="1"/>
  <c r="D328" i="2" a="1"/>
  <c r="I328" i="3" l="1" a="1"/>
  <c r="I328" i="3" s="1"/>
  <c r="K328" i="3" a="1"/>
  <c r="K328" i="3" s="1"/>
  <c r="H328" i="3" a="1"/>
  <c r="H328" i="3" s="1"/>
  <c r="J328" i="3" a="1"/>
  <c r="J328" i="3" s="1"/>
  <c r="K329" i="3" a="1"/>
  <c r="K329" i="3" s="1"/>
  <c r="I329" i="3" a="1"/>
  <c r="I329" i="3" s="1"/>
  <c r="H329" i="3" a="1"/>
  <c r="H329" i="3" s="1"/>
  <c r="C331" i="3"/>
  <c r="G330" i="3" a="1"/>
  <c r="G330" i="3" s="1"/>
  <c r="M330" i="3"/>
  <c r="L330" i="3"/>
  <c r="J330" i="3" a="1"/>
  <c r="J330" i="3" s="1"/>
  <c r="F330" i="3"/>
  <c r="A329" i="3" a="1"/>
  <c r="A329" i="3" s="1"/>
  <c r="B329" i="3" a="1"/>
  <c r="B329" i="3" s="1"/>
  <c r="D328" i="2"/>
  <c r="B330" i="2" a="1"/>
  <c r="B330" i="2" s="1"/>
  <c r="A330" i="2" a="1"/>
  <c r="A330" i="2" s="1"/>
  <c r="H329" i="2" a="1"/>
  <c r="H329" i="2" s="1"/>
  <c r="I329" i="2" a="1"/>
  <c r="I329" i="2" s="1"/>
  <c r="K329" i="2" a="1"/>
  <c r="K329" i="2" s="1"/>
  <c r="J329" i="2" a="1"/>
  <c r="J329" i="2" s="1"/>
  <c r="C332" i="2"/>
  <c r="F331" i="2"/>
  <c r="D329" i="2" a="1"/>
  <c r="C332" i="3" l="1"/>
  <c r="L331" i="3"/>
  <c r="M331" i="3"/>
  <c r="K330" i="3" a="1"/>
  <c r="K330" i="3" s="1"/>
  <c r="H330" i="3" a="1"/>
  <c r="H330" i="3" s="1"/>
  <c r="I330" i="3" a="1"/>
  <c r="I330" i="3" s="1"/>
  <c r="F331" i="3"/>
  <c r="F332" i="3" s="1"/>
  <c r="A330" i="3" a="1"/>
  <c r="A330" i="3" s="1"/>
  <c r="B330" i="3" a="1"/>
  <c r="B330" i="3" s="1"/>
  <c r="D329" i="2"/>
  <c r="B331" i="2" a="1"/>
  <c r="B331" i="2" s="1"/>
  <c r="A331" i="2" a="1"/>
  <c r="A331" i="2" s="1"/>
  <c r="C333" i="2"/>
  <c r="F332" i="2"/>
  <c r="H330" i="2" a="1"/>
  <c r="H330" i="2" s="1"/>
  <c r="J330" i="2" a="1"/>
  <c r="J330" i="2" s="1"/>
  <c r="I330" i="2" a="1"/>
  <c r="I330" i="2" s="1"/>
  <c r="K330" i="2" a="1"/>
  <c r="K330" i="2" s="1"/>
  <c r="D330" i="2" a="1"/>
  <c r="G331" i="3" l="1" a="1"/>
  <c r="G331" i="3" s="1"/>
  <c r="C333" i="3"/>
  <c r="G332" i="3" a="1"/>
  <c r="G332" i="3" s="1"/>
  <c r="L332" i="3"/>
  <c r="M332" i="3"/>
  <c r="J332" i="3" a="1"/>
  <c r="J332" i="3" s="1"/>
  <c r="A331" i="3" a="1"/>
  <c r="A331" i="3" s="1"/>
  <c r="B331" i="3" a="1"/>
  <c r="B331" i="3" s="1"/>
  <c r="D330" i="2"/>
  <c r="K331" i="2" a="1"/>
  <c r="K331" i="2" s="1"/>
  <c r="H331" i="2" a="1"/>
  <c r="H331" i="2" s="1"/>
  <c r="J331" i="2" a="1"/>
  <c r="J331" i="2" s="1"/>
  <c r="I331" i="2" a="1"/>
  <c r="I331" i="2" s="1"/>
  <c r="C334" i="2"/>
  <c r="F333" i="2"/>
  <c r="A332" i="2" a="1"/>
  <c r="A332" i="2" s="1"/>
  <c r="B332" i="2" a="1"/>
  <c r="B332" i="2" s="1"/>
  <c r="D331" i="2" a="1"/>
  <c r="C334" i="3" l="1"/>
  <c r="L333" i="3"/>
  <c r="M333" i="3"/>
  <c r="F333" i="3"/>
  <c r="F334" i="3" s="1"/>
  <c r="K332" i="3" a="1"/>
  <c r="K332" i="3" s="1"/>
  <c r="H332" i="3" a="1"/>
  <c r="H332" i="3" s="1"/>
  <c r="I332" i="3" a="1"/>
  <c r="I332" i="3" s="1"/>
  <c r="H331" i="3" a="1"/>
  <c r="H331" i="3" s="1"/>
  <c r="I331" i="3" a="1"/>
  <c r="I331" i="3" s="1"/>
  <c r="K331" i="3" a="1"/>
  <c r="K331" i="3" s="1"/>
  <c r="J331" i="3" a="1"/>
  <c r="J331" i="3" s="1"/>
  <c r="B332" i="3" a="1"/>
  <c r="B332" i="3" s="1"/>
  <c r="A332" i="3" a="1"/>
  <c r="A332" i="3" s="1"/>
  <c r="D331" i="2"/>
  <c r="H332" i="2" a="1"/>
  <c r="H332" i="2" s="1"/>
  <c r="K332" i="2" a="1"/>
  <c r="K332" i="2" s="1"/>
  <c r="J332" i="2" a="1"/>
  <c r="J332" i="2" s="1"/>
  <c r="I332" i="2" a="1"/>
  <c r="I332" i="2" s="1"/>
  <c r="C335" i="2"/>
  <c r="F334" i="2"/>
  <c r="B333" i="2" a="1"/>
  <c r="B333" i="2" s="1"/>
  <c r="A333" i="2" a="1"/>
  <c r="A333" i="2" s="1"/>
  <c r="D332" i="2" a="1"/>
  <c r="G333" i="3" l="1" a="1"/>
  <c r="G333" i="3" s="1"/>
  <c r="C335" i="3"/>
  <c r="G334" i="3" a="1"/>
  <c r="G334" i="3" s="1"/>
  <c r="M334" i="3"/>
  <c r="L334" i="3"/>
  <c r="J334" i="3" a="1"/>
  <c r="J334" i="3" s="1"/>
  <c r="A333" i="3" a="1"/>
  <c r="A333" i="3" s="1"/>
  <c r="B333" i="3" a="1"/>
  <c r="B333" i="3" s="1"/>
  <c r="D332" i="2"/>
  <c r="J333" i="2" a="1"/>
  <c r="J333" i="2" s="1"/>
  <c r="H333" i="2" a="1"/>
  <c r="H333" i="2" s="1"/>
  <c r="K333" i="2" a="1"/>
  <c r="K333" i="2" s="1"/>
  <c r="I333" i="2" a="1"/>
  <c r="I333" i="2" s="1"/>
  <c r="C336" i="2"/>
  <c r="F335" i="2"/>
  <c r="A334" i="2" a="1"/>
  <c r="A334" i="2" s="1"/>
  <c r="B334" i="2" a="1"/>
  <c r="B334" i="2" s="1"/>
  <c r="D333" i="2" a="1"/>
  <c r="C336" i="3" l="1"/>
  <c r="L335" i="3"/>
  <c r="M335" i="3"/>
  <c r="K334" i="3" a="1"/>
  <c r="K334" i="3" s="1"/>
  <c r="H334" i="3" a="1"/>
  <c r="H334" i="3" s="1"/>
  <c r="I334" i="3" a="1"/>
  <c r="I334" i="3" s="1"/>
  <c r="F335" i="3"/>
  <c r="F336" i="3" s="1"/>
  <c r="H333" i="3" a="1"/>
  <c r="H333" i="3" s="1"/>
  <c r="K333" i="3" a="1"/>
  <c r="K333" i="3" s="1"/>
  <c r="I333" i="3" a="1"/>
  <c r="I333" i="3" s="1"/>
  <c r="J333" i="3" a="1"/>
  <c r="J333" i="3" s="1"/>
  <c r="A334" i="3" a="1"/>
  <c r="A334" i="3" s="1"/>
  <c r="B334" i="3" a="1"/>
  <c r="B334" i="3" s="1"/>
  <c r="D333" i="2"/>
  <c r="I334" i="2" a="1"/>
  <c r="I334" i="2" s="1"/>
  <c r="K334" i="2" a="1"/>
  <c r="K334" i="2" s="1"/>
  <c r="J334" i="2" a="1"/>
  <c r="J334" i="2" s="1"/>
  <c r="H334" i="2" a="1"/>
  <c r="H334" i="2" s="1"/>
  <c r="A335" i="2" a="1"/>
  <c r="A335" i="2" s="1"/>
  <c r="B335" i="2" a="1"/>
  <c r="B335" i="2" s="1"/>
  <c r="C337" i="2"/>
  <c r="F336" i="2"/>
  <c r="D334" i="2" a="1"/>
  <c r="G335" i="3" l="1" a="1"/>
  <c r="G335" i="3" s="1"/>
  <c r="C337" i="3"/>
  <c r="G336" i="3" a="1"/>
  <c r="G336" i="3" s="1"/>
  <c r="M336" i="3"/>
  <c r="L336" i="3"/>
  <c r="A335" i="3" a="1"/>
  <c r="A335" i="3" s="1"/>
  <c r="B335" i="3" a="1"/>
  <c r="B335" i="3" s="1"/>
  <c r="D334" i="2"/>
  <c r="B336" i="2" a="1"/>
  <c r="B336" i="2" s="1"/>
  <c r="A336" i="2" a="1"/>
  <c r="A336" i="2" s="1"/>
  <c r="C338" i="2"/>
  <c r="F337" i="2"/>
  <c r="I335" i="2" a="1"/>
  <c r="I335" i="2" s="1"/>
  <c r="H335" i="2" a="1"/>
  <c r="H335" i="2" s="1"/>
  <c r="J335" i="2" a="1"/>
  <c r="J335" i="2" s="1"/>
  <c r="K335" i="2" a="1"/>
  <c r="K335" i="2" s="1"/>
  <c r="D335" i="2" a="1"/>
  <c r="H336" i="3" l="1" a="1"/>
  <c r="H336" i="3" s="1"/>
  <c r="I336" i="3" a="1"/>
  <c r="I336" i="3" s="1"/>
  <c r="K336" i="3" a="1"/>
  <c r="K336" i="3" s="1"/>
  <c r="J336" i="3" a="1"/>
  <c r="J336" i="3" s="1"/>
  <c r="C338" i="3"/>
  <c r="G337" i="3" a="1"/>
  <c r="G337" i="3" s="1"/>
  <c r="L337" i="3"/>
  <c r="M337" i="3"/>
  <c r="J337" i="3" a="1"/>
  <c r="J337" i="3" s="1"/>
  <c r="H335" i="3" a="1"/>
  <c r="H335" i="3" s="1"/>
  <c r="I335" i="3" a="1"/>
  <c r="I335" i="3" s="1"/>
  <c r="K335" i="3" a="1"/>
  <c r="K335" i="3" s="1"/>
  <c r="J335" i="3" a="1"/>
  <c r="J335" i="3" s="1"/>
  <c r="F337" i="3"/>
  <c r="A336" i="3" a="1"/>
  <c r="A336" i="3" s="1"/>
  <c r="B336" i="3" a="1"/>
  <c r="B336" i="3" s="1"/>
  <c r="D335" i="2"/>
  <c r="C339" i="2"/>
  <c r="F338" i="2"/>
  <c r="B337" i="2" a="1"/>
  <c r="B337" i="2" s="1"/>
  <c r="A337" i="2" a="1"/>
  <c r="A337" i="2" s="1"/>
  <c r="I336" i="2" a="1"/>
  <c r="I336" i="2" s="1"/>
  <c r="H336" i="2" a="1"/>
  <c r="H336" i="2" s="1"/>
  <c r="J336" i="2" a="1"/>
  <c r="J336" i="2" s="1"/>
  <c r="K336" i="2" a="1"/>
  <c r="K336" i="2" s="1"/>
  <c r="D336" i="2" a="1"/>
  <c r="H337" i="3" l="1" a="1"/>
  <c r="H337" i="3" s="1"/>
  <c r="I337" i="3" a="1"/>
  <c r="I337" i="3" s="1"/>
  <c r="K337" i="3" a="1"/>
  <c r="K337" i="3" s="1"/>
  <c r="C339" i="3"/>
  <c r="L338" i="3"/>
  <c r="M338" i="3"/>
  <c r="F338" i="3"/>
  <c r="F339" i="3" s="1"/>
  <c r="B337" i="3" a="1"/>
  <c r="B337" i="3" s="1"/>
  <c r="A337" i="3" a="1"/>
  <c r="A337" i="3" s="1"/>
  <c r="D336" i="2"/>
  <c r="I337" i="2" a="1"/>
  <c r="I337" i="2" s="1"/>
  <c r="J337" i="2" a="1"/>
  <c r="J337" i="2" s="1"/>
  <c r="H337" i="2" a="1"/>
  <c r="H337" i="2" s="1"/>
  <c r="K337" i="2" a="1"/>
  <c r="K337" i="2" s="1"/>
  <c r="A338" i="2" a="1"/>
  <c r="A338" i="2" s="1"/>
  <c r="B338" i="2" a="1"/>
  <c r="B338" i="2" s="1"/>
  <c r="C340" i="2"/>
  <c r="F339" i="2"/>
  <c r="D337" i="2" a="1"/>
  <c r="C340" i="3" l="1"/>
  <c r="G339" i="3" a="1"/>
  <c r="G339" i="3" s="1"/>
  <c r="M339" i="3"/>
  <c r="L339" i="3"/>
  <c r="G338" i="3" a="1"/>
  <c r="G338" i="3" s="1"/>
  <c r="A338" i="3" a="1"/>
  <c r="A338" i="3" s="1"/>
  <c r="B338" i="3" a="1"/>
  <c r="B338" i="3" s="1"/>
  <c r="D337" i="2"/>
  <c r="C341" i="2"/>
  <c r="F340" i="2"/>
  <c r="K338" i="2" a="1"/>
  <c r="K338" i="2" s="1"/>
  <c r="J338" i="2" a="1"/>
  <c r="J338" i="2" s="1"/>
  <c r="H338" i="2" a="1"/>
  <c r="H338" i="2" s="1"/>
  <c r="I338" i="2" a="1"/>
  <c r="I338" i="2" s="1"/>
  <c r="B339" i="2" a="1"/>
  <c r="B339" i="2" s="1"/>
  <c r="A339" i="2" a="1"/>
  <c r="A339" i="2" s="1"/>
  <c r="D338" i="2" a="1"/>
  <c r="H339" i="3" l="1" a="1"/>
  <c r="H339" i="3" s="1"/>
  <c r="I339" i="3" a="1"/>
  <c r="I339" i="3" s="1"/>
  <c r="K339" i="3" a="1"/>
  <c r="K339" i="3" s="1"/>
  <c r="I338" i="3" a="1"/>
  <c r="I338" i="3" s="1"/>
  <c r="K338" i="3" a="1"/>
  <c r="K338" i="3" s="1"/>
  <c r="H338" i="3" a="1"/>
  <c r="H338" i="3" s="1"/>
  <c r="J338" i="3" a="1"/>
  <c r="J338" i="3" s="1"/>
  <c r="C341" i="3"/>
  <c r="G340" i="3" a="1"/>
  <c r="G340" i="3" s="1"/>
  <c r="L340" i="3"/>
  <c r="M340" i="3"/>
  <c r="J340" i="3" a="1"/>
  <c r="J340" i="3" s="1"/>
  <c r="J339" i="3" a="1"/>
  <c r="J339" i="3" s="1"/>
  <c r="F340" i="3"/>
  <c r="B339" i="3" a="1"/>
  <c r="B339" i="3" s="1"/>
  <c r="A339" i="3" a="1"/>
  <c r="A339" i="3" s="1"/>
  <c r="D338" i="2"/>
  <c r="A340" i="2" a="1"/>
  <c r="A340" i="2" s="1"/>
  <c r="B340" i="2" a="1"/>
  <c r="B340" i="2" s="1"/>
  <c r="H339" i="2" a="1"/>
  <c r="H339" i="2" s="1"/>
  <c r="J339" i="2" a="1"/>
  <c r="J339" i="2" s="1"/>
  <c r="I339" i="2" a="1"/>
  <c r="I339" i="2" s="1"/>
  <c r="K339" i="2" a="1"/>
  <c r="K339" i="2" s="1"/>
  <c r="C342" i="2"/>
  <c r="F341" i="2"/>
  <c r="D339" i="2" a="1"/>
  <c r="H340" i="3" l="1" a="1"/>
  <c r="H340" i="3" s="1"/>
  <c r="I340" i="3" a="1"/>
  <c r="I340" i="3" s="1"/>
  <c r="K340" i="3" a="1"/>
  <c r="K340" i="3" s="1"/>
  <c r="C342" i="3"/>
  <c r="M341" i="3"/>
  <c r="L341" i="3"/>
  <c r="F341" i="3"/>
  <c r="F342" i="3" s="1"/>
  <c r="A340" i="3" a="1"/>
  <c r="A340" i="3" s="1"/>
  <c r="B340" i="3" a="1"/>
  <c r="B340" i="3" s="1"/>
  <c r="D339" i="2"/>
  <c r="C343" i="2"/>
  <c r="F342" i="2"/>
  <c r="B341" i="2" a="1"/>
  <c r="B341" i="2" s="1"/>
  <c r="A341" i="2" a="1"/>
  <c r="A341" i="2" s="1"/>
  <c r="K340" i="2" a="1"/>
  <c r="K340" i="2" s="1"/>
  <c r="H340" i="2" a="1"/>
  <c r="H340" i="2" s="1"/>
  <c r="J340" i="2" a="1"/>
  <c r="J340" i="2" s="1"/>
  <c r="I340" i="2" a="1"/>
  <c r="I340" i="2" s="1"/>
  <c r="D340" i="2" a="1"/>
  <c r="C343" i="3" l="1"/>
  <c r="G342" i="3" a="1"/>
  <c r="G342" i="3" s="1"/>
  <c r="J342" i="3" a="1"/>
  <c r="J342" i="3" s="1"/>
  <c r="M342" i="3"/>
  <c r="L342" i="3"/>
  <c r="F343" i="3"/>
  <c r="G341" i="3" a="1"/>
  <c r="G341" i="3" s="1"/>
  <c r="A341" i="3" a="1"/>
  <c r="A341" i="3" s="1"/>
  <c r="B341" i="3" a="1"/>
  <c r="B341" i="3" s="1"/>
  <c r="D340" i="2"/>
  <c r="K341" i="2" a="1"/>
  <c r="K341" i="2" s="1"/>
  <c r="H341" i="2" a="1"/>
  <c r="H341" i="2" s="1"/>
  <c r="I341" i="2" a="1"/>
  <c r="I341" i="2" s="1"/>
  <c r="J341" i="2" a="1"/>
  <c r="J341" i="2" s="1"/>
  <c r="A342" i="2" a="1"/>
  <c r="A342" i="2" s="1"/>
  <c r="B342" i="2" a="1"/>
  <c r="B342" i="2" s="1"/>
  <c r="C344" i="2"/>
  <c r="F343" i="2"/>
  <c r="D341" i="2" a="1"/>
  <c r="H342" i="3" l="1" a="1"/>
  <c r="H342" i="3" s="1"/>
  <c r="I342" i="3" a="1"/>
  <c r="I342" i="3" s="1"/>
  <c r="K342" i="3" a="1"/>
  <c r="K342" i="3" s="1"/>
  <c r="H341" i="3" a="1"/>
  <c r="H341" i="3" s="1"/>
  <c r="I341" i="3" a="1"/>
  <c r="I341" i="3" s="1"/>
  <c r="K341" i="3" a="1"/>
  <c r="K341" i="3" s="1"/>
  <c r="J341" i="3" a="1"/>
  <c r="J341" i="3" s="1"/>
  <c r="C344" i="3"/>
  <c r="G343" i="3" a="1"/>
  <c r="G343" i="3" s="1"/>
  <c r="L343" i="3"/>
  <c r="M343" i="3"/>
  <c r="A342" i="3" a="1"/>
  <c r="A342" i="3" s="1"/>
  <c r="B342" i="3" a="1"/>
  <c r="B342" i="3" s="1"/>
  <c r="D341" i="2"/>
  <c r="K342" i="2" a="1"/>
  <c r="K342" i="2" s="1"/>
  <c r="I342" i="2" a="1"/>
  <c r="I342" i="2" s="1"/>
  <c r="H342" i="2" a="1"/>
  <c r="H342" i="2" s="1"/>
  <c r="J342" i="2" a="1"/>
  <c r="J342" i="2" s="1"/>
  <c r="C345" i="2"/>
  <c r="F344" i="2"/>
  <c r="A343" i="2" a="1"/>
  <c r="A343" i="2" s="1"/>
  <c r="B343" i="2" a="1"/>
  <c r="B343" i="2" s="1"/>
  <c r="D342" i="2" a="1"/>
  <c r="C345" i="3" l="1"/>
  <c r="L344" i="3"/>
  <c r="M344" i="3"/>
  <c r="H343" i="3" a="1"/>
  <c r="H343" i="3" s="1"/>
  <c r="I343" i="3" a="1"/>
  <c r="I343" i="3" s="1"/>
  <c r="K343" i="3" a="1"/>
  <c r="K343" i="3" s="1"/>
  <c r="J343" i="3" a="1"/>
  <c r="J343" i="3" s="1"/>
  <c r="F344" i="3"/>
  <c r="F345" i="3" s="1"/>
  <c r="A343" i="3" a="1"/>
  <c r="A343" i="3" s="1"/>
  <c r="B343" i="3" a="1"/>
  <c r="B343" i="3" s="1"/>
  <c r="D342" i="2"/>
  <c r="C346" i="2"/>
  <c r="F345" i="2"/>
  <c r="H343" i="2" a="1"/>
  <c r="H343" i="2" s="1"/>
  <c r="I343" i="2" a="1"/>
  <c r="I343" i="2" s="1"/>
  <c r="J343" i="2" a="1"/>
  <c r="J343" i="2" s="1"/>
  <c r="K343" i="2" a="1"/>
  <c r="K343" i="2" s="1"/>
  <c r="A344" i="2" a="1"/>
  <c r="A344" i="2" s="1"/>
  <c r="B344" i="2" a="1"/>
  <c r="B344" i="2" s="1"/>
  <c r="D343" i="2" a="1"/>
  <c r="G344" i="3" l="1" a="1"/>
  <c r="G344" i="3" s="1"/>
  <c r="C346" i="3"/>
  <c r="G345" i="3" a="1"/>
  <c r="G345" i="3" s="1"/>
  <c r="J345" i="3" a="1"/>
  <c r="J345" i="3" s="1"/>
  <c r="M345" i="3"/>
  <c r="L345" i="3"/>
  <c r="B344" i="3" a="1"/>
  <c r="B344" i="3" s="1"/>
  <c r="A344" i="3" a="1"/>
  <c r="A344" i="3" s="1"/>
  <c r="D343" i="2"/>
  <c r="I344" i="2" a="1"/>
  <c r="I344" i="2" s="1"/>
  <c r="K344" i="2" a="1"/>
  <c r="K344" i="2" s="1"/>
  <c r="H344" i="2" a="1"/>
  <c r="H344" i="2" s="1"/>
  <c r="J344" i="2" a="1"/>
  <c r="J344" i="2" s="1"/>
  <c r="B345" i="2" a="1"/>
  <c r="B345" i="2" s="1"/>
  <c r="A345" i="2" a="1"/>
  <c r="A345" i="2" s="1"/>
  <c r="C347" i="2"/>
  <c r="F346" i="2"/>
  <c r="D344" i="2" a="1"/>
  <c r="I344" i="3" l="1" a="1"/>
  <c r="I344" i="3" s="1"/>
  <c r="K344" i="3" a="1"/>
  <c r="K344" i="3" s="1"/>
  <c r="H344" i="3" a="1"/>
  <c r="H344" i="3" s="1"/>
  <c r="J344" i="3" a="1"/>
  <c r="J344" i="3" s="1"/>
  <c r="H345" i="3" a="1"/>
  <c r="H345" i="3" s="1"/>
  <c r="I345" i="3" a="1"/>
  <c r="I345" i="3" s="1"/>
  <c r="K345" i="3" a="1"/>
  <c r="K345" i="3" s="1"/>
  <c r="C347" i="3"/>
  <c r="G346" i="3" a="1"/>
  <c r="G346" i="3" s="1"/>
  <c r="L346" i="3"/>
  <c r="M346" i="3"/>
  <c r="F346" i="3"/>
  <c r="A345" i="3" a="1"/>
  <c r="A345" i="3" s="1"/>
  <c r="B345" i="3" a="1"/>
  <c r="B345" i="3" s="1"/>
  <c r="D344" i="2"/>
  <c r="C348" i="2"/>
  <c r="F347" i="2"/>
  <c r="A346" i="2" a="1"/>
  <c r="A346" i="2" s="1"/>
  <c r="B346" i="2" a="1"/>
  <c r="B346" i="2" s="1"/>
  <c r="H345" i="2" a="1"/>
  <c r="H345" i="2" s="1"/>
  <c r="I345" i="2" a="1"/>
  <c r="I345" i="2" s="1"/>
  <c r="J345" i="2" a="1"/>
  <c r="J345" i="2" s="1"/>
  <c r="K345" i="2" a="1"/>
  <c r="K345" i="2" s="1"/>
  <c r="D345" i="2" a="1"/>
  <c r="K346" i="3" l="1" a="1"/>
  <c r="K346" i="3" s="1"/>
  <c r="H346" i="3" a="1"/>
  <c r="H346" i="3" s="1"/>
  <c r="I346" i="3" a="1"/>
  <c r="I346" i="3" s="1"/>
  <c r="C348" i="3"/>
  <c r="M347" i="3"/>
  <c r="L347" i="3"/>
  <c r="J346" i="3" a="1"/>
  <c r="J346" i="3" s="1"/>
  <c r="F347" i="3"/>
  <c r="F348" i="3" s="1"/>
  <c r="A346" i="3" a="1"/>
  <c r="A346" i="3" s="1"/>
  <c r="B346" i="3" a="1"/>
  <c r="B346" i="3" s="1"/>
  <c r="D345" i="2"/>
  <c r="B347" i="2" a="1"/>
  <c r="B347" i="2" s="1"/>
  <c r="A347" i="2" a="1"/>
  <c r="A347" i="2" s="1"/>
  <c r="J346" i="2" a="1"/>
  <c r="J346" i="2" s="1"/>
  <c r="H346" i="2" a="1"/>
  <c r="H346" i="2" s="1"/>
  <c r="K346" i="2" a="1"/>
  <c r="K346" i="2" s="1"/>
  <c r="I346" i="2" a="1"/>
  <c r="I346" i="2" s="1"/>
  <c r="C349" i="2"/>
  <c r="F348" i="2"/>
  <c r="D346" i="2" a="1"/>
  <c r="C349" i="3" l="1"/>
  <c r="G348" i="3" a="1"/>
  <c r="G348" i="3" s="1"/>
  <c r="J348" i="3" s="1" a="1"/>
  <c r="J348" i="3" s="1"/>
  <c r="L348" i="3"/>
  <c r="M348" i="3"/>
  <c r="F349" i="3"/>
  <c r="G347" i="3" a="1"/>
  <c r="G347" i="3" s="1"/>
  <c r="A347" i="3" a="1"/>
  <c r="A347" i="3" s="1"/>
  <c r="B347" i="3" a="1"/>
  <c r="B347" i="3" s="1"/>
  <c r="D346" i="2"/>
  <c r="C350" i="2"/>
  <c r="F349" i="2"/>
  <c r="A348" i="2" a="1"/>
  <c r="A348" i="2" s="1"/>
  <c r="B348" i="2" a="1"/>
  <c r="B348" i="2" s="1"/>
  <c r="J347" i="2" a="1"/>
  <c r="J347" i="2" s="1"/>
  <c r="H347" i="2" a="1"/>
  <c r="H347" i="2" s="1"/>
  <c r="K347" i="2" a="1"/>
  <c r="K347" i="2" s="1"/>
  <c r="I347" i="2" a="1"/>
  <c r="I347" i="2" s="1"/>
  <c r="D347" i="2" a="1"/>
  <c r="H347" i="3" l="1" a="1"/>
  <c r="H347" i="3" s="1"/>
  <c r="I347" i="3" a="1"/>
  <c r="I347" i="3" s="1"/>
  <c r="K347" i="3" a="1"/>
  <c r="K347" i="3" s="1"/>
  <c r="J347" i="3" a="1"/>
  <c r="J347" i="3" s="1"/>
  <c r="H348" i="3" a="1"/>
  <c r="H348" i="3" s="1"/>
  <c r="I348" i="3" a="1"/>
  <c r="I348" i="3" s="1"/>
  <c r="K348" i="3" a="1"/>
  <c r="K348" i="3" s="1"/>
  <c r="C350" i="3"/>
  <c r="F350" i="3" s="1"/>
  <c r="G349" i="3" a="1"/>
  <c r="G349" i="3" s="1"/>
  <c r="L349" i="3"/>
  <c r="M349" i="3"/>
  <c r="J349" i="3" a="1"/>
  <c r="J349" i="3" s="1"/>
  <c r="A348" i="3" a="1"/>
  <c r="A348" i="3" s="1"/>
  <c r="B348" i="3" a="1"/>
  <c r="B348" i="3" s="1"/>
  <c r="D347" i="2"/>
  <c r="B349" i="2" a="1"/>
  <c r="B349" i="2" s="1"/>
  <c r="A349" i="2" a="1"/>
  <c r="A349" i="2" s="1"/>
  <c r="I348" i="2" a="1"/>
  <c r="I348" i="2" s="1"/>
  <c r="J348" i="2" a="1"/>
  <c r="J348" i="2" s="1"/>
  <c r="H348" i="2" a="1"/>
  <c r="H348" i="2" s="1"/>
  <c r="K348" i="2" a="1"/>
  <c r="K348" i="2" s="1"/>
  <c r="C351" i="2"/>
  <c r="F350" i="2"/>
  <c r="D348" i="2" a="1"/>
  <c r="K349" i="3" l="1" a="1"/>
  <c r="K349" i="3" s="1"/>
  <c r="H349" i="3" a="1"/>
  <c r="H349" i="3" s="1"/>
  <c r="I349" i="3" a="1"/>
  <c r="I349" i="3" s="1"/>
  <c r="C351" i="3"/>
  <c r="G350" i="3" a="1"/>
  <c r="G350" i="3" s="1"/>
  <c r="M350" i="3"/>
  <c r="L350" i="3"/>
  <c r="B349" i="3" a="1"/>
  <c r="B349" i="3" s="1"/>
  <c r="A349" i="3" a="1"/>
  <c r="A349" i="3" s="1"/>
  <c r="D348" i="2"/>
  <c r="H349" i="2" a="1"/>
  <c r="H349" i="2" s="1"/>
  <c r="I349" i="2" a="1"/>
  <c r="I349" i="2" s="1"/>
  <c r="J349" i="2" a="1"/>
  <c r="J349" i="2" s="1"/>
  <c r="K349" i="2" a="1"/>
  <c r="K349" i="2" s="1"/>
  <c r="A350" i="2" a="1"/>
  <c r="A350" i="2" s="1"/>
  <c r="B350" i="2" a="1"/>
  <c r="B350" i="2" s="1"/>
  <c r="C352" i="2"/>
  <c r="F351" i="2"/>
  <c r="D349" i="2" a="1"/>
  <c r="H350" i="3" l="1" a="1"/>
  <c r="H350" i="3" s="1"/>
  <c r="I350" i="3" a="1"/>
  <c r="I350" i="3" s="1"/>
  <c r="K350" i="3" a="1"/>
  <c r="K350" i="3" s="1"/>
  <c r="C352" i="3"/>
  <c r="L351" i="3"/>
  <c r="M351" i="3"/>
  <c r="J350" i="3" a="1"/>
  <c r="J350" i="3" s="1"/>
  <c r="F351" i="3"/>
  <c r="F352" i="3" s="1"/>
  <c r="A350" i="3" a="1"/>
  <c r="A350" i="3" s="1"/>
  <c r="B350" i="3" a="1"/>
  <c r="B350" i="3" s="1"/>
  <c r="D349" i="2"/>
  <c r="H350" i="2" a="1"/>
  <c r="H350" i="2" s="1"/>
  <c r="K350" i="2" a="1"/>
  <c r="K350" i="2" s="1"/>
  <c r="J350" i="2" a="1"/>
  <c r="J350" i="2" s="1"/>
  <c r="I350" i="2" a="1"/>
  <c r="I350" i="2" s="1"/>
  <c r="C353" i="2"/>
  <c r="F352" i="2"/>
  <c r="B351" i="2" a="1"/>
  <c r="B351" i="2" s="1"/>
  <c r="A351" i="2" a="1"/>
  <c r="A351" i="2" s="1"/>
  <c r="D350" i="2" a="1"/>
  <c r="C353" i="3" l="1"/>
  <c r="G352" i="3" a="1"/>
  <c r="G352" i="3" s="1"/>
  <c r="L352" i="3"/>
  <c r="M352" i="3"/>
  <c r="J352" i="3" a="1"/>
  <c r="J352" i="3" s="1"/>
  <c r="F353" i="3"/>
  <c r="G351" i="3" a="1"/>
  <c r="G351" i="3" s="1"/>
  <c r="B351" i="3" a="1"/>
  <c r="B351" i="3" s="1"/>
  <c r="A351" i="3" a="1"/>
  <c r="A351" i="3" s="1"/>
  <c r="D350" i="2"/>
  <c r="K351" i="2" a="1"/>
  <c r="K351" i="2" s="1"/>
  <c r="J351" i="2" a="1"/>
  <c r="J351" i="2" s="1"/>
  <c r="H351" i="2" a="1"/>
  <c r="H351" i="2" s="1"/>
  <c r="I351" i="2" a="1"/>
  <c r="I351" i="2" s="1"/>
  <c r="C354" i="2"/>
  <c r="F353" i="2"/>
  <c r="A352" i="2" a="1"/>
  <c r="A352" i="2" s="1"/>
  <c r="B352" i="2" a="1"/>
  <c r="B352" i="2" s="1"/>
  <c r="D351" i="2" a="1"/>
  <c r="H351" i="3" l="1" a="1"/>
  <c r="H351" i="3" s="1"/>
  <c r="I351" i="3" a="1"/>
  <c r="I351" i="3" s="1"/>
  <c r="K351" i="3" a="1"/>
  <c r="K351" i="3" s="1"/>
  <c r="J351" i="3" a="1"/>
  <c r="J351" i="3" s="1"/>
  <c r="K352" i="3" a="1"/>
  <c r="K352" i="3" s="1"/>
  <c r="H352" i="3" a="1"/>
  <c r="H352" i="3" s="1"/>
  <c r="I352" i="3" a="1"/>
  <c r="I352" i="3" s="1"/>
  <c r="C354" i="3"/>
  <c r="G353" i="3" a="1"/>
  <c r="G353" i="3" s="1"/>
  <c r="L353" i="3"/>
  <c r="M353" i="3"/>
  <c r="A352" i="3" a="1"/>
  <c r="A352" i="3" s="1"/>
  <c r="B352" i="3" a="1"/>
  <c r="B352" i="3" s="1"/>
  <c r="D351" i="2"/>
  <c r="C355" i="2"/>
  <c r="F354" i="2"/>
  <c r="J352" i="2" a="1"/>
  <c r="J352" i="2" s="1"/>
  <c r="I352" i="2" a="1"/>
  <c r="I352" i="2" s="1"/>
  <c r="H352" i="2" a="1"/>
  <c r="H352" i="2" s="1"/>
  <c r="K352" i="2" a="1"/>
  <c r="K352" i="2" s="1"/>
  <c r="B353" i="2" a="1"/>
  <c r="B353" i="2" s="1"/>
  <c r="A353" i="2" a="1"/>
  <c r="A353" i="2" s="1"/>
  <c r="D352" i="2" a="1"/>
  <c r="C355" i="3" l="1"/>
  <c r="L354" i="3"/>
  <c r="M354" i="3"/>
  <c r="H353" i="3" a="1"/>
  <c r="H353" i="3" s="1"/>
  <c r="I353" i="3" a="1"/>
  <c r="I353" i="3" s="1"/>
  <c r="K353" i="3" a="1"/>
  <c r="K353" i="3" s="1"/>
  <c r="J353" i="3" a="1"/>
  <c r="J353" i="3" s="1"/>
  <c r="F354" i="3"/>
  <c r="F355" i="3" s="1"/>
  <c r="A353" i="3" a="1"/>
  <c r="A353" i="3" s="1"/>
  <c r="B353" i="3" a="1"/>
  <c r="B353" i="3" s="1"/>
  <c r="D352" i="2"/>
  <c r="B354" i="2" a="1"/>
  <c r="B354" i="2" s="1"/>
  <c r="A354" i="2" a="1"/>
  <c r="A354" i="2" s="1"/>
  <c r="H353" i="2" a="1"/>
  <c r="H353" i="2" s="1"/>
  <c r="I353" i="2" a="1"/>
  <c r="I353" i="2" s="1"/>
  <c r="K353" i="2" a="1"/>
  <c r="K353" i="2" s="1"/>
  <c r="J353" i="2" a="1"/>
  <c r="J353" i="2" s="1"/>
  <c r="C356" i="2"/>
  <c r="F355" i="2"/>
  <c r="D353" i="2" a="1"/>
  <c r="G354" i="3" l="1" a="1"/>
  <c r="G354" i="3" s="1"/>
  <c r="C356" i="3"/>
  <c r="G355" i="3" a="1"/>
  <c r="G355" i="3" s="1"/>
  <c r="L355" i="3"/>
  <c r="M355" i="3"/>
  <c r="J355" i="3" a="1"/>
  <c r="J355" i="3" s="1"/>
  <c r="A354" i="3" a="1"/>
  <c r="A354" i="3" s="1"/>
  <c r="B354" i="3" a="1"/>
  <c r="B354" i="3" s="1"/>
  <c r="D353" i="2"/>
  <c r="C357" i="2"/>
  <c r="F356" i="2"/>
  <c r="K354" i="2" a="1"/>
  <c r="K354" i="2" s="1"/>
  <c r="I354" i="2" a="1"/>
  <c r="I354" i="2" s="1"/>
  <c r="J354" i="2" a="1"/>
  <c r="J354" i="2" s="1"/>
  <c r="H354" i="2" a="1"/>
  <c r="H354" i="2" s="1"/>
  <c r="B355" i="2" a="1"/>
  <c r="B355" i="2" s="1"/>
  <c r="A355" i="2" a="1"/>
  <c r="A355" i="2" s="1"/>
  <c r="D354" i="2" a="1"/>
  <c r="C357" i="3" l="1"/>
  <c r="L356" i="3"/>
  <c r="M356" i="3"/>
  <c r="H355" i="3" a="1"/>
  <c r="H355" i="3" s="1"/>
  <c r="I355" i="3" a="1"/>
  <c r="I355" i="3" s="1"/>
  <c r="K355" i="3" a="1"/>
  <c r="K355" i="3" s="1"/>
  <c r="F356" i="3"/>
  <c r="F357" i="3" s="1"/>
  <c r="I354" i="3" a="1"/>
  <c r="I354" i="3" s="1"/>
  <c r="H354" i="3" a="1"/>
  <c r="H354" i="3" s="1"/>
  <c r="K354" i="3" a="1"/>
  <c r="K354" i="3" s="1"/>
  <c r="J354" i="3" a="1"/>
  <c r="J354" i="3" s="1"/>
  <c r="A355" i="3" a="1"/>
  <c r="A355" i="3" s="1"/>
  <c r="B355" i="3" a="1"/>
  <c r="B355" i="3" s="1"/>
  <c r="D354" i="2"/>
  <c r="H355" i="2" a="1"/>
  <c r="H355" i="2" s="1"/>
  <c r="J355" i="2" a="1"/>
  <c r="J355" i="2" s="1"/>
  <c r="I355" i="2" a="1"/>
  <c r="I355" i="2" s="1"/>
  <c r="K355" i="2" a="1"/>
  <c r="K355" i="2" s="1"/>
  <c r="A356" i="2" a="1"/>
  <c r="A356" i="2" s="1"/>
  <c r="B356" i="2" a="1"/>
  <c r="B356" i="2" s="1"/>
  <c r="C358" i="2"/>
  <c r="F357" i="2"/>
  <c r="D355" i="2" a="1"/>
  <c r="G356" i="3" l="1" a="1"/>
  <c r="G356" i="3" s="1"/>
  <c r="C358" i="3"/>
  <c r="G357" i="3" a="1"/>
  <c r="G357" i="3" s="1"/>
  <c r="J357" i="3" a="1"/>
  <c r="J357" i="3" s="1"/>
  <c r="L357" i="3"/>
  <c r="M357" i="3"/>
  <c r="B356" i="3" a="1"/>
  <c r="B356" i="3" s="1"/>
  <c r="A356" i="3" a="1"/>
  <c r="A356" i="3" s="1"/>
  <c r="D355" i="2"/>
  <c r="C359" i="2"/>
  <c r="F358" i="2"/>
  <c r="B357" i="2" a="1"/>
  <c r="B357" i="2" s="1"/>
  <c r="A357" i="2" a="1"/>
  <c r="A357" i="2" s="1"/>
  <c r="J356" i="2" a="1"/>
  <c r="J356" i="2" s="1"/>
  <c r="K356" i="2" a="1"/>
  <c r="K356" i="2" s="1"/>
  <c r="I356" i="2" a="1"/>
  <c r="I356" i="2" s="1"/>
  <c r="H356" i="2" a="1"/>
  <c r="H356" i="2" s="1"/>
  <c r="D356" i="2" a="1"/>
  <c r="I356" i="3" l="1" a="1"/>
  <c r="I356" i="3" s="1"/>
  <c r="K356" i="3" a="1"/>
  <c r="K356" i="3" s="1"/>
  <c r="H356" i="3" a="1"/>
  <c r="H356" i="3" s="1"/>
  <c r="J356" i="3" a="1"/>
  <c r="J356" i="3" s="1"/>
  <c r="H357" i="3" a="1"/>
  <c r="H357" i="3" s="1"/>
  <c r="I357" i="3" a="1"/>
  <c r="I357" i="3" s="1"/>
  <c r="K357" i="3" a="1"/>
  <c r="K357" i="3" s="1"/>
  <c r="C359" i="3"/>
  <c r="G358" i="3" a="1"/>
  <c r="G358" i="3" s="1"/>
  <c r="L358" i="3"/>
  <c r="M358" i="3"/>
  <c r="J358" i="3" a="1"/>
  <c r="J358" i="3" s="1"/>
  <c r="F358" i="3"/>
  <c r="A357" i="3" a="1"/>
  <c r="A357" i="3" s="1"/>
  <c r="B357" i="3" a="1"/>
  <c r="B357" i="3" s="1"/>
  <c r="D356" i="2"/>
  <c r="J357" i="2" a="1"/>
  <c r="J357" i="2" s="1"/>
  <c r="K357" i="2" a="1"/>
  <c r="K357" i="2" s="1"/>
  <c r="H357" i="2" a="1"/>
  <c r="H357" i="2" s="1"/>
  <c r="I357" i="2" a="1"/>
  <c r="I357" i="2" s="1"/>
  <c r="B358" i="2" a="1"/>
  <c r="B358" i="2" s="1"/>
  <c r="A358" i="2" a="1"/>
  <c r="A358" i="2" s="1"/>
  <c r="C360" i="2"/>
  <c r="F359" i="2"/>
  <c r="D357" i="2" a="1"/>
  <c r="C360" i="3" l="1"/>
  <c r="M359" i="3"/>
  <c r="L359" i="3"/>
  <c r="H358" i="3" a="1"/>
  <c r="H358" i="3" s="1"/>
  <c r="I358" i="3" a="1"/>
  <c r="I358" i="3" s="1"/>
  <c r="K358" i="3" a="1"/>
  <c r="K358" i="3" s="1"/>
  <c r="F359" i="3"/>
  <c r="F360" i="3" s="1"/>
  <c r="A358" i="3" a="1"/>
  <c r="A358" i="3" s="1"/>
  <c r="B358" i="3" a="1"/>
  <c r="B358" i="3" s="1"/>
  <c r="D357" i="2"/>
  <c r="C361" i="2"/>
  <c r="F360" i="2"/>
  <c r="A359" i="2" a="1"/>
  <c r="A359" i="2" s="1"/>
  <c r="B359" i="2" a="1"/>
  <c r="B359" i="2" s="1"/>
  <c r="H358" i="2" a="1"/>
  <c r="H358" i="2" s="1"/>
  <c r="I358" i="2" a="1"/>
  <c r="I358" i="2" s="1"/>
  <c r="J358" i="2" a="1"/>
  <c r="J358" i="2" s="1"/>
  <c r="K358" i="2" a="1"/>
  <c r="K358" i="2" s="1"/>
  <c r="D358" i="2" a="1"/>
  <c r="G359" i="3" l="1" a="1"/>
  <c r="G359" i="3" s="1"/>
  <c r="C361" i="3"/>
  <c r="L360" i="3"/>
  <c r="M360" i="3"/>
  <c r="G360" i="3" a="1"/>
  <c r="G360" i="3" s="1"/>
  <c r="J360" i="3" a="1"/>
  <c r="J360" i="3" s="1"/>
  <c r="A359" i="3" a="1"/>
  <c r="A359" i="3" s="1"/>
  <c r="B359" i="3" a="1"/>
  <c r="B359" i="3" s="1"/>
  <c r="D358" i="2"/>
  <c r="A360" i="2" a="1"/>
  <c r="A360" i="2" s="1"/>
  <c r="B360" i="2" a="1"/>
  <c r="B360" i="2" s="1"/>
  <c r="K359" i="2" a="1"/>
  <c r="K359" i="2" s="1"/>
  <c r="J359" i="2" a="1"/>
  <c r="J359" i="2" s="1"/>
  <c r="I359" i="2" a="1"/>
  <c r="I359" i="2" s="1"/>
  <c r="H359" i="2" a="1"/>
  <c r="H359" i="2" s="1"/>
  <c r="C362" i="2"/>
  <c r="F361" i="2"/>
  <c r="D359" i="2" a="1"/>
  <c r="K360" i="3" l="1" a="1"/>
  <c r="K360" i="3" s="1"/>
  <c r="I360" i="3" a="1"/>
  <c r="I360" i="3" s="1"/>
  <c r="H360" i="3" a="1"/>
  <c r="H360" i="3" s="1"/>
  <c r="H359" i="3" a="1"/>
  <c r="H359" i="3" s="1"/>
  <c r="K359" i="3" a="1"/>
  <c r="K359" i="3" s="1"/>
  <c r="I359" i="3" a="1"/>
  <c r="I359" i="3" s="1"/>
  <c r="J359" i="3" a="1"/>
  <c r="J359" i="3" s="1"/>
  <c r="C362" i="3"/>
  <c r="G361" i="3" a="1"/>
  <c r="G361" i="3" s="1"/>
  <c r="L361" i="3"/>
  <c r="M361" i="3"/>
  <c r="F361" i="3"/>
  <c r="A360" i="3" a="1"/>
  <c r="A360" i="3" s="1"/>
  <c r="B360" i="3" a="1"/>
  <c r="B360" i="3" s="1"/>
  <c r="D359" i="2"/>
  <c r="C363" i="2"/>
  <c r="F362" i="2"/>
  <c r="I360" i="2" a="1"/>
  <c r="I360" i="2" s="1"/>
  <c r="K360" i="2" a="1"/>
  <c r="K360" i="2" s="1"/>
  <c r="J360" i="2" a="1"/>
  <c r="J360" i="2" s="1"/>
  <c r="H360" i="2" a="1"/>
  <c r="H360" i="2" s="1"/>
  <c r="B361" i="2" a="1"/>
  <c r="B361" i="2" s="1"/>
  <c r="A361" i="2" a="1"/>
  <c r="A361" i="2" s="1"/>
  <c r="D360" i="2" a="1"/>
  <c r="H361" i="3" l="1" a="1"/>
  <c r="H361" i="3" s="1"/>
  <c r="I361" i="3" a="1"/>
  <c r="I361" i="3" s="1"/>
  <c r="K361" i="3" a="1"/>
  <c r="K361" i="3" s="1"/>
  <c r="J361" i="3" a="1"/>
  <c r="J361" i="3" s="1"/>
  <c r="C363" i="3"/>
  <c r="L362" i="3"/>
  <c r="M362" i="3"/>
  <c r="F362" i="3"/>
  <c r="F363" i="3" s="1"/>
  <c r="B361" i="3" a="1"/>
  <c r="B361" i="3" s="1"/>
  <c r="A361" i="3" a="1"/>
  <c r="A361" i="3" s="1"/>
  <c r="D360" i="2"/>
  <c r="J361" i="2" a="1"/>
  <c r="J361" i="2" s="1"/>
  <c r="K361" i="2" a="1"/>
  <c r="K361" i="2" s="1"/>
  <c r="I361" i="2" a="1"/>
  <c r="I361" i="2" s="1"/>
  <c r="H361" i="2" a="1"/>
  <c r="H361" i="2" s="1"/>
  <c r="B362" i="2" a="1"/>
  <c r="B362" i="2" s="1"/>
  <c r="A362" i="2" a="1"/>
  <c r="A362" i="2" s="1"/>
  <c r="C364" i="2"/>
  <c r="F363" i="2"/>
  <c r="D361" i="2" a="1"/>
  <c r="G362" i="3" l="1" a="1"/>
  <c r="G362" i="3" s="1"/>
  <c r="C364" i="3"/>
  <c r="G363" i="3" a="1"/>
  <c r="G363" i="3" s="1"/>
  <c r="L363" i="3"/>
  <c r="M363" i="3"/>
  <c r="J363" i="3" a="1"/>
  <c r="J363" i="3" s="1"/>
  <c r="A362" i="3" a="1"/>
  <c r="A362" i="3" s="1"/>
  <c r="B362" i="3" a="1"/>
  <c r="B362" i="3" s="1"/>
  <c r="D361" i="2"/>
  <c r="I362" i="2" a="1"/>
  <c r="I362" i="2" s="1"/>
  <c r="J362" i="2" a="1"/>
  <c r="J362" i="2" s="1"/>
  <c r="H362" i="2" a="1"/>
  <c r="H362" i="2" s="1"/>
  <c r="K362" i="2" a="1"/>
  <c r="K362" i="2" s="1"/>
  <c r="C365" i="2"/>
  <c r="F364" i="2"/>
  <c r="A363" i="2" a="1"/>
  <c r="A363" i="2" s="1"/>
  <c r="B363" i="2" a="1"/>
  <c r="B363" i="2" s="1"/>
  <c r="D362" i="2" a="1"/>
  <c r="C365" i="3" l="1"/>
  <c r="G364" i="3" a="1"/>
  <c r="G364" i="3" s="1"/>
  <c r="L364" i="3"/>
  <c r="M364" i="3"/>
  <c r="J364" i="3" a="1"/>
  <c r="J364" i="3" s="1"/>
  <c r="H362" i="3" a="1"/>
  <c r="H362" i="3" s="1"/>
  <c r="K362" i="3" a="1"/>
  <c r="K362" i="3" s="1"/>
  <c r="I362" i="3" a="1"/>
  <c r="I362" i="3" s="1"/>
  <c r="J362" i="3" a="1"/>
  <c r="J362" i="3" s="1"/>
  <c r="H363" i="3" a="1"/>
  <c r="H363" i="3" s="1"/>
  <c r="K363" i="3" a="1"/>
  <c r="K363" i="3" s="1"/>
  <c r="I363" i="3" a="1"/>
  <c r="I363" i="3" s="1"/>
  <c r="F364" i="3"/>
  <c r="F365" i="3" s="1"/>
  <c r="A363" i="3" a="1"/>
  <c r="A363" i="3" s="1"/>
  <c r="B363" i="3" a="1"/>
  <c r="B363" i="3" s="1"/>
  <c r="D362" i="2"/>
  <c r="I363" i="2" a="1"/>
  <c r="I363" i="2" s="1"/>
  <c r="J363" i="2" a="1"/>
  <c r="J363" i="2" s="1"/>
  <c r="H363" i="2" a="1"/>
  <c r="H363" i="2" s="1"/>
  <c r="K363" i="2" a="1"/>
  <c r="K363" i="2" s="1"/>
  <c r="A364" i="2" a="1"/>
  <c r="A364" i="2" s="1"/>
  <c r="B364" i="2" a="1"/>
  <c r="B364" i="2" s="1"/>
  <c r="C366" i="2"/>
  <c r="F365" i="2"/>
  <c r="D363" i="2" a="1"/>
  <c r="I364" i="3" l="1" a="1"/>
  <c r="I364" i="3" s="1"/>
  <c r="K364" i="3" a="1"/>
  <c r="K364" i="3" s="1"/>
  <c r="H364" i="3" a="1"/>
  <c r="H364" i="3" s="1"/>
  <c r="C366" i="3"/>
  <c r="F366" i="3" s="1"/>
  <c r="G365" i="3" a="1"/>
  <c r="G365" i="3" s="1"/>
  <c r="L365" i="3"/>
  <c r="M365" i="3"/>
  <c r="A364" i="3" a="1"/>
  <c r="A364" i="3" s="1"/>
  <c r="B364" i="3" a="1"/>
  <c r="B364" i="3" s="1"/>
  <c r="D363" i="2"/>
  <c r="I364" i="2" a="1"/>
  <c r="I364" i="2" s="1"/>
  <c r="J364" i="2" a="1"/>
  <c r="J364" i="2" s="1"/>
  <c r="K364" i="2" a="1"/>
  <c r="K364" i="2" s="1"/>
  <c r="H364" i="2" a="1"/>
  <c r="H364" i="2" s="1"/>
  <c r="C367" i="2"/>
  <c r="F366" i="2"/>
  <c r="B365" i="2" a="1"/>
  <c r="B365" i="2" s="1"/>
  <c r="A365" i="2" a="1"/>
  <c r="A365" i="2" s="1"/>
  <c r="D364" i="2" a="1"/>
  <c r="I365" i="3" l="1" a="1"/>
  <c r="I365" i="3" s="1"/>
  <c r="K365" i="3" a="1"/>
  <c r="K365" i="3" s="1"/>
  <c r="H365" i="3" a="1"/>
  <c r="H365" i="3" s="1"/>
  <c r="J365" i="3" a="1"/>
  <c r="J365" i="3" s="1"/>
  <c r="C367" i="3"/>
  <c r="G366" i="3" a="1"/>
  <c r="G366" i="3" s="1"/>
  <c r="L366" i="3"/>
  <c r="M366" i="3"/>
  <c r="A365" i="3" a="1"/>
  <c r="A365" i="3" s="1"/>
  <c r="B365" i="3" a="1"/>
  <c r="B365" i="3" s="1"/>
  <c r="D364" i="2"/>
  <c r="B366" i="2" a="1"/>
  <c r="B366" i="2" s="1"/>
  <c r="A366" i="2" a="1"/>
  <c r="A366" i="2" s="1"/>
  <c r="H365" i="2" a="1"/>
  <c r="H365" i="2" s="1"/>
  <c r="J365" i="2" a="1"/>
  <c r="J365" i="2" s="1"/>
  <c r="K365" i="2" a="1"/>
  <c r="K365" i="2" s="1"/>
  <c r="I365" i="2" a="1"/>
  <c r="I365" i="2" s="1"/>
  <c r="C368" i="2"/>
  <c r="F367" i="2"/>
  <c r="D365" i="2" a="1"/>
  <c r="K366" i="3" l="1" a="1"/>
  <c r="K366" i="3" s="1"/>
  <c r="H366" i="3" a="1"/>
  <c r="H366" i="3" s="1"/>
  <c r="I366" i="3" a="1"/>
  <c r="I366" i="3" s="1"/>
  <c r="C368" i="3"/>
  <c r="L367" i="3"/>
  <c r="M367" i="3"/>
  <c r="J366" i="3" a="1"/>
  <c r="J366" i="3" s="1"/>
  <c r="F367" i="3"/>
  <c r="F368" i="3" s="1"/>
  <c r="A366" i="3" a="1"/>
  <c r="A366" i="3" s="1"/>
  <c r="B366" i="3" a="1"/>
  <c r="B366" i="3" s="1"/>
  <c r="D365" i="2"/>
  <c r="J366" i="2" a="1"/>
  <c r="J366" i="2" s="1"/>
  <c r="H366" i="2" a="1"/>
  <c r="H366" i="2" s="1"/>
  <c r="I366" i="2" a="1"/>
  <c r="I366" i="2" s="1"/>
  <c r="K366" i="2" a="1"/>
  <c r="K366" i="2" s="1"/>
  <c r="C369" i="2"/>
  <c r="F368" i="2"/>
  <c r="B367" i="2" a="1"/>
  <c r="B367" i="2" s="1"/>
  <c r="A367" i="2" a="1"/>
  <c r="A367" i="2" s="1"/>
  <c r="D366" i="2" a="1"/>
  <c r="C369" i="3" l="1"/>
  <c r="G368" i="3" a="1"/>
  <c r="G368" i="3" s="1"/>
  <c r="L368" i="3"/>
  <c r="M368" i="3"/>
  <c r="G367" i="3" a="1"/>
  <c r="G367" i="3" s="1"/>
  <c r="A367" i="3" a="1"/>
  <c r="A367" i="3" s="1"/>
  <c r="B367" i="3" a="1"/>
  <c r="B367" i="3" s="1"/>
  <c r="D366" i="2"/>
  <c r="K367" i="2" a="1"/>
  <c r="K367" i="2" s="1"/>
  <c r="I367" i="2" a="1"/>
  <c r="I367" i="2" s="1"/>
  <c r="J367" i="2" a="1"/>
  <c r="J367" i="2" s="1"/>
  <c r="H367" i="2" a="1"/>
  <c r="H367" i="2" s="1"/>
  <c r="A368" i="2" a="1"/>
  <c r="A368" i="2" s="1"/>
  <c r="B368" i="2" a="1"/>
  <c r="B368" i="2" s="1"/>
  <c r="C370" i="2"/>
  <c r="F369" i="2"/>
  <c r="D367" i="2" a="1"/>
  <c r="I368" i="3" l="1" a="1"/>
  <c r="I368" i="3" s="1"/>
  <c r="K368" i="3" a="1"/>
  <c r="K368" i="3" s="1"/>
  <c r="H368" i="3" a="1"/>
  <c r="H368" i="3" s="1"/>
  <c r="C370" i="3"/>
  <c r="G369" i="3" a="1"/>
  <c r="G369" i="3" s="1"/>
  <c r="L369" i="3"/>
  <c r="M369" i="3"/>
  <c r="K367" i="3" a="1"/>
  <c r="K367" i="3" s="1"/>
  <c r="H367" i="3" a="1"/>
  <c r="H367" i="3" s="1"/>
  <c r="I367" i="3" a="1"/>
  <c r="I367" i="3" s="1"/>
  <c r="J367" i="3" a="1"/>
  <c r="J367" i="3" s="1"/>
  <c r="J368" i="3" a="1"/>
  <c r="J368" i="3" s="1"/>
  <c r="F369" i="3"/>
  <c r="B368" i="3" a="1"/>
  <c r="B368" i="3" s="1"/>
  <c r="A368" i="3" a="1"/>
  <c r="A368" i="3" s="1"/>
  <c r="D367" i="2"/>
  <c r="C371" i="2"/>
  <c r="F370" i="2"/>
  <c r="A369" i="2" a="1"/>
  <c r="A369" i="2" s="1"/>
  <c r="B369" i="2" a="1"/>
  <c r="B369" i="2" s="1"/>
  <c r="J368" i="2" a="1"/>
  <c r="J368" i="2" s="1"/>
  <c r="H368" i="2" a="1"/>
  <c r="H368" i="2" s="1"/>
  <c r="K368" i="2" a="1"/>
  <c r="K368" i="2" s="1"/>
  <c r="I368" i="2" a="1"/>
  <c r="I368" i="2" s="1"/>
  <c r="D368" i="2" a="1"/>
  <c r="H369" i="3" l="1" a="1"/>
  <c r="H369" i="3" s="1"/>
  <c r="K369" i="3" a="1"/>
  <c r="K369" i="3" s="1"/>
  <c r="I369" i="3" a="1"/>
  <c r="I369" i="3" s="1"/>
  <c r="C371" i="3"/>
  <c r="L370" i="3"/>
  <c r="M370" i="3"/>
  <c r="J369" i="3" a="1"/>
  <c r="J369" i="3" s="1"/>
  <c r="F370" i="3"/>
  <c r="F371" i="3" s="1"/>
  <c r="A369" i="3" a="1"/>
  <c r="A369" i="3" s="1"/>
  <c r="B369" i="3" a="1"/>
  <c r="B369" i="3" s="1"/>
  <c r="D368" i="2"/>
  <c r="H369" i="2" a="1"/>
  <c r="H369" i="2" s="1"/>
  <c r="K369" i="2" a="1"/>
  <c r="K369" i="2" s="1"/>
  <c r="I369" i="2" a="1"/>
  <c r="I369" i="2" s="1"/>
  <c r="J369" i="2" a="1"/>
  <c r="J369" i="2" s="1"/>
  <c r="A370" i="2" a="1"/>
  <c r="A370" i="2" s="1"/>
  <c r="B370" i="2" a="1"/>
  <c r="B370" i="2" s="1"/>
  <c r="C372" i="2"/>
  <c r="F371" i="2"/>
  <c r="D369" i="2" a="1"/>
  <c r="C372" i="3" l="1"/>
  <c r="G371" i="3" a="1"/>
  <c r="G371" i="3" s="1"/>
  <c r="L371" i="3"/>
  <c r="M371" i="3"/>
  <c r="G370" i="3" a="1"/>
  <c r="G370" i="3" s="1"/>
  <c r="A370" i="3" a="1"/>
  <c r="A370" i="3" s="1"/>
  <c r="B370" i="3" a="1"/>
  <c r="B370" i="3" s="1"/>
  <c r="D369" i="2"/>
  <c r="K370" i="2" a="1"/>
  <c r="K370" i="2" s="1"/>
  <c r="H370" i="2" a="1"/>
  <c r="H370" i="2" s="1"/>
  <c r="J370" i="2" a="1"/>
  <c r="J370" i="2" s="1"/>
  <c r="I370" i="2" a="1"/>
  <c r="I370" i="2" s="1"/>
  <c r="B371" i="2" a="1"/>
  <c r="B371" i="2" s="1"/>
  <c r="A371" i="2" a="1"/>
  <c r="A371" i="2" s="1"/>
  <c r="C373" i="2"/>
  <c r="F372" i="2"/>
  <c r="D370" i="2" a="1"/>
  <c r="H371" i="3" l="1" a="1"/>
  <c r="H371" i="3" s="1"/>
  <c r="I371" i="3" a="1"/>
  <c r="I371" i="3" s="1"/>
  <c r="K371" i="3" a="1"/>
  <c r="K371" i="3" s="1"/>
  <c r="J371" i="3" a="1"/>
  <c r="J371" i="3" s="1"/>
  <c r="C373" i="3"/>
  <c r="G372" i="3" a="1"/>
  <c r="G372" i="3" s="1"/>
  <c r="L372" i="3"/>
  <c r="M372" i="3"/>
  <c r="J372" i="3" a="1"/>
  <c r="J372" i="3" s="1"/>
  <c r="I370" i="3" a="1"/>
  <c r="I370" i="3" s="1"/>
  <c r="K370" i="3" a="1"/>
  <c r="K370" i="3" s="1"/>
  <c r="H370" i="3" a="1"/>
  <c r="H370" i="3" s="1"/>
  <c r="J370" i="3" a="1"/>
  <c r="J370" i="3" s="1"/>
  <c r="F372" i="3"/>
  <c r="A371" i="3" a="1"/>
  <c r="A371" i="3" s="1"/>
  <c r="B371" i="3" a="1"/>
  <c r="B371" i="3" s="1"/>
  <c r="D370" i="2"/>
  <c r="H371" i="2" a="1"/>
  <c r="H371" i="2" s="1"/>
  <c r="J371" i="2" a="1"/>
  <c r="J371" i="2" s="1"/>
  <c r="I371" i="2" a="1"/>
  <c r="I371" i="2" s="1"/>
  <c r="K371" i="2" a="1"/>
  <c r="K371" i="2" s="1"/>
  <c r="B372" i="2" a="1"/>
  <c r="B372" i="2" s="1"/>
  <c r="A372" i="2" a="1"/>
  <c r="A372" i="2" s="1"/>
  <c r="C374" i="2"/>
  <c r="F373" i="2"/>
  <c r="D371" i="2" a="1"/>
  <c r="H372" i="3" l="1" a="1"/>
  <c r="H372" i="3" s="1"/>
  <c r="I372" i="3" a="1"/>
  <c r="I372" i="3" s="1"/>
  <c r="K372" i="3" a="1"/>
  <c r="K372" i="3" s="1"/>
  <c r="F373" i="3"/>
  <c r="C374" i="3"/>
  <c r="G373" i="3" a="1"/>
  <c r="G373" i="3" s="1"/>
  <c r="J373" i="3" s="1" a="1"/>
  <c r="J373" i="3" s="1"/>
  <c r="L373" i="3"/>
  <c r="M373" i="3"/>
  <c r="A372" i="3" a="1"/>
  <c r="A372" i="3" s="1"/>
  <c r="B372" i="3" a="1"/>
  <c r="B372" i="3" s="1"/>
  <c r="D371" i="2"/>
  <c r="B373" i="2" a="1"/>
  <c r="B373" i="2" s="1"/>
  <c r="A373" i="2" a="1"/>
  <c r="A373" i="2" s="1"/>
  <c r="I372" i="2" a="1"/>
  <c r="I372" i="2" s="1"/>
  <c r="H372" i="2" a="1"/>
  <c r="H372" i="2" s="1"/>
  <c r="K372" i="2" a="1"/>
  <c r="K372" i="2" s="1"/>
  <c r="J372" i="2" a="1"/>
  <c r="J372" i="2" s="1"/>
  <c r="C375" i="2"/>
  <c r="F374" i="2"/>
  <c r="D372" i="2" a="1"/>
  <c r="F374" i="3" l="1"/>
  <c r="C375" i="3"/>
  <c r="G374" i="3" a="1"/>
  <c r="G374" i="3" s="1"/>
  <c r="L374" i="3"/>
  <c r="M374" i="3"/>
  <c r="J374" i="3" a="1"/>
  <c r="J374" i="3" s="1"/>
  <c r="H373" i="3" a="1"/>
  <c r="H373" i="3" s="1"/>
  <c r="I373" i="3" a="1"/>
  <c r="I373" i="3" s="1"/>
  <c r="K373" i="3" a="1"/>
  <c r="K373" i="3" s="1"/>
  <c r="B373" i="3" a="1"/>
  <c r="B373" i="3" s="1"/>
  <c r="A373" i="3" a="1"/>
  <c r="A373" i="3" s="1"/>
  <c r="D372" i="2"/>
  <c r="C376" i="2"/>
  <c r="F375" i="2"/>
  <c r="A374" i="2" a="1"/>
  <c r="A374" i="2" s="1"/>
  <c r="B374" i="2" a="1"/>
  <c r="B374" i="2" s="1"/>
  <c r="H373" i="2" a="1"/>
  <c r="H373" i="2" s="1"/>
  <c r="I373" i="2" a="1"/>
  <c r="I373" i="2" s="1"/>
  <c r="J373" i="2" a="1"/>
  <c r="J373" i="2" s="1"/>
  <c r="K373" i="2" a="1"/>
  <c r="K373" i="2" s="1"/>
  <c r="D373" i="2" a="1"/>
  <c r="C376" i="3" l="1"/>
  <c r="L375" i="3"/>
  <c r="M375" i="3"/>
  <c r="I374" i="3" a="1"/>
  <c r="I374" i="3" s="1"/>
  <c r="H374" i="3" a="1"/>
  <c r="H374" i="3" s="1"/>
  <c r="K374" i="3" a="1"/>
  <c r="K374" i="3" s="1"/>
  <c r="F375" i="3"/>
  <c r="F376" i="3" s="1"/>
  <c r="A374" i="3" a="1"/>
  <c r="A374" i="3" s="1"/>
  <c r="B374" i="3" a="1"/>
  <c r="B374" i="3" s="1"/>
  <c r="D373" i="2"/>
  <c r="A375" i="2" a="1"/>
  <c r="A375" i="2" s="1"/>
  <c r="B375" i="2" a="1"/>
  <c r="B375" i="2" s="1"/>
  <c r="H374" i="2" a="1"/>
  <c r="H374" i="2" s="1"/>
  <c r="I374" i="2" a="1"/>
  <c r="I374" i="2" s="1"/>
  <c r="J374" i="2" a="1"/>
  <c r="J374" i="2" s="1"/>
  <c r="K374" i="2" a="1"/>
  <c r="K374" i="2" s="1"/>
  <c r="C377" i="2"/>
  <c r="F376" i="2"/>
  <c r="D374" i="2" a="1"/>
  <c r="G375" i="3" l="1" a="1"/>
  <c r="G375" i="3" s="1"/>
  <c r="C377" i="3"/>
  <c r="G376" i="3" a="1"/>
  <c r="G376" i="3" s="1"/>
  <c r="L376" i="3"/>
  <c r="M376" i="3"/>
  <c r="J376" i="3" a="1"/>
  <c r="J376" i="3" s="1"/>
  <c r="A375" i="3" a="1"/>
  <c r="A375" i="3" s="1"/>
  <c r="B375" i="3" a="1"/>
  <c r="B375" i="3" s="1"/>
  <c r="D374" i="2"/>
  <c r="H375" i="2" a="1"/>
  <c r="H375" i="2" s="1"/>
  <c r="J375" i="2" a="1"/>
  <c r="J375" i="2" s="1"/>
  <c r="I375" i="2" a="1"/>
  <c r="I375" i="2" s="1"/>
  <c r="K375" i="2" a="1"/>
  <c r="K375" i="2" s="1"/>
  <c r="A376" i="2" a="1"/>
  <c r="A376" i="2" s="1"/>
  <c r="B376" i="2" a="1"/>
  <c r="B376" i="2" s="1"/>
  <c r="C378" i="2"/>
  <c r="F377" i="2"/>
  <c r="D375" i="2" a="1"/>
  <c r="H375" i="3" l="1" a="1"/>
  <c r="H375" i="3" s="1"/>
  <c r="I375" i="3" a="1"/>
  <c r="I375" i="3" s="1"/>
  <c r="K375" i="3" a="1"/>
  <c r="K375" i="3" s="1"/>
  <c r="J375" i="3" a="1"/>
  <c r="J375" i="3" s="1"/>
  <c r="I376" i="3" a="1"/>
  <c r="I376" i="3" s="1"/>
  <c r="K376" i="3" a="1"/>
  <c r="K376" i="3" s="1"/>
  <c r="H376" i="3" a="1"/>
  <c r="H376" i="3" s="1"/>
  <c r="C378" i="3"/>
  <c r="G377" i="3" a="1"/>
  <c r="G377" i="3" s="1"/>
  <c r="M377" i="3"/>
  <c r="L377" i="3"/>
  <c r="F377" i="3"/>
  <c r="A376" i="3" a="1"/>
  <c r="A376" i="3" s="1"/>
  <c r="B376" i="3" a="1"/>
  <c r="B376" i="3" s="1"/>
  <c r="D375" i="2"/>
  <c r="C379" i="2"/>
  <c r="F378" i="2"/>
  <c r="B377" i="2" a="1"/>
  <c r="B377" i="2" s="1"/>
  <c r="A377" i="2" a="1"/>
  <c r="A377" i="2" s="1"/>
  <c r="H376" i="2" a="1"/>
  <c r="H376" i="2" s="1"/>
  <c r="I376" i="2" a="1"/>
  <c r="I376" i="2" s="1"/>
  <c r="K376" i="2" a="1"/>
  <c r="K376" i="2" s="1"/>
  <c r="J376" i="2" a="1"/>
  <c r="J376" i="2" s="1"/>
  <c r="D376" i="2" a="1"/>
  <c r="I377" i="3" l="1" a="1"/>
  <c r="I377" i="3" s="1"/>
  <c r="K377" i="3" a="1"/>
  <c r="K377" i="3" s="1"/>
  <c r="H377" i="3" a="1"/>
  <c r="H377" i="3" s="1"/>
  <c r="C379" i="3"/>
  <c r="L378" i="3"/>
  <c r="M378" i="3"/>
  <c r="J377" i="3" a="1"/>
  <c r="J377" i="3" s="1"/>
  <c r="F378" i="3"/>
  <c r="F379" i="3" s="1"/>
  <c r="A377" i="3" a="1"/>
  <c r="A377" i="3" s="1"/>
  <c r="B377" i="3" a="1"/>
  <c r="B377" i="3" s="1"/>
  <c r="D376" i="2"/>
  <c r="I377" i="2" a="1"/>
  <c r="I377" i="2" s="1"/>
  <c r="K377" i="2" a="1"/>
  <c r="K377" i="2" s="1"/>
  <c r="J377" i="2" a="1"/>
  <c r="J377" i="2" s="1"/>
  <c r="H377" i="2" a="1"/>
  <c r="H377" i="2" s="1"/>
  <c r="B378" i="2" a="1"/>
  <c r="B378" i="2" s="1"/>
  <c r="A378" i="2" a="1"/>
  <c r="A378" i="2" s="1"/>
  <c r="C380" i="2"/>
  <c r="F379" i="2"/>
  <c r="D377" i="2" a="1"/>
  <c r="G378" i="3" l="1" a="1"/>
  <c r="G378" i="3" s="1"/>
  <c r="C380" i="3"/>
  <c r="G379" i="3" a="1"/>
  <c r="G379" i="3" s="1"/>
  <c r="J379" i="3" s="1" a="1"/>
  <c r="J379" i="3" s="1"/>
  <c r="L379" i="3"/>
  <c r="M379" i="3"/>
  <c r="A378" i="3" a="1"/>
  <c r="A378" i="3" s="1"/>
  <c r="B378" i="3" a="1"/>
  <c r="B378" i="3" s="1"/>
  <c r="D377" i="2"/>
  <c r="J378" i="2" a="1"/>
  <c r="J378" i="2" s="1"/>
  <c r="H378" i="2" a="1"/>
  <c r="H378" i="2" s="1"/>
  <c r="I378" i="2" a="1"/>
  <c r="I378" i="2" s="1"/>
  <c r="K378" i="2" a="1"/>
  <c r="K378" i="2" s="1"/>
  <c r="C381" i="2"/>
  <c r="F380" i="2"/>
  <c r="B379" i="2" a="1"/>
  <c r="B379" i="2" s="1"/>
  <c r="A379" i="2" a="1"/>
  <c r="A379" i="2" s="1"/>
  <c r="D378" i="2" a="1"/>
  <c r="I379" i="3" l="1" a="1"/>
  <c r="I379" i="3" s="1"/>
  <c r="K379" i="3" a="1"/>
  <c r="K379" i="3" s="1"/>
  <c r="H379" i="3" a="1"/>
  <c r="H379" i="3" s="1"/>
  <c r="C381" i="3"/>
  <c r="M380" i="3"/>
  <c r="L380" i="3"/>
  <c r="F380" i="3"/>
  <c r="F381" i="3" s="1"/>
  <c r="K378" i="3" a="1"/>
  <c r="K378" i="3" s="1"/>
  <c r="H378" i="3" a="1"/>
  <c r="H378" i="3" s="1"/>
  <c r="I378" i="3" a="1"/>
  <c r="I378" i="3" s="1"/>
  <c r="J378" i="3" a="1"/>
  <c r="J378" i="3" s="1"/>
  <c r="B379" i="3" a="1"/>
  <c r="B379" i="3" s="1"/>
  <c r="A379" i="3" a="1"/>
  <c r="A379" i="3" s="1"/>
  <c r="D378" i="2"/>
  <c r="K379" i="2" a="1"/>
  <c r="K379" i="2" s="1"/>
  <c r="H379" i="2" a="1"/>
  <c r="H379" i="2" s="1"/>
  <c r="I379" i="2" a="1"/>
  <c r="I379" i="2" s="1"/>
  <c r="J379" i="2" a="1"/>
  <c r="J379" i="2" s="1"/>
  <c r="C382" i="2"/>
  <c r="F381" i="2"/>
  <c r="A380" i="2" a="1"/>
  <c r="A380" i="2" s="1"/>
  <c r="B380" i="2" a="1"/>
  <c r="B380" i="2" s="1"/>
  <c r="D379" i="2" a="1"/>
  <c r="G380" i="3" l="1" a="1"/>
  <c r="G380" i="3" s="1"/>
  <c r="C382" i="3"/>
  <c r="G381" i="3" a="1"/>
  <c r="G381" i="3" s="1"/>
  <c r="L381" i="3"/>
  <c r="M381" i="3"/>
  <c r="F382" i="3"/>
  <c r="A380" i="3" a="1"/>
  <c r="A380" i="3" s="1"/>
  <c r="B380" i="3" a="1"/>
  <c r="B380" i="3" s="1"/>
  <c r="D379" i="2"/>
  <c r="C383" i="2"/>
  <c r="F382" i="2"/>
  <c r="B381" i="2" a="1"/>
  <c r="B381" i="2" s="1"/>
  <c r="A381" i="2" a="1"/>
  <c r="A381" i="2" s="1"/>
  <c r="J380" i="2" a="1"/>
  <c r="J380" i="2" s="1"/>
  <c r="K380" i="2" a="1"/>
  <c r="K380" i="2" s="1"/>
  <c r="I380" i="2" a="1"/>
  <c r="I380" i="2" s="1"/>
  <c r="H380" i="2" a="1"/>
  <c r="H380" i="2" s="1"/>
  <c r="D380" i="2" a="1"/>
  <c r="I381" i="3" l="1" a="1"/>
  <c r="I381" i="3" s="1"/>
  <c r="K381" i="3" a="1"/>
  <c r="K381" i="3" s="1"/>
  <c r="H381" i="3" a="1"/>
  <c r="H381" i="3" s="1"/>
  <c r="C383" i="3"/>
  <c r="G382" i="3" a="1"/>
  <c r="G382" i="3" s="1"/>
  <c r="L382" i="3"/>
  <c r="M382" i="3"/>
  <c r="J382" i="3" a="1"/>
  <c r="J382" i="3" s="1"/>
  <c r="J381" i="3" a="1"/>
  <c r="J381" i="3" s="1"/>
  <c r="H380" i="3" a="1"/>
  <c r="H380" i="3" s="1"/>
  <c r="I380" i="3" a="1"/>
  <c r="I380" i="3" s="1"/>
  <c r="K380" i="3" a="1"/>
  <c r="K380" i="3" s="1"/>
  <c r="J380" i="3" a="1"/>
  <c r="J380" i="3" s="1"/>
  <c r="A381" i="3" a="1"/>
  <c r="A381" i="3" s="1"/>
  <c r="B381" i="3" a="1"/>
  <c r="B381" i="3" s="1"/>
  <c r="D380" i="2"/>
  <c r="K381" i="2" a="1"/>
  <c r="K381" i="2" s="1"/>
  <c r="I381" i="2" a="1"/>
  <c r="I381" i="2" s="1"/>
  <c r="J381" i="2" a="1"/>
  <c r="J381" i="2" s="1"/>
  <c r="H381" i="2" a="1"/>
  <c r="H381" i="2" s="1"/>
  <c r="B382" i="2" a="1"/>
  <c r="B382" i="2" s="1"/>
  <c r="A382" i="2" a="1"/>
  <c r="A382" i="2" s="1"/>
  <c r="C384" i="2"/>
  <c r="F383" i="2"/>
  <c r="D381" i="2" a="1"/>
  <c r="C384" i="3" l="1"/>
  <c r="L383" i="3"/>
  <c r="M383" i="3"/>
  <c r="F383" i="3"/>
  <c r="F384" i="3" s="1"/>
  <c r="H382" i="3" a="1"/>
  <c r="H382" i="3" s="1"/>
  <c r="I382" i="3" a="1"/>
  <c r="I382" i="3" s="1"/>
  <c r="K382" i="3" a="1"/>
  <c r="K382" i="3" s="1"/>
  <c r="A382" i="3" a="1"/>
  <c r="A382" i="3" s="1"/>
  <c r="B382" i="3" a="1"/>
  <c r="B382" i="3" s="1"/>
  <c r="D381" i="2"/>
  <c r="B383" i="2" a="1"/>
  <c r="B383" i="2" s="1"/>
  <c r="A383" i="2" a="1"/>
  <c r="A383" i="2" s="1"/>
  <c r="C385" i="2"/>
  <c r="F384" i="2"/>
  <c r="K382" i="2" a="1"/>
  <c r="K382" i="2" s="1"/>
  <c r="J382" i="2" a="1"/>
  <c r="J382" i="2" s="1"/>
  <c r="H382" i="2" a="1"/>
  <c r="H382" i="2" s="1"/>
  <c r="I382" i="2" a="1"/>
  <c r="I382" i="2" s="1"/>
  <c r="D382" i="2" a="1"/>
  <c r="G383" i="3" l="1" a="1"/>
  <c r="G383" i="3" s="1"/>
  <c r="C385" i="3"/>
  <c r="G384" i="3" a="1"/>
  <c r="G384" i="3" s="1"/>
  <c r="M384" i="3"/>
  <c r="L384" i="3"/>
  <c r="A383" i="3" a="1"/>
  <c r="A383" i="3" s="1"/>
  <c r="B383" i="3" a="1"/>
  <c r="B383" i="3" s="1"/>
  <c r="D382" i="2"/>
  <c r="C386" i="2"/>
  <c r="F385" i="2"/>
  <c r="K383" i="2" a="1"/>
  <c r="K383" i="2" s="1"/>
  <c r="H383" i="2" a="1"/>
  <c r="H383" i="2" s="1"/>
  <c r="I383" i="2" a="1"/>
  <c r="I383" i="2" s="1"/>
  <c r="J383" i="2" a="1"/>
  <c r="J383" i="2" s="1"/>
  <c r="A384" i="2" a="1"/>
  <c r="A384" i="2" s="1"/>
  <c r="B384" i="2" a="1"/>
  <c r="B384" i="2" s="1"/>
  <c r="D383" i="2" a="1"/>
  <c r="C386" i="3" l="1"/>
  <c r="L385" i="3"/>
  <c r="M385" i="3"/>
  <c r="H384" i="3" a="1"/>
  <c r="H384" i="3" s="1"/>
  <c r="I384" i="3" a="1"/>
  <c r="I384" i="3" s="1"/>
  <c r="K384" i="3" a="1"/>
  <c r="K384" i="3" s="1"/>
  <c r="F385" i="3"/>
  <c r="F386" i="3" s="1"/>
  <c r="J384" i="3" a="1"/>
  <c r="J384" i="3" s="1"/>
  <c r="K383" i="3" a="1"/>
  <c r="K383" i="3" s="1"/>
  <c r="H383" i="3" a="1"/>
  <c r="H383" i="3" s="1"/>
  <c r="I383" i="3" a="1"/>
  <c r="I383" i="3" s="1"/>
  <c r="J383" i="3" a="1"/>
  <c r="J383" i="3" s="1"/>
  <c r="B384" i="3" a="1"/>
  <c r="B384" i="3" s="1"/>
  <c r="A384" i="3" a="1"/>
  <c r="A384" i="3" s="1"/>
  <c r="D383" i="2"/>
  <c r="K384" i="2" a="1"/>
  <c r="K384" i="2" s="1"/>
  <c r="I384" i="2" a="1"/>
  <c r="I384" i="2" s="1"/>
  <c r="H384" i="2" a="1"/>
  <c r="H384" i="2" s="1"/>
  <c r="J384" i="2" a="1"/>
  <c r="J384" i="2" s="1"/>
  <c r="B385" i="2" a="1"/>
  <c r="B385" i="2" s="1"/>
  <c r="A385" i="2" a="1"/>
  <c r="A385" i="2" s="1"/>
  <c r="C387" i="2"/>
  <c r="F386" i="2"/>
  <c r="D384" i="2" a="1"/>
  <c r="G385" i="3" l="1" a="1"/>
  <c r="G385" i="3" s="1"/>
  <c r="C387" i="3"/>
  <c r="G386" i="3" a="1"/>
  <c r="G386" i="3" s="1"/>
  <c r="J386" i="3" a="1"/>
  <c r="J386" i="3" s="1"/>
  <c r="L386" i="3"/>
  <c r="M386" i="3"/>
  <c r="A385" i="3" a="1"/>
  <c r="A385" i="3" s="1"/>
  <c r="B385" i="3" a="1"/>
  <c r="B385" i="3" s="1"/>
  <c r="D384" i="2"/>
  <c r="C388" i="2"/>
  <c r="F387" i="2"/>
  <c r="A386" i="2" a="1"/>
  <c r="A386" i="2" s="1"/>
  <c r="B386" i="2" a="1"/>
  <c r="B386" i="2" s="1"/>
  <c r="J385" i="2" a="1"/>
  <c r="J385" i="2" s="1"/>
  <c r="K385" i="2" a="1"/>
  <c r="K385" i="2" s="1"/>
  <c r="H385" i="2" a="1"/>
  <c r="H385" i="2" s="1"/>
  <c r="I385" i="2" a="1"/>
  <c r="I385" i="2" s="1"/>
  <c r="D385" i="2" a="1"/>
  <c r="H385" i="3" l="1" a="1"/>
  <c r="H385" i="3" s="1"/>
  <c r="I385" i="3" a="1"/>
  <c r="I385" i="3" s="1"/>
  <c r="K385" i="3" a="1"/>
  <c r="K385" i="3" s="1"/>
  <c r="J385" i="3" a="1"/>
  <c r="J385" i="3" s="1"/>
  <c r="I386" i="3" a="1"/>
  <c r="I386" i="3" s="1"/>
  <c r="H386" i="3" a="1"/>
  <c r="H386" i="3" s="1"/>
  <c r="K386" i="3" a="1"/>
  <c r="K386" i="3" s="1"/>
  <c r="C388" i="3"/>
  <c r="G387" i="3" a="1"/>
  <c r="G387" i="3" s="1"/>
  <c r="L387" i="3"/>
  <c r="M387" i="3"/>
  <c r="J387" i="3" a="1"/>
  <c r="J387" i="3" s="1"/>
  <c r="F387" i="3"/>
  <c r="B386" i="3" a="1"/>
  <c r="B386" i="3" s="1"/>
  <c r="A386" i="3" a="1"/>
  <c r="A386" i="3" s="1"/>
  <c r="D385" i="2"/>
  <c r="A387" i="2" a="1"/>
  <c r="A387" i="2" s="1"/>
  <c r="B387" i="2" a="1"/>
  <c r="B387" i="2" s="1"/>
  <c r="K386" i="2" a="1"/>
  <c r="K386" i="2" s="1"/>
  <c r="J386" i="2" a="1"/>
  <c r="J386" i="2" s="1"/>
  <c r="H386" i="2" a="1"/>
  <c r="H386" i="2" s="1"/>
  <c r="I386" i="2" a="1"/>
  <c r="I386" i="2" s="1"/>
  <c r="C389" i="2"/>
  <c r="F388" i="2"/>
  <c r="D386" i="2" a="1"/>
  <c r="H387" i="3" l="1" a="1"/>
  <c r="H387" i="3" s="1"/>
  <c r="K387" i="3" a="1"/>
  <c r="K387" i="3" s="1"/>
  <c r="I387" i="3" a="1"/>
  <c r="I387" i="3" s="1"/>
  <c r="C389" i="3"/>
  <c r="M388" i="3"/>
  <c r="L388" i="3"/>
  <c r="F388" i="3"/>
  <c r="F389" i="3" s="1"/>
  <c r="A387" i="3" a="1"/>
  <c r="A387" i="3" s="1"/>
  <c r="B387" i="3" a="1"/>
  <c r="B387" i="3" s="1"/>
  <c r="D386" i="2"/>
  <c r="H387" i="2" a="1"/>
  <c r="H387" i="2" s="1"/>
  <c r="K387" i="2" a="1"/>
  <c r="K387" i="2" s="1"/>
  <c r="J387" i="2" a="1"/>
  <c r="J387" i="2" s="1"/>
  <c r="I387" i="2" a="1"/>
  <c r="I387" i="2" s="1"/>
  <c r="A388" i="2" a="1"/>
  <c r="A388" i="2" s="1"/>
  <c r="B388" i="2" a="1"/>
  <c r="B388" i="2" s="1"/>
  <c r="C390" i="2"/>
  <c r="F389" i="2"/>
  <c r="D387" i="2" a="1"/>
  <c r="C390" i="3" l="1"/>
  <c r="G389" i="3" a="1"/>
  <c r="G389" i="3" s="1"/>
  <c r="M389" i="3"/>
  <c r="J389" i="3" a="1"/>
  <c r="J389" i="3" s="1"/>
  <c r="L389" i="3"/>
  <c r="G388" i="3" a="1"/>
  <c r="G388" i="3" s="1"/>
  <c r="A388" i="3" a="1"/>
  <c r="A388" i="3" s="1"/>
  <c r="B388" i="3" a="1"/>
  <c r="B388" i="3" s="1"/>
  <c r="D387" i="2"/>
  <c r="C391" i="2"/>
  <c r="F390" i="2"/>
  <c r="B389" i="2" a="1"/>
  <c r="B389" i="2" s="1"/>
  <c r="A389" i="2" a="1"/>
  <c r="A389" i="2" s="1"/>
  <c r="K388" i="2" a="1"/>
  <c r="K388" i="2" s="1"/>
  <c r="I388" i="2" a="1"/>
  <c r="I388" i="2" s="1"/>
  <c r="J388" i="2" a="1"/>
  <c r="J388" i="2" s="1"/>
  <c r="H388" i="2" a="1"/>
  <c r="H388" i="2" s="1"/>
  <c r="D388" i="2" a="1"/>
  <c r="H388" i="3" l="1" a="1"/>
  <c r="H388" i="3" s="1"/>
  <c r="K388" i="3" a="1"/>
  <c r="K388" i="3" s="1"/>
  <c r="I388" i="3" a="1"/>
  <c r="I388" i="3" s="1"/>
  <c r="J388" i="3" a="1"/>
  <c r="J388" i="3" s="1"/>
  <c r="C391" i="3"/>
  <c r="G390" i="3" a="1"/>
  <c r="G390" i="3" s="1"/>
  <c r="J390" i="3" a="1"/>
  <c r="J390" i="3" s="1"/>
  <c r="L390" i="3"/>
  <c r="M390" i="3"/>
  <c r="K389" i="3" a="1"/>
  <c r="K389" i="3" s="1"/>
  <c r="H389" i="3" a="1"/>
  <c r="H389" i="3" s="1"/>
  <c r="I389" i="3" a="1"/>
  <c r="I389" i="3" s="1"/>
  <c r="F390" i="3"/>
  <c r="A389" i="3" a="1"/>
  <c r="A389" i="3" s="1"/>
  <c r="B389" i="3" a="1"/>
  <c r="B389" i="3" s="1"/>
  <c r="D388" i="2"/>
  <c r="H389" i="2" a="1"/>
  <c r="H389" i="2" s="1"/>
  <c r="K389" i="2" a="1"/>
  <c r="K389" i="2" s="1"/>
  <c r="J389" i="2" a="1"/>
  <c r="J389" i="2" s="1"/>
  <c r="I389" i="2" a="1"/>
  <c r="I389" i="2" s="1"/>
  <c r="A390" i="2" a="1"/>
  <c r="A390" i="2" s="1"/>
  <c r="B390" i="2" a="1"/>
  <c r="B390" i="2" s="1"/>
  <c r="C392" i="2"/>
  <c r="F391" i="2"/>
  <c r="D389" i="2" a="1"/>
  <c r="K390" i="3" l="1" a="1"/>
  <c r="K390" i="3" s="1"/>
  <c r="H390" i="3" a="1"/>
  <c r="H390" i="3" s="1"/>
  <c r="I390" i="3" a="1"/>
  <c r="I390" i="3" s="1"/>
  <c r="C392" i="3"/>
  <c r="M391" i="3"/>
  <c r="L391" i="3"/>
  <c r="F391" i="3"/>
  <c r="F392" i="3" s="1"/>
  <c r="A390" i="3" a="1"/>
  <c r="A390" i="3" s="1"/>
  <c r="B390" i="3" a="1"/>
  <c r="B390" i="3" s="1"/>
  <c r="D389" i="2"/>
  <c r="J390" i="2" a="1"/>
  <c r="J390" i="2" s="1"/>
  <c r="K390" i="2" a="1"/>
  <c r="K390" i="2" s="1"/>
  <c r="I390" i="2" a="1"/>
  <c r="I390" i="2" s="1"/>
  <c r="H390" i="2" a="1"/>
  <c r="H390" i="2" s="1"/>
  <c r="C393" i="2"/>
  <c r="F392" i="2"/>
  <c r="B391" i="2" a="1"/>
  <c r="B391" i="2" s="1"/>
  <c r="A391" i="2" a="1"/>
  <c r="A391" i="2" s="1"/>
  <c r="D390" i="2" a="1"/>
  <c r="C393" i="3" l="1"/>
  <c r="G392" i="3" a="1"/>
  <c r="G392" i="3" s="1"/>
  <c r="M392" i="3"/>
  <c r="L392" i="3"/>
  <c r="F393" i="3"/>
  <c r="G391" i="3" a="1"/>
  <c r="G391" i="3" s="1"/>
  <c r="B391" i="3" a="1"/>
  <c r="B391" i="3" s="1"/>
  <c r="A391" i="3" a="1"/>
  <c r="A391" i="3" s="1"/>
  <c r="D390" i="2"/>
  <c r="J391" i="2" a="1"/>
  <c r="J391" i="2" s="1"/>
  <c r="H391" i="2" a="1"/>
  <c r="H391" i="2" s="1"/>
  <c r="I391" i="2" a="1"/>
  <c r="I391" i="2" s="1"/>
  <c r="K391" i="2" a="1"/>
  <c r="K391" i="2" s="1"/>
  <c r="C394" i="2"/>
  <c r="F393" i="2"/>
  <c r="B392" i="2" a="1"/>
  <c r="B392" i="2" s="1"/>
  <c r="A392" i="2" a="1"/>
  <c r="A392" i="2" s="1"/>
  <c r="D391" i="2" a="1"/>
  <c r="K391" i="3" l="1" a="1"/>
  <c r="K391" i="3" s="1"/>
  <c r="I391" i="3" a="1"/>
  <c r="I391" i="3" s="1"/>
  <c r="H391" i="3" a="1"/>
  <c r="H391" i="3" s="1"/>
  <c r="J391" i="3" a="1"/>
  <c r="J391" i="3" s="1"/>
  <c r="I392" i="3" a="1"/>
  <c r="I392" i="3" s="1"/>
  <c r="H392" i="3" a="1"/>
  <c r="H392" i="3" s="1"/>
  <c r="K392" i="3" a="1"/>
  <c r="K392" i="3" s="1"/>
  <c r="J392" i="3" a="1"/>
  <c r="J392" i="3" s="1"/>
  <c r="C394" i="3"/>
  <c r="G393" i="3" a="1"/>
  <c r="G393" i="3" s="1"/>
  <c r="L393" i="3"/>
  <c r="M393" i="3"/>
  <c r="A392" i="3" a="1"/>
  <c r="A392" i="3" s="1"/>
  <c r="B392" i="3" a="1"/>
  <c r="B392" i="3" s="1"/>
  <c r="D391" i="2"/>
  <c r="J392" i="2" a="1"/>
  <c r="J392" i="2" s="1"/>
  <c r="K392" i="2" a="1"/>
  <c r="K392" i="2" s="1"/>
  <c r="H392" i="2" a="1"/>
  <c r="H392" i="2" s="1"/>
  <c r="I392" i="2" a="1"/>
  <c r="I392" i="2" s="1"/>
  <c r="C395" i="2"/>
  <c r="F394" i="2"/>
  <c r="B393" i="2" a="1"/>
  <c r="B393" i="2" s="1"/>
  <c r="A393" i="2" a="1"/>
  <c r="A393" i="2" s="1"/>
  <c r="D392" i="2" a="1"/>
  <c r="I393" i="3" l="1" a="1"/>
  <c r="I393" i="3" s="1"/>
  <c r="H393" i="3" a="1"/>
  <c r="H393" i="3" s="1"/>
  <c r="K393" i="3" a="1"/>
  <c r="K393" i="3" s="1"/>
  <c r="C395" i="3"/>
  <c r="L394" i="3"/>
  <c r="M394" i="3"/>
  <c r="F394" i="3"/>
  <c r="F395" i="3" s="1"/>
  <c r="J393" i="3" a="1"/>
  <c r="J393" i="3" s="1"/>
  <c r="A393" i="3" a="1"/>
  <c r="A393" i="3" s="1"/>
  <c r="B393" i="3" a="1"/>
  <c r="B393" i="3" s="1"/>
  <c r="D392" i="2"/>
  <c r="H393" i="2" a="1"/>
  <c r="H393" i="2" s="1"/>
  <c r="I393" i="2" a="1"/>
  <c r="I393" i="2" s="1"/>
  <c r="J393" i="2" a="1"/>
  <c r="J393" i="2" s="1"/>
  <c r="K393" i="2" a="1"/>
  <c r="K393" i="2" s="1"/>
  <c r="A394" i="2" a="1"/>
  <c r="A394" i="2" s="1"/>
  <c r="B394" i="2" a="1"/>
  <c r="B394" i="2" s="1"/>
  <c r="C396" i="2"/>
  <c r="F395" i="2"/>
  <c r="D393" i="2" a="1"/>
  <c r="C396" i="3" l="1"/>
  <c r="G395" i="3" a="1"/>
  <c r="G395" i="3" s="1"/>
  <c r="L395" i="3"/>
  <c r="M395" i="3"/>
  <c r="F396" i="3"/>
  <c r="G394" i="3" a="1"/>
  <c r="G394" i="3" s="1"/>
  <c r="A394" i="3" a="1"/>
  <c r="A394" i="3" s="1"/>
  <c r="B394" i="3" a="1"/>
  <c r="B394" i="3" s="1"/>
  <c r="D393" i="2"/>
  <c r="C397" i="2"/>
  <c r="F396" i="2"/>
  <c r="A395" i="2" a="1"/>
  <c r="A395" i="2" s="1"/>
  <c r="B395" i="2" a="1"/>
  <c r="B395" i="2" s="1"/>
  <c r="H394" i="2" a="1"/>
  <c r="H394" i="2" s="1"/>
  <c r="K394" i="2" a="1"/>
  <c r="K394" i="2" s="1"/>
  <c r="J394" i="2" a="1"/>
  <c r="J394" i="2" s="1"/>
  <c r="I394" i="2" a="1"/>
  <c r="I394" i="2" s="1"/>
  <c r="D394" i="2" a="1"/>
  <c r="K395" i="3" l="1" a="1"/>
  <c r="K395" i="3" s="1"/>
  <c r="I395" i="3" a="1"/>
  <c r="I395" i="3" s="1"/>
  <c r="H395" i="3" a="1"/>
  <c r="H395" i="3" s="1"/>
  <c r="K394" i="3" a="1"/>
  <c r="K394" i="3" s="1"/>
  <c r="I394" i="3" a="1"/>
  <c r="I394" i="3" s="1"/>
  <c r="H394" i="3" a="1"/>
  <c r="H394" i="3" s="1"/>
  <c r="J394" i="3" a="1"/>
  <c r="J394" i="3" s="1"/>
  <c r="J395" i="3" a="1"/>
  <c r="J395" i="3" s="1"/>
  <c r="C397" i="3"/>
  <c r="L396" i="3"/>
  <c r="M396" i="3"/>
  <c r="G396" i="3" a="1"/>
  <c r="G396" i="3" s="1"/>
  <c r="J396" i="3" a="1"/>
  <c r="J396" i="3" s="1"/>
  <c r="A395" i="3" a="1"/>
  <c r="A395" i="3" s="1"/>
  <c r="B395" i="3" a="1"/>
  <c r="B395" i="3" s="1"/>
  <c r="D394" i="2"/>
  <c r="J395" i="2" a="1"/>
  <c r="J395" i="2" s="1"/>
  <c r="H395" i="2" a="1"/>
  <c r="H395" i="2" s="1"/>
  <c r="K395" i="2" a="1"/>
  <c r="K395" i="2" s="1"/>
  <c r="I395" i="2" a="1"/>
  <c r="I395" i="2" s="1"/>
  <c r="A396" i="2" a="1"/>
  <c r="A396" i="2" s="1"/>
  <c r="B396" i="2" a="1"/>
  <c r="B396" i="2" s="1"/>
  <c r="C398" i="2"/>
  <c r="F397" i="2"/>
  <c r="D395" i="2" a="1"/>
  <c r="C398" i="3" l="1"/>
  <c r="L397" i="3"/>
  <c r="M397" i="3"/>
  <c r="K396" i="3" a="1"/>
  <c r="K396" i="3" s="1"/>
  <c r="I396" i="3" a="1"/>
  <c r="I396" i="3" s="1"/>
  <c r="H396" i="3" a="1"/>
  <c r="H396" i="3" s="1"/>
  <c r="F397" i="3"/>
  <c r="F398" i="3" s="1"/>
  <c r="B396" i="3" a="1"/>
  <c r="B396" i="3" s="1"/>
  <c r="A396" i="3" a="1"/>
  <c r="A396" i="3" s="1"/>
  <c r="D395" i="2"/>
  <c r="A397" i="2" a="1"/>
  <c r="A397" i="2" s="1"/>
  <c r="B397" i="2" a="1"/>
  <c r="B397" i="2" s="1"/>
  <c r="C399" i="2"/>
  <c r="F398" i="2"/>
  <c r="K396" i="2" a="1"/>
  <c r="K396" i="2" s="1"/>
  <c r="I396" i="2" a="1"/>
  <c r="I396" i="2" s="1"/>
  <c r="H396" i="2" a="1"/>
  <c r="H396" i="2" s="1"/>
  <c r="J396" i="2" a="1"/>
  <c r="J396" i="2" s="1"/>
  <c r="D396" i="2" a="1"/>
  <c r="G397" i="3" l="1" a="1"/>
  <c r="G397" i="3" s="1"/>
  <c r="C399" i="3"/>
  <c r="G398" i="3" a="1"/>
  <c r="G398" i="3" s="1"/>
  <c r="L398" i="3"/>
  <c r="M398" i="3"/>
  <c r="J398" i="3" a="1"/>
  <c r="J398" i="3" s="1"/>
  <c r="A397" i="3" a="1"/>
  <c r="A397" i="3" s="1"/>
  <c r="B397" i="3" a="1"/>
  <c r="B397" i="3" s="1"/>
  <c r="D396" i="2"/>
  <c r="K397" i="2" a="1"/>
  <c r="K397" i="2" s="1"/>
  <c r="H397" i="2" a="1"/>
  <c r="H397" i="2" s="1"/>
  <c r="J397" i="2" a="1"/>
  <c r="J397" i="2" s="1"/>
  <c r="I397" i="2" a="1"/>
  <c r="I397" i="2" s="1"/>
  <c r="A398" i="2" a="1"/>
  <c r="A398" i="2" s="1"/>
  <c r="B398" i="2" a="1"/>
  <c r="B398" i="2" s="1"/>
  <c r="C400" i="2"/>
  <c r="F399" i="2"/>
  <c r="D397" i="2" a="1"/>
  <c r="I397" i="3" l="1" a="1"/>
  <c r="I397" i="3" s="1"/>
  <c r="H397" i="3" a="1"/>
  <c r="H397" i="3" s="1"/>
  <c r="K397" i="3" a="1"/>
  <c r="K397" i="3" s="1"/>
  <c r="J397" i="3" a="1"/>
  <c r="J397" i="3" s="1"/>
  <c r="I398" i="3" a="1"/>
  <c r="I398" i="3" s="1"/>
  <c r="K398" i="3" a="1"/>
  <c r="K398" i="3" s="1"/>
  <c r="H398" i="3" a="1"/>
  <c r="H398" i="3" s="1"/>
  <c r="C400" i="3"/>
  <c r="G399" i="3" a="1"/>
  <c r="G399" i="3" s="1"/>
  <c r="L399" i="3"/>
  <c r="M399" i="3"/>
  <c r="F399" i="3"/>
  <c r="B398" i="3" a="1"/>
  <c r="B398" i="3" s="1"/>
  <c r="A398" i="3" a="1"/>
  <c r="A398" i="3" s="1"/>
  <c r="D397" i="2"/>
  <c r="B399" i="2" a="1"/>
  <c r="B399" i="2" s="1"/>
  <c r="A399" i="2" a="1"/>
  <c r="A399" i="2" s="1"/>
  <c r="C401" i="2"/>
  <c r="F400" i="2"/>
  <c r="I398" i="2" a="1"/>
  <c r="I398" i="2" s="1"/>
  <c r="J398" i="2" a="1"/>
  <c r="J398" i="2" s="1"/>
  <c r="K398" i="2" a="1"/>
  <c r="K398" i="2" s="1"/>
  <c r="H398" i="2" a="1"/>
  <c r="H398" i="2" s="1"/>
  <c r="D398" i="2" a="1"/>
  <c r="I399" i="3" l="1" a="1"/>
  <c r="I399" i="3" s="1"/>
  <c r="H399" i="3" a="1"/>
  <c r="H399" i="3" s="1"/>
  <c r="K399" i="3" a="1"/>
  <c r="K399" i="3" s="1"/>
  <c r="C401" i="3"/>
  <c r="M400" i="3"/>
  <c r="L400" i="3"/>
  <c r="J399" i="3" a="1"/>
  <c r="J399" i="3" s="1"/>
  <c r="F400" i="3"/>
  <c r="F401" i="3" s="1"/>
  <c r="A399" i="3" a="1"/>
  <c r="A399" i="3" s="1"/>
  <c r="B399" i="3" a="1"/>
  <c r="B399" i="3" s="1"/>
  <c r="D398" i="2"/>
  <c r="J399" i="2" a="1"/>
  <c r="J399" i="2" s="1"/>
  <c r="K399" i="2" a="1"/>
  <c r="K399" i="2" s="1"/>
  <c r="H399" i="2" a="1"/>
  <c r="H399" i="2" s="1"/>
  <c r="I399" i="2" a="1"/>
  <c r="I399" i="2" s="1"/>
  <c r="A400" i="2" a="1"/>
  <c r="A400" i="2" s="1"/>
  <c r="B400" i="2" a="1"/>
  <c r="B400" i="2" s="1"/>
  <c r="C402" i="2"/>
  <c r="F401" i="2"/>
  <c r="D399" i="2" a="1"/>
  <c r="C402" i="3" l="1"/>
  <c r="G401" i="3" a="1"/>
  <c r="G401" i="3" s="1"/>
  <c r="M401" i="3"/>
  <c r="L401" i="3"/>
  <c r="J401" i="3" a="1"/>
  <c r="J401" i="3" s="1"/>
  <c r="F402" i="3"/>
  <c r="G400" i="3" a="1"/>
  <c r="G400" i="3" s="1"/>
  <c r="A400" i="3" a="1"/>
  <c r="A400" i="3" s="1"/>
  <c r="B400" i="3" a="1"/>
  <c r="B400" i="3" s="1"/>
  <c r="D399" i="2"/>
  <c r="C403" i="2"/>
  <c r="F402" i="2"/>
  <c r="B401" i="2" a="1"/>
  <c r="B401" i="2" s="1"/>
  <c r="A401" i="2" a="1"/>
  <c r="A401" i="2" s="1"/>
  <c r="K400" i="2" a="1"/>
  <c r="K400" i="2" s="1"/>
  <c r="H400" i="2" a="1"/>
  <c r="H400" i="2" s="1"/>
  <c r="J400" i="2" a="1"/>
  <c r="J400" i="2" s="1"/>
  <c r="I400" i="2" a="1"/>
  <c r="I400" i="2" s="1"/>
  <c r="D400" i="2" a="1"/>
  <c r="I400" i="3" l="1" a="1"/>
  <c r="I400" i="3" s="1"/>
  <c r="H400" i="3" a="1"/>
  <c r="H400" i="3" s="1"/>
  <c r="K400" i="3" a="1"/>
  <c r="K400" i="3" s="1"/>
  <c r="J400" i="3" a="1"/>
  <c r="J400" i="3" s="1"/>
  <c r="I401" i="3" a="1"/>
  <c r="I401" i="3" s="1"/>
  <c r="K401" i="3" a="1"/>
  <c r="K401" i="3" s="1"/>
  <c r="H401" i="3" a="1"/>
  <c r="H401" i="3" s="1"/>
  <c r="C403" i="3"/>
  <c r="G402" i="3" a="1"/>
  <c r="G402" i="3" s="1"/>
  <c r="L402" i="3"/>
  <c r="M402" i="3"/>
  <c r="A401" i="3" a="1"/>
  <c r="A401" i="3" s="1"/>
  <c r="B401" i="3" a="1"/>
  <c r="B401" i="3" s="1"/>
  <c r="D400" i="2"/>
  <c r="K401" i="2" a="1"/>
  <c r="K401" i="2" s="1"/>
  <c r="I401" i="2" a="1"/>
  <c r="I401" i="2" s="1"/>
  <c r="J401" i="2" a="1"/>
  <c r="J401" i="2" s="1"/>
  <c r="H401" i="2" a="1"/>
  <c r="H401" i="2" s="1"/>
  <c r="B402" i="2" a="1"/>
  <c r="B402" i="2" s="1"/>
  <c r="A402" i="2" a="1"/>
  <c r="A402" i="2" s="1"/>
  <c r="C404" i="2"/>
  <c r="F403" i="2"/>
  <c r="D401" i="2" a="1"/>
  <c r="I402" i="3" l="1" a="1"/>
  <c r="I402" i="3" s="1"/>
  <c r="H402" i="3" a="1"/>
  <c r="H402" i="3" s="1"/>
  <c r="K402" i="3" a="1"/>
  <c r="K402" i="3" s="1"/>
  <c r="C404" i="3"/>
  <c r="M403" i="3"/>
  <c r="L403" i="3"/>
  <c r="F403" i="3"/>
  <c r="F404" i="3" s="1"/>
  <c r="J402" i="3" a="1"/>
  <c r="J402" i="3" s="1"/>
  <c r="A402" i="3" a="1"/>
  <c r="A402" i="3" s="1"/>
  <c r="B402" i="3" a="1"/>
  <c r="B402" i="3" s="1"/>
  <c r="D401" i="2"/>
  <c r="B403" i="2" a="1"/>
  <c r="B403" i="2" s="1"/>
  <c r="A403" i="2" a="1"/>
  <c r="A403" i="2" s="1"/>
  <c r="C405" i="2"/>
  <c r="F404" i="2"/>
  <c r="J402" i="2" a="1"/>
  <c r="J402" i="2" s="1"/>
  <c r="I402" i="2" a="1"/>
  <c r="I402" i="2" s="1"/>
  <c r="K402" i="2" a="1"/>
  <c r="K402" i="2" s="1"/>
  <c r="H402" i="2" a="1"/>
  <c r="H402" i="2" s="1"/>
  <c r="D402" i="2" a="1"/>
  <c r="C405" i="3" l="1"/>
  <c r="G404" i="3" a="1"/>
  <c r="G404" i="3" s="1"/>
  <c r="M404" i="3"/>
  <c r="L404" i="3"/>
  <c r="J404" i="3" a="1"/>
  <c r="J404" i="3" s="1"/>
  <c r="F405" i="3"/>
  <c r="G403" i="3" a="1"/>
  <c r="G403" i="3" s="1"/>
  <c r="B403" i="3" a="1"/>
  <c r="B403" i="3" s="1"/>
  <c r="A403" i="3" a="1"/>
  <c r="A403" i="3" s="1"/>
  <c r="D402" i="2"/>
  <c r="A404" i="2" a="1"/>
  <c r="A404" i="2" s="1"/>
  <c r="B404" i="2" a="1"/>
  <c r="B404" i="2" s="1"/>
  <c r="K403" i="2" a="1"/>
  <c r="K403" i="2" s="1"/>
  <c r="J403" i="2" a="1"/>
  <c r="J403" i="2" s="1"/>
  <c r="H403" i="2" a="1"/>
  <c r="H403" i="2" s="1"/>
  <c r="I403" i="2" a="1"/>
  <c r="I403" i="2" s="1"/>
  <c r="C406" i="2"/>
  <c r="F405" i="2"/>
  <c r="D403" i="2" a="1"/>
  <c r="I403" i="3" l="1" a="1"/>
  <c r="I403" i="3" s="1"/>
  <c r="H403" i="3" a="1"/>
  <c r="H403" i="3" s="1"/>
  <c r="K403" i="3" a="1"/>
  <c r="K403" i="3" s="1"/>
  <c r="J403" i="3" a="1"/>
  <c r="J403" i="3" s="1"/>
  <c r="I404" i="3" a="1"/>
  <c r="I404" i="3" s="1"/>
  <c r="K404" i="3" a="1"/>
  <c r="K404" i="3" s="1"/>
  <c r="H404" i="3" a="1"/>
  <c r="H404" i="3" s="1"/>
  <c r="C406" i="3"/>
  <c r="G405" i="3" a="1"/>
  <c r="G405" i="3" s="1"/>
  <c r="J405" i="3" a="1"/>
  <c r="J405" i="3" s="1"/>
  <c r="L405" i="3"/>
  <c r="M405" i="3"/>
  <c r="A404" i="3" a="1"/>
  <c r="A404" i="3" s="1"/>
  <c r="B404" i="3" a="1"/>
  <c r="B404" i="3" s="1"/>
  <c r="D403" i="2"/>
  <c r="K404" i="2" a="1"/>
  <c r="K404" i="2" s="1"/>
  <c r="I404" i="2" a="1"/>
  <c r="I404" i="2" s="1"/>
  <c r="J404" i="2" a="1"/>
  <c r="J404" i="2" s="1"/>
  <c r="H404" i="2" a="1"/>
  <c r="H404" i="2" s="1"/>
  <c r="B405" i="2" a="1"/>
  <c r="B405" i="2" s="1"/>
  <c r="A405" i="2" a="1"/>
  <c r="A405" i="2" s="1"/>
  <c r="C407" i="2"/>
  <c r="F406" i="2"/>
  <c r="D404" i="2" a="1"/>
  <c r="I405" i="3" l="1" a="1"/>
  <c r="I405" i="3" s="1"/>
  <c r="H405" i="3" a="1"/>
  <c r="H405" i="3" s="1"/>
  <c r="K405" i="3" a="1"/>
  <c r="K405" i="3" s="1"/>
  <c r="C407" i="3"/>
  <c r="M406" i="3"/>
  <c r="L406" i="3"/>
  <c r="F406" i="3"/>
  <c r="F407" i="3" s="1"/>
  <c r="A405" i="3" a="1"/>
  <c r="A405" i="3" s="1"/>
  <c r="B405" i="3" a="1"/>
  <c r="B405" i="3" s="1"/>
  <c r="D404" i="2"/>
  <c r="J405" i="2" a="1"/>
  <c r="J405" i="2" s="1"/>
  <c r="K405" i="2" a="1"/>
  <c r="K405" i="2" s="1"/>
  <c r="I405" i="2" a="1"/>
  <c r="I405" i="2" s="1"/>
  <c r="H405" i="2" a="1"/>
  <c r="H405" i="2" s="1"/>
  <c r="C408" i="2"/>
  <c r="F407" i="2"/>
  <c r="B406" i="2" a="1"/>
  <c r="B406" i="2" s="1"/>
  <c r="A406" i="2" a="1"/>
  <c r="A406" i="2" s="1"/>
  <c r="D405" i="2" a="1"/>
  <c r="C408" i="3" l="1"/>
  <c r="G407" i="3" a="1"/>
  <c r="G407" i="3" s="1"/>
  <c r="M407" i="3"/>
  <c r="L407" i="3"/>
  <c r="J407" i="3" a="1"/>
  <c r="J407" i="3" s="1"/>
  <c r="G406" i="3" a="1"/>
  <c r="G406" i="3" s="1"/>
  <c r="A406" i="3" a="1"/>
  <c r="A406" i="3" s="1"/>
  <c r="B406" i="3" a="1"/>
  <c r="B406" i="3" s="1"/>
  <c r="D405" i="2"/>
  <c r="I406" i="2" a="1"/>
  <c r="I406" i="2" s="1"/>
  <c r="J406" i="2" a="1"/>
  <c r="J406" i="2" s="1"/>
  <c r="H406" i="2" a="1"/>
  <c r="H406" i="2" s="1"/>
  <c r="K406" i="2" a="1"/>
  <c r="K406" i="2" s="1"/>
  <c r="B407" i="2" a="1"/>
  <c r="B407" i="2" s="1"/>
  <c r="A407" i="2" a="1"/>
  <c r="A407" i="2" s="1"/>
  <c r="C409" i="2"/>
  <c r="F408" i="2"/>
  <c r="D406" i="2" a="1"/>
  <c r="I406" i="3" l="1" a="1"/>
  <c r="I406" i="3" s="1"/>
  <c r="H406" i="3" a="1"/>
  <c r="H406" i="3" s="1"/>
  <c r="K406" i="3" a="1"/>
  <c r="K406" i="3" s="1"/>
  <c r="J406" i="3" a="1"/>
  <c r="J406" i="3" s="1"/>
  <c r="C409" i="3"/>
  <c r="G408" i="3" a="1"/>
  <c r="G408" i="3" s="1"/>
  <c r="J408" i="3" s="1" a="1"/>
  <c r="J408" i="3" s="1"/>
  <c r="L408" i="3"/>
  <c r="M408" i="3"/>
  <c r="I407" i="3" a="1"/>
  <c r="I407" i="3" s="1"/>
  <c r="K407" i="3" a="1"/>
  <c r="K407" i="3" s="1"/>
  <c r="H407" i="3" a="1"/>
  <c r="H407" i="3" s="1"/>
  <c r="F408" i="3"/>
  <c r="A407" i="3" a="1"/>
  <c r="A407" i="3" s="1"/>
  <c r="B407" i="3" a="1"/>
  <c r="B407" i="3" s="1"/>
  <c r="D406" i="2"/>
  <c r="B408" i="2" a="1"/>
  <c r="B408" i="2" s="1"/>
  <c r="A408" i="2" a="1"/>
  <c r="A408" i="2" s="1"/>
  <c r="C410" i="2"/>
  <c r="F409" i="2"/>
  <c r="H407" i="2" a="1"/>
  <c r="H407" i="2" s="1"/>
  <c r="K407" i="2" a="1"/>
  <c r="K407" i="2" s="1"/>
  <c r="J407" i="2" a="1"/>
  <c r="J407" i="2" s="1"/>
  <c r="I407" i="2" a="1"/>
  <c r="I407" i="2" s="1"/>
  <c r="D407" i="2" a="1"/>
  <c r="I408" i="3" l="1" a="1"/>
  <c r="I408" i="3" s="1"/>
  <c r="H408" i="3" a="1"/>
  <c r="H408" i="3" s="1"/>
  <c r="K408" i="3" a="1"/>
  <c r="K408" i="3" s="1"/>
  <c r="C410" i="3"/>
  <c r="M409" i="3"/>
  <c r="L409" i="3"/>
  <c r="F409" i="3"/>
  <c r="F410" i="3" s="1"/>
  <c r="B408" i="3" a="1"/>
  <c r="B408" i="3" s="1"/>
  <c r="A408" i="3" a="1"/>
  <c r="A408" i="3" s="1"/>
  <c r="D407" i="2"/>
  <c r="I408" i="2" a="1"/>
  <c r="I408" i="2" s="1"/>
  <c r="J408" i="2" a="1"/>
  <c r="J408" i="2" s="1"/>
  <c r="H408" i="2" a="1"/>
  <c r="H408" i="2" s="1"/>
  <c r="K408" i="2" a="1"/>
  <c r="K408" i="2" s="1"/>
  <c r="A409" i="2" a="1"/>
  <c r="A409" i="2" s="1"/>
  <c r="B409" i="2" a="1"/>
  <c r="B409" i="2" s="1"/>
  <c r="C411" i="2"/>
  <c r="F410" i="2"/>
  <c r="D408" i="2" a="1"/>
  <c r="G409" i="3" l="1" a="1"/>
  <c r="G409" i="3" s="1"/>
  <c r="C411" i="3"/>
  <c r="G410" i="3" a="1"/>
  <c r="G410" i="3" s="1"/>
  <c r="M410" i="3"/>
  <c r="L410" i="3"/>
  <c r="J410" i="3" a="1"/>
  <c r="J410" i="3" s="1"/>
  <c r="A409" i="3" a="1"/>
  <c r="A409" i="3" s="1"/>
  <c r="B409" i="3" a="1"/>
  <c r="B409" i="3" s="1"/>
  <c r="D408" i="2"/>
  <c r="C412" i="2"/>
  <c r="F411" i="2"/>
  <c r="A410" i="2" a="1"/>
  <c r="A410" i="2" s="1"/>
  <c r="B410" i="2" a="1"/>
  <c r="B410" i="2" s="1"/>
  <c r="J409" i="2" a="1"/>
  <c r="J409" i="2" s="1"/>
  <c r="K409" i="2" a="1"/>
  <c r="K409" i="2" s="1"/>
  <c r="I409" i="2" a="1"/>
  <c r="I409" i="2" s="1"/>
  <c r="H409" i="2" a="1"/>
  <c r="H409" i="2" s="1"/>
  <c r="D409" i="2" a="1"/>
  <c r="C412" i="3" l="1"/>
  <c r="G411" i="3" a="1"/>
  <c r="G411" i="3" s="1"/>
  <c r="L411" i="3"/>
  <c r="M411" i="3"/>
  <c r="J411" i="3" a="1"/>
  <c r="J411" i="3" s="1"/>
  <c r="I409" i="3" a="1"/>
  <c r="I409" i="3" s="1"/>
  <c r="H409" i="3" a="1"/>
  <c r="H409" i="3" s="1"/>
  <c r="K409" i="3" a="1"/>
  <c r="K409" i="3" s="1"/>
  <c r="J409" i="3" a="1"/>
  <c r="J409" i="3" s="1"/>
  <c r="I410" i="3" a="1"/>
  <c r="I410" i="3" s="1"/>
  <c r="K410" i="3" a="1"/>
  <c r="K410" i="3" s="1"/>
  <c r="H410" i="3" a="1"/>
  <c r="H410" i="3" s="1"/>
  <c r="F411" i="3"/>
  <c r="F412" i="3" s="1"/>
  <c r="B410" i="3" a="1"/>
  <c r="B410" i="3" s="1"/>
  <c r="A410" i="3" a="1"/>
  <c r="A410" i="3" s="1"/>
  <c r="D409" i="2"/>
  <c r="J410" i="2" a="1"/>
  <c r="J410" i="2" s="1"/>
  <c r="K410" i="2" a="1"/>
  <c r="K410" i="2" s="1"/>
  <c r="H410" i="2" a="1"/>
  <c r="H410" i="2" s="1"/>
  <c r="I410" i="2" a="1"/>
  <c r="I410" i="2" s="1"/>
  <c r="A411" i="2" a="1"/>
  <c r="A411" i="2" s="1"/>
  <c r="B411" i="2" a="1"/>
  <c r="B411" i="2" s="1"/>
  <c r="C413" i="2"/>
  <c r="F412" i="2"/>
  <c r="D410" i="2" a="1"/>
  <c r="K411" i="3" l="1" a="1"/>
  <c r="K411" i="3" s="1"/>
  <c r="I411" i="3" a="1"/>
  <c r="I411" i="3" s="1"/>
  <c r="H411" i="3" a="1"/>
  <c r="H411" i="3" s="1"/>
  <c r="C413" i="3"/>
  <c r="F413" i="3" s="1"/>
  <c r="G412" i="3" a="1"/>
  <c r="G412" i="3" s="1"/>
  <c r="L412" i="3"/>
  <c r="M412" i="3"/>
  <c r="A411" i="3" a="1"/>
  <c r="A411" i="3" s="1"/>
  <c r="B411" i="3" a="1"/>
  <c r="B411" i="3" s="1"/>
  <c r="D410" i="2"/>
  <c r="A412" i="2" a="1"/>
  <c r="A412" i="2" s="1"/>
  <c r="B412" i="2" a="1"/>
  <c r="B412" i="2" s="1"/>
  <c r="C414" i="2"/>
  <c r="F413" i="2"/>
  <c r="K411" i="2" a="1"/>
  <c r="K411" i="2" s="1"/>
  <c r="H411" i="2" a="1"/>
  <c r="H411" i="2" s="1"/>
  <c r="I411" i="2" a="1"/>
  <c r="I411" i="2" s="1"/>
  <c r="J411" i="2" a="1"/>
  <c r="J411" i="2" s="1"/>
  <c r="D411" i="2" a="1"/>
  <c r="I412" i="3" l="1" a="1"/>
  <c r="I412" i="3" s="1"/>
  <c r="H412" i="3" a="1"/>
  <c r="H412" i="3" s="1"/>
  <c r="K412" i="3" a="1"/>
  <c r="K412" i="3" s="1"/>
  <c r="C414" i="3"/>
  <c r="G413" i="3" a="1"/>
  <c r="G413" i="3" s="1"/>
  <c r="L413" i="3"/>
  <c r="M413" i="3"/>
  <c r="J413" i="3" a="1"/>
  <c r="J413" i="3" s="1"/>
  <c r="J412" i="3" a="1"/>
  <c r="J412" i="3" s="1"/>
  <c r="A412" i="3" a="1"/>
  <c r="A412" i="3" s="1"/>
  <c r="B412" i="3" a="1"/>
  <c r="B412" i="3" s="1"/>
  <c r="D411" i="2"/>
  <c r="I412" i="2" a="1"/>
  <c r="I412" i="2" s="1"/>
  <c r="K412" i="2" a="1"/>
  <c r="K412" i="2" s="1"/>
  <c r="J412" i="2" a="1"/>
  <c r="J412" i="2" s="1"/>
  <c r="H412" i="2" a="1"/>
  <c r="H412" i="2" s="1"/>
  <c r="A413" i="2" a="1"/>
  <c r="A413" i="2" s="1"/>
  <c r="B413" i="2" a="1"/>
  <c r="B413" i="2" s="1"/>
  <c r="C415" i="2"/>
  <c r="F414" i="2"/>
  <c r="D412" i="2" a="1"/>
  <c r="C415" i="3" l="1"/>
  <c r="M414" i="3"/>
  <c r="L414" i="3"/>
  <c r="I413" i="3" a="1"/>
  <c r="I413" i="3" s="1"/>
  <c r="K413" i="3" a="1"/>
  <c r="K413" i="3" s="1"/>
  <c r="H413" i="3" a="1"/>
  <c r="H413" i="3" s="1"/>
  <c r="F414" i="3"/>
  <c r="F415" i="3" s="1"/>
  <c r="A413" i="3" a="1"/>
  <c r="A413" i="3" s="1"/>
  <c r="B413" i="3" a="1"/>
  <c r="B413" i="3" s="1"/>
  <c r="D412" i="2"/>
  <c r="B414" i="2" a="1"/>
  <c r="B414" i="2" s="1"/>
  <c r="A414" i="2" a="1"/>
  <c r="A414" i="2" s="1"/>
  <c r="C416" i="2"/>
  <c r="F415" i="2"/>
  <c r="K413" i="2" a="1"/>
  <c r="K413" i="2" s="1"/>
  <c r="J413" i="2" a="1"/>
  <c r="J413" i="2" s="1"/>
  <c r="I413" i="2" a="1"/>
  <c r="I413" i="2" s="1"/>
  <c r="H413" i="2" a="1"/>
  <c r="H413" i="2" s="1"/>
  <c r="D413" i="2" a="1"/>
  <c r="G414" i="3" l="1" a="1"/>
  <c r="G414" i="3" s="1"/>
  <c r="C416" i="3"/>
  <c r="G415" i="3" a="1"/>
  <c r="G415" i="3" s="1"/>
  <c r="L415" i="3"/>
  <c r="M415" i="3"/>
  <c r="J415" i="3" a="1"/>
  <c r="J415" i="3" s="1"/>
  <c r="A414" i="3" a="1"/>
  <c r="A414" i="3" s="1"/>
  <c r="B414" i="3" a="1"/>
  <c r="B414" i="3" s="1"/>
  <c r="D413" i="2"/>
  <c r="J414" i="2" a="1"/>
  <c r="J414" i="2" s="1"/>
  <c r="K414" i="2" a="1"/>
  <c r="K414" i="2" s="1"/>
  <c r="H414" i="2" a="1"/>
  <c r="H414" i="2" s="1"/>
  <c r="I414" i="2" a="1"/>
  <c r="I414" i="2" s="1"/>
  <c r="A415" i="2" a="1"/>
  <c r="A415" i="2" s="1"/>
  <c r="B415" i="2" a="1"/>
  <c r="B415" i="2" s="1"/>
  <c r="C417" i="2"/>
  <c r="F416" i="2"/>
  <c r="D414" i="2" a="1"/>
  <c r="C417" i="3" l="1"/>
  <c r="L416" i="3"/>
  <c r="M416" i="3"/>
  <c r="K414" i="3" a="1"/>
  <c r="K414" i="3" s="1"/>
  <c r="I414" i="3" a="1"/>
  <c r="I414" i="3" s="1"/>
  <c r="H414" i="3" a="1"/>
  <c r="H414" i="3" s="1"/>
  <c r="J414" i="3" a="1"/>
  <c r="J414" i="3" s="1"/>
  <c r="I415" i="3" a="1"/>
  <c r="I415" i="3" s="1"/>
  <c r="H415" i="3" a="1"/>
  <c r="H415" i="3" s="1"/>
  <c r="K415" i="3" a="1"/>
  <c r="K415" i="3" s="1"/>
  <c r="F416" i="3"/>
  <c r="F417" i="3" s="1"/>
  <c r="B415" i="3" a="1"/>
  <c r="B415" i="3" s="1"/>
  <c r="A415" i="3" a="1"/>
  <c r="A415" i="3" s="1"/>
  <c r="D414" i="2"/>
  <c r="A416" i="2" a="1"/>
  <c r="A416" i="2" s="1"/>
  <c r="B416" i="2" a="1"/>
  <c r="B416" i="2" s="1"/>
  <c r="I415" i="2" a="1"/>
  <c r="I415" i="2" s="1"/>
  <c r="J415" i="2" a="1"/>
  <c r="J415" i="2" s="1"/>
  <c r="K415" i="2" a="1"/>
  <c r="K415" i="2" s="1"/>
  <c r="H415" i="2" a="1"/>
  <c r="H415" i="2" s="1"/>
  <c r="C418" i="2"/>
  <c r="F417" i="2"/>
  <c r="D415" i="2" a="1"/>
  <c r="G416" i="3" l="1" a="1"/>
  <c r="G416" i="3" s="1"/>
  <c r="C418" i="3"/>
  <c r="G417" i="3" a="1"/>
  <c r="G417" i="3" s="1"/>
  <c r="L417" i="3"/>
  <c r="M417" i="3"/>
  <c r="J417" i="3" a="1"/>
  <c r="J417" i="3" s="1"/>
  <c r="A416" i="3" a="1"/>
  <c r="A416" i="3" s="1"/>
  <c r="B416" i="3" a="1"/>
  <c r="B416" i="3" s="1"/>
  <c r="D415" i="2"/>
  <c r="C419" i="2"/>
  <c r="F418" i="2"/>
  <c r="H416" i="2" a="1"/>
  <c r="H416" i="2" s="1"/>
  <c r="J416" i="2" a="1"/>
  <c r="J416" i="2" s="1"/>
  <c r="I416" i="2" a="1"/>
  <c r="I416" i="2" s="1"/>
  <c r="K416" i="2" a="1"/>
  <c r="K416" i="2" s="1"/>
  <c r="A417" i="2" a="1"/>
  <c r="A417" i="2" s="1"/>
  <c r="B417" i="2" a="1"/>
  <c r="B417" i="2" s="1"/>
  <c r="D416" i="2" a="1"/>
  <c r="C419" i="3" l="1"/>
  <c r="M418" i="3"/>
  <c r="L418" i="3"/>
  <c r="F418" i="3"/>
  <c r="F419" i="3" s="1"/>
  <c r="K417" i="3" a="1"/>
  <c r="K417" i="3" s="1"/>
  <c r="I417" i="3" a="1"/>
  <c r="I417" i="3" s="1"/>
  <c r="H417" i="3" a="1"/>
  <c r="H417" i="3" s="1"/>
  <c r="I416" i="3" a="1"/>
  <c r="I416" i="3" s="1"/>
  <c r="K416" i="3" a="1"/>
  <c r="K416" i="3" s="1"/>
  <c r="H416" i="3" a="1"/>
  <c r="H416" i="3" s="1"/>
  <c r="J416" i="3" a="1"/>
  <c r="J416" i="3" s="1"/>
  <c r="A417" i="3" a="1"/>
  <c r="A417" i="3" s="1"/>
  <c r="B417" i="3" a="1"/>
  <c r="B417" i="3" s="1"/>
  <c r="D416" i="2"/>
  <c r="J417" i="2" a="1"/>
  <c r="J417" i="2" s="1"/>
  <c r="I417" i="2" a="1"/>
  <c r="I417" i="2" s="1"/>
  <c r="K417" i="2" a="1"/>
  <c r="K417" i="2" s="1"/>
  <c r="H417" i="2" a="1"/>
  <c r="H417" i="2" s="1"/>
  <c r="B418" i="2" a="1"/>
  <c r="B418" i="2" s="1"/>
  <c r="A418" i="2" a="1"/>
  <c r="A418" i="2" s="1"/>
  <c r="C420" i="2"/>
  <c r="F419" i="2"/>
  <c r="D417" i="2" a="1"/>
  <c r="G418" i="3" l="1" a="1"/>
  <c r="G418" i="3" s="1"/>
  <c r="C420" i="3"/>
  <c r="G419" i="3" a="1"/>
  <c r="G419" i="3" s="1"/>
  <c r="L419" i="3"/>
  <c r="M419" i="3"/>
  <c r="A418" i="3" a="1"/>
  <c r="A418" i="3" s="1"/>
  <c r="B418" i="3" a="1"/>
  <c r="B418" i="3" s="1"/>
  <c r="D417" i="2"/>
  <c r="I418" i="2" a="1"/>
  <c r="I418" i="2" s="1"/>
  <c r="J418" i="2" a="1"/>
  <c r="J418" i="2" s="1"/>
  <c r="K418" i="2" a="1"/>
  <c r="K418" i="2" s="1"/>
  <c r="H418" i="2" a="1"/>
  <c r="H418" i="2" s="1"/>
  <c r="B419" i="2" a="1"/>
  <c r="B419" i="2" s="1"/>
  <c r="A419" i="2" a="1"/>
  <c r="A419" i="2" s="1"/>
  <c r="C421" i="2"/>
  <c r="F420" i="2"/>
  <c r="D418" i="2" a="1"/>
  <c r="I419" i="3" l="1" a="1"/>
  <c r="I419" i="3" s="1"/>
  <c r="K419" i="3" a="1"/>
  <c r="K419" i="3" s="1"/>
  <c r="H419" i="3" a="1"/>
  <c r="H419" i="3" s="1"/>
  <c r="C421" i="3"/>
  <c r="G420" i="3" a="1"/>
  <c r="G420" i="3" s="1"/>
  <c r="L420" i="3"/>
  <c r="M420" i="3"/>
  <c r="J419" i="3" a="1"/>
  <c r="J419" i="3" s="1"/>
  <c r="I418" i="3" a="1"/>
  <c r="I418" i="3" s="1"/>
  <c r="K418" i="3" a="1"/>
  <c r="K418" i="3" s="1"/>
  <c r="H418" i="3" a="1"/>
  <c r="H418" i="3" s="1"/>
  <c r="J418" i="3" a="1"/>
  <c r="J418" i="3" s="1"/>
  <c r="F420" i="3"/>
  <c r="A419" i="3" a="1"/>
  <c r="A419" i="3" s="1"/>
  <c r="B419" i="3" a="1"/>
  <c r="B419" i="3" s="1"/>
  <c r="D418" i="2"/>
  <c r="A420" i="2" a="1"/>
  <c r="A420" i="2" s="1"/>
  <c r="B420" i="2" a="1"/>
  <c r="B420" i="2" s="1"/>
  <c r="I419" i="2" a="1"/>
  <c r="I419" i="2" s="1"/>
  <c r="H419" i="2" a="1"/>
  <c r="H419" i="2" s="1"/>
  <c r="J419" i="2" a="1"/>
  <c r="J419" i="2" s="1"/>
  <c r="K419" i="2" a="1"/>
  <c r="K419" i="2" s="1"/>
  <c r="C422" i="2"/>
  <c r="F421" i="2"/>
  <c r="D419" i="2" a="1"/>
  <c r="K420" i="3" l="1" a="1"/>
  <c r="K420" i="3" s="1"/>
  <c r="I420" i="3" a="1"/>
  <c r="I420" i="3" s="1"/>
  <c r="H420" i="3" a="1"/>
  <c r="H420" i="3" s="1"/>
  <c r="C422" i="3"/>
  <c r="L421" i="3"/>
  <c r="M421" i="3"/>
  <c r="F421" i="3"/>
  <c r="F422" i="3" s="1"/>
  <c r="J420" i="3" a="1"/>
  <c r="J420" i="3" s="1"/>
  <c r="B420" i="3" a="1"/>
  <c r="B420" i="3" s="1"/>
  <c r="A420" i="3" a="1"/>
  <c r="A420" i="3" s="1"/>
  <c r="D419" i="2"/>
  <c r="A421" i="2" a="1"/>
  <c r="A421" i="2" s="1"/>
  <c r="B421" i="2" a="1"/>
  <c r="B421" i="2" s="1"/>
  <c r="H420" i="2" a="1"/>
  <c r="H420" i="2" s="1"/>
  <c r="I420" i="2" a="1"/>
  <c r="I420" i="2" s="1"/>
  <c r="J420" i="2" a="1"/>
  <c r="J420" i="2" s="1"/>
  <c r="K420" i="2" a="1"/>
  <c r="K420" i="2" s="1"/>
  <c r="C423" i="2"/>
  <c r="F422" i="2"/>
  <c r="D420" i="2" a="1"/>
  <c r="C423" i="3" l="1"/>
  <c r="G422" i="3" a="1"/>
  <c r="G422" i="3" s="1"/>
  <c r="L422" i="3"/>
  <c r="M422" i="3"/>
  <c r="J422" i="3" a="1"/>
  <c r="J422" i="3" s="1"/>
  <c r="F423" i="3"/>
  <c r="G421" i="3" a="1"/>
  <c r="G421" i="3" s="1"/>
  <c r="A421" i="3" a="1"/>
  <c r="A421" i="3" s="1"/>
  <c r="B421" i="3" a="1"/>
  <c r="B421" i="3" s="1"/>
  <c r="D420" i="2"/>
  <c r="C424" i="2"/>
  <c r="F423" i="2"/>
  <c r="J421" i="2" a="1"/>
  <c r="J421" i="2" s="1"/>
  <c r="H421" i="2" a="1"/>
  <c r="H421" i="2" s="1"/>
  <c r="I421" i="2" a="1"/>
  <c r="I421" i="2" s="1"/>
  <c r="K421" i="2" a="1"/>
  <c r="K421" i="2" s="1"/>
  <c r="A422" i="2" a="1"/>
  <c r="A422" i="2" s="1"/>
  <c r="B422" i="2" a="1"/>
  <c r="B422" i="2" s="1"/>
  <c r="D421" i="2" a="1"/>
  <c r="I422" i="3" l="1" a="1"/>
  <c r="I422" i="3" s="1"/>
  <c r="K422" i="3" a="1"/>
  <c r="K422" i="3" s="1"/>
  <c r="H422" i="3" a="1"/>
  <c r="H422" i="3" s="1"/>
  <c r="I421" i="3" a="1"/>
  <c r="I421" i="3" s="1"/>
  <c r="K421" i="3" a="1"/>
  <c r="K421" i="3" s="1"/>
  <c r="H421" i="3" a="1"/>
  <c r="H421" i="3" s="1"/>
  <c r="J421" i="3" a="1"/>
  <c r="J421" i="3" s="1"/>
  <c r="C424" i="3"/>
  <c r="G423" i="3" a="1"/>
  <c r="G423" i="3" s="1"/>
  <c r="L423" i="3"/>
  <c r="M423" i="3"/>
  <c r="B422" i="3" a="1"/>
  <c r="B422" i="3" s="1"/>
  <c r="A422" i="3" a="1"/>
  <c r="A422" i="3" s="1"/>
  <c r="D421" i="2"/>
  <c r="J422" i="2" a="1"/>
  <c r="J422" i="2" s="1"/>
  <c r="K422" i="2" a="1"/>
  <c r="K422" i="2" s="1"/>
  <c r="H422" i="2" a="1"/>
  <c r="H422" i="2" s="1"/>
  <c r="I422" i="2" a="1"/>
  <c r="I422" i="2" s="1"/>
  <c r="A423" i="2" a="1"/>
  <c r="A423" i="2" s="1"/>
  <c r="B423" i="2" a="1"/>
  <c r="B423" i="2" s="1"/>
  <c r="C425" i="2"/>
  <c r="F424" i="2"/>
  <c r="D422" i="2" a="1"/>
  <c r="C425" i="3" l="1"/>
  <c r="L424" i="3"/>
  <c r="M424" i="3"/>
  <c r="K423" i="3" a="1"/>
  <c r="K423" i="3" s="1"/>
  <c r="I423" i="3" a="1"/>
  <c r="I423" i="3" s="1"/>
  <c r="H423" i="3" a="1"/>
  <c r="H423" i="3" s="1"/>
  <c r="F424" i="3"/>
  <c r="F425" i="3" s="1"/>
  <c r="J423" i="3" a="1"/>
  <c r="J423" i="3" s="1"/>
  <c r="A423" i="3" a="1"/>
  <c r="A423" i="3" s="1"/>
  <c r="B423" i="3" a="1"/>
  <c r="B423" i="3" s="1"/>
  <c r="D422" i="2"/>
  <c r="C426" i="2"/>
  <c r="F425" i="2"/>
  <c r="I423" i="2" a="1"/>
  <c r="I423" i="2" s="1"/>
  <c r="H423" i="2" a="1"/>
  <c r="H423" i="2" s="1"/>
  <c r="J423" i="2" a="1"/>
  <c r="J423" i="2" s="1"/>
  <c r="K423" i="2" a="1"/>
  <c r="K423" i="2" s="1"/>
  <c r="A424" i="2" a="1"/>
  <c r="A424" i="2" s="1"/>
  <c r="B424" i="2" a="1"/>
  <c r="B424" i="2" s="1"/>
  <c r="D423" i="2" a="1"/>
  <c r="G424" i="3" l="1" a="1"/>
  <c r="G424" i="3" s="1"/>
  <c r="C426" i="3"/>
  <c r="G425" i="3" a="1"/>
  <c r="G425" i="3" s="1"/>
  <c r="L425" i="3"/>
  <c r="M425" i="3"/>
  <c r="J425" i="3" a="1"/>
  <c r="J425" i="3" s="1"/>
  <c r="A424" i="3" a="1"/>
  <c r="A424" i="3" s="1"/>
  <c r="B424" i="3" a="1"/>
  <c r="B424" i="3" s="1"/>
  <c r="D423" i="2"/>
  <c r="K424" i="2" a="1"/>
  <c r="K424" i="2" s="1"/>
  <c r="I424" i="2" a="1"/>
  <c r="I424" i="2" s="1"/>
  <c r="H424" i="2" a="1"/>
  <c r="H424" i="2" s="1"/>
  <c r="J424" i="2" a="1"/>
  <c r="J424" i="2" s="1"/>
  <c r="A425" i="2" a="1"/>
  <c r="A425" i="2" s="1"/>
  <c r="B425" i="2" a="1"/>
  <c r="B425" i="2" s="1"/>
  <c r="C427" i="2"/>
  <c r="F426" i="2"/>
  <c r="D424" i="2" a="1"/>
  <c r="I424" i="3" l="1" a="1"/>
  <c r="I424" i="3" s="1"/>
  <c r="K424" i="3" a="1"/>
  <c r="K424" i="3" s="1"/>
  <c r="H424" i="3" a="1"/>
  <c r="H424" i="3" s="1"/>
  <c r="J424" i="3" a="1"/>
  <c r="J424" i="3" s="1"/>
  <c r="I425" i="3" a="1"/>
  <c r="I425" i="3" s="1"/>
  <c r="K425" i="3" a="1"/>
  <c r="K425" i="3" s="1"/>
  <c r="H425" i="3" a="1"/>
  <c r="H425" i="3" s="1"/>
  <c r="C427" i="3"/>
  <c r="G426" i="3" a="1"/>
  <c r="G426" i="3" s="1"/>
  <c r="M426" i="3"/>
  <c r="L426" i="3"/>
  <c r="J426" i="3" a="1"/>
  <c r="J426" i="3" s="1"/>
  <c r="F426" i="3"/>
  <c r="A425" i="3" a="1"/>
  <c r="A425" i="3" s="1"/>
  <c r="B425" i="3" a="1"/>
  <c r="B425" i="3" s="1"/>
  <c r="D424" i="2"/>
  <c r="C428" i="2"/>
  <c r="F427" i="2"/>
  <c r="B426" i="2" a="1"/>
  <c r="B426" i="2" s="1"/>
  <c r="A426" i="2" a="1"/>
  <c r="A426" i="2" s="1"/>
  <c r="H425" i="2" a="1"/>
  <c r="H425" i="2" s="1"/>
  <c r="K425" i="2" a="1"/>
  <c r="K425" i="2" s="1"/>
  <c r="I425" i="2" a="1"/>
  <c r="I425" i="2" s="1"/>
  <c r="J425" i="2" a="1"/>
  <c r="J425" i="2" s="1"/>
  <c r="D425" i="2" a="1"/>
  <c r="C428" i="3" l="1"/>
  <c r="L427" i="3"/>
  <c r="M427" i="3"/>
  <c r="K426" i="3" a="1"/>
  <c r="K426" i="3" s="1"/>
  <c r="I426" i="3" a="1"/>
  <c r="I426" i="3" s="1"/>
  <c r="H426" i="3" a="1"/>
  <c r="H426" i="3" s="1"/>
  <c r="F427" i="3"/>
  <c r="F428" i="3" s="1"/>
  <c r="A426" i="3" a="1"/>
  <c r="A426" i="3" s="1"/>
  <c r="B426" i="3" a="1"/>
  <c r="B426" i="3" s="1"/>
  <c r="D425" i="2"/>
  <c r="K426" i="2" a="1"/>
  <c r="K426" i="2" s="1"/>
  <c r="I426" i="2" a="1"/>
  <c r="I426" i="2" s="1"/>
  <c r="H426" i="2" a="1"/>
  <c r="H426" i="2" s="1"/>
  <c r="J426" i="2" a="1"/>
  <c r="J426" i="2" s="1"/>
  <c r="B427" i="2" a="1"/>
  <c r="B427" i="2" s="1"/>
  <c r="A427" i="2" a="1"/>
  <c r="A427" i="2" s="1"/>
  <c r="C429" i="2"/>
  <c r="F428" i="2"/>
  <c r="D426" i="2" a="1"/>
  <c r="G427" i="3" l="1" a="1"/>
  <c r="G427" i="3" s="1"/>
  <c r="C429" i="3"/>
  <c r="G428" i="3" a="1"/>
  <c r="G428" i="3" s="1"/>
  <c r="L428" i="3"/>
  <c r="M428" i="3"/>
  <c r="J428" i="3" a="1"/>
  <c r="J428" i="3" s="1"/>
  <c r="B427" i="3" a="1"/>
  <c r="B427" i="3" s="1"/>
  <c r="A427" i="3" a="1"/>
  <c r="A427" i="3" s="1"/>
  <c r="D426" i="2"/>
  <c r="A428" i="2" a="1"/>
  <c r="A428" i="2" s="1"/>
  <c r="B428" i="2" a="1"/>
  <c r="B428" i="2" s="1"/>
  <c r="C430" i="2"/>
  <c r="F429" i="2"/>
  <c r="H427" i="2" a="1"/>
  <c r="H427" i="2" s="1"/>
  <c r="I427" i="2" a="1"/>
  <c r="I427" i="2" s="1"/>
  <c r="J427" i="2" a="1"/>
  <c r="J427" i="2" s="1"/>
  <c r="K427" i="2" a="1"/>
  <c r="K427" i="2" s="1"/>
  <c r="D427" i="2" a="1"/>
  <c r="C430" i="3" l="1"/>
  <c r="G429" i="3" a="1"/>
  <c r="G429" i="3" s="1"/>
  <c r="L429" i="3"/>
  <c r="M429" i="3"/>
  <c r="J429" i="3" a="1"/>
  <c r="J429" i="3" s="1"/>
  <c r="I428" i="3" a="1"/>
  <c r="I428" i="3" s="1"/>
  <c r="K428" i="3" a="1"/>
  <c r="K428" i="3" s="1"/>
  <c r="H428" i="3" a="1"/>
  <c r="H428" i="3" s="1"/>
  <c r="I427" i="3" a="1"/>
  <c r="I427" i="3" s="1"/>
  <c r="H427" i="3" a="1"/>
  <c r="H427" i="3" s="1"/>
  <c r="K427" i="3" a="1"/>
  <c r="K427" i="3" s="1"/>
  <c r="J427" i="3" a="1"/>
  <c r="J427" i="3" s="1"/>
  <c r="F429" i="3"/>
  <c r="F430" i="3" s="1"/>
  <c r="A428" i="3" a="1"/>
  <c r="A428" i="3" s="1"/>
  <c r="B428" i="3" a="1"/>
  <c r="B428" i="3" s="1"/>
  <c r="D427" i="2"/>
  <c r="K428" i="2" a="1"/>
  <c r="K428" i="2" s="1"/>
  <c r="J428" i="2" a="1"/>
  <c r="J428" i="2" s="1"/>
  <c r="H428" i="2" a="1"/>
  <c r="H428" i="2" s="1"/>
  <c r="I428" i="2" a="1"/>
  <c r="I428" i="2" s="1"/>
  <c r="C431" i="2"/>
  <c r="F430" i="2"/>
  <c r="A429" i="2" a="1"/>
  <c r="A429" i="2" s="1"/>
  <c r="B429" i="2" a="1"/>
  <c r="B429" i="2" s="1"/>
  <c r="D428" i="2" a="1"/>
  <c r="K429" i="3" l="1" a="1"/>
  <c r="K429" i="3" s="1"/>
  <c r="I429" i="3" a="1"/>
  <c r="I429" i="3" s="1"/>
  <c r="H429" i="3" a="1"/>
  <c r="H429" i="3" s="1"/>
  <c r="C431" i="3"/>
  <c r="G430" i="3" a="1"/>
  <c r="G430" i="3" s="1"/>
  <c r="L430" i="3"/>
  <c r="M430" i="3"/>
  <c r="J430" i="3" a="1"/>
  <c r="J430" i="3" s="1"/>
  <c r="A429" i="3" a="1"/>
  <c r="A429" i="3" s="1"/>
  <c r="B429" i="3" a="1"/>
  <c r="B429" i="3" s="1"/>
  <c r="D428" i="2"/>
  <c r="K429" i="2" a="1"/>
  <c r="K429" i="2" s="1"/>
  <c r="J429" i="2" a="1"/>
  <c r="J429" i="2" s="1"/>
  <c r="H429" i="2" a="1"/>
  <c r="H429" i="2" s="1"/>
  <c r="I429" i="2" a="1"/>
  <c r="I429" i="2" s="1"/>
  <c r="A430" i="2" a="1"/>
  <c r="A430" i="2" s="1"/>
  <c r="B430" i="2" a="1"/>
  <c r="B430" i="2" s="1"/>
  <c r="C432" i="2"/>
  <c r="F431" i="2"/>
  <c r="D429" i="2" a="1"/>
  <c r="I430" i="3" l="1" a="1"/>
  <c r="I430" i="3" s="1"/>
  <c r="H430" i="3" a="1"/>
  <c r="H430" i="3" s="1"/>
  <c r="K430" i="3" a="1"/>
  <c r="K430" i="3" s="1"/>
  <c r="C432" i="3"/>
  <c r="L431" i="3"/>
  <c r="M431" i="3"/>
  <c r="F431" i="3"/>
  <c r="F432" i="3" s="1"/>
  <c r="A430" i="3" a="1"/>
  <c r="A430" i="3" s="1"/>
  <c r="B430" i="3" a="1"/>
  <c r="B430" i="3" s="1"/>
  <c r="D429" i="2"/>
  <c r="C433" i="2"/>
  <c r="F432" i="2"/>
  <c r="B431" i="2" a="1"/>
  <c r="B431" i="2" s="1"/>
  <c r="A431" i="2" a="1"/>
  <c r="A431" i="2" s="1"/>
  <c r="J430" i="2" a="1"/>
  <c r="J430" i="2" s="1"/>
  <c r="H430" i="2" a="1"/>
  <c r="H430" i="2" s="1"/>
  <c r="K430" i="2" a="1"/>
  <c r="K430" i="2" s="1"/>
  <c r="I430" i="2" a="1"/>
  <c r="I430" i="2" s="1"/>
  <c r="D430" i="2" a="1"/>
  <c r="C433" i="3" l="1"/>
  <c r="G432" i="3" a="1"/>
  <c r="G432" i="3" s="1"/>
  <c r="L432" i="3"/>
  <c r="M432" i="3"/>
  <c r="J432" i="3" a="1"/>
  <c r="J432" i="3" s="1"/>
  <c r="G431" i="3" a="1"/>
  <c r="G431" i="3" s="1"/>
  <c r="A431" i="3" a="1"/>
  <c r="A431" i="3" s="1"/>
  <c r="B431" i="3" a="1"/>
  <c r="B431" i="3" s="1"/>
  <c r="D430" i="2"/>
  <c r="K431" i="2" a="1"/>
  <c r="K431" i="2" s="1"/>
  <c r="J431" i="2" a="1"/>
  <c r="J431" i="2" s="1"/>
  <c r="I431" i="2" a="1"/>
  <c r="I431" i="2" s="1"/>
  <c r="H431" i="2" a="1"/>
  <c r="H431" i="2" s="1"/>
  <c r="A432" i="2" a="1"/>
  <c r="A432" i="2" s="1"/>
  <c r="B432" i="2" a="1"/>
  <c r="B432" i="2" s="1"/>
  <c r="C434" i="2"/>
  <c r="F433" i="2"/>
  <c r="D431" i="2" a="1"/>
  <c r="C434" i="3" l="1"/>
  <c r="G433" i="3" a="1"/>
  <c r="G433" i="3" s="1"/>
  <c r="J433" i="3" a="1"/>
  <c r="J433" i="3" s="1"/>
  <c r="L433" i="3"/>
  <c r="M433" i="3"/>
  <c r="I431" i="3" a="1"/>
  <c r="I431" i="3" s="1"/>
  <c r="K431" i="3" a="1"/>
  <c r="K431" i="3" s="1"/>
  <c r="H431" i="3" a="1"/>
  <c r="H431" i="3" s="1"/>
  <c r="J431" i="3" a="1"/>
  <c r="J431" i="3" s="1"/>
  <c r="K432" i="3" a="1"/>
  <c r="K432" i="3" s="1"/>
  <c r="I432" i="3" a="1"/>
  <c r="I432" i="3" s="1"/>
  <c r="H432" i="3" a="1"/>
  <c r="H432" i="3" s="1"/>
  <c r="F433" i="3"/>
  <c r="F434" i="3" s="1"/>
  <c r="B432" i="3" a="1"/>
  <c r="B432" i="3" s="1"/>
  <c r="A432" i="3" a="1"/>
  <c r="A432" i="3" s="1"/>
  <c r="D431" i="2"/>
  <c r="C435" i="2"/>
  <c r="F434" i="2"/>
  <c r="A433" i="2" a="1"/>
  <c r="A433" i="2" s="1"/>
  <c r="B433" i="2" a="1"/>
  <c r="B433" i="2" s="1"/>
  <c r="K432" i="2" a="1"/>
  <c r="K432" i="2" s="1"/>
  <c r="J432" i="2" a="1"/>
  <c r="J432" i="2" s="1"/>
  <c r="H432" i="2" a="1"/>
  <c r="H432" i="2" s="1"/>
  <c r="I432" i="2" a="1"/>
  <c r="I432" i="2" s="1"/>
  <c r="D432" i="2" a="1"/>
  <c r="I433" i="3" l="1" a="1"/>
  <c r="I433" i="3" s="1"/>
  <c r="H433" i="3" a="1"/>
  <c r="H433" i="3" s="1"/>
  <c r="K433" i="3" a="1"/>
  <c r="K433" i="3" s="1"/>
  <c r="C435" i="3"/>
  <c r="F435" i="3" s="1"/>
  <c r="G434" i="3" a="1"/>
  <c r="G434" i="3" s="1"/>
  <c r="M434" i="3"/>
  <c r="L434" i="3"/>
  <c r="A433" i="3" a="1"/>
  <c r="A433" i="3" s="1"/>
  <c r="B433" i="3" a="1"/>
  <c r="B433" i="3" s="1"/>
  <c r="D432" i="2"/>
  <c r="K433" i="2" a="1"/>
  <c r="K433" i="2" s="1"/>
  <c r="H433" i="2" a="1"/>
  <c r="H433" i="2" s="1"/>
  <c r="I433" i="2" a="1"/>
  <c r="I433" i="2" s="1"/>
  <c r="J433" i="2" a="1"/>
  <c r="J433" i="2" s="1"/>
  <c r="A434" i="2" a="1"/>
  <c r="A434" i="2" s="1"/>
  <c r="B434" i="2" a="1"/>
  <c r="B434" i="2" s="1"/>
  <c r="C436" i="2"/>
  <c r="F435" i="2"/>
  <c r="D433" i="2" a="1"/>
  <c r="I434" i="3" l="1" a="1"/>
  <c r="I434" i="3" s="1"/>
  <c r="K434" i="3" a="1"/>
  <c r="K434" i="3" s="1"/>
  <c r="H434" i="3" a="1"/>
  <c r="H434" i="3" s="1"/>
  <c r="J434" i="3" a="1"/>
  <c r="J434" i="3" s="1"/>
  <c r="C436" i="3"/>
  <c r="G435" i="3" a="1"/>
  <c r="G435" i="3" s="1"/>
  <c r="L435" i="3"/>
  <c r="M435" i="3"/>
  <c r="J435" i="3" a="1"/>
  <c r="J435" i="3" s="1"/>
  <c r="A434" i="3" a="1"/>
  <c r="A434" i="3" s="1"/>
  <c r="B434" i="3" a="1"/>
  <c r="B434" i="3" s="1"/>
  <c r="D433" i="2"/>
  <c r="K434" i="2" a="1"/>
  <c r="K434" i="2" s="1"/>
  <c r="H434" i="2" a="1"/>
  <c r="H434" i="2" s="1"/>
  <c r="I434" i="2" a="1"/>
  <c r="I434" i="2" s="1"/>
  <c r="J434" i="2" a="1"/>
  <c r="J434" i="2" s="1"/>
  <c r="C437" i="2"/>
  <c r="F436" i="2"/>
  <c r="A435" i="2" a="1"/>
  <c r="A435" i="2" s="1"/>
  <c r="B435" i="2" a="1"/>
  <c r="B435" i="2" s="1"/>
  <c r="D434" i="2" a="1"/>
  <c r="C437" i="3" l="1"/>
  <c r="L436" i="3"/>
  <c r="M436" i="3"/>
  <c r="K435" i="3" a="1"/>
  <c r="K435" i="3" s="1"/>
  <c r="I435" i="3" a="1"/>
  <c r="I435" i="3" s="1"/>
  <c r="H435" i="3" a="1"/>
  <c r="H435" i="3" s="1"/>
  <c r="F436" i="3"/>
  <c r="F437" i="3" s="1"/>
  <c r="A435" i="3" a="1"/>
  <c r="A435" i="3" s="1"/>
  <c r="B435" i="3" a="1"/>
  <c r="B435" i="3" s="1"/>
  <c r="D434" i="2"/>
  <c r="I435" i="2" a="1"/>
  <c r="I435" i="2" s="1"/>
  <c r="K435" i="2" a="1"/>
  <c r="K435" i="2" s="1"/>
  <c r="J435" i="2" a="1"/>
  <c r="J435" i="2" s="1"/>
  <c r="H435" i="2" a="1"/>
  <c r="H435" i="2" s="1"/>
  <c r="C438" i="2"/>
  <c r="F437" i="2"/>
  <c r="A436" i="2" a="1"/>
  <c r="A436" i="2" s="1"/>
  <c r="B436" i="2" a="1"/>
  <c r="B436" i="2" s="1"/>
  <c r="D435" i="2" a="1"/>
  <c r="G436" i="3" l="1" a="1"/>
  <c r="G436" i="3" s="1"/>
  <c r="C438" i="3"/>
  <c r="G437" i="3" a="1"/>
  <c r="G437" i="3" s="1"/>
  <c r="L437" i="3"/>
  <c r="M437" i="3"/>
  <c r="A436" i="3" a="1"/>
  <c r="A436" i="3" s="1"/>
  <c r="B436" i="3" a="1"/>
  <c r="B436" i="3" s="1"/>
  <c r="D435" i="2"/>
  <c r="K436" i="2" a="1"/>
  <c r="K436" i="2" s="1"/>
  <c r="H436" i="2" a="1"/>
  <c r="H436" i="2" s="1"/>
  <c r="I436" i="2" a="1"/>
  <c r="I436" i="2" s="1"/>
  <c r="J436" i="2" a="1"/>
  <c r="J436" i="2" s="1"/>
  <c r="A437" i="2" a="1"/>
  <c r="A437" i="2" s="1"/>
  <c r="B437" i="2" a="1"/>
  <c r="B437" i="2" s="1"/>
  <c r="C439" i="2"/>
  <c r="F438" i="2"/>
  <c r="D436" i="2" a="1"/>
  <c r="I437" i="3" l="1" a="1"/>
  <c r="I437" i="3" s="1"/>
  <c r="K437" i="3" a="1"/>
  <c r="K437" i="3" s="1"/>
  <c r="H437" i="3" a="1"/>
  <c r="H437" i="3" s="1"/>
  <c r="J437" i="3" a="1"/>
  <c r="J437" i="3" s="1"/>
  <c r="C439" i="3"/>
  <c r="G438" i="3" a="1"/>
  <c r="G438" i="3" s="1"/>
  <c r="M438" i="3"/>
  <c r="L438" i="3"/>
  <c r="J438" i="3" a="1"/>
  <c r="J438" i="3" s="1"/>
  <c r="I436" i="3" a="1"/>
  <c r="I436" i="3" s="1"/>
  <c r="H436" i="3" a="1"/>
  <c r="H436" i="3" s="1"/>
  <c r="K436" i="3" a="1"/>
  <c r="K436" i="3" s="1"/>
  <c r="J436" i="3" a="1"/>
  <c r="J436" i="3" s="1"/>
  <c r="F438" i="3"/>
  <c r="A437" i="3" a="1"/>
  <c r="A437" i="3" s="1"/>
  <c r="B437" i="3" a="1"/>
  <c r="B437" i="3" s="1"/>
  <c r="D436" i="2"/>
  <c r="A438" i="2" a="1"/>
  <c r="A438" i="2" s="1"/>
  <c r="B438" i="2" a="1"/>
  <c r="B438" i="2" s="1"/>
  <c r="J437" i="2" a="1"/>
  <c r="J437" i="2" s="1"/>
  <c r="H437" i="2" a="1"/>
  <c r="H437" i="2" s="1"/>
  <c r="I437" i="2" a="1"/>
  <c r="I437" i="2" s="1"/>
  <c r="K437" i="2" a="1"/>
  <c r="K437" i="2" s="1"/>
  <c r="C440" i="2"/>
  <c r="F439" i="2"/>
  <c r="D437" i="2" a="1"/>
  <c r="K438" i="3" l="1" a="1"/>
  <c r="K438" i="3" s="1"/>
  <c r="I438" i="3" a="1"/>
  <c r="I438" i="3" s="1"/>
  <c r="H438" i="3" a="1"/>
  <c r="H438" i="3" s="1"/>
  <c r="C440" i="3"/>
  <c r="G439" i="3" a="1"/>
  <c r="G439" i="3" s="1"/>
  <c r="L439" i="3"/>
  <c r="M439" i="3"/>
  <c r="F439" i="3"/>
  <c r="F440" i="3" s="1"/>
  <c r="A438" i="3" a="1"/>
  <c r="A438" i="3" s="1"/>
  <c r="B438" i="3" a="1"/>
  <c r="B438" i="3" s="1"/>
  <c r="D437" i="2"/>
  <c r="B439" i="2" a="1"/>
  <c r="B439" i="2" s="1"/>
  <c r="A439" i="2" a="1"/>
  <c r="A439" i="2" s="1"/>
  <c r="K438" i="2" a="1"/>
  <c r="K438" i="2" s="1"/>
  <c r="H438" i="2" a="1"/>
  <c r="H438" i="2" s="1"/>
  <c r="J438" i="2" a="1"/>
  <c r="J438" i="2" s="1"/>
  <c r="I438" i="2" a="1"/>
  <c r="I438" i="2" s="1"/>
  <c r="C441" i="2"/>
  <c r="F440" i="2"/>
  <c r="D438" i="2" a="1"/>
  <c r="I439" i="3" l="1" a="1"/>
  <c r="I439" i="3" s="1"/>
  <c r="K439" i="3" a="1"/>
  <c r="K439" i="3" s="1"/>
  <c r="H439" i="3" a="1"/>
  <c r="H439" i="3" s="1"/>
  <c r="C441" i="3"/>
  <c r="G440" i="3" a="1"/>
  <c r="G440" i="3" s="1"/>
  <c r="L440" i="3"/>
  <c r="M440" i="3"/>
  <c r="J440" i="3" a="1"/>
  <c r="J440" i="3" s="1"/>
  <c r="F441" i="3"/>
  <c r="J439" i="3" a="1"/>
  <c r="J439" i="3" s="1"/>
  <c r="B439" i="3" a="1"/>
  <c r="B439" i="3" s="1"/>
  <c r="A439" i="3" a="1"/>
  <c r="A439" i="3" s="1"/>
  <c r="D438" i="2"/>
  <c r="I439" i="2" a="1"/>
  <c r="I439" i="2" s="1"/>
  <c r="K439" i="2" a="1"/>
  <c r="K439" i="2" s="1"/>
  <c r="H439" i="2" a="1"/>
  <c r="H439" i="2" s="1"/>
  <c r="J439" i="2" a="1"/>
  <c r="J439" i="2" s="1"/>
  <c r="A440" i="2" a="1"/>
  <c r="A440" i="2" s="1"/>
  <c r="B440" i="2" a="1"/>
  <c r="B440" i="2" s="1"/>
  <c r="C442" i="2"/>
  <c r="F441" i="2"/>
  <c r="D439" i="2" a="1"/>
  <c r="K440" i="3" l="1" a="1"/>
  <c r="K440" i="3" s="1"/>
  <c r="H440" i="3" a="1"/>
  <c r="H440" i="3" s="1"/>
  <c r="I440" i="3" a="1"/>
  <c r="I440" i="3" s="1"/>
  <c r="C442" i="3"/>
  <c r="G441" i="3" a="1"/>
  <c r="G441" i="3" s="1"/>
  <c r="L441" i="3"/>
  <c r="M441" i="3"/>
  <c r="J441" i="3" a="1"/>
  <c r="J441" i="3" s="1"/>
  <c r="F442" i="3"/>
  <c r="A440" i="3" a="1"/>
  <c r="A440" i="3" s="1"/>
  <c r="B440" i="3" a="1"/>
  <c r="B440" i="3" s="1"/>
  <c r="D439" i="2"/>
  <c r="B441" i="2" a="1"/>
  <c r="B441" i="2" s="1"/>
  <c r="A441" i="2" a="1"/>
  <c r="A441" i="2" s="1"/>
  <c r="K440" i="2" a="1"/>
  <c r="K440" i="2" s="1"/>
  <c r="H440" i="2" a="1"/>
  <c r="H440" i="2" s="1"/>
  <c r="J440" i="2" a="1"/>
  <c r="J440" i="2" s="1"/>
  <c r="I440" i="2" a="1"/>
  <c r="I440" i="2" s="1"/>
  <c r="C443" i="2"/>
  <c r="F442" i="2"/>
  <c r="D440" i="2" a="1"/>
  <c r="C443" i="3" l="1"/>
  <c r="G442" i="3" a="1"/>
  <c r="G442" i="3" s="1"/>
  <c r="L442" i="3"/>
  <c r="M442" i="3"/>
  <c r="J442" i="3" a="1"/>
  <c r="J442" i="3" s="1"/>
  <c r="F443" i="3"/>
  <c r="K441" i="3" a="1"/>
  <c r="K441" i="3" s="1"/>
  <c r="H441" i="3" a="1"/>
  <c r="H441" i="3" s="1"/>
  <c r="I441" i="3" a="1"/>
  <c r="I441" i="3" s="1"/>
  <c r="A441" i="3" a="1"/>
  <c r="A441" i="3" s="1"/>
  <c r="B441" i="3" a="1"/>
  <c r="B441" i="3" s="1"/>
  <c r="D440" i="2"/>
  <c r="C444" i="2"/>
  <c r="F443" i="2"/>
  <c r="B442" i="2" a="1"/>
  <c r="B442" i="2" s="1"/>
  <c r="A442" i="2" a="1"/>
  <c r="A442" i="2" s="1"/>
  <c r="J441" i="2" a="1"/>
  <c r="J441" i="2" s="1"/>
  <c r="H441" i="2" a="1"/>
  <c r="H441" i="2" s="1"/>
  <c r="I441" i="2" a="1"/>
  <c r="I441" i="2" s="1"/>
  <c r="K441" i="2" a="1"/>
  <c r="K441" i="2" s="1"/>
  <c r="D441" i="2" a="1"/>
  <c r="I442" i="3" l="1" a="1"/>
  <c r="I442" i="3" s="1"/>
  <c r="K442" i="3" a="1"/>
  <c r="K442" i="3" s="1"/>
  <c r="H442" i="3" a="1"/>
  <c r="H442" i="3" s="1"/>
  <c r="C444" i="3"/>
  <c r="G443" i="3" a="1"/>
  <c r="G443" i="3" s="1"/>
  <c r="L443" i="3"/>
  <c r="M443" i="3"/>
  <c r="J443" i="3" a="1"/>
  <c r="J443" i="3" s="1"/>
  <c r="A442" i="3" a="1"/>
  <c r="A442" i="3" s="1"/>
  <c r="B442" i="3" a="1"/>
  <c r="B442" i="3" s="1"/>
  <c r="D441" i="2"/>
  <c r="J442" i="2" a="1"/>
  <c r="J442" i="2" s="1"/>
  <c r="H442" i="2" a="1"/>
  <c r="H442" i="2" s="1"/>
  <c r="K442" i="2" a="1"/>
  <c r="K442" i="2" s="1"/>
  <c r="I442" i="2" a="1"/>
  <c r="I442" i="2" s="1"/>
  <c r="B443" i="2" a="1"/>
  <c r="B443" i="2" s="1"/>
  <c r="A443" i="2" a="1"/>
  <c r="A443" i="2" s="1"/>
  <c r="C445" i="2"/>
  <c r="F444" i="2"/>
  <c r="D442" i="2" a="1"/>
  <c r="C445" i="3" l="1"/>
  <c r="L444" i="3"/>
  <c r="M444" i="3"/>
  <c r="I443" i="3" a="1"/>
  <c r="I443" i="3" s="1"/>
  <c r="K443" i="3" a="1"/>
  <c r="K443" i="3" s="1"/>
  <c r="H443" i="3" a="1"/>
  <c r="H443" i="3" s="1"/>
  <c r="F444" i="3"/>
  <c r="F445" i="3" s="1"/>
  <c r="A443" i="3" a="1"/>
  <c r="A443" i="3" s="1"/>
  <c r="B443" i="3" a="1"/>
  <c r="B443" i="3" s="1"/>
  <c r="D442" i="2"/>
  <c r="A444" i="2" a="1"/>
  <c r="A444" i="2" s="1"/>
  <c r="B444" i="2" a="1"/>
  <c r="B444" i="2" s="1"/>
  <c r="I443" i="2" a="1"/>
  <c r="I443" i="2" s="1"/>
  <c r="K443" i="2" a="1"/>
  <c r="K443" i="2" s="1"/>
  <c r="H443" i="2" a="1"/>
  <c r="H443" i="2" s="1"/>
  <c r="J443" i="2" a="1"/>
  <c r="J443" i="2" s="1"/>
  <c r="C446" i="2"/>
  <c r="F445" i="2"/>
  <c r="D443" i="2" a="1"/>
  <c r="G444" i="3" l="1" a="1"/>
  <c r="G444" i="3" s="1"/>
  <c r="C446" i="3"/>
  <c r="G445" i="3" a="1"/>
  <c r="G445" i="3" s="1"/>
  <c r="J445" i="3" s="1" a="1"/>
  <c r="J445" i="3" s="1"/>
  <c r="L445" i="3"/>
  <c r="M445" i="3"/>
  <c r="B444" i="3" a="1"/>
  <c r="B444" i="3" s="1"/>
  <c r="A444" i="3" a="1"/>
  <c r="A444" i="3" s="1"/>
  <c r="D443" i="2"/>
  <c r="J444" i="2" a="1"/>
  <c r="J444" i="2" s="1"/>
  <c r="H444" i="2" a="1"/>
  <c r="H444" i="2" s="1"/>
  <c r="K444" i="2" a="1"/>
  <c r="K444" i="2" s="1"/>
  <c r="I444" i="2" a="1"/>
  <c r="I444" i="2" s="1"/>
  <c r="A445" i="2" a="1"/>
  <c r="A445" i="2" s="1"/>
  <c r="B445" i="2" a="1"/>
  <c r="B445" i="2" s="1"/>
  <c r="C447" i="2"/>
  <c r="F446" i="2"/>
  <c r="D444" i="2" a="1"/>
  <c r="C447" i="3" l="1"/>
  <c r="G446" i="3" a="1"/>
  <c r="G446" i="3" s="1"/>
  <c r="M446" i="3"/>
  <c r="L446" i="3"/>
  <c r="J446" i="3" a="1"/>
  <c r="J446" i="3" s="1"/>
  <c r="K444" i="3" a="1"/>
  <c r="K444" i="3" s="1"/>
  <c r="I444" i="3" a="1"/>
  <c r="I444" i="3" s="1"/>
  <c r="H444" i="3" a="1"/>
  <c r="H444" i="3" s="1"/>
  <c r="J444" i="3" a="1"/>
  <c r="J444" i="3" s="1"/>
  <c r="I445" i="3" a="1"/>
  <c r="I445" i="3" s="1"/>
  <c r="K445" i="3" a="1"/>
  <c r="K445" i="3" s="1"/>
  <c r="H445" i="3" a="1"/>
  <c r="H445" i="3" s="1"/>
  <c r="F446" i="3"/>
  <c r="F447" i="3" s="1"/>
  <c r="A445" i="3" a="1"/>
  <c r="A445" i="3" s="1"/>
  <c r="B445" i="3" a="1"/>
  <c r="B445" i="3" s="1"/>
  <c r="D444" i="2"/>
  <c r="B446" i="2" a="1"/>
  <c r="B446" i="2" s="1"/>
  <c r="A446" i="2" a="1"/>
  <c r="A446" i="2" s="1"/>
  <c r="K445" i="2" a="1"/>
  <c r="K445" i="2" s="1"/>
  <c r="H445" i="2" a="1"/>
  <c r="H445" i="2" s="1"/>
  <c r="J445" i="2" a="1"/>
  <c r="J445" i="2" s="1"/>
  <c r="I445" i="2" a="1"/>
  <c r="I445" i="2" s="1"/>
  <c r="C448" i="2"/>
  <c r="F447" i="2"/>
  <c r="D445" i="2" a="1"/>
  <c r="I446" i="3" l="1" a="1"/>
  <c r="I446" i="3" s="1"/>
  <c r="K446" i="3" a="1"/>
  <c r="K446" i="3" s="1"/>
  <c r="H446" i="3" a="1"/>
  <c r="H446" i="3" s="1"/>
  <c r="C448" i="3"/>
  <c r="F448" i="3" s="1"/>
  <c r="G447" i="3" a="1"/>
  <c r="G447" i="3" s="1"/>
  <c r="L447" i="3"/>
  <c r="M447" i="3"/>
  <c r="J447" i="3" a="1"/>
  <c r="J447" i="3" s="1"/>
  <c r="A446" i="3" a="1"/>
  <c r="A446" i="3" s="1"/>
  <c r="B446" i="3" a="1"/>
  <c r="B446" i="3" s="1"/>
  <c r="D445" i="2"/>
  <c r="H446" i="2" a="1"/>
  <c r="H446" i="2" s="1"/>
  <c r="I446" i="2" a="1"/>
  <c r="I446" i="2" s="1"/>
  <c r="J446" i="2" a="1"/>
  <c r="J446" i="2" s="1"/>
  <c r="K446" i="2" a="1"/>
  <c r="K446" i="2" s="1"/>
  <c r="A447" i="2" a="1"/>
  <c r="A447" i="2" s="1"/>
  <c r="B447" i="2" a="1"/>
  <c r="B447" i="2" s="1"/>
  <c r="C449" i="2"/>
  <c r="F448" i="2"/>
  <c r="D446" i="2" a="1"/>
  <c r="C449" i="3" l="1"/>
  <c r="G448" i="3" a="1"/>
  <c r="G448" i="3" s="1"/>
  <c r="J448" i="3" a="1"/>
  <c r="J448" i="3" s="1"/>
  <c r="L448" i="3"/>
  <c r="M448" i="3"/>
  <c r="K447" i="3" a="1"/>
  <c r="K447" i="3" s="1"/>
  <c r="I447" i="3" a="1"/>
  <c r="I447" i="3" s="1"/>
  <c r="H447" i="3" a="1"/>
  <c r="H447" i="3" s="1"/>
  <c r="A447" i="3" a="1"/>
  <c r="A447" i="3" s="1"/>
  <c r="B447" i="3" a="1"/>
  <c r="B447" i="3" s="1"/>
  <c r="D446" i="2"/>
  <c r="A448" i="2" a="1"/>
  <c r="A448" i="2" s="1"/>
  <c r="B448" i="2" a="1"/>
  <c r="B448" i="2" s="1"/>
  <c r="C450" i="2"/>
  <c r="F449" i="2"/>
  <c r="K447" i="2" a="1"/>
  <c r="K447" i="2" s="1"/>
  <c r="I447" i="2" a="1"/>
  <c r="I447" i="2" s="1"/>
  <c r="J447" i="2" a="1"/>
  <c r="J447" i="2" s="1"/>
  <c r="H447" i="2" a="1"/>
  <c r="H447" i="2" s="1"/>
  <c r="D447" i="2" a="1"/>
  <c r="C450" i="3" l="1"/>
  <c r="L449" i="3"/>
  <c r="M449" i="3"/>
  <c r="I448" i="3" a="1"/>
  <c r="I448" i="3" s="1"/>
  <c r="K448" i="3" a="1"/>
  <c r="K448" i="3" s="1"/>
  <c r="H448" i="3" a="1"/>
  <c r="H448" i="3" s="1"/>
  <c r="F449" i="3"/>
  <c r="F450" i="3" s="1"/>
  <c r="A448" i="3" a="1"/>
  <c r="A448" i="3" s="1"/>
  <c r="B448" i="3" a="1"/>
  <c r="B448" i="3" s="1"/>
  <c r="D447" i="2"/>
  <c r="I448" i="2" a="1"/>
  <c r="I448" i="2" s="1"/>
  <c r="H448" i="2" a="1"/>
  <c r="H448" i="2" s="1"/>
  <c r="K448" i="2" a="1"/>
  <c r="K448" i="2" s="1"/>
  <c r="J448" i="2" a="1"/>
  <c r="J448" i="2" s="1"/>
  <c r="C451" i="2"/>
  <c r="F450" i="2"/>
  <c r="A449" i="2" a="1"/>
  <c r="A449" i="2" s="1"/>
  <c r="B449" i="2" a="1"/>
  <c r="B449" i="2" s="1"/>
  <c r="D448" i="2" a="1"/>
  <c r="G449" i="3" l="1" a="1"/>
  <c r="G449" i="3" s="1"/>
  <c r="C451" i="3"/>
  <c r="G450" i="3" a="1"/>
  <c r="G450" i="3" s="1"/>
  <c r="M450" i="3"/>
  <c r="L450" i="3"/>
  <c r="J450" i="3" a="1"/>
  <c r="J450" i="3" s="1"/>
  <c r="A449" i="3" a="1"/>
  <c r="A449" i="3" s="1"/>
  <c r="B449" i="3" a="1"/>
  <c r="B449" i="3" s="1"/>
  <c r="D448" i="2"/>
  <c r="C452" i="2"/>
  <c r="F451" i="2"/>
  <c r="I449" i="2" a="1"/>
  <c r="I449" i="2" s="1"/>
  <c r="H449" i="2" a="1"/>
  <c r="H449" i="2" s="1"/>
  <c r="J449" i="2" a="1"/>
  <c r="J449" i="2" s="1"/>
  <c r="K449" i="2" a="1"/>
  <c r="K449" i="2" s="1"/>
  <c r="B450" i="2" a="1"/>
  <c r="B450" i="2" s="1"/>
  <c r="A450" i="2" a="1"/>
  <c r="A450" i="2" s="1"/>
  <c r="D449" i="2" a="1"/>
  <c r="C452" i="3" l="1"/>
  <c r="G451" i="3" a="1"/>
  <c r="G451" i="3" s="1"/>
  <c r="J451" i="3" a="1"/>
  <c r="J451" i="3" s="1"/>
  <c r="L451" i="3"/>
  <c r="M451" i="3"/>
  <c r="I449" i="3" a="1"/>
  <c r="I449" i="3" s="1"/>
  <c r="K449" i="3" a="1"/>
  <c r="K449" i="3" s="1"/>
  <c r="H449" i="3" a="1"/>
  <c r="H449" i="3" s="1"/>
  <c r="J449" i="3" a="1"/>
  <c r="J449" i="3" s="1"/>
  <c r="K450" i="3" a="1"/>
  <c r="K450" i="3" s="1"/>
  <c r="I450" i="3" a="1"/>
  <c r="I450" i="3" s="1"/>
  <c r="H450" i="3" a="1"/>
  <c r="H450" i="3" s="1"/>
  <c r="F451" i="3"/>
  <c r="F452" i="3" s="1"/>
  <c r="A450" i="3" a="1"/>
  <c r="A450" i="3" s="1"/>
  <c r="B450" i="3" a="1"/>
  <c r="B450" i="3" s="1"/>
  <c r="D449" i="2"/>
  <c r="A451" i="2" a="1"/>
  <c r="A451" i="2" s="1"/>
  <c r="B451" i="2" a="1"/>
  <c r="B451" i="2" s="1"/>
  <c r="J450" i="2" a="1"/>
  <c r="J450" i="2" s="1"/>
  <c r="K450" i="2" a="1"/>
  <c r="K450" i="2" s="1"/>
  <c r="I450" i="2" a="1"/>
  <c r="I450" i="2" s="1"/>
  <c r="H450" i="2" a="1"/>
  <c r="H450" i="2" s="1"/>
  <c r="C453" i="2"/>
  <c r="F452" i="2"/>
  <c r="D450" i="2" a="1"/>
  <c r="I451" i="3" l="1" a="1"/>
  <c r="I451" i="3" s="1"/>
  <c r="K451" i="3" a="1"/>
  <c r="K451" i="3" s="1"/>
  <c r="H451" i="3" a="1"/>
  <c r="H451" i="3" s="1"/>
  <c r="C453" i="3"/>
  <c r="F453" i="3" s="1"/>
  <c r="G452" i="3" a="1"/>
  <c r="G452" i="3" s="1"/>
  <c r="L452" i="3"/>
  <c r="M452" i="3"/>
  <c r="J452" i="3" a="1"/>
  <c r="J452" i="3" s="1"/>
  <c r="B451" i="3" a="1"/>
  <c r="B451" i="3" s="1"/>
  <c r="A451" i="3" a="1"/>
  <c r="A451" i="3" s="1"/>
  <c r="D450" i="2"/>
  <c r="K451" i="2" a="1"/>
  <c r="K451" i="2" s="1"/>
  <c r="I451" i="2" a="1"/>
  <c r="I451" i="2" s="1"/>
  <c r="H451" i="2" a="1"/>
  <c r="H451" i="2" s="1"/>
  <c r="J451" i="2" a="1"/>
  <c r="J451" i="2" s="1"/>
  <c r="A452" i="2" a="1"/>
  <c r="A452" i="2" s="1"/>
  <c r="B452" i="2" a="1"/>
  <c r="B452" i="2" s="1"/>
  <c r="C454" i="2"/>
  <c r="F453" i="2"/>
  <c r="D451" i="2" a="1"/>
  <c r="C454" i="3" l="1"/>
  <c r="G453" i="3" a="1"/>
  <c r="G453" i="3" s="1"/>
  <c r="J453" i="3" a="1"/>
  <c r="J453" i="3" s="1"/>
  <c r="L453" i="3"/>
  <c r="M453" i="3"/>
  <c r="I452" i="3" a="1"/>
  <c r="I452" i="3" s="1"/>
  <c r="K452" i="3" a="1"/>
  <c r="K452" i="3" s="1"/>
  <c r="H452" i="3" a="1"/>
  <c r="H452" i="3" s="1"/>
  <c r="A452" i="3" a="1"/>
  <c r="A452" i="3" s="1"/>
  <c r="B452" i="3" a="1"/>
  <c r="B452" i="3" s="1"/>
  <c r="D451" i="2"/>
  <c r="C455" i="2"/>
  <c r="F454" i="2"/>
  <c r="A453" i="2" a="1"/>
  <c r="A453" i="2" s="1"/>
  <c r="B453" i="2" a="1"/>
  <c r="B453" i="2" s="1"/>
  <c r="I452" i="2" a="1"/>
  <c r="I452" i="2" s="1"/>
  <c r="K452" i="2" a="1"/>
  <c r="K452" i="2" s="1"/>
  <c r="H452" i="2" a="1"/>
  <c r="H452" i="2" s="1"/>
  <c r="J452" i="2" a="1"/>
  <c r="J452" i="2" s="1"/>
  <c r="D452" i="2" a="1"/>
  <c r="I453" i="3" l="1" a="1"/>
  <c r="I453" i="3" s="1"/>
  <c r="H453" i="3" a="1"/>
  <c r="H453" i="3" s="1"/>
  <c r="K453" i="3" a="1"/>
  <c r="K453" i="3" s="1"/>
  <c r="C455" i="3"/>
  <c r="L454" i="3"/>
  <c r="M454" i="3"/>
  <c r="F454" i="3"/>
  <c r="F455" i="3" s="1"/>
  <c r="A453" i="3" a="1"/>
  <c r="A453" i="3" s="1"/>
  <c r="B453" i="3" a="1"/>
  <c r="B453" i="3" s="1"/>
  <c r="D452" i="2"/>
  <c r="K453" i="2" a="1"/>
  <c r="K453" i="2" s="1"/>
  <c r="I453" i="2" a="1"/>
  <c r="I453" i="2" s="1"/>
  <c r="J453" i="2" a="1"/>
  <c r="J453" i="2" s="1"/>
  <c r="H453" i="2" a="1"/>
  <c r="H453" i="2" s="1"/>
  <c r="A454" i="2" a="1"/>
  <c r="A454" i="2" s="1"/>
  <c r="B454" i="2" a="1"/>
  <c r="B454" i="2" s="1"/>
  <c r="C456" i="2"/>
  <c r="F455" i="2"/>
  <c r="D453" i="2" a="1"/>
  <c r="C456" i="3" l="1"/>
  <c r="G455" i="3" a="1"/>
  <c r="G455" i="3" s="1"/>
  <c r="L455" i="3"/>
  <c r="M455" i="3"/>
  <c r="J455" i="3" a="1"/>
  <c r="J455" i="3" s="1"/>
  <c r="F456" i="3"/>
  <c r="G454" i="3" a="1"/>
  <c r="G454" i="3" s="1"/>
  <c r="A454" i="3" a="1"/>
  <c r="A454" i="3" s="1"/>
  <c r="B454" i="3" a="1"/>
  <c r="B454" i="3" s="1"/>
  <c r="D453" i="2"/>
  <c r="B455" i="2" a="1"/>
  <c r="B455" i="2" s="1"/>
  <c r="A455" i="2" a="1"/>
  <c r="A455" i="2" s="1"/>
  <c r="C457" i="2"/>
  <c r="F456" i="2"/>
  <c r="J454" i="2" a="1"/>
  <c r="J454" i="2" s="1"/>
  <c r="I454" i="2" a="1"/>
  <c r="I454" i="2" s="1"/>
  <c r="K454" i="2" a="1"/>
  <c r="K454" i="2" s="1"/>
  <c r="H454" i="2" a="1"/>
  <c r="H454" i="2" s="1"/>
  <c r="D454" i="2" a="1"/>
  <c r="H454" i="3" l="1" a="1"/>
  <c r="H454" i="3" s="1"/>
  <c r="I454" i="3" a="1"/>
  <c r="I454" i="3" s="1"/>
  <c r="K454" i="3" a="1"/>
  <c r="K454" i="3" s="1"/>
  <c r="J454" i="3" a="1"/>
  <c r="J454" i="3" s="1"/>
  <c r="I455" i="3" a="1"/>
  <c r="I455" i="3" s="1"/>
  <c r="H455" i="3" a="1"/>
  <c r="H455" i="3" s="1"/>
  <c r="K455" i="3" a="1"/>
  <c r="K455" i="3" s="1"/>
  <c r="C457" i="3"/>
  <c r="G456" i="3" a="1"/>
  <c r="G456" i="3" s="1"/>
  <c r="L456" i="3"/>
  <c r="M456" i="3"/>
  <c r="A455" i="3" a="1"/>
  <c r="A455" i="3" s="1"/>
  <c r="B455" i="3" a="1"/>
  <c r="B455" i="3" s="1"/>
  <c r="D454" i="2"/>
  <c r="J455" i="2" a="1"/>
  <c r="J455" i="2" s="1"/>
  <c r="K455" i="2" a="1"/>
  <c r="K455" i="2" s="1"/>
  <c r="H455" i="2" a="1"/>
  <c r="H455" i="2" s="1"/>
  <c r="I455" i="2" a="1"/>
  <c r="I455" i="2" s="1"/>
  <c r="A456" i="2" a="1"/>
  <c r="A456" i="2" s="1"/>
  <c r="B456" i="2" a="1"/>
  <c r="B456" i="2" s="1"/>
  <c r="C458" i="2"/>
  <c r="F457" i="2"/>
  <c r="D455" i="2" a="1"/>
  <c r="H456" i="3" l="1" a="1"/>
  <c r="H456" i="3" s="1"/>
  <c r="I456" i="3" a="1"/>
  <c r="I456" i="3" s="1"/>
  <c r="K456" i="3" a="1"/>
  <c r="K456" i="3" s="1"/>
  <c r="C458" i="3"/>
  <c r="L457" i="3"/>
  <c r="M457" i="3"/>
  <c r="F457" i="3"/>
  <c r="F458" i="3" s="1"/>
  <c r="J456" i="3" a="1"/>
  <c r="J456" i="3" s="1"/>
  <c r="B456" i="3" a="1"/>
  <c r="B456" i="3" s="1"/>
  <c r="A456" i="3" a="1"/>
  <c r="A456" i="3" s="1"/>
  <c r="D455" i="2"/>
  <c r="A457" i="2" a="1"/>
  <c r="A457" i="2" s="1"/>
  <c r="B457" i="2" a="1"/>
  <c r="B457" i="2" s="1"/>
  <c r="C459" i="2"/>
  <c r="F458" i="2"/>
  <c r="K456" i="2" a="1"/>
  <c r="K456" i="2" s="1"/>
  <c r="J456" i="2" a="1"/>
  <c r="J456" i="2" s="1"/>
  <c r="H456" i="2" a="1"/>
  <c r="H456" i="2" s="1"/>
  <c r="I456" i="2" a="1"/>
  <c r="I456" i="2" s="1"/>
  <c r="D456" i="2" a="1"/>
  <c r="C459" i="3" l="1"/>
  <c r="G458" i="3" a="1"/>
  <c r="G458" i="3" s="1"/>
  <c r="M458" i="3"/>
  <c r="L458" i="3"/>
  <c r="G457" i="3" a="1"/>
  <c r="G457" i="3" s="1"/>
  <c r="A457" i="3" a="1"/>
  <c r="A457" i="3" s="1"/>
  <c r="B457" i="3" a="1"/>
  <c r="B457" i="3" s="1"/>
  <c r="D456" i="2"/>
  <c r="B458" i="2" a="1"/>
  <c r="B458" i="2" s="1"/>
  <c r="A458" i="2" a="1"/>
  <c r="A458" i="2" s="1"/>
  <c r="J457" i="2" a="1"/>
  <c r="J457" i="2" s="1"/>
  <c r="K457" i="2" a="1"/>
  <c r="K457" i="2" s="1"/>
  <c r="H457" i="2" a="1"/>
  <c r="H457" i="2" s="1"/>
  <c r="I457" i="2" a="1"/>
  <c r="I457" i="2" s="1"/>
  <c r="C460" i="2"/>
  <c r="F459" i="2"/>
  <c r="D457" i="2" a="1"/>
  <c r="H458" i="3" l="1" a="1"/>
  <c r="H458" i="3" s="1"/>
  <c r="I458" i="3" a="1"/>
  <c r="I458" i="3" s="1"/>
  <c r="K458" i="3" a="1"/>
  <c r="K458" i="3" s="1"/>
  <c r="I457" i="3" a="1"/>
  <c r="I457" i="3" s="1"/>
  <c r="K457" i="3" a="1"/>
  <c r="K457" i="3" s="1"/>
  <c r="H457" i="3" a="1"/>
  <c r="H457" i="3" s="1"/>
  <c r="J457" i="3" a="1"/>
  <c r="J457" i="3" s="1"/>
  <c r="J458" i="3" a="1"/>
  <c r="J458" i="3" s="1"/>
  <c r="C460" i="3"/>
  <c r="G459" i="3" a="1"/>
  <c r="G459" i="3" s="1"/>
  <c r="M459" i="3"/>
  <c r="L459" i="3"/>
  <c r="F459" i="3"/>
  <c r="A458" i="3" a="1"/>
  <c r="A458" i="3" s="1"/>
  <c r="B458" i="3" a="1"/>
  <c r="B458" i="3" s="1"/>
  <c r="D457" i="2"/>
  <c r="K458" i="2" a="1"/>
  <c r="K458" i="2" s="1"/>
  <c r="J458" i="2" a="1"/>
  <c r="J458" i="2" s="1"/>
  <c r="H458" i="2" a="1"/>
  <c r="H458" i="2" s="1"/>
  <c r="I458" i="2" a="1"/>
  <c r="I458" i="2" s="1"/>
  <c r="B459" i="2" a="1"/>
  <c r="B459" i="2" s="1"/>
  <c r="A459" i="2" a="1"/>
  <c r="A459" i="2" s="1"/>
  <c r="C461" i="2"/>
  <c r="F460" i="2"/>
  <c r="D458" i="2" a="1"/>
  <c r="C461" i="3" l="1"/>
  <c r="L460" i="3"/>
  <c r="M460" i="3"/>
  <c r="I459" i="3" a="1"/>
  <c r="I459" i="3" s="1"/>
  <c r="H459" i="3" a="1"/>
  <c r="H459" i="3" s="1"/>
  <c r="K459" i="3" a="1"/>
  <c r="K459" i="3" s="1"/>
  <c r="F460" i="3"/>
  <c r="F461" i="3" s="1"/>
  <c r="J459" i="3" a="1"/>
  <c r="J459" i="3" s="1"/>
  <c r="A459" i="3" a="1"/>
  <c r="A459" i="3" s="1"/>
  <c r="B459" i="3" a="1"/>
  <c r="B459" i="3" s="1"/>
  <c r="D458" i="2"/>
  <c r="K459" i="2" a="1"/>
  <c r="K459" i="2" s="1"/>
  <c r="J459" i="2" a="1"/>
  <c r="J459" i="2" s="1"/>
  <c r="I459" i="2" a="1"/>
  <c r="I459" i="2" s="1"/>
  <c r="H459" i="2" a="1"/>
  <c r="H459" i="2" s="1"/>
  <c r="C462" i="2"/>
  <c r="F461" i="2"/>
  <c r="A460" i="2" a="1"/>
  <c r="A460" i="2" s="1"/>
  <c r="B460" i="2" a="1"/>
  <c r="B460" i="2" s="1"/>
  <c r="D459" i="2" a="1"/>
  <c r="G460" i="3" l="1" a="1"/>
  <c r="G460" i="3" s="1"/>
  <c r="C462" i="3"/>
  <c r="G461" i="3" a="1"/>
  <c r="G461" i="3" s="1"/>
  <c r="L461" i="3"/>
  <c r="M461" i="3"/>
  <c r="A460" i="3" a="1"/>
  <c r="A460" i="3" s="1"/>
  <c r="B460" i="3" a="1"/>
  <c r="B460" i="3" s="1"/>
  <c r="D459" i="2"/>
  <c r="H460" i="2" a="1"/>
  <c r="H460" i="2" s="1"/>
  <c r="K460" i="2" a="1"/>
  <c r="K460" i="2" s="1"/>
  <c r="I460" i="2" a="1"/>
  <c r="I460" i="2" s="1"/>
  <c r="J460" i="2" a="1"/>
  <c r="J460" i="2" s="1"/>
  <c r="C463" i="2"/>
  <c r="F462" i="2"/>
  <c r="B461" i="2" a="1"/>
  <c r="B461" i="2" s="1"/>
  <c r="A461" i="2" a="1"/>
  <c r="A461" i="2" s="1"/>
  <c r="D460" i="2" a="1"/>
  <c r="I461" i="3" l="1" a="1"/>
  <c r="I461" i="3" s="1"/>
  <c r="H461" i="3" a="1"/>
  <c r="H461" i="3" s="1"/>
  <c r="K461" i="3" a="1"/>
  <c r="K461" i="3" s="1"/>
  <c r="C463" i="3"/>
  <c r="G462" i="3" a="1"/>
  <c r="G462" i="3" s="1"/>
  <c r="L462" i="3"/>
  <c r="M462" i="3"/>
  <c r="J462" i="3" a="1"/>
  <c r="J462" i="3" s="1"/>
  <c r="J461" i="3" a="1"/>
  <c r="J461" i="3" s="1"/>
  <c r="I460" i="3" a="1"/>
  <c r="I460" i="3" s="1"/>
  <c r="K460" i="3" a="1"/>
  <c r="K460" i="3" s="1"/>
  <c r="H460" i="3" a="1"/>
  <c r="H460" i="3" s="1"/>
  <c r="J460" i="3" a="1"/>
  <c r="J460" i="3" s="1"/>
  <c r="F462" i="3"/>
  <c r="F463" i="3" s="1"/>
  <c r="B461" i="3" a="1"/>
  <c r="B461" i="3" s="1"/>
  <c r="A461" i="3" a="1"/>
  <c r="A461" i="3" s="1"/>
  <c r="D460" i="2"/>
  <c r="C464" i="2"/>
  <c r="F463" i="2"/>
  <c r="J461" i="2" a="1"/>
  <c r="J461" i="2" s="1"/>
  <c r="K461" i="2" a="1"/>
  <c r="K461" i="2" s="1"/>
  <c r="H461" i="2" a="1"/>
  <c r="H461" i="2" s="1"/>
  <c r="I461" i="2" a="1"/>
  <c r="I461" i="2" s="1"/>
  <c r="B462" i="2" a="1"/>
  <c r="B462" i="2" s="1"/>
  <c r="A462" i="2" a="1"/>
  <c r="A462" i="2" s="1"/>
  <c r="D461" i="2" a="1"/>
  <c r="C464" i="3" l="1"/>
  <c r="G463" i="3" a="1"/>
  <c r="G463" i="3" s="1"/>
  <c r="M463" i="3"/>
  <c r="L463" i="3"/>
  <c r="J463" i="3" a="1"/>
  <c r="J463" i="3" s="1"/>
  <c r="H462" i="3" a="1"/>
  <c r="H462" i="3" s="1"/>
  <c r="I462" i="3" a="1"/>
  <c r="I462" i="3" s="1"/>
  <c r="K462" i="3" a="1"/>
  <c r="K462" i="3" s="1"/>
  <c r="F464" i="3"/>
  <c r="A462" i="3" a="1"/>
  <c r="A462" i="3" s="1"/>
  <c r="B462" i="3" a="1"/>
  <c r="B462" i="3" s="1"/>
  <c r="D461" i="2"/>
  <c r="J462" i="2" a="1"/>
  <c r="J462" i="2" s="1"/>
  <c r="I462" i="2" a="1"/>
  <c r="I462" i="2" s="1"/>
  <c r="H462" i="2" a="1"/>
  <c r="H462" i="2" s="1"/>
  <c r="K462" i="2" a="1"/>
  <c r="K462" i="2" s="1"/>
  <c r="B463" i="2" a="1"/>
  <c r="B463" i="2" s="1"/>
  <c r="A463" i="2" a="1"/>
  <c r="A463" i="2" s="1"/>
  <c r="C465" i="2"/>
  <c r="F464" i="2"/>
  <c r="D462" i="2" a="1"/>
  <c r="I463" i="3" l="1" a="1"/>
  <c r="I463" i="3" s="1"/>
  <c r="H463" i="3" a="1"/>
  <c r="H463" i="3" s="1"/>
  <c r="K463" i="3" a="1"/>
  <c r="K463" i="3" s="1"/>
  <c r="C465" i="3"/>
  <c r="G464" i="3" a="1"/>
  <c r="G464" i="3" s="1"/>
  <c r="M464" i="3"/>
  <c r="L464" i="3"/>
  <c r="J464" i="3" a="1"/>
  <c r="J464" i="3" s="1"/>
  <c r="A463" i="3" a="1"/>
  <c r="A463" i="3" s="1"/>
  <c r="B463" i="3" a="1"/>
  <c r="B463" i="3" s="1"/>
  <c r="D462" i="2"/>
  <c r="C466" i="2"/>
  <c r="F465" i="2"/>
  <c r="A464" i="2" a="1"/>
  <c r="A464" i="2" s="1"/>
  <c r="B464" i="2" a="1"/>
  <c r="B464" i="2" s="1"/>
  <c r="H463" i="2" a="1"/>
  <c r="H463" i="2" s="1"/>
  <c r="K463" i="2" a="1"/>
  <c r="K463" i="2" s="1"/>
  <c r="J463" i="2" a="1"/>
  <c r="J463" i="2" s="1"/>
  <c r="I463" i="2" a="1"/>
  <c r="I463" i="2" s="1"/>
  <c r="D463" i="2" a="1"/>
  <c r="C466" i="3" l="1"/>
  <c r="L465" i="3"/>
  <c r="M465" i="3"/>
  <c r="I464" i="3" a="1"/>
  <c r="I464" i="3" s="1"/>
  <c r="K464" i="3" a="1"/>
  <c r="K464" i="3" s="1"/>
  <c r="H464" i="3" a="1"/>
  <c r="H464" i="3" s="1"/>
  <c r="F465" i="3"/>
  <c r="F466" i="3" s="1"/>
  <c r="A464" i="3" a="1"/>
  <c r="A464" i="3" s="1"/>
  <c r="B464" i="3" a="1"/>
  <c r="B464" i="3" s="1"/>
  <c r="D463" i="2"/>
  <c r="B465" i="2" a="1"/>
  <c r="B465" i="2" s="1"/>
  <c r="A465" i="2" a="1"/>
  <c r="A465" i="2" s="1"/>
  <c r="K464" i="2" a="1"/>
  <c r="K464" i="2" s="1"/>
  <c r="J464" i="2" a="1"/>
  <c r="J464" i="2" s="1"/>
  <c r="H464" i="2" a="1"/>
  <c r="H464" i="2" s="1"/>
  <c r="I464" i="2" a="1"/>
  <c r="I464" i="2" s="1"/>
  <c r="C467" i="2"/>
  <c r="F466" i="2"/>
  <c r="D464" i="2" a="1"/>
  <c r="G465" i="3" l="1" a="1"/>
  <c r="G465" i="3" s="1"/>
  <c r="C467" i="3"/>
  <c r="G466" i="3" a="1"/>
  <c r="G466" i="3" s="1"/>
  <c r="L466" i="3"/>
  <c r="M466" i="3"/>
  <c r="J466" i="3" a="1"/>
  <c r="J466" i="3" s="1"/>
  <c r="A465" i="3" a="1"/>
  <c r="A465" i="3" s="1"/>
  <c r="B465" i="3" a="1"/>
  <c r="B465" i="3" s="1"/>
  <c r="D464" i="2"/>
  <c r="A466" i="2" a="1"/>
  <c r="A466" i="2" s="1"/>
  <c r="B466" i="2" a="1"/>
  <c r="B466" i="2" s="1"/>
  <c r="C468" i="2"/>
  <c r="F467" i="2"/>
  <c r="K465" i="2" a="1"/>
  <c r="K465" i="2" s="1"/>
  <c r="J465" i="2" a="1"/>
  <c r="J465" i="2" s="1"/>
  <c r="H465" i="2" a="1"/>
  <c r="H465" i="2" s="1"/>
  <c r="I465" i="2" a="1"/>
  <c r="I465" i="2" s="1"/>
  <c r="D465" i="2" a="1"/>
  <c r="K465" i="3" l="1" a="1"/>
  <c r="K465" i="3" s="1"/>
  <c r="I465" i="3" a="1"/>
  <c r="I465" i="3" s="1"/>
  <c r="H465" i="3" a="1"/>
  <c r="H465" i="3" s="1"/>
  <c r="J465" i="3" a="1"/>
  <c r="J465" i="3" s="1"/>
  <c r="K466" i="3" a="1"/>
  <c r="K466" i="3" s="1"/>
  <c r="H466" i="3" a="1"/>
  <c r="H466" i="3" s="1"/>
  <c r="I466" i="3" a="1"/>
  <c r="I466" i="3" s="1"/>
  <c r="C468" i="3"/>
  <c r="G467" i="3" a="1"/>
  <c r="G467" i="3" s="1"/>
  <c r="L467" i="3"/>
  <c r="M467" i="3"/>
  <c r="F467" i="3"/>
  <c r="A466" i="3" a="1"/>
  <c r="A466" i="3" s="1"/>
  <c r="B466" i="3" a="1"/>
  <c r="B466" i="3" s="1"/>
  <c r="D465" i="2"/>
  <c r="B467" i="2" a="1"/>
  <c r="B467" i="2" s="1"/>
  <c r="A467" i="2" a="1"/>
  <c r="A467" i="2" s="1"/>
  <c r="I466" i="2" a="1"/>
  <c r="I466" i="2" s="1"/>
  <c r="J466" i="2" a="1"/>
  <c r="J466" i="2" s="1"/>
  <c r="H466" i="2" a="1"/>
  <c r="H466" i="2" s="1"/>
  <c r="K466" i="2" a="1"/>
  <c r="K466" i="2" s="1"/>
  <c r="C469" i="2"/>
  <c r="F468" i="2"/>
  <c r="D466" i="2" a="1"/>
  <c r="K467" i="3" l="1" a="1"/>
  <c r="K467" i="3" s="1"/>
  <c r="H467" i="3" a="1"/>
  <c r="H467" i="3" s="1"/>
  <c r="I467" i="3" a="1"/>
  <c r="I467" i="3" s="1"/>
  <c r="J467" i="3" a="1"/>
  <c r="J467" i="3" s="1"/>
  <c r="C469" i="3"/>
  <c r="L468" i="3"/>
  <c r="M468" i="3"/>
  <c r="F468" i="3"/>
  <c r="F469" i="3" s="1"/>
  <c r="A467" i="3" a="1"/>
  <c r="A467" i="3" s="1"/>
  <c r="B467" i="3" a="1"/>
  <c r="B467" i="3" s="1"/>
  <c r="D466" i="2"/>
  <c r="H467" i="2" a="1"/>
  <c r="H467" i="2" s="1"/>
  <c r="I467" i="2" a="1"/>
  <c r="I467" i="2" s="1"/>
  <c r="K467" i="2" a="1"/>
  <c r="K467" i="2" s="1"/>
  <c r="J467" i="2" a="1"/>
  <c r="J467" i="2" s="1"/>
  <c r="B468" i="2" a="1"/>
  <c r="B468" i="2" s="1"/>
  <c r="A468" i="2" a="1"/>
  <c r="A468" i="2" s="1"/>
  <c r="C470" i="2"/>
  <c r="F469" i="2"/>
  <c r="D467" i="2" a="1"/>
  <c r="C470" i="3" l="1"/>
  <c r="G469" i="3" a="1"/>
  <c r="G469" i="3" s="1"/>
  <c r="L469" i="3"/>
  <c r="M469" i="3"/>
  <c r="J469" i="3" a="1"/>
  <c r="J469" i="3" s="1"/>
  <c r="F470" i="3"/>
  <c r="G468" i="3" a="1"/>
  <c r="G468" i="3" s="1"/>
  <c r="B468" i="3" a="1"/>
  <c r="B468" i="3" s="1"/>
  <c r="A468" i="3" a="1"/>
  <c r="A468" i="3" s="1"/>
  <c r="D467" i="2"/>
  <c r="A469" i="2" a="1"/>
  <c r="A469" i="2" s="1"/>
  <c r="B469" i="2" a="1"/>
  <c r="B469" i="2" s="1"/>
  <c r="C471" i="2"/>
  <c r="F470" i="2"/>
  <c r="K468" i="2" a="1"/>
  <c r="K468" i="2" s="1"/>
  <c r="I468" i="2" a="1"/>
  <c r="I468" i="2" s="1"/>
  <c r="H468" i="2" a="1"/>
  <c r="H468" i="2" s="1"/>
  <c r="J468" i="2" a="1"/>
  <c r="J468" i="2" s="1"/>
  <c r="D468" i="2" a="1"/>
  <c r="H468" i="3" l="1" a="1"/>
  <c r="H468" i="3" s="1"/>
  <c r="I468" i="3" a="1"/>
  <c r="I468" i="3" s="1"/>
  <c r="K468" i="3" a="1"/>
  <c r="K468" i="3" s="1"/>
  <c r="J468" i="3" a="1"/>
  <c r="J468" i="3" s="1"/>
  <c r="K469" i="3" a="1"/>
  <c r="K469" i="3" s="1"/>
  <c r="H469" i="3" a="1"/>
  <c r="H469" i="3" s="1"/>
  <c r="I469" i="3" a="1"/>
  <c r="I469" i="3" s="1"/>
  <c r="C471" i="3"/>
  <c r="G470" i="3" a="1"/>
  <c r="G470" i="3" s="1"/>
  <c r="L470" i="3"/>
  <c r="M470" i="3"/>
  <c r="A469" i="3" a="1"/>
  <c r="A469" i="3" s="1"/>
  <c r="B469" i="3" a="1"/>
  <c r="B469" i="3" s="1"/>
  <c r="D468" i="2"/>
  <c r="A470" i="2" a="1"/>
  <c r="A470" i="2" s="1"/>
  <c r="B470" i="2" a="1"/>
  <c r="B470" i="2" s="1"/>
  <c r="K469" i="2" a="1"/>
  <c r="K469" i="2" s="1"/>
  <c r="I469" i="2" a="1"/>
  <c r="I469" i="2" s="1"/>
  <c r="J469" i="2" a="1"/>
  <c r="J469" i="2" s="1"/>
  <c r="H469" i="2" a="1"/>
  <c r="H469" i="2" s="1"/>
  <c r="C472" i="2"/>
  <c r="F471" i="2"/>
  <c r="D469" i="2" a="1"/>
  <c r="I470" i="3" l="1" a="1"/>
  <c r="I470" i="3" s="1"/>
  <c r="H470" i="3" a="1"/>
  <c r="H470" i="3" s="1"/>
  <c r="K470" i="3" a="1"/>
  <c r="K470" i="3" s="1"/>
  <c r="C472" i="3"/>
  <c r="L471" i="3"/>
  <c r="M471" i="3"/>
  <c r="F471" i="3"/>
  <c r="F472" i="3" s="1"/>
  <c r="J470" i="3" a="1"/>
  <c r="J470" i="3" s="1"/>
  <c r="B470" i="3" a="1"/>
  <c r="B470" i="3" s="1"/>
  <c r="A470" i="3" a="1"/>
  <c r="A470" i="3" s="1"/>
  <c r="D469" i="2"/>
  <c r="C473" i="2"/>
  <c r="F472" i="2"/>
  <c r="A471" i="2" a="1"/>
  <c r="A471" i="2" s="1"/>
  <c r="B471" i="2" a="1"/>
  <c r="B471" i="2" s="1"/>
  <c r="J470" i="2" a="1"/>
  <c r="J470" i="2" s="1"/>
  <c r="H470" i="2" a="1"/>
  <c r="H470" i="2" s="1"/>
  <c r="I470" i="2" a="1"/>
  <c r="I470" i="2" s="1"/>
  <c r="K470" i="2" a="1"/>
  <c r="K470" i="2" s="1"/>
  <c r="D470" i="2" a="1"/>
  <c r="C473" i="3" l="1"/>
  <c r="G472" i="3" a="1"/>
  <c r="G472" i="3" s="1"/>
  <c r="M472" i="3"/>
  <c r="L472" i="3"/>
  <c r="J472" i="3" a="1"/>
  <c r="J472" i="3" s="1"/>
  <c r="G471" i="3" a="1"/>
  <c r="G471" i="3" s="1"/>
  <c r="A471" i="3" a="1"/>
  <c r="A471" i="3" s="1"/>
  <c r="B471" i="3" a="1"/>
  <c r="B471" i="3" s="1"/>
  <c r="D470" i="2"/>
  <c r="K471" i="2" a="1"/>
  <c r="K471" i="2" s="1"/>
  <c r="H471" i="2" a="1"/>
  <c r="H471" i="2" s="1"/>
  <c r="I471" i="2" a="1"/>
  <c r="I471" i="2" s="1"/>
  <c r="J471" i="2" a="1"/>
  <c r="J471" i="2" s="1"/>
  <c r="A472" i="2" a="1"/>
  <c r="A472" i="2" s="1"/>
  <c r="B472" i="2" a="1"/>
  <c r="B472" i="2" s="1"/>
  <c r="C474" i="2"/>
  <c r="F473" i="2"/>
  <c r="D471" i="2" a="1"/>
  <c r="H471" i="3" l="1" a="1"/>
  <c r="H471" i="3" s="1"/>
  <c r="I471" i="3" a="1"/>
  <c r="I471" i="3" s="1"/>
  <c r="K471" i="3" a="1"/>
  <c r="K471" i="3" s="1"/>
  <c r="J471" i="3" a="1"/>
  <c r="J471" i="3" s="1"/>
  <c r="I472" i="3" a="1"/>
  <c r="I472" i="3" s="1"/>
  <c r="K472" i="3" a="1"/>
  <c r="K472" i="3" s="1"/>
  <c r="H472" i="3" a="1"/>
  <c r="H472" i="3" s="1"/>
  <c r="C474" i="3"/>
  <c r="G473" i="3" a="1"/>
  <c r="G473" i="3" s="1"/>
  <c r="L473" i="3"/>
  <c r="M473" i="3"/>
  <c r="J473" i="3" a="1"/>
  <c r="J473" i="3" s="1"/>
  <c r="F473" i="3"/>
  <c r="A472" i="3" a="1"/>
  <c r="A472" i="3" s="1"/>
  <c r="B472" i="3" a="1"/>
  <c r="B472" i="3" s="1"/>
  <c r="D471" i="2"/>
  <c r="C475" i="2"/>
  <c r="F474" i="2"/>
  <c r="A473" i="2" a="1"/>
  <c r="A473" i="2" s="1"/>
  <c r="B473" i="2" a="1"/>
  <c r="B473" i="2" s="1"/>
  <c r="J472" i="2" a="1"/>
  <c r="J472" i="2" s="1"/>
  <c r="K472" i="2" a="1"/>
  <c r="K472" i="2" s="1"/>
  <c r="H472" i="2" a="1"/>
  <c r="H472" i="2" s="1"/>
  <c r="I472" i="2" a="1"/>
  <c r="I472" i="2" s="1"/>
  <c r="D472" i="2" a="1"/>
  <c r="K473" i="3" l="1" a="1"/>
  <c r="K473" i="3" s="1"/>
  <c r="H473" i="3" a="1"/>
  <c r="H473" i="3" s="1"/>
  <c r="I473" i="3" a="1"/>
  <c r="I473" i="3" s="1"/>
  <c r="C475" i="3"/>
  <c r="L474" i="3"/>
  <c r="M474" i="3"/>
  <c r="F474" i="3"/>
  <c r="F475" i="3" s="1"/>
  <c r="B473" i="3" a="1"/>
  <c r="B473" i="3" s="1"/>
  <c r="A473" i="3" a="1"/>
  <c r="A473" i="3" s="1"/>
  <c r="D472" i="2"/>
  <c r="I473" i="2" a="1"/>
  <c r="I473" i="2" s="1"/>
  <c r="J473" i="2" a="1"/>
  <c r="J473" i="2" s="1"/>
  <c r="H473" i="2" a="1"/>
  <c r="H473" i="2" s="1"/>
  <c r="K473" i="2" a="1"/>
  <c r="K473" i="2" s="1"/>
  <c r="A474" i="2" a="1"/>
  <c r="A474" i="2" s="1"/>
  <c r="B474" i="2" a="1"/>
  <c r="B474" i="2" s="1"/>
  <c r="C476" i="2"/>
  <c r="F475" i="2"/>
  <c r="D473" i="2" a="1"/>
  <c r="C476" i="3" l="1"/>
  <c r="G475" i="3" a="1"/>
  <c r="G475" i="3" s="1"/>
  <c r="L475" i="3"/>
  <c r="M475" i="3"/>
  <c r="J475" i="3" a="1"/>
  <c r="J475" i="3" s="1"/>
  <c r="F476" i="3"/>
  <c r="G474" i="3" a="1"/>
  <c r="G474" i="3" s="1"/>
  <c r="A474" i="3" a="1"/>
  <c r="A474" i="3" s="1"/>
  <c r="B474" i="3" a="1"/>
  <c r="B474" i="3" s="1"/>
  <c r="D473" i="2"/>
  <c r="A475" i="2" a="1"/>
  <c r="A475" i="2" s="1"/>
  <c r="B475" i="2" a="1"/>
  <c r="B475" i="2" s="1"/>
  <c r="C477" i="2"/>
  <c r="F476" i="2"/>
  <c r="J474" i="2" a="1"/>
  <c r="J474" i="2" s="1"/>
  <c r="I474" i="2" a="1"/>
  <c r="I474" i="2" s="1"/>
  <c r="K474" i="2" a="1"/>
  <c r="K474" i="2" s="1"/>
  <c r="H474" i="2" a="1"/>
  <c r="H474" i="2" s="1"/>
  <c r="D474" i="2" a="1"/>
  <c r="H474" i="3" l="1" a="1"/>
  <c r="H474" i="3" s="1"/>
  <c r="I474" i="3" a="1"/>
  <c r="I474" i="3" s="1"/>
  <c r="K474" i="3" a="1"/>
  <c r="K474" i="3" s="1"/>
  <c r="J474" i="3" a="1"/>
  <c r="J474" i="3" s="1"/>
  <c r="H475" i="3" a="1"/>
  <c r="H475" i="3" s="1"/>
  <c r="K475" i="3" a="1"/>
  <c r="K475" i="3" s="1"/>
  <c r="I475" i="3" a="1"/>
  <c r="I475" i="3" s="1"/>
  <c r="C477" i="3"/>
  <c r="G476" i="3" a="1"/>
  <c r="G476" i="3" s="1"/>
  <c r="M476" i="3"/>
  <c r="L476" i="3"/>
  <c r="A475" i="3" a="1"/>
  <c r="A475" i="3" s="1"/>
  <c r="B475" i="3" a="1"/>
  <c r="B475" i="3" s="1"/>
  <c r="D474" i="2"/>
  <c r="A476" i="2" a="1"/>
  <c r="A476" i="2" s="1"/>
  <c r="B476" i="2" a="1"/>
  <c r="B476" i="2" s="1"/>
  <c r="K475" i="2" a="1"/>
  <c r="K475" i="2" s="1"/>
  <c r="I475" i="2" a="1"/>
  <c r="I475" i="2" s="1"/>
  <c r="J475" i="2" a="1"/>
  <c r="J475" i="2" s="1"/>
  <c r="H475" i="2" a="1"/>
  <c r="H475" i="2" s="1"/>
  <c r="C478" i="2"/>
  <c r="F477" i="2"/>
  <c r="D475" i="2" a="1"/>
  <c r="H476" i="3" l="1" a="1"/>
  <c r="H476" i="3" s="1"/>
  <c r="I476" i="3" a="1"/>
  <c r="I476" i="3" s="1"/>
  <c r="K476" i="3" a="1"/>
  <c r="K476" i="3" s="1"/>
  <c r="C478" i="3"/>
  <c r="L477" i="3"/>
  <c r="M477" i="3"/>
  <c r="F477" i="3"/>
  <c r="F478" i="3" s="1"/>
  <c r="J476" i="3" a="1"/>
  <c r="J476" i="3" s="1"/>
  <c r="A476" i="3" a="1"/>
  <c r="A476" i="3" s="1"/>
  <c r="B476" i="3" a="1"/>
  <c r="B476" i="3" s="1"/>
  <c r="D475" i="2"/>
  <c r="B477" i="2" a="1"/>
  <c r="B477" i="2" s="1"/>
  <c r="A477" i="2" a="1"/>
  <c r="A477" i="2" s="1"/>
  <c r="C479" i="2"/>
  <c r="F478" i="2"/>
  <c r="I476" i="2" a="1"/>
  <c r="I476" i="2" s="1"/>
  <c r="H476" i="2" a="1"/>
  <c r="H476" i="2" s="1"/>
  <c r="J476" i="2" a="1"/>
  <c r="J476" i="2" s="1"/>
  <c r="K476" i="2" a="1"/>
  <c r="K476" i="2" s="1"/>
  <c r="D476" i="2" a="1"/>
  <c r="C479" i="3" l="1"/>
  <c r="G478" i="3" a="1"/>
  <c r="G478" i="3" s="1"/>
  <c r="L478" i="3"/>
  <c r="M478" i="3"/>
  <c r="J478" i="3" a="1"/>
  <c r="J478" i="3" s="1"/>
  <c r="F479" i="3"/>
  <c r="G477" i="3" a="1"/>
  <c r="G477" i="3" s="1"/>
  <c r="A477" i="3" a="1"/>
  <c r="A477" i="3" s="1"/>
  <c r="B477" i="3" a="1"/>
  <c r="B477" i="3" s="1"/>
  <c r="D476" i="2"/>
  <c r="B478" i="2" a="1"/>
  <c r="B478" i="2" s="1"/>
  <c r="A478" i="2" a="1"/>
  <c r="A478" i="2" s="1"/>
  <c r="H477" i="2" a="1"/>
  <c r="H477" i="2" s="1"/>
  <c r="I477" i="2" a="1"/>
  <c r="I477" i="2" s="1"/>
  <c r="K477" i="2" a="1"/>
  <c r="K477" i="2" s="1"/>
  <c r="J477" i="2" a="1"/>
  <c r="J477" i="2" s="1"/>
  <c r="C480" i="2"/>
  <c r="F479" i="2"/>
  <c r="D477" i="2" a="1"/>
  <c r="I477" i="3" l="1" a="1"/>
  <c r="I477" i="3" s="1"/>
  <c r="H477" i="3" a="1"/>
  <c r="H477" i="3" s="1"/>
  <c r="K477" i="3" a="1"/>
  <c r="K477" i="3" s="1"/>
  <c r="J477" i="3" a="1"/>
  <c r="J477" i="3" s="1"/>
  <c r="H478" i="3" a="1"/>
  <c r="H478" i="3" s="1"/>
  <c r="I478" i="3" a="1"/>
  <c r="I478" i="3" s="1"/>
  <c r="K478" i="3" a="1"/>
  <c r="K478" i="3" s="1"/>
  <c r="C480" i="3"/>
  <c r="G479" i="3" a="1"/>
  <c r="G479" i="3" s="1"/>
  <c r="J479" i="3" a="1"/>
  <c r="J479" i="3" s="1"/>
  <c r="M479" i="3"/>
  <c r="L479" i="3"/>
  <c r="A478" i="3" a="1"/>
  <c r="A478" i="3" s="1"/>
  <c r="B478" i="3" a="1"/>
  <c r="B478" i="3" s="1"/>
  <c r="D477" i="2"/>
  <c r="B479" i="2" a="1"/>
  <c r="B479" i="2" s="1"/>
  <c r="A479" i="2" a="1"/>
  <c r="A479" i="2" s="1"/>
  <c r="C481" i="2"/>
  <c r="F480" i="2"/>
  <c r="K478" i="2" a="1"/>
  <c r="K478" i="2" s="1"/>
  <c r="I478" i="2" a="1"/>
  <c r="I478" i="2" s="1"/>
  <c r="J478" i="2" a="1"/>
  <c r="J478" i="2" s="1"/>
  <c r="H478" i="2" a="1"/>
  <c r="H478" i="2" s="1"/>
  <c r="D478" i="2" a="1"/>
  <c r="H479" i="3" l="1" a="1"/>
  <c r="H479" i="3" s="1"/>
  <c r="I479" i="3" a="1"/>
  <c r="I479" i="3" s="1"/>
  <c r="K479" i="3" a="1"/>
  <c r="K479" i="3" s="1"/>
  <c r="C481" i="3"/>
  <c r="L480" i="3"/>
  <c r="M480" i="3"/>
  <c r="F480" i="3"/>
  <c r="F481" i="3" s="1"/>
  <c r="A479" i="3" a="1"/>
  <c r="A479" i="3" s="1"/>
  <c r="B479" i="3" a="1"/>
  <c r="B479" i="3" s="1"/>
  <c r="D478" i="2"/>
  <c r="K479" i="2" a="1"/>
  <c r="K479" i="2" s="1"/>
  <c r="I479" i="2" a="1"/>
  <c r="I479" i="2" s="1"/>
  <c r="H479" i="2" a="1"/>
  <c r="H479" i="2" s="1"/>
  <c r="J479" i="2" a="1"/>
  <c r="J479" i="2" s="1"/>
  <c r="C482" i="2"/>
  <c r="F481" i="2"/>
  <c r="A480" i="2" a="1"/>
  <c r="A480" i="2" s="1"/>
  <c r="B480" i="2" a="1"/>
  <c r="B480" i="2" s="1"/>
  <c r="D479" i="2" a="1"/>
  <c r="G480" i="3" l="1" a="1"/>
  <c r="G480" i="3" s="1"/>
  <c r="C482" i="3"/>
  <c r="G481" i="3" a="1"/>
  <c r="G481" i="3" s="1"/>
  <c r="L481" i="3"/>
  <c r="M481" i="3"/>
  <c r="B480" i="3" a="1"/>
  <c r="B480" i="3" s="1"/>
  <c r="A480" i="3" a="1"/>
  <c r="A480" i="3" s="1"/>
  <c r="D479" i="2"/>
  <c r="C483" i="2"/>
  <c r="F482" i="2"/>
  <c r="K480" i="2" a="1"/>
  <c r="K480" i="2" s="1"/>
  <c r="I480" i="2" a="1"/>
  <c r="I480" i="2" s="1"/>
  <c r="J480" i="2" a="1"/>
  <c r="J480" i="2" s="1"/>
  <c r="H480" i="2" a="1"/>
  <c r="H480" i="2" s="1"/>
  <c r="A481" i="2" a="1"/>
  <c r="A481" i="2" s="1"/>
  <c r="B481" i="2" a="1"/>
  <c r="B481" i="2" s="1"/>
  <c r="D480" i="2" a="1"/>
  <c r="I481" i="3" l="1" a="1"/>
  <c r="I481" i="3" s="1"/>
  <c r="K481" i="3" a="1"/>
  <c r="K481" i="3" s="1"/>
  <c r="H481" i="3" a="1"/>
  <c r="H481" i="3" s="1"/>
  <c r="C483" i="3"/>
  <c r="G482" i="3" a="1"/>
  <c r="G482" i="3" s="1"/>
  <c r="L482" i="3"/>
  <c r="M482" i="3"/>
  <c r="J481" i="3" a="1"/>
  <c r="J481" i="3" s="1"/>
  <c r="K480" i="3" a="1"/>
  <c r="K480" i="3" s="1"/>
  <c r="H480" i="3" a="1"/>
  <c r="H480" i="3" s="1"/>
  <c r="I480" i="3" a="1"/>
  <c r="I480" i="3" s="1"/>
  <c r="J480" i="3" a="1"/>
  <c r="J480" i="3" s="1"/>
  <c r="F482" i="3"/>
  <c r="A481" i="3" a="1"/>
  <c r="A481" i="3" s="1"/>
  <c r="B481" i="3" a="1"/>
  <c r="B481" i="3" s="1"/>
  <c r="D480" i="2"/>
  <c r="K481" i="2" a="1"/>
  <c r="K481" i="2" s="1"/>
  <c r="I481" i="2" a="1"/>
  <c r="I481" i="2" s="1"/>
  <c r="H481" i="2" a="1"/>
  <c r="H481" i="2" s="1"/>
  <c r="J481" i="2" a="1"/>
  <c r="J481" i="2" s="1"/>
  <c r="A482" i="2" a="1"/>
  <c r="A482" i="2" s="1"/>
  <c r="B482" i="2" a="1"/>
  <c r="B482" i="2" s="1"/>
  <c r="C484" i="2"/>
  <c r="F483" i="2"/>
  <c r="D481" i="2" a="1"/>
  <c r="I482" i="3" l="1" a="1"/>
  <c r="I482" i="3" s="1"/>
  <c r="H482" i="3" a="1"/>
  <c r="H482" i="3" s="1"/>
  <c r="K482" i="3" a="1"/>
  <c r="K482" i="3" s="1"/>
  <c r="J482" i="3" a="1"/>
  <c r="J482" i="3" s="1"/>
  <c r="C484" i="3"/>
  <c r="L483" i="3"/>
  <c r="M483" i="3"/>
  <c r="F483" i="3"/>
  <c r="F484" i="3" s="1"/>
  <c r="A482" i="3" a="1"/>
  <c r="A482" i="3" s="1"/>
  <c r="B482" i="3" a="1"/>
  <c r="B482" i="3" s="1"/>
  <c r="D481" i="2"/>
  <c r="A483" i="2" a="1"/>
  <c r="A483" i="2" s="1"/>
  <c r="B483" i="2" a="1"/>
  <c r="B483" i="2" s="1"/>
  <c r="C485" i="2"/>
  <c r="F484" i="2"/>
  <c r="K482" i="2" a="1"/>
  <c r="K482" i="2" s="1"/>
  <c r="J482" i="2" a="1"/>
  <c r="J482" i="2" s="1"/>
  <c r="I482" i="2" a="1"/>
  <c r="I482" i="2" s="1"/>
  <c r="H482" i="2" a="1"/>
  <c r="H482" i="2" s="1"/>
  <c r="D482" i="2" a="1"/>
  <c r="C485" i="3" l="1"/>
  <c r="G484" i="3" a="1"/>
  <c r="G484" i="3" s="1"/>
  <c r="L484" i="3"/>
  <c r="M484" i="3"/>
  <c r="J484" i="3" a="1"/>
  <c r="J484" i="3" s="1"/>
  <c r="G483" i="3" a="1"/>
  <c r="G483" i="3" s="1"/>
  <c r="F485" i="3"/>
  <c r="A483" i="3" a="1"/>
  <c r="A483" i="3" s="1"/>
  <c r="B483" i="3" a="1"/>
  <c r="B483" i="3" s="1"/>
  <c r="D482" i="2"/>
  <c r="A484" i="2" a="1"/>
  <c r="A484" i="2" s="1"/>
  <c r="B484" i="2" a="1"/>
  <c r="B484" i="2" s="1"/>
  <c r="H483" i="2" a="1"/>
  <c r="H483" i="2" s="1"/>
  <c r="J483" i="2" a="1"/>
  <c r="J483" i="2" s="1"/>
  <c r="I483" i="2" a="1"/>
  <c r="I483" i="2" s="1"/>
  <c r="K483" i="2" a="1"/>
  <c r="K483" i="2" s="1"/>
  <c r="C486" i="2"/>
  <c r="F485" i="2"/>
  <c r="D483" i="2" a="1"/>
  <c r="K483" i="3" l="1" a="1"/>
  <c r="K483" i="3" s="1"/>
  <c r="H483" i="3" a="1"/>
  <c r="H483" i="3" s="1"/>
  <c r="I483" i="3" a="1"/>
  <c r="I483" i="3" s="1"/>
  <c r="J483" i="3" a="1"/>
  <c r="J483" i="3" s="1"/>
  <c r="K484" i="3" a="1"/>
  <c r="K484" i="3" s="1"/>
  <c r="I484" i="3" a="1"/>
  <c r="I484" i="3" s="1"/>
  <c r="H484" i="3" a="1"/>
  <c r="H484" i="3" s="1"/>
  <c r="C486" i="3"/>
  <c r="G485" i="3" a="1"/>
  <c r="G485" i="3" s="1"/>
  <c r="J485" i="3" a="1"/>
  <c r="J485" i="3" s="1"/>
  <c r="L485" i="3"/>
  <c r="M485" i="3"/>
  <c r="A484" i="3" a="1"/>
  <c r="A484" i="3" s="1"/>
  <c r="B484" i="3" a="1"/>
  <c r="B484" i="3" s="1"/>
  <c r="D483" i="2"/>
  <c r="A485" i="2" a="1"/>
  <c r="A485" i="2" s="1"/>
  <c r="B485" i="2" a="1"/>
  <c r="B485" i="2" s="1"/>
  <c r="C487" i="2"/>
  <c r="F486" i="2"/>
  <c r="K484" i="2" a="1"/>
  <c r="K484" i="2" s="1"/>
  <c r="J484" i="2" a="1"/>
  <c r="J484" i="2" s="1"/>
  <c r="I484" i="2" a="1"/>
  <c r="I484" i="2" s="1"/>
  <c r="H484" i="2" a="1"/>
  <c r="H484" i="2" s="1"/>
  <c r="D484" i="2" a="1"/>
  <c r="C487" i="3" l="1"/>
  <c r="L486" i="3"/>
  <c r="M486" i="3"/>
  <c r="K485" i="3" a="1"/>
  <c r="K485" i="3" s="1"/>
  <c r="H485" i="3" a="1"/>
  <c r="H485" i="3" s="1"/>
  <c r="I485" i="3" a="1"/>
  <c r="I485" i="3" s="1"/>
  <c r="F486" i="3"/>
  <c r="F487" i="3" s="1"/>
  <c r="B485" i="3" a="1"/>
  <c r="B485" i="3" s="1"/>
  <c r="A485" i="3" a="1"/>
  <c r="A485" i="3" s="1"/>
  <c r="D484" i="2"/>
  <c r="A486" i="2" a="1"/>
  <c r="A486" i="2" s="1"/>
  <c r="B486" i="2" a="1"/>
  <c r="B486" i="2" s="1"/>
  <c r="I485" i="2" a="1"/>
  <c r="I485" i="2" s="1"/>
  <c r="K485" i="2" a="1"/>
  <c r="K485" i="2" s="1"/>
  <c r="J485" i="2" a="1"/>
  <c r="J485" i="2" s="1"/>
  <c r="H485" i="2" a="1"/>
  <c r="H485" i="2" s="1"/>
  <c r="C488" i="2"/>
  <c r="F487" i="2"/>
  <c r="D485" i="2" a="1"/>
  <c r="G486" i="3" l="1" a="1"/>
  <c r="G486" i="3" s="1"/>
  <c r="C488" i="3"/>
  <c r="G487" i="3" a="1"/>
  <c r="G487" i="3" s="1"/>
  <c r="L487" i="3"/>
  <c r="M487" i="3"/>
  <c r="J487" i="3" a="1"/>
  <c r="J487" i="3" s="1"/>
  <c r="A486" i="3" a="1"/>
  <c r="A486" i="3" s="1"/>
  <c r="B486" i="3" a="1"/>
  <c r="B486" i="3" s="1"/>
  <c r="D485" i="2"/>
  <c r="C489" i="2"/>
  <c r="F488" i="2"/>
  <c r="I486" i="2" a="1"/>
  <c r="I486" i="2" s="1"/>
  <c r="K486" i="2" a="1"/>
  <c r="K486" i="2" s="1"/>
  <c r="H486" i="2" a="1"/>
  <c r="H486" i="2" s="1"/>
  <c r="J486" i="2" a="1"/>
  <c r="J486" i="2" s="1"/>
  <c r="B487" i="2" a="1"/>
  <c r="B487" i="2" s="1"/>
  <c r="A487" i="2" a="1"/>
  <c r="A487" i="2" s="1"/>
  <c r="D486" i="2" a="1"/>
  <c r="H486" i="3" l="1" a="1"/>
  <c r="H486" i="3" s="1"/>
  <c r="I486" i="3" a="1"/>
  <c r="I486" i="3" s="1"/>
  <c r="K486" i="3" a="1"/>
  <c r="K486" i="3" s="1"/>
  <c r="J486" i="3" a="1"/>
  <c r="J486" i="3" s="1"/>
  <c r="H487" i="3" a="1"/>
  <c r="H487" i="3" s="1"/>
  <c r="I487" i="3" a="1"/>
  <c r="I487" i="3" s="1"/>
  <c r="K487" i="3" a="1"/>
  <c r="K487" i="3" s="1"/>
  <c r="C489" i="3"/>
  <c r="G488" i="3" a="1"/>
  <c r="G488" i="3" s="1"/>
  <c r="J488" i="3" s="1" a="1"/>
  <c r="J488" i="3" s="1"/>
  <c r="L488" i="3"/>
  <c r="M488" i="3"/>
  <c r="F488" i="3"/>
  <c r="A487" i="3" a="1"/>
  <c r="A487" i="3" s="1"/>
  <c r="B487" i="3" a="1"/>
  <c r="B487" i="3" s="1"/>
  <c r="D486" i="2"/>
  <c r="H487" i="2" a="1"/>
  <c r="H487" i="2" s="1"/>
  <c r="I487" i="2" a="1"/>
  <c r="I487" i="2" s="1"/>
  <c r="K487" i="2" a="1"/>
  <c r="K487" i="2" s="1"/>
  <c r="J487" i="2" a="1"/>
  <c r="J487" i="2" s="1"/>
  <c r="A488" i="2" a="1"/>
  <c r="A488" i="2" s="1"/>
  <c r="B488" i="2" a="1"/>
  <c r="B488" i="2" s="1"/>
  <c r="C490" i="2"/>
  <c r="F489" i="2"/>
  <c r="D487" i="2" a="1"/>
  <c r="K488" i="3" l="1" a="1"/>
  <c r="K488" i="3" s="1"/>
  <c r="H488" i="3" a="1"/>
  <c r="H488" i="3" s="1"/>
  <c r="I488" i="3" a="1"/>
  <c r="I488" i="3" s="1"/>
  <c r="C490" i="3"/>
  <c r="L489" i="3"/>
  <c r="M489" i="3"/>
  <c r="F489" i="3"/>
  <c r="F490" i="3" s="1"/>
  <c r="A488" i="3" a="1"/>
  <c r="A488" i="3" s="1"/>
  <c r="B488" i="3" a="1"/>
  <c r="B488" i="3" s="1"/>
  <c r="D487" i="2"/>
  <c r="C491" i="2"/>
  <c r="F490" i="2"/>
  <c r="A489" i="2" a="1"/>
  <c r="A489" i="2" s="1"/>
  <c r="B489" i="2" a="1"/>
  <c r="B489" i="2" s="1"/>
  <c r="H488" i="2" a="1"/>
  <c r="H488" i="2" s="1"/>
  <c r="I488" i="2" a="1"/>
  <c r="I488" i="2" s="1"/>
  <c r="J488" i="2" a="1"/>
  <c r="J488" i="2" s="1"/>
  <c r="K488" i="2" a="1"/>
  <c r="K488" i="2" s="1"/>
  <c r="D488" i="2" a="1"/>
  <c r="C491" i="3" l="1"/>
  <c r="G490" i="3" a="1"/>
  <c r="G490" i="3" s="1"/>
  <c r="L490" i="3"/>
  <c r="M490" i="3"/>
  <c r="J490" i="3" a="1"/>
  <c r="J490" i="3" s="1"/>
  <c r="G489" i="3" a="1"/>
  <c r="G489" i="3" s="1"/>
  <c r="A489" i="3" a="1"/>
  <c r="A489" i="3" s="1"/>
  <c r="B489" i="3" a="1"/>
  <c r="B489" i="3" s="1"/>
  <c r="D488" i="2"/>
  <c r="H489" i="2" a="1"/>
  <c r="H489" i="2" s="1"/>
  <c r="I489" i="2" a="1"/>
  <c r="I489" i="2" s="1"/>
  <c r="J489" i="2" a="1"/>
  <c r="J489" i="2" s="1"/>
  <c r="K489" i="2" a="1"/>
  <c r="K489" i="2" s="1"/>
  <c r="B490" i="2" a="1"/>
  <c r="B490" i="2" s="1"/>
  <c r="A490" i="2" a="1"/>
  <c r="A490" i="2" s="1"/>
  <c r="C492" i="2"/>
  <c r="F491" i="2"/>
  <c r="D489" i="2" a="1"/>
  <c r="H489" i="3" l="1" a="1"/>
  <c r="H489" i="3" s="1"/>
  <c r="I489" i="3" a="1"/>
  <c r="I489" i="3" s="1"/>
  <c r="K489" i="3" a="1"/>
  <c r="K489" i="3" s="1"/>
  <c r="J489" i="3" a="1"/>
  <c r="J489" i="3" s="1"/>
  <c r="H490" i="3" a="1"/>
  <c r="H490" i="3" s="1"/>
  <c r="I490" i="3" a="1"/>
  <c r="I490" i="3" s="1"/>
  <c r="K490" i="3" a="1"/>
  <c r="K490" i="3" s="1"/>
  <c r="C492" i="3"/>
  <c r="G491" i="3" a="1"/>
  <c r="G491" i="3" s="1"/>
  <c r="L491" i="3"/>
  <c r="M491" i="3"/>
  <c r="J491" i="3" a="1"/>
  <c r="J491" i="3" s="1"/>
  <c r="F491" i="3"/>
  <c r="A490" i="3" a="1"/>
  <c r="A490" i="3" s="1"/>
  <c r="B490" i="3" a="1"/>
  <c r="B490" i="3" s="1"/>
  <c r="D489" i="2"/>
  <c r="C493" i="2"/>
  <c r="F492" i="2"/>
  <c r="B491" i="2" a="1"/>
  <c r="B491" i="2" s="1"/>
  <c r="A491" i="2" a="1"/>
  <c r="A491" i="2" s="1"/>
  <c r="K490" i="2" a="1"/>
  <c r="K490" i="2" s="1"/>
  <c r="I490" i="2" a="1"/>
  <c r="I490" i="2" s="1"/>
  <c r="J490" i="2" a="1"/>
  <c r="J490" i="2" s="1"/>
  <c r="H490" i="2" a="1"/>
  <c r="H490" i="2" s="1"/>
  <c r="D490" i="2" a="1"/>
  <c r="K491" i="3" l="1" a="1"/>
  <c r="K491" i="3" s="1"/>
  <c r="H491" i="3" a="1"/>
  <c r="H491" i="3" s="1"/>
  <c r="I491" i="3" a="1"/>
  <c r="I491" i="3" s="1"/>
  <c r="C493" i="3"/>
  <c r="M492" i="3"/>
  <c r="L492" i="3"/>
  <c r="F492" i="3"/>
  <c r="F493" i="3" s="1"/>
  <c r="A491" i="3" a="1"/>
  <c r="A491" i="3" s="1"/>
  <c r="B491" i="3" a="1"/>
  <c r="B491" i="3" s="1"/>
  <c r="D490" i="2"/>
  <c r="H491" i="2" a="1"/>
  <c r="H491" i="2" s="1"/>
  <c r="K491" i="2" a="1"/>
  <c r="K491" i="2" s="1"/>
  <c r="J491" i="2" a="1"/>
  <c r="J491" i="2" s="1"/>
  <c r="I491" i="2" a="1"/>
  <c r="I491" i="2" s="1"/>
  <c r="A492" i="2" a="1"/>
  <c r="A492" i="2" s="1"/>
  <c r="B492" i="2" a="1"/>
  <c r="B492" i="2" s="1"/>
  <c r="C494" i="2"/>
  <c r="F493" i="2"/>
  <c r="D491" i="2" a="1"/>
  <c r="G492" i="3" l="1" a="1"/>
  <c r="G492" i="3" s="1"/>
  <c r="C494" i="3"/>
  <c r="G493" i="3" a="1"/>
  <c r="G493" i="3" s="1"/>
  <c r="L493" i="3"/>
  <c r="M493" i="3"/>
  <c r="F494" i="3"/>
  <c r="B492" i="3" a="1"/>
  <c r="B492" i="3" s="1"/>
  <c r="A492" i="3" a="1"/>
  <c r="A492" i="3" s="1"/>
  <c r="D491" i="2"/>
  <c r="C495" i="2"/>
  <c r="F494" i="2"/>
  <c r="I492" i="2" a="1"/>
  <c r="I492" i="2" s="1"/>
  <c r="H492" i="2" a="1"/>
  <c r="H492" i="2" s="1"/>
  <c r="K492" i="2" a="1"/>
  <c r="K492" i="2" s="1"/>
  <c r="J492" i="2" a="1"/>
  <c r="J492" i="2" s="1"/>
  <c r="B493" i="2" a="1"/>
  <c r="B493" i="2" s="1"/>
  <c r="A493" i="2" a="1"/>
  <c r="A493" i="2" s="1"/>
  <c r="D492" i="2" a="1"/>
  <c r="I493" i="3" l="1" a="1"/>
  <c r="I493" i="3" s="1"/>
  <c r="K493" i="3" a="1"/>
  <c r="K493" i="3" s="1"/>
  <c r="H493" i="3" a="1"/>
  <c r="H493" i="3" s="1"/>
  <c r="C495" i="3"/>
  <c r="F495" i="3" s="1"/>
  <c r="G494" i="3" a="1"/>
  <c r="G494" i="3" s="1"/>
  <c r="L494" i="3"/>
  <c r="M494" i="3"/>
  <c r="J494" i="3" a="1"/>
  <c r="J494" i="3" s="1"/>
  <c r="J493" i="3" a="1"/>
  <c r="J493" i="3" s="1"/>
  <c r="K492" i="3" a="1"/>
  <c r="K492" i="3" s="1"/>
  <c r="H492" i="3" a="1"/>
  <c r="H492" i="3" s="1"/>
  <c r="I492" i="3" a="1"/>
  <c r="I492" i="3" s="1"/>
  <c r="J492" i="3" a="1"/>
  <c r="J492" i="3" s="1"/>
  <c r="A493" i="3" a="1"/>
  <c r="A493" i="3" s="1"/>
  <c r="B493" i="3" a="1"/>
  <c r="B493" i="3" s="1"/>
  <c r="D492" i="2"/>
  <c r="B494" i="2" a="1"/>
  <c r="B494" i="2" s="1"/>
  <c r="A494" i="2" a="1"/>
  <c r="A494" i="2" s="1"/>
  <c r="I493" i="2" a="1"/>
  <c r="I493" i="2" s="1"/>
  <c r="K493" i="2" a="1"/>
  <c r="K493" i="2" s="1"/>
  <c r="H493" i="2" a="1"/>
  <c r="H493" i="2" s="1"/>
  <c r="J493" i="2" a="1"/>
  <c r="J493" i="2" s="1"/>
  <c r="C496" i="2"/>
  <c r="F495" i="2"/>
  <c r="D493" i="2" a="1"/>
  <c r="H494" i="3" l="1" a="1"/>
  <c r="H494" i="3" s="1"/>
  <c r="C496" i="3"/>
  <c r="G495" i="3" a="1"/>
  <c r="G495" i="3" s="1"/>
  <c r="J495" i="3" s="1" a="1"/>
  <c r="J495" i="3" s="1"/>
  <c r="L495" i="3"/>
  <c r="M495" i="3"/>
  <c r="I494" i="3" a="1"/>
  <c r="I494" i="3" s="1"/>
  <c r="K494" i="3" a="1"/>
  <c r="K494" i="3" s="1"/>
  <c r="A494" i="3" a="1"/>
  <c r="A494" i="3" s="1"/>
  <c r="B494" i="3" a="1"/>
  <c r="B494" i="3" s="1"/>
  <c r="D493" i="2"/>
  <c r="A495" i="2" a="1"/>
  <c r="A495" i="2" s="1"/>
  <c r="B495" i="2" a="1"/>
  <c r="B495" i="2" s="1"/>
  <c r="C497" i="2"/>
  <c r="F496" i="2"/>
  <c r="I494" i="2" a="1"/>
  <c r="I494" i="2" s="1"/>
  <c r="K494" i="2" a="1"/>
  <c r="K494" i="2" s="1"/>
  <c r="J494" i="2" a="1"/>
  <c r="J494" i="2" s="1"/>
  <c r="H494" i="2" a="1"/>
  <c r="H494" i="2" s="1"/>
  <c r="D494" i="2" a="1"/>
  <c r="K495" i="3" l="1" a="1"/>
  <c r="K495" i="3" s="1"/>
  <c r="H495" i="3" a="1"/>
  <c r="H495" i="3" s="1"/>
  <c r="I495" i="3" a="1"/>
  <c r="I495" i="3" s="1"/>
  <c r="C497" i="3"/>
  <c r="L496" i="3"/>
  <c r="M496" i="3"/>
  <c r="F496" i="3"/>
  <c r="F497" i="3" s="1"/>
  <c r="A495" i="3" a="1"/>
  <c r="A495" i="3" s="1"/>
  <c r="B495" i="3" a="1"/>
  <c r="B495" i="3" s="1"/>
  <c r="D494" i="2"/>
  <c r="B496" i="2" a="1"/>
  <c r="B496" i="2" s="1"/>
  <c r="A496" i="2" a="1"/>
  <c r="A496" i="2" s="1"/>
  <c r="K495" i="2" a="1"/>
  <c r="K495" i="2" s="1"/>
  <c r="H495" i="2" a="1"/>
  <c r="H495" i="2" s="1"/>
  <c r="I495" i="2" a="1"/>
  <c r="I495" i="2" s="1"/>
  <c r="J495" i="2" a="1"/>
  <c r="J495" i="2" s="1"/>
  <c r="C498" i="2"/>
  <c r="F497" i="2"/>
  <c r="D495" i="2" a="1"/>
  <c r="C498" i="3" l="1"/>
  <c r="G497" i="3" a="1"/>
  <c r="G497" i="3" s="1"/>
  <c r="L497" i="3"/>
  <c r="M497" i="3"/>
  <c r="J497" i="3" a="1"/>
  <c r="J497" i="3" s="1"/>
  <c r="F498" i="3"/>
  <c r="G496" i="3" a="1"/>
  <c r="G496" i="3" s="1"/>
  <c r="A496" i="3" a="1"/>
  <c r="A496" i="3" s="1"/>
  <c r="B496" i="3" a="1"/>
  <c r="B496" i="3" s="1"/>
  <c r="D495" i="2"/>
  <c r="B497" i="2" a="1"/>
  <c r="B497" i="2" s="1"/>
  <c r="A497" i="2" a="1"/>
  <c r="A497" i="2" s="1"/>
  <c r="C499" i="2"/>
  <c r="F498" i="2"/>
  <c r="K496" i="2" a="1"/>
  <c r="K496" i="2" s="1"/>
  <c r="I496" i="2" a="1"/>
  <c r="I496" i="2" s="1"/>
  <c r="J496" i="2" a="1"/>
  <c r="J496" i="2" s="1"/>
  <c r="H496" i="2" a="1"/>
  <c r="H496" i="2" s="1"/>
  <c r="D496" i="2" a="1"/>
  <c r="I496" i="3" l="1" a="1"/>
  <c r="I496" i="3" s="1"/>
  <c r="K496" i="3" a="1"/>
  <c r="K496" i="3" s="1"/>
  <c r="H496" i="3" a="1"/>
  <c r="H496" i="3" s="1"/>
  <c r="J496" i="3" a="1"/>
  <c r="J496" i="3" s="1"/>
  <c r="K497" i="3" a="1"/>
  <c r="K497" i="3" s="1"/>
  <c r="H497" i="3" a="1"/>
  <c r="H497" i="3" s="1"/>
  <c r="I497" i="3" a="1"/>
  <c r="I497" i="3" s="1"/>
  <c r="C499" i="3"/>
  <c r="G498" i="3" a="1"/>
  <c r="G498" i="3" s="1"/>
  <c r="L498" i="3"/>
  <c r="M498" i="3"/>
  <c r="B497" i="3" a="1"/>
  <c r="B497" i="3" s="1"/>
  <c r="A497" i="3" a="1"/>
  <c r="A497" i="3" s="1"/>
  <c r="D496" i="2"/>
  <c r="A498" i="2" a="1"/>
  <c r="A498" i="2" s="1"/>
  <c r="B498" i="2" a="1"/>
  <c r="B498" i="2" s="1"/>
  <c r="C500" i="2"/>
  <c r="F499" i="2"/>
  <c r="K497" i="2" a="1"/>
  <c r="K497" i="2" s="1"/>
  <c r="I497" i="2" a="1"/>
  <c r="I497" i="2" s="1"/>
  <c r="H497" i="2" a="1"/>
  <c r="H497" i="2" s="1"/>
  <c r="J497" i="2" a="1"/>
  <c r="J497" i="2" s="1"/>
  <c r="D497" i="2" a="1"/>
  <c r="I498" i="3" l="1" a="1"/>
  <c r="I498" i="3" s="1"/>
  <c r="K498" i="3" a="1"/>
  <c r="K498" i="3" s="1"/>
  <c r="H498" i="3" a="1"/>
  <c r="H498" i="3" s="1"/>
  <c r="C500" i="3"/>
  <c r="L499" i="3"/>
  <c r="M499" i="3"/>
  <c r="J498" i="3" a="1"/>
  <c r="J498" i="3" s="1"/>
  <c r="F499" i="3"/>
  <c r="F500" i="3" s="1"/>
  <c r="A498" i="3" a="1"/>
  <c r="A498" i="3" s="1"/>
  <c r="B498" i="3" a="1"/>
  <c r="B498" i="3" s="1"/>
  <c r="D497" i="2"/>
  <c r="C501" i="2"/>
  <c r="F500" i="2"/>
  <c r="I498" i="2" a="1"/>
  <c r="I498" i="2" s="1"/>
  <c r="K498" i="2" a="1"/>
  <c r="K498" i="2" s="1"/>
  <c r="H498" i="2" a="1"/>
  <c r="H498" i="2" s="1"/>
  <c r="J498" i="2" a="1"/>
  <c r="J498" i="2" s="1"/>
  <c r="A499" i="2" a="1"/>
  <c r="A499" i="2" s="1"/>
  <c r="B499" i="2" a="1"/>
  <c r="B499" i="2" s="1"/>
  <c r="D498" i="2" a="1"/>
  <c r="C501" i="3" l="1"/>
  <c r="G500" i="3" a="1"/>
  <c r="G500" i="3" s="1"/>
  <c r="L500" i="3"/>
  <c r="M500" i="3"/>
  <c r="J500" i="3" a="1"/>
  <c r="J500" i="3" s="1"/>
  <c r="F501" i="3"/>
  <c r="G499" i="3" a="1"/>
  <c r="G499" i="3" s="1"/>
  <c r="A499" i="3" a="1"/>
  <c r="A499" i="3" s="1"/>
  <c r="B499" i="3" a="1"/>
  <c r="B499" i="3" s="1"/>
  <c r="D498" i="2"/>
  <c r="K499" i="2" a="1"/>
  <c r="K499" i="2" s="1"/>
  <c r="J499" i="2" a="1"/>
  <c r="J499" i="2" s="1"/>
  <c r="I499" i="2" a="1"/>
  <c r="I499" i="2" s="1"/>
  <c r="H499" i="2" a="1"/>
  <c r="H499" i="2" s="1"/>
  <c r="A500" i="2" a="1"/>
  <c r="A500" i="2" s="1"/>
  <c r="B500" i="2" a="1"/>
  <c r="B500" i="2" s="1"/>
  <c r="C502" i="2"/>
  <c r="F501" i="2"/>
  <c r="D499" i="2" a="1"/>
  <c r="H499" i="3" l="1" a="1"/>
  <c r="H499" i="3" s="1"/>
  <c r="K499" i="3" a="1"/>
  <c r="K499" i="3" s="1"/>
  <c r="I499" i="3" a="1"/>
  <c r="I499" i="3" s="1"/>
  <c r="J499" i="3" a="1"/>
  <c r="J499" i="3" s="1"/>
  <c r="H500" i="3" a="1"/>
  <c r="H500" i="3" s="1"/>
  <c r="I500" i="3" a="1"/>
  <c r="I500" i="3" s="1"/>
  <c r="K500" i="3" a="1"/>
  <c r="K500" i="3" s="1"/>
  <c r="C502" i="3"/>
  <c r="G501" i="3" a="1"/>
  <c r="G501" i="3" s="1"/>
  <c r="M501" i="3"/>
  <c r="L501" i="3"/>
  <c r="A500" i="3" a="1"/>
  <c r="A500" i="3" s="1"/>
  <c r="B500" i="3" a="1"/>
  <c r="B500" i="3" s="1"/>
  <c r="D499" i="2"/>
  <c r="C503" i="2"/>
  <c r="F502" i="2"/>
  <c r="B501" i="2" a="1"/>
  <c r="B501" i="2" s="1"/>
  <c r="A501" i="2" a="1"/>
  <c r="A501" i="2" s="1"/>
  <c r="I500" i="2" a="1"/>
  <c r="I500" i="2" s="1"/>
  <c r="J500" i="2" a="1"/>
  <c r="J500" i="2" s="1"/>
  <c r="K500" i="2" a="1"/>
  <c r="K500" i="2" s="1"/>
  <c r="H500" i="2" a="1"/>
  <c r="H500" i="2" s="1"/>
  <c r="D500" i="2" a="1"/>
  <c r="C503" i="3" l="1"/>
  <c r="M502" i="3"/>
  <c r="L502" i="3"/>
  <c r="I501" i="3" a="1"/>
  <c r="I501" i="3" s="1"/>
  <c r="H501" i="3" a="1"/>
  <c r="H501" i="3" s="1"/>
  <c r="K501" i="3" a="1"/>
  <c r="K501" i="3" s="1"/>
  <c r="J501" i="3" a="1"/>
  <c r="J501" i="3" s="1"/>
  <c r="F502" i="3"/>
  <c r="F503" i="3" s="1"/>
  <c r="A501" i="3" a="1"/>
  <c r="A501" i="3" s="1"/>
  <c r="B501" i="3" a="1"/>
  <c r="B501" i="3" s="1"/>
  <c r="D500" i="2"/>
  <c r="J501" i="2" a="1"/>
  <c r="J501" i="2" s="1"/>
  <c r="I501" i="2" a="1"/>
  <c r="I501" i="2" s="1"/>
  <c r="H501" i="2" a="1"/>
  <c r="H501" i="2" s="1"/>
  <c r="K501" i="2" a="1"/>
  <c r="K501" i="2" s="1"/>
  <c r="B502" i="2" a="1"/>
  <c r="B502" i="2" s="1"/>
  <c r="A502" i="2" a="1"/>
  <c r="A502" i="2" s="1"/>
  <c r="C504" i="2"/>
  <c r="F503" i="2"/>
  <c r="D501" i="2" a="1"/>
  <c r="G502" i="3" l="1" a="1"/>
  <c r="G502" i="3" s="1"/>
  <c r="C504" i="3"/>
  <c r="F504" i="3" s="1"/>
  <c r="G503" i="3" a="1"/>
  <c r="G503" i="3" s="1"/>
  <c r="J503" i="3" s="1" a="1"/>
  <c r="J503" i="3" s="1"/>
  <c r="L503" i="3"/>
  <c r="M503" i="3"/>
  <c r="A502" i="3" a="1"/>
  <c r="A502" i="3" s="1"/>
  <c r="B502" i="3" a="1"/>
  <c r="B502" i="3" s="1"/>
  <c r="D501" i="2"/>
  <c r="A503" i="2" a="1"/>
  <c r="A503" i="2" s="1"/>
  <c r="B503" i="2" a="1"/>
  <c r="B503" i="2" s="1"/>
  <c r="C505" i="2"/>
  <c r="F504" i="2"/>
  <c r="J502" i="2" a="1"/>
  <c r="J502" i="2" s="1"/>
  <c r="I502" i="2" a="1"/>
  <c r="I502" i="2" s="1"/>
  <c r="H502" i="2" a="1"/>
  <c r="H502" i="2" s="1"/>
  <c r="K502" i="2" a="1"/>
  <c r="K502" i="2" s="1"/>
  <c r="D502" i="2" a="1"/>
  <c r="H503" i="3" l="1" a="1"/>
  <c r="H503" i="3" s="1"/>
  <c r="I503" i="3" a="1"/>
  <c r="I503" i="3" s="1"/>
  <c r="K503" i="3" a="1"/>
  <c r="K503" i="3" s="1"/>
  <c r="C505" i="3"/>
  <c r="G504" i="3" a="1"/>
  <c r="G504" i="3" s="1"/>
  <c r="L504" i="3"/>
  <c r="M504" i="3"/>
  <c r="J504" i="3" a="1"/>
  <c r="J504" i="3" s="1"/>
  <c r="I502" i="3" a="1"/>
  <c r="I502" i="3" s="1"/>
  <c r="K502" i="3" a="1"/>
  <c r="K502" i="3" s="1"/>
  <c r="H502" i="3" a="1"/>
  <c r="H502" i="3" s="1"/>
  <c r="J502" i="3" a="1"/>
  <c r="J502" i="3" s="1"/>
  <c r="A503" i="3" a="1"/>
  <c r="A503" i="3" s="1"/>
  <c r="B503" i="3" a="1"/>
  <c r="B503" i="3" s="1"/>
  <c r="D502" i="2"/>
  <c r="H503" i="2" a="1"/>
  <c r="H503" i="2" s="1"/>
  <c r="K503" i="2" a="1"/>
  <c r="K503" i="2" s="1"/>
  <c r="I503" i="2" a="1"/>
  <c r="I503" i="2" s="1"/>
  <c r="J503" i="2" a="1"/>
  <c r="J503" i="2" s="1"/>
  <c r="A504" i="2" a="1"/>
  <c r="A504" i="2" s="1"/>
  <c r="B504" i="2" a="1"/>
  <c r="B504" i="2" s="1"/>
  <c r="C506" i="2"/>
  <c r="F505" i="2"/>
  <c r="D503" i="2" a="1"/>
  <c r="H504" i="3" l="1" a="1"/>
  <c r="H504" i="3" s="1"/>
  <c r="I504" i="3" a="1"/>
  <c r="I504" i="3" s="1"/>
  <c r="K504" i="3" a="1"/>
  <c r="K504" i="3" s="1"/>
  <c r="C506" i="3"/>
  <c r="L505" i="3"/>
  <c r="M505" i="3"/>
  <c r="F505" i="3"/>
  <c r="F506" i="3" s="1"/>
  <c r="B504" i="3" a="1"/>
  <c r="B504" i="3" s="1"/>
  <c r="A504" i="3" a="1"/>
  <c r="A504" i="3" s="1"/>
  <c r="D503" i="2"/>
  <c r="I504" i="2" a="1"/>
  <c r="I504" i="2" s="1"/>
  <c r="J504" i="2" a="1"/>
  <c r="J504" i="2" s="1"/>
  <c r="H504" i="2" a="1"/>
  <c r="H504" i="2" s="1"/>
  <c r="K504" i="2" a="1"/>
  <c r="K504" i="2" s="1"/>
  <c r="C507" i="2"/>
  <c r="F506" i="2"/>
  <c r="A505" i="2" a="1"/>
  <c r="A505" i="2" s="1"/>
  <c r="B505" i="2" a="1"/>
  <c r="B505" i="2" s="1"/>
  <c r="D504" i="2" a="1"/>
  <c r="G505" i="3" l="1" a="1"/>
  <c r="G505" i="3" s="1"/>
  <c r="C507" i="3"/>
  <c r="G506" i="3" a="1"/>
  <c r="G506" i="3" s="1"/>
  <c r="J506" i="3" s="1" a="1"/>
  <c r="J506" i="3" s="1"/>
  <c r="M506" i="3"/>
  <c r="L506" i="3"/>
  <c r="A505" i="3" a="1"/>
  <c r="A505" i="3" s="1"/>
  <c r="B505" i="3" a="1"/>
  <c r="B505" i="3" s="1"/>
  <c r="D504" i="2"/>
  <c r="J505" i="2" a="1"/>
  <c r="J505" i="2" s="1"/>
  <c r="I505" i="2" a="1"/>
  <c r="I505" i="2" s="1"/>
  <c r="K505" i="2" a="1"/>
  <c r="K505" i="2" s="1"/>
  <c r="H505" i="2" a="1"/>
  <c r="H505" i="2" s="1"/>
  <c r="A506" i="2" a="1"/>
  <c r="A506" i="2" s="1"/>
  <c r="B506" i="2" a="1"/>
  <c r="B506" i="2" s="1"/>
  <c r="C508" i="2"/>
  <c r="F507" i="2"/>
  <c r="D505" i="2" a="1"/>
  <c r="H505" i="3" l="1" a="1"/>
  <c r="H505" i="3" s="1"/>
  <c r="I505" i="3" a="1"/>
  <c r="I505" i="3" s="1"/>
  <c r="K505" i="3" a="1"/>
  <c r="K505" i="3" s="1"/>
  <c r="J505" i="3" a="1"/>
  <c r="J505" i="3" s="1"/>
  <c r="H506" i="3" a="1"/>
  <c r="H506" i="3" s="1"/>
  <c r="I506" i="3" a="1"/>
  <c r="I506" i="3" s="1"/>
  <c r="K506" i="3" a="1"/>
  <c r="K506" i="3" s="1"/>
  <c r="C508" i="3"/>
  <c r="G507" i="3" a="1"/>
  <c r="G507" i="3" s="1"/>
  <c r="L507" i="3"/>
  <c r="M507" i="3"/>
  <c r="J507" i="3" a="1"/>
  <c r="J507" i="3" s="1"/>
  <c r="F507" i="3"/>
  <c r="A506" i="3" a="1"/>
  <c r="A506" i="3" s="1"/>
  <c r="B506" i="3" a="1"/>
  <c r="B506" i="3" s="1"/>
  <c r="D505" i="2"/>
  <c r="B507" i="2" a="1"/>
  <c r="B507" i="2" s="1"/>
  <c r="A507" i="2" a="1"/>
  <c r="A507" i="2" s="1"/>
  <c r="I506" i="2" a="1"/>
  <c r="I506" i="2" s="1"/>
  <c r="J506" i="2" a="1"/>
  <c r="J506" i="2" s="1"/>
  <c r="H506" i="2" a="1"/>
  <c r="H506" i="2" s="1"/>
  <c r="K506" i="2" a="1"/>
  <c r="K506" i="2" s="1"/>
  <c r="C509" i="2"/>
  <c r="F508" i="2"/>
  <c r="D506" i="2" a="1"/>
  <c r="H507" i="3" l="1" a="1"/>
  <c r="H507" i="3" s="1"/>
  <c r="K507" i="3" a="1"/>
  <c r="K507" i="3" s="1"/>
  <c r="I507" i="3" a="1"/>
  <c r="I507" i="3" s="1"/>
  <c r="C509" i="3"/>
  <c r="L508" i="3"/>
  <c r="M508" i="3"/>
  <c r="F508" i="3"/>
  <c r="F509" i="3" s="1"/>
  <c r="A507" i="3" a="1"/>
  <c r="A507" i="3" s="1"/>
  <c r="B507" i="3" a="1"/>
  <c r="B507" i="3" s="1"/>
  <c r="D506" i="2"/>
  <c r="A508" i="2" a="1"/>
  <c r="A508" i="2" s="1"/>
  <c r="B508" i="2" a="1"/>
  <c r="B508" i="2" s="1"/>
  <c r="C510" i="2"/>
  <c r="F509" i="2"/>
  <c r="K507" i="2" a="1"/>
  <c r="K507" i="2" s="1"/>
  <c r="I507" i="2" a="1"/>
  <c r="I507" i="2" s="1"/>
  <c r="H507" i="2" a="1"/>
  <c r="H507" i="2" s="1"/>
  <c r="J507" i="2" a="1"/>
  <c r="J507" i="2" s="1"/>
  <c r="D507" i="2" a="1"/>
  <c r="G508" i="3" l="1" a="1"/>
  <c r="G508" i="3" s="1"/>
  <c r="C510" i="3"/>
  <c r="G509" i="3" a="1"/>
  <c r="G509" i="3" s="1"/>
  <c r="L509" i="3"/>
  <c r="M509" i="3"/>
  <c r="J509" i="3" a="1"/>
  <c r="J509" i="3" s="1"/>
  <c r="A508" i="3" a="1"/>
  <c r="A508" i="3" s="1"/>
  <c r="B508" i="3" a="1"/>
  <c r="B508" i="3" s="1"/>
  <c r="D507" i="2"/>
  <c r="C511" i="2"/>
  <c r="F510" i="2"/>
  <c r="K508" i="2" a="1"/>
  <c r="K508" i="2" s="1"/>
  <c r="H508" i="2" a="1"/>
  <c r="H508" i="2" s="1"/>
  <c r="J508" i="2" a="1"/>
  <c r="J508" i="2" s="1"/>
  <c r="I508" i="2" a="1"/>
  <c r="I508" i="2" s="1"/>
  <c r="A509" i="2" a="1"/>
  <c r="A509" i="2" s="1"/>
  <c r="B509" i="2" a="1"/>
  <c r="B509" i="2" s="1"/>
  <c r="D508" i="2" a="1"/>
  <c r="C511" i="3" l="1"/>
  <c r="G510" i="3" a="1"/>
  <c r="G510" i="3" s="1"/>
  <c r="M510" i="3"/>
  <c r="L510" i="3"/>
  <c r="J510" i="3" a="1"/>
  <c r="J510" i="3" s="1"/>
  <c r="H509" i="3" a="1"/>
  <c r="H509" i="3" s="1"/>
  <c r="I509" i="3" a="1"/>
  <c r="I509" i="3" s="1"/>
  <c r="K509" i="3" a="1"/>
  <c r="K509" i="3" s="1"/>
  <c r="H508" i="3" a="1"/>
  <c r="H508" i="3" s="1"/>
  <c r="I508" i="3" a="1"/>
  <c r="I508" i="3" s="1"/>
  <c r="K508" i="3" a="1"/>
  <c r="K508" i="3" s="1"/>
  <c r="J508" i="3" a="1"/>
  <c r="J508" i="3" s="1"/>
  <c r="F510" i="3"/>
  <c r="F511" i="3" s="1"/>
  <c r="B509" i="3" a="1"/>
  <c r="B509" i="3" s="1"/>
  <c r="A509" i="3" a="1"/>
  <c r="A509" i="3" s="1"/>
  <c r="D508" i="2"/>
  <c r="A510" i="2" a="1"/>
  <c r="A510" i="2" s="1"/>
  <c r="B510" i="2" a="1"/>
  <c r="B510" i="2" s="1"/>
  <c r="K509" i="2" a="1"/>
  <c r="K509" i="2" s="1"/>
  <c r="I509" i="2" a="1"/>
  <c r="I509" i="2" s="1"/>
  <c r="J509" i="2" a="1"/>
  <c r="J509" i="2" s="1"/>
  <c r="H509" i="2" a="1"/>
  <c r="H509" i="2" s="1"/>
  <c r="C512" i="2"/>
  <c r="F511" i="2"/>
  <c r="D509" i="2" a="1"/>
  <c r="H510" i="3" l="1" a="1"/>
  <c r="H510" i="3" s="1"/>
  <c r="I510" i="3" a="1"/>
  <c r="I510" i="3" s="1"/>
  <c r="K510" i="3" a="1"/>
  <c r="K510" i="3" s="1"/>
  <c r="C512" i="3"/>
  <c r="G511" i="3" a="1"/>
  <c r="G511" i="3" s="1"/>
  <c r="L511" i="3"/>
  <c r="M511" i="3"/>
  <c r="J511" i="3" a="1"/>
  <c r="J511" i="3" s="1"/>
  <c r="A510" i="3" a="1"/>
  <c r="A510" i="3" s="1"/>
  <c r="B510" i="3" a="1"/>
  <c r="B510" i="3" s="1"/>
  <c r="D509" i="2"/>
  <c r="B511" i="2" a="1"/>
  <c r="B511" i="2" s="1"/>
  <c r="A511" i="2" a="1"/>
  <c r="A511" i="2" s="1"/>
  <c r="C513" i="2"/>
  <c r="F512" i="2"/>
  <c r="K510" i="2" a="1"/>
  <c r="K510" i="2" s="1"/>
  <c r="J510" i="2" a="1"/>
  <c r="J510" i="2" s="1"/>
  <c r="H510" i="2" a="1"/>
  <c r="H510" i="2" s="1"/>
  <c r="I510" i="2" a="1"/>
  <c r="I510" i="2" s="1"/>
  <c r="D510" i="2" a="1"/>
  <c r="H511" i="3" l="1" a="1"/>
  <c r="H511" i="3" s="1"/>
  <c r="I511" i="3" a="1"/>
  <c r="I511" i="3" s="1"/>
  <c r="K511" i="3" a="1"/>
  <c r="K511" i="3" s="1"/>
  <c r="C513" i="3"/>
  <c r="L512" i="3"/>
  <c r="M512" i="3"/>
  <c r="F512" i="3"/>
  <c r="F513" i="3" s="1"/>
  <c r="A511" i="3" a="1"/>
  <c r="A511" i="3" s="1"/>
  <c r="B511" i="3" a="1"/>
  <c r="B511" i="3" s="1"/>
  <c r="D510" i="2"/>
  <c r="B512" i="2" a="1"/>
  <c r="B512" i="2" s="1"/>
  <c r="A512" i="2" a="1"/>
  <c r="A512" i="2" s="1"/>
  <c r="H511" i="2" a="1"/>
  <c r="H511" i="2" s="1"/>
  <c r="I511" i="2" a="1"/>
  <c r="I511" i="2" s="1"/>
  <c r="J511" i="2" a="1"/>
  <c r="J511" i="2" s="1"/>
  <c r="K511" i="2" a="1"/>
  <c r="K511" i="2" s="1"/>
  <c r="C514" i="2"/>
  <c r="F513" i="2"/>
  <c r="D511" i="2" a="1"/>
  <c r="G512" i="3" l="1" a="1"/>
  <c r="G512" i="3" s="1"/>
  <c r="C514" i="3"/>
  <c r="G513" i="3" a="1"/>
  <c r="G513" i="3" s="1"/>
  <c r="L513" i="3"/>
  <c r="M513" i="3"/>
  <c r="J513" i="3" a="1"/>
  <c r="J513" i="3" s="1"/>
  <c r="A512" i="3" a="1"/>
  <c r="A512" i="3" s="1"/>
  <c r="B512" i="3" a="1"/>
  <c r="B512" i="3" s="1"/>
  <c r="D511" i="2"/>
  <c r="J512" i="2" a="1"/>
  <c r="J512" i="2" s="1"/>
  <c r="H512" i="2" a="1"/>
  <c r="H512" i="2" s="1"/>
  <c r="K512" i="2" a="1"/>
  <c r="K512" i="2" s="1"/>
  <c r="I512" i="2" a="1"/>
  <c r="I512" i="2" s="1"/>
  <c r="B513" i="2" a="1"/>
  <c r="B513" i="2" s="1"/>
  <c r="A513" i="2" a="1"/>
  <c r="A513" i="2" s="1"/>
  <c r="C515" i="2"/>
  <c r="F514" i="2"/>
  <c r="D512" i="2" a="1"/>
  <c r="C515" i="3" l="1"/>
  <c r="L514" i="3"/>
  <c r="M514" i="3"/>
  <c r="H513" i="3" a="1"/>
  <c r="H513" i="3" s="1"/>
  <c r="K513" i="3" a="1"/>
  <c r="K513" i="3" s="1"/>
  <c r="I513" i="3" a="1"/>
  <c r="I513" i="3" s="1"/>
  <c r="H512" i="3" a="1"/>
  <c r="H512" i="3" s="1"/>
  <c r="I512" i="3" a="1"/>
  <c r="I512" i="3" s="1"/>
  <c r="K512" i="3" a="1"/>
  <c r="K512" i="3" s="1"/>
  <c r="J512" i="3" a="1"/>
  <c r="J512" i="3" s="1"/>
  <c r="F514" i="3"/>
  <c r="F515" i="3" s="1"/>
  <c r="A513" i="3" a="1"/>
  <c r="A513" i="3" s="1"/>
  <c r="B513" i="3" a="1"/>
  <c r="B513" i="3" s="1"/>
  <c r="D512" i="2"/>
  <c r="K513" i="2" a="1"/>
  <c r="K513" i="2" s="1"/>
  <c r="I513" i="2" a="1"/>
  <c r="I513" i="2" s="1"/>
  <c r="J513" i="2" a="1"/>
  <c r="J513" i="2" s="1"/>
  <c r="H513" i="2" a="1"/>
  <c r="H513" i="2" s="1"/>
  <c r="A514" i="2" a="1"/>
  <c r="A514" i="2" s="1"/>
  <c r="B514" i="2" a="1"/>
  <c r="B514" i="2" s="1"/>
  <c r="C516" i="2"/>
  <c r="F515" i="2"/>
  <c r="D513" i="2" a="1"/>
  <c r="G514" i="3" l="1" a="1"/>
  <c r="G514" i="3" s="1"/>
  <c r="C516" i="3"/>
  <c r="F516" i="3" s="1"/>
  <c r="G515" i="3" a="1"/>
  <c r="G515" i="3" s="1"/>
  <c r="L515" i="3"/>
  <c r="M515" i="3"/>
  <c r="J515" i="3" a="1"/>
  <c r="J515" i="3" s="1"/>
  <c r="A514" i="3" a="1"/>
  <c r="A514" i="3" s="1"/>
  <c r="B514" i="3" a="1"/>
  <c r="B514" i="3" s="1"/>
  <c r="D513" i="2"/>
  <c r="I514" i="2" a="1"/>
  <c r="I514" i="2" s="1"/>
  <c r="K514" i="2" a="1"/>
  <c r="K514" i="2" s="1"/>
  <c r="J514" i="2" a="1"/>
  <c r="J514" i="2" s="1"/>
  <c r="H514" i="2" a="1"/>
  <c r="H514" i="2" s="1"/>
  <c r="A515" i="2" a="1"/>
  <c r="A515" i="2" s="1"/>
  <c r="B515" i="2" a="1"/>
  <c r="B515" i="2" s="1"/>
  <c r="C517" i="2"/>
  <c r="F516" i="2"/>
  <c r="D514" i="2" a="1"/>
  <c r="H515" i="3" l="1" a="1"/>
  <c r="H515" i="3" s="1"/>
  <c r="I515" i="3" a="1"/>
  <c r="I515" i="3" s="1"/>
  <c r="K515" i="3" a="1"/>
  <c r="K515" i="3" s="1"/>
  <c r="C517" i="3"/>
  <c r="G516" i="3" a="1"/>
  <c r="G516" i="3" s="1"/>
  <c r="L516" i="3"/>
  <c r="M516" i="3"/>
  <c r="I514" i="3" a="1"/>
  <c r="I514" i="3" s="1"/>
  <c r="K514" i="3" a="1"/>
  <c r="K514" i="3" s="1"/>
  <c r="H514" i="3" a="1"/>
  <c r="H514" i="3" s="1"/>
  <c r="J514" i="3" a="1"/>
  <c r="J514" i="3" s="1"/>
  <c r="A515" i="3" a="1"/>
  <c r="A515" i="3" s="1"/>
  <c r="B515" i="3" a="1"/>
  <c r="B515" i="3" s="1"/>
  <c r="D514" i="2"/>
  <c r="C518" i="2"/>
  <c r="F517" i="2"/>
  <c r="A516" i="2" a="1"/>
  <c r="A516" i="2" s="1"/>
  <c r="B516" i="2" a="1"/>
  <c r="B516" i="2" s="1"/>
  <c r="J515" i="2" a="1"/>
  <c r="J515" i="2" s="1"/>
  <c r="I515" i="2" a="1"/>
  <c r="I515" i="2" s="1"/>
  <c r="H515" i="2" a="1"/>
  <c r="H515" i="2" s="1"/>
  <c r="K515" i="2" a="1"/>
  <c r="K515" i="2" s="1"/>
  <c r="D515" i="2" a="1"/>
  <c r="H516" i="3" l="1" a="1"/>
  <c r="H516" i="3" s="1"/>
  <c r="I516" i="3" a="1"/>
  <c r="I516" i="3" s="1"/>
  <c r="K516" i="3" a="1"/>
  <c r="K516" i="3" s="1"/>
  <c r="J516" i="3" a="1"/>
  <c r="J516" i="3" s="1"/>
  <c r="C518" i="3"/>
  <c r="L517" i="3"/>
  <c r="M517" i="3"/>
  <c r="F517" i="3"/>
  <c r="F518" i="3" s="1"/>
  <c r="B516" i="3" a="1"/>
  <c r="B516" i="3" s="1"/>
  <c r="A516" i="3" a="1"/>
  <c r="A516" i="3" s="1"/>
  <c r="D515" i="2"/>
  <c r="J516" i="2" a="1"/>
  <c r="J516" i="2" s="1"/>
  <c r="K516" i="2" a="1"/>
  <c r="K516" i="2" s="1"/>
  <c r="I516" i="2" a="1"/>
  <c r="I516" i="2" s="1"/>
  <c r="H516" i="2" a="1"/>
  <c r="H516" i="2" s="1"/>
  <c r="B517" i="2" a="1"/>
  <c r="B517" i="2" s="1"/>
  <c r="A517" i="2" a="1"/>
  <c r="A517" i="2" s="1"/>
  <c r="C519" i="2"/>
  <c r="F518" i="2"/>
  <c r="D516" i="2" a="1"/>
  <c r="G517" i="3" l="1" a="1"/>
  <c r="G517" i="3" s="1"/>
  <c r="C519" i="3"/>
  <c r="G518" i="3" a="1"/>
  <c r="G518" i="3" s="1"/>
  <c r="M518" i="3"/>
  <c r="L518" i="3"/>
  <c r="J518" i="3" a="1"/>
  <c r="J518" i="3" s="1"/>
  <c r="A517" i="3" a="1"/>
  <c r="A517" i="3" s="1"/>
  <c r="B517" i="3" a="1"/>
  <c r="B517" i="3" s="1"/>
  <c r="D516" i="2"/>
  <c r="C520" i="2"/>
  <c r="F519" i="2"/>
  <c r="H517" i="2" a="1"/>
  <c r="H517" i="2" s="1"/>
  <c r="I517" i="2" a="1"/>
  <c r="I517" i="2" s="1"/>
  <c r="J517" i="2" a="1"/>
  <c r="J517" i="2" s="1"/>
  <c r="K517" i="2" a="1"/>
  <c r="K517" i="2" s="1"/>
  <c r="A518" i="2" a="1"/>
  <c r="A518" i="2" s="1"/>
  <c r="B518" i="2" a="1"/>
  <c r="B518" i="2" s="1"/>
  <c r="D517" i="2" a="1"/>
  <c r="H517" i="3" l="1" a="1"/>
  <c r="H517" i="3" s="1"/>
  <c r="I517" i="3" a="1"/>
  <c r="I517" i="3" s="1"/>
  <c r="K517" i="3" a="1"/>
  <c r="K517" i="3" s="1"/>
  <c r="J517" i="3" a="1"/>
  <c r="J517" i="3" s="1"/>
  <c r="H518" i="3" a="1"/>
  <c r="H518" i="3" s="1"/>
  <c r="I518" i="3" a="1"/>
  <c r="I518" i="3" s="1"/>
  <c r="K518" i="3" a="1"/>
  <c r="K518" i="3" s="1"/>
  <c r="C520" i="3"/>
  <c r="G519" i="3" a="1"/>
  <c r="G519" i="3" s="1"/>
  <c r="L519" i="3"/>
  <c r="M519" i="3"/>
  <c r="J519" i="3" a="1"/>
  <c r="J519" i="3" s="1"/>
  <c r="F519" i="3"/>
  <c r="A518" i="3" a="1"/>
  <c r="A518" i="3" s="1"/>
  <c r="B518" i="3" a="1"/>
  <c r="B518" i="3" s="1"/>
  <c r="D517" i="2"/>
  <c r="A519" i="2" a="1"/>
  <c r="A519" i="2" s="1"/>
  <c r="B519" i="2" a="1"/>
  <c r="B519" i="2" s="1"/>
  <c r="K518" i="2" a="1"/>
  <c r="K518" i="2" s="1"/>
  <c r="H518" i="2" a="1"/>
  <c r="H518" i="2" s="1"/>
  <c r="I518" i="2" a="1"/>
  <c r="I518" i="2" s="1"/>
  <c r="J518" i="2" a="1"/>
  <c r="J518" i="2" s="1"/>
  <c r="C521" i="2"/>
  <c r="F520" i="2"/>
  <c r="D518" i="2" a="1"/>
  <c r="C521" i="3" l="1"/>
  <c r="L520" i="3"/>
  <c r="M520" i="3"/>
  <c r="H519" i="3" a="1"/>
  <c r="H519" i="3" s="1"/>
  <c r="I519" i="3" a="1"/>
  <c r="I519" i="3" s="1"/>
  <c r="K519" i="3" a="1"/>
  <c r="K519" i="3" s="1"/>
  <c r="F520" i="3"/>
  <c r="F521" i="3" s="1"/>
  <c r="A519" i="3" a="1"/>
  <c r="A519" i="3" s="1"/>
  <c r="B519" i="3" a="1"/>
  <c r="B519" i="3" s="1"/>
  <c r="D518" i="2"/>
  <c r="C522" i="2"/>
  <c r="F521" i="2"/>
  <c r="I519" i="2" a="1"/>
  <c r="I519" i="2" s="1"/>
  <c r="J519" i="2" a="1"/>
  <c r="J519" i="2" s="1"/>
  <c r="K519" i="2" a="1"/>
  <c r="K519" i="2" s="1"/>
  <c r="H519" i="2" a="1"/>
  <c r="H519" i="2" s="1"/>
  <c r="B520" i="2" a="1"/>
  <c r="B520" i="2" s="1"/>
  <c r="A520" i="2" a="1"/>
  <c r="A520" i="2" s="1"/>
  <c r="D519" i="2" a="1"/>
  <c r="G520" i="3" l="1" a="1"/>
  <c r="G520" i="3" s="1"/>
  <c r="C522" i="3"/>
  <c r="G521" i="3" a="1"/>
  <c r="G521" i="3" s="1"/>
  <c r="L521" i="3"/>
  <c r="M521" i="3"/>
  <c r="A520" i="3" a="1"/>
  <c r="A520" i="3" s="1"/>
  <c r="B520" i="3" a="1"/>
  <c r="B520" i="3" s="1"/>
  <c r="D519" i="2"/>
  <c r="H520" i="2" a="1"/>
  <c r="H520" i="2" s="1"/>
  <c r="J520" i="2" a="1"/>
  <c r="J520" i="2" s="1"/>
  <c r="I520" i="2" a="1"/>
  <c r="I520" i="2" s="1"/>
  <c r="K520" i="2" a="1"/>
  <c r="K520" i="2" s="1"/>
  <c r="A521" i="2" a="1"/>
  <c r="A521" i="2" s="1"/>
  <c r="B521" i="2" a="1"/>
  <c r="B521" i="2" s="1"/>
  <c r="C523" i="2"/>
  <c r="F522" i="2"/>
  <c r="D520" i="2" a="1"/>
  <c r="H521" i="3" l="1" a="1"/>
  <c r="H521" i="3" s="1"/>
  <c r="I521" i="3" a="1"/>
  <c r="I521" i="3" s="1"/>
  <c r="K521" i="3" a="1"/>
  <c r="K521" i="3" s="1"/>
  <c r="H520" i="3" a="1"/>
  <c r="H520" i="3" s="1"/>
  <c r="K520" i="3" a="1"/>
  <c r="K520" i="3" s="1"/>
  <c r="I520" i="3" a="1"/>
  <c r="I520" i="3" s="1"/>
  <c r="J520" i="3" a="1"/>
  <c r="J520" i="3" s="1"/>
  <c r="J521" i="3" a="1"/>
  <c r="J521" i="3" s="1"/>
  <c r="C523" i="3"/>
  <c r="G522" i="3" a="1"/>
  <c r="G522" i="3" s="1"/>
  <c r="M522" i="3"/>
  <c r="L522" i="3"/>
  <c r="F522" i="3"/>
  <c r="B521" i="3" a="1"/>
  <c r="B521" i="3" s="1"/>
  <c r="A521" i="3" a="1"/>
  <c r="A521" i="3" s="1"/>
  <c r="D520" i="2"/>
  <c r="A522" i="2" a="1"/>
  <c r="A522" i="2" s="1"/>
  <c r="B522" i="2" a="1"/>
  <c r="B522" i="2" s="1"/>
  <c r="C524" i="2"/>
  <c r="F523" i="2"/>
  <c r="K521" i="2" a="1"/>
  <c r="K521" i="2" s="1"/>
  <c r="H521" i="2" a="1"/>
  <c r="H521" i="2" s="1"/>
  <c r="I521" i="2" a="1"/>
  <c r="I521" i="2" s="1"/>
  <c r="J521" i="2" a="1"/>
  <c r="J521" i="2" s="1"/>
  <c r="D521" i="2" a="1"/>
  <c r="H522" i="3" l="1" a="1"/>
  <c r="H522" i="3" s="1"/>
  <c r="K522" i="3" a="1"/>
  <c r="K522" i="3" s="1"/>
  <c r="I522" i="3" a="1"/>
  <c r="I522" i="3" s="1"/>
  <c r="F523" i="3"/>
  <c r="C524" i="3"/>
  <c r="G523" i="3" a="1"/>
  <c r="G523" i="3" s="1"/>
  <c r="L523" i="3"/>
  <c r="M523" i="3"/>
  <c r="J523" i="3" a="1"/>
  <c r="J523" i="3" s="1"/>
  <c r="J522" i="3" a="1"/>
  <c r="J522" i="3" s="1"/>
  <c r="A522" i="3" a="1"/>
  <c r="A522" i="3" s="1"/>
  <c r="B522" i="3" a="1"/>
  <c r="B522" i="3" s="1"/>
  <c r="D521" i="2"/>
  <c r="C525" i="2"/>
  <c r="F524" i="2"/>
  <c r="I522" i="2" a="1"/>
  <c r="I522" i="2" s="1"/>
  <c r="K522" i="2" a="1"/>
  <c r="K522" i="2" s="1"/>
  <c r="J522" i="2" a="1"/>
  <c r="J522" i="2" s="1"/>
  <c r="H522" i="2" a="1"/>
  <c r="H522" i="2" s="1"/>
  <c r="B523" i="2" a="1"/>
  <c r="B523" i="2" s="1"/>
  <c r="A523" i="2" a="1"/>
  <c r="A523" i="2" s="1"/>
  <c r="D522" i="2" a="1"/>
  <c r="F524" i="3" l="1"/>
  <c r="H523" i="3" a="1"/>
  <c r="H523" i="3" s="1"/>
  <c r="I523" i="3" a="1"/>
  <c r="I523" i="3" s="1"/>
  <c r="K523" i="3" a="1"/>
  <c r="K523" i="3" s="1"/>
  <c r="C525" i="3"/>
  <c r="G524" i="3" a="1"/>
  <c r="G524" i="3" s="1"/>
  <c r="L524" i="3"/>
  <c r="M524" i="3"/>
  <c r="J524" i="3" a="1"/>
  <c r="J524" i="3" s="1"/>
  <c r="A523" i="3" a="1"/>
  <c r="A523" i="3" s="1"/>
  <c r="B523" i="3" a="1"/>
  <c r="B523" i="3" s="1"/>
  <c r="D522" i="2"/>
  <c r="K523" i="2" a="1"/>
  <c r="K523" i="2" s="1"/>
  <c r="I523" i="2" a="1"/>
  <c r="I523" i="2" s="1"/>
  <c r="J523" i="2" a="1"/>
  <c r="J523" i="2" s="1"/>
  <c r="H523" i="2" a="1"/>
  <c r="H523" i="2" s="1"/>
  <c r="B524" i="2" a="1"/>
  <c r="B524" i="2" s="1"/>
  <c r="A524" i="2" a="1"/>
  <c r="A524" i="2" s="1"/>
  <c r="C526" i="2"/>
  <c r="F525" i="2"/>
  <c r="D523" i="2" a="1"/>
  <c r="C526" i="3" l="1"/>
  <c r="L525" i="3"/>
  <c r="M525" i="3"/>
  <c r="H524" i="3" a="1"/>
  <c r="H524" i="3" s="1"/>
  <c r="K524" i="3" a="1"/>
  <c r="K524" i="3" s="1"/>
  <c r="I524" i="3" a="1"/>
  <c r="I524" i="3" s="1"/>
  <c r="F525" i="3"/>
  <c r="F526" i="3" s="1"/>
  <c r="A524" i="3" a="1"/>
  <c r="A524" i="3" s="1"/>
  <c r="B524" i="3" a="1"/>
  <c r="B524" i="3" s="1"/>
  <c r="D523" i="2"/>
  <c r="J524" i="2" a="1"/>
  <c r="J524" i="2" s="1"/>
  <c r="I524" i="2" a="1"/>
  <c r="I524" i="2" s="1"/>
  <c r="H524" i="2" a="1"/>
  <c r="H524" i="2" s="1"/>
  <c r="K524" i="2" a="1"/>
  <c r="K524" i="2" s="1"/>
  <c r="C527" i="2"/>
  <c r="F526" i="2"/>
  <c r="B525" i="2" a="1"/>
  <c r="B525" i="2" s="1"/>
  <c r="A525" i="2" a="1"/>
  <c r="A525" i="2" s="1"/>
  <c r="D524" i="2" a="1"/>
  <c r="G525" i="3" l="1" a="1"/>
  <c r="G525" i="3" s="1"/>
  <c r="C527" i="3"/>
  <c r="G526" i="3" a="1"/>
  <c r="G526" i="3" s="1"/>
  <c r="L526" i="3"/>
  <c r="M526" i="3"/>
  <c r="A525" i="3" a="1"/>
  <c r="A525" i="3" s="1"/>
  <c r="B525" i="3" a="1"/>
  <c r="B525" i="3" s="1"/>
  <c r="D524" i="2"/>
  <c r="J525" i="2" a="1"/>
  <c r="J525" i="2" s="1"/>
  <c r="K525" i="2" a="1"/>
  <c r="K525" i="2" s="1"/>
  <c r="H525" i="2" a="1"/>
  <c r="H525" i="2" s="1"/>
  <c r="I525" i="2" a="1"/>
  <c r="I525" i="2" s="1"/>
  <c r="A526" i="2" a="1"/>
  <c r="A526" i="2" s="1"/>
  <c r="B526" i="2" a="1"/>
  <c r="B526" i="2" s="1"/>
  <c r="C528" i="2"/>
  <c r="F527" i="2"/>
  <c r="D525" i="2" a="1"/>
  <c r="I526" i="3" l="1" a="1"/>
  <c r="I526" i="3" s="1"/>
  <c r="K526" i="3" a="1"/>
  <c r="K526" i="3" s="1"/>
  <c r="H526" i="3" a="1"/>
  <c r="H526" i="3" s="1"/>
  <c r="C528" i="3"/>
  <c r="G527" i="3" a="1"/>
  <c r="G527" i="3" s="1"/>
  <c r="L527" i="3"/>
  <c r="M527" i="3"/>
  <c r="J527" i="3" a="1"/>
  <c r="J527" i="3" s="1"/>
  <c r="J526" i="3" a="1"/>
  <c r="J526" i="3" s="1"/>
  <c r="H525" i="3" a="1"/>
  <c r="H525" i="3" s="1"/>
  <c r="I525" i="3" a="1"/>
  <c r="I525" i="3" s="1"/>
  <c r="K525" i="3" a="1"/>
  <c r="K525" i="3" s="1"/>
  <c r="J525" i="3" a="1"/>
  <c r="J525" i="3" s="1"/>
  <c r="F527" i="3"/>
  <c r="A526" i="3" a="1"/>
  <c r="A526" i="3" s="1"/>
  <c r="B526" i="3" a="1"/>
  <c r="B526" i="3" s="1"/>
  <c r="D525" i="2"/>
  <c r="A527" i="2" a="1"/>
  <c r="A527" i="2" s="1"/>
  <c r="B527" i="2" a="1"/>
  <c r="B527" i="2" s="1"/>
  <c r="H526" i="2" a="1"/>
  <c r="H526" i="2" s="1"/>
  <c r="I526" i="2" a="1"/>
  <c r="I526" i="2" s="1"/>
  <c r="J526" i="2" a="1"/>
  <c r="J526" i="2" s="1"/>
  <c r="K526" i="2" a="1"/>
  <c r="K526" i="2" s="1"/>
  <c r="C529" i="2"/>
  <c r="F528" i="2"/>
  <c r="D526" i="2" a="1"/>
  <c r="C529" i="3" l="1"/>
  <c r="L528" i="3"/>
  <c r="M528" i="3"/>
  <c r="H527" i="3" a="1"/>
  <c r="H527" i="3" s="1"/>
  <c r="I527" i="3" a="1"/>
  <c r="I527" i="3" s="1"/>
  <c r="K527" i="3" a="1"/>
  <c r="K527" i="3" s="1"/>
  <c r="F528" i="3"/>
  <c r="F529" i="3" s="1"/>
  <c r="A527" i="3" a="1"/>
  <c r="A527" i="3" s="1"/>
  <c r="B527" i="3" a="1"/>
  <c r="B527" i="3" s="1"/>
  <c r="D526" i="2"/>
  <c r="C530" i="2"/>
  <c r="F529" i="2"/>
  <c r="J527" i="2" a="1"/>
  <c r="J527" i="2" s="1"/>
  <c r="I527" i="2" a="1"/>
  <c r="I527" i="2" s="1"/>
  <c r="K527" i="2" a="1"/>
  <c r="K527" i="2" s="1"/>
  <c r="H527" i="2" a="1"/>
  <c r="H527" i="2" s="1"/>
  <c r="B528" i="2" a="1"/>
  <c r="B528" i="2" s="1"/>
  <c r="A528" i="2" a="1"/>
  <c r="A528" i="2" s="1"/>
  <c r="D527" i="2" a="1"/>
  <c r="G528" i="3" l="1" a="1"/>
  <c r="G528" i="3" s="1"/>
  <c r="C530" i="3"/>
  <c r="G529" i="3" a="1"/>
  <c r="G529" i="3" s="1"/>
  <c r="L529" i="3"/>
  <c r="M529" i="3"/>
  <c r="J529" i="3" a="1"/>
  <c r="J529" i="3" s="1"/>
  <c r="B528" i="3" a="1"/>
  <c r="B528" i="3" s="1"/>
  <c r="A528" i="3" a="1"/>
  <c r="A528" i="3" s="1"/>
  <c r="D527" i="2"/>
  <c r="A529" i="2" a="1"/>
  <c r="A529" i="2" s="1"/>
  <c r="B529" i="2" a="1"/>
  <c r="B529" i="2" s="1"/>
  <c r="H528" i="2" a="1"/>
  <c r="H528" i="2" s="1"/>
  <c r="I528" i="2" a="1"/>
  <c r="I528" i="2" s="1"/>
  <c r="K528" i="2" a="1"/>
  <c r="K528" i="2" s="1"/>
  <c r="J528" i="2" a="1"/>
  <c r="J528" i="2" s="1"/>
  <c r="C531" i="2"/>
  <c r="F530" i="2"/>
  <c r="D528" i="2" a="1"/>
  <c r="C531" i="3" l="1"/>
  <c r="G530" i="3" a="1"/>
  <c r="G530" i="3" s="1"/>
  <c r="L530" i="3"/>
  <c r="M530" i="3"/>
  <c r="J530" i="3" a="1"/>
  <c r="J530" i="3" s="1"/>
  <c r="H529" i="3" a="1"/>
  <c r="H529" i="3" s="1"/>
  <c r="K529" i="3" a="1"/>
  <c r="K529" i="3" s="1"/>
  <c r="I529" i="3" a="1"/>
  <c r="I529" i="3" s="1"/>
  <c r="H528" i="3" a="1"/>
  <c r="H528" i="3" s="1"/>
  <c r="I528" i="3" a="1"/>
  <c r="I528" i="3" s="1"/>
  <c r="K528" i="3" a="1"/>
  <c r="K528" i="3" s="1"/>
  <c r="J528" i="3" a="1"/>
  <c r="J528" i="3" s="1"/>
  <c r="F530" i="3"/>
  <c r="F531" i="3" s="1"/>
  <c r="A529" i="3" a="1"/>
  <c r="A529" i="3" s="1"/>
  <c r="B529" i="3" a="1"/>
  <c r="B529" i="3" s="1"/>
  <c r="D528" i="2"/>
  <c r="A530" i="2" a="1"/>
  <c r="A530" i="2" s="1"/>
  <c r="B530" i="2" a="1"/>
  <c r="B530" i="2" s="1"/>
  <c r="C532" i="2"/>
  <c r="F531" i="2"/>
  <c r="K529" i="2" a="1"/>
  <c r="K529" i="2" s="1"/>
  <c r="J529" i="2" a="1"/>
  <c r="J529" i="2" s="1"/>
  <c r="I529" i="2" a="1"/>
  <c r="I529" i="2" s="1"/>
  <c r="H529" i="2" a="1"/>
  <c r="H529" i="2" s="1"/>
  <c r="D529" i="2" a="1"/>
  <c r="H530" i="3" l="1" a="1"/>
  <c r="H530" i="3" s="1"/>
  <c r="I530" i="3" a="1"/>
  <c r="I530" i="3" s="1"/>
  <c r="K530" i="3" a="1"/>
  <c r="K530" i="3" s="1"/>
  <c r="C532" i="3"/>
  <c r="G531" i="3" a="1"/>
  <c r="G531" i="3" s="1"/>
  <c r="L531" i="3"/>
  <c r="M531" i="3"/>
  <c r="J531" i="3" a="1"/>
  <c r="J531" i="3" s="1"/>
  <c r="A530" i="3" a="1"/>
  <c r="A530" i="3" s="1"/>
  <c r="B530" i="3" a="1"/>
  <c r="B530" i="3" s="1"/>
  <c r="D529" i="2"/>
  <c r="C533" i="2"/>
  <c r="F532" i="2"/>
  <c r="K530" i="2" a="1"/>
  <c r="K530" i="2" s="1"/>
  <c r="I530" i="2" a="1"/>
  <c r="I530" i="2" s="1"/>
  <c r="J530" i="2" a="1"/>
  <c r="J530" i="2" s="1"/>
  <c r="H530" i="2" a="1"/>
  <c r="H530" i="2" s="1"/>
  <c r="B531" i="2" a="1"/>
  <c r="B531" i="2" s="1"/>
  <c r="A531" i="2" a="1"/>
  <c r="A531" i="2" s="1"/>
  <c r="D530" i="2" a="1"/>
  <c r="H531" i="3" l="1" a="1"/>
  <c r="H531" i="3" s="1"/>
  <c r="I531" i="3" a="1"/>
  <c r="I531" i="3" s="1"/>
  <c r="K531" i="3" a="1"/>
  <c r="K531" i="3" s="1"/>
  <c r="C533" i="3"/>
  <c r="L532" i="3"/>
  <c r="M532" i="3"/>
  <c r="F532" i="3"/>
  <c r="F533" i="3" s="1"/>
  <c r="A531" i="3" a="1"/>
  <c r="A531" i="3" s="1"/>
  <c r="B531" i="3" a="1"/>
  <c r="B531" i="3" s="1"/>
  <c r="D530" i="2"/>
  <c r="K531" i="2" a="1"/>
  <c r="K531" i="2" s="1"/>
  <c r="I531" i="2" a="1"/>
  <c r="I531" i="2" s="1"/>
  <c r="J531" i="2" a="1"/>
  <c r="J531" i="2" s="1"/>
  <c r="H531" i="2" a="1"/>
  <c r="H531" i="2" s="1"/>
  <c r="B532" i="2" a="1"/>
  <c r="B532" i="2" s="1"/>
  <c r="A532" i="2" a="1"/>
  <c r="A532" i="2" s="1"/>
  <c r="C534" i="2"/>
  <c r="F533" i="2"/>
  <c r="D531" i="2" a="1"/>
  <c r="G532" i="3" l="1" a="1"/>
  <c r="G532" i="3" s="1"/>
  <c r="C534" i="3"/>
  <c r="G533" i="3" a="1"/>
  <c r="G533" i="3" s="1"/>
  <c r="L533" i="3"/>
  <c r="M533" i="3"/>
  <c r="J533" i="3" a="1"/>
  <c r="J533" i="3" s="1"/>
  <c r="A532" i="3" a="1"/>
  <c r="A532" i="3" s="1"/>
  <c r="B532" i="3" a="1"/>
  <c r="B532" i="3" s="1"/>
  <c r="D531" i="2"/>
  <c r="A533" i="2" a="1"/>
  <c r="A533" i="2" s="1"/>
  <c r="B533" i="2" a="1"/>
  <c r="B533" i="2" s="1"/>
  <c r="I532" i="2" a="1"/>
  <c r="I532" i="2" s="1"/>
  <c r="K532" i="2" a="1"/>
  <c r="K532" i="2" s="1"/>
  <c r="J532" i="2" a="1"/>
  <c r="J532" i="2" s="1"/>
  <c r="H532" i="2" a="1"/>
  <c r="H532" i="2" s="1"/>
  <c r="C535" i="2"/>
  <c r="F534" i="2"/>
  <c r="D532" i="2" a="1"/>
  <c r="H533" i="3" l="1" a="1"/>
  <c r="H533" i="3" s="1"/>
  <c r="I533" i="3" a="1"/>
  <c r="I533" i="3" s="1"/>
  <c r="K533" i="3" a="1"/>
  <c r="K533" i="3" s="1"/>
  <c r="C535" i="3"/>
  <c r="G534" i="3" a="1"/>
  <c r="G534" i="3" s="1"/>
  <c r="L534" i="3"/>
  <c r="M534" i="3"/>
  <c r="J534" i="3" a="1"/>
  <c r="J534" i="3" s="1"/>
  <c r="I532" i="3" a="1"/>
  <c r="I532" i="3" s="1"/>
  <c r="H532" i="3" a="1"/>
  <c r="H532" i="3" s="1"/>
  <c r="K532" i="3" a="1"/>
  <c r="K532" i="3" s="1"/>
  <c r="J532" i="3" a="1"/>
  <c r="J532" i="3" s="1"/>
  <c r="F534" i="3"/>
  <c r="B533" i="3" a="1"/>
  <c r="B533" i="3" s="1"/>
  <c r="A533" i="3" a="1"/>
  <c r="A533" i="3" s="1"/>
  <c r="D532" i="2"/>
  <c r="C536" i="2"/>
  <c r="F535" i="2"/>
  <c r="A534" i="2" a="1"/>
  <c r="A534" i="2" s="1"/>
  <c r="B534" i="2" a="1"/>
  <c r="B534" i="2" s="1"/>
  <c r="I533" i="2" a="1"/>
  <c r="I533" i="2" s="1"/>
  <c r="H533" i="2" a="1"/>
  <c r="H533" i="2" s="1"/>
  <c r="K533" i="2" a="1"/>
  <c r="K533" i="2" s="1"/>
  <c r="J533" i="2" a="1"/>
  <c r="J533" i="2" s="1"/>
  <c r="D533" i="2" a="1"/>
  <c r="C536" i="3" l="1"/>
  <c r="L535" i="3"/>
  <c r="M535" i="3"/>
  <c r="H534" i="3" a="1"/>
  <c r="H534" i="3" s="1"/>
  <c r="I534" i="3" a="1"/>
  <c r="I534" i="3" s="1"/>
  <c r="K534" i="3" a="1"/>
  <c r="K534" i="3" s="1"/>
  <c r="F535" i="3"/>
  <c r="F536" i="3" s="1"/>
  <c r="A534" i="3" a="1"/>
  <c r="A534" i="3" s="1"/>
  <c r="B534" i="3" a="1"/>
  <c r="B534" i="3" s="1"/>
  <c r="D533" i="2"/>
  <c r="J534" i="2" a="1"/>
  <c r="J534" i="2" s="1"/>
  <c r="H534" i="2" a="1"/>
  <c r="H534" i="2" s="1"/>
  <c r="K534" i="2" a="1"/>
  <c r="K534" i="2" s="1"/>
  <c r="I534" i="2" a="1"/>
  <c r="I534" i="2" s="1"/>
  <c r="B535" i="2" a="1"/>
  <c r="B535" i="2" s="1"/>
  <c r="A535" i="2" a="1"/>
  <c r="A535" i="2" s="1"/>
  <c r="C537" i="2"/>
  <c r="F536" i="2"/>
  <c r="D534" i="2" a="1"/>
  <c r="G535" i="3" l="1" a="1"/>
  <c r="G535" i="3" s="1"/>
  <c r="C537" i="3"/>
  <c r="G536" i="3" a="1"/>
  <c r="G536" i="3" s="1"/>
  <c r="L536" i="3"/>
  <c r="M536" i="3"/>
  <c r="J536" i="3" a="1"/>
  <c r="J536" i="3" s="1"/>
  <c r="A535" i="3" a="1"/>
  <c r="A535" i="3" s="1"/>
  <c r="B535" i="3" a="1"/>
  <c r="B535" i="3" s="1"/>
  <c r="D534" i="2"/>
  <c r="A536" i="2" a="1"/>
  <c r="A536" i="2" s="1"/>
  <c r="B536" i="2" a="1"/>
  <c r="B536" i="2" s="1"/>
  <c r="I535" i="2" a="1"/>
  <c r="I535" i="2" s="1"/>
  <c r="H535" i="2" a="1"/>
  <c r="H535" i="2" s="1"/>
  <c r="J535" i="2" a="1"/>
  <c r="J535" i="2" s="1"/>
  <c r="K535" i="2" a="1"/>
  <c r="K535" i="2" s="1"/>
  <c r="C538" i="2"/>
  <c r="F537" i="2"/>
  <c r="D535" i="2" a="1"/>
  <c r="C538" i="3" l="1"/>
  <c r="G537" i="3" a="1"/>
  <c r="G537" i="3" s="1"/>
  <c r="L537" i="3"/>
  <c r="M537" i="3"/>
  <c r="J537" i="3" a="1"/>
  <c r="J537" i="3" s="1"/>
  <c r="K536" i="3" a="1"/>
  <c r="K536" i="3" s="1"/>
  <c r="I536" i="3" a="1"/>
  <c r="I536" i="3" s="1"/>
  <c r="H536" i="3" a="1"/>
  <c r="H536" i="3" s="1"/>
  <c r="H535" i="3" a="1"/>
  <c r="H535" i="3" s="1"/>
  <c r="K535" i="3" a="1"/>
  <c r="K535" i="3" s="1"/>
  <c r="I535" i="3" a="1"/>
  <c r="I535" i="3" s="1"/>
  <c r="J535" i="3" a="1"/>
  <c r="J535" i="3" s="1"/>
  <c r="F537" i="3"/>
  <c r="F538" i="3" s="1"/>
  <c r="A536" i="3" a="1"/>
  <c r="A536" i="3" s="1"/>
  <c r="B536" i="3" a="1"/>
  <c r="B536" i="3" s="1"/>
  <c r="D535" i="2"/>
  <c r="K536" i="2" a="1"/>
  <c r="K536" i="2" s="1"/>
  <c r="H536" i="2" a="1"/>
  <c r="H536" i="2" s="1"/>
  <c r="I536" i="2" a="1"/>
  <c r="I536" i="2" s="1"/>
  <c r="J536" i="2" a="1"/>
  <c r="J536" i="2" s="1"/>
  <c r="C539" i="2"/>
  <c r="F538" i="2"/>
  <c r="B537" i="2" a="1"/>
  <c r="B537" i="2" s="1"/>
  <c r="A537" i="2" a="1"/>
  <c r="A537" i="2" s="1"/>
  <c r="D536" i="2" a="1"/>
  <c r="H537" i="3" l="1" a="1"/>
  <c r="H537" i="3" s="1"/>
  <c r="I537" i="3" a="1"/>
  <c r="I537" i="3" s="1"/>
  <c r="K537" i="3" a="1"/>
  <c r="K537" i="3" s="1"/>
  <c r="C539" i="3"/>
  <c r="G538" i="3" a="1"/>
  <c r="G538" i="3" s="1"/>
  <c r="L538" i="3"/>
  <c r="M538" i="3"/>
  <c r="A537" i="3" a="1"/>
  <c r="A537" i="3" s="1"/>
  <c r="B537" i="3" a="1"/>
  <c r="B537" i="3" s="1"/>
  <c r="D536" i="2"/>
  <c r="K537" i="2" a="1"/>
  <c r="K537" i="2" s="1"/>
  <c r="J537" i="2" a="1"/>
  <c r="J537" i="2" s="1"/>
  <c r="H537" i="2" a="1"/>
  <c r="H537" i="2" s="1"/>
  <c r="I537" i="2" a="1"/>
  <c r="I537" i="2" s="1"/>
  <c r="A538" i="2" a="1"/>
  <c r="A538" i="2" s="1"/>
  <c r="B538" i="2" a="1"/>
  <c r="B538" i="2" s="1"/>
  <c r="C540" i="2"/>
  <c r="F539" i="2"/>
  <c r="D537" i="2" a="1"/>
  <c r="H538" i="3" l="1" a="1"/>
  <c r="H538" i="3" s="1"/>
  <c r="K538" i="3" a="1"/>
  <c r="K538" i="3" s="1"/>
  <c r="I538" i="3" a="1"/>
  <c r="I538" i="3" s="1"/>
  <c r="J538" i="3" a="1"/>
  <c r="J538" i="3" s="1"/>
  <c r="C540" i="3"/>
  <c r="G539" i="3" a="1"/>
  <c r="G539" i="3" s="1"/>
  <c r="L539" i="3"/>
  <c r="M539" i="3"/>
  <c r="F539" i="3"/>
  <c r="F540" i="3" s="1"/>
  <c r="A538" i="3" a="1"/>
  <c r="A538" i="3" s="1"/>
  <c r="B538" i="3" a="1"/>
  <c r="B538" i="3" s="1"/>
  <c r="D537" i="2"/>
  <c r="A539" i="2" a="1"/>
  <c r="A539" i="2" s="1"/>
  <c r="B539" i="2" a="1"/>
  <c r="B539" i="2" s="1"/>
  <c r="C541" i="2"/>
  <c r="F540" i="2"/>
  <c r="J538" i="2" a="1"/>
  <c r="J538" i="2" s="1"/>
  <c r="I538" i="2" a="1"/>
  <c r="I538" i="2" s="1"/>
  <c r="K538" i="2" a="1"/>
  <c r="K538" i="2" s="1"/>
  <c r="H538" i="2" a="1"/>
  <c r="H538" i="2" s="1"/>
  <c r="D538" i="2" a="1"/>
  <c r="H539" i="3" l="1" a="1"/>
  <c r="H539" i="3" s="1"/>
  <c r="I539" i="3" a="1"/>
  <c r="I539" i="3" s="1"/>
  <c r="K539" i="3" a="1"/>
  <c r="K539" i="3" s="1"/>
  <c r="J539" i="3" a="1"/>
  <c r="J539" i="3" s="1"/>
  <c r="C541" i="3"/>
  <c r="F541" i="3" s="1"/>
  <c r="G540" i="3" a="1"/>
  <c r="G540" i="3" s="1"/>
  <c r="L540" i="3"/>
  <c r="M540" i="3"/>
  <c r="J540" i="3" a="1"/>
  <c r="J540" i="3" s="1"/>
  <c r="A539" i="3" a="1"/>
  <c r="A539" i="3" s="1"/>
  <c r="B539" i="3" a="1"/>
  <c r="B539" i="3" s="1"/>
  <c r="D538" i="2"/>
  <c r="K539" i="2" a="1"/>
  <c r="K539" i="2" s="1"/>
  <c r="J539" i="2" a="1"/>
  <c r="J539" i="2" s="1"/>
  <c r="H539" i="2" a="1"/>
  <c r="H539" i="2" s="1"/>
  <c r="I539" i="2" a="1"/>
  <c r="I539" i="2" s="1"/>
  <c r="B540" i="2" a="1"/>
  <c r="B540" i="2" s="1"/>
  <c r="A540" i="2" a="1"/>
  <c r="A540" i="2" s="1"/>
  <c r="C542" i="2"/>
  <c r="F541" i="2"/>
  <c r="D539" i="2" a="1"/>
  <c r="H540" i="3" l="1" a="1"/>
  <c r="H540" i="3" s="1"/>
  <c r="I540" i="3" a="1"/>
  <c r="I540" i="3" s="1"/>
  <c r="K540" i="3" a="1"/>
  <c r="K540" i="3" s="1"/>
  <c r="C542" i="3"/>
  <c r="G541" i="3" a="1"/>
  <c r="G541" i="3" s="1"/>
  <c r="L541" i="3"/>
  <c r="M541" i="3"/>
  <c r="J541" i="3" a="1"/>
  <c r="J541" i="3" s="1"/>
  <c r="B540" i="3" a="1"/>
  <c r="B540" i="3" s="1"/>
  <c r="A540" i="3" a="1"/>
  <c r="A540" i="3" s="1"/>
  <c r="D539" i="2"/>
  <c r="A541" i="2" a="1"/>
  <c r="A541" i="2" s="1"/>
  <c r="B541" i="2" a="1"/>
  <c r="B541" i="2" s="1"/>
  <c r="C543" i="2"/>
  <c r="F542" i="2"/>
  <c r="K540" i="2" a="1"/>
  <c r="K540" i="2" s="1"/>
  <c r="I540" i="2" a="1"/>
  <c r="I540" i="2" s="1"/>
  <c r="J540" i="2" a="1"/>
  <c r="J540" i="2" s="1"/>
  <c r="H540" i="2" a="1"/>
  <c r="H540" i="2" s="1"/>
  <c r="D540" i="2" a="1"/>
  <c r="I541" i="3" l="1" a="1"/>
  <c r="I541" i="3" s="1"/>
  <c r="H541" i="3" a="1"/>
  <c r="H541" i="3" s="1"/>
  <c r="K541" i="3" a="1"/>
  <c r="K541" i="3" s="1"/>
  <c r="C543" i="3"/>
  <c r="M542" i="3"/>
  <c r="L542" i="3"/>
  <c r="F542" i="3"/>
  <c r="F543" i="3" s="1"/>
  <c r="A541" i="3" a="1"/>
  <c r="A541" i="3" s="1"/>
  <c r="B541" i="3" a="1"/>
  <c r="B541" i="3" s="1"/>
  <c r="D540" i="2"/>
  <c r="C544" i="2"/>
  <c r="F543" i="2"/>
  <c r="H541" i="2" a="1"/>
  <c r="H541" i="2" s="1"/>
  <c r="I541" i="2" a="1"/>
  <c r="I541" i="2" s="1"/>
  <c r="K541" i="2" a="1"/>
  <c r="K541" i="2" s="1"/>
  <c r="J541" i="2" a="1"/>
  <c r="J541" i="2" s="1"/>
  <c r="A542" i="2" a="1"/>
  <c r="A542" i="2" s="1"/>
  <c r="B542" i="2" a="1"/>
  <c r="B542" i="2" s="1"/>
  <c r="D541" i="2" a="1"/>
  <c r="G542" i="3" l="1" a="1"/>
  <c r="G542" i="3" s="1"/>
  <c r="C544" i="3"/>
  <c r="G543" i="3" a="1"/>
  <c r="G543" i="3" s="1"/>
  <c r="L543" i="3"/>
  <c r="M543" i="3"/>
  <c r="J543" i="3" a="1"/>
  <c r="J543" i="3" s="1"/>
  <c r="A542" i="3" a="1"/>
  <c r="A542" i="3" s="1"/>
  <c r="B542" i="3" a="1"/>
  <c r="B542" i="3" s="1"/>
  <c r="D541" i="2"/>
  <c r="A543" i="2" a="1"/>
  <c r="A543" i="2" s="1"/>
  <c r="B543" i="2" a="1"/>
  <c r="B543" i="2" s="1"/>
  <c r="I542" i="2" a="1"/>
  <c r="I542" i="2" s="1"/>
  <c r="K542" i="2" a="1"/>
  <c r="K542" i="2" s="1"/>
  <c r="J542" i="2" a="1"/>
  <c r="J542" i="2" s="1"/>
  <c r="H542" i="2" a="1"/>
  <c r="H542" i="2" s="1"/>
  <c r="C545" i="2"/>
  <c r="F544" i="2"/>
  <c r="D542" i="2" a="1"/>
  <c r="C545" i="3" l="1"/>
  <c r="G544" i="3" a="1"/>
  <c r="G544" i="3" s="1"/>
  <c r="L544" i="3"/>
  <c r="M544" i="3"/>
  <c r="J544" i="3" a="1"/>
  <c r="J544" i="3" s="1"/>
  <c r="H543" i="3" a="1"/>
  <c r="H543" i="3" s="1"/>
  <c r="K543" i="3" a="1"/>
  <c r="K543" i="3" s="1"/>
  <c r="I543" i="3" a="1"/>
  <c r="I543" i="3" s="1"/>
  <c r="H542" i="3" a="1"/>
  <c r="H542" i="3" s="1"/>
  <c r="I542" i="3" a="1"/>
  <c r="I542" i="3" s="1"/>
  <c r="K542" i="3" a="1"/>
  <c r="K542" i="3" s="1"/>
  <c r="J542" i="3" a="1"/>
  <c r="J542" i="3" s="1"/>
  <c r="F544" i="3"/>
  <c r="F545" i="3" s="1"/>
  <c r="A543" i="3" a="1"/>
  <c r="A543" i="3" s="1"/>
  <c r="B543" i="3" a="1"/>
  <c r="B543" i="3" s="1"/>
  <c r="D542" i="2"/>
  <c r="C546" i="2"/>
  <c r="F545" i="2"/>
  <c r="A544" i="2" a="1"/>
  <c r="A544" i="2" s="1"/>
  <c r="B544" i="2" a="1"/>
  <c r="B544" i="2" s="1"/>
  <c r="H543" i="2" a="1"/>
  <c r="H543" i="2" s="1"/>
  <c r="I543" i="2" a="1"/>
  <c r="I543" i="2" s="1"/>
  <c r="J543" i="2" a="1"/>
  <c r="J543" i="2" s="1"/>
  <c r="K543" i="2" a="1"/>
  <c r="K543" i="2" s="1"/>
  <c r="D543" i="2" a="1"/>
  <c r="I544" i="3" l="1" a="1"/>
  <c r="I544" i="3" s="1"/>
  <c r="H544" i="3" a="1"/>
  <c r="H544" i="3" s="1"/>
  <c r="K544" i="3" a="1"/>
  <c r="K544" i="3" s="1"/>
  <c r="C546" i="3"/>
  <c r="G545" i="3" a="1"/>
  <c r="G545" i="3" s="1"/>
  <c r="L545" i="3"/>
  <c r="M545" i="3"/>
  <c r="J545" i="3" a="1"/>
  <c r="J545" i="3" s="1"/>
  <c r="A544" i="3" a="1"/>
  <c r="A544" i="3" s="1"/>
  <c r="B544" i="3" a="1"/>
  <c r="B544" i="3" s="1"/>
  <c r="D543" i="2"/>
  <c r="A545" i="2" a="1"/>
  <c r="A545" i="2" s="1"/>
  <c r="B545" i="2" a="1"/>
  <c r="B545" i="2" s="1"/>
  <c r="I544" i="2" a="1"/>
  <c r="I544" i="2" s="1"/>
  <c r="H544" i="2" a="1"/>
  <c r="H544" i="2" s="1"/>
  <c r="K544" i="2" a="1"/>
  <c r="K544" i="2" s="1"/>
  <c r="J544" i="2" a="1"/>
  <c r="J544" i="2" s="1"/>
  <c r="C547" i="2"/>
  <c r="F546" i="2"/>
  <c r="D544" i="2" a="1"/>
  <c r="H545" i="3" l="1" a="1"/>
  <c r="H545" i="3" s="1"/>
  <c r="I545" i="3" a="1"/>
  <c r="I545" i="3" s="1"/>
  <c r="K545" i="3" a="1"/>
  <c r="K545" i="3" s="1"/>
  <c r="C547" i="3"/>
  <c r="L546" i="3"/>
  <c r="M546" i="3"/>
  <c r="F546" i="3"/>
  <c r="F547" i="3" s="1"/>
  <c r="A545" i="3" a="1"/>
  <c r="A545" i="3" s="1"/>
  <c r="B545" i="3" a="1"/>
  <c r="B545" i="3" s="1"/>
  <c r="D544" i="2"/>
  <c r="C548" i="2"/>
  <c r="F547" i="2"/>
  <c r="K545" i="2" a="1"/>
  <c r="K545" i="2" s="1"/>
  <c r="J545" i="2" a="1"/>
  <c r="J545" i="2" s="1"/>
  <c r="I545" i="2" a="1"/>
  <c r="I545" i="2" s="1"/>
  <c r="H545" i="2" a="1"/>
  <c r="H545" i="2" s="1"/>
  <c r="A546" i="2" a="1"/>
  <c r="A546" i="2" s="1"/>
  <c r="B546" i="2" a="1"/>
  <c r="B546" i="2" s="1"/>
  <c r="D545" i="2" a="1"/>
  <c r="G546" i="3" l="1" a="1"/>
  <c r="G546" i="3" s="1"/>
  <c r="C548" i="3"/>
  <c r="G547" i="3" a="1"/>
  <c r="G547" i="3" s="1"/>
  <c r="L547" i="3"/>
  <c r="M547" i="3"/>
  <c r="J547" i="3" a="1"/>
  <c r="J547" i="3" s="1"/>
  <c r="A546" i="3" a="1"/>
  <c r="A546" i="3" s="1"/>
  <c r="B546" i="3" a="1"/>
  <c r="B546" i="3" s="1"/>
  <c r="D545" i="2"/>
  <c r="H546" i="2" a="1"/>
  <c r="H546" i="2" s="1"/>
  <c r="K546" i="2" a="1"/>
  <c r="K546" i="2" s="1"/>
  <c r="J546" i="2" a="1"/>
  <c r="J546" i="2" s="1"/>
  <c r="I546" i="2" a="1"/>
  <c r="I546" i="2" s="1"/>
  <c r="A547" i="2" a="1"/>
  <c r="A547" i="2" s="1"/>
  <c r="B547" i="2" a="1"/>
  <c r="B547" i="2" s="1"/>
  <c r="C549" i="2"/>
  <c r="F548" i="2"/>
  <c r="D546" i="2" a="1"/>
  <c r="H547" i="3" l="1" a="1"/>
  <c r="H547" i="3" s="1"/>
  <c r="I547" i="3" a="1"/>
  <c r="I547" i="3" s="1"/>
  <c r="K547" i="3" a="1"/>
  <c r="K547" i="3" s="1"/>
  <c r="C549" i="3"/>
  <c r="G548" i="3" a="1"/>
  <c r="G548" i="3" s="1"/>
  <c r="L548" i="3"/>
  <c r="M548" i="3"/>
  <c r="J548" i="3" a="1"/>
  <c r="J548" i="3" s="1"/>
  <c r="H546" i="3" a="1"/>
  <c r="H546" i="3" s="1"/>
  <c r="I546" i="3" a="1"/>
  <c r="I546" i="3" s="1"/>
  <c r="K546" i="3" a="1"/>
  <c r="K546" i="3" s="1"/>
  <c r="J546" i="3" a="1"/>
  <c r="J546" i="3" s="1"/>
  <c r="F548" i="3"/>
  <c r="A547" i="3" a="1"/>
  <c r="A547" i="3" s="1"/>
  <c r="B547" i="3" a="1"/>
  <c r="B547" i="3" s="1"/>
  <c r="D546" i="2"/>
  <c r="C550" i="2"/>
  <c r="F549" i="2"/>
  <c r="J547" i="2" a="1"/>
  <c r="J547" i="2" s="1"/>
  <c r="H547" i="2" a="1"/>
  <c r="H547" i="2" s="1"/>
  <c r="I547" i="2" a="1"/>
  <c r="I547" i="2" s="1"/>
  <c r="K547" i="2" a="1"/>
  <c r="K547" i="2" s="1"/>
  <c r="B548" i="2" a="1"/>
  <c r="B548" i="2" s="1"/>
  <c r="A548" i="2" a="1"/>
  <c r="A548" i="2" s="1"/>
  <c r="D547" i="2" a="1"/>
  <c r="C550" i="3" l="1"/>
  <c r="M549" i="3"/>
  <c r="L549" i="3"/>
  <c r="K548" i="3" a="1"/>
  <c r="K548" i="3" s="1"/>
  <c r="I548" i="3" a="1"/>
  <c r="I548" i="3" s="1"/>
  <c r="H548" i="3" a="1"/>
  <c r="H548" i="3" s="1"/>
  <c r="F549" i="3"/>
  <c r="F550" i="3" s="1"/>
  <c r="B548" i="3" a="1"/>
  <c r="B548" i="3" s="1"/>
  <c r="A548" i="3" a="1"/>
  <c r="A548" i="3" s="1"/>
  <c r="D547" i="2"/>
  <c r="I548" i="2" a="1"/>
  <c r="I548" i="2" s="1"/>
  <c r="J548" i="2" a="1"/>
  <c r="J548" i="2" s="1"/>
  <c r="H548" i="2" a="1"/>
  <c r="H548" i="2" s="1"/>
  <c r="K548" i="2" a="1"/>
  <c r="K548" i="2" s="1"/>
  <c r="B549" i="2" a="1"/>
  <c r="B549" i="2" s="1"/>
  <c r="A549" i="2" a="1"/>
  <c r="A549" i="2" s="1"/>
  <c r="C551" i="2"/>
  <c r="F550" i="2"/>
  <c r="D548" i="2" a="1"/>
  <c r="G549" i="3" l="1" a="1"/>
  <c r="G549" i="3" s="1"/>
  <c r="C551" i="3"/>
  <c r="G550" i="3" a="1"/>
  <c r="G550" i="3" s="1"/>
  <c r="J550" i="3" a="1"/>
  <c r="J550" i="3" s="1"/>
  <c r="L550" i="3"/>
  <c r="M550" i="3"/>
  <c r="B549" i="3" a="1"/>
  <c r="B549" i="3" s="1"/>
  <c r="A549" i="3" a="1"/>
  <c r="A549" i="3" s="1"/>
  <c r="D548" i="2"/>
  <c r="B550" i="2" a="1"/>
  <c r="B550" i="2" s="1"/>
  <c r="A550" i="2" a="1"/>
  <c r="A550" i="2" s="1"/>
  <c r="C552" i="2"/>
  <c r="F551" i="2"/>
  <c r="J549" i="2" a="1"/>
  <c r="J549" i="2" s="1"/>
  <c r="I549" i="2" a="1"/>
  <c r="I549" i="2" s="1"/>
  <c r="H549" i="2" a="1"/>
  <c r="H549" i="2" s="1"/>
  <c r="K549" i="2" a="1"/>
  <c r="K549" i="2" s="1"/>
  <c r="D549" i="2" a="1"/>
  <c r="C552" i="3" l="1"/>
  <c r="G551" i="3" a="1"/>
  <c r="G551" i="3" s="1"/>
  <c r="L551" i="3"/>
  <c r="M551" i="3"/>
  <c r="J551" i="3" a="1"/>
  <c r="J551" i="3" s="1"/>
  <c r="K550" i="3" a="1"/>
  <c r="K550" i="3" s="1"/>
  <c r="H550" i="3" a="1"/>
  <c r="H550" i="3" s="1"/>
  <c r="I550" i="3" a="1"/>
  <c r="I550" i="3" s="1"/>
  <c r="I549" i="3" a="1"/>
  <c r="I549" i="3" s="1"/>
  <c r="H549" i="3" a="1"/>
  <c r="H549" i="3" s="1"/>
  <c r="K549" i="3" a="1"/>
  <c r="K549" i="3" s="1"/>
  <c r="J549" i="3" a="1"/>
  <c r="J549" i="3" s="1"/>
  <c r="F551" i="3"/>
  <c r="F552" i="3" s="1"/>
  <c r="A550" i="3" a="1"/>
  <c r="A550" i="3" s="1"/>
  <c r="B550" i="3" a="1"/>
  <c r="B550" i="3" s="1"/>
  <c r="D549" i="2"/>
  <c r="A551" i="2" a="1"/>
  <c r="A551" i="2" s="1"/>
  <c r="B551" i="2" a="1"/>
  <c r="B551" i="2" s="1"/>
  <c r="I550" i="2" a="1"/>
  <c r="I550" i="2" s="1"/>
  <c r="H550" i="2" a="1"/>
  <c r="H550" i="2" s="1"/>
  <c r="K550" i="2" a="1"/>
  <c r="K550" i="2" s="1"/>
  <c r="J550" i="2" a="1"/>
  <c r="J550" i="2" s="1"/>
  <c r="C553" i="2"/>
  <c r="F552" i="2"/>
  <c r="D550" i="2" a="1"/>
  <c r="K551" i="3" l="1" a="1"/>
  <c r="K551" i="3" s="1"/>
  <c r="H551" i="3" a="1"/>
  <c r="H551" i="3" s="1"/>
  <c r="I551" i="3" a="1"/>
  <c r="I551" i="3" s="1"/>
  <c r="C553" i="3"/>
  <c r="F553" i="3" s="1"/>
  <c r="G552" i="3" a="1"/>
  <c r="G552" i="3" s="1"/>
  <c r="L552" i="3"/>
  <c r="M552" i="3"/>
  <c r="B551" i="3" a="1"/>
  <c r="B551" i="3" s="1"/>
  <c r="A551" i="3" a="1"/>
  <c r="A551" i="3" s="1"/>
  <c r="D550" i="2"/>
  <c r="B552" i="2" a="1"/>
  <c r="B552" i="2" s="1"/>
  <c r="A552" i="2" a="1"/>
  <c r="A552" i="2" s="1"/>
  <c r="C554" i="2"/>
  <c r="F553" i="2"/>
  <c r="H551" i="2" a="1"/>
  <c r="H551" i="2" s="1"/>
  <c r="J551" i="2" a="1"/>
  <c r="J551" i="2" s="1"/>
  <c r="I551" i="2" a="1"/>
  <c r="I551" i="2" s="1"/>
  <c r="K551" i="2" a="1"/>
  <c r="K551" i="2" s="1"/>
  <c r="D551" i="2" a="1"/>
  <c r="K552" i="3" l="1" a="1"/>
  <c r="K552" i="3" s="1"/>
  <c r="H552" i="3" a="1"/>
  <c r="H552" i="3" s="1"/>
  <c r="I552" i="3" a="1"/>
  <c r="I552" i="3" s="1"/>
  <c r="J552" i="3" a="1"/>
  <c r="J552" i="3" s="1"/>
  <c r="C554" i="3"/>
  <c r="G553" i="3" a="1"/>
  <c r="G553" i="3" s="1"/>
  <c r="L553" i="3"/>
  <c r="M553" i="3"/>
  <c r="J553" i="3" a="1"/>
  <c r="J553" i="3" s="1"/>
  <c r="A552" i="3" a="1"/>
  <c r="A552" i="3" s="1"/>
  <c r="B552" i="3" a="1"/>
  <c r="B552" i="3" s="1"/>
  <c r="D551" i="2"/>
  <c r="C555" i="2"/>
  <c r="F554" i="2"/>
  <c r="J552" i="2" a="1"/>
  <c r="J552" i="2" s="1"/>
  <c r="K552" i="2" a="1"/>
  <c r="K552" i="2" s="1"/>
  <c r="H552" i="2" a="1"/>
  <c r="H552" i="2" s="1"/>
  <c r="I552" i="2" a="1"/>
  <c r="I552" i="2" s="1"/>
  <c r="B553" i="2" a="1"/>
  <c r="B553" i="2" s="1"/>
  <c r="A553" i="2" a="1"/>
  <c r="A553" i="2" s="1"/>
  <c r="D552" i="2" a="1"/>
  <c r="C555" i="3" l="1"/>
  <c r="L554" i="3"/>
  <c r="M554" i="3"/>
  <c r="K553" i="3" a="1"/>
  <c r="K553" i="3" s="1"/>
  <c r="H553" i="3" a="1"/>
  <c r="H553" i="3" s="1"/>
  <c r="I553" i="3" a="1"/>
  <c r="I553" i="3" s="1"/>
  <c r="F554" i="3"/>
  <c r="F555" i="3" s="1"/>
  <c r="A553" i="3" a="1"/>
  <c r="A553" i="3" s="1"/>
  <c r="B553" i="3" a="1"/>
  <c r="B553" i="3" s="1"/>
  <c r="D552" i="2"/>
  <c r="I553" i="2" a="1"/>
  <c r="I553" i="2" s="1"/>
  <c r="H553" i="2" a="1"/>
  <c r="H553" i="2" s="1"/>
  <c r="J553" i="2" a="1"/>
  <c r="J553" i="2" s="1"/>
  <c r="K553" i="2" a="1"/>
  <c r="K553" i="2" s="1"/>
  <c r="B554" i="2" a="1"/>
  <c r="B554" i="2" s="1"/>
  <c r="A554" i="2" a="1"/>
  <c r="A554" i="2" s="1"/>
  <c r="C556" i="2"/>
  <c r="F555" i="2"/>
  <c r="D553" i="2" a="1"/>
  <c r="G554" i="3" l="1" a="1"/>
  <c r="G554" i="3" s="1"/>
  <c r="C556" i="3"/>
  <c r="G555" i="3" a="1"/>
  <c r="G555" i="3" s="1"/>
  <c r="M555" i="3"/>
  <c r="L555" i="3"/>
  <c r="J555" i="3" a="1"/>
  <c r="J555" i="3" s="1"/>
  <c r="A554" i="3" a="1"/>
  <c r="A554" i="3" s="1"/>
  <c r="B554" i="3" a="1"/>
  <c r="B554" i="3" s="1"/>
  <c r="D553" i="2"/>
  <c r="C557" i="2"/>
  <c r="F556" i="2"/>
  <c r="A555" i="2" a="1"/>
  <c r="A555" i="2" s="1"/>
  <c r="B555" i="2" a="1"/>
  <c r="B555" i="2" s="1"/>
  <c r="H554" i="2" a="1"/>
  <c r="H554" i="2" s="1"/>
  <c r="I554" i="2" a="1"/>
  <c r="I554" i="2" s="1"/>
  <c r="K554" i="2" a="1"/>
  <c r="K554" i="2" s="1"/>
  <c r="J554" i="2" a="1"/>
  <c r="J554" i="2" s="1"/>
  <c r="D554" i="2" a="1"/>
  <c r="C557" i="3" l="1"/>
  <c r="G556" i="3" a="1"/>
  <c r="G556" i="3" s="1"/>
  <c r="J556" i="3" a="1"/>
  <c r="J556" i="3" s="1"/>
  <c r="L556" i="3"/>
  <c r="M556" i="3"/>
  <c r="K555" i="3" a="1"/>
  <c r="K555" i="3" s="1"/>
  <c r="H555" i="3" a="1"/>
  <c r="H555" i="3" s="1"/>
  <c r="I555" i="3" a="1"/>
  <c r="I555" i="3" s="1"/>
  <c r="K554" i="3" a="1"/>
  <c r="K554" i="3" s="1"/>
  <c r="H554" i="3" a="1"/>
  <c r="H554" i="3" s="1"/>
  <c r="I554" i="3" a="1"/>
  <c r="I554" i="3" s="1"/>
  <c r="J554" i="3" a="1"/>
  <c r="J554" i="3" s="1"/>
  <c r="F556" i="3"/>
  <c r="F557" i="3" s="1"/>
  <c r="A555" i="3" a="1"/>
  <c r="A555" i="3" s="1"/>
  <c r="B555" i="3" a="1"/>
  <c r="B555" i="3" s="1"/>
  <c r="D554" i="2"/>
  <c r="I555" i="2" a="1"/>
  <c r="I555" i="2" s="1"/>
  <c r="K555" i="2" a="1"/>
  <c r="K555" i="2" s="1"/>
  <c r="H555" i="2" a="1"/>
  <c r="H555" i="2" s="1"/>
  <c r="J555" i="2" a="1"/>
  <c r="J555" i="2" s="1"/>
  <c r="A556" i="2" a="1"/>
  <c r="A556" i="2" s="1"/>
  <c r="B556" i="2" a="1"/>
  <c r="B556" i="2" s="1"/>
  <c r="C558" i="2"/>
  <c r="F557" i="2"/>
  <c r="D555" i="2" a="1"/>
  <c r="K556" i="3" l="1" a="1"/>
  <c r="K556" i="3" s="1"/>
  <c r="H556" i="3" a="1"/>
  <c r="H556" i="3" s="1"/>
  <c r="I556" i="3" a="1"/>
  <c r="I556" i="3" s="1"/>
  <c r="C558" i="3"/>
  <c r="F558" i="3" s="1"/>
  <c r="G557" i="3" a="1"/>
  <c r="G557" i="3" s="1"/>
  <c r="L557" i="3"/>
  <c r="M557" i="3"/>
  <c r="A556" i="3" a="1"/>
  <c r="A556" i="3" s="1"/>
  <c r="B556" i="3" a="1"/>
  <c r="B556" i="3" s="1"/>
  <c r="D555" i="2"/>
  <c r="C559" i="2"/>
  <c r="F558" i="2"/>
  <c r="A557" i="2" a="1"/>
  <c r="A557" i="2" s="1"/>
  <c r="B557" i="2" a="1"/>
  <c r="B557" i="2" s="1"/>
  <c r="J556" i="2" a="1"/>
  <c r="J556" i="2" s="1"/>
  <c r="K556" i="2" a="1"/>
  <c r="K556" i="2" s="1"/>
  <c r="H556" i="2" a="1"/>
  <c r="H556" i="2" s="1"/>
  <c r="I556" i="2" a="1"/>
  <c r="I556" i="2" s="1"/>
  <c r="D556" i="2" a="1"/>
  <c r="H557" i="3" l="1" a="1"/>
  <c r="H557" i="3" s="1"/>
  <c r="K557" i="3" a="1"/>
  <c r="K557" i="3" s="1"/>
  <c r="I557" i="3" a="1"/>
  <c r="I557" i="3" s="1"/>
  <c r="J557" i="3" a="1"/>
  <c r="J557" i="3" s="1"/>
  <c r="C559" i="3"/>
  <c r="G558" i="3" a="1"/>
  <c r="G558" i="3" s="1"/>
  <c r="J558" i="3" a="1"/>
  <c r="J558" i="3" s="1"/>
  <c r="L558" i="3"/>
  <c r="M558" i="3"/>
  <c r="B557" i="3" a="1"/>
  <c r="B557" i="3" s="1"/>
  <c r="A557" i="3" a="1"/>
  <c r="A557" i="3" s="1"/>
  <c r="D556" i="2"/>
  <c r="H557" i="2" a="1"/>
  <c r="H557" i="2" s="1"/>
  <c r="J557" i="2" a="1"/>
  <c r="J557" i="2" s="1"/>
  <c r="K557" i="2" a="1"/>
  <c r="K557" i="2" s="1"/>
  <c r="I557" i="2" a="1"/>
  <c r="I557" i="2" s="1"/>
  <c r="B558" i="2" a="1"/>
  <c r="B558" i="2" s="1"/>
  <c r="A558" i="2" a="1"/>
  <c r="A558" i="2" s="1"/>
  <c r="C560" i="2"/>
  <c r="F559" i="2"/>
  <c r="D557" i="2" a="1"/>
  <c r="K558" i="3" l="1" a="1"/>
  <c r="K558" i="3" s="1"/>
  <c r="I558" i="3" a="1"/>
  <c r="I558" i="3" s="1"/>
  <c r="H558" i="3" a="1"/>
  <c r="H558" i="3" s="1"/>
  <c r="C560" i="3"/>
  <c r="L559" i="3"/>
  <c r="M559" i="3"/>
  <c r="F559" i="3"/>
  <c r="F560" i="3" s="1"/>
  <c r="A558" i="3" a="1"/>
  <c r="A558" i="3" s="1"/>
  <c r="B558" i="3" a="1"/>
  <c r="B558" i="3" s="1"/>
  <c r="D557" i="2"/>
  <c r="A559" i="2" a="1"/>
  <c r="A559" i="2" s="1"/>
  <c r="B559" i="2" a="1"/>
  <c r="B559" i="2" s="1"/>
  <c r="J558" i="2" a="1"/>
  <c r="J558" i="2" s="1"/>
  <c r="K558" i="2" a="1"/>
  <c r="K558" i="2" s="1"/>
  <c r="I558" i="2" a="1"/>
  <c r="I558" i="2" s="1"/>
  <c r="H558" i="2" a="1"/>
  <c r="H558" i="2" s="1"/>
  <c r="C561" i="2"/>
  <c r="F560" i="2"/>
  <c r="D558" i="2" a="1"/>
  <c r="G559" i="3" l="1" a="1"/>
  <c r="G559" i="3" s="1"/>
  <c r="C561" i="3"/>
  <c r="G560" i="3" a="1"/>
  <c r="G560" i="3" s="1"/>
  <c r="L560" i="3"/>
  <c r="M560" i="3"/>
  <c r="A559" i="3" a="1"/>
  <c r="A559" i="3" s="1"/>
  <c r="B559" i="3" a="1"/>
  <c r="B559" i="3" s="1"/>
  <c r="D558" i="2"/>
  <c r="C562" i="2"/>
  <c r="F561" i="2"/>
  <c r="J559" i="2" a="1"/>
  <c r="J559" i="2" s="1"/>
  <c r="H559" i="2" a="1"/>
  <c r="H559" i="2" s="1"/>
  <c r="K559" i="2" a="1"/>
  <c r="K559" i="2" s="1"/>
  <c r="I559" i="2" a="1"/>
  <c r="I559" i="2" s="1"/>
  <c r="A560" i="2" a="1"/>
  <c r="A560" i="2" s="1"/>
  <c r="B560" i="2" a="1"/>
  <c r="B560" i="2" s="1"/>
  <c r="D559" i="2" a="1"/>
  <c r="K560" i="3" l="1" a="1"/>
  <c r="K560" i="3" s="1"/>
  <c r="I560" i="3" a="1"/>
  <c r="I560" i="3" s="1"/>
  <c r="H560" i="3" a="1"/>
  <c r="H560" i="3" s="1"/>
  <c r="C562" i="3"/>
  <c r="L561" i="3"/>
  <c r="G561" i="3" a="1"/>
  <c r="G561" i="3" s="1"/>
  <c r="M561" i="3"/>
  <c r="J561" i="3" a="1"/>
  <c r="J561" i="3" s="1"/>
  <c r="J560" i="3" a="1"/>
  <c r="J560" i="3" s="1"/>
  <c r="K559" i="3" a="1"/>
  <c r="K559" i="3" s="1"/>
  <c r="I559" i="3" a="1"/>
  <c r="I559" i="3" s="1"/>
  <c r="H559" i="3" a="1"/>
  <c r="H559" i="3" s="1"/>
  <c r="J559" i="3" a="1"/>
  <c r="J559" i="3" s="1"/>
  <c r="F561" i="3"/>
  <c r="A560" i="3" a="1"/>
  <c r="A560" i="3" s="1"/>
  <c r="B560" i="3" a="1"/>
  <c r="B560" i="3" s="1"/>
  <c r="D559" i="2"/>
  <c r="H560" i="2" a="1"/>
  <c r="H560" i="2" s="1"/>
  <c r="I560" i="2" a="1"/>
  <c r="I560" i="2" s="1"/>
  <c r="K560" i="2" a="1"/>
  <c r="K560" i="2" s="1"/>
  <c r="J560" i="2" a="1"/>
  <c r="J560" i="2" s="1"/>
  <c r="B561" i="2" a="1"/>
  <c r="B561" i="2" s="1"/>
  <c r="A561" i="2" a="1"/>
  <c r="A561" i="2" s="1"/>
  <c r="C563" i="2"/>
  <c r="F562" i="2"/>
  <c r="D560" i="2" a="1"/>
  <c r="C563" i="3" l="1"/>
  <c r="L562" i="3"/>
  <c r="M562" i="3"/>
  <c r="K561" i="3" a="1"/>
  <c r="K561" i="3" s="1"/>
  <c r="I561" i="3" a="1"/>
  <c r="I561" i="3" s="1"/>
  <c r="H561" i="3" a="1"/>
  <c r="H561" i="3" s="1"/>
  <c r="F562" i="3"/>
  <c r="F563" i="3" s="1"/>
  <c r="A561" i="3" a="1"/>
  <c r="A561" i="3" s="1"/>
  <c r="B561" i="3" a="1"/>
  <c r="B561" i="3" s="1"/>
  <c r="D560" i="2"/>
  <c r="A562" i="2" a="1"/>
  <c r="A562" i="2" s="1"/>
  <c r="B562" i="2" a="1"/>
  <c r="B562" i="2" s="1"/>
  <c r="I561" i="2" a="1"/>
  <c r="I561" i="2" s="1"/>
  <c r="H561" i="2" a="1"/>
  <c r="H561" i="2" s="1"/>
  <c r="K561" i="2" a="1"/>
  <c r="K561" i="2" s="1"/>
  <c r="J561" i="2" a="1"/>
  <c r="J561" i="2" s="1"/>
  <c r="C564" i="2"/>
  <c r="F563" i="2"/>
  <c r="D561" i="2" a="1"/>
  <c r="G562" i="3" l="1" a="1"/>
  <c r="G562" i="3" s="1"/>
  <c r="C564" i="3"/>
  <c r="G563" i="3" a="1"/>
  <c r="G563" i="3" s="1"/>
  <c r="M563" i="3"/>
  <c r="L563" i="3"/>
  <c r="J563" i="3" a="1"/>
  <c r="J563" i="3" s="1"/>
  <c r="A562" i="3" a="1"/>
  <c r="A562" i="3" s="1"/>
  <c r="B562" i="3" a="1"/>
  <c r="B562" i="3" s="1"/>
  <c r="D561" i="2"/>
  <c r="C565" i="2"/>
  <c r="F564" i="2"/>
  <c r="B563" i="2" a="1"/>
  <c r="B563" i="2" s="1"/>
  <c r="A563" i="2" a="1"/>
  <c r="A563" i="2" s="1"/>
  <c r="H562" i="2" a="1"/>
  <c r="H562" i="2" s="1"/>
  <c r="J562" i="2" a="1"/>
  <c r="J562" i="2" s="1"/>
  <c r="K562" i="2" a="1"/>
  <c r="K562" i="2" s="1"/>
  <c r="I562" i="2" a="1"/>
  <c r="I562" i="2" s="1"/>
  <c r="D562" i="2" a="1"/>
  <c r="C565" i="3" l="1"/>
  <c r="G564" i="3" a="1"/>
  <c r="G564" i="3" s="1"/>
  <c r="J564" i="3" a="1"/>
  <c r="J564" i="3" s="1"/>
  <c r="L564" i="3"/>
  <c r="M564" i="3"/>
  <c r="I563" i="3" a="1"/>
  <c r="I563" i="3" s="1"/>
  <c r="K563" i="3" a="1"/>
  <c r="K563" i="3" s="1"/>
  <c r="H563" i="3" a="1"/>
  <c r="H563" i="3" s="1"/>
  <c r="K562" i="3" a="1"/>
  <c r="K562" i="3" s="1"/>
  <c r="I562" i="3" a="1"/>
  <c r="I562" i="3" s="1"/>
  <c r="H562" i="3" a="1"/>
  <c r="H562" i="3" s="1"/>
  <c r="J562" i="3" a="1"/>
  <c r="J562" i="3" s="1"/>
  <c r="F564" i="3"/>
  <c r="F565" i="3" s="1"/>
  <c r="A563" i="3" a="1"/>
  <c r="A563" i="3" s="1"/>
  <c r="B563" i="3" a="1"/>
  <c r="B563" i="3" s="1"/>
  <c r="D562" i="2"/>
  <c r="I563" i="2" a="1"/>
  <c r="I563" i="2" s="1"/>
  <c r="J563" i="2" a="1"/>
  <c r="J563" i="2" s="1"/>
  <c r="H563" i="2" a="1"/>
  <c r="H563" i="2" s="1"/>
  <c r="K563" i="2" a="1"/>
  <c r="K563" i="2" s="1"/>
  <c r="A564" i="2" a="1"/>
  <c r="A564" i="2" s="1"/>
  <c r="B564" i="2" a="1"/>
  <c r="B564" i="2" s="1"/>
  <c r="C566" i="2"/>
  <c r="F565" i="2"/>
  <c r="D563" i="2" a="1"/>
  <c r="H564" i="3" l="1" a="1"/>
  <c r="H564" i="3" s="1"/>
  <c r="I564" i="3" a="1"/>
  <c r="I564" i="3" s="1"/>
  <c r="K564" i="3" a="1"/>
  <c r="K564" i="3" s="1"/>
  <c r="C566" i="3"/>
  <c r="G565" i="3" a="1"/>
  <c r="G565" i="3" s="1"/>
  <c r="L565" i="3"/>
  <c r="M565" i="3"/>
  <c r="J565" i="3" a="1"/>
  <c r="J565" i="3" s="1"/>
  <c r="B564" i="3" a="1"/>
  <c r="B564" i="3" s="1"/>
  <c r="A564" i="3" a="1"/>
  <c r="A564" i="3" s="1"/>
  <c r="D563" i="2"/>
  <c r="C567" i="2"/>
  <c r="F566" i="2"/>
  <c r="K564" i="2" a="1"/>
  <c r="K564" i="2" s="1"/>
  <c r="J564" i="2" a="1"/>
  <c r="J564" i="2" s="1"/>
  <c r="I564" i="2" a="1"/>
  <c r="I564" i="2" s="1"/>
  <c r="H564" i="2" a="1"/>
  <c r="H564" i="2" s="1"/>
  <c r="A565" i="2" a="1"/>
  <c r="A565" i="2" s="1"/>
  <c r="B565" i="2" a="1"/>
  <c r="B565" i="2" s="1"/>
  <c r="D564" i="2" a="1"/>
  <c r="K565" i="3" l="1" a="1"/>
  <c r="K565" i="3" s="1"/>
  <c r="I565" i="3" a="1"/>
  <c r="I565" i="3" s="1"/>
  <c r="H565" i="3" a="1"/>
  <c r="H565" i="3" s="1"/>
  <c r="C567" i="3"/>
  <c r="M566" i="3"/>
  <c r="L566" i="3"/>
  <c r="F566" i="3"/>
  <c r="F567" i="3" s="1"/>
  <c r="A565" i="3" a="1"/>
  <c r="A565" i="3" s="1"/>
  <c r="B565" i="3" a="1"/>
  <c r="B565" i="3" s="1"/>
  <c r="D564" i="2"/>
  <c r="H565" i="2" a="1"/>
  <c r="H565" i="2" s="1"/>
  <c r="J565" i="2" a="1"/>
  <c r="J565" i="2" s="1"/>
  <c r="K565" i="2" a="1"/>
  <c r="K565" i="2" s="1"/>
  <c r="I565" i="2" a="1"/>
  <c r="I565" i="2" s="1"/>
  <c r="A566" i="2" a="1"/>
  <c r="A566" i="2" s="1"/>
  <c r="B566" i="2" a="1"/>
  <c r="B566" i="2" s="1"/>
  <c r="C568" i="2"/>
  <c r="F567" i="2"/>
  <c r="D565" i="2" a="1"/>
  <c r="C568" i="3" l="1"/>
  <c r="G567" i="3" a="1"/>
  <c r="G567" i="3" s="1"/>
  <c r="L567" i="3"/>
  <c r="M567" i="3"/>
  <c r="J567" i="3" a="1"/>
  <c r="J567" i="3" s="1"/>
  <c r="F568" i="3"/>
  <c r="G566" i="3" a="1"/>
  <c r="G566" i="3" s="1"/>
  <c r="A566" i="3" a="1"/>
  <c r="A566" i="3" s="1"/>
  <c r="B566" i="3" a="1"/>
  <c r="B566" i="3" s="1"/>
  <c r="D565" i="2"/>
  <c r="I566" i="2" a="1"/>
  <c r="I566" i="2" s="1"/>
  <c r="K566" i="2" a="1"/>
  <c r="K566" i="2" s="1"/>
  <c r="J566" i="2" a="1"/>
  <c r="J566" i="2" s="1"/>
  <c r="H566" i="2" a="1"/>
  <c r="H566" i="2" s="1"/>
  <c r="C569" i="2"/>
  <c r="F568" i="2"/>
  <c r="A567" i="2" a="1"/>
  <c r="A567" i="2" s="1"/>
  <c r="B567" i="2" a="1"/>
  <c r="B567" i="2" s="1"/>
  <c r="D566" i="2" a="1"/>
  <c r="K566" i="3" l="1" a="1"/>
  <c r="K566" i="3" s="1"/>
  <c r="I566" i="3" a="1"/>
  <c r="I566" i="3" s="1"/>
  <c r="H566" i="3" a="1"/>
  <c r="H566" i="3" s="1"/>
  <c r="J566" i="3" a="1"/>
  <c r="J566" i="3" s="1"/>
  <c r="K567" i="3" a="1"/>
  <c r="K567" i="3" s="1"/>
  <c r="I567" i="3" a="1"/>
  <c r="I567" i="3" s="1"/>
  <c r="H567" i="3" a="1"/>
  <c r="H567" i="3" s="1"/>
  <c r="C569" i="3"/>
  <c r="G568" i="3" a="1"/>
  <c r="G568" i="3" s="1"/>
  <c r="L568" i="3"/>
  <c r="M568" i="3"/>
  <c r="A567" i="3" a="1"/>
  <c r="A567" i="3" s="1"/>
  <c r="B567" i="3" a="1"/>
  <c r="B567" i="3" s="1"/>
  <c r="D566" i="2"/>
  <c r="K567" i="2" a="1"/>
  <c r="K567" i="2" s="1"/>
  <c r="H567" i="2" a="1"/>
  <c r="H567" i="2" s="1"/>
  <c r="I567" i="2" a="1"/>
  <c r="I567" i="2" s="1"/>
  <c r="J567" i="2" a="1"/>
  <c r="J567" i="2" s="1"/>
  <c r="C570" i="2"/>
  <c r="F569" i="2"/>
  <c r="B568" i="2" a="1"/>
  <c r="B568" i="2" s="1"/>
  <c r="A568" i="2" a="1"/>
  <c r="A568" i="2" s="1"/>
  <c r="D567" i="2" a="1"/>
  <c r="K568" i="3" l="1" a="1"/>
  <c r="K568" i="3" s="1"/>
  <c r="H568" i="3" a="1"/>
  <c r="H568" i="3" s="1"/>
  <c r="I568" i="3" a="1"/>
  <c r="I568" i="3" s="1"/>
  <c r="C570" i="3"/>
  <c r="L569" i="3"/>
  <c r="M569" i="3"/>
  <c r="J568" i="3" a="1"/>
  <c r="J568" i="3" s="1"/>
  <c r="F569" i="3"/>
  <c r="F570" i="3" s="1"/>
  <c r="A568" i="3" a="1"/>
  <c r="A568" i="3" s="1"/>
  <c r="B568" i="3" a="1"/>
  <c r="B568" i="3" s="1"/>
  <c r="D567" i="2"/>
  <c r="C571" i="2"/>
  <c r="F570" i="2"/>
  <c r="K568" i="2" a="1"/>
  <c r="K568" i="2" s="1"/>
  <c r="H568" i="2" a="1"/>
  <c r="H568" i="2" s="1"/>
  <c r="J568" i="2" a="1"/>
  <c r="J568" i="2" s="1"/>
  <c r="I568" i="2" a="1"/>
  <c r="I568" i="2" s="1"/>
  <c r="A569" i="2" a="1"/>
  <c r="A569" i="2" s="1"/>
  <c r="B569" i="2" a="1"/>
  <c r="B569" i="2" s="1"/>
  <c r="D568" i="2" a="1"/>
  <c r="G569" i="3" l="1" a="1"/>
  <c r="G569" i="3" s="1"/>
  <c r="C571" i="3"/>
  <c r="G570" i="3" a="1"/>
  <c r="G570" i="3" s="1"/>
  <c r="L570" i="3"/>
  <c r="M570" i="3"/>
  <c r="B569" i="3" a="1"/>
  <c r="B569" i="3" s="1"/>
  <c r="A569" i="3" a="1"/>
  <c r="A569" i="3" s="1"/>
  <c r="D568" i="2"/>
  <c r="K569" i="2" a="1"/>
  <c r="K569" i="2" s="1"/>
  <c r="J569" i="2" a="1"/>
  <c r="J569" i="2" s="1"/>
  <c r="I569" i="2" a="1"/>
  <c r="I569" i="2" s="1"/>
  <c r="H569" i="2" a="1"/>
  <c r="H569" i="2" s="1"/>
  <c r="A570" i="2" a="1"/>
  <c r="A570" i="2" s="1"/>
  <c r="B570" i="2" a="1"/>
  <c r="B570" i="2" s="1"/>
  <c r="C572" i="2"/>
  <c r="F571" i="2"/>
  <c r="D569" i="2" a="1"/>
  <c r="K570" i="3" l="1" a="1"/>
  <c r="K570" i="3" s="1"/>
  <c r="I570" i="3" a="1"/>
  <c r="I570" i="3" s="1"/>
  <c r="H570" i="3" a="1"/>
  <c r="H570" i="3" s="1"/>
  <c r="C572" i="3"/>
  <c r="G571" i="3" a="1"/>
  <c r="G571" i="3" s="1"/>
  <c r="L571" i="3"/>
  <c r="M571" i="3"/>
  <c r="J571" i="3" a="1"/>
  <c r="J571" i="3" s="1"/>
  <c r="J570" i="3" a="1"/>
  <c r="J570" i="3" s="1"/>
  <c r="K569" i="3" a="1"/>
  <c r="K569" i="3" s="1"/>
  <c r="I569" i="3" a="1"/>
  <c r="I569" i="3" s="1"/>
  <c r="H569" i="3" a="1"/>
  <c r="H569" i="3" s="1"/>
  <c r="J569" i="3" a="1"/>
  <c r="J569" i="3" s="1"/>
  <c r="F571" i="3"/>
  <c r="A570" i="3" a="1"/>
  <c r="A570" i="3" s="1"/>
  <c r="B570" i="3" a="1"/>
  <c r="B570" i="3" s="1"/>
  <c r="D569" i="2"/>
  <c r="K570" i="2" a="1"/>
  <c r="K570" i="2" s="1"/>
  <c r="I570" i="2" a="1"/>
  <c r="I570" i="2" s="1"/>
  <c r="H570" i="2" a="1"/>
  <c r="H570" i="2" s="1"/>
  <c r="J570" i="2" a="1"/>
  <c r="J570" i="2" s="1"/>
  <c r="B571" i="2" a="1"/>
  <c r="B571" i="2" s="1"/>
  <c r="A571" i="2" a="1"/>
  <c r="A571" i="2" s="1"/>
  <c r="C573" i="2"/>
  <c r="F572" i="2"/>
  <c r="D570" i="2" a="1"/>
  <c r="H571" i="3" l="1" a="1"/>
  <c r="H571" i="3" s="1"/>
  <c r="K571" i="3" a="1"/>
  <c r="K571" i="3" s="1"/>
  <c r="I571" i="3" a="1"/>
  <c r="I571" i="3" s="1"/>
  <c r="C573" i="3"/>
  <c r="L572" i="3"/>
  <c r="M572" i="3"/>
  <c r="F572" i="3"/>
  <c r="F573" i="3" s="1"/>
  <c r="A571" i="3" a="1"/>
  <c r="A571" i="3" s="1"/>
  <c r="B571" i="3" a="1"/>
  <c r="B571" i="3" s="1"/>
  <c r="D570" i="2"/>
  <c r="A572" i="2" a="1"/>
  <c r="A572" i="2" s="1"/>
  <c r="B572" i="2" a="1"/>
  <c r="B572" i="2" s="1"/>
  <c r="C574" i="2"/>
  <c r="F573" i="2"/>
  <c r="J571" i="2" a="1"/>
  <c r="J571" i="2" s="1"/>
  <c r="K571" i="2" a="1"/>
  <c r="K571" i="2" s="1"/>
  <c r="I571" i="2" a="1"/>
  <c r="I571" i="2" s="1"/>
  <c r="H571" i="2" a="1"/>
  <c r="H571" i="2" s="1"/>
  <c r="D571" i="2" a="1"/>
  <c r="C574" i="3" l="1"/>
  <c r="G573" i="3" a="1"/>
  <c r="G573" i="3" s="1"/>
  <c r="L573" i="3"/>
  <c r="M573" i="3"/>
  <c r="J573" i="3" a="1"/>
  <c r="J573" i="3" s="1"/>
  <c r="F574" i="3"/>
  <c r="G572" i="3" a="1"/>
  <c r="G572" i="3" s="1"/>
  <c r="A572" i="3" a="1"/>
  <c r="A572" i="3" s="1"/>
  <c r="B572" i="3" a="1"/>
  <c r="B572" i="3" s="1"/>
  <c r="D571" i="2"/>
  <c r="C575" i="2"/>
  <c r="F574" i="2"/>
  <c r="I572" i="2" a="1"/>
  <c r="I572" i="2" s="1"/>
  <c r="K572" i="2" a="1"/>
  <c r="K572" i="2" s="1"/>
  <c r="J572" i="2" a="1"/>
  <c r="J572" i="2" s="1"/>
  <c r="H572" i="2" a="1"/>
  <c r="H572" i="2" s="1"/>
  <c r="A573" i="2" a="1"/>
  <c r="A573" i="2" s="1"/>
  <c r="B573" i="2" a="1"/>
  <c r="B573" i="2" s="1"/>
  <c r="D572" i="2" a="1"/>
  <c r="H572" i="3" l="1" a="1"/>
  <c r="H572" i="3" s="1"/>
  <c r="I572" i="3" a="1"/>
  <c r="I572" i="3" s="1"/>
  <c r="K572" i="3" a="1"/>
  <c r="K572" i="3" s="1"/>
  <c r="J572" i="3" a="1"/>
  <c r="J572" i="3" s="1"/>
  <c r="H573" i="3" a="1"/>
  <c r="H573" i="3" s="1"/>
  <c r="K573" i="3" a="1"/>
  <c r="K573" i="3" s="1"/>
  <c r="I573" i="3" a="1"/>
  <c r="I573" i="3" s="1"/>
  <c r="C575" i="3"/>
  <c r="G574" i="3" a="1"/>
  <c r="G574" i="3" s="1"/>
  <c r="L574" i="3"/>
  <c r="M574" i="3"/>
  <c r="A573" i="3" a="1"/>
  <c r="A573" i="3" s="1"/>
  <c r="B573" i="3" a="1"/>
  <c r="B573" i="3" s="1"/>
  <c r="D572" i="2"/>
  <c r="A574" i="2" a="1"/>
  <c r="A574" i="2" s="1"/>
  <c r="B574" i="2" a="1"/>
  <c r="B574" i="2" s="1"/>
  <c r="J573" i="2" a="1"/>
  <c r="J573" i="2" s="1"/>
  <c r="H573" i="2" a="1"/>
  <c r="H573" i="2" s="1"/>
  <c r="I573" i="2" a="1"/>
  <c r="I573" i="2" s="1"/>
  <c r="K573" i="2" a="1"/>
  <c r="K573" i="2" s="1"/>
  <c r="C576" i="2"/>
  <c r="F575" i="2"/>
  <c r="D573" i="2" a="1"/>
  <c r="C576" i="3" l="1"/>
  <c r="L575" i="3"/>
  <c r="M575" i="3"/>
  <c r="I574" i="3" a="1"/>
  <c r="I574" i="3" s="1"/>
  <c r="K574" i="3" a="1"/>
  <c r="K574" i="3" s="1"/>
  <c r="H574" i="3" a="1"/>
  <c r="H574" i="3" s="1"/>
  <c r="F575" i="3"/>
  <c r="F576" i="3" s="1"/>
  <c r="J574" i="3" a="1"/>
  <c r="J574" i="3" s="1"/>
  <c r="A574" i="3" a="1"/>
  <c r="A574" i="3" s="1"/>
  <c r="B574" i="3" a="1"/>
  <c r="B574" i="3" s="1"/>
  <c r="D573" i="2"/>
  <c r="K574" i="2" a="1"/>
  <c r="K574" i="2" s="1"/>
  <c r="I574" i="2" a="1"/>
  <c r="I574" i="2" s="1"/>
  <c r="H574" i="2" a="1"/>
  <c r="H574" i="2" s="1"/>
  <c r="J574" i="2" a="1"/>
  <c r="J574" i="2" s="1"/>
  <c r="A575" i="2" a="1"/>
  <c r="A575" i="2" s="1"/>
  <c r="B575" i="2" a="1"/>
  <c r="B575" i="2" s="1"/>
  <c r="C577" i="2"/>
  <c r="F576" i="2"/>
  <c r="D574" i="2" a="1"/>
  <c r="G575" i="3" l="1" a="1"/>
  <c r="G575" i="3" s="1"/>
  <c r="C577" i="3"/>
  <c r="F577" i="3" s="1"/>
  <c r="G576" i="3" a="1"/>
  <c r="G576" i="3" s="1"/>
  <c r="J576" i="3" s="1" a="1"/>
  <c r="J576" i="3" s="1"/>
  <c r="M576" i="3"/>
  <c r="L576" i="3"/>
  <c r="A575" i="3" a="1"/>
  <c r="A575" i="3" s="1"/>
  <c r="B575" i="3" a="1"/>
  <c r="B575" i="3" s="1"/>
  <c r="D574" i="2"/>
  <c r="J575" i="2" a="1"/>
  <c r="J575" i="2" s="1"/>
  <c r="K575" i="2" a="1"/>
  <c r="K575" i="2" s="1"/>
  <c r="H575" i="2" a="1"/>
  <c r="H575" i="2" s="1"/>
  <c r="I575" i="2" a="1"/>
  <c r="I575" i="2" s="1"/>
  <c r="C578" i="2"/>
  <c r="F577" i="2"/>
  <c r="A576" i="2" a="1"/>
  <c r="A576" i="2" s="1"/>
  <c r="B576" i="2" a="1"/>
  <c r="B576" i="2" s="1"/>
  <c r="D575" i="2" a="1"/>
  <c r="H576" i="3" l="1" a="1"/>
  <c r="H576" i="3" s="1"/>
  <c r="K576" i="3" a="1"/>
  <c r="K576" i="3" s="1"/>
  <c r="I576" i="3" a="1"/>
  <c r="I576" i="3" s="1"/>
  <c r="C578" i="3"/>
  <c r="G577" i="3" a="1"/>
  <c r="G577" i="3" s="1"/>
  <c r="L577" i="3"/>
  <c r="M577" i="3"/>
  <c r="J577" i="3" a="1"/>
  <c r="J577" i="3" s="1"/>
  <c r="I575" i="3" a="1"/>
  <c r="I575" i="3" s="1"/>
  <c r="H575" i="3" a="1"/>
  <c r="H575" i="3" s="1"/>
  <c r="K575" i="3" a="1"/>
  <c r="K575" i="3" s="1"/>
  <c r="J575" i="3" a="1"/>
  <c r="J575" i="3" s="1"/>
  <c r="B576" i="3" a="1"/>
  <c r="B576" i="3" s="1"/>
  <c r="A576" i="3" a="1"/>
  <c r="A576" i="3" s="1"/>
  <c r="D575" i="2"/>
  <c r="H576" i="2" a="1"/>
  <c r="H576" i="2" s="1"/>
  <c r="J576" i="2" a="1"/>
  <c r="J576" i="2" s="1"/>
  <c r="K576" i="2" a="1"/>
  <c r="K576" i="2" s="1"/>
  <c r="I576" i="2" a="1"/>
  <c r="I576" i="2" s="1"/>
  <c r="A577" i="2" a="1"/>
  <c r="A577" i="2" s="1"/>
  <c r="B577" i="2" a="1"/>
  <c r="B577" i="2" s="1"/>
  <c r="C579" i="2"/>
  <c r="F578" i="2"/>
  <c r="D576" i="2" a="1"/>
  <c r="H577" i="3" l="1" a="1"/>
  <c r="H577" i="3" s="1"/>
  <c r="K577" i="3" a="1"/>
  <c r="K577" i="3" s="1"/>
  <c r="I577" i="3" a="1"/>
  <c r="I577" i="3" s="1"/>
  <c r="C579" i="3"/>
  <c r="L578" i="3"/>
  <c r="M578" i="3"/>
  <c r="F578" i="3"/>
  <c r="F579" i="3" s="1"/>
  <c r="A577" i="3" a="1"/>
  <c r="A577" i="3" s="1"/>
  <c r="B577" i="3" a="1"/>
  <c r="B577" i="3" s="1"/>
  <c r="D576" i="2"/>
  <c r="B578" i="2" a="1"/>
  <c r="B578" i="2" s="1"/>
  <c r="A578" i="2" a="1"/>
  <c r="A578" i="2" s="1"/>
  <c r="C580" i="2"/>
  <c r="F579" i="2"/>
  <c r="K577" i="2" a="1"/>
  <c r="K577" i="2" s="1"/>
  <c r="J577" i="2" a="1"/>
  <c r="J577" i="2" s="1"/>
  <c r="H577" i="2" a="1"/>
  <c r="H577" i="2" s="1"/>
  <c r="I577" i="2" a="1"/>
  <c r="I577" i="2" s="1"/>
  <c r="D577" i="2" a="1"/>
  <c r="G578" i="3" l="1" a="1"/>
  <c r="G578" i="3" s="1"/>
  <c r="C580" i="3"/>
  <c r="G579" i="3" a="1"/>
  <c r="G579" i="3" s="1"/>
  <c r="L579" i="3"/>
  <c r="M579" i="3"/>
  <c r="A578" i="3" a="1"/>
  <c r="A578" i="3" s="1"/>
  <c r="B578" i="3" a="1"/>
  <c r="B578" i="3" s="1"/>
  <c r="D577" i="2"/>
  <c r="H578" i="2" a="1"/>
  <c r="H578" i="2" s="1"/>
  <c r="J578" i="2" a="1"/>
  <c r="J578" i="2" s="1"/>
  <c r="K578" i="2" a="1"/>
  <c r="K578" i="2" s="1"/>
  <c r="I578" i="2" a="1"/>
  <c r="I578" i="2" s="1"/>
  <c r="C581" i="2"/>
  <c r="F580" i="2"/>
  <c r="A579" i="2" a="1"/>
  <c r="A579" i="2" s="1"/>
  <c r="B579" i="2" a="1"/>
  <c r="B579" i="2" s="1"/>
  <c r="D578" i="2" a="1"/>
  <c r="H579" i="3" l="1" a="1"/>
  <c r="H579" i="3" s="1"/>
  <c r="K579" i="3" a="1"/>
  <c r="K579" i="3" s="1"/>
  <c r="I579" i="3" a="1"/>
  <c r="I579" i="3" s="1"/>
  <c r="C581" i="3"/>
  <c r="G580" i="3" a="1"/>
  <c r="G580" i="3" s="1"/>
  <c r="L580" i="3"/>
  <c r="M580" i="3"/>
  <c r="J580" i="3" a="1"/>
  <c r="J580" i="3" s="1"/>
  <c r="J579" i="3" a="1"/>
  <c r="J579" i="3" s="1"/>
  <c r="H578" i="3" a="1"/>
  <c r="H578" i="3" s="1"/>
  <c r="I578" i="3" a="1"/>
  <c r="I578" i="3" s="1"/>
  <c r="K578" i="3" a="1"/>
  <c r="K578" i="3" s="1"/>
  <c r="J578" i="3" a="1"/>
  <c r="J578" i="3" s="1"/>
  <c r="F580" i="3"/>
  <c r="A579" i="3" a="1"/>
  <c r="A579" i="3" s="1"/>
  <c r="B579" i="3" a="1"/>
  <c r="B579" i="3" s="1"/>
  <c r="D578" i="2"/>
  <c r="C582" i="2"/>
  <c r="F581" i="2"/>
  <c r="I579" i="2" a="1"/>
  <c r="I579" i="2" s="1"/>
  <c r="K579" i="2" a="1"/>
  <c r="K579" i="2" s="1"/>
  <c r="H579" i="2" a="1"/>
  <c r="H579" i="2" s="1"/>
  <c r="J579" i="2" a="1"/>
  <c r="J579" i="2" s="1"/>
  <c r="A580" i="2" a="1"/>
  <c r="A580" i="2" s="1"/>
  <c r="B580" i="2" a="1"/>
  <c r="B580" i="2" s="1"/>
  <c r="D579" i="2" a="1"/>
  <c r="C582" i="3" l="1"/>
  <c r="L581" i="3"/>
  <c r="M581" i="3"/>
  <c r="F581" i="3"/>
  <c r="F582" i="3" s="1"/>
  <c r="I580" i="3" a="1"/>
  <c r="I580" i="3" s="1"/>
  <c r="K580" i="3" a="1"/>
  <c r="K580" i="3" s="1"/>
  <c r="H580" i="3" a="1"/>
  <c r="H580" i="3" s="1"/>
  <c r="A580" i="3" a="1"/>
  <c r="A580" i="3" s="1"/>
  <c r="B580" i="3" a="1"/>
  <c r="B580" i="3" s="1"/>
  <c r="D579" i="2"/>
  <c r="J580" i="2" a="1"/>
  <c r="J580" i="2" s="1"/>
  <c r="I580" i="2" a="1"/>
  <c r="I580" i="2" s="1"/>
  <c r="H580" i="2" a="1"/>
  <c r="H580" i="2" s="1"/>
  <c r="K580" i="2" a="1"/>
  <c r="K580" i="2" s="1"/>
  <c r="A581" i="2" a="1"/>
  <c r="A581" i="2" s="1"/>
  <c r="B581" i="2" a="1"/>
  <c r="B581" i="2" s="1"/>
  <c r="C583" i="2"/>
  <c r="F582" i="2"/>
  <c r="D580" i="2" a="1"/>
  <c r="G581" i="3" l="1" a="1"/>
  <c r="G581" i="3" s="1"/>
  <c r="C583" i="3"/>
  <c r="G582" i="3" a="1"/>
  <c r="G582" i="3" s="1"/>
  <c r="L582" i="3"/>
  <c r="M582" i="3"/>
  <c r="B581" i="3" a="1"/>
  <c r="B581" i="3" s="1"/>
  <c r="A581" i="3" a="1"/>
  <c r="A581" i="3" s="1"/>
  <c r="D580" i="2"/>
  <c r="B582" i="2" a="1"/>
  <c r="B582" i="2" s="1"/>
  <c r="A582" i="2" a="1"/>
  <c r="A582" i="2" s="1"/>
  <c r="C584" i="2"/>
  <c r="F583" i="2"/>
  <c r="J581" i="2" a="1"/>
  <c r="J581" i="2" s="1"/>
  <c r="H581" i="2" a="1"/>
  <c r="H581" i="2" s="1"/>
  <c r="I581" i="2" a="1"/>
  <c r="I581" i="2" s="1"/>
  <c r="K581" i="2" a="1"/>
  <c r="K581" i="2" s="1"/>
  <c r="D581" i="2" a="1"/>
  <c r="I582" i="3" l="1" a="1"/>
  <c r="I582" i="3" s="1"/>
  <c r="K582" i="3" a="1"/>
  <c r="K582" i="3" s="1"/>
  <c r="H582" i="3" a="1"/>
  <c r="H582" i="3" s="1"/>
  <c r="C584" i="3"/>
  <c r="G583" i="3" a="1"/>
  <c r="G583" i="3" s="1"/>
  <c r="L583" i="3"/>
  <c r="M583" i="3"/>
  <c r="J582" i="3" a="1"/>
  <c r="J582" i="3" s="1"/>
  <c r="H581" i="3" a="1"/>
  <c r="H581" i="3" s="1"/>
  <c r="K581" i="3" a="1"/>
  <c r="K581" i="3" s="1"/>
  <c r="I581" i="3" a="1"/>
  <c r="I581" i="3" s="1"/>
  <c r="J581" i="3" a="1"/>
  <c r="J581" i="3" s="1"/>
  <c r="F583" i="3"/>
  <c r="A582" i="3" a="1"/>
  <c r="A582" i="3" s="1"/>
  <c r="B582" i="3" a="1"/>
  <c r="B582" i="3" s="1"/>
  <c r="D581" i="2"/>
  <c r="B583" i="2" a="1"/>
  <c r="B583" i="2" s="1"/>
  <c r="A583" i="2" a="1"/>
  <c r="A583" i="2" s="1"/>
  <c r="C585" i="2"/>
  <c r="F584" i="2"/>
  <c r="H582" i="2" a="1"/>
  <c r="H582" i="2" s="1"/>
  <c r="I582" i="2" a="1"/>
  <c r="I582" i="2" s="1"/>
  <c r="K582" i="2" a="1"/>
  <c r="K582" i="2" s="1"/>
  <c r="J582" i="2" a="1"/>
  <c r="J582" i="2" s="1"/>
  <c r="D582" i="2" a="1"/>
  <c r="H583" i="3" l="1" a="1"/>
  <c r="H583" i="3" s="1"/>
  <c r="K583" i="3" a="1"/>
  <c r="K583" i="3" s="1"/>
  <c r="I583" i="3" a="1"/>
  <c r="I583" i="3" s="1"/>
  <c r="C585" i="3"/>
  <c r="L584" i="3"/>
  <c r="M584" i="3"/>
  <c r="J583" i="3" a="1"/>
  <c r="J583" i="3" s="1"/>
  <c r="F584" i="3"/>
  <c r="F585" i="3" s="1"/>
  <c r="A583" i="3" a="1"/>
  <c r="A583" i="3" s="1"/>
  <c r="B583" i="3" a="1"/>
  <c r="B583" i="3" s="1"/>
  <c r="D582" i="2"/>
  <c r="H583" i="2" a="1"/>
  <c r="H583" i="2" s="1"/>
  <c r="J583" i="2" a="1"/>
  <c r="J583" i="2" s="1"/>
  <c r="I583" i="2" a="1"/>
  <c r="I583" i="2" s="1"/>
  <c r="K583" i="2" a="1"/>
  <c r="K583" i="2" s="1"/>
  <c r="C586" i="2"/>
  <c r="F585" i="2"/>
  <c r="A584" i="2" a="1"/>
  <c r="A584" i="2" s="1"/>
  <c r="B584" i="2" a="1"/>
  <c r="B584" i="2" s="1"/>
  <c r="D583" i="2" a="1"/>
  <c r="G584" i="3" l="1" a="1"/>
  <c r="G584" i="3" s="1"/>
  <c r="C586" i="3"/>
  <c r="G585" i="3" a="1"/>
  <c r="G585" i="3" s="1"/>
  <c r="M585" i="3"/>
  <c r="L585" i="3"/>
  <c r="J585" i="3" a="1"/>
  <c r="J585" i="3" s="1"/>
  <c r="A584" i="3" a="1"/>
  <c r="A584" i="3" s="1"/>
  <c r="B584" i="3" a="1"/>
  <c r="B584" i="3" s="1"/>
  <c r="D583" i="2"/>
  <c r="H584" i="2" a="1"/>
  <c r="H584" i="2" s="1"/>
  <c r="J584" i="2" a="1"/>
  <c r="J584" i="2" s="1"/>
  <c r="I584" i="2" a="1"/>
  <c r="I584" i="2" s="1"/>
  <c r="K584" i="2" a="1"/>
  <c r="K584" i="2" s="1"/>
  <c r="A585" i="2" a="1"/>
  <c r="A585" i="2" s="1"/>
  <c r="B585" i="2" a="1"/>
  <c r="B585" i="2" s="1"/>
  <c r="C587" i="2"/>
  <c r="F586" i="2"/>
  <c r="D584" i="2" a="1"/>
  <c r="H585" i="3" l="1" a="1"/>
  <c r="H585" i="3" s="1"/>
  <c r="K585" i="3" a="1"/>
  <c r="K585" i="3" s="1"/>
  <c r="I585" i="3" a="1"/>
  <c r="I585" i="3" s="1"/>
  <c r="C587" i="3"/>
  <c r="G586" i="3" a="1"/>
  <c r="G586" i="3" s="1"/>
  <c r="L586" i="3"/>
  <c r="M586" i="3"/>
  <c r="J586" i="3" a="1"/>
  <c r="J586" i="3" s="1"/>
  <c r="H584" i="3" a="1"/>
  <c r="H584" i="3" s="1"/>
  <c r="I584" i="3" a="1"/>
  <c r="I584" i="3" s="1"/>
  <c r="K584" i="3" a="1"/>
  <c r="K584" i="3" s="1"/>
  <c r="J584" i="3" a="1"/>
  <c r="J584" i="3" s="1"/>
  <c r="F586" i="3"/>
  <c r="A585" i="3" a="1"/>
  <c r="A585" i="3" s="1"/>
  <c r="B585" i="3" a="1"/>
  <c r="B585" i="3" s="1"/>
  <c r="D584" i="2"/>
  <c r="C588" i="2"/>
  <c r="F587" i="2"/>
  <c r="A586" i="2" a="1"/>
  <c r="A586" i="2" s="1"/>
  <c r="B586" i="2" a="1"/>
  <c r="B586" i="2" s="1"/>
  <c r="H585" i="2" a="1"/>
  <c r="H585" i="2" s="1"/>
  <c r="J585" i="2" a="1"/>
  <c r="J585" i="2" s="1"/>
  <c r="I585" i="2" a="1"/>
  <c r="I585" i="2" s="1"/>
  <c r="K585" i="2" a="1"/>
  <c r="K585" i="2" s="1"/>
  <c r="D585" i="2" a="1"/>
  <c r="C588" i="3" l="1"/>
  <c r="L587" i="3"/>
  <c r="M587" i="3"/>
  <c r="I586" i="3" a="1"/>
  <c r="I586" i="3" s="1"/>
  <c r="K586" i="3" a="1"/>
  <c r="K586" i="3" s="1"/>
  <c r="H586" i="3" a="1"/>
  <c r="H586" i="3" s="1"/>
  <c r="F587" i="3"/>
  <c r="F588" i="3" s="1"/>
  <c r="A586" i="3" a="1"/>
  <c r="A586" i="3" s="1"/>
  <c r="B586" i="3" a="1"/>
  <c r="B586" i="3" s="1"/>
  <c r="D585" i="2"/>
  <c r="J586" i="2" a="1"/>
  <c r="J586" i="2" s="1"/>
  <c r="H586" i="2" a="1"/>
  <c r="H586" i="2" s="1"/>
  <c r="I586" i="2" a="1"/>
  <c r="I586" i="2" s="1"/>
  <c r="K586" i="2" a="1"/>
  <c r="K586" i="2" s="1"/>
  <c r="B587" i="2" a="1"/>
  <c r="B587" i="2" s="1"/>
  <c r="A587" i="2" a="1"/>
  <c r="A587" i="2" s="1"/>
  <c r="C589" i="2"/>
  <c r="F588" i="2"/>
  <c r="D586" i="2" a="1"/>
  <c r="G587" i="3" l="1" a="1"/>
  <c r="G587" i="3" s="1"/>
  <c r="C589" i="3"/>
  <c r="G588" i="3" a="1"/>
  <c r="G588" i="3" s="1"/>
  <c r="J588" i="3" s="1" a="1"/>
  <c r="J588" i="3" s="1"/>
  <c r="M588" i="3"/>
  <c r="L588" i="3"/>
  <c r="A587" i="3" a="1"/>
  <c r="A587" i="3" s="1"/>
  <c r="B587" i="3" a="1"/>
  <c r="B587" i="3" s="1"/>
  <c r="D586" i="2"/>
  <c r="C590" i="2"/>
  <c r="F589" i="2"/>
  <c r="A588" i="2" a="1"/>
  <c r="A588" i="2" s="1"/>
  <c r="B588" i="2" a="1"/>
  <c r="B588" i="2" s="1"/>
  <c r="K587" i="2" a="1"/>
  <c r="K587" i="2" s="1"/>
  <c r="J587" i="2" a="1"/>
  <c r="J587" i="2" s="1"/>
  <c r="H587" i="2" a="1"/>
  <c r="H587" i="2" s="1"/>
  <c r="I587" i="2" a="1"/>
  <c r="I587" i="2" s="1"/>
  <c r="D587" i="2" a="1"/>
  <c r="J587" i="3" l="1" a="1"/>
  <c r="J587" i="3" s="1"/>
  <c r="K587" i="3" a="1"/>
  <c r="K587" i="3" s="1"/>
  <c r="I587" i="3" a="1"/>
  <c r="I587" i="3" s="1"/>
  <c r="H587" i="3" a="1"/>
  <c r="H587" i="3" s="1"/>
  <c r="H588" i="3" a="1"/>
  <c r="H588" i="3" s="1"/>
  <c r="I588" i="3" a="1"/>
  <c r="I588" i="3" s="1"/>
  <c r="K588" i="3" a="1"/>
  <c r="K588" i="3" s="1"/>
  <c r="C590" i="3"/>
  <c r="G589" i="3" a="1"/>
  <c r="G589" i="3" s="1"/>
  <c r="J589" i="3" s="1" a="1"/>
  <c r="J589" i="3" s="1"/>
  <c r="L589" i="3"/>
  <c r="M589" i="3"/>
  <c r="F589" i="3"/>
  <c r="B588" i="3" a="1"/>
  <c r="B588" i="3" s="1"/>
  <c r="A588" i="3" a="1"/>
  <c r="A588" i="3" s="1"/>
  <c r="D587" i="2"/>
  <c r="K588" i="2" a="1"/>
  <c r="K588" i="2" s="1"/>
  <c r="I588" i="2" a="1"/>
  <c r="I588" i="2" s="1"/>
  <c r="J588" i="2" a="1"/>
  <c r="J588" i="2" s="1"/>
  <c r="H588" i="2" a="1"/>
  <c r="H588" i="2" s="1"/>
  <c r="A589" i="2" a="1"/>
  <c r="A589" i="2" s="1"/>
  <c r="B589" i="2" a="1"/>
  <c r="B589" i="2" s="1"/>
  <c r="C591" i="2"/>
  <c r="F590" i="2"/>
  <c r="D588" i="2" a="1"/>
  <c r="K589" i="3" l="1" a="1"/>
  <c r="K589" i="3" s="1"/>
  <c r="H589" i="3" a="1"/>
  <c r="H589" i="3" s="1"/>
  <c r="I589" i="3" a="1"/>
  <c r="I589" i="3" s="1"/>
  <c r="C591" i="3"/>
  <c r="L590" i="3"/>
  <c r="M590" i="3"/>
  <c r="F590" i="3"/>
  <c r="F591" i="3" s="1"/>
  <c r="A589" i="3" a="1"/>
  <c r="A589" i="3" s="1"/>
  <c r="B589" i="3" a="1"/>
  <c r="B589" i="3" s="1"/>
  <c r="D588" i="2"/>
  <c r="C592" i="2"/>
  <c r="F591" i="2"/>
  <c r="A590" i="2" a="1"/>
  <c r="A590" i="2" s="1"/>
  <c r="B590" i="2" a="1"/>
  <c r="B590" i="2" s="1"/>
  <c r="J589" i="2" a="1"/>
  <c r="J589" i="2" s="1"/>
  <c r="I589" i="2" a="1"/>
  <c r="I589" i="2" s="1"/>
  <c r="H589" i="2" a="1"/>
  <c r="H589" i="2" s="1"/>
  <c r="K589" i="2" a="1"/>
  <c r="K589" i="2" s="1"/>
  <c r="D589" i="2" a="1"/>
  <c r="G590" i="3" l="1" a="1"/>
  <c r="G590" i="3" s="1"/>
  <c r="C592" i="3"/>
  <c r="G591" i="3" a="1"/>
  <c r="G591" i="3" s="1"/>
  <c r="M591" i="3"/>
  <c r="L591" i="3"/>
  <c r="J591" i="3" a="1"/>
  <c r="J591" i="3" s="1"/>
  <c r="F592" i="3"/>
  <c r="A590" i="3" a="1"/>
  <c r="A590" i="3" s="1"/>
  <c r="B590" i="3" a="1"/>
  <c r="B590" i="3" s="1"/>
  <c r="D589" i="2"/>
  <c r="H590" i="2" a="1"/>
  <c r="H590" i="2" s="1"/>
  <c r="J590" i="2" a="1"/>
  <c r="J590" i="2" s="1"/>
  <c r="K590" i="2" a="1"/>
  <c r="K590" i="2" s="1"/>
  <c r="I590" i="2" a="1"/>
  <c r="I590" i="2" s="1"/>
  <c r="A591" i="2" a="1"/>
  <c r="A591" i="2" s="1"/>
  <c r="B591" i="2" a="1"/>
  <c r="B591" i="2" s="1"/>
  <c r="C593" i="2"/>
  <c r="F592" i="2"/>
  <c r="D590" i="2" a="1"/>
  <c r="C593" i="3" l="1"/>
  <c r="G592" i="3" a="1"/>
  <c r="G592" i="3" s="1"/>
  <c r="M592" i="3"/>
  <c r="L592" i="3"/>
  <c r="J592" i="3" a="1"/>
  <c r="J592" i="3" s="1"/>
  <c r="F593" i="3"/>
  <c r="H591" i="3" a="1"/>
  <c r="H591" i="3" s="1"/>
  <c r="K591" i="3" a="1"/>
  <c r="K591" i="3" s="1"/>
  <c r="I591" i="3" a="1"/>
  <c r="I591" i="3" s="1"/>
  <c r="H590" i="3" a="1"/>
  <c r="H590" i="3" s="1"/>
  <c r="I590" i="3" a="1"/>
  <c r="I590" i="3" s="1"/>
  <c r="K590" i="3" a="1"/>
  <c r="K590" i="3" s="1"/>
  <c r="J590" i="3" a="1"/>
  <c r="J590" i="3" s="1"/>
  <c r="A591" i="3" a="1"/>
  <c r="A591" i="3" s="1"/>
  <c r="B591" i="3" a="1"/>
  <c r="B591" i="3" s="1"/>
  <c r="D590" i="2"/>
  <c r="C594" i="2"/>
  <c r="F593" i="2"/>
  <c r="I591" i="2" a="1"/>
  <c r="I591" i="2" s="1"/>
  <c r="J591" i="2" a="1"/>
  <c r="J591" i="2" s="1"/>
  <c r="H591" i="2" a="1"/>
  <c r="H591" i="2" s="1"/>
  <c r="K591" i="2" a="1"/>
  <c r="K591" i="2" s="1"/>
  <c r="B592" i="2" a="1"/>
  <c r="B592" i="2" s="1"/>
  <c r="A592" i="2" a="1"/>
  <c r="A592" i="2" s="1"/>
  <c r="D591" i="2" a="1"/>
  <c r="I592" i="3" l="1" a="1"/>
  <c r="I592" i="3" s="1"/>
  <c r="K592" i="3" a="1"/>
  <c r="K592" i="3" s="1"/>
  <c r="H592" i="3" a="1"/>
  <c r="H592" i="3" s="1"/>
  <c r="C594" i="3"/>
  <c r="G593" i="3" a="1"/>
  <c r="G593" i="3" s="1"/>
  <c r="J593" i="3" a="1"/>
  <c r="J593" i="3" s="1"/>
  <c r="L593" i="3"/>
  <c r="M593" i="3"/>
  <c r="A592" i="3" a="1"/>
  <c r="A592" i="3" s="1"/>
  <c r="B592" i="3" a="1"/>
  <c r="B592" i="3" s="1"/>
  <c r="D591" i="2"/>
  <c r="B593" i="2" a="1"/>
  <c r="B593" i="2" s="1"/>
  <c r="A593" i="2" a="1"/>
  <c r="A593" i="2" s="1"/>
  <c r="I592" i="2" a="1"/>
  <c r="I592" i="2" s="1"/>
  <c r="K592" i="2" a="1"/>
  <c r="K592" i="2" s="1"/>
  <c r="H592" i="2" a="1"/>
  <c r="H592" i="2" s="1"/>
  <c r="J592" i="2" a="1"/>
  <c r="J592" i="2" s="1"/>
  <c r="C595" i="2"/>
  <c r="F594" i="2"/>
  <c r="D592" i="2" a="1"/>
  <c r="H593" i="3" l="1" a="1"/>
  <c r="H593" i="3" s="1"/>
  <c r="K593" i="3" a="1"/>
  <c r="K593" i="3" s="1"/>
  <c r="I593" i="3" a="1"/>
  <c r="I593" i="3" s="1"/>
  <c r="C595" i="3"/>
  <c r="L594" i="3"/>
  <c r="M594" i="3"/>
  <c r="F594" i="3"/>
  <c r="F595" i="3" s="1"/>
  <c r="B593" i="3" a="1"/>
  <c r="B593" i="3" s="1"/>
  <c r="A593" i="3" a="1"/>
  <c r="A593" i="3" s="1"/>
  <c r="D592" i="2"/>
  <c r="C596" i="2"/>
  <c r="F595" i="2"/>
  <c r="A594" i="2" a="1"/>
  <c r="A594" i="2" s="1"/>
  <c r="B594" i="2" a="1"/>
  <c r="B594" i="2" s="1"/>
  <c r="H593" i="2" a="1"/>
  <c r="H593" i="2" s="1"/>
  <c r="J593" i="2" a="1"/>
  <c r="J593" i="2" s="1"/>
  <c r="I593" i="2" a="1"/>
  <c r="I593" i="2" s="1"/>
  <c r="K593" i="2" a="1"/>
  <c r="K593" i="2" s="1"/>
  <c r="D593" i="2" a="1"/>
  <c r="G594" i="3" l="1" a="1"/>
  <c r="G594" i="3" s="1"/>
  <c r="C596" i="3"/>
  <c r="G595" i="3" a="1"/>
  <c r="G595" i="3" s="1"/>
  <c r="J595" i="3" a="1"/>
  <c r="J595" i="3" s="1"/>
  <c r="L595" i="3"/>
  <c r="M595" i="3"/>
  <c r="A594" i="3" a="1"/>
  <c r="A594" i="3" s="1"/>
  <c r="B594" i="3" a="1"/>
  <c r="B594" i="3" s="1"/>
  <c r="D593" i="2"/>
  <c r="K594" i="2" a="1"/>
  <c r="K594" i="2" s="1"/>
  <c r="J594" i="2" a="1"/>
  <c r="J594" i="2" s="1"/>
  <c r="H594" i="2" a="1"/>
  <c r="H594" i="2" s="1"/>
  <c r="I594" i="2" a="1"/>
  <c r="I594" i="2" s="1"/>
  <c r="B595" i="2" a="1"/>
  <c r="B595" i="2" s="1"/>
  <c r="A595" i="2" a="1"/>
  <c r="A595" i="2" s="1"/>
  <c r="C597" i="2"/>
  <c r="F596" i="2"/>
  <c r="D594" i="2" a="1"/>
  <c r="C597" i="3" l="1"/>
  <c r="G596" i="3" a="1"/>
  <c r="G596" i="3" s="1"/>
  <c r="M596" i="3"/>
  <c r="J596" i="3" a="1"/>
  <c r="J596" i="3" s="1"/>
  <c r="L596" i="3"/>
  <c r="K595" i="3" a="1"/>
  <c r="K595" i="3" s="1"/>
  <c r="I595" i="3" a="1"/>
  <c r="I595" i="3" s="1"/>
  <c r="H595" i="3" a="1"/>
  <c r="H595" i="3" s="1"/>
  <c r="H594" i="3" a="1"/>
  <c r="H594" i="3" s="1"/>
  <c r="I594" i="3" a="1"/>
  <c r="I594" i="3" s="1"/>
  <c r="K594" i="3" a="1"/>
  <c r="K594" i="3" s="1"/>
  <c r="J594" i="3" a="1"/>
  <c r="J594" i="3" s="1"/>
  <c r="F596" i="3"/>
  <c r="F597" i="3" s="1"/>
  <c r="A595" i="3" a="1"/>
  <c r="A595" i="3" s="1"/>
  <c r="B595" i="3" a="1"/>
  <c r="B595" i="3" s="1"/>
  <c r="D594" i="2"/>
  <c r="C598" i="2"/>
  <c r="F597" i="2"/>
  <c r="B596" i="2" a="1"/>
  <c r="B596" i="2" s="1"/>
  <c r="A596" i="2" a="1"/>
  <c r="A596" i="2" s="1"/>
  <c r="J595" i="2" a="1"/>
  <c r="J595" i="2" s="1"/>
  <c r="I595" i="2" a="1"/>
  <c r="I595" i="2" s="1"/>
  <c r="K595" i="2" a="1"/>
  <c r="K595" i="2" s="1"/>
  <c r="H595" i="2" a="1"/>
  <c r="H595" i="2" s="1"/>
  <c r="D595" i="2" a="1"/>
  <c r="H596" i="3" l="1" a="1"/>
  <c r="H596" i="3" s="1"/>
  <c r="I596" i="3" a="1"/>
  <c r="I596" i="3" s="1"/>
  <c r="K596" i="3" a="1"/>
  <c r="K596" i="3" s="1"/>
  <c r="C598" i="3"/>
  <c r="G597" i="3" a="1"/>
  <c r="G597" i="3" s="1"/>
  <c r="L597" i="3"/>
  <c r="M597" i="3"/>
  <c r="J597" i="3" a="1"/>
  <c r="J597" i="3" s="1"/>
  <c r="A596" i="3" a="1"/>
  <c r="A596" i="3" s="1"/>
  <c r="B596" i="3" a="1"/>
  <c r="B596" i="3" s="1"/>
  <c r="D595" i="2"/>
  <c r="A597" i="2" a="1"/>
  <c r="A597" i="2" s="1"/>
  <c r="B597" i="2" a="1"/>
  <c r="B597" i="2" s="1"/>
  <c r="J596" i="2" a="1"/>
  <c r="J596" i="2" s="1"/>
  <c r="K596" i="2" a="1"/>
  <c r="K596" i="2" s="1"/>
  <c r="H596" i="2" a="1"/>
  <c r="H596" i="2" s="1"/>
  <c r="I596" i="2" a="1"/>
  <c r="I596" i="2" s="1"/>
  <c r="C599" i="2"/>
  <c r="F598" i="2"/>
  <c r="D596" i="2" a="1"/>
  <c r="H597" i="3" l="1" a="1"/>
  <c r="H597" i="3" s="1"/>
  <c r="K597" i="3" a="1"/>
  <c r="K597" i="3" s="1"/>
  <c r="I597" i="3" a="1"/>
  <c r="I597" i="3" s="1"/>
  <c r="C599" i="3"/>
  <c r="L598" i="3"/>
  <c r="M598" i="3"/>
  <c r="F598" i="3"/>
  <c r="F599" i="3" s="1"/>
  <c r="A597" i="3" a="1"/>
  <c r="A597" i="3" s="1"/>
  <c r="B597" i="3" a="1"/>
  <c r="B597" i="3" s="1"/>
  <c r="D596" i="2"/>
  <c r="A598" i="2" a="1"/>
  <c r="A598" i="2" s="1"/>
  <c r="B598" i="2" a="1"/>
  <c r="B598" i="2" s="1"/>
  <c r="C600" i="2"/>
  <c r="F599" i="2"/>
  <c r="J597" i="2" a="1"/>
  <c r="J597" i="2" s="1"/>
  <c r="I597" i="2" a="1"/>
  <c r="I597" i="2" s="1"/>
  <c r="H597" i="2" a="1"/>
  <c r="H597" i="2" s="1"/>
  <c r="K597" i="2" a="1"/>
  <c r="K597" i="2" s="1"/>
  <c r="D597" i="2" a="1"/>
  <c r="G598" i="3" l="1" a="1"/>
  <c r="G598" i="3" s="1"/>
  <c r="C600" i="3"/>
  <c r="G599" i="3" a="1"/>
  <c r="G599" i="3" s="1"/>
  <c r="L599" i="3"/>
  <c r="M599" i="3"/>
  <c r="A598" i="3" a="1"/>
  <c r="A598" i="3" s="1"/>
  <c r="B598" i="3" a="1"/>
  <c r="B598" i="3" s="1"/>
  <c r="D597" i="2"/>
  <c r="C601" i="2"/>
  <c r="F600" i="2"/>
  <c r="I598" i="2" a="1"/>
  <c r="I598" i="2" s="1"/>
  <c r="K598" i="2" a="1"/>
  <c r="K598" i="2" s="1"/>
  <c r="J598" i="2" a="1"/>
  <c r="J598" i="2" s="1"/>
  <c r="H598" i="2" a="1"/>
  <c r="H598" i="2" s="1"/>
  <c r="B599" i="2" a="1"/>
  <c r="B599" i="2" s="1"/>
  <c r="A599" i="2" a="1"/>
  <c r="A599" i="2" s="1"/>
  <c r="D598" i="2" a="1"/>
  <c r="I599" i="3" l="1" a="1"/>
  <c r="I599" i="3" s="1"/>
  <c r="K599" i="3" a="1"/>
  <c r="K599" i="3" s="1"/>
  <c r="H599" i="3" a="1"/>
  <c r="H599" i="3" s="1"/>
  <c r="C601" i="3"/>
  <c r="G600" i="3" a="1"/>
  <c r="G600" i="3" s="1"/>
  <c r="L600" i="3"/>
  <c r="M600" i="3"/>
  <c r="J599" i="3" a="1"/>
  <c r="J599" i="3" s="1"/>
  <c r="K598" i="3" a="1"/>
  <c r="K598" i="3" s="1"/>
  <c r="I598" i="3" a="1"/>
  <c r="I598" i="3" s="1"/>
  <c r="H598" i="3" a="1"/>
  <c r="H598" i="3" s="1"/>
  <c r="J598" i="3" a="1"/>
  <c r="J598" i="3" s="1"/>
  <c r="F600" i="3"/>
  <c r="A599" i="3" a="1"/>
  <c r="A599" i="3" s="1"/>
  <c r="B599" i="3" a="1"/>
  <c r="B599" i="3" s="1"/>
  <c r="D598" i="2"/>
  <c r="A600" i="2" a="1"/>
  <c r="A600" i="2" s="1"/>
  <c r="B600" i="2" a="1"/>
  <c r="B600" i="2" s="1"/>
  <c r="J599" i="2" a="1"/>
  <c r="J599" i="2" s="1"/>
  <c r="H599" i="2" a="1"/>
  <c r="H599" i="2" s="1"/>
  <c r="I599" i="2" a="1"/>
  <c r="I599" i="2" s="1"/>
  <c r="K599" i="2" a="1"/>
  <c r="K599" i="2" s="1"/>
  <c r="C602" i="2"/>
  <c r="F601" i="2"/>
  <c r="D599" i="2" a="1"/>
  <c r="K600" i="3" l="1" a="1"/>
  <c r="K600" i="3" s="1"/>
  <c r="H600" i="3" a="1"/>
  <c r="H600" i="3" s="1"/>
  <c r="I600" i="3" a="1"/>
  <c r="I600" i="3" s="1"/>
  <c r="C602" i="3"/>
  <c r="L601" i="3"/>
  <c r="M601" i="3"/>
  <c r="J600" i="3" a="1"/>
  <c r="J600" i="3" s="1"/>
  <c r="F601" i="3"/>
  <c r="F602" i="3" s="1"/>
  <c r="A600" i="3" a="1"/>
  <c r="A600" i="3" s="1"/>
  <c r="B600" i="3" a="1"/>
  <c r="B600" i="3" s="1"/>
  <c r="D599" i="2"/>
  <c r="C603" i="2"/>
  <c r="F602" i="2"/>
  <c r="I600" i="2" a="1"/>
  <c r="I600" i="2" s="1"/>
  <c r="J600" i="2" a="1"/>
  <c r="J600" i="2" s="1"/>
  <c r="H600" i="2" a="1"/>
  <c r="H600" i="2" s="1"/>
  <c r="K600" i="2" a="1"/>
  <c r="K600" i="2" s="1"/>
  <c r="A601" i="2" a="1"/>
  <c r="A601" i="2" s="1"/>
  <c r="B601" i="2" a="1"/>
  <c r="B601" i="2" s="1"/>
  <c r="D600" i="2" a="1"/>
  <c r="G601" i="3" l="1" a="1"/>
  <c r="G601" i="3" s="1"/>
  <c r="C603" i="3"/>
  <c r="G602" i="3" a="1"/>
  <c r="G602" i="3" s="1"/>
  <c r="L602" i="3"/>
  <c r="M602" i="3"/>
  <c r="A601" i="3" a="1"/>
  <c r="A601" i="3" s="1"/>
  <c r="B601" i="3" a="1"/>
  <c r="B601" i="3" s="1"/>
  <c r="D600" i="2"/>
  <c r="I601" i="2" a="1"/>
  <c r="I601" i="2" s="1"/>
  <c r="K601" i="2" a="1"/>
  <c r="K601" i="2" s="1"/>
  <c r="H601" i="2" a="1"/>
  <c r="H601" i="2" s="1"/>
  <c r="J601" i="2" a="1"/>
  <c r="J601" i="2" s="1"/>
  <c r="B602" i="2" a="1"/>
  <c r="B602" i="2" s="1"/>
  <c r="A602" i="2" a="1"/>
  <c r="A602" i="2" s="1"/>
  <c r="C604" i="2"/>
  <c r="F603" i="2"/>
  <c r="D601" i="2" a="1"/>
  <c r="H602" i="3" l="1" a="1"/>
  <c r="H602" i="3" s="1"/>
  <c r="K602" i="3" a="1"/>
  <c r="K602" i="3" s="1"/>
  <c r="I602" i="3" a="1"/>
  <c r="I602" i="3" s="1"/>
  <c r="C604" i="3"/>
  <c r="G603" i="3" a="1"/>
  <c r="G603" i="3" s="1"/>
  <c r="L603" i="3"/>
  <c r="M603" i="3"/>
  <c r="J603" i="3" a="1"/>
  <c r="J603" i="3" s="1"/>
  <c r="J602" i="3" a="1"/>
  <c r="J602" i="3" s="1"/>
  <c r="K601" i="3" a="1"/>
  <c r="K601" i="3" s="1"/>
  <c r="H601" i="3" a="1"/>
  <c r="H601" i="3" s="1"/>
  <c r="I601" i="3" a="1"/>
  <c r="I601" i="3" s="1"/>
  <c r="J601" i="3" a="1"/>
  <c r="J601" i="3" s="1"/>
  <c r="F603" i="3"/>
  <c r="A602" i="3" a="1"/>
  <c r="A602" i="3" s="1"/>
  <c r="B602" i="3" a="1"/>
  <c r="B602" i="3" s="1"/>
  <c r="D601" i="2"/>
  <c r="H602" i="2" a="1"/>
  <c r="H602" i="2" s="1"/>
  <c r="J602" i="2" a="1"/>
  <c r="J602" i="2" s="1"/>
  <c r="K602" i="2" a="1"/>
  <c r="K602" i="2" s="1"/>
  <c r="I602" i="2" a="1"/>
  <c r="I602" i="2" s="1"/>
  <c r="C605" i="2"/>
  <c r="F604" i="2"/>
  <c r="A603" i="2" a="1"/>
  <c r="A603" i="2" s="1"/>
  <c r="B603" i="2" a="1"/>
  <c r="B603" i="2" s="1"/>
  <c r="D602" i="2" a="1"/>
  <c r="C605" i="3" l="1"/>
  <c r="L604" i="3"/>
  <c r="M604" i="3"/>
  <c r="H603" i="3" a="1"/>
  <c r="H603" i="3" s="1"/>
  <c r="K603" i="3" a="1"/>
  <c r="K603" i="3" s="1"/>
  <c r="I603" i="3" a="1"/>
  <c r="I603" i="3" s="1"/>
  <c r="F604" i="3"/>
  <c r="F605" i="3" s="1"/>
  <c r="A603" i="3" a="1"/>
  <c r="A603" i="3" s="1"/>
  <c r="B603" i="3" a="1"/>
  <c r="B603" i="3" s="1"/>
  <c r="D602" i="2"/>
  <c r="I603" i="2" a="1"/>
  <c r="I603" i="2" s="1"/>
  <c r="K603" i="2" a="1"/>
  <c r="K603" i="2" s="1"/>
  <c r="H603" i="2" a="1"/>
  <c r="H603" i="2" s="1"/>
  <c r="J603" i="2" a="1"/>
  <c r="J603" i="2" s="1"/>
  <c r="A604" i="2" a="1"/>
  <c r="A604" i="2" s="1"/>
  <c r="B604" i="2" a="1"/>
  <c r="B604" i="2" s="1"/>
  <c r="C606" i="2"/>
  <c r="F605" i="2"/>
  <c r="D603" i="2" a="1"/>
  <c r="G604" i="3" l="1" a="1"/>
  <c r="G604" i="3" s="1"/>
  <c r="C606" i="3"/>
  <c r="G605" i="3" a="1"/>
  <c r="G605" i="3" s="1"/>
  <c r="L605" i="3"/>
  <c r="M605" i="3"/>
  <c r="A604" i="3" a="1"/>
  <c r="A604" i="3" s="1"/>
  <c r="B604" i="3" a="1"/>
  <c r="B604" i="3" s="1"/>
  <c r="D603" i="2"/>
  <c r="A605" i="2" a="1"/>
  <c r="A605" i="2" s="1"/>
  <c r="B605" i="2" a="1"/>
  <c r="B605" i="2" s="1"/>
  <c r="C607" i="2"/>
  <c r="F606" i="2"/>
  <c r="H604" i="2" a="1"/>
  <c r="H604" i="2" s="1"/>
  <c r="K604" i="2" a="1"/>
  <c r="K604" i="2" s="1"/>
  <c r="J604" i="2" a="1"/>
  <c r="J604" i="2" s="1"/>
  <c r="I604" i="2" a="1"/>
  <c r="I604" i="2" s="1"/>
  <c r="D604" i="2" a="1"/>
  <c r="H605" i="3" l="1" a="1"/>
  <c r="H605" i="3" s="1"/>
  <c r="I605" i="3" a="1"/>
  <c r="I605" i="3" s="1"/>
  <c r="K605" i="3" a="1"/>
  <c r="K605" i="3" s="1"/>
  <c r="C607" i="3"/>
  <c r="G606" i="3" a="1"/>
  <c r="G606" i="3" s="1"/>
  <c r="L606" i="3"/>
  <c r="M606" i="3"/>
  <c r="J605" i="3" a="1"/>
  <c r="J605" i="3" s="1"/>
  <c r="H604" i="3" a="1"/>
  <c r="H604" i="3" s="1"/>
  <c r="K604" i="3" a="1"/>
  <c r="K604" i="3" s="1"/>
  <c r="I604" i="3" a="1"/>
  <c r="I604" i="3" s="1"/>
  <c r="J604" i="3" a="1"/>
  <c r="J604" i="3" s="1"/>
  <c r="F606" i="3"/>
  <c r="F607" i="3" s="1"/>
  <c r="B605" i="3" a="1"/>
  <c r="B605" i="3" s="1"/>
  <c r="A605" i="3" a="1"/>
  <c r="A605" i="3" s="1"/>
  <c r="D604" i="2"/>
  <c r="C608" i="2"/>
  <c r="F607" i="2"/>
  <c r="K605" i="2" a="1"/>
  <c r="K605" i="2" s="1"/>
  <c r="H605" i="2" a="1"/>
  <c r="H605" i="2" s="1"/>
  <c r="J605" i="2" a="1"/>
  <c r="J605" i="2" s="1"/>
  <c r="I605" i="2" a="1"/>
  <c r="I605" i="2" s="1"/>
  <c r="B606" i="2" a="1"/>
  <c r="B606" i="2" s="1"/>
  <c r="A606" i="2" a="1"/>
  <c r="A606" i="2" s="1"/>
  <c r="D605" i="2" a="1"/>
  <c r="I606" i="3" l="1" a="1"/>
  <c r="I606" i="3" s="1"/>
  <c r="K606" i="3" a="1"/>
  <c r="K606" i="3" s="1"/>
  <c r="H606" i="3" a="1"/>
  <c r="H606" i="3" s="1"/>
  <c r="C608" i="3"/>
  <c r="G607" i="3" a="1"/>
  <c r="G607" i="3" s="1"/>
  <c r="J607" i="3" s="1" a="1"/>
  <c r="J607" i="3" s="1"/>
  <c r="L607" i="3"/>
  <c r="M607" i="3"/>
  <c r="J606" i="3" a="1"/>
  <c r="J606" i="3" s="1"/>
  <c r="F608" i="3"/>
  <c r="A606" i="3" a="1"/>
  <c r="A606" i="3" s="1"/>
  <c r="B606" i="3" a="1"/>
  <c r="B606" i="3" s="1"/>
  <c r="D605" i="2"/>
  <c r="B607" i="2" a="1"/>
  <c r="B607" i="2" s="1"/>
  <c r="A607" i="2" a="1"/>
  <c r="A607" i="2" s="1"/>
  <c r="K606" i="2" a="1"/>
  <c r="K606" i="2" s="1"/>
  <c r="H606" i="2" a="1"/>
  <c r="H606" i="2" s="1"/>
  <c r="J606" i="2" a="1"/>
  <c r="J606" i="2" s="1"/>
  <c r="I606" i="2" a="1"/>
  <c r="I606" i="2" s="1"/>
  <c r="C609" i="2"/>
  <c r="F608" i="2"/>
  <c r="D606" i="2" a="1"/>
  <c r="I607" i="3" l="1" a="1"/>
  <c r="I607" i="3" s="1"/>
  <c r="H607" i="3" a="1"/>
  <c r="H607" i="3" s="1"/>
  <c r="K607" i="3" a="1"/>
  <c r="K607" i="3" s="1"/>
  <c r="C609" i="3"/>
  <c r="G608" i="3" a="1"/>
  <c r="G608" i="3" s="1"/>
  <c r="J608" i="3" s="1" a="1"/>
  <c r="J608" i="3" s="1"/>
  <c r="L608" i="3"/>
  <c r="M608" i="3"/>
  <c r="A607" i="3" a="1"/>
  <c r="A607" i="3" s="1"/>
  <c r="B607" i="3" a="1"/>
  <c r="B607" i="3" s="1"/>
  <c r="D606" i="2"/>
  <c r="C610" i="2"/>
  <c r="F609" i="2"/>
  <c r="B608" i="2" a="1"/>
  <c r="B608" i="2" s="1"/>
  <c r="A608" i="2" a="1"/>
  <c r="A608" i="2" s="1"/>
  <c r="J607" i="2" a="1"/>
  <c r="J607" i="2" s="1"/>
  <c r="H607" i="2" a="1"/>
  <c r="H607" i="2" s="1"/>
  <c r="K607" i="2" a="1"/>
  <c r="K607" i="2" s="1"/>
  <c r="I607" i="2" a="1"/>
  <c r="I607" i="2" s="1"/>
  <c r="D607" i="2" a="1"/>
  <c r="C610" i="3" l="1"/>
  <c r="L609" i="3"/>
  <c r="M609" i="3"/>
  <c r="K608" i="3" a="1"/>
  <c r="K608" i="3" s="1"/>
  <c r="I608" i="3" a="1"/>
  <c r="I608" i="3" s="1"/>
  <c r="H608" i="3" a="1"/>
  <c r="H608" i="3" s="1"/>
  <c r="F609" i="3"/>
  <c r="F610" i="3" s="1"/>
  <c r="A608" i="3" a="1"/>
  <c r="A608" i="3" s="1"/>
  <c r="B608" i="3" a="1"/>
  <c r="B608" i="3" s="1"/>
  <c r="D607" i="2"/>
  <c r="A609" i="2" a="1"/>
  <c r="A609" i="2" s="1"/>
  <c r="B609" i="2" a="1"/>
  <c r="B609" i="2" s="1"/>
  <c r="I608" i="2" a="1"/>
  <c r="I608" i="2" s="1"/>
  <c r="H608" i="2" a="1"/>
  <c r="H608" i="2" s="1"/>
  <c r="K608" i="2" a="1"/>
  <c r="K608" i="2" s="1"/>
  <c r="J608" i="2" a="1"/>
  <c r="J608" i="2" s="1"/>
  <c r="C611" i="2"/>
  <c r="F610" i="2"/>
  <c r="D608" i="2" a="1"/>
  <c r="G609" i="3" l="1" a="1"/>
  <c r="G609" i="3" s="1"/>
  <c r="C611" i="3"/>
  <c r="G610" i="3" a="1"/>
  <c r="G610" i="3" s="1"/>
  <c r="J610" i="3" s="1" a="1"/>
  <c r="J610" i="3" s="1"/>
  <c r="L610" i="3"/>
  <c r="M610" i="3"/>
  <c r="B609" i="3" a="1"/>
  <c r="B609" i="3" s="1"/>
  <c r="A609" i="3" a="1"/>
  <c r="A609" i="3" s="1"/>
  <c r="D608" i="2"/>
  <c r="J609" i="2" a="1"/>
  <c r="J609" i="2" s="1"/>
  <c r="H609" i="2" a="1"/>
  <c r="H609" i="2" s="1"/>
  <c r="I609" i="2" a="1"/>
  <c r="I609" i="2" s="1"/>
  <c r="K609" i="2" a="1"/>
  <c r="K609" i="2" s="1"/>
  <c r="C612" i="2"/>
  <c r="F611" i="2"/>
  <c r="B610" i="2" a="1"/>
  <c r="B610" i="2" s="1"/>
  <c r="A610" i="2" a="1"/>
  <c r="A610" i="2" s="1"/>
  <c r="D609" i="2" a="1"/>
  <c r="H609" i="3" l="1" a="1"/>
  <c r="H609" i="3" s="1"/>
  <c r="K609" i="3" a="1"/>
  <c r="K609" i="3" s="1"/>
  <c r="I609" i="3" a="1"/>
  <c r="I609" i="3" s="1"/>
  <c r="J609" i="3" a="1"/>
  <c r="J609" i="3" s="1"/>
  <c r="I610" i="3" a="1"/>
  <c r="I610" i="3" s="1"/>
  <c r="H610" i="3" a="1"/>
  <c r="H610" i="3" s="1"/>
  <c r="K610" i="3" a="1"/>
  <c r="K610" i="3" s="1"/>
  <c r="C612" i="3"/>
  <c r="G611" i="3" a="1"/>
  <c r="G611" i="3" s="1"/>
  <c r="J611" i="3" s="1" a="1"/>
  <c r="J611" i="3" s="1"/>
  <c r="L611" i="3"/>
  <c r="M611" i="3"/>
  <c r="F611" i="3"/>
  <c r="B610" i="3" a="1"/>
  <c r="B610" i="3" s="1"/>
  <c r="A610" i="3" a="1"/>
  <c r="A610" i="3" s="1"/>
  <c r="D609" i="2"/>
  <c r="H610" i="2" a="1"/>
  <c r="H610" i="2" s="1"/>
  <c r="K610" i="2" a="1"/>
  <c r="K610" i="2" s="1"/>
  <c r="I610" i="2" a="1"/>
  <c r="I610" i="2" s="1"/>
  <c r="J610" i="2" a="1"/>
  <c r="J610" i="2" s="1"/>
  <c r="A611" i="2" a="1"/>
  <c r="A611" i="2" s="1"/>
  <c r="B611" i="2" a="1"/>
  <c r="B611" i="2" s="1"/>
  <c r="C613" i="2"/>
  <c r="F612" i="2"/>
  <c r="D610" i="2" a="1"/>
  <c r="C613" i="3" l="1"/>
  <c r="L612" i="3"/>
  <c r="M612" i="3"/>
  <c r="H611" i="3" a="1"/>
  <c r="H611" i="3" s="1"/>
  <c r="I611" i="3" a="1"/>
  <c r="I611" i="3" s="1"/>
  <c r="K611" i="3" a="1"/>
  <c r="K611" i="3" s="1"/>
  <c r="F612" i="3"/>
  <c r="F613" i="3" s="1"/>
  <c r="A611" i="3" a="1"/>
  <c r="A611" i="3" s="1"/>
  <c r="B611" i="3" a="1"/>
  <c r="B611" i="3" s="1"/>
  <c r="D610" i="2"/>
  <c r="C614" i="2"/>
  <c r="F613" i="2"/>
  <c r="I611" i="2" a="1"/>
  <c r="I611" i="2" s="1"/>
  <c r="H611" i="2" a="1"/>
  <c r="H611" i="2" s="1"/>
  <c r="J611" i="2" a="1"/>
  <c r="J611" i="2" s="1"/>
  <c r="K611" i="2" a="1"/>
  <c r="K611" i="2" s="1"/>
  <c r="A612" i="2" a="1"/>
  <c r="A612" i="2" s="1"/>
  <c r="B612" i="2" a="1"/>
  <c r="B612" i="2" s="1"/>
  <c r="D611" i="2" a="1"/>
  <c r="G612" i="3" l="1" a="1"/>
  <c r="G612" i="3" s="1"/>
  <c r="C614" i="3"/>
  <c r="G613" i="3" a="1"/>
  <c r="G613" i="3" s="1"/>
  <c r="J613" i="3" s="1" a="1"/>
  <c r="J613" i="3" s="1"/>
  <c r="L613" i="3"/>
  <c r="M613" i="3"/>
  <c r="B612" i="3" a="1"/>
  <c r="B612" i="3" s="1"/>
  <c r="A612" i="3" a="1"/>
  <c r="A612" i="3" s="1"/>
  <c r="D611" i="2"/>
  <c r="I612" i="2" a="1"/>
  <c r="I612" i="2" s="1"/>
  <c r="H612" i="2" a="1"/>
  <c r="H612" i="2" s="1"/>
  <c r="J612" i="2" a="1"/>
  <c r="J612" i="2" s="1"/>
  <c r="K612" i="2" a="1"/>
  <c r="K612" i="2" s="1"/>
  <c r="B613" i="2" a="1"/>
  <c r="B613" i="2" s="1"/>
  <c r="A613" i="2" a="1"/>
  <c r="A613" i="2" s="1"/>
  <c r="C615" i="2"/>
  <c r="F614" i="2"/>
  <c r="D612" i="2" a="1"/>
  <c r="H612" i="3" l="1" a="1"/>
  <c r="H612" i="3" s="1"/>
  <c r="I612" i="3" a="1"/>
  <c r="I612" i="3" s="1"/>
  <c r="K612" i="3" a="1"/>
  <c r="K612" i="3" s="1"/>
  <c r="J612" i="3" a="1"/>
  <c r="J612" i="3" s="1"/>
  <c r="H613" i="3" a="1"/>
  <c r="H613" i="3" s="1"/>
  <c r="I613" i="3" a="1"/>
  <c r="I613" i="3" s="1"/>
  <c r="K613" i="3" a="1"/>
  <c r="K613" i="3" s="1"/>
  <c r="C615" i="3"/>
  <c r="G614" i="3" a="1"/>
  <c r="G614" i="3" s="1"/>
  <c r="L614" i="3"/>
  <c r="M614" i="3"/>
  <c r="F614" i="3"/>
  <c r="A613" i="3" a="1"/>
  <c r="A613" i="3" s="1"/>
  <c r="B613" i="3" a="1"/>
  <c r="B613" i="3" s="1"/>
  <c r="D612" i="2"/>
  <c r="A614" i="2" a="1"/>
  <c r="A614" i="2" s="1"/>
  <c r="B614" i="2" a="1"/>
  <c r="B614" i="2" s="1"/>
  <c r="C616" i="2"/>
  <c r="F615" i="2"/>
  <c r="K613" i="2" a="1"/>
  <c r="K613" i="2" s="1"/>
  <c r="J613" i="2" a="1"/>
  <c r="J613" i="2" s="1"/>
  <c r="I613" i="2" a="1"/>
  <c r="I613" i="2" s="1"/>
  <c r="H613" i="2" a="1"/>
  <c r="H613" i="2" s="1"/>
  <c r="D613" i="2" a="1"/>
  <c r="C616" i="3" l="1"/>
  <c r="L615" i="3"/>
  <c r="M615" i="3"/>
  <c r="K614" i="3" a="1"/>
  <c r="K614" i="3" s="1"/>
  <c r="H614" i="3" a="1"/>
  <c r="H614" i="3" s="1"/>
  <c r="I614" i="3" a="1"/>
  <c r="I614" i="3" s="1"/>
  <c r="J614" i="3" a="1"/>
  <c r="J614" i="3" s="1"/>
  <c r="F615" i="3"/>
  <c r="F616" i="3" s="1"/>
  <c r="A614" i="3" a="1"/>
  <c r="A614" i="3" s="1"/>
  <c r="B614" i="3" a="1"/>
  <c r="B614" i="3" s="1"/>
  <c r="D613" i="2"/>
  <c r="C617" i="2"/>
  <c r="F616" i="2"/>
  <c r="J614" i="2" a="1"/>
  <c r="J614" i="2" s="1"/>
  <c r="K614" i="2" a="1"/>
  <c r="K614" i="2" s="1"/>
  <c r="I614" i="2" a="1"/>
  <c r="I614" i="2" s="1"/>
  <c r="H614" i="2" a="1"/>
  <c r="H614" i="2" s="1"/>
  <c r="B615" i="2" a="1"/>
  <c r="B615" i="2" s="1"/>
  <c r="A615" i="2" a="1"/>
  <c r="A615" i="2" s="1"/>
  <c r="D614" i="2" a="1"/>
  <c r="G615" i="3" l="1" a="1"/>
  <c r="G615" i="3" s="1"/>
  <c r="C617" i="3"/>
  <c r="G616" i="3" a="1"/>
  <c r="G616" i="3" s="1"/>
  <c r="J616" i="3" s="1" a="1"/>
  <c r="J616" i="3" s="1"/>
  <c r="L616" i="3"/>
  <c r="M616" i="3"/>
  <c r="B615" i="3" a="1"/>
  <c r="B615" i="3" s="1"/>
  <c r="A615" i="3" a="1"/>
  <c r="A615" i="3" s="1"/>
  <c r="D614" i="2"/>
  <c r="B616" i="2" a="1"/>
  <c r="B616" i="2" s="1"/>
  <c r="A616" i="2" a="1"/>
  <c r="A616" i="2" s="1"/>
  <c r="H615" i="2" a="1"/>
  <c r="H615" i="2" s="1"/>
  <c r="I615" i="2" a="1"/>
  <c r="I615" i="2" s="1"/>
  <c r="K615" i="2" a="1"/>
  <c r="K615" i="2" s="1"/>
  <c r="J615" i="2" a="1"/>
  <c r="J615" i="2" s="1"/>
  <c r="C618" i="2"/>
  <c r="F617" i="2"/>
  <c r="D615" i="2" a="1"/>
  <c r="K615" i="3" l="1" a="1"/>
  <c r="K615" i="3" s="1"/>
  <c r="I615" i="3" a="1"/>
  <c r="I615" i="3" s="1"/>
  <c r="J615" i="3" a="1"/>
  <c r="J615" i="3" s="1"/>
  <c r="H616" i="3" a="1"/>
  <c r="H616" i="3" s="1"/>
  <c r="I616" i="3" a="1"/>
  <c r="I616" i="3" s="1"/>
  <c r="K616" i="3" a="1"/>
  <c r="K616" i="3" s="1"/>
  <c r="C618" i="3"/>
  <c r="G617" i="3" a="1"/>
  <c r="G617" i="3" s="1"/>
  <c r="J617" i="3" s="1" a="1"/>
  <c r="J617" i="3" s="1"/>
  <c r="L617" i="3"/>
  <c r="M617" i="3"/>
  <c r="H615" i="3" a="1"/>
  <c r="H615" i="3" s="1"/>
  <c r="F617" i="3"/>
  <c r="A616" i="3" a="1"/>
  <c r="A616" i="3" s="1"/>
  <c r="B616" i="3" a="1"/>
  <c r="B616" i="3" s="1"/>
  <c r="D615" i="2"/>
  <c r="I616" i="2" a="1"/>
  <c r="I616" i="2" s="1"/>
  <c r="K616" i="2" a="1"/>
  <c r="K616" i="2" s="1"/>
  <c r="J616" i="2" a="1"/>
  <c r="J616" i="2" s="1"/>
  <c r="H616" i="2" a="1"/>
  <c r="H616" i="2" s="1"/>
  <c r="C619" i="2"/>
  <c r="F618" i="2"/>
  <c r="A617" i="2" a="1"/>
  <c r="A617" i="2" s="1"/>
  <c r="B617" i="2" a="1"/>
  <c r="B617" i="2" s="1"/>
  <c r="D616" i="2" a="1"/>
  <c r="H617" i="3" l="1" a="1"/>
  <c r="H617" i="3" s="1"/>
  <c r="C619" i="3"/>
  <c r="L618" i="3"/>
  <c r="M618" i="3"/>
  <c r="I617" i="3" a="1"/>
  <c r="I617" i="3" s="1"/>
  <c r="K617" i="3" a="1"/>
  <c r="K617" i="3" s="1"/>
  <c r="F618" i="3"/>
  <c r="F619" i="3" s="1"/>
  <c r="A617" i="3" a="1"/>
  <c r="A617" i="3" s="1"/>
  <c r="B617" i="3" a="1"/>
  <c r="B617" i="3" s="1"/>
  <c r="D616" i="2"/>
  <c r="H617" i="2" a="1"/>
  <c r="H617" i="2" s="1"/>
  <c r="I617" i="2" a="1"/>
  <c r="I617" i="2" s="1"/>
  <c r="K617" i="2" a="1"/>
  <c r="K617" i="2" s="1"/>
  <c r="J617" i="2" a="1"/>
  <c r="J617" i="2" s="1"/>
  <c r="A618" i="2" a="1"/>
  <c r="A618" i="2" s="1"/>
  <c r="B618" i="2" a="1"/>
  <c r="B618" i="2" s="1"/>
  <c r="C620" i="2"/>
  <c r="F619" i="2"/>
  <c r="D617" i="2" a="1"/>
  <c r="G618" i="3" l="1" a="1"/>
  <c r="G618" i="3" s="1"/>
  <c r="C620" i="3"/>
  <c r="G619" i="3" a="1"/>
  <c r="G619" i="3" s="1"/>
  <c r="L619" i="3"/>
  <c r="M619" i="3"/>
  <c r="F620" i="3"/>
  <c r="A618" i="3" a="1"/>
  <c r="A618" i="3" s="1"/>
  <c r="B618" i="3" a="1"/>
  <c r="B618" i="3" s="1"/>
  <c r="D617" i="2"/>
  <c r="A619" i="2" a="1"/>
  <c r="A619" i="2" s="1"/>
  <c r="B619" i="2" a="1"/>
  <c r="B619" i="2" s="1"/>
  <c r="I618" i="2" a="1"/>
  <c r="I618" i="2" s="1"/>
  <c r="H618" i="2" a="1"/>
  <c r="H618" i="2" s="1"/>
  <c r="J618" i="2" a="1"/>
  <c r="J618" i="2" s="1"/>
  <c r="K618" i="2" a="1"/>
  <c r="K618" i="2" s="1"/>
  <c r="C621" i="2"/>
  <c r="F620" i="2"/>
  <c r="D618" i="2" a="1"/>
  <c r="I619" i="3" l="1" a="1"/>
  <c r="I619" i="3" s="1"/>
  <c r="H619" i="3" a="1"/>
  <c r="H619" i="3" s="1"/>
  <c r="K619" i="3" a="1"/>
  <c r="K619" i="3" s="1"/>
  <c r="C621" i="3"/>
  <c r="G620" i="3" a="1"/>
  <c r="G620" i="3" s="1"/>
  <c r="M620" i="3"/>
  <c r="L620" i="3"/>
  <c r="J620" i="3" a="1"/>
  <c r="J620" i="3" s="1"/>
  <c r="J619" i="3" a="1"/>
  <c r="J619" i="3" s="1"/>
  <c r="K618" i="3" a="1"/>
  <c r="K618" i="3" s="1"/>
  <c r="H618" i="3" a="1"/>
  <c r="H618" i="3" s="1"/>
  <c r="I618" i="3" a="1"/>
  <c r="I618" i="3" s="1"/>
  <c r="J618" i="3" a="1"/>
  <c r="J618" i="3" s="1"/>
  <c r="A619" i="3" a="1"/>
  <c r="A619" i="3" s="1"/>
  <c r="B619" i="3" a="1"/>
  <c r="B619" i="3" s="1"/>
  <c r="D618" i="2"/>
  <c r="C622" i="2"/>
  <c r="F621" i="2"/>
  <c r="B620" i="2" a="1"/>
  <c r="B620" i="2" s="1"/>
  <c r="A620" i="2" a="1"/>
  <c r="A620" i="2" s="1"/>
  <c r="J619" i="2" a="1"/>
  <c r="J619" i="2" s="1"/>
  <c r="K619" i="2" a="1"/>
  <c r="K619" i="2" s="1"/>
  <c r="I619" i="2" a="1"/>
  <c r="I619" i="2" s="1"/>
  <c r="H619" i="2" a="1"/>
  <c r="H619" i="2" s="1"/>
  <c r="D619" i="2" a="1"/>
  <c r="C622" i="3" l="1"/>
  <c r="L621" i="3"/>
  <c r="M621" i="3"/>
  <c r="I620" i="3" a="1"/>
  <c r="I620" i="3" s="1"/>
  <c r="H620" i="3" a="1"/>
  <c r="H620" i="3" s="1"/>
  <c r="K620" i="3" a="1"/>
  <c r="K620" i="3" s="1"/>
  <c r="F621" i="3"/>
  <c r="F622" i="3" s="1"/>
  <c r="A620" i="3" a="1"/>
  <c r="A620" i="3" s="1"/>
  <c r="B620" i="3" a="1"/>
  <c r="B620" i="3" s="1"/>
  <c r="D619" i="2"/>
  <c r="I620" i="2" a="1"/>
  <c r="I620" i="2" s="1"/>
  <c r="K620" i="2" a="1"/>
  <c r="K620" i="2" s="1"/>
  <c r="J620" i="2" a="1"/>
  <c r="J620" i="2" s="1"/>
  <c r="H620" i="2" a="1"/>
  <c r="H620" i="2" s="1"/>
  <c r="B621" i="2" a="1"/>
  <c r="B621" i="2" s="1"/>
  <c r="A621" i="2" a="1"/>
  <c r="A621" i="2" s="1"/>
  <c r="C623" i="2"/>
  <c r="F622" i="2"/>
  <c r="D620" i="2" a="1"/>
  <c r="G621" i="3" l="1" a="1"/>
  <c r="G621" i="3" s="1"/>
  <c r="C623" i="3"/>
  <c r="G622" i="3" a="1"/>
  <c r="G622" i="3" s="1"/>
  <c r="J622" i="3" s="1" a="1"/>
  <c r="J622" i="3" s="1"/>
  <c r="L622" i="3"/>
  <c r="M622" i="3"/>
  <c r="B621" i="3" a="1"/>
  <c r="B621" i="3" s="1"/>
  <c r="A621" i="3" a="1"/>
  <c r="A621" i="3" s="1"/>
  <c r="D620" i="2"/>
  <c r="C624" i="2"/>
  <c r="F623" i="2"/>
  <c r="A622" i="2" a="1"/>
  <c r="A622" i="2" s="1"/>
  <c r="B622" i="2" a="1"/>
  <c r="B622" i="2" s="1"/>
  <c r="K621" i="2" a="1"/>
  <c r="K621" i="2" s="1"/>
  <c r="I621" i="2" a="1"/>
  <c r="I621" i="2" s="1"/>
  <c r="H621" i="2" a="1"/>
  <c r="H621" i="2" s="1"/>
  <c r="J621" i="2" a="1"/>
  <c r="J621" i="2" s="1"/>
  <c r="D621" i="2" a="1"/>
  <c r="K622" i="3" l="1" a="1"/>
  <c r="K622" i="3" s="1"/>
  <c r="H622" i="3" a="1"/>
  <c r="H622" i="3" s="1"/>
  <c r="I622" i="3" a="1"/>
  <c r="I622" i="3" s="1"/>
  <c r="C624" i="3"/>
  <c r="G623" i="3" a="1"/>
  <c r="G623" i="3" s="1"/>
  <c r="L623" i="3"/>
  <c r="M623" i="3"/>
  <c r="H621" i="3" a="1"/>
  <c r="H621" i="3" s="1"/>
  <c r="I621" i="3" a="1"/>
  <c r="I621" i="3" s="1"/>
  <c r="K621" i="3" a="1"/>
  <c r="K621" i="3" s="1"/>
  <c r="J621" i="3" a="1"/>
  <c r="J621" i="3" s="1"/>
  <c r="F623" i="3"/>
  <c r="B622" i="3" a="1"/>
  <c r="B622" i="3" s="1"/>
  <c r="A622" i="3" a="1"/>
  <c r="A622" i="3" s="1"/>
  <c r="D621" i="2"/>
  <c r="I622" i="2" a="1"/>
  <c r="I622" i="2" s="1"/>
  <c r="K622" i="2" a="1"/>
  <c r="K622" i="2" s="1"/>
  <c r="H622" i="2" a="1"/>
  <c r="H622" i="2" s="1"/>
  <c r="J622" i="2" a="1"/>
  <c r="J622" i="2" s="1"/>
  <c r="A623" i="2" a="1"/>
  <c r="A623" i="2" s="1"/>
  <c r="B623" i="2" a="1"/>
  <c r="B623" i="2" s="1"/>
  <c r="C625" i="2"/>
  <c r="F624" i="2"/>
  <c r="D622" i="2" a="1"/>
  <c r="H623" i="3" l="1" a="1"/>
  <c r="H623" i="3" s="1"/>
  <c r="I623" i="3" a="1"/>
  <c r="I623" i="3" s="1"/>
  <c r="K623" i="3" a="1"/>
  <c r="K623" i="3" s="1"/>
  <c r="C625" i="3"/>
  <c r="L624" i="3"/>
  <c r="M624" i="3"/>
  <c r="J623" i="3" a="1"/>
  <c r="J623" i="3" s="1"/>
  <c r="F624" i="3"/>
  <c r="F625" i="3" s="1"/>
  <c r="A623" i="3" a="1"/>
  <c r="A623" i="3" s="1"/>
  <c r="B623" i="3" a="1"/>
  <c r="B623" i="3" s="1"/>
  <c r="D622" i="2"/>
  <c r="C626" i="2"/>
  <c r="F625" i="2"/>
  <c r="A624" i="2" a="1"/>
  <c r="A624" i="2" s="1"/>
  <c r="B624" i="2" a="1"/>
  <c r="B624" i="2" s="1"/>
  <c r="K623" i="2" a="1"/>
  <c r="K623" i="2" s="1"/>
  <c r="J623" i="2" a="1"/>
  <c r="J623" i="2" s="1"/>
  <c r="I623" i="2" a="1"/>
  <c r="I623" i="2" s="1"/>
  <c r="H623" i="2" a="1"/>
  <c r="H623" i="2" s="1"/>
  <c r="D623" i="2" a="1"/>
  <c r="C626" i="3" l="1"/>
  <c r="G625" i="3" a="1"/>
  <c r="G625" i="3" s="1"/>
  <c r="L625" i="3"/>
  <c r="M625" i="3"/>
  <c r="J625" i="3" a="1"/>
  <c r="J625" i="3" s="1"/>
  <c r="F626" i="3"/>
  <c r="G624" i="3" a="1"/>
  <c r="G624" i="3" s="1"/>
  <c r="A624" i="3" a="1"/>
  <c r="A624" i="3" s="1"/>
  <c r="B624" i="3" a="1"/>
  <c r="B624" i="3" s="1"/>
  <c r="D623" i="2"/>
  <c r="I624" i="2" a="1"/>
  <c r="I624" i="2" s="1"/>
  <c r="H624" i="2" a="1"/>
  <c r="H624" i="2" s="1"/>
  <c r="J624" i="2" a="1"/>
  <c r="J624" i="2" s="1"/>
  <c r="K624" i="2" a="1"/>
  <c r="K624" i="2" s="1"/>
  <c r="A625" i="2" a="1"/>
  <c r="A625" i="2" s="1"/>
  <c r="B625" i="2" a="1"/>
  <c r="B625" i="2" s="1"/>
  <c r="C627" i="2"/>
  <c r="F626" i="2"/>
  <c r="D624" i="2" a="1"/>
  <c r="K624" i="3" l="1" a="1"/>
  <c r="K624" i="3" s="1"/>
  <c r="H624" i="3" a="1"/>
  <c r="H624" i="3" s="1"/>
  <c r="I624" i="3" a="1"/>
  <c r="I624" i="3" s="1"/>
  <c r="J624" i="3" a="1"/>
  <c r="J624" i="3" s="1"/>
  <c r="K625" i="3" a="1"/>
  <c r="K625" i="3" s="1"/>
  <c r="H625" i="3" a="1"/>
  <c r="H625" i="3" s="1"/>
  <c r="I625" i="3" a="1"/>
  <c r="I625" i="3" s="1"/>
  <c r="C627" i="3"/>
  <c r="G626" i="3" a="1"/>
  <c r="G626" i="3" s="1"/>
  <c r="L626" i="3"/>
  <c r="M626" i="3"/>
  <c r="A625" i="3" a="1"/>
  <c r="A625" i="3" s="1"/>
  <c r="B625" i="3" a="1"/>
  <c r="B625" i="3" s="1"/>
  <c r="D624" i="2"/>
  <c r="C628" i="2"/>
  <c r="F627" i="2"/>
  <c r="I625" i="2" a="1"/>
  <c r="I625" i="2" s="1"/>
  <c r="J625" i="2" a="1"/>
  <c r="J625" i="2" s="1"/>
  <c r="H625" i="2" a="1"/>
  <c r="H625" i="2" s="1"/>
  <c r="K625" i="2" a="1"/>
  <c r="K625" i="2" s="1"/>
  <c r="A626" i="2" a="1"/>
  <c r="A626" i="2" s="1"/>
  <c r="B626" i="2" a="1"/>
  <c r="B626" i="2" s="1"/>
  <c r="D625" i="2" a="1"/>
  <c r="K626" i="3" l="1" a="1"/>
  <c r="K626" i="3" s="1"/>
  <c r="H626" i="3" a="1"/>
  <c r="H626" i="3" s="1"/>
  <c r="I626" i="3" a="1"/>
  <c r="I626" i="3" s="1"/>
  <c r="C628" i="3"/>
  <c r="L627" i="3"/>
  <c r="M627" i="3"/>
  <c r="J626" i="3" a="1"/>
  <c r="J626" i="3" s="1"/>
  <c r="F627" i="3"/>
  <c r="F628" i="3" s="1"/>
  <c r="A626" i="3" a="1"/>
  <c r="A626" i="3" s="1"/>
  <c r="B626" i="3" a="1"/>
  <c r="B626" i="3" s="1"/>
  <c r="D625" i="2"/>
  <c r="I626" i="2" a="1"/>
  <c r="I626" i="2" s="1"/>
  <c r="K626" i="2" a="1"/>
  <c r="K626" i="2" s="1"/>
  <c r="J626" i="2" a="1"/>
  <c r="J626" i="2" s="1"/>
  <c r="H626" i="2" a="1"/>
  <c r="H626" i="2" s="1"/>
  <c r="A627" i="2" a="1"/>
  <c r="A627" i="2" s="1"/>
  <c r="B627" i="2" a="1"/>
  <c r="B627" i="2" s="1"/>
  <c r="C629" i="2"/>
  <c r="F628" i="2"/>
  <c r="D626" i="2" a="1"/>
  <c r="G627" i="3" l="1" a="1"/>
  <c r="G627" i="3" s="1"/>
  <c r="C629" i="3"/>
  <c r="G628" i="3" a="1"/>
  <c r="G628" i="3" s="1"/>
  <c r="L628" i="3"/>
  <c r="M628" i="3"/>
  <c r="B627" i="3" a="1"/>
  <c r="B627" i="3" s="1"/>
  <c r="A627" i="3" a="1"/>
  <c r="A627" i="3" s="1"/>
  <c r="D626" i="2"/>
  <c r="J627" i="2" a="1"/>
  <c r="J627" i="2" s="1"/>
  <c r="K627" i="2" a="1"/>
  <c r="K627" i="2" s="1"/>
  <c r="I627" i="2" a="1"/>
  <c r="I627" i="2" s="1"/>
  <c r="H627" i="2" a="1"/>
  <c r="H627" i="2" s="1"/>
  <c r="A628" i="2" a="1"/>
  <c r="A628" i="2" s="1"/>
  <c r="B628" i="2" a="1"/>
  <c r="B628" i="2" s="1"/>
  <c r="C630" i="2"/>
  <c r="F629" i="2"/>
  <c r="D627" i="2" a="1"/>
  <c r="H628" i="3" l="1" a="1"/>
  <c r="H628" i="3" s="1"/>
  <c r="K628" i="3" a="1"/>
  <c r="K628" i="3" s="1"/>
  <c r="I628" i="3" a="1"/>
  <c r="I628" i="3" s="1"/>
  <c r="C630" i="3"/>
  <c r="G629" i="3" a="1"/>
  <c r="G629" i="3" s="1"/>
  <c r="M629" i="3"/>
  <c r="H629" i="3" s="1" a="1"/>
  <c r="H629" i="3" s="1"/>
  <c r="L629" i="3"/>
  <c r="J629" i="3" a="1"/>
  <c r="J629" i="3" s="1"/>
  <c r="J628" i="3" a="1"/>
  <c r="J628" i="3" s="1"/>
  <c r="H627" i="3" a="1"/>
  <c r="H627" i="3" s="1"/>
  <c r="K627" i="3" a="1"/>
  <c r="K627" i="3" s="1"/>
  <c r="I627" i="3" a="1"/>
  <c r="I627" i="3" s="1"/>
  <c r="J627" i="3" a="1"/>
  <c r="J627" i="3" s="1"/>
  <c r="F629" i="3"/>
  <c r="F630" i="3" s="1"/>
  <c r="A628" i="3" a="1"/>
  <c r="A628" i="3" s="1"/>
  <c r="B628" i="3" a="1"/>
  <c r="B628" i="3" s="1"/>
  <c r="D627" i="2"/>
  <c r="C631" i="2"/>
  <c r="F630" i="2"/>
  <c r="A629" i="2" a="1"/>
  <c r="A629" i="2" s="1"/>
  <c r="B629" i="2" a="1"/>
  <c r="B629" i="2" s="1"/>
  <c r="J628" i="2" a="1"/>
  <c r="J628" i="2" s="1"/>
  <c r="K628" i="2" a="1"/>
  <c r="K628" i="2" s="1"/>
  <c r="H628" i="2" a="1"/>
  <c r="H628" i="2" s="1"/>
  <c r="I628" i="2" a="1"/>
  <c r="I628" i="2" s="1"/>
  <c r="D628" i="2" a="1"/>
  <c r="C631" i="3" l="1"/>
  <c r="G630" i="3" a="1"/>
  <c r="G630" i="3" s="1"/>
  <c r="J630" i="3" a="1"/>
  <c r="J630" i="3" s="1"/>
  <c r="L630" i="3"/>
  <c r="M630" i="3"/>
  <c r="I629" i="3" a="1"/>
  <c r="I629" i="3" s="1"/>
  <c r="K629" i="3" a="1"/>
  <c r="K629" i="3" s="1"/>
  <c r="F631" i="3"/>
  <c r="A629" i="3" a="1"/>
  <c r="A629" i="3" s="1"/>
  <c r="B629" i="3" a="1"/>
  <c r="B629" i="3" s="1"/>
  <c r="D628" i="2"/>
  <c r="H629" i="2" a="1"/>
  <c r="H629" i="2" s="1"/>
  <c r="I629" i="2" a="1"/>
  <c r="I629" i="2" s="1"/>
  <c r="J629" i="2" a="1"/>
  <c r="J629" i="2" s="1"/>
  <c r="K629" i="2" a="1"/>
  <c r="K629" i="2" s="1"/>
  <c r="B630" i="2" a="1"/>
  <c r="B630" i="2" s="1"/>
  <c r="A630" i="2" a="1"/>
  <c r="A630" i="2" s="1"/>
  <c r="C632" i="2"/>
  <c r="F631" i="2"/>
  <c r="D629" i="2" a="1"/>
  <c r="K630" i="3" l="1" a="1"/>
  <c r="K630" i="3" s="1"/>
  <c r="H630" i="3" a="1"/>
  <c r="H630" i="3" s="1"/>
  <c r="I630" i="3" a="1"/>
  <c r="I630" i="3" s="1"/>
  <c r="C632" i="3"/>
  <c r="G631" i="3" a="1"/>
  <c r="G631" i="3" s="1"/>
  <c r="L631" i="3"/>
  <c r="M631" i="3"/>
  <c r="J631" i="3" a="1"/>
  <c r="J631" i="3" s="1"/>
  <c r="A630" i="3" a="1"/>
  <c r="A630" i="3" s="1"/>
  <c r="B630" i="3" a="1"/>
  <c r="B630" i="3" s="1"/>
  <c r="D629" i="2"/>
  <c r="C633" i="2"/>
  <c r="F632" i="2"/>
  <c r="B631" i="2" a="1"/>
  <c r="B631" i="2" s="1"/>
  <c r="A631" i="2" a="1"/>
  <c r="A631" i="2" s="1"/>
  <c r="I630" i="2" a="1"/>
  <c r="I630" i="2" s="1"/>
  <c r="J630" i="2" a="1"/>
  <c r="J630" i="2" s="1"/>
  <c r="K630" i="2" a="1"/>
  <c r="K630" i="2" s="1"/>
  <c r="H630" i="2" a="1"/>
  <c r="H630" i="2" s="1"/>
  <c r="D630" i="2" a="1"/>
  <c r="H631" i="3" l="1" a="1"/>
  <c r="H631" i="3" s="1"/>
  <c r="K631" i="3" a="1"/>
  <c r="K631" i="3" s="1"/>
  <c r="I631" i="3" a="1"/>
  <c r="I631" i="3" s="1"/>
  <c r="C633" i="3"/>
  <c r="L632" i="3"/>
  <c r="M632" i="3"/>
  <c r="F632" i="3"/>
  <c r="F633" i="3" s="1"/>
  <c r="A631" i="3" a="1"/>
  <c r="A631" i="3" s="1"/>
  <c r="B631" i="3" a="1"/>
  <c r="B631" i="3" s="1"/>
  <c r="D630" i="2"/>
  <c r="J631" i="2" a="1"/>
  <c r="J631" i="2" s="1"/>
  <c r="K631" i="2" a="1"/>
  <c r="K631" i="2" s="1"/>
  <c r="H631" i="2" a="1"/>
  <c r="H631" i="2" s="1"/>
  <c r="I631" i="2" a="1"/>
  <c r="I631" i="2" s="1"/>
  <c r="B632" i="2" a="1"/>
  <c r="B632" i="2" s="1"/>
  <c r="A632" i="2" a="1"/>
  <c r="A632" i="2" s="1"/>
  <c r="C634" i="2"/>
  <c r="F633" i="2"/>
  <c r="D631" i="2" a="1"/>
  <c r="G632" i="3" l="1" a="1"/>
  <c r="G632" i="3" s="1"/>
  <c r="C634" i="3"/>
  <c r="G633" i="3" a="1"/>
  <c r="G633" i="3" s="1"/>
  <c r="L633" i="3"/>
  <c r="M633" i="3"/>
  <c r="A632" i="3" a="1"/>
  <c r="A632" i="3" s="1"/>
  <c r="B632" i="3" a="1"/>
  <c r="B632" i="3" s="1"/>
  <c r="D631" i="2"/>
  <c r="I632" i="2" a="1"/>
  <c r="I632" i="2" s="1"/>
  <c r="J632" i="2" a="1"/>
  <c r="J632" i="2" s="1"/>
  <c r="H632" i="2" a="1"/>
  <c r="H632" i="2" s="1"/>
  <c r="K632" i="2" a="1"/>
  <c r="K632" i="2" s="1"/>
  <c r="A633" i="2" a="1"/>
  <c r="A633" i="2" s="1"/>
  <c r="B633" i="2" a="1"/>
  <c r="B633" i="2" s="1"/>
  <c r="C635" i="2"/>
  <c r="F634" i="2"/>
  <c r="D632" i="2" a="1"/>
  <c r="K633" i="3" l="1" a="1"/>
  <c r="K633" i="3" s="1"/>
  <c r="I633" i="3" a="1"/>
  <c r="I633" i="3" s="1"/>
  <c r="H633" i="3" a="1"/>
  <c r="H633" i="3" s="1"/>
  <c r="J633" i="3" a="1"/>
  <c r="J633" i="3" s="1"/>
  <c r="C635" i="3"/>
  <c r="L634" i="3"/>
  <c r="M634" i="3"/>
  <c r="F634" i="3"/>
  <c r="F635" i="3" s="1"/>
  <c r="H632" i="3" a="1"/>
  <c r="H632" i="3" s="1"/>
  <c r="K632" i="3" a="1"/>
  <c r="K632" i="3" s="1"/>
  <c r="I632" i="3" a="1"/>
  <c r="I632" i="3" s="1"/>
  <c r="J632" i="3" a="1"/>
  <c r="J632" i="3" s="1"/>
  <c r="B633" i="3" a="1"/>
  <c r="B633" i="3" s="1"/>
  <c r="A633" i="3" a="1"/>
  <c r="A633" i="3" s="1"/>
  <c r="D632" i="2"/>
  <c r="A634" i="2" a="1"/>
  <c r="A634" i="2" s="1"/>
  <c r="B634" i="2" a="1"/>
  <c r="B634" i="2" s="1"/>
  <c r="C636" i="2"/>
  <c r="F635" i="2"/>
  <c r="I633" i="2" a="1"/>
  <c r="I633" i="2" s="1"/>
  <c r="J633" i="2" a="1"/>
  <c r="J633" i="2" s="1"/>
  <c r="H633" i="2" a="1"/>
  <c r="H633" i="2" s="1"/>
  <c r="K633" i="2" a="1"/>
  <c r="K633" i="2" s="1"/>
  <c r="D633" i="2" a="1"/>
  <c r="C636" i="3" l="1"/>
  <c r="G635" i="3" a="1"/>
  <c r="G635" i="3" s="1"/>
  <c r="M635" i="3"/>
  <c r="L635" i="3"/>
  <c r="J635" i="3" a="1"/>
  <c r="J635" i="3" s="1"/>
  <c r="G634" i="3" a="1"/>
  <c r="G634" i="3" s="1"/>
  <c r="B634" i="3" a="1"/>
  <c r="B634" i="3" s="1"/>
  <c r="A634" i="3" a="1"/>
  <c r="A634" i="3" s="1"/>
  <c r="D633" i="2"/>
  <c r="B635" i="2" a="1"/>
  <c r="B635" i="2" s="1"/>
  <c r="A635" i="2" a="1"/>
  <c r="A635" i="2" s="1"/>
  <c r="C637" i="2"/>
  <c r="F636" i="2"/>
  <c r="H634" i="2" a="1"/>
  <c r="H634" i="2" s="1"/>
  <c r="J634" i="2" a="1"/>
  <c r="J634" i="2" s="1"/>
  <c r="I634" i="2" a="1"/>
  <c r="I634" i="2" s="1"/>
  <c r="K634" i="2" a="1"/>
  <c r="K634" i="2" s="1"/>
  <c r="D634" i="2" a="1"/>
  <c r="I634" i="3" l="1" a="1"/>
  <c r="I634" i="3" s="1"/>
  <c r="H634" i="3" a="1"/>
  <c r="H634" i="3" s="1"/>
  <c r="K634" i="3" a="1"/>
  <c r="K634" i="3" s="1"/>
  <c r="J634" i="3" a="1"/>
  <c r="J634" i="3" s="1"/>
  <c r="I635" i="3" a="1"/>
  <c r="I635" i="3" s="1"/>
  <c r="K635" i="3" a="1"/>
  <c r="K635" i="3" s="1"/>
  <c r="H635" i="3" a="1"/>
  <c r="H635" i="3" s="1"/>
  <c r="C637" i="3"/>
  <c r="G636" i="3" a="1"/>
  <c r="G636" i="3" s="1"/>
  <c r="J636" i="3" a="1"/>
  <c r="J636" i="3" s="1"/>
  <c r="L636" i="3"/>
  <c r="M636" i="3"/>
  <c r="F636" i="3"/>
  <c r="A635" i="3" a="1"/>
  <c r="A635" i="3" s="1"/>
  <c r="B635" i="3" a="1"/>
  <c r="B635" i="3" s="1"/>
  <c r="D634" i="2"/>
  <c r="K635" i="2" a="1"/>
  <c r="K635" i="2" s="1"/>
  <c r="J635" i="2" a="1"/>
  <c r="J635" i="2" s="1"/>
  <c r="H635" i="2" a="1"/>
  <c r="H635" i="2" s="1"/>
  <c r="I635" i="2" a="1"/>
  <c r="I635" i="2" s="1"/>
  <c r="A636" i="2" a="1"/>
  <c r="A636" i="2" s="1"/>
  <c r="B636" i="2" a="1"/>
  <c r="B636" i="2" s="1"/>
  <c r="C638" i="2"/>
  <c r="F637" i="2"/>
  <c r="D635" i="2" a="1"/>
  <c r="I636" i="3" l="1" a="1"/>
  <c r="I636" i="3" s="1"/>
  <c r="H636" i="3" a="1"/>
  <c r="H636" i="3" s="1"/>
  <c r="K636" i="3" a="1"/>
  <c r="K636" i="3" s="1"/>
  <c r="C638" i="3"/>
  <c r="L637" i="3"/>
  <c r="M637" i="3"/>
  <c r="F637" i="3"/>
  <c r="F638" i="3" s="1"/>
  <c r="A636" i="3" a="1"/>
  <c r="A636" i="3" s="1"/>
  <c r="B636" i="3" a="1"/>
  <c r="B636" i="3" s="1"/>
  <c r="D635" i="2"/>
  <c r="J636" i="2" a="1"/>
  <c r="J636" i="2" s="1"/>
  <c r="K636" i="2" a="1"/>
  <c r="K636" i="2" s="1"/>
  <c r="H636" i="2" a="1"/>
  <c r="H636" i="2" s="1"/>
  <c r="I636" i="2" a="1"/>
  <c r="I636" i="2" s="1"/>
  <c r="C639" i="2"/>
  <c r="F638" i="2"/>
  <c r="A637" i="2" a="1"/>
  <c r="A637" i="2" s="1"/>
  <c r="B637" i="2" a="1"/>
  <c r="B637" i="2" s="1"/>
  <c r="D636" i="2" a="1"/>
  <c r="G637" i="3" l="1" a="1"/>
  <c r="G637" i="3" s="1"/>
  <c r="C639" i="3"/>
  <c r="G638" i="3" a="1"/>
  <c r="G638" i="3" s="1"/>
  <c r="J638" i="3" s="1" a="1"/>
  <c r="J638" i="3" s="1"/>
  <c r="L638" i="3"/>
  <c r="M638" i="3"/>
  <c r="A637" i="3" a="1"/>
  <c r="A637" i="3" s="1"/>
  <c r="B637" i="3" a="1"/>
  <c r="B637" i="3" s="1"/>
  <c r="D636" i="2"/>
  <c r="A638" i="2" a="1"/>
  <c r="A638" i="2" s="1"/>
  <c r="B638" i="2" a="1"/>
  <c r="B638" i="2" s="1"/>
  <c r="C640" i="2"/>
  <c r="F639" i="2"/>
  <c r="I637" i="2" a="1"/>
  <c r="I637" i="2" s="1"/>
  <c r="K637" i="2" a="1"/>
  <c r="K637" i="2" s="1"/>
  <c r="H637" i="2" a="1"/>
  <c r="H637" i="2" s="1"/>
  <c r="J637" i="2" a="1"/>
  <c r="J637" i="2" s="1"/>
  <c r="D637" i="2" a="1"/>
  <c r="I637" i="3" l="1" a="1"/>
  <c r="I637" i="3" s="1"/>
  <c r="K637" i="3" a="1"/>
  <c r="K637" i="3" s="1"/>
  <c r="H637" i="3" a="1"/>
  <c r="H637" i="3" s="1"/>
  <c r="J637" i="3" a="1"/>
  <c r="J637" i="3" s="1"/>
  <c r="I638" i="3" a="1"/>
  <c r="I638" i="3" s="1"/>
  <c r="H638" i="3" a="1"/>
  <c r="H638" i="3" s="1"/>
  <c r="K638" i="3" a="1"/>
  <c r="K638" i="3" s="1"/>
  <c r="C640" i="3"/>
  <c r="G639" i="3" a="1"/>
  <c r="G639" i="3" s="1"/>
  <c r="L639" i="3"/>
  <c r="M639" i="3"/>
  <c r="F639" i="3"/>
  <c r="A638" i="3" a="1"/>
  <c r="A638" i="3" s="1"/>
  <c r="B638" i="3" a="1"/>
  <c r="B638" i="3" s="1"/>
  <c r="D637" i="2"/>
  <c r="I638" i="2" a="1"/>
  <c r="I638" i="2" s="1"/>
  <c r="J638" i="2" a="1"/>
  <c r="J638" i="2" s="1"/>
  <c r="K638" i="2" a="1"/>
  <c r="K638" i="2" s="1"/>
  <c r="H638" i="2" a="1"/>
  <c r="H638" i="2" s="1"/>
  <c r="B639" i="2" a="1"/>
  <c r="B639" i="2" s="1"/>
  <c r="A639" i="2" a="1"/>
  <c r="A639" i="2" s="1"/>
  <c r="C641" i="2"/>
  <c r="F640" i="2"/>
  <c r="D638" i="2" a="1"/>
  <c r="I639" i="3" l="1" a="1"/>
  <c r="I639" i="3" s="1"/>
  <c r="H639" i="3" a="1"/>
  <c r="H639" i="3" s="1"/>
  <c r="K639" i="3" a="1"/>
  <c r="K639" i="3" s="1"/>
  <c r="J639" i="3" a="1"/>
  <c r="J639" i="3" s="1"/>
  <c r="C641" i="3"/>
  <c r="L640" i="3"/>
  <c r="M640" i="3"/>
  <c r="F640" i="3"/>
  <c r="F641" i="3" s="1"/>
  <c r="B639" i="3" a="1"/>
  <c r="B639" i="3" s="1"/>
  <c r="A639" i="3" a="1"/>
  <c r="A639" i="3" s="1"/>
  <c r="D638" i="2"/>
  <c r="B640" i="2" a="1"/>
  <c r="B640" i="2" s="1"/>
  <c r="A640" i="2" a="1"/>
  <c r="A640" i="2" s="1"/>
  <c r="C642" i="2"/>
  <c r="F641" i="2"/>
  <c r="I639" i="2" a="1"/>
  <c r="I639" i="2" s="1"/>
  <c r="K639" i="2" a="1"/>
  <c r="K639" i="2" s="1"/>
  <c r="J639" i="2" a="1"/>
  <c r="J639" i="2" s="1"/>
  <c r="H639" i="2" a="1"/>
  <c r="H639" i="2" s="1"/>
  <c r="D639" i="2" a="1"/>
  <c r="G640" i="3" l="1" a="1"/>
  <c r="G640" i="3" s="1"/>
  <c r="C642" i="3"/>
  <c r="G641" i="3" a="1"/>
  <c r="G641" i="3" s="1"/>
  <c r="L641" i="3"/>
  <c r="M641" i="3"/>
  <c r="J641" i="3" a="1"/>
  <c r="J641" i="3" s="1"/>
  <c r="A640" i="3" a="1"/>
  <c r="A640" i="3" s="1"/>
  <c r="B640" i="3" a="1"/>
  <c r="B640" i="3" s="1"/>
  <c r="D639" i="2"/>
  <c r="J640" i="2" a="1"/>
  <c r="J640" i="2" s="1"/>
  <c r="K640" i="2" a="1"/>
  <c r="K640" i="2" s="1"/>
  <c r="H640" i="2" a="1"/>
  <c r="H640" i="2" s="1"/>
  <c r="I640" i="2" a="1"/>
  <c r="I640" i="2" s="1"/>
  <c r="B641" i="2" a="1"/>
  <c r="B641" i="2" s="1"/>
  <c r="A641" i="2" a="1"/>
  <c r="A641" i="2" s="1"/>
  <c r="C643" i="2"/>
  <c r="F642" i="2"/>
  <c r="D640" i="2" a="1"/>
  <c r="H640" i="3" l="1" a="1"/>
  <c r="H640" i="3" s="1"/>
  <c r="K640" i="3" a="1"/>
  <c r="K640" i="3" s="1"/>
  <c r="I640" i="3" a="1"/>
  <c r="I640" i="3" s="1"/>
  <c r="J640" i="3" a="1"/>
  <c r="J640" i="3" s="1"/>
  <c r="I641" i="3" a="1"/>
  <c r="I641" i="3" s="1"/>
  <c r="K641" i="3" a="1"/>
  <c r="K641" i="3" s="1"/>
  <c r="H641" i="3" a="1"/>
  <c r="H641" i="3" s="1"/>
  <c r="C643" i="3"/>
  <c r="G642" i="3" a="1"/>
  <c r="G642" i="3" s="1"/>
  <c r="J642" i="3" a="1"/>
  <c r="J642" i="3" s="1"/>
  <c r="L642" i="3"/>
  <c r="M642" i="3"/>
  <c r="F642" i="3"/>
  <c r="A641" i="3" a="1"/>
  <c r="A641" i="3" s="1"/>
  <c r="B641" i="3" a="1"/>
  <c r="B641" i="3" s="1"/>
  <c r="D640" i="2"/>
  <c r="C644" i="2"/>
  <c r="F643" i="2"/>
  <c r="H641" i="2" a="1"/>
  <c r="H641" i="2" s="1"/>
  <c r="I641" i="2" a="1"/>
  <c r="I641" i="2" s="1"/>
  <c r="K641" i="2" a="1"/>
  <c r="K641" i="2" s="1"/>
  <c r="J641" i="2" a="1"/>
  <c r="J641" i="2" s="1"/>
  <c r="A642" i="2" a="1"/>
  <c r="A642" i="2" s="1"/>
  <c r="B642" i="2" a="1"/>
  <c r="B642" i="2" s="1"/>
  <c r="D641" i="2" a="1"/>
  <c r="C644" i="3" l="1"/>
  <c r="L643" i="3"/>
  <c r="M643" i="3"/>
  <c r="K642" i="3" a="1"/>
  <c r="K642" i="3" s="1"/>
  <c r="I642" i="3" a="1"/>
  <c r="I642" i="3" s="1"/>
  <c r="H642" i="3" a="1"/>
  <c r="H642" i="3" s="1"/>
  <c r="F643" i="3"/>
  <c r="F644" i="3" s="1"/>
  <c r="A642" i="3" a="1"/>
  <c r="A642" i="3" s="1"/>
  <c r="B642" i="3" a="1"/>
  <c r="B642" i="3" s="1"/>
  <c r="D641" i="2"/>
  <c r="J642" i="2" a="1"/>
  <c r="J642" i="2" s="1"/>
  <c r="H642" i="2" a="1"/>
  <c r="H642" i="2" s="1"/>
  <c r="K642" i="2" a="1"/>
  <c r="K642" i="2" s="1"/>
  <c r="I642" i="2" a="1"/>
  <c r="I642" i="2" s="1"/>
  <c r="A643" i="2" a="1"/>
  <c r="A643" i="2" s="1"/>
  <c r="B643" i="2" a="1"/>
  <c r="B643" i="2" s="1"/>
  <c r="C645" i="2"/>
  <c r="F644" i="2"/>
  <c r="D642" i="2" a="1"/>
  <c r="G643" i="3" l="1" a="1"/>
  <c r="G643" i="3" s="1"/>
  <c r="C645" i="3"/>
  <c r="G644" i="3" a="1"/>
  <c r="G644" i="3" s="1"/>
  <c r="L644" i="3"/>
  <c r="M644" i="3"/>
  <c r="J644" i="3" a="1"/>
  <c r="J644" i="3" s="1"/>
  <c r="A643" i="3" a="1"/>
  <c r="A643" i="3" s="1"/>
  <c r="B643" i="3" a="1"/>
  <c r="B643" i="3" s="1"/>
  <c r="D642" i="2"/>
  <c r="A644" i="2" a="1"/>
  <c r="A644" i="2" s="1"/>
  <c r="B644" i="2" a="1"/>
  <c r="B644" i="2" s="1"/>
  <c r="C646" i="2"/>
  <c r="F645" i="2"/>
  <c r="J643" i="2" a="1"/>
  <c r="J643" i="2" s="1"/>
  <c r="K643" i="2" a="1"/>
  <c r="K643" i="2" s="1"/>
  <c r="H643" i="2" a="1"/>
  <c r="H643" i="2" s="1"/>
  <c r="I643" i="2" a="1"/>
  <c r="I643" i="2" s="1"/>
  <c r="D643" i="2" a="1"/>
  <c r="C646" i="3" l="1"/>
  <c r="G645" i="3" a="1"/>
  <c r="G645" i="3" s="1"/>
  <c r="L645" i="3"/>
  <c r="M645" i="3"/>
  <c r="J645" i="3" a="1"/>
  <c r="J645" i="3" s="1"/>
  <c r="K644" i="3" a="1"/>
  <c r="K644" i="3" s="1"/>
  <c r="I644" i="3" a="1"/>
  <c r="I644" i="3" s="1"/>
  <c r="H644" i="3" a="1"/>
  <c r="H644" i="3" s="1"/>
  <c r="I643" i="3" a="1"/>
  <c r="I643" i="3" s="1"/>
  <c r="H643" i="3" a="1"/>
  <c r="H643" i="3" s="1"/>
  <c r="K643" i="3" a="1"/>
  <c r="K643" i="3" s="1"/>
  <c r="J643" i="3" a="1"/>
  <c r="J643" i="3" s="1"/>
  <c r="F645" i="3"/>
  <c r="F646" i="3" s="1"/>
  <c r="A644" i="3" a="1"/>
  <c r="A644" i="3" s="1"/>
  <c r="B644" i="3" a="1"/>
  <c r="B644" i="3" s="1"/>
  <c r="D643" i="2"/>
  <c r="C647" i="2"/>
  <c r="F646" i="2"/>
  <c r="H644" i="2" a="1"/>
  <c r="H644" i="2" s="1"/>
  <c r="K644" i="2" a="1"/>
  <c r="K644" i="2" s="1"/>
  <c r="J644" i="2" a="1"/>
  <c r="J644" i="2" s="1"/>
  <c r="I644" i="2" a="1"/>
  <c r="I644" i="2" s="1"/>
  <c r="A645" i="2" a="1"/>
  <c r="A645" i="2" s="1"/>
  <c r="B645" i="2" a="1"/>
  <c r="B645" i="2" s="1"/>
  <c r="D644" i="2" a="1"/>
  <c r="I645" i="3" l="1" a="1"/>
  <c r="I645" i="3" s="1"/>
  <c r="K645" i="3" a="1"/>
  <c r="K645" i="3" s="1"/>
  <c r="H645" i="3" a="1"/>
  <c r="H645" i="3" s="1"/>
  <c r="C647" i="3"/>
  <c r="G646" i="3" a="1"/>
  <c r="G646" i="3" s="1"/>
  <c r="M646" i="3"/>
  <c r="J646" i="3" a="1"/>
  <c r="J646" i="3" s="1"/>
  <c r="L646" i="3"/>
  <c r="B645" i="3" a="1"/>
  <c r="B645" i="3" s="1"/>
  <c r="A645" i="3" a="1"/>
  <c r="A645" i="3" s="1"/>
  <c r="D644" i="2"/>
  <c r="A646" i="2" a="1"/>
  <c r="A646" i="2" s="1"/>
  <c r="B646" i="2" a="1"/>
  <c r="B646" i="2" s="1"/>
  <c r="H645" i="2" a="1"/>
  <c r="H645" i="2" s="1"/>
  <c r="K645" i="2" a="1"/>
  <c r="K645" i="2" s="1"/>
  <c r="J645" i="2" a="1"/>
  <c r="J645" i="2" s="1"/>
  <c r="I645" i="2" a="1"/>
  <c r="I645" i="2" s="1"/>
  <c r="C648" i="2"/>
  <c r="F647" i="2"/>
  <c r="D645" i="2" a="1"/>
  <c r="I646" i="3" l="1" a="1"/>
  <c r="I646" i="3" s="1"/>
  <c r="H646" i="3" a="1"/>
  <c r="H646" i="3" s="1"/>
  <c r="K646" i="3" a="1"/>
  <c r="K646" i="3" s="1"/>
  <c r="C648" i="3"/>
  <c r="L647" i="3"/>
  <c r="M647" i="3"/>
  <c r="F647" i="3"/>
  <c r="F648" i="3" s="1"/>
  <c r="B646" i="3" a="1"/>
  <c r="B646" i="3" s="1"/>
  <c r="A646" i="3" a="1"/>
  <c r="A646" i="3" s="1"/>
  <c r="D645" i="2"/>
  <c r="C649" i="2"/>
  <c r="F648" i="2"/>
  <c r="B647" i="2" a="1"/>
  <c r="B647" i="2" s="1"/>
  <c r="A647" i="2" a="1"/>
  <c r="A647" i="2" s="1"/>
  <c r="K646" i="2" a="1"/>
  <c r="K646" i="2" s="1"/>
  <c r="I646" i="2" a="1"/>
  <c r="I646" i="2" s="1"/>
  <c r="H646" i="2" a="1"/>
  <c r="H646" i="2" s="1"/>
  <c r="J646" i="2" a="1"/>
  <c r="J646" i="2" s="1"/>
  <c r="D646" i="2" a="1"/>
  <c r="G647" i="3" l="1" a="1"/>
  <c r="G647" i="3" s="1"/>
  <c r="C649" i="3"/>
  <c r="G648" i="3" a="1"/>
  <c r="G648" i="3" s="1"/>
  <c r="J648" i="3" a="1"/>
  <c r="J648" i="3" s="1"/>
  <c r="L648" i="3"/>
  <c r="M648" i="3"/>
  <c r="A647" i="3" a="1"/>
  <c r="A647" i="3" s="1"/>
  <c r="B647" i="3" a="1"/>
  <c r="B647" i="3" s="1"/>
  <c r="D646" i="2"/>
  <c r="J647" i="2" a="1"/>
  <c r="J647" i="2" s="1"/>
  <c r="K647" i="2" a="1"/>
  <c r="K647" i="2" s="1"/>
  <c r="H647" i="2" a="1"/>
  <c r="H647" i="2" s="1"/>
  <c r="I647" i="2" a="1"/>
  <c r="I647" i="2" s="1"/>
  <c r="A648" i="2" a="1"/>
  <c r="A648" i="2" s="1"/>
  <c r="B648" i="2" a="1"/>
  <c r="B648" i="2" s="1"/>
  <c r="C650" i="2"/>
  <c r="F649" i="2"/>
  <c r="D647" i="2" a="1"/>
  <c r="C650" i="3" l="1"/>
  <c r="G649" i="3" a="1"/>
  <c r="G649" i="3" s="1"/>
  <c r="M649" i="3"/>
  <c r="L649" i="3"/>
  <c r="J649" i="3" a="1"/>
  <c r="J649" i="3" s="1"/>
  <c r="I648" i="3" a="1"/>
  <c r="I648" i="3" s="1"/>
  <c r="H648" i="3" a="1"/>
  <c r="H648" i="3" s="1"/>
  <c r="K648" i="3" a="1"/>
  <c r="K648" i="3" s="1"/>
  <c r="K647" i="3" a="1"/>
  <c r="K647" i="3" s="1"/>
  <c r="I647" i="3" a="1"/>
  <c r="I647" i="3" s="1"/>
  <c r="H647" i="3" a="1"/>
  <c r="H647" i="3" s="1"/>
  <c r="J647" i="3" a="1"/>
  <c r="J647" i="3" s="1"/>
  <c r="F649" i="3"/>
  <c r="F650" i="3" s="1"/>
  <c r="A648" i="3" a="1"/>
  <c r="A648" i="3" s="1"/>
  <c r="B648" i="3" a="1"/>
  <c r="B648" i="3" s="1"/>
  <c r="D647" i="2"/>
  <c r="A649" i="2" a="1"/>
  <c r="A649" i="2" s="1"/>
  <c r="B649" i="2" a="1"/>
  <c r="B649" i="2" s="1"/>
  <c r="C651" i="2"/>
  <c r="F650" i="2"/>
  <c r="I648" i="2" a="1"/>
  <c r="I648" i="2" s="1"/>
  <c r="J648" i="2" a="1"/>
  <c r="J648" i="2" s="1"/>
  <c r="H648" i="2" a="1"/>
  <c r="H648" i="2" s="1"/>
  <c r="K648" i="2" a="1"/>
  <c r="K648" i="2" s="1"/>
  <c r="D648" i="2" a="1"/>
  <c r="I649" i="3" l="1" a="1"/>
  <c r="I649" i="3" s="1"/>
  <c r="K649" i="3" a="1"/>
  <c r="K649" i="3" s="1"/>
  <c r="H649" i="3" a="1"/>
  <c r="H649" i="3" s="1"/>
  <c r="C651" i="3"/>
  <c r="G650" i="3" a="1"/>
  <c r="G650" i="3" s="1"/>
  <c r="L650" i="3"/>
  <c r="M650" i="3"/>
  <c r="A649" i="3" a="1"/>
  <c r="A649" i="3" s="1"/>
  <c r="B649" i="3" a="1"/>
  <c r="B649" i="3" s="1"/>
  <c r="D648" i="2"/>
  <c r="A650" i="2" a="1"/>
  <c r="A650" i="2" s="1"/>
  <c r="B650" i="2" a="1"/>
  <c r="B650" i="2" s="1"/>
  <c r="C652" i="2"/>
  <c r="F651" i="2"/>
  <c r="J649" i="2" a="1"/>
  <c r="J649" i="2" s="1"/>
  <c r="K649" i="2" a="1"/>
  <c r="K649" i="2" s="1"/>
  <c r="I649" i="2" a="1"/>
  <c r="I649" i="2" s="1"/>
  <c r="H649" i="2" a="1"/>
  <c r="H649" i="2" s="1"/>
  <c r="D649" i="2" a="1"/>
  <c r="I650" i="3" l="1" a="1"/>
  <c r="I650" i="3" s="1"/>
  <c r="H650" i="3" a="1"/>
  <c r="H650" i="3" s="1"/>
  <c r="K650" i="3" a="1"/>
  <c r="K650" i="3" s="1"/>
  <c r="J650" i="3" a="1"/>
  <c r="J650" i="3" s="1"/>
  <c r="C652" i="3"/>
  <c r="L651" i="3"/>
  <c r="M651" i="3"/>
  <c r="F651" i="3"/>
  <c r="F652" i="3" s="1"/>
  <c r="B650" i="3" a="1"/>
  <c r="B650" i="3" s="1"/>
  <c r="A650" i="3" a="1"/>
  <c r="A650" i="3" s="1"/>
  <c r="D649" i="2"/>
  <c r="I650" i="2" a="1"/>
  <c r="I650" i="2" s="1"/>
  <c r="K650" i="2" a="1"/>
  <c r="K650" i="2" s="1"/>
  <c r="H650" i="2" a="1"/>
  <c r="H650" i="2" s="1"/>
  <c r="J650" i="2" a="1"/>
  <c r="J650" i="2" s="1"/>
  <c r="A651" i="2" a="1"/>
  <c r="A651" i="2" s="1"/>
  <c r="B651" i="2" a="1"/>
  <c r="B651" i="2" s="1"/>
  <c r="C653" i="2"/>
  <c r="F652" i="2"/>
  <c r="D650" i="2" a="1"/>
  <c r="G651" i="3" l="1" a="1"/>
  <c r="G651" i="3" s="1"/>
  <c r="C653" i="3"/>
  <c r="G652" i="3" a="1"/>
  <c r="G652" i="3" s="1"/>
  <c r="L652" i="3"/>
  <c r="M652" i="3"/>
  <c r="B651" i="3" a="1"/>
  <c r="B651" i="3" s="1"/>
  <c r="A651" i="3" a="1"/>
  <c r="A651" i="3" s="1"/>
  <c r="D650" i="2"/>
  <c r="B652" i="2" a="1"/>
  <c r="B652" i="2" s="1"/>
  <c r="A652" i="2" a="1"/>
  <c r="A652" i="2" s="1"/>
  <c r="C654" i="2"/>
  <c r="F653" i="2"/>
  <c r="H651" i="2" a="1"/>
  <c r="H651" i="2" s="1"/>
  <c r="K651" i="2" a="1"/>
  <c r="K651" i="2" s="1"/>
  <c r="I651" i="2" a="1"/>
  <c r="I651" i="2" s="1"/>
  <c r="J651" i="2" a="1"/>
  <c r="J651" i="2" s="1"/>
  <c r="D651" i="2" a="1"/>
  <c r="I652" i="3" l="1" a="1"/>
  <c r="I652" i="3" s="1"/>
  <c r="H652" i="3" a="1"/>
  <c r="H652" i="3" s="1"/>
  <c r="K652" i="3" a="1"/>
  <c r="K652" i="3" s="1"/>
  <c r="C654" i="3"/>
  <c r="G653" i="3" a="1"/>
  <c r="G653" i="3" s="1"/>
  <c r="L653" i="3"/>
  <c r="M653" i="3"/>
  <c r="J652" i="3" a="1"/>
  <c r="J652" i="3" s="1"/>
  <c r="I651" i="3" a="1"/>
  <c r="I651" i="3" s="1"/>
  <c r="H651" i="3" a="1"/>
  <c r="H651" i="3" s="1"/>
  <c r="K651" i="3" a="1"/>
  <c r="K651" i="3" s="1"/>
  <c r="J651" i="3" a="1"/>
  <c r="J651" i="3" s="1"/>
  <c r="F653" i="3"/>
  <c r="F654" i="3" s="1"/>
  <c r="A652" i="3" a="1"/>
  <c r="A652" i="3" s="1"/>
  <c r="B652" i="3" a="1"/>
  <c r="B652" i="3" s="1"/>
  <c r="D651" i="2"/>
  <c r="C655" i="2"/>
  <c r="F654" i="2"/>
  <c r="J652" i="2" a="1"/>
  <c r="J652" i="2" s="1"/>
  <c r="H652" i="2" a="1"/>
  <c r="H652" i="2" s="1"/>
  <c r="K652" i="2" a="1"/>
  <c r="K652" i="2" s="1"/>
  <c r="I652" i="2" a="1"/>
  <c r="I652" i="2" s="1"/>
  <c r="B653" i="2" a="1"/>
  <c r="B653" i="2" s="1"/>
  <c r="A653" i="2" a="1"/>
  <c r="A653" i="2" s="1"/>
  <c r="D652" i="2" a="1"/>
  <c r="I653" i="3" l="1" a="1"/>
  <c r="I653" i="3" s="1"/>
  <c r="K653" i="3" a="1"/>
  <c r="K653" i="3" s="1"/>
  <c r="H653" i="3" a="1"/>
  <c r="H653" i="3" s="1"/>
  <c r="C655" i="3"/>
  <c r="G654" i="3" a="1"/>
  <c r="G654" i="3" s="1"/>
  <c r="J654" i="3" s="1" a="1"/>
  <c r="J654" i="3" s="1"/>
  <c r="L654" i="3"/>
  <c r="M654" i="3"/>
  <c r="J653" i="3" a="1"/>
  <c r="J653" i="3" s="1"/>
  <c r="F655" i="3"/>
  <c r="A653" i="3" a="1"/>
  <c r="A653" i="3" s="1"/>
  <c r="B653" i="3" a="1"/>
  <c r="B653" i="3" s="1"/>
  <c r="D652" i="2"/>
  <c r="B654" i="2" a="1"/>
  <c r="B654" i="2" s="1"/>
  <c r="A654" i="2" a="1"/>
  <c r="A654" i="2" s="1"/>
  <c r="J653" i="2" a="1"/>
  <c r="J653" i="2" s="1"/>
  <c r="H653" i="2" a="1"/>
  <c r="H653" i="2" s="1"/>
  <c r="K653" i="2" a="1"/>
  <c r="K653" i="2" s="1"/>
  <c r="I653" i="2" a="1"/>
  <c r="I653" i="2" s="1"/>
  <c r="C656" i="2"/>
  <c r="F655" i="2"/>
  <c r="D653" i="2" a="1"/>
  <c r="C656" i="3" l="1"/>
  <c r="G655" i="3" a="1"/>
  <c r="G655" i="3" s="1"/>
  <c r="L655" i="3"/>
  <c r="M655" i="3"/>
  <c r="J655" i="3" a="1"/>
  <c r="J655" i="3" s="1"/>
  <c r="K654" i="3" a="1"/>
  <c r="K654" i="3" s="1"/>
  <c r="I654" i="3" a="1"/>
  <c r="I654" i="3" s="1"/>
  <c r="H654" i="3" a="1"/>
  <c r="H654" i="3" s="1"/>
  <c r="A654" i="3" a="1"/>
  <c r="A654" i="3" s="1"/>
  <c r="B654" i="3" a="1"/>
  <c r="B654" i="3" s="1"/>
  <c r="D653" i="2"/>
  <c r="C657" i="2"/>
  <c r="F656" i="2"/>
  <c r="A655" i="2" a="1"/>
  <c r="A655" i="2" s="1"/>
  <c r="B655" i="2" a="1"/>
  <c r="B655" i="2" s="1"/>
  <c r="J654" i="2" a="1"/>
  <c r="J654" i="2" s="1"/>
  <c r="I654" i="2" a="1"/>
  <c r="I654" i="2" s="1"/>
  <c r="H654" i="2" a="1"/>
  <c r="H654" i="2" s="1"/>
  <c r="K654" i="2" a="1"/>
  <c r="K654" i="2" s="1"/>
  <c r="D654" i="2" a="1"/>
  <c r="I655" i="3" l="1" a="1"/>
  <c r="I655" i="3" s="1"/>
  <c r="H655" i="3" a="1"/>
  <c r="H655" i="3" s="1"/>
  <c r="K655" i="3" a="1"/>
  <c r="K655" i="3" s="1"/>
  <c r="C657" i="3"/>
  <c r="L656" i="3"/>
  <c r="M656" i="3"/>
  <c r="F656" i="3"/>
  <c r="F657" i="3" s="1"/>
  <c r="A655" i="3" a="1"/>
  <c r="A655" i="3" s="1"/>
  <c r="B655" i="3" a="1"/>
  <c r="B655" i="3" s="1"/>
  <c r="D654" i="2"/>
  <c r="A656" i="2" a="1"/>
  <c r="A656" i="2" s="1"/>
  <c r="B656" i="2" a="1"/>
  <c r="B656" i="2" s="1"/>
  <c r="J655" i="2" a="1"/>
  <c r="J655" i="2" s="1"/>
  <c r="K655" i="2" a="1"/>
  <c r="K655" i="2" s="1"/>
  <c r="H655" i="2" a="1"/>
  <c r="H655" i="2" s="1"/>
  <c r="I655" i="2" a="1"/>
  <c r="I655" i="2" s="1"/>
  <c r="C658" i="2"/>
  <c r="F657" i="2"/>
  <c r="D655" i="2" a="1"/>
  <c r="C658" i="3" l="1"/>
  <c r="G657" i="3" a="1"/>
  <c r="G657" i="3" s="1"/>
  <c r="L657" i="3"/>
  <c r="M657" i="3"/>
  <c r="J657" i="3" a="1"/>
  <c r="J657" i="3" s="1"/>
  <c r="F658" i="3"/>
  <c r="G656" i="3" a="1"/>
  <c r="G656" i="3" s="1"/>
  <c r="A656" i="3" a="1"/>
  <c r="A656" i="3" s="1"/>
  <c r="B656" i="3" a="1"/>
  <c r="B656" i="3" s="1"/>
  <c r="D655" i="2"/>
  <c r="I656" i="2" a="1"/>
  <c r="I656" i="2" s="1"/>
  <c r="H656" i="2" a="1"/>
  <c r="H656" i="2" s="1"/>
  <c r="J656" i="2" a="1"/>
  <c r="J656" i="2" s="1"/>
  <c r="K656" i="2" a="1"/>
  <c r="K656" i="2" s="1"/>
  <c r="A657" i="2" a="1"/>
  <c r="A657" i="2" s="1"/>
  <c r="B657" i="2" a="1"/>
  <c r="B657" i="2" s="1"/>
  <c r="C659" i="2"/>
  <c r="F658" i="2"/>
  <c r="D656" i="2" a="1"/>
  <c r="I656" i="3" l="1" a="1"/>
  <c r="I656" i="3" s="1"/>
  <c r="H656" i="3" a="1"/>
  <c r="H656" i="3" s="1"/>
  <c r="K656" i="3" a="1"/>
  <c r="K656" i="3" s="1"/>
  <c r="J656" i="3" a="1"/>
  <c r="J656" i="3" s="1"/>
  <c r="I657" i="3" a="1"/>
  <c r="I657" i="3" s="1"/>
  <c r="K657" i="3" a="1"/>
  <c r="K657" i="3" s="1"/>
  <c r="H657" i="3" a="1"/>
  <c r="H657" i="3" s="1"/>
  <c r="C659" i="3"/>
  <c r="G658" i="3" a="1"/>
  <c r="G658" i="3" s="1"/>
  <c r="M658" i="3"/>
  <c r="J658" i="3" a="1"/>
  <c r="J658" i="3" s="1"/>
  <c r="L658" i="3"/>
  <c r="A657" i="3" a="1"/>
  <c r="A657" i="3" s="1"/>
  <c r="B657" i="3" a="1"/>
  <c r="B657" i="3" s="1"/>
  <c r="D656" i="2"/>
  <c r="C660" i="2"/>
  <c r="F659" i="2"/>
  <c r="A658" i="2" a="1"/>
  <c r="A658" i="2" s="1"/>
  <c r="B658" i="2" a="1"/>
  <c r="B658" i="2" s="1"/>
  <c r="K657" i="2" a="1"/>
  <c r="K657" i="2" s="1"/>
  <c r="H657" i="2" a="1"/>
  <c r="H657" i="2" s="1"/>
  <c r="J657" i="2" a="1"/>
  <c r="J657" i="2" s="1"/>
  <c r="I657" i="2" a="1"/>
  <c r="I657" i="2" s="1"/>
  <c r="D657" i="2" a="1"/>
  <c r="C660" i="3" l="1"/>
  <c r="L659" i="3"/>
  <c r="M659" i="3"/>
  <c r="I658" i="3" a="1"/>
  <c r="I658" i="3" s="1"/>
  <c r="H658" i="3" a="1"/>
  <c r="H658" i="3" s="1"/>
  <c r="K658" i="3" a="1"/>
  <c r="K658" i="3" s="1"/>
  <c r="F659" i="3"/>
  <c r="F660" i="3" s="1"/>
  <c r="B658" i="3" a="1"/>
  <c r="B658" i="3" s="1"/>
  <c r="A658" i="3" a="1"/>
  <c r="A658" i="3" s="1"/>
  <c r="D657" i="2"/>
  <c r="H658" i="2" a="1"/>
  <c r="H658" i="2" s="1"/>
  <c r="K658" i="2" a="1"/>
  <c r="K658" i="2" s="1"/>
  <c r="I658" i="2" a="1"/>
  <c r="I658" i="2" s="1"/>
  <c r="J658" i="2" a="1"/>
  <c r="J658" i="2" s="1"/>
  <c r="B659" i="2" a="1"/>
  <c r="B659" i="2" s="1"/>
  <c r="A659" i="2" a="1"/>
  <c r="A659" i="2" s="1"/>
  <c r="C661" i="2"/>
  <c r="F660" i="2"/>
  <c r="D658" i="2" a="1"/>
  <c r="G659" i="3" l="1" a="1"/>
  <c r="G659" i="3" s="1"/>
  <c r="C661" i="3"/>
  <c r="G660" i="3" a="1"/>
  <c r="G660" i="3" s="1"/>
  <c r="L660" i="3"/>
  <c r="M660" i="3"/>
  <c r="A659" i="3" a="1"/>
  <c r="A659" i="3" s="1"/>
  <c r="B659" i="3" a="1"/>
  <c r="B659" i="3" s="1"/>
  <c r="D658" i="2"/>
  <c r="A660" i="2" a="1"/>
  <c r="A660" i="2" s="1"/>
  <c r="B660" i="2" a="1"/>
  <c r="B660" i="2" s="1"/>
  <c r="C662" i="2"/>
  <c r="F661" i="2"/>
  <c r="I659" i="2" a="1"/>
  <c r="I659" i="2" s="1"/>
  <c r="H659" i="2" a="1"/>
  <c r="H659" i="2" s="1"/>
  <c r="J659" i="2" a="1"/>
  <c r="J659" i="2" s="1"/>
  <c r="K659" i="2" a="1"/>
  <c r="K659" i="2" s="1"/>
  <c r="D659" i="2" a="1"/>
  <c r="I660" i="3" l="1" a="1"/>
  <c r="I660" i="3" s="1"/>
  <c r="H660" i="3" a="1"/>
  <c r="H660" i="3" s="1"/>
  <c r="K660" i="3" a="1"/>
  <c r="K660" i="3" s="1"/>
  <c r="C662" i="3"/>
  <c r="G661" i="3" a="1"/>
  <c r="G661" i="3" s="1"/>
  <c r="M661" i="3"/>
  <c r="L661" i="3"/>
  <c r="J661" i="3" a="1"/>
  <c r="J661" i="3" s="1"/>
  <c r="J660" i="3" a="1"/>
  <c r="J660" i="3" s="1"/>
  <c r="I659" i="3" a="1"/>
  <c r="I659" i="3" s="1"/>
  <c r="H659" i="3" a="1"/>
  <c r="H659" i="3" s="1"/>
  <c r="K659" i="3" a="1"/>
  <c r="K659" i="3" s="1"/>
  <c r="J659" i="3" a="1"/>
  <c r="J659" i="3" s="1"/>
  <c r="F661" i="3"/>
  <c r="A660" i="3" a="1"/>
  <c r="A660" i="3" s="1"/>
  <c r="B660" i="3" a="1"/>
  <c r="B660" i="3" s="1"/>
  <c r="D659" i="2"/>
  <c r="I660" i="2" a="1"/>
  <c r="I660" i="2" s="1"/>
  <c r="H660" i="2" a="1"/>
  <c r="H660" i="2" s="1"/>
  <c r="J660" i="2" a="1"/>
  <c r="J660" i="2" s="1"/>
  <c r="K660" i="2" a="1"/>
  <c r="K660" i="2" s="1"/>
  <c r="A661" i="2" a="1"/>
  <c r="A661" i="2" s="1"/>
  <c r="B661" i="2" a="1"/>
  <c r="B661" i="2" s="1"/>
  <c r="C663" i="2"/>
  <c r="F662" i="2"/>
  <c r="D660" i="2" a="1"/>
  <c r="C663" i="3" l="1"/>
  <c r="L662" i="3"/>
  <c r="M662" i="3"/>
  <c r="F662" i="3"/>
  <c r="F663" i="3" s="1"/>
  <c r="I661" i="3" a="1"/>
  <c r="I661" i="3" s="1"/>
  <c r="K661" i="3" a="1"/>
  <c r="K661" i="3" s="1"/>
  <c r="H661" i="3" a="1"/>
  <c r="H661" i="3" s="1"/>
  <c r="A661" i="3" a="1"/>
  <c r="A661" i="3" s="1"/>
  <c r="B661" i="3" a="1"/>
  <c r="B661" i="3" s="1"/>
  <c r="D660" i="2"/>
  <c r="C664" i="2"/>
  <c r="F663" i="2"/>
  <c r="A662" i="2" a="1"/>
  <c r="A662" i="2" s="1"/>
  <c r="B662" i="2" a="1"/>
  <c r="B662" i="2" s="1"/>
  <c r="J661" i="2" a="1"/>
  <c r="J661" i="2" s="1"/>
  <c r="H661" i="2" a="1"/>
  <c r="H661" i="2" s="1"/>
  <c r="K661" i="2" a="1"/>
  <c r="K661" i="2" s="1"/>
  <c r="I661" i="2" a="1"/>
  <c r="I661" i="2" s="1"/>
  <c r="D661" i="2" a="1"/>
  <c r="G662" i="3" l="1" a="1"/>
  <c r="G662" i="3" s="1"/>
  <c r="C664" i="3"/>
  <c r="G663" i="3" a="1"/>
  <c r="G663" i="3" s="1"/>
  <c r="L663" i="3"/>
  <c r="M663" i="3"/>
  <c r="J663" i="3" a="1"/>
  <c r="J663" i="3" s="1"/>
  <c r="B662" i="3" a="1"/>
  <c r="B662" i="3" s="1"/>
  <c r="A662" i="3" a="1"/>
  <c r="A662" i="3" s="1"/>
  <c r="D661" i="2"/>
  <c r="K662" i="2" a="1"/>
  <c r="K662" i="2" s="1"/>
  <c r="H662" i="2" a="1"/>
  <c r="H662" i="2" s="1"/>
  <c r="I662" i="2" a="1"/>
  <c r="I662" i="2" s="1"/>
  <c r="J662" i="2" a="1"/>
  <c r="J662" i="2" s="1"/>
  <c r="A663" i="2" a="1"/>
  <c r="A663" i="2" s="1"/>
  <c r="B663" i="2" a="1"/>
  <c r="B663" i="2" s="1"/>
  <c r="C665" i="2"/>
  <c r="F664" i="2"/>
  <c r="D662" i="2" a="1"/>
  <c r="C665" i="3" l="1"/>
  <c r="G664" i="3" a="1"/>
  <c r="G664" i="3" s="1"/>
  <c r="J664" i="3" a="1"/>
  <c r="J664" i="3" s="1"/>
  <c r="L664" i="3"/>
  <c r="M664" i="3"/>
  <c r="I663" i="3" a="1"/>
  <c r="I663" i="3" s="1"/>
  <c r="H663" i="3" a="1"/>
  <c r="H663" i="3" s="1"/>
  <c r="K663" i="3" a="1"/>
  <c r="K663" i="3" s="1"/>
  <c r="I662" i="3" a="1"/>
  <c r="I662" i="3" s="1"/>
  <c r="H662" i="3" a="1"/>
  <c r="H662" i="3" s="1"/>
  <c r="K662" i="3" a="1"/>
  <c r="K662" i="3" s="1"/>
  <c r="J662" i="3" a="1"/>
  <c r="J662" i="3" s="1"/>
  <c r="F664" i="3"/>
  <c r="F665" i="3" s="1"/>
  <c r="B663" i="3" a="1"/>
  <c r="B663" i="3" s="1"/>
  <c r="A663" i="3" a="1"/>
  <c r="A663" i="3" s="1"/>
  <c r="D662" i="2"/>
  <c r="C666" i="2"/>
  <c r="F665" i="2"/>
  <c r="J663" i="2" a="1"/>
  <c r="J663" i="2" s="1"/>
  <c r="I663" i="2" a="1"/>
  <c r="I663" i="2" s="1"/>
  <c r="H663" i="2" a="1"/>
  <c r="H663" i="2" s="1"/>
  <c r="K663" i="2" a="1"/>
  <c r="K663" i="2" s="1"/>
  <c r="B664" i="2" a="1"/>
  <c r="B664" i="2" s="1"/>
  <c r="A664" i="2" a="1"/>
  <c r="A664" i="2" s="1"/>
  <c r="D663" i="2" a="1"/>
  <c r="H664" i="3" l="1" a="1"/>
  <c r="H664" i="3" s="1"/>
  <c r="K664" i="3" a="1"/>
  <c r="K664" i="3" s="1"/>
  <c r="I664" i="3" a="1"/>
  <c r="I664" i="3" s="1"/>
  <c r="C666" i="3"/>
  <c r="G665" i="3" a="1"/>
  <c r="G665" i="3" s="1"/>
  <c r="L665" i="3"/>
  <c r="M665" i="3"/>
  <c r="J665" i="3" a="1"/>
  <c r="J665" i="3" s="1"/>
  <c r="A664" i="3" a="1"/>
  <c r="A664" i="3" s="1"/>
  <c r="B664" i="3" a="1"/>
  <c r="B664" i="3" s="1"/>
  <c r="D663" i="2"/>
  <c r="H664" i="2" a="1"/>
  <c r="H664" i="2" s="1"/>
  <c r="I664" i="2" a="1"/>
  <c r="I664" i="2" s="1"/>
  <c r="K664" i="2" a="1"/>
  <c r="K664" i="2" s="1"/>
  <c r="J664" i="2" a="1"/>
  <c r="J664" i="2" s="1"/>
  <c r="A665" i="2" a="1"/>
  <c r="A665" i="2" s="1"/>
  <c r="B665" i="2" a="1"/>
  <c r="B665" i="2" s="1"/>
  <c r="C667" i="2"/>
  <c r="F666" i="2"/>
  <c r="D664" i="2" a="1"/>
  <c r="I665" i="3" l="1" a="1"/>
  <c r="I665" i="3" s="1"/>
  <c r="K665" i="3" a="1"/>
  <c r="K665" i="3" s="1"/>
  <c r="H665" i="3" a="1"/>
  <c r="H665" i="3" s="1"/>
  <c r="C667" i="3"/>
  <c r="L666" i="3"/>
  <c r="M666" i="3"/>
  <c r="F666" i="3"/>
  <c r="F667" i="3" s="1"/>
  <c r="A665" i="3" a="1"/>
  <c r="A665" i="3" s="1"/>
  <c r="B665" i="3" a="1"/>
  <c r="B665" i="3" s="1"/>
  <c r="D664" i="2"/>
  <c r="B666" i="2" a="1"/>
  <c r="B666" i="2" s="1"/>
  <c r="A666" i="2" a="1"/>
  <c r="A666" i="2" s="1"/>
  <c r="C668" i="2"/>
  <c r="F667" i="2"/>
  <c r="I665" i="2" a="1"/>
  <c r="I665" i="2" s="1"/>
  <c r="J665" i="2" a="1"/>
  <c r="J665" i="2" s="1"/>
  <c r="H665" i="2" a="1"/>
  <c r="H665" i="2" s="1"/>
  <c r="K665" i="2" a="1"/>
  <c r="K665" i="2" s="1"/>
  <c r="D665" i="2" a="1"/>
  <c r="G666" i="3" l="1" a="1"/>
  <c r="G666" i="3" s="1"/>
  <c r="C668" i="3"/>
  <c r="G667" i="3" a="1"/>
  <c r="G667" i="3" s="1"/>
  <c r="L667" i="3"/>
  <c r="M667" i="3"/>
  <c r="J667" i="3" a="1"/>
  <c r="J667" i="3" s="1"/>
  <c r="A666" i="3" a="1"/>
  <c r="A666" i="3" s="1"/>
  <c r="B666" i="3" a="1"/>
  <c r="B666" i="3" s="1"/>
  <c r="D665" i="2"/>
  <c r="C669" i="2"/>
  <c r="F668" i="2"/>
  <c r="J666" i="2" a="1"/>
  <c r="J666" i="2" s="1"/>
  <c r="I666" i="2" a="1"/>
  <c r="I666" i="2" s="1"/>
  <c r="K666" i="2" a="1"/>
  <c r="K666" i="2" s="1"/>
  <c r="H666" i="2" a="1"/>
  <c r="H666" i="2" s="1"/>
  <c r="B667" i="2" a="1"/>
  <c r="B667" i="2" s="1"/>
  <c r="A667" i="2" a="1"/>
  <c r="A667" i="2" s="1"/>
  <c r="D666" i="2" a="1"/>
  <c r="C669" i="3" l="1"/>
  <c r="G668" i="3" a="1"/>
  <c r="G668" i="3" s="1"/>
  <c r="M668" i="3"/>
  <c r="J668" i="3" a="1"/>
  <c r="J668" i="3" s="1"/>
  <c r="L668" i="3"/>
  <c r="I667" i="3" a="1"/>
  <c r="I667" i="3" s="1"/>
  <c r="H667" i="3" a="1"/>
  <c r="H667" i="3" s="1"/>
  <c r="K667" i="3" a="1"/>
  <c r="K667" i="3" s="1"/>
  <c r="I666" i="3" a="1"/>
  <c r="I666" i="3" s="1"/>
  <c r="H666" i="3" a="1"/>
  <c r="H666" i="3" s="1"/>
  <c r="K666" i="3" a="1"/>
  <c r="K666" i="3" s="1"/>
  <c r="J666" i="3" a="1"/>
  <c r="J666" i="3" s="1"/>
  <c r="F668" i="3"/>
  <c r="F669" i="3" s="1"/>
  <c r="A667" i="3" a="1"/>
  <c r="A667" i="3" s="1"/>
  <c r="B667" i="3" a="1"/>
  <c r="B667" i="3" s="1"/>
  <c r="D666" i="2"/>
  <c r="A668" i="2" a="1"/>
  <c r="A668" i="2" s="1"/>
  <c r="B668" i="2" a="1"/>
  <c r="B668" i="2" s="1"/>
  <c r="J667" i="2" a="1"/>
  <c r="J667" i="2" s="1"/>
  <c r="H667" i="2" a="1"/>
  <c r="H667" i="2" s="1"/>
  <c r="I667" i="2" a="1"/>
  <c r="I667" i="2" s="1"/>
  <c r="K667" i="2" a="1"/>
  <c r="K667" i="2" s="1"/>
  <c r="C670" i="2"/>
  <c r="F669" i="2"/>
  <c r="D667" i="2" a="1"/>
  <c r="I668" i="3" l="1" a="1"/>
  <c r="I668" i="3" s="1"/>
  <c r="H668" i="3" a="1"/>
  <c r="H668" i="3" s="1"/>
  <c r="K668" i="3" a="1"/>
  <c r="K668" i="3" s="1"/>
  <c r="C670" i="3"/>
  <c r="G669" i="3" a="1"/>
  <c r="G669" i="3" s="1"/>
  <c r="L669" i="3"/>
  <c r="M669" i="3"/>
  <c r="A668" i="3" a="1"/>
  <c r="A668" i="3" s="1"/>
  <c r="B668" i="3" a="1"/>
  <c r="B668" i="3" s="1"/>
  <c r="D667" i="2"/>
  <c r="C671" i="2"/>
  <c r="F670" i="2"/>
  <c r="A669" i="2" a="1"/>
  <c r="A669" i="2" s="1"/>
  <c r="B669" i="2" a="1"/>
  <c r="B669" i="2" s="1"/>
  <c r="H668" i="2" a="1"/>
  <c r="H668" i="2" s="1"/>
  <c r="J668" i="2" a="1"/>
  <c r="J668" i="2" s="1"/>
  <c r="K668" i="2" a="1"/>
  <c r="K668" i="2" s="1"/>
  <c r="I668" i="2" a="1"/>
  <c r="I668" i="2" s="1"/>
  <c r="D668" i="2" a="1"/>
  <c r="I669" i="3" l="1" a="1"/>
  <c r="I669" i="3" s="1"/>
  <c r="K669" i="3" a="1"/>
  <c r="K669" i="3" s="1"/>
  <c r="H669" i="3" a="1"/>
  <c r="H669" i="3" s="1"/>
  <c r="J669" i="3" a="1"/>
  <c r="J669" i="3" s="1"/>
  <c r="C671" i="3"/>
  <c r="L670" i="3"/>
  <c r="M670" i="3"/>
  <c r="F670" i="3"/>
  <c r="F671" i="3" s="1"/>
  <c r="A669" i="3" a="1"/>
  <c r="A669" i="3" s="1"/>
  <c r="B669" i="3" a="1"/>
  <c r="B669" i="3" s="1"/>
  <c r="D668" i="2"/>
  <c r="I669" i="2" a="1"/>
  <c r="I669" i="2" s="1"/>
  <c r="J669" i="2" a="1"/>
  <c r="J669" i="2" s="1"/>
  <c r="H669" i="2" a="1"/>
  <c r="H669" i="2" s="1"/>
  <c r="K669" i="2" a="1"/>
  <c r="K669" i="2" s="1"/>
  <c r="A670" i="2" a="1"/>
  <c r="A670" i="2" s="1"/>
  <c r="B670" i="2" a="1"/>
  <c r="B670" i="2" s="1"/>
  <c r="C672" i="2"/>
  <c r="F671" i="2"/>
  <c r="D669" i="2" a="1"/>
  <c r="G670" i="3" l="1" a="1"/>
  <c r="G670" i="3" s="1"/>
  <c r="C672" i="3"/>
  <c r="G671" i="3" a="1"/>
  <c r="G671" i="3" s="1"/>
  <c r="L671" i="3"/>
  <c r="M671" i="3"/>
  <c r="B670" i="3" a="1"/>
  <c r="B670" i="3" s="1"/>
  <c r="A670" i="3" a="1"/>
  <c r="A670" i="3" s="1"/>
  <c r="D669" i="2"/>
  <c r="C673" i="2"/>
  <c r="F672" i="2"/>
  <c r="J670" i="2" a="1"/>
  <c r="J670" i="2" s="1"/>
  <c r="I670" i="2" a="1"/>
  <c r="I670" i="2" s="1"/>
  <c r="H670" i="2" a="1"/>
  <c r="H670" i="2" s="1"/>
  <c r="K670" i="2" a="1"/>
  <c r="K670" i="2" s="1"/>
  <c r="B671" i="2" a="1"/>
  <c r="B671" i="2" s="1"/>
  <c r="A671" i="2" a="1"/>
  <c r="A671" i="2" s="1"/>
  <c r="D670" i="2" a="1"/>
  <c r="I671" i="3" l="1" a="1"/>
  <c r="I671" i="3" s="1"/>
  <c r="K671" i="3" a="1"/>
  <c r="K671" i="3" s="1"/>
  <c r="H671" i="3" a="1"/>
  <c r="H671" i="3" s="1"/>
  <c r="C673" i="3"/>
  <c r="G672" i="3" a="1"/>
  <c r="G672" i="3" s="1"/>
  <c r="L672" i="3"/>
  <c r="M672" i="3"/>
  <c r="J671" i="3" a="1"/>
  <c r="J671" i="3" s="1"/>
  <c r="I670" i="3" a="1"/>
  <c r="I670" i="3" s="1"/>
  <c r="H670" i="3" a="1"/>
  <c r="H670" i="3" s="1"/>
  <c r="K670" i="3" a="1"/>
  <c r="K670" i="3" s="1"/>
  <c r="J670" i="3" a="1"/>
  <c r="J670" i="3" s="1"/>
  <c r="F672" i="3"/>
  <c r="F673" i="3" s="1"/>
  <c r="A671" i="3" a="1"/>
  <c r="A671" i="3" s="1"/>
  <c r="B671" i="3" a="1"/>
  <c r="B671" i="3" s="1"/>
  <c r="D670" i="2"/>
  <c r="H671" i="2" a="1"/>
  <c r="H671" i="2" s="1"/>
  <c r="I671" i="2" a="1"/>
  <c r="I671" i="2" s="1"/>
  <c r="J671" i="2" a="1"/>
  <c r="J671" i="2" s="1"/>
  <c r="K671" i="2" a="1"/>
  <c r="K671" i="2" s="1"/>
  <c r="A672" i="2" a="1"/>
  <c r="A672" i="2" s="1"/>
  <c r="B672" i="2" a="1"/>
  <c r="B672" i="2" s="1"/>
  <c r="C674" i="2"/>
  <c r="F673" i="2"/>
  <c r="D671" i="2" a="1"/>
  <c r="I672" i="3" l="1" a="1"/>
  <c r="I672" i="3" s="1"/>
  <c r="H672" i="3" a="1"/>
  <c r="H672" i="3" s="1"/>
  <c r="K672" i="3" a="1"/>
  <c r="K672" i="3" s="1"/>
  <c r="C674" i="3"/>
  <c r="G673" i="3" a="1"/>
  <c r="G673" i="3" s="1"/>
  <c r="L673" i="3"/>
  <c r="M673" i="3"/>
  <c r="J673" i="3" a="1"/>
  <c r="J673" i="3" s="1"/>
  <c r="J672" i="3" a="1"/>
  <c r="J672" i="3" s="1"/>
  <c r="F674" i="3"/>
  <c r="A672" i="3" a="1"/>
  <c r="A672" i="3" s="1"/>
  <c r="B672" i="3" a="1"/>
  <c r="B672" i="3" s="1"/>
  <c r="D671" i="2"/>
  <c r="A673" i="2" a="1"/>
  <c r="A673" i="2" s="1"/>
  <c r="B673" i="2" a="1"/>
  <c r="B673" i="2" s="1"/>
  <c r="H672" i="2" a="1"/>
  <c r="H672" i="2" s="1"/>
  <c r="J672" i="2" a="1"/>
  <c r="J672" i="2" s="1"/>
  <c r="K672" i="2" a="1"/>
  <c r="K672" i="2" s="1"/>
  <c r="I672" i="2" a="1"/>
  <c r="I672" i="2" s="1"/>
  <c r="C675" i="2"/>
  <c r="F674" i="2"/>
  <c r="D672" i="2" a="1"/>
  <c r="C675" i="3" l="1"/>
  <c r="G674" i="3" a="1"/>
  <c r="G674" i="3" s="1"/>
  <c r="L674" i="3"/>
  <c r="M674" i="3"/>
  <c r="F675" i="3"/>
  <c r="I673" i="3" a="1"/>
  <c r="I673" i="3" s="1"/>
  <c r="H673" i="3" a="1"/>
  <c r="H673" i="3" s="1"/>
  <c r="K673" i="3" a="1"/>
  <c r="K673" i="3" s="1"/>
  <c r="A673" i="3" a="1"/>
  <c r="A673" i="3" s="1"/>
  <c r="B673" i="3" a="1"/>
  <c r="B673" i="3" s="1"/>
  <c r="D672" i="2"/>
  <c r="A674" i="2" a="1"/>
  <c r="A674" i="2" s="1"/>
  <c r="B674" i="2" a="1"/>
  <c r="B674" i="2" s="1"/>
  <c r="J673" i="2" a="1"/>
  <c r="J673" i="2" s="1"/>
  <c r="K673" i="2" a="1"/>
  <c r="K673" i="2" s="1"/>
  <c r="H673" i="2" a="1"/>
  <c r="H673" i="2" s="1"/>
  <c r="I673" i="2" a="1"/>
  <c r="I673" i="2" s="1"/>
  <c r="C676" i="2"/>
  <c r="F675" i="2"/>
  <c r="D673" i="2" a="1"/>
  <c r="K674" i="3" l="1" a="1"/>
  <c r="K674" i="3" s="1"/>
  <c r="I674" i="3" a="1"/>
  <c r="I674" i="3" s="1"/>
  <c r="H674" i="3" a="1"/>
  <c r="H674" i="3" s="1"/>
  <c r="J674" i="3" a="1"/>
  <c r="J674" i="3" s="1"/>
  <c r="C676" i="3"/>
  <c r="G675" i="3" a="1"/>
  <c r="G675" i="3" s="1"/>
  <c r="L675" i="3"/>
  <c r="M675" i="3"/>
  <c r="J675" i="3" a="1"/>
  <c r="J675" i="3" s="1"/>
  <c r="A674" i="3" a="1"/>
  <c r="A674" i="3" s="1"/>
  <c r="B674" i="3" a="1"/>
  <c r="B674" i="3" s="1"/>
  <c r="D673" i="2"/>
  <c r="H674" i="2" a="1"/>
  <c r="H674" i="2" s="1"/>
  <c r="I674" i="2" a="1"/>
  <c r="I674" i="2" s="1"/>
  <c r="J674" i="2" a="1"/>
  <c r="J674" i="2" s="1"/>
  <c r="K674" i="2" a="1"/>
  <c r="K674" i="2" s="1"/>
  <c r="B675" i="2" a="1"/>
  <c r="B675" i="2" s="1"/>
  <c r="A675" i="2" a="1"/>
  <c r="A675" i="2" s="1"/>
  <c r="C677" i="2"/>
  <c r="F676" i="2"/>
  <c r="D674" i="2" a="1"/>
  <c r="I675" i="3" l="1" a="1"/>
  <c r="I675" i="3" s="1"/>
  <c r="H675" i="3" a="1"/>
  <c r="H675" i="3" s="1"/>
  <c r="K675" i="3" a="1"/>
  <c r="K675" i="3" s="1"/>
  <c r="C677" i="3"/>
  <c r="L676" i="3"/>
  <c r="M676" i="3"/>
  <c r="F676" i="3"/>
  <c r="F677" i="3" s="1"/>
  <c r="B675" i="3" a="1"/>
  <c r="B675" i="3" s="1"/>
  <c r="A675" i="3" a="1"/>
  <c r="A675" i="3" s="1"/>
  <c r="D674" i="2"/>
  <c r="C678" i="2"/>
  <c r="F677" i="2"/>
  <c r="H675" i="2" a="1"/>
  <c r="H675" i="2" s="1"/>
  <c r="I675" i="2" a="1"/>
  <c r="I675" i="2" s="1"/>
  <c r="J675" i="2" a="1"/>
  <c r="J675" i="2" s="1"/>
  <c r="K675" i="2" a="1"/>
  <c r="K675" i="2" s="1"/>
  <c r="A676" i="2" a="1"/>
  <c r="A676" i="2" s="1"/>
  <c r="B676" i="2" a="1"/>
  <c r="B676" i="2" s="1"/>
  <c r="D675" i="2" a="1"/>
  <c r="G676" i="3" l="1" a="1"/>
  <c r="G676" i="3" s="1"/>
  <c r="C678" i="3"/>
  <c r="G677" i="3" a="1"/>
  <c r="G677" i="3" s="1"/>
  <c r="L677" i="3"/>
  <c r="M677" i="3"/>
  <c r="A676" i="3" a="1"/>
  <c r="A676" i="3" s="1"/>
  <c r="B676" i="3" a="1"/>
  <c r="B676" i="3" s="1"/>
  <c r="D675" i="2"/>
  <c r="A677" i="2" a="1"/>
  <c r="A677" i="2" s="1"/>
  <c r="B677" i="2" a="1"/>
  <c r="B677" i="2" s="1"/>
  <c r="K676" i="2" a="1"/>
  <c r="K676" i="2" s="1"/>
  <c r="J676" i="2" a="1"/>
  <c r="J676" i="2" s="1"/>
  <c r="H676" i="2" a="1"/>
  <c r="H676" i="2" s="1"/>
  <c r="I676" i="2" a="1"/>
  <c r="I676" i="2" s="1"/>
  <c r="C679" i="2"/>
  <c r="F678" i="2"/>
  <c r="D676" i="2" a="1"/>
  <c r="I677" i="3" l="1" a="1"/>
  <c r="I677" i="3" s="1"/>
  <c r="H677" i="3" a="1"/>
  <c r="H677" i="3" s="1"/>
  <c r="K677" i="3" a="1"/>
  <c r="K677" i="3" s="1"/>
  <c r="C679" i="3"/>
  <c r="G678" i="3" a="1"/>
  <c r="G678" i="3" s="1"/>
  <c r="J678" i="3" a="1"/>
  <c r="J678" i="3" s="1"/>
  <c r="L678" i="3"/>
  <c r="M678" i="3"/>
  <c r="J677" i="3" a="1"/>
  <c r="J677" i="3" s="1"/>
  <c r="I676" i="3" a="1"/>
  <c r="I676" i="3" s="1"/>
  <c r="H676" i="3" a="1"/>
  <c r="H676" i="3" s="1"/>
  <c r="K676" i="3" a="1"/>
  <c r="K676" i="3" s="1"/>
  <c r="J676" i="3" a="1"/>
  <c r="J676" i="3" s="1"/>
  <c r="F678" i="3"/>
  <c r="A677" i="3" a="1"/>
  <c r="A677" i="3" s="1"/>
  <c r="B677" i="3" a="1"/>
  <c r="B677" i="3" s="1"/>
  <c r="D676" i="2"/>
  <c r="C680" i="2"/>
  <c r="F679" i="2"/>
  <c r="H677" i="2" a="1"/>
  <c r="H677" i="2" s="1"/>
  <c r="J677" i="2" a="1"/>
  <c r="J677" i="2" s="1"/>
  <c r="I677" i="2" a="1"/>
  <c r="I677" i="2" s="1"/>
  <c r="K677" i="2" a="1"/>
  <c r="K677" i="2" s="1"/>
  <c r="B678" i="2" a="1"/>
  <c r="B678" i="2" s="1"/>
  <c r="A678" i="2" a="1"/>
  <c r="A678" i="2" s="1"/>
  <c r="D677" i="2" a="1"/>
  <c r="C680" i="3" l="1"/>
  <c r="L679" i="3"/>
  <c r="M679" i="3"/>
  <c r="F679" i="3"/>
  <c r="F680" i="3" s="1"/>
  <c r="I678" i="3" a="1"/>
  <c r="I678" i="3" s="1"/>
  <c r="H678" i="3" a="1"/>
  <c r="H678" i="3" s="1"/>
  <c r="K678" i="3" a="1"/>
  <c r="K678" i="3" s="1"/>
  <c r="A678" i="3" a="1"/>
  <c r="A678" i="3" s="1"/>
  <c r="B678" i="3" a="1"/>
  <c r="B678" i="3" s="1"/>
  <c r="D677" i="2"/>
  <c r="K678" i="2" a="1"/>
  <c r="K678" i="2" s="1"/>
  <c r="I678" i="2" a="1"/>
  <c r="I678" i="2" s="1"/>
  <c r="J678" i="2" a="1"/>
  <c r="J678" i="2" s="1"/>
  <c r="H678" i="2" a="1"/>
  <c r="H678" i="2" s="1"/>
  <c r="B679" i="2" a="1"/>
  <c r="B679" i="2" s="1"/>
  <c r="A679" i="2" a="1"/>
  <c r="A679" i="2" s="1"/>
  <c r="C681" i="2"/>
  <c r="F680" i="2"/>
  <c r="D678" i="2" a="1"/>
  <c r="G679" i="3" l="1" a="1"/>
  <c r="G679" i="3" s="1"/>
  <c r="C681" i="3"/>
  <c r="G680" i="3" a="1"/>
  <c r="G680" i="3" s="1"/>
  <c r="L680" i="3"/>
  <c r="M680" i="3"/>
  <c r="J680" i="3" a="1"/>
  <c r="J680" i="3" s="1"/>
  <c r="A679" i="3" a="1"/>
  <c r="A679" i="3" s="1"/>
  <c r="B679" i="3" a="1"/>
  <c r="B679" i="3" s="1"/>
  <c r="D678" i="2"/>
  <c r="C682" i="2"/>
  <c r="F681" i="2"/>
  <c r="A680" i="2" a="1"/>
  <c r="A680" i="2" s="1"/>
  <c r="B680" i="2" a="1"/>
  <c r="B680" i="2" s="1"/>
  <c r="I679" i="2" a="1"/>
  <c r="I679" i="2" s="1"/>
  <c r="J679" i="2" a="1"/>
  <c r="J679" i="2" s="1"/>
  <c r="K679" i="2" a="1"/>
  <c r="K679" i="2" s="1"/>
  <c r="H679" i="2" a="1"/>
  <c r="H679" i="2" s="1"/>
  <c r="D679" i="2" a="1"/>
  <c r="I679" i="3" l="1" a="1"/>
  <c r="I679" i="3" s="1"/>
  <c r="H679" i="3" a="1"/>
  <c r="H679" i="3" s="1"/>
  <c r="K679" i="3" a="1"/>
  <c r="K679" i="3" s="1"/>
  <c r="J679" i="3" a="1"/>
  <c r="J679" i="3" s="1"/>
  <c r="H680" i="3" a="1"/>
  <c r="H680" i="3" s="1"/>
  <c r="I680" i="3" a="1"/>
  <c r="I680" i="3" s="1"/>
  <c r="K680" i="3" a="1"/>
  <c r="K680" i="3" s="1"/>
  <c r="C682" i="3"/>
  <c r="G681" i="3" a="1"/>
  <c r="G681" i="3" s="1"/>
  <c r="L681" i="3"/>
  <c r="M681" i="3"/>
  <c r="J681" i="3" a="1"/>
  <c r="J681" i="3" s="1"/>
  <c r="F681" i="3"/>
  <c r="A680" i="3" a="1"/>
  <c r="A680" i="3" s="1"/>
  <c r="B680" i="3" a="1"/>
  <c r="B680" i="3" s="1"/>
  <c r="D679" i="2"/>
  <c r="I680" i="2" a="1"/>
  <c r="I680" i="2" s="1"/>
  <c r="K680" i="2" a="1"/>
  <c r="K680" i="2" s="1"/>
  <c r="J680" i="2" a="1"/>
  <c r="J680" i="2" s="1"/>
  <c r="H680" i="2" a="1"/>
  <c r="H680" i="2" s="1"/>
  <c r="A681" i="2" a="1"/>
  <c r="A681" i="2" s="1"/>
  <c r="B681" i="2" a="1"/>
  <c r="B681" i="2" s="1"/>
  <c r="C683" i="2"/>
  <c r="F682" i="2"/>
  <c r="D680" i="2" a="1"/>
  <c r="H681" i="3" l="1" a="1"/>
  <c r="H681" i="3" s="1"/>
  <c r="I681" i="3" a="1"/>
  <c r="I681" i="3" s="1"/>
  <c r="K681" i="3" a="1"/>
  <c r="K681" i="3" s="1"/>
  <c r="C683" i="3"/>
  <c r="L682" i="3"/>
  <c r="M682" i="3"/>
  <c r="F682" i="3"/>
  <c r="F683" i="3" s="1"/>
  <c r="A681" i="3" a="1"/>
  <c r="A681" i="3" s="1"/>
  <c r="B681" i="3" a="1"/>
  <c r="B681" i="3" s="1"/>
  <c r="D680" i="2"/>
  <c r="C684" i="2"/>
  <c r="F683" i="2"/>
  <c r="J681" i="2" a="1"/>
  <c r="J681" i="2" s="1"/>
  <c r="I681" i="2" a="1"/>
  <c r="I681" i="2" s="1"/>
  <c r="K681" i="2" a="1"/>
  <c r="K681" i="2" s="1"/>
  <c r="H681" i="2" a="1"/>
  <c r="H681" i="2" s="1"/>
  <c r="B682" i="2" a="1"/>
  <c r="B682" i="2" s="1"/>
  <c r="A682" i="2" a="1"/>
  <c r="A682" i="2" s="1"/>
  <c r="D681" i="2" a="1"/>
  <c r="G682" i="3" l="1" a="1"/>
  <c r="G682" i="3" s="1"/>
  <c r="C684" i="3"/>
  <c r="G683" i="3" a="1"/>
  <c r="G683" i="3" s="1"/>
  <c r="L683" i="3"/>
  <c r="M683" i="3"/>
  <c r="B682" i="3" a="1"/>
  <c r="B682" i="3" s="1"/>
  <c r="A682" i="3" a="1"/>
  <c r="A682" i="3" s="1"/>
  <c r="D681" i="2"/>
  <c r="H682" i="2" a="1"/>
  <c r="H682" i="2" s="1"/>
  <c r="I682" i="2" a="1"/>
  <c r="I682" i="2" s="1"/>
  <c r="J682" i="2" a="1"/>
  <c r="J682" i="2" s="1"/>
  <c r="K682" i="2" a="1"/>
  <c r="K682" i="2" s="1"/>
  <c r="B683" i="2" a="1"/>
  <c r="B683" i="2" s="1"/>
  <c r="A683" i="2" a="1"/>
  <c r="A683" i="2" s="1"/>
  <c r="C685" i="2"/>
  <c r="F684" i="2"/>
  <c r="D682" i="2" a="1"/>
  <c r="H683" i="3" l="1" a="1"/>
  <c r="H683" i="3" s="1"/>
  <c r="K683" i="3" a="1"/>
  <c r="K683" i="3" s="1"/>
  <c r="I683" i="3" a="1"/>
  <c r="I683" i="3" s="1"/>
  <c r="C685" i="3"/>
  <c r="G684" i="3" a="1"/>
  <c r="G684" i="3" s="1"/>
  <c r="L684" i="3"/>
  <c r="M684" i="3"/>
  <c r="J684" i="3" a="1"/>
  <c r="J684" i="3" s="1"/>
  <c r="J683" i="3" a="1"/>
  <c r="J683" i="3" s="1"/>
  <c r="I682" i="3" a="1"/>
  <c r="I682" i="3" s="1"/>
  <c r="H682" i="3" a="1"/>
  <c r="H682" i="3" s="1"/>
  <c r="K682" i="3" a="1"/>
  <c r="K682" i="3" s="1"/>
  <c r="J682" i="3" a="1"/>
  <c r="J682" i="3" s="1"/>
  <c r="F684" i="3"/>
  <c r="A683" i="3" a="1"/>
  <c r="A683" i="3" s="1"/>
  <c r="B683" i="3" a="1"/>
  <c r="B683" i="3" s="1"/>
  <c r="D682" i="2"/>
  <c r="I683" i="2" a="1"/>
  <c r="I683" i="2" s="1"/>
  <c r="J683" i="2" a="1"/>
  <c r="J683" i="2" s="1"/>
  <c r="H683" i="2" a="1"/>
  <c r="H683" i="2" s="1"/>
  <c r="K683" i="2" a="1"/>
  <c r="K683" i="2" s="1"/>
  <c r="A684" i="2" a="1"/>
  <c r="A684" i="2" s="1"/>
  <c r="B684" i="2" a="1"/>
  <c r="B684" i="2" s="1"/>
  <c r="C686" i="2"/>
  <c r="F685" i="2"/>
  <c r="D683" i="2" a="1"/>
  <c r="C686" i="3" l="1"/>
  <c r="L685" i="3"/>
  <c r="M685" i="3"/>
  <c r="K684" i="3" a="1"/>
  <c r="K684" i="3" s="1"/>
  <c r="H684" i="3" a="1"/>
  <c r="H684" i="3" s="1"/>
  <c r="I684" i="3" a="1"/>
  <c r="I684" i="3" s="1"/>
  <c r="F685" i="3"/>
  <c r="F686" i="3" s="1"/>
  <c r="A684" i="3" a="1"/>
  <c r="A684" i="3" s="1"/>
  <c r="B684" i="3" a="1"/>
  <c r="B684" i="3" s="1"/>
  <c r="D683" i="2"/>
  <c r="A685" i="2" a="1"/>
  <c r="A685" i="2" s="1"/>
  <c r="B685" i="2" a="1"/>
  <c r="B685" i="2" s="1"/>
  <c r="J684" i="2" a="1"/>
  <c r="J684" i="2" s="1"/>
  <c r="H684" i="2" a="1"/>
  <c r="H684" i="2" s="1"/>
  <c r="I684" i="2" a="1"/>
  <c r="I684" i="2" s="1"/>
  <c r="K684" i="2" a="1"/>
  <c r="K684" i="2" s="1"/>
  <c r="C687" i="2"/>
  <c r="F686" i="2"/>
  <c r="D684" i="2" a="1"/>
  <c r="G685" i="3" l="1" a="1"/>
  <c r="G685" i="3" s="1"/>
  <c r="C687" i="3"/>
  <c r="G686" i="3" a="1"/>
  <c r="G686" i="3" s="1"/>
  <c r="L686" i="3"/>
  <c r="M686" i="3"/>
  <c r="J686" i="3" a="1"/>
  <c r="J686" i="3" s="1"/>
  <c r="A685" i="3" a="1"/>
  <c r="A685" i="3" s="1"/>
  <c r="B685" i="3" a="1"/>
  <c r="B685" i="3" s="1"/>
  <c r="D684" i="2"/>
  <c r="A686" i="2" a="1"/>
  <c r="A686" i="2" s="1"/>
  <c r="B686" i="2" a="1"/>
  <c r="B686" i="2" s="1"/>
  <c r="H685" i="2" a="1"/>
  <c r="H685" i="2" s="1"/>
  <c r="K685" i="2" a="1"/>
  <c r="K685" i="2" s="1"/>
  <c r="J685" i="2" a="1"/>
  <c r="J685" i="2" s="1"/>
  <c r="I685" i="2" a="1"/>
  <c r="I685" i="2" s="1"/>
  <c r="C688" i="2"/>
  <c r="F687" i="2"/>
  <c r="D685" i="2" a="1"/>
  <c r="C688" i="3" l="1"/>
  <c r="G687" i="3" a="1"/>
  <c r="G687" i="3" s="1"/>
  <c r="L687" i="3"/>
  <c r="M687" i="3"/>
  <c r="J687" i="3" a="1"/>
  <c r="J687" i="3" s="1"/>
  <c r="H686" i="3" a="1"/>
  <c r="H686" i="3" s="1"/>
  <c r="I686" i="3" a="1"/>
  <c r="I686" i="3" s="1"/>
  <c r="K686" i="3" a="1"/>
  <c r="K686" i="3" s="1"/>
  <c r="H685" i="3" a="1"/>
  <c r="H685" i="3" s="1"/>
  <c r="I685" i="3" a="1"/>
  <c r="I685" i="3" s="1"/>
  <c r="K685" i="3" a="1"/>
  <c r="K685" i="3" s="1"/>
  <c r="J685" i="3" a="1"/>
  <c r="J685" i="3" s="1"/>
  <c r="F687" i="3"/>
  <c r="F688" i="3" s="1"/>
  <c r="B686" i="3" a="1"/>
  <c r="B686" i="3" s="1"/>
  <c r="A686" i="3" a="1"/>
  <c r="A686" i="3" s="1"/>
  <c r="D685" i="2"/>
  <c r="C689" i="2"/>
  <c r="F688" i="2"/>
  <c r="J686" i="2" a="1"/>
  <c r="J686" i="2" s="1"/>
  <c r="K686" i="2" a="1"/>
  <c r="K686" i="2" s="1"/>
  <c r="H686" i="2" a="1"/>
  <c r="H686" i="2" s="1"/>
  <c r="I686" i="2" a="1"/>
  <c r="I686" i="2" s="1"/>
  <c r="A687" i="2" a="1"/>
  <c r="A687" i="2" s="1"/>
  <c r="B687" i="2" a="1"/>
  <c r="B687" i="2" s="1"/>
  <c r="D686" i="2" a="1"/>
  <c r="K687" i="3" l="1" a="1"/>
  <c r="K687" i="3" s="1"/>
  <c r="H687" i="3" a="1"/>
  <c r="H687" i="3" s="1"/>
  <c r="I687" i="3" a="1"/>
  <c r="I687" i="3" s="1"/>
  <c r="C689" i="3"/>
  <c r="G688" i="3" a="1"/>
  <c r="G688" i="3" s="1"/>
  <c r="L688" i="3"/>
  <c r="M688" i="3"/>
  <c r="J688" i="3" a="1"/>
  <c r="J688" i="3" s="1"/>
  <c r="A687" i="3" a="1"/>
  <c r="A687" i="3" s="1"/>
  <c r="B687" i="3" a="1"/>
  <c r="B687" i="3" s="1"/>
  <c r="D686" i="2"/>
  <c r="J687" i="2" a="1"/>
  <c r="J687" i="2" s="1"/>
  <c r="K687" i="2" a="1"/>
  <c r="K687" i="2" s="1"/>
  <c r="H687" i="2" a="1"/>
  <c r="H687" i="2" s="1"/>
  <c r="I687" i="2" a="1"/>
  <c r="I687" i="2" s="1"/>
  <c r="B688" i="2" a="1"/>
  <c r="B688" i="2" s="1"/>
  <c r="A688" i="2" a="1"/>
  <c r="A688" i="2" s="1"/>
  <c r="C690" i="2"/>
  <c r="F689" i="2"/>
  <c r="D687" i="2" a="1"/>
  <c r="C690" i="3" l="1"/>
  <c r="L689" i="3"/>
  <c r="M689" i="3"/>
  <c r="F689" i="3"/>
  <c r="F690" i="3" s="1"/>
  <c r="I688" i="3" a="1"/>
  <c r="I688" i="3" s="1"/>
  <c r="H688" i="3" a="1"/>
  <c r="H688" i="3" s="1"/>
  <c r="K688" i="3" a="1"/>
  <c r="K688" i="3" s="1"/>
  <c r="A688" i="3" a="1"/>
  <c r="A688" i="3" s="1"/>
  <c r="B688" i="3" a="1"/>
  <c r="B688" i="3" s="1"/>
  <c r="D687" i="2"/>
  <c r="C691" i="2"/>
  <c r="F690" i="2"/>
  <c r="B689" i="2" a="1"/>
  <c r="B689" i="2" s="1"/>
  <c r="A689" i="2" a="1"/>
  <c r="A689" i="2" s="1"/>
  <c r="I688" i="2" a="1"/>
  <c r="I688" i="2" s="1"/>
  <c r="K688" i="2" a="1"/>
  <c r="K688" i="2" s="1"/>
  <c r="J688" i="2" a="1"/>
  <c r="J688" i="2" s="1"/>
  <c r="H688" i="2" a="1"/>
  <c r="H688" i="2" s="1"/>
  <c r="D688" i="2" a="1"/>
  <c r="G689" i="3" l="1" a="1"/>
  <c r="G689" i="3" s="1"/>
  <c r="C691" i="3"/>
  <c r="G690" i="3" a="1"/>
  <c r="G690" i="3" s="1"/>
  <c r="L690" i="3"/>
  <c r="M690" i="3"/>
  <c r="J690" i="3" a="1"/>
  <c r="J690" i="3" s="1"/>
  <c r="A689" i="3" a="1"/>
  <c r="A689" i="3" s="1"/>
  <c r="B689" i="3" a="1"/>
  <c r="B689" i="3" s="1"/>
  <c r="D688" i="2"/>
  <c r="I689" i="2" a="1"/>
  <c r="I689" i="2" s="1"/>
  <c r="J689" i="2" a="1"/>
  <c r="J689" i="2" s="1"/>
  <c r="H689" i="2" a="1"/>
  <c r="H689" i="2" s="1"/>
  <c r="K689" i="2" a="1"/>
  <c r="K689" i="2" s="1"/>
  <c r="B690" i="2" a="1"/>
  <c r="B690" i="2" s="1"/>
  <c r="A690" i="2" a="1"/>
  <c r="A690" i="2" s="1"/>
  <c r="C692" i="2"/>
  <c r="F691" i="2"/>
  <c r="D689" i="2" a="1"/>
  <c r="C692" i="3" l="1"/>
  <c r="G691" i="3" a="1"/>
  <c r="G691" i="3" s="1"/>
  <c r="L691" i="3"/>
  <c r="M691" i="3"/>
  <c r="J691" i="3" a="1"/>
  <c r="J691" i="3" s="1"/>
  <c r="H690" i="3" a="1"/>
  <c r="H690" i="3" s="1"/>
  <c r="I690" i="3" a="1"/>
  <c r="I690" i="3" s="1"/>
  <c r="K690" i="3" a="1"/>
  <c r="K690" i="3" s="1"/>
  <c r="K689" i="3" a="1"/>
  <c r="K689" i="3" s="1"/>
  <c r="I689" i="3" a="1"/>
  <c r="I689" i="3" s="1"/>
  <c r="H689" i="3" a="1"/>
  <c r="H689" i="3" s="1"/>
  <c r="J689" i="3" a="1"/>
  <c r="J689" i="3" s="1"/>
  <c r="F691" i="3"/>
  <c r="F692" i="3" s="1"/>
  <c r="A690" i="3" a="1"/>
  <c r="A690" i="3" s="1"/>
  <c r="B690" i="3" a="1"/>
  <c r="B690" i="3" s="1"/>
  <c r="D689" i="2"/>
  <c r="B691" i="2" a="1"/>
  <c r="B691" i="2" s="1"/>
  <c r="A691" i="2" a="1"/>
  <c r="A691" i="2" s="1"/>
  <c r="C693" i="2"/>
  <c r="F692" i="2"/>
  <c r="J690" i="2" a="1"/>
  <c r="J690" i="2" s="1"/>
  <c r="K690" i="2" a="1"/>
  <c r="K690" i="2" s="1"/>
  <c r="I690" i="2" a="1"/>
  <c r="I690" i="2" s="1"/>
  <c r="H690" i="2" a="1"/>
  <c r="H690" i="2" s="1"/>
  <c r="D690" i="2" a="1"/>
  <c r="I691" i="3" l="1" a="1"/>
  <c r="I691" i="3" s="1"/>
  <c r="H691" i="3" a="1"/>
  <c r="H691" i="3" s="1"/>
  <c r="K691" i="3" a="1"/>
  <c r="K691" i="3" s="1"/>
  <c r="C693" i="3"/>
  <c r="G692" i="3" a="1"/>
  <c r="G692" i="3" s="1"/>
  <c r="L692" i="3"/>
  <c r="M692" i="3"/>
  <c r="J692" i="3" a="1"/>
  <c r="J692" i="3" s="1"/>
  <c r="A691" i="3" a="1"/>
  <c r="A691" i="3" s="1"/>
  <c r="B691" i="3" a="1"/>
  <c r="B691" i="3" s="1"/>
  <c r="D690" i="2"/>
  <c r="B692" i="2" a="1"/>
  <c r="B692" i="2" s="1"/>
  <c r="A692" i="2" a="1"/>
  <c r="A692" i="2" s="1"/>
  <c r="C694" i="2"/>
  <c r="F693" i="2"/>
  <c r="J691" i="2" a="1"/>
  <c r="J691" i="2" s="1"/>
  <c r="H691" i="2" a="1"/>
  <c r="H691" i="2" s="1"/>
  <c r="K691" i="2" a="1"/>
  <c r="K691" i="2" s="1"/>
  <c r="I691" i="2" a="1"/>
  <c r="I691" i="2" s="1"/>
  <c r="D691" i="2" a="1"/>
  <c r="I692" i="3" l="1" a="1"/>
  <c r="I692" i="3" s="1"/>
  <c r="H692" i="3" a="1"/>
  <c r="H692" i="3" s="1"/>
  <c r="K692" i="3" a="1"/>
  <c r="K692" i="3" s="1"/>
  <c r="C694" i="3"/>
  <c r="L693" i="3"/>
  <c r="M693" i="3"/>
  <c r="F693" i="3"/>
  <c r="F694" i="3" s="1"/>
  <c r="A692" i="3" a="1"/>
  <c r="A692" i="3" s="1"/>
  <c r="B692" i="3" a="1"/>
  <c r="B692" i="3" s="1"/>
  <c r="D691" i="2"/>
  <c r="A693" i="2" a="1"/>
  <c r="A693" i="2" s="1"/>
  <c r="B693" i="2" a="1"/>
  <c r="B693" i="2" s="1"/>
  <c r="C695" i="2"/>
  <c r="F694" i="2"/>
  <c r="I692" i="2" a="1"/>
  <c r="I692" i="2" s="1"/>
  <c r="H692" i="2" a="1"/>
  <c r="H692" i="2" s="1"/>
  <c r="J692" i="2" a="1"/>
  <c r="J692" i="2" s="1"/>
  <c r="K692" i="2" a="1"/>
  <c r="K692" i="2" s="1"/>
  <c r="D692" i="2" a="1"/>
  <c r="G693" i="3" l="1" a="1"/>
  <c r="G693" i="3" s="1"/>
  <c r="C695" i="3"/>
  <c r="G694" i="3" a="1"/>
  <c r="G694" i="3" s="1"/>
  <c r="L694" i="3"/>
  <c r="M694" i="3"/>
  <c r="J694" i="3" a="1"/>
  <c r="J694" i="3" s="1"/>
  <c r="A693" i="3" a="1"/>
  <c r="A693" i="3" s="1"/>
  <c r="B693" i="3" a="1"/>
  <c r="B693" i="3" s="1"/>
  <c r="D692" i="2"/>
  <c r="I693" i="2" a="1"/>
  <c r="I693" i="2" s="1"/>
  <c r="K693" i="2" a="1"/>
  <c r="K693" i="2" s="1"/>
  <c r="H693" i="2" a="1"/>
  <c r="H693" i="2" s="1"/>
  <c r="J693" i="2" a="1"/>
  <c r="J693" i="2" s="1"/>
  <c r="A694" i="2" a="1"/>
  <c r="A694" i="2" s="1"/>
  <c r="B694" i="2" a="1"/>
  <c r="B694" i="2" s="1"/>
  <c r="C696" i="2"/>
  <c r="F695" i="2"/>
  <c r="D693" i="2" a="1"/>
  <c r="C696" i="3" l="1"/>
  <c r="G695" i="3" a="1"/>
  <c r="G695" i="3" s="1"/>
  <c r="L695" i="3"/>
  <c r="M695" i="3"/>
  <c r="J695" i="3" a="1"/>
  <c r="J695" i="3" s="1"/>
  <c r="I694" i="3" a="1"/>
  <c r="I694" i="3" s="1"/>
  <c r="H694" i="3" a="1"/>
  <c r="H694" i="3" s="1"/>
  <c r="K694" i="3" a="1"/>
  <c r="K694" i="3" s="1"/>
  <c r="K693" i="3" a="1"/>
  <c r="K693" i="3" s="1"/>
  <c r="H693" i="3" a="1"/>
  <c r="H693" i="3" s="1"/>
  <c r="I693" i="3" a="1"/>
  <c r="I693" i="3" s="1"/>
  <c r="J693" i="3" a="1"/>
  <c r="J693" i="3" s="1"/>
  <c r="F695" i="3"/>
  <c r="F696" i="3" s="1"/>
  <c r="A694" i="3" a="1"/>
  <c r="A694" i="3" s="1"/>
  <c r="B694" i="3" a="1"/>
  <c r="B694" i="3" s="1"/>
  <c r="D693" i="2"/>
  <c r="A695" i="2" a="1"/>
  <c r="A695" i="2" s="1"/>
  <c r="B695" i="2" a="1"/>
  <c r="B695" i="2" s="1"/>
  <c r="J694" i="2" a="1"/>
  <c r="J694" i="2" s="1"/>
  <c r="K694" i="2" a="1"/>
  <c r="K694" i="2" s="1"/>
  <c r="H694" i="2" a="1"/>
  <c r="H694" i="2" s="1"/>
  <c r="I694" i="2" a="1"/>
  <c r="I694" i="2" s="1"/>
  <c r="C697" i="2"/>
  <c r="F696" i="2"/>
  <c r="D694" i="2" a="1"/>
  <c r="K695" i="3" l="1" a="1"/>
  <c r="K695" i="3" s="1"/>
  <c r="H695" i="3" a="1"/>
  <c r="H695" i="3" s="1"/>
  <c r="I695" i="3" a="1"/>
  <c r="I695" i="3" s="1"/>
  <c r="C697" i="3"/>
  <c r="F697" i="3" s="1"/>
  <c r="G696" i="3" a="1"/>
  <c r="G696" i="3" s="1"/>
  <c r="M696" i="3"/>
  <c r="L696" i="3"/>
  <c r="A695" i="3" a="1"/>
  <c r="A695" i="3" s="1"/>
  <c r="B695" i="3" a="1"/>
  <c r="B695" i="3" s="1"/>
  <c r="D694" i="2"/>
  <c r="B696" i="2" a="1"/>
  <c r="B696" i="2" s="1"/>
  <c r="A696" i="2" a="1"/>
  <c r="A696" i="2" s="1"/>
  <c r="C698" i="2"/>
  <c r="F697" i="2"/>
  <c r="K695" i="2" a="1"/>
  <c r="K695" i="2" s="1"/>
  <c r="I695" i="2" a="1"/>
  <c r="I695" i="2" s="1"/>
  <c r="H695" i="2" a="1"/>
  <c r="H695" i="2" s="1"/>
  <c r="J695" i="2" a="1"/>
  <c r="J695" i="2" s="1"/>
  <c r="D695" i="2" a="1"/>
  <c r="K696" i="3" l="1" a="1"/>
  <c r="K696" i="3" s="1"/>
  <c r="H696" i="3" a="1"/>
  <c r="H696" i="3" s="1"/>
  <c r="I696" i="3" a="1"/>
  <c r="I696" i="3" s="1"/>
  <c r="J696" i="3" a="1"/>
  <c r="J696" i="3" s="1"/>
  <c r="C698" i="3"/>
  <c r="G697" i="3" a="1"/>
  <c r="G697" i="3" s="1"/>
  <c r="L697" i="3"/>
  <c r="M697" i="3"/>
  <c r="J697" i="3" a="1"/>
  <c r="J697" i="3" s="1"/>
  <c r="A696" i="3" a="1"/>
  <c r="A696" i="3" s="1"/>
  <c r="B696" i="3" a="1"/>
  <c r="B696" i="3" s="1"/>
  <c r="D695" i="2"/>
  <c r="A697" i="2" a="1"/>
  <c r="A697" i="2" s="1"/>
  <c r="B697" i="2" a="1"/>
  <c r="B697" i="2" s="1"/>
  <c r="C699" i="2"/>
  <c r="F698" i="2"/>
  <c r="H696" i="2" a="1"/>
  <c r="H696" i="2" s="1"/>
  <c r="I696" i="2" a="1"/>
  <c r="I696" i="2" s="1"/>
  <c r="K696" i="2" a="1"/>
  <c r="K696" i="2" s="1"/>
  <c r="J696" i="2" a="1"/>
  <c r="J696" i="2" s="1"/>
  <c r="D696" i="2" a="1"/>
  <c r="I697" i="3" l="1" a="1"/>
  <c r="I697" i="3" s="1"/>
  <c r="H697" i="3" a="1"/>
  <c r="H697" i="3" s="1"/>
  <c r="K697" i="3" a="1"/>
  <c r="K697" i="3" s="1"/>
  <c r="C699" i="3"/>
  <c r="L698" i="3"/>
  <c r="M698" i="3"/>
  <c r="F698" i="3"/>
  <c r="F699" i="3" s="1"/>
  <c r="A697" i="3" a="1"/>
  <c r="A697" i="3" s="1"/>
  <c r="B697" i="3" a="1"/>
  <c r="B697" i="3" s="1"/>
  <c r="D696" i="2"/>
  <c r="I697" i="2" a="1"/>
  <c r="I697" i="2" s="1"/>
  <c r="H697" i="2" a="1"/>
  <c r="H697" i="2" s="1"/>
  <c r="K697" i="2" a="1"/>
  <c r="K697" i="2" s="1"/>
  <c r="J697" i="2" a="1"/>
  <c r="J697" i="2" s="1"/>
  <c r="A698" i="2" a="1"/>
  <c r="A698" i="2" s="1"/>
  <c r="B698" i="2" a="1"/>
  <c r="B698" i="2" s="1"/>
  <c r="C700" i="2"/>
  <c r="F699" i="2"/>
  <c r="D697" i="2" a="1"/>
  <c r="G698" i="3" l="1" a="1"/>
  <c r="G698" i="3" s="1"/>
  <c r="C700" i="3"/>
  <c r="G699" i="3" a="1"/>
  <c r="G699" i="3" s="1"/>
  <c r="J699" i="3" s="1" a="1"/>
  <c r="J699" i="3" s="1"/>
  <c r="L699" i="3"/>
  <c r="M699" i="3"/>
  <c r="B698" i="3" a="1"/>
  <c r="B698" i="3" s="1"/>
  <c r="A698" i="3" a="1"/>
  <c r="A698" i="3" s="1"/>
  <c r="D697" i="2"/>
  <c r="A699" i="2" a="1"/>
  <c r="A699" i="2" s="1"/>
  <c r="B699" i="2" a="1"/>
  <c r="B699" i="2" s="1"/>
  <c r="C701" i="2"/>
  <c r="F700" i="2"/>
  <c r="H698" i="2" a="1"/>
  <c r="H698" i="2" s="1"/>
  <c r="J698" i="2" a="1"/>
  <c r="J698" i="2" s="1"/>
  <c r="K698" i="2" a="1"/>
  <c r="K698" i="2" s="1"/>
  <c r="I698" i="2" a="1"/>
  <c r="I698" i="2" s="1"/>
  <c r="D698" i="2" a="1"/>
  <c r="H698" i="3" l="1" a="1"/>
  <c r="H698" i="3" s="1"/>
  <c r="I698" i="3" a="1"/>
  <c r="I698" i="3" s="1"/>
  <c r="K698" i="3" a="1"/>
  <c r="K698" i="3" s="1"/>
  <c r="J698" i="3" a="1"/>
  <c r="J698" i="3" s="1"/>
  <c r="K699" i="3" a="1"/>
  <c r="K699" i="3" s="1"/>
  <c r="H699" i="3" a="1"/>
  <c r="H699" i="3" s="1"/>
  <c r="I699" i="3" a="1"/>
  <c r="I699" i="3" s="1"/>
  <c r="C701" i="3"/>
  <c r="G700" i="3" a="1"/>
  <c r="G700" i="3" s="1"/>
  <c r="L700" i="3"/>
  <c r="M700" i="3"/>
  <c r="J700" i="3" a="1"/>
  <c r="J700" i="3" s="1"/>
  <c r="F700" i="3"/>
  <c r="B699" i="3" a="1"/>
  <c r="B699" i="3" s="1"/>
  <c r="A699" i="3" a="1"/>
  <c r="A699" i="3" s="1"/>
  <c r="D698" i="2"/>
  <c r="K699" i="2" a="1"/>
  <c r="K699" i="2" s="1"/>
  <c r="I699" i="2" a="1"/>
  <c r="I699" i="2" s="1"/>
  <c r="H699" i="2" a="1"/>
  <c r="H699" i="2" s="1"/>
  <c r="J699" i="2" a="1"/>
  <c r="J699" i="2" s="1"/>
  <c r="B700" i="2" a="1"/>
  <c r="B700" i="2" s="1"/>
  <c r="A700" i="2" a="1"/>
  <c r="A700" i="2" s="1"/>
  <c r="C702" i="2"/>
  <c r="F701" i="2"/>
  <c r="D699" i="2" a="1"/>
  <c r="C702" i="3" l="1"/>
  <c r="L701" i="3"/>
  <c r="M701" i="3"/>
  <c r="I700" i="3" a="1"/>
  <c r="I700" i="3" s="1"/>
  <c r="H700" i="3" a="1"/>
  <c r="H700" i="3" s="1"/>
  <c r="K700" i="3" a="1"/>
  <c r="K700" i="3" s="1"/>
  <c r="F701" i="3"/>
  <c r="F702" i="3" s="1"/>
  <c r="A700" i="3" a="1"/>
  <c r="A700" i="3" s="1"/>
  <c r="B700" i="3" a="1"/>
  <c r="B700" i="3" s="1"/>
  <c r="D699" i="2"/>
  <c r="C703" i="2"/>
  <c r="F702" i="2"/>
  <c r="A701" i="2" a="1"/>
  <c r="A701" i="2" s="1"/>
  <c r="B701" i="2" a="1"/>
  <c r="B701" i="2" s="1"/>
  <c r="J700" i="2" a="1"/>
  <c r="J700" i="2" s="1"/>
  <c r="H700" i="2" a="1"/>
  <c r="H700" i="2" s="1"/>
  <c r="K700" i="2" a="1"/>
  <c r="K700" i="2" s="1"/>
  <c r="I700" i="2" a="1"/>
  <c r="I700" i="2" s="1"/>
  <c r="D700" i="2" a="1"/>
  <c r="G701" i="3" l="1" a="1"/>
  <c r="G701" i="3" s="1"/>
  <c r="C703" i="3"/>
  <c r="G702" i="3" a="1"/>
  <c r="G702" i="3" s="1"/>
  <c r="L702" i="3"/>
  <c r="M702" i="3"/>
  <c r="B701" i="3" a="1"/>
  <c r="B701" i="3" s="1"/>
  <c r="A701" i="3" a="1"/>
  <c r="A701" i="3" s="1"/>
  <c r="D700" i="2"/>
  <c r="H701" i="2" a="1"/>
  <c r="H701" i="2" s="1"/>
  <c r="K701" i="2" a="1"/>
  <c r="K701" i="2" s="1"/>
  <c r="J701" i="2" a="1"/>
  <c r="J701" i="2" s="1"/>
  <c r="I701" i="2" a="1"/>
  <c r="I701" i="2" s="1"/>
  <c r="A702" i="2" a="1"/>
  <c r="A702" i="2" s="1"/>
  <c r="B702" i="2" a="1"/>
  <c r="B702" i="2" s="1"/>
  <c r="C704" i="2"/>
  <c r="F703" i="2"/>
  <c r="D701" i="2" a="1"/>
  <c r="I702" i="3" l="1" a="1"/>
  <c r="I702" i="3" s="1"/>
  <c r="K702" i="3" a="1"/>
  <c r="K702" i="3" s="1"/>
  <c r="H702" i="3" a="1"/>
  <c r="H702" i="3" s="1"/>
  <c r="C704" i="3"/>
  <c r="G703" i="3" a="1"/>
  <c r="G703" i="3" s="1"/>
  <c r="L703" i="3"/>
  <c r="M703" i="3"/>
  <c r="J702" i="3" a="1"/>
  <c r="J702" i="3" s="1"/>
  <c r="K701" i="3" a="1"/>
  <c r="K701" i="3" s="1"/>
  <c r="I701" i="3" a="1"/>
  <c r="I701" i="3" s="1"/>
  <c r="H701" i="3" a="1"/>
  <c r="H701" i="3" s="1"/>
  <c r="J701" i="3" a="1"/>
  <c r="J701" i="3" s="1"/>
  <c r="F703" i="3"/>
  <c r="A702" i="3" a="1"/>
  <c r="A702" i="3" s="1"/>
  <c r="B702" i="3" a="1"/>
  <c r="B702" i="3" s="1"/>
  <c r="D701" i="2"/>
  <c r="C705" i="2"/>
  <c r="F704" i="2"/>
  <c r="K702" i="2" a="1"/>
  <c r="K702" i="2" s="1"/>
  <c r="H702" i="2" a="1"/>
  <c r="H702" i="2" s="1"/>
  <c r="J702" i="2" a="1"/>
  <c r="J702" i="2" s="1"/>
  <c r="I702" i="2" a="1"/>
  <c r="I702" i="2" s="1"/>
  <c r="B703" i="2" a="1"/>
  <c r="B703" i="2" s="1"/>
  <c r="A703" i="2" a="1"/>
  <c r="A703" i="2" s="1"/>
  <c r="D702" i="2" a="1"/>
  <c r="I703" i="3" l="1" a="1"/>
  <c r="I703" i="3" s="1"/>
  <c r="H703" i="3" a="1"/>
  <c r="H703" i="3" s="1"/>
  <c r="K703" i="3" a="1"/>
  <c r="K703" i="3" s="1"/>
  <c r="J703" i="3" a="1"/>
  <c r="J703" i="3" s="1"/>
  <c r="C705" i="3"/>
  <c r="L704" i="3"/>
  <c r="M704" i="3"/>
  <c r="F704" i="3"/>
  <c r="F705" i="3" s="1"/>
  <c r="A703" i="3" a="1"/>
  <c r="A703" i="3" s="1"/>
  <c r="B703" i="3" a="1"/>
  <c r="B703" i="3" s="1"/>
  <c r="D702" i="2"/>
  <c r="K703" i="2" a="1"/>
  <c r="K703" i="2" s="1"/>
  <c r="I703" i="2" a="1"/>
  <c r="I703" i="2" s="1"/>
  <c r="H703" i="2" a="1"/>
  <c r="H703" i="2" s="1"/>
  <c r="J703" i="2" a="1"/>
  <c r="J703" i="2" s="1"/>
  <c r="A704" i="2" a="1"/>
  <c r="A704" i="2" s="1"/>
  <c r="B704" i="2" a="1"/>
  <c r="B704" i="2" s="1"/>
  <c r="C706" i="2"/>
  <c r="F705" i="2"/>
  <c r="D703" i="2" a="1"/>
  <c r="C706" i="3" l="1"/>
  <c r="G705" i="3" a="1"/>
  <c r="G705" i="3" s="1"/>
  <c r="L705" i="3"/>
  <c r="M705" i="3"/>
  <c r="J705" i="3" a="1"/>
  <c r="J705" i="3" s="1"/>
  <c r="F706" i="3"/>
  <c r="G704" i="3" a="1"/>
  <c r="G704" i="3" s="1"/>
  <c r="A704" i="3" a="1"/>
  <c r="A704" i="3" s="1"/>
  <c r="B704" i="3" a="1"/>
  <c r="B704" i="3" s="1"/>
  <c r="D703" i="2"/>
  <c r="C707" i="2"/>
  <c r="F706" i="2"/>
  <c r="A705" i="2" a="1"/>
  <c r="A705" i="2" s="1"/>
  <c r="B705" i="2" a="1"/>
  <c r="B705" i="2" s="1"/>
  <c r="I704" i="2" a="1"/>
  <c r="I704" i="2" s="1"/>
  <c r="J704" i="2" a="1"/>
  <c r="J704" i="2" s="1"/>
  <c r="H704" i="2" a="1"/>
  <c r="H704" i="2" s="1"/>
  <c r="K704" i="2" a="1"/>
  <c r="K704" i="2" s="1"/>
  <c r="D704" i="2" a="1"/>
  <c r="H704" i="3" l="1" a="1"/>
  <c r="H704" i="3" s="1"/>
  <c r="I704" i="3" a="1"/>
  <c r="I704" i="3" s="1"/>
  <c r="K704" i="3" a="1"/>
  <c r="K704" i="3" s="1"/>
  <c r="J704" i="3" a="1"/>
  <c r="J704" i="3" s="1"/>
  <c r="K705" i="3" a="1"/>
  <c r="K705" i="3" s="1"/>
  <c r="H705" i="3" a="1"/>
  <c r="H705" i="3" s="1"/>
  <c r="I705" i="3" a="1"/>
  <c r="I705" i="3" s="1"/>
  <c r="C707" i="3"/>
  <c r="G706" i="3" a="1"/>
  <c r="G706" i="3" s="1"/>
  <c r="L706" i="3"/>
  <c r="M706" i="3"/>
  <c r="B705" i="3" a="1"/>
  <c r="B705" i="3" s="1"/>
  <c r="A705" i="3" a="1"/>
  <c r="A705" i="3" s="1"/>
  <c r="D704" i="2"/>
  <c r="I705" i="2" a="1"/>
  <c r="I705" i="2" s="1"/>
  <c r="K705" i="2" a="1"/>
  <c r="K705" i="2" s="1"/>
  <c r="H705" i="2" a="1"/>
  <c r="H705" i="2" s="1"/>
  <c r="J705" i="2" a="1"/>
  <c r="J705" i="2" s="1"/>
  <c r="A706" i="2" a="1"/>
  <c r="A706" i="2" s="1"/>
  <c r="B706" i="2" a="1"/>
  <c r="B706" i="2" s="1"/>
  <c r="C708" i="2"/>
  <c r="F707" i="2"/>
  <c r="D705" i="2" a="1"/>
  <c r="I706" i="3" l="1" a="1"/>
  <c r="I706" i="3" s="1"/>
  <c r="H706" i="3" a="1"/>
  <c r="H706" i="3" s="1"/>
  <c r="K706" i="3" a="1"/>
  <c r="K706" i="3" s="1"/>
  <c r="C708" i="3"/>
  <c r="L707" i="3"/>
  <c r="M707" i="3"/>
  <c r="F707" i="3"/>
  <c r="F708" i="3" s="1"/>
  <c r="J706" i="3" a="1"/>
  <c r="J706" i="3" s="1"/>
  <c r="A706" i="3" a="1"/>
  <c r="A706" i="3" s="1"/>
  <c r="B706" i="3" a="1"/>
  <c r="B706" i="3" s="1"/>
  <c r="D705" i="2"/>
  <c r="C709" i="2"/>
  <c r="F708" i="2"/>
  <c r="A707" i="2" a="1"/>
  <c r="A707" i="2" s="1"/>
  <c r="B707" i="2" a="1"/>
  <c r="B707" i="2" s="1"/>
  <c r="K706" i="2" a="1"/>
  <c r="K706" i="2" s="1"/>
  <c r="H706" i="2" a="1"/>
  <c r="H706" i="2" s="1"/>
  <c r="I706" i="2" a="1"/>
  <c r="I706" i="2" s="1"/>
  <c r="J706" i="2" a="1"/>
  <c r="J706" i="2" s="1"/>
  <c r="D706" i="2" a="1"/>
  <c r="C709" i="3" l="1"/>
  <c r="G708" i="3" a="1"/>
  <c r="G708" i="3" s="1"/>
  <c r="L708" i="3"/>
  <c r="M708" i="3"/>
  <c r="J708" i="3" a="1"/>
  <c r="J708" i="3" s="1"/>
  <c r="F709" i="3"/>
  <c r="G707" i="3" a="1"/>
  <c r="G707" i="3" s="1"/>
  <c r="B707" i="3" a="1"/>
  <c r="B707" i="3" s="1"/>
  <c r="A707" i="3" a="1"/>
  <c r="A707" i="3" s="1"/>
  <c r="D706" i="2"/>
  <c r="K707" i="2" a="1"/>
  <c r="K707" i="2" s="1"/>
  <c r="H707" i="2" a="1"/>
  <c r="H707" i="2" s="1"/>
  <c r="I707" i="2" a="1"/>
  <c r="I707" i="2" s="1"/>
  <c r="J707" i="2" a="1"/>
  <c r="J707" i="2" s="1"/>
  <c r="A708" i="2" a="1"/>
  <c r="A708" i="2" s="1"/>
  <c r="B708" i="2" a="1"/>
  <c r="B708" i="2" s="1"/>
  <c r="C710" i="2"/>
  <c r="F709" i="2"/>
  <c r="D707" i="2" a="1"/>
  <c r="K707" i="3" l="1" a="1"/>
  <c r="K707" i="3" s="1"/>
  <c r="I707" i="3" a="1"/>
  <c r="I707" i="3" s="1"/>
  <c r="H707" i="3" a="1"/>
  <c r="H707" i="3" s="1"/>
  <c r="J707" i="3" a="1"/>
  <c r="J707" i="3" s="1"/>
  <c r="H708" i="3" a="1"/>
  <c r="H708" i="3" s="1"/>
  <c r="I708" i="3" a="1"/>
  <c r="I708" i="3" s="1"/>
  <c r="K708" i="3" a="1"/>
  <c r="K708" i="3" s="1"/>
  <c r="C710" i="3"/>
  <c r="G709" i="3" a="1"/>
  <c r="G709" i="3" s="1"/>
  <c r="L709" i="3"/>
  <c r="M709" i="3"/>
  <c r="A708" i="3" a="1"/>
  <c r="A708" i="3" s="1"/>
  <c r="B708" i="3" a="1"/>
  <c r="B708" i="3" s="1"/>
  <c r="D707" i="2"/>
  <c r="C711" i="2"/>
  <c r="F710" i="2"/>
  <c r="H708" i="2" a="1"/>
  <c r="H708" i="2" s="1"/>
  <c r="I708" i="2" a="1"/>
  <c r="I708" i="2" s="1"/>
  <c r="J708" i="2" a="1"/>
  <c r="J708" i="2" s="1"/>
  <c r="K708" i="2" a="1"/>
  <c r="K708" i="2" s="1"/>
  <c r="A709" i="2" a="1"/>
  <c r="A709" i="2" s="1"/>
  <c r="B709" i="2" a="1"/>
  <c r="B709" i="2" s="1"/>
  <c r="D708" i="2" a="1"/>
  <c r="I709" i="3" l="1" a="1"/>
  <c r="I709" i="3" s="1"/>
  <c r="H709" i="3" a="1"/>
  <c r="H709" i="3" s="1"/>
  <c r="K709" i="3" a="1"/>
  <c r="K709" i="3" s="1"/>
  <c r="C711" i="3"/>
  <c r="L710" i="3"/>
  <c r="M710" i="3"/>
  <c r="F710" i="3"/>
  <c r="F711" i="3" s="1"/>
  <c r="J709" i="3" a="1"/>
  <c r="J709" i="3" s="1"/>
  <c r="A709" i="3" a="1"/>
  <c r="A709" i="3" s="1"/>
  <c r="B709" i="3" a="1"/>
  <c r="B709" i="3" s="1"/>
  <c r="D708" i="2"/>
  <c r="J709" i="2" a="1"/>
  <c r="J709" i="2" s="1"/>
  <c r="K709" i="2" a="1"/>
  <c r="K709" i="2" s="1"/>
  <c r="I709" i="2" a="1"/>
  <c r="I709" i="2" s="1"/>
  <c r="H709" i="2" a="1"/>
  <c r="H709" i="2" s="1"/>
  <c r="B710" i="2" a="1"/>
  <c r="B710" i="2" s="1"/>
  <c r="A710" i="2" a="1"/>
  <c r="A710" i="2" s="1"/>
  <c r="C712" i="2"/>
  <c r="F711" i="2"/>
  <c r="D709" i="2" a="1"/>
  <c r="G710" i="3" l="1" a="1"/>
  <c r="G710" i="3" s="1"/>
  <c r="C712" i="3"/>
  <c r="F712" i="3" s="1"/>
  <c r="G711" i="3" a="1"/>
  <c r="G711" i="3" s="1"/>
  <c r="L711" i="3"/>
  <c r="M711" i="3"/>
  <c r="J711" i="3" a="1"/>
  <c r="J711" i="3" s="1"/>
  <c r="B710" i="3" a="1"/>
  <c r="B710" i="3" s="1"/>
  <c r="A710" i="3" a="1"/>
  <c r="A710" i="3" s="1"/>
  <c r="D709" i="2"/>
  <c r="C713" i="2"/>
  <c r="F712" i="2"/>
  <c r="B711" i="2" a="1"/>
  <c r="B711" i="2" s="1"/>
  <c r="A711" i="2" a="1"/>
  <c r="A711" i="2" s="1"/>
  <c r="H710" i="2" a="1"/>
  <c r="H710" i="2" s="1"/>
  <c r="J710" i="2" a="1"/>
  <c r="J710" i="2" s="1"/>
  <c r="I710" i="2" a="1"/>
  <c r="I710" i="2" s="1"/>
  <c r="K710" i="2" a="1"/>
  <c r="K710" i="2" s="1"/>
  <c r="D710" i="2" a="1"/>
  <c r="K711" i="3" l="1" a="1"/>
  <c r="K711" i="3" s="1"/>
  <c r="H711" i="3" a="1"/>
  <c r="H711" i="3" s="1"/>
  <c r="I711" i="3" a="1"/>
  <c r="I711" i="3" s="1"/>
  <c r="C713" i="3"/>
  <c r="G712" i="3" a="1"/>
  <c r="G712" i="3" s="1"/>
  <c r="L712" i="3"/>
  <c r="M712" i="3"/>
  <c r="J712" i="3" a="1"/>
  <c r="J712" i="3" s="1"/>
  <c r="H710" i="3" a="1"/>
  <c r="H710" i="3" s="1"/>
  <c r="I710" i="3" a="1"/>
  <c r="I710" i="3" s="1"/>
  <c r="K710" i="3" a="1"/>
  <c r="K710" i="3" s="1"/>
  <c r="J710" i="3" a="1"/>
  <c r="J710" i="3" s="1"/>
  <c r="B711" i="3" a="1"/>
  <c r="B711" i="3" s="1"/>
  <c r="A711" i="3" a="1"/>
  <c r="A711" i="3" s="1"/>
  <c r="D710" i="2"/>
  <c r="A712" i="2" a="1"/>
  <c r="A712" i="2" s="1"/>
  <c r="B712" i="2" a="1"/>
  <c r="B712" i="2" s="1"/>
  <c r="K711" i="2" a="1"/>
  <c r="K711" i="2" s="1"/>
  <c r="I711" i="2" a="1"/>
  <c r="I711" i="2" s="1"/>
  <c r="J711" i="2" a="1"/>
  <c r="J711" i="2" s="1"/>
  <c r="H711" i="2" a="1"/>
  <c r="H711" i="2" s="1"/>
  <c r="C714" i="2"/>
  <c r="F713" i="2"/>
  <c r="D711" i="2" a="1"/>
  <c r="I712" i="3" l="1" a="1"/>
  <c r="I712" i="3" s="1"/>
  <c r="K712" i="3" a="1"/>
  <c r="K712" i="3" s="1"/>
  <c r="H712" i="3" a="1"/>
  <c r="H712" i="3" s="1"/>
  <c r="C714" i="3"/>
  <c r="L713" i="3"/>
  <c r="M713" i="3"/>
  <c r="F713" i="3"/>
  <c r="F714" i="3" s="1"/>
  <c r="A712" i="3" a="1"/>
  <c r="A712" i="3" s="1"/>
  <c r="B712" i="3" a="1"/>
  <c r="B712" i="3" s="1"/>
  <c r="D711" i="2"/>
  <c r="B713" i="2" a="1"/>
  <c r="B713" i="2" s="1"/>
  <c r="A713" i="2" a="1"/>
  <c r="A713" i="2" s="1"/>
  <c r="H712" i="2" a="1"/>
  <c r="H712" i="2" s="1"/>
  <c r="K712" i="2" a="1"/>
  <c r="K712" i="2" s="1"/>
  <c r="J712" i="2" a="1"/>
  <c r="J712" i="2" s="1"/>
  <c r="I712" i="2" a="1"/>
  <c r="I712" i="2" s="1"/>
  <c r="C715" i="2"/>
  <c r="F714" i="2"/>
  <c r="D712" i="2" a="1"/>
  <c r="G713" i="3" l="1" a="1"/>
  <c r="G713" i="3" s="1"/>
  <c r="C715" i="3"/>
  <c r="G714" i="3" a="1"/>
  <c r="G714" i="3" s="1"/>
  <c r="M714" i="3"/>
  <c r="L714" i="3"/>
  <c r="A713" i="3" a="1"/>
  <c r="A713" i="3" s="1"/>
  <c r="B713" i="3" a="1"/>
  <c r="B713" i="3" s="1"/>
  <c r="D712" i="2"/>
  <c r="C716" i="2"/>
  <c r="F715" i="2"/>
  <c r="K713" i="2" a="1"/>
  <c r="K713" i="2" s="1"/>
  <c r="J713" i="2" a="1"/>
  <c r="J713" i="2" s="1"/>
  <c r="H713" i="2" a="1"/>
  <c r="H713" i="2" s="1"/>
  <c r="I713" i="2" a="1"/>
  <c r="I713" i="2" s="1"/>
  <c r="A714" i="2" a="1"/>
  <c r="A714" i="2" s="1"/>
  <c r="B714" i="2" a="1"/>
  <c r="B714" i="2" s="1"/>
  <c r="D713" i="2" a="1"/>
  <c r="H714" i="3" l="1" a="1"/>
  <c r="H714" i="3" s="1"/>
  <c r="I714" i="3" a="1"/>
  <c r="I714" i="3" s="1"/>
  <c r="K714" i="3" a="1"/>
  <c r="K714" i="3" s="1"/>
  <c r="C716" i="3"/>
  <c r="G715" i="3" a="1"/>
  <c r="G715" i="3" s="1"/>
  <c r="L715" i="3"/>
  <c r="M715" i="3"/>
  <c r="J715" i="3" a="1"/>
  <c r="J715" i="3" s="1"/>
  <c r="J714" i="3" a="1"/>
  <c r="J714" i="3" s="1"/>
  <c r="K713" i="3" a="1"/>
  <c r="K713" i="3" s="1"/>
  <c r="I713" i="3" a="1"/>
  <c r="I713" i="3" s="1"/>
  <c r="H713" i="3" a="1"/>
  <c r="H713" i="3" s="1"/>
  <c r="J713" i="3" a="1"/>
  <c r="J713" i="3" s="1"/>
  <c r="F715" i="3"/>
  <c r="A714" i="3" a="1"/>
  <c r="A714" i="3" s="1"/>
  <c r="B714" i="3" a="1"/>
  <c r="B714" i="3" s="1"/>
  <c r="D713" i="2"/>
  <c r="H714" i="2" a="1"/>
  <c r="H714" i="2" s="1"/>
  <c r="J714" i="2" a="1"/>
  <c r="J714" i="2" s="1"/>
  <c r="I714" i="2" a="1"/>
  <c r="I714" i="2" s="1"/>
  <c r="K714" i="2" a="1"/>
  <c r="K714" i="2" s="1"/>
  <c r="A715" i="2" a="1"/>
  <c r="A715" i="2" s="1"/>
  <c r="B715" i="2" a="1"/>
  <c r="B715" i="2" s="1"/>
  <c r="C717" i="2"/>
  <c r="F716" i="2"/>
  <c r="D714" i="2" a="1"/>
  <c r="C717" i="3" l="1"/>
  <c r="L716" i="3"/>
  <c r="M716" i="3"/>
  <c r="I715" i="3" a="1"/>
  <c r="I715" i="3" s="1"/>
  <c r="H715" i="3" a="1"/>
  <c r="H715" i="3" s="1"/>
  <c r="K715" i="3" a="1"/>
  <c r="K715" i="3" s="1"/>
  <c r="F716" i="3"/>
  <c r="F717" i="3" s="1"/>
  <c r="A715" i="3" a="1"/>
  <c r="A715" i="3" s="1"/>
  <c r="B715" i="3" a="1"/>
  <c r="B715" i="3" s="1"/>
  <c r="D714" i="2"/>
  <c r="C718" i="2"/>
  <c r="F717" i="2"/>
  <c r="B716" i="2" a="1"/>
  <c r="B716" i="2" s="1"/>
  <c r="A716" i="2" a="1"/>
  <c r="A716" i="2" s="1"/>
  <c r="H715" i="2" a="1"/>
  <c r="H715" i="2" s="1"/>
  <c r="J715" i="2" a="1"/>
  <c r="J715" i="2" s="1"/>
  <c r="I715" i="2" a="1"/>
  <c r="I715" i="2" s="1"/>
  <c r="K715" i="2" a="1"/>
  <c r="K715" i="2" s="1"/>
  <c r="D715" i="2" a="1"/>
  <c r="G716" i="3" l="1" a="1"/>
  <c r="G716" i="3" s="1"/>
  <c r="C718" i="3"/>
  <c r="G717" i="3" a="1"/>
  <c r="G717" i="3" s="1"/>
  <c r="L717" i="3"/>
  <c r="M717" i="3"/>
  <c r="A716" i="3" a="1"/>
  <c r="A716" i="3" s="1"/>
  <c r="B716" i="3" a="1"/>
  <c r="B716" i="3" s="1"/>
  <c r="D715" i="2"/>
  <c r="A717" i="2" a="1"/>
  <c r="A717" i="2" s="1"/>
  <c r="B717" i="2" a="1"/>
  <c r="B717" i="2" s="1"/>
  <c r="H716" i="2" a="1"/>
  <c r="H716" i="2" s="1"/>
  <c r="J716" i="2" a="1"/>
  <c r="J716" i="2" s="1"/>
  <c r="K716" i="2" a="1"/>
  <c r="K716" i="2" s="1"/>
  <c r="I716" i="2" a="1"/>
  <c r="I716" i="2" s="1"/>
  <c r="C719" i="2"/>
  <c r="F718" i="2"/>
  <c r="D716" i="2" a="1"/>
  <c r="K717" i="3" l="1" a="1"/>
  <c r="K717" i="3" s="1"/>
  <c r="H717" i="3" a="1"/>
  <c r="H717" i="3" s="1"/>
  <c r="I717" i="3" a="1"/>
  <c r="I717" i="3" s="1"/>
  <c r="H716" i="3" a="1"/>
  <c r="H716" i="3" s="1"/>
  <c r="I716" i="3" a="1"/>
  <c r="I716" i="3" s="1"/>
  <c r="K716" i="3" a="1"/>
  <c r="K716" i="3" s="1"/>
  <c r="J716" i="3" a="1"/>
  <c r="J716" i="3" s="1"/>
  <c r="J717" i="3" a="1"/>
  <c r="J717" i="3" s="1"/>
  <c r="C719" i="3"/>
  <c r="G718" i="3" a="1"/>
  <c r="G718" i="3" s="1"/>
  <c r="L718" i="3"/>
  <c r="M718" i="3"/>
  <c r="F718" i="3"/>
  <c r="A717" i="3" a="1"/>
  <c r="A717" i="3" s="1"/>
  <c r="B717" i="3" a="1"/>
  <c r="B717" i="3" s="1"/>
  <c r="D716" i="2"/>
  <c r="B718" i="2" a="1"/>
  <c r="B718" i="2" s="1"/>
  <c r="A718" i="2" a="1"/>
  <c r="A718" i="2" s="1"/>
  <c r="J717" i="2" a="1"/>
  <c r="J717" i="2" s="1"/>
  <c r="K717" i="2" a="1"/>
  <c r="K717" i="2" s="1"/>
  <c r="H717" i="2" a="1"/>
  <c r="H717" i="2" s="1"/>
  <c r="I717" i="2" a="1"/>
  <c r="I717" i="2" s="1"/>
  <c r="C720" i="2"/>
  <c r="F719" i="2"/>
  <c r="D717" i="2" a="1"/>
  <c r="I718" i="3" l="1" a="1"/>
  <c r="I718" i="3" s="1"/>
  <c r="K718" i="3" a="1"/>
  <c r="K718" i="3" s="1"/>
  <c r="H718" i="3" a="1"/>
  <c r="H718" i="3" s="1"/>
  <c r="C720" i="3"/>
  <c r="L719" i="3"/>
  <c r="M719" i="3"/>
  <c r="F719" i="3"/>
  <c r="F720" i="3" s="1"/>
  <c r="J718" i="3" a="1"/>
  <c r="J718" i="3" s="1"/>
  <c r="A718" i="3" a="1"/>
  <c r="A718" i="3" s="1"/>
  <c r="B718" i="3" a="1"/>
  <c r="B718" i="3" s="1"/>
  <c r="D717" i="2"/>
  <c r="C721" i="2"/>
  <c r="F720" i="2"/>
  <c r="A719" i="2" a="1"/>
  <c r="A719" i="2" s="1"/>
  <c r="B719" i="2" a="1"/>
  <c r="B719" i="2" s="1"/>
  <c r="I718" i="2" a="1"/>
  <c r="I718" i="2" s="1"/>
  <c r="K718" i="2" a="1"/>
  <c r="K718" i="2" s="1"/>
  <c r="H718" i="2" a="1"/>
  <c r="H718" i="2" s="1"/>
  <c r="J718" i="2" a="1"/>
  <c r="J718" i="2" s="1"/>
  <c r="D718" i="2" a="1"/>
  <c r="G719" i="3" l="1" a="1"/>
  <c r="G719" i="3" s="1"/>
  <c r="C721" i="3"/>
  <c r="F721" i="3" s="1"/>
  <c r="G720" i="3" a="1"/>
  <c r="G720" i="3" s="1"/>
  <c r="L720" i="3"/>
  <c r="M720" i="3"/>
  <c r="J720" i="3" a="1"/>
  <c r="J720" i="3" s="1"/>
  <c r="A719" i="3" a="1"/>
  <c r="A719" i="3" s="1"/>
  <c r="B719" i="3" a="1"/>
  <c r="B719" i="3" s="1"/>
  <c r="D718" i="2"/>
  <c r="J719" i="2" a="1"/>
  <c r="J719" i="2" s="1"/>
  <c r="K719" i="2" a="1"/>
  <c r="K719" i="2" s="1"/>
  <c r="I719" i="2" a="1"/>
  <c r="I719" i="2" s="1"/>
  <c r="H719" i="2" a="1"/>
  <c r="H719" i="2" s="1"/>
  <c r="B720" i="2" a="1"/>
  <c r="B720" i="2" s="1"/>
  <c r="A720" i="2" a="1"/>
  <c r="A720" i="2" s="1"/>
  <c r="C722" i="2"/>
  <c r="F721" i="2"/>
  <c r="D719" i="2" a="1"/>
  <c r="H720" i="3" l="1" a="1"/>
  <c r="H720" i="3" s="1"/>
  <c r="I720" i="3" a="1"/>
  <c r="I720" i="3" s="1"/>
  <c r="K720" i="3" a="1"/>
  <c r="K720" i="3" s="1"/>
  <c r="C722" i="3"/>
  <c r="G721" i="3" a="1"/>
  <c r="G721" i="3" s="1"/>
  <c r="L721" i="3"/>
  <c r="M721" i="3"/>
  <c r="J721" i="3" a="1"/>
  <c r="J721" i="3" s="1"/>
  <c r="H719" i="3" a="1"/>
  <c r="H719" i="3" s="1"/>
  <c r="K719" i="3" a="1"/>
  <c r="K719" i="3" s="1"/>
  <c r="I719" i="3" a="1"/>
  <c r="I719" i="3" s="1"/>
  <c r="J719" i="3" a="1"/>
  <c r="J719" i="3" s="1"/>
  <c r="A720" i="3" a="1"/>
  <c r="A720" i="3" s="1"/>
  <c r="B720" i="3" a="1"/>
  <c r="B720" i="3" s="1"/>
  <c r="D719" i="2"/>
  <c r="A721" i="2" a="1"/>
  <c r="A721" i="2" s="1"/>
  <c r="B721" i="2" a="1"/>
  <c r="B721" i="2" s="1"/>
  <c r="C723" i="2"/>
  <c r="F722" i="2"/>
  <c r="K720" i="2" a="1"/>
  <c r="K720" i="2" s="1"/>
  <c r="J720" i="2" a="1"/>
  <c r="J720" i="2" s="1"/>
  <c r="I720" i="2" a="1"/>
  <c r="I720" i="2" s="1"/>
  <c r="H720" i="2" a="1"/>
  <c r="H720" i="2" s="1"/>
  <c r="D720" i="2" a="1"/>
  <c r="I721" i="3" l="1" a="1"/>
  <c r="I721" i="3" s="1"/>
  <c r="H721" i="3" a="1"/>
  <c r="H721" i="3" s="1"/>
  <c r="K721" i="3" a="1"/>
  <c r="K721" i="3" s="1"/>
  <c r="C723" i="3"/>
  <c r="L722" i="3"/>
  <c r="M722" i="3"/>
  <c r="F722" i="3"/>
  <c r="F723" i="3" s="1"/>
  <c r="A721" i="3" a="1"/>
  <c r="A721" i="3" s="1"/>
  <c r="B721" i="3" a="1"/>
  <c r="B721" i="3" s="1"/>
  <c r="D720" i="2"/>
  <c r="I721" i="2" a="1"/>
  <c r="I721" i="2" s="1"/>
  <c r="H721" i="2" a="1"/>
  <c r="H721" i="2" s="1"/>
  <c r="J721" i="2" a="1"/>
  <c r="J721" i="2" s="1"/>
  <c r="K721" i="2" a="1"/>
  <c r="K721" i="2" s="1"/>
  <c r="C724" i="2"/>
  <c r="F723" i="2"/>
  <c r="B722" i="2" a="1"/>
  <c r="B722" i="2" s="1"/>
  <c r="A722" i="2" a="1"/>
  <c r="A722" i="2" s="1"/>
  <c r="D721" i="2" a="1"/>
  <c r="G722" i="3" l="1" a="1"/>
  <c r="G722" i="3" s="1"/>
  <c r="C724" i="3"/>
  <c r="G723" i="3" a="1"/>
  <c r="G723" i="3" s="1"/>
  <c r="J723" i="3" s="1" a="1"/>
  <c r="J723" i="3" s="1"/>
  <c r="L723" i="3"/>
  <c r="M723" i="3"/>
  <c r="B722" i="3" a="1"/>
  <c r="B722" i="3" s="1"/>
  <c r="A722" i="3" a="1"/>
  <c r="A722" i="3" s="1"/>
  <c r="D721" i="2"/>
  <c r="K722" i="2" a="1"/>
  <c r="K722" i="2" s="1"/>
  <c r="J722" i="2" a="1"/>
  <c r="J722" i="2" s="1"/>
  <c r="I722" i="2" a="1"/>
  <c r="I722" i="2" s="1"/>
  <c r="H722" i="2" a="1"/>
  <c r="H722" i="2" s="1"/>
  <c r="B723" i="2" a="1"/>
  <c r="B723" i="2" s="1"/>
  <c r="A723" i="2" a="1"/>
  <c r="A723" i="2" s="1"/>
  <c r="C725" i="2"/>
  <c r="F724" i="2"/>
  <c r="D722" i="2" a="1"/>
  <c r="I722" i="3" l="1" a="1"/>
  <c r="I722" i="3" s="1"/>
  <c r="H722" i="3" a="1"/>
  <c r="H722" i="3" s="1"/>
  <c r="K722" i="3" a="1"/>
  <c r="K722" i="3" s="1"/>
  <c r="J722" i="3" a="1"/>
  <c r="J722" i="3" s="1"/>
  <c r="K723" i="3" a="1"/>
  <c r="K723" i="3" s="1"/>
  <c r="H723" i="3" a="1"/>
  <c r="H723" i="3" s="1"/>
  <c r="I723" i="3" a="1"/>
  <c r="I723" i="3" s="1"/>
  <c r="C725" i="3"/>
  <c r="G724" i="3" a="1"/>
  <c r="G724" i="3" s="1"/>
  <c r="L724" i="3"/>
  <c r="M724" i="3"/>
  <c r="J724" i="3" a="1"/>
  <c r="J724" i="3" s="1"/>
  <c r="F724" i="3"/>
  <c r="B723" i="3" a="1"/>
  <c r="B723" i="3" s="1"/>
  <c r="A723" i="3" a="1"/>
  <c r="A723" i="3" s="1"/>
  <c r="D722" i="2"/>
  <c r="C726" i="2"/>
  <c r="F725" i="2"/>
  <c r="A724" i="2" a="1"/>
  <c r="A724" i="2" s="1"/>
  <c r="B724" i="2" a="1"/>
  <c r="B724" i="2" s="1"/>
  <c r="H723" i="2" a="1"/>
  <c r="H723" i="2" s="1"/>
  <c r="I723" i="2" a="1"/>
  <c r="I723" i="2" s="1"/>
  <c r="J723" i="2" a="1"/>
  <c r="J723" i="2" s="1"/>
  <c r="K723" i="2" a="1"/>
  <c r="K723" i="2" s="1"/>
  <c r="D723" i="2" a="1"/>
  <c r="C726" i="3" l="1"/>
  <c r="L725" i="3"/>
  <c r="M725" i="3"/>
  <c r="I724" i="3" a="1"/>
  <c r="I724" i="3" s="1"/>
  <c r="K724" i="3" a="1"/>
  <c r="K724" i="3" s="1"/>
  <c r="H724" i="3" a="1"/>
  <c r="H724" i="3" s="1"/>
  <c r="F725" i="3"/>
  <c r="F726" i="3" s="1"/>
  <c r="A724" i="3" a="1"/>
  <c r="A724" i="3" s="1"/>
  <c r="B724" i="3" a="1"/>
  <c r="B724" i="3" s="1"/>
  <c r="D723" i="2"/>
  <c r="K724" i="2" a="1"/>
  <c r="K724" i="2" s="1"/>
  <c r="H724" i="2" a="1"/>
  <c r="H724" i="2" s="1"/>
  <c r="I724" i="2" a="1"/>
  <c r="I724" i="2" s="1"/>
  <c r="J724" i="2" a="1"/>
  <c r="J724" i="2" s="1"/>
  <c r="A725" i="2" a="1"/>
  <c r="A725" i="2" s="1"/>
  <c r="B725" i="2" a="1"/>
  <c r="B725" i="2" s="1"/>
  <c r="C727" i="2"/>
  <c r="F726" i="2"/>
  <c r="D724" i="2" a="1"/>
  <c r="G725" i="3" l="1" a="1"/>
  <c r="G725" i="3" s="1"/>
  <c r="C727" i="3"/>
  <c r="G726" i="3" a="1"/>
  <c r="G726" i="3" s="1"/>
  <c r="J726" i="3" s="1" a="1"/>
  <c r="J726" i="3" s="1"/>
  <c r="L726" i="3"/>
  <c r="M726" i="3"/>
  <c r="A725" i="3" a="1"/>
  <c r="A725" i="3" s="1"/>
  <c r="B725" i="3" a="1"/>
  <c r="B725" i="3" s="1"/>
  <c r="D724" i="2"/>
  <c r="C728" i="2"/>
  <c r="F727" i="2"/>
  <c r="A726" i="2" a="1"/>
  <c r="A726" i="2" s="1"/>
  <c r="B726" i="2" a="1"/>
  <c r="B726" i="2" s="1"/>
  <c r="H725" i="2" a="1"/>
  <c r="H725" i="2" s="1"/>
  <c r="K725" i="2" a="1"/>
  <c r="K725" i="2" s="1"/>
  <c r="J725" i="2" a="1"/>
  <c r="J725" i="2" s="1"/>
  <c r="I725" i="2" a="1"/>
  <c r="I725" i="2" s="1"/>
  <c r="D725" i="2" a="1"/>
  <c r="K725" i="3" l="1" a="1"/>
  <c r="K725" i="3" s="1"/>
  <c r="I725" i="3" a="1"/>
  <c r="I725" i="3" s="1"/>
  <c r="H725" i="3" a="1"/>
  <c r="H725" i="3" s="1"/>
  <c r="J725" i="3" a="1"/>
  <c r="J725" i="3" s="1"/>
  <c r="H726" i="3" a="1"/>
  <c r="H726" i="3" s="1"/>
  <c r="I726" i="3" a="1"/>
  <c r="I726" i="3" s="1"/>
  <c r="K726" i="3" a="1"/>
  <c r="K726" i="3" s="1"/>
  <c r="C728" i="3"/>
  <c r="G727" i="3" a="1"/>
  <c r="G727" i="3" s="1"/>
  <c r="L727" i="3"/>
  <c r="M727" i="3"/>
  <c r="J727" i="3" a="1"/>
  <c r="J727" i="3" s="1"/>
  <c r="F727" i="3"/>
  <c r="A726" i="3" a="1"/>
  <c r="A726" i="3" s="1"/>
  <c r="B726" i="3" a="1"/>
  <c r="B726" i="3" s="1"/>
  <c r="D725" i="2"/>
  <c r="K726" i="2" a="1"/>
  <c r="K726" i="2" s="1"/>
  <c r="I726" i="2" a="1"/>
  <c r="I726" i="2" s="1"/>
  <c r="H726" i="2" a="1"/>
  <c r="H726" i="2" s="1"/>
  <c r="J726" i="2" a="1"/>
  <c r="J726" i="2" s="1"/>
  <c r="A727" i="2" a="1"/>
  <c r="A727" i="2" s="1"/>
  <c r="B727" i="2" a="1"/>
  <c r="B727" i="2" s="1"/>
  <c r="C729" i="2"/>
  <c r="F728" i="2"/>
  <c r="D726" i="2" a="1"/>
  <c r="I727" i="3" l="1" a="1"/>
  <c r="I727" i="3" s="1"/>
  <c r="H727" i="3" a="1"/>
  <c r="H727" i="3" s="1"/>
  <c r="K727" i="3" a="1"/>
  <c r="K727" i="3" s="1"/>
  <c r="C729" i="3"/>
  <c r="L728" i="3"/>
  <c r="M728" i="3"/>
  <c r="F728" i="3"/>
  <c r="F729" i="3" s="1"/>
  <c r="A727" i="3" a="1"/>
  <c r="A727" i="3" s="1"/>
  <c r="B727" i="3" a="1"/>
  <c r="B727" i="3" s="1"/>
  <c r="D726" i="2"/>
  <c r="C730" i="2"/>
  <c r="F729" i="2"/>
  <c r="A728" i="2" a="1"/>
  <c r="A728" i="2" s="1"/>
  <c r="B728" i="2" a="1"/>
  <c r="B728" i="2" s="1"/>
  <c r="K727" i="2" a="1"/>
  <c r="K727" i="2" s="1"/>
  <c r="H727" i="2" a="1"/>
  <c r="H727" i="2" s="1"/>
  <c r="J727" i="2" a="1"/>
  <c r="J727" i="2" s="1"/>
  <c r="I727" i="2" a="1"/>
  <c r="I727" i="2" s="1"/>
  <c r="D727" i="2" a="1"/>
  <c r="G728" i="3" l="1" a="1"/>
  <c r="G728" i="3" s="1"/>
  <c r="C730" i="3"/>
  <c r="G729" i="3" a="1"/>
  <c r="G729" i="3" s="1"/>
  <c r="J729" i="3" s="1" a="1"/>
  <c r="J729" i="3" s="1"/>
  <c r="M729" i="3"/>
  <c r="L729" i="3"/>
  <c r="A728" i="3" a="1"/>
  <c r="A728" i="3" s="1"/>
  <c r="B728" i="3" a="1"/>
  <c r="B728" i="3" s="1"/>
  <c r="D727" i="2"/>
  <c r="A729" i="2" a="1"/>
  <c r="A729" i="2" s="1"/>
  <c r="B729" i="2" a="1"/>
  <c r="B729" i="2" s="1"/>
  <c r="K728" i="2" a="1"/>
  <c r="K728" i="2" s="1"/>
  <c r="I728" i="2" a="1"/>
  <c r="I728" i="2" s="1"/>
  <c r="J728" i="2" a="1"/>
  <c r="J728" i="2" s="1"/>
  <c r="H728" i="2" a="1"/>
  <c r="H728" i="2" s="1"/>
  <c r="C731" i="2"/>
  <c r="F730" i="2"/>
  <c r="D728" i="2" a="1"/>
  <c r="I728" i="3" l="1" a="1"/>
  <c r="I728" i="3" s="1"/>
  <c r="H728" i="3" a="1"/>
  <c r="H728" i="3" s="1"/>
  <c r="K728" i="3" a="1"/>
  <c r="K728" i="3" s="1"/>
  <c r="J728" i="3" a="1"/>
  <c r="J728" i="3" s="1"/>
  <c r="K729" i="3" a="1"/>
  <c r="K729" i="3" s="1"/>
  <c r="H729" i="3" a="1"/>
  <c r="H729" i="3" s="1"/>
  <c r="I729" i="3" a="1"/>
  <c r="I729" i="3" s="1"/>
  <c r="C731" i="3"/>
  <c r="G730" i="3" a="1"/>
  <c r="G730" i="3" s="1"/>
  <c r="L730" i="3"/>
  <c r="M730" i="3"/>
  <c r="F730" i="3"/>
  <c r="B729" i="3" a="1"/>
  <c r="B729" i="3" s="1"/>
  <c r="A729" i="3" a="1"/>
  <c r="A729" i="3" s="1"/>
  <c r="D728" i="2"/>
  <c r="B730" i="2" a="1"/>
  <c r="B730" i="2" s="1"/>
  <c r="A730" i="2" a="1"/>
  <c r="A730" i="2" s="1"/>
  <c r="J729" i="2" a="1"/>
  <c r="J729" i="2" s="1"/>
  <c r="H729" i="2" a="1"/>
  <c r="H729" i="2" s="1"/>
  <c r="I729" i="2" a="1"/>
  <c r="I729" i="2" s="1"/>
  <c r="K729" i="2" a="1"/>
  <c r="K729" i="2" s="1"/>
  <c r="C732" i="2"/>
  <c r="F731" i="2"/>
  <c r="D729" i="2" a="1"/>
  <c r="I730" i="3" l="1" a="1"/>
  <c r="I730" i="3" s="1"/>
  <c r="K730" i="3" a="1"/>
  <c r="K730" i="3" s="1"/>
  <c r="H730" i="3" a="1"/>
  <c r="H730" i="3" s="1"/>
  <c r="J730" i="3" a="1"/>
  <c r="J730" i="3" s="1"/>
  <c r="C732" i="3"/>
  <c r="L731" i="3"/>
  <c r="M731" i="3"/>
  <c r="F731" i="3"/>
  <c r="F732" i="3" s="1"/>
  <c r="A730" i="3" a="1"/>
  <c r="A730" i="3" s="1"/>
  <c r="B730" i="3" a="1"/>
  <c r="B730" i="3" s="1"/>
  <c r="D729" i="2"/>
  <c r="A731" i="2" a="1"/>
  <c r="A731" i="2" s="1"/>
  <c r="B731" i="2" a="1"/>
  <c r="B731" i="2" s="1"/>
  <c r="C733" i="2"/>
  <c r="F732" i="2"/>
  <c r="J730" i="2" a="1"/>
  <c r="J730" i="2" s="1"/>
  <c r="K730" i="2" a="1"/>
  <c r="K730" i="2" s="1"/>
  <c r="H730" i="2" a="1"/>
  <c r="H730" i="2" s="1"/>
  <c r="I730" i="2" a="1"/>
  <c r="I730" i="2" s="1"/>
  <c r="D730" i="2" a="1"/>
  <c r="G731" i="3" l="1" a="1"/>
  <c r="G731" i="3" s="1"/>
  <c r="C733" i="3"/>
  <c r="G732" i="3" a="1"/>
  <c r="G732" i="3" s="1"/>
  <c r="L732" i="3"/>
  <c r="M732" i="3"/>
  <c r="J732" i="3" a="1"/>
  <c r="J732" i="3" s="1"/>
  <c r="A731" i="3" a="1"/>
  <c r="A731" i="3" s="1"/>
  <c r="B731" i="3" a="1"/>
  <c r="B731" i="3" s="1"/>
  <c r="D730" i="2"/>
  <c r="K731" i="2" a="1"/>
  <c r="K731" i="2" s="1"/>
  <c r="H731" i="2" a="1"/>
  <c r="H731" i="2" s="1"/>
  <c r="I731" i="2" a="1"/>
  <c r="I731" i="2" s="1"/>
  <c r="J731" i="2" a="1"/>
  <c r="J731" i="2" s="1"/>
  <c r="B732" i="2" a="1"/>
  <c r="B732" i="2" s="1"/>
  <c r="A732" i="2" a="1"/>
  <c r="A732" i="2" s="1"/>
  <c r="C734" i="2"/>
  <c r="F733" i="2"/>
  <c r="D731" i="2" a="1"/>
  <c r="C734" i="3" l="1"/>
  <c r="L733" i="3"/>
  <c r="M733" i="3"/>
  <c r="F733" i="3"/>
  <c r="F734" i="3" s="1"/>
  <c r="I732" i="3" a="1"/>
  <c r="I732" i="3" s="1"/>
  <c r="K732" i="3" a="1"/>
  <c r="K732" i="3" s="1"/>
  <c r="H732" i="3" a="1"/>
  <c r="H732" i="3" s="1"/>
  <c r="K731" i="3" a="1"/>
  <c r="K731" i="3" s="1"/>
  <c r="H731" i="3" a="1"/>
  <c r="H731" i="3" s="1"/>
  <c r="I731" i="3" a="1"/>
  <c r="I731" i="3" s="1"/>
  <c r="J731" i="3" a="1"/>
  <c r="J731" i="3" s="1"/>
  <c r="A732" i="3" a="1"/>
  <c r="A732" i="3" s="1"/>
  <c r="B732" i="3" a="1"/>
  <c r="B732" i="3" s="1"/>
  <c r="D731" i="2"/>
  <c r="C735" i="2"/>
  <c r="F734" i="2"/>
  <c r="A733" i="2" a="1"/>
  <c r="A733" i="2" s="1"/>
  <c r="B733" i="2" a="1"/>
  <c r="B733" i="2" s="1"/>
  <c r="J732" i="2" a="1"/>
  <c r="J732" i="2" s="1"/>
  <c r="K732" i="2" a="1"/>
  <c r="K732" i="2" s="1"/>
  <c r="H732" i="2" a="1"/>
  <c r="H732" i="2" s="1"/>
  <c r="I732" i="2" a="1"/>
  <c r="I732" i="2" s="1"/>
  <c r="D732" i="2" a="1"/>
  <c r="G733" i="3" l="1" a="1"/>
  <c r="G733" i="3" s="1"/>
  <c r="C735" i="3"/>
  <c r="G734" i="3" a="1"/>
  <c r="G734" i="3" s="1"/>
  <c r="M734" i="3"/>
  <c r="L734" i="3"/>
  <c r="A733" i="3" a="1"/>
  <c r="A733" i="3" s="1"/>
  <c r="B733" i="3" a="1"/>
  <c r="B733" i="3" s="1"/>
  <c r="D732" i="2"/>
  <c r="K733" i="2" a="1"/>
  <c r="K733" i="2" s="1"/>
  <c r="H733" i="2" a="1"/>
  <c r="H733" i="2" s="1"/>
  <c r="I733" i="2" a="1"/>
  <c r="I733" i="2" s="1"/>
  <c r="J733" i="2" a="1"/>
  <c r="J733" i="2" s="1"/>
  <c r="B734" i="2" a="1"/>
  <c r="B734" i="2" s="1"/>
  <c r="A734" i="2" a="1"/>
  <c r="A734" i="2" s="1"/>
  <c r="C736" i="2"/>
  <c r="F735" i="2"/>
  <c r="D733" i="2" a="1"/>
  <c r="I734" i="3" l="1" a="1"/>
  <c r="I734" i="3" s="1"/>
  <c r="H734" i="3" a="1"/>
  <c r="H734" i="3" s="1"/>
  <c r="K734" i="3" a="1"/>
  <c r="K734" i="3" s="1"/>
  <c r="C736" i="3"/>
  <c r="G735" i="3" a="1"/>
  <c r="G735" i="3" s="1"/>
  <c r="L735" i="3"/>
  <c r="M735" i="3"/>
  <c r="J735" i="3" a="1"/>
  <c r="J735" i="3" s="1"/>
  <c r="J734" i="3" a="1"/>
  <c r="J734" i="3" s="1"/>
  <c r="H733" i="3" a="1"/>
  <c r="H733" i="3" s="1"/>
  <c r="I733" i="3" a="1"/>
  <c r="I733" i="3" s="1"/>
  <c r="K733" i="3" a="1"/>
  <c r="K733" i="3" s="1"/>
  <c r="J733" i="3" a="1"/>
  <c r="J733" i="3" s="1"/>
  <c r="F735" i="3"/>
  <c r="B734" i="3" a="1"/>
  <c r="B734" i="3" s="1"/>
  <c r="A734" i="3" a="1"/>
  <c r="A734" i="3" s="1"/>
  <c r="D733" i="2"/>
  <c r="I734" i="2" a="1"/>
  <c r="I734" i="2" s="1"/>
  <c r="J734" i="2" a="1"/>
  <c r="J734" i="2" s="1"/>
  <c r="H734" i="2" a="1"/>
  <c r="H734" i="2" s="1"/>
  <c r="K734" i="2" a="1"/>
  <c r="K734" i="2" s="1"/>
  <c r="C737" i="2"/>
  <c r="F736" i="2"/>
  <c r="B735" i="2" a="1"/>
  <c r="B735" i="2" s="1"/>
  <c r="A735" i="2" a="1"/>
  <c r="A735" i="2" s="1"/>
  <c r="D734" i="2" a="1"/>
  <c r="C737" i="3" l="1"/>
  <c r="L736" i="3"/>
  <c r="M736" i="3"/>
  <c r="K735" i="3" a="1"/>
  <c r="K735" i="3" s="1"/>
  <c r="H735" i="3" a="1"/>
  <c r="H735" i="3" s="1"/>
  <c r="I735" i="3" a="1"/>
  <c r="I735" i="3" s="1"/>
  <c r="F736" i="3"/>
  <c r="F737" i="3" s="1"/>
  <c r="B735" i="3" a="1"/>
  <c r="B735" i="3" s="1"/>
  <c r="A735" i="3" a="1"/>
  <c r="A735" i="3" s="1"/>
  <c r="D734" i="2"/>
  <c r="A736" i="2" a="1"/>
  <c r="A736" i="2" s="1"/>
  <c r="B736" i="2" a="1"/>
  <c r="B736" i="2" s="1"/>
  <c r="C738" i="2"/>
  <c r="F737" i="2"/>
  <c r="J735" i="2" a="1"/>
  <c r="J735" i="2" s="1"/>
  <c r="H735" i="2" a="1"/>
  <c r="H735" i="2" s="1"/>
  <c r="I735" i="2" a="1"/>
  <c r="I735" i="2" s="1"/>
  <c r="K735" i="2" a="1"/>
  <c r="K735" i="2" s="1"/>
  <c r="D735" i="2" a="1"/>
  <c r="G736" i="3" l="1" a="1"/>
  <c r="G736" i="3" s="1"/>
  <c r="C738" i="3"/>
  <c r="G737" i="3" a="1"/>
  <c r="G737" i="3" s="1"/>
  <c r="L737" i="3"/>
  <c r="M737" i="3"/>
  <c r="J737" i="3" a="1"/>
  <c r="J737" i="3" s="1"/>
  <c r="A736" i="3" a="1"/>
  <c r="A736" i="3" s="1"/>
  <c r="B736" i="3" a="1"/>
  <c r="B736" i="3" s="1"/>
  <c r="D735" i="2"/>
  <c r="J736" i="2" a="1"/>
  <c r="J736" i="2" s="1"/>
  <c r="K736" i="2" a="1"/>
  <c r="K736" i="2" s="1"/>
  <c r="H736" i="2" a="1"/>
  <c r="H736" i="2" s="1"/>
  <c r="I736" i="2" a="1"/>
  <c r="I736" i="2" s="1"/>
  <c r="C739" i="2"/>
  <c r="F738" i="2"/>
  <c r="B737" i="2" a="1"/>
  <c r="B737" i="2" s="1"/>
  <c r="A737" i="2" a="1"/>
  <c r="A737" i="2" s="1"/>
  <c r="D736" i="2" a="1"/>
  <c r="K736" i="3" l="1" a="1"/>
  <c r="K736" i="3" s="1"/>
  <c r="H736" i="3" a="1"/>
  <c r="H736" i="3" s="1"/>
  <c r="I736" i="3" a="1"/>
  <c r="I736" i="3" s="1"/>
  <c r="J736" i="3" a="1"/>
  <c r="J736" i="3" s="1"/>
  <c r="K737" i="3" a="1"/>
  <c r="K737" i="3" s="1"/>
  <c r="H737" i="3" a="1"/>
  <c r="H737" i="3" s="1"/>
  <c r="I737" i="3" a="1"/>
  <c r="I737" i="3" s="1"/>
  <c r="C739" i="3"/>
  <c r="G738" i="3" a="1"/>
  <c r="G738" i="3" s="1"/>
  <c r="L738" i="3"/>
  <c r="M738" i="3"/>
  <c r="F738" i="3"/>
  <c r="A737" i="3" a="1"/>
  <c r="A737" i="3" s="1"/>
  <c r="B737" i="3" a="1"/>
  <c r="B737" i="3" s="1"/>
  <c r="D736" i="2"/>
  <c r="I737" i="2" a="1"/>
  <c r="I737" i="2" s="1"/>
  <c r="K737" i="2" a="1"/>
  <c r="K737" i="2" s="1"/>
  <c r="J737" i="2" a="1"/>
  <c r="J737" i="2" s="1"/>
  <c r="H737" i="2" a="1"/>
  <c r="H737" i="2" s="1"/>
  <c r="A738" i="2" a="1"/>
  <c r="A738" i="2" s="1"/>
  <c r="B738" i="2" a="1"/>
  <c r="B738" i="2" s="1"/>
  <c r="C740" i="2"/>
  <c r="F739" i="2"/>
  <c r="D737" i="2" a="1"/>
  <c r="I738" i="3" l="1" a="1"/>
  <c r="I738" i="3" s="1"/>
  <c r="K738" i="3" a="1"/>
  <c r="K738" i="3" s="1"/>
  <c r="H738" i="3" a="1"/>
  <c r="H738" i="3" s="1"/>
  <c r="C740" i="3"/>
  <c r="L739" i="3"/>
  <c r="M739" i="3"/>
  <c r="J738" i="3" a="1"/>
  <c r="J738" i="3" s="1"/>
  <c r="F739" i="3"/>
  <c r="F740" i="3" s="1"/>
  <c r="A738" i="3" a="1"/>
  <c r="A738" i="3" s="1"/>
  <c r="B738" i="3" a="1"/>
  <c r="B738" i="3" s="1"/>
  <c r="D737" i="2"/>
  <c r="H738" i="2" a="1"/>
  <c r="H738" i="2" s="1"/>
  <c r="J738" i="2" a="1"/>
  <c r="J738" i="2" s="1"/>
  <c r="I738" i="2" a="1"/>
  <c r="I738" i="2" s="1"/>
  <c r="K738" i="2" a="1"/>
  <c r="K738" i="2" s="1"/>
  <c r="C741" i="2"/>
  <c r="F740" i="2"/>
  <c r="A739" i="2" a="1"/>
  <c r="A739" i="2" s="1"/>
  <c r="B739" i="2" a="1"/>
  <c r="B739" i="2" s="1"/>
  <c r="D738" i="2" a="1"/>
  <c r="C741" i="3" l="1"/>
  <c r="G740" i="3" a="1"/>
  <c r="G740" i="3" s="1"/>
  <c r="J740" i="3" s="1" a="1"/>
  <c r="J740" i="3" s="1"/>
  <c r="L740" i="3"/>
  <c r="M740" i="3"/>
  <c r="F741" i="3"/>
  <c r="G739" i="3" a="1"/>
  <c r="G739" i="3" s="1"/>
  <c r="B739" i="3" a="1"/>
  <c r="B739" i="3" s="1"/>
  <c r="A739" i="3" a="1"/>
  <c r="A739" i="3" s="1"/>
  <c r="D738" i="2"/>
  <c r="K739" i="2" a="1"/>
  <c r="K739" i="2" s="1"/>
  <c r="H739" i="2" a="1"/>
  <c r="H739" i="2" s="1"/>
  <c r="J739" i="2" a="1"/>
  <c r="J739" i="2" s="1"/>
  <c r="I739" i="2" a="1"/>
  <c r="I739" i="2" s="1"/>
  <c r="C742" i="2"/>
  <c r="F741" i="2"/>
  <c r="A740" i="2" a="1"/>
  <c r="A740" i="2" s="1"/>
  <c r="B740" i="2" a="1"/>
  <c r="B740" i="2" s="1"/>
  <c r="D739" i="2" a="1"/>
  <c r="K739" i="3" l="1" a="1"/>
  <c r="K739" i="3" s="1"/>
  <c r="H739" i="3" a="1"/>
  <c r="H739" i="3" s="1"/>
  <c r="I739" i="3" a="1"/>
  <c r="I739" i="3" s="1"/>
  <c r="J739" i="3" a="1"/>
  <c r="J739" i="3" s="1"/>
  <c r="K740" i="3" a="1"/>
  <c r="K740" i="3" s="1"/>
  <c r="H740" i="3" a="1"/>
  <c r="H740" i="3" s="1"/>
  <c r="I740" i="3" a="1"/>
  <c r="I740" i="3" s="1"/>
  <c r="C742" i="3"/>
  <c r="F742" i="3" s="1"/>
  <c r="G741" i="3" a="1"/>
  <c r="G741" i="3" s="1"/>
  <c r="L741" i="3"/>
  <c r="M741" i="3"/>
  <c r="A740" i="3" a="1"/>
  <c r="A740" i="3" s="1"/>
  <c r="B740" i="3" a="1"/>
  <c r="B740" i="3" s="1"/>
  <c r="D739" i="2"/>
  <c r="J740" i="2" a="1"/>
  <c r="J740" i="2" s="1"/>
  <c r="K740" i="2" a="1"/>
  <c r="K740" i="2" s="1"/>
  <c r="I740" i="2" a="1"/>
  <c r="I740" i="2" s="1"/>
  <c r="H740" i="2" a="1"/>
  <c r="H740" i="2" s="1"/>
  <c r="C743" i="2"/>
  <c r="F742" i="2"/>
  <c r="A741" i="2" a="1"/>
  <c r="A741" i="2" s="1"/>
  <c r="B741" i="2" a="1"/>
  <c r="B741" i="2" s="1"/>
  <c r="D740" i="2" a="1"/>
  <c r="K741" i="3" l="1" a="1"/>
  <c r="K741" i="3" s="1"/>
  <c r="H741" i="3" a="1"/>
  <c r="H741" i="3" s="1"/>
  <c r="I741" i="3" a="1"/>
  <c r="I741" i="3" s="1"/>
  <c r="J741" i="3" a="1"/>
  <c r="J741" i="3" s="1"/>
  <c r="C743" i="3"/>
  <c r="G742" i="3" a="1"/>
  <c r="G742" i="3" s="1"/>
  <c r="L742" i="3"/>
  <c r="M742" i="3"/>
  <c r="A741" i="3" a="1"/>
  <c r="A741" i="3" s="1"/>
  <c r="B741" i="3" a="1"/>
  <c r="B741" i="3" s="1"/>
  <c r="D740" i="2"/>
  <c r="C744" i="2"/>
  <c r="F743" i="2"/>
  <c r="J741" i="2" a="1"/>
  <c r="J741" i="2" s="1"/>
  <c r="H741" i="2" a="1"/>
  <c r="H741" i="2" s="1"/>
  <c r="K741" i="2" a="1"/>
  <c r="K741" i="2" s="1"/>
  <c r="I741" i="2" a="1"/>
  <c r="I741" i="2" s="1"/>
  <c r="A742" i="2" a="1"/>
  <c r="A742" i="2" s="1"/>
  <c r="B742" i="2" a="1"/>
  <c r="B742" i="2" s="1"/>
  <c r="D741" i="2" a="1"/>
  <c r="K742" i="3" l="1" a="1"/>
  <c r="K742" i="3" s="1"/>
  <c r="H742" i="3" a="1"/>
  <c r="H742" i="3" s="1"/>
  <c r="I742" i="3" a="1"/>
  <c r="I742" i="3" s="1"/>
  <c r="C744" i="3"/>
  <c r="L743" i="3"/>
  <c r="M743" i="3"/>
  <c r="J742" i="3" a="1"/>
  <c r="J742" i="3" s="1"/>
  <c r="F743" i="3"/>
  <c r="F744" i="3" s="1"/>
  <c r="A742" i="3" a="1"/>
  <c r="A742" i="3" s="1"/>
  <c r="B742" i="3" a="1"/>
  <c r="B742" i="3" s="1"/>
  <c r="D741" i="2"/>
  <c r="B743" i="2" a="1"/>
  <c r="B743" i="2" s="1"/>
  <c r="A743" i="2" a="1"/>
  <c r="A743" i="2" s="1"/>
  <c r="K742" i="2" a="1"/>
  <c r="K742" i="2" s="1"/>
  <c r="J742" i="2" a="1"/>
  <c r="J742" i="2" s="1"/>
  <c r="H742" i="2" a="1"/>
  <c r="H742" i="2" s="1"/>
  <c r="I742" i="2" a="1"/>
  <c r="I742" i="2" s="1"/>
  <c r="C745" i="2"/>
  <c r="F744" i="2"/>
  <c r="D742" i="2" a="1"/>
  <c r="G743" i="3" l="1" a="1"/>
  <c r="G743" i="3" s="1"/>
  <c r="C745" i="3"/>
  <c r="G744" i="3" a="1"/>
  <c r="G744" i="3" s="1"/>
  <c r="J744" i="3" s="1" a="1"/>
  <c r="J744" i="3" s="1"/>
  <c r="L744" i="3"/>
  <c r="M744" i="3"/>
  <c r="A743" i="3" a="1"/>
  <c r="A743" i="3" s="1"/>
  <c r="B743" i="3" a="1"/>
  <c r="B743" i="3" s="1"/>
  <c r="D742" i="2"/>
  <c r="B744" i="2" a="1"/>
  <c r="B744" i="2" s="1"/>
  <c r="A744" i="2" a="1"/>
  <c r="A744" i="2" s="1"/>
  <c r="K743" i="2" a="1"/>
  <c r="K743" i="2" s="1"/>
  <c r="H743" i="2" a="1"/>
  <c r="H743" i="2" s="1"/>
  <c r="J743" i="2" a="1"/>
  <c r="J743" i="2" s="1"/>
  <c r="I743" i="2" a="1"/>
  <c r="I743" i="2" s="1"/>
  <c r="C746" i="2"/>
  <c r="F745" i="2"/>
  <c r="D743" i="2" a="1"/>
  <c r="K744" i="3" l="1" a="1"/>
  <c r="K744" i="3" s="1"/>
  <c r="H744" i="3" a="1"/>
  <c r="H744" i="3" s="1"/>
  <c r="I744" i="3" a="1"/>
  <c r="I744" i="3" s="1"/>
  <c r="C746" i="3"/>
  <c r="G745" i="3" a="1"/>
  <c r="G745" i="3" s="1"/>
  <c r="L745" i="3"/>
  <c r="M745" i="3"/>
  <c r="J745" i="3" a="1"/>
  <c r="J745" i="3" s="1"/>
  <c r="H743" i="3" a="1"/>
  <c r="H743" i="3" s="1"/>
  <c r="I743" i="3" a="1"/>
  <c r="I743" i="3" s="1"/>
  <c r="K743" i="3" a="1"/>
  <c r="K743" i="3" s="1"/>
  <c r="J743" i="3" a="1"/>
  <c r="J743" i="3" s="1"/>
  <c r="F745" i="3"/>
  <c r="A744" i="3" a="1"/>
  <c r="A744" i="3" s="1"/>
  <c r="B744" i="3" a="1"/>
  <c r="B744" i="3" s="1"/>
  <c r="D743" i="2"/>
  <c r="A745" i="2" a="1"/>
  <c r="A745" i="2" s="1"/>
  <c r="B745" i="2" a="1"/>
  <c r="B745" i="2" s="1"/>
  <c r="C747" i="2"/>
  <c r="F746" i="2"/>
  <c r="H744" i="2" a="1"/>
  <c r="H744" i="2" s="1"/>
  <c r="I744" i="2" a="1"/>
  <c r="I744" i="2" s="1"/>
  <c r="J744" i="2" a="1"/>
  <c r="J744" i="2" s="1"/>
  <c r="K744" i="2" a="1"/>
  <c r="K744" i="2" s="1"/>
  <c r="D744" i="2" a="1"/>
  <c r="C747" i="3" l="1"/>
  <c r="L746" i="3"/>
  <c r="M746" i="3"/>
  <c r="K745" i="3" a="1"/>
  <c r="K745" i="3" s="1"/>
  <c r="H745" i="3" a="1"/>
  <c r="H745" i="3" s="1"/>
  <c r="I745" i="3" a="1"/>
  <c r="I745" i="3" s="1"/>
  <c r="F746" i="3"/>
  <c r="F747" i="3" s="1"/>
  <c r="A745" i="3" a="1"/>
  <c r="A745" i="3" s="1"/>
  <c r="B745" i="3" a="1"/>
  <c r="B745" i="3" s="1"/>
  <c r="D744" i="2"/>
  <c r="C748" i="2"/>
  <c r="F747" i="2"/>
  <c r="A746" i="2" a="1"/>
  <c r="A746" i="2" s="1"/>
  <c r="B746" i="2" a="1"/>
  <c r="B746" i="2" s="1"/>
  <c r="H745" i="2" a="1"/>
  <c r="H745" i="2" s="1"/>
  <c r="K745" i="2" a="1"/>
  <c r="K745" i="2" s="1"/>
  <c r="I745" i="2" a="1"/>
  <c r="I745" i="2" s="1"/>
  <c r="J745" i="2" a="1"/>
  <c r="J745" i="2" s="1"/>
  <c r="D745" i="2" a="1"/>
  <c r="G746" i="3" l="1" a="1"/>
  <c r="G746" i="3" s="1"/>
  <c r="C748" i="3"/>
  <c r="G747" i="3" a="1"/>
  <c r="G747" i="3" s="1"/>
  <c r="L747" i="3"/>
  <c r="M747" i="3"/>
  <c r="B746" i="3" a="1"/>
  <c r="B746" i="3" s="1"/>
  <c r="A746" i="3" a="1"/>
  <c r="A746" i="3" s="1"/>
  <c r="D745" i="2"/>
  <c r="K746" i="2" a="1"/>
  <c r="K746" i="2" s="1"/>
  <c r="I746" i="2" a="1"/>
  <c r="I746" i="2" s="1"/>
  <c r="H746" i="2" a="1"/>
  <c r="H746" i="2" s="1"/>
  <c r="J746" i="2" a="1"/>
  <c r="J746" i="2" s="1"/>
  <c r="B747" i="2" a="1"/>
  <c r="B747" i="2" s="1"/>
  <c r="A747" i="2" a="1"/>
  <c r="A747" i="2" s="1"/>
  <c r="C749" i="2"/>
  <c r="F748" i="2"/>
  <c r="D746" i="2" a="1"/>
  <c r="K747" i="3" l="1" a="1"/>
  <c r="K747" i="3" s="1"/>
  <c r="H747" i="3" a="1"/>
  <c r="H747" i="3" s="1"/>
  <c r="I747" i="3" a="1"/>
  <c r="I747" i="3" s="1"/>
  <c r="C749" i="3"/>
  <c r="G748" i="3" a="1"/>
  <c r="G748" i="3" s="1"/>
  <c r="L748" i="3"/>
  <c r="M748" i="3"/>
  <c r="J748" i="3" a="1"/>
  <c r="J748" i="3" s="1"/>
  <c r="J747" i="3" a="1"/>
  <c r="J747" i="3" s="1"/>
  <c r="K746" i="3" a="1"/>
  <c r="K746" i="3" s="1"/>
  <c r="H746" i="3" a="1"/>
  <c r="H746" i="3" s="1"/>
  <c r="I746" i="3" a="1"/>
  <c r="I746" i="3" s="1"/>
  <c r="J746" i="3" a="1"/>
  <c r="J746" i="3" s="1"/>
  <c r="F748" i="3"/>
  <c r="B747" i="3" a="1"/>
  <c r="B747" i="3" s="1"/>
  <c r="A747" i="3" a="1"/>
  <c r="A747" i="3" s="1"/>
  <c r="D746" i="2"/>
  <c r="H747" i="2" a="1"/>
  <c r="H747" i="2" s="1"/>
  <c r="K747" i="2" a="1"/>
  <c r="K747" i="2" s="1"/>
  <c r="I747" i="2" a="1"/>
  <c r="I747" i="2" s="1"/>
  <c r="J747" i="2" a="1"/>
  <c r="J747" i="2" s="1"/>
  <c r="A748" i="2" a="1"/>
  <c r="A748" i="2" s="1"/>
  <c r="B748" i="2" a="1"/>
  <c r="B748" i="2" s="1"/>
  <c r="C750" i="2"/>
  <c r="F749" i="2"/>
  <c r="D747" i="2" a="1"/>
  <c r="C750" i="3" l="1"/>
  <c r="L749" i="3"/>
  <c r="M749" i="3"/>
  <c r="H748" i="3" a="1"/>
  <c r="H748" i="3" s="1"/>
  <c r="I748" i="3" a="1"/>
  <c r="I748" i="3" s="1"/>
  <c r="K748" i="3" a="1"/>
  <c r="K748" i="3" s="1"/>
  <c r="F749" i="3"/>
  <c r="F750" i="3" s="1"/>
  <c r="A748" i="3" a="1"/>
  <c r="A748" i="3" s="1"/>
  <c r="B748" i="3" a="1"/>
  <c r="B748" i="3" s="1"/>
  <c r="D747" i="2"/>
  <c r="A749" i="2" a="1"/>
  <c r="A749" i="2" s="1"/>
  <c r="B749" i="2" a="1"/>
  <c r="B749" i="2" s="1"/>
  <c r="C751" i="2"/>
  <c r="F750" i="2"/>
  <c r="H748" i="2" a="1"/>
  <c r="H748" i="2" s="1"/>
  <c r="K748" i="2" a="1"/>
  <c r="K748" i="2" s="1"/>
  <c r="J748" i="2" a="1"/>
  <c r="J748" i="2" s="1"/>
  <c r="I748" i="2" a="1"/>
  <c r="I748" i="2" s="1"/>
  <c r="D748" i="2" a="1"/>
  <c r="G749" i="3" l="1" a="1"/>
  <c r="G749" i="3" s="1"/>
  <c r="C751" i="3"/>
  <c r="G750" i="3" a="1"/>
  <c r="G750" i="3" s="1"/>
  <c r="L750" i="3"/>
  <c r="M750" i="3"/>
  <c r="A749" i="3" a="1"/>
  <c r="A749" i="3" s="1"/>
  <c r="B749" i="3" a="1"/>
  <c r="B749" i="3" s="1"/>
  <c r="D748" i="2"/>
  <c r="A750" i="2" a="1"/>
  <c r="A750" i="2" s="1"/>
  <c r="B750" i="2" a="1"/>
  <c r="B750" i="2" s="1"/>
  <c r="C752" i="2"/>
  <c r="F751" i="2"/>
  <c r="I749" i="2" a="1"/>
  <c r="I749" i="2" s="1"/>
  <c r="J749" i="2" a="1"/>
  <c r="J749" i="2" s="1"/>
  <c r="H749" i="2" a="1"/>
  <c r="H749" i="2" s="1"/>
  <c r="K749" i="2" a="1"/>
  <c r="K749" i="2" s="1"/>
  <c r="D749" i="2" a="1"/>
  <c r="K750" i="3" l="1" a="1"/>
  <c r="K750" i="3" s="1"/>
  <c r="H750" i="3" a="1"/>
  <c r="H750" i="3" s="1"/>
  <c r="I750" i="3" a="1"/>
  <c r="I750" i="3" s="1"/>
  <c r="C752" i="3"/>
  <c r="G751" i="3" a="1"/>
  <c r="G751" i="3" s="1"/>
  <c r="J751" i="3" a="1"/>
  <c r="J751" i="3" s="1"/>
  <c r="L751" i="3"/>
  <c r="M751" i="3"/>
  <c r="J750" i="3" a="1"/>
  <c r="J750" i="3" s="1"/>
  <c r="K749" i="3" a="1"/>
  <c r="K749" i="3" s="1"/>
  <c r="H749" i="3" a="1"/>
  <c r="H749" i="3" s="1"/>
  <c r="I749" i="3" a="1"/>
  <c r="I749" i="3" s="1"/>
  <c r="J749" i="3" a="1"/>
  <c r="J749" i="3" s="1"/>
  <c r="F751" i="3"/>
  <c r="A750" i="3" a="1"/>
  <c r="A750" i="3" s="1"/>
  <c r="B750" i="3" a="1"/>
  <c r="B750" i="3" s="1"/>
  <c r="D749" i="2"/>
  <c r="A751" i="2" a="1"/>
  <c r="A751" i="2" s="1"/>
  <c r="B751" i="2" a="1"/>
  <c r="B751" i="2" s="1"/>
  <c r="C753" i="2"/>
  <c r="F752" i="2"/>
  <c r="J750" i="2" a="1"/>
  <c r="J750" i="2" s="1"/>
  <c r="I750" i="2" a="1"/>
  <c r="I750" i="2" s="1"/>
  <c r="K750" i="2" a="1"/>
  <c r="K750" i="2" s="1"/>
  <c r="H750" i="2" a="1"/>
  <c r="H750" i="2" s="1"/>
  <c r="D750" i="2" a="1"/>
  <c r="C753" i="3" l="1"/>
  <c r="L752" i="3"/>
  <c r="M752" i="3"/>
  <c r="K751" i="3" a="1"/>
  <c r="K751" i="3" s="1"/>
  <c r="H751" i="3" a="1"/>
  <c r="H751" i="3" s="1"/>
  <c r="I751" i="3" a="1"/>
  <c r="I751" i="3" s="1"/>
  <c r="F752" i="3"/>
  <c r="F753" i="3" s="1"/>
  <c r="B751" i="3" a="1"/>
  <c r="B751" i="3" s="1"/>
  <c r="A751" i="3" a="1"/>
  <c r="A751" i="3" s="1"/>
  <c r="D750" i="2"/>
  <c r="C754" i="2"/>
  <c r="F753" i="2"/>
  <c r="H751" i="2" a="1"/>
  <c r="H751" i="2" s="1"/>
  <c r="J751" i="2" a="1"/>
  <c r="J751" i="2" s="1"/>
  <c r="I751" i="2" a="1"/>
  <c r="I751" i="2" s="1"/>
  <c r="K751" i="2" a="1"/>
  <c r="K751" i="2" s="1"/>
  <c r="A752" i="2" a="1"/>
  <c r="A752" i="2" s="1"/>
  <c r="B752" i="2" a="1"/>
  <c r="B752" i="2" s="1"/>
  <c r="D751" i="2" a="1"/>
  <c r="G752" i="3" l="1" a="1"/>
  <c r="G752" i="3" s="1"/>
  <c r="C754" i="3"/>
  <c r="G753" i="3" a="1"/>
  <c r="G753" i="3" s="1"/>
  <c r="J753" i="3" a="1"/>
  <c r="J753" i="3" s="1"/>
  <c r="L753" i="3"/>
  <c r="M753" i="3"/>
  <c r="A752" i="3" a="1"/>
  <c r="A752" i="3" s="1"/>
  <c r="B752" i="3" a="1"/>
  <c r="B752" i="3" s="1"/>
  <c r="D751" i="2"/>
  <c r="I752" i="2" a="1"/>
  <c r="I752" i="2" s="1"/>
  <c r="J752" i="2" a="1"/>
  <c r="J752" i="2" s="1"/>
  <c r="K752" i="2" a="1"/>
  <c r="K752" i="2" s="1"/>
  <c r="H752" i="2" a="1"/>
  <c r="H752" i="2" s="1"/>
  <c r="A753" i="2" a="1"/>
  <c r="A753" i="2" s="1"/>
  <c r="B753" i="2" a="1"/>
  <c r="B753" i="2" s="1"/>
  <c r="C755" i="2"/>
  <c r="F754" i="2"/>
  <c r="D752" i="2" a="1"/>
  <c r="C755" i="3" l="1"/>
  <c r="G754" i="3" a="1"/>
  <c r="G754" i="3" s="1"/>
  <c r="L754" i="3"/>
  <c r="M754" i="3"/>
  <c r="J754" i="3" a="1"/>
  <c r="J754" i="3" s="1"/>
  <c r="H753" i="3" a="1"/>
  <c r="H753" i="3" s="1"/>
  <c r="I753" i="3" a="1"/>
  <c r="I753" i="3" s="1"/>
  <c r="K753" i="3" a="1"/>
  <c r="K753" i="3" s="1"/>
  <c r="K752" i="3" a="1"/>
  <c r="K752" i="3" s="1"/>
  <c r="H752" i="3" a="1"/>
  <c r="H752" i="3" s="1"/>
  <c r="I752" i="3" a="1"/>
  <c r="I752" i="3" s="1"/>
  <c r="J752" i="3" a="1"/>
  <c r="J752" i="3" s="1"/>
  <c r="F754" i="3"/>
  <c r="F755" i="3" s="1"/>
  <c r="B753" i="3" a="1"/>
  <c r="B753" i="3" s="1"/>
  <c r="A753" i="3" a="1"/>
  <c r="A753" i="3" s="1"/>
  <c r="D752" i="2"/>
  <c r="C756" i="2"/>
  <c r="F755" i="2"/>
  <c r="A754" i="2" a="1"/>
  <c r="A754" i="2" s="1"/>
  <c r="B754" i="2" a="1"/>
  <c r="B754" i="2" s="1"/>
  <c r="J753" i="2" a="1"/>
  <c r="J753" i="2" s="1"/>
  <c r="I753" i="2" a="1"/>
  <c r="I753" i="2" s="1"/>
  <c r="H753" i="2" a="1"/>
  <c r="H753" i="2" s="1"/>
  <c r="K753" i="2" a="1"/>
  <c r="K753" i="2" s="1"/>
  <c r="D753" i="2" a="1"/>
  <c r="H754" i="3" l="1" a="1"/>
  <c r="H754" i="3" s="1"/>
  <c r="I754" i="3" a="1"/>
  <c r="I754" i="3" s="1"/>
  <c r="K754" i="3" a="1"/>
  <c r="K754" i="3" s="1"/>
  <c r="C756" i="3"/>
  <c r="G755" i="3" a="1"/>
  <c r="G755" i="3" s="1"/>
  <c r="L755" i="3"/>
  <c r="M755" i="3"/>
  <c r="A754" i="3" a="1"/>
  <c r="A754" i="3" s="1"/>
  <c r="B754" i="3" a="1"/>
  <c r="B754" i="3" s="1"/>
  <c r="D753" i="2"/>
  <c r="I754" i="2" a="1"/>
  <c r="I754" i="2" s="1"/>
  <c r="J754" i="2" a="1"/>
  <c r="J754" i="2" s="1"/>
  <c r="K754" i="2" a="1"/>
  <c r="K754" i="2" s="1"/>
  <c r="H754" i="2" a="1"/>
  <c r="H754" i="2" s="1"/>
  <c r="A755" i="2" a="1"/>
  <c r="A755" i="2" s="1"/>
  <c r="B755" i="2" a="1"/>
  <c r="B755" i="2" s="1"/>
  <c r="C757" i="2"/>
  <c r="F756" i="2"/>
  <c r="D754" i="2" a="1"/>
  <c r="H755" i="3" l="1" a="1"/>
  <c r="H755" i="3" s="1"/>
  <c r="I755" i="3" a="1"/>
  <c r="I755" i="3" s="1"/>
  <c r="K755" i="3" a="1"/>
  <c r="K755" i="3" s="1"/>
  <c r="J755" i="3" a="1"/>
  <c r="J755" i="3" s="1"/>
  <c r="C757" i="3"/>
  <c r="L756" i="3"/>
  <c r="M756" i="3"/>
  <c r="F756" i="3"/>
  <c r="F757" i="3" s="1"/>
  <c r="A755" i="3" a="1"/>
  <c r="A755" i="3" s="1"/>
  <c r="B755" i="3" a="1"/>
  <c r="B755" i="3" s="1"/>
  <c r="D754" i="2"/>
  <c r="C758" i="2"/>
  <c r="F757" i="2"/>
  <c r="B756" i="2" a="1"/>
  <c r="B756" i="2" s="1"/>
  <c r="A756" i="2" a="1"/>
  <c r="A756" i="2" s="1"/>
  <c r="I755" i="2" a="1"/>
  <c r="I755" i="2" s="1"/>
  <c r="J755" i="2" a="1"/>
  <c r="J755" i="2" s="1"/>
  <c r="K755" i="2" a="1"/>
  <c r="K755" i="2" s="1"/>
  <c r="H755" i="2" a="1"/>
  <c r="H755" i="2" s="1"/>
  <c r="D755" i="2" a="1"/>
  <c r="C758" i="3" l="1"/>
  <c r="G757" i="3" a="1"/>
  <c r="G757" i="3" s="1"/>
  <c r="M757" i="3"/>
  <c r="L757" i="3"/>
  <c r="J757" i="3" a="1"/>
  <c r="J757" i="3" s="1"/>
  <c r="G756" i="3" a="1"/>
  <c r="G756" i="3" s="1"/>
  <c r="A756" i="3" a="1"/>
  <c r="A756" i="3" s="1"/>
  <c r="B756" i="3" a="1"/>
  <c r="B756" i="3" s="1"/>
  <c r="D755" i="2"/>
  <c r="J756" i="2" a="1"/>
  <c r="J756" i="2" s="1"/>
  <c r="K756" i="2" a="1"/>
  <c r="K756" i="2" s="1"/>
  <c r="I756" i="2" a="1"/>
  <c r="I756" i="2" s="1"/>
  <c r="H756" i="2" a="1"/>
  <c r="H756" i="2" s="1"/>
  <c r="A757" i="2" a="1"/>
  <c r="A757" i="2" s="1"/>
  <c r="B757" i="2" a="1"/>
  <c r="B757" i="2" s="1"/>
  <c r="C759" i="2"/>
  <c r="F758" i="2"/>
  <c r="D756" i="2" a="1"/>
  <c r="K756" i="3" l="1" a="1"/>
  <c r="K756" i="3" s="1"/>
  <c r="H756" i="3" a="1"/>
  <c r="H756" i="3" s="1"/>
  <c r="I756" i="3" a="1"/>
  <c r="I756" i="3" s="1"/>
  <c r="J756" i="3" a="1"/>
  <c r="J756" i="3" s="1"/>
  <c r="H757" i="3" a="1"/>
  <c r="H757" i="3" s="1"/>
  <c r="I757" i="3" a="1"/>
  <c r="I757" i="3" s="1"/>
  <c r="K757" i="3" a="1"/>
  <c r="K757" i="3" s="1"/>
  <c r="C759" i="3"/>
  <c r="G758" i="3" a="1"/>
  <c r="G758" i="3" s="1"/>
  <c r="J758" i="3" a="1"/>
  <c r="J758" i="3" s="1"/>
  <c r="L758" i="3"/>
  <c r="M758" i="3"/>
  <c r="F758" i="3"/>
  <c r="A757" i="3" a="1"/>
  <c r="A757" i="3" s="1"/>
  <c r="B757" i="3" a="1"/>
  <c r="B757" i="3" s="1"/>
  <c r="D756" i="2"/>
  <c r="A758" i="2" a="1"/>
  <c r="A758" i="2" s="1"/>
  <c r="B758" i="2" a="1"/>
  <c r="B758" i="2" s="1"/>
  <c r="K757" i="2" a="1"/>
  <c r="K757" i="2" s="1"/>
  <c r="J757" i="2" a="1"/>
  <c r="J757" i="2" s="1"/>
  <c r="H757" i="2" a="1"/>
  <c r="H757" i="2" s="1"/>
  <c r="I757" i="2" a="1"/>
  <c r="I757" i="2" s="1"/>
  <c r="C760" i="2"/>
  <c r="F759" i="2"/>
  <c r="D757" i="2" a="1"/>
  <c r="K758" i="3" l="1" a="1"/>
  <c r="K758" i="3" s="1"/>
  <c r="H758" i="3" a="1"/>
  <c r="H758" i="3" s="1"/>
  <c r="I758" i="3" a="1"/>
  <c r="I758" i="3" s="1"/>
  <c r="C760" i="3"/>
  <c r="L759" i="3"/>
  <c r="M759" i="3"/>
  <c r="F759" i="3"/>
  <c r="F760" i="3" s="1"/>
  <c r="B758" i="3" a="1"/>
  <c r="B758" i="3" s="1"/>
  <c r="A758" i="3" a="1"/>
  <c r="A758" i="3" s="1"/>
  <c r="D757" i="2"/>
  <c r="B759" i="2" a="1"/>
  <c r="B759" i="2" s="1"/>
  <c r="A759" i="2" a="1"/>
  <c r="A759" i="2" s="1"/>
  <c r="C761" i="2"/>
  <c r="F760" i="2"/>
  <c r="J758" i="2" a="1"/>
  <c r="J758" i="2" s="1"/>
  <c r="K758" i="2" a="1"/>
  <c r="K758" i="2" s="1"/>
  <c r="H758" i="2" a="1"/>
  <c r="H758" i="2" s="1"/>
  <c r="I758" i="2" a="1"/>
  <c r="I758" i="2" s="1"/>
  <c r="D758" i="2" a="1"/>
  <c r="G759" i="3" l="1" a="1"/>
  <c r="G759" i="3" s="1"/>
  <c r="C761" i="3"/>
  <c r="G760" i="3" a="1"/>
  <c r="G760" i="3" s="1"/>
  <c r="L760" i="3"/>
  <c r="M760" i="3"/>
  <c r="J760" i="3" a="1"/>
  <c r="J760" i="3" s="1"/>
  <c r="F761" i="3"/>
  <c r="B759" i="3" a="1"/>
  <c r="B759" i="3" s="1"/>
  <c r="A759" i="3" a="1"/>
  <c r="A759" i="3" s="1"/>
  <c r="D758" i="2"/>
  <c r="I759" i="2" a="1"/>
  <c r="I759" i="2" s="1"/>
  <c r="H759" i="2" a="1"/>
  <c r="H759" i="2" s="1"/>
  <c r="J759" i="2" a="1"/>
  <c r="J759" i="2" s="1"/>
  <c r="K759" i="2" a="1"/>
  <c r="K759" i="2" s="1"/>
  <c r="A760" i="2" a="1"/>
  <c r="A760" i="2" s="1"/>
  <c r="B760" i="2" a="1"/>
  <c r="B760" i="2" s="1"/>
  <c r="C762" i="2"/>
  <c r="F761" i="2"/>
  <c r="D759" i="2" a="1"/>
  <c r="C762" i="3" l="1"/>
  <c r="G761" i="3" a="1"/>
  <c r="G761" i="3" s="1"/>
  <c r="M761" i="3"/>
  <c r="J761" i="3" a="1"/>
  <c r="J761" i="3" s="1"/>
  <c r="L761" i="3"/>
  <c r="F762" i="3"/>
  <c r="H760" i="3" a="1"/>
  <c r="H760" i="3" s="1"/>
  <c r="I760" i="3" a="1"/>
  <c r="I760" i="3" s="1"/>
  <c r="K760" i="3" a="1"/>
  <c r="K760" i="3" s="1"/>
  <c r="H759" i="3" a="1"/>
  <c r="H759" i="3" s="1"/>
  <c r="I759" i="3" a="1"/>
  <c r="I759" i="3" s="1"/>
  <c r="K759" i="3" a="1"/>
  <c r="K759" i="3" s="1"/>
  <c r="J759" i="3" a="1"/>
  <c r="J759" i="3" s="1"/>
  <c r="A760" i="3" a="1"/>
  <c r="A760" i="3" s="1"/>
  <c r="B760" i="3" a="1"/>
  <c r="B760" i="3" s="1"/>
  <c r="D759" i="2"/>
  <c r="C763" i="2"/>
  <c r="F762" i="2"/>
  <c r="A761" i="2" a="1"/>
  <c r="A761" i="2" s="1"/>
  <c r="B761" i="2" a="1"/>
  <c r="B761" i="2" s="1"/>
  <c r="J760" i="2" a="1"/>
  <c r="J760" i="2" s="1"/>
  <c r="I760" i="2" a="1"/>
  <c r="I760" i="2" s="1"/>
  <c r="H760" i="2" a="1"/>
  <c r="H760" i="2" s="1"/>
  <c r="K760" i="2" a="1"/>
  <c r="K760" i="2" s="1"/>
  <c r="D760" i="2" a="1"/>
  <c r="K761" i="3" l="1" a="1"/>
  <c r="K761" i="3" s="1"/>
  <c r="H761" i="3" a="1"/>
  <c r="H761" i="3" s="1"/>
  <c r="I761" i="3" a="1"/>
  <c r="I761" i="3" s="1"/>
  <c r="C763" i="3"/>
  <c r="F763" i="3" s="1"/>
  <c r="G762" i="3" a="1"/>
  <c r="G762" i="3" s="1"/>
  <c r="J762" i="3" s="1" a="1"/>
  <c r="J762" i="3" s="1"/>
  <c r="L762" i="3"/>
  <c r="M762" i="3"/>
  <c r="A761" i="3" a="1"/>
  <c r="A761" i="3" s="1"/>
  <c r="B761" i="3" a="1"/>
  <c r="B761" i="3" s="1"/>
  <c r="D760" i="2"/>
  <c r="H761" i="2" a="1"/>
  <c r="H761" i="2" s="1"/>
  <c r="J761" i="2" a="1"/>
  <c r="J761" i="2" s="1"/>
  <c r="I761" i="2" a="1"/>
  <c r="I761" i="2" s="1"/>
  <c r="K761" i="2" a="1"/>
  <c r="K761" i="2" s="1"/>
  <c r="A762" i="2" a="1"/>
  <c r="A762" i="2" s="1"/>
  <c r="B762" i="2" a="1"/>
  <c r="B762" i="2" s="1"/>
  <c r="C764" i="2"/>
  <c r="F763" i="2"/>
  <c r="D761" i="2" a="1"/>
  <c r="K762" i="3" l="1" a="1"/>
  <c r="K762" i="3" s="1"/>
  <c r="H762" i="3" a="1"/>
  <c r="H762" i="3" s="1"/>
  <c r="I762" i="3" a="1"/>
  <c r="I762" i="3" s="1"/>
  <c r="C764" i="3"/>
  <c r="G763" i="3" a="1"/>
  <c r="G763" i="3" s="1"/>
  <c r="J763" i="3" a="1"/>
  <c r="J763" i="3" s="1"/>
  <c r="L763" i="3"/>
  <c r="M763" i="3"/>
  <c r="A762" i="3" a="1"/>
  <c r="A762" i="3" s="1"/>
  <c r="B762" i="3" a="1"/>
  <c r="B762" i="3" s="1"/>
  <c r="D761" i="2"/>
  <c r="C765" i="2"/>
  <c r="F764" i="2"/>
  <c r="A763" i="2" a="1"/>
  <c r="A763" i="2" s="1"/>
  <c r="B763" i="2" a="1"/>
  <c r="B763" i="2" s="1"/>
  <c r="I762" i="2" a="1"/>
  <c r="I762" i="2" s="1"/>
  <c r="H762" i="2" a="1"/>
  <c r="H762" i="2" s="1"/>
  <c r="J762" i="2" a="1"/>
  <c r="J762" i="2" s="1"/>
  <c r="K762" i="2" a="1"/>
  <c r="K762" i="2" s="1"/>
  <c r="D762" i="2" a="1"/>
  <c r="K763" i="3" l="1" a="1"/>
  <c r="K763" i="3" s="1"/>
  <c r="H763" i="3" a="1"/>
  <c r="H763" i="3" s="1"/>
  <c r="I763" i="3" a="1"/>
  <c r="I763" i="3" s="1"/>
  <c r="C765" i="3"/>
  <c r="L764" i="3"/>
  <c r="M764" i="3"/>
  <c r="F764" i="3"/>
  <c r="F765" i="3" s="1"/>
  <c r="A763" i="3" a="1"/>
  <c r="A763" i="3" s="1"/>
  <c r="B763" i="3" a="1"/>
  <c r="B763" i="3" s="1"/>
  <c r="D762" i="2"/>
  <c r="A764" i="2" a="1"/>
  <c r="A764" i="2" s="1"/>
  <c r="B764" i="2" a="1"/>
  <c r="B764" i="2" s="1"/>
  <c r="I763" i="2" a="1"/>
  <c r="I763" i="2" s="1"/>
  <c r="J763" i="2" a="1"/>
  <c r="J763" i="2" s="1"/>
  <c r="K763" i="2" a="1"/>
  <c r="K763" i="2" s="1"/>
  <c r="H763" i="2" a="1"/>
  <c r="H763" i="2" s="1"/>
  <c r="C766" i="2"/>
  <c r="F765" i="2"/>
  <c r="D763" i="2" a="1"/>
  <c r="G764" i="3" l="1" a="1"/>
  <c r="G764" i="3" s="1"/>
  <c r="C766" i="3"/>
  <c r="G765" i="3" a="1"/>
  <c r="G765" i="3" s="1"/>
  <c r="L765" i="3"/>
  <c r="M765" i="3"/>
  <c r="A764" i="3" a="1"/>
  <c r="A764" i="3" s="1"/>
  <c r="B764" i="3" a="1"/>
  <c r="B764" i="3" s="1"/>
  <c r="D763" i="2"/>
  <c r="A765" i="2" a="1"/>
  <c r="A765" i="2" s="1"/>
  <c r="B765" i="2" a="1"/>
  <c r="B765" i="2" s="1"/>
  <c r="C767" i="2"/>
  <c r="F766" i="2"/>
  <c r="I764" i="2" a="1"/>
  <c r="I764" i="2" s="1"/>
  <c r="J764" i="2" a="1"/>
  <c r="J764" i="2" s="1"/>
  <c r="K764" i="2" a="1"/>
  <c r="K764" i="2" s="1"/>
  <c r="H764" i="2" a="1"/>
  <c r="H764" i="2" s="1"/>
  <c r="D764" i="2" a="1"/>
  <c r="H765" i="3" l="1" a="1"/>
  <c r="H765" i="3" s="1"/>
  <c r="I765" i="3" a="1"/>
  <c r="I765" i="3" s="1"/>
  <c r="K765" i="3" a="1"/>
  <c r="K765" i="3" s="1"/>
  <c r="C767" i="3"/>
  <c r="G766" i="3" a="1"/>
  <c r="G766" i="3" s="1"/>
  <c r="L766" i="3"/>
  <c r="M766" i="3"/>
  <c r="J766" i="3" a="1"/>
  <c r="J766" i="3" s="1"/>
  <c r="J765" i="3" a="1"/>
  <c r="J765" i="3" s="1"/>
  <c r="K764" i="3" a="1"/>
  <c r="K764" i="3" s="1"/>
  <c r="H764" i="3" a="1"/>
  <c r="H764" i="3" s="1"/>
  <c r="I764" i="3" a="1"/>
  <c r="I764" i="3" s="1"/>
  <c r="J764" i="3" a="1"/>
  <c r="J764" i="3" s="1"/>
  <c r="F766" i="3"/>
  <c r="A765" i="3" a="1"/>
  <c r="A765" i="3" s="1"/>
  <c r="B765" i="3" a="1"/>
  <c r="B765" i="3" s="1"/>
  <c r="D764" i="2"/>
  <c r="C768" i="2"/>
  <c r="F767" i="2"/>
  <c r="K765" i="2" a="1"/>
  <c r="K765" i="2" s="1"/>
  <c r="J765" i="2" a="1"/>
  <c r="J765" i="2" s="1"/>
  <c r="I765" i="2" a="1"/>
  <c r="I765" i="2" s="1"/>
  <c r="H765" i="2" a="1"/>
  <c r="H765" i="2" s="1"/>
  <c r="A766" i="2" a="1"/>
  <c r="A766" i="2" s="1"/>
  <c r="B766" i="2" a="1"/>
  <c r="B766" i="2" s="1"/>
  <c r="D765" i="2" a="1"/>
  <c r="C768" i="3" l="1"/>
  <c r="L767" i="3"/>
  <c r="M767" i="3"/>
  <c r="F767" i="3"/>
  <c r="F768" i="3" s="1"/>
  <c r="H766" i="3" a="1"/>
  <c r="H766" i="3" s="1"/>
  <c r="I766" i="3" a="1"/>
  <c r="I766" i="3" s="1"/>
  <c r="K766" i="3" a="1"/>
  <c r="K766" i="3" s="1"/>
  <c r="A766" i="3" a="1"/>
  <c r="A766" i="3" s="1"/>
  <c r="B766" i="3" a="1"/>
  <c r="B766" i="3" s="1"/>
  <c r="D765" i="2"/>
  <c r="K766" i="2" a="1"/>
  <c r="K766" i="2" s="1"/>
  <c r="I766" i="2" a="1"/>
  <c r="I766" i="2" s="1"/>
  <c r="J766" i="2" a="1"/>
  <c r="J766" i="2" s="1"/>
  <c r="H766" i="2" a="1"/>
  <c r="H766" i="2" s="1"/>
  <c r="B767" i="2" a="1"/>
  <c r="B767" i="2" s="1"/>
  <c r="A767" i="2" a="1"/>
  <c r="A767" i="2" s="1"/>
  <c r="C769" i="2"/>
  <c r="F768" i="2"/>
  <c r="D766" i="2" a="1"/>
  <c r="G767" i="3" l="1" a="1"/>
  <c r="G767" i="3" s="1"/>
  <c r="C769" i="3"/>
  <c r="G768" i="3" a="1"/>
  <c r="G768" i="3" s="1"/>
  <c r="L768" i="3"/>
  <c r="M768" i="3"/>
  <c r="J768" i="3" a="1"/>
  <c r="J768" i="3" s="1"/>
  <c r="B767" i="3" a="1"/>
  <c r="B767" i="3" s="1"/>
  <c r="A767" i="3" a="1"/>
  <c r="A767" i="3" s="1"/>
  <c r="D766" i="2"/>
  <c r="B768" i="2" a="1"/>
  <c r="B768" i="2" s="1"/>
  <c r="A768" i="2" a="1"/>
  <c r="A768" i="2" s="1"/>
  <c r="H767" i="2" a="1"/>
  <c r="H767" i="2" s="1"/>
  <c r="J767" i="2" a="1"/>
  <c r="J767" i="2" s="1"/>
  <c r="I767" i="2" a="1"/>
  <c r="I767" i="2" s="1"/>
  <c r="K767" i="2" a="1"/>
  <c r="K767" i="2" s="1"/>
  <c r="C770" i="2"/>
  <c r="F769" i="2"/>
  <c r="D767" i="2" a="1"/>
  <c r="C770" i="3" l="1"/>
  <c r="G769" i="3" a="1"/>
  <c r="G769" i="3" s="1"/>
  <c r="L769" i="3"/>
  <c r="M769" i="3"/>
  <c r="J769" i="3" a="1"/>
  <c r="J769" i="3" s="1"/>
  <c r="H768" i="3" a="1"/>
  <c r="H768" i="3" s="1"/>
  <c r="I768" i="3" a="1"/>
  <c r="I768" i="3" s="1"/>
  <c r="K768" i="3" a="1"/>
  <c r="K768" i="3" s="1"/>
  <c r="H767" i="3" a="1"/>
  <c r="H767" i="3" s="1"/>
  <c r="I767" i="3" a="1"/>
  <c r="I767" i="3" s="1"/>
  <c r="K767" i="3" a="1"/>
  <c r="K767" i="3" s="1"/>
  <c r="J767" i="3" a="1"/>
  <c r="J767" i="3" s="1"/>
  <c r="F769" i="3"/>
  <c r="F770" i="3" s="1"/>
  <c r="B768" i="3" a="1"/>
  <c r="B768" i="3" s="1"/>
  <c r="A768" i="3" a="1"/>
  <c r="A768" i="3" s="1"/>
  <c r="D767" i="2"/>
  <c r="H768" i="2" a="1"/>
  <c r="H768" i="2" s="1"/>
  <c r="I768" i="2" a="1"/>
  <c r="I768" i="2" s="1"/>
  <c r="J768" i="2" a="1"/>
  <c r="J768" i="2" s="1"/>
  <c r="K768" i="2" a="1"/>
  <c r="K768" i="2" s="1"/>
  <c r="B769" i="2" a="1"/>
  <c r="B769" i="2" s="1"/>
  <c r="A769" i="2" a="1"/>
  <c r="A769" i="2" s="1"/>
  <c r="C771" i="2"/>
  <c r="F770" i="2"/>
  <c r="D768" i="2" a="1"/>
  <c r="H769" i="3" l="1" a="1"/>
  <c r="H769" i="3" s="1"/>
  <c r="I769" i="3" a="1"/>
  <c r="I769" i="3" s="1"/>
  <c r="K769" i="3" a="1"/>
  <c r="K769" i="3" s="1"/>
  <c r="C771" i="3"/>
  <c r="G770" i="3" a="1"/>
  <c r="G770" i="3" s="1"/>
  <c r="J770" i="3" a="1"/>
  <c r="J770" i="3" s="1"/>
  <c r="L770" i="3"/>
  <c r="M770" i="3"/>
  <c r="A769" i="3" a="1"/>
  <c r="A769" i="3" s="1"/>
  <c r="B769" i="3" a="1"/>
  <c r="B769" i="3" s="1"/>
  <c r="D768" i="2"/>
  <c r="C772" i="2"/>
  <c r="F771" i="2"/>
  <c r="I769" i="2" a="1"/>
  <c r="I769" i="2" s="1"/>
  <c r="H769" i="2" a="1"/>
  <c r="H769" i="2" s="1"/>
  <c r="K769" i="2" a="1"/>
  <c r="K769" i="2" s="1"/>
  <c r="J769" i="2" a="1"/>
  <c r="J769" i="2" s="1"/>
  <c r="A770" i="2" a="1"/>
  <c r="A770" i="2" s="1"/>
  <c r="B770" i="2" a="1"/>
  <c r="B770" i="2" s="1"/>
  <c r="D769" i="2" a="1"/>
  <c r="K770" i="3" l="1" a="1"/>
  <c r="K770" i="3" s="1"/>
  <c r="H770" i="3" a="1"/>
  <c r="H770" i="3" s="1"/>
  <c r="I770" i="3" a="1"/>
  <c r="I770" i="3" s="1"/>
  <c r="C772" i="3"/>
  <c r="L771" i="3"/>
  <c r="M771" i="3"/>
  <c r="F771" i="3"/>
  <c r="F772" i="3" s="1"/>
  <c r="A770" i="3" a="1"/>
  <c r="A770" i="3" s="1"/>
  <c r="B770" i="3" a="1"/>
  <c r="B770" i="3" s="1"/>
  <c r="D769" i="2"/>
  <c r="H770" i="2" a="1"/>
  <c r="H770" i="2" s="1"/>
  <c r="I770" i="2" a="1"/>
  <c r="I770" i="2" s="1"/>
  <c r="J770" i="2" a="1"/>
  <c r="J770" i="2" s="1"/>
  <c r="K770" i="2" a="1"/>
  <c r="K770" i="2" s="1"/>
  <c r="B771" i="2" a="1"/>
  <c r="B771" i="2" s="1"/>
  <c r="A771" i="2" a="1"/>
  <c r="A771" i="2" s="1"/>
  <c r="C773" i="2"/>
  <c r="F772" i="2"/>
  <c r="D770" i="2" a="1"/>
  <c r="C773" i="3" l="1"/>
  <c r="G772" i="3" a="1"/>
  <c r="G772" i="3" s="1"/>
  <c r="L772" i="3"/>
  <c r="M772" i="3"/>
  <c r="J772" i="3" a="1"/>
  <c r="J772" i="3" s="1"/>
  <c r="F773" i="3"/>
  <c r="G771" i="3" a="1"/>
  <c r="G771" i="3" s="1"/>
  <c r="B771" i="3" a="1"/>
  <c r="B771" i="3" s="1"/>
  <c r="A771" i="3" a="1"/>
  <c r="A771" i="3" s="1"/>
  <c r="D770" i="2"/>
  <c r="C774" i="2"/>
  <c r="F773" i="2"/>
  <c r="A772" i="2" a="1"/>
  <c r="A772" i="2" s="1"/>
  <c r="B772" i="2" a="1"/>
  <c r="B772" i="2" s="1"/>
  <c r="J771" i="2" a="1"/>
  <c r="J771" i="2" s="1"/>
  <c r="I771" i="2" a="1"/>
  <c r="I771" i="2" s="1"/>
  <c r="H771" i="2" a="1"/>
  <c r="H771" i="2" s="1"/>
  <c r="K771" i="2" a="1"/>
  <c r="K771" i="2" s="1"/>
  <c r="D771" i="2" a="1"/>
  <c r="I771" i="3" l="1" a="1"/>
  <c r="I771" i="3" s="1"/>
  <c r="K771" i="3" a="1"/>
  <c r="K771" i="3" s="1"/>
  <c r="H771" i="3" a="1"/>
  <c r="H771" i="3" s="1"/>
  <c r="J771" i="3" a="1"/>
  <c r="J771" i="3" s="1"/>
  <c r="H772" i="3" a="1"/>
  <c r="H772" i="3" s="1"/>
  <c r="I772" i="3" a="1"/>
  <c r="I772" i="3" s="1"/>
  <c r="K772" i="3" a="1"/>
  <c r="K772" i="3" s="1"/>
  <c r="C774" i="3"/>
  <c r="G773" i="3" a="1"/>
  <c r="G773" i="3" s="1"/>
  <c r="L773" i="3"/>
  <c r="M773" i="3"/>
  <c r="A772" i="3" a="1"/>
  <c r="A772" i="3" s="1"/>
  <c r="B772" i="3" a="1"/>
  <c r="B772" i="3" s="1"/>
  <c r="D771" i="2"/>
  <c r="I772" i="2" a="1"/>
  <c r="I772" i="2" s="1"/>
  <c r="J772" i="2" a="1"/>
  <c r="J772" i="2" s="1"/>
  <c r="H772" i="2" a="1"/>
  <c r="H772" i="2" s="1"/>
  <c r="K772" i="2" a="1"/>
  <c r="K772" i="2" s="1"/>
  <c r="A773" i="2" a="1"/>
  <c r="A773" i="2" s="1"/>
  <c r="B773" i="2" a="1"/>
  <c r="B773" i="2" s="1"/>
  <c r="C775" i="2"/>
  <c r="F774" i="2"/>
  <c r="D772" i="2" a="1"/>
  <c r="C775" i="3" l="1"/>
  <c r="L774" i="3"/>
  <c r="M774" i="3"/>
  <c r="K773" i="3" a="1"/>
  <c r="K773" i="3" s="1"/>
  <c r="H773" i="3" a="1"/>
  <c r="H773" i="3" s="1"/>
  <c r="I773" i="3" a="1"/>
  <c r="I773" i="3" s="1"/>
  <c r="F774" i="3"/>
  <c r="F775" i="3" s="1"/>
  <c r="J773" i="3" a="1"/>
  <c r="J773" i="3" s="1"/>
  <c r="A773" i="3" a="1"/>
  <c r="A773" i="3" s="1"/>
  <c r="B773" i="3" a="1"/>
  <c r="B773" i="3" s="1"/>
  <c r="D772" i="2"/>
  <c r="J773" i="2" a="1"/>
  <c r="J773" i="2" s="1"/>
  <c r="I773" i="2" a="1"/>
  <c r="I773" i="2" s="1"/>
  <c r="K773" i="2" a="1"/>
  <c r="K773" i="2" s="1"/>
  <c r="H773" i="2" a="1"/>
  <c r="H773" i="2" s="1"/>
  <c r="C776" i="2"/>
  <c r="F775" i="2"/>
  <c r="A774" i="2" a="1"/>
  <c r="A774" i="2" s="1"/>
  <c r="B774" i="2" a="1"/>
  <c r="B774" i="2" s="1"/>
  <c r="D773" i="2" a="1"/>
  <c r="G774" i="3" l="1" a="1"/>
  <c r="G774" i="3" s="1"/>
  <c r="C776" i="3"/>
  <c r="G775" i="3" a="1"/>
  <c r="G775" i="3" s="1"/>
  <c r="L775" i="3"/>
  <c r="M775" i="3"/>
  <c r="B774" i="3" a="1"/>
  <c r="B774" i="3" s="1"/>
  <c r="A774" i="3" a="1"/>
  <c r="A774" i="3" s="1"/>
  <c r="D773" i="2"/>
  <c r="H774" i="2" a="1"/>
  <c r="H774" i="2" s="1"/>
  <c r="J774" i="2" a="1"/>
  <c r="J774" i="2" s="1"/>
  <c r="K774" i="2" a="1"/>
  <c r="K774" i="2" s="1"/>
  <c r="I774" i="2" a="1"/>
  <c r="I774" i="2" s="1"/>
  <c r="C777" i="2"/>
  <c r="F776" i="2"/>
  <c r="A775" i="2" a="1"/>
  <c r="A775" i="2" s="1"/>
  <c r="B775" i="2" a="1"/>
  <c r="B775" i="2" s="1"/>
  <c r="D774" i="2" a="1"/>
  <c r="K775" i="3" l="1" a="1"/>
  <c r="K775" i="3" s="1"/>
  <c r="H775" i="3" a="1"/>
  <c r="H775" i="3" s="1"/>
  <c r="I775" i="3" a="1"/>
  <c r="I775" i="3" s="1"/>
  <c r="C777" i="3"/>
  <c r="G776" i="3" a="1"/>
  <c r="G776" i="3" s="1"/>
  <c r="L776" i="3"/>
  <c r="M776" i="3"/>
  <c r="J775" i="3" a="1"/>
  <c r="J775" i="3" s="1"/>
  <c r="K774" i="3" a="1"/>
  <c r="K774" i="3" s="1"/>
  <c r="H774" i="3" a="1"/>
  <c r="H774" i="3" s="1"/>
  <c r="I774" i="3" a="1"/>
  <c r="I774" i="3" s="1"/>
  <c r="J774" i="3" a="1"/>
  <c r="J774" i="3" s="1"/>
  <c r="F776" i="3"/>
  <c r="F777" i="3" s="1"/>
  <c r="B775" i="3" a="1"/>
  <c r="B775" i="3" s="1"/>
  <c r="A775" i="3" a="1"/>
  <c r="A775" i="3" s="1"/>
  <c r="D774" i="2"/>
  <c r="I775" i="2" a="1"/>
  <c r="I775" i="2" s="1"/>
  <c r="H775" i="2" a="1"/>
  <c r="H775" i="2" s="1"/>
  <c r="K775" i="2" a="1"/>
  <c r="K775" i="2" s="1"/>
  <c r="J775" i="2" a="1"/>
  <c r="J775" i="2" s="1"/>
  <c r="A776" i="2" a="1"/>
  <c r="A776" i="2" s="1"/>
  <c r="B776" i="2" a="1"/>
  <c r="B776" i="2" s="1"/>
  <c r="C778" i="2"/>
  <c r="F777" i="2"/>
  <c r="D775" i="2" a="1"/>
  <c r="H776" i="3" l="1" a="1"/>
  <c r="H776" i="3" s="1"/>
  <c r="I776" i="3" a="1"/>
  <c r="I776" i="3" s="1"/>
  <c r="K776" i="3" a="1"/>
  <c r="K776" i="3" s="1"/>
  <c r="C778" i="3"/>
  <c r="G777" i="3" a="1"/>
  <c r="G777" i="3" s="1"/>
  <c r="M777" i="3"/>
  <c r="L777" i="3"/>
  <c r="J777" i="3" a="1"/>
  <c r="J777" i="3" s="1"/>
  <c r="J776" i="3" a="1"/>
  <c r="J776" i="3" s="1"/>
  <c r="F778" i="3"/>
  <c r="A776" i="3" a="1"/>
  <c r="A776" i="3" s="1"/>
  <c r="B776" i="3" a="1"/>
  <c r="B776" i="3" s="1"/>
  <c r="D775" i="2"/>
  <c r="A777" i="2" a="1"/>
  <c r="A777" i="2" s="1"/>
  <c r="B777" i="2" a="1"/>
  <c r="B777" i="2" s="1"/>
  <c r="I776" i="2" a="1"/>
  <c r="I776" i="2" s="1"/>
  <c r="H776" i="2" a="1"/>
  <c r="H776" i="2" s="1"/>
  <c r="J776" i="2" a="1"/>
  <c r="J776" i="2" s="1"/>
  <c r="K776" i="2" a="1"/>
  <c r="K776" i="2" s="1"/>
  <c r="C779" i="2"/>
  <c r="F778" i="2"/>
  <c r="D776" i="2" a="1"/>
  <c r="C779" i="3" l="1"/>
  <c r="G778" i="3" a="1"/>
  <c r="G778" i="3" s="1"/>
  <c r="L778" i="3"/>
  <c r="M778" i="3"/>
  <c r="J778" i="3" a="1"/>
  <c r="J778" i="3" s="1"/>
  <c r="H777" i="3" a="1"/>
  <c r="H777" i="3" s="1"/>
  <c r="I777" i="3" a="1"/>
  <c r="I777" i="3" s="1"/>
  <c r="K777" i="3" a="1"/>
  <c r="K777" i="3" s="1"/>
  <c r="A777" i="3" a="1"/>
  <c r="A777" i="3" s="1"/>
  <c r="B777" i="3" a="1"/>
  <c r="B777" i="3" s="1"/>
  <c r="D776" i="2"/>
  <c r="B778" i="2" a="1"/>
  <c r="B778" i="2" s="1"/>
  <c r="A778" i="2" a="1"/>
  <c r="A778" i="2" s="1"/>
  <c r="J777" i="2" a="1"/>
  <c r="J777" i="2" s="1"/>
  <c r="H777" i="2" a="1"/>
  <c r="H777" i="2" s="1"/>
  <c r="K777" i="2" a="1"/>
  <c r="K777" i="2" s="1"/>
  <c r="I777" i="2" a="1"/>
  <c r="I777" i="2" s="1"/>
  <c r="C780" i="2"/>
  <c r="F779" i="2"/>
  <c r="D777" i="2" a="1"/>
  <c r="H778" i="3" l="1" a="1"/>
  <c r="H778" i="3" s="1"/>
  <c r="I778" i="3" a="1"/>
  <c r="I778" i="3" s="1"/>
  <c r="K778" i="3" a="1"/>
  <c r="K778" i="3" s="1"/>
  <c r="C780" i="3"/>
  <c r="L779" i="3"/>
  <c r="M779" i="3"/>
  <c r="F779" i="3"/>
  <c r="F780" i="3" s="1"/>
  <c r="A778" i="3" a="1"/>
  <c r="A778" i="3" s="1"/>
  <c r="B778" i="3" a="1"/>
  <c r="B778" i="3" s="1"/>
  <c r="D777" i="2"/>
  <c r="C781" i="2"/>
  <c r="F780" i="2"/>
  <c r="A779" i="2" a="1"/>
  <c r="A779" i="2" s="1"/>
  <c r="B779" i="2" a="1"/>
  <c r="B779" i="2" s="1"/>
  <c r="I778" i="2" a="1"/>
  <c r="I778" i="2" s="1"/>
  <c r="H778" i="2" a="1"/>
  <c r="H778" i="2" s="1"/>
  <c r="K778" i="2" a="1"/>
  <c r="K778" i="2" s="1"/>
  <c r="J778" i="2" a="1"/>
  <c r="J778" i="2" s="1"/>
  <c r="D778" i="2" a="1"/>
  <c r="G779" i="3" l="1" a="1"/>
  <c r="G779" i="3" s="1"/>
  <c r="C781" i="3"/>
  <c r="G780" i="3" a="1"/>
  <c r="G780" i="3" s="1"/>
  <c r="L780" i="3"/>
  <c r="M780" i="3"/>
  <c r="F781" i="3"/>
  <c r="B779" i="3" a="1"/>
  <c r="B779" i="3" s="1"/>
  <c r="A779" i="3" a="1"/>
  <c r="A779" i="3" s="1"/>
  <c r="D778" i="2"/>
  <c r="H779" i="2" a="1"/>
  <c r="H779" i="2" s="1"/>
  <c r="I779" i="2" a="1"/>
  <c r="I779" i="2" s="1"/>
  <c r="K779" i="2" a="1"/>
  <c r="K779" i="2" s="1"/>
  <c r="J779" i="2" a="1"/>
  <c r="J779" i="2" s="1"/>
  <c r="B780" i="2" a="1"/>
  <c r="B780" i="2" s="1"/>
  <c r="A780" i="2" a="1"/>
  <c r="A780" i="2" s="1"/>
  <c r="C782" i="2"/>
  <c r="F781" i="2"/>
  <c r="D779" i="2" a="1"/>
  <c r="H780" i="3" l="1" a="1"/>
  <c r="H780" i="3" s="1"/>
  <c r="I780" i="3" a="1"/>
  <c r="I780" i="3" s="1"/>
  <c r="K780" i="3" a="1"/>
  <c r="K780" i="3" s="1"/>
  <c r="C782" i="3"/>
  <c r="G781" i="3" a="1"/>
  <c r="G781" i="3" s="1"/>
  <c r="L781" i="3"/>
  <c r="M781" i="3"/>
  <c r="J781" i="3" a="1"/>
  <c r="J781" i="3" s="1"/>
  <c r="J780" i="3" a="1"/>
  <c r="J780" i="3" s="1"/>
  <c r="H779" i="3" a="1"/>
  <c r="H779" i="3" s="1"/>
  <c r="I779" i="3" a="1"/>
  <c r="I779" i="3" s="1"/>
  <c r="K779" i="3" a="1"/>
  <c r="K779" i="3" s="1"/>
  <c r="J779" i="3" a="1"/>
  <c r="J779" i="3" s="1"/>
  <c r="B780" i="3" a="1"/>
  <c r="B780" i="3" s="1"/>
  <c r="A780" i="3" a="1"/>
  <c r="A780" i="3" s="1"/>
  <c r="D779" i="2"/>
  <c r="B781" i="2" a="1"/>
  <c r="B781" i="2" s="1"/>
  <c r="A781" i="2" a="1"/>
  <c r="A781" i="2" s="1"/>
  <c r="C783" i="2"/>
  <c r="F782" i="2"/>
  <c r="J780" i="2" a="1"/>
  <c r="J780" i="2" s="1"/>
  <c r="I780" i="2" a="1"/>
  <c r="I780" i="2" s="1"/>
  <c r="H780" i="2" a="1"/>
  <c r="H780" i="2" s="1"/>
  <c r="K780" i="2" a="1"/>
  <c r="K780" i="2" s="1"/>
  <c r="D780" i="2" a="1"/>
  <c r="C783" i="3" l="1"/>
  <c r="M782" i="3"/>
  <c r="L782" i="3"/>
  <c r="H781" i="3" a="1"/>
  <c r="H781" i="3" s="1"/>
  <c r="I781" i="3" a="1"/>
  <c r="I781" i="3" s="1"/>
  <c r="K781" i="3" a="1"/>
  <c r="K781" i="3" s="1"/>
  <c r="F782" i="3"/>
  <c r="F783" i="3" s="1"/>
  <c r="A781" i="3" a="1"/>
  <c r="A781" i="3" s="1"/>
  <c r="B781" i="3" a="1"/>
  <c r="B781" i="3" s="1"/>
  <c r="D780" i="2"/>
  <c r="A782" i="2" a="1"/>
  <c r="A782" i="2" s="1"/>
  <c r="B782" i="2" a="1"/>
  <c r="B782" i="2" s="1"/>
  <c r="C784" i="2"/>
  <c r="F783" i="2"/>
  <c r="J781" i="2" a="1"/>
  <c r="J781" i="2" s="1"/>
  <c r="I781" i="2" a="1"/>
  <c r="I781" i="2" s="1"/>
  <c r="K781" i="2" a="1"/>
  <c r="K781" i="2" s="1"/>
  <c r="H781" i="2" a="1"/>
  <c r="H781" i="2" s="1"/>
  <c r="D781" i="2" a="1"/>
  <c r="G782" i="3" l="1" a="1"/>
  <c r="G782" i="3" s="1"/>
  <c r="C784" i="3"/>
  <c r="G783" i="3" a="1"/>
  <c r="G783" i="3" s="1"/>
  <c r="L783" i="3"/>
  <c r="M783" i="3"/>
  <c r="J783" i="3" a="1"/>
  <c r="J783" i="3" s="1"/>
  <c r="A782" i="3" a="1"/>
  <c r="A782" i="3" s="1"/>
  <c r="B782" i="3" a="1"/>
  <c r="B782" i="3" s="1"/>
  <c r="D781" i="2"/>
  <c r="B783" i="2" a="1"/>
  <c r="B783" i="2" s="1"/>
  <c r="A783" i="2" a="1"/>
  <c r="A783" i="2" s="1"/>
  <c r="I782" i="2" a="1"/>
  <c r="I782" i="2" s="1"/>
  <c r="H782" i="2" a="1"/>
  <c r="H782" i="2" s="1"/>
  <c r="J782" i="2" a="1"/>
  <c r="J782" i="2" s="1"/>
  <c r="K782" i="2" a="1"/>
  <c r="K782" i="2" s="1"/>
  <c r="C785" i="2"/>
  <c r="F784" i="2"/>
  <c r="D782" i="2" a="1"/>
  <c r="I783" i="3" l="1" a="1"/>
  <c r="I783" i="3" s="1"/>
  <c r="K783" i="3" a="1"/>
  <c r="K783" i="3" s="1"/>
  <c r="H783" i="3" a="1"/>
  <c r="H783" i="3" s="1"/>
  <c r="C785" i="3"/>
  <c r="G784" i="3" a="1"/>
  <c r="G784" i="3" s="1"/>
  <c r="L784" i="3"/>
  <c r="M784" i="3"/>
  <c r="H782" i="3" a="1"/>
  <c r="H782" i="3" s="1"/>
  <c r="I782" i="3" a="1"/>
  <c r="I782" i="3" s="1"/>
  <c r="K782" i="3" a="1"/>
  <c r="K782" i="3" s="1"/>
  <c r="J782" i="3" a="1"/>
  <c r="J782" i="3" s="1"/>
  <c r="F784" i="3"/>
  <c r="B783" i="3" a="1"/>
  <c r="B783" i="3" s="1"/>
  <c r="A783" i="3" a="1"/>
  <c r="A783" i="3" s="1"/>
  <c r="D782" i="2"/>
  <c r="B784" i="2" a="1"/>
  <c r="B784" i="2" s="1"/>
  <c r="A784" i="2" a="1"/>
  <c r="A784" i="2" s="1"/>
  <c r="I783" i="2" a="1"/>
  <c r="I783" i="2" s="1"/>
  <c r="H783" i="2" a="1"/>
  <c r="H783" i="2" s="1"/>
  <c r="J783" i="2" a="1"/>
  <c r="J783" i="2" s="1"/>
  <c r="K783" i="2" a="1"/>
  <c r="K783" i="2" s="1"/>
  <c r="C786" i="2"/>
  <c r="F785" i="2"/>
  <c r="D783" i="2" a="1"/>
  <c r="H784" i="3" l="1" a="1"/>
  <c r="H784" i="3" s="1"/>
  <c r="I784" i="3" a="1"/>
  <c r="I784" i="3" s="1"/>
  <c r="K784" i="3" a="1"/>
  <c r="K784" i="3" s="1"/>
  <c r="J784" i="3" a="1"/>
  <c r="J784" i="3" s="1"/>
  <c r="C786" i="3"/>
  <c r="L785" i="3"/>
  <c r="M785" i="3"/>
  <c r="F785" i="3"/>
  <c r="F786" i="3" s="1"/>
  <c r="A784" i="3" a="1"/>
  <c r="A784" i="3" s="1"/>
  <c r="B784" i="3" a="1"/>
  <c r="B784" i="3" s="1"/>
  <c r="D783" i="2"/>
  <c r="C787" i="2"/>
  <c r="F786" i="2"/>
  <c r="A785" i="2" a="1"/>
  <c r="A785" i="2" s="1"/>
  <c r="B785" i="2" a="1"/>
  <c r="B785" i="2" s="1"/>
  <c r="K784" i="2" a="1"/>
  <c r="K784" i="2" s="1"/>
  <c r="H784" i="2" a="1"/>
  <c r="H784" i="2" s="1"/>
  <c r="J784" i="2" a="1"/>
  <c r="J784" i="2" s="1"/>
  <c r="I784" i="2" a="1"/>
  <c r="I784" i="2" s="1"/>
  <c r="D784" i="2" a="1"/>
  <c r="G785" i="3" l="1" a="1"/>
  <c r="G785" i="3" s="1"/>
  <c r="C787" i="3"/>
  <c r="F787" i="3" s="1"/>
  <c r="G786" i="3" a="1"/>
  <c r="G786" i="3" s="1"/>
  <c r="L786" i="3"/>
  <c r="M786" i="3"/>
  <c r="J786" i="3" a="1"/>
  <c r="J786" i="3" s="1"/>
  <c r="A785" i="3" a="1"/>
  <c r="A785" i="3" s="1"/>
  <c r="B785" i="3" a="1"/>
  <c r="B785" i="3" s="1"/>
  <c r="D784" i="2"/>
  <c r="H785" i="2" a="1"/>
  <c r="H785" i="2" s="1"/>
  <c r="J785" i="2" a="1"/>
  <c r="J785" i="2" s="1"/>
  <c r="I785" i="2" a="1"/>
  <c r="I785" i="2" s="1"/>
  <c r="K785" i="2" a="1"/>
  <c r="K785" i="2" s="1"/>
  <c r="A786" i="2" a="1"/>
  <c r="A786" i="2" s="1"/>
  <c r="B786" i="2" a="1"/>
  <c r="B786" i="2" s="1"/>
  <c r="C788" i="2"/>
  <c r="F787" i="2"/>
  <c r="D785" i="2" a="1"/>
  <c r="H786" i="3" l="1" a="1"/>
  <c r="H786" i="3" s="1"/>
  <c r="I786" i="3" a="1"/>
  <c r="I786" i="3" s="1"/>
  <c r="K786" i="3" a="1"/>
  <c r="K786" i="3" s="1"/>
  <c r="C788" i="3"/>
  <c r="G787" i="3" a="1"/>
  <c r="G787" i="3" s="1"/>
  <c r="L787" i="3"/>
  <c r="M787" i="3"/>
  <c r="J787" i="3" a="1"/>
  <c r="J787" i="3" s="1"/>
  <c r="K785" i="3" a="1"/>
  <c r="K785" i="3" s="1"/>
  <c r="H785" i="3" a="1"/>
  <c r="H785" i="3" s="1"/>
  <c r="I785" i="3" a="1"/>
  <c r="I785" i="3" s="1"/>
  <c r="J785" i="3" a="1"/>
  <c r="J785" i="3" s="1"/>
  <c r="B786" i="3" a="1"/>
  <c r="B786" i="3" s="1"/>
  <c r="A786" i="3" a="1"/>
  <c r="A786" i="3" s="1"/>
  <c r="D785" i="2"/>
  <c r="C789" i="2"/>
  <c r="F788" i="2"/>
  <c r="A787" i="2" a="1"/>
  <c r="A787" i="2" s="1"/>
  <c r="B787" i="2" a="1"/>
  <c r="B787" i="2" s="1"/>
  <c r="J786" i="2" a="1"/>
  <c r="J786" i="2" s="1"/>
  <c r="K786" i="2" a="1"/>
  <c r="K786" i="2" s="1"/>
  <c r="H786" i="2" a="1"/>
  <c r="H786" i="2" s="1"/>
  <c r="I786" i="2" a="1"/>
  <c r="I786" i="2" s="1"/>
  <c r="D786" i="2" a="1"/>
  <c r="I787" i="3" l="1" a="1"/>
  <c r="I787" i="3" s="1"/>
  <c r="H787" i="3" a="1"/>
  <c r="H787" i="3" s="1"/>
  <c r="K787" i="3" a="1"/>
  <c r="K787" i="3" s="1"/>
  <c r="C789" i="3"/>
  <c r="L788" i="3"/>
  <c r="M788" i="3"/>
  <c r="F788" i="3"/>
  <c r="F789" i="3" s="1"/>
  <c r="A787" i="3" a="1"/>
  <c r="A787" i="3" s="1"/>
  <c r="B787" i="3" a="1"/>
  <c r="B787" i="3" s="1"/>
  <c r="D786" i="2"/>
  <c r="B788" i="2" a="1"/>
  <c r="B788" i="2" s="1"/>
  <c r="A788" i="2" a="1"/>
  <c r="A788" i="2" s="1"/>
  <c r="J787" i="2" a="1"/>
  <c r="J787" i="2" s="1"/>
  <c r="H787" i="2" a="1"/>
  <c r="H787" i="2" s="1"/>
  <c r="I787" i="2" a="1"/>
  <c r="I787" i="2" s="1"/>
  <c r="K787" i="2" a="1"/>
  <c r="K787" i="2" s="1"/>
  <c r="C790" i="2"/>
  <c r="F789" i="2"/>
  <c r="D787" i="2" a="1"/>
  <c r="G788" i="3" l="1" a="1"/>
  <c r="G788" i="3" s="1"/>
  <c r="C790" i="3"/>
  <c r="G789" i="3" a="1"/>
  <c r="G789" i="3" s="1"/>
  <c r="J789" i="3" s="1" a="1"/>
  <c r="J789" i="3" s="1"/>
  <c r="L789" i="3"/>
  <c r="M789" i="3"/>
  <c r="A788" i="3" a="1"/>
  <c r="A788" i="3" s="1"/>
  <c r="B788" i="3" a="1"/>
  <c r="B788" i="3" s="1"/>
  <c r="D787" i="2"/>
  <c r="A789" i="2" a="1"/>
  <c r="A789" i="2" s="1"/>
  <c r="B789" i="2" a="1"/>
  <c r="B789" i="2" s="1"/>
  <c r="H788" i="2" a="1"/>
  <c r="H788" i="2" s="1"/>
  <c r="J788" i="2" a="1"/>
  <c r="J788" i="2" s="1"/>
  <c r="I788" i="2" a="1"/>
  <c r="I788" i="2" s="1"/>
  <c r="K788" i="2" a="1"/>
  <c r="K788" i="2" s="1"/>
  <c r="C791" i="2"/>
  <c r="F790" i="2"/>
  <c r="D788" i="2" a="1"/>
  <c r="K788" i="3" l="1" a="1"/>
  <c r="K788" i="3" s="1"/>
  <c r="H788" i="3" a="1"/>
  <c r="H788" i="3" s="1"/>
  <c r="I788" i="3" a="1"/>
  <c r="I788" i="3" s="1"/>
  <c r="J788" i="3" a="1"/>
  <c r="J788" i="3" s="1"/>
  <c r="H789" i="3" a="1"/>
  <c r="H789" i="3" s="1"/>
  <c r="I789" i="3" a="1"/>
  <c r="I789" i="3" s="1"/>
  <c r="K789" i="3" a="1"/>
  <c r="K789" i="3" s="1"/>
  <c r="C791" i="3"/>
  <c r="G790" i="3" a="1"/>
  <c r="G790" i="3" s="1"/>
  <c r="L790" i="3"/>
  <c r="M790" i="3"/>
  <c r="F790" i="3"/>
  <c r="B789" i="3" a="1"/>
  <c r="B789" i="3" s="1"/>
  <c r="A789" i="3" a="1"/>
  <c r="A789" i="3" s="1"/>
  <c r="D788" i="2"/>
  <c r="A790" i="2" a="1"/>
  <c r="A790" i="2" s="1"/>
  <c r="B790" i="2" a="1"/>
  <c r="B790" i="2" s="1"/>
  <c r="J789" i="2" a="1"/>
  <c r="J789" i="2" s="1"/>
  <c r="K789" i="2" a="1"/>
  <c r="K789" i="2" s="1"/>
  <c r="I789" i="2" a="1"/>
  <c r="I789" i="2" s="1"/>
  <c r="H789" i="2" a="1"/>
  <c r="H789" i="2" s="1"/>
  <c r="C792" i="2"/>
  <c r="F791" i="2"/>
  <c r="D789" i="2" a="1"/>
  <c r="H790" i="3" l="1" a="1"/>
  <c r="H790" i="3" s="1"/>
  <c r="I790" i="3" a="1"/>
  <c r="I790" i="3" s="1"/>
  <c r="K790" i="3" a="1"/>
  <c r="K790" i="3" s="1"/>
  <c r="J790" i="3" a="1"/>
  <c r="J790" i="3" s="1"/>
  <c r="C792" i="3"/>
  <c r="M791" i="3"/>
  <c r="L791" i="3"/>
  <c r="F791" i="3"/>
  <c r="F792" i="3" s="1"/>
  <c r="A790" i="3" a="1"/>
  <c r="A790" i="3" s="1"/>
  <c r="B790" i="3" a="1"/>
  <c r="B790" i="3" s="1"/>
  <c r="D789" i="2"/>
  <c r="B791" i="2" a="1"/>
  <c r="B791" i="2" s="1"/>
  <c r="A791" i="2" a="1"/>
  <c r="A791" i="2" s="1"/>
  <c r="K790" i="2" a="1"/>
  <c r="K790" i="2" s="1"/>
  <c r="I790" i="2" a="1"/>
  <c r="I790" i="2" s="1"/>
  <c r="J790" i="2" a="1"/>
  <c r="J790" i="2" s="1"/>
  <c r="H790" i="2" a="1"/>
  <c r="H790" i="2" s="1"/>
  <c r="C793" i="2"/>
  <c r="F792" i="2"/>
  <c r="D790" i="2" a="1"/>
  <c r="G791" i="3" l="1" a="1"/>
  <c r="G791" i="3" s="1"/>
  <c r="C793" i="3"/>
  <c r="F793" i="3" s="1"/>
  <c r="G792" i="3" a="1"/>
  <c r="G792" i="3" s="1"/>
  <c r="L792" i="3"/>
  <c r="M792" i="3"/>
  <c r="A791" i="3" a="1"/>
  <c r="A791" i="3" s="1"/>
  <c r="B791" i="3" a="1"/>
  <c r="B791" i="3" s="1"/>
  <c r="D790" i="2"/>
  <c r="B792" i="2" a="1"/>
  <c r="B792" i="2" s="1"/>
  <c r="A792" i="2" a="1"/>
  <c r="A792" i="2" s="1"/>
  <c r="C794" i="2"/>
  <c r="F793" i="2"/>
  <c r="I791" i="2" a="1"/>
  <c r="I791" i="2" s="1"/>
  <c r="J791" i="2" a="1"/>
  <c r="J791" i="2" s="1"/>
  <c r="K791" i="2" a="1"/>
  <c r="K791" i="2" s="1"/>
  <c r="H791" i="2" a="1"/>
  <c r="H791" i="2" s="1"/>
  <c r="D791" i="2" a="1"/>
  <c r="H792" i="3" l="1" a="1"/>
  <c r="H792" i="3" s="1"/>
  <c r="I792" i="3" a="1"/>
  <c r="I792" i="3" s="1"/>
  <c r="K792" i="3" a="1"/>
  <c r="K792" i="3" s="1"/>
  <c r="J792" i="3" a="1"/>
  <c r="J792" i="3" s="1"/>
  <c r="C794" i="3"/>
  <c r="G793" i="3" a="1"/>
  <c r="G793" i="3" s="1"/>
  <c r="L793" i="3"/>
  <c r="M793" i="3"/>
  <c r="J793" i="3" a="1"/>
  <c r="J793" i="3" s="1"/>
  <c r="K791" i="3" a="1"/>
  <c r="K791" i="3" s="1"/>
  <c r="H791" i="3" a="1"/>
  <c r="H791" i="3" s="1"/>
  <c r="I791" i="3" a="1"/>
  <c r="I791" i="3" s="1"/>
  <c r="J791" i="3" a="1"/>
  <c r="J791" i="3" s="1"/>
  <c r="B792" i="3" a="1"/>
  <c r="B792" i="3" s="1"/>
  <c r="A792" i="3" a="1"/>
  <c r="A792" i="3" s="1"/>
  <c r="D791" i="2"/>
  <c r="H792" i="2" a="1"/>
  <c r="H792" i="2" s="1"/>
  <c r="K792" i="2" a="1"/>
  <c r="K792" i="2" s="1"/>
  <c r="J792" i="2" a="1"/>
  <c r="J792" i="2" s="1"/>
  <c r="I792" i="2" a="1"/>
  <c r="I792" i="2" s="1"/>
  <c r="A793" i="2" a="1"/>
  <c r="A793" i="2" s="1"/>
  <c r="B793" i="2" a="1"/>
  <c r="B793" i="2" s="1"/>
  <c r="C795" i="2"/>
  <c r="F794" i="2"/>
  <c r="D792" i="2" a="1"/>
  <c r="C795" i="3" l="1"/>
  <c r="L794" i="3"/>
  <c r="M794" i="3"/>
  <c r="H793" i="3" a="1"/>
  <c r="H793" i="3" s="1"/>
  <c r="I793" i="3" a="1"/>
  <c r="I793" i="3" s="1"/>
  <c r="K793" i="3" a="1"/>
  <c r="K793" i="3" s="1"/>
  <c r="F794" i="3"/>
  <c r="F795" i="3" s="1"/>
  <c r="A793" i="3" a="1"/>
  <c r="A793" i="3" s="1"/>
  <c r="B793" i="3" a="1"/>
  <c r="B793" i="3" s="1"/>
  <c r="D792" i="2"/>
  <c r="B794" i="2" a="1"/>
  <c r="B794" i="2" s="1"/>
  <c r="A794" i="2" a="1"/>
  <c r="A794" i="2" s="1"/>
  <c r="C796" i="2"/>
  <c r="F795" i="2"/>
  <c r="I793" i="2" a="1"/>
  <c r="I793" i="2" s="1"/>
  <c r="H793" i="2" a="1"/>
  <c r="H793" i="2" s="1"/>
  <c r="J793" i="2" a="1"/>
  <c r="J793" i="2" s="1"/>
  <c r="K793" i="2" a="1"/>
  <c r="K793" i="2" s="1"/>
  <c r="D793" i="2" a="1"/>
  <c r="G794" i="3" l="1" a="1"/>
  <c r="G794" i="3" s="1"/>
  <c r="C796" i="3"/>
  <c r="G795" i="3" a="1"/>
  <c r="G795" i="3" s="1"/>
  <c r="L795" i="3"/>
  <c r="M795" i="3"/>
  <c r="J795" i="3" a="1"/>
  <c r="J795" i="3" s="1"/>
  <c r="A794" i="3" a="1"/>
  <c r="A794" i="3" s="1"/>
  <c r="B794" i="3" a="1"/>
  <c r="B794" i="3" s="1"/>
  <c r="D793" i="2"/>
  <c r="B795" i="2" a="1"/>
  <c r="B795" i="2" s="1"/>
  <c r="A795" i="2" a="1"/>
  <c r="A795" i="2" s="1"/>
  <c r="C797" i="2"/>
  <c r="F796" i="2"/>
  <c r="H794" i="2" a="1"/>
  <c r="H794" i="2" s="1"/>
  <c r="J794" i="2" a="1"/>
  <c r="J794" i="2" s="1"/>
  <c r="K794" i="2" a="1"/>
  <c r="K794" i="2" s="1"/>
  <c r="I794" i="2" a="1"/>
  <c r="I794" i="2" s="1"/>
  <c r="D794" i="2" a="1"/>
  <c r="I794" i="3" l="1" a="1"/>
  <c r="I794" i="3" s="1"/>
  <c r="K794" i="3" a="1"/>
  <c r="K794" i="3" s="1"/>
  <c r="H794" i="3" a="1"/>
  <c r="H794" i="3" s="1"/>
  <c r="J794" i="3" a="1"/>
  <c r="J794" i="3" s="1"/>
  <c r="K795" i="3" a="1"/>
  <c r="K795" i="3" s="1"/>
  <c r="H795" i="3" a="1"/>
  <c r="H795" i="3" s="1"/>
  <c r="I795" i="3" a="1"/>
  <c r="I795" i="3" s="1"/>
  <c r="C797" i="3"/>
  <c r="G796" i="3" a="1"/>
  <c r="G796" i="3" s="1"/>
  <c r="J796" i="3" a="1"/>
  <c r="J796" i="3" s="1"/>
  <c r="L796" i="3"/>
  <c r="M796" i="3"/>
  <c r="F796" i="3"/>
  <c r="B795" i="3" a="1"/>
  <c r="B795" i="3" s="1"/>
  <c r="A795" i="3" a="1"/>
  <c r="A795" i="3" s="1"/>
  <c r="D794" i="2"/>
  <c r="J795" i="2" a="1"/>
  <c r="J795" i="2" s="1"/>
  <c r="K795" i="2" a="1"/>
  <c r="K795" i="2" s="1"/>
  <c r="H795" i="2" a="1"/>
  <c r="H795" i="2" s="1"/>
  <c r="I795" i="2" a="1"/>
  <c r="I795" i="2" s="1"/>
  <c r="B796" i="2" a="1"/>
  <c r="B796" i="2" s="1"/>
  <c r="A796" i="2" a="1"/>
  <c r="A796" i="2" s="1"/>
  <c r="C798" i="2"/>
  <c r="F797" i="2"/>
  <c r="D795" i="2" a="1"/>
  <c r="H796" i="3" l="1" a="1"/>
  <c r="H796" i="3" s="1"/>
  <c r="I796" i="3" a="1"/>
  <c r="I796" i="3" s="1"/>
  <c r="K796" i="3" a="1"/>
  <c r="K796" i="3" s="1"/>
  <c r="C798" i="3"/>
  <c r="L797" i="3"/>
  <c r="M797" i="3"/>
  <c r="F797" i="3"/>
  <c r="F798" i="3" s="1"/>
  <c r="A796" i="3" a="1"/>
  <c r="A796" i="3" s="1"/>
  <c r="B796" i="3" a="1"/>
  <c r="B796" i="3" s="1"/>
  <c r="D795" i="2"/>
  <c r="A797" i="2" a="1"/>
  <c r="A797" i="2" s="1"/>
  <c r="B797" i="2" a="1"/>
  <c r="B797" i="2" s="1"/>
  <c r="C799" i="2"/>
  <c r="F798" i="2"/>
  <c r="I796" i="2" a="1"/>
  <c r="I796" i="2" s="1"/>
  <c r="K796" i="2" a="1"/>
  <c r="K796" i="2" s="1"/>
  <c r="H796" i="2" a="1"/>
  <c r="H796" i="2" s="1"/>
  <c r="J796" i="2" a="1"/>
  <c r="J796" i="2" s="1"/>
  <c r="D796" i="2" a="1"/>
  <c r="G797" i="3" l="1" a="1"/>
  <c r="G797" i="3" s="1"/>
  <c r="C799" i="3"/>
  <c r="G798" i="3" a="1"/>
  <c r="G798" i="3" s="1"/>
  <c r="L798" i="3"/>
  <c r="M798" i="3"/>
  <c r="J798" i="3" a="1"/>
  <c r="J798" i="3" s="1"/>
  <c r="B797" i="3" a="1"/>
  <c r="B797" i="3" s="1"/>
  <c r="A797" i="3" a="1"/>
  <c r="A797" i="3" s="1"/>
  <c r="D796" i="2"/>
  <c r="C800" i="2"/>
  <c r="F799" i="2"/>
  <c r="I797" i="2" a="1"/>
  <c r="I797" i="2" s="1"/>
  <c r="H797" i="2" a="1"/>
  <c r="H797" i="2" s="1"/>
  <c r="J797" i="2" a="1"/>
  <c r="J797" i="2" s="1"/>
  <c r="K797" i="2" a="1"/>
  <c r="K797" i="2" s="1"/>
  <c r="A798" i="2" a="1"/>
  <c r="A798" i="2" s="1"/>
  <c r="B798" i="2" a="1"/>
  <c r="B798" i="2" s="1"/>
  <c r="D797" i="2" a="1"/>
  <c r="K797" i="3" l="1" a="1"/>
  <c r="K797" i="3" s="1"/>
  <c r="H797" i="3" a="1"/>
  <c r="H797" i="3" s="1"/>
  <c r="I797" i="3" a="1"/>
  <c r="I797" i="3" s="1"/>
  <c r="J797" i="3" a="1"/>
  <c r="J797" i="3" s="1"/>
  <c r="I798" i="3" a="1"/>
  <c r="I798" i="3" s="1"/>
  <c r="K798" i="3" a="1"/>
  <c r="K798" i="3" s="1"/>
  <c r="H798" i="3" a="1"/>
  <c r="H798" i="3" s="1"/>
  <c r="C800" i="3"/>
  <c r="G799" i="3" a="1"/>
  <c r="G799" i="3" s="1"/>
  <c r="L799" i="3"/>
  <c r="M799" i="3"/>
  <c r="J799" i="3" a="1"/>
  <c r="J799" i="3" s="1"/>
  <c r="F799" i="3"/>
  <c r="B798" i="3" a="1"/>
  <c r="B798" i="3" s="1"/>
  <c r="A798" i="3" a="1"/>
  <c r="A798" i="3" s="1"/>
  <c r="D797" i="2"/>
  <c r="B799" i="2" a="1"/>
  <c r="B799" i="2" s="1"/>
  <c r="A799" i="2" a="1"/>
  <c r="A799" i="2" s="1"/>
  <c r="J798" i="2" a="1"/>
  <c r="J798" i="2" s="1"/>
  <c r="H798" i="2" a="1"/>
  <c r="H798" i="2" s="1"/>
  <c r="I798" i="2" a="1"/>
  <c r="I798" i="2" s="1"/>
  <c r="K798" i="2" a="1"/>
  <c r="K798" i="2" s="1"/>
  <c r="C801" i="2"/>
  <c r="F800" i="2"/>
  <c r="D798" i="2" a="1"/>
  <c r="C801" i="3" l="1"/>
  <c r="L800" i="3"/>
  <c r="M800" i="3"/>
  <c r="K799" i="3" a="1"/>
  <c r="K799" i="3" s="1"/>
  <c r="H799" i="3" a="1"/>
  <c r="H799" i="3" s="1"/>
  <c r="I799" i="3" a="1"/>
  <c r="I799" i="3" s="1"/>
  <c r="F800" i="3"/>
  <c r="F801" i="3" s="1"/>
  <c r="A799" i="3" a="1"/>
  <c r="A799" i="3" s="1"/>
  <c r="B799" i="3" a="1"/>
  <c r="B799" i="3" s="1"/>
  <c r="D798" i="2"/>
  <c r="B800" i="2" a="1"/>
  <c r="B800" i="2" s="1"/>
  <c r="A800" i="2" a="1"/>
  <c r="A800" i="2" s="1"/>
  <c r="C802" i="2"/>
  <c r="F801" i="2"/>
  <c r="K799" i="2" a="1"/>
  <c r="K799" i="2" s="1"/>
  <c r="J799" i="2" a="1"/>
  <c r="J799" i="2" s="1"/>
  <c r="I799" i="2" a="1"/>
  <c r="I799" i="2" s="1"/>
  <c r="H799" i="2" a="1"/>
  <c r="H799" i="2" s="1"/>
  <c r="D799" i="2" a="1"/>
  <c r="G800" i="3" l="1" a="1"/>
  <c r="G800" i="3" s="1"/>
  <c r="C802" i="3"/>
  <c r="G801" i="3" a="1"/>
  <c r="G801" i="3" s="1"/>
  <c r="L801" i="3"/>
  <c r="M801" i="3"/>
  <c r="J801" i="3" a="1"/>
  <c r="J801" i="3" s="1"/>
  <c r="A800" i="3" a="1"/>
  <c r="A800" i="3" s="1"/>
  <c r="B800" i="3" a="1"/>
  <c r="B800" i="3" s="1"/>
  <c r="D799" i="2"/>
  <c r="I800" i="2" a="1"/>
  <c r="I800" i="2" s="1"/>
  <c r="K800" i="2" a="1"/>
  <c r="K800" i="2" s="1"/>
  <c r="J800" i="2" a="1"/>
  <c r="J800" i="2" s="1"/>
  <c r="H800" i="2" a="1"/>
  <c r="H800" i="2" s="1"/>
  <c r="A801" i="2" a="1"/>
  <c r="A801" i="2" s="1"/>
  <c r="B801" i="2" a="1"/>
  <c r="B801" i="2" s="1"/>
  <c r="C803" i="2"/>
  <c r="F802" i="2"/>
  <c r="D800" i="2" a="1"/>
  <c r="C803" i="3" l="1"/>
  <c r="G802" i="3" a="1"/>
  <c r="G802" i="3" s="1"/>
  <c r="M802" i="3"/>
  <c r="L802" i="3"/>
  <c r="J802" i="3" a="1"/>
  <c r="J802" i="3" s="1"/>
  <c r="I801" i="3" a="1"/>
  <c r="I801" i="3" s="1"/>
  <c r="K801" i="3" a="1"/>
  <c r="K801" i="3" s="1"/>
  <c r="H801" i="3" a="1"/>
  <c r="H801" i="3" s="1"/>
  <c r="H800" i="3" a="1"/>
  <c r="H800" i="3" s="1"/>
  <c r="I800" i="3" a="1"/>
  <c r="I800" i="3" s="1"/>
  <c r="K800" i="3" a="1"/>
  <c r="K800" i="3" s="1"/>
  <c r="J800" i="3" a="1"/>
  <c r="J800" i="3" s="1"/>
  <c r="F802" i="3"/>
  <c r="F803" i="3" s="1"/>
  <c r="A801" i="3" a="1"/>
  <c r="A801" i="3" s="1"/>
  <c r="B801" i="3" a="1"/>
  <c r="B801" i="3" s="1"/>
  <c r="D800" i="2"/>
  <c r="A802" i="2" a="1"/>
  <c r="A802" i="2" s="1"/>
  <c r="B802" i="2" a="1"/>
  <c r="B802" i="2" s="1"/>
  <c r="I801" i="2" a="1"/>
  <c r="I801" i="2" s="1"/>
  <c r="J801" i="2" a="1"/>
  <c r="J801" i="2" s="1"/>
  <c r="H801" i="2" a="1"/>
  <c r="H801" i="2" s="1"/>
  <c r="K801" i="2" a="1"/>
  <c r="K801" i="2" s="1"/>
  <c r="C804" i="2"/>
  <c r="F803" i="2"/>
  <c r="D801" i="2" a="1"/>
  <c r="I802" i="3" l="1" a="1"/>
  <c r="I802" i="3" s="1"/>
  <c r="K802" i="3" a="1"/>
  <c r="K802" i="3" s="1"/>
  <c r="H802" i="3" a="1"/>
  <c r="H802" i="3" s="1"/>
  <c r="C804" i="3"/>
  <c r="G803" i="3" a="1"/>
  <c r="G803" i="3" s="1"/>
  <c r="L803" i="3"/>
  <c r="M803" i="3"/>
  <c r="J803" i="3" a="1"/>
  <c r="J803" i="3" s="1"/>
  <c r="A802" i="3" a="1"/>
  <c r="A802" i="3" s="1"/>
  <c r="B802" i="3" a="1"/>
  <c r="B802" i="3" s="1"/>
  <c r="D801" i="2"/>
  <c r="I802" i="2" a="1"/>
  <c r="I802" i="2" s="1"/>
  <c r="J802" i="2" a="1"/>
  <c r="J802" i="2" s="1"/>
  <c r="K802" i="2" a="1"/>
  <c r="K802" i="2" s="1"/>
  <c r="H802" i="2" a="1"/>
  <c r="H802" i="2" s="1"/>
  <c r="B803" i="2" a="1"/>
  <c r="B803" i="2" s="1"/>
  <c r="A803" i="2" a="1"/>
  <c r="A803" i="2" s="1"/>
  <c r="C805" i="2"/>
  <c r="F804" i="2"/>
  <c r="D802" i="2" a="1"/>
  <c r="K803" i="3" l="1" a="1"/>
  <c r="K803" i="3" s="1"/>
  <c r="H803" i="3" a="1"/>
  <c r="H803" i="3" s="1"/>
  <c r="I803" i="3" a="1"/>
  <c r="I803" i="3" s="1"/>
  <c r="C805" i="3"/>
  <c r="L804" i="3"/>
  <c r="M804" i="3"/>
  <c r="F804" i="3"/>
  <c r="F805" i="3" s="1"/>
  <c r="A803" i="3" a="1"/>
  <c r="A803" i="3" s="1"/>
  <c r="B803" i="3" a="1"/>
  <c r="B803" i="3" s="1"/>
  <c r="D802" i="2"/>
  <c r="J803" i="2" a="1"/>
  <c r="J803" i="2" s="1"/>
  <c r="I803" i="2" a="1"/>
  <c r="I803" i="2" s="1"/>
  <c r="H803" i="2" a="1"/>
  <c r="H803" i="2" s="1"/>
  <c r="K803" i="2" a="1"/>
  <c r="K803" i="2" s="1"/>
  <c r="A804" i="2" a="1"/>
  <c r="A804" i="2" s="1"/>
  <c r="B804" i="2" a="1"/>
  <c r="B804" i="2" s="1"/>
  <c r="C806" i="2"/>
  <c r="F805" i="2"/>
  <c r="D803" i="2" a="1"/>
  <c r="C806" i="3" l="1"/>
  <c r="G805" i="3" a="1"/>
  <c r="G805" i="3" s="1"/>
  <c r="L805" i="3"/>
  <c r="M805" i="3"/>
  <c r="J805" i="3" a="1"/>
  <c r="J805" i="3" s="1"/>
  <c r="G804" i="3" a="1"/>
  <c r="G804" i="3" s="1"/>
  <c r="B804" i="3" a="1"/>
  <c r="B804" i="3" s="1"/>
  <c r="A804" i="3" a="1"/>
  <c r="A804" i="3" s="1"/>
  <c r="D803" i="2"/>
  <c r="C807" i="2"/>
  <c r="F806" i="2"/>
  <c r="B805" i="2" a="1"/>
  <c r="B805" i="2" s="1"/>
  <c r="A805" i="2" a="1"/>
  <c r="A805" i="2" s="1"/>
  <c r="I804" i="2" a="1"/>
  <c r="I804" i="2" s="1"/>
  <c r="K804" i="2" a="1"/>
  <c r="K804" i="2" s="1"/>
  <c r="H804" i="2" a="1"/>
  <c r="H804" i="2" s="1"/>
  <c r="J804" i="2" a="1"/>
  <c r="J804" i="2" s="1"/>
  <c r="D804" i="2" a="1"/>
  <c r="H804" i="3" l="1" a="1"/>
  <c r="H804" i="3" s="1"/>
  <c r="I804" i="3" a="1"/>
  <c r="I804" i="3" s="1"/>
  <c r="K804" i="3" a="1"/>
  <c r="K804" i="3" s="1"/>
  <c r="J804" i="3" a="1"/>
  <c r="J804" i="3" s="1"/>
  <c r="H805" i="3" a="1"/>
  <c r="H805" i="3" s="1"/>
  <c r="I805" i="3" a="1"/>
  <c r="I805" i="3" s="1"/>
  <c r="K805" i="3" a="1"/>
  <c r="K805" i="3" s="1"/>
  <c r="C807" i="3"/>
  <c r="G806" i="3" a="1"/>
  <c r="G806" i="3" s="1"/>
  <c r="M806" i="3"/>
  <c r="L806" i="3"/>
  <c r="J806" i="3" a="1"/>
  <c r="J806" i="3" s="1"/>
  <c r="F806" i="3"/>
  <c r="A805" i="3" a="1"/>
  <c r="A805" i="3" s="1"/>
  <c r="B805" i="3" a="1"/>
  <c r="B805" i="3" s="1"/>
  <c r="D804" i="2"/>
  <c r="H805" i="2" a="1"/>
  <c r="H805" i="2" s="1"/>
  <c r="J805" i="2" a="1"/>
  <c r="J805" i="2" s="1"/>
  <c r="K805" i="2" a="1"/>
  <c r="K805" i="2" s="1"/>
  <c r="I805" i="2" a="1"/>
  <c r="I805" i="2" s="1"/>
  <c r="B806" i="2" a="1"/>
  <c r="B806" i="2" s="1"/>
  <c r="A806" i="2" a="1"/>
  <c r="A806" i="2" s="1"/>
  <c r="C808" i="2"/>
  <c r="F807" i="2"/>
  <c r="D805" i="2" a="1"/>
  <c r="C808" i="3" l="1"/>
  <c r="L807" i="3"/>
  <c r="M807" i="3"/>
  <c r="I806" i="3" a="1"/>
  <c r="I806" i="3" s="1"/>
  <c r="H806" i="3" a="1"/>
  <c r="H806" i="3" s="1"/>
  <c r="K806" i="3" a="1"/>
  <c r="K806" i="3" s="1"/>
  <c r="F807" i="3"/>
  <c r="F808" i="3" s="1"/>
  <c r="A806" i="3" a="1"/>
  <c r="A806" i="3" s="1"/>
  <c r="B806" i="3" a="1"/>
  <c r="B806" i="3" s="1"/>
  <c r="D805" i="2"/>
  <c r="A807" i="2" a="1"/>
  <c r="A807" i="2" s="1"/>
  <c r="B807" i="2" a="1"/>
  <c r="B807" i="2" s="1"/>
  <c r="C809" i="2"/>
  <c r="F808" i="2"/>
  <c r="I806" i="2" a="1"/>
  <c r="I806" i="2" s="1"/>
  <c r="J806" i="2" a="1"/>
  <c r="J806" i="2" s="1"/>
  <c r="H806" i="2" a="1"/>
  <c r="H806" i="2" s="1"/>
  <c r="K806" i="2" a="1"/>
  <c r="K806" i="2" s="1"/>
  <c r="D806" i="2" a="1"/>
  <c r="G807" i="3" l="1" a="1"/>
  <c r="G807" i="3" s="1"/>
  <c r="C809" i="3"/>
  <c r="G808" i="3" a="1"/>
  <c r="G808" i="3" s="1"/>
  <c r="L808" i="3"/>
  <c r="M808" i="3"/>
  <c r="B807" i="3" a="1"/>
  <c r="B807" i="3" s="1"/>
  <c r="A807" i="3" a="1"/>
  <c r="A807" i="3" s="1"/>
  <c r="D806" i="2"/>
  <c r="I807" i="2" a="1"/>
  <c r="I807" i="2" s="1"/>
  <c r="H807" i="2" a="1"/>
  <c r="H807" i="2" s="1"/>
  <c r="K807" i="2" a="1"/>
  <c r="K807" i="2" s="1"/>
  <c r="J807" i="2" a="1"/>
  <c r="J807" i="2" s="1"/>
  <c r="A808" i="2" a="1"/>
  <c r="A808" i="2" s="1"/>
  <c r="B808" i="2" a="1"/>
  <c r="B808" i="2" s="1"/>
  <c r="C810" i="2"/>
  <c r="F809" i="2"/>
  <c r="D807" i="2" a="1"/>
  <c r="H808" i="3" l="1" a="1"/>
  <c r="H808" i="3" s="1"/>
  <c r="I808" i="3" a="1"/>
  <c r="I808" i="3" s="1"/>
  <c r="K808" i="3" a="1"/>
  <c r="K808" i="3" s="1"/>
  <c r="C810" i="3"/>
  <c r="G809" i="3" a="1"/>
  <c r="G809" i="3" s="1"/>
  <c r="L809" i="3"/>
  <c r="M809" i="3"/>
  <c r="J808" i="3" a="1"/>
  <c r="J808" i="3" s="1"/>
  <c r="K807" i="3" a="1"/>
  <c r="K807" i="3" s="1"/>
  <c r="H807" i="3" a="1"/>
  <c r="H807" i="3" s="1"/>
  <c r="I807" i="3" a="1"/>
  <c r="I807" i="3" s="1"/>
  <c r="J807" i="3" a="1"/>
  <c r="J807" i="3" s="1"/>
  <c r="F809" i="3"/>
  <c r="A808" i="3" a="1"/>
  <c r="A808" i="3" s="1"/>
  <c r="B808" i="3" a="1"/>
  <c r="B808" i="3" s="1"/>
  <c r="D807" i="2"/>
  <c r="I808" i="2" a="1"/>
  <c r="I808" i="2" s="1"/>
  <c r="J808" i="2" a="1"/>
  <c r="J808" i="2" s="1"/>
  <c r="H808" i="2" a="1"/>
  <c r="H808" i="2" s="1"/>
  <c r="K808" i="2" a="1"/>
  <c r="K808" i="2" s="1"/>
  <c r="A809" i="2" a="1"/>
  <c r="A809" i="2" s="1"/>
  <c r="B809" i="2" a="1"/>
  <c r="B809" i="2" s="1"/>
  <c r="C811" i="2"/>
  <c r="F810" i="2"/>
  <c r="D808" i="2" a="1"/>
  <c r="H809" i="3" l="1" a="1"/>
  <c r="H809" i="3" s="1"/>
  <c r="I809" i="3" a="1"/>
  <c r="I809" i="3" s="1"/>
  <c r="K809" i="3" a="1"/>
  <c r="K809" i="3" s="1"/>
  <c r="C811" i="3"/>
  <c r="L810" i="3"/>
  <c r="M810" i="3"/>
  <c r="J809" i="3" a="1"/>
  <c r="J809" i="3" s="1"/>
  <c r="F810" i="3"/>
  <c r="F811" i="3" s="1"/>
  <c r="A809" i="3" a="1"/>
  <c r="A809" i="3" s="1"/>
  <c r="B809" i="3" a="1"/>
  <c r="B809" i="3" s="1"/>
  <c r="D808" i="2"/>
  <c r="C812" i="2"/>
  <c r="F811" i="2"/>
  <c r="A810" i="2" a="1"/>
  <c r="A810" i="2" s="1"/>
  <c r="B810" i="2" a="1"/>
  <c r="B810" i="2" s="1"/>
  <c r="J809" i="2" a="1"/>
  <c r="J809" i="2" s="1"/>
  <c r="K809" i="2" a="1"/>
  <c r="K809" i="2" s="1"/>
  <c r="I809" i="2" a="1"/>
  <c r="I809" i="2" s="1"/>
  <c r="H809" i="2" a="1"/>
  <c r="H809" i="2" s="1"/>
  <c r="D809" i="2" a="1"/>
  <c r="C812" i="3" l="1"/>
  <c r="G811" i="3" a="1"/>
  <c r="G811" i="3" s="1"/>
  <c r="L811" i="3"/>
  <c r="M811" i="3"/>
  <c r="J811" i="3" a="1"/>
  <c r="J811" i="3" s="1"/>
  <c r="F812" i="3"/>
  <c r="G810" i="3" a="1"/>
  <c r="G810" i="3" s="1"/>
  <c r="B810" i="3" a="1"/>
  <c r="B810" i="3" s="1"/>
  <c r="A810" i="3" a="1"/>
  <c r="A810" i="3" s="1"/>
  <c r="D809" i="2"/>
  <c r="I810" i="2" a="1"/>
  <c r="I810" i="2" s="1"/>
  <c r="K810" i="2" a="1"/>
  <c r="K810" i="2" s="1"/>
  <c r="J810" i="2" a="1"/>
  <c r="J810" i="2" s="1"/>
  <c r="H810" i="2" a="1"/>
  <c r="H810" i="2" s="1"/>
  <c r="A811" i="2" a="1"/>
  <c r="A811" i="2" s="1"/>
  <c r="B811" i="2" a="1"/>
  <c r="B811" i="2" s="1"/>
  <c r="C813" i="2"/>
  <c r="F812" i="2"/>
  <c r="D810" i="2" a="1"/>
  <c r="I810" i="3" l="1" a="1"/>
  <c r="I810" i="3" s="1"/>
  <c r="K810" i="3" a="1"/>
  <c r="K810" i="3" s="1"/>
  <c r="H810" i="3" a="1"/>
  <c r="H810" i="3" s="1"/>
  <c r="J810" i="3" a="1"/>
  <c r="J810" i="3" s="1"/>
  <c r="K811" i="3" a="1"/>
  <c r="K811" i="3" s="1"/>
  <c r="H811" i="3" a="1"/>
  <c r="H811" i="3" s="1"/>
  <c r="I811" i="3" a="1"/>
  <c r="I811" i="3" s="1"/>
  <c r="C813" i="3"/>
  <c r="F813" i="3" s="1"/>
  <c r="G812" i="3" a="1"/>
  <c r="G812" i="3" s="1"/>
  <c r="L812" i="3"/>
  <c r="M812" i="3"/>
  <c r="A811" i="3" a="1"/>
  <c r="A811" i="3" s="1"/>
  <c r="B811" i="3" a="1"/>
  <c r="B811" i="3" s="1"/>
  <c r="D810" i="2"/>
  <c r="A812" i="2" a="1"/>
  <c r="A812" i="2" s="1"/>
  <c r="B812" i="2" a="1"/>
  <c r="B812" i="2" s="1"/>
  <c r="C814" i="2"/>
  <c r="F813" i="2"/>
  <c r="J811" i="2" a="1"/>
  <c r="J811" i="2" s="1"/>
  <c r="H811" i="2" a="1"/>
  <c r="H811" i="2" s="1"/>
  <c r="K811" i="2" a="1"/>
  <c r="K811" i="2" s="1"/>
  <c r="I811" i="2" a="1"/>
  <c r="I811" i="2" s="1"/>
  <c r="D811" i="2" a="1"/>
  <c r="H812" i="3" l="1" a="1"/>
  <c r="H812" i="3" s="1"/>
  <c r="I812" i="3" a="1"/>
  <c r="I812" i="3" s="1"/>
  <c r="K812" i="3" a="1"/>
  <c r="K812" i="3" s="1"/>
  <c r="J812" i="3" a="1"/>
  <c r="J812" i="3" s="1"/>
  <c r="C814" i="3"/>
  <c r="G813" i="3" a="1"/>
  <c r="G813" i="3" s="1"/>
  <c r="L813" i="3"/>
  <c r="M813" i="3"/>
  <c r="J813" i="3" a="1"/>
  <c r="J813" i="3" s="1"/>
  <c r="A812" i="3" a="1"/>
  <c r="A812" i="3" s="1"/>
  <c r="B812" i="3" a="1"/>
  <c r="B812" i="3" s="1"/>
  <c r="D811" i="2"/>
  <c r="B813" i="2" a="1"/>
  <c r="B813" i="2" s="1"/>
  <c r="A813" i="2" a="1"/>
  <c r="A813" i="2" s="1"/>
  <c r="C815" i="2"/>
  <c r="F814" i="2"/>
  <c r="H812" i="2" a="1"/>
  <c r="H812" i="2" s="1"/>
  <c r="J812" i="2" a="1"/>
  <c r="J812" i="2" s="1"/>
  <c r="I812" i="2" a="1"/>
  <c r="I812" i="2" s="1"/>
  <c r="K812" i="2" a="1"/>
  <c r="K812" i="2" s="1"/>
  <c r="D812" i="2" a="1"/>
  <c r="H813" i="3" l="1" a="1"/>
  <c r="H813" i="3" s="1"/>
  <c r="I813" i="3" a="1"/>
  <c r="I813" i="3" s="1"/>
  <c r="K813" i="3" a="1"/>
  <c r="K813" i="3" s="1"/>
  <c r="C815" i="3"/>
  <c r="L814" i="3"/>
  <c r="M814" i="3"/>
  <c r="F814" i="3"/>
  <c r="F815" i="3" s="1"/>
  <c r="B813" i="3" a="1"/>
  <c r="B813" i="3" s="1"/>
  <c r="A813" i="3" a="1"/>
  <c r="A813" i="3" s="1"/>
  <c r="D812" i="2"/>
  <c r="I813" i="2" a="1"/>
  <c r="I813" i="2" s="1"/>
  <c r="K813" i="2" a="1"/>
  <c r="K813" i="2" s="1"/>
  <c r="H813" i="2" a="1"/>
  <c r="H813" i="2" s="1"/>
  <c r="J813" i="2" a="1"/>
  <c r="J813" i="2" s="1"/>
  <c r="A814" i="2" a="1"/>
  <c r="A814" i="2" s="1"/>
  <c r="B814" i="2" a="1"/>
  <c r="B814" i="2" s="1"/>
  <c r="C816" i="2"/>
  <c r="F815" i="2"/>
  <c r="D813" i="2" a="1"/>
  <c r="G814" i="3" l="1" a="1"/>
  <c r="G814" i="3" s="1"/>
  <c r="C816" i="3"/>
  <c r="G815" i="3" a="1"/>
  <c r="G815" i="3" s="1"/>
  <c r="J815" i="3" s="1" a="1"/>
  <c r="J815" i="3" s="1"/>
  <c r="L815" i="3"/>
  <c r="M815" i="3"/>
  <c r="A814" i="3" a="1"/>
  <c r="A814" i="3" s="1"/>
  <c r="B814" i="3" a="1"/>
  <c r="B814" i="3" s="1"/>
  <c r="D813" i="2"/>
  <c r="H814" i="2" a="1"/>
  <c r="H814" i="2" s="1"/>
  <c r="J814" i="2" a="1"/>
  <c r="J814" i="2" s="1"/>
  <c r="K814" i="2" a="1"/>
  <c r="K814" i="2" s="1"/>
  <c r="I814" i="2" a="1"/>
  <c r="I814" i="2" s="1"/>
  <c r="A815" i="2" a="1"/>
  <c r="A815" i="2" s="1"/>
  <c r="B815" i="2" a="1"/>
  <c r="B815" i="2" s="1"/>
  <c r="C817" i="2"/>
  <c r="F816" i="2"/>
  <c r="D814" i="2" a="1"/>
  <c r="I814" i="3" l="1" a="1"/>
  <c r="I814" i="3" s="1"/>
  <c r="K814" i="3" a="1"/>
  <c r="K814" i="3" s="1"/>
  <c r="H814" i="3" a="1"/>
  <c r="H814" i="3" s="1"/>
  <c r="J814" i="3" a="1"/>
  <c r="J814" i="3" s="1"/>
  <c r="K815" i="3" a="1"/>
  <c r="K815" i="3" s="1"/>
  <c r="H815" i="3" a="1"/>
  <c r="H815" i="3" s="1"/>
  <c r="I815" i="3" a="1"/>
  <c r="I815" i="3" s="1"/>
  <c r="C817" i="3"/>
  <c r="G816" i="3" a="1"/>
  <c r="G816" i="3" s="1"/>
  <c r="J816" i="3" s="1" a="1"/>
  <c r="J816" i="3" s="1"/>
  <c r="L816" i="3"/>
  <c r="M816" i="3"/>
  <c r="F816" i="3"/>
  <c r="A815" i="3" a="1"/>
  <c r="A815" i="3" s="1"/>
  <c r="B815" i="3" a="1"/>
  <c r="B815" i="3" s="1"/>
  <c r="D814" i="2"/>
  <c r="B816" i="2" a="1"/>
  <c r="B816" i="2" s="1"/>
  <c r="A816" i="2" a="1"/>
  <c r="A816" i="2" s="1"/>
  <c r="J815" i="2" a="1"/>
  <c r="J815" i="2" s="1"/>
  <c r="I815" i="2" a="1"/>
  <c r="I815" i="2" s="1"/>
  <c r="K815" i="2" a="1"/>
  <c r="K815" i="2" s="1"/>
  <c r="H815" i="2" a="1"/>
  <c r="H815" i="2" s="1"/>
  <c r="C818" i="2"/>
  <c r="F817" i="2"/>
  <c r="D815" i="2" a="1"/>
  <c r="H816" i="3" l="1" a="1"/>
  <c r="H816" i="3" s="1"/>
  <c r="I816" i="3" a="1"/>
  <c r="I816" i="3" s="1"/>
  <c r="K816" i="3" a="1"/>
  <c r="K816" i="3" s="1"/>
  <c r="C818" i="3"/>
  <c r="L817" i="3"/>
  <c r="M817" i="3"/>
  <c r="F817" i="3"/>
  <c r="F818" i="3" s="1"/>
  <c r="B816" i="3" a="1"/>
  <c r="B816" i="3" s="1"/>
  <c r="A816" i="3" a="1"/>
  <c r="A816" i="3" s="1"/>
  <c r="D815" i="2"/>
  <c r="B817" i="2" a="1"/>
  <c r="B817" i="2" s="1"/>
  <c r="A817" i="2" a="1"/>
  <c r="A817" i="2" s="1"/>
  <c r="C819" i="2"/>
  <c r="F818" i="2"/>
  <c r="H816" i="2" a="1"/>
  <c r="H816" i="2" s="1"/>
  <c r="I816" i="2" a="1"/>
  <c r="I816" i="2" s="1"/>
  <c r="K816" i="2" a="1"/>
  <c r="K816" i="2" s="1"/>
  <c r="J816" i="2" a="1"/>
  <c r="J816" i="2" s="1"/>
  <c r="D816" i="2" a="1"/>
  <c r="G817" i="3" l="1" a="1"/>
  <c r="G817" i="3" s="1"/>
  <c r="C819" i="3"/>
  <c r="G818" i="3" a="1"/>
  <c r="G818" i="3" s="1"/>
  <c r="L818" i="3"/>
  <c r="M818" i="3"/>
  <c r="J818" i="3" a="1"/>
  <c r="J818" i="3" s="1"/>
  <c r="A817" i="3" a="1"/>
  <c r="A817" i="3" s="1"/>
  <c r="B817" i="3" a="1"/>
  <c r="B817" i="3" s="1"/>
  <c r="D816" i="2"/>
  <c r="I817" i="2" a="1"/>
  <c r="I817" i="2" s="1"/>
  <c r="H817" i="2" a="1"/>
  <c r="H817" i="2" s="1"/>
  <c r="K817" i="2" a="1"/>
  <c r="K817" i="2" s="1"/>
  <c r="J817" i="2" a="1"/>
  <c r="J817" i="2" s="1"/>
  <c r="B818" i="2" a="1"/>
  <c r="B818" i="2" s="1"/>
  <c r="A818" i="2" a="1"/>
  <c r="A818" i="2" s="1"/>
  <c r="C820" i="2"/>
  <c r="F819" i="2"/>
  <c r="D817" i="2" a="1"/>
  <c r="H817" i="3" l="1" a="1"/>
  <c r="H817" i="3" s="1"/>
  <c r="I817" i="3" a="1"/>
  <c r="I817" i="3" s="1"/>
  <c r="K817" i="3" a="1"/>
  <c r="K817" i="3" s="1"/>
  <c r="J817" i="3" a="1"/>
  <c r="J817" i="3" s="1"/>
  <c r="I818" i="3" a="1"/>
  <c r="I818" i="3" s="1"/>
  <c r="K818" i="3" a="1"/>
  <c r="K818" i="3" s="1"/>
  <c r="H818" i="3" a="1"/>
  <c r="H818" i="3" s="1"/>
  <c r="C820" i="3"/>
  <c r="G819" i="3" a="1"/>
  <c r="G819" i="3" s="1"/>
  <c r="L819" i="3"/>
  <c r="M819" i="3"/>
  <c r="J819" i="3" a="1"/>
  <c r="J819" i="3" s="1"/>
  <c r="F819" i="3"/>
  <c r="A818" i="3" a="1"/>
  <c r="A818" i="3" s="1"/>
  <c r="B818" i="3" a="1"/>
  <c r="B818" i="3" s="1"/>
  <c r="D817" i="2"/>
  <c r="A819" i="2" a="1"/>
  <c r="A819" i="2" s="1"/>
  <c r="B819" i="2" a="1"/>
  <c r="B819" i="2" s="1"/>
  <c r="H818" i="2" a="1"/>
  <c r="H818" i="2" s="1"/>
  <c r="K818" i="2" a="1"/>
  <c r="K818" i="2" s="1"/>
  <c r="I818" i="2" a="1"/>
  <c r="I818" i="2" s="1"/>
  <c r="J818" i="2" a="1"/>
  <c r="J818" i="2" s="1"/>
  <c r="C821" i="2"/>
  <c r="F820" i="2"/>
  <c r="D818" i="2" a="1"/>
  <c r="K819" i="3" l="1" a="1"/>
  <c r="K819" i="3" s="1"/>
  <c r="H819" i="3" a="1"/>
  <c r="H819" i="3" s="1"/>
  <c r="I819" i="3" a="1"/>
  <c r="I819" i="3" s="1"/>
  <c r="C821" i="3"/>
  <c r="L820" i="3"/>
  <c r="M820" i="3"/>
  <c r="F820" i="3"/>
  <c r="F821" i="3" s="1"/>
  <c r="A819" i="3" a="1"/>
  <c r="A819" i="3" s="1"/>
  <c r="B819" i="3" a="1"/>
  <c r="B819" i="3" s="1"/>
  <c r="D818" i="2"/>
  <c r="B820" i="2" a="1"/>
  <c r="B820" i="2" s="1"/>
  <c r="A820" i="2" a="1"/>
  <c r="A820" i="2" s="1"/>
  <c r="J819" i="2" a="1"/>
  <c r="J819" i="2" s="1"/>
  <c r="K819" i="2" a="1"/>
  <c r="K819" i="2" s="1"/>
  <c r="H819" i="2" a="1"/>
  <c r="H819" i="2" s="1"/>
  <c r="I819" i="2" a="1"/>
  <c r="I819" i="2" s="1"/>
  <c r="C822" i="2"/>
  <c r="F821" i="2"/>
  <c r="D819" i="2" a="1"/>
  <c r="C822" i="3" l="1"/>
  <c r="G821" i="3" a="1"/>
  <c r="G821" i="3" s="1"/>
  <c r="M821" i="3"/>
  <c r="L821" i="3"/>
  <c r="J821" i="3" a="1"/>
  <c r="J821" i="3" s="1"/>
  <c r="F822" i="3"/>
  <c r="G820" i="3" a="1"/>
  <c r="G820" i="3" s="1"/>
  <c r="A820" i="3" a="1"/>
  <c r="A820" i="3" s="1"/>
  <c r="B820" i="3" a="1"/>
  <c r="B820" i="3" s="1"/>
  <c r="D819" i="2"/>
  <c r="A821" i="2" a="1"/>
  <c r="A821" i="2" s="1"/>
  <c r="B821" i="2" a="1"/>
  <c r="B821" i="2" s="1"/>
  <c r="C823" i="2"/>
  <c r="F822" i="2"/>
  <c r="I820" i="2" a="1"/>
  <c r="I820" i="2" s="1"/>
  <c r="K820" i="2" a="1"/>
  <c r="K820" i="2" s="1"/>
  <c r="J820" i="2" a="1"/>
  <c r="J820" i="2" s="1"/>
  <c r="H820" i="2" a="1"/>
  <c r="H820" i="2" s="1"/>
  <c r="D820" i="2" a="1"/>
  <c r="H820" i="3" l="1" a="1"/>
  <c r="H820" i="3" s="1"/>
  <c r="I820" i="3" a="1"/>
  <c r="I820" i="3" s="1"/>
  <c r="K820" i="3" a="1"/>
  <c r="K820" i="3" s="1"/>
  <c r="J820" i="3" a="1"/>
  <c r="J820" i="3" s="1"/>
  <c r="H821" i="3" a="1"/>
  <c r="H821" i="3" s="1"/>
  <c r="I821" i="3" a="1"/>
  <c r="I821" i="3" s="1"/>
  <c r="K821" i="3" a="1"/>
  <c r="K821" i="3" s="1"/>
  <c r="C823" i="3"/>
  <c r="G822" i="3" a="1"/>
  <c r="G822" i="3" s="1"/>
  <c r="L822" i="3"/>
  <c r="M822" i="3"/>
  <c r="A821" i="3" a="1"/>
  <c r="A821" i="3" s="1"/>
  <c r="B821" i="3" a="1"/>
  <c r="B821" i="3" s="1"/>
  <c r="D820" i="2"/>
  <c r="I821" i="2" a="1"/>
  <c r="I821" i="2" s="1"/>
  <c r="K821" i="2" a="1"/>
  <c r="K821" i="2" s="1"/>
  <c r="J821" i="2" a="1"/>
  <c r="J821" i="2" s="1"/>
  <c r="H821" i="2" a="1"/>
  <c r="H821" i="2" s="1"/>
  <c r="B822" i="2" a="1"/>
  <c r="B822" i="2" s="1"/>
  <c r="A822" i="2" a="1"/>
  <c r="A822" i="2" s="1"/>
  <c r="C824" i="2"/>
  <c r="F823" i="2"/>
  <c r="D821" i="2" a="1"/>
  <c r="I822" i="3" l="1" a="1"/>
  <c r="I822" i="3" s="1"/>
  <c r="K822" i="3" a="1"/>
  <c r="K822" i="3" s="1"/>
  <c r="H822" i="3" a="1"/>
  <c r="H822" i="3" s="1"/>
  <c r="C824" i="3"/>
  <c r="L823" i="3"/>
  <c r="M823" i="3"/>
  <c r="F823" i="3"/>
  <c r="F824" i="3" s="1"/>
  <c r="J822" i="3" a="1"/>
  <c r="J822" i="3" s="1"/>
  <c r="B822" i="3" a="1"/>
  <c r="B822" i="3" s="1"/>
  <c r="A822" i="3" a="1"/>
  <c r="A822" i="3" s="1"/>
  <c r="D821" i="2"/>
  <c r="B823" i="2" a="1"/>
  <c r="B823" i="2" s="1"/>
  <c r="A823" i="2" a="1"/>
  <c r="A823" i="2" s="1"/>
  <c r="C825" i="2"/>
  <c r="F824" i="2"/>
  <c r="H822" i="2" a="1"/>
  <c r="H822" i="2" s="1"/>
  <c r="K822" i="2" a="1"/>
  <c r="K822" i="2" s="1"/>
  <c r="I822" i="2" a="1"/>
  <c r="I822" i="2" s="1"/>
  <c r="J822" i="2" a="1"/>
  <c r="J822" i="2" s="1"/>
  <c r="D822" i="2" a="1"/>
  <c r="C825" i="3" l="1"/>
  <c r="G824" i="3" a="1"/>
  <c r="G824" i="3" s="1"/>
  <c r="M824" i="3"/>
  <c r="J824" i="3" a="1"/>
  <c r="J824" i="3" s="1"/>
  <c r="L824" i="3"/>
  <c r="G823" i="3" a="1"/>
  <c r="G823" i="3" s="1"/>
  <c r="A823" i="3" a="1"/>
  <c r="A823" i="3" s="1"/>
  <c r="B823" i="3" a="1"/>
  <c r="B823" i="3" s="1"/>
  <c r="D822" i="2"/>
  <c r="J823" i="2" a="1"/>
  <c r="J823" i="2" s="1"/>
  <c r="K823" i="2" a="1"/>
  <c r="K823" i="2" s="1"/>
  <c r="H823" i="2" a="1"/>
  <c r="H823" i="2" s="1"/>
  <c r="I823" i="2" a="1"/>
  <c r="I823" i="2" s="1"/>
  <c r="A824" i="2" a="1"/>
  <c r="A824" i="2" s="1"/>
  <c r="B824" i="2" a="1"/>
  <c r="B824" i="2" s="1"/>
  <c r="C826" i="2"/>
  <c r="F825" i="2"/>
  <c r="D823" i="2" a="1"/>
  <c r="K823" i="3" l="1" a="1"/>
  <c r="K823" i="3" s="1"/>
  <c r="I823" i="3" a="1"/>
  <c r="I823" i="3" s="1"/>
  <c r="H823" i="3" a="1"/>
  <c r="H823" i="3" s="1"/>
  <c r="J823" i="3" a="1"/>
  <c r="J823" i="3" s="1"/>
  <c r="H824" i="3" a="1"/>
  <c r="H824" i="3" s="1"/>
  <c r="I824" i="3" a="1"/>
  <c r="I824" i="3" s="1"/>
  <c r="K824" i="3" a="1"/>
  <c r="K824" i="3" s="1"/>
  <c r="C826" i="3"/>
  <c r="G825" i="3" a="1"/>
  <c r="G825" i="3" s="1"/>
  <c r="L825" i="3"/>
  <c r="M825" i="3"/>
  <c r="J825" i="3" a="1"/>
  <c r="J825" i="3" s="1"/>
  <c r="F825" i="3"/>
  <c r="A824" i="3" a="1"/>
  <c r="A824" i="3" s="1"/>
  <c r="B824" i="3" a="1"/>
  <c r="B824" i="3" s="1"/>
  <c r="D823" i="2"/>
  <c r="I824" i="2" a="1"/>
  <c r="I824" i="2" s="1"/>
  <c r="J824" i="2" a="1"/>
  <c r="J824" i="2" s="1"/>
  <c r="K824" i="2" a="1"/>
  <c r="K824" i="2" s="1"/>
  <c r="H824" i="2" a="1"/>
  <c r="H824" i="2" s="1"/>
  <c r="A825" i="2" a="1"/>
  <c r="A825" i="2" s="1"/>
  <c r="B825" i="2" a="1"/>
  <c r="B825" i="2" s="1"/>
  <c r="C827" i="2"/>
  <c r="F826" i="2"/>
  <c r="D824" i="2" a="1"/>
  <c r="H825" i="3" l="1" a="1"/>
  <c r="H825" i="3" s="1"/>
  <c r="I825" i="3" a="1"/>
  <c r="I825" i="3" s="1"/>
  <c r="K825" i="3" a="1"/>
  <c r="K825" i="3" s="1"/>
  <c r="C827" i="3"/>
  <c r="L826" i="3"/>
  <c r="M826" i="3"/>
  <c r="F826" i="3"/>
  <c r="F827" i="3" s="1"/>
  <c r="B825" i="3" a="1"/>
  <c r="B825" i="3" s="1"/>
  <c r="A825" i="3" a="1"/>
  <c r="A825" i="3" s="1"/>
  <c r="D824" i="2"/>
  <c r="A826" i="2" a="1"/>
  <c r="A826" i="2" s="1"/>
  <c r="B826" i="2" a="1"/>
  <c r="B826" i="2" s="1"/>
  <c r="J825" i="2" a="1"/>
  <c r="J825" i="2" s="1"/>
  <c r="K825" i="2" a="1"/>
  <c r="K825" i="2" s="1"/>
  <c r="H825" i="2" a="1"/>
  <c r="H825" i="2" s="1"/>
  <c r="I825" i="2" a="1"/>
  <c r="I825" i="2" s="1"/>
  <c r="C828" i="2"/>
  <c r="F827" i="2"/>
  <c r="D825" i="2" a="1"/>
  <c r="G826" i="3" l="1" a="1"/>
  <c r="G826" i="3" s="1"/>
  <c r="C828" i="3"/>
  <c r="G827" i="3" a="1"/>
  <c r="G827" i="3" s="1"/>
  <c r="L827" i="3"/>
  <c r="M827" i="3"/>
  <c r="J827" i="3" a="1"/>
  <c r="J827" i="3" s="1"/>
  <c r="A826" i="3" a="1"/>
  <c r="A826" i="3" s="1"/>
  <c r="B826" i="3" a="1"/>
  <c r="B826" i="3" s="1"/>
  <c r="D825" i="2"/>
  <c r="C829" i="2"/>
  <c r="F828" i="2"/>
  <c r="A827" i="2" a="1"/>
  <c r="A827" i="2" s="1"/>
  <c r="B827" i="2" a="1"/>
  <c r="B827" i="2" s="1"/>
  <c r="I826" i="2" a="1"/>
  <c r="I826" i="2" s="1"/>
  <c r="K826" i="2" a="1"/>
  <c r="K826" i="2" s="1"/>
  <c r="H826" i="2" a="1"/>
  <c r="H826" i="2" s="1"/>
  <c r="J826" i="2" a="1"/>
  <c r="J826" i="2" s="1"/>
  <c r="D826" i="2" a="1"/>
  <c r="C829" i="3" l="1"/>
  <c r="G828" i="3" a="1"/>
  <c r="G828" i="3" s="1"/>
  <c r="L828" i="3"/>
  <c r="M828" i="3"/>
  <c r="J828" i="3" a="1"/>
  <c r="J828" i="3" s="1"/>
  <c r="K827" i="3" a="1"/>
  <c r="K827" i="3" s="1"/>
  <c r="H827" i="3" a="1"/>
  <c r="H827" i="3" s="1"/>
  <c r="I827" i="3" a="1"/>
  <c r="I827" i="3" s="1"/>
  <c r="K826" i="3" a="1"/>
  <c r="K826" i="3" s="1"/>
  <c r="H826" i="3" a="1"/>
  <c r="H826" i="3" s="1"/>
  <c r="I826" i="3" a="1"/>
  <c r="I826" i="3" s="1"/>
  <c r="J826" i="3" a="1"/>
  <c r="J826" i="3" s="1"/>
  <c r="F828" i="3"/>
  <c r="F829" i="3" s="1"/>
  <c r="B827" i="3" a="1"/>
  <c r="B827" i="3" s="1"/>
  <c r="A827" i="3" a="1"/>
  <c r="A827" i="3" s="1"/>
  <c r="D826" i="2"/>
  <c r="H827" i="2" a="1"/>
  <c r="H827" i="2" s="1"/>
  <c r="J827" i="2" a="1"/>
  <c r="J827" i="2" s="1"/>
  <c r="I827" i="2" a="1"/>
  <c r="I827" i="2" s="1"/>
  <c r="K827" i="2" a="1"/>
  <c r="K827" i="2" s="1"/>
  <c r="B828" i="2" a="1"/>
  <c r="B828" i="2" s="1"/>
  <c r="A828" i="2" a="1"/>
  <c r="A828" i="2" s="1"/>
  <c r="C830" i="2"/>
  <c r="F829" i="2"/>
  <c r="D827" i="2" a="1"/>
  <c r="I828" i="3" l="1" a="1"/>
  <c r="I828" i="3" s="1"/>
  <c r="H828" i="3" a="1"/>
  <c r="H828" i="3" s="1"/>
  <c r="K828" i="3" a="1"/>
  <c r="K828" i="3" s="1"/>
  <c r="C830" i="3"/>
  <c r="G829" i="3" a="1"/>
  <c r="G829" i="3" s="1"/>
  <c r="M829" i="3"/>
  <c r="L829" i="3"/>
  <c r="J829" i="3" a="1"/>
  <c r="J829" i="3" s="1"/>
  <c r="B828" i="3" a="1"/>
  <c r="B828" i="3" s="1"/>
  <c r="A828" i="3" a="1"/>
  <c r="A828" i="3" s="1"/>
  <c r="D827" i="2"/>
  <c r="B829" i="2" a="1"/>
  <c r="B829" i="2" s="1"/>
  <c r="A829" i="2" a="1"/>
  <c r="A829" i="2" s="1"/>
  <c r="C831" i="2"/>
  <c r="F830" i="2"/>
  <c r="I828" i="2" a="1"/>
  <c r="I828" i="2" s="1"/>
  <c r="J828" i="2" a="1"/>
  <c r="J828" i="2" s="1"/>
  <c r="K828" i="2" a="1"/>
  <c r="K828" i="2" s="1"/>
  <c r="H828" i="2" a="1"/>
  <c r="H828" i="2" s="1"/>
  <c r="D828" i="2" a="1"/>
  <c r="H829" i="3" l="1" a="1"/>
  <c r="H829" i="3" s="1"/>
  <c r="I829" i="3" a="1"/>
  <c r="I829" i="3" s="1"/>
  <c r="K829" i="3" a="1"/>
  <c r="K829" i="3" s="1"/>
  <c r="C831" i="3"/>
  <c r="L830" i="3"/>
  <c r="M830" i="3"/>
  <c r="F830" i="3"/>
  <c r="F831" i="3" s="1"/>
  <c r="A829" i="3" a="1"/>
  <c r="A829" i="3" s="1"/>
  <c r="B829" i="3" a="1"/>
  <c r="B829" i="3" s="1"/>
  <c r="D828" i="2"/>
  <c r="I829" i="2" a="1"/>
  <c r="I829" i="2" s="1"/>
  <c r="K829" i="2" a="1"/>
  <c r="K829" i="2" s="1"/>
  <c r="J829" i="2" a="1"/>
  <c r="J829" i="2" s="1"/>
  <c r="H829" i="2" a="1"/>
  <c r="H829" i="2" s="1"/>
  <c r="B830" i="2" a="1"/>
  <c r="B830" i="2" s="1"/>
  <c r="A830" i="2" a="1"/>
  <c r="A830" i="2" s="1"/>
  <c r="C832" i="2"/>
  <c r="F831" i="2"/>
  <c r="D829" i="2" a="1"/>
  <c r="G830" i="3" l="1" a="1"/>
  <c r="G830" i="3" s="1"/>
  <c r="C832" i="3"/>
  <c r="G831" i="3" a="1"/>
  <c r="G831" i="3" s="1"/>
  <c r="J831" i="3" a="1"/>
  <c r="J831" i="3" s="1"/>
  <c r="L831" i="3"/>
  <c r="M831" i="3"/>
  <c r="A830" i="3" a="1"/>
  <c r="A830" i="3" s="1"/>
  <c r="B830" i="3" a="1"/>
  <c r="B830" i="3" s="1"/>
  <c r="D829" i="2"/>
  <c r="I830" i="2" a="1"/>
  <c r="I830" i="2" s="1"/>
  <c r="H830" i="2" a="1"/>
  <c r="H830" i="2" s="1"/>
  <c r="J830" i="2" a="1"/>
  <c r="J830" i="2" s="1"/>
  <c r="K830" i="2" a="1"/>
  <c r="K830" i="2" s="1"/>
  <c r="C833" i="2"/>
  <c r="F832" i="2"/>
  <c r="B831" i="2" a="1"/>
  <c r="B831" i="2" s="1"/>
  <c r="A831" i="2" a="1"/>
  <c r="A831" i="2" s="1"/>
  <c r="D830" i="2" a="1"/>
  <c r="C833" i="3" l="1"/>
  <c r="G832" i="3" a="1"/>
  <c r="G832" i="3" s="1"/>
  <c r="L832" i="3"/>
  <c r="M832" i="3"/>
  <c r="J832" i="3" a="1"/>
  <c r="J832" i="3" s="1"/>
  <c r="H831" i="3" a="1"/>
  <c r="H831" i="3" s="1"/>
  <c r="K831" i="3" a="1"/>
  <c r="K831" i="3" s="1"/>
  <c r="I831" i="3" a="1"/>
  <c r="I831" i="3" s="1"/>
  <c r="H830" i="3" a="1"/>
  <c r="H830" i="3" s="1"/>
  <c r="I830" i="3" a="1"/>
  <c r="I830" i="3" s="1"/>
  <c r="K830" i="3" a="1"/>
  <c r="K830" i="3" s="1"/>
  <c r="J830" i="3" a="1"/>
  <c r="J830" i="3" s="1"/>
  <c r="F832" i="3"/>
  <c r="F833" i="3" s="1"/>
  <c r="B831" i="3" a="1"/>
  <c r="B831" i="3" s="1"/>
  <c r="A831" i="3" a="1"/>
  <c r="A831" i="3" s="1"/>
  <c r="D830" i="2"/>
  <c r="H831" i="2" a="1"/>
  <c r="H831" i="2" s="1"/>
  <c r="J831" i="2" a="1"/>
  <c r="J831" i="2" s="1"/>
  <c r="K831" i="2" a="1"/>
  <c r="K831" i="2" s="1"/>
  <c r="I831" i="2" a="1"/>
  <c r="I831" i="2" s="1"/>
  <c r="B832" i="2" a="1"/>
  <c r="B832" i="2" s="1"/>
  <c r="A832" i="2" a="1"/>
  <c r="A832" i="2" s="1"/>
  <c r="C834" i="2"/>
  <c r="F833" i="2"/>
  <c r="D831" i="2" a="1"/>
  <c r="K832" i="3" l="1" a="1"/>
  <c r="K832" i="3" s="1"/>
  <c r="I832" i="3" a="1"/>
  <c r="I832" i="3" s="1"/>
  <c r="H832" i="3" a="1"/>
  <c r="H832" i="3" s="1"/>
  <c r="C834" i="3"/>
  <c r="G833" i="3" a="1"/>
  <c r="G833" i="3" s="1"/>
  <c r="M833" i="3"/>
  <c r="L833" i="3"/>
  <c r="J833" i="3" a="1"/>
  <c r="J833" i="3" s="1"/>
  <c r="A832" i="3" a="1"/>
  <c r="A832" i="3" s="1"/>
  <c r="B832" i="3" a="1"/>
  <c r="B832" i="3" s="1"/>
  <c r="D831" i="2"/>
  <c r="A833" i="2" a="1"/>
  <c r="A833" i="2" s="1"/>
  <c r="B833" i="2" a="1"/>
  <c r="B833" i="2" s="1"/>
  <c r="C835" i="2"/>
  <c r="F834" i="2"/>
  <c r="I832" i="2" a="1"/>
  <c r="I832" i="2" s="1"/>
  <c r="K832" i="2" a="1"/>
  <c r="K832" i="2" s="1"/>
  <c r="H832" i="2" a="1"/>
  <c r="H832" i="2" s="1"/>
  <c r="J832" i="2" a="1"/>
  <c r="J832" i="2" s="1"/>
  <c r="D832" i="2" a="1"/>
  <c r="H833" i="3" l="1" a="1"/>
  <c r="H833" i="3" s="1"/>
  <c r="I833" i="3" a="1"/>
  <c r="I833" i="3" s="1"/>
  <c r="K833" i="3" a="1"/>
  <c r="K833" i="3" s="1"/>
  <c r="C835" i="3"/>
  <c r="L834" i="3"/>
  <c r="M834" i="3"/>
  <c r="F834" i="3"/>
  <c r="F835" i="3" s="1"/>
  <c r="A833" i="3" a="1"/>
  <c r="A833" i="3" s="1"/>
  <c r="B833" i="3" a="1"/>
  <c r="B833" i="3" s="1"/>
  <c r="D832" i="2"/>
  <c r="C836" i="2"/>
  <c r="F835" i="2"/>
  <c r="I833" i="2" a="1"/>
  <c r="I833" i="2" s="1"/>
  <c r="J833" i="2" a="1"/>
  <c r="J833" i="2" s="1"/>
  <c r="K833" i="2" a="1"/>
  <c r="K833" i="2" s="1"/>
  <c r="H833" i="2" a="1"/>
  <c r="H833" i="2" s="1"/>
  <c r="B834" i="2" a="1"/>
  <c r="B834" i="2" s="1"/>
  <c r="A834" i="2" a="1"/>
  <c r="A834" i="2" s="1"/>
  <c r="D833" i="2" a="1"/>
  <c r="C836" i="3" l="1"/>
  <c r="G835" i="3" a="1"/>
  <c r="G835" i="3" s="1"/>
  <c r="L835" i="3"/>
  <c r="M835" i="3"/>
  <c r="F836" i="3"/>
  <c r="G834" i="3" a="1"/>
  <c r="G834" i="3" s="1"/>
  <c r="B834" i="3" a="1"/>
  <c r="B834" i="3" s="1"/>
  <c r="A834" i="3" a="1"/>
  <c r="A834" i="3" s="1"/>
  <c r="D833" i="2"/>
  <c r="H834" i="2" a="1"/>
  <c r="H834" i="2" s="1"/>
  <c r="K834" i="2" a="1"/>
  <c r="K834" i="2" s="1"/>
  <c r="J834" i="2" a="1"/>
  <c r="J834" i="2" s="1"/>
  <c r="I834" i="2" a="1"/>
  <c r="I834" i="2" s="1"/>
  <c r="A835" i="2" a="1"/>
  <c r="A835" i="2" s="1"/>
  <c r="B835" i="2" a="1"/>
  <c r="B835" i="2" s="1"/>
  <c r="C837" i="2"/>
  <c r="F836" i="2"/>
  <c r="D834" i="2" a="1"/>
  <c r="K835" i="3" l="1" a="1"/>
  <c r="K835" i="3" s="1"/>
  <c r="H835" i="3" a="1"/>
  <c r="H835" i="3" s="1"/>
  <c r="I835" i="3" a="1"/>
  <c r="I835" i="3" s="1"/>
  <c r="I834" i="3" a="1"/>
  <c r="I834" i="3" s="1"/>
  <c r="H834" i="3" a="1"/>
  <c r="H834" i="3" s="1"/>
  <c r="K834" i="3" a="1"/>
  <c r="K834" i="3" s="1"/>
  <c r="J834" i="3" a="1"/>
  <c r="J834" i="3" s="1"/>
  <c r="J835" i="3" a="1"/>
  <c r="J835" i="3" s="1"/>
  <c r="C837" i="3"/>
  <c r="G836" i="3" a="1"/>
  <c r="G836" i="3" s="1"/>
  <c r="L836" i="3"/>
  <c r="M836" i="3"/>
  <c r="A835" i="3" a="1"/>
  <c r="A835" i="3" s="1"/>
  <c r="B835" i="3" a="1"/>
  <c r="B835" i="3" s="1"/>
  <c r="D834" i="2"/>
  <c r="B836" i="2" a="1"/>
  <c r="B836" i="2" s="1"/>
  <c r="A836" i="2" a="1"/>
  <c r="A836" i="2" s="1"/>
  <c r="C838" i="2"/>
  <c r="F837" i="2"/>
  <c r="I835" i="2" a="1"/>
  <c r="I835" i="2" s="1"/>
  <c r="J835" i="2" a="1"/>
  <c r="J835" i="2" s="1"/>
  <c r="K835" i="2" a="1"/>
  <c r="K835" i="2" s="1"/>
  <c r="H835" i="2" a="1"/>
  <c r="H835" i="2" s="1"/>
  <c r="D835" i="2" a="1"/>
  <c r="H836" i="3" l="1" a="1"/>
  <c r="H836" i="3" s="1"/>
  <c r="I836" i="3" a="1"/>
  <c r="I836" i="3" s="1"/>
  <c r="K836" i="3" a="1"/>
  <c r="K836" i="3" s="1"/>
  <c r="C838" i="3"/>
  <c r="L837" i="3"/>
  <c r="M837" i="3"/>
  <c r="J836" i="3" a="1"/>
  <c r="J836" i="3" s="1"/>
  <c r="F837" i="3"/>
  <c r="F838" i="3" s="1"/>
  <c r="A836" i="3" a="1"/>
  <c r="A836" i="3" s="1"/>
  <c r="B836" i="3" a="1"/>
  <c r="B836" i="3" s="1"/>
  <c r="D835" i="2"/>
  <c r="H836" i="2" a="1"/>
  <c r="H836" i="2" s="1"/>
  <c r="I836" i="2" a="1"/>
  <c r="I836" i="2" s="1"/>
  <c r="J836" i="2" a="1"/>
  <c r="J836" i="2" s="1"/>
  <c r="K836" i="2" a="1"/>
  <c r="K836" i="2" s="1"/>
  <c r="A837" i="2" a="1"/>
  <c r="A837" i="2" s="1"/>
  <c r="B837" i="2" a="1"/>
  <c r="B837" i="2" s="1"/>
  <c r="C839" i="2"/>
  <c r="F838" i="2"/>
  <c r="D836" i="2" a="1"/>
  <c r="C839" i="3" l="1"/>
  <c r="G838" i="3" a="1"/>
  <c r="G838" i="3" s="1"/>
  <c r="L838" i="3"/>
  <c r="M838" i="3"/>
  <c r="J838" i="3" a="1"/>
  <c r="J838" i="3" s="1"/>
  <c r="F839" i="3"/>
  <c r="G837" i="3" a="1"/>
  <c r="G837" i="3" s="1"/>
  <c r="A837" i="3" a="1"/>
  <c r="A837" i="3" s="1"/>
  <c r="B837" i="3" a="1"/>
  <c r="B837" i="3" s="1"/>
  <c r="D836" i="2"/>
  <c r="A838" i="2" a="1"/>
  <c r="A838" i="2" s="1"/>
  <c r="B838" i="2" a="1"/>
  <c r="B838" i="2" s="1"/>
  <c r="C840" i="2"/>
  <c r="F839" i="2"/>
  <c r="J837" i="2" a="1"/>
  <c r="J837" i="2" s="1"/>
  <c r="K837" i="2" a="1"/>
  <c r="K837" i="2" s="1"/>
  <c r="H837" i="2" a="1"/>
  <c r="H837" i="2" s="1"/>
  <c r="I837" i="2" a="1"/>
  <c r="I837" i="2" s="1"/>
  <c r="D837" i="2" a="1"/>
  <c r="H837" i="3" l="1" a="1"/>
  <c r="H837" i="3" s="1"/>
  <c r="K837" i="3" a="1"/>
  <c r="K837" i="3" s="1"/>
  <c r="I837" i="3" a="1"/>
  <c r="I837" i="3" s="1"/>
  <c r="J837" i="3" a="1"/>
  <c r="J837" i="3" s="1"/>
  <c r="K838" i="3" a="1"/>
  <c r="K838" i="3" s="1"/>
  <c r="H838" i="3" a="1"/>
  <c r="H838" i="3" s="1"/>
  <c r="I838" i="3" a="1"/>
  <c r="I838" i="3" s="1"/>
  <c r="C840" i="3"/>
  <c r="G839" i="3" a="1"/>
  <c r="G839" i="3" s="1"/>
  <c r="L839" i="3"/>
  <c r="M839" i="3"/>
  <c r="A838" i="3" a="1"/>
  <c r="A838" i="3" s="1"/>
  <c r="B838" i="3" a="1"/>
  <c r="B838" i="3" s="1"/>
  <c r="D837" i="2"/>
  <c r="A839" i="2" a="1"/>
  <c r="A839" i="2" s="1"/>
  <c r="B839" i="2" a="1"/>
  <c r="B839" i="2" s="1"/>
  <c r="C841" i="2"/>
  <c r="F840" i="2"/>
  <c r="I838" i="2" a="1"/>
  <c r="I838" i="2" s="1"/>
  <c r="K838" i="2" a="1"/>
  <c r="K838" i="2" s="1"/>
  <c r="J838" i="2" a="1"/>
  <c r="J838" i="2" s="1"/>
  <c r="H838" i="2" a="1"/>
  <c r="H838" i="2" s="1"/>
  <c r="D838" i="2" a="1"/>
  <c r="H839" i="3" l="1" a="1"/>
  <c r="H839" i="3" s="1"/>
  <c r="I839" i="3" a="1"/>
  <c r="I839" i="3" s="1"/>
  <c r="K839" i="3" a="1"/>
  <c r="K839" i="3" s="1"/>
  <c r="C841" i="3"/>
  <c r="L840" i="3"/>
  <c r="M840" i="3"/>
  <c r="F840" i="3"/>
  <c r="F841" i="3" s="1"/>
  <c r="J839" i="3" a="1"/>
  <c r="J839" i="3" s="1"/>
  <c r="A839" i="3" a="1"/>
  <c r="A839" i="3" s="1"/>
  <c r="B839" i="3" a="1"/>
  <c r="B839" i="3" s="1"/>
  <c r="D838" i="2"/>
  <c r="I839" i="2" a="1"/>
  <c r="I839" i="2" s="1"/>
  <c r="J839" i="2" a="1"/>
  <c r="J839" i="2" s="1"/>
  <c r="H839" i="2" a="1"/>
  <c r="H839" i="2" s="1"/>
  <c r="K839" i="2" a="1"/>
  <c r="K839" i="2" s="1"/>
  <c r="B840" i="2" a="1"/>
  <c r="B840" i="2" s="1"/>
  <c r="A840" i="2" a="1"/>
  <c r="A840" i="2" s="1"/>
  <c r="C842" i="2"/>
  <c r="F841" i="2"/>
  <c r="D839" i="2" a="1"/>
  <c r="C842" i="3" l="1"/>
  <c r="G841" i="3" a="1"/>
  <c r="G841" i="3" s="1"/>
  <c r="M841" i="3"/>
  <c r="L841" i="3"/>
  <c r="J841" i="3" a="1"/>
  <c r="J841" i="3" s="1"/>
  <c r="F842" i="3"/>
  <c r="G840" i="3" a="1"/>
  <c r="G840" i="3" s="1"/>
  <c r="B840" i="3" a="1"/>
  <c r="B840" i="3" s="1"/>
  <c r="A840" i="3" a="1"/>
  <c r="A840" i="3" s="1"/>
  <c r="D839" i="2"/>
  <c r="B841" i="2" a="1"/>
  <c r="B841" i="2" s="1"/>
  <c r="A841" i="2" a="1"/>
  <c r="A841" i="2" s="1"/>
  <c r="H840" i="2" a="1"/>
  <c r="H840" i="2" s="1"/>
  <c r="I840" i="2" a="1"/>
  <c r="I840" i="2" s="1"/>
  <c r="K840" i="2" a="1"/>
  <c r="K840" i="2" s="1"/>
  <c r="J840" i="2" a="1"/>
  <c r="J840" i="2" s="1"/>
  <c r="C843" i="2"/>
  <c r="F842" i="2"/>
  <c r="D840" i="2" a="1"/>
  <c r="I840" i="3" l="1" a="1"/>
  <c r="I840" i="3" s="1"/>
  <c r="H840" i="3" a="1"/>
  <c r="H840" i="3" s="1"/>
  <c r="K840" i="3" a="1"/>
  <c r="K840" i="3" s="1"/>
  <c r="J840" i="3" a="1"/>
  <c r="J840" i="3" s="1"/>
  <c r="I841" i="3" a="1"/>
  <c r="I841" i="3" s="1"/>
  <c r="K841" i="3" a="1"/>
  <c r="K841" i="3" s="1"/>
  <c r="H841" i="3" a="1"/>
  <c r="H841" i="3" s="1"/>
  <c r="C843" i="3"/>
  <c r="G842" i="3" a="1"/>
  <c r="G842" i="3" s="1"/>
  <c r="L842" i="3"/>
  <c r="M842" i="3"/>
  <c r="A841" i="3" a="1"/>
  <c r="A841" i="3" s="1"/>
  <c r="B841" i="3" a="1"/>
  <c r="B841" i="3" s="1"/>
  <c r="D840" i="2"/>
  <c r="I841" i="2" a="1"/>
  <c r="I841" i="2" s="1"/>
  <c r="K841" i="2" a="1"/>
  <c r="K841" i="2" s="1"/>
  <c r="H841" i="2" a="1"/>
  <c r="H841" i="2" s="1"/>
  <c r="J841" i="2" a="1"/>
  <c r="J841" i="2" s="1"/>
  <c r="A842" i="2" a="1"/>
  <c r="A842" i="2" s="1"/>
  <c r="B842" i="2" a="1"/>
  <c r="B842" i="2" s="1"/>
  <c r="C844" i="2"/>
  <c r="F843" i="2"/>
  <c r="D841" i="2" a="1"/>
  <c r="C844" i="3" l="1"/>
  <c r="L843" i="3"/>
  <c r="M843" i="3"/>
  <c r="K842" i="3" a="1"/>
  <c r="K842" i="3" s="1"/>
  <c r="H842" i="3" a="1"/>
  <c r="H842" i="3" s="1"/>
  <c r="I842" i="3" a="1"/>
  <c r="I842" i="3" s="1"/>
  <c r="F843" i="3"/>
  <c r="F844" i="3" s="1"/>
  <c r="J842" i="3" a="1"/>
  <c r="J842" i="3" s="1"/>
  <c r="A842" i="3" a="1"/>
  <c r="A842" i="3" s="1"/>
  <c r="B842" i="3" a="1"/>
  <c r="B842" i="3" s="1"/>
  <c r="D841" i="2"/>
  <c r="C845" i="2"/>
  <c r="F844" i="2"/>
  <c r="B843" i="2" a="1"/>
  <c r="B843" i="2" s="1"/>
  <c r="A843" i="2" a="1"/>
  <c r="A843" i="2" s="1"/>
  <c r="K842" i="2" a="1"/>
  <c r="K842" i="2" s="1"/>
  <c r="H842" i="2" a="1"/>
  <c r="H842" i="2" s="1"/>
  <c r="I842" i="2" a="1"/>
  <c r="I842" i="2" s="1"/>
  <c r="J842" i="2" a="1"/>
  <c r="J842" i="2" s="1"/>
  <c r="D842" i="2" a="1"/>
  <c r="G843" i="3" l="1" a="1"/>
  <c r="G843" i="3" s="1"/>
  <c r="C845" i="3"/>
  <c r="G844" i="3" a="1"/>
  <c r="G844" i="3" s="1"/>
  <c r="L844" i="3"/>
  <c r="M844" i="3"/>
  <c r="J844" i="3" a="1"/>
  <c r="J844" i="3" s="1"/>
  <c r="B843" i="3" a="1"/>
  <c r="B843" i="3" s="1"/>
  <c r="A843" i="3" a="1"/>
  <c r="A843" i="3" s="1"/>
  <c r="D842" i="2"/>
  <c r="H843" i="2" a="1"/>
  <c r="H843" i="2" s="1"/>
  <c r="I843" i="2" a="1"/>
  <c r="I843" i="2" s="1"/>
  <c r="J843" i="2" a="1"/>
  <c r="J843" i="2" s="1"/>
  <c r="K843" i="2" a="1"/>
  <c r="K843" i="2" s="1"/>
  <c r="A844" i="2" a="1"/>
  <c r="A844" i="2" s="1"/>
  <c r="B844" i="2" a="1"/>
  <c r="B844" i="2" s="1"/>
  <c r="C846" i="2"/>
  <c r="F845" i="2"/>
  <c r="D843" i="2" a="1"/>
  <c r="K844" i="3" l="1" a="1"/>
  <c r="K844" i="3" s="1"/>
  <c r="H844" i="3" a="1"/>
  <c r="H844" i="3" s="1"/>
  <c r="I844" i="3" a="1"/>
  <c r="I844" i="3" s="1"/>
  <c r="C846" i="3"/>
  <c r="G845" i="3" a="1"/>
  <c r="G845" i="3" s="1"/>
  <c r="M845" i="3"/>
  <c r="L845" i="3"/>
  <c r="J845" i="3" a="1"/>
  <c r="J845" i="3" s="1"/>
  <c r="H843" i="3" a="1"/>
  <c r="H843" i="3" s="1"/>
  <c r="K843" i="3" a="1"/>
  <c r="K843" i="3" s="1"/>
  <c r="I843" i="3" a="1"/>
  <c r="I843" i="3" s="1"/>
  <c r="J843" i="3" a="1"/>
  <c r="J843" i="3" s="1"/>
  <c r="F845" i="3"/>
  <c r="A844" i="3" a="1"/>
  <c r="A844" i="3" s="1"/>
  <c r="B844" i="3" a="1"/>
  <c r="B844" i="3" s="1"/>
  <c r="D843" i="2"/>
  <c r="C847" i="2"/>
  <c r="F846" i="2"/>
  <c r="A845" i="2" a="1"/>
  <c r="A845" i="2" s="1"/>
  <c r="B845" i="2" a="1"/>
  <c r="B845" i="2" s="1"/>
  <c r="I844" i="2" a="1"/>
  <c r="I844" i="2" s="1"/>
  <c r="H844" i="2" a="1"/>
  <c r="H844" i="2" s="1"/>
  <c r="K844" i="2" a="1"/>
  <c r="K844" i="2" s="1"/>
  <c r="J844" i="2" a="1"/>
  <c r="J844" i="2" s="1"/>
  <c r="D844" i="2" a="1"/>
  <c r="C847" i="3" l="1"/>
  <c r="L846" i="3"/>
  <c r="M846" i="3"/>
  <c r="H845" i="3" a="1"/>
  <c r="H845" i="3" s="1"/>
  <c r="I845" i="3" a="1"/>
  <c r="I845" i="3" s="1"/>
  <c r="K845" i="3" a="1"/>
  <c r="K845" i="3" s="1"/>
  <c r="F846" i="3"/>
  <c r="F847" i="3" s="1"/>
  <c r="B845" i="3" a="1"/>
  <c r="B845" i="3" s="1"/>
  <c r="A845" i="3" a="1"/>
  <c r="A845" i="3" s="1"/>
  <c r="D844" i="2"/>
  <c r="B846" i="2" a="1"/>
  <c r="B846" i="2" s="1"/>
  <c r="A846" i="2" a="1"/>
  <c r="A846" i="2" s="1"/>
  <c r="J845" i="2" a="1"/>
  <c r="J845" i="2" s="1"/>
  <c r="I845" i="2" a="1"/>
  <c r="I845" i="2" s="1"/>
  <c r="K845" i="2" a="1"/>
  <c r="K845" i="2" s="1"/>
  <c r="H845" i="2" a="1"/>
  <c r="H845" i="2" s="1"/>
  <c r="C848" i="2"/>
  <c r="F847" i="2"/>
  <c r="D845" i="2" a="1"/>
  <c r="G846" i="3" l="1" a="1"/>
  <c r="G846" i="3" s="1"/>
  <c r="C848" i="3"/>
  <c r="G847" i="3" a="1"/>
  <c r="G847" i="3" s="1"/>
  <c r="L847" i="3"/>
  <c r="M847" i="3"/>
  <c r="J847" i="3" a="1"/>
  <c r="J847" i="3" s="1"/>
  <c r="A846" i="3" a="1"/>
  <c r="A846" i="3" s="1"/>
  <c r="B846" i="3" a="1"/>
  <c r="B846" i="3" s="1"/>
  <c r="D845" i="2"/>
  <c r="B847" i="2" a="1"/>
  <c r="B847" i="2" s="1"/>
  <c r="A847" i="2" a="1"/>
  <c r="A847" i="2" s="1"/>
  <c r="H846" i="2" a="1"/>
  <c r="H846" i="2" s="1"/>
  <c r="K846" i="2" a="1"/>
  <c r="K846" i="2" s="1"/>
  <c r="I846" i="2" a="1"/>
  <c r="I846" i="2" s="1"/>
  <c r="J846" i="2" a="1"/>
  <c r="J846" i="2" s="1"/>
  <c r="C849" i="2"/>
  <c r="F848" i="2"/>
  <c r="D846" i="2" a="1"/>
  <c r="C849" i="3" l="1"/>
  <c r="G848" i="3" a="1"/>
  <c r="G848" i="3" s="1"/>
  <c r="L848" i="3"/>
  <c r="M848" i="3"/>
  <c r="J848" i="3" a="1"/>
  <c r="J848" i="3" s="1"/>
  <c r="H847" i="3" a="1"/>
  <c r="H847" i="3" s="1"/>
  <c r="I847" i="3" a="1"/>
  <c r="I847" i="3" s="1"/>
  <c r="K847" i="3" a="1"/>
  <c r="K847" i="3" s="1"/>
  <c r="I846" i="3" a="1"/>
  <c r="I846" i="3" s="1"/>
  <c r="H846" i="3" a="1"/>
  <c r="H846" i="3" s="1"/>
  <c r="K846" i="3" a="1"/>
  <c r="K846" i="3" s="1"/>
  <c r="J846" i="3" a="1"/>
  <c r="J846" i="3" s="1"/>
  <c r="F848" i="3"/>
  <c r="F849" i="3" s="1"/>
  <c r="A847" i="3" a="1"/>
  <c r="A847" i="3" s="1"/>
  <c r="B847" i="3" a="1"/>
  <c r="B847" i="3" s="1"/>
  <c r="D846" i="2"/>
  <c r="A848" i="2" a="1"/>
  <c r="A848" i="2" s="1"/>
  <c r="B848" i="2" a="1"/>
  <c r="B848" i="2" s="1"/>
  <c r="K847" i="2" a="1"/>
  <c r="K847" i="2" s="1"/>
  <c r="H847" i="2" a="1"/>
  <c r="H847" i="2" s="1"/>
  <c r="I847" i="2" a="1"/>
  <c r="I847" i="2" s="1"/>
  <c r="J847" i="2" a="1"/>
  <c r="J847" i="2" s="1"/>
  <c r="C850" i="2"/>
  <c r="F849" i="2"/>
  <c r="D847" i="2" a="1"/>
  <c r="H848" i="3" l="1" a="1"/>
  <c r="H848" i="3" s="1"/>
  <c r="I848" i="3" a="1"/>
  <c r="I848" i="3" s="1"/>
  <c r="K848" i="3" a="1"/>
  <c r="K848" i="3" s="1"/>
  <c r="C850" i="3"/>
  <c r="G849" i="3" a="1"/>
  <c r="G849" i="3" s="1"/>
  <c r="J849" i="3" s="1" a="1"/>
  <c r="J849" i="3" s="1"/>
  <c r="L849" i="3"/>
  <c r="M849" i="3"/>
  <c r="B848" i="3" a="1"/>
  <c r="B848" i="3" s="1"/>
  <c r="A848" i="3" a="1"/>
  <c r="A848" i="3" s="1"/>
  <c r="D847" i="2"/>
  <c r="A849" i="2" a="1"/>
  <c r="A849" i="2" s="1"/>
  <c r="B849" i="2" a="1"/>
  <c r="B849" i="2" s="1"/>
  <c r="C851" i="2"/>
  <c r="F850" i="2"/>
  <c r="H848" i="2" a="1"/>
  <c r="H848" i="2" s="1"/>
  <c r="J848" i="2" a="1"/>
  <c r="J848" i="2" s="1"/>
  <c r="I848" i="2" a="1"/>
  <c r="I848" i="2" s="1"/>
  <c r="K848" i="2" a="1"/>
  <c r="K848" i="2" s="1"/>
  <c r="D848" i="2" a="1"/>
  <c r="I849" i="3" l="1" a="1"/>
  <c r="I849" i="3" s="1"/>
  <c r="K849" i="3" a="1"/>
  <c r="K849" i="3" s="1"/>
  <c r="H849" i="3" a="1"/>
  <c r="H849" i="3" s="1"/>
  <c r="C851" i="3"/>
  <c r="M850" i="3"/>
  <c r="L850" i="3"/>
  <c r="F850" i="3"/>
  <c r="F851" i="3" s="1"/>
  <c r="B849" i="3" a="1"/>
  <c r="B849" i="3" s="1"/>
  <c r="A849" i="3" a="1"/>
  <c r="A849" i="3" s="1"/>
  <c r="D848" i="2"/>
  <c r="H849" i="2" a="1"/>
  <c r="H849" i="2" s="1"/>
  <c r="I849" i="2" a="1"/>
  <c r="I849" i="2" s="1"/>
  <c r="J849" i="2" a="1"/>
  <c r="J849" i="2" s="1"/>
  <c r="K849" i="2" a="1"/>
  <c r="K849" i="2" s="1"/>
  <c r="B850" i="2" a="1"/>
  <c r="B850" i="2" s="1"/>
  <c r="A850" i="2" a="1"/>
  <c r="A850" i="2" s="1"/>
  <c r="C852" i="2"/>
  <c r="F851" i="2"/>
  <c r="D849" i="2" a="1"/>
  <c r="G850" i="3" l="1" a="1"/>
  <c r="G850" i="3" s="1"/>
  <c r="C852" i="3"/>
  <c r="G851" i="3" a="1"/>
  <c r="G851" i="3" s="1"/>
  <c r="L851" i="3"/>
  <c r="M851" i="3"/>
  <c r="A850" i="3" a="1"/>
  <c r="A850" i="3" s="1"/>
  <c r="B850" i="3" a="1"/>
  <c r="B850" i="3" s="1"/>
  <c r="D849" i="2"/>
  <c r="C853" i="2"/>
  <c r="F852" i="2"/>
  <c r="A851" i="2" a="1"/>
  <c r="A851" i="2" s="1"/>
  <c r="B851" i="2" a="1"/>
  <c r="B851" i="2" s="1"/>
  <c r="H850" i="2" a="1"/>
  <c r="H850" i="2" s="1"/>
  <c r="I850" i="2" a="1"/>
  <c r="I850" i="2" s="1"/>
  <c r="J850" i="2" a="1"/>
  <c r="J850" i="2" s="1"/>
  <c r="K850" i="2" a="1"/>
  <c r="K850" i="2" s="1"/>
  <c r="D850" i="2" a="1"/>
  <c r="H851" i="3" l="1" a="1"/>
  <c r="H851" i="3" s="1"/>
  <c r="I851" i="3" a="1"/>
  <c r="I851" i="3" s="1"/>
  <c r="K851" i="3" a="1"/>
  <c r="K851" i="3" s="1"/>
  <c r="C853" i="3"/>
  <c r="G852" i="3" a="1"/>
  <c r="G852" i="3" s="1"/>
  <c r="L852" i="3"/>
  <c r="M852" i="3"/>
  <c r="J852" i="3" a="1"/>
  <c r="J852" i="3" s="1"/>
  <c r="J851" i="3" a="1"/>
  <c r="J851" i="3" s="1"/>
  <c r="K850" i="3" a="1"/>
  <c r="K850" i="3" s="1"/>
  <c r="H850" i="3" a="1"/>
  <c r="H850" i="3" s="1"/>
  <c r="I850" i="3" a="1"/>
  <c r="I850" i="3" s="1"/>
  <c r="J850" i="3" a="1"/>
  <c r="J850" i="3" s="1"/>
  <c r="F852" i="3"/>
  <c r="F853" i="3" s="1"/>
  <c r="A851" i="3" a="1"/>
  <c r="A851" i="3" s="1"/>
  <c r="B851" i="3" a="1"/>
  <c r="B851" i="3" s="1"/>
  <c r="D850" i="2"/>
  <c r="J851" i="2" a="1"/>
  <c r="J851" i="2" s="1"/>
  <c r="I851" i="2" a="1"/>
  <c r="I851" i="2" s="1"/>
  <c r="H851" i="2" a="1"/>
  <c r="H851" i="2" s="1"/>
  <c r="K851" i="2" a="1"/>
  <c r="K851" i="2" s="1"/>
  <c r="B852" i="2" a="1"/>
  <c r="B852" i="2" s="1"/>
  <c r="A852" i="2" a="1"/>
  <c r="A852" i="2" s="1"/>
  <c r="C854" i="2"/>
  <c r="F853" i="2"/>
  <c r="D851" i="2" a="1"/>
  <c r="C854" i="3" l="1"/>
  <c r="G853" i="3" a="1"/>
  <c r="G853" i="3" s="1"/>
  <c r="L853" i="3"/>
  <c r="M853" i="3"/>
  <c r="J853" i="3" a="1"/>
  <c r="J853" i="3" s="1"/>
  <c r="H852" i="3" a="1"/>
  <c r="H852" i="3" s="1"/>
  <c r="I852" i="3" a="1"/>
  <c r="I852" i="3" s="1"/>
  <c r="K852" i="3" a="1"/>
  <c r="K852" i="3" s="1"/>
  <c r="F854" i="3"/>
  <c r="A852" i="3" a="1"/>
  <c r="A852" i="3" s="1"/>
  <c r="B852" i="3" a="1"/>
  <c r="B852" i="3" s="1"/>
  <c r="D851" i="2"/>
  <c r="B853" i="2" a="1"/>
  <c r="B853" i="2" s="1"/>
  <c r="A853" i="2" a="1"/>
  <c r="A853" i="2" s="1"/>
  <c r="H852" i="2" a="1"/>
  <c r="H852" i="2" s="1"/>
  <c r="J852" i="2" a="1"/>
  <c r="J852" i="2" s="1"/>
  <c r="I852" i="2" a="1"/>
  <c r="I852" i="2" s="1"/>
  <c r="K852" i="2" a="1"/>
  <c r="K852" i="2" s="1"/>
  <c r="C855" i="2"/>
  <c r="F854" i="2"/>
  <c r="D852" i="2" a="1"/>
  <c r="H853" i="3" l="1" a="1"/>
  <c r="H853" i="3" s="1"/>
  <c r="I853" i="3" a="1"/>
  <c r="I853" i="3" s="1"/>
  <c r="K853" i="3" a="1"/>
  <c r="K853" i="3" s="1"/>
  <c r="C855" i="3"/>
  <c r="G854" i="3" a="1"/>
  <c r="G854" i="3" s="1"/>
  <c r="L854" i="3"/>
  <c r="M854" i="3"/>
  <c r="A853" i="3" a="1"/>
  <c r="A853" i="3" s="1"/>
  <c r="B853" i="3" a="1"/>
  <c r="B853" i="3" s="1"/>
  <c r="D852" i="2"/>
  <c r="B854" i="2" a="1"/>
  <c r="B854" i="2" s="1"/>
  <c r="A854" i="2" a="1"/>
  <c r="A854" i="2" s="1"/>
  <c r="H853" i="2" a="1"/>
  <c r="H853" i="2" s="1"/>
  <c r="J853" i="2" a="1"/>
  <c r="J853" i="2" s="1"/>
  <c r="K853" i="2" a="1"/>
  <c r="K853" i="2" s="1"/>
  <c r="I853" i="2" a="1"/>
  <c r="I853" i="2" s="1"/>
  <c r="C856" i="2"/>
  <c r="F855" i="2"/>
  <c r="D853" i="2" a="1"/>
  <c r="H854" i="3" l="1" a="1"/>
  <c r="H854" i="3" s="1"/>
  <c r="I854" i="3" a="1"/>
  <c r="I854" i="3" s="1"/>
  <c r="K854" i="3" a="1"/>
  <c r="K854" i="3" s="1"/>
  <c r="J854" i="3" a="1"/>
  <c r="J854" i="3" s="1"/>
  <c r="C856" i="3"/>
  <c r="L855" i="3"/>
  <c r="M855" i="3"/>
  <c r="F855" i="3"/>
  <c r="F856" i="3" s="1"/>
  <c r="A854" i="3" a="1"/>
  <c r="A854" i="3" s="1"/>
  <c r="B854" i="3" a="1"/>
  <c r="B854" i="3" s="1"/>
  <c r="D853" i="2"/>
  <c r="A855" i="2" a="1"/>
  <c r="A855" i="2" s="1"/>
  <c r="B855" i="2" a="1"/>
  <c r="B855" i="2" s="1"/>
  <c r="K854" i="2" a="1"/>
  <c r="K854" i="2" s="1"/>
  <c r="J854" i="2" a="1"/>
  <c r="J854" i="2" s="1"/>
  <c r="H854" i="2" a="1"/>
  <c r="H854" i="2" s="1"/>
  <c r="I854" i="2" a="1"/>
  <c r="I854" i="2" s="1"/>
  <c r="C857" i="2"/>
  <c r="F856" i="2"/>
  <c r="D854" i="2" a="1"/>
  <c r="G855" i="3" l="1" a="1"/>
  <c r="G855" i="3" s="1"/>
  <c r="C857" i="3"/>
  <c r="G856" i="3" a="1"/>
  <c r="G856" i="3" s="1"/>
  <c r="J856" i="3" s="1" a="1"/>
  <c r="J856" i="3" s="1"/>
  <c r="L856" i="3"/>
  <c r="M856" i="3"/>
  <c r="A855" i="3" a="1"/>
  <c r="A855" i="3" s="1"/>
  <c r="B855" i="3" a="1"/>
  <c r="B855" i="3" s="1"/>
  <c r="D854" i="2"/>
  <c r="I855" i="2" a="1"/>
  <c r="I855" i="2" s="1"/>
  <c r="K855" i="2" a="1"/>
  <c r="K855" i="2" s="1"/>
  <c r="J855" i="2" a="1"/>
  <c r="J855" i="2" s="1"/>
  <c r="H855" i="2" a="1"/>
  <c r="H855" i="2" s="1"/>
  <c r="B856" i="2" a="1"/>
  <c r="B856" i="2" s="1"/>
  <c r="A856" i="2" a="1"/>
  <c r="A856" i="2" s="1"/>
  <c r="C858" i="2"/>
  <c r="F857" i="2"/>
  <c r="D855" i="2" a="1"/>
  <c r="H856" i="3" l="1" a="1"/>
  <c r="H856" i="3" s="1"/>
  <c r="I856" i="3" a="1"/>
  <c r="I856" i="3" s="1"/>
  <c r="K856" i="3" a="1"/>
  <c r="K856" i="3" s="1"/>
  <c r="C858" i="3"/>
  <c r="G857" i="3" a="1"/>
  <c r="G857" i="3" s="1"/>
  <c r="L857" i="3"/>
  <c r="M857" i="3"/>
  <c r="J857" i="3" a="1"/>
  <c r="J857" i="3" s="1"/>
  <c r="H855" i="3" a="1"/>
  <c r="H855" i="3" s="1"/>
  <c r="I855" i="3" a="1"/>
  <c r="I855" i="3" s="1"/>
  <c r="K855" i="3" a="1"/>
  <c r="K855" i="3" s="1"/>
  <c r="J855" i="3" a="1"/>
  <c r="J855" i="3" s="1"/>
  <c r="F857" i="3"/>
  <c r="B856" i="3" a="1"/>
  <c r="B856" i="3" s="1"/>
  <c r="A856" i="3" a="1"/>
  <c r="A856" i="3" s="1"/>
  <c r="D855" i="2"/>
  <c r="A857" i="2" a="1"/>
  <c r="A857" i="2" s="1"/>
  <c r="B857" i="2" a="1"/>
  <c r="B857" i="2" s="1"/>
  <c r="C859" i="2"/>
  <c r="F858" i="2"/>
  <c r="H856" i="2" a="1"/>
  <c r="H856" i="2" s="1"/>
  <c r="I856" i="2" a="1"/>
  <c r="I856" i="2" s="1"/>
  <c r="K856" i="2" a="1"/>
  <c r="K856" i="2" s="1"/>
  <c r="J856" i="2" a="1"/>
  <c r="J856" i="2" s="1"/>
  <c r="D856" i="2" a="1"/>
  <c r="C859" i="3" l="1"/>
  <c r="L858" i="3"/>
  <c r="M858" i="3"/>
  <c r="H857" i="3" a="1"/>
  <c r="H857" i="3" s="1"/>
  <c r="I857" i="3" a="1"/>
  <c r="I857" i="3" s="1"/>
  <c r="K857" i="3" a="1"/>
  <c r="K857" i="3" s="1"/>
  <c r="F858" i="3"/>
  <c r="F859" i="3" s="1"/>
  <c r="A857" i="3" a="1"/>
  <c r="A857" i="3" s="1"/>
  <c r="B857" i="3" a="1"/>
  <c r="B857" i="3" s="1"/>
  <c r="D856" i="2"/>
  <c r="H857" i="2" a="1"/>
  <c r="H857" i="2" s="1"/>
  <c r="J857" i="2" a="1"/>
  <c r="J857" i="2" s="1"/>
  <c r="K857" i="2" a="1"/>
  <c r="K857" i="2" s="1"/>
  <c r="I857" i="2" a="1"/>
  <c r="I857" i="2" s="1"/>
  <c r="A858" i="2" a="1"/>
  <c r="A858" i="2" s="1"/>
  <c r="B858" i="2" a="1"/>
  <c r="B858" i="2" s="1"/>
  <c r="C860" i="2"/>
  <c r="F859" i="2"/>
  <c r="D857" i="2" a="1"/>
  <c r="G858" i="3" l="1" a="1"/>
  <c r="G858" i="3" s="1"/>
  <c r="C860" i="3"/>
  <c r="G859" i="3" a="1"/>
  <c r="G859" i="3" s="1"/>
  <c r="L859" i="3"/>
  <c r="M859" i="3"/>
  <c r="A858" i="3" a="1"/>
  <c r="A858" i="3" s="1"/>
  <c r="B858" i="3" a="1"/>
  <c r="B858" i="3" s="1"/>
  <c r="D857" i="2"/>
  <c r="A859" i="2" a="1"/>
  <c r="A859" i="2" s="1"/>
  <c r="B859" i="2" a="1"/>
  <c r="B859" i="2" s="1"/>
  <c r="I858" i="2" a="1"/>
  <c r="I858" i="2" s="1"/>
  <c r="K858" i="2" a="1"/>
  <c r="K858" i="2" s="1"/>
  <c r="J858" i="2" a="1"/>
  <c r="J858" i="2" s="1"/>
  <c r="H858" i="2" a="1"/>
  <c r="H858" i="2" s="1"/>
  <c r="C861" i="2"/>
  <c r="F860" i="2"/>
  <c r="D858" i="2" a="1"/>
  <c r="I859" i="3" l="1" a="1"/>
  <c r="I859" i="3" s="1"/>
  <c r="K859" i="3" a="1"/>
  <c r="K859" i="3" s="1"/>
  <c r="H859" i="3" a="1"/>
  <c r="H859" i="3" s="1"/>
  <c r="C861" i="3"/>
  <c r="G860" i="3" a="1"/>
  <c r="G860" i="3" s="1"/>
  <c r="L860" i="3"/>
  <c r="M860" i="3"/>
  <c r="H860" i="3" s="1" a="1"/>
  <c r="H860" i="3" s="1"/>
  <c r="J860" i="3" a="1"/>
  <c r="J860" i="3" s="1"/>
  <c r="J859" i="3" a="1"/>
  <c r="J859" i="3" s="1"/>
  <c r="I858" i="3" a="1"/>
  <c r="I858" i="3" s="1"/>
  <c r="K858" i="3" a="1"/>
  <c r="K858" i="3" s="1"/>
  <c r="H858" i="3" a="1"/>
  <c r="H858" i="3" s="1"/>
  <c r="J858" i="3" a="1"/>
  <c r="J858" i="3" s="1"/>
  <c r="F860" i="3"/>
  <c r="F861" i="3" s="1"/>
  <c r="A859" i="3" a="1"/>
  <c r="A859" i="3" s="1"/>
  <c r="B859" i="3" a="1"/>
  <c r="B859" i="3" s="1"/>
  <c r="D858" i="2"/>
  <c r="B860" i="2" a="1"/>
  <c r="B860" i="2" s="1"/>
  <c r="A860" i="2" a="1"/>
  <c r="A860" i="2" s="1"/>
  <c r="J859" i="2" a="1"/>
  <c r="J859" i="2" s="1"/>
  <c r="K859" i="2" a="1"/>
  <c r="K859" i="2" s="1"/>
  <c r="I859" i="2" a="1"/>
  <c r="I859" i="2" s="1"/>
  <c r="H859" i="2" a="1"/>
  <c r="H859" i="2" s="1"/>
  <c r="C862" i="2"/>
  <c r="F861" i="2"/>
  <c r="D859" i="2" a="1"/>
  <c r="C862" i="3" l="1"/>
  <c r="G861" i="3" a="1"/>
  <c r="G861" i="3" s="1"/>
  <c r="L861" i="3"/>
  <c r="M861" i="3"/>
  <c r="J861" i="3" a="1"/>
  <c r="J861" i="3" s="1"/>
  <c r="I860" i="3" a="1"/>
  <c r="I860" i="3" s="1"/>
  <c r="K860" i="3" a="1"/>
  <c r="K860" i="3" s="1"/>
  <c r="F862" i="3"/>
  <c r="B860" i="3" a="1"/>
  <c r="B860" i="3" s="1"/>
  <c r="A860" i="3" a="1"/>
  <c r="A860" i="3" s="1"/>
  <c r="D859" i="2"/>
  <c r="C863" i="2"/>
  <c r="F862" i="2"/>
  <c r="A861" i="2" a="1"/>
  <c r="A861" i="2" s="1"/>
  <c r="B861" i="2" a="1"/>
  <c r="B861" i="2" s="1"/>
  <c r="I860" i="2" a="1"/>
  <c r="I860" i="2" s="1"/>
  <c r="J860" i="2" a="1"/>
  <c r="J860" i="2" s="1"/>
  <c r="H860" i="2" a="1"/>
  <c r="H860" i="2" s="1"/>
  <c r="K860" i="2" a="1"/>
  <c r="K860" i="2" s="1"/>
  <c r="D860" i="2" a="1"/>
  <c r="H861" i="3" l="1" a="1"/>
  <c r="H861" i="3" s="1"/>
  <c r="I861" i="3" a="1"/>
  <c r="I861" i="3" s="1"/>
  <c r="K861" i="3" a="1"/>
  <c r="K861" i="3" s="1"/>
  <c r="C863" i="3"/>
  <c r="G862" i="3" a="1"/>
  <c r="G862" i="3" s="1"/>
  <c r="L862" i="3"/>
  <c r="M862" i="3"/>
  <c r="B861" i="3" a="1"/>
  <c r="B861" i="3" s="1"/>
  <c r="A861" i="3" a="1"/>
  <c r="A861" i="3" s="1"/>
  <c r="D860" i="2"/>
  <c r="K861" i="2" a="1"/>
  <c r="K861" i="2" s="1"/>
  <c r="H861" i="2" a="1"/>
  <c r="H861" i="2" s="1"/>
  <c r="J861" i="2" a="1"/>
  <c r="J861" i="2" s="1"/>
  <c r="I861" i="2" a="1"/>
  <c r="I861" i="2" s="1"/>
  <c r="A862" i="2" a="1"/>
  <c r="A862" i="2" s="1"/>
  <c r="B862" i="2" a="1"/>
  <c r="B862" i="2" s="1"/>
  <c r="C864" i="2"/>
  <c r="F863" i="2"/>
  <c r="D861" i="2" a="1"/>
  <c r="H862" i="3" l="1" a="1"/>
  <c r="H862" i="3" s="1"/>
  <c r="I862" i="3" a="1"/>
  <c r="I862" i="3" s="1"/>
  <c r="K862" i="3" a="1"/>
  <c r="K862" i="3" s="1"/>
  <c r="J862" i="3" a="1"/>
  <c r="J862" i="3" s="1"/>
  <c r="C864" i="3"/>
  <c r="L863" i="3"/>
  <c r="M863" i="3"/>
  <c r="F863" i="3"/>
  <c r="F864" i="3" s="1"/>
  <c r="A862" i="3" a="1"/>
  <c r="A862" i="3" s="1"/>
  <c r="B862" i="3" a="1"/>
  <c r="B862" i="3" s="1"/>
  <c r="D861" i="2"/>
  <c r="A863" i="2" a="1"/>
  <c r="A863" i="2" s="1"/>
  <c r="B863" i="2" a="1"/>
  <c r="B863" i="2" s="1"/>
  <c r="H862" i="2" a="1"/>
  <c r="H862" i="2" s="1"/>
  <c r="I862" i="2" a="1"/>
  <c r="I862" i="2" s="1"/>
  <c r="J862" i="2" a="1"/>
  <c r="J862" i="2" s="1"/>
  <c r="K862" i="2" a="1"/>
  <c r="K862" i="2" s="1"/>
  <c r="C865" i="2"/>
  <c r="F864" i="2"/>
  <c r="D862" i="2" a="1"/>
  <c r="C865" i="3" l="1"/>
  <c r="G864" i="3" a="1"/>
  <c r="G864" i="3" s="1"/>
  <c r="L864" i="3"/>
  <c r="M864" i="3"/>
  <c r="G863" i="3" a="1"/>
  <c r="G863" i="3" s="1"/>
  <c r="A863" i="3" a="1"/>
  <c r="A863" i="3" s="1"/>
  <c r="B863" i="3" a="1"/>
  <c r="B863" i="3" s="1"/>
  <c r="D862" i="2"/>
  <c r="B864" i="2" a="1"/>
  <c r="B864" i="2" s="1"/>
  <c r="A864" i="2" a="1"/>
  <c r="A864" i="2" s="1"/>
  <c r="H863" i="2" a="1"/>
  <c r="H863" i="2" s="1"/>
  <c r="J863" i="2" a="1"/>
  <c r="J863" i="2" s="1"/>
  <c r="I863" i="2" a="1"/>
  <c r="I863" i="2" s="1"/>
  <c r="K863" i="2" a="1"/>
  <c r="K863" i="2" s="1"/>
  <c r="C866" i="2"/>
  <c r="F865" i="2"/>
  <c r="D863" i="2" a="1"/>
  <c r="H863" i="3" l="1" a="1"/>
  <c r="H863" i="3" s="1"/>
  <c r="I863" i="3" a="1"/>
  <c r="I863" i="3" s="1"/>
  <c r="K863" i="3" a="1"/>
  <c r="K863" i="3" s="1"/>
  <c r="J863" i="3" a="1"/>
  <c r="J863" i="3" s="1"/>
  <c r="I864" i="3" a="1"/>
  <c r="I864" i="3" s="1"/>
  <c r="H864" i="3" a="1"/>
  <c r="H864" i="3" s="1"/>
  <c r="K864" i="3" a="1"/>
  <c r="K864" i="3" s="1"/>
  <c r="J864" i="3" a="1"/>
  <c r="J864" i="3" s="1"/>
  <c r="C866" i="3"/>
  <c r="G865" i="3" a="1"/>
  <c r="G865" i="3" s="1"/>
  <c r="L865" i="3"/>
  <c r="M865" i="3"/>
  <c r="F865" i="3"/>
  <c r="A864" i="3" a="1"/>
  <c r="A864" i="3" s="1"/>
  <c r="B864" i="3" a="1"/>
  <c r="B864" i="3" s="1"/>
  <c r="D863" i="2"/>
  <c r="B865" i="2" a="1"/>
  <c r="B865" i="2" s="1"/>
  <c r="A865" i="2" a="1"/>
  <c r="A865" i="2" s="1"/>
  <c r="I864" i="2" a="1"/>
  <c r="I864" i="2" s="1"/>
  <c r="K864" i="2" a="1"/>
  <c r="K864" i="2" s="1"/>
  <c r="J864" i="2" a="1"/>
  <c r="J864" i="2" s="1"/>
  <c r="H864" i="2" a="1"/>
  <c r="H864" i="2" s="1"/>
  <c r="C867" i="2"/>
  <c r="F866" i="2"/>
  <c r="D864" i="2" a="1"/>
  <c r="H865" i="3" l="1" a="1"/>
  <c r="H865" i="3" s="1"/>
  <c r="K865" i="3" a="1"/>
  <c r="K865" i="3" s="1"/>
  <c r="I865" i="3" a="1"/>
  <c r="I865" i="3" s="1"/>
  <c r="C867" i="3"/>
  <c r="L866" i="3"/>
  <c r="M866" i="3"/>
  <c r="F866" i="3"/>
  <c r="F867" i="3" s="1"/>
  <c r="J865" i="3" a="1"/>
  <c r="J865" i="3" s="1"/>
  <c r="A865" i="3" a="1"/>
  <c r="A865" i="3" s="1"/>
  <c r="B865" i="3" a="1"/>
  <c r="B865" i="3" s="1"/>
  <c r="D864" i="2"/>
  <c r="I865" i="2" a="1"/>
  <c r="I865" i="2" s="1"/>
  <c r="J865" i="2" a="1"/>
  <c r="J865" i="2" s="1"/>
  <c r="H865" i="2" a="1"/>
  <c r="H865" i="2" s="1"/>
  <c r="K865" i="2" a="1"/>
  <c r="K865" i="2" s="1"/>
  <c r="B866" i="2" a="1"/>
  <c r="B866" i="2" s="1"/>
  <c r="A866" i="2" a="1"/>
  <c r="A866" i="2" s="1"/>
  <c r="C868" i="2"/>
  <c r="F867" i="2"/>
  <c r="D865" i="2" a="1"/>
  <c r="C868" i="3" l="1"/>
  <c r="G867" i="3" a="1"/>
  <c r="G867" i="3" s="1"/>
  <c r="L867" i="3"/>
  <c r="M867" i="3"/>
  <c r="J867" i="3" a="1"/>
  <c r="J867" i="3" s="1"/>
  <c r="F868" i="3"/>
  <c r="G866" i="3" a="1"/>
  <c r="G866" i="3" s="1"/>
  <c r="A866" i="3" a="1"/>
  <c r="A866" i="3" s="1"/>
  <c r="B866" i="3" a="1"/>
  <c r="B866" i="3" s="1"/>
  <c r="D865" i="2"/>
  <c r="C869" i="2"/>
  <c r="F868" i="2"/>
  <c r="A867" i="2" a="1"/>
  <c r="A867" i="2" s="1"/>
  <c r="B867" i="2" a="1"/>
  <c r="B867" i="2" s="1"/>
  <c r="I866" i="2" a="1"/>
  <c r="I866" i="2" s="1"/>
  <c r="J866" i="2" a="1"/>
  <c r="J866" i="2" s="1"/>
  <c r="H866" i="2" a="1"/>
  <c r="H866" i="2" s="1"/>
  <c r="K866" i="2" a="1"/>
  <c r="K866" i="2" s="1"/>
  <c r="D866" i="2" a="1"/>
  <c r="H866" i="3" l="1" a="1"/>
  <c r="H866" i="3" s="1"/>
  <c r="I866" i="3" a="1"/>
  <c r="I866" i="3" s="1"/>
  <c r="K866" i="3" a="1"/>
  <c r="K866" i="3" s="1"/>
  <c r="J866" i="3" a="1"/>
  <c r="J866" i="3" s="1"/>
  <c r="H867" i="3" a="1"/>
  <c r="H867" i="3" s="1"/>
  <c r="I867" i="3" a="1"/>
  <c r="I867" i="3" s="1"/>
  <c r="K867" i="3" a="1"/>
  <c r="K867" i="3" s="1"/>
  <c r="C869" i="3"/>
  <c r="G868" i="3" a="1"/>
  <c r="G868" i="3" s="1"/>
  <c r="L868" i="3"/>
  <c r="M868" i="3"/>
  <c r="A867" i="3" a="1"/>
  <c r="A867" i="3" s="1"/>
  <c r="B867" i="3" a="1"/>
  <c r="B867" i="3" s="1"/>
  <c r="D866" i="2"/>
  <c r="H867" i="2" a="1"/>
  <c r="H867" i="2" s="1"/>
  <c r="J867" i="2" a="1"/>
  <c r="J867" i="2" s="1"/>
  <c r="I867" i="2" a="1"/>
  <c r="I867" i="2" s="1"/>
  <c r="K867" i="2" a="1"/>
  <c r="K867" i="2" s="1"/>
  <c r="A868" i="2" a="1"/>
  <c r="A868" i="2" s="1"/>
  <c r="B868" i="2" a="1"/>
  <c r="B868" i="2" s="1"/>
  <c r="C870" i="2"/>
  <c r="F869" i="2"/>
  <c r="D867" i="2" a="1"/>
  <c r="C870" i="3" l="1"/>
  <c r="L869" i="3"/>
  <c r="M869" i="3"/>
  <c r="H868" i="3" a="1"/>
  <c r="H868" i="3" s="1"/>
  <c r="I868" i="3" a="1"/>
  <c r="I868" i="3" s="1"/>
  <c r="K868" i="3" a="1"/>
  <c r="K868" i="3" s="1"/>
  <c r="F869" i="3"/>
  <c r="F870" i="3" s="1"/>
  <c r="J868" i="3" a="1"/>
  <c r="J868" i="3" s="1"/>
  <c r="B868" i="3" a="1"/>
  <c r="B868" i="3" s="1"/>
  <c r="A868" i="3" a="1"/>
  <c r="A868" i="3" s="1"/>
  <c r="D867" i="2"/>
  <c r="C871" i="2"/>
  <c r="F870" i="2"/>
  <c r="J868" i="2" a="1"/>
  <c r="J868" i="2" s="1"/>
  <c r="H868" i="2" a="1"/>
  <c r="H868" i="2" s="1"/>
  <c r="K868" i="2" a="1"/>
  <c r="K868" i="2" s="1"/>
  <c r="I868" i="2" a="1"/>
  <c r="I868" i="2" s="1"/>
  <c r="A869" i="2" a="1"/>
  <c r="A869" i="2" s="1"/>
  <c r="B869" i="2" a="1"/>
  <c r="B869" i="2" s="1"/>
  <c r="D868" i="2" a="1"/>
  <c r="G869" i="3" l="1" a="1"/>
  <c r="G869" i="3" s="1"/>
  <c r="C871" i="3"/>
  <c r="G870" i="3" a="1"/>
  <c r="G870" i="3" s="1"/>
  <c r="L870" i="3"/>
  <c r="M870" i="3"/>
  <c r="A869" i="3" a="1"/>
  <c r="A869" i="3" s="1"/>
  <c r="B869" i="3" a="1"/>
  <c r="B869" i="3" s="1"/>
  <c r="D868" i="2"/>
  <c r="H869" i="2" a="1"/>
  <c r="H869" i="2" s="1"/>
  <c r="I869" i="2" a="1"/>
  <c r="I869" i="2" s="1"/>
  <c r="J869" i="2" a="1"/>
  <c r="J869" i="2" s="1"/>
  <c r="K869" i="2" a="1"/>
  <c r="K869" i="2" s="1"/>
  <c r="B870" i="2" a="1"/>
  <c r="B870" i="2" s="1"/>
  <c r="A870" i="2" a="1"/>
  <c r="A870" i="2" s="1"/>
  <c r="C872" i="2"/>
  <c r="F871" i="2"/>
  <c r="D869" i="2" a="1"/>
  <c r="K870" i="3" l="1" a="1"/>
  <c r="K870" i="3" s="1"/>
  <c r="H870" i="3" a="1"/>
  <c r="H870" i="3" s="1"/>
  <c r="I870" i="3" a="1"/>
  <c r="I870" i="3" s="1"/>
  <c r="C872" i="3"/>
  <c r="G871" i="3" a="1"/>
  <c r="G871" i="3" s="1"/>
  <c r="L871" i="3"/>
  <c r="M871" i="3"/>
  <c r="J871" i="3" a="1"/>
  <c r="J871" i="3" s="1"/>
  <c r="J870" i="3" a="1"/>
  <c r="J870" i="3" s="1"/>
  <c r="I869" i="3" a="1"/>
  <c r="I869" i="3" s="1"/>
  <c r="K869" i="3" a="1"/>
  <c r="K869" i="3" s="1"/>
  <c r="H869" i="3" a="1"/>
  <c r="H869" i="3" s="1"/>
  <c r="J869" i="3" a="1"/>
  <c r="J869" i="3" s="1"/>
  <c r="F871" i="3"/>
  <c r="A870" i="3" a="1"/>
  <c r="A870" i="3" s="1"/>
  <c r="B870" i="3" a="1"/>
  <c r="B870" i="3" s="1"/>
  <c r="D869" i="2"/>
  <c r="C873" i="2"/>
  <c r="F872" i="2"/>
  <c r="I870" i="2" a="1"/>
  <c r="I870" i="2" s="1"/>
  <c r="J870" i="2" a="1"/>
  <c r="J870" i="2" s="1"/>
  <c r="K870" i="2" a="1"/>
  <c r="K870" i="2" s="1"/>
  <c r="H870" i="2" a="1"/>
  <c r="H870" i="2" s="1"/>
  <c r="A871" i="2" a="1"/>
  <c r="A871" i="2" s="1"/>
  <c r="B871" i="2" a="1"/>
  <c r="B871" i="2" s="1"/>
  <c r="D870" i="2" a="1"/>
  <c r="C873" i="3" l="1"/>
  <c r="L872" i="3"/>
  <c r="M872" i="3"/>
  <c r="H871" i="3" a="1"/>
  <c r="H871" i="3" s="1"/>
  <c r="K871" i="3" a="1"/>
  <c r="K871" i="3" s="1"/>
  <c r="I871" i="3" a="1"/>
  <c r="I871" i="3" s="1"/>
  <c r="F872" i="3"/>
  <c r="F873" i="3" s="1"/>
  <c r="A871" i="3" a="1"/>
  <c r="A871" i="3" s="1"/>
  <c r="B871" i="3" a="1"/>
  <c r="B871" i="3" s="1"/>
  <c r="D870" i="2"/>
  <c r="I871" i="2" a="1"/>
  <c r="I871" i="2" s="1"/>
  <c r="K871" i="2" a="1"/>
  <c r="K871" i="2" s="1"/>
  <c r="J871" i="2" a="1"/>
  <c r="J871" i="2" s="1"/>
  <c r="H871" i="2" a="1"/>
  <c r="H871" i="2" s="1"/>
  <c r="B872" i="2" a="1"/>
  <c r="B872" i="2" s="1"/>
  <c r="A872" i="2" a="1"/>
  <c r="A872" i="2" s="1"/>
  <c r="C874" i="2"/>
  <c r="F873" i="2"/>
  <c r="D871" i="2" a="1"/>
  <c r="G872" i="3" l="1" a="1"/>
  <c r="G872" i="3" s="1"/>
  <c r="C874" i="3"/>
  <c r="G873" i="3" a="1"/>
  <c r="G873" i="3" s="1"/>
  <c r="M873" i="3"/>
  <c r="L873" i="3"/>
  <c r="J873" i="3" a="1"/>
  <c r="J873" i="3" s="1"/>
  <c r="B872" i="3" a="1"/>
  <c r="B872" i="3" s="1"/>
  <c r="A872" i="3" a="1"/>
  <c r="A872" i="3" s="1"/>
  <c r="D871" i="2"/>
  <c r="J872" i="2" a="1"/>
  <c r="J872" i="2" s="1"/>
  <c r="I872" i="2" a="1"/>
  <c r="I872" i="2" s="1"/>
  <c r="K872" i="2" a="1"/>
  <c r="K872" i="2" s="1"/>
  <c r="H872" i="2" a="1"/>
  <c r="H872" i="2" s="1"/>
  <c r="C875" i="2"/>
  <c r="F874" i="2"/>
  <c r="A873" i="2" a="1"/>
  <c r="A873" i="2" s="1"/>
  <c r="B873" i="2" a="1"/>
  <c r="B873" i="2" s="1"/>
  <c r="D872" i="2" a="1"/>
  <c r="K872" i="3" l="1" a="1"/>
  <c r="K872" i="3" s="1"/>
  <c r="I872" i="3" a="1"/>
  <c r="I872" i="3" s="1"/>
  <c r="J872" i="3" a="1"/>
  <c r="J872" i="3" s="1"/>
  <c r="H873" i="3" a="1"/>
  <c r="H873" i="3" s="1"/>
  <c r="I873" i="3" a="1"/>
  <c r="I873" i="3" s="1"/>
  <c r="K873" i="3" a="1"/>
  <c r="K873" i="3" s="1"/>
  <c r="C875" i="3"/>
  <c r="G874" i="3" a="1"/>
  <c r="G874" i="3" s="1"/>
  <c r="L874" i="3"/>
  <c r="M874" i="3"/>
  <c r="H872" i="3" a="1"/>
  <c r="H872" i="3" s="1"/>
  <c r="F874" i="3"/>
  <c r="B873" i="3" a="1"/>
  <c r="B873" i="3" s="1"/>
  <c r="A873" i="3" a="1"/>
  <c r="A873" i="3" s="1"/>
  <c r="D872" i="2"/>
  <c r="A874" i="2" a="1"/>
  <c r="A874" i="2" s="1"/>
  <c r="B874" i="2" a="1"/>
  <c r="B874" i="2" s="1"/>
  <c r="H873" i="2" a="1"/>
  <c r="H873" i="2" s="1"/>
  <c r="J873" i="2" a="1"/>
  <c r="J873" i="2" s="1"/>
  <c r="K873" i="2" a="1"/>
  <c r="K873" i="2" s="1"/>
  <c r="I873" i="2" a="1"/>
  <c r="I873" i="2" s="1"/>
  <c r="C876" i="2"/>
  <c r="F875" i="2"/>
  <c r="D873" i="2" a="1"/>
  <c r="H874" i="3" l="1" a="1"/>
  <c r="H874" i="3" s="1"/>
  <c r="I874" i="3" a="1"/>
  <c r="I874" i="3" s="1"/>
  <c r="K874" i="3" a="1"/>
  <c r="K874" i="3" s="1"/>
  <c r="J874" i="3" a="1"/>
  <c r="J874" i="3" s="1"/>
  <c r="C876" i="3"/>
  <c r="L875" i="3"/>
  <c r="M875" i="3"/>
  <c r="F875" i="3"/>
  <c r="F876" i="3" s="1"/>
  <c r="A874" i="3" a="1"/>
  <c r="A874" i="3" s="1"/>
  <c r="B874" i="3" a="1"/>
  <c r="B874" i="3" s="1"/>
  <c r="D873" i="2"/>
  <c r="A875" i="2" a="1"/>
  <c r="A875" i="2" s="1"/>
  <c r="B875" i="2" a="1"/>
  <c r="B875" i="2" s="1"/>
  <c r="J874" i="2" a="1"/>
  <c r="J874" i="2" s="1"/>
  <c r="K874" i="2" a="1"/>
  <c r="K874" i="2" s="1"/>
  <c r="H874" i="2" a="1"/>
  <c r="H874" i="2" s="1"/>
  <c r="I874" i="2" a="1"/>
  <c r="I874" i="2" s="1"/>
  <c r="C877" i="2"/>
  <c r="F876" i="2"/>
  <c r="D874" i="2" a="1"/>
  <c r="C877" i="3" l="1"/>
  <c r="G876" i="3" a="1"/>
  <c r="G876" i="3" s="1"/>
  <c r="J876" i="3" s="1" a="1"/>
  <c r="J876" i="3" s="1"/>
  <c r="L876" i="3"/>
  <c r="M876" i="3"/>
  <c r="G875" i="3" a="1"/>
  <c r="G875" i="3" s="1"/>
  <c r="A875" i="3" a="1"/>
  <c r="A875" i="3" s="1"/>
  <c r="B875" i="3" a="1"/>
  <c r="B875" i="3" s="1"/>
  <c r="D874" i="2"/>
  <c r="C878" i="2"/>
  <c r="F877" i="2"/>
  <c r="B876" i="2" a="1"/>
  <c r="B876" i="2" s="1"/>
  <c r="A876" i="2" a="1"/>
  <c r="A876" i="2" s="1"/>
  <c r="I875" i="2" a="1"/>
  <c r="I875" i="2" s="1"/>
  <c r="J875" i="2" a="1"/>
  <c r="J875" i="2" s="1"/>
  <c r="H875" i="2" a="1"/>
  <c r="H875" i="2" s="1"/>
  <c r="K875" i="2" a="1"/>
  <c r="K875" i="2" s="1"/>
  <c r="D875" i="2" a="1"/>
  <c r="I875" i="3" l="1" a="1"/>
  <c r="I875" i="3" s="1"/>
  <c r="K875" i="3" a="1"/>
  <c r="K875" i="3" s="1"/>
  <c r="H875" i="3" a="1"/>
  <c r="H875" i="3" s="1"/>
  <c r="J875" i="3" a="1"/>
  <c r="J875" i="3" s="1"/>
  <c r="I876" i="3" a="1"/>
  <c r="I876" i="3" s="1"/>
  <c r="K876" i="3" a="1"/>
  <c r="K876" i="3" s="1"/>
  <c r="H876" i="3" a="1"/>
  <c r="H876" i="3" s="1"/>
  <c r="C878" i="3"/>
  <c r="G877" i="3" a="1"/>
  <c r="G877" i="3" s="1"/>
  <c r="L877" i="3"/>
  <c r="M877" i="3"/>
  <c r="F877" i="3"/>
  <c r="A876" i="3" a="1"/>
  <c r="A876" i="3" s="1"/>
  <c r="B876" i="3" a="1"/>
  <c r="B876" i="3" s="1"/>
  <c r="D875" i="2"/>
  <c r="J876" i="2" a="1"/>
  <c r="J876" i="2" s="1"/>
  <c r="K876" i="2" a="1"/>
  <c r="K876" i="2" s="1"/>
  <c r="I876" i="2" a="1"/>
  <c r="I876" i="2" s="1"/>
  <c r="H876" i="2" a="1"/>
  <c r="H876" i="2" s="1"/>
  <c r="B877" i="2" a="1"/>
  <c r="B877" i="2" s="1"/>
  <c r="A877" i="2" a="1"/>
  <c r="A877" i="2" s="1"/>
  <c r="C879" i="2"/>
  <c r="F878" i="2"/>
  <c r="D876" i="2" a="1"/>
  <c r="H877" i="3" l="1" a="1"/>
  <c r="H877" i="3" s="1"/>
  <c r="I877" i="3" a="1"/>
  <c r="I877" i="3" s="1"/>
  <c r="K877" i="3" a="1"/>
  <c r="K877" i="3" s="1"/>
  <c r="J877" i="3" a="1"/>
  <c r="J877" i="3" s="1"/>
  <c r="C879" i="3"/>
  <c r="L878" i="3"/>
  <c r="M878" i="3"/>
  <c r="F878" i="3"/>
  <c r="F879" i="3" s="1"/>
  <c r="A877" i="3" a="1"/>
  <c r="A877" i="3" s="1"/>
  <c r="B877" i="3" a="1"/>
  <c r="B877" i="3" s="1"/>
  <c r="D876" i="2"/>
  <c r="B878" i="2" a="1"/>
  <c r="B878" i="2" s="1"/>
  <c r="A878" i="2" a="1"/>
  <c r="A878" i="2" s="1"/>
  <c r="C880" i="2"/>
  <c r="F879" i="2"/>
  <c r="I877" i="2" a="1"/>
  <c r="I877" i="2" s="1"/>
  <c r="K877" i="2" a="1"/>
  <c r="K877" i="2" s="1"/>
  <c r="J877" i="2" a="1"/>
  <c r="J877" i="2" s="1"/>
  <c r="H877" i="2" a="1"/>
  <c r="H877" i="2" s="1"/>
  <c r="D877" i="2" a="1"/>
  <c r="G878" i="3" l="1" a="1"/>
  <c r="G878" i="3" s="1"/>
  <c r="C880" i="3"/>
  <c r="F880" i="3" s="1"/>
  <c r="G879" i="3" a="1"/>
  <c r="G879" i="3" s="1"/>
  <c r="J879" i="3" a="1"/>
  <c r="J879" i="3" s="1"/>
  <c r="L879" i="3"/>
  <c r="M879" i="3"/>
  <c r="A878" i="3" a="1"/>
  <c r="A878" i="3" s="1"/>
  <c r="B878" i="3" a="1"/>
  <c r="B878" i="3" s="1"/>
  <c r="D877" i="2"/>
  <c r="C881" i="2"/>
  <c r="F880" i="2"/>
  <c r="J878" i="2" a="1"/>
  <c r="J878" i="2" s="1"/>
  <c r="I878" i="2" a="1"/>
  <c r="I878" i="2" s="1"/>
  <c r="K878" i="2" a="1"/>
  <c r="K878" i="2" s="1"/>
  <c r="H878" i="2" a="1"/>
  <c r="H878" i="2" s="1"/>
  <c r="A879" i="2" a="1"/>
  <c r="A879" i="2" s="1"/>
  <c r="B879" i="2" a="1"/>
  <c r="B879" i="2" s="1"/>
  <c r="D878" i="2" a="1"/>
  <c r="H879" i="3" l="1" a="1"/>
  <c r="H879" i="3" s="1"/>
  <c r="I879" i="3" a="1"/>
  <c r="I879" i="3" s="1"/>
  <c r="K879" i="3" a="1"/>
  <c r="K879" i="3" s="1"/>
  <c r="C881" i="3"/>
  <c r="G880" i="3" a="1"/>
  <c r="G880" i="3" s="1"/>
  <c r="L880" i="3"/>
  <c r="M880" i="3"/>
  <c r="H878" i="3" a="1"/>
  <c r="H878" i="3" s="1"/>
  <c r="I878" i="3" a="1"/>
  <c r="I878" i="3" s="1"/>
  <c r="K878" i="3" a="1"/>
  <c r="K878" i="3" s="1"/>
  <c r="J878" i="3" a="1"/>
  <c r="J878" i="3" s="1"/>
  <c r="A879" i="3" a="1"/>
  <c r="A879" i="3" s="1"/>
  <c r="B879" i="3" a="1"/>
  <c r="B879" i="3" s="1"/>
  <c r="D878" i="2"/>
  <c r="A880" i="2" a="1"/>
  <c r="A880" i="2" s="1"/>
  <c r="B880" i="2" a="1"/>
  <c r="B880" i="2" s="1"/>
  <c r="I879" i="2" a="1"/>
  <c r="I879" i="2" s="1"/>
  <c r="K879" i="2" a="1"/>
  <c r="K879" i="2" s="1"/>
  <c r="J879" i="2" a="1"/>
  <c r="J879" i="2" s="1"/>
  <c r="H879" i="2" a="1"/>
  <c r="H879" i="2" s="1"/>
  <c r="C882" i="2"/>
  <c r="F881" i="2"/>
  <c r="D879" i="2" a="1"/>
  <c r="H880" i="3" l="1" a="1"/>
  <c r="H880" i="3" s="1"/>
  <c r="I880" i="3" a="1"/>
  <c r="I880" i="3" s="1"/>
  <c r="K880" i="3" a="1"/>
  <c r="K880" i="3" s="1"/>
  <c r="J880" i="3" a="1"/>
  <c r="J880" i="3" s="1"/>
  <c r="C882" i="3"/>
  <c r="L881" i="3"/>
  <c r="M881" i="3"/>
  <c r="F881" i="3"/>
  <c r="F882" i="3" s="1"/>
  <c r="B880" i="3" a="1"/>
  <c r="B880" i="3" s="1"/>
  <c r="A880" i="3" a="1"/>
  <c r="A880" i="3" s="1"/>
  <c r="D879" i="2"/>
  <c r="A881" i="2" a="1"/>
  <c r="A881" i="2" s="1"/>
  <c r="B881" i="2" a="1"/>
  <c r="B881" i="2" s="1"/>
  <c r="C883" i="2"/>
  <c r="F882" i="2"/>
  <c r="J880" i="2" a="1"/>
  <c r="J880" i="2" s="1"/>
  <c r="K880" i="2" a="1"/>
  <c r="K880" i="2" s="1"/>
  <c r="H880" i="2" a="1"/>
  <c r="H880" i="2" s="1"/>
  <c r="I880" i="2" a="1"/>
  <c r="I880" i="2" s="1"/>
  <c r="D880" i="2" a="1"/>
  <c r="G881" i="3" l="1" a="1"/>
  <c r="G881" i="3" s="1"/>
  <c r="C883" i="3"/>
  <c r="F883" i="3" s="1"/>
  <c r="G882" i="3" a="1"/>
  <c r="G882" i="3" s="1"/>
  <c r="L882" i="3"/>
  <c r="M882" i="3"/>
  <c r="A881" i="3" a="1"/>
  <c r="A881" i="3" s="1"/>
  <c r="B881" i="3" a="1"/>
  <c r="B881" i="3" s="1"/>
  <c r="D880" i="2"/>
  <c r="B882" i="2" a="1"/>
  <c r="B882" i="2" s="1"/>
  <c r="A882" i="2" a="1"/>
  <c r="A882" i="2" s="1"/>
  <c r="C884" i="2"/>
  <c r="F883" i="2"/>
  <c r="J881" i="2" a="1"/>
  <c r="J881" i="2" s="1"/>
  <c r="H881" i="2" a="1"/>
  <c r="H881" i="2" s="1"/>
  <c r="K881" i="2" a="1"/>
  <c r="K881" i="2" s="1"/>
  <c r="I881" i="2" a="1"/>
  <c r="I881" i="2" s="1"/>
  <c r="D881" i="2" a="1"/>
  <c r="H882" i="3" l="1" a="1"/>
  <c r="H882" i="3" s="1"/>
  <c r="I882" i="3" a="1"/>
  <c r="I882" i="3" s="1"/>
  <c r="K882" i="3" a="1"/>
  <c r="K882" i="3" s="1"/>
  <c r="J882" i="3" a="1"/>
  <c r="J882" i="3" s="1"/>
  <c r="C884" i="3"/>
  <c r="G883" i="3" a="1"/>
  <c r="G883" i="3" s="1"/>
  <c r="L883" i="3"/>
  <c r="M883" i="3"/>
  <c r="J883" i="3" a="1"/>
  <c r="J883" i="3" s="1"/>
  <c r="H881" i="3" a="1"/>
  <c r="H881" i="3" s="1"/>
  <c r="I881" i="3" a="1"/>
  <c r="I881" i="3" s="1"/>
  <c r="K881" i="3" a="1"/>
  <c r="K881" i="3" s="1"/>
  <c r="J881" i="3" a="1"/>
  <c r="J881" i="3" s="1"/>
  <c r="A882" i="3" a="1"/>
  <c r="A882" i="3" s="1"/>
  <c r="B882" i="3" a="1"/>
  <c r="B882" i="3" s="1"/>
  <c r="D881" i="2"/>
  <c r="C885" i="2"/>
  <c r="F884" i="2"/>
  <c r="H882" i="2" a="1"/>
  <c r="H882" i="2" s="1"/>
  <c r="J882" i="2" a="1"/>
  <c r="J882" i="2" s="1"/>
  <c r="I882" i="2" a="1"/>
  <c r="I882" i="2" s="1"/>
  <c r="K882" i="2" a="1"/>
  <c r="K882" i="2" s="1"/>
  <c r="A883" i="2" a="1"/>
  <c r="A883" i="2" s="1"/>
  <c r="B883" i="2" a="1"/>
  <c r="B883" i="2" s="1"/>
  <c r="D882" i="2" a="1"/>
  <c r="C885" i="3" l="1"/>
  <c r="L884" i="3"/>
  <c r="M884" i="3"/>
  <c r="H883" i="3" a="1"/>
  <c r="H883" i="3" s="1"/>
  <c r="I883" i="3" a="1"/>
  <c r="I883" i="3" s="1"/>
  <c r="K883" i="3" a="1"/>
  <c r="K883" i="3" s="1"/>
  <c r="F884" i="3"/>
  <c r="F885" i="3" s="1"/>
  <c r="A883" i="3" a="1"/>
  <c r="A883" i="3" s="1"/>
  <c r="B883" i="3" a="1"/>
  <c r="B883" i="3" s="1"/>
  <c r="D882" i="2"/>
  <c r="I883" i="2" a="1"/>
  <c r="I883" i="2" s="1"/>
  <c r="K883" i="2" a="1"/>
  <c r="K883" i="2" s="1"/>
  <c r="J883" i="2" a="1"/>
  <c r="J883" i="2" s="1"/>
  <c r="H883" i="2" a="1"/>
  <c r="H883" i="2" s="1"/>
  <c r="B884" i="2" a="1"/>
  <c r="B884" i="2" s="1"/>
  <c r="A884" i="2" a="1"/>
  <c r="A884" i="2" s="1"/>
  <c r="C886" i="2"/>
  <c r="F885" i="2"/>
  <c r="D883" i="2" a="1"/>
  <c r="G884" i="3" l="1" a="1"/>
  <c r="G884" i="3" s="1"/>
  <c r="C886" i="3"/>
  <c r="G885" i="3" a="1"/>
  <c r="G885" i="3" s="1"/>
  <c r="L885" i="3"/>
  <c r="M885" i="3"/>
  <c r="B884" i="3" a="1"/>
  <c r="B884" i="3" s="1"/>
  <c r="A884" i="3" a="1"/>
  <c r="A884" i="3" s="1"/>
  <c r="D883" i="2"/>
  <c r="A885" i="2" a="1"/>
  <c r="A885" i="2" s="1"/>
  <c r="B885" i="2" a="1"/>
  <c r="B885" i="2" s="1"/>
  <c r="C887" i="2"/>
  <c r="F886" i="2"/>
  <c r="H884" i="2" a="1"/>
  <c r="H884" i="2" s="1"/>
  <c r="J884" i="2" a="1"/>
  <c r="J884" i="2" s="1"/>
  <c r="K884" i="2" a="1"/>
  <c r="K884" i="2" s="1"/>
  <c r="I884" i="2" a="1"/>
  <c r="I884" i="2" s="1"/>
  <c r="D884" i="2" a="1"/>
  <c r="H885" i="3" l="1" a="1"/>
  <c r="H885" i="3" s="1"/>
  <c r="I885" i="3" a="1"/>
  <c r="I885" i="3" s="1"/>
  <c r="K885" i="3" a="1"/>
  <c r="K885" i="3" s="1"/>
  <c r="C887" i="3"/>
  <c r="G886" i="3" a="1"/>
  <c r="G886" i="3" s="1"/>
  <c r="L886" i="3"/>
  <c r="M886" i="3"/>
  <c r="J886" i="3" a="1"/>
  <c r="J886" i="3" s="1"/>
  <c r="J885" i="3" a="1"/>
  <c r="J885" i="3" s="1"/>
  <c r="H884" i="3" a="1"/>
  <c r="H884" i="3" s="1"/>
  <c r="I884" i="3" a="1"/>
  <c r="I884" i="3" s="1"/>
  <c r="K884" i="3" a="1"/>
  <c r="K884" i="3" s="1"/>
  <c r="J884" i="3" a="1"/>
  <c r="J884" i="3" s="1"/>
  <c r="F886" i="3"/>
  <c r="B885" i="3" a="1"/>
  <c r="B885" i="3" s="1"/>
  <c r="A885" i="3" a="1"/>
  <c r="A885" i="3" s="1"/>
  <c r="D884" i="2"/>
  <c r="K885" i="2" a="1"/>
  <c r="K885" i="2" s="1"/>
  <c r="J885" i="2" a="1"/>
  <c r="J885" i="2" s="1"/>
  <c r="I885" i="2" a="1"/>
  <c r="I885" i="2" s="1"/>
  <c r="H885" i="2" a="1"/>
  <c r="H885" i="2" s="1"/>
  <c r="A886" i="2" a="1"/>
  <c r="A886" i="2" s="1"/>
  <c r="B886" i="2" a="1"/>
  <c r="B886" i="2" s="1"/>
  <c r="C888" i="2"/>
  <c r="F887" i="2"/>
  <c r="D885" i="2" a="1"/>
  <c r="C888" i="3" l="1"/>
  <c r="L887" i="3"/>
  <c r="M887" i="3"/>
  <c r="F887" i="3"/>
  <c r="F888" i="3" s="1"/>
  <c r="H886" i="3" a="1"/>
  <c r="H886" i="3" s="1"/>
  <c r="I886" i="3" a="1"/>
  <c r="I886" i="3" s="1"/>
  <c r="K886" i="3" a="1"/>
  <c r="K886" i="3" s="1"/>
  <c r="A886" i="3" a="1"/>
  <c r="A886" i="3" s="1"/>
  <c r="B886" i="3" a="1"/>
  <c r="B886" i="3" s="1"/>
  <c r="D885" i="2"/>
  <c r="H886" i="2" a="1"/>
  <c r="H886" i="2" s="1"/>
  <c r="I886" i="2" a="1"/>
  <c r="I886" i="2" s="1"/>
  <c r="K886" i="2" a="1"/>
  <c r="K886" i="2" s="1"/>
  <c r="J886" i="2" a="1"/>
  <c r="J886" i="2" s="1"/>
  <c r="A887" i="2" a="1"/>
  <c r="A887" i="2" s="1"/>
  <c r="B887" i="2" a="1"/>
  <c r="B887" i="2" s="1"/>
  <c r="C889" i="2"/>
  <c r="F888" i="2"/>
  <c r="D886" i="2" a="1"/>
  <c r="G887" i="3" l="1" a="1"/>
  <c r="G887" i="3" s="1"/>
  <c r="C889" i="3"/>
  <c r="G888" i="3" a="1"/>
  <c r="G888" i="3" s="1"/>
  <c r="L888" i="3"/>
  <c r="M888" i="3"/>
  <c r="J888" i="3" a="1"/>
  <c r="J888" i="3" s="1"/>
  <c r="A887" i="3" a="1"/>
  <c r="A887" i="3" s="1"/>
  <c r="B887" i="3" a="1"/>
  <c r="B887" i="3" s="1"/>
  <c r="D886" i="2"/>
  <c r="B888" i="2" a="1"/>
  <c r="B888" i="2" s="1"/>
  <c r="A888" i="2" a="1"/>
  <c r="A888" i="2" s="1"/>
  <c r="I887" i="2" a="1"/>
  <c r="I887" i="2" s="1"/>
  <c r="K887" i="2" a="1"/>
  <c r="K887" i="2" s="1"/>
  <c r="H887" i="2" a="1"/>
  <c r="H887" i="2" s="1"/>
  <c r="J887" i="2" a="1"/>
  <c r="J887" i="2" s="1"/>
  <c r="C890" i="2"/>
  <c r="F889" i="2"/>
  <c r="D887" i="2" a="1"/>
  <c r="H887" i="3" l="1" a="1"/>
  <c r="H887" i="3" s="1"/>
  <c r="K887" i="3" a="1"/>
  <c r="K887" i="3" s="1"/>
  <c r="I887" i="3" a="1"/>
  <c r="I887" i="3" s="1"/>
  <c r="J887" i="3" a="1"/>
  <c r="J887" i="3" s="1"/>
  <c r="H888" i="3" a="1"/>
  <c r="H888" i="3" s="1"/>
  <c r="I888" i="3" a="1"/>
  <c r="I888" i="3" s="1"/>
  <c r="K888" i="3" a="1"/>
  <c r="K888" i="3" s="1"/>
  <c r="C890" i="3"/>
  <c r="G889" i="3" a="1"/>
  <c r="G889" i="3" s="1"/>
  <c r="J889" i="3" a="1"/>
  <c r="J889" i="3" s="1"/>
  <c r="L889" i="3"/>
  <c r="M889" i="3"/>
  <c r="F889" i="3"/>
  <c r="A888" i="3" a="1"/>
  <c r="A888" i="3" s="1"/>
  <c r="B888" i="3" a="1"/>
  <c r="B888" i="3" s="1"/>
  <c r="D887" i="2"/>
  <c r="H888" i="2" a="1"/>
  <c r="H888" i="2" s="1"/>
  <c r="J888" i="2" a="1"/>
  <c r="J888" i="2" s="1"/>
  <c r="K888" i="2" a="1"/>
  <c r="K888" i="2" s="1"/>
  <c r="I888" i="2" a="1"/>
  <c r="I888" i="2" s="1"/>
  <c r="B889" i="2" a="1"/>
  <c r="B889" i="2" s="1"/>
  <c r="A889" i="2" a="1"/>
  <c r="A889" i="2" s="1"/>
  <c r="C891" i="2"/>
  <c r="F890" i="2"/>
  <c r="D888" i="2" a="1"/>
  <c r="C891" i="3" l="1"/>
  <c r="L890" i="3"/>
  <c r="M890" i="3"/>
  <c r="H889" i="3" a="1"/>
  <c r="H889" i="3" s="1"/>
  <c r="I889" i="3" a="1"/>
  <c r="I889" i="3" s="1"/>
  <c r="K889" i="3" a="1"/>
  <c r="K889" i="3" s="1"/>
  <c r="F890" i="3"/>
  <c r="F891" i="3" s="1"/>
  <c r="B889" i="3" a="1"/>
  <c r="B889" i="3" s="1"/>
  <c r="A889" i="3" a="1"/>
  <c r="A889" i="3" s="1"/>
  <c r="D888" i="2"/>
  <c r="C892" i="2"/>
  <c r="F891" i="2"/>
  <c r="J889" i="2" a="1"/>
  <c r="J889" i="2" s="1"/>
  <c r="K889" i="2" a="1"/>
  <c r="K889" i="2" s="1"/>
  <c r="H889" i="2" a="1"/>
  <c r="H889" i="2" s="1"/>
  <c r="I889" i="2" a="1"/>
  <c r="I889" i="2" s="1"/>
  <c r="B890" i="2" a="1"/>
  <c r="B890" i="2" s="1"/>
  <c r="A890" i="2" a="1"/>
  <c r="A890" i="2" s="1"/>
  <c r="D889" i="2" a="1"/>
  <c r="G890" i="3" l="1" a="1"/>
  <c r="G890" i="3" s="1"/>
  <c r="C892" i="3"/>
  <c r="G891" i="3" a="1"/>
  <c r="G891" i="3" s="1"/>
  <c r="L891" i="3"/>
  <c r="M891" i="3"/>
  <c r="J891" i="3" a="1"/>
  <c r="J891" i="3" s="1"/>
  <c r="A890" i="3" a="1"/>
  <c r="A890" i="3" s="1"/>
  <c r="B890" i="3" a="1"/>
  <c r="B890" i="3" s="1"/>
  <c r="D889" i="2"/>
  <c r="H890" i="2" a="1"/>
  <c r="H890" i="2" s="1"/>
  <c r="J890" i="2" a="1"/>
  <c r="J890" i="2" s="1"/>
  <c r="I890" i="2" a="1"/>
  <c r="I890" i="2" s="1"/>
  <c r="K890" i="2" a="1"/>
  <c r="K890" i="2" s="1"/>
  <c r="A891" i="2" a="1"/>
  <c r="A891" i="2" s="1"/>
  <c r="B891" i="2" a="1"/>
  <c r="B891" i="2" s="1"/>
  <c r="C893" i="2"/>
  <c r="F892" i="2"/>
  <c r="D890" i="2" a="1"/>
  <c r="C893" i="3" l="1"/>
  <c r="G892" i="3" a="1"/>
  <c r="G892" i="3" s="1"/>
  <c r="L892" i="3"/>
  <c r="M892" i="3"/>
  <c r="J892" i="3" a="1"/>
  <c r="J892" i="3" s="1"/>
  <c r="H891" i="3" a="1"/>
  <c r="H891" i="3" s="1"/>
  <c r="K891" i="3" a="1"/>
  <c r="K891" i="3" s="1"/>
  <c r="I891" i="3" a="1"/>
  <c r="I891" i="3" s="1"/>
  <c r="I890" i="3" a="1"/>
  <c r="I890" i="3" s="1"/>
  <c r="K890" i="3" a="1"/>
  <c r="K890" i="3" s="1"/>
  <c r="H890" i="3" a="1"/>
  <c r="H890" i="3" s="1"/>
  <c r="J890" i="3" a="1"/>
  <c r="J890" i="3" s="1"/>
  <c r="F892" i="3"/>
  <c r="F893" i="3" s="1"/>
  <c r="A891" i="3" a="1"/>
  <c r="A891" i="3" s="1"/>
  <c r="B891" i="3" a="1"/>
  <c r="B891" i="3" s="1"/>
  <c r="D890" i="2"/>
  <c r="A892" i="2" a="1"/>
  <c r="A892" i="2" s="1"/>
  <c r="B892" i="2" a="1"/>
  <c r="B892" i="2" s="1"/>
  <c r="C894" i="2"/>
  <c r="F893" i="2"/>
  <c r="H891" i="2" a="1"/>
  <c r="H891" i="2" s="1"/>
  <c r="J891" i="2" a="1"/>
  <c r="J891" i="2" s="1"/>
  <c r="K891" i="2" a="1"/>
  <c r="K891" i="2" s="1"/>
  <c r="I891" i="2" a="1"/>
  <c r="I891" i="2" s="1"/>
  <c r="D891" i="2" a="1"/>
  <c r="H892" i="3" l="1" a="1"/>
  <c r="H892" i="3" s="1"/>
  <c r="I892" i="3" a="1"/>
  <c r="I892" i="3" s="1"/>
  <c r="K892" i="3" a="1"/>
  <c r="K892" i="3" s="1"/>
  <c r="C894" i="3"/>
  <c r="G893" i="3" a="1"/>
  <c r="G893" i="3" s="1"/>
  <c r="L893" i="3"/>
  <c r="M893" i="3"/>
  <c r="J893" i="3" a="1"/>
  <c r="J893" i="3" s="1"/>
  <c r="B892" i="3" a="1"/>
  <c r="B892" i="3" s="1"/>
  <c r="A892" i="3" a="1"/>
  <c r="A892" i="3" s="1"/>
  <c r="D891" i="2"/>
  <c r="B893" i="2" a="1"/>
  <c r="B893" i="2" s="1"/>
  <c r="A893" i="2" a="1"/>
  <c r="A893" i="2" s="1"/>
  <c r="J892" i="2" a="1"/>
  <c r="J892" i="2" s="1"/>
  <c r="K892" i="2" a="1"/>
  <c r="K892" i="2" s="1"/>
  <c r="H892" i="2" a="1"/>
  <c r="H892" i="2" s="1"/>
  <c r="I892" i="2" a="1"/>
  <c r="I892" i="2" s="1"/>
  <c r="C895" i="2"/>
  <c r="F894" i="2"/>
  <c r="D892" i="2" a="1"/>
  <c r="I893" i="3" l="1" a="1"/>
  <c r="I893" i="3" s="1"/>
  <c r="H893" i="3" a="1"/>
  <c r="H893" i="3" s="1"/>
  <c r="K893" i="3" a="1"/>
  <c r="K893" i="3" s="1"/>
  <c r="C895" i="3"/>
  <c r="L894" i="3"/>
  <c r="M894" i="3"/>
  <c r="F894" i="3"/>
  <c r="F895" i="3" s="1"/>
  <c r="A893" i="3" a="1"/>
  <c r="A893" i="3" s="1"/>
  <c r="B893" i="3" a="1"/>
  <c r="B893" i="3" s="1"/>
  <c r="D892" i="2"/>
  <c r="C896" i="2"/>
  <c r="F895" i="2"/>
  <c r="I893" i="2" a="1"/>
  <c r="I893" i="2" s="1"/>
  <c r="J893" i="2" a="1"/>
  <c r="J893" i="2" s="1"/>
  <c r="K893" i="2" a="1"/>
  <c r="K893" i="2" s="1"/>
  <c r="H893" i="2" a="1"/>
  <c r="H893" i="2" s="1"/>
  <c r="B894" i="2" a="1"/>
  <c r="B894" i="2" s="1"/>
  <c r="A894" i="2" a="1"/>
  <c r="A894" i="2" s="1"/>
  <c r="D893" i="2" a="1"/>
  <c r="G894" i="3" l="1" a="1"/>
  <c r="G894" i="3" s="1"/>
  <c r="C896" i="3"/>
  <c r="G895" i="3" a="1"/>
  <c r="G895" i="3" s="1"/>
  <c r="M895" i="3"/>
  <c r="L895" i="3"/>
  <c r="J895" i="3" a="1"/>
  <c r="J895" i="3" s="1"/>
  <c r="A894" i="3" a="1"/>
  <c r="A894" i="3" s="1"/>
  <c r="B894" i="3" a="1"/>
  <c r="B894" i="3" s="1"/>
  <c r="D893" i="2"/>
  <c r="H894" i="2" a="1"/>
  <c r="H894" i="2" s="1"/>
  <c r="J894" i="2" a="1"/>
  <c r="J894" i="2" s="1"/>
  <c r="K894" i="2" a="1"/>
  <c r="K894" i="2" s="1"/>
  <c r="I894" i="2" a="1"/>
  <c r="I894" i="2" s="1"/>
  <c r="A895" i="2" a="1"/>
  <c r="A895" i="2" s="1"/>
  <c r="B895" i="2" a="1"/>
  <c r="B895" i="2" s="1"/>
  <c r="C897" i="2"/>
  <c r="F896" i="2"/>
  <c r="D894" i="2" a="1"/>
  <c r="H895" i="3" l="1" a="1"/>
  <c r="H895" i="3" s="1"/>
  <c r="K895" i="3" a="1"/>
  <c r="K895" i="3" s="1"/>
  <c r="I895" i="3" a="1"/>
  <c r="I895" i="3" s="1"/>
  <c r="C897" i="3"/>
  <c r="G896" i="3" a="1"/>
  <c r="G896" i="3" s="1"/>
  <c r="L896" i="3"/>
  <c r="M896" i="3"/>
  <c r="J896" i="3" a="1"/>
  <c r="J896" i="3" s="1"/>
  <c r="H894" i="3" a="1"/>
  <c r="H894" i="3" s="1"/>
  <c r="I894" i="3" a="1"/>
  <c r="I894" i="3" s="1"/>
  <c r="K894" i="3" a="1"/>
  <c r="K894" i="3" s="1"/>
  <c r="J894" i="3" a="1"/>
  <c r="J894" i="3" s="1"/>
  <c r="F896" i="3"/>
  <c r="A895" i="3" a="1"/>
  <c r="A895" i="3" s="1"/>
  <c r="B895" i="3" a="1"/>
  <c r="B895" i="3" s="1"/>
  <c r="D894" i="2"/>
  <c r="C898" i="2"/>
  <c r="F897" i="2"/>
  <c r="A896" i="2" a="1"/>
  <c r="A896" i="2" s="1"/>
  <c r="B896" i="2" a="1"/>
  <c r="B896" i="2" s="1"/>
  <c r="J895" i="2" a="1"/>
  <c r="J895" i="2" s="1"/>
  <c r="K895" i="2" a="1"/>
  <c r="K895" i="2" s="1"/>
  <c r="H895" i="2" a="1"/>
  <c r="H895" i="2" s="1"/>
  <c r="I895" i="2" a="1"/>
  <c r="I895" i="2" s="1"/>
  <c r="D895" i="2" a="1"/>
  <c r="C898" i="3" l="1"/>
  <c r="L897" i="3"/>
  <c r="M897" i="3"/>
  <c r="H896" i="3" a="1"/>
  <c r="H896" i="3" s="1"/>
  <c r="I896" i="3" a="1"/>
  <c r="I896" i="3" s="1"/>
  <c r="K896" i="3" a="1"/>
  <c r="K896" i="3" s="1"/>
  <c r="F897" i="3"/>
  <c r="F898" i="3" s="1"/>
  <c r="B896" i="3" a="1"/>
  <c r="B896" i="3" s="1"/>
  <c r="A896" i="3" a="1"/>
  <c r="A896" i="3" s="1"/>
  <c r="D895" i="2"/>
  <c r="B897" i="2" a="1"/>
  <c r="B897" i="2" s="1"/>
  <c r="A897" i="2" a="1"/>
  <c r="A897" i="2" s="1"/>
  <c r="H896" i="2" a="1"/>
  <c r="H896" i="2" s="1"/>
  <c r="I896" i="2" a="1"/>
  <c r="I896" i="2" s="1"/>
  <c r="J896" i="2" a="1"/>
  <c r="J896" i="2" s="1"/>
  <c r="K896" i="2" a="1"/>
  <c r="K896" i="2" s="1"/>
  <c r="C899" i="2"/>
  <c r="F898" i="2"/>
  <c r="D896" i="2" a="1"/>
  <c r="G897" i="3" l="1" a="1"/>
  <c r="G897" i="3" s="1"/>
  <c r="C899" i="3"/>
  <c r="G898" i="3" a="1"/>
  <c r="G898" i="3" s="1"/>
  <c r="L898" i="3"/>
  <c r="M898" i="3"/>
  <c r="B897" i="3" a="1"/>
  <c r="B897" i="3" s="1"/>
  <c r="A897" i="3" a="1"/>
  <c r="A897" i="3" s="1"/>
  <c r="D896" i="2"/>
  <c r="A898" i="2" a="1"/>
  <c r="A898" i="2" s="1"/>
  <c r="B898" i="2" a="1"/>
  <c r="B898" i="2" s="1"/>
  <c r="K897" i="2" a="1"/>
  <c r="K897" i="2" s="1"/>
  <c r="J897" i="2" a="1"/>
  <c r="J897" i="2" s="1"/>
  <c r="H897" i="2" a="1"/>
  <c r="H897" i="2" s="1"/>
  <c r="I897" i="2" a="1"/>
  <c r="I897" i="2" s="1"/>
  <c r="C900" i="2"/>
  <c r="F899" i="2"/>
  <c r="D897" i="2" a="1"/>
  <c r="H898" i="3" l="1" a="1"/>
  <c r="H898" i="3" s="1"/>
  <c r="I898" i="3" a="1"/>
  <c r="I898" i="3" s="1"/>
  <c r="K898" i="3" a="1"/>
  <c r="K898" i="3" s="1"/>
  <c r="C900" i="3"/>
  <c r="G899" i="3" a="1"/>
  <c r="G899" i="3" s="1"/>
  <c r="L899" i="3"/>
  <c r="M899" i="3"/>
  <c r="J899" i="3" a="1"/>
  <c r="J899" i="3" s="1"/>
  <c r="J898" i="3" a="1"/>
  <c r="J898" i="3" s="1"/>
  <c r="H897" i="3" a="1"/>
  <c r="H897" i="3" s="1"/>
  <c r="I897" i="3" a="1"/>
  <c r="I897" i="3" s="1"/>
  <c r="K897" i="3" a="1"/>
  <c r="K897" i="3" s="1"/>
  <c r="J897" i="3" a="1"/>
  <c r="J897" i="3" s="1"/>
  <c r="F899" i="3"/>
  <c r="A898" i="3" a="1"/>
  <c r="A898" i="3" s="1"/>
  <c r="B898" i="3" a="1"/>
  <c r="B898" i="3" s="1"/>
  <c r="D897" i="2"/>
  <c r="A899" i="2" a="1"/>
  <c r="A899" i="2" s="1"/>
  <c r="B899" i="2" a="1"/>
  <c r="B899" i="2" s="1"/>
  <c r="J898" i="2" a="1"/>
  <c r="J898" i="2" s="1"/>
  <c r="K898" i="2" a="1"/>
  <c r="K898" i="2" s="1"/>
  <c r="H898" i="2" a="1"/>
  <c r="H898" i="2" s="1"/>
  <c r="I898" i="2" a="1"/>
  <c r="I898" i="2" s="1"/>
  <c r="C901" i="2"/>
  <c r="F900" i="2"/>
  <c r="D898" i="2" a="1"/>
  <c r="C901" i="3" l="1"/>
  <c r="L900" i="3"/>
  <c r="M900" i="3"/>
  <c r="H899" i="3" a="1"/>
  <c r="H899" i="3" s="1"/>
  <c r="K899" i="3" a="1"/>
  <c r="K899" i="3" s="1"/>
  <c r="I899" i="3" a="1"/>
  <c r="I899" i="3" s="1"/>
  <c r="F900" i="3"/>
  <c r="F901" i="3" s="1"/>
  <c r="A899" i="3" a="1"/>
  <c r="A899" i="3" s="1"/>
  <c r="B899" i="3" a="1"/>
  <c r="B899" i="3" s="1"/>
  <c r="D898" i="2"/>
  <c r="C902" i="2"/>
  <c r="F901" i="2"/>
  <c r="I899" i="2" a="1"/>
  <c r="I899" i="2" s="1"/>
  <c r="H899" i="2" a="1"/>
  <c r="H899" i="2" s="1"/>
  <c r="J899" i="2" a="1"/>
  <c r="J899" i="2" s="1"/>
  <c r="K899" i="2" a="1"/>
  <c r="K899" i="2" s="1"/>
  <c r="B900" i="2" a="1"/>
  <c r="B900" i="2" s="1"/>
  <c r="A900" i="2" a="1"/>
  <c r="A900" i="2" s="1"/>
  <c r="D899" i="2" a="1"/>
  <c r="G900" i="3" l="1" a="1"/>
  <c r="G900" i="3" s="1"/>
  <c r="C902" i="3"/>
  <c r="G901" i="3" a="1"/>
  <c r="G901" i="3" s="1"/>
  <c r="J901" i="3" s="1" a="1"/>
  <c r="J901" i="3" s="1"/>
  <c r="L901" i="3"/>
  <c r="M901" i="3"/>
  <c r="A900" i="3" a="1"/>
  <c r="A900" i="3" s="1"/>
  <c r="B900" i="3" a="1"/>
  <c r="B900" i="3" s="1"/>
  <c r="D899" i="2"/>
  <c r="J900" i="2" a="1"/>
  <c r="J900" i="2" s="1"/>
  <c r="K900" i="2" a="1"/>
  <c r="K900" i="2" s="1"/>
  <c r="H900" i="2" a="1"/>
  <c r="H900" i="2" s="1"/>
  <c r="I900" i="2" a="1"/>
  <c r="I900" i="2" s="1"/>
  <c r="B901" i="2" a="1"/>
  <c r="B901" i="2" s="1"/>
  <c r="A901" i="2" a="1"/>
  <c r="A901" i="2" s="1"/>
  <c r="C903" i="2"/>
  <c r="F902" i="2"/>
  <c r="D900" i="2" a="1"/>
  <c r="H900" i="3" l="1" a="1"/>
  <c r="H900" i="3" s="1"/>
  <c r="I900" i="3" a="1"/>
  <c r="I900" i="3" s="1"/>
  <c r="K900" i="3" a="1"/>
  <c r="K900" i="3" s="1"/>
  <c r="J900" i="3" a="1"/>
  <c r="J900" i="3" s="1"/>
  <c r="H901" i="3" a="1"/>
  <c r="H901" i="3" s="1"/>
  <c r="I901" i="3" a="1"/>
  <c r="I901" i="3" s="1"/>
  <c r="K901" i="3" a="1"/>
  <c r="K901" i="3" s="1"/>
  <c r="C903" i="3"/>
  <c r="G902" i="3" a="1"/>
  <c r="G902" i="3" s="1"/>
  <c r="J902" i="3" a="1"/>
  <c r="J902" i="3" s="1"/>
  <c r="L902" i="3"/>
  <c r="M902" i="3"/>
  <c r="F902" i="3"/>
  <c r="A901" i="3" a="1"/>
  <c r="A901" i="3" s="1"/>
  <c r="B901" i="3" a="1"/>
  <c r="B901" i="3" s="1"/>
  <c r="D900" i="2"/>
  <c r="B902" i="2" a="1"/>
  <c r="B902" i="2" s="1"/>
  <c r="A902" i="2" a="1"/>
  <c r="A902" i="2" s="1"/>
  <c r="C904" i="2"/>
  <c r="F903" i="2"/>
  <c r="H901" i="2" a="1"/>
  <c r="H901" i="2" s="1"/>
  <c r="J901" i="2" a="1"/>
  <c r="J901" i="2" s="1"/>
  <c r="K901" i="2" a="1"/>
  <c r="K901" i="2" s="1"/>
  <c r="I901" i="2" a="1"/>
  <c r="I901" i="2" s="1"/>
  <c r="D901" i="2" a="1"/>
  <c r="H902" i="3" l="1" a="1"/>
  <c r="H902" i="3" s="1"/>
  <c r="I902" i="3" a="1"/>
  <c r="I902" i="3" s="1"/>
  <c r="K902" i="3" a="1"/>
  <c r="K902" i="3" s="1"/>
  <c r="C904" i="3"/>
  <c r="L903" i="3"/>
  <c r="M903" i="3"/>
  <c r="F903" i="3"/>
  <c r="F904" i="3" s="1"/>
  <c r="A902" i="3" a="1"/>
  <c r="A902" i="3" s="1"/>
  <c r="B902" i="3" a="1"/>
  <c r="B902" i="3" s="1"/>
  <c r="D901" i="2"/>
  <c r="A903" i="2" a="1"/>
  <c r="A903" i="2" s="1"/>
  <c r="B903" i="2" a="1"/>
  <c r="B903" i="2" s="1"/>
  <c r="I902" i="2" a="1"/>
  <c r="I902" i="2" s="1"/>
  <c r="K902" i="2" a="1"/>
  <c r="K902" i="2" s="1"/>
  <c r="J902" i="2" a="1"/>
  <c r="J902" i="2" s="1"/>
  <c r="H902" i="2" a="1"/>
  <c r="H902" i="2" s="1"/>
  <c r="C905" i="2"/>
  <c r="F904" i="2"/>
  <c r="D902" i="2" a="1"/>
  <c r="G903" i="3" l="1" a="1"/>
  <c r="G903" i="3" s="1"/>
  <c r="C905" i="3"/>
  <c r="G904" i="3" a="1"/>
  <c r="G904" i="3" s="1"/>
  <c r="L904" i="3"/>
  <c r="M904" i="3"/>
  <c r="A903" i="3" a="1"/>
  <c r="A903" i="3" s="1"/>
  <c r="B903" i="3" a="1"/>
  <c r="B903" i="3" s="1"/>
  <c r="D902" i="2"/>
  <c r="I903" i="2" a="1"/>
  <c r="I903" i="2" s="1"/>
  <c r="H903" i="2" a="1"/>
  <c r="H903" i="2" s="1"/>
  <c r="J903" i="2" a="1"/>
  <c r="J903" i="2" s="1"/>
  <c r="K903" i="2" a="1"/>
  <c r="K903" i="2" s="1"/>
  <c r="B904" i="2" a="1"/>
  <c r="B904" i="2" s="1"/>
  <c r="A904" i="2" a="1"/>
  <c r="A904" i="2" s="1"/>
  <c r="C906" i="2"/>
  <c r="F905" i="2"/>
  <c r="D903" i="2" a="1"/>
  <c r="K904" i="3" l="1" a="1"/>
  <c r="K904" i="3" s="1"/>
  <c r="H904" i="3" a="1"/>
  <c r="H904" i="3" s="1"/>
  <c r="I904" i="3" a="1"/>
  <c r="I904" i="3" s="1"/>
  <c r="C906" i="3"/>
  <c r="G905" i="3" a="1"/>
  <c r="G905" i="3" s="1"/>
  <c r="L905" i="3"/>
  <c r="M905" i="3"/>
  <c r="J904" i="3" a="1"/>
  <c r="J904" i="3" s="1"/>
  <c r="H903" i="3" a="1"/>
  <c r="H903" i="3" s="1"/>
  <c r="K903" i="3" a="1"/>
  <c r="K903" i="3" s="1"/>
  <c r="I903" i="3" a="1"/>
  <c r="I903" i="3" s="1"/>
  <c r="J903" i="3" a="1"/>
  <c r="J903" i="3" s="1"/>
  <c r="F905" i="3"/>
  <c r="F906" i="3" s="1"/>
  <c r="A904" i="3" a="1"/>
  <c r="A904" i="3" s="1"/>
  <c r="B904" i="3" a="1"/>
  <c r="B904" i="3" s="1"/>
  <c r="D903" i="2"/>
  <c r="A905" i="2" a="1"/>
  <c r="A905" i="2" s="1"/>
  <c r="B905" i="2" a="1"/>
  <c r="B905" i="2" s="1"/>
  <c r="C907" i="2"/>
  <c r="F906" i="2"/>
  <c r="H904" i="2" a="1"/>
  <c r="H904" i="2" s="1"/>
  <c r="J904" i="2" a="1"/>
  <c r="J904" i="2" s="1"/>
  <c r="K904" i="2" a="1"/>
  <c r="K904" i="2" s="1"/>
  <c r="I904" i="2" a="1"/>
  <c r="I904" i="2" s="1"/>
  <c r="D904" i="2" a="1"/>
  <c r="H905" i="3" l="1" a="1"/>
  <c r="H905" i="3" s="1"/>
  <c r="I905" i="3" a="1"/>
  <c r="I905" i="3" s="1"/>
  <c r="K905" i="3" a="1"/>
  <c r="K905" i="3" s="1"/>
  <c r="C907" i="3"/>
  <c r="G906" i="3" a="1"/>
  <c r="G906" i="3" s="1"/>
  <c r="J906" i="3" s="1" a="1"/>
  <c r="J906" i="3" s="1"/>
  <c r="L906" i="3"/>
  <c r="M906" i="3"/>
  <c r="J905" i="3" a="1"/>
  <c r="J905" i="3" s="1"/>
  <c r="F907" i="3"/>
  <c r="A905" i="3" a="1"/>
  <c r="A905" i="3" s="1"/>
  <c r="B905" i="3" a="1"/>
  <c r="B905" i="3" s="1"/>
  <c r="D904" i="2"/>
  <c r="B906" i="2" a="1"/>
  <c r="B906" i="2" s="1"/>
  <c r="A906" i="2" a="1"/>
  <c r="A906" i="2" s="1"/>
  <c r="H905" i="2" a="1"/>
  <c r="H905" i="2" s="1"/>
  <c r="J905" i="2" a="1"/>
  <c r="J905" i="2" s="1"/>
  <c r="I905" i="2" a="1"/>
  <c r="I905" i="2" s="1"/>
  <c r="K905" i="2" a="1"/>
  <c r="K905" i="2" s="1"/>
  <c r="C908" i="2"/>
  <c r="F907" i="2"/>
  <c r="D905" i="2" a="1"/>
  <c r="C908" i="3" l="1"/>
  <c r="G907" i="3" a="1"/>
  <c r="G907" i="3" s="1"/>
  <c r="L907" i="3"/>
  <c r="M907" i="3"/>
  <c r="J907" i="3" a="1"/>
  <c r="J907" i="3" s="1"/>
  <c r="H906" i="3" a="1"/>
  <c r="H906" i="3" s="1"/>
  <c r="I906" i="3" a="1"/>
  <c r="I906" i="3" s="1"/>
  <c r="K906" i="3" a="1"/>
  <c r="K906" i="3" s="1"/>
  <c r="B906" i="3" a="1"/>
  <c r="B906" i="3" s="1"/>
  <c r="A906" i="3" a="1"/>
  <c r="A906" i="3" s="1"/>
  <c r="D905" i="2"/>
  <c r="C909" i="2"/>
  <c r="F908" i="2"/>
  <c r="J906" i="2" a="1"/>
  <c r="J906" i="2" s="1"/>
  <c r="H906" i="2" a="1"/>
  <c r="H906" i="2" s="1"/>
  <c r="K906" i="2" a="1"/>
  <c r="K906" i="2" s="1"/>
  <c r="I906" i="2" a="1"/>
  <c r="I906" i="2" s="1"/>
  <c r="A907" i="2" a="1"/>
  <c r="A907" i="2" s="1"/>
  <c r="B907" i="2" a="1"/>
  <c r="B907" i="2" s="1"/>
  <c r="D906" i="2" a="1"/>
  <c r="H907" i="3" l="1" a="1"/>
  <c r="H907" i="3" s="1"/>
  <c r="K907" i="3" a="1"/>
  <c r="K907" i="3" s="1"/>
  <c r="I907" i="3" a="1"/>
  <c r="I907" i="3" s="1"/>
  <c r="C909" i="3"/>
  <c r="L908" i="3"/>
  <c r="M908" i="3"/>
  <c r="F908" i="3"/>
  <c r="F909" i="3" s="1"/>
  <c r="B907" i="3" a="1"/>
  <c r="B907" i="3" s="1"/>
  <c r="A907" i="3" a="1"/>
  <c r="A907" i="3" s="1"/>
  <c r="D906" i="2"/>
  <c r="H907" i="2" a="1"/>
  <c r="H907" i="2" s="1"/>
  <c r="K907" i="2" a="1"/>
  <c r="K907" i="2" s="1"/>
  <c r="I907" i="2" a="1"/>
  <c r="I907" i="2" s="1"/>
  <c r="J907" i="2" a="1"/>
  <c r="J907" i="2" s="1"/>
  <c r="B908" i="2" a="1"/>
  <c r="B908" i="2" s="1"/>
  <c r="A908" i="2" a="1"/>
  <c r="A908" i="2" s="1"/>
  <c r="C910" i="2"/>
  <c r="F909" i="2"/>
  <c r="D907" i="2" a="1"/>
  <c r="G908" i="3" l="1" a="1"/>
  <c r="G908" i="3" s="1"/>
  <c r="C910" i="3"/>
  <c r="G909" i="3" a="1"/>
  <c r="G909" i="3" s="1"/>
  <c r="L909" i="3"/>
  <c r="M909" i="3"/>
  <c r="A908" i="3" a="1"/>
  <c r="A908" i="3" s="1"/>
  <c r="B908" i="3" a="1"/>
  <c r="B908" i="3" s="1"/>
  <c r="D907" i="2"/>
  <c r="C911" i="2"/>
  <c r="F910" i="2"/>
  <c r="I908" i="2" a="1"/>
  <c r="I908" i="2" s="1"/>
  <c r="K908" i="2" a="1"/>
  <c r="K908" i="2" s="1"/>
  <c r="H908" i="2" a="1"/>
  <c r="H908" i="2" s="1"/>
  <c r="J908" i="2" a="1"/>
  <c r="J908" i="2" s="1"/>
  <c r="B909" i="2" a="1"/>
  <c r="B909" i="2" s="1"/>
  <c r="A909" i="2" a="1"/>
  <c r="A909" i="2" s="1"/>
  <c r="D908" i="2" a="1"/>
  <c r="H909" i="3" l="1" a="1"/>
  <c r="H909" i="3" s="1"/>
  <c r="I909" i="3" a="1"/>
  <c r="I909" i="3" s="1"/>
  <c r="K909" i="3" a="1"/>
  <c r="K909" i="3" s="1"/>
  <c r="H908" i="3" a="1"/>
  <c r="H908" i="3" s="1"/>
  <c r="I908" i="3" a="1"/>
  <c r="I908" i="3" s="1"/>
  <c r="K908" i="3" a="1"/>
  <c r="K908" i="3" s="1"/>
  <c r="J908" i="3" a="1"/>
  <c r="J908" i="3" s="1"/>
  <c r="J909" i="3" a="1"/>
  <c r="J909" i="3" s="1"/>
  <c r="C911" i="3"/>
  <c r="G910" i="3" a="1"/>
  <c r="G910" i="3" s="1"/>
  <c r="L910" i="3"/>
  <c r="M910" i="3"/>
  <c r="F910" i="3"/>
  <c r="B909" i="3" a="1"/>
  <c r="B909" i="3" s="1"/>
  <c r="A909" i="3" a="1"/>
  <c r="A909" i="3" s="1"/>
  <c r="D908" i="2"/>
  <c r="H909" i="2" a="1"/>
  <c r="H909" i="2" s="1"/>
  <c r="I909" i="2" a="1"/>
  <c r="I909" i="2" s="1"/>
  <c r="K909" i="2" a="1"/>
  <c r="K909" i="2" s="1"/>
  <c r="J909" i="2" a="1"/>
  <c r="J909" i="2" s="1"/>
  <c r="A910" i="2" a="1"/>
  <c r="A910" i="2" s="1"/>
  <c r="B910" i="2" a="1"/>
  <c r="B910" i="2" s="1"/>
  <c r="C912" i="2"/>
  <c r="F911" i="2"/>
  <c r="D909" i="2" a="1"/>
  <c r="C912" i="3" l="1"/>
  <c r="L911" i="3"/>
  <c r="M911" i="3"/>
  <c r="K910" i="3" a="1"/>
  <c r="K910" i="3" s="1"/>
  <c r="H910" i="3" a="1"/>
  <c r="H910" i="3" s="1"/>
  <c r="I910" i="3" a="1"/>
  <c r="I910" i="3" s="1"/>
  <c r="F911" i="3"/>
  <c r="F912" i="3" s="1"/>
  <c r="J910" i="3" a="1"/>
  <c r="J910" i="3" s="1"/>
  <c r="A910" i="3" a="1"/>
  <c r="A910" i="3" s="1"/>
  <c r="B910" i="3" a="1"/>
  <c r="B910" i="3" s="1"/>
  <c r="D909" i="2"/>
  <c r="J910" i="2" a="1"/>
  <c r="J910" i="2" s="1"/>
  <c r="K910" i="2" a="1"/>
  <c r="K910" i="2" s="1"/>
  <c r="H910" i="2" a="1"/>
  <c r="H910" i="2" s="1"/>
  <c r="I910" i="2" a="1"/>
  <c r="I910" i="2" s="1"/>
  <c r="A911" i="2" a="1"/>
  <c r="A911" i="2" s="1"/>
  <c r="B911" i="2" a="1"/>
  <c r="B911" i="2" s="1"/>
  <c r="C913" i="2"/>
  <c r="F912" i="2"/>
  <c r="D910" i="2" a="1"/>
  <c r="G911" i="3" l="1" a="1"/>
  <c r="G911" i="3" s="1"/>
  <c r="C913" i="3"/>
  <c r="G912" i="3" a="1"/>
  <c r="G912" i="3" s="1"/>
  <c r="L912" i="3"/>
  <c r="M912" i="3"/>
  <c r="J912" i="3" a="1"/>
  <c r="J912" i="3" s="1"/>
  <c r="A911" i="3" a="1"/>
  <c r="A911" i="3" s="1"/>
  <c r="B911" i="3" a="1"/>
  <c r="B911" i="3" s="1"/>
  <c r="D910" i="2"/>
  <c r="C914" i="2"/>
  <c r="F913" i="2"/>
  <c r="B912" i="2" a="1"/>
  <c r="B912" i="2" s="1"/>
  <c r="A912" i="2" a="1"/>
  <c r="A912" i="2" s="1"/>
  <c r="H911" i="2" a="1"/>
  <c r="H911" i="2" s="1"/>
  <c r="J911" i="2" a="1"/>
  <c r="J911" i="2" s="1"/>
  <c r="I911" i="2" a="1"/>
  <c r="I911" i="2" s="1"/>
  <c r="K911" i="2" a="1"/>
  <c r="K911" i="2" s="1"/>
  <c r="D911" i="2" a="1"/>
  <c r="H912" i="3" l="1" a="1"/>
  <c r="H912" i="3" s="1"/>
  <c r="I912" i="3" a="1"/>
  <c r="I912" i="3" s="1"/>
  <c r="K912" i="3" a="1"/>
  <c r="K912" i="3" s="1"/>
  <c r="C914" i="3"/>
  <c r="G913" i="3" a="1"/>
  <c r="G913" i="3" s="1"/>
  <c r="M913" i="3"/>
  <c r="J913" i="3" a="1"/>
  <c r="J913" i="3" s="1"/>
  <c r="L913" i="3"/>
  <c r="H911" i="3" a="1"/>
  <c r="H911" i="3" s="1"/>
  <c r="K911" i="3" a="1"/>
  <c r="K911" i="3" s="1"/>
  <c r="I911" i="3" a="1"/>
  <c r="I911" i="3" s="1"/>
  <c r="J911" i="3" a="1"/>
  <c r="J911" i="3" s="1"/>
  <c r="F913" i="3"/>
  <c r="A912" i="3" a="1"/>
  <c r="A912" i="3" s="1"/>
  <c r="B912" i="3" a="1"/>
  <c r="B912" i="3" s="1"/>
  <c r="D911" i="2"/>
  <c r="K912" i="2" a="1"/>
  <c r="K912" i="2" s="1"/>
  <c r="H912" i="2" a="1"/>
  <c r="H912" i="2" s="1"/>
  <c r="J912" i="2" a="1"/>
  <c r="J912" i="2" s="1"/>
  <c r="I912" i="2" a="1"/>
  <c r="I912" i="2" s="1"/>
  <c r="B913" i="2" a="1"/>
  <c r="B913" i="2" s="1"/>
  <c r="A913" i="2" a="1"/>
  <c r="A913" i="2" s="1"/>
  <c r="C915" i="2"/>
  <c r="F914" i="2"/>
  <c r="D912" i="2" a="1"/>
  <c r="C915" i="3" l="1"/>
  <c r="L914" i="3"/>
  <c r="M914" i="3"/>
  <c r="H913" i="3" a="1"/>
  <c r="H913" i="3" s="1"/>
  <c r="I913" i="3" a="1"/>
  <c r="I913" i="3" s="1"/>
  <c r="K913" i="3" a="1"/>
  <c r="K913" i="3" s="1"/>
  <c r="F914" i="3"/>
  <c r="F915" i="3" s="1"/>
  <c r="B913" i="3" a="1"/>
  <c r="B913" i="3" s="1"/>
  <c r="A913" i="3" a="1"/>
  <c r="A913" i="3" s="1"/>
  <c r="D912" i="2"/>
  <c r="B914" i="2" a="1"/>
  <c r="B914" i="2" s="1"/>
  <c r="A914" i="2" a="1"/>
  <c r="A914" i="2" s="1"/>
  <c r="C916" i="2"/>
  <c r="F915" i="2"/>
  <c r="J913" i="2" a="1"/>
  <c r="J913" i="2" s="1"/>
  <c r="K913" i="2" a="1"/>
  <c r="K913" i="2" s="1"/>
  <c r="H913" i="2" a="1"/>
  <c r="H913" i="2" s="1"/>
  <c r="I913" i="2" a="1"/>
  <c r="I913" i="2" s="1"/>
  <c r="D913" i="2" a="1"/>
  <c r="G914" i="3" l="1" a="1"/>
  <c r="G914" i="3" s="1"/>
  <c r="C916" i="3"/>
  <c r="G915" i="3" a="1"/>
  <c r="G915" i="3" s="1"/>
  <c r="L915" i="3"/>
  <c r="M915" i="3"/>
  <c r="B914" i="3" a="1"/>
  <c r="B914" i="3" s="1"/>
  <c r="A914" i="3" a="1"/>
  <c r="A914" i="3" s="1"/>
  <c r="D913" i="2"/>
  <c r="I914" i="2" a="1"/>
  <c r="I914" i="2" s="1"/>
  <c r="K914" i="2" a="1"/>
  <c r="K914" i="2" s="1"/>
  <c r="J914" i="2" a="1"/>
  <c r="J914" i="2" s="1"/>
  <c r="H914" i="2" a="1"/>
  <c r="H914" i="2" s="1"/>
  <c r="B915" i="2" a="1"/>
  <c r="B915" i="2" s="1"/>
  <c r="A915" i="2" a="1"/>
  <c r="A915" i="2" s="1"/>
  <c r="C917" i="2"/>
  <c r="F916" i="2"/>
  <c r="D914" i="2" a="1"/>
  <c r="H915" i="3" l="1" a="1"/>
  <c r="H915" i="3" s="1"/>
  <c r="K915" i="3" a="1"/>
  <c r="K915" i="3" s="1"/>
  <c r="I915" i="3" a="1"/>
  <c r="I915" i="3" s="1"/>
  <c r="C917" i="3"/>
  <c r="G916" i="3" a="1"/>
  <c r="G916" i="3" s="1"/>
  <c r="L916" i="3"/>
  <c r="M916" i="3"/>
  <c r="J916" i="3" a="1"/>
  <c r="J916" i="3" s="1"/>
  <c r="J915" i="3" a="1"/>
  <c r="J915" i="3" s="1"/>
  <c r="H914" i="3" a="1"/>
  <c r="H914" i="3" s="1"/>
  <c r="I914" i="3" a="1"/>
  <c r="I914" i="3" s="1"/>
  <c r="K914" i="3" a="1"/>
  <c r="K914" i="3" s="1"/>
  <c r="J914" i="3" a="1"/>
  <c r="J914" i="3" s="1"/>
  <c r="F916" i="3"/>
  <c r="A915" i="3" a="1"/>
  <c r="A915" i="3" s="1"/>
  <c r="B915" i="3" a="1"/>
  <c r="B915" i="3" s="1"/>
  <c r="D914" i="2"/>
  <c r="C918" i="2"/>
  <c r="F917" i="2"/>
  <c r="A916" i="2" a="1"/>
  <c r="A916" i="2" s="1"/>
  <c r="B916" i="2" a="1"/>
  <c r="B916" i="2" s="1"/>
  <c r="H915" i="2" a="1"/>
  <c r="H915" i="2" s="1"/>
  <c r="K915" i="2" a="1"/>
  <c r="K915" i="2" s="1"/>
  <c r="I915" i="2" a="1"/>
  <c r="I915" i="2" s="1"/>
  <c r="J915" i="2" a="1"/>
  <c r="J915" i="2" s="1"/>
  <c r="D915" i="2" a="1"/>
  <c r="C918" i="3" l="1"/>
  <c r="L917" i="3"/>
  <c r="M917" i="3"/>
  <c r="F917" i="3"/>
  <c r="F918" i="3" s="1"/>
  <c r="H916" i="3" a="1"/>
  <c r="H916" i="3" s="1"/>
  <c r="I916" i="3" a="1"/>
  <c r="I916" i="3" s="1"/>
  <c r="K916" i="3" a="1"/>
  <c r="K916" i="3" s="1"/>
  <c r="A916" i="3" a="1"/>
  <c r="A916" i="3" s="1"/>
  <c r="B916" i="3" a="1"/>
  <c r="B916" i="3" s="1"/>
  <c r="D915" i="2"/>
  <c r="A917" i="2" a="1"/>
  <c r="A917" i="2" s="1"/>
  <c r="B917" i="2" a="1"/>
  <c r="B917" i="2" s="1"/>
  <c r="H916" i="2" a="1"/>
  <c r="H916" i="2" s="1"/>
  <c r="J916" i="2" a="1"/>
  <c r="J916" i="2" s="1"/>
  <c r="I916" i="2" a="1"/>
  <c r="I916" i="2" s="1"/>
  <c r="K916" i="2" a="1"/>
  <c r="K916" i="2" s="1"/>
  <c r="C919" i="2"/>
  <c r="F918" i="2"/>
  <c r="D916" i="2" a="1"/>
  <c r="G917" i="3" l="1" a="1"/>
  <c r="G917" i="3" s="1"/>
  <c r="C919" i="3"/>
  <c r="G918" i="3" a="1"/>
  <c r="G918" i="3" s="1"/>
  <c r="J918" i="3" s="1" a="1"/>
  <c r="J918" i="3" s="1"/>
  <c r="L918" i="3"/>
  <c r="M918" i="3"/>
  <c r="A917" i="3" a="1"/>
  <c r="A917" i="3" s="1"/>
  <c r="B917" i="3" a="1"/>
  <c r="B917" i="3" s="1"/>
  <c r="D916" i="2"/>
  <c r="B918" i="2" a="1"/>
  <c r="B918" i="2" s="1"/>
  <c r="A918" i="2" a="1"/>
  <c r="A918" i="2" s="1"/>
  <c r="K917" i="2" a="1"/>
  <c r="K917" i="2" s="1"/>
  <c r="H917" i="2" a="1"/>
  <c r="H917" i="2" s="1"/>
  <c r="I917" i="2" a="1"/>
  <c r="I917" i="2" s="1"/>
  <c r="J917" i="2" a="1"/>
  <c r="J917" i="2" s="1"/>
  <c r="C920" i="2"/>
  <c r="F919" i="2"/>
  <c r="D917" i="2" a="1"/>
  <c r="H917" i="3" l="1" a="1"/>
  <c r="H917" i="3" s="1"/>
  <c r="I917" i="3" a="1"/>
  <c r="I917" i="3" s="1"/>
  <c r="K917" i="3" a="1"/>
  <c r="K917" i="3" s="1"/>
  <c r="J917" i="3" a="1"/>
  <c r="J917" i="3" s="1"/>
  <c r="H918" i="3" a="1"/>
  <c r="H918" i="3" s="1"/>
  <c r="I918" i="3" a="1"/>
  <c r="I918" i="3" s="1"/>
  <c r="K918" i="3" a="1"/>
  <c r="K918" i="3" s="1"/>
  <c r="C920" i="3"/>
  <c r="G919" i="3" a="1"/>
  <c r="G919" i="3" s="1"/>
  <c r="J919" i="3" s="1" a="1"/>
  <c r="J919" i="3" s="1"/>
  <c r="L919" i="3"/>
  <c r="M919" i="3"/>
  <c r="F919" i="3"/>
  <c r="A918" i="3" a="1"/>
  <c r="A918" i="3" s="1"/>
  <c r="B918" i="3" a="1"/>
  <c r="B918" i="3" s="1"/>
  <c r="D917" i="2"/>
  <c r="A919" i="2" a="1"/>
  <c r="A919" i="2" s="1"/>
  <c r="B919" i="2" a="1"/>
  <c r="B919" i="2" s="1"/>
  <c r="I918" i="2" a="1"/>
  <c r="I918" i="2" s="1"/>
  <c r="J918" i="2" a="1"/>
  <c r="J918" i="2" s="1"/>
  <c r="K918" i="2" a="1"/>
  <c r="K918" i="2" s="1"/>
  <c r="H918" i="2" a="1"/>
  <c r="H918" i="2" s="1"/>
  <c r="C921" i="2"/>
  <c r="F920" i="2"/>
  <c r="D918" i="2" a="1"/>
  <c r="C921" i="3" l="1"/>
  <c r="L920" i="3"/>
  <c r="M920" i="3"/>
  <c r="H919" i="3" a="1"/>
  <c r="H919" i="3" s="1"/>
  <c r="K919" i="3" a="1"/>
  <c r="K919" i="3" s="1"/>
  <c r="I919" i="3" a="1"/>
  <c r="I919" i="3" s="1"/>
  <c r="F920" i="3"/>
  <c r="F921" i="3" s="1"/>
  <c r="B919" i="3" a="1"/>
  <c r="B919" i="3" s="1"/>
  <c r="A919" i="3" a="1"/>
  <c r="A919" i="3" s="1"/>
  <c r="D918" i="2"/>
  <c r="C922" i="2"/>
  <c r="F921" i="2"/>
  <c r="A920" i="2" a="1"/>
  <c r="A920" i="2" s="1"/>
  <c r="B920" i="2" a="1"/>
  <c r="B920" i="2" s="1"/>
  <c r="I919" i="2" a="1"/>
  <c r="I919" i="2" s="1"/>
  <c r="H919" i="2" a="1"/>
  <c r="H919" i="2" s="1"/>
  <c r="J919" i="2" a="1"/>
  <c r="J919" i="2" s="1"/>
  <c r="K919" i="2" a="1"/>
  <c r="K919" i="2" s="1"/>
  <c r="D919" i="2" a="1"/>
  <c r="G920" i="3" l="1" a="1"/>
  <c r="G920" i="3" s="1"/>
  <c r="C922" i="3"/>
  <c r="G921" i="3" a="1"/>
  <c r="G921" i="3" s="1"/>
  <c r="L921" i="3"/>
  <c r="M921" i="3"/>
  <c r="J921" i="3" a="1"/>
  <c r="J921" i="3" s="1"/>
  <c r="A920" i="3" a="1"/>
  <c r="A920" i="3" s="1"/>
  <c r="B920" i="3" a="1"/>
  <c r="B920" i="3" s="1"/>
  <c r="D919" i="2"/>
  <c r="J920" i="2" a="1"/>
  <c r="J920" i="2" s="1"/>
  <c r="H920" i="2" a="1"/>
  <c r="H920" i="2" s="1"/>
  <c r="K920" i="2" a="1"/>
  <c r="K920" i="2" s="1"/>
  <c r="I920" i="2" a="1"/>
  <c r="I920" i="2" s="1"/>
  <c r="A921" i="2" a="1"/>
  <c r="A921" i="2" s="1"/>
  <c r="B921" i="2" a="1"/>
  <c r="B921" i="2" s="1"/>
  <c r="C923" i="2"/>
  <c r="F922" i="2"/>
  <c r="D920" i="2" a="1"/>
  <c r="H920" i="3" l="1" a="1"/>
  <c r="H920" i="3" s="1"/>
  <c r="I920" i="3" a="1"/>
  <c r="I920" i="3" s="1"/>
  <c r="K920" i="3" a="1"/>
  <c r="K920" i="3" s="1"/>
  <c r="J920" i="3" a="1"/>
  <c r="J920" i="3" s="1"/>
  <c r="I921" i="3" a="1"/>
  <c r="I921" i="3" s="1"/>
  <c r="K921" i="3" a="1"/>
  <c r="K921" i="3" s="1"/>
  <c r="H921" i="3" a="1"/>
  <c r="H921" i="3" s="1"/>
  <c r="C923" i="3"/>
  <c r="G922" i="3" a="1"/>
  <c r="G922" i="3" s="1"/>
  <c r="L922" i="3"/>
  <c r="M922" i="3"/>
  <c r="J922" i="3" a="1"/>
  <c r="J922" i="3" s="1"/>
  <c r="F922" i="3"/>
  <c r="A921" i="3" a="1"/>
  <c r="A921" i="3" s="1"/>
  <c r="B921" i="3" a="1"/>
  <c r="B921" i="3" s="1"/>
  <c r="D920" i="2"/>
  <c r="A922" i="2" a="1"/>
  <c r="A922" i="2" s="1"/>
  <c r="B922" i="2" a="1"/>
  <c r="B922" i="2" s="1"/>
  <c r="C924" i="2"/>
  <c r="F923" i="2"/>
  <c r="H921" i="2" a="1"/>
  <c r="H921" i="2" s="1"/>
  <c r="J921" i="2" a="1"/>
  <c r="J921" i="2" s="1"/>
  <c r="K921" i="2" a="1"/>
  <c r="K921" i="2" s="1"/>
  <c r="I921" i="2" a="1"/>
  <c r="I921" i="2" s="1"/>
  <c r="D921" i="2" a="1"/>
  <c r="K922" i="3" l="1" a="1"/>
  <c r="K922" i="3" s="1"/>
  <c r="H922" i="3" a="1"/>
  <c r="H922" i="3" s="1"/>
  <c r="I922" i="3" a="1"/>
  <c r="I922" i="3" s="1"/>
  <c r="C924" i="3"/>
  <c r="L923" i="3"/>
  <c r="M923" i="3"/>
  <c r="F923" i="3"/>
  <c r="F924" i="3" s="1"/>
  <c r="A922" i="3" a="1"/>
  <c r="A922" i="3" s="1"/>
  <c r="B922" i="3" a="1"/>
  <c r="B922" i="3" s="1"/>
  <c r="D921" i="2"/>
  <c r="C925" i="2"/>
  <c r="F924" i="2"/>
  <c r="H922" i="2" a="1"/>
  <c r="H922" i="2" s="1"/>
  <c r="K922" i="2" a="1"/>
  <c r="K922" i="2" s="1"/>
  <c r="I922" i="2" a="1"/>
  <c r="I922" i="2" s="1"/>
  <c r="J922" i="2" a="1"/>
  <c r="J922" i="2" s="1"/>
  <c r="B923" i="2" a="1"/>
  <c r="B923" i="2" s="1"/>
  <c r="A923" i="2" a="1"/>
  <c r="A923" i="2" s="1"/>
  <c r="D922" i="2" a="1"/>
  <c r="G923" i="3" l="1" a="1"/>
  <c r="G923" i="3" s="1"/>
  <c r="C925" i="3"/>
  <c r="G924" i="3" a="1"/>
  <c r="G924" i="3" s="1"/>
  <c r="L924" i="3"/>
  <c r="M924" i="3"/>
  <c r="J924" i="3" a="1"/>
  <c r="J924" i="3" s="1"/>
  <c r="F925" i="3"/>
  <c r="A923" i="3" a="1"/>
  <c r="A923" i="3" s="1"/>
  <c r="B923" i="3" a="1"/>
  <c r="B923" i="3" s="1"/>
  <c r="D922" i="2"/>
  <c r="I923" i="2" a="1"/>
  <c r="I923" i="2" s="1"/>
  <c r="J923" i="2" a="1"/>
  <c r="J923" i="2" s="1"/>
  <c r="H923" i="2" a="1"/>
  <c r="H923" i="2" s="1"/>
  <c r="K923" i="2" a="1"/>
  <c r="K923" i="2" s="1"/>
  <c r="B924" i="2" a="1"/>
  <c r="B924" i="2" s="1"/>
  <c r="A924" i="2" a="1"/>
  <c r="A924" i="2" s="1"/>
  <c r="C926" i="2"/>
  <c r="F925" i="2"/>
  <c r="D923" i="2" a="1"/>
  <c r="C926" i="3" l="1"/>
  <c r="G925" i="3" a="1"/>
  <c r="G925" i="3" s="1"/>
  <c r="L925" i="3"/>
  <c r="M925" i="3"/>
  <c r="J925" i="3" a="1"/>
  <c r="J925" i="3" s="1"/>
  <c r="H924" i="3" a="1"/>
  <c r="H924" i="3" s="1"/>
  <c r="I924" i="3" a="1"/>
  <c r="I924" i="3" s="1"/>
  <c r="K924" i="3" a="1"/>
  <c r="K924" i="3" s="1"/>
  <c r="J923" i="3" a="1"/>
  <c r="J923" i="3" s="1"/>
  <c r="H923" i="3" a="1"/>
  <c r="H923" i="3" s="1"/>
  <c r="I923" i="3" a="1"/>
  <c r="I923" i="3" s="1"/>
  <c r="K923" i="3" a="1"/>
  <c r="K923" i="3" s="1"/>
  <c r="A924" i="3" a="1"/>
  <c r="A924" i="3" s="1"/>
  <c r="B924" i="3" a="1"/>
  <c r="B924" i="3" s="1"/>
  <c r="D923" i="2"/>
  <c r="C927" i="2"/>
  <c r="F926" i="2"/>
  <c r="B925" i="2" a="1"/>
  <c r="B925" i="2" s="1"/>
  <c r="A925" i="2" a="1"/>
  <c r="A925" i="2" s="1"/>
  <c r="I924" i="2" a="1"/>
  <c r="I924" i="2" s="1"/>
  <c r="K924" i="2" a="1"/>
  <c r="K924" i="2" s="1"/>
  <c r="J924" i="2" a="1"/>
  <c r="J924" i="2" s="1"/>
  <c r="H924" i="2" a="1"/>
  <c r="H924" i="2" s="1"/>
  <c r="D924" i="2" a="1"/>
  <c r="K925" i="3" l="1" a="1"/>
  <c r="K925" i="3" s="1"/>
  <c r="H925" i="3" a="1"/>
  <c r="H925" i="3" s="1"/>
  <c r="I925" i="3" a="1"/>
  <c r="I925" i="3" s="1"/>
  <c r="C927" i="3"/>
  <c r="L926" i="3"/>
  <c r="M926" i="3"/>
  <c r="F926" i="3"/>
  <c r="F927" i="3" s="1"/>
  <c r="A925" i="3" a="1"/>
  <c r="A925" i="3" s="1"/>
  <c r="B925" i="3" a="1"/>
  <c r="B925" i="3" s="1"/>
  <c r="D924" i="2"/>
  <c r="B926" i="2" a="1"/>
  <c r="B926" i="2" s="1"/>
  <c r="A926" i="2" a="1"/>
  <c r="A926" i="2" s="1"/>
  <c r="I925" i="2" a="1"/>
  <c r="I925" i="2" s="1"/>
  <c r="J925" i="2" a="1"/>
  <c r="J925" i="2" s="1"/>
  <c r="K925" i="2" a="1"/>
  <c r="K925" i="2" s="1"/>
  <c r="H925" i="2" a="1"/>
  <c r="H925" i="2" s="1"/>
  <c r="C928" i="2"/>
  <c r="F927" i="2"/>
  <c r="D925" i="2" a="1"/>
  <c r="C928" i="3" l="1"/>
  <c r="G927" i="3" a="1"/>
  <c r="G927" i="3" s="1"/>
  <c r="L927" i="3"/>
  <c r="M927" i="3"/>
  <c r="J927" i="3" a="1"/>
  <c r="J927" i="3" s="1"/>
  <c r="F928" i="3"/>
  <c r="G926" i="3" a="1"/>
  <c r="G926" i="3" s="1"/>
  <c r="B926" i="3" a="1"/>
  <c r="B926" i="3" s="1"/>
  <c r="A926" i="3" a="1"/>
  <c r="A926" i="3" s="1"/>
  <c r="D925" i="2"/>
  <c r="B927" i="2" a="1"/>
  <c r="B927" i="2" s="1"/>
  <c r="A927" i="2" a="1"/>
  <c r="A927" i="2" s="1"/>
  <c r="I926" i="2" a="1"/>
  <c r="I926" i="2" s="1"/>
  <c r="H926" i="2" a="1"/>
  <c r="H926" i="2" s="1"/>
  <c r="J926" i="2" a="1"/>
  <c r="J926" i="2" s="1"/>
  <c r="K926" i="2" a="1"/>
  <c r="K926" i="2" s="1"/>
  <c r="C929" i="2"/>
  <c r="F928" i="2"/>
  <c r="D926" i="2" a="1"/>
  <c r="H926" i="3" l="1" a="1"/>
  <c r="H926" i="3" s="1"/>
  <c r="I926" i="3" a="1"/>
  <c r="I926" i="3" s="1"/>
  <c r="K926" i="3" a="1"/>
  <c r="K926" i="3" s="1"/>
  <c r="J926" i="3" a="1"/>
  <c r="J926" i="3" s="1"/>
  <c r="I927" i="3" a="1"/>
  <c r="I927" i="3" s="1"/>
  <c r="K927" i="3" a="1"/>
  <c r="K927" i="3" s="1"/>
  <c r="H927" i="3" a="1"/>
  <c r="H927" i="3" s="1"/>
  <c r="C929" i="3"/>
  <c r="G928" i="3" a="1"/>
  <c r="G928" i="3" s="1"/>
  <c r="L928" i="3"/>
  <c r="M928" i="3"/>
  <c r="A927" i="3" a="1"/>
  <c r="A927" i="3" s="1"/>
  <c r="B927" i="3" a="1"/>
  <c r="B927" i="3" s="1"/>
  <c r="D926" i="2"/>
  <c r="A928" i="2" a="1"/>
  <c r="A928" i="2" s="1"/>
  <c r="B928" i="2" a="1"/>
  <c r="B928" i="2" s="1"/>
  <c r="C930" i="2"/>
  <c r="F929" i="2"/>
  <c r="I927" i="2" a="1"/>
  <c r="I927" i="2" s="1"/>
  <c r="H927" i="2" a="1"/>
  <c r="H927" i="2" s="1"/>
  <c r="K927" i="2" a="1"/>
  <c r="K927" i="2" s="1"/>
  <c r="J927" i="2" a="1"/>
  <c r="J927" i="2" s="1"/>
  <c r="D927" i="2" a="1"/>
  <c r="K928" i="3" l="1" a="1"/>
  <c r="K928" i="3" s="1"/>
  <c r="H928" i="3" a="1"/>
  <c r="H928" i="3" s="1"/>
  <c r="I928" i="3" a="1"/>
  <c r="I928" i="3" s="1"/>
  <c r="J928" i="3" a="1"/>
  <c r="J928" i="3" s="1"/>
  <c r="C930" i="3"/>
  <c r="L929" i="3"/>
  <c r="M929" i="3"/>
  <c r="F929" i="3"/>
  <c r="F930" i="3" s="1"/>
  <c r="A928" i="3" a="1"/>
  <c r="A928" i="3" s="1"/>
  <c r="B928" i="3" a="1"/>
  <c r="B928" i="3" s="1"/>
  <c r="D927" i="2"/>
  <c r="I928" i="2" a="1"/>
  <c r="I928" i="2" s="1"/>
  <c r="J928" i="2" a="1"/>
  <c r="J928" i="2" s="1"/>
  <c r="K928" i="2" a="1"/>
  <c r="K928" i="2" s="1"/>
  <c r="H928" i="2" a="1"/>
  <c r="H928" i="2" s="1"/>
  <c r="A929" i="2" a="1"/>
  <c r="A929" i="2" s="1"/>
  <c r="B929" i="2" a="1"/>
  <c r="B929" i="2" s="1"/>
  <c r="C931" i="2"/>
  <c r="F930" i="2"/>
  <c r="D928" i="2" a="1"/>
  <c r="C931" i="3" l="1"/>
  <c r="G930" i="3" a="1"/>
  <c r="G930" i="3" s="1"/>
  <c r="L930" i="3"/>
  <c r="M930" i="3"/>
  <c r="J930" i="3" a="1"/>
  <c r="J930" i="3" s="1"/>
  <c r="F931" i="3"/>
  <c r="G929" i="3" a="1"/>
  <c r="G929" i="3" s="1"/>
  <c r="A929" i="3" a="1"/>
  <c r="A929" i="3" s="1"/>
  <c r="B929" i="3" a="1"/>
  <c r="B929" i="3" s="1"/>
  <c r="D928" i="2"/>
  <c r="B930" i="2" a="1"/>
  <c r="B930" i="2" s="1"/>
  <c r="A930" i="2" a="1"/>
  <c r="A930" i="2" s="1"/>
  <c r="C932" i="2"/>
  <c r="F931" i="2"/>
  <c r="J929" i="2" a="1"/>
  <c r="J929" i="2" s="1"/>
  <c r="H929" i="2" a="1"/>
  <c r="H929" i="2" s="1"/>
  <c r="I929" i="2" a="1"/>
  <c r="I929" i="2" s="1"/>
  <c r="K929" i="2" a="1"/>
  <c r="K929" i="2" s="1"/>
  <c r="D929" i="2" a="1"/>
  <c r="I929" i="3" l="1" a="1"/>
  <c r="I929" i="3" s="1"/>
  <c r="K929" i="3" a="1"/>
  <c r="K929" i="3" s="1"/>
  <c r="H929" i="3" a="1"/>
  <c r="H929" i="3" s="1"/>
  <c r="J929" i="3" a="1"/>
  <c r="J929" i="3" s="1"/>
  <c r="H930" i="3" a="1"/>
  <c r="H930" i="3" s="1"/>
  <c r="I930" i="3" a="1"/>
  <c r="I930" i="3" s="1"/>
  <c r="K930" i="3" a="1"/>
  <c r="K930" i="3" s="1"/>
  <c r="C932" i="3"/>
  <c r="F932" i="3" s="1"/>
  <c r="G931" i="3" a="1"/>
  <c r="G931" i="3" s="1"/>
  <c r="L931" i="3"/>
  <c r="M931" i="3"/>
  <c r="B930" i="3" a="1"/>
  <c r="B930" i="3" s="1"/>
  <c r="A930" i="3" a="1"/>
  <c r="A930" i="3" s="1"/>
  <c r="D929" i="2"/>
  <c r="K930" i="2" a="1"/>
  <c r="K930" i="2" s="1"/>
  <c r="J930" i="2" a="1"/>
  <c r="J930" i="2" s="1"/>
  <c r="H930" i="2" a="1"/>
  <c r="H930" i="2" s="1"/>
  <c r="I930" i="2" a="1"/>
  <c r="I930" i="2" s="1"/>
  <c r="B931" i="2" a="1"/>
  <c r="B931" i="2" s="1"/>
  <c r="A931" i="2" a="1"/>
  <c r="A931" i="2" s="1"/>
  <c r="C933" i="2"/>
  <c r="F932" i="2"/>
  <c r="D930" i="2" a="1"/>
  <c r="H931" i="3" l="1" a="1"/>
  <c r="H931" i="3" s="1"/>
  <c r="I931" i="3" a="1"/>
  <c r="I931" i="3" s="1"/>
  <c r="K931" i="3" a="1"/>
  <c r="K931" i="3" s="1"/>
  <c r="C933" i="3"/>
  <c r="G932" i="3" a="1"/>
  <c r="G932" i="3" s="1"/>
  <c r="L932" i="3"/>
  <c r="M932" i="3"/>
  <c r="J932" i="3" a="1"/>
  <c r="J932" i="3" s="1"/>
  <c r="J931" i="3" a="1"/>
  <c r="J931" i="3" s="1"/>
  <c r="B931" i="3" a="1"/>
  <c r="B931" i="3" s="1"/>
  <c r="A931" i="3" a="1"/>
  <c r="A931" i="3" s="1"/>
  <c r="D930" i="2"/>
  <c r="J931" i="2" a="1"/>
  <c r="J931" i="2" s="1"/>
  <c r="K931" i="2" a="1"/>
  <c r="K931" i="2" s="1"/>
  <c r="H931" i="2" a="1"/>
  <c r="H931" i="2" s="1"/>
  <c r="I931" i="2" a="1"/>
  <c r="I931" i="2" s="1"/>
  <c r="C934" i="2"/>
  <c r="F933" i="2"/>
  <c r="A932" i="2" a="1"/>
  <c r="A932" i="2" s="1"/>
  <c r="B932" i="2" a="1"/>
  <c r="B932" i="2" s="1"/>
  <c r="D931" i="2" a="1"/>
  <c r="C934" i="3" l="1"/>
  <c r="L933" i="3"/>
  <c r="M933" i="3"/>
  <c r="H932" i="3" a="1"/>
  <c r="H932" i="3" s="1"/>
  <c r="I932" i="3" a="1"/>
  <c r="I932" i="3" s="1"/>
  <c r="K932" i="3" a="1"/>
  <c r="K932" i="3" s="1"/>
  <c r="F933" i="3"/>
  <c r="F934" i="3" s="1"/>
  <c r="A932" i="3" a="1"/>
  <c r="A932" i="3" s="1"/>
  <c r="B932" i="3" a="1"/>
  <c r="B932" i="3" s="1"/>
  <c r="D931" i="2"/>
  <c r="K932" i="2" a="1"/>
  <c r="K932" i="2" s="1"/>
  <c r="I932" i="2" a="1"/>
  <c r="I932" i="2" s="1"/>
  <c r="H932" i="2" a="1"/>
  <c r="H932" i="2" s="1"/>
  <c r="J932" i="2" a="1"/>
  <c r="J932" i="2" s="1"/>
  <c r="B933" i="2" a="1"/>
  <c r="B933" i="2" s="1"/>
  <c r="A933" i="2" a="1"/>
  <c r="A933" i="2" s="1"/>
  <c r="C935" i="2"/>
  <c r="F934" i="2"/>
  <c r="D932" i="2" a="1"/>
  <c r="G933" i="3" l="1" a="1"/>
  <c r="G933" i="3" s="1"/>
  <c r="C935" i="3"/>
  <c r="G934" i="3" a="1"/>
  <c r="G934" i="3" s="1"/>
  <c r="M934" i="3"/>
  <c r="J934" i="3" a="1"/>
  <c r="J934" i="3" s="1"/>
  <c r="L934" i="3"/>
  <c r="B933" i="3" a="1"/>
  <c r="B933" i="3" s="1"/>
  <c r="A933" i="3" a="1"/>
  <c r="A933" i="3" s="1"/>
  <c r="D932" i="2"/>
  <c r="B934" i="2" a="1"/>
  <c r="B934" i="2" s="1"/>
  <c r="A934" i="2" a="1"/>
  <c r="A934" i="2" s="1"/>
  <c r="H933" i="2" a="1"/>
  <c r="H933" i="2" s="1"/>
  <c r="I933" i="2" a="1"/>
  <c r="I933" i="2" s="1"/>
  <c r="J933" i="2" a="1"/>
  <c r="J933" i="2" s="1"/>
  <c r="K933" i="2" a="1"/>
  <c r="K933" i="2" s="1"/>
  <c r="C936" i="2"/>
  <c r="F935" i="2"/>
  <c r="D933" i="2" a="1"/>
  <c r="I933" i="3" l="1" a="1"/>
  <c r="I933" i="3" s="1"/>
  <c r="K933" i="3" a="1"/>
  <c r="K933" i="3" s="1"/>
  <c r="H933" i="3" a="1"/>
  <c r="H933" i="3" s="1"/>
  <c r="J933" i="3" a="1"/>
  <c r="J933" i="3" s="1"/>
  <c r="K934" i="3" a="1"/>
  <c r="K934" i="3" s="1"/>
  <c r="H934" i="3" a="1"/>
  <c r="H934" i="3" s="1"/>
  <c r="I934" i="3" a="1"/>
  <c r="I934" i="3" s="1"/>
  <c r="C936" i="3"/>
  <c r="G935" i="3" a="1"/>
  <c r="G935" i="3" s="1"/>
  <c r="L935" i="3"/>
  <c r="M935" i="3"/>
  <c r="F935" i="3"/>
  <c r="F936" i="3" s="1"/>
  <c r="A934" i="3" a="1"/>
  <c r="A934" i="3" s="1"/>
  <c r="B934" i="3" a="1"/>
  <c r="B934" i="3" s="1"/>
  <c r="D933" i="2"/>
  <c r="A935" i="2" a="1"/>
  <c r="A935" i="2" s="1"/>
  <c r="B935" i="2" a="1"/>
  <c r="B935" i="2" s="1"/>
  <c r="C937" i="2"/>
  <c r="F936" i="2"/>
  <c r="K934" i="2" a="1"/>
  <c r="K934" i="2" s="1"/>
  <c r="I934" i="2" a="1"/>
  <c r="I934" i="2" s="1"/>
  <c r="J934" i="2" a="1"/>
  <c r="J934" i="2" s="1"/>
  <c r="H934" i="2" a="1"/>
  <c r="H934" i="2" s="1"/>
  <c r="D934" i="2" a="1"/>
  <c r="J935" i="3" l="1" a="1"/>
  <c r="J935" i="3" s="1"/>
  <c r="H935" i="3" a="1"/>
  <c r="H935" i="3" s="1"/>
  <c r="I935" i="3" a="1"/>
  <c r="I935" i="3" s="1"/>
  <c r="K935" i="3" a="1"/>
  <c r="K935" i="3" s="1"/>
  <c r="C937" i="3"/>
  <c r="G936" i="3" a="1"/>
  <c r="G936" i="3" s="1"/>
  <c r="L936" i="3"/>
  <c r="M936" i="3"/>
  <c r="F937" i="3"/>
  <c r="A935" i="3" a="1"/>
  <c r="A935" i="3" s="1"/>
  <c r="B935" i="3" a="1"/>
  <c r="B935" i="3" s="1"/>
  <c r="D934" i="2"/>
  <c r="K935" i="2" a="1"/>
  <c r="K935" i="2" s="1"/>
  <c r="H935" i="2" a="1"/>
  <c r="H935" i="2" s="1"/>
  <c r="I935" i="2" a="1"/>
  <c r="I935" i="2" s="1"/>
  <c r="J935" i="2" a="1"/>
  <c r="J935" i="2" s="1"/>
  <c r="B936" i="2" a="1"/>
  <c r="B936" i="2" s="1"/>
  <c r="A936" i="2" a="1"/>
  <c r="A936" i="2" s="1"/>
  <c r="C938" i="2"/>
  <c r="F937" i="2"/>
  <c r="D935" i="2" a="1"/>
  <c r="I936" i="3" l="1" a="1"/>
  <c r="I936" i="3" s="1"/>
  <c r="K936" i="3" a="1"/>
  <c r="K936" i="3" s="1"/>
  <c r="H936" i="3" a="1"/>
  <c r="H936" i="3" s="1"/>
  <c r="J936" i="3" a="1"/>
  <c r="J936" i="3" s="1"/>
  <c r="C938" i="3"/>
  <c r="G937" i="3" a="1"/>
  <c r="G937" i="3" s="1"/>
  <c r="L937" i="3"/>
  <c r="M937" i="3"/>
  <c r="J937" i="3" a="1"/>
  <c r="J937" i="3" s="1"/>
  <c r="A936" i="3" a="1"/>
  <c r="A936" i="3" s="1"/>
  <c r="B936" i="3" a="1"/>
  <c r="B936" i="3" s="1"/>
  <c r="D935" i="2"/>
  <c r="B937" i="2" a="1"/>
  <c r="B937" i="2" s="1"/>
  <c r="A937" i="2" a="1"/>
  <c r="A937" i="2" s="1"/>
  <c r="C939" i="2"/>
  <c r="F938" i="2"/>
  <c r="I936" i="2" a="1"/>
  <c r="I936" i="2" s="1"/>
  <c r="H936" i="2" a="1"/>
  <c r="H936" i="2" s="1"/>
  <c r="J936" i="2" a="1"/>
  <c r="J936" i="2" s="1"/>
  <c r="K936" i="2" a="1"/>
  <c r="K936" i="2" s="1"/>
  <c r="D936" i="2" a="1"/>
  <c r="H937" i="3" l="1" a="1"/>
  <c r="H937" i="3" s="1"/>
  <c r="I937" i="3" a="1"/>
  <c r="I937" i="3" s="1"/>
  <c r="K937" i="3" a="1"/>
  <c r="K937" i="3" s="1"/>
  <c r="C939" i="3"/>
  <c r="L938" i="3"/>
  <c r="M938" i="3"/>
  <c r="F938" i="3"/>
  <c r="F939" i="3" s="1"/>
  <c r="A937" i="3" a="1"/>
  <c r="A937" i="3" s="1"/>
  <c r="B937" i="3" a="1"/>
  <c r="B937" i="3" s="1"/>
  <c r="D936" i="2"/>
  <c r="C940" i="2"/>
  <c r="F939" i="2"/>
  <c r="H937" i="2" a="1"/>
  <c r="H937" i="2" s="1"/>
  <c r="K937" i="2" a="1"/>
  <c r="K937" i="2" s="1"/>
  <c r="I937" i="2" a="1"/>
  <c r="I937" i="2" s="1"/>
  <c r="J937" i="2" a="1"/>
  <c r="J937" i="2" s="1"/>
  <c r="B938" i="2" a="1"/>
  <c r="B938" i="2" s="1"/>
  <c r="A938" i="2" a="1"/>
  <c r="A938" i="2" s="1"/>
  <c r="D937" i="2" a="1"/>
  <c r="G938" i="3" l="1" a="1"/>
  <c r="G938" i="3" s="1"/>
  <c r="C940" i="3"/>
  <c r="G939" i="3" a="1"/>
  <c r="G939" i="3" s="1"/>
  <c r="L939" i="3"/>
  <c r="M939" i="3"/>
  <c r="B938" i="3" a="1"/>
  <c r="B938" i="3" s="1"/>
  <c r="A938" i="3" a="1"/>
  <c r="A938" i="3" s="1"/>
  <c r="D937" i="2"/>
  <c r="A939" i="2" a="1"/>
  <c r="A939" i="2" s="1"/>
  <c r="B939" i="2" a="1"/>
  <c r="B939" i="2" s="1"/>
  <c r="I938" i="2" a="1"/>
  <c r="I938" i="2" s="1"/>
  <c r="K938" i="2" a="1"/>
  <c r="K938" i="2" s="1"/>
  <c r="H938" i="2" a="1"/>
  <c r="H938" i="2" s="1"/>
  <c r="J938" i="2" a="1"/>
  <c r="J938" i="2" s="1"/>
  <c r="C941" i="2"/>
  <c r="F940" i="2"/>
  <c r="D938" i="2" a="1"/>
  <c r="I939" i="3" l="1" a="1"/>
  <c r="I939" i="3" s="1"/>
  <c r="K939" i="3" a="1"/>
  <c r="K939" i="3" s="1"/>
  <c r="H939" i="3" a="1"/>
  <c r="H939" i="3" s="1"/>
  <c r="H938" i="3" a="1"/>
  <c r="H938" i="3" s="1"/>
  <c r="I938" i="3" a="1"/>
  <c r="I938" i="3" s="1"/>
  <c r="K938" i="3" a="1"/>
  <c r="K938" i="3" s="1"/>
  <c r="J938" i="3" a="1"/>
  <c r="J938" i="3" s="1"/>
  <c r="J939" i="3" a="1"/>
  <c r="J939" i="3" s="1"/>
  <c r="C941" i="3"/>
  <c r="G940" i="3" a="1"/>
  <c r="G940" i="3" s="1"/>
  <c r="L940" i="3"/>
  <c r="M940" i="3"/>
  <c r="F940" i="3"/>
  <c r="A939" i="3" a="1"/>
  <c r="A939" i="3" s="1"/>
  <c r="B939" i="3" a="1"/>
  <c r="B939" i="3" s="1"/>
  <c r="D938" i="2"/>
  <c r="J939" i="2" a="1"/>
  <c r="J939" i="2" s="1"/>
  <c r="I939" i="2" a="1"/>
  <c r="I939" i="2" s="1"/>
  <c r="K939" i="2" a="1"/>
  <c r="K939" i="2" s="1"/>
  <c r="H939" i="2" a="1"/>
  <c r="H939" i="2" s="1"/>
  <c r="A940" i="2" a="1"/>
  <c r="A940" i="2" s="1"/>
  <c r="B940" i="2" a="1"/>
  <c r="B940" i="2" s="1"/>
  <c r="C942" i="2"/>
  <c r="F941" i="2"/>
  <c r="D939" i="2" a="1"/>
  <c r="H940" i="3" l="1" a="1"/>
  <c r="H940" i="3" s="1"/>
  <c r="I940" i="3" a="1"/>
  <c r="I940" i="3" s="1"/>
  <c r="K940" i="3" a="1"/>
  <c r="K940" i="3" s="1"/>
  <c r="J940" i="3" a="1"/>
  <c r="J940" i="3" s="1"/>
  <c r="C942" i="3"/>
  <c r="L941" i="3"/>
  <c r="M941" i="3"/>
  <c r="F941" i="3"/>
  <c r="F942" i="3" s="1"/>
  <c r="A940" i="3" a="1"/>
  <c r="A940" i="3" s="1"/>
  <c r="B940" i="3" a="1"/>
  <c r="B940" i="3" s="1"/>
  <c r="D939" i="2"/>
  <c r="C943" i="2"/>
  <c r="F942" i="2"/>
  <c r="I940" i="2" a="1"/>
  <c r="I940" i="2" s="1"/>
  <c r="K940" i="2" a="1"/>
  <c r="K940" i="2" s="1"/>
  <c r="H940" i="2" a="1"/>
  <c r="H940" i="2" s="1"/>
  <c r="J940" i="2" a="1"/>
  <c r="J940" i="2" s="1"/>
  <c r="A941" i="2" a="1"/>
  <c r="A941" i="2" s="1"/>
  <c r="B941" i="2" a="1"/>
  <c r="B941" i="2" s="1"/>
  <c r="D940" i="2" a="1"/>
  <c r="C943" i="3" l="1"/>
  <c r="G942" i="3" a="1"/>
  <c r="G942" i="3" s="1"/>
  <c r="L942" i="3"/>
  <c r="M942" i="3"/>
  <c r="J942" i="3" a="1"/>
  <c r="J942" i="3" s="1"/>
  <c r="G941" i="3" a="1"/>
  <c r="G941" i="3" s="1"/>
  <c r="A941" i="3" a="1"/>
  <c r="A941" i="3" s="1"/>
  <c r="B941" i="3" a="1"/>
  <c r="B941" i="3" s="1"/>
  <c r="D940" i="2"/>
  <c r="H941" i="2" a="1"/>
  <c r="H941" i="2" s="1"/>
  <c r="K941" i="2" a="1"/>
  <c r="K941" i="2" s="1"/>
  <c r="J941" i="2" a="1"/>
  <c r="J941" i="2" s="1"/>
  <c r="I941" i="2" a="1"/>
  <c r="I941" i="2" s="1"/>
  <c r="B942" i="2" a="1"/>
  <c r="B942" i="2" s="1"/>
  <c r="A942" i="2" a="1"/>
  <c r="A942" i="2" s="1"/>
  <c r="C944" i="2"/>
  <c r="F943" i="2"/>
  <c r="D941" i="2" a="1"/>
  <c r="H941" i="3" l="1" a="1"/>
  <c r="H941" i="3" s="1"/>
  <c r="I941" i="3" a="1"/>
  <c r="I941" i="3" s="1"/>
  <c r="K941" i="3" a="1"/>
  <c r="K941" i="3" s="1"/>
  <c r="J941" i="3" a="1"/>
  <c r="J941" i="3" s="1"/>
  <c r="K942" i="3" a="1"/>
  <c r="K942" i="3" s="1"/>
  <c r="H942" i="3" a="1"/>
  <c r="H942" i="3" s="1"/>
  <c r="I942" i="3" a="1"/>
  <c r="I942" i="3" s="1"/>
  <c r="C944" i="3"/>
  <c r="G943" i="3" a="1"/>
  <c r="G943" i="3" s="1"/>
  <c r="L943" i="3"/>
  <c r="M943" i="3"/>
  <c r="J943" i="3" a="1"/>
  <c r="J943" i="3" s="1"/>
  <c r="F943" i="3"/>
  <c r="A942" i="3" a="1"/>
  <c r="A942" i="3" s="1"/>
  <c r="B942" i="3" a="1"/>
  <c r="B942" i="3" s="1"/>
  <c r="D941" i="2"/>
  <c r="J942" i="2" a="1"/>
  <c r="J942" i="2" s="1"/>
  <c r="K942" i="2" a="1"/>
  <c r="K942" i="2" s="1"/>
  <c r="H942" i="2" a="1"/>
  <c r="H942" i="2" s="1"/>
  <c r="I942" i="2" a="1"/>
  <c r="I942" i="2" s="1"/>
  <c r="C945" i="2"/>
  <c r="F944" i="2"/>
  <c r="A943" i="2" a="1"/>
  <c r="A943" i="2" s="1"/>
  <c r="B943" i="2" a="1"/>
  <c r="B943" i="2" s="1"/>
  <c r="D942" i="2" a="1"/>
  <c r="H943" i="3" l="1" a="1"/>
  <c r="H943" i="3" s="1"/>
  <c r="I943" i="3" a="1"/>
  <c r="I943" i="3" s="1"/>
  <c r="K943" i="3" a="1"/>
  <c r="K943" i="3" s="1"/>
  <c r="C945" i="3"/>
  <c r="L944" i="3"/>
  <c r="M944" i="3"/>
  <c r="F944" i="3"/>
  <c r="F945" i="3" s="1"/>
  <c r="B943" i="3" a="1"/>
  <c r="B943" i="3" s="1"/>
  <c r="A943" i="3" a="1"/>
  <c r="A943" i="3" s="1"/>
  <c r="D942" i="2"/>
  <c r="B944" i="2" a="1"/>
  <c r="B944" i="2" s="1"/>
  <c r="A944" i="2" a="1"/>
  <c r="A944" i="2" s="1"/>
  <c r="C946" i="2"/>
  <c r="F945" i="2"/>
  <c r="J943" i="2" a="1"/>
  <c r="J943" i="2" s="1"/>
  <c r="K943" i="2" a="1"/>
  <c r="K943" i="2" s="1"/>
  <c r="H943" i="2" a="1"/>
  <c r="H943" i="2" s="1"/>
  <c r="I943" i="2" a="1"/>
  <c r="I943" i="2" s="1"/>
  <c r="D943" i="2" a="1"/>
  <c r="G944" i="3" l="1" a="1"/>
  <c r="G944" i="3" s="1"/>
  <c r="C946" i="3"/>
  <c r="G945" i="3" a="1"/>
  <c r="G945" i="3" s="1"/>
  <c r="L945" i="3"/>
  <c r="M945" i="3"/>
  <c r="J945" i="3" a="1"/>
  <c r="J945" i="3" s="1"/>
  <c r="F946" i="3"/>
  <c r="B944" i="3" a="1"/>
  <c r="B944" i="3" s="1"/>
  <c r="A944" i="3" a="1"/>
  <c r="A944" i="3" s="1"/>
  <c r="D943" i="2"/>
  <c r="C947" i="2"/>
  <c r="F946" i="2"/>
  <c r="K944" i="2" a="1"/>
  <c r="K944" i="2" s="1"/>
  <c r="J944" i="2" a="1"/>
  <c r="J944" i="2" s="1"/>
  <c r="H944" i="2" a="1"/>
  <c r="H944" i="2" s="1"/>
  <c r="I944" i="2" a="1"/>
  <c r="I944" i="2" s="1"/>
  <c r="B945" i="2" a="1"/>
  <c r="B945" i="2" s="1"/>
  <c r="A945" i="2" a="1"/>
  <c r="A945" i="2" s="1"/>
  <c r="D944" i="2" a="1"/>
  <c r="C947" i="3" l="1"/>
  <c r="G946" i="3" a="1"/>
  <c r="G946" i="3" s="1"/>
  <c r="J946" i="3" a="1"/>
  <c r="J946" i="3" s="1"/>
  <c r="L946" i="3"/>
  <c r="M946" i="3"/>
  <c r="F947" i="3"/>
  <c r="I945" i="3" a="1"/>
  <c r="I945" i="3" s="1"/>
  <c r="K945" i="3" a="1"/>
  <c r="K945" i="3" s="1"/>
  <c r="H945" i="3" a="1"/>
  <c r="H945" i="3" s="1"/>
  <c r="H944" i="3" a="1"/>
  <c r="H944" i="3" s="1"/>
  <c r="I944" i="3" a="1"/>
  <c r="I944" i="3" s="1"/>
  <c r="K944" i="3" a="1"/>
  <c r="K944" i="3" s="1"/>
  <c r="J944" i="3" a="1"/>
  <c r="J944" i="3" s="1"/>
  <c r="A945" i="3" a="1"/>
  <c r="A945" i="3" s="1"/>
  <c r="B945" i="3" a="1"/>
  <c r="B945" i="3" s="1"/>
  <c r="D944" i="2"/>
  <c r="I945" i="2" a="1"/>
  <c r="I945" i="2" s="1"/>
  <c r="K945" i="2" a="1"/>
  <c r="K945" i="2" s="1"/>
  <c r="H945" i="2" a="1"/>
  <c r="H945" i="2" s="1"/>
  <c r="J945" i="2" a="1"/>
  <c r="J945" i="2" s="1"/>
  <c r="A946" i="2" a="1"/>
  <c r="A946" i="2" s="1"/>
  <c r="B946" i="2" a="1"/>
  <c r="B946" i="2" s="1"/>
  <c r="C948" i="2"/>
  <c r="F947" i="2"/>
  <c r="D945" i="2" a="1"/>
  <c r="K946" i="3" l="1" a="1"/>
  <c r="K946" i="3" s="1"/>
  <c r="H946" i="3" a="1"/>
  <c r="H946" i="3" s="1"/>
  <c r="I946" i="3" a="1"/>
  <c r="I946" i="3" s="1"/>
  <c r="C948" i="3"/>
  <c r="G947" i="3" a="1"/>
  <c r="G947" i="3" s="1"/>
  <c r="M947" i="3"/>
  <c r="L947" i="3"/>
  <c r="B946" i="3" a="1"/>
  <c r="B946" i="3" s="1"/>
  <c r="A946" i="3" a="1"/>
  <c r="A946" i="3" s="1"/>
  <c r="D945" i="2"/>
  <c r="C949" i="2"/>
  <c r="F948" i="2"/>
  <c r="J946" i="2" a="1"/>
  <c r="J946" i="2" s="1"/>
  <c r="K946" i="2" a="1"/>
  <c r="K946" i="2" s="1"/>
  <c r="I946" i="2" a="1"/>
  <c r="I946" i="2" s="1"/>
  <c r="H946" i="2" a="1"/>
  <c r="H946" i="2" s="1"/>
  <c r="A947" i="2" a="1"/>
  <c r="A947" i="2" s="1"/>
  <c r="B947" i="2" a="1"/>
  <c r="B947" i="2" s="1"/>
  <c r="D946" i="2" a="1"/>
  <c r="J947" i="3" l="1" a="1"/>
  <c r="J947" i="3" s="1"/>
  <c r="H947" i="3" a="1"/>
  <c r="H947" i="3" s="1"/>
  <c r="I947" i="3" a="1"/>
  <c r="I947" i="3" s="1"/>
  <c r="K947" i="3" a="1"/>
  <c r="K947" i="3" s="1"/>
  <c r="C949" i="3"/>
  <c r="L948" i="3"/>
  <c r="M948" i="3"/>
  <c r="F948" i="3"/>
  <c r="F949" i="3" s="1"/>
  <c r="B947" i="3" a="1"/>
  <c r="B947" i="3" s="1"/>
  <c r="A947" i="3" a="1"/>
  <c r="A947" i="3" s="1"/>
  <c r="D946" i="2"/>
  <c r="J947" i="2" a="1"/>
  <c r="J947" i="2" s="1"/>
  <c r="H947" i="2" a="1"/>
  <c r="H947" i="2" s="1"/>
  <c r="K947" i="2" a="1"/>
  <c r="K947" i="2" s="1"/>
  <c r="I947" i="2" a="1"/>
  <c r="I947" i="2" s="1"/>
  <c r="B948" i="2" a="1"/>
  <c r="B948" i="2" s="1"/>
  <c r="A948" i="2" a="1"/>
  <c r="A948" i="2" s="1"/>
  <c r="C950" i="2"/>
  <c r="F949" i="2"/>
  <c r="D947" i="2" a="1"/>
  <c r="G948" i="3" l="1" a="1"/>
  <c r="G948" i="3" s="1"/>
  <c r="C950" i="3"/>
  <c r="G949" i="3" a="1"/>
  <c r="G949" i="3" s="1"/>
  <c r="L949" i="3"/>
  <c r="M949" i="3"/>
  <c r="A948" i="3" a="1"/>
  <c r="A948" i="3" s="1"/>
  <c r="B948" i="3" a="1"/>
  <c r="B948" i="3" s="1"/>
  <c r="D947" i="2"/>
  <c r="B949" i="2" a="1"/>
  <c r="B949" i="2" s="1"/>
  <c r="A949" i="2" a="1"/>
  <c r="A949" i="2" s="1"/>
  <c r="C951" i="2"/>
  <c r="F950" i="2"/>
  <c r="J948" i="2" a="1"/>
  <c r="J948" i="2" s="1"/>
  <c r="I948" i="2" a="1"/>
  <c r="I948" i="2" s="1"/>
  <c r="H948" i="2" a="1"/>
  <c r="H948" i="2" s="1"/>
  <c r="K948" i="2" a="1"/>
  <c r="K948" i="2" s="1"/>
  <c r="D948" i="2" a="1"/>
  <c r="H949" i="3" l="1" a="1"/>
  <c r="H949" i="3" s="1"/>
  <c r="I949" i="3" a="1"/>
  <c r="I949" i="3" s="1"/>
  <c r="K949" i="3" a="1"/>
  <c r="K949" i="3" s="1"/>
  <c r="C951" i="3"/>
  <c r="G950" i="3" a="1"/>
  <c r="G950" i="3" s="1"/>
  <c r="L950" i="3"/>
  <c r="M950" i="3"/>
  <c r="J950" i="3" a="1"/>
  <c r="J950" i="3" s="1"/>
  <c r="J949" i="3" a="1"/>
  <c r="J949" i="3" s="1"/>
  <c r="H948" i="3" a="1"/>
  <c r="H948" i="3" s="1"/>
  <c r="I948" i="3" a="1"/>
  <c r="I948" i="3" s="1"/>
  <c r="K948" i="3" a="1"/>
  <c r="K948" i="3" s="1"/>
  <c r="J948" i="3" a="1"/>
  <c r="J948" i="3" s="1"/>
  <c r="F950" i="3"/>
  <c r="F951" i="3" s="1"/>
  <c r="A949" i="3" a="1"/>
  <c r="A949" i="3" s="1"/>
  <c r="B949" i="3" a="1"/>
  <c r="B949" i="3" s="1"/>
  <c r="D948" i="2"/>
  <c r="C952" i="2"/>
  <c r="F951" i="2"/>
  <c r="K949" i="2" a="1"/>
  <c r="K949" i="2" s="1"/>
  <c r="J949" i="2" a="1"/>
  <c r="J949" i="2" s="1"/>
  <c r="I949" i="2" a="1"/>
  <c r="I949" i="2" s="1"/>
  <c r="H949" i="2" a="1"/>
  <c r="H949" i="2" s="1"/>
  <c r="B950" i="2" a="1"/>
  <c r="B950" i="2" s="1"/>
  <c r="A950" i="2" a="1"/>
  <c r="A950" i="2" s="1"/>
  <c r="D949" i="2" a="1"/>
  <c r="C952" i="3" l="1"/>
  <c r="G951" i="3" a="1"/>
  <c r="G951" i="3" s="1"/>
  <c r="L951" i="3"/>
  <c r="M951" i="3"/>
  <c r="J951" i="3" a="1"/>
  <c r="J951" i="3" s="1"/>
  <c r="I950" i="3" a="1"/>
  <c r="I950" i="3" s="1"/>
  <c r="H950" i="3" a="1"/>
  <c r="H950" i="3" s="1"/>
  <c r="K950" i="3" a="1"/>
  <c r="K950" i="3" s="1"/>
  <c r="F952" i="3"/>
  <c r="B950" i="3" a="1"/>
  <c r="B950" i="3" s="1"/>
  <c r="A950" i="3" a="1"/>
  <c r="A950" i="3" s="1"/>
  <c r="D949" i="2"/>
  <c r="K950" i="2" a="1"/>
  <c r="K950" i="2" s="1"/>
  <c r="J950" i="2" a="1"/>
  <c r="J950" i="2" s="1"/>
  <c r="H950" i="2" a="1"/>
  <c r="H950" i="2" s="1"/>
  <c r="I950" i="2" a="1"/>
  <c r="I950" i="2" s="1"/>
  <c r="B951" i="2" a="1"/>
  <c r="B951" i="2" s="1"/>
  <c r="A951" i="2" a="1"/>
  <c r="A951" i="2" s="1"/>
  <c r="C953" i="2"/>
  <c r="F952" i="2"/>
  <c r="D950" i="2" a="1"/>
  <c r="K951" i="3" l="1" a="1"/>
  <c r="K951" i="3" s="1"/>
  <c r="I951" i="3" a="1"/>
  <c r="I951" i="3" s="1"/>
  <c r="H951" i="3" a="1"/>
  <c r="H951" i="3" s="1"/>
  <c r="C953" i="3"/>
  <c r="G952" i="3" a="1"/>
  <c r="G952" i="3" s="1"/>
  <c r="J952" i="3" a="1"/>
  <c r="J952" i="3" s="1"/>
  <c r="L952" i="3"/>
  <c r="M952" i="3"/>
  <c r="A951" i="3" a="1"/>
  <c r="A951" i="3" s="1"/>
  <c r="B951" i="3" a="1"/>
  <c r="B951" i="3" s="1"/>
  <c r="D950" i="2"/>
  <c r="C954" i="2"/>
  <c r="F953" i="2"/>
  <c r="A952" i="2" a="1"/>
  <c r="A952" i="2" s="1"/>
  <c r="B952" i="2" a="1"/>
  <c r="B952" i="2" s="1"/>
  <c r="K951" i="2" a="1"/>
  <c r="K951" i="2" s="1"/>
  <c r="I951" i="2" a="1"/>
  <c r="I951" i="2" s="1"/>
  <c r="J951" i="2" a="1"/>
  <c r="J951" i="2" s="1"/>
  <c r="H951" i="2" a="1"/>
  <c r="H951" i="2" s="1"/>
  <c r="D951" i="2" a="1"/>
  <c r="H952" i="3" l="1" a="1"/>
  <c r="H952" i="3" s="1"/>
  <c r="I952" i="3" a="1"/>
  <c r="I952" i="3" s="1"/>
  <c r="K952" i="3" a="1"/>
  <c r="K952" i="3" s="1"/>
  <c r="C954" i="3"/>
  <c r="L953" i="3"/>
  <c r="M953" i="3"/>
  <c r="F953" i="3"/>
  <c r="F954" i="3" s="1"/>
  <c r="A952" i="3" a="1"/>
  <c r="A952" i="3" s="1"/>
  <c r="B952" i="3" a="1"/>
  <c r="B952" i="3" s="1"/>
  <c r="D951" i="2"/>
  <c r="K952" i="2" a="1"/>
  <c r="K952" i="2" s="1"/>
  <c r="J952" i="2" a="1"/>
  <c r="J952" i="2" s="1"/>
  <c r="H952" i="2" a="1"/>
  <c r="H952" i="2" s="1"/>
  <c r="I952" i="2" a="1"/>
  <c r="I952" i="2" s="1"/>
  <c r="A953" i="2" a="1"/>
  <c r="A953" i="2" s="1"/>
  <c r="B953" i="2" a="1"/>
  <c r="B953" i="2" s="1"/>
  <c r="C955" i="2"/>
  <c r="F954" i="2"/>
  <c r="D952" i="2" a="1"/>
  <c r="G953" i="3" l="1" a="1"/>
  <c r="G953" i="3" s="1"/>
  <c r="C955" i="3"/>
  <c r="G954" i="3" a="1"/>
  <c r="G954" i="3" s="1"/>
  <c r="L954" i="3"/>
  <c r="M954" i="3"/>
  <c r="A953" i="3" a="1"/>
  <c r="A953" i="3" s="1"/>
  <c r="B953" i="3" a="1"/>
  <c r="B953" i="3" s="1"/>
  <c r="D952" i="2"/>
  <c r="B954" i="2" a="1"/>
  <c r="B954" i="2" s="1"/>
  <c r="A954" i="2" a="1"/>
  <c r="A954" i="2" s="1"/>
  <c r="C956" i="2"/>
  <c r="F955" i="2"/>
  <c r="H953" i="2" a="1"/>
  <c r="H953" i="2" s="1"/>
  <c r="K953" i="2" a="1"/>
  <c r="K953" i="2" s="1"/>
  <c r="J953" i="2" a="1"/>
  <c r="J953" i="2" s="1"/>
  <c r="I953" i="2" a="1"/>
  <c r="I953" i="2" s="1"/>
  <c r="D953" i="2" a="1"/>
  <c r="H954" i="3" l="1" a="1"/>
  <c r="H954" i="3" s="1"/>
  <c r="I954" i="3" a="1"/>
  <c r="I954" i="3" s="1"/>
  <c r="K954" i="3" a="1"/>
  <c r="K954" i="3" s="1"/>
  <c r="C956" i="3"/>
  <c r="G955" i="3" a="1"/>
  <c r="G955" i="3" s="1"/>
  <c r="M955" i="3"/>
  <c r="L955" i="3"/>
  <c r="J954" i="3" a="1"/>
  <c r="J954" i="3" s="1"/>
  <c r="H953" i="3" a="1"/>
  <c r="H953" i="3" s="1"/>
  <c r="I953" i="3" a="1"/>
  <c r="I953" i="3" s="1"/>
  <c r="K953" i="3" a="1"/>
  <c r="K953" i="3" s="1"/>
  <c r="J953" i="3" a="1"/>
  <c r="J953" i="3" s="1"/>
  <c r="F955" i="3"/>
  <c r="A954" i="3" a="1"/>
  <c r="A954" i="3" s="1"/>
  <c r="B954" i="3" a="1"/>
  <c r="B954" i="3" s="1"/>
  <c r="D953" i="2"/>
  <c r="I954" i="2" a="1"/>
  <c r="I954" i="2" s="1"/>
  <c r="J954" i="2" a="1"/>
  <c r="J954" i="2" s="1"/>
  <c r="K954" i="2" a="1"/>
  <c r="K954" i="2" s="1"/>
  <c r="H954" i="2" a="1"/>
  <c r="H954" i="2" s="1"/>
  <c r="B955" i="2" a="1"/>
  <c r="B955" i="2" s="1"/>
  <c r="A955" i="2" a="1"/>
  <c r="A955" i="2" s="1"/>
  <c r="C957" i="2"/>
  <c r="F956" i="2"/>
  <c r="D954" i="2" a="1"/>
  <c r="H955" i="3" l="1" a="1"/>
  <c r="H955" i="3" s="1"/>
  <c r="K955" i="3" a="1"/>
  <c r="K955" i="3" s="1"/>
  <c r="I955" i="3" a="1"/>
  <c r="I955" i="3" s="1"/>
  <c r="J955" i="3" a="1"/>
  <c r="J955" i="3" s="1"/>
  <c r="C957" i="3"/>
  <c r="L956" i="3"/>
  <c r="M956" i="3"/>
  <c r="F956" i="3"/>
  <c r="F957" i="3" s="1"/>
  <c r="B955" i="3" a="1"/>
  <c r="B955" i="3" s="1"/>
  <c r="A955" i="3" a="1"/>
  <c r="A955" i="3" s="1"/>
  <c r="D954" i="2"/>
  <c r="C958" i="2"/>
  <c r="F957" i="2"/>
  <c r="A956" i="2" a="1"/>
  <c r="A956" i="2" s="1"/>
  <c r="B956" i="2" a="1"/>
  <c r="B956" i="2" s="1"/>
  <c r="K955" i="2" a="1"/>
  <c r="K955" i="2" s="1"/>
  <c r="I955" i="2" a="1"/>
  <c r="I955" i="2" s="1"/>
  <c r="H955" i="2" a="1"/>
  <c r="H955" i="2" s="1"/>
  <c r="J955" i="2" a="1"/>
  <c r="J955" i="2" s="1"/>
  <c r="D955" i="2" a="1"/>
  <c r="G956" i="3" l="1" a="1"/>
  <c r="G956" i="3" s="1"/>
  <c r="C958" i="3"/>
  <c r="G957" i="3" a="1"/>
  <c r="G957" i="3" s="1"/>
  <c r="L957" i="3"/>
  <c r="M957" i="3"/>
  <c r="J957" i="3" a="1"/>
  <c r="J957" i="3" s="1"/>
  <c r="F958" i="3"/>
  <c r="A956" i="3" a="1"/>
  <c r="A956" i="3" s="1"/>
  <c r="B956" i="3" a="1"/>
  <c r="B956" i="3" s="1"/>
  <c r="D955" i="2"/>
  <c r="K956" i="2" a="1"/>
  <c r="K956" i="2" s="1"/>
  <c r="H956" i="2" a="1"/>
  <c r="H956" i="2" s="1"/>
  <c r="I956" i="2" a="1"/>
  <c r="I956" i="2" s="1"/>
  <c r="J956" i="2" a="1"/>
  <c r="J956" i="2" s="1"/>
  <c r="B957" i="2" a="1"/>
  <c r="B957" i="2" s="1"/>
  <c r="A957" i="2" a="1"/>
  <c r="A957" i="2" s="1"/>
  <c r="C959" i="2"/>
  <c r="F958" i="2"/>
  <c r="D956" i="2" a="1"/>
  <c r="C959" i="3" l="1"/>
  <c r="G958" i="3" a="1"/>
  <c r="G958" i="3" s="1"/>
  <c r="M958" i="3"/>
  <c r="J958" i="3" a="1"/>
  <c r="J958" i="3" s="1"/>
  <c r="L958" i="3"/>
  <c r="F959" i="3"/>
  <c r="K957" i="3" a="1"/>
  <c r="K957" i="3" s="1"/>
  <c r="I957" i="3" a="1"/>
  <c r="I957" i="3" s="1"/>
  <c r="H957" i="3" a="1"/>
  <c r="H957" i="3" s="1"/>
  <c r="I956" i="3" a="1"/>
  <c r="I956" i="3" s="1"/>
  <c r="H956" i="3" a="1"/>
  <c r="H956" i="3" s="1"/>
  <c r="K956" i="3" a="1"/>
  <c r="K956" i="3" s="1"/>
  <c r="J956" i="3" a="1"/>
  <c r="J956" i="3" s="1"/>
  <c r="A957" i="3" a="1"/>
  <c r="A957" i="3" s="1"/>
  <c r="B957" i="3" a="1"/>
  <c r="B957" i="3" s="1"/>
  <c r="D956" i="2"/>
  <c r="A958" i="2" a="1"/>
  <c r="A958" i="2" s="1"/>
  <c r="B958" i="2" a="1"/>
  <c r="B958" i="2" s="1"/>
  <c r="C960" i="2"/>
  <c r="F959" i="2"/>
  <c r="H957" i="2" a="1"/>
  <c r="H957" i="2" s="1"/>
  <c r="K957" i="2" a="1"/>
  <c r="K957" i="2" s="1"/>
  <c r="I957" i="2" a="1"/>
  <c r="I957" i="2" s="1"/>
  <c r="J957" i="2" a="1"/>
  <c r="J957" i="2" s="1"/>
  <c r="D957" i="2" a="1"/>
  <c r="K958" i="3" l="1" a="1"/>
  <c r="K958" i="3" s="1"/>
  <c r="H958" i="3" a="1"/>
  <c r="H958" i="3" s="1"/>
  <c r="I958" i="3" a="1"/>
  <c r="I958" i="3" s="1"/>
  <c r="C960" i="3"/>
  <c r="G959" i="3" a="1"/>
  <c r="G959" i="3" s="1"/>
  <c r="L959" i="3"/>
  <c r="M959" i="3"/>
  <c r="J959" i="3" a="1"/>
  <c r="J959" i="3" s="1"/>
  <c r="A958" i="3" a="1"/>
  <c r="A958" i="3" s="1"/>
  <c r="B958" i="3" a="1"/>
  <c r="B958" i="3" s="1"/>
  <c r="D957" i="2"/>
  <c r="B959" i="2" a="1"/>
  <c r="B959" i="2" s="1"/>
  <c r="A959" i="2" a="1"/>
  <c r="A959" i="2" s="1"/>
  <c r="K958" i="2" a="1"/>
  <c r="K958" i="2" s="1"/>
  <c r="I958" i="2" a="1"/>
  <c r="I958" i="2" s="1"/>
  <c r="H958" i="2" a="1"/>
  <c r="H958" i="2" s="1"/>
  <c r="J958" i="2" a="1"/>
  <c r="J958" i="2" s="1"/>
  <c r="C961" i="2"/>
  <c r="F960" i="2"/>
  <c r="D958" i="2" a="1"/>
  <c r="C961" i="3" l="1"/>
  <c r="L960" i="3"/>
  <c r="M960" i="3"/>
  <c r="F960" i="3"/>
  <c r="F961" i="3" s="1"/>
  <c r="I959" i="3" a="1"/>
  <c r="I959" i="3" s="1"/>
  <c r="H959" i="3" a="1"/>
  <c r="H959" i="3" s="1"/>
  <c r="K959" i="3" a="1"/>
  <c r="K959" i="3" s="1"/>
  <c r="B959" i="3" a="1"/>
  <c r="B959" i="3" s="1"/>
  <c r="A959" i="3" a="1"/>
  <c r="A959" i="3" s="1"/>
  <c r="D958" i="2"/>
  <c r="A960" i="2" a="1"/>
  <c r="A960" i="2" s="1"/>
  <c r="B960" i="2" a="1"/>
  <c r="B960" i="2" s="1"/>
  <c r="I959" i="2" a="1"/>
  <c r="I959" i="2" s="1"/>
  <c r="K959" i="2" a="1"/>
  <c r="K959" i="2" s="1"/>
  <c r="H959" i="2" a="1"/>
  <c r="H959" i="2" s="1"/>
  <c r="J959" i="2" a="1"/>
  <c r="J959" i="2" s="1"/>
  <c r="C962" i="2"/>
  <c r="F961" i="2"/>
  <c r="D959" i="2" a="1"/>
  <c r="G960" i="3" l="1" a="1"/>
  <c r="G960" i="3" s="1"/>
  <c r="C962" i="3"/>
  <c r="G961" i="3" a="1"/>
  <c r="G961" i="3" s="1"/>
  <c r="L961" i="3"/>
  <c r="M961" i="3"/>
  <c r="J961" i="3" a="1"/>
  <c r="J961" i="3" s="1"/>
  <c r="A960" i="3" a="1"/>
  <c r="A960" i="3" s="1"/>
  <c r="B960" i="3" a="1"/>
  <c r="B960" i="3" s="1"/>
  <c r="D959" i="2"/>
  <c r="A961" i="2" a="1"/>
  <c r="A961" i="2" s="1"/>
  <c r="B961" i="2" a="1"/>
  <c r="B961" i="2" s="1"/>
  <c r="C963" i="2"/>
  <c r="F962" i="2"/>
  <c r="K960" i="2" a="1"/>
  <c r="K960" i="2" s="1"/>
  <c r="I960" i="2" a="1"/>
  <c r="I960" i="2" s="1"/>
  <c r="J960" i="2" a="1"/>
  <c r="J960" i="2" s="1"/>
  <c r="H960" i="2" a="1"/>
  <c r="H960" i="2" s="1"/>
  <c r="D960" i="2" a="1"/>
  <c r="C963" i="3" l="1"/>
  <c r="G962" i="3" a="1"/>
  <c r="G962" i="3" s="1"/>
  <c r="L962" i="3"/>
  <c r="M962" i="3"/>
  <c r="J962" i="3" a="1"/>
  <c r="J962" i="3" s="1"/>
  <c r="H961" i="3" a="1"/>
  <c r="H961" i="3" s="1"/>
  <c r="K961" i="3" a="1"/>
  <c r="K961" i="3" s="1"/>
  <c r="I961" i="3" a="1"/>
  <c r="I961" i="3" s="1"/>
  <c r="K960" i="3" a="1"/>
  <c r="K960" i="3" s="1"/>
  <c r="H960" i="3" a="1"/>
  <c r="H960" i="3" s="1"/>
  <c r="I960" i="3" a="1"/>
  <c r="I960" i="3" s="1"/>
  <c r="J960" i="3" a="1"/>
  <c r="J960" i="3" s="1"/>
  <c r="F962" i="3"/>
  <c r="F963" i="3" s="1"/>
  <c r="A961" i="3" a="1"/>
  <c r="A961" i="3" s="1"/>
  <c r="B961" i="3" a="1"/>
  <c r="B961" i="3" s="1"/>
  <c r="D960" i="2"/>
  <c r="H961" i="2" a="1"/>
  <c r="H961" i="2" s="1"/>
  <c r="J961" i="2" a="1"/>
  <c r="J961" i="2" s="1"/>
  <c r="K961" i="2" a="1"/>
  <c r="K961" i="2" s="1"/>
  <c r="I961" i="2" a="1"/>
  <c r="I961" i="2" s="1"/>
  <c r="B962" i="2" a="1"/>
  <c r="B962" i="2" s="1"/>
  <c r="A962" i="2" a="1"/>
  <c r="A962" i="2" s="1"/>
  <c r="C964" i="2"/>
  <c r="F963" i="2"/>
  <c r="D961" i="2" a="1"/>
  <c r="I962" i="3" l="1" a="1"/>
  <c r="I962" i="3" s="1"/>
  <c r="H962" i="3" a="1"/>
  <c r="H962" i="3" s="1"/>
  <c r="K962" i="3" a="1"/>
  <c r="K962" i="3" s="1"/>
  <c r="C964" i="3"/>
  <c r="G963" i="3" a="1"/>
  <c r="G963" i="3" s="1"/>
  <c r="L963" i="3"/>
  <c r="M963" i="3"/>
  <c r="J963" i="3" a="1"/>
  <c r="J963" i="3" s="1"/>
  <c r="B962" i="3" a="1"/>
  <c r="B962" i="3" s="1"/>
  <c r="A962" i="3" a="1"/>
  <c r="A962" i="3" s="1"/>
  <c r="D961" i="2"/>
  <c r="B963" i="2" a="1"/>
  <c r="B963" i="2" s="1"/>
  <c r="A963" i="2" a="1"/>
  <c r="A963" i="2" s="1"/>
  <c r="I962" i="2" a="1"/>
  <c r="I962" i="2" s="1"/>
  <c r="J962" i="2" a="1"/>
  <c r="J962" i="2" s="1"/>
  <c r="K962" i="2" a="1"/>
  <c r="K962" i="2" s="1"/>
  <c r="H962" i="2" a="1"/>
  <c r="H962" i="2" s="1"/>
  <c r="C965" i="2"/>
  <c r="F964" i="2"/>
  <c r="D962" i="2" a="1"/>
  <c r="K963" i="3" l="1" a="1"/>
  <c r="K963" i="3" s="1"/>
  <c r="I963" i="3" a="1"/>
  <c r="I963" i="3" s="1"/>
  <c r="H963" i="3" a="1"/>
  <c r="H963" i="3" s="1"/>
  <c r="C965" i="3"/>
  <c r="L964" i="3"/>
  <c r="M964" i="3"/>
  <c r="F964" i="3"/>
  <c r="F965" i="3" s="1"/>
  <c r="A963" i="3" a="1"/>
  <c r="A963" i="3" s="1"/>
  <c r="B963" i="3" a="1"/>
  <c r="B963" i="3" s="1"/>
  <c r="D962" i="2"/>
  <c r="H963" i="2" a="1"/>
  <c r="H963" i="2" s="1"/>
  <c r="J963" i="2" a="1"/>
  <c r="J963" i="2" s="1"/>
  <c r="K963" i="2" a="1"/>
  <c r="K963" i="2" s="1"/>
  <c r="I963" i="2" a="1"/>
  <c r="I963" i="2" s="1"/>
  <c r="C966" i="2"/>
  <c r="F965" i="2"/>
  <c r="A964" i="2" a="1"/>
  <c r="A964" i="2" s="1"/>
  <c r="B964" i="2" a="1"/>
  <c r="B964" i="2" s="1"/>
  <c r="D963" i="2" a="1"/>
  <c r="G964" i="3" l="1" a="1"/>
  <c r="G964" i="3" s="1"/>
  <c r="C966" i="3"/>
  <c r="G965" i="3" a="1"/>
  <c r="G965" i="3" s="1"/>
  <c r="L965" i="3"/>
  <c r="M965" i="3"/>
  <c r="J965" i="3" a="1"/>
  <c r="J965" i="3" s="1"/>
  <c r="F966" i="3"/>
  <c r="A964" i="3" a="1"/>
  <c r="A964" i="3" s="1"/>
  <c r="B964" i="3" a="1"/>
  <c r="B964" i="3" s="1"/>
  <c r="D963" i="2"/>
  <c r="I964" i="2" a="1"/>
  <c r="I964" i="2" s="1"/>
  <c r="J964" i="2" a="1"/>
  <c r="J964" i="2" s="1"/>
  <c r="H964" i="2" a="1"/>
  <c r="H964" i="2" s="1"/>
  <c r="K964" i="2" a="1"/>
  <c r="K964" i="2" s="1"/>
  <c r="C967" i="2"/>
  <c r="F966" i="2"/>
  <c r="A965" i="2" a="1"/>
  <c r="A965" i="2" s="1"/>
  <c r="B965" i="2" a="1"/>
  <c r="B965" i="2" s="1"/>
  <c r="D964" i="2" a="1"/>
  <c r="C967" i="3" l="1"/>
  <c r="G966" i="3" a="1"/>
  <c r="G966" i="3" s="1"/>
  <c r="L966" i="3"/>
  <c r="M966" i="3"/>
  <c r="J966" i="3" a="1"/>
  <c r="J966" i="3" s="1"/>
  <c r="F967" i="3"/>
  <c r="I965" i="3" a="1"/>
  <c r="I965" i="3" s="1"/>
  <c r="H965" i="3" a="1"/>
  <c r="H965" i="3" s="1"/>
  <c r="K965" i="3" a="1"/>
  <c r="K965" i="3" s="1"/>
  <c r="K964" i="3" a="1"/>
  <c r="K964" i="3" s="1"/>
  <c r="H964" i="3" a="1"/>
  <c r="H964" i="3" s="1"/>
  <c r="I964" i="3" a="1"/>
  <c r="I964" i="3" s="1"/>
  <c r="J964" i="3" a="1"/>
  <c r="J964" i="3" s="1"/>
  <c r="A965" i="3" a="1"/>
  <c r="A965" i="3" s="1"/>
  <c r="B965" i="3" a="1"/>
  <c r="B965" i="3" s="1"/>
  <c r="D964" i="2"/>
  <c r="H965" i="2" a="1"/>
  <c r="H965" i="2" s="1"/>
  <c r="J965" i="2" a="1"/>
  <c r="J965" i="2" s="1"/>
  <c r="I965" i="2" a="1"/>
  <c r="I965" i="2" s="1"/>
  <c r="K965" i="2" a="1"/>
  <c r="K965" i="2" s="1"/>
  <c r="B966" i="2" a="1"/>
  <c r="B966" i="2" s="1"/>
  <c r="A966" i="2" a="1"/>
  <c r="A966" i="2" s="1"/>
  <c r="C968" i="2"/>
  <c r="F967" i="2"/>
  <c r="D965" i="2" a="1"/>
  <c r="I966" i="3" l="1" a="1"/>
  <c r="I966" i="3" s="1"/>
  <c r="K966" i="3" a="1"/>
  <c r="K966" i="3" s="1"/>
  <c r="H966" i="3" a="1"/>
  <c r="H966" i="3" s="1"/>
  <c r="C968" i="3"/>
  <c r="G967" i="3" a="1"/>
  <c r="G967" i="3" s="1"/>
  <c r="L967" i="3"/>
  <c r="M967" i="3"/>
  <c r="J967" i="3" a="1"/>
  <c r="J967" i="3" s="1"/>
  <c r="A966" i="3" a="1"/>
  <c r="A966" i="3" s="1"/>
  <c r="B966" i="3" a="1"/>
  <c r="B966" i="3" s="1"/>
  <c r="D965" i="2"/>
  <c r="A967" i="2" a="1"/>
  <c r="A967" i="2" s="1"/>
  <c r="B967" i="2" a="1"/>
  <c r="B967" i="2" s="1"/>
  <c r="H966" i="2" a="1"/>
  <c r="H966" i="2" s="1"/>
  <c r="J966" i="2" a="1"/>
  <c r="J966" i="2" s="1"/>
  <c r="I966" i="2" a="1"/>
  <c r="I966" i="2" s="1"/>
  <c r="K966" i="2" a="1"/>
  <c r="K966" i="2" s="1"/>
  <c r="C969" i="2"/>
  <c r="F968" i="2"/>
  <c r="D966" i="2" a="1"/>
  <c r="I967" i="3" l="1" a="1"/>
  <c r="I967" i="3" s="1"/>
  <c r="K967" i="3" a="1"/>
  <c r="K967" i="3" s="1"/>
  <c r="H967" i="3" a="1"/>
  <c r="H967" i="3" s="1"/>
  <c r="C969" i="3"/>
  <c r="L968" i="3"/>
  <c r="M968" i="3"/>
  <c r="F968" i="3"/>
  <c r="F969" i="3" s="1"/>
  <c r="B967" i="3" a="1"/>
  <c r="B967" i="3" s="1"/>
  <c r="A967" i="3" a="1"/>
  <c r="A967" i="3" s="1"/>
  <c r="D966" i="2"/>
  <c r="B968" i="2" a="1"/>
  <c r="B968" i="2" s="1"/>
  <c r="A968" i="2" a="1"/>
  <c r="A968" i="2" s="1"/>
  <c r="I967" i="2" a="1"/>
  <c r="I967" i="2" s="1"/>
  <c r="J967" i="2" a="1"/>
  <c r="J967" i="2" s="1"/>
  <c r="K967" i="2" a="1"/>
  <c r="K967" i="2" s="1"/>
  <c r="H967" i="2" a="1"/>
  <c r="H967" i="2" s="1"/>
  <c r="C970" i="2"/>
  <c r="F969" i="2"/>
  <c r="D967" i="2" a="1"/>
  <c r="G968" i="3" l="1" a="1"/>
  <c r="G968" i="3" s="1"/>
  <c r="C970" i="3"/>
  <c r="G969" i="3" a="1"/>
  <c r="G969" i="3" s="1"/>
  <c r="L969" i="3"/>
  <c r="M969" i="3"/>
  <c r="J969" i="3" a="1"/>
  <c r="J969" i="3" s="1"/>
  <c r="A968" i="3" a="1"/>
  <c r="A968" i="3" s="1"/>
  <c r="B968" i="3" a="1"/>
  <c r="B968" i="3" s="1"/>
  <c r="D967" i="2"/>
  <c r="A969" i="2" a="1"/>
  <c r="A969" i="2" s="1"/>
  <c r="B969" i="2" a="1"/>
  <c r="B969" i="2" s="1"/>
  <c r="C971" i="2"/>
  <c r="F970" i="2"/>
  <c r="H968" i="2" a="1"/>
  <c r="H968" i="2" s="1"/>
  <c r="J968" i="2" a="1"/>
  <c r="J968" i="2" s="1"/>
  <c r="I968" i="2" a="1"/>
  <c r="I968" i="2" s="1"/>
  <c r="K968" i="2" a="1"/>
  <c r="K968" i="2" s="1"/>
  <c r="D968" i="2" a="1"/>
  <c r="I968" i="3" l="1" a="1"/>
  <c r="I968" i="3" s="1"/>
  <c r="K968" i="3" a="1"/>
  <c r="K968" i="3" s="1"/>
  <c r="H968" i="3" a="1"/>
  <c r="H968" i="3" s="1"/>
  <c r="J968" i="3" a="1"/>
  <c r="J968" i="3" s="1"/>
  <c r="I969" i="3" a="1"/>
  <c r="I969" i="3" s="1"/>
  <c r="K969" i="3" a="1"/>
  <c r="K969" i="3" s="1"/>
  <c r="H969" i="3" a="1"/>
  <c r="H969" i="3" s="1"/>
  <c r="C971" i="3"/>
  <c r="G970" i="3" a="1"/>
  <c r="G970" i="3" s="1"/>
  <c r="J970" i="3" s="1" a="1"/>
  <c r="J970" i="3" s="1"/>
  <c r="L970" i="3"/>
  <c r="M970" i="3"/>
  <c r="F970" i="3"/>
  <c r="A969" i="3" a="1"/>
  <c r="A969" i="3" s="1"/>
  <c r="B969" i="3" a="1"/>
  <c r="B969" i="3" s="1"/>
  <c r="D968" i="2"/>
  <c r="J969" i="2" a="1"/>
  <c r="J969" i="2" s="1"/>
  <c r="H969" i="2" a="1"/>
  <c r="H969" i="2" s="1"/>
  <c r="K969" i="2" a="1"/>
  <c r="K969" i="2" s="1"/>
  <c r="I969" i="2" a="1"/>
  <c r="I969" i="2" s="1"/>
  <c r="A970" i="2" a="1"/>
  <c r="A970" i="2" s="1"/>
  <c r="B970" i="2" a="1"/>
  <c r="B970" i="2" s="1"/>
  <c r="C972" i="2"/>
  <c r="F971" i="2"/>
  <c r="D969" i="2" a="1"/>
  <c r="I970" i="3" l="1" a="1"/>
  <c r="I970" i="3" s="1"/>
  <c r="K970" i="3" a="1"/>
  <c r="K970" i="3" s="1"/>
  <c r="H970" i="3" a="1"/>
  <c r="H970" i="3" s="1"/>
  <c r="C972" i="3"/>
  <c r="L971" i="3"/>
  <c r="M971" i="3"/>
  <c r="F971" i="3"/>
  <c r="F972" i="3" s="1"/>
  <c r="A970" i="3" a="1"/>
  <c r="A970" i="3" s="1"/>
  <c r="B970" i="3" a="1"/>
  <c r="B970" i="3" s="1"/>
  <c r="D969" i="2"/>
  <c r="A971" i="2" a="1"/>
  <c r="A971" i="2" s="1"/>
  <c r="B971" i="2" a="1"/>
  <c r="B971" i="2" s="1"/>
  <c r="C973" i="2"/>
  <c r="F972" i="2"/>
  <c r="K970" i="2" a="1"/>
  <c r="K970" i="2" s="1"/>
  <c r="J970" i="2" a="1"/>
  <c r="J970" i="2" s="1"/>
  <c r="H970" i="2" a="1"/>
  <c r="H970" i="2" s="1"/>
  <c r="I970" i="2" a="1"/>
  <c r="I970" i="2" s="1"/>
  <c r="D970" i="2" a="1"/>
  <c r="G971" i="3" l="1" a="1"/>
  <c r="G971" i="3" s="1"/>
  <c r="C973" i="3"/>
  <c r="G972" i="3" a="1"/>
  <c r="G972" i="3" s="1"/>
  <c r="J972" i="3" s="1" a="1"/>
  <c r="J972" i="3" s="1"/>
  <c r="L972" i="3"/>
  <c r="M972" i="3"/>
  <c r="B971" i="3" a="1"/>
  <c r="B971" i="3" s="1"/>
  <c r="A971" i="3" a="1"/>
  <c r="A971" i="3" s="1"/>
  <c r="D970" i="2"/>
  <c r="I971" i="2" a="1"/>
  <c r="I971" i="2" s="1"/>
  <c r="H971" i="2" a="1"/>
  <c r="H971" i="2" s="1"/>
  <c r="J971" i="2" a="1"/>
  <c r="J971" i="2" s="1"/>
  <c r="K971" i="2" a="1"/>
  <c r="K971" i="2" s="1"/>
  <c r="B972" i="2" a="1"/>
  <c r="B972" i="2" s="1"/>
  <c r="A972" i="2" a="1"/>
  <c r="A972" i="2" s="1"/>
  <c r="C974" i="2"/>
  <c r="F973" i="2"/>
  <c r="D971" i="2" a="1"/>
  <c r="I971" i="3" l="1" a="1"/>
  <c r="I971" i="3" s="1"/>
  <c r="K971" i="3" a="1"/>
  <c r="K971" i="3" s="1"/>
  <c r="H971" i="3" a="1"/>
  <c r="H971" i="3" s="1"/>
  <c r="J971" i="3" a="1"/>
  <c r="J971" i="3" s="1"/>
  <c r="I972" i="3" a="1"/>
  <c r="I972" i="3" s="1"/>
  <c r="K972" i="3" a="1"/>
  <c r="K972" i="3" s="1"/>
  <c r="H972" i="3" a="1"/>
  <c r="H972" i="3" s="1"/>
  <c r="C974" i="3"/>
  <c r="G973" i="3" a="1"/>
  <c r="G973" i="3" s="1"/>
  <c r="J973" i="3" s="1" a="1"/>
  <c r="J973" i="3" s="1"/>
  <c r="L973" i="3"/>
  <c r="M973" i="3"/>
  <c r="F973" i="3"/>
  <c r="A972" i="3" a="1"/>
  <c r="A972" i="3" s="1"/>
  <c r="B972" i="3" a="1"/>
  <c r="B972" i="3" s="1"/>
  <c r="D971" i="2"/>
  <c r="A973" i="2" a="1"/>
  <c r="A973" i="2" s="1"/>
  <c r="B973" i="2" a="1"/>
  <c r="B973" i="2" s="1"/>
  <c r="C975" i="2"/>
  <c r="F974" i="2"/>
  <c r="K972" i="2" a="1"/>
  <c r="K972" i="2" s="1"/>
  <c r="J972" i="2" a="1"/>
  <c r="J972" i="2" s="1"/>
  <c r="H972" i="2" a="1"/>
  <c r="H972" i="2" s="1"/>
  <c r="I972" i="2" a="1"/>
  <c r="I972" i="2" s="1"/>
  <c r="D972" i="2" a="1"/>
  <c r="C975" i="3" l="1"/>
  <c r="L974" i="3"/>
  <c r="M974" i="3"/>
  <c r="I973" i="3" a="1"/>
  <c r="I973" i="3" s="1"/>
  <c r="K973" i="3" a="1"/>
  <c r="K973" i="3" s="1"/>
  <c r="H973" i="3" a="1"/>
  <c r="H973" i="3" s="1"/>
  <c r="F974" i="3"/>
  <c r="F975" i="3" s="1"/>
  <c r="A973" i="3" a="1"/>
  <c r="A973" i="3" s="1"/>
  <c r="B973" i="3" a="1"/>
  <c r="B973" i="3" s="1"/>
  <c r="D972" i="2"/>
  <c r="H973" i="2" a="1"/>
  <c r="H973" i="2" s="1"/>
  <c r="J973" i="2" a="1"/>
  <c r="J973" i="2" s="1"/>
  <c r="I973" i="2" a="1"/>
  <c r="I973" i="2" s="1"/>
  <c r="K973" i="2" a="1"/>
  <c r="K973" i="2" s="1"/>
  <c r="B974" i="2" a="1"/>
  <c r="B974" i="2" s="1"/>
  <c r="A974" i="2" a="1"/>
  <c r="A974" i="2" s="1"/>
  <c r="C976" i="2"/>
  <c r="F975" i="2"/>
  <c r="D973" i="2" a="1"/>
  <c r="G974" i="3" l="1" a="1"/>
  <c r="G974" i="3" s="1"/>
  <c r="C976" i="3"/>
  <c r="G975" i="3" a="1"/>
  <c r="G975" i="3" s="1"/>
  <c r="J975" i="3" s="1" a="1"/>
  <c r="J975" i="3" s="1"/>
  <c r="L975" i="3"/>
  <c r="M975" i="3"/>
  <c r="B974" i="3" a="1"/>
  <c r="B974" i="3" s="1"/>
  <c r="A974" i="3" a="1"/>
  <c r="A974" i="3" s="1"/>
  <c r="D973" i="2"/>
  <c r="B975" i="2" a="1"/>
  <c r="B975" i="2" s="1"/>
  <c r="A975" i="2" a="1"/>
  <c r="A975" i="2" s="1"/>
  <c r="C977" i="2"/>
  <c r="F976" i="2"/>
  <c r="H974" i="2" a="1"/>
  <c r="H974" i="2" s="1"/>
  <c r="J974" i="2" a="1"/>
  <c r="J974" i="2" s="1"/>
  <c r="I974" i="2" a="1"/>
  <c r="I974" i="2" s="1"/>
  <c r="K974" i="2" a="1"/>
  <c r="K974" i="2" s="1"/>
  <c r="D974" i="2" a="1"/>
  <c r="I975" i="3" l="1" a="1"/>
  <c r="I975" i="3" s="1"/>
  <c r="K975" i="3" a="1"/>
  <c r="K975" i="3" s="1"/>
  <c r="H975" i="3" a="1"/>
  <c r="H975" i="3" s="1"/>
  <c r="C977" i="3"/>
  <c r="G976" i="3" a="1"/>
  <c r="G976" i="3" s="1"/>
  <c r="M976" i="3"/>
  <c r="L976" i="3"/>
  <c r="J976" i="3" a="1"/>
  <c r="J976" i="3" s="1"/>
  <c r="I974" i="3" a="1"/>
  <c r="I974" i="3" s="1"/>
  <c r="K974" i="3" a="1"/>
  <c r="K974" i="3" s="1"/>
  <c r="H974" i="3" a="1"/>
  <c r="H974" i="3" s="1"/>
  <c r="J974" i="3" a="1"/>
  <c r="J974" i="3" s="1"/>
  <c r="F976" i="3"/>
  <c r="A975" i="3" a="1"/>
  <c r="A975" i="3" s="1"/>
  <c r="B975" i="3" a="1"/>
  <c r="B975" i="3" s="1"/>
  <c r="D974" i="2"/>
  <c r="J975" i="2" a="1"/>
  <c r="J975" i="2" s="1"/>
  <c r="H975" i="2" a="1"/>
  <c r="H975" i="2" s="1"/>
  <c r="K975" i="2" a="1"/>
  <c r="K975" i="2" s="1"/>
  <c r="I975" i="2" a="1"/>
  <c r="I975" i="2" s="1"/>
  <c r="A976" i="2" a="1"/>
  <c r="A976" i="2" s="1"/>
  <c r="B976" i="2" a="1"/>
  <c r="B976" i="2" s="1"/>
  <c r="C978" i="2"/>
  <c r="F977" i="2"/>
  <c r="D975" i="2" a="1"/>
  <c r="C978" i="3" l="1"/>
  <c r="L977" i="3"/>
  <c r="M977" i="3"/>
  <c r="I976" i="3" a="1"/>
  <c r="I976" i="3" s="1"/>
  <c r="K976" i="3" a="1"/>
  <c r="K976" i="3" s="1"/>
  <c r="H976" i="3" a="1"/>
  <c r="H976" i="3" s="1"/>
  <c r="F977" i="3"/>
  <c r="F978" i="3" s="1"/>
  <c r="A976" i="3" a="1"/>
  <c r="A976" i="3" s="1"/>
  <c r="B976" i="3" a="1"/>
  <c r="B976" i="3" s="1"/>
  <c r="D975" i="2"/>
  <c r="B977" i="2" a="1"/>
  <c r="B977" i="2" s="1"/>
  <c r="A977" i="2" a="1"/>
  <c r="A977" i="2" s="1"/>
  <c r="J976" i="2" a="1"/>
  <c r="J976" i="2" s="1"/>
  <c r="H976" i="2" a="1"/>
  <c r="H976" i="2" s="1"/>
  <c r="I976" i="2" a="1"/>
  <c r="I976" i="2" s="1"/>
  <c r="K976" i="2" a="1"/>
  <c r="K976" i="2" s="1"/>
  <c r="C979" i="2"/>
  <c r="F978" i="2"/>
  <c r="D976" i="2" a="1"/>
  <c r="G977" i="3" l="1" a="1"/>
  <c r="G977" i="3" s="1"/>
  <c r="C979" i="3"/>
  <c r="G978" i="3" a="1"/>
  <c r="G978" i="3" s="1"/>
  <c r="L978" i="3"/>
  <c r="M978" i="3"/>
  <c r="A977" i="3" a="1"/>
  <c r="A977" i="3" s="1"/>
  <c r="B977" i="3" a="1"/>
  <c r="B977" i="3" s="1"/>
  <c r="D976" i="2"/>
  <c r="C980" i="2"/>
  <c r="F979" i="2"/>
  <c r="J977" i="2" a="1"/>
  <c r="J977" i="2" s="1"/>
  <c r="K977" i="2" a="1"/>
  <c r="K977" i="2" s="1"/>
  <c r="H977" i="2" a="1"/>
  <c r="H977" i="2" s="1"/>
  <c r="I977" i="2" a="1"/>
  <c r="I977" i="2" s="1"/>
  <c r="A978" i="2" a="1"/>
  <c r="A978" i="2" s="1"/>
  <c r="B978" i="2" a="1"/>
  <c r="B978" i="2" s="1"/>
  <c r="D977" i="2" a="1"/>
  <c r="I978" i="3" l="1" a="1"/>
  <c r="I978" i="3" s="1"/>
  <c r="K978" i="3" a="1"/>
  <c r="K978" i="3" s="1"/>
  <c r="H978" i="3" a="1"/>
  <c r="H978" i="3" s="1"/>
  <c r="J978" i="3" a="1"/>
  <c r="J978" i="3" s="1"/>
  <c r="C980" i="3"/>
  <c r="G979" i="3" a="1"/>
  <c r="G979" i="3" s="1"/>
  <c r="J979" i="3" s="1" a="1"/>
  <c r="J979" i="3" s="1"/>
  <c r="M979" i="3"/>
  <c r="L979" i="3"/>
  <c r="I977" i="3" a="1"/>
  <c r="I977" i="3" s="1"/>
  <c r="K977" i="3" a="1"/>
  <c r="K977" i="3" s="1"/>
  <c r="H977" i="3" a="1"/>
  <c r="H977" i="3" s="1"/>
  <c r="J977" i="3" a="1"/>
  <c r="J977" i="3" s="1"/>
  <c r="F979" i="3"/>
  <c r="A978" i="3" a="1"/>
  <c r="A978" i="3" s="1"/>
  <c r="B978" i="3" a="1"/>
  <c r="B978" i="3" s="1"/>
  <c r="D977" i="2"/>
  <c r="J978" i="2" a="1"/>
  <c r="J978" i="2" s="1"/>
  <c r="H978" i="2" a="1"/>
  <c r="H978" i="2" s="1"/>
  <c r="K978" i="2" a="1"/>
  <c r="K978" i="2" s="1"/>
  <c r="I978" i="2" a="1"/>
  <c r="I978" i="2" s="1"/>
  <c r="A979" i="2" a="1"/>
  <c r="A979" i="2" s="1"/>
  <c r="B979" i="2" a="1"/>
  <c r="B979" i="2" s="1"/>
  <c r="C981" i="2"/>
  <c r="F980" i="2"/>
  <c r="D978" i="2" a="1"/>
  <c r="C981" i="3" l="1"/>
  <c r="L980" i="3"/>
  <c r="M980" i="3"/>
  <c r="I979" i="3" a="1"/>
  <c r="I979" i="3" s="1"/>
  <c r="K979" i="3" a="1"/>
  <c r="K979" i="3" s="1"/>
  <c r="H979" i="3" a="1"/>
  <c r="H979" i="3" s="1"/>
  <c r="F980" i="3"/>
  <c r="F981" i="3" s="1"/>
  <c r="B979" i="3" a="1"/>
  <c r="B979" i="3" s="1"/>
  <c r="A979" i="3" a="1"/>
  <c r="A979" i="3" s="1"/>
  <c r="D978" i="2"/>
  <c r="B980" i="2" a="1"/>
  <c r="B980" i="2" s="1"/>
  <c r="A980" i="2" a="1"/>
  <c r="A980" i="2" s="1"/>
  <c r="I979" i="2" a="1"/>
  <c r="I979" i="2" s="1"/>
  <c r="K979" i="2" a="1"/>
  <c r="K979" i="2" s="1"/>
  <c r="H979" i="2" a="1"/>
  <c r="H979" i="2" s="1"/>
  <c r="J979" i="2" a="1"/>
  <c r="J979" i="2" s="1"/>
  <c r="C982" i="2"/>
  <c r="F981" i="2"/>
  <c r="D979" i="2" a="1"/>
  <c r="G980" i="3" l="1" a="1"/>
  <c r="G980" i="3" s="1"/>
  <c r="C982" i="3"/>
  <c r="G981" i="3" a="1"/>
  <c r="G981" i="3" s="1"/>
  <c r="J981" i="3" s="1" a="1"/>
  <c r="J981" i="3" s="1"/>
  <c r="L981" i="3"/>
  <c r="M981" i="3"/>
  <c r="A980" i="3" a="1"/>
  <c r="A980" i="3" s="1"/>
  <c r="B980" i="3" a="1"/>
  <c r="B980" i="3" s="1"/>
  <c r="D979" i="2"/>
  <c r="A981" i="2" a="1"/>
  <c r="A981" i="2" s="1"/>
  <c r="B981" i="2" a="1"/>
  <c r="B981" i="2" s="1"/>
  <c r="I980" i="2" a="1"/>
  <c r="I980" i="2" s="1"/>
  <c r="K980" i="2" a="1"/>
  <c r="K980" i="2" s="1"/>
  <c r="J980" i="2" a="1"/>
  <c r="J980" i="2" s="1"/>
  <c r="H980" i="2" a="1"/>
  <c r="H980" i="2" s="1"/>
  <c r="C983" i="2"/>
  <c r="F982" i="2"/>
  <c r="D980" i="2" a="1"/>
  <c r="I980" i="3" l="1" a="1"/>
  <c r="I980" i="3" s="1"/>
  <c r="K980" i="3" a="1"/>
  <c r="K980" i="3" s="1"/>
  <c r="H980" i="3" a="1"/>
  <c r="H980" i="3" s="1"/>
  <c r="J980" i="3" a="1"/>
  <c r="J980" i="3" s="1"/>
  <c r="I981" i="3" a="1"/>
  <c r="I981" i="3" s="1"/>
  <c r="K981" i="3" a="1"/>
  <c r="K981" i="3" s="1"/>
  <c r="H981" i="3" a="1"/>
  <c r="H981" i="3" s="1"/>
  <c r="C983" i="3"/>
  <c r="G982" i="3" a="1"/>
  <c r="G982" i="3" s="1"/>
  <c r="L982" i="3"/>
  <c r="M982" i="3"/>
  <c r="F982" i="3"/>
  <c r="A981" i="3" a="1"/>
  <c r="A981" i="3" s="1"/>
  <c r="B981" i="3" a="1"/>
  <c r="B981" i="3" s="1"/>
  <c r="D980" i="2"/>
  <c r="B982" i="2" a="1"/>
  <c r="B982" i="2" s="1"/>
  <c r="A982" i="2" a="1"/>
  <c r="A982" i="2" s="1"/>
  <c r="I981" i="2" a="1"/>
  <c r="I981" i="2" s="1"/>
  <c r="K981" i="2" a="1"/>
  <c r="K981" i="2" s="1"/>
  <c r="J981" i="2" a="1"/>
  <c r="J981" i="2" s="1"/>
  <c r="H981" i="2" a="1"/>
  <c r="H981" i="2" s="1"/>
  <c r="C984" i="2"/>
  <c r="F983" i="2"/>
  <c r="D981" i="2" a="1"/>
  <c r="I982" i="3" l="1" a="1"/>
  <c r="I982" i="3" s="1"/>
  <c r="K982" i="3" a="1"/>
  <c r="K982" i="3" s="1"/>
  <c r="H982" i="3" a="1"/>
  <c r="H982" i="3" s="1"/>
  <c r="C984" i="3"/>
  <c r="L983" i="3"/>
  <c r="M983" i="3"/>
  <c r="J982" i="3" a="1"/>
  <c r="J982" i="3" s="1"/>
  <c r="F983" i="3"/>
  <c r="F984" i="3" s="1"/>
  <c r="A982" i="3" a="1"/>
  <c r="A982" i="3" s="1"/>
  <c r="B982" i="3" a="1"/>
  <c r="B982" i="3" s="1"/>
  <c r="D981" i="2"/>
  <c r="C985" i="2"/>
  <c r="F984" i="2"/>
  <c r="B983" i="2" a="1"/>
  <c r="B983" i="2" s="1"/>
  <c r="A983" i="2" a="1"/>
  <c r="A983" i="2" s="1"/>
  <c r="J982" i="2" a="1"/>
  <c r="J982" i="2" s="1"/>
  <c r="I982" i="2" a="1"/>
  <c r="I982" i="2" s="1"/>
  <c r="H982" i="2" a="1"/>
  <c r="H982" i="2" s="1"/>
  <c r="K982" i="2" a="1"/>
  <c r="K982" i="2" s="1"/>
  <c r="D982" i="2" a="1"/>
  <c r="C985" i="3" l="1"/>
  <c r="G984" i="3" a="1"/>
  <c r="G984" i="3" s="1"/>
  <c r="L984" i="3"/>
  <c r="M984" i="3"/>
  <c r="F985" i="3"/>
  <c r="G983" i="3" a="1"/>
  <c r="G983" i="3" s="1"/>
  <c r="A983" i="3" a="1"/>
  <c r="A983" i="3" s="1"/>
  <c r="B983" i="3" a="1"/>
  <c r="B983" i="3" s="1"/>
  <c r="D982" i="2"/>
  <c r="J983" i="2" a="1"/>
  <c r="J983" i="2" s="1"/>
  <c r="H983" i="2" a="1"/>
  <c r="H983" i="2" s="1"/>
  <c r="I983" i="2" a="1"/>
  <c r="I983" i="2" s="1"/>
  <c r="K983" i="2" a="1"/>
  <c r="K983" i="2" s="1"/>
  <c r="B984" i="2" a="1"/>
  <c r="B984" i="2" s="1"/>
  <c r="A984" i="2" a="1"/>
  <c r="A984" i="2" s="1"/>
  <c r="C986" i="2"/>
  <c r="F985" i="2"/>
  <c r="D983" i="2" a="1"/>
  <c r="I984" i="3" l="1" a="1"/>
  <c r="I984" i="3" s="1"/>
  <c r="K984" i="3" a="1"/>
  <c r="K984" i="3" s="1"/>
  <c r="H984" i="3" a="1"/>
  <c r="H984" i="3" s="1"/>
  <c r="K983" i="3" a="1"/>
  <c r="K983" i="3" s="1"/>
  <c r="H983" i="3" a="1"/>
  <c r="H983" i="3" s="1"/>
  <c r="I983" i="3" a="1"/>
  <c r="I983" i="3" s="1"/>
  <c r="J983" i="3" a="1"/>
  <c r="J983" i="3" s="1"/>
  <c r="J984" i="3" a="1"/>
  <c r="J984" i="3" s="1"/>
  <c r="C986" i="3"/>
  <c r="G985" i="3" a="1"/>
  <c r="G985" i="3" s="1"/>
  <c r="J985" i="3" s="1" a="1"/>
  <c r="J985" i="3" s="1"/>
  <c r="L985" i="3"/>
  <c r="M985" i="3"/>
  <c r="A984" i="3" a="1"/>
  <c r="A984" i="3" s="1"/>
  <c r="B984" i="3" a="1"/>
  <c r="B984" i="3" s="1"/>
  <c r="D983" i="2"/>
  <c r="A985" i="2" a="1"/>
  <c r="A985" i="2" s="1"/>
  <c r="B985" i="2" a="1"/>
  <c r="B985" i="2" s="1"/>
  <c r="C987" i="2"/>
  <c r="F986" i="2"/>
  <c r="I984" i="2" a="1"/>
  <c r="I984" i="2" s="1"/>
  <c r="J984" i="2" a="1"/>
  <c r="J984" i="2" s="1"/>
  <c r="K984" i="2" a="1"/>
  <c r="K984" i="2" s="1"/>
  <c r="H984" i="2" a="1"/>
  <c r="H984" i="2" s="1"/>
  <c r="D984" i="2" a="1"/>
  <c r="I985" i="3" l="1" a="1"/>
  <c r="I985" i="3" s="1"/>
  <c r="K985" i="3" a="1"/>
  <c r="K985" i="3" s="1"/>
  <c r="H985" i="3" a="1"/>
  <c r="H985" i="3" s="1"/>
  <c r="C987" i="3"/>
  <c r="L986" i="3"/>
  <c r="M986" i="3"/>
  <c r="F986" i="3"/>
  <c r="F987" i="3" s="1"/>
  <c r="A985" i="3" a="1"/>
  <c r="A985" i="3" s="1"/>
  <c r="B985" i="3" a="1"/>
  <c r="B985" i="3" s="1"/>
  <c r="D984" i="2"/>
  <c r="A986" i="2" a="1"/>
  <c r="A986" i="2" s="1"/>
  <c r="B986" i="2" a="1"/>
  <c r="B986" i="2" s="1"/>
  <c r="C988" i="2"/>
  <c r="F987" i="2"/>
  <c r="J985" i="2" a="1"/>
  <c r="J985" i="2" s="1"/>
  <c r="H985" i="2" a="1"/>
  <c r="H985" i="2" s="1"/>
  <c r="K985" i="2" a="1"/>
  <c r="K985" i="2" s="1"/>
  <c r="I985" i="2" a="1"/>
  <c r="I985" i="2" s="1"/>
  <c r="D985" i="2" a="1"/>
  <c r="G986" i="3" l="1" a="1"/>
  <c r="G986" i="3" s="1"/>
  <c r="C988" i="3"/>
  <c r="G987" i="3" a="1"/>
  <c r="G987" i="3" s="1"/>
  <c r="L987" i="3"/>
  <c r="M987" i="3"/>
  <c r="B986" i="3" a="1"/>
  <c r="B986" i="3" s="1"/>
  <c r="A986" i="3" a="1"/>
  <c r="A986" i="3" s="1"/>
  <c r="D985" i="2"/>
  <c r="J986" i="2" a="1"/>
  <c r="J986" i="2" s="1"/>
  <c r="K986" i="2" a="1"/>
  <c r="K986" i="2" s="1"/>
  <c r="H986" i="2" a="1"/>
  <c r="H986" i="2" s="1"/>
  <c r="I986" i="2" a="1"/>
  <c r="I986" i="2" s="1"/>
  <c r="B987" i="2" a="1"/>
  <c r="B987" i="2" s="1"/>
  <c r="A987" i="2" a="1"/>
  <c r="A987" i="2" s="1"/>
  <c r="C989" i="2"/>
  <c r="F988" i="2"/>
  <c r="D986" i="2" a="1"/>
  <c r="I987" i="3" l="1" a="1"/>
  <c r="I987" i="3" s="1"/>
  <c r="K987" i="3" a="1"/>
  <c r="K987" i="3" s="1"/>
  <c r="H987" i="3" a="1"/>
  <c r="H987" i="3" s="1"/>
  <c r="C989" i="3"/>
  <c r="G988" i="3" a="1"/>
  <c r="G988" i="3" s="1"/>
  <c r="L988" i="3"/>
  <c r="M988" i="3"/>
  <c r="J988" i="3" a="1"/>
  <c r="J988" i="3" s="1"/>
  <c r="J987" i="3" a="1"/>
  <c r="J987" i="3" s="1"/>
  <c r="I986" i="3" a="1"/>
  <c r="I986" i="3" s="1"/>
  <c r="K986" i="3" a="1"/>
  <c r="K986" i="3" s="1"/>
  <c r="H986" i="3" a="1"/>
  <c r="H986" i="3" s="1"/>
  <c r="J986" i="3" a="1"/>
  <c r="J986" i="3" s="1"/>
  <c r="F988" i="3"/>
  <c r="A987" i="3" a="1"/>
  <c r="A987" i="3" s="1"/>
  <c r="B987" i="3" a="1"/>
  <c r="B987" i="3" s="1"/>
  <c r="D986" i="2"/>
  <c r="A988" i="2" a="1"/>
  <c r="A988" i="2" s="1"/>
  <c r="B988" i="2" a="1"/>
  <c r="B988" i="2" s="1"/>
  <c r="C990" i="2"/>
  <c r="F989" i="2"/>
  <c r="J987" i="2" a="1"/>
  <c r="J987" i="2" s="1"/>
  <c r="H987" i="2" a="1"/>
  <c r="H987" i="2" s="1"/>
  <c r="K987" i="2" a="1"/>
  <c r="K987" i="2" s="1"/>
  <c r="I987" i="2" a="1"/>
  <c r="I987" i="2" s="1"/>
  <c r="D987" i="2" a="1"/>
  <c r="C990" i="3" l="1"/>
  <c r="M989" i="3"/>
  <c r="L989" i="3"/>
  <c r="F989" i="3"/>
  <c r="F990" i="3" s="1"/>
  <c r="I988" i="3" a="1"/>
  <c r="I988" i="3" s="1"/>
  <c r="K988" i="3" a="1"/>
  <c r="K988" i="3" s="1"/>
  <c r="H988" i="3" a="1"/>
  <c r="H988" i="3" s="1"/>
  <c r="A988" i="3" a="1"/>
  <c r="A988" i="3" s="1"/>
  <c r="B988" i="3" a="1"/>
  <c r="B988" i="3" s="1"/>
  <c r="D987" i="2"/>
  <c r="K988" i="2" a="1"/>
  <c r="K988" i="2" s="1"/>
  <c r="J988" i="2" a="1"/>
  <c r="J988" i="2" s="1"/>
  <c r="H988" i="2" a="1"/>
  <c r="H988" i="2" s="1"/>
  <c r="I988" i="2" a="1"/>
  <c r="I988" i="2" s="1"/>
  <c r="A989" i="2" a="1"/>
  <c r="A989" i="2" s="1"/>
  <c r="B989" i="2" a="1"/>
  <c r="B989" i="2" s="1"/>
  <c r="C991" i="2"/>
  <c r="F990" i="2"/>
  <c r="D988" i="2" a="1"/>
  <c r="G989" i="3" l="1" a="1"/>
  <c r="G989" i="3" s="1"/>
  <c r="C991" i="3"/>
  <c r="G990" i="3" a="1"/>
  <c r="G990" i="3" s="1"/>
  <c r="L990" i="3"/>
  <c r="M990" i="3"/>
  <c r="J990" i="3" a="1"/>
  <c r="J990" i="3" s="1"/>
  <c r="A989" i="3" a="1"/>
  <c r="A989" i="3" s="1"/>
  <c r="B989" i="3" a="1"/>
  <c r="B989" i="3" s="1"/>
  <c r="D988" i="2"/>
  <c r="C992" i="2"/>
  <c r="F991" i="2"/>
  <c r="A990" i="2" a="1"/>
  <c r="A990" i="2" s="1"/>
  <c r="B990" i="2" a="1"/>
  <c r="B990" i="2" s="1"/>
  <c r="J989" i="2" a="1"/>
  <c r="J989" i="2" s="1"/>
  <c r="K989" i="2" a="1"/>
  <c r="K989" i="2" s="1"/>
  <c r="H989" i="2" a="1"/>
  <c r="H989" i="2" s="1"/>
  <c r="I989" i="2" a="1"/>
  <c r="I989" i="2" s="1"/>
  <c r="D989" i="2" a="1"/>
  <c r="I989" i="3" l="1" a="1"/>
  <c r="I989" i="3" s="1"/>
  <c r="H989" i="3" a="1"/>
  <c r="H989" i="3" s="1"/>
  <c r="K989" i="3" a="1"/>
  <c r="K989" i="3" s="1"/>
  <c r="J989" i="3" a="1"/>
  <c r="J989" i="3" s="1"/>
  <c r="K990" i="3" a="1"/>
  <c r="K990" i="3" s="1"/>
  <c r="H990" i="3" a="1"/>
  <c r="H990" i="3" s="1"/>
  <c r="I990" i="3" a="1"/>
  <c r="I990" i="3" s="1"/>
  <c r="C992" i="3"/>
  <c r="G991" i="3" a="1"/>
  <c r="G991" i="3" s="1"/>
  <c r="J991" i="3" s="1" a="1"/>
  <c r="J991" i="3" s="1"/>
  <c r="L991" i="3"/>
  <c r="M991" i="3"/>
  <c r="F991" i="3"/>
  <c r="A990" i="3" a="1"/>
  <c r="A990" i="3" s="1"/>
  <c r="B990" i="3" a="1"/>
  <c r="B990" i="3" s="1"/>
  <c r="D989" i="2"/>
  <c r="A991" i="2" a="1"/>
  <c r="A991" i="2" s="1"/>
  <c r="B991" i="2" a="1"/>
  <c r="B991" i="2" s="1"/>
  <c r="K990" i="2" a="1"/>
  <c r="K990" i="2" s="1"/>
  <c r="I990" i="2" a="1"/>
  <c r="I990" i="2" s="1"/>
  <c r="H990" i="2" a="1"/>
  <c r="H990" i="2" s="1"/>
  <c r="J990" i="2" a="1"/>
  <c r="J990" i="2" s="1"/>
  <c r="C993" i="2"/>
  <c r="F992" i="2"/>
  <c r="D990" i="2" a="1"/>
  <c r="C993" i="3" l="1"/>
  <c r="L992" i="3"/>
  <c r="M992" i="3"/>
  <c r="K991" i="3" a="1"/>
  <c r="K991" i="3" s="1"/>
  <c r="H991" i="3" a="1"/>
  <c r="H991" i="3" s="1"/>
  <c r="I991" i="3" a="1"/>
  <c r="I991" i="3" s="1"/>
  <c r="F992" i="3"/>
  <c r="F993" i="3" s="1"/>
  <c r="B991" i="3" a="1"/>
  <c r="B991" i="3" s="1"/>
  <c r="A991" i="3" a="1"/>
  <c r="A991" i="3" s="1"/>
  <c r="D990" i="2"/>
  <c r="A992" i="2" a="1"/>
  <c r="A992" i="2" s="1"/>
  <c r="B992" i="2" a="1"/>
  <c r="B992" i="2" s="1"/>
  <c r="I991" i="2" a="1"/>
  <c r="I991" i="2" s="1"/>
  <c r="H991" i="2" a="1"/>
  <c r="H991" i="2" s="1"/>
  <c r="J991" i="2" a="1"/>
  <c r="J991" i="2" s="1"/>
  <c r="K991" i="2" a="1"/>
  <c r="K991" i="2" s="1"/>
  <c r="C994" i="2"/>
  <c r="F993" i="2"/>
  <c r="D991" i="2" a="1"/>
  <c r="G992" i="3" l="1" a="1"/>
  <c r="G992" i="3" s="1"/>
  <c r="C994" i="3"/>
  <c r="G993" i="3" a="1"/>
  <c r="G993" i="3" s="1"/>
  <c r="L993" i="3"/>
  <c r="M993" i="3"/>
  <c r="J993" i="3" a="1"/>
  <c r="J993" i="3" s="1"/>
  <c r="A992" i="3" a="1"/>
  <c r="A992" i="3" s="1"/>
  <c r="B992" i="3" a="1"/>
  <c r="B992" i="3" s="1"/>
  <c r="D991" i="2"/>
  <c r="H992" i="2" a="1"/>
  <c r="H992" i="2" s="1"/>
  <c r="I992" i="2" a="1"/>
  <c r="I992" i="2" s="1"/>
  <c r="J992" i="2" a="1"/>
  <c r="J992" i="2" s="1"/>
  <c r="K992" i="2" a="1"/>
  <c r="K992" i="2" s="1"/>
  <c r="C995" i="2"/>
  <c r="F994" i="2"/>
  <c r="A993" i="2" a="1"/>
  <c r="A993" i="2" s="1"/>
  <c r="B993" i="2" a="1"/>
  <c r="B993" i="2" s="1"/>
  <c r="D992" i="2" a="1"/>
  <c r="C995" i="3" l="1"/>
  <c r="G994" i="3" a="1"/>
  <c r="G994" i="3" s="1"/>
  <c r="L994" i="3"/>
  <c r="M994" i="3"/>
  <c r="J994" i="3" a="1"/>
  <c r="J994" i="3" s="1"/>
  <c r="K993" i="3" a="1"/>
  <c r="K993" i="3" s="1"/>
  <c r="H993" i="3" a="1"/>
  <c r="H993" i="3" s="1"/>
  <c r="I993" i="3" a="1"/>
  <c r="I993" i="3" s="1"/>
  <c r="K992" i="3" a="1"/>
  <c r="K992" i="3" s="1"/>
  <c r="H992" i="3" a="1"/>
  <c r="H992" i="3" s="1"/>
  <c r="I992" i="3" a="1"/>
  <c r="I992" i="3" s="1"/>
  <c r="J992" i="3" a="1"/>
  <c r="J992" i="3" s="1"/>
  <c r="F994" i="3"/>
  <c r="F995" i="3" s="1"/>
  <c r="A993" i="3" a="1"/>
  <c r="A993" i="3" s="1"/>
  <c r="B993" i="3" a="1"/>
  <c r="B993" i="3" s="1"/>
  <c r="D992" i="2"/>
  <c r="C996" i="2"/>
  <c r="F995" i="2"/>
  <c r="H993" i="2" a="1"/>
  <c r="H993" i="2" s="1"/>
  <c r="J993" i="2" a="1"/>
  <c r="J993" i="2" s="1"/>
  <c r="K993" i="2" a="1"/>
  <c r="K993" i="2" s="1"/>
  <c r="I993" i="2" a="1"/>
  <c r="I993" i="2" s="1"/>
  <c r="A994" i="2" a="1"/>
  <c r="A994" i="2" s="1"/>
  <c r="B994" i="2" a="1"/>
  <c r="B994" i="2" s="1"/>
  <c r="D993" i="2" a="1"/>
  <c r="K994" i="3" l="1" a="1"/>
  <c r="K994" i="3" s="1"/>
  <c r="H994" i="3" a="1"/>
  <c r="H994" i="3" s="1"/>
  <c r="I994" i="3" a="1"/>
  <c r="I994" i="3" s="1"/>
  <c r="C996" i="3"/>
  <c r="F996" i="3" s="1"/>
  <c r="G995" i="3" a="1"/>
  <c r="G995" i="3" s="1"/>
  <c r="M995" i="3"/>
  <c r="L995" i="3"/>
  <c r="A994" i="3" a="1"/>
  <c r="A994" i="3" s="1"/>
  <c r="B994" i="3" a="1"/>
  <c r="B994" i="3" s="1"/>
  <c r="D993" i="2"/>
  <c r="H994" i="2" a="1"/>
  <c r="H994" i="2" s="1"/>
  <c r="K994" i="2" a="1"/>
  <c r="K994" i="2" s="1"/>
  <c r="J994" i="2" a="1"/>
  <c r="J994" i="2" s="1"/>
  <c r="I994" i="2" a="1"/>
  <c r="I994" i="2" s="1"/>
  <c r="B995" i="2" a="1"/>
  <c r="B995" i="2" s="1"/>
  <c r="A995" i="2" a="1"/>
  <c r="A995" i="2" s="1"/>
  <c r="C997" i="2"/>
  <c r="F996" i="2"/>
  <c r="D994" i="2" a="1"/>
  <c r="I995" i="3" l="1" a="1"/>
  <c r="I995" i="3" s="1"/>
  <c r="K995" i="3" a="1"/>
  <c r="K995" i="3" s="1"/>
  <c r="H995" i="3" a="1"/>
  <c r="H995" i="3" s="1"/>
  <c r="J995" i="3" a="1"/>
  <c r="J995" i="3" s="1"/>
  <c r="C997" i="3"/>
  <c r="G996" i="3" a="1"/>
  <c r="G996" i="3" s="1"/>
  <c r="L996" i="3"/>
  <c r="M996" i="3"/>
  <c r="J996" i="3" a="1"/>
  <c r="J996" i="3" s="1"/>
  <c r="A995" i="3" a="1"/>
  <c r="A995" i="3" s="1"/>
  <c r="B995" i="3" a="1"/>
  <c r="B995" i="3" s="1"/>
  <c r="D994" i="2"/>
  <c r="B996" i="2" a="1"/>
  <c r="B996" i="2" s="1"/>
  <c r="A996" i="2" a="1"/>
  <c r="A996" i="2" s="1"/>
  <c r="C998" i="2"/>
  <c r="F997" i="2"/>
  <c r="K995" i="2" a="1"/>
  <c r="K995" i="2" s="1"/>
  <c r="H995" i="2" a="1"/>
  <c r="H995" i="2" s="1"/>
  <c r="J995" i="2" a="1"/>
  <c r="J995" i="2" s="1"/>
  <c r="I995" i="2" a="1"/>
  <c r="I995" i="2" s="1"/>
  <c r="D995" i="2" a="1"/>
  <c r="K996" i="3" l="1" a="1"/>
  <c r="K996" i="3" s="1"/>
  <c r="H996" i="3" a="1"/>
  <c r="H996" i="3" s="1"/>
  <c r="I996" i="3" a="1"/>
  <c r="I996" i="3" s="1"/>
  <c r="C998" i="3"/>
  <c r="L997" i="3"/>
  <c r="M997" i="3"/>
  <c r="F997" i="3"/>
  <c r="F998" i="3" s="1"/>
  <c r="A996" i="3" a="1"/>
  <c r="A996" i="3" s="1"/>
  <c r="B996" i="3" a="1"/>
  <c r="B996" i="3" s="1"/>
  <c r="D995" i="2"/>
  <c r="B997" i="2" a="1"/>
  <c r="B997" i="2" s="1"/>
  <c r="A997" i="2" a="1"/>
  <c r="A997" i="2" s="1"/>
  <c r="H996" i="2" a="1"/>
  <c r="H996" i="2" s="1"/>
  <c r="K996" i="2" a="1"/>
  <c r="K996" i="2" s="1"/>
  <c r="J996" i="2" a="1"/>
  <c r="J996" i="2" s="1"/>
  <c r="I996" i="2" a="1"/>
  <c r="I996" i="2" s="1"/>
  <c r="C999" i="2"/>
  <c r="F998" i="2"/>
  <c r="D996" i="2" a="1"/>
  <c r="G997" i="3" l="1" a="1"/>
  <c r="G997" i="3" s="1"/>
  <c r="C999" i="3"/>
  <c r="G998" i="3" a="1"/>
  <c r="G998" i="3" s="1"/>
  <c r="L998" i="3"/>
  <c r="M998" i="3"/>
  <c r="J998" i="3" a="1"/>
  <c r="J998" i="3" s="1"/>
  <c r="F999" i="3"/>
  <c r="A997" i="3" a="1"/>
  <c r="A997" i="3" s="1"/>
  <c r="B997" i="3" a="1"/>
  <c r="B997" i="3" s="1"/>
  <c r="D996" i="2"/>
  <c r="I997" i="2" a="1"/>
  <c r="I997" i="2" s="1"/>
  <c r="J997" i="2" a="1"/>
  <c r="J997" i="2" s="1"/>
  <c r="H997" i="2" a="1"/>
  <c r="H997" i="2" s="1"/>
  <c r="K997" i="2" a="1"/>
  <c r="K997" i="2" s="1"/>
  <c r="B998" i="2" a="1"/>
  <c r="B998" i="2" s="1"/>
  <c r="A998" i="2" a="1"/>
  <c r="A998" i="2" s="1"/>
  <c r="C1000" i="2"/>
  <c r="F999" i="2"/>
  <c r="D997" i="2" a="1"/>
  <c r="I998" i="3" l="1" a="1"/>
  <c r="I998" i="3" s="1"/>
  <c r="K998" i="3" a="1"/>
  <c r="K998" i="3" s="1"/>
  <c r="H998" i="3" a="1"/>
  <c r="H998" i="3" s="1"/>
  <c r="C1000" i="3"/>
  <c r="G999" i="3" a="1"/>
  <c r="G999" i="3" s="1"/>
  <c r="M999" i="3"/>
  <c r="J999" i="3" a="1"/>
  <c r="J999" i="3" s="1"/>
  <c r="L999" i="3"/>
  <c r="I997" i="3" a="1"/>
  <c r="I997" i="3" s="1"/>
  <c r="K997" i="3" a="1"/>
  <c r="K997" i="3" s="1"/>
  <c r="H997" i="3" a="1"/>
  <c r="H997" i="3" s="1"/>
  <c r="J997" i="3" a="1"/>
  <c r="J997" i="3" s="1"/>
  <c r="B998" i="3" a="1"/>
  <c r="B998" i="3" s="1"/>
  <c r="A998" i="3" a="1"/>
  <c r="A998" i="3" s="1"/>
  <c r="D997" i="2"/>
  <c r="A999" i="2" a="1"/>
  <c r="A999" i="2" s="1"/>
  <c r="B999" i="2" a="1"/>
  <c r="B999" i="2" s="1"/>
  <c r="J998" i="2" a="1"/>
  <c r="J998" i="2" s="1"/>
  <c r="K998" i="2" a="1"/>
  <c r="K998" i="2" s="1"/>
  <c r="I998" i="2" a="1"/>
  <c r="I998" i="2" s="1"/>
  <c r="H998" i="2" a="1"/>
  <c r="H998" i="2" s="1"/>
  <c r="C1001" i="2"/>
  <c r="F1000" i="2"/>
  <c r="D998" i="2" a="1"/>
  <c r="C1001" i="3" l="1"/>
  <c r="L1000" i="3"/>
  <c r="M1000" i="3"/>
  <c r="I999" i="3" a="1"/>
  <c r="I999" i="3" s="1"/>
  <c r="K999" i="3" a="1"/>
  <c r="K999" i="3" s="1"/>
  <c r="H999" i="3" a="1"/>
  <c r="H999" i="3" s="1"/>
  <c r="F1000" i="3"/>
  <c r="F1001" i="3" s="1"/>
  <c r="A999" i="3" a="1"/>
  <c r="A999" i="3" s="1"/>
  <c r="B999" i="3" a="1"/>
  <c r="B999" i="3" s="1"/>
  <c r="D998" i="2"/>
  <c r="A1000" i="2" a="1"/>
  <c r="A1000" i="2" s="1"/>
  <c r="B1000" i="2" a="1"/>
  <c r="B1000" i="2" s="1"/>
  <c r="C1002" i="2"/>
  <c r="F1001" i="2"/>
  <c r="J999" i="2" a="1"/>
  <c r="J999" i="2" s="1"/>
  <c r="H999" i="2" a="1"/>
  <c r="H999" i="2" s="1"/>
  <c r="I999" i="2" a="1"/>
  <c r="I999" i="2" s="1"/>
  <c r="K999" i="2" a="1"/>
  <c r="K999" i="2" s="1"/>
  <c r="D999" i="2" a="1"/>
  <c r="G1000" i="3" l="1" a="1"/>
  <c r="G1000" i="3" s="1"/>
  <c r="C1002" i="3"/>
  <c r="G1001" i="3" a="1"/>
  <c r="G1001" i="3" s="1"/>
  <c r="L1001" i="3"/>
  <c r="M1001" i="3"/>
  <c r="A1000" i="3" a="1"/>
  <c r="A1000" i="3" s="1"/>
  <c r="B1000" i="3" a="1"/>
  <c r="B1000" i="3" s="1"/>
  <c r="D999" i="2"/>
  <c r="I1000" i="2" a="1"/>
  <c r="I1000" i="2" s="1"/>
  <c r="K1000" i="2" a="1"/>
  <c r="K1000" i="2" s="1"/>
  <c r="J1000" i="2" a="1"/>
  <c r="J1000" i="2" s="1"/>
  <c r="H1000" i="2" a="1"/>
  <c r="H1000" i="2" s="1"/>
  <c r="A1001" i="2" a="1"/>
  <c r="A1001" i="2" s="1"/>
  <c r="B1001" i="2" a="1"/>
  <c r="B1001" i="2" s="1"/>
  <c r="C1003" i="2"/>
  <c r="F1002" i="2"/>
  <c r="D1000" i="2" a="1"/>
  <c r="I1001" i="3" l="1" a="1"/>
  <c r="I1001" i="3" s="1"/>
  <c r="K1001" i="3" a="1"/>
  <c r="K1001" i="3" s="1"/>
  <c r="H1001" i="3" a="1"/>
  <c r="H1001" i="3" s="1"/>
  <c r="C1003" i="3"/>
  <c r="G1002" i="3" a="1"/>
  <c r="G1002" i="3" s="1"/>
  <c r="J1002" i="3" a="1"/>
  <c r="J1002" i="3" s="1"/>
  <c r="L1002" i="3"/>
  <c r="M1002" i="3"/>
  <c r="J1001" i="3" a="1"/>
  <c r="J1001" i="3" s="1"/>
  <c r="I1000" i="3" a="1"/>
  <c r="I1000" i="3" s="1"/>
  <c r="K1000" i="3" a="1"/>
  <c r="K1000" i="3" s="1"/>
  <c r="H1000" i="3" a="1"/>
  <c r="H1000" i="3" s="1"/>
  <c r="J1000" i="3" a="1"/>
  <c r="J1000" i="3" s="1"/>
  <c r="F1002" i="3"/>
  <c r="A1001" i="3" a="1"/>
  <c r="A1001" i="3" s="1"/>
  <c r="B1001" i="3" a="1"/>
  <c r="B1001" i="3" s="1"/>
  <c r="D1000" i="2"/>
  <c r="A1002" i="2" a="1"/>
  <c r="A1002" i="2" s="1"/>
  <c r="B1002" i="2" a="1"/>
  <c r="B1002" i="2" s="1"/>
  <c r="C1004" i="2"/>
  <c r="F1003" i="2"/>
  <c r="J1001" i="2" a="1"/>
  <c r="J1001" i="2" s="1"/>
  <c r="I1001" i="2" a="1"/>
  <c r="I1001" i="2" s="1"/>
  <c r="K1001" i="2" a="1"/>
  <c r="K1001" i="2" s="1"/>
  <c r="H1001" i="2" a="1"/>
  <c r="H1001" i="2" s="1"/>
  <c r="D1001" i="2" a="1"/>
  <c r="C1004" i="3" l="1"/>
  <c r="L1003" i="3"/>
  <c r="M1003" i="3"/>
  <c r="F1003" i="3"/>
  <c r="F1004" i="3" s="1"/>
  <c r="I1002" i="3" a="1"/>
  <c r="I1002" i="3" s="1"/>
  <c r="K1002" i="3" a="1"/>
  <c r="K1002" i="3" s="1"/>
  <c r="H1002" i="3" a="1"/>
  <c r="H1002" i="3" s="1"/>
  <c r="A1002" i="3" a="1"/>
  <c r="A1002" i="3" s="1"/>
  <c r="B1002" i="3" a="1"/>
  <c r="B1002" i="3" s="1"/>
  <c r="D1001" i="2"/>
  <c r="B1003" i="2" a="1"/>
  <c r="B1003" i="2" s="1"/>
  <c r="A1003" i="2" a="1"/>
  <c r="A1003" i="2" s="1"/>
  <c r="C1005" i="2"/>
  <c r="F1004" i="2"/>
  <c r="K1002" i="2" a="1"/>
  <c r="K1002" i="2" s="1"/>
  <c r="H1002" i="2" a="1"/>
  <c r="H1002" i="2" s="1"/>
  <c r="J1002" i="2" a="1"/>
  <c r="J1002" i="2" s="1"/>
  <c r="I1002" i="2" a="1"/>
  <c r="I1002" i="2" s="1"/>
  <c r="D1002" i="2" a="1"/>
  <c r="G1003" i="3" l="1" a="1"/>
  <c r="G1003" i="3" s="1"/>
  <c r="C1005" i="3"/>
  <c r="G1004" i="3" a="1"/>
  <c r="G1004" i="3" s="1"/>
  <c r="L1004" i="3"/>
  <c r="M1004" i="3"/>
  <c r="B1003" i="3" a="1"/>
  <c r="B1003" i="3" s="1"/>
  <c r="A1003" i="3" a="1"/>
  <c r="A1003" i="3" s="1"/>
  <c r="D1002" i="2"/>
  <c r="C1006" i="2"/>
  <c r="F1005" i="2"/>
  <c r="H1003" i="2" a="1"/>
  <c r="H1003" i="2" s="1"/>
  <c r="J1003" i="2" a="1"/>
  <c r="J1003" i="2" s="1"/>
  <c r="I1003" i="2" a="1"/>
  <c r="I1003" i="2" s="1"/>
  <c r="K1003" i="2" a="1"/>
  <c r="K1003" i="2" s="1"/>
  <c r="A1004" i="2" a="1"/>
  <c r="A1004" i="2" s="1"/>
  <c r="B1004" i="2" a="1"/>
  <c r="B1004" i="2" s="1"/>
  <c r="D1003" i="2" a="1"/>
  <c r="I1004" i="3" l="1" a="1"/>
  <c r="I1004" i="3" s="1"/>
  <c r="K1004" i="3" a="1"/>
  <c r="K1004" i="3" s="1"/>
  <c r="H1004" i="3" a="1"/>
  <c r="H1004" i="3" s="1"/>
  <c r="C1006" i="3"/>
  <c r="G1005" i="3" a="1"/>
  <c r="G1005" i="3" s="1"/>
  <c r="J1005" i="3" a="1"/>
  <c r="J1005" i="3" s="1"/>
  <c r="L1005" i="3"/>
  <c r="M1005" i="3"/>
  <c r="J1004" i="3" a="1"/>
  <c r="J1004" i="3" s="1"/>
  <c r="I1003" i="3" a="1"/>
  <c r="I1003" i="3" s="1"/>
  <c r="K1003" i="3" a="1"/>
  <c r="K1003" i="3" s="1"/>
  <c r="H1003" i="3" a="1"/>
  <c r="H1003" i="3" s="1"/>
  <c r="J1003" i="3" a="1"/>
  <c r="J1003" i="3" s="1"/>
  <c r="F1005" i="3"/>
  <c r="A1004" i="3" a="1"/>
  <c r="A1004" i="3" s="1"/>
  <c r="B1004" i="3" a="1"/>
  <c r="B1004" i="3" s="1"/>
  <c r="D1003" i="2"/>
  <c r="J1004" i="2" a="1"/>
  <c r="J1004" i="2" s="1"/>
  <c r="K1004" i="2" a="1"/>
  <c r="K1004" i="2" s="1"/>
  <c r="I1004" i="2" a="1"/>
  <c r="I1004" i="2" s="1"/>
  <c r="H1004" i="2" a="1"/>
  <c r="H1004" i="2" s="1"/>
  <c r="A1005" i="2" a="1"/>
  <c r="A1005" i="2" s="1"/>
  <c r="B1005" i="2" a="1"/>
  <c r="B1005" i="2" s="1"/>
  <c r="C1007" i="2"/>
  <c r="F1006" i="2"/>
  <c r="D1004" i="2" a="1"/>
  <c r="C1007" i="3" l="1"/>
  <c r="L1006" i="3"/>
  <c r="M1006" i="3"/>
  <c r="F1006" i="3"/>
  <c r="F1007" i="3" s="1"/>
  <c r="I1005" i="3" a="1"/>
  <c r="I1005" i="3" s="1"/>
  <c r="K1005" i="3" a="1"/>
  <c r="K1005" i="3" s="1"/>
  <c r="H1005" i="3" a="1"/>
  <c r="H1005" i="3" s="1"/>
  <c r="A1005" i="3" a="1"/>
  <c r="A1005" i="3" s="1"/>
  <c r="B1005" i="3" a="1"/>
  <c r="B1005" i="3" s="1"/>
  <c r="D1004" i="2"/>
  <c r="A1006" i="2" a="1"/>
  <c r="A1006" i="2" s="1"/>
  <c r="B1006" i="2" a="1"/>
  <c r="B1006" i="2" s="1"/>
  <c r="C1008" i="2"/>
  <c r="F1007" i="2"/>
  <c r="J1005" i="2" a="1"/>
  <c r="J1005" i="2" s="1"/>
  <c r="H1005" i="2" a="1"/>
  <c r="H1005" i="2" s="1"/>
  <c r="I1005" i="2" a="1"/>
  <c r="I1005" i="2" s="1"/>
  <c r="K1005" i="2" a="1"/>
  <c r="K1005" i="2" s="1"/>
  <c r="D1005" i="2" a="1"/>
  <c r="G1006" i="3" l="1" a="1"/>
  <c r="G1006" i="3" s="1"/>
  <c r="C1008" i="3"/>
  <c r="G1007" i="3" a="1"/>
  <c r="G1007" i="3" s="1"/>
  <c r="L1007" i="3"/>
  <c r="M1007" i="3"/>
  <c r="J1007" i="3" a="1"/>
  <c r="J1007" i="3" s="1"/>
  <c r="A1006" i="3" a="1"/>
  <c r="A1006" i="3" s="1"/>
  <c r="B1006" i="3" a="1"/>
  <c r="B1006" i="3" s="1"/>
  <c r="D1005" i="2"/>
  <c r="B1007" i="2" a="1"/>
  <c r="B1007" i="2" s="1"/>
  <c r="A1007" i="2" a="1"/>
  <c r="A1007" i="2" s="1"/>
  <c r="H1006" i="2" a="1"/>
  <c r="H1006" i="2" s="1"/>
  <c r="K1006" i="2" a="1"/>
  <c r="K1006" i="2" s="1"/>
  <c r="I1006" i="2" a="1"/>
  <c r="I1006" i="2" s="1"/>
  <c r="J1006" i="2" a="1"/>
  <c r="J1006" i="2" s="1"/>
  <c r="C1009" i="2"/>
  <c r="F1008" i="2"/>
  <c r="D1006" i="2" a="1"/>
  <c r="C1009" i="3" l="1"/>
  <c r="G1008" i="3" a="1"/>
  <c r="G1008" i="3" s="1"/>
  <c r="L1008" i="3"/>
  <c r="M1008" i="3"/>
  <c r="J1008" i="3" a="1"/>
  <c r="J1008" i="3" s="1"/>
  <c r="I1007" i="3" a="1"/>
  <c r="I1007" i="3" s="1"/>
  <c r="K1007" i="3" a="1"/>
  <c r="K1007" i="3" s="1"/>
  <c r="H1007" i="3" a="1"/>
  <c r="H1007" i="3" s="1"/>
  <c r="I1006" i="3" a="1"/>
  <c r="I1006" i="3" s="1"/>
  <c r="K1006" i="3" a="1"/>
  <c r="K1006" i="3" s="1"/>
  <c r="H1006" i="3" a="1"/>
  <c r="H1006" i="3" s="1"/>
  <c r="J1006" i="3" a="1"/>
  <c r="J1006" i="3" s="1"/>
  <c r="F1008" i="3"/>
  <c r="F1009" i="3" s="1"/>
  <c r="B1007" i="3" a="1"/>
  <c r="B1007" i="3" s="1"/>
  <c r="A1007" i="3" a="1"/>
  <c r="A1007" i="3" s="1"/>
  <c r="D1006" i="2"/>
  <c r="C1010" i="2"/>
  <c r="F1009" i="2"/>
  <c r="K1007" i="2" a="1"/>
  <c r="K1007" i="2" s="1"/>
  <c r="H1007" i="2" a="1"/>
  <c r="H1007" i="2" s="1"/>
  <c r="J1007" i="2" a="1"/>
  <c r="J1007" i="2" s="1"/>
  <c r="I1007" i="2" a="1"/>
  <c r="I1007" i="2" s="1"/>
  <c r="B1008" i="2" a="1"/>
  <c r="B1008" i="2" s="1"/>
  <c r="A1008" i="2" a="1"/>
  <c r="A1008" i="2" s="1"/>
  <c r="D1007" i="2" a="1"/>
  <c r="K1008" i="3" l="1" a="1"/>
  <c r="K1008" i="3" s="1"/>
  <c r="H1008" i="3" a="1"/>
  <c r="H1008" i="3" s="1"/>
  <c r="I1008" i="3" a="1"/>
  <c r="I1008" i="3" s="1"/>
  <c r="C1010" i="3"/>
  <c r="F1010" i="3" s="1"/>
  <c r="G1009" i="3" a="1"/>
  <c r="G1009" i="3" s="1"/>
  <c r="L1009" i="3"/>
  <c r="M1009" i="3"/>
  <c r="B1008" i="3" a="1"/>
  <c r="B1008" i="3" s="1"/>
  <c r="A1008" i="3" a="1"/>
  <c r="A1008" i="3" s="1"/>
  <c r="D1007" i="2"/>
  <c r="K1008" i="2" a="1"/>
  <c r="K1008" i="2" s="1"/>
  <c r="I1008" i="2" a="1"/>
  <c r="I1008" i="2" s="1"/>
  <c r="J1008" i="2" a="1"/>
  <c r="J1008" i="2" s="1"/>
  <c r="H1008" i="2" a="1"/>
  <c r="H1008" i="2" s="1"/>
  <c r="B1009" i="2" a="1"/>
  <c r="B1009" i="2" s="1"/>
  <c r="A1009" i="2" a="1"/>
  <c r="A1009" i="2" s="1"/>
  <c r="C1011" i="2"/>
  <c r="F1010" i="2"/>
  <c r="D1008" i="2" a="1"/>
  <c r="I1009" i="3" l="1" a="1"/>
  <c r="I1009" i="3" s="1"/>
  <c r="K1009" i="3" a="1"/>
  <c r="K1009" i="3" s="1"/>
  <c r="H1009" i="3" a="1"/>
  <c r="H1009" i="3" s="1"/>
  <c r="J1009" i="3" a="1"/>
  <c r="J1009" i="3" s="1"/>
  <c r="C1011" i="3"/>
  <c r="G1010" i="3" a="1"/>
  <c r="G1010" i="3" s="1"/>
  <c r="L1010" i="3"/>
  <c r="M1010" i="3"/>
  <c r="J1010" i="3" a="1"/>
  <c r="J1010" i="3" s="1"/>
  <c r="A1009" i="3" a="1"/>
  <c r="A1009" i="3" s="1"/>
  <c r="B1009" i="3" a="1"/>
  <c r="B1009" i="3" s="1"/>
  <c r="D1008" i="2"/>
  <c r="C1012" i="2"/>
  <c r="F1011" i="2"/>
  <c r="A1010" i="2" a="1"/>
  <c r="A1010" i="2" s="1"/>
  <c r="B1010" i="2" a="1"/>
  <c r="B1010" i="2" s="1"/>
  <c r="K1009" i="2" a="1"/>
  <c r="K1009" i="2" s="1"/>
  <c r="H1009" i="2" a="1"/>
  <c r="H1009" i="2" s="1"/>
  <c r="I1009" i="2" a="1"/>
  <c r="I1009" i="2" s="1"/>
  <c r="J1009" i="2" a="1"/>
  <c r="J1009" i="2" s="1"/>
  <c r="D1009" i="2" a="1"/>
  <c r="I1010" i="3" l="1" a="1"/>
  <c r="I1010" i="3" s="1"/>
  <c r="K1010" i="3" a="1"/>
  <c r="K1010" i="3" s="1"/>
  <c r="H1010" i="3" a="1"/>
  <c r="H1010" i="3" s="1"/>
  <c r="C1012" i="3"/>
  <c r="L1011" i="3"/>
  <c r="M1011" i="3"/>
  <c r="F1011" i="3"/>
  <c r="F1012" i="3" s="1"/>
  <c r="A1010" i="3" a="1"/>
  <c r="A1010" i="3" s="1"/>
  <c r="B1010" i="3" a="1"/>
  <c r="B1010" i="3" s="1"/>
  <c r="D1009" i="2"/>
  <c r="I1010" i="2" a="1"/>
  <c r="I1010" i="2" s="1"/>
  <c r="K1010" i="2" a="1"/>
  <c r="K1010" i="2" s="1"/>
  <c r="H1010" i="2" a="1"/>
  <c r="H1010" i="2" s="1"/>
  <c r="J1010" i="2" a="1"/>
  <c r="J1010" i="2" s="1"/>
  <c r="A1011" i="2" a="1"/>
  <c r="A1011" i="2" s="1"/>
  <c r="B1011" i="2" a="1"/>
  <c r="B1011" i="2" s="1"/>
  <c r="C1013" i="2"/>
  <c r="F1012" i="2"/>
  <c r="D1010" i="2" a="1"/>
  <c r="G1011" i="3" l="1" a="1"/>
  <c r="G1011" i="3" s="1"/>
  <c r="C1013" i="3"/>
  <c r="G1012" i="3" a="1"/>
  <c r="G1012" i="3" s="1"/>
  <c r="L1012" i="3"/>
  <c r="M1012" i="3"/>
  <c r="A1011" i="3" a="1"/>
  <c r="A1011" i="3" s="1"/>
  <c r="B1011" i="3" a="1"/>
  <c r="B1011" i="3" s="1"/>
  <c r="D1010" i="2"/>
  <c r="J1011" i="2" a="1"/>
  <c r="J1011" i="2" s="1"/>
  <c r="I1011" i="2" a="1"/>
  <c r="I1011" i="2" s="1"/>
  <c r="H1011" i="2" a="1"/>
  <c r="H1011" i="2" s="1"/>
  <c r="K1011" i="2" a="1"/>
  <c r="K1011" i="2" s="1"/>
  <c r="C1014" i="2"/>
  <c r="F1013" i="2"/>
  <c r="A1012" i="2" a="1"/>
  <c r="A1012" i="2" s="1"/>
  <c r="B1012" i="2" a="1"/>
  <c r="B1012" i="2" s="1"/>
  <c r="D1011" i="2" a="1"/>
  <c r="I1012" i="3" l="1" a="1"/>
  <c r="I1012" i="3" s="1"/>
  <c r="K1012" i="3" a="1"/>
  <c r="K1012" i="3" s="1"/>
  <c r="H1012" i="3" a="1"/>
  <c r="H1012" i="3" s="1"/>
  <c r="C1014" i="3"/>
  <c r="G1013" i="3" a="1"/>
  <c r="G1013" i="3" s="1"/>
  <c r="L1013" i="3"/>
  <c r="M1013" i="3"/>
  <c r="J1013" i="3" a="1"/>
  <c r="J1013" i="3" s="1"/>
  <c r="J1012" i="3" a="1"/>
  <c r="J1012" i="3" s="1"/>
  <c r="I1011" i="3" a="1"/>
  <c r="I1011" i="3" s="1"/>
  <c r="K1011" i="3" a="1"/>
  <c r="K1011" i="3" s="1"/>
  <c r="H1011" i="3" a="1"/>
  <c r="H1011" i="3" s="1"/>
  <c r="J1011" i="3" a="1"/>
  <c r="J1011" i="3" s="1"/>
  <c r="F1013" i="3"/>
  <c r="A1012" i="3" a="1"/>
  <c r="A1012" i="3" s="1"/>
  <c r="B1012" i="3" a="1"/>
  <c r="B1012" i="3" s="1"/>
  <c r="D1011" i="2"/>
  <c r="J1012" i="2" a="1"/>
  <c r="J1012" i="2" s="1"/>
  <c r="K1012" i="2" a="1"/>
  <c r="K1012" i="2" s="1"/>
  <c r="I1012" i="2" a="1"/>
  <c r="I1012" i="2" s="1"/>
  <c r="H1012" i="2" a="1"/>
  <c r="H1012" i="2" s="1"/>
  <c r="B1013" i="2" a="1"/>
  <c r="B1013" i="2" s="1"/>
  <c r="A1013" i="2" a="1"/>
  <c r="A1013" i="2" s="1"/>
  <c r="C1015" i="2"/>
  <c r="F1014" i="2"/>
  <c r="D1012" i="2" a="1"/>
  <c r="C1015" i="3" l="1"/>
  <c r="L1014" i="3"/>
  <c r="M1014" i="3"/>
  <c r="F1014" i="3"/>
  <c r="F1015" i="3" s="1"/>
  <c r="I1013" i="3" a="1"/>
  <c r="I1013" i="3" s="1"/>
  <c r="K1013" i="3" a="1"/>
  <c r="K1013" i="3" s="1"/>
  <c r="H1013" i="3" a="1"/>
  <c r="H1013" i="3" s="1"/>
  <c r="A1013" i="3" a="1"/>
  <c r="A1013" i="3" s="1"/>
  <c r="B1013" i="3" a="1"/>
  <c r="B1013" i="3" s="1"/>
  <c r="D1012" i="2"/>
  <c r="C1016" i="2"/>
  <c r="F1015" i="2"/>
  <c r="A1014" i="2" a="1"/>
  <c r="A1014" i="2" s="1"/>
  <c r="B1014" i="2" a="1"/>
  <c r="B1014" i="2" s="1"/>
  <c r="J1013" i="2" a="1"/>
  <c r="J1013" i="2" s="1"/>
  <c r="I1013" i="2" a="1"/>
  <c r="I1013" i="2" s="1"/>
  <c r="H1013" i="2" a="1"/>
  <c r="H1013" i="2" s="1"/>
  <c r="K1013" i="2" a="1"/>
  <c r="K1013" i="2" s="1"/>
  <c r="D1013" i="2" a="1"/>
  <c r="G1014" i="3" l="1" a="1"/>
  <c r="G1014" i="3" s="1"/>
  <c r="C1016" i="3"/>
  <c r="G1015" i="3" a="1"/>
  <c r="G1015" i="3" s="1"/>
  <c r="J1015" i="3" a="1"/>
  <c r="J1015" i="3" s="1"/>
  <c r="L1015" i="3"/>
  <c r="M1015" i="3"/>
  <c r="A1014" i="3" a="1"/>
  <c r="A1014" i="3" s="1"/>
  <c r="B1014" i="3" a="1"/>
  <c r="B1014" i="3" s="1"/>
  <c r="D1013" i="2"/>
  <c r="B1015" i="2" a="1"/>
  <c r="B1015" i="2" s="1"/>
  <c r="A1015" i="2" a="1"/>
  <c r="A1015" i="2" s="1"/>
  <c r="J1014" i="2" a="1"/>
  <c r="J1014" i="2" s="1"/>
  <c r="H1014" i="2" a="1"/>
  <c r="H1014" i="2" s="1"/>
  <c r="K1014" i="2" a="1"/>
  <c r="K1014" i="2" s="1"/>
  <c r="I1014" i="2" a="1"/>
  <c r="I1014" i="2" s="1"/>
  <c r="C1017" i="2"/>
  <c r="F1016" i="2"/>
  <c r="D1014" i="2" a="1"/>
  <c r="C1017" i="3" l="1"/>
  <c r="G1016" i="3" a="1"/>
  <c r="G1016" i="3" s="1"/>
  <c r="J1016" i="3" a="1"/>
  <c r="J1016" i="3" s="1"/>
  <c r="L1016" i="3"/>
  <c r="M1016" i="3"/>
  <c r="I1015" i="3" a="1"/>
  <c r="I1015" i="3" s="1"/>
  <c r="K1015" i="3" a="1"/>
  <c r="K1015" i="3" s="1"/>
  <c r="H1015" i="3" a="1"/>
  <c r="H1015" i="3" s="1"/>
  <c r="I1014" i="3" a="1"/>
  <c r="I1014" i="3" s="1"/>
  <c r="K1014" i="3" a="1"/>
  <c r="K1014" i="3" s="1"/>
  <c r="H1014" i="3" a="1"/>
  <c r="H1014" i="3" s="1"/>
  <c r="J1014" i="3" a="1"/>
  <c r="J1014" i="3" s="1"/>
  <c r="F1016" i="3"/>
  <c r="F1017" i="3" s="1"/>
  <c r="B1015" i="3" a="1"/>
  <c r="B1015" i="3" s="1"/>
  <c r="A1015" i="3" a="1"/>
  <c r="A1015" i="3" s="1"/>
  <c r="D1014" i="2"/>
  <c r="A1016" i="2" a="1"/>
  <c r="A1016" i="2" s="1"/>
  <c r="B1016" i="2" a="1"/>
  <c r="B1016" i="2" s="1"/>
  <c r="H1015" i="2" a="1"/>
  <c r="H1015" i="2" s="1"/>
  <c r="J1015" i="2" a="1"/>
  <c r="J1015" i="2" s="1"/>
  <c r="I1015" i="2" a="1"/>
  <c r="I1015" i="2" s="1"/>
  <c r="K1015" i="2" a="1"/>
  <c r="K1015" i="2" s="1"/>
  <c r="C1018" i="2"/>
  <c r="F1017" i="2"/>
  <c r="D1015" i="2" a="1"/>
  <c r="K1016" i="3" l="1" a="1"/>
  <c r="K1016" i="3" s="1"/>
  <c r="H1016" i="3" a="1"/>
  <c r="H1016" i="3" s="1"/>
  <c r="I1016" i="3" a="1"/>
  <c r="I1016" i="3" s="1"/>
  <c r="C1018" i="3"/>
  <c r="F1018" i="3" s="1"/>
  <c r="G1017" i="3" a="1"/>
  <c r="G1017" i="3" s="1"/>
  <c r="L1017" i="3"/>
  <c r="M1017" i="3"/>
  <c r="A1016" i="3" a="1"/>
  <c r="A1016" i="3" s="1"/>
  <c r="B1016" i="3" a="1"/>
  <c r="B1016" i="3" s="1"/>
  <c r="D1015" i="2"/>
  <c r="C1019" i="2"/>
  <c r="F1018" i="2"/>
  <c r="K1016" i="2" a="1"/>
  <c r="K1016" i="2" s="1"/>
  <c r="J1016" i="2" a="1"/>
  <c r="J1016" i="2" s="1"/>
  <c r="I1016" i="2" a="1"/>
  <c r="I1016" i="2" s="1"/>
  <c r="H1016" i="2" a="1"/>
  <c r="H1016" i="2" s="1"/>
  <c r="A1017" i="2" a="1"/>
  <c r="A1017" i="2" s="1"/>
  <c r="B1017" i="2" a="1"/>
  <c r="B1017" i="2" s="1"/>
  <c r="D1016" i="2" a="1"/>
  <c r="H1017" i="3" l="1" a="1"/>
  <c r="H1017" i="3" s="1"/>
  <c r="K1017" i="3" a="1"/>
  <c r="K1017" i="3" s="1"/>
  <c r="I1017" i="3" a="1"/>
  <c r="I1017" i="3" s="1"/>
  <c r="J1017" i="3" a="1"/>
  <c r="J1017" i="3" s="1"/>
  <c r="C1019" i="3"/>
  <c r="G1018" i="3" a="1"/>
  <c r="G1018" i="3" s="1"/>
  <c r="M1018" i="3"/>
  <c r="J1018" i="3" a="1"/>
  <c r="J1018" i="3" s="1"/>
  <c r="L1018" i="3"/>
  <c r="A1017" i="3" a="1"/>
  <c r="A1017" i="3" s="1"/>
  <c r="B1017" i="3" a="1"/>
  <c r="B1017" i="3" s="1"/>
  <c r="D1016" i="2"/>
  <c r="J1017" i="2" a="1"/>
  <c r="J1017" i="2" s="1"/>
  <c r="I1017" i="2" a="1"/>
  <c r="I1017" i="2" s="1"/>
  <c r="K1017" i="2" a="1"/>
  <c r="K1017" i="2" s="1"/>
  <c r="H1017" i="2" a="1"/>
  <c r="H1017" i="2" s="1"/>
  <c r="A1018" i="2" a="1"/>
  <c r="A1018" i="2" s="1"/>
  <c r="B1018" i="2" a="1"/>
  <c r="B1018" i="2" s="1"/>
  <c r="C1020" i="2"/>
  <c r="F1019" i="2"/>
  <c r="D1017" i="2" a="1"/>
  <c r="I1018" i="3" l="1" a="1"/>
  <c r="I1018" i="3" s="1"/>
  <c r="H1018" i="3" a="1"/>
  <c r="H1018" i="3" s="1"/>
  <c r="K1018" i="3" a="1"/>
  <c r="K1018" i="3" s="1"/>
  <c r="C1020" i="3"/>
  <c r="L1019" i="3"/>
  <c r="M1019" i="3"/>
  <c r="F1019" i="3"/>
  <c r="F1020" i="3" s="1"/>
  <c r="A1018" i="3" a="1"/>
  <c r="A1018" i="3" s="1"/>
  <c r="B1018" i="3" a="1"/>
  <c r="B1018" i="3" s="1"/>
  <c r="D1017" i="2"/>
  <c r="C1021" i="2"/>
  <c r="F1020" i="2"/>
  <c r="I1018" i="2" a="1"/>
  <c r="I1018" i="2" s="1"/>
  <c r="J1018" i="2" a="1"/>
  <c r="J1018" i="2" s="1"/>
  <c r="H1018" i="2" a="1"/>
  <c r="H1018" i="2" s="1"/>
  <c r="K1018" i="2" a="1"/>
  <c r="K1018" i="2" s="1"/>
  <c r="A1019" i="2" a="1"/>
  <c r="A1019" i="2" s="1"/>
  <c r="B1019" i="2" a="1"/>
  <c r="B1019" i="2" s="1"/>
  <c r="D1018" i="2" a="1"/>
  <c r="G1019" i="3" l="1" a="1"/>
  <c r="G1019" i="3" s="1"/>
  <c r="C1021" i="3"/>
  <c r="G1020" i="3" a="1"/>
  <c r="G1020" i="3" s="1"/>
  <c r="J1020" i="3" s="1" a="1"/>
  <c r="J1020" i="3" s="1"/>
  <c r="L1020" i="3"/>
  <c r="M1020" i="3"/>
  <c r="A1019" i="3" a="1"/>
  <c r="A1019" i="3" s="1"/>
  <c r="B1019" i="3" a="1"/>
  <c r="B1019" i="3" s="1"/>
  <c r="D1018" i="2"/>
  <c r="I1019" i="2" a="1"/>
  <c r="I1019" i="2" s="1"/>
  <c r="J1019" i="2" a="1"/>
  <c r="J1019" i="2" s="1"/>
  <c r="H1019" i="2" a="1"/>
  <c r="H1019" i="2" s="1"/>
  <c r="K1019" i="2" a="1"/>
  <c r="K1019" i="2" s="1"/>
  <c r="B1020" i="2" a="1"/>
  <c r="B1020" i="2" s="1"/>
  <c r="A1020" i="2" a="1"/>
  <c r="A1020" i="2" s="1"/>
  <c r="C1022" i="2"/>
  <c r="F1021" i="2"/>
  <c r="D1019" i="2" a="1"/>
  <c r="K1019" i="3" l="1" a="1"/>
  <c r="K1019" i="3" s="1"/>
  <c r="H1019" i="3" a="1"/>
  <c r="H1019" i="3" s="1"/>
  <c r="I1019" i="3" a="1"/>
  <c r="I1019" i="3" s="1"/>
  <c r="J1019" i="3" a="1"/>
  <c r="J1019" i="3" s="1"/>
  <c r="H1020" i="3" a="1"/>
  <c r="H1020" i="3" s="1"/>
  <c r="I1020" i="3" a="1"/>
  <c r="I1020" i="3" s="1"/>
  <c r="K1020" i="3" a="1"/>
  <c r="K1020" i="3" s="1"/>
  <c r="C1022" i="3"/>
  <c r="G1021" i="3" a="1"/>
  <c r="G1021" i="3" s="1"/>
  <c r="L1021" i="3"/>
  <c r="M1021" i="3"/>
  <c r="J1021" i="3" a="1"/>
  <c r="J1021" i="3" s="1"/>
  <c r="F1021" i="3"/>
  <c r="B1020" i="3" a="1"/>
  <c r="B1020" i="3" s="1"/>
  <c r="A1020" i="3" a="1"/>
  <c r="A1020" i="3" s="1"/>
  <c r="D1019" i="2"/>
  <c r="B1021" i="2" a="1"/>
  <c r="B1021" i="2" s="1"/>
  <c r="A1021" i="2" a="1"/>
  <c r="A1021" i="2" s="1"/>
  <c r="I1020" i="2" a="1"/>
  <c r="I1020" i="2" s="1"/>
  <c r="K1020" i="2" a="1"/>
  <c r="K1020" i="2" s="1"/>
  <c r="J1020" i="2" a="1"/>
  <c r="J1020" i="2" s="1"/>
  <c r="H1020" i="2" a="1"/>
  <c r="H1020" i="2" s="1"/>
  <c r="C1023" i="2"/>
  <c r="F1022" i="2"/>
  <c r="D1020" i="2" a="1"/>
  <c r="H1021" i="3" l="1" a="1"/>
  <c r="H1021" i="3" s="1"/>
  <c r="K1021" i="3" a="1"/>
  <c r="K1021" i="3" s="1"/>
  <c r="I1021" i="3" a="1"/>
  <c r="I1021" i="3" s="1"/>
  <c r="C1023" i="3"/>
  <c r="L1022" i="3"/>
  <c r="M1022" i="3"/>
  <c r="F1022" i="3"/>
  <c r="F1023" i="3" s="1"/>
  <c r="A1021" i="3" a="1"/>
  <c r="A1021" i="3" s="1"/>
  <c r="B1021" i="3" a="1"/>
  <c r="B1021" i="3" s="1"/>
  <c r="D1020" i="2"/>
  <c r="C1024" i="2"/>
  <c r="F1023" i="2"/>
  <c r="A1022" i="2" a="1"/>
  <c r="A1022" i="2" s="1"/>
  <c r="B1022" i="2" a="1"/>
  <c r="B1022" i="2" s="1"/>
  <c r="J1021" i="2" a="1"/>
  <c r="J1021" i="2" s="1"/>
  <c r="K1021" i="2" a="1"/>
  <c r="K1021" i="2" s="1"/>
  <c r="H1021" i="2" a="1"/>
  <c r="H1021" i="2" s="1"/>
  <c r="I1021" i="2" a="1"/>
  <c r="I1021" i="2" s="1"/>
  <c r="D1021" i="2" a="1"/>
  <c r="G1022" i="3" l="1" a="1"/>
  <c r="G1022" i="3" s="1"/>
  <c r="C1024" i="3"/>
  <c r="G1023" i="3" a="1"/>
  <c r="G1023" i="3" s="1"/>
  <c r="J1023" i="3" s="1" a="1"/>
  <c r="J1023" i="3" s="1"/>
  <c r="L1023" i="3"/>
  <c r="M1023" i="3"/>
  <c r="A1022" i="3" a="1"/>
  <c r="A1022" i="3" s="1"/>
  <c r="B1022" i="3" a="1"/>
  <c r="B1022" i="3" s="1"/>
  <c r="D1021" i="2"/>
  <c r="J1022" i="2" a="1"/>
  <c r="J1022" i="2" s="1"/>
  <c r="K1022" i="2" a="1"/>
  <c r="K1022" i="2" s="1"/>
  <c r="H1022" i="2" a="1"/>
  <c r="H1022" i="2" s="1"/>
  <c r="I1022" i="2" a="1"/>
  <c r="I1022" i="2" s="1"/>
  <c r="B1023" i="2" a="1"/>
  <c r="B1023" i="2" s="1"/>
  <c r="A1023" i="2" a="1"/>
  <c r="A1023" i="2" s="1"/>
  <c r="C1025" i="2"/>
  <c r="F1024" i="2"/>
  <c r="D1022" i="2" a="1"/>
  <c r="H1022" i="3" l="1" a="1"/>
  <c r="H1022" i="3" s="1"/>
  <c r="K1022" i="3" a="1"/>
  <c r="K1022" i="3" s="1"/>
  <c r="I1022" i="3" a="1"/>
  <c r="I1022" i="3" s="1"/>
  <c r="J1022" i="3" a="1"/>
  <c r="J1022" i="3" s="1"/>
  <c r="H1023" i="3" a="1"/>
  <c r="H1023" i="3" s="1"/>
  <c r="I1023" i="3" a="1"/>
  <c r="I1023" i="3" s="1"/>
  <c r="K1023" i="3" a="1"/>
  <c r="K1023" i="3" s="1"/>
  <c r="C1025" i="3"/>
  <c r="G1024" i="3" a="1"/>
  <c r="G1024" i="3" s="1"/>
  <c r="L1024" i="3"/>
  <c r="M1024" i="3"/>
  <c r="F1024" i="3"/>
  <c r="A1023" i="3" a="1"/>
  <c r="A1023" i="3" s="1"/>
  <c r="B1023" i="3" a="1"/>
  <c r="B1023" i="3" s="1"/>
  <c r="D1022" i="2"/>
  <c r="I1023" i="2" a="1"/>
  <c r="I1023" i="2" s="1"/>
  <c r="J1023" i="2" a="1"/>
  <c r="J1023" i="2" s="1"/>
  <c r="H1023" i="2" a="1"/>
  <c r="H1023" i="2" s="1"/>
  <c r="K1023" i="2" a="1"/>
  <c r="K1023" i="2" s="1"/>
  <c r="C1026" i="2"/>
  <c r="F1025" i="2"/>
  <c r="A1024" i="2" a="1"/>
  <c r="A1024" i="2" s="1"/>
  <c r="B1024" i="2" a="1"/>
  <c r="B1024" i="2" s="1"/>
  <c r="D1023" i="2" a="1"/>
  <c r="H1024" i="3" l="1" a="1"/>
  <c r="H1024" i="3" s="1"/>
  <c r="I1024" i="3" a="1"/>
  <c r="I1024" i="3" s="1"/>
  <c r="K1024" i="3" a="1"/>
  <c r="K1024" i="3" s="1"/>
  <c r="J1024" i="3" a="1"/>
  <c r="J1024" i="3" s="1"/>
  <c r="C1026" i="3"/>
  <c r="L1025" i="3"/>
  <c r="M1025" i="3"/>
  <c r="F1025" i="3"/>
  <c r="F1026" i="3" s="1"/>
  <c r="A1024" i="3" a="1"/>
  <c r="A1024" i="3" s="1"/>
  <c r="B1024" i="3" a="1"/>
  <c r="B1024" i="3" s="1"/>
  <c r="D1023" i="2"/>
  <c r="I1024" i="2" a="1"/>
  <c r="I1024" i="2" s="1"/>
  <c r="J1024" i="2" a="1"/>
  <c r="J1024" i="2" s="1"/>
  <c r="H1024" i="2" a="1"/>
  <c r="H1024" i="2" s="1"/>
  <c r="K1024" i="2" a="1"/>
  <c r="K1024" i="2" s="1"/>
  <c r="C1027" i="2"/>
  <c r="F1026" i="2"/>
  <c r="B1025" i="2" a="1"/>
  <c r="B1025" i="2" s="1"/>
  <c r="A1025" i="2" a="1"/>
  <c r="A1025" i="2" s="1"/>
  <c r="D1024" i="2" a="1"/>
  <c r="C1027" i="3" l="1"/>
  <c r="G1026" i="3" a="1"/>
  <c r="G1026" i="3" s="1"/>
  <c r="L1026" i="3"/>
  <c r="M1026" i="3"/>
  <c r="J1026" i="3" a="1"/>
  <c r="J1026" i="3" s="1"/>
  <c r="F1027" i="3"/>
  <c r="G1025" i="3" a="1"/>
  <c r="G1025" i="3" s="1"/>
  <c r="A1025" i="3" a="1"/>
  <c r="A1025" i="3" s="1"/>
  <c r="B1025" i="3" a="1"/>
  <c r="B1025" i="3" s="1"/>
  <c r="D1024" i="2"/>
  <c r="H1025" i="2" a="1"/>
  <c r="H1025" i="2" s="1"/>
  <c r="J1025" i="2" a="1"/>
  <c r="J1025" i="2" s="1"/>
  <c r="I1025" i="2" a="1"/>
  <c r="I1025" i="2" s="1"/>
  <c r="K1025" i="2" a="1"/>
  <c r="K1025" i="2" s="1"/>
  <c r="A1026" i="2" a="1"/>
  <c r="A1026" i="2" s="1"/>
  <c r="B1026" i="2" a="1"/>
  <c r="B1026" i="2" s="1"/>
  <c r="C1028" i="2"/>
  <c r="F1027" i="2"/>
  <c r="D1025" i="2" a="1"/>
  <c r="H1025" i="3" l="1" a="1"/>
  <c r="H1025" i="3" s="1"/>
  <c r="K1025" i="3" a="1"/>
  <c r="K1025" i="3" s="1"/>
  <c r="I1025" i="3" a="1"/>
  <c r="I1025" i="3" s="1"/>
  <c r="J1025" i="3" a="1"/>
  <c r="J1025" i="3" s="1"/>
  <c r="I1026" i="3" a="1"/>
  <c r="I1026" i="3" s="1"/>
  <c r="H1026" i="3" a="1"/>
  <c r="H1026" i="3" s="1"/>
  <c r="K1026" i="3" a="1"/>
  <c r="K1026" i="3" s="1"/>
  <c r="C1028" i="3"/>
  <c r="G1027" i="3" a="1"/>
  <c r="G1027" i="3" s="1"/>
  <c r="J1027" i="3" a="1"/>
  <c r="J1027" i="3" s="1"/>
  <c r="L1027" i="3"/>
  <c r="M1027" i="3"/>
  <c r="A1026" i="3" a="1"/>
  <c r="A1026" i="3" s="1"/>
  <c r="B1026" i="3" a="1"/>
  <c r="B1026" i="3" s="1"/>
  <c r="D1025" i="2"/>
  <c r="C1029" i="2"/>
  <c r="F1028" i="2"/>
  <c r="A1027" i="2" a="1"/>
  <c r="A1027" i="2" s="1"/>
  <c r="B1027" i="2" a="1"/>
  <c r="B1027" i="2" s="1"/>
  <c r="I1026" i="2" a="1"/>
  <c r="I1026" i="2" s="1"/>
  <c r="J1026" i="2" a="1"/>
  <c r="J1026" i="2" s="1"/>
  <c r="K1026" i="2" a="1"/>
  <c r="K1026" i="2" s="1"/>
  <c r="H1026" i="2" a="1"/>
  <c r="H1026" i="2" s="1"/>
  <c r="D1026" i="2" a="1"/>
  <c r="C1029" i="3" l="1"/>
  <c r="L1028" i="3"/>
  <c r="M1028" i="3"/>
  <c r="F1028" i="3"/>
  <c r="F1029" i="3" s="1"/>
  <c r="H1027" i="3" a="1"/>
  <c r="H1027" i="3" s="1"/>
  <c r="I1027" i="3" a="1"/>
  <c r="I1027" i="3" s="1"/>
  <c r="K1027" i="3" a="1"/>
  <c r="K1027" i="3" s="1"/>
  <c r="B1027" i="3" a="1"/>
  <c r="B1027" i="3" s="1"/>
  <c r="A1027" i="3" a="1"/>
  <c r="A1027" i="3" s="1"/>
  <c r="D1026" i="2"/>
  <c r="A1028" i="2" a="1"/>
  <c r="A1028" i="2" s="1"/>
  <c r="B1028" i="2" a="1"/>
  <c r="B1028" i="2" s="1"/>
  <c r="J1027" i="2" a="1"/>
  <c r="J1027" i="2" s="1"/>
  <c r="H1027" i="2" a="1"/>
  <c r="H1027" i="2" s="1"/>
  <c r="K1027" i="2" a="1"/>
  <c r="K1027" i="2" s="1"/>
  <c r="I1027" i="2" a="1"/>
  <c r="I1027" i="2" s="1"/>
  <c r="C1030" i="2"/>
  <c r="F1029" i="2"/>
  <c r="D1027" i="2" a="1"/>
  <c r="G1028" i="3" l="1" a="1"/>
  <c r="G1028" i="3" s="1"/>
  <c r="C1030" i="3"/>
  <c r="G1029" i="3" a="1"/>
  <c r="G1029" i="3" s="1"/>
  <c r="L1029" i="3"/>
  <c r="M1029" i="3"/>
  <c r="J1029" i="3" a="1"/>
  <c r="J1029" i="3" s="1"/>
  <c r="A1028" i="3" a="1"/>
  <c r="A1028" i="3" s="1"/>
  <c r="B1028" i="3" a="1"/>
  <c r="B1028" i="3" s="1"/>
  <c r="D1027" i="2"/>
  <c r="I1028" i="2" a="1"/>
  <c r="I1028" i="2" s="1"/>
  <c r="J1028" i="2" a="1"/>
  <c r="J1028" i="2" s="1"/>
  <c r="K1028" i="2" a="1"/>
  <c r="K1028" i="2" s="1"/>
  <c r="H1028" i="2" a="1"/>
  <c r="H1028" i="2" s="1"/>
  <c r="A1029" i="2" a="1"/>
  <c r="A1029" i="2" s="1"/>
  <c r="B1029" i="2" a="1"/>
  <c r="B1029" i="2" s="1"/>
  <c r="C1031" i="2"/>
  <c r="F1030" i="2"/>
  <c r="D1028" i="2" a="1"/>
  <c r="C1031" i="3" l="1"/>
  <c r="G1030" i="3" a="1"/>
  <c r="G1030" i="3" s="1"/>
  <c r="J1030" i="3" a="1"/>
  <c r="J1030" i="3" s="1"/>
  <c r="L1030" i="3"/>
  <c r="M1030" i="3"/>
  <c r="H1029" i="3" a="1"/>
  <c r="H1029" i="3" s="1"/>
  <c r="K1029" i="3" a="1"/>
  <c r="K1029" i="3" s="1"/>
  <c r="I1029" i="3" a="1"/>
  <c r="I1029" i="3" s="1"/>
  <c r="H1028" i="3" a="1"/>
  <c r="H1028" i="3" s="1"/>
  <c r="I1028" i="3" a="1"/>
  <c r="I1028" i="3" s="1"/>
  <c r="K1028" i="3" a="1"/>
  <c r="K1028" i="3" s="1"/>
  <c r="J1028" i="3" a="1"/>
  <c r="J1028" i="3" s="1"/>
  <c r="F1030" i="3"/>
  <c r="F1031" i="3" s="1"/>
  <c r="A1029" i="3" a="1"/>
  <c r="A1029" i="3" s="1"/>
  <c r="B1029" i="3" a="1"/>
  <c r="B1029" i="3" s="1"/>
  <c r="D1028" i="2"/>
  <c r="B1030" i="2" a="1"/>
  <c r="B1030" i="2" s="1"/>
  <c r="A1030" i="2" a="1"/>
  <c r="A1030" i="2" s="1"/>
  <c r="J1029" i="2" a="1"/>
  <c r="J1029" i="2" s="1"/>
  <c r="I1029" i="2" a="1"/>
  <c r="I1029" i="2" s="1"/>
  <c r="H1029" i="2" a="1"/>
  <c r="H1029" i="2" s="1"/>
  <c r="K1029" i="2" a="1"/>
  <c r="K1029" i="2" s="1"/>
  <c r="C1032" i="2"/>
  <c r="F1031" i="2"/>
  <c r="D1029" i="2" a="1"/>
  <c r="I1030" i="3" l="1" a="1"/>
  <c r="I1030" i="3" s="1"/>
  <c r="H1030" i="3" a="1"/>
  <c r="H1030" i="3" s="1"/>
  <c r="K1030" i="3" a="1"/>
  <c r="K1030" i="3" s="1"/>
  <c r="C1032" i="3"/>
  <c r="G1031" i="3" a="1"/>
  <c r="G1031" i="3" s="1"/>
  <c r="M1031" i="3"/>
  <c r="L1031" i="3"/>
  <c r="A1030" i="3" a="1"/>
  <c r="A1030" i="3" s="1"/>
  <c r="B1030" i="3" a="1"/>
  <c r="B1030" i="3" s="1"/>
  <c r="D1029" i="2"/>
  <c r="C1033" i="2"/>
  <c r="F1032" i="2"/>
  <c r="B1031" i="2" a="1"/>
  <c r="B1031" i="2" s="1"/>
  <c r="A1031" i="2" a="1"/>
  <c r="A1031" i="2" s="1"/>
  <c r="I1030" i="2" a="1"/>
  <c r="I1030" i="2" s="1"/>
  <c r="K1030" i="2" a="1"/>
  <c r="K1030" i="2" s="1"/>
  <c r="H1030" i="2" a="1"/>
  <c r="H1030" i="2" s="1"/>
  <c r="J1030" i="2" a="1"/>
  <c r="J1030" i="2" s="1"/>
  <c r="D1030" i="2" a="1"/>
  <c r="H1031" i="3" l="1" a="1"/>
  <c r="H1031" i="3" s="1"/>
  <c r="I1031" i="3" a="1"/>
  <c r="I1031" i="3" s="1"/>
  <c r="K1031" i="3" a="1"/>
  <c r="K1031" i="3" s="1"/>
  <c r="J1031" i="3" a="1"/>
  <c r="J1031" i="3" s="1"/>
  <c r="C1033" i="3"/>
  <c r="L1032" i="3"/>
  <c r="M1032" i="3"/>
  <c r="F1032" i="3"/>
  <c r="F1033" i="3" s="1"/>
  <c r="A1031" i="3" a="1"/>
  <c r="A1031" i="3" s="1"/>
  <c r="B1031" i="3" a="1"/>
  <c r="B1031" i="3" s="1"/>
  <c r="D1030" i="2"/>
  <c r="J1031" i="2" a="1"/>
  <c r="J1031" i="2" s="1"/>
  <c r="H1031" i="2" a="1"/>
  <c r="H1031" i="2" s="1"/>
  <c r="I1031" i="2" a="1"/>
  <c r="I1031" i="2" s="1"/>
  <c r="K1031" i="2" a="1"/>
  <c r="K1031" i="2" s="1"/>
  <c r="B1032" i="2" a="1"/>
  <c r="B1032" i="2" s="1"/>
  <c r="A1032" i="2" a="1"/>
  <c r="A1032" i="2" s="1"/>
  <c r="C1034" i="2"/>
  <c r="F1033" i="2"/>
  <c r="D1031" i="2" a="1"/>
  <c r="G1032" i="3" l="1" a="1"/>
  <c r="G1032" i="3" s="1"/>
  <c r="C1034" i="3"/>
  <c r="F1034" i="3" s="1"/>
  <c r="G1033" i="3" a="1"/>
  <c r="G1033" i="3" s="1"/>
  <c r="L1033" i="3"/>
  <c r="M1033" i="3"/>
  <c r="J1033" i="3" a="1"/>
  <c r="J1033" i="3" s="1"/>
  <c r="B1032" i="3" a="1"/>
  <c r="B1032" i="3" s="1"/>
  <c r="A1032" i="3" a="1"/>
  <c r="A1032" i="3" s="1"/>
  <c r="D1031" i="2"/>
  <c r="B1033" i="2" a="1"/>
  <c r="B1033" i="2" s="1"/>
  <c r="A1033" i="2" a="1"/>
  <c r="A1033" i="2" s="1"/>
  <c r="C1035" i="2"/>
  <c r="F1034" i="2"/>
  <c r="I1032" i="2" a="1"/>
  <c r="I1032" i="2" s="1"/>
  <c r="K1032" i="2" a="1"/>
  <c r="K1032" i="2" s="1"/>
  <c r="J1032" i="2" a="1"/>
  <c r="J1032" i="2" s="1"/>
  <c r="H1032" i="2" a="1"/>
  <c r="H1032" i="2" s="1"/>
  <c r="D1032" i="2" a="1"/>
  <c r="H1033" i="3" l="1" a="1"/>
  <c r="H1033" i="3" s="1"/>
  <c r="I1033" i="3" a="1"/>
  <c r="I1033" i="3" s="1"/>
  <c r="K1033" i="3" a="1"/>
  <c r="K1033" i="3" s="1"/>
  <c r="C1035" i="3"/>
  <c r="G1034" i="3" a="1"/>
  <c r="G1034" i="3" s="1"/>
  <c r="L1034" i="3"/>
  <c r="M1034" i="3"/>
  <c r="H1032" i="3" a="1"/>
  <c r="H1032" i="3" s="1"/>
  <c r="I1032" i="3" a="1"/>
  <c r="I1032" i="3" s="1"/>
  <c r="K1032" i="3" a="1"/>
  <c r="K1032" i="3" s="1"/>
  <c r="J1032" i="3" a="1"/>
  <c r="J1032" i="3" s="1"/>
  <c r="A1033" i="3" a="1"/>
  <c r="A1033" i="3" s="1"/>
  <c r="B1033" i="3" a="1"/>
  <c r="B1033" i="3" s="1"/>
  <c r="D1032" i="2"/>
  <c r="K1033" i="2" a="1"/>
  <c r="K1033" i="2" s="1"/>
  <c r="I1033" i="2" a="1"/>
  <c r="I1033" i="2" s="1"/>
  <c r="H1033" i="2" a="1"/>
  <c r="H1033" i="2" s="1"/>
  <c r="J1033" i="2" a="1"/>
  <c r="J1033" i="2" s="1"/>
  <c r="C1036" i="2"/>
  <c r="F1035" i="2"/>
  <c r="B1034" i="2" a="1"/>
  <c r="B1034" i="2" s="1"/>
  <c r="A1034" i="2" a="1"/>
  <c r="A1034" i="2" s="1"/>
  <c r="D1033" i="2" a="1"/>
  <c r="K1034" i="3" l="1" a="1"/>
  <c r="K1034" i="3" s="1"/>
  <c r="I1034" i="3" a="1"/>
  <c r="I1034" i="3" s="1"/>
  <c r="H1034" i="3" a="1"/>
  <c r="H1034" i="3" s="1"/>
  <c r="J1034" i="3" a="1"/>
  <c r="J1034" i="3" s="1"/>
  <c r="C1036" i="3"/>
  <c r="L1035" i="3"/>
  <c r="M1035" i="3"/>
  <c r="F1035" i="3"/>
  <c r="F1036" i="3" s="1"/>
  <c r="A1034" i="3" a="1"/>
  <c r="A1034" i="3" s="1"/>
  <c r="B1034" i="3" a="1"/>
  <c r="B1034" i="3" s="1"/>
  <c r="D1033" i="2"/>
  <c r="C1037" i="2"/>
  <c r="F1036" i="2"/>
  <c r="A1035" i="2" a="1"/>
  <c r="A1035" i="2" s="1"/>
  <c r="B1035" i="2" a="1"/>
  <c r="B1035" i="2" s="1"/>
  <c r="J1034" i="2" a="1"/>
  <c r="J1034" i="2" s="1"/>
  <c r="I1034" i="2" a="1"/>
  <c r="I1034" i="2" s="1"/>
  <c r="H1034" i="2" a="1"/>
  <c r="H1034" i="2" s="1"/>
  <c r="K1034" i="2" a="1"/>
  <c r="K1034" i="2" s="1"/>
  <c r="D1034" i="2" a="1"/>
  <c r="C1037" i="3" l="1"/>
  <c r="G1036" i="3" a="1"/>
  <c r="G1036" i="3" s="1"/>
  <c r="J1036" i="3" s="1" a="1"/>
  <c r="J1036" i="3" s="1"/>
  <c r="L1036" i="3"/>
  <c r="M1036" i="3"/>
  <c r="F1037" i="3"/>
  <c r="G1035" i="3" a="1"/>
  <c r="G1035" i="3" s="1"/>
  <c r="A1035" i="3" a="1"/>
  <c r="A1035" i="3" s="1"/>
  <c r="B1035" i="3" a="1"/>
  <c r="B1035" i="3" s="1"/>
  <c r="D1034" i="2"/>
  <c r="H1035" i="2" a="1"/>
  <c r="H1035" i="2" s="1"/>
  <c r="K1035" i="2" a="1"/>
  <c r="K1035" i="2" s="1"/>
  <c r="I1035" i="2" a="1"/>
  <c r="I1035" i="2" s="1"/>
  <c r="J1035" i="2" a="1"/>
  <c r="J1035" i="2" s="1"/>
  <c r="A1036" i="2" a="1"/>
  <c r="A1036" i="2" s="1"/>
  <c r="B1036" i="2" a="1"/>
  <c r="B1036" i="2" s="1"/>
  <c r="C1038" i="2"/>
  <c r="F1037" i="2"/>
  <c r="D1035" i="2" a="1"/>
  <c r="H1035" i="3" l="1" a="1"/>
  <c r="H1035" i="3" s="1"/>
  <c r="I1035" i="3" a="1"/>
  <c r="I1035" i="3" s="1"/>
  <c r="K1035" i="3" a="1"/>
  <c r="K1035" i="3" s="1"/>
  <c r="J1035" i="3" a="1"/>
  <c r="J1035" i="3" s="1"/>
  <c r="H1036" i="3" a="1"/>
  <c r="H1036" i="3" s="1"/>
  <c r="I1036" i="3" a="1"/>
  <c r="I1036" i="3" s="1"/>
  <c r="K1036" i="3" a="1"/>
  <c r="K1036" i="3" s="1"/>
  <c r="C1038" i="3"/>
  <c r="F1038" i="3" s="1"/>
  <c r="G1037" i="3" a="1"/>
  <c r="G1037" i="3" s="1"/>
  <c r="L1037" i="3"/>
  <c r="M1037" i="3"/>
  <c r="A1036" i="3" a="1"/>
  <c r="A1036" i="3" s="1"/>
  <c r="B1036" i="3" a="1"/>
  <c r="B1036" i="3" s="1"/>
  <c r="D1035" i="2"/>
  <c r="B1037" i="2" a="1"/>
  <c r="B1037" i="2" s="1"/>
  <c r="A1037" i="2" a="1"/>
  <c r="A1037" i="2" s="1"/>
  <c r="C1039" i="2"/>
  <c r="F1038" i="2"/>
  <c r="I1036" i="2" a="1"/>
  <c r="I1036" i="2" s="1"/>
  <c r="K1036" i="2" a="1"/>
  <c r="K1036" i="2" s="1"/>
  <c r="H1036" i="2" a="1"/>
  <c r="H1036" i="2" s="1"/>
  <c r="J1036" i="2" a="1"/>
  <c r="J1036" i="2" s="1"/>
  <c r="D1036" i="2" a="1"/>
  <c r="H1037" i="3" l="1" a="1"/>
  <c r="H1037" i="3" s="1"/>
  <c r="I1037" i="3" a="1"/>
  <c r="I1037" i="3" s="1"/>
  <c r="K1037" i="3" a="1"/>
  <c r="K1037" i="3" s="1"/>
  <c r="C1039" i="3"/>
  <c r="G1038" i="3" a="1"/>
  <c r="G1038" i="3" s="1"/>
  <c r="M1038" i="3"/>
  <c r="J1038" i="3" a="1"/>
  <c r="J1038" i="3" s="1"/>
  <c r="L1038" i="3"/>
  <c r="J1037" i="3" a="1"/>
  <c r="J1037" i="3" s="1"/>
  <c r="A1037" i="3" a="1"/>
  <c r="A1037" i="3" s="1"/>
  <c r="B1037" i="3" a="1"/>
  <c r="B1037" i="3" s="1"/>
  <c r="D1036" i="2"/>
  <c r="A1038" i="2" a="1"/>
  <c r="A1038" i="2" s="1"/>
  <c r="B1038" i="2" a="1"/>
  <c r="B1038" i="2" s="1"/>
  <c r="C1040" i="2"/>
  <c r="F1039" i="2"/>
  <c r="K1037" i="2" a="1"/>
  <c r="K1037" i="2" s="1"/>
  <c r="J1037" i="2" a="1"/>
  <c r="J1037" i="2" s="1"/>
  <c r="H1037" i="2" a="1"/>
  <c r="H1037" i="2" s="1"/>
  <c r="I1037" i="2" a="1"/>
  <c r="I1037" i="2" s="1"/>
  <c r="D1037" i="2" a="1"/>
  <c r="C1040" i="3" l="1"/>
  <c r="L1039" i="3"/>
  <c r="M1039" i="3"/>
  <c r="I1038" i="3" a="1"/>
  <c r="I1038" i="3" s="1"/>
  <c r="H1038" i="3" a="1"/>
  <c r="H1038" i="3" s="1"/>
  <c r="K1038" i="3" a="1"/>
  <c r="K1038" i="3" s="1"/>
  <c r="F1039" i="3"/>
  <c r="F1040" i="3" s="1"/>
  <c r="A1038" i="3" a="1"/>
  <c r="A1038" i="3" s="1"/>
  <c r="B1038" i="3" a="1"/>
  <c r="B1038" i="3" s="1"/>
  <c r="D1037" i="2"/>
  <c r="C1041" i="2"/>
  <c r="F1040" i="2"/>
  <c r="I1038" i="2" a="1"/>
  <c r="I1038" i="2" s="1"/>
  <c r="J1038" i="2" a="1"/>
  <c r="J1038" i="2" s="1"/>
  <c r="H1038" i="2" a="1"/>
  <c r="H1038" i="2" s="1"/>
  <c r="K1038" i="2" a="1"/>
  <c r="K1038" i="2" s="1"/>
  <c r="B1039" i="2" a="1"/>
  <c r="B1039" i="2" s="1"/>
  <c r="A1039" i="2" a="1"/>
  <c r="A1039" i="2" s="1"/>
  <c r="D1038" i="2" a="1"/>
  <c r="G1039" i="3" l="1" a="1"/>
  <c r="G1039" i="3" s="1"/>
  <c r="C1041" i="3"/>
  <c r="G1040" i="3" a="1"/>
  <c r="G1040" i="3" s="1"/>
  <c r="M1040" i="3"/>
  <c r="J1040" i="3" a="1"/>
  <c r="J1040" i="3" s="1"/>
  <c r="L1040" i="3"/>
  <c r="B1039" i="3" a="1"/>
  <c r="B1039" i="3" s="1"/>
  <c r="A1039" i="3" a="1"/>
  <c r="A1039" i="3" s="1"/>
  <c r="D1038" i="2"/>
  <c r="H1039" i="2" a="1"/>
  <c r="H1039" i="2" s="1"/>
  <c r="I1039" i="2" a="1"/>
  <c r="I1039" i="2" s="1"/>
  <c r="K1039" i="2" a="1"/>
  <c r="K1039" i="2" s="1"/>
  <c r="J1039" i="2" a="1"/>
  <c r="J1039" i="2" s="1"/>
  <c r="A1040" i="2" a="1"/>
  <c r="A1040" i="2" s="1"/>
  <c r="B1040" i="2" a="1"/>
  <c r="B1040" i="2" s="1"/>
  <c r="C1042" i="2"/>
  <c r="F1041" i="2"/>
  <c r="D1039" i="2" a="1"/>
  <c r="H1040" i="3" l="1" a="1"/>
  <c r="H1040" i="3" s="1"/>
  <c r="I1040" i="3" a="1"/>
  <c r="I1040" i="3" s="1"/>
  <c r="K1040" i="3" a="1"/>
  <c r="K1040" i="3" s="1"/>
  <c r="C1042" i="3"/>
  <c r="G1041" i="3" a="1"/>
  <c r="G1041" i="3" s="1"/>
  <c r="L1041" i="3"/>
  <c r="M1041" i="3"/>
  <c r="J1041" i="3" a="1"/>
  <c r="J1041" i="3" s="1"/>
  <c r="H1039" i="3" a="1"/>
  <c r="H1039" i="3" s="1"/>
  <c r="I1039" i="3" a="1"/>
  <c r="I1039" i="3" s="1"/>
  <c r="K1039" i="3" a="1"/>
  <c r="K1039" i="3" s="1"/>
  <c r="J1039" i="3" a="1"/>
  <c r="J1039" i="3" s="1"/>
  <c r="F1041" i="3"/>
  <c r="A1040" i="3" a="1"/>
  <c r="A1040" i="3" s="1"/>
  <c r="B1040" i="3" a="1"/>
  <c r="B1040" i="3" s="1"/>
  <c r="D1039" i="2"/>
  <c r="C1043" i="2"/>
  <c r="F1042" i="2"/>
  <c r="A1041" i="2" a="1"/>
  <c r="A1041" i="2" s="1"/>
  <c r="B1041" i="2" a="1"/>
  <c r="B1041" i="2" s="1"/>
  <c r="K1040" i="2" a="1"/>
  <c r="K1040" i="2" s="1"/>
  <c r="I1040" i="2" a="1"/>
  <c r="I1040" i="2" s="1"/>
  <c r="J1040" i="2" a="1"/>
  <c r="J1040" i="2" s="1"/>
  <c r="H1040" i="2" a="1"/>
  <c r="H1040" i="2" s="1"/>
  <c r="D1040" i="2" a="1"/>
  <c r="C1043" i="3" l="1"/>
  <c r="L1042" i="3"/>
  <c r="M1042" i="3"/>
  <c r="H1041" i="3" a="1"/>
  <c r="H1041" i="3" s="1"/>
  <c r="I1041" i="3" a="1"/>
  <c r="I1041" i="3" s="1"/>
  <c r="K1041" i="3" a="1"/>
  <c r="K1041" i="3" s="1"/>
  <c r="F1042" i="3"/>
  <c r="F1043" i="3" s="1"/>
  <c r="A1041" i="3" a="1"/>
  <c r="A1041" i="3" s="1"/>
  <c r="B1041" i="3" a="1"/>
  <c r="B1041" i="3" s="1"/>
  <c r="D1040" i="2"/>
  <c r="K1041" i="2" a="1"/>
  <c r="K1041" i="2" s="1"/>
  <c r="H1041" i="2" a="1"/>
  <c r="H1041" i="2" s="1"/>
  <c r="I1041" i="2" a="1"/>
  <c r="I1041" i="2" s="1"/>
  <c r="J1041" i="2" a="1"/>
  <c r="J1041" i="2" s="1"/>
  <c r="A1042" i="2" a="1"/>
  <c r="A1042" i="2" s="1"/>
  <c r="B1042" i="2" a="1"/>
  <c r="B1042" i="2" s="1"/>
  <c r="C1044" i="2"/>
  <c r="F1043" i="2"/>
  <c r="D1041" i="2" a="1"/>
  <c r="G1042" i="3" l="1" a="1"/>
  <c r="G1042" i="3" s="1"/>
  <c r="C1044" i="3"/>
  <c r="G1043" i="3" a="1"/>
  <c r="G1043" i="3" s="1"/>
  <c r="L1043" i="3"/>
  <c r="M1043" i="3"/>
  <c r="A1042" i="3" a="1"/>
  <c r="A1042" i="3" s="1"/>
  <c r="B1042" i="3" a="1"/>
  <c r="B1042" i="3" s="1"/>
  <c r="D1041" i="2"/>
  <c r="A1043" i="2" a="1"/>
  <c r="A1043" i="2" s="1"/>
  <c r="B1043" i="2" a="1"/>
  <c r="B1043" i="2" s="1"/>
  <c r="C1045" i="2"/>
  <c r="F1044" i="2"/>
  <c r="J1042" i="2" a="1"/>
  <c r="J1042" i="2" s="1"/>
  <c r="K1042" i="2" a="1"/>
  <c r="K1042" i="2" s="1"/>
  <c r="H1042" i="2" a="1"/>
  <c r="H1042" i="2" s="1"/>
  <c r="I1042" i="2" a="1"/>
  <c r="I1042" i="2" s="1"/>
  <c r="D1042" i="2" a="1"/>
  <c r="I1043" i="3" l="1" a="1"/>
  <c r="I1043" i="3" s="1"/>
  <c r="K1043" i="3" a="1"/>
  <c r="K1043" i="3" s="1"/>
  <c r="H1043" i="3" a="1"/>
  <c r="H1043" i="3" s="1"/>
  <c r="C1045" i="3"/>
  <c r="G1044" i="3" a="1"/>
  <c r="G1044" i="3" s="1"/>
  <c r="J1044" i="3" a="1"/>
  <c r="J1044" i="3" s="1"/>
  <c r="L1044" i="3"/>
  <c r="M1044" i="3"/>
  <c r="J1043" i="3" a="1"/>
  <c r="J1043" i="3" s="1"/>
  <c r="I1042" i="3" a="1"/>
  <c r="I1042" i="3" s="1"/>
  <c r="H1042" i="3" a="1"/>
  <c r="H1042" i="3" s="1"/>
  <c r="K1042" i="3" a="1"/>
  <c r="K1042" i="3" s="1"/>
  <c r="J1042" i="3" a="1"/>
  <c r="J1042" i="3" s="1"/>
  <c r="F1044" i="3"/>
  <c r="B1043" i="3" a="1"/>
  <c r="B1043" i="3" s="1"/>
  <c r="A1043" i="3" a="1"/>
  <c r="A1043" i="3" s="1"/>
  <c r="D1042" i="2"/>
  <c r="B1044" i="2" a="1"/>
  <c r="B1044" i="2" s="1"/>
  <c r="A1044" i="2" a="1"/>
  <c r="A1044" i="2" s="1"/>
  <c r="C1046" i="2"/>
  <c r="F1045" i="2"/>
  <c r="J1043" i="2" a="1"/>
  <c r="J1043" i="2" s="1"/>
  <c r="K1043" i="2" a="1"/>
  <c r="K1043" i="2" s="1"/>
  <c r="H1043" i="2" a="1"/>
  <c r="H1043" i="2" s="1"/>
  <c r="I1043" i="2" a="1"/>
  <c r="I1043" i="2" s="1"/>
  <c r="D1043" i="2" a="1"/>
  <c r="C1046" i="3" l="1"/>
  <c r="L1045" i="3"/>
  <c r="M1045" i="3"/>
  <c r="F1045" i="3"/>
  <c r="F1046" i="3" s="1"/>
  <c r="H1044" i="3" a="1"/>
  <c r="H1044" i="3" s="1"/>
  <c r="I1044" i="3" a="1"/>
  <c r="I1044" i="3" s="1"/>
  <c r="K1044" i="3" a="1"/>
  <c r="K1044" i="3" s="1"/>
  <c r="B1044" i="3" a="1"/>
  <c r="B1044" i="3" s="1"/>
  <c r="A1044" i="3" a="1"/>
  <c r="A1044" i="3" s="1"/>
  <c r="D1043" i="2"/>
  <c r="C1047" i="2"/>
  <c r="F1046" i="2"/>
  <c r="I1044" i="2" a="1"/>
  <c r="I1044" i="2" s="1"/>
  <c r="K1044" i="2" a="1"/>
  <c r="K1044" i="2" s="1"/>
  <c r="H1044" i="2" a="1"/>
  <c r="H1044" i="2" s="1"/>
  <c r="J1044" i="2" a="1"/>
  <c r="J1044" i="2" s="1"/>
  <c r="A1045" i="2" a="1"/>
  <c r="A1045" i="2" s="1"/>
  <c r="B1045" i="2" a="1"/>
  <c r="B1045" i="2" s="1"/>
  <c r="D1044" i="2" a="1"/>
  <c r="G1045" i="3" l="1" a="1"/>
  <c r="G1045" i="3" s="1"/>
  <c r="C1047" i="3"/>
  <c r="G1046" i="3" a="1"/>
  <c r="G1046" i="3" s="1"/>
  <c r="L1046" i="3"/>
  <c r="M1046" i="3"/>
  <c r="J1046" i="3" a="1"/>
  <c r="J1046" i="3" s="1"/>
  <c r="A1045" i="3" a="1"/>
  <c r="A1045" i="3" s="1"/>
  <c r="B1045" i="3" a="1"/>
  <c r="B1045" i="3" s="1"/>
  <c r="D1044" i="2"/>
  <c r="K1045" i="2" a="1"/>
  <c r="K1045" i="2" s="1"/>
  <c r="H1045" i="2" a="1"/>
  <c r="H1045" i="2" s="1"/>
  <c r="J1045" i="2" a="1"/>
  <c r="J1045" i="2" s="1"/>
  <c r="I1045" i="2" a="1"/>
  <c r="I1045" i="2" s="1"/>
  <c r="A1046" i="2" a="1"/>
  <c r="A1046" i="2" s="1"/>
  <c r="B1046" i="2" a="1"/>
  <c r="B1046" i="2" s="1"/>
  <c r="C1048" i="2"/>
  <c r="F1047" i="2"/>
  <c r="D1045" i="2" a="1"/>
  <c r="C1048" i="3" l="1"/>
  <c r="G1047" i="3" a="1"/>
  <c r="G1047" i="3" s="1"/>
  <c r="J1047" i="3" a="1"/>
  <c r="J1047" i="3" s="1"/>
  <c r="L1047" i="3"/>
  <c r="M1047" i="3"/>
  <c r="K1046" i="3" a="1"/>
  <c r="K1046" i="3" s="1"/>
  <c r="I1046" i="3" a="1"/>
  <c r="I1046" i="3" s="1"/>
  <c r="H1046" i="3" a="1"/>
  <c r="H1046" i="3" s="1"/>
  <c r="H1045" i="3" a="1"/>
  <c r="H1045" i="3" s="1"/>
  <c r="I1045" i="3" a="1"/>
  <c r="I1045" i="3" s="1"/>
  <c r="K1045" i="3" a="1"/>
  <c r="K1045" i="3" s="1"/>
  <c r="J1045" i="3" a="1"/>
  <c r="J1045" i="3" s="1"/>
  <c r="F1047" i="3"/>
  <c r="F1048" i="3" s="1"/>
  <c r="A1046" i="3" a="1"/>
  <c r="A1046" i="3" s="1"/>
  <c r="B1046" i="3" a="1"/>
  <c r="B1046" i="3" s="1"/>
  <c r="D1045" i="2"/>
  <c r="C1049" i="2"/>
  <c r="F1048" i="2"/>
  <c r="A1047" i="2" a="1"/>
  <c r="A1047" i="2" s="1"/>
  <c r="B1047" i="2" a="1"/>
  <c r="B1047" i="2" s="1"/>
  <c r="I1046" i="2" a="1"/>
  <c r="I1046" i="2" s="1"/>
  <c r="H1046" i="2" a="1"/>
  <c r="H1046" i="2" s="1"/>
  <c r="J1046" i="2" a="1"/>
  <c r="J1046" i="2" s="1"/>
  <c r="K1046" i="2" a="1"/>
  <c r="K1046" i="2" s="1"/>
  <c r="D1046" i="2" a="1"/>
  <c r="H1047" i="3" l="1" a="1"/>
  <c r="H1047" i="3" s="1"/>
  <c r="I1047" i="3" a="1"/>
  <c r="I1047" i="3" s="1"/>
  <c r="K1047" i="3" a="1"/>
  <c r="K1047" i="3" s="1"/>
  <c r="C1049" i="3"/>
  <c r="G1048" i="3" a="1"/>
  <c r="G1048" i="3" s="1"/>
  <c r="L1048" i="3"/>
  <c r="M1048" i="3"/>
  <c r="J1048" i="3" a="1"/>
  <c r="J1048" i="3" s="1"/>
  <c r="A1047" i="3" a="1"/>
  <c r="A1047" i="3" s="1"/>
  <c r="B1047" i="3" a="1"/>
  <c r="B1047" i="3" s="1"/>
  <c r="D1046" i="2"/>
  <c r="A1048" i="2" a="1"/>
  <c r="A1048" i="2" s="1"/>
  <c r="B1048" i="2" a="1"/>
  <c r="B1048" i="2" s="1"/>
  <c r="K1047" i="2" a="1"/>
  <c r="K1047" i="2" s="1"/>
  <c r="I1047" i="2" a="1"/>
  <c r="I1047" i="2" s="1"/>
  <c r="J1047" i="2" a="1"/>
  <c r="J1047" i="2" s="1"/>
  <c r="H1047" i="2" a="1"/>
  <c r="H1047" i="2" s="1"/>
  <c r="C1050" i="2"/>
  <c r="F1049" i="2"/>
  <c r="D1047" i="2" a="1"/>
  <c r="H1048" i="3" l="1" a="1"/>
  <c r="H1048" i="3" s="1"/>
  <c r="I1048" i="3" a="1"/>
  <c r="I1048" i="3" s="1"/>
  <c r="K1048" i="3" a="1"/>
  <c r="K1048" i="3" s="1"/>
  <c r="C1050" i="3"/>
  <c r="L1049" i="3"/>
  <c r="M1049" i="3"/>
  <c r="F1049" i="3"/>
  <c r="F1050" i="3" s="1"/>
  <c r="A1048" i="3" a="1"/>
  <c r="A1048" i="3" s="1"/>
  <c r="B1048" i="3" a="1"/>
  <c r="B1048" i="3" s="1"/>
  <c r="D1047" i="2"/>
  <c r="C1051" i="2"/>
  <c r="F1050" i="2"/>
  <c r="H1048" i="2" a="1"/>
  <c r="H1048" i="2" s="1"/>
  <c r="K1048" i="2" a="1"/>
  <c r="K1048" i="2" s="1"/>
  <c r="I1048" i="2" a="1"/>
  <c r="I1048" i="2" s="1"/>
  <c r="J1048" i="2" a="1"/>
  <c r="J1048" i="2" s="1"/>
  <c r="A1049" i="2" a="1"/>
  <c r="A1049" i="2" s="1"/>
  <c r="B1049" i="2" a="1"/>
  <c r="B1049" i="2" s="1"/>
  <c r="D1048" i="2" a="1"/>
  <c r="G1049" i="3" l="1" a="1"/>
  <c r="G1049" i="3" s="1"/>
  <c r="C1051" i="3"/>
  <c r="G1050" i="3" a="1"/>
  <c r="G1050" i="3" s="1"/>
  <c r="J1050" i="3" a="1"/>
  <c r="J1050" i="3" s="1"/>
  <c r="L1050" i="3"/>
  <c r="M1050" i="3"/>
  <c r="A1049" i="3" a="1"/>
  <c r="A1049" i="3" s="1"/>
  <c r="B1049" i="3" a="1"/>
  <c r="B1049" i="3" s="1"/>
  <c r="D1048" i="2"/>
  <c r="I1049" i="2" a="1"/>
  <c r="I1049" i="2" s="1"/>
  <c r="J1049" i="2" a="1"/>
  <c r="J1049" i="2" s="1"/>
  <c r="K1049" i="2" a="1"/>
  <c r="K1049" i="2" s="1"/>
  <c r="H1049" i="2" a="1"/>
  <c r="H1049" i="2" s="1"/>
  <c r="A1050" i="2" a="1"/>
  <c r="A1050" i="2" s="1"/>
  <c r="B1050" i="2" a="1"/>
  <c r="B1050" i="2" s="1"/>
  <c r="C1052" i="2"/>
  <c r="F1051" i="2"/>
  <c r="D1049" i="2" a="1"/>
  <c r="C1052" i="3" l="1"/>
  <c r="G1051" i="3" a="1"/>
  <c r="G1051" i="3" s="1"/>
  <c r="J1051" i="3" a="1"/>
  <c r="J1051" i="3" s="1"/>
  <c r="L1051" i="3"/>
  <c r="M1051" i="3"/>
  <c r="I1050" i="3" a="1"/>
  <c r="I1050" i="3" s="1"/>
  <c r="H1050" i="3" a="1"/>
  <c r="H1050" i="3" s="1"/>
  <c r="K1050" i="3" a="1"/>
  <c r="K1050" i="3" s="1"/>
  <c r="H1049" i="3" a="1"/>
  <c r="H1049" i="3" s="1"/>
  <c r="K1049" i="3" a="1"/>
  <c r="K1049" i="3" s="1"/>
  <c r="I1049" i="3" a="1"/>
  <c r="I1049" i="3" s="1"/>
  <c r="J1049" i="3" a="1"/>
  <c r="J1049" i="3" s="1"/>
  <c r="F1051" i="3"/>
  <c r="F1052" i="3" s="1"/>
  <c r="A1050" i="3" a="1"/>
  <c r="A1050" i="3" s="1"/>
  <c r="B1050" i="3" a="1"/>
  <c r="B1050" i="3" s="1"/>
  <c r="D1049" i="2"/>
  <c r="C1053" i="2"/>
  <c r="F1052" i="2"/>
  <c r="A1051" i="2" a="1"/>
  <c r="A1051" i="2" s="1"/>
  <c r="B1051" i="2" a="1"/>
  <c r="B1051" i="2" s="1"/>
  <c r="I1050" i="2" a="1"/>
  <c r="I1050" i="2" s="1"/>
  <c r="J1050" i="2" a="1"/>
  <c r="J1050" i="2" s="1"/>
  <c r="H1050" i="2" a="1"/>
  <c r="H1050" i="2" s="1"/>
  <c r="K1050" i="2" a="1"/>
  <c r="K1050" i="2" s="1"/>
  <c r="D1050" i="2" a="1"/>
  <c r="H1051" i="3" l="1" a="1"/>
  <c r="H1051" i="3" s="1"/>
  <c r="I1051" i="3" a="1"/>
  <c r="I1051" i="3" s="1"/>
  <c r="K1051" i="3" a="1"/>
  <c r="K1051" i="3" s="1"/>
  <c r="C1053" i="3"/>
  <c r="G1052" i="3" a="1"/>
  <c r="G1052" i="3" s="1"/>
  <c r="J1052" i="3" s="1" a="1"/>
  <c r="J1052" i="3" s="1"/>
  <c r="L1052" i="3"/>
  <c r="M1052" i="3"/>
  <c r="B1051" i="3" a="1"/>
  <c r="B1051" i="3" s="1"/>
  <c r="A1051" i="3" a="1"/>
  <c r="A1051" i="3" s="1"/>
  <c r="D1050" i="2"/>
  <c r="A1052" i="2" a="1"/>
  <c r="A1052" i="2" s="1"/>
  <c r="B1052" i="2" a="1"/>
  <c r="B1052" i="2" s="1"/>
  <c r="J1051" i="2" a="1"/>
  <c r="J1051" i="2" s="1"/>
  <c r="H1051" i="2" a="1"/>
  <c r="H1051" i="2" s="1"/>
  <c r="K1051" i="2" a="1"/>
  <c r="K1051" i="2" s="1"/>
  <c r="I1051" i="2" a="1"/>
  <c r="I1051" i="2" s="1"/>
  <c r="C1054" i="2"/>
  <c r="F1053" i="2"/>
  <c r="D1051" i="2" a="1"/>
  <c r="H1052" i="3" l="1" a="1"/>
  <c r="H1052" i="3" s="1"/>
  <c r="I1052" i="3" a="1"/>
  <c r="I1052" i="3" s="1"/>
  <c r="K1052" i="3" a="1"/>
  <c r="K1052" i="3" s="1"/>
  <c r="C1054" i="3"/>
  <c r="L1053" i="3"/>
  <c r="M1053" i="3"/>
  <c r="F1053" i="3"/>
  <c r="F1054" i="3" s="1"/>
  <c r="A1052" i="3" a="1"/>
  <c r="A1052" i="3" s="1"/>
  <c r="B1052" i="3" a="1"/>
  <c r="B1052" i="3" s="1"/>
  <c r="D1051" i="2"/>
  <c r="I1052" i="2" a="1"/>
  <c r="I1052" i="2" s="1"/>
  <c r="H1052" i="2" a="1"/>
  <c r="H1052" i="2" s="1"/>
  <c r="J1052" i="2" a="1"/>
  <c r="J1052" i="2" s="1"/>
  <c r="K1052" i="2" a="1"/>
  <c r="K1052" i="2" s="1"/>
  <c r="B1053" i="2" a="1"/>
  <c r="B1053" i="2" s="1"/>
  <c r="A1053" i="2" a="1"/>
  <c r="A1053" i="2" s="1"/>
  <c r="C1055" i="2"/>
  <c r="F1054" i="2"/>
  <c r="D1052" i="2" a="1"/>
  <c r="G1053" i="3" l="1" a="1"/>
  <c r="G1053" i="3" s="1"/>
  <c r="C1055" i="3"/>
  <c r="G1054" i="3" a="1"/>
  <c r="G1054" i="3" s="1"/>
  <c r="L1054" i="3"/>
  <c r="M1054" i="3"/>
  <c r="A1053" i="3" a="1"/>
  <c r="A1053" i="3" s="1"/>
  <c r="B1053" i="3" a="1"/>
  <c r="B1053" i="3" s="1"/>
  <c r="D1052" i="2"/>
  <c r="C1056" i="2"/>
  <c r="F1055" i="2"/>
  <c r="A1054" i="2" a="1"/>
  <c r="A1054" i="2" s="1"/>
  <c r="B1054" i="2" a="1"/>
  <c r="B1054" i="2" s="1"/>
  <c r="H1053" i="2" a="1"/>
  <c r="H1053" i="2" s="1"/>
  <c r="K1053" i="2" a="1"/>
  <c r="K1053" i="2" s="1"/>
  <c r="I1053" i="2" a="1"/>
  <c r="I1053" i="2" s="1"/>
  <c r="J1053" i="2" a="1"/>
  <c r="J1053" i="2" s="1"/>
  <c r="D1053" i="2" a="1"/>
  <c r="I1054" i="3" l="1" a="1"/>
  <c r="I1054" i="3" s="1"/>
  <c r="H1054" i="3" a="1"/>
  <c r="H1054" i="3" s="1"/>
  <c r="K1054" i="3" a="1"/>
  <c r="K1054" i="3" s="1"/>
  <c r="C1056" i="3"/>
  <c r="G1055" i="3" a="1"/>
  <c r="G1055" i="3" s="1"/>
  <c r="L1055" i="3"/>
  <c r="M1055" i="3"/>
  <c r="J1055" i="3" a="1"/>
  <c r="J1055" i="3" s="1"/>
  <c r="J1054" i="3" a="1"/>
  <c r="J1054" i="3" s="1"/>
  <c r="H1053" i="3" a="1"/>
  <c r="H1053" i="3" s="1"/>
  <c r="K1053" i="3" a="1"/>
  <c r="K1053" i="3" s="1"/>
  <c r="I1053" i="3" a="1"/>
  <c r="I1053" i="3" s="1"/>
  <c r="J1053" i="3" a="1"/>
  <c r="J1053" i="3" s="1"/>
  <c r="F1055" i="3"/>
  <c r="A1054" i="3" a="1"/>
  <c r="A1054" i="3" s="1"/>
  <c r="B1054" i="3" a="1"/>
  <c r="B1054" i="3" s="1"/>
  <c r="D1053" i="2"/>
  <c r="K1054" i="2" a="1"/>
  <c r="K1054" i="2" s="1"/>
  <c r="H1054" i="2" a="1"/>
  <c r="H1054" i="2" s="1"/>
  <c r="J1054" i="2" a="1"/>
  <c r="J1054" i="2" s="1"/>
  <c r="I1054" i="2" a="1"/>
  <c r="I1054" i="2" s="1"/>
  <c r="B1055" i="2" a="1"/>
  <c r="B1055" i="2" s="1"/>
  <c r="A1055" i="2" a="1"/>
  <c r="A1055" i="2" s="1"/>
  <c r="C1057" i="2"/>
  <c r="F1056" i="2"/>
  <c r="D1054" i="2" a="1"/>
  <c r="C1057" i="3" l="1"/>
  <c r="L1056" i="3"/>
  <c r="M1056" i="3"/>
  <c r="F1056" i="3"/>
  <c r="F1057" i="3" s="1"/>
  <c r="H1055" i="3" a="1"/>
  <c r="H1055" i="3" s="1"/>
  <c r="I1055" i="3" a="1"/>
  <c r="I1055" i="3" s="1"/>
  <c r="K1055" i="3" a="1"/>
  <c r="K1055" i="3" s="1"/>
  <c r="A1055" i="3" a="1"/>
  <c r="A1055" i="3" s="1"/>
  <c r="B1055" i="3" a="1"/>
  <c r="B1055" i="3" s="1"/>
  <c r="D1054" i="2"/>
  <c r="C1058" i="2"/>
  <c r="F1057" i="2"/>
  <c r="B1056" i="2" a="1"/>
  <c r="B1056" i="2" s="1"/>
  <c r="A1056" i="2" a="1"/>
  <c r="A1056" i="2" s="1"/>
  <c r="J1055" i="2" a="1"/>
  <c r="J1055" i="2" s="1"/>
  <c r="K1055" i="2" a="1"/>
  <c r="K1055" i="2" s="1"/>
  <c r="I1055" i="2" a="1"/>
  <c r="I1055" i="2" s="1"/>
  <c r="H1055" i="2" a="1"/>
  <c r="H1055" i="2" s="1"/>
  <c r="D1055" i="2" a="1"/>
  <c r="G1056" i="3" l="1" a="1"/>
  <c r="G1056" i="3" s="1"/>
  <c r="C1058" i="3"/>
  <c r="G1057" i="3" a="1"/>
  <c r="G1057" i="3" s="1"/>
  <c r="L1057" i="3"/>
  <c r="M1057" i="3"/>
  <c r="J1057" i="3" a="1"/>
  <c r="J1057" i="3" s="1"/>
  <c r="B1056" i="3" a="1"/>
  <c r="B1056" i="3" s="1"/>
  <c r="A1056" i="3" a="1"/>
  <c r="A1056" i="3" s="1"/>
  <c r="D1055" i="2"/>
  <c r="B1057" i="2" a="1"/>
  <c r="B1057" i="2" s="1"/>
  <c r="A1057" i="2" a="1"/>
  <c r="A1057" i="2" s="1"/>
  <c r="K1056" i="2" a="1"/>
  <c r="K1056" i="2" s="1"/>
  <c r="H1056" i="2" a="1"/>
  <c r="H1056" i="2" s="1"/>
  <c r="J1056" i="2" a="1"/>
  <c r="J1056" i="2" s="1"/>
  <c r="I1056" i="2" a="1"/>
  <c r="I1056" i="2" s="1"/>
  <c r="C1059" i="2"/>
  <c r="F1058" i="2"/>
  <c r="D1056" i="2" a="1"/>
  <c r="C1059" i="3" l="1"/>
  <c r="G1058" i="3" a="1"/>
  <c r="G1058" i="3" s="1"/>
  <c r="L1058" i="3"/>
  <c r="M1058" i="3"/>
  <c r="J1058" i="3" a="1"/>
  <c r="J1058" i="3" s="1"/>
  <c r="H1057" i="3" a="1"/>
  <c r="H1057" i="3" s="1"/>
  <c r="K1057" i="3" a="1"/>
  <c r="K1057" i="3" s="1"/>
  <c r="I1057" i="3" a="1"/>
  <c r="I1057" i="3" s="1"/>
  <c r="I1056" i="3" a="1"/>
  <c r="I1056" i="3" s="1"/>
  <c r="H1056" i="3" a="1"/>
  <c r="H1056" i="3" s="1"/>
  <c r="K1056" i="3" a="1"/>
  <c r="K1056" i="3" s="1"/>
  <c r="J1056" i="3" a="1"/>
  <c r="J1056" i="3" s="1"/>
  <c r="F1058" i="3"/>
  <c r="F1059" i="3" s="1"/>
  <c r="A1057" i="3" a="1"/>
  <c r="A1057" i="3" s="1"/>
  <c r="B1057" i="3" a="1"/>
  <c r="B1057" i="3" s="1"/>
  <c r="D1056" i="2"/>
  <c r="C1060" i="2"/>
  <c r="F1059" i="2"/>
  <c r="A1058" i="2" a="1"/>
  <c r="A1058" i="2" s="1"/>
  <c r="B1058" i="2" a="1"/>
  <c r="B1058" i="2" s="1"/>
  <c r="K1057" i="2" a="1"/>
  <c r="K1057" i="2" s="1"/>
  <c r="H1057" i="2" a="1"/>
  <c r="H1057" i="2" s="1"/>
  <c r="I1057" i="2" a="1"/>
  <c r="I1057" i="2" s="1"/>
  <c r="J1057" i="2" a="1"/>
  <c r="J1057" i="2" s="1"/>
  <c r="D1057" i="2" a="1"/>
  <c r="I1058" i="3" l="1" a="1"/>
  <c r="I1058" i="3" s="1"/>
  <c r="H1058" i="3" a="1"/>
  <c r="H1058" i="3" s="1"/>
  <c r="K1058" i="3" a="1"/>
  <c r="K1058" i="3" s="1"/>
  <c r="C1060" i="3"/>
  <c r="G1059" i="3" a="1"/>
  <c r="G1059" i="3" s="1"/>
  <c r="J1059" i="3" s="1" a="1"/>
  <c r="J1059" i="3" s="1"/>
  <c r="L1059" i="3"/>
  <c r="M1059" i="3"/>
  <c r="A1058" i="3" a="1"/>
  <c r="A1058" i="3" s="1"/>
  <c r="B1058" i="3" a="1"/>
  <c r="B1058" i="3" s="1"/>
  <c r="D1057" i="2"/>
  <c r="J1058" i="2" a="1"/>
  <c r="J1058" i="2" s="1"/>
  <c r="H1058" i="2" a="1"/>
  <c r="H1058" i="2" s="1"/>
  <c r="K1058" i="2" a="1"/>
  <c r="K1058" i="2" s="1"/>
  <c r="I1058" i="2" a="1"/>
  <c r="I1058" i="2" s="1"/>
  <c r="B1059" i="2" a="1"/>
  <c r="B1059" i="2" s="1"/>
  <c r="A1059" i="2" a="1"/>
  <c r="A1059" i="2" s="1"/>
  <c r="C1061" i="2"/>
  <c r="F1060" i="2"/>
  <c r="D1058" i="2" a="1"/>
  <c r="H1059" i="3" l="1" a="1"/>
  <c r="H1059" i="3" s="1"/>
  <c r="I1059" i="3" a="1"/>
  <c r="I1059" i="3" s="1"/>
  <c r="K1059" i="3" a="1"/>
  <c r="K1059" i="3" s="1"/>
  <c r="C1061" i="3"/>
  <c r="L1060" i="3"/>
  <c r="M1060" i="3"/>
  <c r="F1060" i="3"/>
  <c r="F1061" i="3" s="1"/>
  <c r="A1059" i="3" a="1"/>
  <c r="A1059" i="3" s="1"/>
  <c r="B1059" i="3" a="1"/>
  <c r="B1059" i="3" s="1"/>
  <c r="D1058" i="2"/>
  <c r="A1060" i="2" a="1"/>
  <c r="A1060" i="2" s="1"/>
  <c r="B1060" i="2" a="1"/>
  <c r="B1060" i="2" s="1"/>
  <c r="C1062" i="2"/>
  <c r="F1061" i="2"/>
  <c r="H1059" i="2" a="1"/>
  <c r="H1059" i="2" s="1"/>
  <c r="K1059" i="2" a="1"/>
  <c r="K1059" i="2" s="1"/>
  <c r="J1059" i="2" a="1"/>
  <c r="J1059" i="2" s="1"/>
  <c r="I1059" i="2" a="1"/>
  <c r="I1059" i="2" s="1"/>
  <c r="D1059" i="2" a="1"/>
  <c r="G1060" i="3" l="1" a="1"/>
  <c r="G1060" i="3" s="1"/>
  <c r="C1062" i="3"/>
  <c r="G1061" i="3" a="1"/>
  <c r="G1061" i="3" s="1"/>
  <c r="L1061" i="3"/>
  <c r="M1061" i="3"/>
  <c r="A1060" i="3" a="1"/>
  <c r="A1060" i="3" s="1"/>
  <c r="B1060" i="3" a="1"/>
  <c r="B1060" i="3" s="1"/>
  <c r="D1059" i="2"/>
  <c r="C1063" i="2"/>
  <c r="F1062" i="2"/>
  <c r="I1060" i="2" a="1"/>
  <c r="I1060" i="2" s="1"/>
  <c r="H1060" i="2" a="1"/>
  <c r="H1060" i="2" s="1"/>
  <c r="K1060" i="2" a="1"/>
  <c r="K1060" i="2" s="1"/>
  <c r="J1060" i="2" a="1"/>
  <c r="J1060" i="2" s="1"/>
  <c r="B1061" i="2" a="1"/>
  <c r="B1061" i="2" s="1"/>
  <c r="A1061" i="2" a="1"/>
  <c r="A1061" i="2" s="1"/>
  <c r="D1060" i="2" a="1"/>
  <c r="H1061" i="3" l="1" a="1"/>
  <c r="H1061" i="3" s="1"/>
  <c r="K1061" i="3" a="1"/>
  <c r="K1061" i="3" s="1"/>
  <c r="I1061" i="3" a="1"/>
  <c r="I1061" i="3" s="1"/>
  <c r="H1060" i="3" a="1"/>
  <c r="H1060" i="3" s="1"/>
  <c r="I1060" i="3" a="1"/>
  <c r="I1060" i="3" s="1"/>
  <c r="K1060" i="3" a="1"/>
  <c r="K1060" i="3" s="1"/>
  <c r="J1060" i="3" a="1"/>
  <c r="J1060" i="3" s="1"/>
  <c r="J1061" i="3" a="1"/>
  <c r="J1061" i="3" s="1"/>
  <c r="C1063" i="3"/>
  <c r="G1062" i="3" a="1"/>
  <c r="G1062" i="3" s="1"/>
  <c r="L1062" i="3"/>
  <c r="M1062" i="3"/>
  <c r="F1062" i="3"/>
  <c r="A1061" i="3" a="1"/>
  <c r="A1061" i="3" s="1"/>
  <c r="B1061" i="3" a="1"/>
  <c r="B1061" i="3" s="1"/>
  <c r="D1060" i="2"/>
  <c r="B1062" i="2" a="1"/>
  <c r="B1062" i="2" s="1"/>
  <c r="A1062" i="2" a="1"/>
  <c r="A1062" i="2" s="1"/>
  <c r="J1061" i="2" a="1"/>
  <c r="J1061" i="2" s="1"/>
  <c r="K1061" i="2" a="1"/>
  <c r="K1061" i="2" s="1"/>
  <c r="I1061" i="2" a="1"/>
  <c r="I1061" i="2" s="1"/>
  <c r="H1061" i="2" a="1"/>
  <c r="H1061" i="2" s="1"/>
  <c r="C1064" i="2"/>
  <c r="F1063" i="2"/>
  <c r="D1061" i="2" a="1"/>
  <c r="I1062" i="3" l="1" a="1"/>
  <c r="I1062" i="3" s="1"/>
  <c r="H1062" i="3" a="1"/>
  <c r="H1062" i="3" s="1"/>
  <c r="K1062" i="3" a="1"/>
  <c r="K1062" i="3" s="1"/>
  <c r="J1062" i="3" a="1"/>
  <c r="J1062" i="3" s="1"/>
  <c r="C1064" i="3"/>
  <c r="L1063" i="3"/>
  <c r="M1063" i="3"/>
  <c r="F1063" i="3"/>
  <c r="F1064" i="3" s="1"/>
  <c r="A1062" i="3" a="1"/>
  <c r="A1062" i="3" s="1"/>
  <c r="B1062" i="3" a="1"/>
  <c r="B1062" i="3" s="1"/>
  <c r="D1061" i="2"/>
  <c r="A1063" i="2" a="1"/>
  <c r="A1063" i="2" s="1"/>
  <c r="B1063" i="2" a="1"/>
  <c r="B1063" i="2" s="1"/>
  <c r="H1062" i="2" a="1"/>
  <c r="H1062" i="2" s="1"/>
  <c r="J1062" i="2" a="1"/>
  <c r="J1062" i="2" s="1"/>
  <c r="K1062" i="2" a="1"/>
  <c r="K1062" i="2" s="1"/>
  <c r="I1062" i="2" a="1"/>
  <c r="I1062" i="2" s="1"/>
  <c r="C1065" i="2"/>
  <c r="F1064" i="2"/>
  <c r="D1062" i="2" a="1"/>
  <c r="G1063" i="3" l="1" a="1"/>
  <c r="G1063" i="3" s="1"/>
  <c r="C1065" i="3"/>
  <c r="F1065" i="3" s="1"/>
  <c r="G1064" i="3" a="1"/>
  <c r="G1064" i="3" s="1"/>
  <c r="J1064" i="3" a="1"/>
  <c r="J1064" i="3" s="1"/>
  <c r="L1064" i="3"/>
  <c r="M1064" i="3"/>
  <c r="B1063" i="3" a="1"/>
  <c r="B1063" i="3" s="1"/>
  <c r="A1063" i="3" a="1"/>
  <c r="A1063" i="3" s="1"/>
  <c r="D1062" i="2"/>
  <c r="A1064" i="2" a="1"/>
  <c r="A1064" i="2" s="1"/>
  <c r="B1064" i="2" a="1"/>
  <c r="B1064" i="2" s="1"/>
  <c r="C1066" i="2"/>
  <c r="F1065" i="2"/>
  <c r="J1063" i="2" a="1"/>
  <c r="J1063" i="2" s="1"/>
  <c r="K1063" i="2" a="1"/>
  <c r="K1063" i="2" s="1"/>
  <c r="I1063" i="2" a="1"/>
  <c r="I1063" i="2" s="1"/>
  <c r="H1063" i="2" a="1"/>
  <c r="H1063" i="2" s="1"/>
  <c r="D1063" i="2" a="1"/>
  <c r="H1064" i="3" l="1" a="1"/>
  <c r="H1064" i="3" s="1"/>
  <c r="I1064" i="3" a="1"/>
  <c r="I1064" i="3" s="1"/>
  <c r="K1064" i="3" a="1"/>
  <c r="K1064" i="3" s="1"/>
  <c r="C1066" i="3"/>
  <c r="G1065" i="3" a="1"/>
  <c r="G1065" i="3" s="1"/>
  <c r="L1065" i="3"/>
  <c r="M1065" i="3"/>
  <c r="I1063" i="3" a="1"/>
  <c r="I1063" i="3" s="1"/>
  <c r="K1063" i="3" a="1"/>
  <c r="K1063" i="3" s="1"/>
  <c r="H1063" i="3" a="1"/>
  <c r="H1063" i="3" s="1"/>
  <c r="J1063" i="3" a="1"/>
  <c r="J1063" i="3" s="1"/>
  <c r="A1064" i="3" a="1"/>
  <c r="A1064" i="3" s="1"/>
  <c r="B1064" i="3" a="1"/>
  <c r="B1064" i="3" s="1"/>
  <c r="D1063" i="2"/>
  <c r="A1065" i="2" a="1"/>
  <c r="A1065" i="2" s="1"/>
  <c r="B1065" i="2" a="1"/>
  <c r="B1065" i="2" s="1"/>
  <c r="C1067" i="2"/>
  <c r="F1066" i="2"/>
  <c r="I1064" i="2" a="1"/>
  <c r="I1064" i="2" s="1"/>
  <c r="J1064" i="2" a="1"/>
  <c r="J1064" i="2" s="1"/>
  <c r="H1064" i="2" a="1"/>
  <c r="H1064" i="2" s="1"/>
  <c r="K1064" i="2" a="1"/>
  <c r="K1064" i="2" s="1"/>
  <c r="D1064" i="2" a="1"/>
  <c r="H1065" i="3" l="1" a="1"/>
  <c r="H1065" i="3" s="1"/>
  <c r="K1065" i="3" a="1"/>
  <c r="K1065" i="3" s="1"/>
  <c r="I1065" i="3" a="1"/>
  <c r="I1065" i="3" s="1"/>
  <c r="J1065" i="3" a="1"/>
  <c r="J1065" i="3" s="1"/>
  <c r="C1067" i="3"/>
  <c r="L1066" i="3"/>
  <c r="M1066" i="3"/>
  <c r="F1066" i="3"/>
  <c r="F1067" i="3" s="1"/>
  <c r="A1065" i="3" a="1"/>
  <c r="A1065" i="3" s="1"/>
  <c r="B1065" i="3" a="1"/>
  <c r="B1065" i="3" s="1"/>
  <c r="D1064" i="2"/>
  <c r="A1066" i="2" a="1"/>
  <c r="A1066" i="2" s="1"/>
  <c r="B1066" i="2" a="1"/>
  <c r="B1066" i="2" s="1"/>
  <c r="C1068" i="2"/>
  <c r="F1067" i="2"/>
  <c r="K1065" i="2" a="1"/>
  <c r="K1065" i="2" s="1"/>
  <c r="H1065" i="2" a="1"/>
  <c r="H1065" i="2" s="1"/>
  <c r="I1065" i="2" a="1"/>
  <c r="I1065" i="2" s="1"/>
  <c r="J1065" i="2" a="1"/>
  <c r="J1065" i="2" s="1"/>
  <c r="D1065" i="2" a="1"/>
  <c r="G1066" i="3" l="1" a="1"/>
  <c r="G1066" i="3" s="1"/>
  <c r="C1068" i="3"/>
  <c r="G1067" i="3" a="1"/>
  <c r="G1067" i="3" s="1"/>
  <c r="L1067" i="3"/>
  <c r="M1067" i="3"/>
  <c r="J1067" i="3" a="1"/>
  <c r="J1067" i="3" s="1"/>
  <c r="A1066" i="3" a="1"/>
  <c r="A1066" i="3" s="1"/>
  <c r="B1066" i="3" a="1"/>
  <c r="B1066" i="3" s="1"/>
  <c r="D1065" i="2"/>
  <c r="I1066" i="2" a="1"/>
  <c r="I1066" i="2" s="1"/>
  <c r="J1066" i="2" a="1"/>
  <c r="J1066" i="2" s="1"/>
  <c r="H1066" i="2" a="1"/>
  <c r="H1066" i="2" s="1"/>
  <c r="K1066" i="2" a="1"/>
  <c r="K1066" i="2" s="1"/>
  <c r="A1067" i="2" a="1"/>
  <c r="A1067" i="2" s="1"/>
  <c r="B1067" i="2" a="1"/>
  <c r="B1067" i="2" s="1"/>
  <c r="C1069" i="2"/>
  <c r="F1068" i="2"/>
  <c r="D1066" i="2" a="1"/>
  <c r="C1069" i="3" l="1"/>
  <c r="L1068" i="3"/>
  <c r="M1068" i="3"/>
  <c r="H1067" i="3" a="1"/>
  <c r="H1067" i="3" s="1"/>
  <c r="I1067" i="3" a="1"/>
  <c r="I1067" i="3" s="1"/>
  <c r="K1067" i="3" a="1"/>
  <c r="K1067" i="3" s="1"/>
  <c r="I1066" i="3" a="1"/>
  <c r="I1066" i="3" s="1"/>
  <c r="H1066" i="3" a="1"/>
  <c r="H1066" i="3" s="1"/>
  <c r="K1066" i="3" a="1"/>
  <c r="K1066" i="3" s="1"/>
  <c r="J1066" i="3" a="1"/>
  <c r="J1066" i="3" s="1"/>
  <c r="F1068" i="3"/>
  <c r="F1069" i="3" s="1"/>
  <c r="A1067" i="3" a="1"/>
  <c r="A1067" i="3" s="1"/>
  <c r="B1067" i="3" a="1"/>
  <c r="B1067" i="3" s="1"/>
  <c r="D1066" i="2"/>
  <c r="C1070" i="2"/>
  <c r="F1069" i="2"/>
  <c r="B1068" i="2" a="1"/>
  <c r="B1068" i="2" s="1"/>
  <c r="A1068" i="2" a="1"/>
  <c r="A1068" i="2" s="1"/>
  <c r="H1067" i="2" a="1"/>
  <c r="H1067" i="2" s="1"/>
  <c r="J1067" i="2" a="1"/>
  <c r="J1067" i="2" s="1"/>
  <c r="K1067" i="2" a="1"/>
  <c r="K1067" i="2" s="1"/>
  <c r="I1067" i="2" a="1"/>
  <c r="I1067" i="2" s="1"/>
  <c r="D1067" i="2" a="1"/>
  <c r="G1068" i="3" l="1" a="1"/>
  <c r="G1068" i="3" s="1"/>
  <c r="C1070" i="3"/>
  <c r="F1070" i="3" s="1"/>
  <c r="G1069" i="3" a="1"/>
  <c r="G1069" i="3" s="1"/>
  <c r="L1069" i="3"/>
  <c r="M1069" i="3"/>
  <c r="J1069" i="3" a="1"/>
  <c r="J1069" i="3" s="1"/>
  <c r="B1068" i="3" a="1"/>
  <c r="B1068" i="3" s="1"/>
  <c r="A1068" i="3" a="1"/>
  <c r="A1068" i="3" s="1"/>
  <c r="D1067" i="2"/>
  <c r="J1068" i="2" a="1"/>
  <c r="J1068" i="2" s="1"/>
  <c r="H1068" i="2" a="1"/>
  <c r="H1068" i="2" s="1"/>
  <c r="I1068" i="2" a="1"/>
  <c r="I1068" i="2" s="1"/>
  <c r="K1068" i="2" a="1"/>
  <c r="K1068" i="2" s="1"/>
  <c r="A1069" i="2" a="1"/>
  <c r="A1069" i="2" s="1"/>
  <c r="B1069" i="2" a="1"/>
  <c r="B1069" i="2" s="1"/>
  <c r="C1071" i="2"/>
  <c r="F1070" i="2"/>
  <c r="D1068" i="2" a="1"/>
  <c r="H1069" i="3" l="1" a="1"/>
  <c r="H1069" i="3" s="1"/>
  <c r="K1069" i="3" a="1"/>
  <c r="K1069" i="3" s="1"/>
  <c r="I1069" i="3" a="1"/>
  <c r="I1069" i="3" s="1"/>
  <c r="C1071" i="3"/>
  <c r="G1070" i="3" a="1"/>
  <c r="G1070" i="3" s="1"/>
  <c r="M1070" i="3"/>
  <c r="J1070" i="3" a="1"/>
  <c r="J1070" i="3" s="1"/>
  <c r="L1070" i="3"/>
  <c r="H1068" i="3" a="1"/>
  <c r="H1068" i="3" s="1"/>
  <c r="I1068" i="3" a="1"/>
  <c r="I1068" i="3" s="1"/>
  <c r="K1068" i="3" a="1"/>
  <c r="K1068" i="3" s="1"/>
  <c r="J1068" i="3" a="1"/>
  <c r="J1068" i="3" s="1"/>
  <c r="A1069" i="3" a="1"/>
  <c r="A1069" i="3" s="1"/>
  <c r="B1069" i="3" a="1"/>
  <c r="B1069" i="3" s="1"/>
  <c r="D1068" i="2"/>
  <c r="A1070" i="2" a="1"/>
  <c r="A1070" i="2" s="1"/>
  <c r="B1070" i="2" a="1"/>
  <c r="B1070" i="2" s="1"/>
  <c r="C1072" i="2"/>
  <c r="F1071" i="2"/>
  <c r="I1069" i="2" a="1"/>
  <c r="I1069" i="2" s="1"/>
  <c r="J1069" i="2" a="1"/>
  <c r="J1069" i="2" s="1"/>
  <c r="K1069" i="2" a="1"/>
  <c r="K1069" i="2" s="1"/>
  <c r="H1069" i="2" a="1"/>
  <c r="H1069" i="2" s="1"/>
  <c r="D1069" i="2" a="1"/>
  <c r="C1072" i="3" l="1"/>
  <c r="L1071" i="3"/>
  <c r="M1071" i="3"/>
  <c r="I1070" i="3" a="1"/>
  <c r="I1070" i="3" s="1"/>
  <c r="H1070" i="3" a="1"/>
  <c r="H1070" i="3" s="1"/>
  <c r="K1070" i="3" a="1"/>
  <c r="K1070" i="3" s="1"/>
  <c r="F1071" i="3"/>
  <c r="F1072" i="3" s="1"/>
  <c r="A1070" i="3" a="1"/>
  <c r="A1070" i="3" s="1"/>
  <c r="B1070" i="3" a="1"/>
  <c r="B1070" i="3" s="1"/>
  <c r="D1069" i="2"/>
  <c r="H1070" i="2" a="1"/>
  <c r="H1070" i="2" s="1"/>
  <c r="K1070" i="2" a="1"/>
  <c r="K1070" i="2" s="1"/>
  <c r="J1070" i="2" a="1"/>
  <c r="J1070" i="2" s="1"/>
  <c r="I1070" i="2" a="1"/>
  <c r="I1070" i="2" s="1"/>
  <c r="B1071" i="2" a="1"/>
  <c r="B1071" i="2" s="1"/>
  <c r="A1071" i="2" a="1"/>
  <c r="A1071" i="2" s="1"/>
  <c r="C1073" i="2"/>
  <c r="F1072" i="2"/>
  <c r="D1070" i="2" a="1"/>
  <c r="G1071" i="3" l="1" a="1"/>
  <c r="G1071" i="3" s="1"/>
  <c r="C1073" i="3"/>
  <c r="G1072" i="3" a="1"/>
  <c r="G1072" i="3" s="1"/>
  <c r="M1072" i="3"/>
  <c r="J1072" i="3" a="1"/>
  <c r="J1072" i="3" s="1"/>
  <c r="L1072" i="3"/>
  <c r="A1071" i="3" a="1"/>
  <c r="A1071" i="3" s="1"/>
  <c r="B1071" i="3" a="1"/>
  <c r="B1071" i="3" s="1"/>
  <c r="D1070" i="2"/>
  <c r="C1074" i="2"/>
  <c r="F1073" i="2"/>
  <c r="I1071" i="2" a="1"/>
  <c r="I1071" i="2" s="1"/>
  <c r="H1071" i="2" a="1"/>
  <c r="H1071" i="2" s="1"/>
  <c r="J1071" i="2" a="1"/>
  <c r="J1071" i="2" s="1"/>
  <c r="K1071" i="2" a="1"/>
  <c r="K1071" i="2" s="1"/>
  <c r="A1072" i="2" a="1"/>
  <c r="A1072" i="2" s="1"/>
  <c r="B1072" i="2" a="1"/>
  <c r="B1072" i="2" s="1"/>
  <c r="D1071" i="2" a="1"/>
  <c r="H1071" i="3" l="1" a="1"/>
  <c r="H1071" i="3" s="1"/>
  <c r="I1071" i="3" a="1"/>
  <c r="I1071" i="3" s="1"/>
  <c r="K1071" i="3" a="1"/>
  <c r="K1071" i="3" s="1"/>
  <c r="J1071" i="3" a="1"/>
  <c r="J1071" i="3" s="1"/>
  <c r="H1072" i="3" a="1"/>
  <c r="H1072" i="3" s="1"/>
  <c r="I1072" i="3" a="1"/>
  <c r="I1072" i="3" s="1"/>
  <c r="K1072" i="3" a="1"/>
  <c r="K1072" i="3" s="1"/>
  <c r="C1074" i="3"/>
  <c r="G1073" i="3" a="1"/>
  <c r="G1073" i="3" s="1"/>
  <c r="J1073" i="3" s="1" a="1"/>
  <c r="J1073" i="3" s="1"/>
  <c r="L1073" i="3"/>
  <c r="M1073" i="3"/>
  <c r="F1073" i="3"/>
  <c r="A1072" i="3" a="1"/>
  <c r="A1072" i="3" s="1"/>
  <c r="B1072" i="3" a="1"/>
  <c r="B1072" i="3" s="1"/>
  <c r="D1071" i="2"/>
  <c r="K1072" i="2" a="1"/>
  <c r="K1072" i="2" s="1"/>
  <c r="J1072" i="2" a="1"/>
  <c r="J1072" i="2" s="1"/>
  <c r="I1072" i="2" a="1"/>
  <c r="I1072" i="2" s="1"/>
  <c r="H1072" i="2" a="1"/>
  <c r="H1072" i="2" s="1"/>
  <c r="A1073" i="2" a="1"/>
  <c r="A1073" i="2" s="1"/>
  <c r="B1073" i="2" a="1"/>
  <c r="B1073" i="2" s="1"/>
  <c r="C1075" i="2"/>
  <c r="F1074" i="2"/>
  <c r="D1072" i="2" a="1"/>
  <c r="C1075" i="3" l="1"/>
  <c r="L1074" i="3"/>
  <c r="M1074" i="3"/>
  <c r="H1073" i="3" a="1"/>
  <c r="H1073" i="3" s="1"/>
  <c r="K1073" i="3" a="1"/>
  <c r="K1073" i="3" s="1"/>
  <c r="I1073" i="3" a="1"/>
  <c r="I1073" i="3" s="1"/>
  <c r="F1074" i="3"/>
  <c r="F1075" i="3" s="1"/>
  <c r="A1073" i="3" a="1"/>
  <c r="A1073" i="3" s="1"/>
  <c r="B1073" i="3" a="1"/>
  <c r="B1073" i="3" s="1"/>
  <c r="D1072" i="2"/>
  <c r="B1074" i="2" a="1"/>
  <c r="B1074" i="2" s="1"/>
  <c r="A1074" i="2" a="1"/>
  <c r="A1074" i="2" s="1"/>
  <c r="C1076" i="2"/>
  <c r="F1075" i="2"/>
  <c r="H1073" i="2" a="1"/>
  <c r="H1073" i="2" s="1"/>
  <c r="I1073" i="2" a="1"/>
  <c r="I1073" i="2" s="1"/>
  <c r="J1073" i="2" a="1"/>
  <c r="J1073" i="2" s="1"/>
  <c r="K1073" i="2" a="1"/>
  <c r="K1073" i="2" s="1"/>
  <c r="D1073" i="2" a="1"/>
  <c r="G1074" i="3" l="1" a="1"/>
  <c r="G1074" i="3" s="1"/>
  <c r="C1076" i="3"/>
  <c r="G1075" i="3" a="1"/>
  <c r="G1075" i="3" s="1"/>
  <c r="L1075" i="3"/>
  <c r="M1075" i="3"/>
  <c r="J1075" i="3" a="1"/>
  <c r="J1075" i="3" s="1"/>
  <c r="A1074" i="3" a="1"/>
  <c r="A1074" i="3" s="1"/>
  <c r="B1074" i="3" a="1"/>
  <c r="B1074" i="3" s="1"/>
  <c r="D1073" i="2"/>
  <c r="C1077" i="2"/>
  <c r="F1076" i="2"/>
  <c r="B1075" i="2" a="1"/>
  <c r="B1075" i="2" s="1"/>
  <c r="A1075" i="2" a="1"/>
  <c r="A1075" i="2" s="1"/>
  <c r="I1074" i="2" a="1"/>
  <c r="I1074" i="2" s="1"/>
  <c r="J1074" i="2" a="1"/>
  <c r="J1074" i="2" s="1"/>
  <c r="H1074" i="2" a="1"/>
  <c r="H1074" i="2" s="1"/>
  <c r="K1074" i="2" a="1"/>
  <c r="K1074" i="2" s="1"/>
  <c r="D1074" i="2" a="1"/>
  <c r="C1077" i="3" l="1"/>
  <c r="G1076" i="3" a="1"/>
  <c r="G1076" i="3" s="1"/>
  <c r="M1076" i="3"/>
  <c r="J1076" i="3" a="1"/>
  <c r="J1076" i="3" s="1"/>
  <c r="L1076" i="3"/>
  <c r="I1074" i="3" a="1"/>
  <c r="I1074" i="3" s="1"/>
  <c r="K1074" i="3" a="1"/>
  <c r="K1074" i="3" s="1"/>
  <c r="H1074" i="3" a="1"/>
  <c r="H1074" i="3" s="1"/>
  <c r="J1074" i="3" a="1"/>
  <c r="J1074" i="3" s="1"/>
  <c r="K1075" i="3" a="1"/>
  <c r="K1075" i="3" s="1"/>
  <c r="H1075" i="3" a="1"/>
  <c r="H1075" i="3" s="1"/>
  <c r="I1075" i="3" a="1"/>
  <c r="I1075" i="3" s="1"/>
  <c r="F1076" i="3"/>
  <c r="F1077" i="3" s="1"/>
  <c r="B1075" i="3" a="1"/>
  <c r="B1075" i="3" s="1"/>
  <c r="A1075" i="3" a="1"/>
  <c r="A1075" i="3" s="1"/>
  <c r="D1074" i="2"/>
  <c r="K1075" i="2" a="1"/>
  <c r="K1075" i="2" s="1"/>
  <c r="H1075" i="2" a="1"/>
  <c r="H1075" i="2" s="1"/>
  <c r="I1075" i="2" a="1"/>
  <c r="I1075" i="2" s="1"/>
  <c r="J1075" i="2" a="1"/>
  <c r="J1075" i="2" s="1"/>
  <c r="B1076" i="2" a="1"/>
  <c r="B1076" i="2" s="1"/>
  <c r="A1076" i="2" a="1"/>
  <c r="A1076" i="2" s="1"/>
  <c r="C1078" i="2"/>
  <c r="F1077" i="2"/>
  <c r="D1075" i="2" a="1"/>
  <c r="K1076" i="3" l="1" a="1"/>
  <c r="K1076" i="3" s="1"/>
  <c r="I1076" i="3" a="1"/>
  <c r="I1076" i="3" s="1"/>
  <c r="H1076" i="3" a="1"/>
  <c r="H1076" i="3" s="1"/>
  <c r="C1078" i="3"/>
  <c r="G1077" i="3" a="1"/>
  <c r="G1077" i="3" s="1"/>
  <c r="J1077" i="3" a="1"/>
  <c r="J1077" i="3" s="1"/>
  <c r="L1077" i="3"/>
  <c r="M1077" i="3"/>
  <c r="A1076" i="3" a="1"/>
  <c r="A1076" i="3" s="1"/>
  <c r="B1076" i="3" a="1"/>
  <c r="B1076" i="3" s="1"/>
  <c r="D1075" i="2"/>
  <c r="C1079" i="2"/>
  <c r="F1078" i="2"/>
  <c r="A1077" i="2" a="1"/>
  <c r="A1077" i="2" s="1"/>
  <c r="B1077" i="2" a="1"/>
  <c r="B1077" i="2" s="1"/>
  <c r="I1076" i="2" a="1"/>
  <c r="I1076" i="2" s="1"/>
  <c r="J1076" i="2" a="1"/>
  <c r="J1076" i="2" s="1"/>
  <c r="K1076" i="2" a="1"/>
  <c r="K1076" i="2" s="1"/>
  <c r="H1076" i="2" a="1"/>
  <c r="H1076" i="2" s="1"/>
  <c r="D1076" i="2" a="1"/>
  <c r="C1079" i="3" l="1"/>
  <c r="L1078" i="3"/>
  <c r="M1078" i="3"/>
  <c r="F1078" i="3"/>
  <c r="F1079" i="3" s="1"/>
  <c r="I1077" i="3" a="1"/>
  <c r="I1077" i="3" s="1"/>
  <c r="H1077" i="3" a="1"/>
  <c r="H1077" i="3" s="1"/>
  <c r="K1077" i="3" a="1"/>
  <c r="K1077" i="3" s="1"/>
  <c r="A1077" i="3" a="1"/>
  <c r="A1077" i="3" s="1"/>
  <c r="B1077" i="3" a="1"/>
  <c r="B1077" i="3" s="1"/>
  <c r="D1076" i="2"/>
  <c r="H1077" i="2" a="1"/>
  <c r="H1077" i="2" s="1"/>
  <c r="J1077" i="2" a="1"/>
  <c r="J1077" i="2" s="1"/>
  <c r="I1077" i="2" a="1"/>
  <c r="I1077" i="2" s="1"/>
  <c r="K1077" i="2" a="1"/>
  <c r="K1077" i="2" s="1"/>
  <c r="A1078" i="2" a="1"/>
  <c r="A1078" i="2" s="1"/>
  <c r="B1078" i="2" a="1"/>
  <c r="B1078" i="2" s="1"/>
  <c r="C1080" i="2"/>
  <c r="F1079" i="2"/>
  <c r="D1077" i="2" a="1"/>
  <c r="G1078" i="3" l="1" a="1"/>
  <c r="G1078" i="3" s="1"/>
  <c r="C1080" i="3"/>
  <c r="G1079" i="3" a="1"/>
  <c r="G1079" i="3" s="1"/>
  <c r="L1079" i="3"/>
  <c r="M1079" i="3"/>
  <c r="J1079" i="3" a="1"/>
  <c r="J1079" i="3" s="1"/>
  <c r="A1078" i="3" a="1"/>
  <c r="A1078" i="3" s="1"/>
  <c r="B1078" i="3" a="1"/>
  <c r="B1078" i="3" s="1"/>
  <c r="D1077" i="2"/>
  <c r="B1079" i="2" a="1"/>
  <c r="B1079" i="2" s="1"/>
  <c r="A1079" i="2" a="1"/>
  <c r="A1079" i="2" s="1"/>
  <c r="K1078" i="2" a="1"/>
  <c r="K1078" i="2" s="1"/>
  <c r="H1078" i="2" a="1"/>
  <c r="H1078" i="2" s="1"/>
  <c r="I1078" i="2" a="1"/>
  <c r="I1078" i="2" s="1"/>
  <c r="J1078" i="2" a="1"/>
  <c r="J1078" i="2" s="1"/>
  <c r="C1081" i="2"/>
  <c r="F1080" i="2"/>
  <c r="D1078" i="2" a="1"/>
  <c r="C1081" i="3" l="1"/>
  <c r="G1080" i="3" a="1"/>
  <c r="G1080" i="3" s="1"/>
  <c r="L1080" i="3"/>
  <c r="M1080" i="3"/>
  <c r="J1080" i="3" a="1"/>
  <c r="J1080" i="3" s="1"/>
  <c r="H1079" i="3" a="1"/>
  <c r="H1079" i="3" s="1"/>
  <c r="K1079" i="3" a="1"/>
  <c r="K1079" i="3" s="1"/>
  <c r="I1079" i="3" a="1"/>
  <c r="I1079" i="3" s="1"/>
  <c r="K1078" i="3" a="1"/>
  <c r="K1078" i="3" s="1"/>
  <c r="H1078" i="3" a="1"/>
  <c r="H1078" i="3" s="1"/>
  <c r="I1078" i="3" a="1"/>
  <c r="I1078" i="3" s="1"/>
  <c r="J1078" i="3" a="1"/>
  <c r="J1078" i="3" s="1"/>
  <c r="F1080" i="3"/>
  <c r="F1081" i="3" s="1"/>
  <c r="B1079" i="3" a="1"/>
  <c r="B1079" i="3" s="1"/>
  <c r="A1079" i="3" a="1"/>
  <c r="A1079" i="3" s="1"/>
  <c r="D1078" i="2"/>
  <c r="C1082" i="2"/>
  <c r="F1081" i="2"/>
  <c r="J1079" i="2" a="1"/>
  <c r="J1079" i="2" s="1"/>
  <c r="K1079" i="2" a="1"/>
  <c r="K1079" i="2" s="1"/>
  <c r="H1079" i="2" a="1"/>
  <c r="H1079" i="2" s="1"/>
  <c r="I1079" i="2" a="1"/>
  <c r="I1079" i="2" s="1"/>
  <c r="A1080" i="2" a="1"/>
  <c r="A1080" i="2" s="1"/>
  <c r="B1080" i="2" a="1"/>
  <c r="B1080" i="2" s="1"/>
  <c r="D1079" i="2" a="1"/>
  <c r="I1080" i="3" l="1" a="1"/>
  <c r="I1080" i="3" s="1"/>
  <c r="K1080" i="3" a="1"/>
  <c r="K1080" i="3" s="1"/>
  <c r="H1080" i="3" a="1"/>
  <c r="H1080" i="3" s="1"/>
  <c r="C1082" i="3"/>
  <c r="G1081" i="3" a="1"/>
  <c r="G1081" i="3" s="1"/>
  <c r="L1081" i="3"/>
  <c r="M1081" i="3"/>
  <c r="J1081" i="3" a="1"/>
  <c r="J1081" i="3" s="1"/>
  <c r="B1080" i="3" a="1"/>
  <c r="B1080" i="3" s="1"/>
  <c r="A1080" i="3" a="1"/>
  <c r="A1080" i="3" s="1"/>
  <c r="D1079" i="2"/>
  <c r="A1081" i="2" a="1"/>
  <c r="A1081" i="2" s="1"/>
  <c r="B1081" i="2" a="1"/>
  <c r="B1081" i="2" s="1"/>
  <c r="H1080" i="2" a="1"/>
  <c r="H1080" i="2" s="1"/>
  <c r="J1080" i="2" a="1"/>
  <c r="J1080" i="2" s="1"/>
  <c r="I1080" i="2" a="1"/>
  <c r="I1080" i="2" s="1"/>
  <c r="K1080" i="2" a="1"/>
  <c r="K1080" i="2" s="1"/>
  <c r="C1083" i="2"/>
  <c r="F1082" i="2"/>
  <c r="D1080" i="2" a="1"/>
  <c r="K1081" i="3" l="1" a="1"/>
  <c r="K1081" i="3" s="1"/>
  <c r="H1081" i="3" a="1"/>
  <c r="H1081" i="3" s="1"/>
  <c r="I1081" i="3" a="1"/>
  <c r="I1081" i="3" s="1"/>
  <c r="C1083" i="3"/>
  <c r="L1082" i="3"/>
  <c r="M1082" i="3"/>
  <c r="F1082" i="3"/>
  <c r="F1083" i="3" s="1"/>
  <c r="A1081" i="3" a="1"/>
  <c r="A1081" i="3" s="1"/>
  <c r="B1081" i="3" a="1"/>
  <c r="B1081" i="3" s="1"/>
  <c r="D1080" i="2"/>
  <c r="A1082" i="2" a="1"/>
  <c r="A1082" i="2" s="1"/>
  <c r="B1082" i="2" a="1"/>
  <c r="B1082" i="2" s="1"/>
  <c r="J1081" i="2" a="1"/>
  <c r="J1081" i="2" s="1"/>
  <c r="H1081" i="2" a="1"/>
  <c r="H1081" i="2" s="1"/>
  <c r="K1081" i="2" a="1"/>
  <c r="K1081" i="2" s="1"/>
  <c r="I1081" i="2" a="1"/>
  <c r="I1081" i="2" s="1"/>
  <c r="C1084" i="2"/>
  <c r="F1083" i="2"/>
  <c r="D1081" i="2" a="1"/>
  <c r="G1082" i="3" l="1" a="1"/>
  <c r="G1082" i="3" s="1"/>
  <c r="C1084" i="3"/>
  <c r="G1083" i="3" a="1"/>
  <c r="G1083" i="3" s="1"/>
  <c r="M1083" i="3"/>
  <c r="L1083" i="3"/>
  <c r="J1083" i="3" a="1"/>
  <c r="J1083" i="3" s="1"/>
  <c r="A1082" i="3" a="1"/>
  <c r="A1082" i="3" s="1"/>
  <c r="B1082" i="3" a="1"/>
  <c r="B1082" i="3" s="1"/>
  <c r="D1081" i="2"/>
  <c r="I1082" i="2" a="1"/>
  <c r="I1082" i="2" s="1"/>
  <c r="J1082" i="2" a="1"/>
  <c r="J1082" i="2" s="1"/>
  <c r="H1082" i="2" a="1"/>
  <c r="H1082" i="2" s="1"/>
  <c r="K1082" i="2" a="1"/>
  <c r="K1082" i="2" s="1"/>
  <c r="C1085" i="2"/>
  <c r="F1084" i="2"/>
  <c r="A1083" i="2" a="1"/>
  <c r="A1083" i="2" s="1"/>
  <c r="B1083" i="2" a="1"/>
  <c r="B1083" i="2" s="1"/>
  <c r="D1082" i="2" a="1"/>
  <c r="C1085" i="3" l="1"/>
  <c r="G1084" i="3" a="1"/>
  <c r="G1084" i="3" s="1"/>
  <c r="L1084" i="3"/>
  <c r="M1084" i="3"/>
  <c r="J1084" i="3" a="1"/>
  <c r="J1084" i="3" s="1"/>
  <c r="I1083" i="3" a="1"/>
  <c r="I1083" i="3" s="1"/>
  <c r="H1083" i="3" a="1"/>
  <c r="H1083" i="3" s="1"/>
  <c r="K1083" i="3" a="1"/>
  <c r="K1083" i="3" s="1"/>
  <c r="K1082" i="3" a="1"/>
  <c r="K1082" i="3" s="1"/>
  <c r="H1082" i="3" a="1"/>
  <c r="H1082" i="3" s="1"/>
  <c r="I1082" i="3" a="1"/>
  <c r="I1082" i="3" s="1"/>
  <c r="J1082" i="3" a="1"/>
  <c r="J1082" i="3" s="1"/>
  <c r="F1084" i="3"/>
  <c r="F1085" i="3" s="1"/>
  <c r="A1083" i="3" a="1"/>
  <c r="A1083" i="3" s="1"/>
  <c r="B1083" i="3" a="1"/>
  <c r="B1083" i="3" s="1"/>
  <c r="D1082" i="2"/>
  <c r="H1083" i="2" a="1"/>
  <c r="H1083" i="2" s="1"/>
  <c r="K1083" i="2" a="1"/>
  <c r="K1083" i="2" s="1"/>
  <c r="J1083" i="2" a="1"/>
  <c r="J1083" i="2" s="1"/>
  <c r="I1083" i="2" a="1"/>
  <c r="I1083" i="2" s="1"/>
  <c r="B1084" i="2" a="1"/>
  <c r="B1084" i="2" s="1"/>
  <c r="A1084" i="2" a="1"/>
  <c r="A1084" i="2" s="1"/>
  <c r="C1086" i="2"/>
  <c r="F1085" i="2"/>
  <c r="D1083" i="2" a="1"/>
  <c r="H1084" i="3" l="1" a="1"/>
  <c r="H1084" i="3" s="1"/>
  <c r="I1084" i="3" a="1"/>
  <c r="I1084" i="3" s="1"/>
  <c r="K1084" i="3" a="1"/>
  <c r="K1084" i="3" s="1"/>
  <c r="C1086" i="3"/>
  <c r="G1085" i="3" a="1"/>
  <c r="G1085" i="3" s="1"/>
  <c r="J1085" i="3" a="1"/>
  <c r="J1085" i="3" s="1"/>
  <c r="L1085" i="3"/>
  <c r="M1085" i="3"/>
  <c r="A1084" i="3" a="1"/>
  <c r="A1084" i="3" s="1"/>
  <c r="B1084" i="3" a="1"/>
  <c r="B1084" i="3" s="1"/>
  <c r="D1083" i="2"/>
  <c r="A1085" i="2" a="1"/>
  <c r="A1085" i="2" s="1"/>
  <c r="B1085" i="2" a="1"/>
  <c r="B1085" i="2" s="1"/>
  <c r="C1087" i="2"/>
  <c r="F1086" i="2"/>
  <c r="J1084" i="2" a="1"/>
  <c r="J1084" i="2" s="1"/>
  <c r="I1084" i="2" a="1"/>
  <c r="I1084" i="2" s="1"/>
  <c r="K1084" i="2" a="1"/>
  <c r="K1084" i="2" s="1"/>
  <c r="H1084" i="2" a="1"/>
  <c r="H1084" i="2" s="1"/>
  <c r="D1084" i="2" a="1"/>
  <c r="H1085" i="3" l="1" a="1"/>
  <c r="H1085" i="3" s="1"/>
  <c r="K1085" i="3" a="1"/>
  <c r="K1085" i="3" s="1"/>
  <c r="I1085" i="3" a="1"/>
  <c r="I1085" i="3" s="1"/>
  <c r="C1087" i="3"/>
  <c r="L1086" i="3"/>
  <c r="M1086" i="3"/>
  <c r="F1086" i="3"/>
  <c r="F1087" i="3" s="1"/>
  <c r="A1085" i="3" a="1"/>
  <c r="A1085" i="3" s="1"/>
  <c r="B1085" i="3" a="1"/>
  <c r="B1085" i="3" s="1"/>
  <c r="D1084" i="2"/>
  <c r="I1085" i="2" a="1"/>
  <c r="I1085" i="2" s="1"/>
  <c r="J1085" i="2" a="1"/>
  <c r="J1085" i="2" s="1"/>
  <c r="H1085" i="2" a="1"/>
  <c r="H1085" i="2" s="1"/>
  <c r="K1085" i="2" a="1"/>
  <c r="K1085" i="2" s="1"/>
  <c r="A1086" i="2" a="1"/>
  <c r="A1086" i="2" s="1"/>
  <c r="B1086" i="2" a="1"/>
  <c r="B1086" i="2" s="1"/>
  <c r="C1088" i="2"/>
  <c r="F1087" i="2"/>
  <c r="D1085" i="2" a="1"/>
  <c r="C1088" i="3" l="1"/>
  <c r="G1087" i="3" a="1"/>
  <c r="G1087" i="3" s="1"/>
  <c r="M1087" i="3"/>
  <c r="L1087" i="3"/>
  <c r="J1087" i="3" a="1"/>
  <c r="J1087" i="3" s="1"/>
  <c r="G1086" i="3" a="1"/>
  <c r="G1086" i="3" s="1"/>
  <c r="A1086" i="3" a="1"/>
  <c r="A1086" i="3" s="1"/>
  <c r="B1086" i="3" a="1"/>
  <c r="B1086" i="3" s="1"/>
  <c r="D1085" i="2"/>
  <c r="A1087" i="2" a="1"/>
  <c r="A1087" i="2" s="1"/>
  <c r="B1087" i="2" a="1"/>
  <c r="B1087" i="2" s="1"/>
  <c r="C1089" i="2"/>
  <c r="F1088" i="2"/>
  <c r="J1086" i="2" a="1"/>
  <c r="J1086" i="2" s="1"/>
  <c r="K1086" i="2" a="1"/>
  <c r="K1086" i="2" s="1"/>
  <c r="H1086" i="2" a="1"/>
  <c r="H1086" i="2" s="1"/>
  <c r="I1086" i="2" a="1"/>
  <c r="I1086" i="2" s="1"/>
  <c r="D1086" i="2" a="1"/>
  <c r="H1086" i="3" l="1" a="1"/>
  <c r="H1086" i="3" s="1"/>
  <c r="I1086" i="3" a="1"/>
  <c r="I1086" i="3" s="1"/>
  <c r="K1086" i="3" a="1"/>
  <c r="K1086" i="3" s="1"/>
  <c r="J1086" i="3" a="1"/>
  <c r="J1086" i="3" s="1"/>
  <c r="K1087" i="3" a="1"/>
  <c r="K1087" i="3" s="1"/>
  <c r="H1087" i="3" a="1"/>
  <c r="H1087" i="3" s="1"/>
  <c r="I1087" i="3" a="1"/>
  <c r="I1087" i="3" s="1"/>
  <c r="C1089" i="3"/>
  <c r="G1088" i="3" a="1"/>
  <c r="G1088" i="3" s="1"/>
  <c r="L1088" i="3"/>
  <c r="M1088" i="3"/>
  <c r="J1088" i="3" a="1"/>
  <c r="J1088" i="3" s="1"/>
  <c r="F1088" i="3"/>
  <c r="B1087" i="3" a="1"/>
  <c r="B1087" i="3" s="1"/>
  <c r="A1087" i="3" a="1"/>
  <c r="A1087" i="3" s="1"/>
  <c r="D1086" i="2"/>
  <c r="K1087" i="2" a="1"/>
  <c r="K1087" i="2" s="1"/>
  <c r="J1087" i="2" a="1"/>
  <c r="J1087" i="2" s="1"/>
  <c r="H1087" i="2" a="1"/>
  <c r="H1087" i="2" s="1"/>
  <c r="I1087" i="2" a="1"/>
  <c r="I1087" i="2" s="1"/>
  <c r="A1088" i="2" a="1"/>
  <c r="A1088" i="2" s="1"/>
  <c r="B1088" i="2" a="1"/>
  <c r="B1088" i="2" s="1"/>
  <c r="C1090" i="2"/>
  <c r="F1089" i="2"/>
  <c r="D1087" i="2" a="1"/>
  <c r="C1090" i="3" l="1"/>
  <c r="L1089" i="3"/>
  <c r="M1089" i="3"/>
  <c r="H1088" i="3" a="1"/>
  <c r="H1088" i="3" s="1"/>
  <c r="K1088" i="3" a="1"/>
  <c r="K1088" i="3" s="1"/>
  <c r="I1088" i="3" a="1"/>
  <c r="I1088" i="3" s="1"/>
  <c r="F1089" i="3"/>
  <c r="F1090" i="3" s="1"/>
  <c r="A1088" i="3" a="1"/>
  <c r="A1088" i="3" s="1"/>
  <c r="B1088" i="3" a="1"/>
  <c r="B1088" i="3" s="1"/>
  <c r="D1087" i="2"/>
  <c r="C1091" i="2"/>
  <c r="F1090" i="2"/>
  <c r="A1089" i="2" a="1"/>
  <c r="A1089" i="2" s="1"/>
  <c r="B1089" i="2" a="1"/>
  <c r="B1089" i="2" s="1"/>
  <c r="H1088" i="2" a="1"/>
  <c r="H1088" i="2" s="1"/>
  <c r="J1088" i="2" a="1"/>
  <c r="J1088" i="2" s="1"/>
  <c r="K1088" i="2" a="1"/>
  <c r="K1088" i="2" s="1"/>
  <c r="I1088" i="2" a="1"/>
  <c r="I1088" i="2" s="1"/>
  <c r="D1088" i="2" a="1"/>
  <c r="G1089" i="3" l="1" a="1"/>
  <c r="G1089" i="3" s="1"/>
  <c r="C1091" i="3"/>
  <c r="G1090" i="3" a="1"/>
  <c r="G1090" i="3" s="1"/>
  <c r="L1090" i="3"/>
  <c r="M1090" i="3"/>
  <c r="J1090" i="3" a="1"/>
  <c r="J1090" i="3" s="1"/>
  <c r="A1089" i="3" a="1"/>
  <c r="A1089" i="3" s="1"/>
  <c r="B1089" i="3" a="1"/>
  <c r="B1089" i="3" s="1"/>
  <c r="D1088" i="2"/>
  <c r="J1089" i="2" a="1"/>
  <c r="J1089" i="2" s="1"/>
  <c r="I1089" i="2" a="1"/>
  <c r="I1089" i="2" s="1"/>
  <c r="H1089" i="2" a="1"/>
  <c r="H1089" i="2" s="1"/>
  <c r="K1089" i="2" a="1"/>
  <c r="K1089" i="2" s="1"/>
  <c r="A1090" i="2" a="1"/>
  <c r="A1090" i="2" s="1"/>
  <c r="B1090" i="2" a="1"/>
  <c r="B1090" i="2" s="1"/>
  <c r="C1092" i="2"/>
  <c r="F1091" i="2"/>
  <c r="D1089" i="2" a="1"/>
  <c r="C1092" i="3" l="1"/>
  <c r="G1091" i="3" a="1"/>
  <c r="G1091" i="3" s="1"/>
  <c r="L1091" i="3"/>
  <c r="M1091" i="3"/>
  <c r="J1091" i="3" a="1"/>
  <c r="J1091" i="3" s="1"/>
  <c r="H1090" i="3" a="1"/>
  <c r="H1090" i="3" s="1"/>
  <c r="I1090" i="3" a="1"/>
  <c r="I1090" i="3" s="1"/>
  <c r="K1090" i="3" a="1"/>
  <c r="K1090" i="3" s="1"/>
  <c r="I1089" i="3" a="1"/>
  <c r="I1089" i="3" s="1"/>
  <c r="K1089" i="3" a="1"/>
  <c r="K1089" i="3" s="1"/>
  <c r="H1089" i="3" a="1"/>
  <c r="H1089" i="3" s="1"/>
  <c r="J1089" i="3" a="1"/>
  <c r="J1089" i="3" s="1"/>
  <c r="F1091" i="3"/>
  <c r="F1092" i="3" s="1"/>
  <c r="A1090" i="3" a="1"/>
  <c r="A1090" i="3" s="1"/>
  <c r="B1090" i="3" a="1"/>
  <c r="B1090" i="3" s="1"/>
  <c r="D1089" i="2"/>
  <c r="B1091" i="2" a="1"/>
  <c r="B1091" i="2" s="1"/>
  <c r="A1091" i="2" a="1"/>
  <c r="A1091" i="2" s="1"/>
  <c r="C1093" i="2"/>
  <c r="F1092" i="2"/>
  <c r="J1090" i="2" a="1"/>
  <c r="J1090" i="2" s="1"/>
  <c r="H1090" i="2" a="1"/>
  <c r="H1090" i="2" s="1"/>
  <c r="I1090" i="2" a="1"/>
  <c r="I1090" i="2" s="1"/>
  <c r="K1090" i="2" a="1"/>
  <c r="K1090" i="2" s="1"/>
  <c r="D1090" i="2" a="1"/>
  <c r="K1091" i="3" l="1" a="1"/>
  <c r="K1091" i="3" s="1"/>
  <c r="I1091" i="3" a="1"/>
  <c r="I1091" i="3" s="1"/>
  <c r="H1091" i="3" a="1"/>
  <c r="H1091" i="3" s="1"/>
  <c r="C1093" i="3"/>
  <c r="F1093" i="3" s="1"/>
  <c r="G1092" i="3" a="1"/>
  <c r="G1092" i="3" s="1"/>
  <c r="L1092" i="3"/>
  <c r="M1092" i="3"/>
  <c r="A1091" i="3" a="1"/>
  <c r="A1091" i="3" s="1"/>
  <c r="B1091" i="3" a="1"/>
  <c r="B1091" i="3" s="1"/>
  <c r="D1090" i="2"/>
  <c r="H1091" i="2" a="1"/>
  <c r="H1091" i="2" s="1"/>
  <c r="I1091" i="2" a="1"/>
  <c r="I1091" i="2" s="1"/>
  <c r="J1091" i="2" a="1"/>
  <c r="J1091" i="2" s="1"/>
  <c r="K1091" i="2" a="1"/>
  <c r="K1091" i="2" s="1"/>
  <c r="B1092" i="2" a="1"/>
  <c r="B1092" i="2" s="1"/>
  <c r="A1092" i="2" a="1"/>
  <c r="A1092" i="2" s="1"/>
  <c r="C1094" i="2"/>
  <c r="F1093" i="2"/>
  <c r="D1091" i="2" a="1"/>
  <c r="K1092" i="3" l="1" a="1"/>
  <c r="K1092" i="3" s="1"/>
  <c r="H1092" i="3" a="1"/>
  <c r="H1092" i="3" s="1"/>
  <c r="I1092" i="3" a="1"/>
  <c r="I1092" i="3" s="1"/>
  <c r="J1092" i="3" a="1"/>
  <c r="J1092" i="3" s="1"/>
  <c r="C1094" i="3"/>
  <c r="G1093" i="3" a="1"/>
  <c r="G1093" i="3" s="1"/>
  <c r="J1093" i="3" s="1" a="1"/>
  <c r="J1093" i="3" s="1"/>
  <c r="L1093" i="3"/>
  <c r="M1093" i="3"/>
  <c r="B1092" i="3" a="1"/>
  <c r="B1092" i="3" s="1"/>
  <c r="A1092" i="3" a="1"/>
  <c r="A1092" i="3" s="1"/>
  <c r="D1091" i="2"/>
  <c r="B1093" i="2" a="1"/>
  <c r="B1093" i="2" s="1"/>
  <c r="A1093" i="2" a="1"/>
  <c r="A1093" i="2" s="1"/>
  <c r="I1092" i="2" a="1"/>
  <c r="I1092" i="2" s="1"/>
  <c r="K1092" i="2" a="1"/>
  <c r="K1092" i="2" s="1"/>
  <c r="J1092" i="2" a="1"/>
  <c r="J1092" i="2" s="1"/>
  <c r="H1092" i="2" a="1"/>
  <c r="H1092" i="2" s="1"/>
  <c r="C1095" i="2"/>
  <c r="F1094" i="2"/>
  <c r="D1092" i="2" a="1"/>
  <c r="I1093" i="3" l="1" a="1"/>
  <c r="I1093" i="3" s="1"/>
  <c r="C1095" i="3"/>
  <c r="L1094" i="3"/>
  <c r="M1094" i="3"/>
  <c r="H1093" i="3" a="1"/>
  <c r="H1093" i="3" s="1"/>
  <c r="K1093" i="3" a="1"/>
  <c r="K1093" i="3" s="1"/>
  <c r="F1094" i="3"/>
  <c r="F1095" i="3" s="1"/>
  <c r="A1093" i="3" a="1"/>
  <c r="A1093" i="3" s="1"/>
  <c r="B1093" i="3" a="1"/>
  <c r="B1093" i="3" s="1"/>
  <c r="D1092" i="2"/>
  <c r="C1096" i="2"/>
  <c r="F1095" i="2"/>
  <c r="A1094" i="2" a="1"/>
  <c r="A1094" i="2" s="1"/>
  <c r="B1094" i="2" a="1"/>
  <c r="B1094" i="2" s="1"/>
  <c r="H1093" i="2" a="1"/>
  <c r="H1093" i="2" s="1"/>
  <c r="J1093" i="2" a="1"/>
  <c r="J1093" i="2" s="1"/>
  <c r="I1093" i="2" a="1"/>
  <c r="I1093" i="2" s="1"/>
  <c r="K1093" i="2" a="1"/>
  <c r="K1093" i="2" s="1"/>
  <c r="D1093" i="2" a="1"/>
  <c r="G1094" i="3" l="1" a="1"/>
  <c r="G1094" i="3" s="1"/>
  <c r="C1096" i="3"/>
  <c r="G1095" i="3" a="1"/>
  <c r="G1095" i="3" s="1"/>
  <c r="L1095" i="3"/>
  <c r="M1095" i="3"/>
  <c r="A1094" i="3" a="1"/>
  <c r="A1094" i="3" s="1"/>
  <c r="B1094" i="3" a="1"/>
  <c r="B1094" i="3" s="1"/>
  <c r="D1093" i="2"/>
  <c r="J1094" i="2" a="1"/>
  <c r="J1094" i="2" s="1"/>
  <c r="K1094" i="2" a="1"/>
  <c r="K1094" i="2" s="1"/>
  <c r="H1094" i="2" a="1"/>
  <c r="H1094" i="2" s="1"/>
  <c r="I1094" i="2" a="1"/>
  <c r="I1094" i="2" s="1"/>
  <c r="A1095" i="2" a="1"/>
  <c r="A1095" i="2" s="1"/>
  <c r="B1095" i="2" a="1"/>
  <c r="B1095" i="2" s="1"/>
  <c r="C1097" i="2"/>
  <c r="F1096" i="2"/>
  <c r="D1094" i="2" a="1"/>
  <c r="H1095" i="3" l="1" a="1"/>
  <c r="H1095" i="3" s="1"/>
  <c r="K1095" i="3" a="1"/>
  <c r="K1095" i="3" s="1"/>
  <c r="I1095" i="3" a="1"/>
  <c r="I1095" i="3" s="1"/>
  <c r="J1095" i="3" a="1"/>
  <c r="J1095" i="3" s="1"/>
  <c r="C1097" i="3"/>
  <c r="G1096" i="3" a="1"/>
  <c r="G1096" i="3" s="1"/>
  <c r="M1096" i="3"/>
  <c r="L1096" i="3"/>
  <c r="J1096" i="3" a="1"/>
  <c r="J1096" i="3" s="1"/>
  <c r="K1094" i="3" a="1"/>
  <c r="K1094" i="3" s="1"/>
  <c r="H1094" i="3" a="1"/>
  <c r="H1094" i="3" s="1"/>
  <c r="I1094" i="3" a="1"/>
  <c r="I1094" i="3" s="1"/>
  <c r="J1094" i="3" a="1"/>
  <c r="J1094" i="3" s="1"/>
  <c r="F1096" i="3"/>
  <c r="A1095" i="3" a="1"/>
  <c r="A1095" i="3" s="1"/>
  <c r="B1095" i="3" a="1"/>
  <c r="B1095" i="3" s="1"/>
  <c r="D1094" i="2"/>
  <c r="C1098" i="2"/>
  <c r="F1097" i="2"/>
  <c r="B1096" i="2" a="1"/>
  <c r="B1096" i="2" s="1"/>
  <c r="A1096" i="2" a="1"/>
  <c r="A1096" i="2" s="1"/>
  <c r="H1095" i="2" a="1"/>
  <c r="H1095" i="2" s="1"/>
  <c r="J1095" i="2" a="1"/>
  <c r="J1095" i="2" s="1"/>
  <c r="K1095" i="2" a="1"/>
  <c r="K1095" i="2" s="1"/>
  <c r="I1095" i="2" a="1"/>
  <c r="I1095" i="2" s="1"/>
  <c r="D1095" i="2" a="1"/>
  <c r="K1096" i="3" l="1" a="1"/>
  <c r="K1096" i="3" s="1"/>
  <c r="H1096" i="3" a="1"/>
  <c r="H1096" i="3" s="1"/>
  <c r="I1096" i="3" a="1"/>
  <c r="I1096" i="3" s="1"/>
  <c r="C1098" i="3"/>
  <c r="L1097" i="3"/>
  <c r="M1097" i="3"/>
  <c r="F1097" i="3"/>
  <c r="F1098" i="3" s="1"/>
  <c r="A1096" i="3" a="1"/>
  <c r="A1096" i="3" s="1"/>
  <c r="B1096" i="3" a="1"/>
  <c r="B1096" i="3" s="1"/>
  <c r="D1095" i="2"/>
  <c r="K1096" i="2" a="1"/>
  <c r="K1096" i="2" s="1"/>
  <c r="I1096" i="2" a="1"/>
  <c r="I1096" i="2" s="1"/>
  <c r="H1096" i="2" a="1"/>
  <c r="H1096" i="2" s="1"/>
  <c r="J1096" i="2" a="1"/>
  <c r="J1096" i="2" s="1"/>
  <c r="B1097" i="2" a="1"/>
  <c r="B1097" i="2" s="1"/>
  <c r="A1097" i="2" a="1"/>
  <c r="A1097" i="2" s="1"/>
  <c r="C1099" i="2"/>
  <c r="F1098" i="2"/>
  <c r="D1096" i="2" a="1"/>
  <c r="C1099" i="3" l="1"/>
  <c r="G1098" i="3" a="1"/>
  <c r="G1098" i="3" s="1"/>
  <c r="L1098" i="3"/>
  <c r="M1098" i="3"/>
  <c r="J1098" i="3" a="1"/>
  <c r="J1098" i="3" s="1"/>
  <c r="F1099" i="3"/>
  <c r="G1097" i="3" a="1"/>
  <c r="G1097" i="3" s="1"/>
  <c r="A1097" i="3" a="1"/>
  <c r="A1097" i="3" s="1"/>
  <c r="B1097" i="3" a="1"/>
  <c r="B1097" i="3" s="1"/>
  <c r="D1096" i="2"/>
  <c r="C1100" i="2"/>
  <c r="F1099" i="2"/>
  <c r="A1098" i="2" a="1"/>
  <c r="A1098" i="2" s="1"/>
  <c r="B1098" i="2" a="1"/>
  <c r="B1098" i="2" s="1"/>
  <c r="I1097" i="2" a="1"/>
  <c r="I1097" i="2" s="1"/>
  <c r="J1097" i="2" a="1"/>
  <c r="J1097" i="2" s="1"/>
  <c r="H1097" i="2" a="1"/>
  <c r="H1097" i="2" s="1"/>
  <c r="K1097" i="2" a="1"/>
  <c r="K1097" i="2" s="1"/>
  <c r="D1097" i="2" a="1"/>
  <c r="K1097" i="3" l="1" a="1"/>
  <c r="K1097" i="3" s="1"/>
  <c r="H1097" i="3" a="1"/>
  <c r="H1097" i="3" s="1"/>
  <c r="I1097" i="3" a="1"/>
  <c r="I1097" i="3" s="1"/>
  <c r="J1097" i="3" a="1"/>
  <c r="J1097" i="3" s="1"/>
  <c r="K1098" i="3" a="1"/>
  <c r="K1098" i="3" s="1"/>
  <c r="H1098" i="3" a="1"/>
  <c r="H1098" i="3" s="1"/>
  <c r="I1098" i="3" a="1"/>
  <c r="I1098" i="3" s="1"/>
  <c r="C1100" i="3"/>
  <c r="G1099" i="3" a="1"/>
  <c r="G1099" i="3" s="1"/>
  <c r="L1099" i="3"/>
  <c r="M1099" i="3"/>
  <c r="A1098" i="3" a="1"/>
  <c r="A1098" i="3" s="1"/>
  <c r="B1098" i="3" a="1"/>
  <c r="B1098" i="3" s="1"/>
  <c r="D1097" i="2"/>
  <c r="H1098" i="2" a="1"/>
  <c r="H1098" i="2" s="1"/>
  <c r="J1098" i="2" a="1"/>
  <c r="J1098" i="2" s="1"/>
  <c r="K1098" i="2" a="1"/>
  <c r="K1098" i="2" s="1"/>
  <c r="I1098" i="2" a="1"/>
  <c r="I1098" i="2" s="1"/>
  <c r="B1099" i="2" a="1"/>
  <c r="B1099" i="2" s="1"/>
  <c r="A1099" i="2" a="1"/>
  <c r="A1099" i="2" s="1"/>
  <c r="C1101" i="2"/>
  <c r="F1100" i="2"/>
  <c r="D1098" i="2" a="1"/>
  <c r="K1099" i="3" l="1" a="1"/>
  <c r="K1099" i="3" s="1"/>
  <c r="H1099" i="3" a="1"/>
  <c r="H1099" i="3" s="1"/>
  <c r="I1099" i="3" a="1"/>
  <c r="I1099" i="3" s="1"/>
  <c r="C1101" i="3"/>
  <c r="M1100" i="3"/>
  <c r="L1100" i="3"/>
  <c r="J1099" i="3" a="1"/>
  <c r="J1099" i="3" s="1"/>
  <c r="F1100" i="3"/>
  <c r="F1101" i="3" s="1"/>
  <c r="B1099" i="3" a="1"/>
  <c r="B1099" i="3" s="1"/>
  <c r="A1099" i="3" a="1"/>
  <c r="A1099" i="3" s="1"/>
  <c r="D1098" i="2"/>
  <c r="A1100" i="2" a="1"/>
  <c r="A1100" i="2" s="1"/>
  <c r="B1100" i="2" a="1"/>
  <c r="B1100" i="2" s="1"/>
  <c r="J1099" i="2" a="1"/>
  <c r="J1099" i="2" s="1"/>
  <c r="K1099" i="2" a="1"/>
  <c r="K1099" i="2" s="1"/>
  <c r="I1099" i="2" a="1"/>
  <c r="I1099" i="2" s="1"/>
  <c r="H1099" i="2" a="1"/>
  <c r="H1099" i="2" s="1"/>
  <c r="C1102" i="2"/>
  <c r="F1101" i="2"/>
  <c r="D1099" i="2" a="1"/>
  <c r="G1100" i="3" l="1" a="1"/>
  <c r="G1100" i="3" s="1"/>
  <c r="C1102" i="3"/>
  <c r="G1101" i="3" a="1"/>
  <c r="G1101" i="3" s="1"/>
  <c r="L1101" i="3"/>
  <c r="M1101" i="3"/>
  <c r="A1100" i="3" a="1"/>
  <c r="A1100" i="3" s="1"/>
  <c r="B1100" i="3" a="1"/>
  <c r="B1100" i="3" s="1"/>
  <c r="D1099" i="2"/>
  <c r="C1103" i="2"/>
  <c r="F1102" i="2"/>
  <c r="A1101" i="2" a="1"/>
  <c r="A1101" i="2" s="1"/>
  <c r="B1101" i="2" a="1"/>
  <c r="B1101" i="2" s="1"/>
  <c r="J1100" i="2" a="1"/>
  <c r="J1100" i="2" s="1"/>
  <c r="H1100" i="2" a="1"/>
  <c r="H1100" i="2" s="1"/>
  <c r="I1100" i="2" a="1"/>
  <c r="I1100" i="2" s="1"/>
  <c r="K1100" i="2" a="1"/>
  <c r="K1100" i="2" s="1"/>
  <c r="D1100" i="2" a="1"/>
  <c r="I1101" i="3" l="1" a="1"/>
  <c r="I1101" i="3" s="1"/>
  <c r="K1101" i="3" a="1"/>
  <c r="K1101" i="3" s="1"/>
  <c r="H1101" i="3" a="1"/>
  <c r="H1101" i="3" s="1"/>
  <c r="C1103" i="3"/>
  <c r="G1102" i="3" a="1"/>
  <c r="G1102" i="3" s="1"/>
  <c r="L1102" i="3"/>
  <c r="M1102" i="3"/>
  <c r="J1101" i="3" a="1"/>
  <c r="J1101" i="3" s="1"/>
  <c r="H1100" i="3" a="1"/>
  <c r="H1100" i="3" s="1"/>
  <c r="I1100" i="3" a="1"/>
  <c r="I1100" i="3" s="1"/>
  <c r="K1100" i="3" a="1"/>
  <c r="K1100" i="3" s="1"/>
  <c r="J1100" i="3" a="1"/>
  <c r="J1100" i="3" s="1"/>
  <c r="F1102" i="3"/>
  <c r="A1101" i="3" a="1"/>
  <c r="A1101" i="3" s="1"/>
  <c r="B1101" i="3" a="1"/>
  <c r="B1101" i="3" s="1"/>
  <c r="D1100" i="2"/>
  <c r="I1101" i="2" a="1"/>
  <c r="I1101" i="2" s="1"/>
  <c r="K1101" i="2" a="1"/>
  <c r="K1101" i="2" s="1"/>
  <c r="H1101" i="2" a="1"/>
  <c r="H1101" i="2" s="1"/>
  <c r="J1101" i="2" a="1"/>
  <c r="J1101" i="2" s="1"/>
  <c r="A1102" i="2" a="1"/>
  <c r="A1102" i="2" s="1"/>
  <c r="B1102" i="2" a="1"/>
  <c r="B1102" i="2" s="1"/>
  <c r="C1104" i="2"/>
  <c r="F1103" i="2"/>
  <c r="D1101" i="2" a="1"/>
  <c r="K1102" i="3" l="1" a="1"/>
  <c r="K1102" i="3" s="1"/>
  <c r="H1102" i="3" a="1"/>
  <c r="H1102" i="3" s="1"/>
  <c r="I1102" i="3" a="1"/>
  <c r="I1102" i="3" s="1"/>
  <c r="C1104" i="3"/>
  <c r="L1103" i="3"/>
  <c r="M1103" i="3"/>
  <c r="J1102" i="3" a="1"/>
  <c r="J1102" i="3" s="1"/>
  <c r="F1103" i="3"/>
  <c r="F1104" i="3" s="1"/>
  <c r="A1102" i="3" a="1"/>
  <c r="A1102" i="3" s="1"/>
  <c r="B1102" i="3" a="1"/>
  <c r="B1102" i="3" s="1"/>
  <c r="D1101" i="2"/>
  <c r="H1102" i="2" a="1"/>
  <c r="H1102" i="2" s="1"/>
  <c r="I1102" i="2" a="1"/>
  <c r="I1102" i="2" s="1"/>
  <c r="J1102" i="2" a="1"/>
  <c r="J1102" i="2" s="1"/>
  <c r="K1102" i="2" a="1"/>
  <c r="K1102" i="2" s="1"/>
  <c r="C1105" i="2"/>
  <c r="F1104" i="2"/>
  <c r="A1103" i="2" a="1"/>
  <c r="A1103" i="2" s="1"/>
  <c r="B1103" i="2" a="1"/>
  <c r="B1103" i="2" s="1"/>
  <c r="D1102" i="2" a="1"/>
  <c r="C1105" i="3" l="1"/>
  <c r="G1104" i="3" a="1"/>
  <c r="G1104" i="3" s="1"/>
  <c r="J1104" i="3" s="1" a="1"/>
  <c r="J1104" i="3" s="1"/>
  <c r="L1104" i="3"/>
  <c r="M1104" i="3"/>
  <c r="G1103" i="3" a="1"/>
  <c r="G1103" i="3" s="1"/>
  <c r="A1103" i="3" a="1"/>
  <c r="A1103" i="3" s="1"/>
  <c r="B1103" i="3" a="1"/>
  <c r="B1103" i="3" s="1"/>
  <c r="D1102" i="2"/>
  <c r="J1103" i="2" a="1"/>
  <c r="J1103" i="2" s="1"/>
  <c r="H1103" i="2" a="1"/>
  <c r="H1103" i="2" s="1"/>
  <c r="I1103" i="2" a="1"/>
  <c r="I1103" i="2" s="1"/>
  <c r="K1103" i="2" a="1"/>
  <c r="K1103" i="2" s="1"/>
  <c r="C1106" i="2"/>
  <c r="F1105" i="2"/>
  <c r="B1104" i="2" a="1"/>
  <c r="B1104" i="2" s="1"/>
  <c r="A1104" i="2" a="1"/>
  <c r="A1104" i="2" s="1"/>
  <c r="D1103" i="2" a="1"/>
  <c r="H1103" i="3" l="1" a="1"/>
  <c r="H1103" i="3" s="1"/>
  <c r="K1103" i="3" a="1"/>
  <c r="K1103" i="3" s="1"/>
  <c r="I1103" i="3" a="1"/>
  <c r="I1103" i="3" s="1"/>
  <c r="J1103" i="3" a="1"/>
  <c r="J1103" i="3" s="1"/>
  <c r="C1106" i="3"/>
  <c r="G1105" i="3" a="1"/>
  <c r="G1105" i="3" s="1"/>
  <c r="L1105" i="3"/>
  <c r="M1105" i="3"/>
  <c r="J1105" i="3" a="1"/>
  <c r="J1105" i="3" s="1"/>
  <c r="H1104" i="3" a="1"/>
  <c r="H1104" i="3" s="1"/>
  <c r="I1104" i="3" a="1"/>
  <c r="I1104" i="3" s="1"/>
  <c r="K1104" i="3" a="1"/>
  <c r="K1104" i="3" s="1"/>
  <c r="F1105" i="3"/>
  <c r="B1104" i="3" a="1"/>
  <c r="B1104" i="3" s="1"/>
  <c r="A1104" i="3" a="1"/>
  <c r="A1104" i="3" s="1"/>
  <c r="D1103" i="2"/>
  <c r="C1107" i="2"/>
  <c r="F1106" i="2"/>
  <c r="I1104" i="2" a="1"/>
  <c r="I1104" i="2" s="1"/>
  <c r="J1104" i="2" a="1"/>
  <c r="J1104" i="2" s="1"/>
  <c r="K1104" i="2" a="1"/>
  <c r="K1104" i="2" s="1"/>
  <c r="H1104" i="2" a="1"/>
  <c r="H1104" i="2" s="1"/>
  <c r="B1105" i="2" a="1"/>
  <c r="B1105" i="2" s="1"/>
  <c r="A1105" i="2" a="1"/>
  <c r="A1105" i="2" s="1"/>
  <c r="D1104" i="2" a="1"/>
  <c r="C1107" i="3" l="1"/>
  <c r="L1106" i="3"/>
  <c r="M1106" i="3"/>
  <c r="H1105" i="3" a="1"/>
  <c r="H1105" i="3" s="1"/>
  <c r="I1105" i="3" a="1"/>
  <c r="I1105" i="3" s="1"/>
  <c r="K1105" i="3" a="1"/>
  <c r="K1105" i="3" s="1"/>
  <c r="F1106" i="3"/>
  <c r="F1107" i="3" s="1"/>
  <c r="A1105" i="3" a="1"/>
  <c r="A1105" i="3" s="1"/>
  <c r="B1105" i="3" a="1"/>
  <c r="B1105" i="3" s="1"/>
  <c r="D1104" i="2"/>
  <c r="H1105" i="2" a="1"/>
  <c r="H1105" i="2" s="1"/>
  <c r="K1105" i="2" a="1"/>
  <c r="K1105" i="2" s="1"/>
  <c r="J1105" i="2" a="1"/>
  <c r="J1105" i="2" s="1"/>
  <c r="I1105" i="2" a="1"/>
  <c r="I1105" i="2" s="1"/>
  <c r="A1106" i="2" a="1"/>
  <c r="A1106" i="2" s="1"/>
  <c r="B1106" i="2" a="1"/>
  <c r="B1106" i="2" s="1"/>
  <c r="C1108" i="2"/>
  <c r="F1107" i="2"/>
  <c r="D1105" i="2" a="1"/>
  <c r="G1106" i="3" l="1" a="1"/>
  <c r="G1106" i="3" s="1"/>
  <c r="C1108" i="3"/>
  <c r="G1107" i="3" a="1"/>
  <c r="G1107" i="3" s="1"/>
  <c r="M1107" i="3"/>
  <c r="L1107" i="3"/>
  <c r="A1106" i="3" a="1"/>
  <c r="A1106" i="3" s="1"/>
  <c r="B1106" i="3" a="1"/>
  <c r="B1106" i="3" s="1"/>
  <c r="D1105" i="2"/>
  <c r="A1107" i="2" a="1"/>
  <c r="A1107" i="2" s="1"/>
  <c r="B1107" i="2" a="1"/>
  <c r="B1107" i="2" s="1"/>
  <c r="J1106" i="2" a="1"/>
  <c r="J1106" i="2" s="1"/>
  <c r="K1106" i="2" a="1"/>
  <c r="K1106" i="2" s="1"/>
  <c r="H1106" i="2" a="1"/>
  <c r="H1106" i="2" s="1"/>
  <c r="I1106" i="2" a="1"/>
  <c r="I1106" i="2" s="1"/>
  <c r="C1109" i="2"/>
  <c r="F1108" i="2"/>
  <c r="D1106" i="2" a="1"/>
  <c r="I1107" i="3" l="1" a="1"/>
  <c r="I1107" i="3" s="1"/>
  <c r="H1107" i="3" a="1"/>
  <c r="H1107" i="3" s="1"/>
  <c r="K1107" i="3" a="1"/>
  <c r="K1107" i="3" s="1"/>
  <c r="C1109" i="3"/>
  <c r="G1108" i="3" a="1"/>
  <c r="G1108" i="3" s="1"/>
  <c r="J1108" i="3" s="1" a="1"/>
  <c r="J1108" i="3" s="1"/>
  <c r="L1108" i="3"/>
  <c r="M1108" i="3"/>
  <c r="J1107" i="3" a="1"/>
  <c r="J1107" i="3" s="1"/>
  <c r="K1106" i="3" a="1"/>
  <c r="K1106" i="3" s="1"/>
  <c r="H1106" i="3" a="1"/>
  <c r="H1106" i="3" s="1"/>
  <c r="I1106" i="3" a="1"/>
  <c r="I1106" i="3" s="1"/>
  <c r="J1106" i="3" a="1"/>
  <c r="J1106" i="3" s="1"/>
  <c r="F1108" i="3"/>
  <c r="F1109" i="3" s="1"/>
  <c r="A1107" i="3" a="1"/>
  <c r="A1107" i="3" s="1"/>
  <c r="B1107" i="3" a="1"/>
  <c r="B1107" i="3" s="1"/>
  <c r="D1106" i="2"/>
  <c r="C1110" i="2"/>
  <c r="F1109" i="2"/>
  <c r="A1108" i="2" a="1"/>
  <c r="A1108" i="2" s="1"/>
  <c r="B1108" i="2" a="1"/>
  <c r="B1108" i="2" s="1"/>
  <c r="J1107" i="2" a="1"/>
  <c r="J1107" i="2" s="1"/>
  <c r="K1107" i="2" a="1"/>
  <c r="K1107" i="2" s="1"/>
  <c r="H1107" i="2" a="1"/>
  <c r="H1107" i="2" s="1"/>
  <c r="I1107" i="2" a="1"/>
  <c r="I1107" i="2" s="1"/>
  <c r="D1107" i="2" a="1"/>
  <c r="K1108" i="3" l="1" a="1"/>
  <c r="K1108" i="3" s="1"/>
  <c r="H1108" i="3" a="1"/>
  <c r="H1108" i="3" s="1"/>
  <c r="I1108" i="3" a="1"/>
  <c r="I1108" i="3" s="1"/>
  <c r="C1110" i="3"/>
  <c r="G1109" i="3" a="1"/>
  <c r="G1109" i="3" s="1"/>
  <c r="L1109" i="3"/>
  <c r="M1109" i="3"/>
  <c r="J1109" i="3" a="1"/>
  <c r="J1109" i="3" s="1"/>
  <c r="F1110" i="3"/>
  <c r="A1108" i="3" a="1"/>
  <c r="A1108" i="3" s="1"/>
  <c r="B1108" i="3" a="1"/>
  <c r="B1108" i="3" s="1"/>
  <c r="D1107" i="2"/>
  <c r="K1108" i="2" a="1"/>
  <c r="K1108" i="2" s="1"/>
  <c r="H1108" i="2" a="1"/>
  <c r="H1108" i="2" s="1"/>
  <c r="I1108" i="2" a="1"/>
  <c r="I1108" i="2" s="1"/>
  <c r="J1108" i="2" a="1"/>
  <c r="J1108" i="2" s="1"/>
  <c r="A1109" i="2" a="1"/>
  <c r="A1109" i="2" s="1"/>
  <c r="B1109" i="2" a="1"/>
  <c r="B1109" i="2" s="1"/>
  <c r="C1111" i="2"/>
  <c r="F1110" i="2"/>
  <c r="D1108" i="2" a="1"/>
  <c r="K1109" i="3" l="1" a="1"/>
  <c r="K1109" i="3" s="1"/>
  <c r="H1109" i="3" a="1"/>
  <c r="H1109" i="3" s="1"/>
  <c r="I1109" i="3" a="1"/>
  <c r="I1109" i="3" s="1"/>
  <c r="C1111" i="3"/>
  <c r="G1110" i="3" a="1"/>
  <c r="G1110" i="3" s="1"/>
  <c r="J1110" i="3" a="1"/>
  <c r="J1110" i="3" s="1"/>
  <c r="L1110" i="3"/>
  <c r="M1110" i="3"/>
  <c r="A1109" i="3" a="1"/>
  <c r="A1109" i="3" s="1"/>
  <c r="B1109" i="3" a="1"/>
  <c r="B1109" i="3" s="1"/>
  <c r="D1108" i="2"/>
  <c r="A1110" i="2" a="1"/>
  <c r="A1110" i="2" s="1"/>
  <c r="B1110" i="2" a="1"/>
  <c r="B1110" i="2" s="1"/>
  <c r="C1112" i="2"/>
  <c r="F1111" i="2"/>
  <c r="I1109" i="2" a="1"/>
  <c r="I1109" i="2" s="1"/>
  <c r="J1109" i="2" a="1"/>
  <c r="J1109" i="2" s="1"/>
  <c r="K1109" i="2" a="1"/>
  <c r="K1109" i="2" s="1"/>
  <c r="H1109" i="2" a="1"/>
  <c r="H1109" i="2" s="1"/>
  <c r="D1109" i="2" a="1"/>
  <c r="K1110" i="3" l="1" a="1"/>
  <c r="K1110" i="3" s="1"/>
  <c r="H1110" i="3" a="1"/>
  <c r="H1110" i="3" s="1"/>
  <c r="I1110" i="3" a="1"/>
  <c r="I1110" i="3" s="1"/>
  <c r="C1112" i="3"/>
  <c r="L1111" i="3"/>
  <c r="M1111" i="3"/>
  <c r="F1111" i="3"/>
  <c r="F1112" i="3" s="1"/>
  <c r="A1110" i="3" a="1"/>
  <c r="A1110" i="3" s="1"/>
  <c r="B1110" i="3" a="1"/>
  <c r="B1110" i="3" s="1"/>
  <c r="D1109" i="2"/>
  <c r="J1110" i="2" a="1"/>
  <c r="J1110" i="2" s="1"/>
  <c r="K1110" i="2" a="1"/>
  <c r="K1110" i="2" s="1"/>
  <c r="H1110" i="2" a="1"/>
  <c r="H1110" i="2" s="1"/>
  <c r="I1110" i="2" a="1"/>
  <c r="I1110" i="2" s="1"/>
  <c r="A1111" i="2" a="1"/>
  <c r="A1111" i="2" s="1"/>
  <c r="B1111" i="2" a="1"/>
  <c r="B1111" i="2" s="1"/>
  <c r="C1113" i="2"/>
  <c r="F1112" i="2"/>
  <c r="D1110" i="2" a="1"/>
  <c r="G1111" i="3" l="1" a="1"/>
  <c r="G1111" i="3" s="1"/>
  <c r="C1113" i="3"/>
  <c r="G1112" i="3" a="1"/>
  <c r="G1112" i="3" s="1"/>
  <c r="J1112" i="3" a="1"/>
  <c r="J1112" i="3" s="1"/>
  <c r="L1112" i="3"/>
  <c r="M1112" i="3"/>
  <c r="B1111" i="3" a="1"/>
  <c r="B1111" i="3" s="1"/>
  <c r="A1111" i="3" a="1"/>
  <c r="A1111" i="3" s="1"/>
  <c r="D1110" i="2"/>
  <c r="A1112" i="2" a="1"/>
  <c r="A1112" i="2" s="1"/>
  <c r="B1112" i="2" a="1"/>
  <c r="B1112" i="2" s="1"/>
  <c r="C1114" i="2"/>
  <c r="F1113" i="2"/>
  <c r="I1111" i="2" a="1"/>
  <c r="I1111" i="2" s="1"/>
  <c r="J1111" i="2" a="1"/>
  <c r="J1111" i="2" s="1"/>
  <c r="K1111" i="2" a="1"/>
  <c r="K1111" i="2" s="1"/>
  <c r="H1111" i="2" a="1"/>
  <c r="H1111" i="2" s="1"/>
  <c r="D1111" i="2" a="1"/>
  <c r="H1111" i="3" l="1" a="1"/>
  <c r="H1111" i="3" s="1"/>
  <c r="I1111" i="3" a="1"/>
  <c r="I1111" i="3" s="1"/>
  <c r="K1111" i="3" a="1"/>
  <c r="K1111" i="3" s="1"/>
  <c r="J1111" i="3" a="1"/>
  <c r="J1111" i="3" s="1"/>
  <c r="K1112" i="3" a="1"/>
  <c r="K1112" i="3" s="1"/>
  <c r="H1112" i="3" a="1"/>
  <c r="H1112" i="3" s="1"/>
  <c r="I1112" i="3" a="1"/>
  <c r="I1112" i="3" s="1"/>
  <c r="C1114" i="3"/>
  <c r="G1113" i="3" a="1"/>
  <c r="G1113" i="3" s="1"/>
  <c r="J1113" i="3" s="1" a="1"/>
  <c r="J1113" i="3" s="1"/>
  <c r="L1113" i="3"/>
  <c r="M1113" i="3"/>
  <c r="F1113" i="3"/>
  <c r="A1112" i="3" a="1"/>
  <c r="A1112" i="3" s="1"/>
  <c r="B1112" i="3" a="1"/>
  <c r="B1112" i="3" s="1"/>
  <c r="D1111" i="2"/>
  <c r="J1112" i="2" a="1"/>
  <c r="J1112" i="2" s="1"/>
  <c r="K1112" i="2" a="1"/>
  <c r="K1112" i="2" s="1"/>
  <c r="I1112" i="2" a="1"/>
  <c r="I1112" i="2" s="1"/>
  <c r="H1112" i="2" a="1"/>
  <c r="H1112" i="2" s="1"/>
  <c r="B1113" i="2" a="1"/>
  <c r="B1113" i="2" s="1"/>
  <c r="A1113" i="2" a="1"/>
  <c r="A1113" i="2" s="1"/>
  <c r="C1115" i="2"/>
  <c r="F1114" i="2"/>
  <c r="D1112" i="2" a="1"/>
  <c r="H1113" i="3" l="1" a="1"/>
  <c r="H1113" i="3" s="1"/>
  <c r="I1113" i="3" a="1"/>
  <c r="I1113" i="3" s="1"/>
  <c r="K1113" i="3" a="1"/>
  <c r="K1113" i="3" s="1"/>
  <c r="C1115" i="3"/>
  <c r="L1114" i="3"/>
  <c r="M1114" i="3"/>
  <c r="F1114" i="3"/>
  <c r="F1115" i="3" s="1"/>
  <c r="A1113" i="3" a="1"/>
  <c r="A1113" i="3" s="1"/>
  <c r="B1113" i="3" a="1"/>
  <c r="B1113" i="3" s="1"/>
  <c r="D1112" i="2"/>
  <c r="C1116" i="2"/>
  <c r="F1115" i="2"/>
  <c r="B1114" i="2" a="1"/>
  <c r="B1114" i="2" s="1"/>
  <c r="A1114" i="2" a="1"/>
  <c r="A1114" i="2" s="1"/>
  <c r="I1113" i="2" a="1"/>
  <c r="I1113" i="2" s="1"/>
  <c r="J1113" i="2" a="1"/>
  <c r="J1113" i="2" s="1"/>
  <c r="H1113" i="2" a="1"/>
  <c r="H1113" i="2" s="1"/>
  <c r="K1113" i="2" a="1"/>
  <c r="K1113" i="2" s="1"/>
  <c r="D1113" i="2" a="1"/>
  <c r="G1114" i="3" l="1" a="1"/>
  <c r="G1114" i="3" s="1"/>
  <c r="C1116" i="3"/>
  <c r="G1115" i="3" a="1"/>
  <c r="G1115" i="3" s="1"/>
  <c r="L1115" i="3"/>
  <c r="M1115" i="3"/>
  <c r="J1115" i="3" a="1"/>
  <c r="J1115" i="3" s="1"/>
  <c r="A1114" i="3" a="1"/>
  <c r="A1114" i="3" s="1"/>
  <c r="B1114" i="3" a="1"/>
  <c r="B1114" i="3" s="1"/>
  <c r="D1113" i="2"/>
  <c r="J1114" i="2" a="1"/>
  <c r="J1114" i="2" s="1"/>
  <c r="K1114" i="2" a="1"/>
  <c r="K1114" i="2" s="1"/>
  <c r="H1114" i="2" a="1"/>
  <c r="H1114" i="2" s="1"/>
  <c r="I1114" i="2" a="1"/>
  <c r="I1114" i="2" s="1"/>
  <c r="A1115" i="2" a="1"/>
  <c r="A1115" i="2" s="1"/>
  <c r="B1115" i="2" a="1"/>
  <c r="B1115" i="2" s="1"/>
  <c r="C1117" i="2"/>
  <c r="F1116" i="2"/>
  <c r="D1114" i="2" a="1"/>
  <c r="C1117" i="3" l="1"/>
  <c r="G1116" i="3" a="1"/>
  <c r="G1116" i="3" s="1"/>
  <c r="J1116" i="3" a="1"/>
  <c r="J1116" i="3" s="1"/>
  <c r="L1116" i="3"/>
  <c r="M1116" i="3"/>
  <c r="H1115" i="3" a="1"/>
  <c r="H1115" i="3" s="1"/>
  <c r="I1115" i="3" a="1"/>
  <c r="I1115" i="3" s="1"/>
  <c r="K1115" i="3" a="1"/>
  <c r="K1115" i="3" s="1"/>
  <c r="K1114" i="3" a="1"/>
  <c r="K1114" i="3" s="1"/>
  <c r="H1114" i="3" a="1"/>
  <c r="H1114" i="3" s="1"/>
  <c r="I1114" i="3" a="1"/>
  <c r="I1114" i="3" s="1"/>
  <c r="J1114" i="3" a="1"/>
  <c r="J1114" i="3" s="1"/>
  <c r="F1116" i="3"/>
  <c r="F1117" i="3" s="1"/>
  <c r="A1115" i="3" a="1"/>
  <c r="A1115" i="3" s="1"/>
  <c r="B1115" i="3" a="1"/>
  <c r="B1115" i="3" s="1"/>
  <c r="D1114" i="2"/>
  <c r="B1116" i="2" a="1"/>
  <c r="B1116" i="2" s="1"/>
  <c r="A1116" i="2" a="1"/>
  <c r="A1116" i="2" s="1"/>
  <c r="C1118" i="2"/>
  <c r="F1117" i="2"/>
  <c r="K1115" i="2" a="1"/>
  <c r="K1115" i="2" s="1"/>
  <c r="J1115" i="2" a="1"/>
  <c r="J1115" i="2" s="1"/>
  <c r="I1115" i="2" a="1"/>
  <c r="I1115" i="2" s="1"/>
  <c r="H1115" i="2" a="1"/>
  <c r="H1115" i="2" s="1"/>
  <c r="D1115" i="2" a="1"/>
  <c r="K1116" i="3" l="1" a="1"/>
  <c r="K1116" i="3" s="1"/>
  <c r="H1116" i="3" a="1"/>
  <c r="H1116" i="3" s="1"/>
  <c r="I1116" i="3" a="1"/>
  <c r="I1116" i="3" s="1"/>
  <c r="C1118" i="3"/>
  <c r="G1117" i="3" a="1"/>
  <c r="G1117" i="3" s="1"/>
  <c r="J1117" i="3" a="1"/>
  <c r="J1117" i="3" s="1"/>
  <c r="L1117" i="3"/>
  <c r="M1117" i="3"/>
  <c r="B1116" i="3" a="1"/>
  <c r="B1116" i="3" s="1"/>
  <c r="A1116" i="3" a="1"/>
  <c r="A1116" i="3" s="1"/>
  <c r="D1115" i="2"/>
  <c r="A1117" i="2" a="1"/>
  <c r="A1117" i="2" s="1"/>
  <c r="B1117" i="2" a="1"/>
  <c r="B1117" i="2" s="1"/>
  <c r="C1119" i="2"/>
  <c r="F1118" i="2"/>
  <c r="J1116" i="2" a="1"/>
  <c r="J1116" i="2" s="1"/>
  <c r="I1116" i="2" a="1"/>
  <c r="I1116" i="2" s="1"/>
  <c r="K1116" i="2" a="1"/>
  <c r="K1116" i="2" s="1"/>
  <c r="H1116" i="2" a="1"/>
  <c r="H1116" i="2" s="1"/>
  <c r="D1116" i="2" a="1"/>
  <c r="C1119" i="3" l="1"/>
  <c r="L1118" i="3"/>
  <c r="M1118" i="3"/>
  <c r="F1118" i="3"/>
  <c r="F1119" i="3" s="1"/>
  <c r="K1117" i="3" a="1"/>
  <c r="K1117" i="3" s="1"/>
  <c r="H1117" i="3" a="1"/>
  <c r="H1117" i="3" s="1"/>
  <c r="I1117" i="3" a="1"/>
  <c r="I1117" i="3" s="1"/>
  <c r="A1117" i="3" a="1"/>
  <c r="A1117" i="3" s="1"/>
  <c r="B1117" i="3" a="1"/>
  <c r="B1117" i="3" s="1"/>
  <c r="D1116" i="2"/>
  <c r="J1117" i="2" a="1"/>
  <c r="J1117" i="2" s="1"/>
  <c r="K1117" i="2" a="1"/>
  <c r="K1117" i="2" s="1"/>
  <c r="H1117" i="2" a="1"/>
  <c r="H1117" i="2" s="1"/>
  <c r="I1117" i="2" a="1"/>
  <c r="I1117" i="2" s="1"/>
  <c r="A1118" i="2" a="1"/>
  <c r="A1118" i="2" s="1"/>
  <c r="B1118" i="2" a="1"/>
  <c r="B1118" i="2" s="1"/>
  <c r="C1120" i="2"/>
  <c r="F1119" i="2"/>
  <c r="D1117" i="2" a="1"/>
  <c r="G1118" i="3" l="1" a="1"/>
  <c r="G1118" i="3" s="1"/>
  <c r="C1120" i="3"/>
  <c r="G1119" i="3" a="1"/>
  <c r="G1119" i="3" s="1"/>
  <c r="L1119" i="3"/>
  <c r="M1119" i="3"/>
  <c r="J1119" i="3" a="1"/>
  <c r="J1119" i="3" s="1"/>
  <c r="A1118" i="3" a="1"/>
  <c r="A1118" i="3" s="1"/>
  <c r="B1118" i="3" a="1"/>
  <c r="B1118" i="3" s="1"/>
  <c r="D1117" i="2"/>
  <c r="I1118" i="2" a="1"/>
  <c r="I1118" i="2" s="1"/>
  <c r="J1118" i="2" a="1"/>
  <c r="J1118" i="2" s="1"/>
  <c r="H1118" i="2" a="1"/>
  <c r="H1118" i="2" s="1"/>
  <c r="K1118" i="2" a="1"/>
  <c r="K1118" i="2" s="1"/>
  <c r="A1119" i="2" a="1"/>
  <c r="A1119" i="2" s="1"/>
  <c r="B1119" i="2" a="1"/>
  <c r="B1119" i="2" s="1"/>
  <c r="C1121" i="2"/>
  <c r="F1120" i="2"/>
  <c r="D1118" i="2" a="1"/>
  <c r="H1118" i="3" l="1" a="1"/>
  <c r="H1118" i="3" s="1"/>
  <c r="I1118" i="3" a="1"/>
  <c r="I1118" i="3" s="1"/>
  <c r="K1118" i="3" a="1"/>
  <c r="K1118" i="3" s="1"/>
  <c r="J1118" i="3" a="1"/>
  <c r="J1118" i="3" s="1"/>
  <c r="K1119" i="3" a="1"/>
  <c r="K1119" i="3" s="1"/>
  <c r="I1119" i="3" a="1"/>
  <c r="I1119" i="3" s="1"/>
  <c r="H1119" i="3" a="1"/>
  <c r="H1119" i="3" s="1"/>
  <c r="C1121" i="3"/>
  <c r="G1120" i="3" a="1"/>
  <c r="G1120" i="3" s="1"/>
  <c r="J1120" i="3" a="1"/>
  <c r="J1120" i="3" s="1"/>
  <c r="L1120" i="3"/>
  <c r="M1120" i="3"/>
  <c r="F1120" i="3"/>
  <c r="A1119" i="3" a="1"/>
  <c r="A1119" i="3" s="1"/>
  <c r="B1119" i="3" a="1"/>
  <c r="B1119" i="3" s="1"/>
  <c r="D1118" i="2"/>
  <c r="B1120" i="2" a="1"/>
  <c r="B1120" i="2" s="1"/>
  <c r="A1120" i="2" a="1"/>
  <c r="A1120" i="2" s="1"/>
  <c r="C1122" i="2"/>
  <c r="F1121" i="2"/>
  <c r="K1119" i="2" a="1"/>
  <c r="K1119" i="2" s="1"/>
  <c r="J1119" i="2" a="1"/>
  <c r="J1119" i="2" s="1"/>
  <c r="I1119" i="2" a="1"/>
  <c r="I1119" i="2" s="1"/>
  <c r="H1119" i="2" a="1"/>
  <c r="H1119" i="2" s="1"/>
  <c r="D1119" i="2" a="1"/>
  <c r="C1122" i="3" l="1"/>
  <c r="L1121" i="3"/>
  <c r="M1121" i="3"/>
  <c r="I1120" i="3" a="1"/>
  <c r="I1120" i="3" s="1"/>
  <c r="H1120" i="3" a="1"/>
  <c r="H1120" i="3" s="1"/>
  <c r="K1120" i="3" a="1"/>
  <c r="K1120" i="3" s="1"/>
  <c r="F1121" i="3"/>
  <c r="F1122" i="3" s="1"/>
  <c r="A1120" i="3" a="1"/>
  <c r="A1120" i="3" s="1"/>
  <c r="B1120" i="3" a="1"/>
  <c r="B1120" i="3" s="1"/>
  <c r="D1119" i="2"/>
  <c r="A1121" i="2" a="1"/>
  <c r="A1121" i="2" s="1"/>
  <c r="B1121" i="2" a="1"/>
  <c r="B1121" i="2" s="1"/>
  <c r="C1123" i="2"/>
  <c r="F1122" i="2"/>
  <c r="J1120" i="2" a="1"/>
  <c r="J1120" i="2" s="1"/>
  <c r="H1120" i="2" a="1"/>
  <c r="H1120" i="2" s="1"/>
  <c r="K1120" i="2" a="1"/>
  <c r="K1120" i="2" s="1"/>
  <c r="I1120" i="2" a="1"/>
  <c r="I1120" i="2" s="1"/>
  <c r="D1120" i="2" a="1"/>
  <c r="G1121" i="3" l="1" a="1"/>
  <c r="G1121" i="3" s="1"/>
  <c r="C1123" i="3"/>
  <c r="G1122" i="3" a="1"/>
  <c r="G1122" i="3" s="1"/>
  <c r="L1122" i="3"/>
  <c r="M1122" i="3"/>
  <c r="J1122" i="3" a="1"/>
  <c r="J1122" i="3" s="1"/>
  <c r="A1121" i="3" a="1"/>
  <c r="A1121" i="3" s="1"/>
  <c r="B1121" i="3" a="1"/>
  <c r="B1121" i="3" s="1"/>
  <c r="D1120" i="2"/>
  <c r="H1121" i="2" a="1"/>
  <c r="H1121" i="2" s="1"/>
  <c r="J1121" i="2" a="1"/>
  <c r="J1121" i="2" s="1"/>
  <c r="I1121" i="2" a="1"/>
  <c r="I1121" i="2" s="1"/>
  <c r="K1121" i="2" a="1"/>
  <c r="K1121" i="2" s="1"/>
  <c r="A1122" i="2" a="1"/>
  <c r="A1122" i="2" s="1"/>
  <c r="B1122" i="2" a="1"/>
  <c r="B1122" i="2" s="1"/>
  <c r="C1124" i="2"/>
  <c r="F1123" i="2"/>
  <c r="D1121" i="2" a="1"/>
  <c r="I1121" i="3" l="1" a="1"/>
  <c r="I1121" i="3" s="1"/>
  <c r="K1121" i="3" a="1"/>
  <c r="K1121" i="3" s="1"/>
  <c r="H1121" i="3" a="1"/>
  <c r="H1121" i="3" s="1"/>
  <c r="J1121" i="3" a="1"/>
  <c r="J1121" i="3" s="1"/>
  <c r="K1122" i="3" a="1"/>
  <c r="K1122" i="3" s="1"/>
  <c r="I1122" i="3" a="1"/>
  <c r="I1122" i="3" s="1"/>
  <c r="H1122" i="3" a="1"/>
  <c r="H1122" i="3" s="1"/>
  <c r="C1124" i="3"/>
  <c r="G1123" i="3" a="1"/>
  <c r="G1123" i="3" s="1"/>
  <c r="J1123" i="3" s="1" a="1"/>
  <c r="J1123" i="3" s="1"/>
  <c r="L1123" i="3"/>
  <c r="M1123" i="3"/>
  <c r="F1123" i="3"/>
  <c r="A1122" i="3" a="1"/>
  <c r="A1122" i="3" s="1"/>
  <c r="B1122" i="3" a="1"/>
  <c r="B1122" i="3" s="1"/>
  <c r="D1121" i="2"/>
  <c r="C1125" i="2"/>
  <c r="F1124" i="2"/>
  <c r="H1122" i="2" a="1"/>
  <c r="H1122" i="2" s="1"/>
  <c r="K1122" i="2" a="1"/>
  <c r="K1122" i="2" s="1"/>
  <c r="I1122" i="2" a="1"/>
  <c r="I1122" i="2" s="1"/>
  <c r="J1122" i="2" a="1"/>
  <c r="J1122" i="2" s="1"/>
  <c r="B1123" i="2" a="1"/>
  <c r="B1123" i="2" s="1"/>
  <c r="A1123" i="2" a="1"/>
  <c r="A1123" i="2" s="1"/>
  <c r="D1122" i="2" a="1"/>
  <c r="C1125" i="3" l="1"/>
  <c r="L1124" i="3"/>
  <c r="M1124" i="3"/>
  <c r="I1123" i="3" a="1"/>
  <c r="I1123" i="3" s="1"/>
  <c r="H1123" i="3" a="1"/>
  <c r="H1123" i="3" s="1"/>
  <c r="K1123" i="3" a="1"/>
  <c r="K1123" i="3" s="1"/>
  <c r="F1124" i="3"/>
  <c r="F1125" i="3" s="1"/>
  <c r="B1123" i="3" a="1"/>
  <c r="B1123" i="3" s="1"/>
  <c r="A1123" i="3" a="1"/>
  <c r="A1123" i="3" s="1"/>
  <c r="D1122" i="2"/>
  <c r="H1123" i="2" a="1"/>
  <c r="H1123" i="2" s="1"/>
  <c r="J1123" i="2" a="1"/>
  <c r="J1123" i="2" s="1"/>
  <c r="I1123" i="2" a="1"/>
  <c r="I1123" i="2" s="1"/>
  <c r="K1123" i="2" a="1"/>
  <c r="K1123" i="2" s="1"/>
  <c r="A1124" i="2" a="1"/>
  <c r="A1124" i="2" s="1"/>
  <c r="B1124" i="2" a="1"/>
  <c r="B1124" i="2" s="1"/>
  <c r="C1126" i="2"/>
  <c r="F1125" i="2"/>
  <c r="D1123" i="2" a="1"/>
  <c r="G1124" i="3" l="1" a="1"/>
  <c r="G1124" i="3" s="1"/>
  <c r="C1126" i="3"/>
  <c r="G1125" i="3" a="1"/>
  <c r="G1125" i="3" s="1"/>
  <c r="L1125" i="3"/>
  <c r="M1125" i="3"/>
  <c r="J1125" i="3" a="1"/>
  <c r="J1125" i="3" s="1"/>
  <c r="A1124" i="3" a="1"/>
  <c r="A1124" i="3" s="1"/>
  <c r="B1124" i="3" a="1"/>
  <c r="B1124" i="3" s="1"/>
  <c r="D1123" i="2"/>
  <c r="C1127" i="2"/>
  <c r="F1126" i="2"/>
  <c r="K1124" i="2" a="1"/>
  <c r="K1124" i="2" s="1"/>
  <c r="H1124" i="2" a="1"/>
  <c r="H1124" i="2" s="1"/>
  <c r="I1124" i="2" a="1"/>
  <c r="I1124" i="2" s="1"/>
  <c r="J1124" i="2" a="1"/>
  <c r="J1124" i="2" s="1"/>
  <c r="A1125" i="2" a="1"/>
  <c r="A1125" i="2" s="1"/>
  <c r="B1125" i="2" a="1"/>
  <c r="B1125" i="2" s="1"/>
  <c r="D1124" i="2" a="1"/>
  <c r="I1124" i="3" l="1" a="1"/>
  <c r="I1124" i="3" s="1"/>
  <c r="K1124" i="3" a="1"/>
  <c r="K1124" i="3" s="1"/>
  <c r="H1124" i="3" a="1"/>
  <c r="H1124" i="3" s="1"/>
  <c r="J1124" i="3" a="1"/>
  <c r="J1124" i="3" s="1"/>
  <c r="H1125" i="3" a="1"/>
  <c r="H1125" i="3" s="1"/>
  <c r="K1125" i="3" a="1"/>
  <c r="K1125" i="3" s="1"/>
  <c r="I1125" i="3" a="1"/>
  <c r="I1125" i="3" s="1"/>
  <c r="C1127" i="3"/>
  <c r="G1126" i="3" a="1"/>
  <c r="G1126" i="3" s="1"/>
  <c r="J1126" i="3" a="1"/>
  <c r="J1126" i="3" s="1"/>
  <c r="L1126" i="3"/>
  <c r="M1126" i="3"/>
  <c r="F1126" i="3"/>
  <c r="A1125" i="3" a="1"/>
  <c r="A1125" i="3" s="1"/>
  <c r="B1125" i="3" a="1"/>
  <c r="B1125" i="3" s="1"/>
  <c r="D1124" i="2"/>
  <c r="H1125" i="2" a="1"/>
  <c r="H1125" i="2" s="1"/>
  <c r="J1125" i="2" a="1"/>
  <c r="J1125" i="2" s="1"/>
  <c r="I1125" i="2" a="1"/>
  <c r="I1125" i="2" s="1"/>
  <c r="K1125" i="2" a="1"/>
  <c r="K1125" i="2" s="1"/>
  <c r="B1126" i="2" a="1"/>
  <c r="B1126" i="2" s="1"/>
  <c r="A1126" i="2" a="1"/>
  <c r="A1126" i="2" s="1"/>
  <c r="C1128" i="2"/>
  <c r="F1127" i="2"/>
  <c r="D1125" i="2" a="1"/>
  <c r="I1126" i="3" l="1" a="1"/>
  <c r="I1126" i="3" s="1"/>
  <c r="H1126" i="3" a="1"/>
  <c r="H1126" i="3" s="1"/>
  <c r="K1126" i="3" a="1"/>
  <c r="K1126" i="3" s="1"/>
  <c r="C1128" i="3"/>
  <c r="L1127" i="3"/>
  <c r="M1127" i="3"/>
  <c r="F1127" i="3"/>
  <c r="F1128" i="3" s="1"/>
  <c r="A1126" i="3" a="1"/>
  <c r="A1126" i="3" s="1"/>
  <c r="B1126" i="3" a="1"/>
  <c r="B1126" i="3" s="1"/>
  <c r="D1125" i="2"/>
  <c r="A1127" i="2" a="1"/>
  <c r="A1127" i="2" s="1"/>
  <c r="B1127" i="2" a="1"/>
  <c r="B1127" i="2" s="1"/>
  <c r="J1126" i="2" a="1"/>
  <c r="J1126" i="2" s="1"/>
  <c r="I1126" i="2" a="1"/>
  <c r="I1126" i="2" s="1"/>
  <c r="K1126" i="2" a="1"/>
  <c r="K1126" i="2" s="1"/>
  <c r="H1126" i="2" a="1"/>
  <c r="H1126" i="2" s="1"/>
  <c r="C1129" i="2"/>
  <c r="F1128" i="2"/>
  <c r="D1126" i="2" a="1"/>
  <c r="G1127" i="3" l="1" a="1"/>
  <c r="G1127" i="3" s="1"/>
  <c r="C1129" i="3"/>
  <c r="G1128" i="3" a="1"/>
  <c r="G1128" i="3" s="1"/>
  <c r="J1128" i="3" s="1" a="1"/>
  <c r="J1128" i="3" s="1"/>
  <c r="L1128" i="3"/>
  <c r="M1128" i="3"/>
  <c r="A1127" i="3" a="1"/>
  <c r="A1127" i="3" s="1"/>
  <c r="B1127" i="3" a="1"/>
  <c r="B1127" i="3" s="1"/>
  <c r="D1126" i="2"/>
  <c r="B1128" i="2" a="1"/>
  <c r="B1128" i="2" s="1"/>
  <c r="A1128" i="2" a="1"/>
  <c r="A1128" i="2" s="1"/>
  <c r="C1130" i="2"/>
  <c r="F1129" i="2"/>
  <c r="K1127" i="2" a="1"/>
  <c r="K1127" i="2" s="1"/>
  <c r="J1127" i="2" a="1"/>
  <c r="J1127" i="2" s="1"/>
  <c r="I1127" i="2" a="1"/>
  <c r="I1127" i="2" s="1"/>
  <c r="H1127" i="2" a="1"/>
  <c r="H1127" i="2" s="1"/>
  <c r="D1127" i="2" a="1"/>
  <c r="C1130" i="3" l="1"/>
  <c r="G1129" i="3" a="1"/>
  <c r="G1129" i="3" s="1"/>
  <c r="J1129" i="3" a="1"/>
  <c r="J1129" i="3" s="1"/>
  <c r="L1129" i="3"/>
  <c r="M1129" i="3"/>
  <c r="I1127" i="3" a="1"/>
  <c r="I1127" i="3" s="1"/>
  <c r="K1127" i="3" a="1"/>
  <c r="K1127" i="3" s="1"/>
  <c r="H1127" i="3" a="1"/>
  <c r="H1127" i="3" s="1"/>
  <c r="J1127" i="3" a="1"/>
  <c r="J1127" i="3" s="1"/>
  <c r="H1128" i="3" a="1"/>
  <c r="H1128" i="3" s="1"/>
  <c r="K1128" i="3" a="1"/>
  <c r="K1128" i="3" s="1"/>
  <c r="I1128" i="3" a="1"/>
  <c r="I1128" i="3" s="1"/>
  <c r="F1129" i="3"/>
  <c r="F1130" i="3" s="1"/>
  <c r="B1128" i="3" a="1"/>
  <c r="B1128" i="3" s="1"/>
  <c r="A1128" i="3" a="1"/>
  <c r="A1128" i="3" s="1"/>
  <c r="D1127" i="2"/>
  <c r="H1128" i="2" a="1"/>
  <c r="H1128" i="2" s="1"/>
  <c r="J1128" i="2" a="1"/>
  <c r="J1128" i="2" s="1"/>
  <c r="I1128" i="2" a="1"/>
  <c r="I1128" i="2" s="1"/>
  <c r="K1128" i="2" a="1"/>
  <c r="K1128" i="2" s="1"/>
  <c r="B1129" i="2" a="1"/>
  <c r="B1129" i="2" s="1"/>
  <c r="A1129" i="2" a="1"/>
  <c r="A1129" i="2" s="1"/>
  <c r="C1131" i="2"/>
  <c r="F1130" i="2"/>
  <c r="D1128" i="2" a="1"/>
  <c r="I1129" i="3" l="1" a="1"/>
  <c r="I1129" i="3" s="1"/>
  <c r="H1129" i="3" a="1"/>
  <c r="H1129" i="3" s="1"/>
  <c r="K1129" i="3" a="1"/>
  <c r="K1129" i="3" s="1"/>
  <c r="C1131" i="3"/>
  <c r="G1130" i="3" a="1"/>
  <c r="G1130" i="3" s="1"/>
  <c r="L1130" i="3"/>
  <c r="M1130" i="3"/>
  <c r="A1129" i="3" a="1"/>
  <c r="A1129" i="3" s="1"/>
  <c r="B1129" i="3" a="1"/>
  <c r="B1129" i="3" s="1"/>
  <c r="D1128" i="2"/>
  <c r="A1130" i="2" a="1"/>
  <c r="A1130" i="2" s="1"/>
  <c r="B1130" i="2" a="1"/>
  <c r="B1130" i="2" s="1"/>
  <c r="H1129" i="2" a="1"/>
  <c r="H1129" i="2" s="1"/>
  <c r="J1129" i="2" a="1"/>
  <c r="J1129" i="2" s="1"/>
  <c r="I1129" i="2" a="1"/>
  <c r="I1129" i="2" s="1"/>
  <c r="K1129" i="2" a="1"/>
  <c r="K1129" i="2" s="1"/>
  <c r="C1132" i="2"/>
  <c r="F1131" i="2"/>
  <c r="D1129" i="2" a="1"/>
  <c r="I1130" i="3" l="1" a="1"/>
  <c r="I1130" i="3" s="1"/>
  <c r="K1130" i="3" a="1"/>
  <c r="K1130" i="3" s="1"/>
  <c r="H1130" i="3" a="1"/>
  <c r="H1130" i="3" s="1"/>
  <c r="J1130" i="3" a="1"/>
  <c r="J1130" i="3" s="1"/>
  <c r="C1132" i="3"/>
  <c r="L1131" i="3"/>
  <c r="M1131" i="3"/>
  <c r="F1131" i="3"/>
  <c r="F1132" i="3" s="1"/>
  <c r="A1130" i="3" a="1"/>
  <c r="A1130" i="3" s="1"/>
  <c r="B1130" i="3" a="1"/>
  <c r="B1130" i="3" s="1"/>
  <c r="D1129" i="2"/>
  <c r="J1130" i="2" a="1"/>
  <c r="J1130" i="2" s="1"/>
  <c r="K1130" i="2" a="1"/>
  <c r="K1130" i="2" s="1"/>
  <c r="H1130" i="2" a="1"/>
  <c r="H1130" i="2" s="1"/>
  <c r="I1130" i="2" a="1"/>
  <c r="I1130" i="2" s="1"/>
  <c r="B1131" i="2" a="1"/>
  <c r="B1131" i="2" s="1"/>
  <c r="A1131" i="2" a="1"/>
  <c r="A1131" i="2" s="1"/>
  <c r="C1133" i="2"/>
  <c r="F1132" i="2"/>
  <c r="D1130" i="2" a="1"/>
  <c r="C1133" i="3" l="1"/>
  <c r="G1132" i="3" a="1"/>
  <c r="G1132" i="3" s="1"/>
  <c r="J1132" i="3" s="1" a="1"/>
  <c r="J1132" i="3" s="1"/>
  <c r="L1132" i="3"/>
  <c r="M1132" i="3"/>
  <c r="G1131" i="3" a="1"/>
  <c r="G1131" i="3" s="1"/>
  <c r="A1131" i="3" a="1"/>
  <c r="A1131" i="3" s="1"/>
  <c r="B1131" i="3" a="1"/>
  <c r="B1131" i="3" s="1"/>
  <c r="D1130" i="2"/>
  <c r="C1134" i="2"/>
  <c r="F1133" i="2"/>
  <c r="B1132" i="2" a="1"/>
  <c r="B1132" i="2" s="1"/>
  <c r="A1132" i="2" a="1"/>
  <c r="A1132" i="2" s="1"/>
  <c r="I1131" i="2" a="1"/>
  <c r="I1131" i="2" s="1"/>
  <c r="K1131" i="2" a="1"/>
  <c r="K1131" i="2" s="1"/>
  <c r="J1131" i="2" a="1"/>
  <c r="J1131" i="2" s="1"/>
  <c r="H1131" i="2" a="1"/>
  <c r="H1131" i="2" s="1"/>
  <c r="D1131" i="2" a="1"/>
  <c r="C1134" i="3" l="1"/>
  <c r="G1133" i="3" a="1"/>
  <c r="G1133" i="3" s="1"/>
  <c r="L1133" i="3"/>
  <c r="M1133" i="3"/>
  <c r="J1133" i="3" a="1"/>
  <c r="J1133" i="3" s="1"/>
  <c r="H1131" i="3" a="1"/>
  <c r="H1131" i="3" s="1"/>
  <c r="K1131" i="3" a="1"/>
  <c r="K1131" i="3" s="1"/>
  <c r="I1131" i="3" a="1"/>
  <c r="I1131" i="3" s="1"/>
  <c r="J1131" i="3" a="1"/>
  <c r="J1131" i="3" s="1"/>
  <c r="H1132" i="3" a="1"/>
  <c r="H1132" i="3" s="1"/>
  <c r="I1132" i="3" a="1"/>
  <c r="I1132" i="3" s="1"/>
  <c r="K1132" i="3" a="1"/>
  <c r="K1132" i="3" s="1"/>
  <c r="F1133" i="3"/>
  <c r="F1134" i="3" s="1"/>
  <c r="A1132" i="3" a="1"/>
  <c r="A1132" i="3" s="1"/>
  <c r="B1132" i="3" a="1"/>
  <c r="B1132" i="3" s="1"/>
  <c r="D1131" i="2"/>
  <c r="A1133" i="2" a="1"/>
  <c r="A1133" i="2" s="1"/>
  <c r="B1133" i="2" a="1"/>
  <c r="B1133" i="2" s="1"/>
  <c r="K1132" i="2" a="1"/>
  <c r="K1132" i="2" s="1"/>
  <c r="H1132" i="2" a="1"/>
  <c r="H1132" i="2" s="1"/>
  <c r="I1132" i="2" a="1"/>
  <c r="I1132" i="2" s="1"/>
  <c r="J1132" i="2" a="1"/>
  <c r="J1132" i="2" s="1"/>
  <c r="C1135" i="2"/>
  <c r="F1134" i="2"/>
  <c r="D1132" i="2" a="1"/>
  <c r="H1133" i="3" l="1" a="1"/>
  <c r="H1133" i="3" s="1"/>
  <c r="I1133" i="3" a="1"/>
  <c r="I1133" i="3" s="1"/>
  <c r="K1133" i="3" a="1"/>
  <c r="K1133" i="3" s="1"/>
  <c r="C1135" i="3"/>
  <c r="G1134" i="3" a="1"/>
  <c r="G1134" i="3" s="1"/>
  <c r="L1134" i="3"/>
  <c r="M1134" i="3"/>
  <c r="J1134" i="3" a="1"/>
  <c r="J1134" i="3" s="1"/>
  <c r="A1133" i="3" a="1"/>
  <c r="A1133" i="3" s="1"/>
  <c r="B1133" i="3" a="1"/>
  <c r="B1133" i="3" s="1"/>
  <c r="D1132" i="2"/>
  <c r="A1134" i="2" a="1"/>
  <c r="A1134" i="2" s="1"/>
  <c r="B1134" i="2" a="1"/>
  <c r="B1134" i="2" s="1"/>
  <c r="H1133" i="2" a="1"/>
  <c r="H1133" i="2" s="1"/>
  <c r="K1133" i="2" a="1"/>
  <c r="K1133" i="2" s="1"/>
  <c r="I1133" i="2" a="1"/>
  <c r="I1133" i="2" s="1"/>
  <c r="J1133" i="2" a="1"/>
  <c r="J1133" i="2" s="1"/>
  <c r="C1136" i="2"/>
  <c r="F1135" i="2"/>
  <c r="D1133" i="2" a="1"/>
  <c r="I1134" i="3" l="1" a="1"/>
  <c r="I1134" i="3" s="1"/>
  <c r="K1134" i="3" a="1"/>
  <c r="K1134" i="3" s="1"/>
  <c r="H1134" i="3" a="1"/>
  <c r="H1134" i="3" s="1"/>
  <c r="C1136" i="3"/>
  <c r="L1135" i="3"/>
  <c r="M1135" i="3"/>
  <c r="F1135" i="3"/>
  <c r="F1136" i="3" s="1"/>
  <c r="A1134" i="3" a="1"/>
  <c r="A1134" i="3" s="1"/>
  <c r="B1134" i="3" a="1"/>
  <c r="B1134" i="3" s="1"/>
  <c r="D1133" i="2"/>
  <c r="A1135" i="2" a="1"/>
  <c r="A1135" i="2" s="1"/>
  <c r="B1135" i="2" a="1"/>
  <c r="B1135" i="2" s="1"/>
  <c r="J1134" i="2" a="1"/>
  <c r="J1134" i="2" s="1"/>
  <c r="K1134" i="2" a="1"/>
  <c r="K1134" i="2" s="1"/>
  <c r="H1134" i="2" a="1"/>
  <c r="H1134" i="2" s="1"/>
  <c r="I1134" i="2" a="1"/>
  <c r="I1134" i="2" s="1"/>
  <c r="C1137" i="2"/>
  <c r="F1136" i="2"/>
  <c r="D1134" i="2" a="1"/>
  <c r="G1135" i="3" l="1" a="1"/>
  <c r="G1135" i="3" s="1"/>
  <c r="C1137" i="3"/>
  <c r="G1136" i="3" a="1"/>
  <c r="G1136" i="3" s="1"/>
  <c r="M1136" i="3"/>
  <c r="J1136" i="3" a="1"/>
  <c r="J1136" i="3" s="1"/>
  <c r="L1136" i="3"/>
  <c r="B1135" i="3" a="1"/>
  <c r="B1135" i="3" s="1"/>
  <c r="A1135" i="3" a="1"/>
  <c r="A1135" i="3" s="1"/>
  <c r="D1134" i="2"/>
  <c r="C1138" i="2"/>
  <c r="F1137" i="2"/>
  <c r="A1136" i="2" a="1"/>
  <c r="A1136" i="2" s="1"/>
  <c r="B1136" i="2" a="1"/>
  <c r="B1136" i="2" s="1"/>
  <c r="K1135" i="2" a="1"/>
  <c r="K1135" i="2" s="1"/>
  <c r="J1135" i="2" a="1"/>
  <c r="J1135" i="2" s="1"/>
  <c r="H1135" i="2" a="1"/>
  <c r="H1135" i="2" s="1"/>
  <c r="I1135" i="2" a="1"/>
  <c r="I1135" i="2" s="1"/>
  <c r="D1135" i="2" a="1"/>
  <c r="C1138" i="3" l="1"/>
  <c r="G1137" i="3" a="1"/>
  <c r="G1137" i="3" s="1"/>
  <c r="J1137" i="3" a="1"/>
  <c r="J1137" i="3" s="1"/>
  <c r="L1137" i="3"/>
  <c r="M1137" i="3"/>
  <c r="H1136" i="3" a="1"/>
  <c r="H1136" i="3" s="1"/>
  <c r="K1136" i="3" a="1"/>
  <c r="K1136" i="3" s="1"/>
  <c r="I1136" i="3" a="1"/>
  <c r="I1136" i="3" s="1"/>
  <c r="H1135" i="3" a="1"/>
  <c r="H1135" i="3" s="1"/>
  <c r="I1135" i="3" a="1"/>
  <c r="I1135" i="3" s="1"/>
  <c r="K1135" i="3" a="1"/>
  <c r="K1135" i="3" s="1"/>
  <c r="J1135" i="3" a="1"/>
  <c r="J1135" i="3" s="1"/>
  <c r="F1137" i="3"/>
  <c r="F1138" i="3" s="1"/>
  <c r="B1136" i="3" a="1"/>
  <c r="B1136" i="3" s="1"/>
  <c r="A1136" i="3" a="1"/>
  <c r="A1136" i="3" s="1"/>
  <c r="D1135" i="2"/>
  <c r="J1136" i="2" a="1"/>
  <c r="J1136" i="2" s="1"/>
  <c r="I1136" i="2" a="1"/>
  <c r="I1136" i="2" s="1"/>
  <c r="K1136" i="2" a="1"/>
  <c r="K1136" i="2" s="1"/>
  <c r="H1136" i="2" a="1"/>
  <c r="H1136" i="2" s="1"/>
  <c r="A1137" i="2" a="1"/>
  <c r="A1137" i="2" s="1"/>
  <c r="B1137" i="2" a="1"/>
  <c r="B1137" i="2" s="1"/>
  <c r="C1139" i="2"/>
  <c r="F1138" i="2"/>
  <c r="D1136" i="2" a="1"/>
  <c r="H1137" i="3" l="1" a="1"/>
  <c r="H1137" i="3" s="1"/>
  <c r="I1137" i="3" a="1"/>
  <c r="I1137" i="3" s="1"/>
  <c r="K1137" i="3" a="1"/>
  <c r="K1137" i="3" s="1"/>
  <c r="C1139" i="3"/>
  <c r="G1138" i="3" a="1"/>
  <c r="G1138" i="3" s="1"/>
  <c r="L1138" i="3"/>
  <c r="M1138" i="3"/>
  <c r="A1137" i="3" a="1"/>
  <c r="A1137" i="3" s="1"/>
  <c r="B1137" i="3" a="1"/>
  <c r="B1137" i="3" s="1"/>
  <c r="D1136" i="2"/>
  <c r="B1138" i="2" a="1"/>
  <c r="B1138" i="2" s="1"/>
  <c r="A1138" i="2" a="1"/>
  <c r="A1138" i="2" s="1"/>
  <c r="J1137" i="2" a="1"/>
  <c r="J1137" i="2" s="1"/>
  <c r="K1137" i="2" a="1"/>
  <c r="K1137" i="2" s="1"/>
  <c r="H1137" i="2" a="1"/>
  <c r="H1137" i="2" s="1"/>
  <c r="I1137" i="2" a="1"/>
  <c r="I1137" i="2" s="1"/>
  <c r="C1140" i="2"/>
  <c r="F1139" i="2"/>
  <c r="D1137" i="2" a="1"/>
  <c r="H1138" i="3" l="1" a="1"/>
  <c r="H1138" i="3" s="1"/>
  <c r="I1138" i="3" a="1"/>
  <c r="I1138" i="3" s="1"/>
  <c r="K1138" i="3" a="1"/>
  <c r="K1138" i="3" s="1"/>
  <c r="J1138" i="3" a="1"/>
  <c r="J1138" i="3" s="1"/>
  <c r="C1140" i="3"/>
  <c r="L1139" i="3"/>
  <c r="M1139" i="3"/>
  <c r="F1139" i="3"/>
  <c r="F1140" i="3" s="1"/>
  <c r="A1138" i="3" a="1"/>
  <c r="A1138" i="3" s="1"/>
  <c r="B1138" i="3" a="1"/>
  <c r="B1138" i="3" s="1"/>
  <c r="D1137" i="2"/>
  <c r="C1141" i="2"/>
  <c r="F1140" i="2"/>
  <c r="I1138" i="2" a="1"/>
  <c r="I1138" i="2" s="1"/>
  <c r="J1138" i="2" a="1"/>
  <c r="J1138" i="2" s="1"/>
  <c r="H1138" i="2" a="1"/>
  <c r="H1138" i="2" s="1"/>
  <c r="K1138" i="2" a="1"/>
  <c r="K1138" i="2" s="1"/>
  <c r="B1139" i="2" a="1"/>
  <c r="B1139" i="2" s="1"/>
  <c r="A1139" i="2" a="1"/>
  <c r="A1139" i="2" s="1"/>
  <c r="D1138" i="2" a="1"/>
  <c r="G1139" i="3" l="1" a="1"/>
  <c r="G1139" i="3" s="1"/>
  <c r="C1141" i="3"/>
  <c r="F1141" i="3" s="1"/>
  <c r="G1140" i="3" a="1"/>
  <c r="G1140" i="3" s="1"/>
  <c r="L1140" i="3"/>
  <c r="M1140" i="3"/>
  <c r="A1139" i="3" a="1"/>
  <c r="A1139" i="3" s="1"/>
  <c r="B1139" i="3" a="1"/>
  <c r="B1139" i="3" s="1"/>
  <c r="D1138" i="2"/>
  <c r="J1139" i="2" a="1"/>
  <c r="J1139" i="2" s="1"/>
  <c r="K1139" i="2" a="1"/>
  <c r="K1139" i="2" s="1"/>
  <c r="H1139" i="2" a="1"/>
  <c r="H1139" i="2" s="1"/>
  <c r="I1139" i="2" a="1"/>
  <c r="I1139" i="2" s="1"/>
  <c r="A1140" i="2" a="1"/>
  <c r="A1140" i="2" s="1"/>
  <c r="B1140" i="2" a="1"/>
  <c r="B1140" i="2" s="1"/>
  <c r="C1142" i="2"/>
  <c r="F1141" i="2"/>
  <c r="D1139" i="2" a="1"/>
  <c r="H1140" i="3" l="1" a="1"/>
  <c r="H1140" i="3" s="1"/>
  <c r="K1140" i="3" a="1"/>
  <c r="K1140" i="3" s="1"/>
  <c r="I1140" i="3" a="1"/>
  <c r="I1140" i="3" s="1"/>
  <c r="J1140" i="3" a="1"/>
  <c r="J1140" i="3" s="1"/>
  <c r="C1142" i="3"/>
  <c r="G1141" i="3" a="1"/>
  <c r="G1141" i="3" s="1"/>
  <c r="L1141" i="3"/>
  <c r="M1141" i="3"/>
  <c r="H1139" i="3" a="1"/>
  <c r="H1139" i="3" s="1"/>
  <c r="I1139" i="3" a="1"/>
  <c r="I1139" i="3" s="1"/>
  <c r="K1139" i="3" a="1"/>
  <c r="K1139" i="3" s="1"/>
  <c r="J1139" i="3" a="1"/>
  <c r="J1139" i="3" s="1"/>
  <c r="B1140" i="3" a="1"/>
  <c r="B1140" i="3" s="1"/>
  <c r="A1140" i="3" a="1"/>
  <c r="A1140" i="3" s="1"/>
  <c r="D1139" i="2"/>
  <c r="C1143" i="2"/>
  <c r="F1142" i="2"/>
  <c r="A1141" i="2" a="1"/>
  <c r="A1141" i="2" s="1"/>
  <c r="B1141" i="2" a="1"/>
  <c r="B1141" i="2" s="1"/>
  <c r="I1140" i="2" a="1"/>
  <c r="I1140" i="2" s="1"/>
  <c r="K1140" i="2" a="1"/>
  <c r="K1140" i="2" s="1"/>
  <c r="J1140" i="2" a="1"/>
  <c r="J1140" i="2" s="1"/>
  <c r="H1140" i="2" a="1"/>
  <c r="H1140" i="2" s="1"/>
  <c r="D1140" i="2" a="1"/>
  <c r="H1141" i="3" l="1" a="1"/>
  <c r="H1141" i="3" s="1"/>
  <c r="I1141" i="3" a="1"/>
  <c r="I1141" i="3" s="1"/>
  <c r="K1141" i="3" a="1"/>
  <c r="K1141" i="3" s="1"/>
  <c r="C1143" i="3"/>
  <c r="L1142" i="3"/>
  <c r="M1142" i="3"/>
  <c r="J1141" i="3" a="1"/>
  <c r="J1141" i="3" s="1"/>
  <c r="F1142" i="3"/>
  <c r="F1143" i="3" s="1"/>
  <c r="A1141" i="3" a="1"/>
  <c r="A1141" i="3" s="1"/>
  <c r="B1141" i="3" a="1"/>
  <c r="B1141" i="3" s="1"/>
  <c r="D1140" i="2"/>
  <c r="H1141" i="2" a="1"/>
  <c r="H1141" i="2" s="1"/>
  <c r="J1141" i="2" a="1"/>
  <c r="J1141" i="2" s="1"/>
  <c r="K1141" i="2" a="1"/>
  <c r="K1141" i="2" s="1"/>
  <c r="I1141" i="2" a="1"/>
  <c r="I1141" i="2" s="1"/>
  <c r="B1142" i="2" a="1"/>
  <c r="B1142" i="2" s="1"/>
  <c r="A1142" i="2" a="1"/>
  <c r="A1142" i="2" s="1"/>
  <c r="C1144" i="2"/>
  <c r="F1143" i="2"/>
  <c r="D1141" i="2" a="1"/>
  <c r="G1142" i="3" l="1" a="1"/>
  <c r="G1142" i="3" s="1"/>
  <c r="C1144" i="3"/>
  <c r="G1143" i="3" a="1"/>
  <c r="G1143" i="3" s="1"/>
  <c r="J1143" i="3" a="1"/>
  <c r="J1143" i="3" s="1"/>
  <c r="L1143" i="3"/>
  <c r="M1143" i="3"/>
  <c r="F1144" i="3"/>
  <c r="A1142" i="3" a="1"/>
  <c r="A1142" i="3" s="1"/>
  <c r="B1142" i="3" a="1"/>
  <c r="B1142" i="3" s="1"/>
  <c r="D1141" i="2"/>
  <c r="A1143" i="2" a="1"/>
  <c r="A1143" i="2" s="1"/>
  <c r="B1143" i="2" a="1"/>
  <c r="B1143" i="2" s="1"/>
  <c r="C1145" i="2"/>
  <c r="F1144" i="2"/>
  <c r="J1142" i="2" a="1"/>
  <c r="J1142" i="2" s="1"/>
  <c r="I1142" i="2" a="1"/>
  <c r="I1142" i="2" s="1"/>
  <c r="H1142" i="2" a="1"/>
  <c r="H1142" i="2" s="1"/>
  <c r="K1142" i="2" a="1"/>
  <c r="K1142" i="2" s="1"/>
  <c r="D1142" i="2" a="1"/>
  <c r="C1145" i="3" l="1"/>
  <c r="G1144" i="3" a="1"/>
  <c r="G1144" i="3" s="1"/>
  <c r="J1144" i="3" a="1"/>
  <c r="J1144" i="3" s="1"/>
  <c r="L1144" i="3"/>
  <c r="M1144" i="3"/>
  <c r="H1143" i="3" a="1"/>
  <c r="H1143" i="3" s="1"/>
  <c r="I1143" i="3" a="1"/>
  <c r="I1143" i="3" s="1"/>
  <c r="K1143" i="3" a="1"/>
  <c r="K1143" i="3" s="1"/>
  <c r="I1142" i="3" a="1"/>
  <c r="I1142" i="3" s="1"/>
  <c r="K1142" i="3" a="1"/>
  <c r="K1142" i="3" s="1"/>
  <c r="H1142" i="3" a="1"/>
  <c r="H1142" i="3" s="1"/>
  <c r="J1142" i="3" a="1"/>
  <c r="J1142" i="3" s="1"/>
  <c r="A1143" i="3" a="1"/>
  <c r="A1143" i="3" s="1"/>
  <c r="B1143" i="3" a="1"/>
  <c r="B1143" i="3" s="1"/>
  <c r="D1142" i="2"/>
  <c r="B1144" i="2" a="1"/>
  <c r="B1144" i="2" s="1"/>
  <c r="A1144" i="2" a="1"/>
  <c r="A1144" i="2" s="1"/>
  <c r="C1146" i="2"/>
  <c r="F1145" i="2"/>
  <c r="I1143" i="2" a="1"/>
  <c r="I1143" i="2" s="1"/>
  <c r="K1143" i="2" a="1"/>
  <c r="K1143" i="2" s="1"/>
  <c r="J1143" i="2" a="1"/>
  <c r="J1143" i="2" s="1"/>
  <c r="H1143" i="2" a="1"/>
  <c r="H1143" i="2" s="1"/>
  <c r="D1143" i="2" a="1"/>
  <c r="H1144" i="3" l="1" a="1"/>
  <c r="H1144" i="3" s="1"/>
  <c r="K1144" i="3" a="1"/>
  <c r="K1144" i="3" s="1"/>
  <c r="I1144" i="3" a="1"/>
  <c r="I1144" i="3" s="1"/>
  <c r="C1146" i="3"/>
  <c r="L1145" i="3"/>
  <c r="M1145" i="3"/>
  <c r="F1145" i="3"/>
  <c r="F1146" i="3" s="1"/>
  <c r="A1144" i="3" a="1"/>
  <c r="A1144" i="3" s="1"/>
  <c r="B1144" i="3" a="1"/>
  <c r="B1144" i="3" s="1"/>
  <c r="D1143" i="2"/>
  <c r="A1145" i="2" a="1"/>
  <c r="A1145" i="2" s="1"/>
  <c r="B1145" i="2" a="1"/>
  <c r="B1145" i="2" s="1"/>
  <c r="C1147" i="2"/>
  <c r="F1146" i="2"/>
  <c r="K1144" i="2" a="1"/>
  <c r="K1144" i="2" s="1"/>
  <c r="H1144" i="2" a="1"/>
  <c r="H1144" i="2" s="1"/>
  <c r="J1144" i="2" a="1"/>
  <c r="J1144" i="2" s="1"/>
  <c r="I1144" i="2" a="1"/>
  <c r="I1144" i="2" s="1"/>
  <c r="D1144" i="2" a="1"/>
  <c r="G1145" i="3" l="1" a="1"/>
  <c r="G1145" i="3" s="1"/>
  <c r="F1147" i="3"/>
  <c r="C1147" i="3"/>
  <c r="G1146" i="3" a="1"/>
  <c r="G1146" i="3" s="1"/>
  <c r="M1146" i="3"/>
  <c r="L1146" i="3"/>
  <c r="J1146" i="3" a="1"/>
  <c r="J1146" i="3" s="1"/>
  <c r="A1145" i="3" a="1"/>
  <c r="A1145" i="3" s="1"/>
  <c r="B1145" i="3" a="1"/>
  <c r="B1145" i="3" s="1"/>
  <c r="D1144" i="2"/>
  <c r="H1145" i="2" a="1"/>
  <c r="H1145" i="2" s="1"/>
  <c r="J1145" i="2" a="1"/>
  <c r="J1145" i="2" s="1"/>
  <c r="K1145" i="2" a="1"/>
  <c r="K1145" i="2" s="1"/>
  <c r="I1145" i="2" a="1"/>
  <c r="I1145" i="2" s="1"/>
  <c r="B1146" i="2" a="1"/>
  <c r="B1146" i="2" s="1"/>
  <c r="A1146" i="2" a="1"/>
  <c r="A1146" i="2" s="1"/>
  <c r="C1148" i="2"/>
  <c r="F1147" i="2"/>
  <c r="D1145" i="2" a="1"/>
  <c r="I1146" i="3" l="1" a="1"/>
  <c r="I1146" i="3" s="1"/>
  <c r="K1146" i="3" a="1"/>
  <c r="K1146" i="3" s="1"/>
  <c r="H1146" i="3" a="1"/>
  <c r="H1146" i="3" s="1"/>
  <c r="C1148" i="3"/>
  <c r="G1147" i="3" a="1"/>
  <c r="G1147" i="3" s="1"/>
  <c r="J1147" i="3" a="1"/>
  <c r="J1147" i="3" s="1"/>
  <c r="L1147" i="3"/>
  <c r="M1147" i="3"/>
  <c r="H1145" i="3" a="1"/>
  <c r="H1145" i="3" s="1"/>
  <c r="I1145" i="3" a="1"/>
  <c r="I1145" i="3" s="1"/>
  <c r="K1145" i="3" a="1"/>
  <c r="K1145" i="3" s="1"/>
  <c r="J1145" i="3" a="1"/>
  <c r="J1145" i="3" s="1"/>
  <c r="A1146" i="3" a="1"/>
  <c r="A1146" i="3" s="1"/>
  <c r="B1146" i="3" a="1"/>
  <c r="B1146" i="3" s="1"/>
  <c r="D1145" i="2"/>
  <c r="B1147" i="2" a="1"/>
  <c r="B1147" i="2" s="1"/>
  <c r="A1147" i="2" a="1"/>
  <c r="A1147" i="2" s="1"/>
  <c r="C1149" i="2"/>
  <c r="F1148" i="2"/>
  <c r="I1146" i="2" a="1"/>
  <c r="I1146" i="2" s="1"/>
  <c r="J1146" i="2" a="1"/>
  <c r="J1146" i="2" s="1"/>
  <c r="H1146" i="2" a="1"/>
  <c r="H1146" i="2" s="1"/>
  <c r="K1146" i="2" a="1"/>
  <c r="K1146" i="2" s="1"/>
  <c r="D1146" i="2" a="1"/>
  <c r="H1147" i="3" l="1" a="1"/>
  <c r="H1147" i="3" s="1"/>
  <c r="I1147" i="3" a="1"/>
  <c r="I1147" i="3" s="1"/>
  <c r="K1147" i="3" a="1"/>
  <c r="K1147" i="3" s="1"/>
  <c r="C1149" i="3"/>
  <c r="L1148" i="3"/>
  <c r="M1148" i="3"/>
  <c r="F1148" i="3"/>
  <c r="F1149" i="3" s="1"/>
  <c r="B1147" i="3" a="1"/>
  <c r="B1147" i="3" s="1"/>
  <c r="A1147" i="3" a="1"/>
  <c r="A1147" i="3" s="1"/>
  <c r="D1146" i="2"/>
  <c r="H1147" i="2" a="1"/>
  <c r="H1147" i="2" s="1"/>
  <c r="K1147" i="2" a="1"/>
  <c r="K1147" i="2" s="1"/>
  <c r="J1147" i="2" a="1"/>
  <c r="J1147" i="2" s="1"/>
  <c r="I1147" i="2" a="1"/>
  <c r="I1147" i="2" s="1"/>
  <c r="B1148" i="2" a="1"/>
  <c r="B1148" i="2" s="1"/>
  <c r="A1148" i="2" a="1"/>
  <c r="A1148" i="2" s="1"/>
  <c r="C1150" i="2"/>
  <c r="F1149" i="2"/>
  <c r="D1147" i="2" a="1"/>
  <c r="C1150" i="3" l="1"/>
  <c r="G1149" i="3" a="1"/>
  <c r="G1149" i="3" s="1"/>
  <c r="L1149" i="3"/>
  <c r="M1149" i="3"/>
  <c r="J1149" i="3" a="1"/>
  <c r="J1149" i="3" s="1"/>
  <c r="F1150" i="3"/>
  <c r="G1148" i="3" a="1"/>
  <c r="G1148" i="3" s="1"/>
  <c r="B1148" i="3" a="1"/>
  <c r="B1148" i="3" s="1"/>
  <c r="A1148" i="3" a="1"/>
  <c r="A1148" i="3" s="1"/>
  <c r="D1147" i="2"/>
  <c r="B1149" i="2" a="1"/>
  <c r="B1149" i="2" s="1"/>
  <c r="A1149" i="2" a="1"/>
  <c r="A1149" i="2" s="1"/>
  <c r="C1151" i="2"/>
  <c r="F1150" i="2"/>
  <c r="H1148" i="2" a="1"/>
  <c r="H1148" i="2" s="1"/>
  <c r="K1148" i="2" a="1"/>
  <c r="K1148" i="2" s="1"/>
  <c r="J1148" i="2" a="1"/>
  <c r="J1148" i="2" s="1"/>
  <c r="I1148" i="2" a="1"/>
  <c r="I1148" i="2" s="1"/>
  <c r="D1148" i="2" a="1"/>
  <c r="H1148" i="3" l="1" a="1"/>
  <c r="H1148" i="3" s="1"/>
  <c r="K1148" i="3" a="1"/>
  <c r="K1148" i="3" s="1"/>
  <c r="I1148" i="3" a="1"/>
  <c r="I1148" i="3" s="1"/>
  <c r="J1148" i="3" a="1"/>
  <c r="J1148" i="3" s="1"/>
  <c r="K1149" i="3" a="1"/>
  <c r="K1149" i="3" s="1"/>
  <c r="H1149" i="3" a="1"/>
  <c r="H1149" i="3" s="1"/>
  <c r="I1149" i="3" a="1"/>
  <c r="I1149" i="3" s="1"/>
  <c r="C1151" i="3"/>
  <c r="G1150" i="3" a="1"/>
  <c r="G1150" i="3" s="1"/>
  <c r="L1150" i="3"/>
  <c r="M1150" i="3"/>
  <c r="A1149" i="3" a="1"/>
  <c r="A1149" i="3" s="1"/>
  <c r="B1149" i="3" a="1"/>
  <c r="B1149" i="3" s="1"/>
  <c r="D1148" i="2"/>
  <c r="B1150" i="2" a="1"/>
  <c r="B1150" i="2" s="1"/>
  <c r="A1150" i="2" a="1"/>
  <c r="A1150" i="2" s="1"/>
  <c r="C1152" i="2"/>
  <c r="F1151" i="2"/>
  <c r="J1149" i="2" a="1"/>
  <c r="J1149" i="2" s="1"/>
  <c r="I1149" i="2" a="1"/>
  <c r="I1149" i="2" s="1"/>
  <c r="K1149" i="2" a="1"/>
  <c r="K1149" i="2" s="1"/>
  <c r="H1149" i="2" a="1"/>
  <c r="H1149" i="2" s="1"/>
  <c r="D1149" i="2" a="1"/>
  <c r="C1152" i="3" l="1"/>
  <c r="L1151" i="3"/>
  <c r="M1151" i="3"/>
  <c r="H1150" i="3" a="1"/>
  <c r="H1150" i="3" s="1"/>
  <c r="I1150" i="3" a="1"/>
  <c r="I1150" i="3" s="1"/>
  <c r="K1150" i="3" a="1"/>
  <c r="K1150" i="3" s="1"/>
  <c r="J1150" i="3" a="1"/>
  <c r="J1150" i="3" s="1"/>
  <c r="F1151" i="3"/>
  <c r="F1152" i="3" s="1"/>
  <c r="A1150" i="3" a="1"/>
  <c r="A1150" i="3" s="1"/>
  <c r="B1150" i="3" a="1"/>
  <c r="B1150" i="3" s="1"/>
  <c r="D1149" i="2"/>
  <c r="A1151" i="2" a="1"/>
  <c r="A1151" i="2" s="1"/>
  <c r="B1151" i="2" a="1"/>
  <c r="B1151" i="2" s="1"/>
  <c r="K1150" i="2" a="1"/>
  <c r="K1150" i="2" s="1"/>
  <c r="I1150" i="2" a="1"/>
  <c r="I1150" i="2" s="1"/>
  <c r="J1150" i="2" a="1"/>
  <c r="J1150" i="2" s="1"/>
  <c r="H1150" i="2" a="1"/>
  <c r="H1150" i="2" s="1"/>
  <c r="C1153" i="2"/>
  <c r="F1152" i="2"/>
  <c r="D1150" i="2" a="1"/>
  <c r="G1151" i="3" l="1" a="1"/>
  <c r="G1151" i="3" s="1"/>
  <c r="C1153" i="3"/>
  <c r="G1152" i="3" a="1"/>
  <c r="G1152" i="3" s="1"/>
  <c r="J1152" i="3" a="1"/>
  <c r="J1152" i="3" s="1"/>
  <c r="L1152" i="3"/>
  <c r="M1152" i="3"/>
  <c r="A1151" i="3" a="1"/>
  <c r="A1151" i="3" s="1"/>
  <c r="B1151" i="3" a="1"/>
  <c r="B1151" i="3" s="1"/>
  <c r="D1150" i="2"/>
  <c r="H1151" i="2" a="1"/>
  <c r="H1151" i="2" s="1"/>
  <c r="J1151" i="2" a="1"/>
  <c r="J1151" i="2" s="1"/>
  <c r="K1151" i="2" a="1"/>
  <c r="K1151" i="2" s="1"/>
  <c r="I1151" i="2" a="1"/>
  <c r="I1151" i="2" s="1"/>
  <c r="C1154" i="2"/>
  <c r="F1153" i="2"/>
  <c r="A1152" i="2" a="1"/>
  <c r="A1152" i="2" s="1"/>
  <c r="B1152" i="2" a="1"/>
  <c r="B1152" i="2" s="1"/>
  <c r="D1151" i="2" a="1"/>
  <c r="C1154" i="3" l="1"/>
  <c r="G1153" i="3" a="1"/>
  <c r="G1153" i="3" s="1"/>
  <c r="J1153" i="3" a="1"/>
  <c r="J1153" i="3" s="1"/>
  <c r="L1153" i="3"/>
  <c r="M1153" i="3"/>
  <c r="H1152" i="3" a="1"/>
  <c r="H1152" i="3" s="1"/>
  <c r="K1152" i="3" a="1"/>
  <c r="K1152" i="3" s="1"/>
  <c r="I1152" i="3" a="1"/>
  <c r="I1152" i="3" s="1"/>
  <c r="I1151" i="3" a="1"/>
  <c r="I1151" i="3" s="1"/>
  <c r="H1151" i="3" a="1"/>
  <c r="H1151" i="3" s="1"/>
  <c r="K1151" i="3" a="1"/>
  <c r="K1151" i="3" s="1"/>
  <c r="J1151" i="3" a="1"/>
  <c r="J1151" i="3" s="1"/>
  <c r="F1153" i="3"/>
  <c r="F1154" i="3" s="1"/>
  <c r="B1152" i="3" a="1"/>
  <c r="B1152" i="3" s="1"/>
  <c r="A1152" i="3" a="1"/>
  <c r="A1152" i="3" s="1"/>
  <c r="D1151" i="2"/>
  <c r="C1155" i="2"/>
  <c r="F1154" i="2"/>
  <c r="H1152" i="2" a="1"/>
  <c r="H1152" i="2" s="1"/>
  <c r="J1152" i="2" a="1"/>
  <c r="J1152" i="2" s="1"/>
  <c r="K1152" i="2" a="1"/>
  <c r="K1152" i="2" s="1"/>
  <c r="I1152" i="2" a="1"/>
  <c r="I1152" i="2" s="1"/>
  <c r="B1153" i="2" a="1"/>
  <c r="B1153" i="2" s="1"/>
  <c r="A1153" i="2" a="1"/>
  <c r="A1153" i="2" s="1"/>
  <c r="D1152" i="2" a="1"/>
  <c r="K1153" i="3" l="1" a="1"/>
  <c r="K1153" i="3" s="1"/>
  <c r="I1153" i="3" a="1"/>
  <c r="I1153" i="3" s="1"/>
  <c r="H1153" i="3" a="1"/>
  <c r="H1153" i="3" s="1"/>
  <c r="C1155" i="3"/>
  <c r="F1155" i="3" s="1"/>
  <c r="G1154" i="3" a="1"/>
  <c r="G1154" i="3" s="1"/>
  <c r="J1154" i="3" s="1" a="1"/>
  <c r="J1154" i="3" s="1"/>
  <c r="L1154" i="3"/>
  <c r="M1154" i="3"/>
  <c r="A1153" i="3" a="1"/>
  <c r="A1153" i="3" s="1"/>
  <c r="B1153" i="3" a="1"/>
  <c r="B1153" i="3" s="1"/>
  <c r="D1152" i="2"/>
  <c r="H1153" i="2" a="1"/>
  <c r="H1153" i="2" s="1"/>
  <c r="K1153" i="2" a="1"/>
  <c r="K1153" i="2" s="1"/>
  <c r="I1153" i="2" a="1"/>
  <c r="I1153" i="2" s="1"/>
  <c r="J1153" i="2" a="1"/>
  <c r="J1153" i="2" s="1"/>
  <c r="A1154" i="2" a="1"/>
  <c r="A1154" i="2" s="1"/>
  <c r="B1154" i="2" a="1"/>
  <c r="B1154" i="2" s="1"/>
  <c r="C1156" i="2"/>
  <c r="F1155" i="2"/>
  <c r="D1153" i="2" a="1"/>
  <c r="I1154" i="3" l="1" a="1"/>
  <c r="I1154" i="3" s="1"/>
  <c r="K1154" i="3" a="1"/>
  <c r="K1154" i="3" s="1"/>
  <c r="H1154" i="3" a="1"/>
  <c r="H1154" i="3" s="1"/>
  <c r="C1156" i="3"/>
  <c r="G1155" i="3" a="1"/>
  <c r="G1155" i="3" s="1"/>
  <c r="J1155" i="3" a="1"/>
  <c r="J1155" i="3" s="1"/>
  <c r="L1155" i="3"/>
  <c r="M1155" i="3"/>
  <c r="A1154" i="3" a="1"/>
  <c r="A1154" i="3" s="1"/>
  <c r="B1154" i="3" a="1"/>
  <c r="B1154" i="3" s="1"/>
  <c r="D1153" i="2"/>
  <c r="A1155" i="2" a="1"/>
  <c r="A1155" i="2" s="1"/>
  <c r="B1155" i="2" a="1"/>
  <c r="B1155" i="2" s="1"/>
  <c r="C1157" i="2"/>
  <c r="F1156" i="2"/>
  <c r="J1154" i="2" a="1"/>
  <c r="J1154" i="2" s="1"/>
  <c r="K1154" i="2" a="1"/>
  <c r="K1154" i="2" s="1"/>
  <c r="I1154" i="2" a="1"/>
  <c r="I1154" i="2" s="1"/>
  <c r="H1154" i="2" a="1"/>
  <c r="H1154" i="2" s="1"/>
  <c r="D1154" i="2" a="1"/>
  <c r="C1157" i="3" l="1"/>
  <c r="L1156" i="3"/>
  <c r="M1156" i="3"/>
  <c r="H1155" i="3" a="1"/>
  <c r="H1155" i="3" s="1"/>
  <c r="I1155" i="3" a="1"/>
  <c r="I1155" i="3" s="1"/>
  <c r="K1155" i="3" a="1"/>
  <c r="K1155" i="3" s="1"/>
  <c r="F1156" i="3"/>
  <c r="F1157" i="3" s="1"/>
  <c r="A1155" i="3" a="1"/>
  <c r="A1155" i="3" s="1"/>
  <c r="B1155" i="3" a="1"/>
  <c r="B1155" i="3" s="1"/>
  <c r="D1154" i="2"/>
  <c r="A1156" i="2" a="1"/>
  <c r="A1156" i="2" s="1"/>
  <c r="B1156" i="2" a="1"/>
  <c r="B1156" i="2" s="1"/>
  <c r="C1158" i="2"/>
  <c r="F1157" i="2"/>
  <c r="I1155" i="2" a="1"/>
  <c r="I1155" i="2" s="1"/>
  <c r="H1155" i="2" a="1"/>
  <c r="H1155" i="2" s="1"/>
  <c r="K1155" i="2" a="1"/>
  <c r="K1155" i="2" s="1"/>
  <c r="J1155" i="2" a="1"/>
  <c r="J1155" i="2" s="1"/>
  <c r="D1155" i="2" a="1"/>
  <c r="G1156" i="3" l="1" a="1"/>
  <c r="G1156" i="3" s="1"/>
  <c r="C1158" i="3"/>
  <c r="G1157" i="3" a="1"/>
  <c r="G1157" i="3" s="1"/>
  <c r="J1157" i="3" a="1"/>
  <c r="J1157" i="3" s="1"/>
  <c r="L1157" i="3"/>
  <c r="M1157" i="3"/>
  <c r="A1156" i="3" a="1"/>
  <c r="A1156" i="3" s="1"/>
  <c r="B1156" i="3" a="1"/>
  <c r="B1156" i="3" s="1"/>
  <c r="D1155" i="2"/>
  <c r="K1156" i="2" a="1"/>
  <c r="K1156" i="2" s="1"/>
  <c r="I1156" i="2" a="1"/>
  <c r="I1156" i="2" s="1"/>
  <c r="H1156" i="2" a="1"/>
  <c r="H1156" i="2" s="1"/>
  <c r="J1156" i="2" a="1"/>
  <c r="J1156" i="2" s="1"/>
  <c r="A1157" i="2" a="1"/>
  <c r="A1157" i="2" s="1"/>
  <c r="B1157" i="2" a="1"/>
  <c r="B1157" i="2" s="1"/>
  <c r="C1159" i="2"/>
  <c r="F1158" i="2"/>
  <c r="D1156" i="2" a="1"/>
  <c r="H1156" i="3" l="1" a="1"/>
  <c r="H1156" i="3" s="1"/>
  <c r="K1156" i="3" a="1"/>
  <c r="K1156" i="3" s="1"/>
  <c r="I1156" i="3" a="1"/>
  <c r="I1156" i="3" s="1"/>
  <c r="J1156" i="3" a="1"/>
  <c r="J1156" i="3" s="1"/>
  <c r="H1157" i="3" a="1"/>
  <c r="H1157" i="3" s="1"/>
  <c r="I1157" i="3" a="1"/>
  <c r="I1157" i="3" s="1"/>
  <c r="K1157" i="3" a="1"/>
  <c r="K1157" i="3" s="1"/>
  <c r="C1159" i="3"/>
  <c r="G1158" i="3" a="1"/>
  <c r="G1158" i="3" s="1"/>
  <c r="L1158" i="3"/>
  <c r="M1158" i="3"/>
  <c r="J1158" i="3" a="1"/>
  <c r="J1158" i="3" s="1"/>
  <c r="F1158" i="3"/>
  <c r="A1157" i="3" a="1"/>
  <c r="A1157" i="3" s="1"/>
  <c r="B1157" i="3" a="1"/>
  <c r="B1157" i="3" s="1"/>
  <c r="D1156" i="2"/>
  <c r="J1157" i="2" a="1"/>
  <c r="J1157" i="2" s="1"/>
  <c r="K1157" i="2" a="1"/>
  <c r="K1157" i="2" s="1"/>
  <c r="H1157" i="2" a="1"/>
  <c r="H1157" i="2" s="1"/>
  <c r="I1157" i="2" a="1"/>
  <c r="I1157" i="2" s="1"/>
  <c r="B1158" i="2" a="1"/>
  <c r="B1158" i="2" s="1"/>
  <c r="A1158" i="2" a="1"/>
  <c r="A1158" i="2" s="1"/>
  <c r="C1160" i="2"/>
  <c r="F1159" i="2"/>
  <c r="D1157" i="2" a="1"/>
  <c r="C1160" i="3" l="1"/>
  <c r="L1159" i="3"/>
  <c r="M1159" i="3"/>
  <c r="H1158" i="3" a="1"/>
  <c r="H1158" i="3" s="1"/>
  <c r="I1158" i="3" a="1"/>
  <c r="I1158" i="3" s="1"/>
  <c r="K1158" i="3" a="1"/>
  <c r="K1158" i="3" s="1"/>
  <c r="F1159" i="3"/>
  <c r="F1160" i="3" s="1"/>
  <c r="A1158" i="3" a="1"/>
  <c r="A1158" i="3" s="1"/>
  <c r="B1158" i="3" a="1"/>
  <c r="B1158" i="3" s="1"/>
  <c r="D1157" i="2"/>
  <c r="C1161" i="2"/>
  <c r="F1160" i="2"/>
  <c r="B1159" i="2" a="1"/>
  <c r="B1159" i="2" s="1"/>
  <c r="A1159" i="2" a="1"/>
  <c r="A1159" i="2" s="1"/>
  <c r="K1158" i="2" a="1"/>
  <c r="K1158" i="2" s="1"/>
  <c r="I1158" i="2" a="1"/>
  <c r="I1158" i="2" s="1"/>
  <c r="J1158" i="2" a="1"/>
  <c r="J1158" i="2" s="1"/>
  <c r="H1158" i="2" a="1"/>
  <c r="H1158" i="2" s="1"/>
  <c r="D1158" i="2" a="1"/>
  <c r="G1159" i="3" l="1" a="1"/>
  <c r="G1159" i="3" s="1"/>
  <c r="C1161" i="3"/>
  <c r="G1160" i="3" a="1"/>
  <c r="G1160" i="3" s="1"/>
  <c r="J1160" i="3" a="1"/>
  <c r="J1160" i="3" s="1"/>
  <c r="L1160" i="3"/>
  <c r="M1160" i="3"/>
  <c r="B1159" i="3" a="1"/>
  <c r="B1159" i="3" s="1"/>
  <c r="A1159" i="3" a="1"/>
  <c r="A1159" i="3" s="1"/>
  <c r="D1158" i="2"/>
  <c r="K1159" i="2" a="1"/>
  <c r="K1159" i="2" s="1"/>
  <c r="I1159" i="2" a="1"/>
  <c r="I1159" i="2" s="1"/>
  <c r="J1159" i="2" a="1"/>
  <c r="J1159" i="2" s="1"/>
  <c r="H1159" i="2" a="1"/>
  <c r="H1159" i="2" s="1"/>
  <c r="B1160" i="2" a="1"/>
  <c r="B1160" i="2" s="1"/>
  <c r="A1160" i="2" a="1"/>
  <c r="A1160" i="2" s="1"/>
  <c r="C1162" i="2"/>
  <c r="F1161" i="2"/>
  <c r="D1159" i="2" a="1"/>
  <c r="H1159" i="3" l="1" a="1"/>
  <c r="H1159" i="3" s="1"/>
  <c r="I1159" i="3" a="1"/>
  <c r="I1159" i="3" s="1"/>
  <c r="K1159" i="3" a="1"/>
  <c r="K1159" i="3" s="1"/>
  <c r="J1159" i="3" a="1"/>
  <c r="J1159" i="3" s="1"/>
  <c r="H1160" i="3" a="1"/>
  <c r="H1160" i="3" s="1"/>
  <c r="K1160" i="3" a="1"/>
  <c r="K1160" i="3" s="1"/>
  <c r="I1160" i="3" a="1"/>
  <c r="I1160" i="3" s="1"/>
  <c r="C1162" i="3"/>
  <c r="G1161" i="3" a="1"/>
  <c r="G1161" i="3" s="1"/>
  <c r="L1161" i="3"/>
  <c r="M1161" i="3"/>
  <c r="F1161" i="3"/>
  <c r="B1160" i="3" a="1"/>
  <c r="B1160" i="3" s="1"/>
  <c r="A1160" i="3" a="1"/>
  <c r="A1160" i="3" s="1"/>
  <c r="D1159" i="2"/>
  <c r="A1161" i="2" a="1"/>
  <c r="A1161" i="2" s="1"/>
  <c r="B1161" i="2" a="1"/>
  <c r="B1161" i="2" s="1"/>
  <c r="I1160" i="2" a="1"/>
  <c r="I1160" i="2" s="1"/>
  <c r="K1160" i="2" a="1"/>
  <c r="K1160" i="2" s="1"/>
  <c r="H1160" i="2" a="1"/>
  <c r="H1160" i="2" s="1"/>
  <c r="J1160" i="2" a="1"/>
  <c r="J1160" i="2" s="1"/>
  <c r="C1163" i="2"/>
  <c r="F1162" i="2"/>
  <c r="D1160" i="2" a="1"/>
  <c r="H1161" i="3" l="1" a="1"/>
  <c r="H1161" i="3" s="1"/>
  <c r="I1161" i="3" a="1"/>
  <c r="I1161" i="3" s="1"/>
  <c r="K1161" i="3" a="1"/>
  <c r="K1161" i="3" s="1"/>
  <c r="J1161" i="3" a="1"/>
  <c r="J1161" i="3" s="1"/>
  <c r="C1163" i="3"/>
  <c r="L1162" i="3"/>
  <c r="M1162" i="3"/>
  <c r="F1162" i="3"/>
  <c r="F1163" i="3" s="1"/>
  <c r="A1161" i="3" a="1"/>
  <c r="A1161" i="3" s="1"/>
  <c r="B1161" i="3" a="1"/>
  <c r="B1161" i="3" s="1"/>
  <c r="D1160" i="2"/>
  <c r="C1164" i="2"/>
  <c r="F1163" i="2"/>
  <c r="H1161" i="2" a="1"/>
  <c r="H1161" i="2" s="1"/>
  <c r="J1161" i="2" a="1"/>
  <c r="J1161" i="2" s="1"/>
  <c r="K1161" i="2" a="1"/>
  <c r="K1161" i="2" s="1"/>
  <c r="I1161" i="2" a="1"/>
  <c r="I1161" i="2" s="1"/>
  <c r="A1162" i="2" a="1"/>
  <c r="A1162" i="2" s="1"/>
  <c r="B1162" i="2" a="1"/>
  <c r="B1162" i="2" s="1"/>
  <c r="D1161" i="2" a="1"/>
  <c r="G1162" i="3" l="1" a="1"/>
  <c r="G1162" i="3" s="1"/>
  <c r="C1164" i="3"/>
  <c r="G1163" i="3" a="1"/>
  <c r="G1163" i="3" s="1"/>
  <c r="M1163" i="3"/>
  <c r="L1163" i="3"/>
  <c r="J1163" i="3" a="1"/>
  <c r="J1163" i="3" s="1"/>
  <c r="A1162" i="3" a="1"/>
  <c r="A1162" i="3" s="1"/>
  <c r="B1162" i="3" a="1"/>
  <c r="B1162" i="3" s="1"/>
  <c r="D1161" i="2"/>
  <c r="I1162" i="2" a="1"/>
  <c r="I1162" i="2" s="1"/>
  <c r="H1162" i="2" a="1"/>
  <c r="H1162" i="2" s="1"/>
  <c r="J1162" i="2" a="1"/>
  <c r="J1162" i="2" s="1"/>
  <c r="K1162" i="2" a="1"/>
  <c r="K1162" i="2" s="1"/>
  <c r="A1163" i="2" a="1"/>
  <c r="A1163" i="2" s="1"/>
  <c r="B1163" i="2" a="1"/>
  <c r="B1163" i="2" s="1"/>
  <c r="C1165" i="2"/>
  <c r="F1164" i="2"/>
  <c r="D1162" i="2" a="1"/>
  <c r="C1165" i="3" l="1"/>
  <c r="G1164" i="3" a="1"/>
  <c r="G1164" i="3" s="1"/>
  <c r="L1164" i="3"/>
  <c r="M1164" i="3"/>
  <c r="J1164" i="3" a="1"/>
  <c r="J1164" i="3" s="1"/>
  <c r="H1163" i="3" a="1"/>
  <c r="H1163" i="3" s="1"/>
  <c r="I1163" i="3" a="1"/>
  <c r="I1163" i="3" s="1"/>
  <c r="K1163" i="3" a="1"/>
  <c r="K1163" i="3" s="1"/>
  <c r="I1162" i="3" a="1"/>
  <c r="I1162" i="3" s="1"/>
  <c r="K1162" i="3" a="1"/>
  <c r="K1162" i="3" s="1"/>
  <c r="H1162" i="3" a="1"/>
  <c r="H1162" i="3" s="1"/>
  <c r="J1162" i="3" a="1"/>
  <c r="J1162" i="3" s="1"/>
  <c r="F1164" i="3"/>
  <c r="F1165" i="3" s="1"/>
  <c r="A1163" i="3" a="1"/>
  <c r="A1163" i="3" s="1"/>
  <c r="B1163" i="3" a="1"/>
  <c r="B1163" i="3" s="1"/>
  <c r="D1162" i="2"/>
  <c r="I1163" i="2" a="1"/>
  <c r="I1163" i="2" s="1"/>
  <c r="K1163" i="2" a="1"/>
  <c r="K1163" i="2" s="1"/>
  <c r="J1163" i="2" a="1"/>
  <c r="J1163" i="2" s="1"/>
  <c r="H1163" i="2" a="1"/>
  <c r="H1163" i="2" s="1"/>
  <c r="C1166" i="2"/>
  <c r="F1165" i="2"/>
  <c r="A1164" i="2" a="1"/>
  <c r="A1164" i="2" s="1"/>
  <c r="B1164" i="2" a="1"/>
  <c r="B1164" i="2" s="1"/>
  <c r="D1163" i="2" a="1"/>
  <c r="H1164" i="3" l="1" a="1"/>
  <c r="H1164" i="3" s="1"/>
  <c r="I1164" i="3" a="1"/>
  <c r="I1164" i="3" s="1"/>
  <c r="K1164" i="3" a="1"/>
  <c r="K1164" i="3" s="1"/>
  <c r="C1166" i="3"/>
  <c r="G1165" i="3" a="1"/>
  <c r="G1165" i="3" s="1"/>
  <c r="L1165" i="3"/>
  <c r="M1165" i="3"/>
  <c r="J1165" i="3" a="1"/>
  <c r="J1165" i="3" s="1"/>
  <c r="B1164" i="3" a="1"/>
  <c r="B1164" i="3" s="1"/>
  <c r="A1164" i="3" a="1"/>
  <c r="A1164" i="3" s="1"/>
  <c r="D1163" i="2"/>
  <c r="I1164" i="2" a="1"/>
  <c r="I1164" i="2" s="1"/>
  <c r="K1164" i="2" a="1"/>
  <c r="K1164" i="2" s="1"/>
  <c r="H1164" i="2" a="1"/>
  <c r="H1164" i="2" s="1"/>
  <c r="J1164" i="2" a="1"/>
  <c r="J1164" i="2" s="1"/>
  <c r="A1165" i="2" a="1"/>
  <c r="A1165" i="2" s="1"/>
  <c r="B1165" i="2" a="1"/>
  <c r="B1165" i="2" s="1"/>
  <c r="C1167" i="2"/>
  <c r="F1166" i="2"/>
  <c r="D1164" i="2" a="1"/>
  <c r="H1165" i="3" l="1" a="1"/>
  <c r="H1165" i="3" s="1"/>
  <c r="I1165" i="3" a="1"/>
  <c r="I1165" i="3" s="1"/>
  <c r="K1165" i="3" a="1"/>
  <c r="K1165" i="3" s="1"/>
  <c r="C1167" i="3"/>
  <c r="L1166" i="3"/>
  <c r="M1166" i="3"/>
  <c r="F1166" i="3"/>
  <c r="F1167" i="3" s="1"/>
  <c r="A1165" i="3" a="1"/>
  <c r="A1165" i="3" s="1"/>
  <c r="B1165" i="3" a="1"/>
  <c r="B1165" i="3" s="1"/>
  <c r="D1164" i="2"/>
  <c r="C1168" i="2"/>
  <c r="F1167" i="2"/>
  <c r="K1165" i="2" a="1"/>
  <c r="K1165" i="2" s="1"/>
  <c r="I1165" i="2" a="1"/>
  <c r="I1165" i="2" s="1"/>
  <c r="J1165" i="2" a="1"/>
  <c r="J1165" i="2" s="1"/>
  <c r="H1165" i="2" a="1"/>
  <c r="H1165" i="2" s="1"/>
  <c r="A1166" i="2" a="1"/>
  <c r="A1166" i="2" s="1"/>
  <c r="B1166" i="2" a="1"/>
  <c r="B1166" i="2" s="1"/>
  <c r="D1165" i="2" a="1"/>
  <c r="G1166" i="3" l="1" a="1"/>
  <c r="G1166" i="3" s="1"/>
  <c r="C1168" i="3"/>
  <c r="G1167" i="3" a="1"/>
  <c r="G1167" i="3" s="1"/>
  <c r="J1167" i="3" a="1"/>
  <c r="J1167" i="3" s="1"/>
  <c r="L1167" i="3"/>
  <c r="M1167" i="3"/>
  <c r="A1166" i="3" a="1"/>
  <c r="A1166" i="3" s="1"/>
  <c r="B1166" i="3" a="1"/>
  <c r="B1166" i="3" s="1"/>
  <c r="D1165" i="2"/>
  <c r="I1166" i="2" a="1"/>
  <c r="I1166" i="2" s="1"/>
  <c r="K1166" i="2" a="1"/>
  <c r="K1166" i="2" s="1"/>
  <c r="H1166" i="2" a="1"/>
  <c r="H1166" i="2" s="1"/>
  <c r="J1166" i="2" a="1"/>
  <c r="J1166" i="2" s="1"/>
  <c r="B1167" i="2" a="1"/>
  <c r="B1167" i="2" s="1"/>
  <c r="A1167" i="2" a="1"/>
  <c r="A1167" i="2" s="1"/>
  <c r="C1169" i="2"/>
  <c r="F1168" i="2"/>
  <c r="D1166" i="2" a="1"/>
  <c r="C1169" i="3" l="1"/>
  <c r="M1168" i="3"/>
  <c r="L1168" i="3"/>
  <c r="H1167" i="3" a="1"/>
  <c r="H1167" i="3" s="1"/>
  <c r="I1167" i="3" a="1"/>
  <c r="I1167" i="3" s="1"/>
  <c r="K1167" i="3" a="1"/>
  <c r="K1167" i="3" s="1"/>
  <c r="I1166" i="3" a="1"/>
  <c r="I1166" i="3" s="1"/>
  <c r="K1166" i="3" a="1"/>
  <c r="K1166" i="3" s="1"/>
  <c r="H1166" i="3" a="1"/>
  <c r="H1166" i="3" s="1"/>
  <c r="J1166" i="3" a="1"/>
  <c r="J1166" i="3" s="1"/>
  <c r="F1168" i="3"/>
  <c r="F1169" i="3" s="1"/>
  <c r="A1167" i="3" a="1"/>
  <c r="A1167" i="3" s="1"/>
  <c r="B1167" i="3" a="1"/>
  <c r="B1167" i="3" s="1"/>
  <c r="D1166" i="2"/>
  <c r="C1170" i="2"/>
  <c r="F1169" i="2"/>
  <c r="H1167" i="2" a="1"/>
  <c r="H1167" i="2" s="1"/>
  <c r="J1167" i="2" a="1"/>
  <c r="J1167" i="2" s="1"/>
  <c r="K1167" i="2" a="1"/>
  <c r="K1167" i="2" s="1"/>
  <c r="I1167" i="2" a="1"/>
  <c r="I1167" i="2" s="1"/>
  <c r="A1168" i="2" a="1"/>
  <c r="A1168" i="2" s="1"/>
  <c r="B1168" i="2" a="1"/>
  <c r="B1168" i="2" s="1"/>
  <c r="D1167" i="2" a="1"/>
  <c r="G1168" i="3" l="1" a="1"/>
  <c r="G1168" i="3" s="1"/>
  <c r="C1170" i="3"/>
  <c r="F1170" i="3" s="1"/>
  <c r="G1169" i="3" a="1"/>
  <c r="G1169" i="3" s="1"/>
  <c r="L1169" i="3"/>
  <c r="M1169" i="3"/>
  <c r="J1169" i="3" a="1"/>
  <c r="J1169" i="3" s="1"/>
  <c r="A1168" i="3" a="1"/>
  <c r="A1168" i="3" s="1"/>
  <c r="B1168" i="3" a="1"/>
  <c r="B1168" i="3" s="1"/>
  <c r="D1167" i="2"/>
  <c r="I1168" i="2" a="1"/>
  <c r="I1168" i="2" s="1"/>
  <c r="K1168" i="2" a="1"/>
  <c r="K1168" i="2" s="1"/>
  <c r="H1168" i="2" a="1"/>
  <c r="H1168" i="2" s="1"/>
  <c r="J1168" i="2" a="1"/>
  <c r="J1168" i="2" s="1"/>
  <c r="A1169" i="2" a="1"/>
  <c r="A1169" i="2" s="1"/>
  <c r="B1169" i="2" a="1"/>
  <c r="B1169" i="2" s="1"/>
  <c r="C1171" i="2"/>
  <c r="F1170" i="2"/>
  <c r="D1168" i="2" a="1"/>
  <c r="H1169" i="3" l="1" a="1"/>
  <c r="H1169" i="3" s="1"/>
  <c r="I1169" i="3" a="1"/>
  <c r="I1169" i="3" s="1"/>
  <c r="K1169" i="3" a="1"/>
  <c r="K1169" i="3" s="1"/>
  <c r="C1171" i="3"/>
  <c r="G1170" i="3" a="1"/>
  <c r="G1170" i="3" s="1"/>
  <c r="L1170" i="3"/>
  <c r="M1170" i="3"/>
  <c r="J1170" i="3" a="1"/>
  <c r="J1170" i="3" s="1"/>
  <c r="H1168" i="3" a="1"/>
  <c r="H1168" i="3" s="1"/>
  <c r="I1168" i="3" a="1"/>
  <c r="I1168" i="3" s="1"/>
  <c r="K1168" i="3" a="1"/>
  <c r="K1168" i="3" s="1"/>
  <c r="J1168" i="3" a="1"/>
  <c r="J1168" i="3" s="1"/>
  <c r="A1169" i="3" a="1"/>
  <c r="A1169" i="3" s="1"/>
  <c r="B1169" i="3" a="1"/>
  <c r="B1169" i="3" s="1"/>
  <c r="D1168" i="2"/>
  <c r="A1170" i="2" a="1"/>
  <c r="A1170" i="2" s="1"/>
  <c r="B1170" i="2" a="1"/>
  <c r="B1170" i="2" s="1"/>
  <c r="J1169" i="2" a="1"/>
  <c r="J1169" i="2" s="1"/>
  <c r="K1169" i="2" a="1"/>
  <c r="K1169" i="2" s="1"/>
  <c r="I1169" i="2" a="1"/>
  <c r="I1169" i="2" s="1"/>
  <c r="H1169" i="2" a="1"/>
  <c r="H1169" i="2" s="1"/>
  <c r="C1172" i="2"/>
  <c r="F1171" i="2"/>
  <c r="D1169" i="2" a="1"/>
  <c r="I1170" i="3" l="1" a="1"/>
  <c r="I1170" i="3" s="1"/>
  <c r="K1170" i="3" a="1"/>
  <c r="K1170" i="3" s="1"/>
  <c r="H1170" i="3" a="1"/>
  <c r="H1170" i="3" s="1"/>
  <c r="C1172" i="3"/>
  <c r="L1171" i="3"/>
  <c r="M1171" i="3"/>
  <c r="F1171" i="3"/>
  <c r="F1172" i="3" s="1"/>
  <c r="A1170" i="3" a="1"/>
  <c r="A1170" i="3" s="1"/>
  <c r="B1170" i="3" a="1"/>
  <c r="B1170" i="3" s="1"/>
  <c r="D1169" i="2"/>
  <c r="B1171" i="2" a="1"/>
  <c r="B1171" i="2" s="1"/>
  <c r="A1171" i="2" a="1"/>
  <c r="A1171" i="2" s="1"/>
  <c r="C1173" i="2"/>
  <c r="F1172" i="2"/>
  <c r="I1170" i="2" a="1"/>
  <c r="I1170" i="2" s="1"/>
  <c r="J1170" i="2" a="1"/>
  <c r="J1170" i="2" s="1"/>
  <c r="K1170" i="2" a="1"/>
  <c r="K1170" i="2" s="1"/>
  <c r="H1170" i="2" a="1"/>
  <c r="H1170" i="2" s="1"/>
  <c r="D1170" i="2" a="1"/>
  <c r="G1171" i="3" l="1" a="1"/>
  <c r="G1171" i="3" s="1"/>
  <c r="C1173" i="3"/>
  <c r="G1172" i="3" a="1"/>
  <c r="G1172" i="3" s="1"/>
  <c r="L1172" i="3"/>
  <c r="M1172" i="3"/>
  <c r="J1172" i="3" a="1"/>
  <c r="J1172" i="3" s="1"/>
  <c r="B1171" i="3" a="1"/>
  <c r="B1171" i="3" s="1"/>
  <c r="A1171" i="3" a="1"/>
  <c r="A1171" i="3" s="1"/>
  <c r="D1170" i="2"/>
  <c r="A1172" i="2" a="1"/>
  <c r="A1172" i="2" s="1"/>
  <c r="B1172" i="2" a="1"/>
  <c r="B1172" i="2" s="1"/>
  <c r="C1174" i="2"/>
  <c r="F1173" i="2"/>
  <c r="I1171" i="2" a="1"/>
  <c r="I1171" i="2" s="1"/>
  <c r="H1171" i="2" a="1"/>
  <c r="H1171" i="2" s="1"/>
  <c r="J1171" i="2" a="1"/>
  <c r="J1171" i="2" s="1"/>
  <c r="K1171" i="2" a="1"/>
  <c r="K1171" i="2" s="1"/>
  <c r="D1171" i="2" a="1"/>
  <c r="C1174" i="3" l="1"/>
  <c r="G1173" i="3" a="1"/>
  <c r="G1173" i="3" s="1"/>
  <c r="M1173" i="3"/>
  <c r="L1173" i="3"/>
  <c r="J1173" i="3" a="1"/>
  <c r="J1173" i="3" s="1"/>
  <c r="H1172" i="3" a="1"/>
  <c r="H1172" i="3" s="1"/>
  <c r="I1172" i="3" a="1"/>
  <c r="I1172" i="3" s="1"/>
  <c r="K1172" i="3" a="1"/>
  <c r="K1172" i="3" s="1"/>
  <c r="H1171" i="3" a="1"/>
  <c r="H1171" i="3" s="1"/>
  <c r="I1171" i="3" a="1"/>
  <c r="I1171" i="3" s="1"/>
  <c r="K1171" i="3" a="1"/>
  <c r="K1171" i="3" s="1"/>
  <c r="J1171" i="3" a="1"/>
  <c r="J1171" i="3" s="1"/>
  <c r="F1173" i="3"/>
  <c r="F1174" i="3" s="1"/>
  <c r="B1172" i="3" a="1"/>
  <c r="B1172" i="3" s="1"/>
  <c r="A1172" i="3" a="1"/>
  <c r="A1172" i="3" s="1"/>
  <c r="D1171" i="2"/>
  <c r="J1172" i="2" a="1"/>
  <c r="J1172" i="2" s="1"/>
  <c r="K1172" i="2" a="1"/>
  <c r="K1172" i="2" s="1"/>
  <c r="I1172" i="2" a="1"/>
  <c r="I1172" i="2" s="1"/>
  <c r="H1172" i="2" a="1"/>
  <c r="H1172" i="2" s="1"/>
  <c r="B1173" i="2" a="1"/>
  <c r="B1173" i="2" s="1"/>
  <c r="A1173" i="2" a="1"/>
  <c r="A1173" i="2" s="1"/>
  <c r="C1175" i="2"/>
  <c r="F1174" i="2"/>
  <c r="D1172" i="2" a="1"/>
  <c r="I1173" i="3" l="1" a="1"/>
  <c r="I1173" i="3" s="1"/>
  <c r="K1173" i="3" a="1"/>
  <c r="K1173" i="3" s="1"/>
  <c r="H1173" i="3" a="1"/>
  <c r="H1173" i="3" s="1"/>
  <c r="C1175" i="3"/>
  <c r="F1175" i="3" s="1"/>
  <c r="G1174" i="3" a="1"/>
  <c r="G1174" i="3" s="1"/>
  <c r="L1174" i="3"/>
  <c r="M1174" i="3"/>
  <c r="J1174" i="3" a="1"/>
  <c r="J1174" i="3" s="1"/>
  <c r="A1173" i="3" a="1"/>
  <c r="A1173" i="3" s="1"/>
  <c r="B1173" i="3" a="1"/>
  <c r="B1173" i="3" s="1"/>
  <c r="D1172" i="2"/>
  <c r="C1176" i="2"/>
  <c r="F1175" i="2"/>
  <c r="K1173" i="2" a="1"/>
  <c r="K1173" i="2" s="1"/>
  <c r="I1173" i="2" a="1"/>
  <c r="I1173" i="2" s="1"/>
  <c r="H1173" i="2" a="1"/>
  <c r="H1173" i="2" s="1"/>
  <c r="J1173" i="2" a="1"/>
  <c r="J1173" i="2" s="1"/>
  <c r="B1174" i="2" a="1"/>
  <c r="B1174" i="2" s="1"/>
  <c r="A1174" i="2" a="1"/>
  <c r="A1174" i="2" s="1"/>
  <c r="D1173" i="2" a="1"/>
  <c r="C1176" i="3" l="1"/>
  <c r="G1175" i="3" a="1"/>
  <c r="G1175" i="3" s="1"/>
  <c r="L1175" i="3"/>
  <c r="M1175" i="3"/>
  <c r="I1174" i="3" a="1"/>
  <c r="I1174" i="3" s="1"/>
  <c r="K1174" i="3" a="1"/>
  <c r="K1174" i="3" s="1"/>
  <c r="H1174" i="3" a="1"/>
  <c r="H1174" i="3" s="1"/>
  <c r="A1174" i="3" a="1"/>
  <c r="A1174" i="3" s="1"/>
  <c r="B1174" i="3" a="1"/>
  <c r="B1174" i="3" s="1"/>
  <c r="D1173" i="2"/>
  <c r="H1174" i="2" a="1"/>
  <c r="H1174" i="2" s="1"/>
  <c r="K1174" i="2" a="1"/>
  <c r="K1174" i="2" s="1"/>
  <c r="J1174" i="2" a="1"/>
  <c r="J1174" i="2" s="1"/>
  <c r="I1174" i="2" a="1"/>
  <c r="I1174" i="2" s="1"/>
  <c r="B1175" i="2" a="1"/>
  <c r="B1175" i="2" s="1"/>
  <c r="A1175" i="2" a="1"/>
  <c r="A1175" i="2" s="1"/>
  <c r="C1177" i="2"/>
  <c r="F1176" i="2"/>
  <c r="D1174" i="2" a="1"/>
  <c r="J1175" i="3" l="1" a="1"/>
  <c r="J1175" i="3" s="1"/>
  <c r="H1175" i="3" a="1"/>
  <c r="H1175" i="3" s="1"/>
  <c r="I1175" i="3" a="1"/>
  <c r="I1175" i="3" s="1"/>
  <c r="K1175" i="3" a="1"/>
  <c r="K1175" i="3" s="1"/>
  <c r="C1177" i="3"/>
  <c r="L1176" i="3"/>
  <c r="M1176" i="3"/>
  <c r="F1176" i="3"/>
  <c r="F1177" i="3" s="1"/>
  <c r="A1175" i="3" a="1"/>
  <c r="A1175" i="3" s="1"/>
  <c r="B1175" i="3" a="1"/>
  <c r="B1175" i="3" s="1"/>
  <c r="D1174" i="2"/>
  <c r="A1176" i="2" a="1"/>
  <c r="A1176" i="2" s="1"/>
  <c r="B1176" i="2" a="1"/>
  <c r="B1176" i="2" s="1"/>
  <c r="C1178" i="2"/>
  <c r="F1177" i="2"/>
  <c r="I1175" i="2" a="1"/>
  <c r="I1175" i="2" s="1"/>
  <c r="K1175" i="2" a="1"/>
  <c r="K1175" i="2" s="1"/>
  <c r="H1175" i="2" a="1"/>
  <c r="H1175" i="2" s="1"/>
  <c r="J1175" i="2" a="1"/>
  <c r="J1175" i="2" s="1"/>
  <c r="D1175" i="2" a="1"/>
  <c r="G1176" i="3" l="1" a="1"/>
  <c r="G1176" i="3" s="1"/>
  <c r="C1178" i="3"/>
  <c r="G1177" i="3" a="1"/>
  <c r="G1177" i="3" s="1"/>
  <c r="L1177" i="3"/>
  <c r="M1177" i="3"/>
  <c r="J1177" i="3" a="1"/>
  <c r="J1177" i="3" s="1"/>
  <c r="B1176" i="3" a="1"/>
  <c r="B1176" i="3" s="1"/>
  <c r="A1176" i="3" a="1"/>
  <c r="A1176" i="3" s="1"/>
  <c r="D1175" i="2"/>
  <c r="H1176" i="2" a="1"/>
  <c r="H1176" i="2" s="1"/>
  <c r="I1176" i="2" a="1"/>
  <c r="I1176" i="2" s="1"/>
  <c r="J1176" i="2" a="1"/>
  <c r="J1176" i="2" s="1"/>
  <c r="K1176" i="2" a="1"/>
  <c r="K1176" i="2" s="1"/>
  <c r="B1177" i="2" a="1"/>
  <c r="B1177" i="2" s="1"/>
  <c r="A1177" i="2" a="1"/>
  <c r="A1177" i="2" s="1"/>
  <c r="C1179" i="2"/>
  <c r="F1178" i="2"/>
  <c r="D1176" i="2" a="1"/>
  <c r="C1179" i="3" l="1"/>
  <c r="G1178" i="3" a="1"/>
  <c r="G1178" i="3" s="1"/>
  <c r="L1178" i="3"/>
  <c r="M1178" i="3"/>
  <c r="J1178" i="3" a="1"/>
  <c r="J1178" i="3" s="1"/>
  <c r="H1177" i="3" a="1"/>
  <c r="H1177" i="3" s="1"/>
  <c r="I1177" i="3" a="1"/>
  <c r="I1177" i="3" s="1"/>
  <c r="K1177" i="3" a="1"/>
  <c r="K1177" i="3" s="1"/>
  <c r="H1176" i="3" a="1"/>
  <c r="H1176" i="3" s="1"/>
  <c r="I1176" i="3" a="1"/>
  <c r="I1176" i="3" s="1"/>
  <c r="K1176" i="3" a="1"/>
  <c r="K1176" i="3" s="1"/>
  <c r="J1176" i="3" a="1"/>
  <c r="J1176" i="3" s="1"/>
  <c r="F1178" i="3"/>
  <c r="F1179" i="3" s="1"/>
  <c r="A1177" i="3" a="1"/>
  <c r="A1177" i="3" s="1"/>
  <c r="B1177" i="3" a="1"/>
  <c r="B1177" i="3" s="1"/>
  <c r="D1176" i="2"/>
  <c r="C1180" i="2"/>
  <c r="F1179" i="2"/>
  <c r="I1177" i="2" a="1"/>
  <c r="I1177" i="2" s="1"/>
  <c r="J1177" i="2" a="1"/>
  <c r="J1177" i="2" s="1"/>
  <c r="H1177" i="2" a="1"/>
  <c r="H1177" i="2" s="1"/>
  <c r="K1177" i="2" a="1"/>
  <c r="K1177" i="2" s="1"/>
  <c r="A1178" i="2" a="1"/>
  <c r="A1178" i="2" s="1"/>
  <c r="B1178" i="2" a="1"/>
  <c r="B1178" i="2" s="1"/>
  <c r="D1177" i="2" a="1"/>
  <c r="I1178" i="3" l="1" a="1"/>
  <c r="I1178" i="3" s="1"/>
  <c r="K1178" i="3" a="1"/>
  <c r="K1178" i="3" s="1"/>
  <c r="H1178" i="3" a="1"/>
  <c r="H1178" i="3" s="1"/>
  <c r="C1180" i="3"/>
  <c r="F1180" i="3" s="1"/>
  <c r="G1179" i="3" a="1"/>
  <c r="G1179" i="3" s="1"/>
  <c r="L1179" i="3"/>
  <c r="M1179" i="3"/>
  <c r="J1179" i="3" a="1"/>
  <c r="J1179" i="3" s="1"/>
  <c r="A1178" i="3" a="1"/>
  <c r="A1178" i="3" s="1"/>
  <c r="B1178" i="3" a="1"/>
  <c r="B1178" i="3" s="1"/>
  <c r="D1177" i="2"/>
  <c r="A1179" i="2" a="1"/>
  <c r="A1179" i="2" s="1"/>
  <c r="B1179" i="2" a="1"/>
  <c r="B1179" i="2" s="1"/>
  <c r="K1178" i="2" a="1"/>
  <c r="K1178" i="2" s="1"/>
  <c r="I1178" i="2" a="1"/>
  <c r="I1178" i="2" s="1"/>
  <c r="J1178" i="2" a="1"/>
  <c r="J1178" i="2" s="1"/>
  <c r="H1178" i="2" a="1"/>
  <c r="H1178" i="2" s="1"/>
  <c r="C1181" i="2"/>
  <c r="F1180" i="2"/>
  <c r="D1178" i="2" a="1"/>
  <c r="C1181" i="3" l="1"/>
  <c r="G1180" i="3" a="1"/>
  <c r="G1180" i="3" s="1"/>
  <c r="J1180" i="3" s="1" a="1"/>
  <c r="J1180" i="3" s="1"/>
  <c r="L1180" i="3"/>
  <c r="M1180" i="3"/>
  <c r="H1179" i="3" a="1"/>
  <c r="H1179" i="3" s="1"/>
  <c r="I1179" i="3" a="1"/>
  <c r="I1179" i="3" s="1"/>
  <c r="K1179" i="3" a="1"/>
  <c r="K1179" i="3" s="1"/>
  <c r="A1179" i="3" a="1"/>
  <c r="A1179" i="3" s="1"/>
  <c r="B1179" i="3" a="1"/>
  <c r="B1179" i="3" s="1"/>
  <c r="D1178" i="2"/>
  <c r="A1180" i="2" a="1"/>
  <c r="A1180" i="2" s="1"/>
  <c r="B1180" i="2" a="1"/>
  <c r="B1180" i="2" s="1"/>
  <c r="C1182" i="2"/>
  <c r="F1181" i="2"/>
  <c r="H1179" i="2" a="1"/>
  <c r="H1179" i="2" s="1"/>
  <c r="J1179" i="2" a="1"/>
  <c r="J1179" i="2" s="1"/>
  <c r="K1179" i="2" a="1"/>
  <c r="K1179" i="2" s="1"/>
  <c r="I1179" i="2" a="1"/>
  <c r="I1179" i="2" s="1"/>
  <c r="D1179" i="2" a="1"/>
  <c r="H1180" i="3" l="1" a="1"/>
  <c r="H1180" i="3" s="1"/>
  <c r="I1180" i="3" a="1"/>
  <c r="I1180" i="3" s="1"/>
  <c r="K1180" i="3" a="1"/>
  <c r="K1180" i="3" s="1"/>
  <c r="C1182" i="3"/>
  <c r="L1181" i="3"/>
  <c r="M1181" i="3"/>
  <c r="F1181" i="3"/>
  <c r="F1182" i="3" s="1"/>
  <c r="A1180" i="3" a="1"/>
  <c r="A1180" i="3" s="1"/>
  <c r="B1180" i="3" a="1"/>
  <c r="B1180" i="3" s="1"/>
  <c r="D1179" i="2"/>
  <c r="C1183" i="2"/>
  <c r="F1182" i="2"/>
  <c r="H1180" i="2" a="1"/>
  <c r="H1180" i="2" s="1"/>
  <c r="K1180" i="2" a="1"/>
  <c r="K1180" i="2" s="1"/>
  <c r="J1180" i="2" a="1"/>
  <c r="J1180" i="2" s="1"/>
  <c r="I1180" i="2" a="1"/>
  <c r="I1180" i="2" s="1"/>
  <c r="B1181" i="2" a="1"/>
  <c r="B1181" i="2" s="1"/>
  <c r="A1181" i="2" a="1"/>
  <c r="A1181" i="2" s="1"/>
  <c r="D1180" i="2" a="1"/>
  <c r="G1181" i="3" l="1" a="1"/>
  <c r="G1181" i="3" s="1"/>
  <c r="C1183" i="3"/>
  <c r="G1182" i="3" a="1"/>
  <c r="G1182" i="3" s="1"/>
  <c r="L1182" i="3"/>
  <c r="M1182" i="3"/>
  <c r="J1182" i="3" a="1"/>
  <c r="J1182" i="3" s="1"/>
  <c r="A1181" i="3" a="1"/>
  <c r="A1181" i="3" s="1"/>
  <c r="B1181" i="3" a="1"/>
  <c r="B1181" i="3" s="1"/>
  <c r="D1180" i="2"/>
  <c r="I1181" i="2" a="1"/>
  <c r="I1181" i="2" s="1"/>
  <c r="J1181" i="2" a="1"/>
  <c r="J1181" i="2" s="1"/>
  <c r="H1181" i="2" a="1"/>
  <c r="H1181" i="2" s="1"/>
  <c r="K1181" i="2" a="1"/>
  <c r="K1181" i="2" s="1"/>
  <c r="A1182" i="2" a="1"/>
  <c r="A1182" i="2" s="1"/>
  <c r="B1182" i="2" a="1"/>
  <c r="B1182" i="2" s="1"/>
  <c r="C1184" i="2"/>
  <c r="F1183" i="2"/>
  <c r="D1181" i="2" a="1"/>
  <c r="K1181" i="3" l="1" a="1"/>
  <c r="K1181" i="3" s="1"/>
  <c r="H1181" i="3" a="1"/>
  <c r="H1181" i="3" s="1"/>
  <c r="I1181" i="3" a="1"/>
  <c r="I1181" i="3" s="1"/>
  <c r="J1181" i="3" a="1"/>
  <c r="J1181" i="3" s="1"/>
  <c r="I1182" i="3" a="1"/>
  <c r="I1182" i="3" s="1"/>
  <c r="K1182" i="3" a="1"/>
  <c r="K1182" i="3" s="1"/>
  <c r="H1182" i="3" a="1"/>
  <c r="H1182" i="3" s="1"/>
  <c r="C1184" i="3"/>
  <c r="G1183" i="3" a="1"/>
  <c r="G1183" i="3" s="1"/>
  <c r="M1183" i="3"/>
  <c r="J1183" i="3" a="1"/>
  <c r="J1183" i="3" s="1"/>
  <c r="L1183" i="3"/>
  <c r="F1183" i="3"/>
  <c r="A1182" i="3" a="1"/>
  <c r="A1182" i="3" s="1"/>
  <c r="B1182" i="3" a="1"/>
  <c r="B1182" i="3" s="1"/>
  <c r="D1181" i="2"/>
  <c r="B1183" i="2" a="1"/>
  <c r="B1183" i="2" s="1"/>
  <c r="A1183" i="2" a="1"/>
  <c r="A1183" i="2" s="1"/>
  <c r="C1185" i="2"/>
  <c r="F1184" i="2"/>
  <c r="J1182" i="2" a="1"/>
  <c r="J1182" i="2" s="1"/>
  <c r="I1182" i="2" a="1"/>
  <c r="I1182" i="2" s="1"/>
  <c r="K1182" i="2" a="1"/>
  <c r="K1182" i="2" s="1"/>
  <c r="H1182" i="2" a="1"/>
  <c r="H1182" i="2" s="1"/>
  <c r="D1182" i="2" a="1"/>
  <c r="C1185" i="3" l="1"/>
  <c r="L1184" i="3"/>
  <c r="M1184" i="3"/>
  <c r="K1183" i="3" a="1"/>
  <c r="K1183" i="3" s="1"/>
  <c r="H1183" i="3" a="1"/>
  <c r="H1183" i="3" s="1"/>
  <c r="I1183" i="3" a="1"/>
  <c r="I1183" i="3" s="1"/>
  <c r="F1184" i="3"/>
  <c r="F1185" i="3" s="1"/>
  <c r="B1183" i="3" a="1"/>
  <c r="B1183" i="3" s="1"/>
  <c r="A1183" i="3" a="1"/>
  <c r="A1183" i="3" s="1"/>
  <c r="D1182" i="2"/>
  <c r="C1186" i="2"/>
  <c r="F1185" i="2"/>
  <c r="K1183" i="2" a="1"/>
  <c r="K1183" i="2" s="1"/>
  <c r="I1183" i="2" a="1"/>
  <c r="I1183" i="2" s="1"/>
  <c r="J1183" i="2" a="1"/>
  <c r="J1183" i="2" s="1"/>
  <c r="H1183" i="2" a="1"/>
  <c r="H1183" i="2" s="1"/>
  <c r="B1184" i="2" a="1"/>
  <c r="B1184" i="2" s="1"/>
  <c r="A1184" i="2" a="1"/>
  <c r="A1184" i="2" s="1"/>
  <c r="D1183" i="2" a="1"/>
  <c r="G1184" i="3" l="1" a="1"/>
  <c r="G1184" i="3" s="1"/>
  <c r="C1186" i="3"/>
  <c r="G1185" i="3" a="1"/>
  <c r="G1185" i="3" s="1"/>
  <c r="L1185" i="3"/>
  <c r="M1185" i="3"/>
  <c r="J1185" i="3" a="1"/>
  <c r="J1185" i="3" s="1"/>
  <c r="B1184" i="3" a="1"/>
  <c r="B1184" i="3" s="1"/>
  <c r="A1184" i="3" a="1"/>
  <c r="A1184" i="3" s="1"/>
  <c r="D1183" i="2"/>
  <c r="I1184" i="2" a="1"/>
  <c r="I1184" i="2" s="1"/>
  <c r="J1184" i="2" a="1"/>
  <c r="J1184" i="2" s="1"/>
  <c r="K1184" i="2" a="1"/>
  <c r="K1184" i="2" s="1"/>
  <c r="H1184" i="2" a="1"/>
  <c r="H1184" i="2" s="1"/>
  <c r="A1185" i="2" a="1"/>
  <c r="A1185" i="2" s="1"/>
  <c r="B1185" i="2" a="1"/>
  <c r="B1185" i="2" s="1"/>
  <c r="C1187" i="2"/>
  <c r="F1186" i="2"/>
  <c r="D1184" i="2" a="1"/>
  <c r="C1187" i="3" l="1"/>
  <c r="G1186" i="3" a="1"/>
  <c r="G1186" i="3" s="1"/>
  <c r="L1186" i="3"/>
  <c r="M1186" i="3"/>
  <c r="J1186" i="3" a="1"/>
  <c r="J1186" i="3" s="1"/>
  <c r="K1185" i="3" a="1"/>
  <c r="K1185" i="3" s="1"/>
  <c r="H1185" i="3" a="1"/>
  <c r="H1185" i="3" s="1"/>
  <c r="I1185" i="3" a="1"/>
  <c r="I1185" i="3" s="1"/>
  <c r="H1184" i="3" a="1"/>
  <c r="H1184" i="3" s="1"/>
  <c r="I1184" i="3" a="1"/>
  <c r="I1184" i="3" s="1"/>
  <c r="K1184" i="3" a="1"/>
  <c r="K1184" i="3" s="1"/>
  <c r="J1184" i="3" a="1"/>
  <c r="J1184" i="3" s="1"/>
  <c r="F1186" i="3"/>
  <c r="F1187" i="3" s="1"/>
  <c r="A1185" i="3" a="1"/>
  <c r="A1185" i="3" s="1"/>
  <c r="B1185" i="3" a="1"/>
  <c r="B1185" i="3" s="1"/>
  <c r="D1184" i="2"/>
  <c r="I1185" i="2" a="1"/>
  <c r="I1185" i="2" s="1"/>
  <c r="J1185" i="2" a="1"/>
  <c r="J1185" i="2" s="1"/>
  <c r="K1185" i="2" a="1"/>
  <c r="K1185" i="2" s="1"/>
  <c r="H1185" i="2" a="1"/>
  <c r="H1185" i="2" s="1"/>
  <c r="B1186" i="2" a="1"/>
  <c r="B1186" i="2" s="1"/>
  <c r="A1186" i="2" a="1"/>
  <c r="A1186" i="2" s="1"/>
  <c r="C1188" i="2"/>
  <c r="F1187" i="2"/>
  <c r="D1185" i="2" a="1"/>
  <c r="I1186" i="3" l="1" a="1"/>
  <c r="I1186" i="3" s="1"/>
  <c r="K1186" i="3" a="1"/>
  <c r="K1186" i="3" s="1"/>
  <c r="H1186" i="3" a="1"/>
  <c r="H1186" i="3" s="1"/>
  <c r="C1188" i="3"/>
  <c r="G1187" i="3" a="1"/>
  <c r="G1187" i="3" s="1"/>
  <c r="L1187" i="3"/>
  <c r="M1187" i="3"/>
  <c r="A1186" i="3" a="1"/>
  <c r="A1186" i="3" s="1"/>
  <c r="B1186" i="3" a="1"/>
  <c r="B1186" i="3" s="1"/>
  <c r="D1185" i="2"/>
  <c r="A1187" i="2" a="1"/>
  <c r="A1187" i="2" s="1"/>
  <c r="B1187" i="2" a="1"/>
  <c r="B1187" i="2" s="1"/>
  <c r="C1189" i="2"/>
  <c r="F1188" i="2"/>
  <c r="K1186" i="2" a="1"/>
  <c r="K1186" i="2" s="1"/>
  <c r="I1186" i="2" a="1"/>
  <c r="I1186" i="2" s="1"/>
  <c r="H1186" i="2" a="1"/>
  <c r="H1186" i="2" s="1"/>
  <c r="J1186" i="2" a="1"/>
  <c r="J1186" i="2" s="1"/>
  <c r="D1186" i="2" a="1"/>
  <c r="J1187" i="3" l="1" a="1"/>
  <c r="J1187" i="3" s="1"/>
  <c r="H1187" i="3" a="1"/>
  <c r="H1187" i="3" s="1"/>
  <c r="I1187" i="3" a="1"/>
  <c r="I1187" i="3" s="1"/>
  <c r="K1187" i="3" a="1"/>
  <c r="K1187" i="3" s="1"/>
  <c r="C1189" i="3"/>
  <c r="G1188" i="3" a="1"/>
  <c r="G1188" i="3" s="1"/>
  <c r="M1188" i="3"/>
  <c r="L1188" i="3"/>
  <c r="F1188" i="3"/>
  <c r="F1189" i="3" s="1"/>
  <c r="A1187" i="3" a="1"/>
  <c r="A1187" i="3" s="1"/>
  <c r="B1187" i="3" a="1"/>
  <c r="B1187" i="3" s="1"/>
  <c r="D1186" i="2"/>
  <c r="J1187" i="2" a="1"/>
  <c r="J1187" i="2" s="1"/>
  <c r="H1187" i="2" a="1"/>
  <c r="H1187" i="2" s="1"/>
  <c r="K1187" i="2" a="1"/>
  <c r="K1187" i="2" s="1"/>
  <c r="I1187" i="2" a="1"/>
  <c r="I1187" i="2" s="1"/>
  <c r="B1188" i="2" a="1"/>
  <c r="B1188" i="2" s="1"/>
  <c r="A1188" i="2" a="1"/>
  <c r="A1188" i="2" s="1"/>
  <c r="C1190" i="2"/>
  <c r="F1189" i="2"/>
  <c r="D1187" i="2" a="1"/>
  <c r="H1188" i="3" l="1" a="1"/>
  <c r="H1188" i="3" s="1"/>
  <c r="I1188" i="3" a="1"/>
  <c r="I1188" i="3" s="1"/>
  <c r="K1188" i="3" a="1"/>
  <c r="K1188" i="3" s="1"/>
  <c r="J1188" i="3" a="1"/>
  <c r="J1188" i="3" s="1"/>
  <c r="C1190" i="3"/>
  <c r="F1190" i="3" s="1"/>
  <c r="G1189" i="3" a="1"/>
  <c r="G1189" i="3" s="1"/>
  <c r="L1189" i="3"/>
  <c r="M1189" i="3"/>
  <c r="J1189" i="3" a="1"/>
  <c r="J1189" i="3" s="1"/>
  <c r="B1188" i="3" a="1"/>
  <c r="B1188" i="3" s="1"/>
  <c r="A1188" i="3" a="1"/>
  <c r="A1188" i="3" s="1"/>
  <c r="D1187" i="2"/>
  <c r="A1189" i="2" a="1"/>
  <c r="A1189" i="2" s="1"/>
  <c r="B1189" i="2" a="1"/>
  <c r="B1189" i="2" s="1"/>
  <c r="C1191" i="2"/>
  <c r="F1190" i="2"/>
  <c r="J1188" i="2" a="1"/>
  <c r="J1188" i="2" s="1"/>
  <c r="I1188" i="2" a="1"/>
  <c r="I1188" i="2" s="1"/>
  <c r="K1188" i="2" a="1"/>
  <c r="K1188" i="2" s="1"/>
  <c r="H1188" i="2" a="1"/>
  <c r="H1188" i="2" s="1"/>
  <c r="D1188" i="2" a="1"/>
  <c r="H1189" i="3" l="1" a="1"/>
  <c r="H1189" i="3" s="1"/>
  <c r="I1189" i="3" a="1"/>
  <c r="I1189" i="3" s="1"/>
  <c r="K1189" i="3" a="1"/>
  <c r="K1189" i="3" s="1"/>
  <c r="C1191" i="3"/>
  <c r="G1190" i="3" a="1"/>
  <c r="G1190" i="3" s="1"/>
  <c r="L1190" i="3"/>
  <c r="M1190" i="3"/>
  <c r="J1190" i="3" a="1"/>
  <c r="J1190" i="3" s="1"/>
  <c r="A1189" i="3" a="1"/>
  <c r="A1189" i="3" s="1"/>
  <c r="B1189" i="3" a="1"/>
  <c r="B1189" i="3" s="1"/>
  <c r="D1188" i="2"/>
  <c r="I1189" i="2" a="1"/>
  <c r="I1189" i="2" s="1"/>
  <c r="K1189" i="2" a="1"/>
  <c r="K1189" i="2" s="1"/>
  <c r="H1189" i="2" a="1"/>
  <c r="H1189" i="2" s="1"/>
  <c r="J1189" i="2" a="1"/>
  <c r="J1189" i="2" s="1"/>
  <c r="A1190" i="2" a="1"/>
  <c r="A1190" i="2" s="1"/>
  <c r="B1190" i="2" a="1"/>
  <c r="B1190" i="2" s="1"/>
  <c r="C1192" i="2"/>
  <c r="F1191" i="2"/>
  <c r="D1189" i="2" a="1"/>
  <c r="K1190" i="3" l="1" a="1"/>
  <c r="K1190" i="3" s="1"/>
  <c r="H1190" i="3" a="1"/>
  <c r="H1190" i="3" s="1"/>
  <c r="I1190" i="3" a="1"/>
  <c r="I1190" i="3" s="1"/>
  <c r="C1192" i="3"/>
  <c r="L1191" i="3"/>
  <c r="M1191" i="3"/>
  <c r="F1191" i="3"/>
  <c r="F1192" i="3" s="1"/>
  <c r="A1190" i="3" a="1"/>
  <c r="A1190" i="3" s="1"/>
  <c r="B1190" i="3" a="1"/>
  <c r="B1190" i="3" s="1"/>
  <c r="D1189" i="2"/>
  <c r="K1190" i="2" a="1"/>
  <c r="K1190" i="2" s="1"/>
  <c r="J1190" i="2" a="1"/>
  <c r="J1190" i="2" s="1"/>
  <c r="I1190" i="2" a="1"/>
  <c r="I1190" i="2" s="1"/>
  <c r="H1190" i="2" a="1"/>
  <c r="H1190" i="2" s="1"/>
  <c r="C1193" i="2"/>
  <c r="F1192" i="2"/>
  <c r="A1191" i="2" a="1"/>
  <c r="A1191" i="2" s="1"/>
  <c r="B1191" i="2" a="1"/>
  <c r="B1191" i="2" s="1"/>
  <c r="D1190" i="2" a="1"/>
  <c r="C1193" i="3" l="1"/>
  <c r="G1192" i="3" a="1"/>
  <c r="G1192" i="3" s="1"/>
  <c r="L1192" i="3"/>
  <c r="M1192" i="3"/>
  <c r="F1193" i="3"/>
  <c r="G1191" i="3" a="1"/>
  <c r="G1191" i="3" s="1"/>
  <c r="A1191" i="3" a="1"/>
  <c r="A1191" i="3" s="1"/>
  <c r="B1191" i="3" a="1"/>
  <c r="B1191" i="3" s="1"/>
  <c r="D1190" i="2"/>
  <c r="J1191" i="2" a="1"/>
  <c r="J1191" i="2" s="1"/>
  <c r="I1191" i="2" a="1"/>
  <c r="I1191" i="2" s="1"/>
  <c r="H1191" i="2" a="1"/>
  <c r="H1191" i="2" s="1"/>
  <c r="K1191" i="2" a="1"/>
  <c r="K1191" i="2" s="1"/>
  <c r="C1194" i="2"/>
  <c r="F1193" i="2"/>
  <c r="A1192" i="2" a="1"/>
  <c r="A1192" i="2" s="1"/>
  <c r="B1192" i="2" a="1"/>
  <c r="B1192" i="2" s="1"/>
  <c r="D1191" i="2" a="1"/>
  <c r="I1192" i="3" l="1" a="1"/>
  <c r="I1192" i="3" s="1"/>
  <c r="K1192" i="3" a="1"/>
  <c r="K1192" i="3" s="1"/>
  <c r="H1192" i="3" a="1"/>
  <c r="H1192" i="3" s="1"/>
  <c r="H1191" i="3" a="1"/>
  <c r="H1191" i="3" s="1"/>
  <c r="I1191" i="3" a="1"/>
  <c r="I1191" i="3" s="1"/>
  <c r="K1191" i="3" a="1"/>
  <c r="K1191" i="3" s="1"/>
  <c r="J1191" i="3" a="1"/>
  <c r="J1191" i="3" s="1"/>
  <c r="J1192" i="3" a="1"/>
  <c r="J1192" i="3" s="1"/>
  <c r="C1194" i="3"/>
  <c r="G1193" i="3" a="1"/>
  <c r="G1193" i="3" s="1"/>
  <c r="L1193" i="3"/>
  <c r="M1193" i="3"/>
  <c r="A1192" i="3" a="1"/>
  <c r="A1192" i="3" s="1"/>
  <c r="B1192" i="3" a="1"/>
  <c r="B1192" i="3" s="1"/>
  <c r="D1191" i="2"/>
  <c r="H1192" i="2" a="1"/>
  <c r="H1192" i="2" s="1"/>
  <c r="I1192" i="2" a="1"/>
  <c r="I1192" i="2" s="1"/>
  <c r="K1192" i="2" a="1"/>
  <c r="K1192" i="2" s="1"/>
  <c r="J1192" i="2" a="1"/>
  <c r="J1192" i="2" s="1"/>
  <c r="A1193" i="2" a="1"/>
  <c r="A1193" i="2" s="1"/>
  <c r="B1193" i="2" a="1"/>
  <c r="B1193" i="2" s="1"/>
  <c r="C1195" i="2"/>
  <c r="F1194" i="2"/>
  <c r="D1192" i="2" a="1"/>
  <c r="C1195" i="3" l="1"/>
  <c r="L1194" i="3"/>
  <c r="M1194" i="3"/>
  <c r="I1193" i="3" a="1"/>
  <c r="I1193" i="3" s="1"/>
  <c r="H1193" i="3" a="1"/>
  <c r="H1193" i="3" s="1"/>
  <c r="K1193" i="3" a="1"/>
  <c r="K1193" i="3" s="1"/>
  <c r="J1193" i="3" a="1"/>
  <c r="J1193" i="3" s="1"/>
  <c r="F1194" i="3"/>
  <c r="F1195" i="3" s="1"/>
  <c r="A1193" i="3" a="1"/>
  <c r="A1193" i="3" s="1"/>
  <c r="B1193" i="3" a="1"/>
  <c r="B1193" i="3" s="1"/>
  <c r="D1192" i="2"/>
  <c r="J1193" i="2" a="1"/>
  <c r="J1193" i="2" s="1"/>
  <c r="K1193" i="2" a="1"/>
  <c r="K1193" i="2" s="1"/>
  <c r="H1193" i="2" a="1"/>
  <c r="H1193" i="2" s="1"/>
  <c r="I1193" i="2" a="1"/>
  <c r="I1193" i="2" s="1"/>
  <c r="C1196" i="2"/>
  <c r="F1195" i="2"/>
  <c r="A1194" i="2" a="1"/>
  <c r="A1194" i="2" s="1"/>
  <c r="B1194" i="2" a="1"/>
  <c r="B1194" i="2" s="1"/>
  <c r="D1193" i="2" a="1"/>
  <c r="G1194" i="3" l="1" a="1"/>
  <c r="G1194" i="3" s="1"/>
  <c r="C1196" i="3"/>
  <c r="G1195" i="3" a="1"/>
  <c r="G1195" i="3" s="1"/>
  <c r="L1195" i="3"/>
  <c r="M1195" i="3"/>
  <c r="A1194" i="3" a="1"/>
  <c r="A1194" i="3" s="1"/>
  <c r="B1194" i="3" a="1"/>
  <c r="B1194" i="3" s="1"/>
  <c r="D1193" i="2"/>
  <c r="H1194" i="2" a="1"/>
  <c r="H1194" i="2" s="1"/>
  <c r="I1194" i="2" a="1"/>
  <c r="I1194" i="2" s="1"/>
  <c r="K1194" i="2" a="1"/>
  <c r="K1194" i="2" s="1"/>
  <c r="J1194" i="2" a="1"/>
  <c r="J1194" i="2" s="1"/>
  <c r="B1195" i="2" a="1"/>
  <c r="B1195" i="2" s="1"/>
  <c r="A1195" i="2" a="1"/>
  <c r="A1195" i="2" s="1"/>
  <c r="C1197" i="2"/>
  <c r="F1196" i="2"/>
  <c r="D1194" i="2" a="1"/>
  <c r="H1195" i="3" l="1" a="1"/>
  <c r="H1195" i="3" s="1"/>
  <c r="I1195" i="3" a="1"/>
  <c r="I1195" i="3" s="1"/>
  <c r="K1195" i="3" a="1"/>
  <c r="K1195" i="3" s="1"/>
  <c r="J1195" i="3" a="1"/>
  <c r="J1195" i="3" s="1"/>
  <c r="C1197" i="3"/>
  <c r="G1196" i="3" a="1"/>
  <c r="G1196" i="3" s="1"/>
  <c r="J1196" i="3" s="1" a="1"/>
  <c r="J1196" i="3" s="1"/>
  <c r="L1196" i="3"/>
  <c r="M1196" i="3"/>
  <c r="H1194" i="3" a="1"/>
  <c r="H1194" i="3" s="1"/>
  <c r="K1194" i="3" a="1"/>
  <c r="K1194" i="3" s="1"/>
  <c r="I1194" i="3" a="1"/>
  <c r="I1194" i="3" s="1"/>
  <c r="J1194" i="3" a="1"/>
  <c r="J1194" i="3" s="1"/>
  <c r="F1196" i="3"/>
  <c r="B1195" i="3" a="1"/>
  <c r="B1195" i="3" s="1"/>
  <c r="A1195" i="3" a="1"/>
  <c r="A1195" i="3" s="1"/>
  <c r="D1194" i="2"/>
  <c r="B1196" i="2" a="1"/>
  <c r="B1196" i="2" s="1"/>
  <c r="A1196" i="2" a="1"/>
  <c r="A1196" i="2" s="1"/>
  <c r="K1195" i="2" a="1"/>
  <c r="K1195" i="2" s="1"/>
  <c r="I1195" i="2" a="1"/>
  <c r="I1195" i="2" s="1"/>
  <c r="J1195" i="2" a="1"/>
  <c r="J1195" i="2" s="1"/>
  <c r="H1195" i="2" a="1"/>
  <c r="H1195" i="2" s="1"/>
  <c r="C1198" i="2"/>
  <c r="F1197" i="2"/>
  <c r="D1195" i="2" a="1"/>
  <c r="H1196" i="3" l="1" a="1"/>
  <c r="H1196" i="3" s="1"/>
  <c r="I1196" i="3" a="1"/>
  <c r="I1196" i="3" s="1"/>
  <c r="K1196" i="3" a="1"/>
  <c r="K1196" i="3" s="1"/>
  <c r="C1198" i="3"/>
  <c r="L1197" i="3"/>
  <c r="M1197" i="3"/>
  <c r="F1197" i="3"/>
  <c r="F1198" i="3" s="1"/>
  <c r="A1196" i="3" a="1"/>
  <c r="A1196" i="3" s="1"/>
  <c r="B1196" i="3" a="1"/>
  <c r="B1196" i="3" s="1"/>
  <c r="D1195" i="2"/>
  <c r="C1199" i="2"/>
  <c r="F1198" i="2"/>
  <c r="A1197" i="2" a="1"/>
  <c r="A1197" i="2" s="1"/>
  <c r="B1197" i="2" a="1"/>
  <c r="B1197" i="2" s="1"/>
  <c r="H1196" i="2" a="1"/>
  <c r="H1196" i="2" s="1"/>
  <c r="K1196" i="2" a="1"/>
  <c r="K1196" i="2" s="1"/>
  <c r="I1196" i="2" a="1"/>
  <c r="I1196" i="2" s="1"/>
  <c r="J1196" i="2" a="1"/>
  <c r="J1196" i="2" s="1"/>
  <c r="D1196" i="2" a="1"/>
  <c r="G1197" i="3" l="1" a="1"/>
  <c r="G1197" i="3" s="1"/>
  <c r="C1199" i="3"/>
  <c r="G1198" i="3" a="1"/>
  <c r="G1198" i="3" s="1"/>
  <c r="L1198" i="3"/>
  <c r="M1198" i="3"/>
  <c r="J1198" i="3" a="1"/>
  <c r="J1198" i="3" s="1"/>
  <c r="A1197" i="3" a="1"/>
  <c r="A1197" i="3" s="1"/>
  <c r="B1197" i="3" a="1"/>
  <c r="B1197" i="3" s="1"/>
  <c r="D1196" i="2"/>
  <c r="K1197" i="2" a="1"/>
  <c r="K1197" i="2" s="1"/>
  <c r="J1197" i="2" a="1"/>
  <c r="J1197" i="2" s="1"/>
  <c r="H1197" i="2" a="1"/>
  <c r="H1197" i="2" s="1"/>
  <c r="I1197" i="2" a="1"/>
  <c r="I1197" i="2" s="1"/>
  <c r="A1198" i="2" a="1"/>
  <c r="A1198" i="2" s="1"/>
  <c r="B1198" i="2" a="1"/>
  <c r="B1198" i="2" s="1"/>
  <c r="C1200" i="2"/>
  <c r="F1199" i="2"/>
  <c r="D1197" i="2" a="1"/>
  <c r="C1200" i="3" l="1"/>
  <c r="G1199" i="3" a="1"/>
  <c r="G1199" i="3" s="1"/>
  <c r="L1199" i="3"/>
  <c r="M1199" i="3"/>
  <c r="J1199" i="3" a="1"/>
  <c r="J1199" i="3" s="1"/>
  <c r="K1198" i="3" a="1"/>
  <c r="K1198" i="3" s="1"/>
  <c r="I1198" i="3" a="1"/>
  <c r="I1198" i="3" s="1"/>
  <c r="H1198" i="3" a="1"/>
  <c r="H1198" i="3" s="1"/>
  <c r="I1197" i="3" a="1"/>
  <c r="I1197" i="3" s="1"/>
  <c r="H1197" i="3" a="1"/>
  <c r="H1197" i="3" s="1"/>
  <c r="K1197" i="3" a="1"/>
  <c r="K1197" i="3" s="1"/>
  <c r="J1197" i="3" a="1"/>
  <c r="J1197" i="3" s="1"/>
  <c r="F1199" i="3"/>
  <c r="F1200" i="3" s="1"/>
  <c r="A1198" i="3" a="1"/>
  <c r="A1198" i="3" s="1"/>
  <c r="B1198" i="3" a="1"/>
  <c r="B1198" i="3" s="1"/>
  <c r="D1197" i="2"/>
  <c r="C1201" i="2"/>
  <c r="F1200" i="2"/>
  <c r="A1199" i="2" a="1"/>
  <c r="A1199" i="2" s="1"/>
  <c r="B1199" i="2" a="1"/>
  <c r="B1199" i="2" s="1"/>
  <c r="J1198" i="2" a="1"/>
  <c r="J1198" i="2" s="1"/>
  <c r="H1198" i="2" a="1"/>
  <c r="H1198" i="2" s="1"/>
  <c r="I1198" i="2" a="1"/>
  <c r="I1198" i="2" s="1"/>
  <c r="K1198" i="2" a="1"/>
  <c r="K1198" i="2" s="1"/>
  <c r="D1198" i="2" a="1"/>
  <c r="I1199" i="3" l="1" a="1"/>
  <c r="I1199" i="3" s="1"/>
  <c r="H1199" i="3" a="1"/>
  <c r="H1199" i="3" s="1"/>
  <c r="K1199" i="3" a="1"/>
  <c r="K1199" i="3" s="1"/>
  <c r="C1201" i="3"/>
  <c r="F1201" i="3" s="1"/>
  <c r="G1200" i="3" a="1"/>
  <c r="G1200" i="3" s="1"/>
  <c r="L1200" i="3"/>
  <c r="M1200" i="3"/>
  <c r="J1200" i="3" a="1"/>
  <c r="J1200" i="3" s="1"/>
  <c r="A1199" i="3" a="1"/>
  <c r="A1199" i="3" s="1"/>
  <c r="B1199" i="3" a="1"/>
  <c r="B1199" i="3" s="1"/>
  <c r="D1198" i="2"/>
  <c r="K1199" i="2" a="1"/>
  <c r="K1199" i="2" s="1"/>
  <c r="J1199" i="2" a="1"/>
  <c r="J1199" i="2" s="1"/>
  <c r="H1199" i="2" a="1"/>
  <c r="H1199" i="2" s="1"/>
  <c r="I1199" i="2" a="1"/>
  <c r="I1199" i="2" s="1"/>
  <c r="A1200" i="2" a="1"/>
  <c r="A1200" i="2" s="1"/>
  <c r="B1200" i="2" a="1"/>
  <c r="B1200" i="2" s="1"/>
  <c r="C1202" i="2"/>
  <c r="F1201" i="2"/>
  <c r="D1199" i="2" a="1"/>
  <c r="H1200" i="3" l="1" a="1"/>
  <c r="H1200" i="3" s="1"/>
  <c r="I1200" i="3" a="1"/>
  <c r="I1200" i="3" s="1"/>
  <c r="K1200" i="3" a="1"/>
  <c r="K1200" i="3" s="1"/>
  <c r="C1202" i="3"/>
  <c r="G1201" i="3" a="1"/>
  <c r="G1201" i="3" s="1"/>
  <c r="L1201" i="3"/>
  <c r="M1201" i="3"/>
  <c r="J1201" i="3" a="1"/>
  <c r="J1201" i="3" s="1"/>
  <c r="B1200" i="3" a="1"/>
  <c r="B1200" i="3" s="1"/>
  <c r="A1200" i="3" a="1"/>
  <c r="A1200" i="3" s="1"/>
  <c r="D1199" i="2"/>
  <c r="C1203" i="2"/>
  <c r="F1202" i="2"/>
  <c r="B1201" i="2" a="1"/>
  <c r="B1201" i="2" s="1"/>
  <c r="A1201" i="2" a="1"/>
  <c r="A1201" i="2" s="1"/>
  <c r="I1200" i="2" a="1"/>
  <c r="I1200" i="2" s="1"/>
  <c r="J1200" i="2" a="1"/>
  <c r="J1200" i="2" s="1"/>
  <c r="H1200" i="2" a="1"/>
  <c r="H1200" i="2" s="1"/>
  <c r="K1200" i="2" a="1"/>
  <c r="K1200" i="2" s="1"/>
  <c r="D1200" i="2" a="1"/>
  <c r="K1201" i="3" l="1" a="1"/>
  <c r="K1201" i="3" s="1"/>
  <c r="I1201" i="3" a="1"/>
  <c r="I1201" i="3" s="1"/>
  <c r="H1201" i="3" a="1"/>
  <c r="H1201" i="3" s="1"/>
  <c r="C1203" i="3"/>
  <c r="L1202" i="3"/>
  <c r="M1202" i="3"/>
  <c r="F1202" i="3"/>
  <c r="F1203" i="3" s="1"/>
  <c r="A1201" i="3" a="1"/>
  <c r="A1201" i="3" s="1"/>
  <c r="B1201" i="3" a="1"/>
  <c r="B1201" i="3" s="1"/>
  <c r="D1200" i="2"/>
  <c r="H1201" i="2" a="1"/>
  <c r="H1201" i="2" s="1"/>
  <c r="I1201" i="2" a="1"/>
  <c r="I1201" i="2" s="1"/>
  <c r="K1201" i="2" a="1"/>
  <c r="K1201" i="2" s="1"/>
  <c r="J1201" i="2" a="1"/>
  <c r="J1201" i="2" s="1"/>
  <c r="A1202" i="2" a="1"/>
  <c r="A1202" i="2" s="1"/>
  <c r="B1202" i="2" a="1"/>
  <c r="B1202" i="2" s="1"/>
  <c r="C1204" i="2"/>
  <c r="F1203" i="2"/>
  <c r="D1201" i="2" a="1"/>
  <c r="G1202" i="3" l="1" a="1"/>
  <c r="G1202" i="3" s="1"/>
  <c r="C1204" i="3"/>
  <c r="G1203" i="3" a="1"/>
  <c r="G1203" i="3" s="1"/>
  <c r="J1203" i="3" s="1" a="1"/>
  <c r="J1203" i="3" s="1"/>
  <c r="L1203" i="3"/>
  <c r="M1203" i="3"/>
  <c r="A1202" i="3" a="1"/>
  <c r="A1202" i="3" s="1"/>
  <c r="B1202" i="3" a="1"/>
  <c r="B1202" i="3" s="1"/>
  <c r="D1201" i="2"/>
  <c r="I1202" i="2" a="1"/>
  <c r="I1202" i="2" s="1"/>
  <c r="K1202" i="2" a="1"/>
  <c r="K1202" i="2" s="1"/>
  <c r="H1202" i="2" a="1"/>
  <c r="H1202" i="2" s="1"/>
  <c r="J1202" i="2" a="1"/>
  <c r="J1202" i="2" s="1"/>
  <c r="C1205" i="2"/>
  <c r="F1204" i="2"/>
  <c r="B1203" i="2" a="1"/>
  <c r="B1203" i="2" s="1"/>
  <c r="A1203" i="2" a="1"/>
  <c r="A1203" i="2" s="1"/>
  <c r="D1202" i="2" a="1"/>
  <c r="I1202" i="3" l="1" a="1"/>
  <c r="I1202" i="3" s="1"/>
  <c r="H1202" i="3" a="1"/>
  <c r="H1202" i="3" s="1"/>
  <c r="K1202" i="3" a="1"/>
  <c r="K1202" i="3" s="1"/>
  <c r="J1202" i="3" a="1"/>
  <c r="J1202" i="3" s="1"/>
  <c r="I1203" i="3" a="1"/>
  <c r="I1203" i="3" s="1"/>
  <c r="H1203" i="3" a="1"/>
  <c r="H1203" i="3" s="1"/>
  <c r="K1203" i="3" a="1"/>
  <c r="K1203" i="3" s="1"/>
  <c r="C1205" i="3"/>
  <c r="G1204" i="3" a="1"/>
  <c r="G1204" i="3" s="1"/>
  <c r="L1204" i="3"/>
  <c r="M1204" i="3"/>
  <c r="J1204" i="3" a="1"/>
  <c r="J1204" i="3" s="1"/>
  <c r="F1204" i="3"/>
  <c r="A1203" i="3" a="1"/>
  <c r="A1203" i="3" s="1"/>
  <c r="B1203" i="3" a="1"/>
  <c r="B1203" i="3" s="1"/>
  <c r="D1202" i="2"/>
  <c r="A1204" i="2" a="1"/>
  <c r="A1204" i="2" s="1"/>
  <c r="B1204" i="2" a="1"/>
  <c r="B1204" i="2" s="1"/>
  <c r="H1203" i="2" a="1"/>
  <c r="H1203" i="2" s="1"/>
  <c r="K1203" i="2" a="1"/>
  <c r="K1203" i="2" s="1"/>
  <c r="I1203" i="2" a="1"/>
  <c r="I1203" i="2" s="1"/>
  <c r="J1203" i="2" a="1"/>
  <c r="J1203" i="2" s="1"/>
  <c r="C1206" i="2"/>
  <c r="F1205" i="2"/>
  <c r="D1203" i="2" a="1"/>
  <c r="C1206" i="3" l="1"/>
  <c r="L1205" i="3"/>
  <c r="M1205" i="3"/>
  <c r="H1204" i="3" a="1"/>
  <c r="H1204" i="3" s="1"/>
  <c r="I1204" i="3" a="1"/>
  <c r="I1204" i="3" s="1"/>
  <c r="K1204" i="3" a="1"/>
  <c r="K1204" i="3" s="1"/>
  <c r="F1205" i="3"/>
  <c r="F1206" i="3" s="1"/>
  <c r="A1204" i="3" a="1"/>
  <c r="A1204" i="3" s="1"/>
  <c r="B1204" i="3" a="1"/>
  <c r="B1204" i="3" s="1"/>
  <c r="D1203" i="2"/>
  <c r="A1205" i="2" a="1"/>
  <c r="A1205" i="2" s="1"/>
  <c r="B1205" i="2" a="1"/>
  <c r="B1205" i="2" s="1"/>
  <c r="K1204" i="2" a="1"/>
  <c r="K1204" i="2" s="1"/>
  <c r="H1204" i="2" a="1"/>
  <c r="H1204" i="2" s="1"/>
  <c r="I1204" i="2" a="1"/>
  <c r="I1204" i="2" s="1"/>
  <c r="J1204" i="2" a="1"/>
  <c r="J1204" i="2" s="1"/>
  <c r="C1207" i="2"/>
  <c r="F1206" i="2"/>
  <c r="D1204" i="2" a="1"/>
  <c r="G1205" i="3" l="1" a="1"/>
  <c r="G1205" i="3" s="1"/>
  <c r="C1207" i="3"/>
  <c r="G1206" i="3" a="1"/>
  <c r="G1206" i="3" s="1"/>
  <c r="L1206" i="3"/>
  <c r="M1206" i="3"/>
  <c r="J1206" i="3" a="1"/>
  <c r="J1206" i="3" s="1"/>
  <c r="A1205" i="3" a="1"/>
  <c r="A1205" i="3" s="1"/>
  <c r="B1205" i="3" a="1"/>
  <c r="B1205" i="3" s="1"/>
  <c r="D1204" i="2"/>
  <c r="A1206" i="2" a="1"/>
  <c r="A1206" i="2" s="1"/>
  <c r="B1206" i="2" a="1"/>
  <c r="B1206" i="2" s="1"/>
  <c r="C1208" i="2"/>
  <c r="F1207" i="2"/>
  <c r="I1205" i="2" a="1"/>
  <c r="I1205" i="2" s="1"/>
  <c r="J1205" i="2" a="1"/>
  <c r="J1205" i="2" s="1"/>
  <c r="H1205" i="2" a="1"/>
  <c r="H1205" i="2" s="1"/>
  <c r="K1205" i="2" a="1"/>
  <c r="K1205" i="2" s="1"/>
  <c r="D1205" i="2" a="1"/>
  <c r="C1208" i="3" l="1"/>
  <c r="G1207" i="3" a="1"/>
  <c r="G1207" i="3" s="1"/>
  <c r="J1207" i="3" a="1"/>
  <c r="J1207" i="3" s="1"/>
  <c r="L1207" i="3"/>
  <c r="M1207" i="3"/>
  <c r="I1206" i="3" a="1"/>
  <c r="I1206" i="3" s="1"/>
  <c r="H1206" i="3" a="1"/>
  <c r="H1206" i="3" s="1"/>
  <c r="K1206" i="3" a="1"/>
  <c r="K1206" i="3" s="1"/>
  <c r="I1205" i="3" a="1"/>
  <c r="I1205" i="3" s="1"/>
  <c r="K1205" i="3" a="1"/>
  <c r="K1205" i="3" s="1"/>
  <c r="H1205" i="3" a="1"/>
  <c r="H1205" i="3" s="1"/>
  <c r="J1205" i="3" a="1"/>
  <c r="J1205" i="3" s="1"/>
  <c r="F1207" i="3"/>
  <c r="F1208" i="3" s="1"/>
  <c r="B1206" i="3" a="1"/>
  <c r="B1206" i="3" s="1"/>
  <c r="A1206" i="3" a="1"/>
  <c r="A1206" i="3" s="1"/>
  <c r="D1205" i="2"/>
  <c r="H1206" i="2" a="1"/>
  <c r="H1206" i="2" s="1"/>
  <c r="I1206" i="2" a="1"/>
  <c r="I1206" i="2" s="1"/>
  <c r="J1206" i="2" a="1"/>
  <c r="J1206" i="2" s="1"/>
  <c r="K1206" i="2" a="1"/>
  <c r="K1206" i="2" s="1"/>
  <c r="B1207" i="2" a="1"/>
  <c r="B1207" i="2" s="1"/>
  <c r="A1207" i="2" a="1"/>
  <c r="A1207" i="2" s="1"/>
  <c r="C1209" i="2"/>
  <c r="F1208" i="2"/>
  <c r="D1206" i="2" a="1"/>
  <c r="I1207" i="3" l="1" a="1"/>
  <c r="I1207" i="3" s="1"/>
  <c r="H1207" i="3" a="1"/>
  <c r="H1207" i="3" s="1"/>
  <c r="K1207" i="3" a="1"/>
  <c r="K1207" i="3" s="1"/>
  <c r="C1209" i="3"/>
  <c r="F1209" i="3" s="1"/>
  <c r="G1208" i="3" a="1"/>
  <c r="G1208" i="3" s="1"/>
  <c r="L1208" i="3"/>
  <c r="M1208" i="3"/>
  <c r="B1207" i="3" a="1"/>
  <c r="B1207" i="3" s="1"/>
  <c r="A1207" i="3" a="1"/>
  <c r="A1207" i="3" s="1"/>
  <c r="D1206" i="2"/>
  <c r="B1208" i="2" a="1"/>
  <c r="B1208" i="2" s="1"/>
  <c r="A1208" i="2" a="1"/>
  <c r="A1208" i="2" s="1"/>
  <c r="C1210" i="2"/>
  <c r="F1209" i="2"/>
  <c r="J1207" i="2" a="1"/>
  <c r="J1207" i="2" s="1"/>
  <c r="K1207" i="2" a="1"/>
  <c r="K1207" i="2" s="1"/>
  <c r="H1207" i="2" a="1"/>
  <c r="H1207" i="2" s="1"/>
  <c r="I1207" i="2" a="1"/>
  <c r="I1207" i="2" s="1"/>
  <c r="D1207" i="2" a="1"/>
  <c r="I1208" i="3" l="1" a="1"/>
  <c r="I1208" i="3" s="1"/>
  <c r="K1208" i="3" a="1"/>
  <c r="K1208" i="3" s="1"/>
  <c r="H1208" i="3" a="1"/>
  <c r="H1208" i="3" s="1"/>
  <c r="J1208" i="3" a="1"/>
  <c r="J1208" i="3" s="1"/>
  <c r="C1210" i="3"/>
  <c r="G1209" i="3" a="1"/>
  <c r="G1209" i="3" s="1"/>
  <c r="J1209" i="3" a="1"/>
  <c r="J1209" i="3" s="1"/>
  <c r="L1209" i="3"/>
  <c r="M1209" i="3"/>
  <c r="B1208" i="3" a="1"/>
  <c r="B1208" i="3" s="1"/>
  <c r="A1208" i="3" a="1"/>
  <c r="A1208" i="3" s="1"/>
  <c r="D1207" i="2"/>
  <c r="I1208" i="2" a="1"/>
  <c r="I1208" i="2" s="1"/>
  <c r="J1208" i="2" a="1"/>
  <c r="J1208" i="2" s="1"/>
  <c r="K1208" i="2" a="1"/>
  <c r="K1208" i="2" s="1"/>
  <c r="H1208" i="2" a="1"/>
  <c r="H1208" i="2" s="1"/>
  <c r="B1209" i="2" a="1"/>
  <c r="B1209" i="2" s="1"/>
  <c r="A1209" i="2" a="1"/>
  <c r="A1209" i="2" s="1"/>
  <c r="C1211" i="2"/>
  <c r="F1210" i="2"/>
  <c r="D1208" i="2" a="1"/>
  <c r="I1209" i="3" l="1" a="1"/>
  <c r="I1209" i="3" s="1"/>
  <c r="K1209" i="3" a="1"/>
  <c r="K1209" i="3" s="1"/>
  <c r="H1209" i="3" a="1"/>
  <c r="H1209" i="3" s="1"/>
  <c r="C1211" i="3"/>
  <c r="L1210" i="3"/>
  <c r="M1210" i="3"/>
  <c r="F1210" i="3"/>
  <c r="F1211" i="3" s="1"/>
  <c r="A1209" i="3" a="1"/>
  <c r="A1209" i="3" s="1"/>
  <c r="B1209" i="3" a="1"/>
  <c r="B1209" i="3" s="1"/>
  <c r="D1208" i="2"/>
  <c r="J1209" i="2" a="1"/>
  <c r="J1209" i="2" s="1"/>
  <c r="K1209" i="2" a="1"/>
  <c r="K1209" i="2" s="1"/>
  <c r="I1209" i="2" a="1"/>
  <c r="I1209" i="2" s="1"/>
  <c r="H1209" i="2" a="1"/>
  <c r="H1209" i="2" s="1"/>
  <c r="A1210" i="2" a="1"/>
  <c r="A1210" i="2" s="1"/>
  <c r="B1210" i="2" a="1"/>
  <c r="B1210" i="2" s="1"/>
  <c r="C1212" i="2"/>
  <c r="F1211" i="2"/>
  <c r="D1209" i="2" a="1"/>
  <c r="G1210" i="3" l="1" a="1"/>
  <c r="G1210" i="3" s="1"/>
  <c r="C1212" i="3"/>
  <c r="G1211" i="3" a="1"/>
  <c r="G1211" i="3" s="1"/>
  <c r="L1211" i="3"/>
  <c r="M1211" i="3"/>
  <c r="J1211" i="3" a="1"/>
  <c r="J1211" i="3" s="1"/>
  <c r="A1210" i="3" a="1"/>
  <c r="A1210" i="3" s="1"/>
  <c r="B1210" i="3" a="1"/>
  <c r="B1210" i="3" s="1"/>
  <c r="D1209" i="2"/>
  <c r="C1213" i="2"/>
  <c r="F1212" i="2"/>
  <c r="B1211" i="2" a="1"/>
  <c r="B1211" i="2" s="1"/>
  <c r="A1211" i="2" a="1"/>
  <c r="A1211" i="2" s="1"/>
  <c r="H1210" i="2" a="1"/>
  <c r="H1210" i="2" s="1"/>
  <c r="I1210" i="2" a="1"/>
  <c r="I1210" i="2" s="1"/>
  <c r="J1210" i="2" a="1"/>
  <c r="J1210" i="2" s="1"/>
  <c r="K1210" i="2" a="1"/>
  <c r="K1210" i="2" s="1"/>
  <c r="D1210" i="2" a="1"/>
  <c r="I1211" i="3" l="1" a="1"/>
  <c r="I1211" i="3" s="1"/>
  <c r="H1211" i="3" a="1"/>
  <c r="H1211" i="3" s="1"/>
  <c r="K1211" i="3" a="1"/>
  <c r="K1211" i="3" s="1"/>
  <c r="C1213" i="3"/>
  <c r="G1212" i="3" a="1"/>
  <c r="G1212" i="3" s="1"/>
  <c r="L1212" i="3"/>
  <c r="M1212" i="3"/>
  <c r="J1212" i="3" a="1"/>
  <c r="J1212" i="3" s="1"/>
  <c r="I1210" i="3" a="1"/>
  <c r="I1210" i="3" s="1"/>
  <c r="H1210" i="3" a="1"/>
  <c r="H1210" i="3" s="1"/>
  <c r="K1210" i="3" a="1"/>
  <c r="K1210" i="3" s="1"/>
  <c r="J1210" i="3" a="1"/>
  <c r="J1210" i="3" s="1"/>
  <c r="F1212" i="3"/>
  <c r="A1211" i="3" a="1"/>
  <c r="A1211" i="3" s="1"/>
  <c r="B1211" i="3" a="1"/>
  <c r="B1211" i="3" s="1"/>
  <c r="D1210" i="2"/>
  <c r="B1212" i="2" a="1"/>
  <c r="B1212" i="2" s="1"/>
  <c r="A1212" i="2" a="1"/>
  <c r="A1212" i="2" s="1"/>
  <c r="I1211" i="2" a="1"/>
  <c r="I1211" i="2" s="1"/>
  <c r="K1211" i="2" a="1"/>
  <c r="K1211" i="2" s="1"/>
  <c r="H1211" i="2" a="1"/>
  <c r="H1211" i="2" s="1"/>
  <c r="J1211" i="2" a="1"/>
  <c r="J1211" i="2" s="1"/>
  <c r="C1214" i="2"/>
  <c r="F1213" i="2"/>
  <c r="D1211" i="2" a="1"/>
  <c r="C1214" i="3" l="1"/>
  <c r="L1213" i="3"/>
  <c r="M1213" i="3"/>
  <c r="K1212" i="3" a="1"/>
  <c r="K1212" i="3" s="1"/>
  <c r="H1212" i="3" a="1"/>
  <c r="H1212" i="3" s="1"/>
  <c r="I1212" i="3" a="1"/>
  <c r="I1212" i="3" s="1"/>
  <c r="F1213" i="3"/>
  <c r="F1214" i="3" s="1"/>
  <c r="B1212" i="3" a="1"/>
  <c r="B1212" i="3" s="1"/>
  <c r="A1212" i="3" a="1"/>
  <c r="A1212" i="3" s="1"/>
  <c r="D1211" i="2"/>
  <c r="B1213" i="2" a="1"/>
  <c r="B1213" i="2" s="1"/>
  <c r="A1213" i="2" a="1"/>
  <c r="A1213" i="2" s="1"/>
  <c r="C1215" i="2"/>
  <c r="F1214" i="2"/>
  <c r="H1212" i="2" a="1"/>
  <c r="H1212" i="2" s="1"/>
  <c r="J1212" i="2" a="1"/>
  <c r="J1212" i="2" s="1"/>
  <c r="I1212" i="2" a="1"/>
  <c r="I1212" i="2" s="1"/>
  <c r="K1212" i="2" a="1"/>
  <c r="K1212" i="2" s="1"/>
  <c r="D1212" i="2" a="1"/>
  <c r="G1213" i="3" l="1" a="1"/>
  <c r="G1213" i="3" s="1"/>
  <c r="C1215" i="3"/>
  <c r="G1214" i="3" a="1"/>
  <c r="G1214" i="3" s="1"/>
  <c r="L1214" i="3"/>
  <c r="M1214" i="3"/>
  <c r="A1213" i="3" a="1"/>
  <c r="A1213" i="3" s="1"/>
  <c r="B1213" i="3" a="1"/>
  <c r="B1213" i="3" s="1"/>
  <c r="D1212" i="2"/>
  <c r="A1214" i="2" a="1"/>
  <c r="A1214" i="2" s="1"/>
  <c r="B1214" i="2" a="1"/>
  <c r="B1214" i="2" s="1"/>
  <c r="C1216" i="2"/>
  <c r="F1215" i="2"/>
  <c r="K1213" i="2" a="1"/>
  <c r="K1213" i="2" s="1"/>
  <c r="H1213" i="2" a="1"/>
  <c r="H1213" i="2" s="1"/>
  <c r="J1213" i="2" a="1"/>
  <c r="J1213" i="2" s="1"/>
  <c r="I1213" i="2" a="1"/>
  <c r="I1213" i="2" s="1"/>
  <c r="D1213" i="2" a="1"/>
  <c r="I1214" i="3" l="1" a="1"/>
  <c r="I1214" i="3" s="1"/>
  <c r="H1214" i="3" a="1"/>
  <c r="H1214" i="3" s="1"/>
  <c r="K1214" i="3" a="1"/>
  <c r="K1214" i="3" s="1"/>
  <c r="C1216" i="3"/>
  <c r="G1215" i="3" a="1"/>
  <c r="G1215" i="3" s="1"/>
  <c r="L1215" i="3"/>
  <c r="M1215" i="3"/>
  <c r="J1215" i="3" a="1"/>
  <c r="J1215" i="3" s="1"/>
  <c r="J1214" i="3" a="1"/>
  <c r="J1214" i="3" s="1"/>
  <c r="I1213" i="3" a="1"/>
  <c r="I1213" i="3" s="1"/>
  <c r="K1213" i="3" a="1"/>
  <c r="K1213" i="3" s="1"/>
  <c r="H1213" i="3" a="1"/>
  <c r="H1213" i="3" s="1"/>
  <c r="J1213" i="3" a="1"/>
  <c r="J1213" i="3" s="1"/>
  <c r="F1215" i="3"/>
  <c r="F1216" i="3" s="1"/>
  <c r="A1214" i="3" a="1"/>
  <c r="A1214" i="3" s="1"/>
  <c r="B1214" i="3" a="1"/>
  <c r="B1214" i="3" s="1"/>
  <c r="D1213" i="2"/>
  <c r="A1215" i="2" a="1"/>
  <c r="A1215" i="2" s="1"/>
  <c r="B1215" i="2" a="1"/>
  <c r="B1215" i="2" s="1"/>
  <c r="K1214" i="2" a="1"/>
  <c r="K1214" i="2" s="1"/>
  <c r="H1214" i="2" a="1"/>
  <c r="H1214" i="2" s="1"/>
  <c r="J1214" i="2" a="1"/>
  <c r="J1214" i="2" s="1"/>
  <c r="I1214" i="2" a="1"/>
  <c r="I1214" i="2" s="1"/>
  <c r="C1217" i="2"/>
  <c r="F1216" i="2"/>
  <c r="D1214" i="2" a="1"/>
  <c r="C1217" i="3" l="1"/>
  <c r="G1216" i="3" a="1"/>
  <c r="G1216" i="3" s="1"/>
  <c r="L1216" i="3"/>
  <c r="M1216" i="3"/>
  <c r="J1216" i="3" a="1"/>
  <c r="J1216" i="3" s="1"/>
  <c r="K1215" i="3" a="1"/>
  <c r="K1215" i="3" s="1"/>
  <c r="I1215" i="3" a="1"/>
  <c r="I1215" i="3" s="1"/>
  <c r="H1215" i="3" a="1"/>
  <c r="H1215" i="3" s="1"/>
  <c r="F1217" i="3"/>
  <c r="A1215" i="3" a="1"/>
  <c r="A1215" i="3" s="1"/>
  <c r="B1215" i="3" a="1"/>
  <c r="B1215" i="3" s="1"/>
  <c r="D1214" i="2"/>
  <c r="C1218" i="2"/>
  <c r="F1217" i="2"/>
  <c r="I1215" i="2" a="1"/>
  <c r="I1215" i="2" s="1"/>
  <c r="J1215" i="2" a="1"/>
  <c r="J1215" i="2" s="1"/>
  <c r="K1215" i="2" a="1"/>
  <c r="K1215" i="2" s="1"/>
  <c r="H1215" i="2" a="1"/>
  <c r="H1215" i="2" s="1"/>
  <c r="B1216" i="2" a="1"/>
  <c r="B1216" i="2" s="1"/>
  <c r="A1216" i="2" a="1"/>
  <c r="A1216" i="2" s="1"/>
  <c r="D1215" i="2" a="1"/>
  <c r="K1216" i="3" l="1" a="1"/>
  <c r="K1216" i="3" s="1"/>
  <c r="H1216" i="3" a="1"/>
  <c r="H1216" i="3" s="1"/>
  <c r="I1216" i="3" a="1"/>
  <c r="I1216" i="3" s="1"/>
  <c r="C1218" i="3"/>
  <c r="G1217" i="3" a="1"/>
  <c r="G1217" i="3" s="1"/>
  <c r="L1217" i="3"/>
  <c r="M1217" i="3"/>
  <c r="J1217" i="3" a="1"/>
  <c r="J1217" i="3" s="1"/>
  <c r="A1216" i="3" a="1"/>
  <c r="A1216" i="3" s="1"/>
  <c r="B1216" i="3" a="1"/>
  <c r="B1216" i="3" s="1"/>
  <c r="D1215" i="2"/>
  <c r="I1216" i="2" a="1"/>
  <c r="I1216" i="2" s="1"/>
  <c r="J1216" i="2" a="1"/>
  <c r="J1216" i="2" s="1"/>
  <c r="H1216" i="2" a="1"/>
  <c r="H1216" i="2" s="1"/>
  <c r="K1216" i="2" a="1"/>
  <c r="K1216" i="2" s="1"/>
  <c r="A1217" i="2" a="1"/>
  <c r="A1217" i="2" s="1"/>
  <c r="B1217" i="2" a="1"/>
  <c r="B1217" i="2" s="1"/>
  <c r="C1219" i="2"/>
  <c r="F1218" i="2"/>
  <c r="D1216" i="2" a="1"/>
  <c r="H1217" i="3" l="1" a="1"/>
  <c r="H1217" i="3" s="1"/>
  <c r="I1217" i="3" a="1"/>
  <c r="I1217" i="3" s="1"/>
  <c r="K1217" i="3" a="1"/>
  <c r="K1217" i="3" s="1"/>
  <c r="C1219" i="3"/>
  <c r="L1218" i="3"/>
  <c r="M1218" i="3"/>
  <c r="F1218" i="3"/>
  <c r="F1219" i="3" s="1"/>
  <c r="A1217" i="3" a="1"/>
  <c r="A1217" i="3" s="1"/>
  <c r="B1217" i="3" a="1"/>
  <c r="B1217" i="3" s="1"/>
  <c r="D1216" i="2"/>
  <c r="J1217" i="2" a="1"/>
  <c r="J1217" i="2" s="1"/>
  <c r="I1217" i="2" a="1"/>
  <c r="I1217" i="2" s="1"/>
  <c r="K1217" i="2" a="1"/>
  <c r="K1217" i="2" s="1"/>
  <c r="H1217" i="2" a="1"/>
  <c r="H1217" i="2" s="1"/>
  <c r="C1220" i="2"/>
  <c r="F1219" i="2"/>
  <c r="A1218" i="2" a="1"/>
  <c r="A1218" i="2" s="1"/>
  <c r="B1218" i="2" a="1"/>
  <c r="B1218" i="2" s="1"/>
  <c r="D1217" i="2" a="1"/>
  <c r="C1220" i="3" l="1"/>
  <c r="G1219" i="3" a="1"/>
  <c r="G1219" i="3" s="1"/>
  <c r="J1219" i="3" s="1" a="1"/>
  <c r="J1219" i="3" s="1"/>
  <c r="L1219" i="3"/>
  <c r="M1219" i="3"/>
  <c r="F1220" i="3"/>
  <c r="G1218" i="3" a="1"/>
  <c r="G1218" i="3" s="1"/>
  <c r="B1218" i="3" a="1"/>
  <c r="B1218" i="3" s="1"/>
  <c r="A1218" i="3" a="1"/>
  <c r="A1218" i="3" s="1"/>
  <c r="D1217" i="2"/>
  <c r="J1218" i="2" a="1"/>
  <c r="J1218" i="2" s="1"/>
  <c r="K1218" i="2" a="1"/>
  <c r="K1218" i="2" s="1"/>
  <c r="I1218" i="2" a="1"/>
  <c r="I1218" i="2" s="1"/>
  <c r="H1218" i="2" a="1"/>
  <c r="H1218" i="2" s="1"/>
  <c r="C1221" i="2"/>
  <c r="F1220" i="2"/>
  <c r="B1219" i="2" a="1"/>
  <c r="B1219" i="2" s="1"/>
  <c r="A1219" i="2" a="1"/>
  <c r="A1219" i="2" s="1"/>
  <c r="D1218" i="2" a="1"/>
  <c r="K1218" i="3" l="1" a="1"/>
  <c r="K1218" i="3" s="1"/>
  <c r="H1218" i="3" a="1"/>
  <c r="H1218" i="3" s="1"/>
  <c r="I1218" i="3" a="1"/>
  <c r="I1218" i="3" s="1"/>
  <c r="J1218" i="3" a="1"/>
  <c r="J1218" i="3" s="1"/>
  <c r="I1219" i="3" a="1"/>
  <c r="I1219" i="3" s="1"/>
  <c r="H1219" i="3" a="1"/>
  <c r="H1219" i="3" s="1"/>
  <c r="K1219" i="3" a="1"/>
  <c r="K1219" i="3" s="1"/>
  <c r="C1221" i="3"/>
  <c r="G1220" i="3" a="1"/>
  <c r="G1220" i="3" s="1"/>
  <c r="L1220" i="3"/>
  <c r="M1220" i="3"/>
  <c r="B1219" i="3" a="1"/>
  <c r="B1219" i="3" s="1"/>
  <c r="A1219" i="3" a="1"/>
  <c r="A1219" i="3" s="1"/>
  <c r="D1218" i="2"/>
  <c r="I1219" i="2" a="1"/>
  <c r="I1219" i="2" s="1"/>
  <c r="J1219" i="2" a="1"/>
  <c r="J1219" i="2" s="1"/>
  <c r="H1219" i="2" a="1"/>
  <c r="H1219" i="2" s="1"/>
  <c r="K1219" i="2" a="1"/>
  <c r="K1219" i="2" s="1"/>
  <c r="B1220" i="2" a="1"/>
  <c r="B1220" i="2" s="1"/>
  <c r="A1220" i="2" a="1"/>
  <c r="A1220" i="2" s="1"/>
  <c r="C1222" i="2"/>
  <c r="F1221" i="2"/>
  <c r="D1219" i="2" a="1"/>
  <c r="C1222" i="3" l="1"/>
  <c r="L1221" i="3"/>
  <c r="M1221" i="3"/>
  <c r="H1220" i="3" a="1"/>
  <c r="H1220" i="3" s="1"/>
  <c r="K1220" i="3" a="1"/>
  <c r="K1220" i="3" s="1"/>
  <c r="I1220" i="3" a="1"/>
  <c r="I1220" i="3" s="1"/>
  <c r="F1221" i="3"/>
  <c r="F1222" i="3" s="1"/>
  <c r="J1220" i="3" a="1"/>
  <c r="J1220" i="3" s="1"/>
  <c r="A1220" i="3" a="1"/>
  <c r="A1220" i="3" s="1"/>
  <c r="B1220" i="3" a="1"/>
  <c r="B1220" i="3" s="1"/>
  <c r="D1219" i="2"/>
  <c r="A1221" i="2" a="1"/>
  <c r="A1221" i="2" s="1"/>
  <c r="B1221" i="2" a="1"/>
  <c r="B1221" i="2" s="1"/>
  <c r="J1220" i="2" a="1"/>
  <c r="J1220" i="2" s="1"/>
  <c r="H1220" i="2" a="1"/>
  <c r="H1220" i="2" s="1"/>
  <c r="I1220" i="2" a="1"/>
  <c r="I1220" i="2" s="1"/>
  <c r="K1220" i="2" a="1"/>
  <c r="K1220" i="2" s="1"/>
  <c r="C1223" i="2"/>
  <c r="F1222" i="2"/>
  <c r="D1220" i="2" a="1"/>
  <c r="G1221" i="3" l="1" a="1"/>
  <c r="G1221" i="3" s="1"/>
  <c r="C1223" i="3"/>
  <c r="G1222" i="3" a="1"/>
  <c r="G1222" i="3" s="1"/>
  <c r="M1222" i="3"/>
  <c r="L1222" i="3"/>
  <c r="A1221" i="3" a="1"/>
  <c r="A1221" i="3" s="1"/>
  <c r="B1221" i="3" a="1"/>
  <c r="B1221" i="3" s="1"/>
  <c r="D1220" i="2"/>
  <c r="C1224" i="2"/>
  <c r="F1223" i="2"/>
  <c r="K1221" i="2" a="1"/>
  <c r="K1221" i="2" s="1"/>
  <c r="J1221" i="2" a="1"/>
  <c r="J1221" i="2" s="1"/>
  <c r="H1221" i="2" a="1"/>
  <c r="H1221" i="2" s="1"/>
  <c r="I1221" i="2" a="1"/>
  <c r="I1221" i="2" s="1"/>
  <c r="B1222" i="2" a="1"/>
  <c r="B1222" i="2" s="1"/>
  <c r="A1222" i="2" a="1"/>
  <c r="A1222" i="2" s="1"/>
  <c r="D1221" i="2" a="1"/>
  <c r="K1222" i="3" l="1" a="1"/>
  <c r="K1222" i="3" s="1"/>
  <c r="H1222" i="3" a="1"/>
  <c r="H1222" i="3" s="1"/>
  <c r="I1222" i="3" a="1"/>
  <c r="I1222" i="3" s="1"/>
  <c r="C1224" i="3"/>
  <c r="G1223" i="3" a="1"/>
  <c r="G1223" i="3" s="1"/>
  <c r="L1223" i="3"/>
  <c r="M1223" i="3"/>
  <c r="J1223" i="3" a="1"/>
  <c r="J1223" i="3" s="1"/>
  <c r="J1222" i="3" a="1"/>
  <c r="J1222" i="3" s="1"/>
  <c r="H1221" i="3" a="1"/>
  <c r="H1221" i="3" s="1"/>
  <c r="K1221" i="3" a="1"/>
  <c r="K1221" i="3" s="1"/>
  <c r="I1221" i="3" a="1"/>
  <c r="I1221" i="3" s="1"/>
  <c r="J1221" i="3" a="1"/>
  <c r="J1221" i="3" s="1"/>
  <c r="F1223" i="3"/>
  <c r="A1222" i="3" a="1"/>
  <c r="A1222" i="3" s="1"/>
  <c r="B1222" i="3" a="1"/>
  <c r="B1222" i="3" s="1"/>
  <c r="D1221" i="2"/>
  <c r="I1222" i="2" a="1"/>
  <c r="I1222" i="2" s="1"/>
  <c r="K1222" i="2" a="1"/>
  <c r="K1222" i="2" s="1"/>
  <c r="J1222" i="2" a="1"/>
  <c r="J1222" i="2" s="1"/>
  <c r="H1222" i="2" a="1"/>
  <c r="H1222" i="2" s="1"/>
  <c r="A1223" i="2" a="1"/>
  <c r="A1223" i="2" s="1"/>
  <c r="B1223" i="2" a="1"/>
  <c r="B1223" i="2" s="1"/>
  <c r="C1225" i="2"/>
  <c r="F1224" i="2"/>
  <c r="D1222" i="2" a="1"/>
  <c r="C1225" i="3" l="1"/>
  <c r="L1224" i="3"/>
  <c r="M1224" i="3"/>
  <c r="H1223" i="3" a="1"/>
  <c r="H1223" i="3" s="1"/>
  <c r="I1223" i="3" a="1"/>
  <c r="I1223" i="3" s="1"/>
  <c r="K1223" i="3" a="1"/>
  <c r="K1223" i="3" s="1"/>
  <c r="F1224" i="3"/>
  <c r="F1225" i="3" s="1"/>
  <c r="A1223" i="3" a="1"/>
  <c r="A1223" i="3" s="1"/>
  <c r="B1223" i="3" a="1"/>
  <c r="B1223" i="3" s="1"/>
  <c r="D1222" i="2"/>
  <c r="C1226" i="2"/>
  <c r="F1225" i="2"/>
  <c r="I1223" i="2" a="1"/>
  <c r="I1223" i="2" s="1"/>
  <c r="J1223" i="2" a="1"/>
  <c r="J1223" i="2" s="1"/>
  <c r="H1223" i="2" a="1"/>
  <c r="H1223" i="2" s="1"/>
  <c r="K1223" i="2" a="1"/>
  <c r="K1223" i="2" s="1"/>
  <c r="B1224" i="2" a="1"/>
  <c r="B1224" i="2" s="1"/>
  <c r="A1224" i="2" a="1"/>
  <c r="A1224" i="2" s="1"/>
  <c r="D1223" i="2" a="1"/>
  <c r="G1224" i="3" l="1" a="1"/>
  <c r="G1224" i="3" s="1"/>
  <c r="C1226" i="3"/>
  <c r="G1225" i="3" a="1"/>
  <c r="G1225" i="3" s="1"/>
  <c r="M1225" i="3"/>
  <c r="L1225" i="3"/>
  <c r="J1225" i="3" a="1"/>
  <c r="J1225" i="3" s="1"/>
  <c r="A1224" i="3" a="1"/>
  <c r="A1224" i="3" s="1"/>
  <c r="B1224" i="3" a="1"/>
  <c r="B1224" i="3" s="1"/>
  <c r="D1223" i="2"/>
  <c r="K1224" i="2" a="1"/>
  <c r="K1224" i="2" s="1"/>
  <c r="J1224" i="2" a="1"/>
  <c r="J1224" i="2" s="1"/>
  <c r="I1224" i="2" a="1"/>
  <c r="I1224" i="2" s="1"/>
  <c r="H1224" i="2" a="1"/>
  <c r="H1224" i="2" s="1"/>
  <c r="A1225" i="2" a="1"/>
  <c r="A1225" i="2" s="1"/>
  <c r="B1225" i="2" a="1"/>
  <c r="B1225" i="2" s="1"/>
  <c r="C1227" i="2"/>
  <c r="F1226" i="2"/>
  <c r="D1224" i="2" a="1"/>
  <c r="H1225" i="3" l="1" a="1"/>
  <c r="H1225" i="3" s="1"/>
  <c r="H1224" i="3" a="1"/>
  <c r="H1224" i="3" s="1"/>
  <c r="K1224" i="3" a="1"/>
  <c r="K1224" i="3" s="1"/>
  <c r="I1224" i="3" a="1"/>
  <c r="I1224" i="3" s="1"/>
  <c r="J1224" i="3" a="1"/>
  <c r="J1224" i="3" s="1"/>
  <c r="I1225" i="3" a="1"/>
  <c r="I1225" i="3" s="1"/>
  <c r="K1225" i="3" a="1"/>
  <c r="K1225" i="3" s="1"/>
  <c r="C1227" i="3"/>
  <c r="G1226" i="3" a="1"/>
  <c r="G1226" i="3" s="1"/>
  <c r="J1226" i="3" a="1"/>
  <c r="J1226" i="3" s="1"/>
  <c r="L1226" i="3"/>
  <c r="M1226" i="3"/>
  <c r="F1226" i="3"/>
  <c r="A1225" i="3" a="1"/>
  <c r="A1225" i="3" s="1"/>
  <c r="B1225" i="3" a="1"/>
  <c r="B1225" i="3" s="1"/>
  <c r="D1224" i="2"/>
  <c r="A1226" i="2" a="1"/>
  <c r="A1226" i="2" s="1"/>
  <c r="B1226" i="2" a="1"/>
  <c r="B1226" i="2" s="1"/>
  <c r="C1228" i="2"/>
  <c r="F1227" i="2"/>
  <c r="K1225" i="2" a="1"/>
  <c r="K1225" i="2" s="1"/>
  <c r="J1225" i="2" a="1"/>
  <c r="J1225" i="2" s="1"/>
  <c r="I1225" i="2" a="1"/>
  <c r="I1225" i="2" s="1"/>
  <c r="H1225" i="2" a="1"/>
  <c r="H1225" i="2" s="1"/>
  <c r="D1225" i="2" a="1"/>
  <c r="C1228" i="3" l="1"/>
  <c r="L1227" i="3"/>
  <c r="M1227" i="3"/>
  <c r="K1226" i="3" a="1"/>
  <c r="K1226" i="3" s="1"/>
  <c r="I1226" i="3" a="1"/>
  <c r="I1226" i="3" s="1"/>
  <c r="H1226" i="3" a="1"/>
  <c r="H1226" i="3" s="1"/>
  <c r="F1227" i="3"/>
  <c r="F1228" i="3" s="1"/>
  <c r="A1226" i="3" a="1"/>
  <c r="A1226" i="3" s="1"/>
  <c r="B1226" i="3" a="1"/>
  <c r="B1226" i="3" s="1"/>
  <c r="D1225" i="2"/>
  <c r="C1229" i="2"/>
  <c r="F1228" i="2"/>
  <c r="B1227" i="2" a="1"/>
  <c r="B1227" i="2" s="1"/>
  <c r="A1227" i="2" a="1"/>
  <c r="A1227" i="2" s="1"/>
  <c r="K1226" i="2" a="1"/>
  <c r="K1226" i="2" s="1"/>
  <c r="J1226" i="2" a="1"/>
  <c r="J1226" i="2" s="1"/>
  <c r="H1226" i="2" a="1"/>
  <c r="H1226" i="2" s="1"/>
  <c r="I1226" i="2" a="1"/>
  <c r="I1226" i="2" s="1"/>
  <c r="D1226" i="2" a="1"/>
  <c r="G1227" i="3" l="1" a="1"/>
  <c r="G1227" i="3" s="1"/>
  <c r="C1229" i="3"/>
  <c r="G1228" i="3" a="1"/>
  <c r="G1228" i="3" s="1"/>
  <c r="L1228" i="3"/>
  <c r="M1228" i="3"/>
  <c r="J1228" i="3" a="1"/>
  <c r="J1228" i="3" s="1"/>
  <c r="A1227" i="3" a="1"/>
  <c r="A1227" i="3" s="1"/>
  <c r="B1227" i="3" a="1"/>
  <c r="B1227" i="3" s="1"/>
  <c r="D1226" i="2"/>
  <c r="A1228" i="2" a="1"/>
  <c r="A1228" i="2" s="1"/>
  <c r="B1228" i="2" a="1"/>
  <c r="B1228" i="2" s="1"/>
  <c r="H1227" i="2" a="1"/>
  <c r="H1227" i="2" s="1"/>
  <c r="I1227" i="2" a="1"/>
  <c r="I1227" i="2" s="1"/>
  <c r="J1227" i="2" a="1"/>
  <c r="J1227" i="2" s="1"/>
  <c r="K1227" i="2" a="1"/>
  <c r="K1227" i="2" s="1"/>
  <c r="C1230" i="2"/>
  <c r="F1229" i="2"/>
  <c r="D1227" i="2" a="1"/>
  <c r="I1228" i="3" l="1" a="1"/>
  <c r="I1228" i="3" s="1"/>
  <c r="H1228" i="3" a="1"/>
  <c r="H1228" i="3" s="1"/>
  <c r="K1228" i="3" a="1"/>
  <c r="K1228" i="3" s="1"/>
  <c r="C1230" i="3"/>
  <c r="G1229" i="3" a="1"/>
  <c r="G1229" i="3" s="1"/>
  <c r="M1229" i="3"/>
  <c r="L1229" i="3"/>
  <c r="J1229" i="3" a="1"/>
  <c r="J1229" i="3" s="1"/>
  <c r="H1227" i="3" a="1"/>
  <c r="H1227" i="3" s="1"/>
  <c r="K1227" i="3" a="1"/>
  <c r="K1227" i="3" s="1"/>
  <c r="I1227" i="3" a="1"/>
  <c r="I1227" i="3" s="1"/>
  <c r="J1227" i="3" a="1"/>
  <c r="J1227" i="3" s="1"/>
  <c r="F1229" i="3"/>
  <c r="A1228" i="3" a="1"/>
  <c r="A1228" i="3" s="1"/>
  <c r="B1228" i="3" a="1"/>
  <c r="B1228" i="3" s="1"/>
  <c r="D1227" i="2"/>
  <c r="C1231" i="2"/>
  <c r="F1230" i="2"/>
  <c r="B1229" i="2" a="1"/>
  <c r="B1229" i="2" s="1"/>
  <c r="A1229" i="2" a="1"/>
  <c r="A1229" i="2" s="1"/>
  <c r="K1228" i="2" a="1"/>
  <c r="K1228" i="2" s="1"/>
  <c r="I1228" i="2" a="1"/>
  <c r="I1228" i="2" s="1"/>
  <c r="J1228" i="2" a="1"/>
  <c r="J1228" i="2" s="1"/>
  <c r="H1228" i="2" a="1"/>
  <c r="H1228" i="2" s="1"/>
  <c r="D1228" i="2" a="1"/>
  <c r="C1231" i="3" l="1"/>
  <c r="L1230" i="3"/>
  <c r="M1230" i="3"/>
  <c r="K1229" i="3" a="1"/>
  <c r="K1229" i="3" s="1"/>
  <c r="H1229" i="3" a="1"/>
  <c r="H1229" i="3" s="1"/>
  <c r="I1229" i="3" a="1"/>
  <c r="I1229" i="3" s="1"/>
  <c r="F1230" i="3"/>
  <c r="F1231" i="3" s="1"/>
  <c r="A1229" i="3" a="1"/>
  <c r="A1229" i="3" s="1"/>
  <c r="B1229" i="3" a="1"/>
  <c r="B1229" i="3" s="1"/>
  <c r="D1228" i="2"/>
  <c r="K1229" i="2" a="1"/>
  <c r="K1229" i="2" s="1"/>
  <c r="J1229" i="2" a="1"/>
  <c r="J1229" i="2" s="1"/>
  <c r="I1229" i="2" a="1"/>
  <c r="I1229" i="2" s="1"/>
  <c r="H1229" i="2" a="1"/>
  <c r="H1229" i="2" s="1"/>
  <c r="A1230" i="2" a="1"/>
  <c r="A1230" i="2" s="1"/>
  <c r="B1230" i="2" a="1"/>
  <c r="B1230" i="2" s="1"/>
  <c r="C1232" i="2"/>
  <c r="F1231" i="2"/>
  <c r="D1229" i="2" a="1"/>
  <c r="G1230" i="3" l="1" a="1"/>
  <c r="G1230" i="3" s="1"/>
  <c r="C1232" i="3"/>
  <c r="G1231" i="3" a="1"/>
  <c r="G1231" i="3" s="1"/>
  <c r="J1231" i="3" s="1" a="1"/>
  <c r="J1231" i="3" s="1"/>
  <c r="L1231" i="3"/>
  <c r="M1231" i="3"/>
  <c r="B1230" i="3" a="1"/>
  <c r="B1230" i="3" s="1"/>
  <c r="A1230" i="3" a="1"/>
  <c r="A1230" i="3" s="1"/>
  <c r="D1229" i="2"/>
  <c r="K1230" i="2" a="1"/>
  <c r="K1230" i="2" s="1"/>
  <c r="J1230" i="2" a="1"/>
  <c r="J1230" i="2" s="1"/>
  <c r="H1230" i="2" a="1"/>
  <c r="H1230" i="2" s="1"/>
  <c r="I1230" i="2" a="1"/>
  <c r="I1230" i="2" s="1"/>
  <c r="C1233" i="2"/>
  <c r="F1232" i="2"/>
  <c r="B1231" i="2" a="1"/>
  <c r="B1231" i="2" s="1"/>
  <c r="A1231" i="2" a="1"/>
  <c r="A1231" i="2" s="1"/>
  <c r="D1230" i="2" a="1"/>
  <c r="H1230" i="3" l="1" a="1"/>
  <c r="H1230" i="3" s="1"/>
  <c r="I1230" i="3" a="1"/>
  <c r="I1230" i="3" s="1"/>
  <c r="K1230" i="3" a="1"/>
  <c r="K1230" i="3" s="1"/>
  <c r="J1230" i="3" a="1"/>
  <c r="J1230" i="3" s="1"/>
  <c r="H1231" i="3" a="1"/>
  <c r="H1231" i="3" s="1"/>
  <c r="I1231" i="3" a="1"/>
  <c r="I1231" i="3" s="1"/>
  <c r="K1231" i="3" a="1"/>
  <c r="K1231" i="3" s="1"/>
  <c r="C1233" i="3"/>
  <c r="G1232" i="3" a="1"/>
  <c r="G1232" i="3" s="1"/>
  <c r="L1232" i="3"/>
  <c r="M1232" i="3"/>
  <c r="J1232" i="3" a="1"/>
  <c r="J1232" i="3" s="1"/>
  <c r="F1232" i="3"/>
  <c r="B1231" i="3" a="1"/>
  <c r="B1231" i="3" s="1"/>
  <c r="A1231" i="3" a="1"/>
  <c r="A1231" i="3" s="1"/>
  <c r="D1230" i="2"/>
  <c r="J1231" i="2" a="1"/>
  <c r="J1231" i="2" s="1"/>
  <c r="I1231" i="2" a="1"/>
  <c r="I1231" i="2" s="1"/>
  <c r="K1231" i="2" a="1"/>
  <c r="K1231" i="2" s="1"/>
  <c r="H1231" i="2" a="1"/>
  <c r="H1231" i="2" s="1"/>
  <c r="C1234" i="2"/>
  <c r="F1233" i="2"/>
  <c r="A1232" i="2" a="1"/>
  <c r="A1232" i="2" s="1"/>
  <c r="B1232" i="2" a="1"/>
  <c r="B1232" i="2" s="1"/>
  <c r="D1231" i="2" a="1"/>
  <c r="I1232" i="3" l="1" a="1"/>
  <c r="I1232" i="3" s="1"/>
  <c r="H1232" i="3" a="1"/>
  <c r="H1232" i="3" s="1"/>
  <c r="K1232" i="3" a="1"/>
  <c r="K1232" i="3" s="1"/>
  <c r="C1234" i="3"/>
  <c r="L1233" i="3"/>
  <c r="M1233" i="3"/>
  <c r="F1233" i="3"/>
  <c r="F1234" i="3" s="1"/>
  <c r="A1232" i="3" a="1"/>
  <c r="A1232" i="3" s="1"/>
  <c r="B1232" i="3" a="1"/>
  <c r="B1232" i="3" s="1"/>
  <c r="D1231" i="2"/>
  <c r="H1232" i="2" a="1"/>
  <c r="H1232" i="2" s="1"/>
  <c r="J1232" i="2" a="1"/>
  <c r="J1232" i="2" s="1"/>
  <c r="K1232" i="2" a="1"/>
  <c r="K1232" i="2" s="1"/>
  <c r="I1232" i="2" a="1"/>
  <c r="I1232" i="2" s="1"/>
  <c r="C1235" i="2"/>
  <c r="F1234" i="2"/>
  <c r="A1233" i="2" a="1"/>
  <c r="A1233" i="2" s="1"/>
  <c r="B1233" i="2" a="1"/>
  <c r="B1233" i="2" s="1"/>
  <c r="D1232" i="2" a="1"/>
  <c r="G1233" i="3" l="1" a="1"/>
  <c r="G1233" i="3" s="1"/>
  <c r="C1235" i="3"/>
  <c r="G1234" i="3" a="1"/>
  <c r="G1234" i="3" s="1"/>
  <c r="L1234" i="3"/>
  <c r="M1234" i="3"/>
  <c r="J1234" i="3" a="1"/>
  <c r="J1234" i="3" s="1"/>
  <c r="A1233" i="3" a="1"/>
  <c r="A1233" i="3" s="1"/>
  <c r="B1233" i="3" a="1"/>
  <c r="B1233" i="3" s="1"/>
  <c r="D1232" i="2"/>
  <c r="C1236" i="2"/>
  <c r="F1235" i="2"/>
  <c r="I1233" i="2" a="1"/>
  <c r="I1233" i="2" s="1"/>
  <c r="H1233" i="2" a="1"/>
  <c r="H1233" i="2" s="1"/>
  <c r="J1233" i="2" a="1"/>
  <c r="J1233" i="2" s="1"/>
  <c r="K1233" i="2" a="1"/>
  <c r="K1233" i="2" s="1"/>
  <c r="A1234" i="2" a="1"/>
  <c r="A1234" i="2" s="1"/>
  <c r="B1234" i="2" a="1"/>
  <c r="B1234" i="2" s="1"/>
  <c r="D1233" i="2" a="1"/>
  <c r="H1233" i="3" l="1" a="1"/>
  <c r="H1233" i="3" s="1"/>
  <c r="K1233" i="3" a="1"/>
  <c r="K1233" i="3" s="1"/>
  <c r="I1233" i="3" a="1"/>
  <c r="I1233" i="3" s="1"/>
  <c r="J1233" i="3" a="1"/>
  <c r="J1233" i="3" s="1"/>
  <c r="K1234" i="3" a="1"/>
  <c r="K1234" i="3" s="1"/>
  <c r="H1234" i="3" a="1"/>
  <c r="H1234" i="3" s="1"/>
  <c r="I1234" i="3" a="1"/>
  <c r="I1234" i="3" s="1"/>
  <c r="C1236" i="3"/>
  <c r="G1235" i="3" a="1"/>
  <c r="G1235" i="3" s="1"/>
  <c r="L1235" i="3"/>
  <c r="M1235" i="3"/>
  <c r="J1235" i="3" a="1"/>
  <c r="J1235" i="3" s="1"/>
  <c r="F1235" i="3"/>
  <c r="A1234" i="3" a="1"/>
  <c r="A1234" i="3" s="1"/>
  <c r="B1234" i="3" a="1"/>
  <c r="B1234" i="3" s="1"/>
  <c r="D1233" i="2"/>
  <c r="K1234" i="2" a="1"/>
  <c r="K1234" i="2" s="1"/>
  <c r="I1234" i="2" a="1"/>
  <c r="I1234" i="2" s="1"/>
  <c r="J1234" i="2" a="1"/>
  <c r="J1234" i="2" s="1"/>
  <c r="H1234" i="2" a="1"/>
  <c r="H1234" i="2" s="1"/>
  <c r="B1235" i="2" a="1"/>
  <c r="B1235" i="2" s="1"/>
  <c r="A1235" i="2" a="1"/>
  <c r="A1235" i="2" s="1"/>
  <c r="C1237" i="2"/>
  <c r="F1236" i="2"/>
  <c r="D1234" i="2" a="1"/>
  <c r="C1237" i="3" l="1"/>
  <c r="L1236" i="3"/>
  <c r="M1236" i="3"/>
  <c r="H1235" i="3" a="1"/>
  <c r="H1235" i="3" s="1"/>
  <c r="I1235" i="3" a="1"/>
  <c r="I1235" i="3" s="1"/>
  <c r="K1235" i="3" a="1"/>
  <c r="K1235" i="3" s="1"/>
  <c r="F1236" i="3"/>
  <c r="F1237" i="3" s="1"/>
  <c r="A1235" i="3" a="1"/>
  <c r="A1235" i="3" s="1"/>
  <c r="B1235" i="3" a="1"/>
  <c r="B1235" i="3" s="1"/>
  <c r="D1234" i="2"/>
  <c r="A1236" i="2" a="1"/>
  <c r="A1236" i="2" s="1"/>
  <c r="B1236" i="2" a="1"/>
  <c r="B1236" i="2" s="1"/>
  <c r="C1238" i="2"/>
  <c r="F1237" i="2"/>
  <c r="I1235" i="2" a="1"/>
  <c r="I1235" i="2" s="1"/>
  <c r="K1235" i="2" a="1"/>
  <c r="K1235" i="2" s="1"/>
  <c r="J1235" i="2" a="1"/>
  <c r="J1235" i="2" s="1"/>
  <c r="H1235" i="2" a="1"/>
  <c r="H1235" i="2" s="1"/>
  <c r="D1235" i="2" a="1"/>
  <c r="G1236" i="3" l="1" a="1"/>
  <c r="G1236" i="3" s="1"/>
  <c r="C1238" i="3"/>
  <c r="G1237" i="3" a="1"/>
  <c r="G1237" i="3" s="1"/>
  <c r="M1237" i="3"/>
  <c r="L1237" i="3"/>
  <c r="J1237" i="3" a="1"/>
  <c r="J1237" i="3" s="1"/>
  <c r="A1236" i="3" a="1"/>
  <c r="A1236" i="3" s="1"/>
  <c r="B1236" i="3" a="1"/>
  <c r="B1236" i="3" s="1"/>
  <c r="D1235" i="2"/>
  <c r="C1239" i="2"/>
  <c r="F1238" i="2"/>
  <c r="H1236" i="2" a="1"/>
  <c r="H1236" i="2" s="1"/>
  <c r="I1236" i="2" a="1"/>
  <c r="I1236" i="2" s="1"/>
  <c r="J1236" i="2" a="1"/>
  <c r="J1236" i="2" s="1"/>
  <c r="K1236" i="2" a="1"/>
  <c r="K1236" i="2" s="1"/>
  <c r="B1237" i="2" a="1"/>
  <c r="B1237" i="2" s="1"/>
  <c r="A1237" i="2" a="1"/>
  <c r="A1237" i="2" s="1"/>
  <c r="D1236" i="2" a="1"/>
  <c r="C1239" i="3" l="1"/>
  <c r="L1238" i="3"/>
  <c r="M1238" i="3"/>
  <c r="H1237" i="3" a="1"/>
  <c r="H1237" i="3" s="1"/>
  <c r="K1237" i="3" a="1"/>
  <c r="K1237" i="3" s="1"/>
  <c r="I1237" i="3" a="1"/>
  <c r="I1237" i="3" s="1"/>
  <c r="I1236" i="3" a="1"/>
  <c r="I1236" i="3" s="1"/>
  <c r="K1236" i="3" a="1"/>
  <c r="K1236" i="3" s="1"/>
  <c r="H1236" i="3" a="1"/>
  <c r="H1236" i="3" s="1"/>
  <c r="J1236" i="3" a="1"/>
  <c r="J1236" i="3" s="1"/>
  <c r="F1238" i="3"/>
  <c r="F1239" i="3" s="1"/>
  <c r="A1237" i="3" a="1"/>
  <c r="A1237" i="3" s="1"/>
  <c r="B1237" i="3" a="1"/>
  <c r="B1237" i="3" s="1"/>
  <c r="D1236" i="2"/>
  <c r="K1237" i="2" a="1"/>
  <c r="K1237" i="2" s="1"/>
  <c r="H1237" i="2" a="1"/>
  <c r="H1237" i="2" s="1"/>
  <c r="J1237" i="2" a="1"/>
  <c r="J1237" i="2" s="1"/>
  <c r="I1237" i="2" a="1"/>
  <c r="I1237" i="2" s="1"/>
  <c r="B1238" i="2" a="1"/>
  <c r="B1238" i="2" s="1"/>
  <c r="A1238" i="2" a="1"/>
  <c r="A1238" i="2" s="1"/>
  <c r="C1240" i="2"/>
  <c r="F1239" i="2"/>
  <c r="D1237" i="2" a="1"/>
  <c r="G1238" i="3" l="1" a="1"/>
  <c r="G1238" i="3" s="1"/>
  <c r="C1240" i="3"/>
  <c r="G1239" i="3" a="1"/>
  <c r="G1239" i="3" s="1"/>
  <c r="J1239" i="3" a="1"/>
  <c r="J1239" i="3" s="1"/>
  <c r="L1239" i="3"/>
  <c r="M1239" i="3"/>
  <c r="A1238" i="3" a="1"/>
  <c r="A1238" i="3" s="1"/>
  <c r="B1238" i="3" a="1"/>
  <c r="B1238" i="3" s="1"/>
  <c r="D1237" i="2"/>
  <c r="A1239" i="2" a="1"/>
  <c r="A1239" i="2" s="1"/>
  <c r="B1239" i="2" a="1"/>
  <c r="B1239" i="2" s="1"/>
  <c r="C1241" i="2"/>
  <c r="F1240" i="2"/>
  <c r="J1238" i="2" a="1"/>
  <c r="J1238" i="2" s="1"/>
  <c r="H1238" i="2" a="1"/>
  <c r="H1238" i="2" s="1"/>
  <c r="K1238" i="2" a="1"/>
  <c r="K1238" i="2" s="1"/>
  <c r="I1238" i="2" a="1"/>
  <c r="I1238" i="2" s="1"/>
  <c r="D1238" i="2" a="1"/>
  <c r="C1241" i="3" l="1"/>
  <c r="L1240" i="3"/>
  <c r="M1240" i="3"/>
  <c r="F1240" i="3"/>
  <c r="F1241" i="3" s="1"/>
  <c r="H1239" i="3" a="1"/>
  <c r="H1239" i="3" s="1"/>
  <c r="K1239" i="3" a="1"/>
  <c r="K1239" i="3" s="1"/>
  <c r="I1239" i="3" a="1"/>
  <c r="I1239" i="3" s="1"/>
  <c r="I1238" i="3" a="1"/>
  <c r="I1238" i="3" s="1"/>
  <c r="H1238" i="3" a="1"/>
  <c r="H1238" i="3" s="1"/>
  <c r="K1238" i="3" a="1"/>
  <c r="K1238" i="3" s="1"/>
  <c r="J1238" i="3" a="1"/>
  <c r="J1238" i="3" s="1"/>
  <c r="A1239" i="3" a="1"/>
  <c r="A1239" i="3" s="1"/>
  <c r="B1239" i="3" a="1"/>
  <c r="B1239" i="3" s="1"/>
  <c r="D1238" i="2"/>
  <c r="A1240" i="2" a="1"/>
  <c r="A1240" i="2" s="1"/>
  <c r="B1240" i="2" a="1"/>
  <c r="B1240" i="2" s="1"/>
  <c r="C1242" i="2"/>
  <c r="F1241" i="2"/>
  <c r="K1239" i="2" a="1"/>
  <c r="K1239" i="2" s="1"/>
  <c r="I1239" i="2" a="1"/>
  <c r="I1239" i="2" s="1"/>
  <c r="J1239" i="2" a="1"/>
  <c r="J1239" i="2" s="1"/>
  <c r="H1239" i="2" a="1"/>
  <c r="H1239" i="2" s="1"/>
  <c r="D1239" i="2" a="1"/>
  <c r="G1240" i="3" l="1" a="1"/>
  <c r="G1240" i="3" s="1"/>
  <c r="C1242" i="3"/>
  <c r="G1241" i="3" a="1"/>
  <c r="G1241" i="3" s="1"/>
  <c r="L1241" i="3"/>
  <c r="M1241" i="3"/>
  <c r="J1241" i="3" a="1"/>
  <c r="J1241" i="3" s="1"/>
  <c r="A1240" i="3" a="1"/>
  <c r="A1240" i="3" s="1"/>
  <c r="B1240" i="3" a="1"/>
  <c r="B1240" i="3" s="1"/>
  <c r="D1239" i="2"/>
  <c r="H1240" i="2" a="1"/>
  <c r="H1240" i="2" s="1"/>
  <c r="K1240" i="2" a="1"/>
  <c r="K1240" i="2" s="1"/>
  <c r="J1240" i="2" a="1"/>
  <c r="J1240" i="2" s="1"/>
  <c r="I1240" i="2" a="1"/>
  <c r="I1240" i="2" s="1"/>
  <c r="B1241" i="2" a="1"/>
  <c r="B1241" i="2" s="1"/>
  <c r="A1241" i="2" a="1"/>
  <c r="A1241" i="2" s="1"/>
  <c r="C1243" i="2"/>
  <c r="F1242" i="2"/>
  <c r="D1240" i="2" a="1"/>
  <c r="C1243" i="3" l="1"/>
  <c r="L1242" i="3"/>
  <c r="M1242" i="3"/>
  <c r="F1242" i="3"/>
  <c r="F1243" i="3" s="1"/>
  <c r="H1241" i="3" a="1"/>
  <c r="H1241" i="3" s="1"/>
  <c r="I1241" i="3" a="1"/>
  <c r="I1241" i="3" s="1"/>
  <c r="K1241" i="3" a="1"/>
  <c r="K1241" i="3" s="1"/>
  <c r="K1240" i="3" a="1"/>
  <c r="K1240" i="3" s="1"/>
  <c r="H1240" i="3" a="1"/>
  <c r="H1240" i="3" s="1"/>
  <c r="I1240" i="3" a="1"/>
  <c r="I1240" i="3" s="1"/>
  <c r="J1240" i="3" a="1"/>
  <c r="J1240" i="3" s="1"/>
  <c r="A1241" i="3" a="1"/>
  <c r="A1241" i="3" s="1"/>
  <c r="B1241" i="3" a="1"/>
  <c r="B1241" i="3" s="1"/>
  <c r="D1240" i="2"/>
  <c r="A1242" i="2" a="1"/>
  <c r="A1242" i="2" s="1"/>
  <c r="B1242" i="2" a="1"/>
  <c r="B1242" i="2" s="1"/>
  <c r="J1241" i="2" a="1"/>
  <c r="J1241" i="2" s="1"/>
  <c r="I1241" i="2" a="1"/>
  <c r="I1241" i="2" s="1"/>
  <c r="H1241" i="2" a="1"/>
  <c r="H1241" i="2" s="1"/>
  <c r="K1241" i="2" a="1"/>
  <c r="K1241" i="2" s="1"/>
  <c r="C1244" i="2"/>
  <c r="F1243" i="2"/>
  <c r="D1241" i="2" a="1"/>
  <c r="G1242" i="3" l="1" a="1"/>
  <c r="G1242" i="3" s="1"/>
  <c r="C1244" i="3"/>
  <c r="G1243" i="3" a="1"/>
  <c r="G1243" i="3" s="1"/>
  <c r="L1243" i="3"/>
  <c r="M1243" i="3"/>
  <c r="B1242" i="3" a="1"/>
  <c r="B1242" i="3" s="1"/>
  <c r="A1242" i="3" a="1"/>
  <c r="A1242" i="3" s="1"/>
  <c r="D1241" i="2"/>
  <c r="B1243" i="2" a="1"/>
  <c r="B1243" i="2" s="1"/>
  <c r="A1243" i="2" a="1"/>
  <c r="A1243" i="2" s="1"/>
  <c r="J1242" i="2" a="1"/>
  <c r="J1242" i="2" s="1"/>
  <c r="I1242" i="2" a="1"/>
  <c r="I1242" i="2" s="1"/>
  <c r="K1242" i="2" a="1"/>
  <c r="K1242" i="2" s="1"/>
  <c r="H1242" i="2" a="1"/>
  <c r="H1242" i="2" s="1"/>
  <c r="C1245" i="2"/>
  <c r="F1244" i="2"/>
  <c r="D1242" i="2" a="1"/>
  <c r="H1243" i="3" l="1" a="1"/>
  <c r="H1243" i="3" s="1"/>
  <c r="I1243" i="3" a="1"/>
  <c r="I1243" i="3" s="1"/>
  <c r="K1243" i="3" a="1"/>
  <c r="K1243" i="3" s="1"/>
  <c r="C1245" i="3"/>
  <c r="G1244" i="3" a="1"/>
  <c r="G1244" i="3" s="1"/>
  <c r="L1244" i="3"/>
  <c r="M1244" i="3"/>
  <c r="J1243" i="3" a="1"/>
  <c r="J1243" i="3" s="1"/>
  <c r="I1242" i="3" a="1"/>
  <c r="I1242" i="3" s="1"/>
  <c r="K1242" i="3" a="1"/>
  <c r="K1242" i="3" s="1"/>
  <c r="H1242" i="3" a="1"/>
  <c r="H1242" i="3" s="1"/>
  <c r="J1242" i="3" a="1"/>
  <c r="J1242" i="3" s="1"/>
  <c r="F1244" i="3"/>
  <c r="F1245" i="3" s="1"/>
  <c r="B1243" i="3" a="1"/>
  <c r="B1243" i="3" s="1"/>
  <c r="A1243" i="3" a="1"/>
  <c r="A1243" i="3" s="1"/>
  <c r="D1242" i="2"/>
  <c r="C1246" i="2"/>
  <c r="F1245" i="2"/>
  <c r="B1244" i="2" a="1"/>
  <c r="B1244" i="2" s="1"/>
  <c r="A1244" i="2" a="1"/>
  <c r="A1244" i="2" s="1"/>
  <c r="I1243" i="2" a="1"/>
  <c r="I1243" i="2" s="1"/>
  <c r="K1243" i="2" a="1"/>
  <c r="K1243" i="2" s="1"/>
  <c r="J1243" i="2" a="1"/>
  <c r="J1243" i="2" s="1"/>
  <c r="H1243" i="2" a="1"/>
  <c r="H1243" i="2" s="1"/>
  <c r="D1243" i="2" a="1"/>
  <c r="I1244" i="3" l="1" a="1"/>
  <c r="I1244" i="3" s="1"/>
  <c r="H1244" i="3" a="1"/>
  <c r="H1244" i="3" s="1"/>
  <c r="K1244" i="3" a="1"/>
  <c r="K1244" i="3" s="1"/>
  <c r="C1246" i="3"/>
  <c r="G1245" i="3" a="1"/>
  <c r="G1245" i="3" s="1"/>
  <c r="J1245" i="3" a="1"/>
  <c r="J1245" i="3" s="1"/>
  <c r="L1245" i="3"/>
  <c r="M1245" i="3"/>
  <c r="J1244" i="3" a="1"/>
  <c r="J1244" i="3" s="1"/>
  <c r="F1246" i="3"/>
  <c r="A1244" i="3" a="1"/>
  <c r="A1244" i="3" s="1"/>
  <c r="B1244" i="3" a="1"/>
  <c r="B1244" i="3" s="1"/>
  <c r="D1243" i="2"/>
  <c r="K1244" i="2" a="1"/>
  <c r="K1244" i="2" s="1"/>
  <c r="J1244" i="2" a="1"/>
  <c r="J1244" i="2" s="1"/>
  <c r="H1244" i="2" a="1"/>
  <c r="H1244" i="2" s="1"/>
  <c r="I1244" i="2" a="1"/>
  <c r="I1244" i="2" s="1"/>
  <c r="A1245" i="2" a="1"/>
  <c r="A1245" i="2" s="1"/>
  <c r="B1245" i="2" a="1"/>
  <c r="B1245" i="2" s="1"/>
  <c r="C1247" i="2"/>
  <c r="F1246" i="2"/>
  <c r="D1244" i="2" a="1"/>
  <c r="C1247" i="3" l="1"/>
  <c r="G1246" i="3" a="1"/>
  <c r="G1246" i="3" s="1"/>
  <c r="L1246" i="3"/>
  <c r="M1246" i="3"/>
  <c r="J1246" i="3" a="1"/>
  <c r="J1246" i="3" s="1"/>
  <c r="F1247" i="3"/>
  <c r="H1245" i="3" a="1"/>
  <c r="H1245" i="3" s="1"/>
  <c r="K1245" i="3" a="1"/>
  <c r="K1245" i="3" s="1"/>
  <c r="I1245" i="3" a="1"/>
  <c r="I1245" i="3" s="1"/>
  <c r="A1245" i="3" a="1"/>
  <c r="A1245" i="3" s="1"/>
  <c r="B1245" i="3" a="1"/>
  <c r="B1245" i="3" s="1"/>
  <c r="D1244" i="2"/>
  <c r="C1248" i="2"/>
  <c r="F1247" i="2"/>
  <c r="J1245" i="2" a="1"/>
  <c r="J1245" i="2" s="1"/>
  <c r="H1245" i="2" a="1"/>
  <c r="H1245" i="2" s="1"/>
  <c r="I1245" i="2" a="1"/>
  <c r="I1245" i="2" s="1"/>
  <c r="K1245" i="2" a="1"/>
  <c r="K1245" i="2" s="1"/>
  <c r="A1246" i="2" a="1"/>
  <c r="A1246" i="2" s="1"/>
  <c r="B1246" i="2" a="1"/>
  <c r="B1246" i="2" s="1"/>
  <c r="D1245" i="2" a="1"/>
  <c r="H1246" i="3" l="1" a="1"/>
  <c r="H1246" i="3" s="1"/>
  <c r="I1246" i="3" a="1"/>
  <c r="I1246" i="3" s="1"/>
  <c r="K1246" i="3" a="1"/>
  <c r="K1246" i="3" s="1"/>
  <c r="C1248" i="3"/>
  <c r="G1247" i="3" a="1"/>
  <c r="G1247" i="3" s="1"/>
  <c r="L1247" i="3"/>
  <c r="M1247" i="3"/>
  <c r="J1247" i="3" a="1"/>
  <c r="J1247" i="3" s="1"/>
  <c r="B1246" i="3" a="1"/>
  <c r="B1246" i="3" s="1"/>
  <c r="A1246" i="3" a="1"/>
  <c r="A1246" i="3" s="1"/>
  <c r="D1245" i="2"/>
  <c r="A1247" i="2" a="1"/>
  <c r="A1247" i="2" s="1"/>
  <c r="B1247" i="2" a="1"/>
  <c r="B1247" i="2" s="1"/>
  <c r="I1246" i="2" a="1"/>
  <c r="I1246" i="2" s="1"/>
  <c r="K1246" i="2" a="1"/>
  <c r="K1246" i="2" s="1"/>
  <c r="J1246" i="2" a="1"/>
  <c r="J1246" i="2" s="1"/>
  <c r="H1246" i="2" a="1"/>
  <c r="H1246" i="2" s="1"/>
  <c r="C1249" i="2"/>
  <c r="F1248" i="2"/>
  <c r="D1246" i="2" a="1"/>
  <c r="C1249" i="3" l="1"/>
  <c r="M1248" i="3"/>
  <c r="L1248" i="3"/>
  <c r="I1247" i="3" a="1"/>
  <c r="I1247" i="3" s="1"/>
  <c r="K1247" i="3" a="1"/>
  <c r="K1247" i="3" s="1"/>
  <c r="H1247" i="3" a="1"/>
  <c r="H1247" i="3" s="1"/>
  <c r="F1248" i="3"/>
  <c r="F1249" i="3" s="1"/>
  <c r="A1247" i="3" a="1"/>
  <c r="A1247" i="3" s="1"/>
  <c r="B1247" i="3" a="1"/>
  <c r="B1247" i="3" s="1"/>
  <c r="D1246" i="2"/>
  <c r="A1248" i="2" a="1"/>
  <c r="A1248" i="2" s="1"/>
  <c r="B1248" i="2" a="1"/>
  <c r="B1248" i="2" s="1"/>
  <c r="I1247" i="2" a="1"/>
  <c r="I1247" i="2" s="1"/>
  <c r="J1247" i="2" a="1"/>
  <c r="J1247" i="2" s="1"/>
  <c r="K1247" i="2" a="1"/>
  <c r="K1247" i="2" s="1"/>
  <c r="H1247" i="2" a="1"/>
  <c r="H1247" i="2" s="1"/>
  <c r="C1250" i="2"/>
  <c r="F1249" i="2"/>
  <c r="D1247" i="2" a="1"/>
  <c r="G1248" i="3" l="1" a="1"/>
  <c r="G1248" i="3" s="1"/>
  <c r="C1250" i="3"/>
  <c r="G1249" i="3" a="1"/>
  <c r="G1249" i="3" s="1"/>
  <c r="L1249" i="3"/>
  <c r="M1249" i="3"/>
  <c r="J1249" i="3" a="1"/>
  <c r="J1249" i="3" s="1"/>
  <c r="A1248" i="3" a="1"/>
  <c r="A1248" i="3" s="1"/>
  <c r="B1248" i="3" a="1"/>
  <c r="B1248" i="3" s="1"/>
  <c r="D1247" i="2"/>
  <c r="C1251" i="2"/>
  <c r="F1250" i="2"/>
  <c r="B1249" i="2" a="1"/>
  <c r="B1249" i="2" s="1"/>
  <c r="A1249" i="2" a="1"/>
  <c r="A1249" i="2" s="1"/>
  <c r="I1248" i="2" a="1"/>
  <c r="I1248" i="2" s="1"/>
  <c r="K1248" i="2" a="1"/>
  <c r="K1248" i="2" s="1"/>
  <c r="J1248" i="2" a="1"/>
  <c r="J1248" i="2" s="1"/>
  <c r="H1248" i="2" a="1"/>
  <c r="H1248" i="2" s="1"/>
  <c r="D1248" i="2" a="1"/>
  <c r="C1251" i="3" l="1"/>
  <c r="G1250" i="3" a="1"/>
  <c r="G1250" i="3" s="1"/>
  <c r="L1250" i="3"/>
  <c r="M1250" i="3"/>
  <c r="J1250" i="3" a="1"/>
  <c r="J1250" i="3" s="1"/>
  <c r="H1249" i="3" a="1"/>
  <c r="H1249" i="3" s="1"/>
  <c r="I1249" i="3" a="1"/>
  <c r="I1249" i="3" s="1"/>
  <c r="K1249" i="3" a="1"/>
  <c r="K1249" i="3" s="1"/>
  <c r="H1248" i="3" a="1"/>
  <c r="H1248" i="3" s="1"/>
  <c r="I1248" i="3" a="1"/>
  <c r="I1248" i="3" s="1"/>
  <c r="K1248" i="3" a="1"/>
  <c r="K1248" i="3" s="1"/>
  <c r="J1248" i="3" a="1"/>
  <c r="J1248" i="3" s="1"/>
  <c r="F1250" i="3"/>
  <c r="F1251" i="3" s="1"/>
  <c r="A1249" i="3" a="1"/>
  <c r="A1249" i="3" s="1"/>
  <c r="B1249" i="3" a="1"/>
  <c r="B1249" i="3" s="1"/>
  <c r="D1248" i="2"/>
  <c r="H1249" i="2" a="1"/>
  <c r="H1249" i="2" s="1"/>
  <c r="K1249" i="2" a="1"/>
  <c r="K1249" i="2" s="1"/>
  <c r="I1249" i="2" a="1"/>
  <c r="I1249" i="2" s="1"/>
  <c r="J1249" i="2" a="1"/>
  <c r="J1249" i="2" s="1"/>
  <c r="B1250" i="2" a="1"/>
  <c r="B1250" i="2" s="1"/>
  <c r="A1250" i="2" a="1"/>
  <c r="A1250" i="2" s="1"/>
  <c r="C1252" i="2"/>
  <c r="F1251" i="2"/>
  <c r="D1249" i="2" a="1"/>
  <c r="K1250" i="3" l="1" a="1"/>
  <c r="K1250" i="3" s="1"/>
  <c r="H1250" i="3" a="1"/>
  <c r="H1250" i="3" s="1"/>
  <c r="I1250" i="3" a="1"/>
  <c r="I1250" i="3" s="1"/>
  <c r="C1252" i="3"/>
  <c r="F1252" i="3" s="1"/>
  <c r="G1251" i="3" a="1"/>
  <c r="G1251" i="3" s="1"/>
  <c r="J1251" i="3" s="1" a="1"/>
  <c r="J1251" i="3" s="1"/>
  <c r="L1251" i="3"/>
  <c r="M1251" i="3"/>
  <c r="A1250" i="3" a="1"/>
  <c r="A1250" i="3" s="1"/>
  <c r="B1250" i="3" a="1"/>
  <c r="B1250" i="3" s="1"/>
  <c r="D1249" i="2"/>
  <c r="C1253" i="2"/>
  <c r="F1252" i="2"/>
  <c r="A1251" i="2" a="1"/>
  <c r="A1251" i="2" s="1"/>
  <c r="B1251" i="2" a="1"/>
  <c r="B1251" i="2" s="1"/>
  <c r="J1250" i="2" a="1"/>
  <c r="J1250" i="2" s="1"/>
  <c r="I1250" i="2" a="1"/>
  <c r="I1250" i="2" s="1"/>
  <c r="H1250" i="2" a="1"/>
  <c r="H1250" i="2" s="1"/>
  <c r="K1250" i="2" a="1"/>
  <c r="K1250" i="2" s="1"/>
  <c r="D1250" i="2" a="1"/>
  <c r="H1251" i="3" l="1" a="1"/>
  <c r="H1251" i="3" s="1"/>
  <c r="I1251" i="3" a="1"/>
  <c r="I1251" i="3" s="1"/>
  <c r="K1251" i="3" a="1"/>
  <c r="K1251" i="3" s="1"/>
  <c r="C1253" i="3"/>
  <c r="G1252" i="3" a="1"/>
  <c r="G1252" i="3" s="1"/>
  <c r="L1252" i="3"/>
  <c r="M1252" i="3"/>
  <c r="A1251" i="3" a="1"/>
  <c r="A1251" i="3" s="1"/>
  <c r="B1251" i="3" a="1"/>
  <c r="B1251" i="3" s="1"/>
  <c r="D1250" i="2"/>
  <c r="J1251" i="2" a="1"/>
  <c r="J1251" i="2" s="1"/>
  <c r="K1251" i="2" a="1"/>
  <c r="K1251" i="2" s="1"/>
  <c r="I1251" i="2" a="1"/>
  <c r="I1251" i="2" s="1"/>
  <c r="H1251" i="2" a="1"/>
  <c r="H1251" i="2" s="1"/>
  <c r="A1252" i="2" a="1"/>
  <c r="A1252" i="2" s="1"/>
  <c r="B1252" i="2" a="1"/>
  <c r="B1252" i="2" s="1"/>
  <c r="C1254" i="2"/>
  <c r="F1253" i="2"/>
  <c r="D1251" i="2" a="1"/>
  <c r="K1252" i="3" l="1" a="1"/>
  <c r="K1252" i="3" s="1"/>
  <c r="H1252" i="3" a="1"/>
  <c r="H1252" i="3" s="1"/>
  <c r="I1252" i="3" a="1"/>
  <c r="I1252" i="3" s="1"/>
  <c r="J1252" i="3" a="1"/>
  <c r="J1252" i="3" s="1"/>
  <c r="C1254" i="3"/>
  <c r="L1253" i="3"/>
  <c r="M1253" i="3"/>
  <c r="F1253" i="3"/>
  <c r="F1254" i="3" s="1"/>
  <c r="A1252" i="3" a="1"/>
  <c r="A1252" i="3" s="1"/>
  <c r="B1252" i="3" a="1"/>
  <c r="B1252" i="3" s="1"/>
  <c r="D1251" i="2"/>
  <c r="A1253" i="2" a="1"/>
  <c r="A1253" i="2" s="1"/>
  <c r="B1253" i="2" a="1"/>
  <c r="B1253" i="2" s="1"/>
  <c r="C1255" i="2"/>
  <c r="F1254" i="2"/>
  <c r="J1252" i="2" a="1"/>
  <c r="J1252" i="2" s="1"/>
  <c r="I1252" i="2" a="1"/>
  <c r="I1252" i="2" s="1"/>
  <c r="K1252" i="2" a="1"/>
  <c r="K1252" i="2" s="1"/>
  <c r="H1252" i="2" a="1"/>
  <c r="H1252" i="2" s="1"/>
  <c r="D1252" i="2" a="1"/>
  <c r="C1255" i="3" l="1"/>
  <c r="G1254" i="3" a="1"/>
  <c r="G1254" i="3" s="1"/>
  <c r="M1254" i="3"/>
  <c r="L1254" i="3"/>
  <c r="J1254" i="3" a="1"/>
  <c r="J1254" i="3" s="1"/>
  <c r="F1255" i="3"/>
  <c r="G1253" i="3" a="1"/>
  <c r="G1253" i="3" s="1"/>
  <c r="A1253" i="3" a="1"/>
  <c r="A1253" i="3" s="1"/>
  <c r="B1253" i="3" a="1"/>
  <c r="B1253" i="3" s="1"/>
  <c r="D1252" i="2"/>
  <c r="C1256" i="2"/>
  <c r="F1255" i="2"/>
  <c r="I1253" i="2" a="1"/>
  <c r="I1253" i="2" s="1"/>
  <c r="J1253" i="2" a="1"/>
  <c r="J1253" i="2" s="1"/>
  <c r="K1253" i="2" a="1"/>
  <c r="K1253" i="2" s="1"/>
  <c r="H1253" i="2" a="1"/>
  <c r="H1253" i="2" s="1"/>
  <c r="B1254" i="2" a="1"/>
  <c r="B1254" i="2" s="1"/>
  <c r="A1254" i="2" a="1"/>
  <c r="A1254" i="2" s="1"/>
  <c r="D1253" i="2" a="1"/>
  <c r="K1253" i="3" l="1" a="1"/>
  <c r="K1253" i="3" s="1"/>
  <c r="H1253" i="3" a="1"/>
  <c r="H1253" i="3" s="1"/>
  <c r="I1253" i="3" a="1"/>
  <c r="I1253" i="3" s="1"/>
  <c r="J1253" i="3" a="1"/>
  <c r="J1253" i="3" s="1"/>
  <c r="I1254" i="3" a="1"/>
  <c r="I1254" i="3" s="1"/>
  <c r="H1254" i="3" a="1"/>
  <c r="H1254" i="3" s="1"/>
  <c r="K1254" i="3" a="1"/>
  <c r="K1254" i="3" s="1"/>
  <c r="C1256" i="3"/>
  <c r="G1255" i="3" a="1"/>
  <c r="G1255" i="3" s="1"/>
  <c r="L1255" i="3"/>
  <c r="M1255" i="3"/>
  <c r="B1254" i="3" a="1"/>
  <c r="B1254" i="3" s="1"/>
  <c r="A1254" i="3" a="1"/>
  <c r="A1254" i="3" s="1"/>
  <c r="D1253" i="2"/>
  <c r="H1254" i="2" a="1"/>
  <c r="H1254" i="2" s="1"/>
  <c r="J1254" i="2" a="1"/>
  <c r="J1254" i="2" s="1"/>
  <c r="I1254" i="2" a="1"/>
  <c r="I1254" i="2" s="1"/>
  <c r="K1254" i="2" a="1"/>
  <c r="K1254" i="2" s="1"/>
  <c r="B1255" i="2" a="1"/>
  <c r="B1255" i="2" s="1"/>
  <c r="A1255" i="2" a="1"/>
  <c r="A1255" i="2" s="1"/>
  <c r="C1257" i="2"/>
  <c r="F1256" i="2"/>
  <c r="D1254" i="2" a="1"/>
  <c r="C1257" i="3" l="1"/>
  <c r="L1256" i="3"/>
  <c r="M1256" i="3"/>
  <c r="F1256" i="3"/>
  <c r="F1257" i="3" s="1"/>
  <c r="H1255" i="3" a="1"/>
  <c r="H1255" i="3" s="1"/>
  <c r="I1255" i="3" a="1"/>
  <c r="I1255" i="3" s="1"/>
  <c r="K1255" i="3" a="1"/>
  <c r="K1255" i="3" s="1"/>
  <c r="J1255" i="3" a="1"/>
  <c r="J1255" i="3" s="1"/>
  <c r="B1255" i="3" a="1"/>
  <c r="B1255" i="3" s="1"/>
  <c r="A1255" i="3" a="1"/>
  <c r="A1255" i="3" s="1"/>
  <c r="D1254" i="2"/>
  <c r="B1256" i="2" a="1"/>
  <c r="B1256" i="2" s="1"/>
  <c r="A1256" i="2" a="1"/>
  <c r="A1256" i="2" s="1"/>
  <c r="C1258" i="2"/>
  <c r="F1257" i="2"/>
  <c r="J1255" i="2" a="1"/>
  <c r="J1255" i="2" s="1"/>
  <c r="K1255" i="2" a="1"/>
  <c r="K1255" i="2" s="1"/>
  <c r="I1255" i="2" a="1"/>
  <c r="I1255" i="2" s="1"/>
  <c r="H1255" i="2" a="1"/>
  <c r="H1255" i="2" s="1"/>
  <c r="D1255" i="2" a="1"/>
  <c r="G1256" i="3" l="1" a="1"/>
  <c r="G1256" i="3" s="1"/>
  <c r="C1258" i="3"/>
  <c r="G1257" i="3" a="1"/>
  <c r="G1257" i="3" s="1"/>
  <c r="L1257" i="3"/>
  <c r="M1257" i="3"/>
  <c r="A1256" i="3" a="1"/>
  <c r="A1256" i="3" s="1"/>
  <c r="B1256" i="3" a="1"/>
  <c r="B1256" i="3" s="1"/>
  <c r="D1255" i="2"/>
  <c r="B1257" i="2" a="1"/>
  <c r="B1257" i="2" s="1"/>
  <c r="A1257" i="2" a="1"/>
  <c r="A1257" i="2" s="1"/>
  <c r="C1259" i="2"/>
  <c r="F1258" i="2"/>
  <c r="I1256" i="2" a="1"/>
  <c r="I1256" i="2" s="1"/>
  <c r="K1256" i="2" a="1"/>
  <c r="K1256" i="2" s="1"/>
  <c r="H1256" i="2" a="1"/>
  <c r="H1256" i="2" s="1"/>
  <c r="J1256" i="2" a="1"/>
  <c r="J1256" i="2" s="1"/>
  <c r="D1256" i="2" a="1"/>
  <c r="K1257" i="3" l="1" a="1"/>
  <c r="K1257" i="3" s="1"/>
  <c r="H1257" i="3" a="1"/>
  <c r="H1257" i="3" s="1"/>
  <c r="I1257" i="3" a="1"/>
  <c r="I1257" i="3" s="1"/>
  <c r="C1259" i="3"/>
  <c r="G1258" i="3" a="1"/>
  <c r="G1258" i="3" s="1"/>
  <c r="M1258" i="3"/>
  <c r="L1258" i="3"/>
  <c r="J1257" i="3" a="1"/>
  <c r="J1257" i="3" s="1"/>
  <c r="H1256" i="3" a="1"/>
  <c r="H1256" i="3" s="1"/>
  <c r="K1256" i="3" a="1"/>
  <c r="K1256" i="3" s="1"/>
  <c r="I1256" i="3" a="1"/>
  <c r="I1256" i="3" s="1"/>
  <c r="J1256" i="3" a="1"/>
  <c r="J1256" i="3" s="1"/>
  <c r="F1258" i="3"/>
  <c r="A1257" i="3" a="1"/>
  <c r="A1257" i="3" s="1"/>
  <c r="B1257" i="3" a="1"/>
  <c r="B1257" i="3" s="1"/>
  <c r="D1256" i="2"/>
  <c r="J1257" i="2" a="1"/>
  <c r="J1257" i="2" s="1"/>
  <c r="K1257" i="2" a="1"/>
  <c r="K1257" i="2" s="1"/>
  <c r="H1257" i="2" a="1"/>
  <c r="H1257" i="2" s="1"/>
  <c r="I1257" i="2" a="1"/>
  <c r="I1257" i="2" s="1"/>
  <c r="A1258" i="2" a="1"/>
  <c r="A1258" i="2" s="1"/>
  <c r="B1258" i="2" a="1"/>
  <c r="B1258" i="2" s="1"/>
  <c r="C1260" i="2"/>
  <c r="F1259" i="2"/>
  <c r="D1257" i="2" a="1"/>
  <c r="K1258" i="3" l="1" a="1"/>
  <c r="K1258" i="3" s="1"/>
  <c r="H1258" i="3" a="1"/>
  <c r="H1258" i="3" s="1"/>
  <c r="I1258" i="3" a="1"/>
  <c r="I1258" i="3" s="1"/>
  <c r="C1260" i="3"/>
  <c r="L1259" i="3"/>
  <c r="M1259" i="3"/>
  <c r="J1258" i="3" a="1"/>
  <c r="J1258" i="3" s="1"/>
  <c r="F1259" i="3"/>
  <c r="F1260" i="3" s="1"/>
  <c r="A1258" i="3" a="1"/>
  <c r="A1258" i="3" s="1"/>
  <c r="B1258" i="3" a="1"/>
  <c r="B1258" i="3" s="1"/>
  <c r="D1257" i="2"/>
  <c r="C1261" i="2"/>
  <c r="F1260" i="2"/>
  <c r="A1259" i="2" a="1"/>
  <c r="A1259" i="2" s="1"/>
  <c r="B1259" i="2" a="1"/>
  <c r="B1259" i="2" s="1"/>
  <c r="J1258" i="2" a="1"/>
  <c r="J1258" i="2" s="1"/>
  <c r="I1258" i="2" a="1"/>
  <c r="I1258" i="2" s="1"/>
  <c r="K1258" i="2" a="1"/>
  <c r="K1258" i="2" s="1"/>
  <c r="H1258" i="2" a="1"/>
  <c r="H1258" i="2" s="1"/>
  <c r="D1258" i="2" a="1"/>
  <c r="G1259" i="3" l="1" a="1"/>
  <c r="G1259" i="3" s="1"/>
  <c r="C1261" i="3"/>
  <c r="G1260" i="3" a="1"/>
  <c r="G1260" i="3" s="1"/>
  <c r="L1260" i="3"/>
  <c r="M1260" i="3"/>
  <c r="A1259" i="3" a="1"/>
  <c r="A1259" i="3" s="1"/>
  <c r="B1259" i="3" a="1"/>
  <c r="B1259" i="3" s="1"/>
  <c r="D1258" i="2"/>
  <c r="K1259" i="2" a="1"/>
  <c r="K1259" i="2" s="1"/>
  <c r="H1259" i="2" a="1"/>
  <c r="H1259" i="2" s="1"/>
  <c r="I1259" i="2" a="1"/>
  <c r="I1259" i="2" s="1"/>
  <c r="J1259" i="2" a="1"/>
  <c r="J1259" i="2" s="1"/>
  <c r="B1260" i="2" a="1"/>
  <c r="B1260" i="2" s="1"/>
  <c r="A1260" i="2" a="1"/>
  <c r="A1260" i="2" s="1"/>
  <c r="C1262" i="2"/>
  <c r="F1261" i="2"/>
  <c r="D1259" i="2" a="1"/>
  <c r="H1260" i="3" l="1" a="1"/>
  <c r="H1260" i="3" s="1"/>
  <c r="I1260" i="3" a="1"/>
  <c r="I1260" i="3" s="1"/>
  <c r="K1260" i="3" a="1"/>
  <c r="K1260" i="3" s="1"/>
  <c r="C1262" i="3"/>
  <c r="G1261" i="3" a="1"/>
  <c r="G1261" i="3" s="1"/>
  <c r="L1261" i="3"/>
  <c r="M1261" i="3"/>
  <c r="J1260" i="3" a="1"/>
  <c r="J1260" i="3" s="1"/>
  <c r="H1259" i="3" a="1"/>
  <c r="H1259" i="3" s="1"/>
  <c r="I1259" i="3" a="1"/>
  <c r="I1259" i="3" s="1"/>
  <c r="K1259" i="3" a="1"/>
  <c r="K1259" i="3" s="1"/>
  <c r="J1259" i="3" a="1"/>
  <c r="J1259" i="3" s="1"/>
  <c r="F1261" i="3"/>
  <c r="F1262" i="3" s="1"/>
  <c r="A1260" i="3" a="1"/>
  <c r="A1260" i="3" s="1"/>
  <c r="B1260" i="3" a="1"/>
  <c r="B1260" i="3" s="1"/>
  <c r="D1259" i="2"/>
  <c r="I1260" i="2" a="1"/>
  <c r="I1260" i="2" s="1"/>
  <c r="J1260" i="2" a="1"/>
  <c r="J1260" i="2" s="1"/>
  <c r="K1260" i="2" a="1"/>
  <c r="K1260" i="2" s="1"/>
  <c r="H1260" i="2" a="1"/>
  <c r="H1260" i="2" s="1"/>
  <c r="C1263" i="2"/>
  <c r="F1262" i="2"/>
  <c r="B1261" i="2" a="1"/>
  <c r="B1261" i="2" s="1"/>
  <c r="A1261" i="2" a="1"/>
  <c r="A1261" i="2" s="1"/>
  <c r="D1260" i="2" a="1"/>
  <c r="H1261" i="3" l="1" a="1"/>
  <c r="H1261" i="3" s="1"/>
  <c r="I1261" i="3" a="1"/>
  <c r="I1261" i="3" s="1"/>
  <c r="K1261" i="3" a="1"/>
  <c r="K1261" i="3" s="1"/>
  <c r="C1263" i="3"/>
  <c r="G1262" i="3" a="1"/>
  <c r="G1262" i="3" s="1"/>
  <c r="L1262" i="3"/>
  <c r="M1262" i="3"/>
  <c r="J1262" i="3" a="1"/>
  <c r="J1262" i="3" s="1"/>
  <c r="F1263" i="3"/>
  <c r="J1261" i="3" a="1"/>
  <c r="J1261" i="3" s="1"/>
  <c r="A1261" i="3" a="1"/>
  <c r="A1261" i="3" s="1"/>
  <c r="B1261" i="3" a="1"/>
  <c r="B1261" i="3" s="1"/>
  <c r="D1260" i="2"/>
  <c r="H1261" i="2" a="1"/>
  <c r="H1261" i="2" s="1"/>
  <c r="K1261" i="2" a="1"/>
  <c r="K1261" i="2" s="1"/>
  <c r="I1261" i="2" a="1"/>
  <c r="I1261" i="2" s="1"/>
  <c r="J1261" i="2" a="1"/>
  <c r="J1261" i="2" s="1"/>
  <c r="C1264" i="2"/>
  <c r="F1263" i="2"/>
  <c r="A1262" i="2" a="1"/>
  <c r="A1262" i="2" s="1"/>
  <c r="B1262" i="2" a="1"/>
  <c r="B1262" i="2" s="1"/>
  <c r="D1261" i="2" a="1"/>
  <c r="C1264" i="3" l="1"/>
  <c r="G1263" i="3" a="1"/>
  <c r="G1263" i="3" s="1"/>
  <c r="L1263" i="3"/>
  <c r="M1263" i="3"/>
  <c r="J1263" i="3" a="1"/>
  <c r="J1263" i="3" s="1"/>
  <c r="K1262" i="3" a="1"/>
  <c r="K1262" i="3" s="1"/>
  <c r="I1262" i="3" a="1"/>
  <c r="I1262" i="3" s="1"/>
  <c r="H1262" i="3" a="1"/>
  <c r="H1262" i="3" s="1"/>
  <c r="A1262" i="3" a="1"/>
  <c r="A1262" i="3" s="1"/>
  <c r="B1262" i="3" a="1"/>
  <c r="B1262" i="3" s="1"/>
  <c r="D1261" i="2"/>
  <c r="I1262" i="2" a="1"/>
  <c r="I1262" i="2" s="1"/>
  <c r="J1262" i="2" a="1"/>
  <c r="J1262" i="2" s="1"/>
  <c r="H1262" i="2" a="1"/>
  <c r="H1262" i="2" s="1"/>
  <c r="K1262" i="2" a="1"/>
  <c r="K1262" i="2" s="1"/>
  <c r="C1265" i="2"/>
  <c r="F1264" i="2"/>
  <c r="B1263" i="2" a="1"/>
  <c r="B1263" i="2" s="1"/>
  <c r="A1263" i="2" a="1"/>
  <c r="A1263" i="2" s="1"/>
  <c r="D1262" i="2" a="1"/>
  <c r="K1263" i="3" l="1" a="1"/>
  <c r="K1263" i="3" s="1"/>
  <c r="I1263" i="3" a="1"/>
  <c r="I1263" i="3" s="1"/>
  <c r="H1263" i="3" a="1"/>
  <c r="H1263" i="3" s="1"/>
  <c r="C1265" i="3"/>
  <c r="L1264" i="3"/>
  <c r="M1264" i="3"/>
  <c r="F1264" i="3"/>
  <c r="F1265" i="3" s="1"/>
  <c r="A1263" i="3" a="1"/>
  <c r="A1263" i="3" s="1"/>
  <c r="B1263" i="3" a="1"/>
  <c r="B1263" i="3" s="1"/>
  <c r="D1262" i="2"/>
  <c r="B1264" i="2" a="1"/>
  <c r="B1264" i="2" s="1"/>
  <c r="A1264" i="2" a="1"/>
  <c r="A1264" i="2" s="1"/>
  <c r="J1263" i="2" a="1"/>
  <c r="J1263" i="2" s="1"/>
  <c r="K1263" i="2" a="1"/>
  <c r="K1263" i="2" s="1"/>
  <c r="I1263" i="2" a="1"/>
  <c r="I1263" i="2" s="1"/>
  <c r="H1263" i="2" a="1"/>
  <c r="H1263" i="2" s="1"/>
  <c r="C1266" i="2"/>
  <c r="F1265" i="2"/>
  <c r="D1263" i="2" a="1"/>
  <c r="G1264" i="3" l="1" a="1"/>
  <c r="G1264" i="3" s="1"/>
  <c r="C1266" i="3"/>
  <c r="G1265" i="3" a="1"/>
  <c r="G1265" i="3" s="1"/>
  <c r="L1265" i="3"/>
  <c r="M1265" i="3"/>
  <c r="A1264" i="3" a="1"/>
  <c r="A1264" i="3" s="1"/>
  <c r="B1264" i="3" a="1"/>
  <c r="B1264" i="3" s="1"/>
  <c r="D1263" i="2"/>
  <c r="C1267" i="2"/>
  <c r="F1266" i="2"/>
  <c r="B1265" i="2" a="1"/>
  <c r="B1265" i="2" s="1"/>
  <c r="A1265" i="2" a="1"/>
  <c r="A1265" i="2" s="1"/>
  <c r="H1264" i="2" a="1"/>
  <c r="H1264" i="2" s="1"/>
  <c r="J1264" i="2" a="1"/>
  <c r="J1264" i="2" s="1"/>
  <c r="K1264" i="2" a="1"/>
  <c r="K1264" i="2" s="1"/>
  <c r="I1264" i="2" a="1"/>
  <c r="I1264" i="2" s="1"/>
  <c r="D1264" i="2" a="1"/>
  <c r="H1265" i="3" l="1" a="1"/>
  <c r="H1265" i="3" s="1"/>
  <c r="K1265" i="3" a="1"/>
  <c r="K1265" i="3" s="1"/>
  <c r="I1265" i="3" a="1"/>
  <c r="I1265" i="3" s="1"/>
  <c r="C1267" i="3"/>
  <c r="G1266" i="3" a="1"/>
  <c r="G1266" i="3" s="1"/>
  <c r="M1266" i="3"/>
  <c r="L1266" i="3"/>
  <c r="J1266" i="3" a="1"/>
  <c r="J1266" i="3" s="1"/>
  <c r="J1265" i="3" a="1"/>
  <c r="J1265" i="3" s="1"/>
  <c r="H1264" i="3" a="1"/>
  <c r="H1264" i="3" s="1"/>
  <c r="I1264" i="3" a="1"/>
  <c r="I1264" i="3" s="1"/>
  <c r="K1264" i="3" a="1"/>
  <c r="K1264" i="3" s="1"/>
  <c r="J1264" i="3" a="1"/>
  <c r="J1264" i="3" s="1"/>
  <c r="F1266" i="3"/>
  <c r="A1265" i="3" a="1"/>
  <c r="A1265" i="3" s="1"/>
  <c r="B1265" i="3" a="1"/>
  <c r="B1265" i="3" s="1"/>
  <c r="D1264" i="2"/>
  <c r="H1265" i="2" a="1"/>
  <c r="H1265" i="2" s="1"/>
  <c r="J1265" i="2" a="1"/>
  <c r="J1265" i="2" s="1"/>
  <c r="K1265" i="2" a="1"/>
  <c r="K1265" i="2" s="1"/>
  <c r="I1265" i="2" a="1"/>
  <c r="I1265" i="2" s="1"/>
  <c r="B1266" i="2" a="1"/>
  <c r="B1266" i="2" s="1"/>
  <c r="A1266" i="2" a="1"/>
  <c r="A1266" i="2" s="1"/>
  <c r="C1268" i="2"/>
  <c r="F1267" i="2"/>
  <c r="D1265" i="2" a="1"/>
  <c r="C1268" i="3" l="1"/>
  <c r="L1267" i="3"/>
  <c r="M1267" i="3"/>
  <c r="F1267" i="3"/>
  <c r="F1268" i="3" s="1"/>
  <c r="I1266" i="3" a="1"/>
  <c r="I1266" i="3" s="1"/>
  <c r="H1266" i="3" a="1"/>
  <c r="H1266" i="3" s="1"/>
  <c r="K1266" i="3" a="1"/>
  <c r="K1266" i="3" s="1"/>
  <c r="B1266" i="3" a="1"/>
  <c r="B1266" i="3" s="1"/>
  <c r="A1266" i="3" a="1"/>
  <c r="A1266" i="3" s="1"/>
  <c r="D1265" i="2"/>
  <c r="C1269" i="2"/>
  <c r="F1268" i="2"/>
  <c r="I1266" i="2" a="1"/>
  <c r="I1266" i="2" s="1"/>
  <c r="J1266" i="2" a="1"/>
  <c r="J1266" i="2" s="1"/>
  <c r="K1266" i="2" a="1"/>
  <c r="K1266" i="2" s="1"/>
  <c r="H1266" i="2" a="1"/>
  <c r="H1266" i="2" s="1"/>
  <c r="B1267" i="2" a="1"/>
  <c r="B1267" i="2" s="1"/>
  <c r="A1267" i="2" a="1"/>
  <c r="A1267" i="2" s="1"/>
  <c r="D1266" i="2" a="1"/>
  <c r="G1267" i="3" l="1" a="1"/>
  <c r="G1267" i="3" s="1"/>
  <c r="C1269" i="3"/>
  <c r="G1268" i="3" a="1"/>
  <c r="G1268" i="3" s="1"/>
  <c r="L1268" i="3"/>
  <c r="M1268" i="3"/>
  <c r="B1267" i="3" a="1"/>
  <c r="B1267" i="3" s="1"/>
  <c r="A1267" i="3" a="1"/>
  <c r="A1267" i="3" s="1"/>
  <c r="D1266" i="2"/>
  <c r="J1267" i="2" a="1"/>
  <c r="J1267" i="2" s="1"/>
  <c r="H1267" i="2" a="1"/>
  <c r="H1267" i="2" s="1"/>
  <c r="I1267" i="2" a="1"/>
  <c r="I1267" i="2" s="1"/>
  <c r="K1267" i="2" a="1"/>
  <c r="K1267" i="2" s="1"/>
  <c r="B1268" i="2" a="1"/>
  <c r="B1268" i="2" s="1"/>
  <c r="A1268" i="2" a="1"/>
  <c r="A1268" i="2" s="1"/>
  <c r="C1270" i="2"/>
  <c r="F1269" i="2"/>
  <c r="D1267" i="2" a="1"/>
  <c r="I1268" i="3" l="1" a="1"/>
  <c r="I1268" i="3" s="1"/>
  <c r="H1268" i="3" a="1"/>
  <c r="H1268" i="3" s="1"/>
  <c r="K1268" i="3" a="1"/>
  <c r="K1268" i="3" s="1"/>
  <c r="H1267" i="3" a="1"/>
  <c r="H1267" i="3" s="1"/>
  <c r="I1267" i="3" a="1"/>
  <c r="I1267" i="3" s="1"/>
  <c r="K1267" i="3" a="1"/>
  <c r="K1267" i="3" s="1"/>
  <c r="J1267" i="3" a="1"/>
  <c r="J1267" i="3" s="1"/>
  <c r="J1268" i="3" a="1"/>
  <c r="J1268" i="3" s="1"/>
  <c r="C1270" i="3"/>
  <c r="G1269" i="3" a="1"/>
  <c r="G1269" i="3" s="1"/>
  <c r="J1269" i="3" a="1"/>
  <c r="J1269" i="3" s="1"/>
  <c r="L1269" i="3"/>
  <c r="M1269" i="3"/>
  <c r="F1269" i="3"/>
  <c r="A1268" i="3" a="1"/>
  <c r="A1268" i="3" s="1"/>
  <c r="B1268" i="3" a="1"/>
  <c r="B1268" i="3" s="1"/>
  <c r="D1267" i="2"/>
  <c r="B1269" i="2" a="1"/>
  <c r="B1269" i="2" s="1"/>
  <c r="A1269" i="2" a="1"/>
  <c r="A1269" i="2" s="1"/>
  <c r="J1268" i="2" a="1"/>
  <c r="J1268" i="2" s="1"/>
  <c r="H1268" i="2" a="1"/>
  <c r="H1268" i="2" s="1"/>
  <c r="I1268" i="2" a="1"/>
  <c r="I1268" i="2" s="1"/>
  <c r="K1268" i="2" a="1"/>
  <c r="K1268" i="2" s="1"/>
  <c r="C1271" i="2"/>
  <c r="F1270" i="2"/>
  <c r="D1268" i="2" a="1"/>
  <c r="C1271" i="3" l="1"/>
  <c r="L1270" i="3"/>
  <c r="M1270" i="3"/>
  <c r="H1269" i="3" a="1"/>
  <c r="H1269" i="3" s="1"/>
  <c r="K1269" i="3" a="1"/>
  <c r="K1269" i="3" s="1"/>
  <c r="I1269" i="3" a="1"/>
  <c r="I1269" i="3" s="1"/>
  <c r="F1270" i="3"/>
  <c r="F1271" i="3" s="1"/>
  <c r="A1269" i="3" a="1"/>
  <c r="A1269" i="3" s="1"/>
  <c r="B1269" i="3" a="1"/>
  <c r="B1269" i="3" s="1"/>
  <c r="D1268" i="2"/>
  <c r="A1270" i="2" a="1"/>
  <c r="A1270" i="2" s="1"/>
  <c r="B1270" i="2" a="1"/>
  <c r="B1270" i="2" s="1"/>
  <c r="H1269" i="2" a="1"/>
  <c r="H1269" i="2" s="1"/>
  <c r="J1269" i="2" a="1"/>
  <c r="J1269" i="2" s="1"/>
  <c r="K1269" i="2" a="1"/>
  <c r="K1269" i="2" s="1"/>
  <c r="I1269" i="2" a="1"/>
  <c r="I1269" i="2" s="1"/>
  <c r="C1272" i="2"/>
  <c r="F1271" i="2"/>
  <c r="D1269" i="2" a="1"/>
  <c r="G1270" i="3" l="1" a="1"/>
  <c r="G1270" i="3" s="1"/>
  <c r="C1272" i="3"/>
  <c r="G1271" i="3" a="1"/>
  <c r="G1271" i="3" s="1"/>
  <c r="L1271" i="3"/>
  <c r="M1271" i="3"/>
  <c r="J1271" i="3" a="1"/>
  <c r="J1271" i="3" s="1"/>
  <c r="B1270" i="3" a="1"/>
  <c r="B1270" i="3" s="1"/>
  <c r="A1270" i="3" a="1"/>
  <c r="A1270" i="3" s="1"/>
  <c r="D1269" i="2"/>
  <c r="J1270" i="2" a="1"/>
  <c r="J1270" i="2" s="1"/>
  <c r="K1270" i="2" a="1"/>
  <c r="K1270" i="2" s="1"/>
  <c r="H1270" i="2" a="1"/>
  <c r="H1270" i="2" s="1"/>
  <c r="I1270" i="2" a="1"/>
  <c r="I1270" i="2" s="1"/>
  <c r="C1273" i="2"/>
  <c r="F1272" i="2"/>
  <c r="A1271" i="2" a="1"/>
  <c r="A1271" i="2" s="1"/>
  <c r="B1271" i="2" a="1"/>
  <c r="B1271" i="2" s="1"/>
  <c r="D1270" i="2" a="1"/>
  <c r="H1270" i="3" l="1" a="1"/>
  <c r="H1270" i="3" s="1"/>
  <c r="I1270" i="3" a="1"/>
  <c r="I1270" i="3" s="1"/>
  <c r="K1270" i="3" a="1"/>
  <c r="K1270" i="3" s="1"/>
  <c r="J1270" i="3" a="1"/>
  <c r="J1270" i="3" s="1"/>
  <c r="H1271" i="3" a="1"/>
  <c r="H1271" i="3" s="1"/>
  <c r="K1271" i="3" a="1"/>
  <c r="K1271" i="3" s="1"/>
  <c r="I1271" i="3" a="1"/>
  <c r="I1271" i="3" s="1"/>
  <c r="C1273" i="3"/>
  <c r="G1272" i="3" a="1"/>
  <c r="G1272" i="3" s="1"/>
  <c r="L1272" i="3"/>
  <c r="M1272" i="3"/>
  <c r="J1272" i="3" a="1"/>
  <c r="J1272" i="3" s="1"/>
  <c r="F1272" i="3"/>
  <c r="A1271" i="3" a="1"/>
  <c r="A1271" i="3" s="1"/>
  <c r="B1271" i="3" a="1"/>
  <c r="B1271" i="3" s="1"/>
  <c r="D1270" i="2"/>
  <c r="I1271" i="2" a="1"/>
  <c r="I1271" i="2" s="1"/>
  <c r="J1271" i="2" a="1"/>
  <c r="J1271" i="2" s="1"/>
  <c r="K1271" i="2" a="1"/>
  <c r="K1271" i="2" s="1"/>
  <c r="H1271" i="2" a="1"/>
  <c r="H1271" i="2" s="1"/>
  <c r="C1274" i="2"/>
  <c r="F1273" i="2"/>
  <c r="A1272" i="2" a="1"/>
  <c r="A1272" i="2" s="1"/>
  <c r="B1272" i="2" a="1"/>
  <c r="B1272" i="2" s="1"/>
  <c r="D1271" i="2" a="1"/>
  <c r="K1272" i="3" l="1" a="1"/>
  <c r="K1272" i="3" s="1"/>
  <c r="H1272" i="3" a="1"/>
  <c r="H1272" i="3" s="1"/>
  <c r="I1272" i="3" a="1"/>
  <c r="I1272" i="3" s="1"/>
  <c r="C1274" i="3"/>
  <c r="M1273" i="3"/>
  <c r="L1273" i="3"/>
  <c r="F1273" i="3"/>
  <c r="F1274" i="3" s="1"/>
  <c r="A1272" i="3" a="1"/>
  <c r="A1272" i="3" s="1"/>
  <c r="B1272" i="3" a="1"/>
  <c r="B1272" i="3" s="1"/>
  <c r="D1271" i="2"/>
  <c r="H1272" i="2" a="1"/>
  <c r="H1272" i="2" s="1"/>
  <c r="K1272" i="2" a="1"/>
  <c r="K1272" i="2" s="1"/>
  <c r="I1272" i="2" a="1"/>
  <c r="I1272" i="2" s="1"/>
  <c r="J1272" i="2" a="1"/>
  <c r="J1272" i="2" s="1"/>
  <c r="C1275" i="2"/>
  <c r="F1274" i="2"/>
  <c r="A1273" i="2" a="1"/>
  <c r="A1273" i="2" s="1"/>
  <c r="B1273" i="2" a="1"/>
  <c r="B1273" i="2" s="1"/>
  <c r="D1272" i="2" a="1"/>
  <c r="G1273" i="3" l="1" a="1"/>
  <c r="G1273" i="3" s="1"/>
  <c r="C1275" i="3"/>
  <c r="G1274" i="3" a="1"/>
  <c r="G1274" i="3" s="1"/>
  <c r="L1274" i="3"/>
  <c r="M1274" i="3"/>
  <c r="J1274" i="3" a="1"/>
  <c r="J1274" i="3" s="1"/>
  <c r="A1273" i="3" a="1"/>
  <c r="A1273" i="3" s="1"/>
  <c r="B1273" i="3" a="1"/>
  <c r="B1273" i="3" s="1"/>
  <c r="D1272" i="2"/>
  <c r="C1276" i="2"/>
  <c r="F1275" i="2"/>
  <c r="I1273" i="2" a="1"/>
  <c r="I1273" i="2" s="1"/>
  <c r="J1273" i="2" a="1"/>
  <c r="J1273" i="2" s="1"/>
  <c r="K1273" i="2" a="1"/>
  <c r="K1273" i="2" s="1"/>
  <c r="H1273" i="2" a="1"/>
  <c r="H1273" i="2" s="1"/>
  <c r="A1274" i="2" a="1"/>
  <c r="A1274" i="2" s="1"/>
  <c r="B1274" i="2" a="1"/>
  <c r="B1274" i="2" s="1"/>
  <c r="D1273" i="2" a="1"/>
  <c r="C1276" i="3" l="1"/>
  <c r="L1275" i="3"/>
  <c r="M1275" i="3"/>
  <c r="H1273" i="3" a="1"/>
  <c r="H1273" i="3" s="1"/>
  <c r="I1273" i="3" a="1"/>
  <c r="I1273" i="3" s="1"/>
  <c r="K1273" i="3" a="1"/>
  <c r="K1273" i="3" s="1"/>
  <c r="J1273" i="3" a="1"/>
  <c r="J1273" i="3" s="1"/>
  <c r="K1274" i="3" a="1"/>
  <c r="K1274" i="3" s="1"/>
  <c r="H1274" i="3" a="1"/>
  <c r="H1274" i="3" s="1"/>
  <c r="I1274" i="3" a="1"/>
  <c r="I1274" i="3" s="1"/>
  <c r="F1275" i="3"/>
  <c r="F1276" i="3" s="1"/>
  <c r="A1274" i="3" a="1"/>
  <c r="A1274" i="3" s="1"/>
  <c r="B1274" i="3" a="1"/>
  <c r="B1274" i="3" s="1"/>
  <c r="D1273" i="2"/>
  <c r="K1274" i="2" a="1"/>
  <c r="K1274" i="2" s="1"/>
  <c r="H1274" i="2" a="1"/>
  <c r="H1274" i="2" s="1"/>
  <c r="J1274" i="2" a="1"/>
  <c r="J1274" i="2" s="1"/>
  <c r="I1274" i="2" a="1"/>
  <c r="I1274" i="2" s="1"/>
  <c r="A1275" i="2" a="1"/>
  <c r="A1275" i="2" s="1"/>
  <c r="B1275" i="2" a="1"/>
  <c r="B1275" i="2" s="1"/>
  <c r="C1277" i="2"/>
  <c r="F1276" i="2"/>
  <c r="D1274" i="2" a="1"/>
  <c r="G1275" i="3" l="1" a="1"/>
  <c r="G1275" i="3" s="1"/>
  <c r="C1277" i="3"/>
  <c r="F1277" i="3" s="1"/>
  <c r="G1276" i="3" a="1"/>
  <c r="G1276" i="3" s="1"/>
  <c r="L1276" i="3"/>
  <c r="M1276" i="3"/>
  <c r="B1275" i="3" a="1"/>
  <c r="B1275" i="3" s="1"/>
  <c r="A1275" i="3" a="1"/>
  <c r="A1275" i="3" s="1"/>
  <c r="D1274" i="2"/>
  <c r="C1278" i="2"/>
  <c r="F1277" i="2"/>
  <c r="A1276" i="2" a="1"/>
  <c r="A1276" i="2" s="1"/>
  <c r="B1276" i="2" a="1"/>
  <c r="B1276" i="2" s="1"/>
  <c r="H1275" i="2" a="1"/>
  <c r="H1275" i="2" s="1"/>
  <c r="J1275" i="2" a="1"/>
  <c r="J1275" i="2" s="1"/>
  <c r="K1275" i="2" a="1"/>
  <c r="K1275" i="2" s="1"/>
  <c r="I1275" i="2" a="1"/>
  <c r="I1275" i="2" s="1"/>
  <c r="D1275" i="2" a="1"/>
  <c r="I1276" i="3" l="1" a="1"/>
  <c r="I1276" i="3" s="1"/>
  <c r="K1276" i="3" a="1"/>
  <c r="K1276" i="3" s="1"/>
  <c r="H1276" i="3" a="1"/>
  <c r="H1276" i="3" s="1"/>
  <c r="J1276" i="3" a="1"/>
  <c r="J1276" i="3" s="1"/>
  <c r="C1278" i="3"/>
  <c r="G1277" i="3" a="1"/>
  <c r="G1277" i="3" s="1"/>
  <c r="L1277" i="3"/>
  <c r="M1277" i="3"/>
  <c r="J1277" i="3" a="1"/>
  <c r="J1277" i="3" s="1"/>
  <c r="H1275" i="3" a="1"/>
  <c r="H1275" i="3" s="1"/>
  <c r="I1275" i="3" a="1"/>
  <c r="I1275" i="3" s="1"/>
  <c r="K1275" i="3" a="1"/>
  <c r="K1275" i="3" s="1"/>
  <c r="J1275" i="3" a="1"/>
  <c r="J1275" i="3" s="1"/>
  <c r="A1276" i="3" a="1"/>
  <c r="A1276" i="3" s="1"/>
  <c r="B1276" i="3" a="1"/>
  <c r="B1276" i="3" s="1"/>
  <c r="D1275" i="2"/>
  <c r="J1276" i="2" a="1"/>
  <c r="J1276" i="2" s="1"/>
  <c r="K1276" i="2" a="1"/>
  <c r="K1276" i="2" s="1"/>
  <c r="H1276" i="2" a="1"/>
  <c r="H1276" i="2" s="1"/>
  <c r="I1276" i="2" a="1"/>
  <c r="I1276" i="2" s="1"/>
  <c r="B1277" i="2" a="1"/>
  <c r="B1277" i="2" s="1"/>
  <c r="A1277" i="2" a="1"/>
  <c r="A1277" i="2" s="1"/>
  <c r="C1279" i="2"/>
  <c r="F1278" i="2"/>
  <c r="D1276" i="2" a="1"/>
  <c r="I1277" i="3" l="1" a="1"/>
  <c r="I1277" i="3" s="1"/>
  <c r="H1277" i="3" a="1"/>
  <c r="H1277" i="3" s="1"/>
  <c r="K1277" i="3" a="1"/>
  <c r="K1277" i="3" s="1"/>
  <c r="C1279" i="3"/>
  <c r="L1278" i="3"/>
  <c r="M1278" i="3"/>
  <c r="F1278" i="3"/>
  <c r="F1279" i="3" s="1"/>
  <c r="A1277" i="3" a="1"/>
  <c r="A1277" i="3" s="1"/>
  <c r="B1277" i="3" a="1"/>
  <c r="B1277" i="3" s="1"/>
  <c r="D1276" i="2"/>
  <c r="C1280" i="2"/>
  <c r="F1279" i="2"/>
  <c r="A1278" i="2" a="1"/>
  <c r="A1278" i="2" s="1"/>
  <c r="B1278" i="2" a="1"/>
  <c r="B1278" i="2" s="1"/>
  <c r="I1277" i="2" a="1"/>
  <c r="I1277" i="2" s="1"/>
  <c r="J1277" i="2" a="1"/>
  <c r="J1277" i="2" s="1"/>
  <c r="K1277" i="2" a="1"/>
  <c r="K1277" i="2" s="1"/>
  <c r="H1277" i="2" a="1"/>
  <c r="H1277" i="2" s="1"/>
  <c r="D1277" i="2" a="1"/>
  <c r="C1280" i="3" l="1"/>
  <c r="G1279" i="3" a="1"/>
  <c r="G1279" i="3" s="1"/>
  <c r="J1279" i="3" a="1"/>
  <c r="J1279" i="3" s="1"/>
  <c r="L1279" i="3"/>
  <c r="M1279" i="3"/>
  <c r="G1278" i="3" a="1"/>
  <c r="G1278" i="3" s="1"/>
  <c r="A1278" i="3" a="1"/>
  <c r="A1278" i="3" s="1"/>
  <c r="B1278" i="3" a="1"/>
  <c r="B1278" i="3" s="1"/>
  <c r="D1277" i="2"/>
  <c r="K1278" i="2" a="1"/>
  <c r="K1278" i="2" s="1"/>
  <c r="H1278" i="2" a="1"/>
  <c r="H1278" i="2" s="1"/>
  <c r="J1278" i="2" a="1"/>
  <c r="J1278" i="2" s="1"/>
  <c r="I1278" i="2" a="1"/>
  <c r="I1278" i="2" s="1"/>
  <c r="B1279" i="2" a="1"/>
  <c r="B1279" i="2" s="1"/>
  <c r="A1279" i="2" a="1"/>
  <c r="A1279" i="2" s="1"/>
  <c r="C1281" i="2"/>
  <c r="F1280" i="2"/>
  <c r="D1278" i="2" a="1"/>
  <c r="C1281" i="3" l="1"/>
  <c r="G1280" i="3" a="1"/>
  <c r="G1280" i="3" s="1"/>
  <c r="J1280" i="3" a="1"/>
  <c r="J1280" i="3" s="1"/>
  <c r="L1280" i="3"/>
  <c r="M1280" i="3"/>
  <c r="I1278" i="3" a="1"/>
  <c r="I1278" i="3" s="1"/>
  <c r="H1278" i="3" a="1"/>
  <c r="H1278" i="3" s="1"/>
  <c r="K1278" i="3" a="1"/>
  <c r="K1278" i="3" s="1"/>
  <c r="J1278" i="3" a="1"/>
  <c r="J1278" i="3" s="1"/>
  <c r="I1279" i="3" a="1"/>
  <c r="I1279" i="3" s="1"/>
  <c r="K1279" i="3" a="1"/>
  <c r="K1279" i="3" s="1"/>
  <c r="H1279" i="3" a="1"/>
  <c r="H1279" i="3" s="1"/>
  <c r="F1280" i="3"/>
  <c r="F1281" i="3" s="1"/>
  <c r="A1279" i="3" a="1"/>
  <c r="A1279" i="3" s="1"/>
  <c r="B1279" i="3" a="1"/>
  <c r="B1279" i="3" s="1"/>
  <c r="D1278" i="2"/>
  <c r="C1282" i="2"/>
  <c r="F1281" i="2"/>
  <c r="B1280" i="2" a="1"/>
  <c r="B1280" i="2" s="1"/>
  <c r="A1280" i="2" a="1"/>
  <c r="A1280" i="2" s="1"/>
  <c r="J1279" i="2" a="1"/>
  <c r="J1279" i="2" s="1"/>
  <c r="H1279" i="2" a="1"/>
  <c r="H1279" i="2" s="1"/>
  <c r="K1279" i="2" a="1"/>
  <c r="K1279" i="2" s="1"/>
  <c r="I1279" i="2" a="1"/>
  <c r="I1279" i="2" s="1"/>
  <c r="D1279" i="2" a="1"/>
  <c r="H1280" i="3" l="1" a="1"/>
  <c r="H1280" i="3" s="1"/>
  <c r="I1280" i="3" a="1"/>
  <c r="I1280" i="3" s="1"/>
  <c r="K1280" i="3" a="1"/>
  <c r="K1280" i="3" s="1"/>
  <c r="C1282" i="3"/>
  <c r="G1281" i="3" a="1"/>
  <c r="G1281" i="3" s="1"/>
  <c r="J1281" i="3" a="1"/>
  <c r="J1281" i="3" s="1"/>
  <c r="L1281" i="3"/>
  <c r="M1281" i="3"/>
  <c r="A1280" i="3" a="1"/>
  <c r="A1280" i="3" s="1"/>
  <c r="B1280" i="3" a="1"/>
  <c r="B1280" i="3" s="1"/>
  <c r="D1279" i="2"/>
  <c r="K1280" i="2" a="1"/>
  <c r="K1280" i="2" s="1"/>
  <c r="J1280" i="2" a="1"/>
  <c r="J1280" i="2" s="1"/>
  <c r="H1280" i="2" a="1"/>
  <c r="H1280" i="2" s="1"/>
  <c r="I1280" i="2" a="1"/>
  <c r="I1280" i="2" s="1"/>
  <c r="B1281" i="2" a="1"/>
  <c r="B1281" i="2" s="1"/>
  <c r="A1281" i="2" a="1"/>
  <c r="A1281" i="2" s="1"/>
  <c r="C1283" i="2"/>
  <c r="F1282" i="2"/>
  <c r="D1280" i="2" a="1"/>
  <c r="H1281" i="3" l="1" a="1"/>
  <c r="H1281" i="3" s="1"/>
  <c r="I1281" i="3" a="1"/>
  <c r="I1281" i="3" s="1"/>
  <c r="K1281" i="3" a="1"/>
  <c r="K1281" i="3" s="1"/>
  <c r="C1283" i="3"/>
  <c r="L1282" i="3"/>
  <c r="M1282" i="3"/>
  <c r="F1282" i="3"/>
  <c r="F1283" i="3" s="1"/>
  <c r="A1281" i="3" a="1"/>
  <c r="A1281" i="3" s="1"/>
  <c r="B1281" i="3" a="1"/>
  <c r="B1281" i="3" s="1"/>
  <c r="D1280" i="2"/>
  <c r="H1281" i="2" a="1"/>
  <c r="H1281" i="2" s="1"/>
  <c r="J1281" i="2" a="1"/>
  <c r="J1281" i="2" s="1"/>
  <c r="K1281" i="2" a="1"/>
  <c r="K1281" i="2" s="1"/>
  <c r="I1281" i="2" a="1"/>
  <c r="I1281" i="2" s="1"/>
  <c r="A1282" i="2" a="1"/>
  <c r="A1282" i="2" s="1"/>
  <c r="B1282" i="2" a="1"/>
  <c r="B1282" i="2" s="1"/>
  <c r="C1284" i="2"/>
  <c r="F1283" i="2"/>
  <c r="D1281" i="2" a="1"/>
  <c r="G1282" i="3" l="1" a="1"/>
  <c r="G1282" i="3" s="1"/>
  <c r="C1284" i="3"/>
  <c r="G1283" i="3" a="1"/>
  <c r="G1283" i="3" s="1"/>
  <c r="M1283" i="3"/>
  <c r="L1283" i="3"/>
  <c r="J1283" i="3" a="1"/>
  <c r="J1283" i="3" s="1"/>
  <c r="B1282" i="3" a="1"/>
  <c r="B1282" i="3" s="1"/>
  <c r="A1282" i="3" a="1"/>
  <c r="A1282" i="3" s="1"/>
  <c r="D1281" i="2"/>
  <c r="A1283" i="2" a="1"/>
  <c r="A1283" i="2" s="1"/>
  <c r="B1283" i="2" a="1"/>
  <c r="B1283" i="2" s="1"/>
  <c r="C1285" i="2"/>
  <c r="F1284" i="2"/>
  <c r="K1282" i="2" a="1"/>
  <c r="K1282" i="2" s="1"/>
  <c r="J1282" i="2" a="1"/>
  <c r="J1282" i="2" s="1"/>
  <c r="I1282" i="2" a="1"/>
  <c r="I1282" i="2" s="1"/>
  <c r="H1282" i="2" a="1"/>
  <c r="H1282" i="2" s="1"/>
  <c r="D1282" i="2" a="1"/>
  <c r="K1282" i="3" l="1" a="1"/>
  <c r="K1282" i="3" s="1"/>
  <c r="I1282" i="3" a="1"/>
  <c r="I1282" i="3" s="1"/>
  <c r="H1282" i="3" a="1"/>
  <c r="H1282" i="3" s="1"/>
  <c r="J1282" i="3" a="1"/>
  <c r="J1282" i="3" s="1"/>
  <c r="K1283" i="3" a="1"/>
  <c r="K1283" i="3" s="1"/>
  <c r="I1283" i="3" a="1"/>
  <c r="I1283" i="3" s="1"/>
  <c r="H1283" i="3" a="1"/>
  <c r="H1283" i="3" s="1"/>
  <c r="C1285" i="3"/>
  <c r="G1284" i="3" a="1"/>
  <c r="G1284" i="3" s="1"/>
  <c r="L1284" i="3"/>
  <c r="M1284" i="3"/>
  <c r="F1284" i="3"/>
  <c r="A1283" i="3" a="1"/>
  <c r="A1283" i="3" s="1"/>
  <c r="B1283" i="3" a="1"/>
  <c r="B1283" i="3" s="1"/>
  <c r="D1282" i="2"/>
  <c r="I1283" i="2" a="1"/>
  <c r="I1283" i="2" s="1"/>
  <c r="J1283" i="2" a="1"/>
  <c r="J1283" i="2" s="1"/>
  <c r="H1283" i="2" a="1"/>
  <c r="H1283" i="2" s="1"/>
  <c r="K1283" i="2" a="1"/>
  <c r="K1283" i="2" s="1"/>
  <c r="A1284" i="2" a="1"/>
  <c r="A1284" i="2" s="1"/>
  <c r="B1284" i="2" a="1"/>
  <c r="B1284" i="2" s="1"/>
  <c r="C1286" i="2"/>
  <c r="F1285" i="2"/>
  <c r="D1283" i="2" a="1"/>
  <c r="H1284" i="3" l="1" a="1"/>
  <c r="H1284" i="3" s="1"/>
  <c r="K1284" i="3" a="1"/>
  <c r="K1284" i="3" s="1"/>
  <c r="I1284" i="3" a="1"/>
  <c r="I1284" i="3" s="1"/>
  <c r="J1284" i="3" a="1"/>
  <c r="J1284" i="3" s="1"/>
  <c r="C1286" i="3"/>
  <c r="L1285" i="3"/>
  <c r="M1285" i="3"/>
  <c r="F1285" i="3"/>
  <c r="F1286" i="3" s="1"/>
  <c r="A1284" i="3" a="1"/>
  <c r="A1284" i="3" s="1"/>
  <c r="B1284" i="3" a="1"/>
  <c r="B1284" i="3" s="1"/>
  <c r="D1283" i="2"/>
  <c r="B1285" i="2" a="1"/>
  <c r="B1285" i="2" s="1"/>
  <c r="A1285" i="2" a="1"/>
  <c r="A1285" i="2" s="1"/>
  <c r="H1284" i="2" a="1"/>
  <c r="H1284" i="2" s="1"/>
  <c r="K1284" i="2" a="1"/>
  <c r="K1284" i="2" s="1"/>
  <c r="J1284" i="2" a="1"/>
  <c r="J1284" i="2" s="1"/>
  <c r="I1284" i="2" a="1"/>
  <c r="I1284" i="2" s="1"/>
  <c r="C1287" i="2"/>
  <c r="F1286" i="2"/>
  <c r="D1284" i="2" a="1"/>
  <c r="G1285" i="3" l="1" a="1"/>
  <c r="G1285" i="3" s="1"/>
  <c r="C1287" i="3"/>
  <c r="F1287" i="3" s="1"/>
  <c r="G1286" i="3" a="1"/>
  <c r="G1286" i="3" s="1"/>
  <c r="L1286" i="3"/>
  <c r="M1286" i="3"/>
  <c r="J1286" i="3" a="1"/>
  <c r="J1286" i="3" s="1"/>
  <c r="A1285" i="3" a="1"/>
  <c r="A1285" i="3" s="1"/>
  <c r="B1285" i="3" a="1"/>
  <c r="B1285" i="3" s="1"/>
  <c r="D1284" i="2"/>
  <c r="K1285" i="2" a="1"/>
  <c r="K1285" i="2" s="1"/>
  <c r="H1285" i="2" a="1"/>
  <c r="H1285" i="2" s="1"/>
  <c r="J1285" i="2" a="1"/>
  <c r="J1285" i="2" s="1"/>
  <c r="I1285" i="2" a="1"/>
  <c r="I1285" i="2" s="1"/>
  <c r="A1286" i="2" a="1"/>
  <c r="A1286" i="2" s="1"/>
  <c r="B1286" i="2" a="1"/>
  <c r="B1286" i="2" s="1"/>
  <c r="C1288" i="2"/>
  <c r="F1287" i="2"/>
  <c r="D1285" i="2" a="1"/>
  <c r="I1286" i="3" l="1" a="1"/>
  <c r="I1286" i="3" s="1"/>
  <c r="H1286" i="3" a="1"/>
  <c r="H1286" i="3" s="1"/>
  <c r="K1286" i="3" a="1"/>
  <c r="K1286" i="3" s="1"/>
  <c r="C1288" i="3"/>
  <c r="G1287" i="3" a="1"/>
  <c r="G1287" i="3" s="1"/>
  <c r="L1287" i="3"/>
  <c r="M1287" i="3"/>
  <c r="H1285" i="3" a="1"/>
  <c r="H1285" i="3" s="1"/>
  <c r="I1285" i="3" a="1"/>
  <c r="I1285" i="3" s="1"/>
  <c r="K1285" i="3" a="1"/>
  <c r="K1285" i="3" s="1"/>
  <c r="J1285" i="3" a="1"/>
  <c r="J1285" i="3" s="1"/>
  <c r="A1286" i="3" a="1"/>
  <c r="A1286" i="3" s="1"/>
  <c r="B1286" i="3" a="1"/>
  <c r="B1286" i="3" s="1"/>
  <c r="D1285" i="2"/>
  <c r="C1289" i="2"/>
  <c r="F1288" i="2"/>
  <c r="B1287" i="2" a="1"/>
  <c r="B1287" i="2" s="1"/>
  <c r="A1287" i="2" a="1"/>
  <c r="A1287" i="2" s="1"/>
  <c r="I1286" i="2" a="1"/>
  <c r="I1286" i="2" s="1"/>
  <c r="H1286" i="2" a="1"/>
  <c r="H1286" i="2" s="1"/>
  <c r="K1286" i="2" a="1"/>
  <c r="K1286" i="2" s="1"/>
  <c r="J1286" i="2" a="1"/>
  <c r="J1286" i="2" s="1"/>
  <c r="D1286" i="2" a="1"/>
  <c r="K1287" i="3" l="1" a="1"/>
  <c r="K1287" i="3" s="1"/>
  <c r="I1287" i="3" a="1"/>
  <c r="I1287" i="3" s="1"/>
  <c r="H1287" i="3" a="1"/>
  <c r="H1287" i="3" s="1"/>
  <c r="J1287" i="3" a="1"/>
  <c r="J1287" i="3" s="1"/>
  <c r="C1289" i="3"/>
  <c r="L1288" i="3"/>
  <c r="M1288" i="3"/>
  <c r="F1288" i="3"/>
  <c r="F1289" i="3" s="1"/>
  <c r="B1287" i="3" a="1"/>
  <c r="B1287" i="3" s="1"/>
  <c r="A1287" i="3" a="1"/>
  <c r="A1287" i="3" s="1"/>
  <c r="D1286" i="2"/>
  <c r="J1287" i="2" a="1"/>
  <c r="J1287" i="2" s="1"/>
  <c r="K1287" i="2" a="1"/>
  <c r="K1287" i="2" s="1"/>
  <c r="I1287" i="2" a="1"/>
  <c r="I1287" i="2" s="1"/>
  <c r="H1287" i="2" a="1"/>
  <c r="H1287" i="2" s="1"/>
  <c r="A1288" i="2" a="1"/>
  <c r="A1288" i="2" s="1"/>
  <c r="B1288" i="2" a="1"/>
  <c r="B1288" i="2" s="1"/>
  <c r="C1290" i="2"/>
  <c r="F1289" i="2"/>
  <c r="D1287" i="2" a="1"/>
  <c r="C1290" i="3" l="1"/>
  <c r="G1289" i="3" a="1"/>
  <c r="G1289" i="3" s="1"/>
  <c r="L1289" i="3"/>
  <c r="M1289" i="3"/>
  <c r="J1289" i="3" a="1"/>
  <c r="J1289" i="3" s="1"/>
  <c r="F1290" i="3"/>
  <c r="G1288" i="3" a="1"/>
  <c r="G1288" i="3" s="1"/>
  <c r="A1288" i="3" a="1"/>
  <c r="A1288" i="3" s="1"/>
  <c r="B1288" i="3" a="1"/>
  <c r="B1288" i="3" s="1"/>
  <c r="D1287" i="2"/>
  <c r="C1291" i="2"/>
  <c r="F1290" i="2"/>
  <c r="J1288" i="2" a="1"/>
  <c r="J1288" i="2" s="1"/>
  <c r="I1288" i="2" a="1"/>
  <c r="I1288" i="2" s="1"/>
  <c r="H1288" i="2" a="1"/>
  <c r="H1288" i="2" s="1"/>
  <c r="K1288" i="2" a="1"/>
  <c r="K1288" i="2" s="1"/>
  <c r="A1289" i="2" a="1"/>
  <c r="A1289" i="2" s="1"/>
  <c r="B1289" i="2" a="1"/>
  <c r="B1289" i="2" s="1"/>
  <c r="D1288" i="2" a="1"/>
  <c r="H1288" i="3" l="1" a="1"/>
  <c r="H1288" i="3" s="1"/>
  <c r="I1288" i="3" a="1"/>
  <c r="I1288" i="3" s="1"/>
  <c r="K1288" i="3" a="1"/>
  <c r="K1288" i="3" s="1"/>
  <c r="J1288" i="3" a="1"/>
  <c r="J1288" i="3" s="1"/>
  <c r="I1289" i="3" a="1"/>
  <c r="I1289" i="3" s="1"/>
  <c r="K1289" i="3" a="1"/>
  <c r="K1289" i="3" s="1"/>
  <c r="H1289" i="3" a="1"/>
  <c r="H1289" i="3" s="1"/>
  <c r="C1291" i="3"/>
  <c r="F1291" i="3" s="1"/>
  <c r="G1290" i="3" a="1"/>
  <c r="G1290" i="3" s="1"/>
  <c r="L1290" i="3"/>
  <c r="M1290" i="3"/>
  <c r="A1289" i="3" a="1"/>
  <c r="A1289" i="3" s="1"/>
  <c r="B1289" i="3" a="1"/>
  <c r="B1289" i="3" s="1"/>
  <c r="D1288" i="2"/>
  <c r="K1289" i="2" a="1"/>
  <c r="K1289" i="2" s="1"/>
  <c r="J1289" i="2" a="1"/>
  <c r="J1289" i="2" s="1"/>
  <c r="I1289" i="2" a="1"/>
  <c r="I1289" i="2" s="1"/>
  <c r="H1289" i="2" a="1"/>
  <c r="H1289" i="2" s="1"/>
  <c r="A1290" i="2" a="1"/>
  <c r="A1290" i="2" s="1"/>
  <c r="B1290" i="2" a="1"/>
  <c r="B1290" i="2" s="1"/>
  <c r="C1292" i="2"/>
  <c r="F1291" i="2"/>
  <c r="D1289" i="2" a="1"/>
  <c r="I1290" i="3" l="1" a="1"/>
  <c r="I1290" i="3" s="1"/>
  <c r="H1290" i="3" a="1"/>
  <c r="H1290" i="3" s="1"/>
  <c r="K1290" i="3" a="1"/>
  <c r="K1290" i="3" s="1"/>
  <c r="J1290" i="3" a="1"/>
  <c r="J1290" i="3" s="1"/>
  <c r="C1292" i="3"/>
  <c r="G1291" i="3" a="1"/>
  <c r="G1291" i="3" s="1"/>
  <c r="J1291" i="3" a="1"/>
  <c r="J1291" i="3" s="1"/>
  <c r="L1291" i="3"/>
  <c r="M1291" i="3"/>
  <c r="A1290" i="3" a="1"/>
  <c r="A1290" i="3" s="1"/>
  <c r="B1290" i="3" a="1"/>
  <c r="B1290" i="3" s="1"/>
  <c r="D1289" i="2"/>
  <c r="C1293" i="2"/>
  <c r="F1292" i="2"/>
  <c r="I1290" i="2" a="1"/>
  <c r="I1290" i="2" s="1"/>
  <c r="J1290" i="2" a="1"/>
  <c r="J1290" i="2" s="1"/>
  <c r="K1290" i="2" a="1"/>
  <c r="K1290" i="2" s="1"/>
  <c r="H1290" i="2" a="1"/>
  <c r="H1290" i="2" s="1"/>
  <c r="B1291" i="2" a="1"/>
  <c r="B1291" i="2" s="1"/>
  <c r="A1291" i="2" a="1"/>
  <c r="A1291" i="2" s="1"/>
  <c r="D1290" i="2" a="1"/>
  <c r="I1291" i="3" l="1" a="1"/>
  <c r="I1291" i="3" s="1"/>
  <c r="K1291" i="3" a="1"/>
  <c r="K1291" i="3" s="1"/>
  <c r="H1291" i="3" a="1"/>
  <c r="H1291" i="3" s="1"/>
  <c r="C1293" i="3"/>
  <c r="L1292" i="3"/>
  <c r="M1292" i="3"/>
  <c r="F1292" i="3"/>
  <c r="F1293" i="3" s="1"/>
  <c r="A1291" i="3" a="1"/>
  <c r="A1291" i="3" s="1"/>
  <c r="B1291" i="3" a="1"/>
  <c r="B1291" i="3" s="1"/>
  <c r="D1290" i="2"/>
  <c r="J1291" i="2" a="1"/>
  <c r="J1291" i="2" s="1"/>
  <c r="K1291" i="2" a="1"/>
  <c r="K1291" i="2" s="1"/>
  <c r="H1291" i="2" a="1"/>
  <c r="H1291" i="2" s="1"/>
  <c r="I1291" i="2" a="1"/>
  <c r="I1291" i="2" s="1"/>
  <c r="B1292" i="2" a="1"/>
  <c r="B1292" i="2" s="1"/>
  <c r="A1292" i="2" a="1"/>
  <c r="A1292" i="2" s="1"/>
  <c r="C1294" i="2"/>
  <c r="F1293" i="2"/>
  <c r="D1291" i="2" a="1"/>
  <c r="G1292" i="3" l="1" a="1"/>
  <c r="G1292" i="3" s="1"/>
  <c r="C1294" i="3"/>
  <c r="G1293" i="3" a="1"/>
  <c r="G1293" i="3" s="1"/>
  <c r="J1293" i="3" a="1"/>
  <c r="J1293" i="3" s="1"/>
  <c r="L1293" i="3"/>
  <c r="M1293" i="3"/>
  <c r="A1292" i="3" a="1"/>
  <c r="A1292" i="3" s="1"/>
  <c r="B1292" i="3" a="1"/>
  <c r="B1292" i="3" s="1"/>
  <c r="D1291" i="2"/>
  <c r="K1292" i="2" a="1"/>
  <c r="K1292" i="2" s="1"/>
  <c r="J1292" i="2" a="1"/>
  <c r="J1292" i="2" s="1"/>
  <c r="H1292" i="2" a="1"/>
  <c r="H1292" i="2" s="1"/>
  <c r="I1292" i="2" a="1"/>
  <c r="I1292" i="2" s="1"/>
  <c r="B1293" i="2" a="1"/>
  <c r="B1293" i="2" s="1"/>
  <c r="A1293" i="2" a="1"/>
  <c r="A1293" i="2" s="1"/>
  <c r="C1295" i="2"/>
  <c r="F1294" i="2"/>
  <c r="D1292" i="2" a="1"/>
  <c r="C1295" i="3" l="1"/>
  <c r="G1294" i="3" a="1"/>
  <c r="G1294" i="3" s="1"/>
  <c r="J1294" i="3" a="1"/>
  <c r="J1294" i="3" s="1"/>
  <c r="L1294" i="3"/>
  <c r="M1294" i="3"/>
  <c r="H1293" i="3" a="1"/>
  <c r="H1293" i="3" s="1"/>
  <c r="I1293" i="3" a="1"/>
  <c r="I1293" i="3" s="1"/>
  <c r="K1293" i="3" a="1"/>
  <c r="K1293" i="3" s="1"/>
  <c r="I1292" i="3" a="1"/>
  <c r="I1292" i="3" s="1"/>
  <c r="K1292" i="3" a="1"/>
  <c r="K1292" i="3" s="1"/>
  <c r="H1292" i="3" a="1"/>
  <c r="H1292" i="3" s="1"/>
  <c r="J1292" i="3" a="1"/>
  <c r="J1292" i="3" s="1"/>
  <c r="F1294" i="3"/>
  <c r="F1295" i="3" s="1"/>
  <c r="A1293" i="3" a="1"/>
  <c r="A1293" i="3" s="1"/>
  <c r="B1293" i="3" a="1"/>
  <c r="B1293" i="3" s="1"/>
  <c r="D1292" i="2"/>
  <c r="C1296" i="2"/>
  <c r="F1295" i="2"/>
  <c r="B1294" i="2" a="1"/>
  <c r="B1294" i="2" s="1"/>
  <c r="A1294" i="2" a="1"/>
  <c r="A1294" i="2" s="1"/>
  <c r="I1293" i="2" a="1"/>
  <c r="I1293" i="2" s="1"/>
  <c r="K1293" i="2" a="1"/>
  <c r="K1293" i="2" s="1"/>
  <c r="H1293" i="2" a="1"/>
  <c r="H1293" i="2" s="1"/>
  <c r="J1293" i="2" a="1"/>
  <c r="J1293" i="2" s="1"/>
  <c r="D1293" i="2" a="1"/>
  <c r="I1294" i="3" l="1" a="1"/>
  <c r="I1294" i="3" s="1"/>
  <c r="K1294" i="3" a="1"/>
  <c r="K1294" i="3" s="1"/>
  <c r="H1294" i="3" a="1"/>
  <c r="H1294" i="3" s="1"/>
  <c r="C1296" i="3"/>
  <c r="G1295" i="3" a="1"/>
  <c r="G1295" i="3" s="1"/>
  <c r="L1295" i="3"/>
  <c r="M1295" i="3"/>
  <c r="J1295" i="3" a="1"/>
  <c r="J1295" i="3" s="1"/>
  <c r="B1294" i="3" a="1"/>
  <c r="B1294" i="3" s="1"/>
  <c r="A1294" i="3" a="1"/>
  <c r="A1294" i="3" s="1"/>
  <c r="D1293" i="2"/>
  <c r="J1294" i="2" a="1"/>
  <c r="J1294" i="2" s="1"/>
  <c r="I1294" i="2" a="1"/>
  <c r="I1294" i="2" s="1"/>
  <c r="H1294" i="2" a="1"/>
  <c r="H1294" i="2" s="1"/>
  <c r="K1294" i="2" a="1"/>
  <c r="K1294" i="2" s="1"/>
  <c r="A1295" i="2" a="1"/>
  <c r="A1295" i="2" s="1"/>
  <c r="B1295" i="2" a="1"/>
  <c r="B1295" i="2" s="1"/>
  <c r="C1297" i="2"/>
  <c r="F1296" i="2"/>
  <c r="D1294" i="2" a="1"/>
  <c r="K1295" i="3" l="1" a="1"/>
  <c r="K1295" i="3" s="1"/>
  <c r="H1295" i="3" a="1"/>
  <c r="H1295" i="3" s="1"/>
  <c r="I1295" i="3" a="1"/>
  <c r="I1295" i="3" s="1"/>
  <c r="C1297" i="3"/>
  <c r="L1296" i="3"/>
  <c r="M1296" i="3"/>
  <c r="F1296" i="3"/>
  <c r="F1297" i="3" s="1"/>
  <c r="A1295" i="3" a="1"/>
  <c r="A1295" i="3" s="1"/>
  <c r="B1295" i="3" a="1"/>
  <c r="B1295" i="3" s="1"/>
  <c r="D1294" i="2"/>
  <c r="C1298" i="2"/>
  <c r="F1297" i="2"/>
  <c r="J1295" i="2" a="1"/>
  <c r="J1295" i="2" s="1"/>
  <c r="H1295" i="2" a="1"/>
  <c r="H1295" i="2" s="1"/>
  <c r="K1295" i="2" a="1"/>
  <c r="K1295" i="2" s="1"/>
  <c r="I1295" i="2" a="1"/>
  <c r="I1295" i="2" s="1"/>
  <c r="B1296" i="2" a="1"/>
  <c r="B1296" i="2" s="1"/>
  <c r="A1296" i="2" a="1"/>
  <c r="A1296" i="2" s="1"/>
  <c r="D1295" i="2" a="1"/>
  <c r="C1298" i="3" l="1"/>
  <c r="G1297" i="3" a="1"/>
  <c r="G1297" i="3" s="1"/>
  <c r="M1297" i="3"/>
  <c r="L1297" i="3"/>
  <c r="J1297" i="3" a="1"/>
  <c r="J1297" i="3" s="1"/>
  <c r="F1298" i="3"/>
  <c r="G1296" i="3" a="1"/>
  <c r="G1296" i="3" s="1"/>
  <c r="A1296" i="3" a="1"/>
  <c r="A1296" i="3" s="1"/>
  <c r="B1296" i="3" a="1"/>
  <c r="B1296" i="3" s="1"/>
  <c r="D1295" i="2"/>
  <c r="H1296" i="2" a="1"/>
  <c r="H1296" i="2" s="1"/>
  <c r="J1296" i="2" a="1"/>
  <c r="J1296" i="2" s="1"/>
  <c r="K1296" i="2" a="1"/>
  <c r="K1296" i="2" s="1"/>
  <c r="I1296" i="2" a="1"/>
  <c r="I1296" i="2" s="1"/>
  <c r="B1297" i="2" a="1"/>
  <c r="B1297" i="2" s="1"/>
  <c r="A1297" i="2" a="1"/>
  <c r="A1297" i="2" s="1"/>
  <c r="C1299" i="2"/>
  <c r="F1298" i="2"/>
  <c r="D1296" i="2" a="1"/>
  <c r="K1296" i="3" l="1" a="1"/>
  <c r="K1296" i="3" s="1"/>
  <c r="H1296" i="3" a="1"/>
  <c r="H1296" i="3" s="1"/>
  <c r="I1296" i="3" a="1"/>
  <c r="I1296" i="3" s="1"/>
  <c r="J1296" i="3" a="1"/>
  <c r="J1296" i="3" s="1"/>
  <c r="K1297" i="3" a="1"/>
  <c r="K1297" i="3" s="1"/>
  <c r="H1297" i="3" a="1"/>
  <c r="H1297" i="3" s="1"/>
  <c r="I1297" i="3" a="1"/>
  <c r="I1297" i="3" s="1"/>
  <c r="C1299" i="3"/>
  <c r="G1298" i="3" a="1"/>
  <c r="G1298" i="3" s="1"/>
  <c r="J1298" i="3" a="1"/>
  <c r="J1298" i="3" s="1"/>
  <c r="L1298" i="3"/>
  <c r="M1298" i="3"/>
  <c r="A1297" i="3" a="1"/>
  <c r="A1297" i="3" s="1"/>
  <c r="B1297" i="3" a="1"/>
  <c r="B1297" i="3" s="1"/>
  <c r="D1296" i="2"/>
  <c r="A1298" i="2" a="1"/>
  <c r="A1298" i="2" s="1"/>
  <c r="B1298" i="2" a="1"/>
  <c r="B1298" i="2" s="1"/>
  <c r="J1297" i="2" a="1"/>
  <c r="J1297" i="2" s="1"/>
  <c r="K1297" i="2" a="1"/>
  <c r="K1297" i="2" s="1"/>
  <c r="H1297" i="2" a="1"/>
  <c r="H1297" i="2" s="1"/>
  <c r="I1297" i="2" a="1"/>
  <c r="I1297" i="2" s="1"/>
  <c r="C1300" i="2"/>
  <c r="F1299" i="2"/>
  <c r="D1297" i="2" a="1"/>
  <c r="K1298" i="3" l="1" a="1"/>
  <c r="K1298" i="3" s="1"/>
  <c r="H1298" i="3" a="1"/>
  <c r="H1298" i="3" s="1"/>
  <c r="I1298" i="3" a="1"/>
  <c r="I1298" i="3" s="1"/>
  <c r="C1300" i="3"/>
  <c r="L1299" i="3"/>
  <c r="M1299" i="3"/>
  <c r="F1299" i="3"/>
  <c r="F1300" i="3" s="1"/>
  <c r="A1298" i="3" a="1"/>
  <c r="A1298" i="3" s="1"/>
  <c r="B1298" i="3" a="1"/>
  <c r="B1298" i="3" s="1"/>
  <c r="D1297" i="2"/>
  <c r="A1299" i="2" a="1"/>
  <c r="A1299" i="2" s="1"/>
  <c r="B1299" i="2" a="1"/>
  <c r="B1299" i="2" s="1"/>
  <c r="C1301" i="2"/>
  <c r="F1300" i="2"/>
  <c r="H1298" i="2" a="1"/>
  <c r="H1298" i="2" s="1"/>
  <c r="K1298" i="2" a="1"/>
  <c r="K1298" i="2" s="1"/>
  <c r="I1298" i="2" a="1"/>
  <c r="I1298" i="2" s="1"/>
  <c r="J1298" i="2" a="1"/>
  <c r="J1298" i="2" s="1"/>
  <c r="D1298" i="2" a="1"/>
  <c r="C1301" i="3" l="1"/>
  <c r="G1300" i="3" a="1"/>
  <c r="G1300" i="3" s="1"/>
  <c r="M1300" i="3"/>
  <c r="J1300" i="3" a="1"/>
  <c r="J1300" i="3" s="1"/>
  <c r="L1300" i="3"/>
  <c r="F1301" i="3"/>
  <c r="G1299" i="3" a="1"/>
  <c r="G1299" i="3" s="1"/>
  <c r="B1299" i="3" a="1"/>
  <c r="B1299" i="3" s="1"/>
  <c r="A1299" i="3" a="1"/>
  <c r="A1299" i="3" s="1"/>
  <c r="D1298" i="2"/>
  <c r="H1299" i="2" a="1"/>
  <c r="H1299" i="2" s="1"/>
  <c r="K1299" i="2" a="1"/>
  <c r="K1299" i="2" s="1"/>
  <c r="J1299" i="2" a="1"/>
  <c r="J1299" i="2" s="1"/>
  <c r="I1299" i="2" a="1"/>
  <c r="I1299" i="2" s="1"/>
  <c r="B1300" i="2" a="1"/>
  <c r="B1300" i="2" s="1"/>
  <c r="A1300" i="2" a="1"/>
  <c r="A1300" i="2" s="1"/>
  <c r="C1302" i="2"/>
  <c r="F1301" i="2"/>
  <c r="D1299" i="2" a="1"/>
  <c r="K1299" i="3" l="1" a="1"/>
  <c r="K1299" i="3" s="1"/>
  <c r="H1299" i="3" a="1"/>
  <c r="H1299" i="3" s="1"/>
  <c r="I1299" i="3" a="1"/>
  <c r="I1299" i="3" s="1"/>
  <c r="J1299" i="3" a="1"/>
  <c r="J1299" i="3" s="1"/>
  <c r="K1300" i="3" a="1"/>
  <c r="K1300" i="3" s="1"/>
  <c r="I1300" i="3" a="1"/>
  <c r="I1300" i="3" s="1"/>
  <c r="H1300" i="3" a="1"/>
  <c r="H1300" i="3" s="1"/>
  <c r="C1302" i="3"/>
  <c r="G1301" i="3" a="1"/>
  <c r="G1301" i="3" s="1"/>
  <c r="J1301" i="3" a="1"/>
  <c r="J1301" i="3" s="1"/>
  <c r="L1301" i="3"/>
  <c r="M1301" i="3"/>
  <c r="A1300" i="3" a="1"/>
  <c r="A1300" i="3" s="1"/>
  <c r="B1300" i="3" a="1"/>
  <c r="B1300" i="3" s="1"/>
  <c r="D1299" i="2"/>
  <c r="C1303" i="2"/>
  <c r="F1302" i="2"/>
  <c r="A1301" i="2" a="1"/>
  <c r="A1301" i="2" s="1"/>
  <c r="B1301" i="2" a="1"/>
  <c r="B1301" i="2" s="1"/>
  <c r="J1300" i="2" a="1"/>
  <c r="J1300" i="2" s="1"/>
  <c r="H1300" i="2" a="1"/>
  <c r="H1300" i="2" s="1"/>
  <c r="K1300" i="2" a="1"/>
  <c r="K1300" i="2" s="1"/>
  <c r="I1300" i="2" a="1"/>
  <c r="I1300" i="2" s="1"/>
  <c r="D1300" i="2" a="1"/>
  <c r="C1303" i="3" l="1"/>
  <c r="L1302" i="3"/>
  <c r="M1302" i="3"/>
  <c r="K1301" i="3" a="1"/>
  <c r="K1301" i="3" s="1"/>
  <c r="H1301" i="3" a="1"/>
  <c r="H1301" i="3" s="1"/>
  <c r="I1301" i="3" a="1"/>
  <c r="I1301" i="3" s="1"/>
  <c r="F1302" i="3"/>
  <c r="F1303" i="3" s="1"/>
  <c r="A1301" i="3" a="1"/>
  <c r="A1301" i="3" s="1"/>
  <c r="B1301" i="3" a="1"/>
  <c r="B1301" i="3" s="1"/>
  <c r="D1300" i="2"/>
  <c r="J1301" i="2" a="1"/>
  <c r="J1301" i="2" s="1"/>
  <c r="H1301" i="2" a="1"/>
  <c r="H1301" i="2" s="1"/>
  <c r="I1301" i="2" a="1"/>
  <c r="I1301" i="2" s="1"/>
  <c r="K1301" i="2" a="1"/>
  <c r="K1301" i="2" s="1"/>
  <c r="A1302" i="2" a="1"/>
  <c r="A1302" i="2" s="1"/>
  <c r="B1302" i="2" a="1"/>
  <c r="B1302" i="2" s="1"/>
  <c r="C1304" i="2"/>
  <c r="F1303" i="2"/>
  <c r="D1301" i="2" a="1"/>
  <c r="G1302" i="3" l="1" a="1"/>
  <c r="G1302" i="3" s="1"/>
  <c r="C1304" i="3"/>
  <c r="G1303" i="3" a="1"/>
  <c r="G1303" i="3" s="1"/>
  <c r="J1303" i="3" a="1"/>
  <c r="J1303" i="3" s="1"/>
  <c r="L1303" i="3"/>
  <c r="M1303" i="3"/>
  <c r="A1302" i="3" a="1"/>
  <c r="A1302" i="3" s="1"/>
  <c r="B1302" i="3" a="1"/>
  <c r="B1302" i="3" s="1"/>
  <c r="D1301" i="2"/>
  <c r="I1302" i="2" a="1"/>
  <c r="I1302" i="2" s="1"/>
  <c r="K1302" i="2" a="1"/>
  <c r="K1302" i="2" s="1"/>
  <c r="H1302" i="2" a="1"/>
  <c r="H1302" i="2" s="1"/>
  <c r="J1302" i="2" a="1"/>
  <c r="J1302" i="2" s="1"/>
  <c r="C1305" i="2"/>
  <c r="F1304" i="2"/>
  <c r="B1303" i="2" a="1"/>
  <c r="B1303" i="2" s="1"/>
  <c r="A1303" i="2" a="1"/>
  <c r="A1303" i="2" s="1"/>
  <c r="D1302" i="2" a="1"/>
  <c r="C1305" i="3" l="1"/>
  <c r="G1304" i="3" a="1"/>
  <c r="G1304" i="3" s="1"/>
  <c r="L1304" i="3"/>
  <c r="M1304" i="3"/>
  <c r="J1304" i="3" a="1"/>
  <c r="J1304" i="3" s="1"/>
  <c r="K1303" i="3" a="1"/>
  <c r="K1303" i="3" s="1"/>
  <c r="H1303" i="3" a="1"/>
  <c r="H1303" i="3" s="1"/>
  <c r="I1303" i="3" a="1"/>
  <c r="I1303" i="3" s="1"/>
  <c r="K1302" i="3" a="1"/>
  <c r="K1302" i="3" s="1"/>
  <c r="H1302" i="3" a="1"/>
  <c r="H1302" i="3" s="1"/>
  <c r="I1302" i="3" a="1"/>
  <c r="I1302" i="3" s="1"/>
  <c r="J1302" i="3" a="1"/>
  <c r="J1302" i="3" s="1"/>
  <c r="F1304" i="3"/>
  <c r="F1305" i="3" s="1"/>
  <c r="A1303" i="3" a="1"/>
  <c r="A1303" i="3" s="1"/>
  <c r="B1303" i="3" a="1"/>
  <c r="B1303" i="3" s="1"/>
  <c r="D1302" i="2"/>
  <c r="K1303" i="2" a="1"/>
  <c r="K1303" i="2" s="1"/>
  <c r="H1303" i="2" a="1"/>
  <c r="H1303" i="2" s="1"/>
  <c r="I1303" i="2" a="1"/>
  <c r="I1303" i="2" s="1"/>
  <c r="J1303" i="2" a="1"/>
  <c r="J1303" i="2" s="1"/>
  <c r="C1306" i="2"/>
  <c r="F1305" i="2"/>
  <c r="B1304" i="2" a="1"/>
  <c r="B1304" i="2" s="1"/>
  <c r="A1304" i="2" a="1"/>
  <c r="A1304" i="2" s="1"/>
  <c r="D1303" i="2" a="1"/>
  <c r="K1304" i="3" l="1" a="1"/>
  <c r="K1304" i="3" s="1"/>
  <c r="H1304" i="3" a="1"/>
  <c r="H1304" i="3" s="1"/>
  <c r="I1304" i="3" a="1"/>
  <c r="I1304" i="3" s="1"/>
  <c r="C1306" i="3"/>
  <c r="F1306" i="3" s="1"/>
  <c r="G1305" i="3" a="1"/>
  <c r="G1305" i="3" s="1"/>
  <c r="J1305" i="3" s="1" a="1"/>
  <c r="J1305" i="3" s="1"/>
  <c r="L1305" i="3"/>
  <c r="M1305" i="3"/>
  <c r="A1304" i="3" a="1"/>
  <c r="A1304" i="3" s="1"/>
  <c r="B1304" i="3" a="1"/>
  <c r="B1304" i="3" s="1"/>
  <c r="D1303" i="2"/>
  <c r="H1304" i="2" a="1"/>
  <c r="H1304" i="2" s="1"/>
  <c r="I1304" i="2" a="1"/>
  <c r="I1304" i="2" s="1"/>
  <c r="K1304" i="2" a="1"/>
  <c r="K1304" i="2" s="1"/>
  <c r="J1304" i="2" a="1"/>
  <c r="J1304" i="2" s="1"/>
  <c r="A1305" i="2" a="1"/>
  <c r="A1305" i="2" s="1"/>
  <c r="B1305" i="2" a="1"/>
  <c r="B1305" i="2" s="1"/>
  <c r="C1307" i="2"/>
  <c r="F1306" i="2"/>
  <c r="D1304" i="2" a="1"/>
  <c r="K1305" i="3" l="1" a="1"/>
  <c r="K1305" i="3" s="1"/>
  <c r="I1305" i="3" a="1"/>
  <c r="I1305" i="3" s="1"/>
  <c r="H1305" i="3" a="1"/>
  <c r="H1305" i="3" s="1"/>
  <c r="C1307" i="3"/>
  <c r="G1306" i="3" a="1"/>
  <c r="G1306" i="3" s="1"/>
  <c r="J1306" i="3" a="1"/>
  <c r="J1306" i="3" s="1"/>
  <c r="L1306" i="3"/>
  <c r="M1306" i="3"/>
  <c r="A1305" i="3" a="1"/>
  <c r="A1305" i="3" s="1"/>
  <c r="B1305" i="3" a="1"/>
  <c r="B1305" i="3" s="1"/>
  <c r="D1304" i="2"/>
  <c r="A1306" i="2" a="1"/>
  <c r="A1306" i="2" s="1"/>
  <c r="B1306" i="2" a="1"/>
  <c r="B1306" i="2" s="1"/>
  <c r="C1308" i="2"/>
  <c r="F1307" i="2"/>
  <c r="H1305" i="2" a="1"/>
  <c r="H1305" i="2" s="1"/>
  <c r="K1305" i="2" a="1"/>
  <c r="K1305" i="2" s="1"/>
  <c r="J1305" i="2" a="1"/>
  <c r="J1305" i="2" s="1"/>
  <c r="I1305" i="2" a="1"/>
  <c r="I1305" i="2" s="1"/>
  <c r="D1305" i="2" a="1"/>
  <c r="K1306" i="3" l="1" a="1"/>
  <c r="K1306" i="3" s="1"/>
  <c r="H1306" i="3" a="1"/>
  <c r="H1306" i="3" s="1"/>
  <c r="I1306" i="3" a="1"/>
  <c r="I1306" i="3" s="1"/>
  <c r="C1308" i="3"/>
  <c r="L1307" i="3"/>
  <c r="M1307" i="3"/>
  <c r="F1307" i="3"/>
  <c r="F1308" i="3" s="1"/>
  <c r="B1306" i="3" a="1"/>
  <c r="B1306" i="3" s="1"/>
  <c r="A1306" i="3" a="1"/>
  <c r="A1306" i="3" s="1"/>
  <c r="D1305" i="2"/>
  <c r="I1306" i="2" a="1"/>
  <c r="I1306" i="2" s="1"/>
  <c r="J1306" i="2" a="1"/>
  <c r="J1306" i="2" s="1"/>
  <c r="K1306" i="2" a="1"/>
  <c r="K1306" i="2" s="1"/>
  <c r="H1306" i="2" a="1"/>
  <c r="H1306" i="2" s="1"/>
  <c r="A1307" i="2" a="1"/>
  <c r="A1307" i="2" s="1"/>
  <c r="B1307" i="2" a="1"/>
  <c r="B1307" i="2" s="1"/>
  <c r="C1309" i="2"/>
  <c r="F1308" i="2"/>
  <c r="D1306" i="2" a="1"/>
  <c r="G1307" i="3" l="1" a="1"/>
  <c r="G1307" i="3" s="1"/>
  <c r="C1309" i="3"/>
  <c r="G1308" i="3" a="1"/>
  <c r="G1308" i="3" s="1"/>
  <c r="L1308" i="3"/>
  <c r="M1308" i="3"/>
  <c r="J1308" i="3" a="1"/>
  <c r="J1308" i="3" s="1"/>
  <c r="A1307" i="3" a="1"/>
  <c r="A1307" i="3" s="1"/>
  <c r="B1307" i="3" a="1"/>
  <c r="B1307" i="3" s="1"/>
  <c r="D1306" i="2"/>
  <c r="A1308" i="2" a="1"/>
  <c r="A1308" i="2" s="1"/>
  <c r="B1308" i="2" a="1"/>
  <c r="B1308" i="2" s="1"/>
  <c r="C1310" i="2"/>
  <c r="F1309" i="2"/>
  <c r="H1307" i="2" a="1"/>
  <c r="H1307" i="2" s="1"/>
  <c r="K1307" i="2" a="1"/>
  <c r="K1307" i="2" s="1"/>
  <c r="I1307" i="2" a="1"/>
  <c r="I1307" i="2" s="1"/>
  <c r="J1307" i="2" a="1"/>
  <c r="J1307" i="2" s="1"/>
  <c r="D1307" i="2" a="1"/>
  <c r="C1310" i="3" l="1"/>
  <c r="G1309" i="3" a="1"/>
  <c r="G1309" i="3" s="1"/>
  <c r="J1309" i="3" a="1"/>
  <c r="J1309" i="3" s="1"/>
  <c r="L1309" i="3"/>
  <c r="M1309" i="3"/>
  <c r="K1308" i="3" a="1"/>
  <c r="K1308" i="3" s="1"/>
  <c r="H1308" i="3" a="1"/>
  <c r="H1308" i="3" s="1"/>
  <c r="I1308" i="3" a="1"/>
  <c r="I1308" i="3" s="1"/>
  <c r="J1307" i="3" a="1"/>
  <c r="J1307" i="3" s="1"/>
  <c r="H1307" i="3" a="1"/>
  <c r="H1307" i="3" s="1"/>
  <c r="I1307" i="3" a="1"/>
  <c r="I1307" i="3" s="1"/>
  <c r="K1307" i="3" a="1"/>
  <c r="K1307" i="3" s="1"/>
  <c r="F1309" i="3"/>
  <c r="F1310" i="3" s="1"/>
  <c r="A1308" i="3" a="1"/>
  <c r="A1308" i="3" s="1"/>
  <c r="B1308" i="3" a="1"/>
  <c r="B1308" i="3" s="1"/>
  <c r="D1307" i="2"/>
  <c r="H1308" i="2" a="1"/>
  <c r="H1308" i="2" s="1"/>
  <c r="J1308" i="2" a="1"/>
  <c r="J1308" i="2" s="1"/>
  <c r="I1308" i="2" a="1"/>
  <c r="I1308" i="2" s="1"/>
  <c r="K1308" i="2" a="1"/>
  <c r="K1308" i="2" s="1"/>
  <c r="A1309" i="2" a="1"/>
  <c r="A1309" i="2" s="1"/>
  <c r="B1309" i="2" a="1"/>
  <c r="B1309" i="2" s="1"/>
  <c r="C1311" i="2"/>
  <c r="F1310" i="2"/>
  <c r="D1308" i="2" a="1"/>
  <c r="H1309" i="3" l="1" a="1"/>
  <c r="H1309" i="3" s="1"/>
  <c r="I1309" i="3" a="1"/>
  <c r="I1309" i="3" s="1"/>
  <c r="K1309" i="3" a="1"/>
  <c r="K1309" i="3" s="1"/>
  <c r="C1311" i="3"/>
  <c r="G1310" i="3" a="1"/>
  <c r="G1310" i="3" s="1"/>
  <c r="L1310" i="3"/>
  <c r="M1310" i="3"/>
  <c r="A1309" i="3" a="1"/>
  <c r="A1309" i="3" s="1"/>
  <c r="B1309" i="3" a="1"/>
  <c r="B1309" i="3" s="1"/>
  <c r="D1308" i="2"/>
  <c r="A1310" i="2" a="1"/>
  <c r="A1310" i="2" s="1"/>
  <c r="B1310" i="2" a="1"/>
  <c r="B1310" i="2" s="1"/>
  <c r="C1312" i="2"/>
  <c r="F1311" i="2"/>
  <c r="I1309" i="2" a="1"/>
  <c r="I1309" i="2" s="1"/>
  <c r="J1309" i="2" a="1"/>
  <c r="J1309" i="2" s="1"/>
  <c r="H1309" i="2" a="1"/>
  <c r="H1309" i="2" s="1"/>
  <c r="K1309" i="2" a="1"/>
  <c r="K1309" i="2" s="1"/>
  <c r="D1309" i="2" a="1"/>
  <c r="K1310" i="3" l="1" a="1"/>
  <c r="K1310" i="3" s="1"/>
  <c r="H1310" i="3" a="1"/>
  <c r="H1310" i="3" s="1"/>
  <c r="I1310" i="3" a="1"/>
  <c r="I1310" i="3" s="1"/>
  <c r="J1310" i="3" a="1"/>
  <c r="J1310" i="3" s="1"/>
  <c r="C1312" i="3"/>
  <c r="M1311" i="3"/>
  <c r="L1311" i="3"/>
  <c r="F1311" i="3"/>
  <c r="F1312" i="3" s="1"/>
  <c r="A1310" i="3" a="1"/>
  <c r="A1310" i="3" s="1"/>
  <c r="B1310" i="3" a="1"/>
  <c r="B1310" i="3" s="1"/>
  <c r="D1309" i="2"/>
  <c r="A1311" i="2" a="1"/>
  <c r="A1311" i="2" s="1"/>
  <c r="B1311" i="2" a="1"/>
  <c r="B1311" i="2" s="1"/>
  <c r="C1313" i="2"/>
  <c r="F1312" i="2"/>
  <c r="H1310" i="2" a="1"/>
  <c r="H1310" i="2" s="1"/>
  <c r="K1310" i="2" a="1"/>
  <c r="K1310" i="2" s="1"/>
  <c r="J1310" i="2" a="1"/>
  <c r="J1310" i="2" s="1"/>
  <c r="I1310" i="2" a="1"/>
  <c r="I1310" i="2" s="1"/>
  <c r="D1310" i="2" a="1"/>
  <c r="G1311" i="3" l="1" a="1"/>
  <c r="G1311" i="3" s="1"/>
  <c r="C1313" i="3"/>
  <c r="G1312" i="3" a="1"/>
  <c r="G1312" i="3" s="1"/>
  <c r="L1312" i="3"/>
  <c r="M1312" i="3"/>
  <c r="B1311" i="3" a="1"/>
  <c r="B1311" i="3" s="1"/>
  <c r="A1311" i="3" a="1"/>
  <c r="A1311" i="3" s="1"/>
  <c r="D1310" i="2"/>
  <c r="C1314" i="2"/>
  <c r="F1313" i="2"/>
  <c r="I1311" i="2" a="1"/>
  <c r="I1311" i="2" s="1"/>
  <c r="H1311" i="2" a="1"/>
  <c r="H1311" i="2" s="1"/>
  <c r="K1311" i="2" a="1"/>
  <c r="K1311" i="2" s="1"/>
  <c r="J1311" i="2" a="1"/>
  <c r="J1311" i="2" s="1"/>
  <c r="A1312" i="2" a="1"/>
  <c r="A1312" i="2" s="1"/>
  <c r="B1312" i="2" a="1"/>
  <c r="B1312" i="2" s="1"/>
  <c r="D1311" i="2" a="1"/>
  <c r="K1312" i="3" l="1" a="1"/>
  <c r="K1312" i="3" s="1"/>
  <c r="I1312" i="3" a="1"/>
  <c r="I1312" i="3" s="1"/>
  <c r="H1312" i="3" a="1"/>
  <c r="H1312" i="3" s="1"/>
  <c r="C1314" i="3"/>
  <c r="G1313" i="3" a="1"/>
  <c r="G1313" i="3" s="1"/>
  <c r="L1313" i="3"/>
  <c r="M1313" i="3"/>
  <c r="J1312" i="3" a="1"/>
  <c r="J1312" i="3" s="1"/>
  <c r="H1311" i="3" a="1"/>
  <c r="H1311" i="3" s="1"/>
  <c r="I1311" i="3" a="1"/>
  <c r="I1311" i="3" s="1"/>
  <c r="K1311" i="3" a="1"/>
  <c r="K1311" i="3" s="1"/>
  <c r="J1311" i="3" a="1"/>
  <c r="J1311" i="3" s="1"/>
  <c r="F1313" i="3"/>
  <c r="F1314" i="3" s="1"/>
  <c r="A1312" i="3" a="1"/>
  <c r="A1312" i="3" s="1"/>
  <c r="B1312" i="3" a="1"/>
  <c r="B1312" i="3" s="1"/>
  <c r="D1311" i="2"/>
  <c r="J1312" i="2" a="1"/>
  <c r="J1312" i="2" s="1"/>
  <c r="I1312" i="2" a="1"/>
  <c r="I1312" i="2" s="1"/>
  <c r="H1312" i="2" a="1"/>
  <c r="H1312" i="2" s="1"/>
  <c r="K1312" i="2" a="1"/>
  <c r="K1312" i="2" s="1"/>
  <c r="A1313" i="2" a="1"/>
  <c r="A1313" i="2" s="1"/>
  <c r="B1313" i="2" a="1"/>
  <c r="B1313" i="2" s="1"/>
  <c r="C1315" i="2"/>
  <c r="F1314" i="2"/>
  <c r="D1312" i="2" a="1"/>
  <c r="H1313" i="3" l="1" a="1"/>
  <c r="H1313" i="3" s="1"/>
  <c r="I1313" i="3" a="1"/>
  <c r="I1313" i="3" s="1"/>
  <c r="K1313" i="3" a="1"/>
  <c r="K1313" i="3" s="1"/>
  <c r="C1315" i="3"/>
  <c r="G1314" i="3" a="1"/>
  <c r="G1314" i="3" s="1"/>
  <c r="M1314" i="3"/>
  <c r="J1314" i="3" a="1"/>
  <c r="J1314" i="3" s="1"/>
  <c r="L1314" i="3"/>
  <c r="J1313" i="3" a="1"/>
  <c r="J1313" i="3" s="1"/>
  <c r="F1315" i="3"/>
  <c r="A1313" i="3" a="1"/>
  <c r="A1313" i="3" s="1"/>
  <c r="B1313" i="3" a="1"/>
  <c r="B1313" i="3" s="1"/>
  <c r="D1312" i="2"/>
  <c r="B1314" i="2" a="1"/>
  <c r="B1314" i="2" s="1"/>
  <c r="A1314" i="2" a="1"/>
  <c r="A1314" i="2" s="1"/>
  <c r="K1313" i="2" a="1"/>
  <c r="K1313" i="2" s="1"/>
  <c r="J1313" i="2" a="1"/>
  <c r="J1313" i="2" s="1"/>
  <c r="H1313" i="2" a="1"/>
  <c r="H1313" i="2" s="1"/>
  <c r="I1313" i="2" a="1"/>
  <c r="I1313" i="2" s="1"/>
  <c r="C1316" i="2"/>
  <c r="F1315" i="2"/>
  <c r="D1313" i="2" a="1"/>
  <c r="C1316" i="3" l="1"/>
  <c r="G1315" i="3" a="1"/>
  <c r="G1315" i="3" s="1"/>
  <c r="J1315" i="3" a="1"/>
  <c r="J1315" i="3" s="1"/>
  <c r="L1315" i="3"/>
  <c r="M1315" i="3"/>
  <c r="F1316" i="3"/>
  <c r="K1314" i="3" a="1"/>
  <c r="K1314" i="3" s="1"/>
  <c r="H1314" i="3" a="1"/>
  <c r="H1314" i="3" s="1"/>
  <c r="I1314" i="3" a="1"/>
  <c r="I1314" i="3" s="1"/>
  <c r="A1314" i="3" a="1"/>
  <c r="A1314" i="3" s="1"/>
  <c r="B1314" i="3" a="1"/>
  <c r="B1314" i="3" s="1"/>
  <c r="D1313" i="2"/>
  <c r="B1315" i="2" a="1"/>
  <c r="B1315" i="2" s="1"/>
  <c r="A1315" i="2" a="1"/>
  <c r="A1315" i="2" s="1"/>
  <c r="C1317" i="2"/>
  <c r="F1316" i="2"/>
  <c r="H1314" i="2" a="1"/>
  <c r="H1314" i="2" s="1"/>
  <c r="K1314" i="2" a="1"/>
  <c r="K1314" i="2" s="1"/>
  <c r="I1314" i="2" a="1"/>
  <c r="I1314" i="2" s="1"/>
  <c r="J1314" i="2" a="1"/>
  <c r="J1314" i="2" s="1"/>
  <c r="D1314" i="2" a="1"/>
  <c r="H1315" i="3" l="1" a="1"/>
  <c r="H1315" i="3" s="1"/>
  <c r="I1315" i="3" a="1"/>
  <c r="I1315" i="3" s="1"/>
  <c r="K1315" i="3" a="1"/>
  <c r="K1315" i="3" s="1"/>
  <c r="C1317" i="3"/>
  <c r="G1316" i="3" a="1"/>
  <c r="G1316" i="3" s="1"/>
  <c r="J1316" i="3" a="1"/>
  <c r="J1316" i="3" s="1"/>
  <c r="L1316" i="3"/>
  <c r="M1316" i="3"/>
  <c r="A1315" i="3" a="1"/>
  <c r="A1315" i="3" s="1"/>
  <c r="B1315" i="3" a="1"/>
  <c r="B1315" i="3" s="1"/>
  <c r="D1314" i="2"/>
  <c r="J1315" i="2" a="1"/>
  <c r="J1315" i="2" s="1"/>
  <c r="I1315" i="2" a="1"/>
  <c r="I1315" i="2" s="1"/>
  <c r="H1315" i="2" a="1"/>
  <c r="H1315" i="2" s="1"/>
  <c r="K1315" i="2" a="1"/>
  <c r="K1315" i="2" s="1"/>
  <c r="B1316" i="2" a="1"/>
  <c r="B1316" i="2" s="1"/>
  <c r="A1316" i="2" a="1"/>
  <c r="A1316" i="2" s="1"/>
  <c r="C1318" i="2"/>
  <c r="F1317" i="2"/>
  <c r="D1315" i="2" a="1"/>
  <c r="C1318" i="3" l="1"/>
  <c r="L1317" i="3"/>
  <c r="M1317" i="3"/>
  <c r="K1316" i="3" a="1"/>
  <c r="K1316" i="3" s="1"/>
  <c r="H1316" i="3" a="1"/>
  <c r="H1316" i="3" s="1"/>
  <c r="I1316" i="3" a="1"/>
  <c r="I1316" i="3" s="1"/>
  <c r="F1317" i="3"/>
  <c r="F1318" i="3" s="1"/>
  <c r="A1316" i="3" a="1"/>
  <c r="A1316" i="3" s="1"/>
  <c r="B1316" i="3" a="1"/>
  <c r="B1316" i="3" s="1"/>
  <c r="D1315" i="2"/>
  <c r="C1319" i="2"/>
  <c r="F1318" i="2"/>
  <c r="B1317" i="2" a="1"/>
  <c r="B1317" i="2" s="1"/>
  <c r="A1317" i="2" a="1"/>
  <c r="A1317" i="2" s="1"/>
  <c r="H1316" i="2" a="1"/>
  <c r="H1316" i="2" s="1"/>
  <c r="I1316" i="2" a="1"/>
  <c r="I1316" i="2" s="1"/>
  <c r="K1316" i="2" a="1"/>
  <c r="K1316" i="2" s="1"/>
  <c r="J1316" i="2" a="1"/>
  <c r="J1316" i="2" s="1"/>
  <c r="D1316" i="2" a="1"/>
  <c r="G1317" i="3" l="1" a="1"/>
  <c r="G1317" i="3" s="1"/>
  <c r="C1319" i="3"/>
  <c r="G1318" i="3" a="1"/>
  <c r="G1318" i="3" s="1"/>
  <c r="L1318" i="3"/>
  <c r="M1318" i="3"/>
  <c r="B1317" i="3" a="1"/>
  <c r="B1317" i="3" s="1"/>
  <c r="A1317" i="3" a="1"/>
  <c r="A1317" i="3" s="1"/>
  <c r="D1316" i="2"/>
  <c r="J1317" i="2" a="1"/>
  <c r="J1317" i="2" s="1"/>
  <c r="K1317" i="2" a="1"/>
  <c r="K1317" i="2" s="1"/>
  <c r="I1317" i="2" a="1"/>
  <c r="I1317" i="2" s="1"/>
  <c r="H1317" i="2" a="1"/>
  <c r="H1317" i="2" s="1"/>
  <c r="A1318" i="2" a="1"/>
  <c r="A1318" i="2" s="1"/>
  <c r="B1318" i="2" a="1"/>
  <c r="B1318" i="2" s="1"/>
  <c r="C1320" i="2"/>
  <c r="F1319" i="2"/>
  <c r="D1317" i="2" a="1"/>
  <c r="K1318" i="3" l="1" a="1"/>
  <c r="K1318" i="3" s="1"/>
  <c r="H1318" i="3" a="1"/>
  <c r="H1318" i="3" s="1"/>
  <c r="I1318" i="3" a="1"/>
  <c r="I1318" i="3" s="1"/>
  <c r="C1320" i="3"/>
  <c r="G1319" i="3" a="1"/>
  <c r="G1319" i="3" s="1"/>
  <c r="L1319" i="3"/>
  <c r="M1319" i="3"/>
  <c r="J1318" i="3" a="1"/>
  <c r="J1318" i="3" s="1"/>
  <c r="I1317" i="3" a="1"/>
  <c r="I1317" i="3" s="1"/>
  <c r="K1317" i="3" a="1"/>
  <c r="K1317" i="3" s="1"/>
  <c r="H1317" i="3" a="1"/>
  <c r="H1317" i="3" s="1"/>
  <c r="J1317" i="3" a="1"/>
  <c r="J1317" i="3" s="1"/>
  <c r="F1319" i="3"/>
  <c r="B1318" i="3" a="1"/>
  <c r="B1318" i="3" s="1"/>
  <c r="A1318" i="3" a="1"/>
  <c r="A1318" i="3" s="1"/>
  <c r="D1317" i="2"/>
  <c r="J1318" i="2" a="1"/>
  <c r="J1318" i="2" s="1"/>
  <c r="I1318" i="2" a="1"/>
  <c r="I1318" i="2" s="1"/>
  <c r="H1318" i="2" a="1"/>
  <c r="H1318" i="2" s="1"/>
  <c r="K1318" i="2" a="1"/>
  <c r="K1318" i="2" s="1"/>
  <c r="A1319" i="2" a="1"/>
  <c r="A1319" i="2" s="1"/>
  <c r="B1319" i="2" a="1"/>
  <c r="B1319" i="2" s="1"/>
  <c r="C1321" i="2"/>
  <c r="F1320" i="2"/>
  <c r="D1318" i="2" a="1"/>
  <c r="C1321" i="3" l="1"/>
  <c r="L1320" i="3"/>
  <c r="M1320" i="3"/>
  <c r="J1319" i="3" a="1"/>
  <c r="J1319" i="3" s="1"/>
  <c r="K1319" i="3" a="1"/>
  <c r="K1319" i="3" s="1"/>
  <c r="H1319" i="3" a="1"/>
  <c r="H1319" i="3" s="1"/>
  <c r="I1319" i="3" a="1"/>
  <c r="I1319" i="3" s="1"/>
  <c r="F1320" i="3"/>
  <c r="F1321" i="3" s="1"/>
  <c r="A1319" i="3" a="1"/>
  <c r="A1319" i="3" s="1"/>
  <c r="B1319" i="3" a="1"/>
  <c r="B1319" i="3" s="1"/>
  <c r="D1318" i="2"/>
  <c r="B1320" i="2" a="1"/>
  <c r="B1320" i="2" s="1"/>
  <c r="A1320" i="2" a="1"/>
  <c r="A1320" i="2" s="1"/>
  <c r="C1322" i="2"/>
  <c r="F1321" i="2"/>
  <c r="H1319" i="2" a="1"/>
  <c r="H1319" i="2" s="1"/>
  <c r="K1319" i="2" a="1"/>
  <c r="K1319" i="2" s="1"/>
  <c r="I1319" i="2" a="1"/>
  <c r="I1319" i="2" s="1"/>
  <c r="J1319" i="2" a="1"/>
  <c r="J1319" i="2" s="1"/>
  <c r="D1319" i="2" a="1"/>
  <c r="G1320" i="3" l="1" a="1"/>
  <c r="G1320" i="3" s="1"/>
  <c r="C1322" i="3"/>
  <c r="G1321" i="3" a="1"/>
  <c r="G1321" i="3" s="1"/>
  <c r="M1321" i="3"/>
  <c r="L1321" i="3"/>
  <c r="A1320" i="3" a="1"/>
  <c r="A1320" i="3" s="1"/>
  <c r="B1320" i="3" a="1"/>
  <c r="B1320" i="3" s="1"/>
  <c r="D1319" i="2"/>
  <c r="C1323" i="2"/>
  <c r="F1322" i="2"/>
  <c r="H1320" i="2" a="1"/>
  <c r="H1320" i="2" s="1"/>
  <c r="K1320" i="2" a="1"/>
  <c r="K1320" i="2" s="1"/>
  <c r="J1320" i="2" a="1"/>
  <c r="J1320" i="2" s="1"/>
  <c r="I1320" i="2" a="1"/>
  <c r="I1320" i="2" s="1"/>
  <c r="B1321" i="2" a="1"/>
  <c r="B1321" i="2" s="1"/>
  <c r="A1321" i="2" a="1"/>
  <c r="A1321" i="2" s="1"/>
  <c r="D1320" i="2" a="1"/>
  <c r="K1321" i="3" l="1" a="1"/>
  <c r="K1321" i="3" s="1"/>
  <c r="H1321" i="3" a="1"/>
  <c r="H1321" i="3" s="1"/>
  <c r="I1321" i="3" a="1"/>
  <c r="I1321" i="3" s="1"/>
  <c r="C1323" i="3"/>
  <c r="G1322" i="3" a="1"/>
  <c r="G1322" i="3" s="1"/>
  <c r="J1322" i="3" a="1"/>
  <c r="J1322" i="3" s="1"/>
  <c r="L1322" i="3"/>
  <c r="M1322" i="3"/>
  <c r="J1321" i="3" a="1"/>
  <c r="J1321" i="3" s="1"/>
  <c r="K1320" i="3" a="1"/>
  <c r="K1320" i="3" s="1"/>
  <c r="H1320" i="3" a="1"/>
  <c r="H1320" i="3" s="1"/>
  <c r="I1320" i="3" a="1"/>
  <c r="I1320" i="3" s="1"/>
  <c r="J1320" i="3" a="1"/>
  <c r="J1320" i="3" s="1"/>
  <c r="F1322" i="3"/>
  <c r="F1323" i="3" s="1"/>
  <c r="B1321" i="3" a="1"/>
  <c r="B1321" i="3" s="1"/>
  <c r="A1321" i="3" a="1"/>
  <c r="A1321" i="3" s="1"/>
  <c r="D1320" i="2"/>
  <c r="A1322" i="2" a="1"/>
  <c r="A1322" i="2" s="1"/>
  <c r="B1322" i="2" a="1"/>
  <c r="B1322" i="2" s="1"/>
  <c r="I1321" i="2" a="1"/>
  <c r="I1321" i="2" s="1"/>
  <c r="K1321" i="2" a="1"/>
  <c r="K1321" i="2" s="1"/>
  <c r="H1321" i="2" a="1"/>
  <c r="H1321" i="2" s="1"/>
  <c r="J1321" i="2" a="1"/>
  <c r="J1321" i="2" s="1"/>
  <c r="C1324" i="2"/>
  <c r="F1323" i="2"/>
  <c r="D1321" i="2" a="1"/>
  <c r="C1324" i="3" l="1"/>
  <c r="G1323" i="3" a="1"/>
  <c r="G1323" i="3" s="1"/>
  <c r="J1323" i="3" s="1" a="1"/>
  <c r="J1323" i="3" s="1"/>
  <c r="L1323" i="3"/>
  <c r="M1323" i="3"/>
  <c r="F1324" i="3"/>
  <c r="K1322" i="3" a="1"/>
  <c r="K1322" i="3" s="1"/>
  <c r="H1322" i="3" a="1"/>
  <c r="H1322" i="3" s="1"/>
  <c r="I1322" i="3" a="1"/>
  <c r="I1322" i="3" s="1"/>
  <c r="A1322" i="3" a="1"/>
  <c r="A1322" i="3" s="1"/>
  <c r="B1322" i="3" a="1"/>
  <c r="B1322" i="3" s="1"/>
  <c r="D1321" i="2"/>
  <c r="A1323" i="2" a="1"/>
  <c r="A1323" i="2" s="1"/>
  <c r="B1323" i="2" a="1"/>
  <c r="B1323" i="2" s="1"/>
  <c r="C1325" i="2"/>
  <c r="F1324" i="2"/>
  <c r="K1322" i="2" a="1"/>
  <c r="K1322" i="2" s="1"/>
  <c r="I1322" i="2" a="1"/>
  <c r="I1322" i="2" s="1"/>
  <c r="J1322" i="2" a="1"/>
  <c r="J1322" i="2" s="1"/>
  <c r="H1322" i="2" a="1"/>
  <c r="H1322" i="2" s="1"/>
  <c r="D1322" i="2" a="1"/>
  <c r="K1323" i="3" l="1" a="1"/>
  <c r="K1323" i="3" s="1"/>
  <c r="H1323" i="3" a="1"/>
  <c r="H1323" i="3" s="1"/>
  <c r="I1323" i="3" a="1"/>
  <c r="I1323" i="3" s="1"/>
  <c r="C1325" i="3"/>
  <c r="G1324" i="3" a="1"/>
  <c r="G1324" i="3" s="1"/>
  <c r="J1324" i="3" s="1" a="1"/>
  <c r="J1324" i="3" s="1"/>
  <c r="M1324" i="3"/>
  <c r="L1324" i="3"/>
  <c r="A1323" i="3" a="1"/>
  <c r="A1323" i="3" s="1"/>
  <c r="B1323" i="3" a="1"/>
  <c r="B1323" i="3" s="1"/>
  <c r="D1322" i="2"/>
  <c r="J1323" i="2" a="1"/>
  <c r="J1323" i="2" s="1"/>
  <c r="K1323" i="2" a="1"/>
  <c r="K1323" i="2" s="1"/>
  <c r="H1323" i="2" a="1"/>
  <c r="H1323" i="2" s="1"/>
  <c r="I1323" i="2" a="1"/>
  <c r="I1323" i="2" s="1"/>
  <c r="B1324" i="2" a="1"/>
  <c r="B1324" i="2" s="1"/>
  <c r="A1324" i="2" a="1"/>
  <c r="A1324" i="2" s="1"/>
  <c r="C1326" i="2"/>
  <c r="F1325" i="2"/>
  <c r="D1323" i="2" a="1"/>
  <c r="C1326" i="3" l="1"/>
  <c r="L1325" i="3"/>
  <c r="M1325" i="3"/>
  <c r="K1324" i="3" a="1"/>
  <c r="K1324" i="3" s="1"/>
  <c r="I1324" i="3" a="1"/>
  <c r="I1324" i="3" s="1"/>
  <c r="H1324" i="3" a="1"/>
  <c r="H1324" i="3" s="1"/>
  <c r="F1325" i="3"/>
  <c r="F1326" i="3" s="1"/>
  <c r="A1324" i="3" a="1"/>
  <c r="A1324" i="3" s="1"/>
  <c r="B1324" i="3" a="1"/>
  <c r="B1324" i="3" s="1"/>
  <c r="D1323" i="2"/>
  <c r="A1325" i="2" a="1"/>
  <c r="A1325" i="2" s="1"/>
  <c r="B1325" i="2" a="1"/>
  <c r="B1325" i="2" s="1"/>
  <c r="J1324" i="2" a="1"/>
  <c r="J1324" i="2" s="1"/>
  <c r="K1324" i="2" a="1"/>
  <c r="K1324" i="2" s="1"/>
  <c r="I1324" i="2" a="1"/>
  <c r="I1324" i="2" s="1"/>
  <c r="H1324" i="2" a="1"/>
  <c r="H1324" i="2" s="1"/>
  <c r="C1327" i="2"/>
  <c r="F1326" i="2"/>
  <c r="D1324" i="2" a="1"/>
  <c r="G1325" i="3" l="1" a="1"/>
  <c r="G1325" i="3" s="1"/>
  <c r="C1327" i="3"/>
  <c r="G1326" i="3" a="1"/>
  <c r="G1326" i="3" s="1"/>
  <c r="J1326" i="3" a="1"/>
  <c r="J1326" i="3" s="1"/>
  <c r="L1326" i="3"/>
  <c r="M1326" i="3"/>
  <c r="A1325" i="3" a="1"/>
  <c r="A1325" i="3" s="1"/>
  <c r="B1325" i="3" a="1"/>
  <c r="B1325" i="3" s="1"/>
  <c r="D1324" i="2"/>
  <c r="B1326" i="2" a="1"/>
  <c r="B1326" i="2" s="1"/>
  <c r="A1326" i="2" a="1"/>
  <c r="A1326" i="2" s="1"/>
  <c r="H1325" i="2" a="1"/>
  <c r="H1325" i="2" s="1"/>
  <c r="K1325" i="2" a="1"/>
  <c r="K1325" i="2" s="1"/>
  <c r="J1325" i="2" a="1"/>
  <c r="J1325" i="2" s="1"/>
  <c r="I1325" i="2" a="1"/>
  <c r="I1325" i="2" s="1"/>
  <c r="C1328" i="2"/>
  <c r="F1327" i="2"/>
  <c r="D1325" i="2" a="1"/>
  <c r="K1325" i="3" l="1" a="1"/>
  <c r="K1325" i="3" s="1"/>
  <c r="H1325" i="3" a="1"/>
  <c r="H1325" i="3" s="1"/>
  <c r="I1325" i="3" a="1"/>
  <c r="I1325" i="3" s="1"/>
  <c r="J1325" i="3" a="1"/>
  <c r="J1325" i="3" s="1"/>
  <c r="I1326" i="3" a="1"/>
  <c r="I1326" i="3" s="1"/>
  <c r="K1326" i="3" a="1"/>
  <c r="K1326" i="3" s="1"/>
  <c r="H1326" i="3" a="1"/>
  <c r="H1326" i="3" s="1"/>
  <c r="C1328" i="3"/>
  <c r="G1327" i="3" a="1"/>
  <c r="G1327" i="3" s="1"/>
  <c r="J1327" i="3" s="1" a="1"/>
  <c r="J1327" i="3" s="1"/>
  <c r="L1327" i="3"/>
  <c r="M1327" i="3"/>
  <c r="F1327" i="3"/>
  <c r="A1326" i="3" a="1"/>
  <c r="A1326" i="3" s="1"/>
  <c r="B1326" i="3" a="1"/>
  <c r="B1326" i="3" s="1"/>
  <c r="D1325" i="2"/>
  <c r="J1326" i="2" a="1"/>
  <c r="J1326" i="2" s="1"/>
  <c r="K1326" i="2" a="1"/>
  <c r="K1326" i="2" s="1"/>
  <c r="H1326" i="2" a="1"/>
  <c r="H1326" i="2" s="1"/>
  <c r="I1326" i="2" a="1"/>
  <c r="I1326" i="2" s="1"/>
  <c r="C1329" i="2"/>
  <c r="F1328" i="2"/>
  <c r="A1327" i="2" a="1"/>
  <c r="A1327" i="2" s="1"/>
  <c r="B1327" i="2" a="1"/>
  <c r="B1327" i="2" s="1"/>
  <c r="D1326" i="2" a="1"/>
  <c r="C1329" i="3" l="1"/>
  <c r="M1328" i="3"/>
  <c r="L1328" i="3"/>
  <c r="I1327" i="3" a="1"/>
  <c r="I1327" i="3" s="1"/>
  <c r="K1327" i="3" a="1"/>
  <c r="K1327" i="3" s="1"/>
  <c r="H1327" i="3" a="1"/>
  <c r="H1327" i="3" s="1"/>
  <c r="F1328" i="3"/>
  <c r="F1329" i="3" s="1"/>
  <c r="A1327" i="3" a="1"/>
  <c r="A1327" i="3" s="1"/>
  <c r="B1327" i="3" a="1"/>
  <c r="B1327" i="3" s="1"/>
  <c r="D1326" i="2"/>
  <c r="I1327" i="2" a="1"/>
  <c r="I1327" i="2" s="1"/>
  <c r="K1327" i="2" a="1"/>
  <c r="K1327" i="2" s="1"/>
  <c r="H1327" i="2" a="1"/>
  <c r="H1327" i="2" s="1"/>
  <c r="J1327" i="2" a="1"/>
  <c r="J1327" i="2" s="1"/>
  <c r="C1330" i="2"/>
  <c r="F1329" i="2"/>
  <c r="A1328" i="2" a="1"/>
  <c r="A1328" i="2" s="1"/>
  <c r="B1328" i="2" a="1"/>
  <c r="B1328" i="2" s="1"/>
  <c r="D1327" i="2" a="1"/>
  <c r="G1328" i="3" l="1" a="1"/>
  <c r="G1328" i="3" s="1"/>
  <c r="C1330" i="3"/>
  <c r="G1329" i="3" a="1"/>
  <c r="G1329" i="3" s="1"/>
  <c r="L1329" i="3"/>
  <c r="M1329" i="3"/>
  <c r="A1328" i="3" a="1"/>
  <c r="A1328" i="3" s="1"/>
  <c r="B1328" i="3" a="1"/>
  <c r="B1328" i="3" s="1"/>
  <c r="D1327" i="2"/>
  <c r="I1328" i="2" a="1"/>
  <c r="I1328" i="2" s="1"/>
  <c r="J1328" i="2" a="1"/>
  <c r="J1328" i="2" s="1"/>
  <c r="H1328" i="2" a="1"/>
  <c r="H1328" i="2" s="1"/>
  <c r="K1328" i="2" a="1"/>
  <c r="K1328" i="2" s="1"/>
  <c r="C1331" i="2"/>
  <c r="F1330" i="2"/>
  <c r="B1329" i="2" a="1"/>
  <c r="B1329" i="2" s="1"/>
  <c r="A1329" i="2" a="1"/>
  <c r="A1329" i="2" s="1"/>
  <c r="D1328" i="2" a="1"/>
  <c r="I1329" i="3" l="1" a="1"/>
  <c r="I1329" i="3" s="1"/>
  <c r="H1329" i="3" a="1"/>
  <c r="H1329" i="3" s="1"/>
  <c r="K1329" i="3" a="1"/>
  <c r="K1329" i="3" s="1"/>
  <c r="C1331" i="3"/>
  <c r="G1330" i="3" a="1"/>
  <c r="G1330" i="3" s="1"/>
  <c r="J1330" i="3" a="1"/>
  <c r="J1330" i="3" s="1"/>
  <c r="L1330" i="3"/>
  <c r="M1330" i="3"/>
  <c r="J1329" i="3" a="1"/>
  <c r="J1329" i="3" s="1"/>
  <c r="I1328" i="3" a="1"/>
  <c r="I1328" i="3" s="1"/>
  <c r="H1328" i="3" a="1"/>
  <c r="H1328" i="3" s="1"/>
  <c r="K1328" i="3" a="1"/>
  <c r="K1328" i="3" s="1"/>
  <c r="J1328" i="3" a="1"/>
  <c r="J1328" i="3" s="1"/>
  <c r="F1330" i="3"/>
  <c r="B1329" i="3" a="1"/>
  <c r="B1329" i="3" s="1"/>
  <c r="A1329" i="3" a="1"/>
  <c r="A1329" i="3" s="1"/>
  <c r="D1328" i="2"/>
  <c r="I1329" i="2" a="1"/>
  <c r="I1329" i="2" s="1"/>
  <c r="K1329" i="2" a="1"/>
  <c r="K1329" i="2" s="1"/>
  <c r="J1329" i="2" a="1"/>
  <c r="J1329" i="2" s="1"/>
  <c r="H1329" i="2" a="1"/>
  <c r="H1329" i="2" s="1"/>
  <c r="C1332" i="2"/>
  <c r="F1331" i="2"/>
  <c r="A1330" i="2" a="1"/>
  <c r="A1330" i="2" s="1"/>
  <c r="B1330" i="2" a="1"/>
  <c r="B1330" i="2" s="1"/>
  <c r="D1329" i="2" a="1"/>
  <c r="C1332" i="3" l="1"/>
  <c r="L1331" i="3"/>
  <c r="M1331" i="3"/>
  <c r="F1331" i="3"/>
  <c r="F1332" i="3" s="1"/>
  <c r="I1330" i="3" a="1"/>
  <c r="I1330" i="3" s="1"/>
  <c r="H1330" i="3" a="1"/>
  <c r="H1330" i="3" s="1"/>
  <c r="K1330" i="3" a="1"/>
  <c r="K1330" i="3" s="1"/>
  <c r="B1330" i="3" a="1"/>
  <c r="B1330" i="3" s="1"/>
  <c r="A1330" i="3" a="1"/>
  <c r="A1330" i="3" s="1"/>
  <c r="D1329" i="2"/>
  <c r="J1330" i="2" a="1"/>
  <c r="J1330" i="2" s="1"/>
  <c r="I1330" i="2" a="1"/>
  <c r="I1330" i="2" s="1"/>
  <c r="H1330" i="2" a="1"/>
  <c r="H1330" i="2" s="1"/>
  <c r="K1330" i="2" a="1"/>
  <c r="K1330" i="2" s="1"/>
  <c r="A1331" i="2" a="1"/>
  <c r="A1331" i="2" s="1"/>
  <c r="B1331" i="2" a="1"/>
  <c r="B1331" i="2" s="1"/>
  <c r="C1333" i="2"/>
  <c r="F1332" i="2"/>
  <c r="D1330" i="2" a="1"/>
  <c r="G1331" i="3" l="1" a="1"/>
  <c r="G1331" i="3" s="1"/>
  <c r="C1333" i="3"/>
  <c r="G1332" i="3" a="1"/>
  <c r="G1332" i="3" s="1"/>
  <c r="L1332" i="3"/>
  <c r="M1332" i="3"/>
  <c r="J1332" i="3" a="1"/>
  <c r="J1332" i="3" s="1"/>
  <c r="A1331" i="3" a="1"/>
  <c r="A1331" i="3" s="1"/>
  <c r="B1331" i="3" a="1"/>
  <c r="B1331" i="3" s="1"/>
  <c r="D1330" i="2"/>
  <c r="A1332" i="2" a="1"/>
  <c r="A1332" i="2" s="1"/>
  <c r="B1332" i="2" a="1"/>
  <c r="B1332" i="2" s="1"/>
  <c r="C1334" i="2"/>
  <c r="F1333" i="2"/>
  <c r="H1331" i="2" a="1"/>
  <c r="H1331" i="2" s="1"/>
  <c r="J1331" i="2" a="1"/>
  <c r="J1331" i="2" s="1"/>
  <c r="I1331" i="2" a="1"/>
  <c r="I1331" i="2" s="1"/>
  <c r="K1331" i="2" a="1"/>
  <c r="K1331" i="2" s="1"/>
  <c r="D1331" i="2" a="1"/>
  <c r="C1334" i="3" l="1"/>
  <c r="G1333" i="3" a="1"/>
  <c r="G1333" i="3" s="1"/>
  <c r="L1333" i="3"/>
  <c r="M1333" i="3"/>
  <c r="J1333" i="3" a="1"/>
  <c r="J1333" i="3" s="1"/>
  <c r="H1332" i="3" a="1"/>
  <c r="H1332" i="3" s="1"/>
  <c r="I1332" i="3" a="1"/>
  <c r="I1332" i="3" s="1"/>
  <c r="K1332" i="3" a="1"/>
  <c r="K1332" i="3" s="1"/>
  <c r="K1331" i="3" a="1"/>
  <c r="K1331" i="3" s="1"/>
  <c r="I1331" i="3" a="1"/>
  <c r="I1331" i="3" s="1"/>
  <c r="H1331" i="3" a="1"/>
  <c r="H1331" i="3" s="1"/>
  <c r="J1331" i="3" a="1"/>
  <c r="J1331" i="3" s="1"/>
  <c r="F1333" i="3"/>
  <c r="F1334" i="3" s="1"/>
  <c r="A1332" i="3" a="1"/>
  <c r="A1332" i="3" s="1"/>
  <c r="B1332" i="3" a="1"/>
  <c r="B1332" i="3" s="1"/>
  <c r="D1331" i="2"/>
  <c r="H1332" i="2" a="1"/>
  <c r="H1332" i="2" s="1"/>
  <c r="K1332" i="2" a="1"/>
  <c r="K1332" i="2" s="1"/>
  <c r="I1332" i="2" a="1"/>
  <c r="I1332" i="2" s="1"/>
  <c r="J1332" i="2" a="1"/>
  <c r="J1332" i="2" s="1"/>
  <c r="B1333" i="2" a="1"/>
  <c r="B1333" i="2" s="1"/>
  <c r="A1333" i="2" a="1"/>
  <c r="A1333" i="2" s="1"/>
  <c r="C1335" i="2"/>
  <c r="F1334" i="2"/>
  <c r="D1332" i="2" a="1"/>
  <c r="I1333" i="3" l="1" a="1"/>
  <c r="I1333" i="3" s="1"/>
  <c r="K1333" i="3" a="1"/>
  <c r="K1333" i="3" s="1"/>
  <c r="H1333" i="3" a="1"/>
  <c r="H1333" i="3" s="1"/>
  <c r="C1335" i="3"/>
  <c r="G1334" i="3" a="1"/>
  <c r="G1334" i="3" s="1"/>
  <c r="L1334" i="3"/>
  <c r="M1334" i="3"/>
  <c r="J1334" i="3" a="1"/>
  <c r="J1334" i="3" s="1"/>
  <c r="B1333" i="3" a="1"/>
  <c r="B1333" i="3" s="1"/>
  <c r="A1333" i="3" a="1"/>
  <c r="A1333" i="3" s="1"/>
  <c r="D1332" i="2"/>
  <c r="C1336" i="2"/>
  <c r="F1335" i="2"/>
  <c r="A1334" i="2" a="1"/>
  <c r="A1334" i="2" s="1"/>
  <c r="B1334" i="2" a="1"/>
  <c r="B1334" i="2" s="1"/>
  <c r="K1333" i="2" a="1"/>
  <c r="K1333" i="2" s="1"/>
  <c r="J1333" i="2" a="1"/>
  <c r="J1333" i="2" s="1"/>
  <c r="H1333" i="2" a="1"/>
  <c r="H1333" i="2" s="1"/>
  <c r="I1333" i="2" a="1"/>
  <c r="I1333" i="2" s="1"/>
  <c r="D1333" i="2" a="1"/>
  <c r="H1334" i="3" l="1" a="1"/>
  <c r="H1334" i="3" s="1"/>
  <c r="K1334" i="3" a="1"/>
  <c r="K1334" i="3" s="1"/>
  <c r="I1334" i="3" a="1"/>
  <c r="I1334" i="3" s="1"/>
  <c r="C1336" i="3"/>
  <c r="L1335" i="3"/>
  <c r="M1335" i="3"/>
  <c r="F1335" i="3"/>
  <c r="F1336" i="3" s="1"/>
  <c r="A1334" i="3" a="1"/>
  <c r="A1334" i="3" s="1"/>
  <c r="B1334" i="3" a="1"/>
  <c r="B1334" i="3" s="1"/>
  <c r="D1333" i="2"/>
  <c r="I1334" i="2" a="1"/>
  <c r="I1334" i="2" s="1"/>
  <c r="K1334" i="2" a="1"/>
  <c r="K1334" i="2" s="1"/>
  <c r="H1334" i="2" a="1"/>
  <c r="H1334" i="2" s="1"/>
  <c r="J1334" i="2" a="1"/>
  <c r="J1334" i="2" s="1"/>
  <c r="A1335" i="2" a="1"/>
  <c r="A1335" i="2" s="1"/>
  <c r="B1335" i="2" a="1"/>
  <c r="B1335" i="2" s="1"/>
  <c r="C1337" i="2"/>
  <c r="F1336" i="2"/>
  <c r="D1334" i="2" a="1"/>
  <c r="G1335" i="3" l="1" a="1"/>
  <c r="G1335" i="3" s="1"/>
  <c r="C1337" i="3"/>
  <c r="G1336" i="3" a="1"/>
  <c r="G1336" i="3" s="1"/>
  <c r="L1336" i="3"/>
  <c r="M1336" i="3"/>
  <c r="B1335" i="3" a="1"/>
  <c r="B1335" i="3" s="1"/>
  <c r="A1335" i="3" a="1"/>
  <c r="A1335" i="3" s="1"/>
  <c r="D1334" i="2"/>
  <c r="C1338" i="2"/>
  <c r="F1337" i="2"/>
  <c r="A1336" i="2" a="1"/>
  <c r="A1336" i="2" s="1"/>
  <c r="B1336" i="2" a="1"/>
  <c r="B1336" i="2" s="1"/>
  <c r="J1335" i="2" a="1"/>
  <c r="J1335" i="2" s="1"/>
  <c r="K1335" i="2" a="1"/>
  <c r="K1335" i="2" s="1"/>
  <c r="H1335" i="2" a="1"/>
  <c r="H1335" i="2" s="1"/>
  <c r="I1335" i="2" a="1"/>
  <c r="I1335" i="2" s="1"/>
  <c r="D1335" i="2" a="1"/>
  <c r="I1336" i="3" l="1" a="1"/>
  <c r="I1336" i="3" s="1"/>
  <c r="H1336" i="3" a="1"/>
  <c r="H1336" i="3" s="1"/>
  <c r="K1336" i="3" a="1"/>
  <c r="K1336" i="3" s="1"/>
  <c r="C1338" i="3"/>
  <c r="G1337" i="3" a="1"/>
  <c r="G1337" i="3" s="1"/>
  <c r="M1337" i="3"/>
  <c r="L1337" i="3"/>
  <c r="J1337" i="3" a="1"/>
  <c r="J1337" i="3" s="1"/>
  <c r="J1336" i="3" a="1"/>
  <c r="J1336" i="3" s="1"/>
  <c r="K1335" i="3" a="1"/>
  <c r="K1335" i="3" s="1"/>
  <c r="I1335" i="3" a="1"/>
  <c r="I1335" i="3" s="1"/>
  <c r="H1335" i="3" a="1"/>
  <c r="H1335" i="3" s="1"/>
  <c r="J1335" i="3" a="1"/>
  <c r="J1335" i="3" s="1"/>
  <c r="F1337" i="3"/>
  <c r="F1338" i="3" s="1"/>
  <c r="A1336" i="3" a="1"/>
  <c r="A1336" i="3" s="1"/>
  <c r="B1336" i="3" a="1"/>
  <c r="B1336" i="3" s="1"/>
  <c r="D1335" i="2"/>
  <c r="H1336" i="2" a="1"/>
  <c r="H1336" i="2" s="1"/>
  <c r="J1336" i="2" a="1"/>
  <c r="J1336" i="2" s="1"/>
  <c r="I1336" i="2" a="1"/>
  <c r="I1336" i="2" s="1"/>
  <c r="K1336" i="2" a="1"/>
  <c r="K1336" i="2" s="1"/>
  <c r="A1337" i="2" a="1"/>
  <c r="A1337" i="2" s="1"/>
  <c r="B1337" i="2" a="1"/>
  <c r="B1337" i="2" s="1"/>
  <c r="C1339" i="2"/>
  <c r="F1338" i="2"/>
  <c r="D1336" i="2" a="1"/>
  <c r="C1339" i="3" l="1"/>
  <c r="G1338" i="3" a="1"/>
  <c r="G1338" i="3" s="1"/>
  <c r="J1338" i="3" s="1" a="1"/>
  <c r="J1338" i="3" s="1"/>
  <c r="L1338" i="3"/>
  <c r="M1338" i="3"/>
  <c r="I1337" i="3" a="1"/>
  <c r="I1337" i="3" s="1"/>
  <c r="H1337" i="3" a="1"/>
  <c r="H1337" i="3" s="1"/>
  <c r="K1337" i="3" a="1"/>
  <c r="K1337" i="3" s="1"/>
  <c r="F1339" i="3"/>
  <c r="A1337" i="3" a="1"/>
  <c r="A1337" i="3" s="1"/>
  <c r="B1337" i="3" a="1"/>
  <c r="B1337" i="3" s="1"/>
  <c r="D1336" i="2"/>
  <c r="C1340" i="2"/>
  <c r="F1339" i="2"/>
  <c r="A1338" i="2" a="1"/>
  <c r="A1338" i="2" s="1"/>
  <c r="B1338" i="2" a="1"/>
  <c r="B1338" i="2" s="1"/>
  <c r="H1337" i="2" a="1"/>
  <c r="H1337" i="2" s="1"/>
  <c r="I1337" i="2" a="1"/>
  <c r="I1337" i="2" s="1"/>
  <c r="J1337" i="2" a="1"/>
  <c r="J1337" i="2" s="1"/>
  <c r="K1337" i="2" a="1"/>
  <c r="K1337" i="2" s="1"/>
  <c r="D1337" i="2" a="1"/>
  <c r="I1338" i="3" l="1" a="1"/>
  <c r="I1338" i="3" s="1"/>
  <c r="K1338" i="3" a="1"/>
  <c r="K1338" i="3" s="1"/>
  <c r="H1338" i="3" a="1"/>
  <c r="H1338" i="3" s="1"/>
  <c r="C1340" i="3"/>
  <c r="G1339" i="3" a="1"/>
  <c r="G1339" i="3" s="1"/>
  <c r="L1339" i="3"/>
  <c r="M1339" i="3"/>
  <c r="J1339" i="3" a="1"/>
  <c r="J1339" i="3" s="1"/>
  <c r="A1338" i="3" a="1"/>
  <c r="A1338" i="3" s="1"/>
  <c r="B1338" i="3" a="1"/>
  <c r="B1338" i="3" s="1"/>
  <c r="D1337" i="2"/>
  <c r="H1338" i="2" a="1"/>
  <c r="H1338" i="2" s="1"/>
  <c r="K1338" i="2" a="1"/>
  <c r="K1338" i="2" s="1"/>
  <c r="J1338" i="2" a="1"/>
  <c r="J1338" i="2" s="1"/>
  <c r="I1338" i="2" a="1"/>
  <c r="I1338" i="2" s="1"/>
  <c r="B1339" i="2" a="1"/>
  <c r="B1339" i="2" s="1"/>
  <c r="A1339" i="2" a="1"/>
  <c r="A1339" i="2" s="1"/>
  <c r="C1341" i="2"/>
  <c r="F1340" i="2"/>
  <c r="D1338" i="2" a="1"/>
  <c r="H1339" i="3" l="1" a="1"/>
  <c r="H1339" i="3" s="1"/>
  <c r="K1339" i="3" a="1"/>
  <c r="K1339" i="3" s="1"/>
  <c r="I1339" i="3" a="1"/>
  <c r="I1339" i="3" s="1"/>
  <c r="C1341" i="3"/>
  <c r="L1340" i="3"/>
  <c r="M1340" i="3"/>
  <c r="F1340" i="3"/>
  <c r="F1341" i="3" s="1"/>
  <c r="A1339" i="3" a="1"/>
  <c r="A1339" i="3" s="1"/>
  <c r="B1339" i="3" a="1"/>
  <c r="B1339" i="3" s="1"/>
  <c r="D1338" i="2"/>
  <c r="C1342" i="2"/>
  <c r="F1341" i="2"/>
  <c r="I1339" i="2" a="1"/>
  <c r="I1339" i="2" s="1"/>
  <c r="J1339" i="2" a="1"/>
  <c r="J1339" i="2" s="1"/>
  <c r="K1339" i="2" a="1"/>
  <c r="K1339" i="2" s="1"/>
  <c r="H1339" i="2" a="1"/>
  <c r="H1339" i="2" s="1"/>
  <c r="A1340" i="2" a="1"/>
  <c r="A1340" i="2" s="1"/>
  <c r="B1340" i="2" a="1"/>
  <c r="B1340" i="2" s="1"/>
  <c r="D1339" i="2" a="1"/>
  <c r="G1340" i="3" l="1" a="1"/>
  <c r="G1340" i="3" s="1"/>
  <c r="C1342" i="3"/>
  <c r="G1341" i="3" a="1"/>
  <c r="G1341" i="3" s="1"/>
  <c r="J1341" i="3" s="1" a="1"/>
  <c r="J1341" i="3" s="1"/>
  <c r="L1341" i="3"/>
  <c r="M1341" i="3"/>
  <c r="A1340" i="3" a="1"/>
  <c r="A1340" i="3" s="1"/>
  <c r="B1340" i="3" a="1"/>
  <c r="B1340" i="3" s="1"/>
  <c r="D1339" i="2"/>
  <c r="B1341" i="2" a="1"/>
  <c r="B1341" i="2" s="1"/>
  <c r="A1341" i="2" a="1"/>
  <c r="A1341" i="2" s="1"/>
  <c r="I1340" i="2" a="1"/>
  <c r="I1340" i="2" s="1"/>
  <c r="J1340" i="2" a="1"/>
  <c r="J1340" i="2" s="1"/>
  <c r="H1340" i="2" a="1"/>
  <c r="H1340" i="2" s="1"/>
  <c r="K1340" i="2" a="1"/>
  <c r="K1340" i="2" s="1"/>
  <c r="C1343" i="2"/>
  <c r="F1342" i="2"/>
  <c r="D1340" i="2" a="1"/>
  <c r="K1340" i="3" l="1" a="1"/>
  <c r="K1340" i="3" s="1"/>
  <c r="H1340" i="3" a="1"/>
  <c r="H1340" i="3" s="1"/>
  <c r="I1340" i="3" a="1"/>
  <c r="I1340" i="3" s="1"/>
  <c r="J1340" i="3" a="1"/>
  <c r="J1340" i="3" s="1"/>
  <c r="K1341" i="3" a="1"/>
  <c r="K1341" i="3" s="1"/>
  <c r="H1341" i="3" a="1"/>
  <c r="H1341" i="3" s="1"/>
  <c r="I1341" i="3" a="1"/>
  <c r="I1341" i="3" s="1"/>
  <c r="C1343" i="3"/>
  <c r="G1342" i="3" a="1"/>
  <c r="G1342" i="3" s="1"/>
  <c r="L1342" i="3"/>
  <c r="M1342" i="3"/>
  <c r="F1342" i="3"/>
  <c r="A1341" i="3" a="1"/>
  <c r="A1341" i="3" s="1"/>
  <c r="B1341" i="3" a="1"/>
  <c r="B1341" i="3" s="1"/>
  <c r="D1340" i="2"/>
  <c r="C1344" i="2"/>
  <c r="F1343" i="2"/>
  <c r="I1341" i="2" a="1"/>
  <c r="I1341" i="2" s="1"/>
  <c r="J1341" i="2" a="1"/>
  <c r="J1341" i="2" s="1"/>
  <c r="K1341" i="2" a="1"/>
  <c r="K1341" i="2" s="1"/>
  <c r="H1341" i="2" a="1"/>
  <c r="H1341" i="2" s="1"/>
  <c r="A1342" i="2" a="1"/>
  <c r="A1342" i="2" s="1"/>
  <c r="B1342" i="2" a="1"/>
  <c r="B1342" i="2" s="1"/>
  <c r="D1341" i="2" a="1"/>
  <c r="H1342" i="3" l="1" a="1"/>
  <c r="H1342" i="3" s="1"/>
  <c r="K1342" i="3" a="1"/>
  <c r="K1342" i="3" s="1"/>
  <c r="I1342" i="3" a="1"/>
  <c r="I1342" i="3" s="1"/>
  <c r="C1344" i="3"/>
  <c r="L1343" i="3"/>
  <c r="M1343" i="3"/>
  <c r="J1342" i="3" a="1"/>
  <c r="J1342" i="3" s="1"/>
  <c r="F1343" i="3"/>
  <c r="F1344" i="3" s="1"/>
  <c r="B1342" i="3" a="1"/>
  <c r="B1342" i="3" s="1"/>
  <c r="A1342" i="3" a="1"/>
  <c r="A1342" i="3" s="1"/>
  <c r="D1341" i="2"/>
  <c r="I1342" i="2" a="1"/>
  <c r="I1342" i="2" s="1"/>
  <c r="J1342" i="2" a="1"/>
  <c r="J1342" i="2" s="1"/>
  <c r="K1342" i="2" a="1"/>
  <c r="K1342" i="2" s="1"/>
  <c r="H1342" i="2" a="1"/>
  <c r="H1342" i="2" s="1"/>
  <c r="A1343" i="2" a="1"/>
  <c r="A1343" i="2" s="1"/>
  <c r="B1343" i="2" a="1"/>
  <c r="B1343" i="2" s="1"/>
  <c r="C1345" i="2"/>
  <c r="F1344" i="2"/>
  <c r="D1342" i="2" a="1"/>
  <c r="C1345" i="3" l="1"/>
  <c r="G1344" i="3" a="1"/>
  <c r="G1344" i="3" s="1"/>
  <c r="L1344" i="3"/>
  <c r="M1344" i="3"/>
  <c r="J1344" i="3" a="1"/>
  <c r="J1344" i="3" s="1"/>
  <c r="F1345" i="3"/>
  <c r="G1343" i="3" a="1"/>
  <c r="G1343" i="3" s="1"/>
  <c r="A1343" i="3" a="1"/>
  <c r="A1343" i="3" s="1"/>
  <c r="B1343" i="3" a="1"/>
  <c r="B1343" i="3" s="1"/>
  <c r="D1342" i="2"/>
  <c r="A1344" i="2" a="1"/>
  <c r="A1344" i="2" s="1"/>
  <c r="B1344" i="2" a="1"/>
  <c r="B1344" i="2" s="1"/>
  <c r="C1346" i="2"/>
  <c r="F1345" i="2"/>
  <c r="I1343" i="2" a="1"/>
  <c r="I1343" i="2" s="1"/>
  <c r="K1343" i="2" a="1"/>
  <c r="K1343" i="2" s="1"/>
  <c r="J1343" i="2" a="1"/>
  <c r="J1343" i="2" s="1"/>
  <c r="H1343" i="2" a="1"/>
  <c r="H1343" i="2" s="1"/>
  <c r="D1343" i="2" a="1"/>
  <c r="H1343" i="3" l="1" a="1"/>
  <c r="H1343" i="3" s="1"/>
  <c r="I1343" i="3" a="1"/>
  <c r="I1343" i="3" s="1"/>
  <c r="K1343" i="3" a="1"/>
  <c r="K1343" i="3" s="1"/>
  <c r="J1343" i="3" a="1"/>
  <c r="J1343" i="3" s="1"/>
  <c r="K1344" i="3" a="1"/>
  <c r="K1344" i="3" s="1"/>
  <c r="H1344" i="3" a="1"/>
  <c r="H1344" i="3" s="1"/>
  <c r="I1344" i="3" a="1"/>
  <c r="I1344" i="3" s="1"/>
  <c r="C1346" i="3"/>
  <c r="G1345" i="3" a="1"/>
  <c r="G1345" i="3" s="1"/>
  <c r="L1345" i="3"/>
  <c r="M1345" i="3"/>
  <c r="A1344" i="3" a="1"/>
  <c r="A1344" i="3" s="1"/>
  <c r="B1344" i="3" a="1"/>
  <c r="B1344" i="3" s="1"/>
  <c r="D1343" i="2"/>
  <c r="H1344" i="2" a="1"/>
  <c r="H1344" i="2" s="1"/>
  <c r="K1344" i="2" a="1"/>
  <c r="K1344" i="2" s="1"/>
  <c r="J1344" i="2" a="1"/>
  <c r="J1344" i="2" s="1"/>
  <c r="I1344" i="2" a="1"/>
  <c r="I1344" i="2" s="1"/>
  <c r="B1345" i="2" a="1"/>
  <c r="B1345" i="2" s="1"/>
  <c r="A1345" i="2" a="1"/>
  <c r="A1345" i="2" s="1"/>
  <c r="C1347" i="2"/>
  <c r="F1346" i="2"/>
  <c r="D1344" i="2" a="1"/>
  <c r="K1345" i="3" l="1" a="1"/>
  <c r="K1345" i="3" s="1"/>
  <c r="H1345" i="3" a="1"/>
  <c r="H1345" i="3" s="1"/>
  <c r="I1345" i="3" a="1"/>
  <c r="I1345" i="3" s="1"/>
  <c r="C1347" i="3"/>
  <c r="L1346" i="3"/>
  <c r="M1346" i="3"/>
  <c r="J1345" i="3" a="1"/>
  <c r="J1345" i="3" s="1"/>
  <c r="F1346" i="3"/>
  <c r="F1347" i="3" s="1"/>
  <c r="B1345" i="3" a="1"/>
  <c r="B1345" i="3" s="1"/>
  <c r="A1345" i="3" a="1"/>
  <c r="A1345" i="3" s="1"/>
  <c r="D1344" i="2"/>
  <c r="A1346" i="2" a="1"/>
  <c r="A1346" i="2" s="1"/>
  <c r="B1346" i="2" a="1"/>
  <c r="B1346" i="2" s="1"/>
  <c r="C1348" i="2"/>
  <c r="F1347" i="2"/>
  <c r="I1345" i="2" a="1"/>
  <c r="I1345" i="2" s="1"/>
  <c r="H1345" i="2" a="1"/>
  <c r="H1345" i="2" s="1"/>
  <c r="J1345" i="2" a="1"/>
  <c r="J1345" i="2" s="1"/>
  <c r="K1345" i="2" a="1"/>
  <c r="K1345" i="2" s="1"/>
  <c r="D1345" i="2" a="1"/>
  <c r="G1346" i="3" l="1" a="1"/>
  <c r="G1346" i="3" s="1"/>
  <c r="C1348" i="3"/>
  <c r="G1347" i="3" a="1"/>
  <c r="G1347" i="3" s="1"/>
  <c r="M1347" i="3"/>
  <c r="L1347" i="3"/>
  <c r="B1346" i="3" a="1"/>
  <c r="B1346" i="3" s="1"/>
  <c r="A1346" i="3" a="1"/>
  <c r="A1346" i="3" s="1"/>
  <c r="D1345" i="2"/>
  <c r="K1346" i="2" a="1"/>
  <c r="K1346" i="2" s="1"/>
  <c r="H1346" i="2" a="1"/>
  <c r="H1346" i="2" s="1"/>
  <c r="J1346" i="2" a="1"/>
  <c r="J1346" i="2" s="1"/>
  <c r="I1346" i="2" a="1"/>
  <c r="I1346" i="2" s="1"/>
  <c r="B1347" i="2" a="1"/>
  <c r="B1347" i="2" s="1"/>
  <c r="A1347" i="2" a="1"/>
  <c r="A1347" i="2" s="1"/>
  <c r="C1349" i="2"/>
  <c r="F1348" i="2"/>
  <c r="D1346" i="2" a="1"/>
  <c r="I1347" i="3" l="1" a="1"/>
  <c r="I1347" i="3" s="1"/>
  <c r="K1347" i="3" a="1"/>
  <c r="K1347" i="3" s="1"/>
  <c r="H1347" i="3" a="1"/>
  <c r="H1347" i="3" s="1"/>
  <c r="C1349" i="3"/>
  <c r="G1348" i="3" a="1"/>
  <c r="G1348" i="3" s="1"/>
  <c r="L1348" i="3"/>
  <c r="M1348" i="3"/>
  <c r="J1348" i="3" a="1"/>
  <c r="J1348" i="3" s="1"/>
  <c r="J1347" i="3" a="1"/>
  <c r="J1347" i="3" s="1"/>
  <c r="H1346" i="3" a="1"/>
  <c r="H1346" i="3" s="1"/>
  <c r="I1346" i="3" a="1"/>
  <c r="I1346" i="3" s="1"/>
  <c r="K1346" i="3" a="1"/>
  <c r="K1346" i="3" s="1"/>
  <c r="J1346" i="3" a="1"/>
  <c r="J1346" i="3" s="1"/>
  <c r="F1348" i="3"/>
  <c r="B1347" i="3" a="1"/>
  <c r="B1347" i="3" s="1"/>
  <c r="A1347" i="3" a="1"/>
  <c r="A1347" i="3" s="1"/>
  <c r="D1346" i="2"/>
  <c r="C1350" i="2"/>
  <c r="F1349" i="2"/>
  <c r="A1348" i="2" a="1"/>
  <c r="A1348" i="2" s="1"/>
  <c r="B1348" i="2" a="1"/>
  <c r="B1348" i="2" s="1"/>
  <c r="H1347" i="2" a="1"/>
  <c r="H1347" i="2" s="1"/>
  <c r="J1347" i="2" a="1"/>
  <c r="J1347" i="2" s="1"/>
  <c r="I1347" i="2" a="1"/>
  <c r="I1347" i="2" s="1"/>
  <c r="K1347" i="2" a="1"/>
  <c r="K1347" i="2" s="1"/>
  <c r="D1347" i="2" a="1"/>
  <c r="C1350" i="3" l="1"/>
  <c r="L1349" i="3"/>
  <c r="M1349" i="3"/>
  <c r="F1349" i="3"/>
  <c r="F1350" i="3" s="1"/>
  <c r="K1348" i="3" a="1"/>
  <c r="K1348" i="3" s="1"/>
  <c r="I1348" i="3" a="1"/>
  <c r="I1348" i="3" s="1"/>
  <c r="H1348" i="3" a="1"/>
  <c r="H1348" i="3" s="1"/>
  <c r="A1348" i="3" a="1"/>
  <c r="A1348" i="3" s="1"/>
  <c r="B1348" i="3" a="1"/>
  <c r="B1348" i="3" s="1"/>
  <c r="D1347" i="2"/>
  <c r="H1348" i="2" a="1"/>
  <c r="H1348" i="2" s="1"/>
  <c r="J1348" i="2" a="1"/>
  <c r="J1348" i="2" s="1"/>
  <c r="I1348" i="2" a="1"/>
  <c r="I1348" i="2" s="1"/>
  <c r="K1348" i="2" a="1"/>
  <c r="K1348" i="2" s="1"/>
  <c r="A1349" i="2" a="1"/>
  <c r="A1349" i="2" s="1"/>
  <c r="B1349" i="2" a="1"/>
  <c r="B1349" i="2" s="1"/>
  <c r="C1351" i="2"/>
  <c r="F1350" i="2"/>
  <c r="D1348" i="2" a="1"/>
  <c r="G1349" i="3" l="1" a="1"/>
  <c r="G1349" i="3" s="1"/>
  <c r="C1351" i="3"/>
  <c r="G1350" i="3" a="1"/>
  <c r="G1350" i="3" s="1"/>
  <c r="L1350" i="3"/>
  <c r="M1350" i="3"/>
  <c r="A1349" i="3" a="1"/>
  <c r="A1349" i="3" s="1"/>
  <c r="B1349" i="3" a="1"/>
  <c r="B1349" i="3" s="1"/>
  <c r="D1348" i="2"/>
  <c r="C1352" i="2"/>
  <c r="F1351" i="2"/>
  <c r="H1349" i="2" a="1"/>
  <c r="H1349" i="2" s="1"/>
  <c r="J1349" i="2" a="1"/>
  <c r="J1349" i="2" s="1"/>
  <c r="I1349" i="2" a="1"/>
  <c r="I1349" i="2" s="1"/>
  <c r="K1349" i="2" a="1"/>
  <c r="K1349" i="2" s="1"/>
  <c r="B1350" i="2" a="1"/>
  <c r="B1350" i="2" s="1"/>
  <c r="A1350" i="2" a="1"/>
  <c r="A1350" i="2" s="1"/>
  <c r="D1349" i="2" a="1"/>
  <c r="H1350" i="3" l="1" a="1"/>
  <c r="H1350" i="3" s="1"/>
  <c r="I1350" i="3" a="1"/>
  <c r="I1350" i="3" s="1"/>
  <c r="K1350" i="3" a="1"/>
  <c r="K1350" i="3" s="1"/>
  <c r="C1352" i="3"/>
  <c r="G1351" i="3" a="1"/>
  <c r="G1351" i="3" s="1"/>
  <c r="L1351" i="3"/>
  <c r="M1351" i="3"/>
  <c r="J1351" i="3" a="1"/>
  <c r="J1351" i="3" s="1"/>
  <c r="J1350" i="3" a="1"/>
  <c r="J1350" i="3" s="1"/>
  <c r="I1349" i="3" a="1"/>
  <c r="I1349" i="3" s="1"/>
  <c r="H1349" i="3" a="1"/>
  <c r="H1349" i="3" s="1"/>
  <c r="K1349" i="3" a="1"/>
  <c r="K1349" i="3" s="1"/>
  <c r="J1349" i="3" a="1"/>
  <c r="J1349" i="3" s="1"/>
  <c r="F1351" i="3"/>
  <c r="B1350" i="3" a="1"/>
  <c r="B1350" i="3" s="1"/>
  <c r="A1350" i="3" a="1"/>
  <c r="A1350" i="3" s="1"/>
  <c r="D1349" i="2"/>
  <c r="I1350" i="2" a="1"/>
  <c r="I1350" i="2" s="1"/>
  <c r="H1350" i="2" a="1"/>
  <c r="H1350" i="2" s="1"/>
  <c r="K1350" i="2" a="1"/>
  <c r="K1350" i="2" s="1"/>
  <c r="J1350" i="2" a="1"/>
  <c r="J1350" i="2" s="1"/>
  <c r="B1351" i="2" a="1"/>
  <c r="B1351" i="2" s="1"/>
  <c r="A1351" i="2" a="1"/>
  <c r="A1351" i="2" s="1"/>
  <c r="C1353" i="2"/>
  <c r="F1352" i="2"/>
  <c r="D1350" i="2" a="1"/>
  <c r="C1353" i="3" l="1"/>
  <c r="L1352" i="3"/>
  <c r="M1352" i="3"/>
  <c r="F1352" i="3"/>
  <c r="F1353" i="3" s="1"/>
  <c r="K1351" i="3" a="1"/>
  <c r="K1351" i="3" s="1"/>
  <c r="H1351" i="3" a="1"/>
  <c r="H1351" i="3" s="1"/>
  <c r="I1351" i="3" a="1"/>
  <c r="I1351" i="3" s="1"/>
  <c r="A1351" i="3" a="1"/>
  <c r="A1351" i="3" s="1"/>
  <c r="B1351" i="3" a="1"/>
  <c r="B1351" i="3" s="1"/>
  <c r="D1350" i="2"/>
  <c r="A1352" i="2" a="1"/>
  <c r="A1352" i="2" s="1"/>
  <c r="B1352" i="2" a="1"/>
  <c r="B1352" i="2" s="1"/>
  <c r="H1351" i="2" a="1"/>
  <c r="H1351" i="2" s="1"/>
  <c r="K1351" i="2" a="1"/>
  <c r="K1351" i="2" s="1"/>
  <c r="I1351" i="2" a="1"/>
  <c r="I1351" i="2" s="1"/>
  <c r="J1351" i="2" a="1"/>
  <c r="J1351" i="2" s="1"/>
  <c r="C1354" i="2"/>
  <c r="F1353" i="2"/>
  <c r="D1351" i="2" a="1"/>
  <c r="G1352" i="3" l="1" a="1"/>
  <c r="G1352" i="3" s="1"/>
  <c r="C1354" i="3"/>
  <c r="G1353" i="3" a="1"/>
  <c r="G1353" i="3" s="1"/>
  <c r="L1353" i="3"/>
  <c r="M1353" i="3"/>
  <c r="J1353" i="3" a="1"/>
  <c r="J1353" i="3" s="1"/>
  <c r="A1352" i="3" a="1"/>
  <c r="A1352" i="3" s="1"/>
  <c r="B1352" i="3" a="1"/>
  <c r="B1352" i="3" s="1"/>
  <c r="D1351" i="2"/>
  <c r="C1355" i="2"/>
  <c r="F1354" i="2"/>
  <c r="J1352" i="2" a="1"/>
  <c r="J1352" i="2" s="1"/>
  <c r="I1352" i="2" a="1"/>
  <c r="I1352" i="2" s="1"/>
  <c r="H1352" i="2" a="1"/>
  <c r="H1352" i="2" s="1"/>
  <c r="K1352" i="2" a="1"/>
  <c r="K1352" i="2" s="1"/>
  <c r="B1353" i="2" a="1"/>
  <c r="B1353" i="2" s="1"/>
  <c r="A1353" i="2" a="1"/>
  <c r="A1353" i="2" s="1"/>
  <c r="D1352" i="2" a="1"/>
  <c r="K1352" i="3" l="1" a="1"/>
  <c r="K1352" i="3" s="1"/>
  <c r="H1352" i="3" a="1"/>
  <c r="H1352" i="3" s="1"/>
  <c r="I1352" i="3" a="1"/>
  <c r="I1352" i="3" s="1"/>
  <c r="J1352" i="3" a="1"/>
  <c r="J1352" i="3" s="1"/>
  <c r="I1353" i="3" a="1"/>
  <c r="I1353" i="3" s="1"/>
  <c r="H1353" i="3" a="1"/>
  <c r="H1353" i="3" s="1"/>
  <c r="K1353" i="3" a="1"/>
  <c r="K1353" i="3" s="1"/>
  <c r="C1355" i="3"/>
  <c r="G1354" i="3" a="1"/>
  <c r="G1354" i="3" s="1"/>
  <c r="J1354" i="3" s="1" a="1"/>
  <c r="J1354" i="3" s="1"/>
  <c r="L1354" i="3"/>
  <c r="M1354" i="3"/>
  <c r="F1354" i="3"/>
  <c r="A1353" i="3" a="1"/>
  <c r="A1353" i="3" s="1"/>
  <c r="B1353" i="3" a="1"/>
  <c r="B1353" i="3" s="1"/>
  <c r="D1352" i="2"/>
  <c r="A1354" i="2" a="1"/>
  <c r="A1354" i="2" s="1"/>
  <c r="B1354" i="2" a="1"/>
  <c r="B1354" i="2" s="1"/>
  <c r="I1353" i="2" a="1"/>
  <c r="I1353" i="2" s="1"/>
  <c r="H1353" i="2" a="1"/>
  <c r="H1353" i="2" s="1"/>
  <c r="K1353" i="2" a="1"/>
  <c r="K1353" i="2" s="1"/>
  <c r="J1353" i="2" a="1"/>
  <c r="J1353" i="2" s="1"/>
  <c r="C1356" i="2"/>
  <c r="F1355" i="2"/>
  <c r="D1353" i="2" a="1"/>
  <c r="H1354" i="3" l="1" a="1"/>
  <c r="H1354" i="3" s="1"/>
  <c r="I1354" i="3" a="1"/>
  <c r="I1354" i="3" s="1"/>
  <c r="K1354" i="3" a="1"/>
  <c r="K1354" i="3" s="1"/>
  <c r="C1356" i="3"/>
  <c r="L1355" i="3"/>
  <c r="M1355" i="3"/>
  <c r="F1355" i="3"/>
  <c r="F1356" i="3" s="1"/>
  <c r="A1354" i="3" a="1"/>
  <c r="A1354" i="3" s="1"/>
  <c r="B1354" i="3" a="1"/>
  <c r="B1354" i="3" s="1"/>
  <c r="D1353" i="2"/>
  <c r="H1354" i="2" a="1"/>
  <c r="H1354" i="2" s="1"/>
  <c r="I1354" i="2" a="1"/>
  <c r="I1354" i="2" s="1"/>
  <c r="K1354" i="2" a="1"/>
  <c r="K1354" i="2" s="1"/>
  <c r="J1354" i="2" a="1"/>
  <c r="J1354" i="2" s="1"/>
  <c r="C1357" i="2"/>
  <c r="F1356" i="2"/>
  <c r="A1355" i="2" a="1"/>
  <c r="A1355" i="2" s="1"/>
  <c r="B1355" i="2" a="1"/>
  <c r="B1355" i="2" s="1"/>
  <c r="D1354" i="2" a="1"/>
  <c r="G1355" i="3" l="1" a="1"/>
  <c r="G1355" i="3" s="1"/>
  <c r="C1357" i="3"/>
  <c r="G1356" i="3" a="1"/>
  <c r="G1356" i="3" s="1"/>
  <c r="M1356" i="3"/>
  <c r="L1356" i="3"/>
  <c r="J1356" i="3" a="1"/>
  <c r="J1356" i="3" s="1"/>
  <c r="A1355" i="3" a="1"/>
  <c r="A1355" i="3" s="1"/>
  <c r="B1355" i="3" a="1"/>
  <c r="B1355" i="3" s="1"/>
  <c r="D1354" i="2"/>
  <c r="A1356" i="2" a="1"/>
  <c r="A1356" i="2" s="1"/>
  <c r="B1356" i="2" a="1"/>
  <c r="B1356" i="2" s="1"/>
  <c r="C1358" i="2"/>
  <c r="F1357" i="2"/>
  <c r="J1355" i="2" a="1"/>
  <c r="J1355" i="2" s="1"/>
  <c r="K1355" i="2" a="1"/>
  <c r="K1355" i="2" s="1"/>
  <c r="H1355" i="2" a="1"/>
  <c r="H1355" i="2" s="1"/>
  <c r="I1355" i="2" a="1"/>
  <c r="I1355" i="2" s="1"/>
  <c r="D1355" i="2" a="1"/>
  <c r="C1358" i="3" l="1"/>
  <c r="G1357" i="3" a="1"/>
  <c r="G1357" i="3" s="1"/>
  <c r="L1357" i="3"/>
  <c r="M1357" i="3"/>
  <c r="J1357" i="3" a="1"/>
  <c r="J1357" i="3" s="1"/>
  <c r="K1356" i="3" a="1"/>
  <c r="K1356" i="3" s="1"/>
  <c r="H1356" i="3" a="1"/>
  <c r="H1356" i="3" s="1"/>
  <c r="I1356" i="3" a="1"/>
  <c r="I1356" i="3" s="1"/>
  <c r="K1355" i="3" a="1"/>
  <c r="K1355" i="3" s="1"/>
  <c r="H1355" i="3" a="1"/>
  <c r="H1355" i="3" s="1"/>
  <c r="I1355" i="3" a="1"/>
  <c r="I1355" i="3" s="1"/>
  <c r="J1355" i="3" a="1"/>
  <c r="J1355" i="3" s="1"/>
  <c r="F1357" i="3"/>
  <c r="F1358" i="3" s="1"/>
  <c r="A1356" i="3" a="1"/>
  <c r="A1356" i="3" s="1"/>
  <c r="B1356" i="3" a="1"/>
  <c r="B1356" i="3" s="1"/>
  <c r="D1355" i="2"/>
  <c r="C1359" i="2"/>
  <c r="F1358" i="2"/>
  <c r="J1356" i="2" a="1"/>
  <c r="J1356" i="2" s="1"/>
  <c r="I1356" i="2" a="1"/>
  <c r="I1356" i="2" s="1"/>
  <c r="H1356" i="2" a="1"/>
  <c r="H1356" i="2" s="1"/>
  <c r="K1356" i="2" a="1"/>
  <c r="K1356" i="2" s="1"/>
  <c r="B1357" i="2" a="1"/>
  <c r="B1357" i="2" s="1"/>
  <c r="A1357" i="2" a="1"/>
  <c r="A1357" i="2" s="1"/>
  <c r="D1356" i="2" a="1"/>
  <c r="H1357" i="3" l="1" a="1"/>
  <c r="H1357" i="3" s="1"/>
  <c r="I1357" i="3" a="1"/>
  <c r="I1357" i="3" s="1"/>
  <c r="K1357" i="3" a="1"/>
  <c r="K1357" i="3" s="1"/>
  <c r="C1359" i="3"/>
  <c r="G1358" i="3" a="1"/>
  <c r="G1358" i="3" s="1"/>
  <c r="L1358" i="3"/>
  <c r="M1358" i="3"/>
  <c r="B1357" i="3" a="1"/>
  <c r="B1357" i="3" s="1"/>
  <c r="A1357" i="3" a="1"/>
  <c r="A1357" i="3" s="1"/>
  <c r="D1356" i="2"/>
  <c r="B1358" i="2" a="1"/>
  <c r="B1358" i="2" s="1"/>
  <c r="A1358" i="2" a="1"/>
  <c r="A1358" i="2" s="1"/>
  <c r="K1357" i="2" a="1"/>
  <c r="K1357" i="2" s="1"/>
  <c r="J1357" i="2" a="1"/>
  <c r="J1357" i="2" s="1"/>
  <c r="I1357" i="2" a="1"/>
  <c r="I1357" i="2" s="1"/>
  <c r="H1357" i="2" a="1"/>
  <c r="H1357" i="2" s="1"/>
  <c r="C1360" i="2"/>
  <c r="F1359" i="2"/>
  <c r="D1357" i="2" a="1"/>
  <c r="H1358" i="3" l="1" a="1"/>
  <c r="H1358" i="3" s="1"/>
  <c r="I1358" i="3" a="1"/>
  <c r="I1358" i="3" s="1"/>
  <c r="K1358" i="3" a="1"/>
  <c r="K1358" i="3" s="1"/>
  <c r="J1358" i="3" a="1"/>
  <c r="J1358" i="3" s="1"/>
  <c r="C1360" i="3"/>
  <c r="L1359" i="3"/>
  <c r="M1359" i="3"/>
  <c r="F1359" i="3"/>
  <c r="F1360" i="3" s="1"/>
  <c r="A1358" i="3" a="1"/>
  <c r="A1358" i="3" s="1"/>
  <c r="B1358" i="3" a="1"/>
  <c r="B1358" i="3" s="1"/>
  <c r="D1357" i="2"/>
  <c r="A1359" i="2" a="1"/>
  <c r="A1359" i="2" s="1"/>
  <c r="B1359" i="2" a="1"/>
  <c r="B1359" i="2" s="1"/>
  <c r="C1361" i="2"/>
  <c r="F1360" i="2"/>
  <c r="K1358" i="2" a="1"/>
  <c r="K1358" i="2" s="1"/>
  <c r="I1358" i="2" a="1"/>
  <c r="I1358" i="2" s="1"/>
  <c r="J1358" i="2" a="1"/>
  <c r="J1358" i="2" s="1"/>
  <c r="H1358" i="2" a="1"/>
  <c r="H1358" i="2" s="1"/>
  <c r="D1358" i="2" a="1"/>
  <c r="G1359" i="3" l="1" a="1"/>
  <c r="G1359" i="3" s="1"/>
  <c r="C1361" i="3"/>
  <c r="G1360" i="3" a="1"/>
  <c r="G1360" i="3" s="1"/>
  <c r="L1360" i="3"/>
  <c r="M1360" i="3"/>
  <c r="A1359" i="3" a="1"/>
  <c r="A1359" i="3" s="1"/>
  <c r="B1359" i="3" a="1"/>
  <c r="B1359" i="3" s="1"/>
  <c r="D1358" i="2"/>
  <c r="K1359" i="2" a="1"/>
  <c r="K1359" i="2" s="1"/>
  <c r="H1359" i="2" a="1"/>
  <c r="H1359" i="2" s="1"/>
  <c r="J1359" i="2" a="1"/>
  <c r="J1359" i="2" s="1"/>
  <c r="I1359" i="2" a="1"/>
  <c r="I1359" i="2" s="1"/>
  <c r="A1360" i="2" a="1"/>
  <c r="A1360" i="2" s="1"/>
  <c r="B1360" i="2" a="1"/>
  <c r="B1360" i="2" s="1"/>
  <c r="C1362" i="2"/>
  <c r="F1361" i="2"/>
  <c r="D1359" i="2" a="1"/>
  <c r="H1360" i="3" l="1" a="1"/>
  <c r="H1360" i="3" s="1"/>
  <c r="K1360" i="3" a="1"/>
  <c r="K1360" i="3" s="1"/>
  <c r="I1360" i="3" a="1"/>
  <c r="I1360" i="3" s="1"/>
  <c r="C1362" i="3"/>
  <c r="G1361" i="3" a="1"/>
  <c r="G1361" i="3" s="1"/>
  <c r="J1361" i="3" a="1"/>
  <c r="J1361" i="3" s="1"/>
  <c r="L1361" i="3"/>
  <c r="M1361" i="3"/>
  <c r="J1360" i="3" a="1"/>
  <c r="J1360" i="3" s="1"/>
  <c r="H1359" i="3" a="1"/>
  <c r="H1359" i="3" s="1"/>
  <c r="I1359" i="3" a="1"/>
  <c r="I1359" i="3" s="1"/>
  <c r="K1359" i="3" a="1"/>
  <c r="K1359" i="3" s="1"/>
  <c r="J1359" i="3" a="1"/>
  <c r="J1359" i="3" s="1"/>
  <c r="F1361" i="3"/>
  <c r="A1360" i="3" a="1"/>
  <c r="A1360" i="3" s="1"/>
  <c r="B1360" i="3" a="1"/>
  <c r="B1360" i="3" s="1"/>
  <c r="D1359" i="2"/>
  <c r="C1363" i="2"/>
  <c r="F1362" i="2"/>
  <c r="H1360" i="2" a="1"/>
  <c r="H1360" i="2" s="1"/>
  <c r="J1360" i="2" a="1"/>
  <c r="J1360" i="2" s="1"/>
  <c r="K1360" i="2" a="1"/>
  <c r="K1360" i="2" s="1"/>
  <c r="I1360" i="2" a="1"/>
  <c r="I1360" i="2" s="1"/>
  <c r="B1361" i="2" a="1"/>
  <c r="B1361" i="2" s="1"/>
  <c r="A1361" i="2" a="1"/>
  <c r="A1361" i="2" s="1"/>
  <c r="D1360" i="2" a="1"/>
  <c r="C1363" i="3" l="1"/>
  <c r="L1362" i="3"/>
  <c r="M1362" i="3"/>
  <c r="H1361" i="3" a="1"/>
  <c r="H1361" i="3" s="1"/>
  <c r="K1361" i="3" a="1"/>
  <c r="K1361" i="3" s="1"/>
  <c r="I1361" i="3" a="1"/>
  <c r="I1361" i="3" s="1"/>
  <c r="F1362" i="3"/>
  <c r="F1363" i="3" s="1"/>
  <c r="A1361" i="3" a="1"/>
  <c r="A1361" i="3" s="1"/>
  <c r="B1361" i="3" a="1"/>
  <c r="B1361" i="3" s="1"/>
  <c r="D1360" i="2"/>
  <c r="B1362" i="2" a="1"/>
  <c r="B1362" i="2" s="1"/>
  <c r="A1362" i="2" a="1"/>
  <c r="A1362" i="2" s="1"/>
  <c r="I1361" i="2" a="1"/>
  <c r="I1361" i="2" s="1"/>
  <c r="J1361" i="2" a="1"/>
  <c r="J1361" i="2" s="1"/>
  <c r="H1361" i="2" a="1"/>
  <c r="H1361" i="2" s="1"/>
  <c r="K1361" i="2" a="1"/>
  <c r="K1361" i="2" s="1"/>
  <c r="C1364" i="2"/>
  <c r="F1363" i="2"/>
  <c r="D1361" i="2" a="1"/>
  <c r="G1362" i="3" l="1" a="1"/>
  <c r="G1362" i="3" s="1"/>
  <c r="C1364" i="3"/>
  <c r="G1363" i="3" a="1"/>
  <c r="G1363" i="3" s="1"/>
  <c r="J1363" i="3" s="1" a="1"/>
  <c r="J1363" i="3" s="1"/>
  <c r="L1363" i="3"/>
  <c r="M1363" i="3"/>
  <c r="B1362" i="3" a="1"/>
  <c r="B1362" i="3" s="1"/>
  <c r="A1362" i="3" a="1"/>
  <c r="A1362" i="3" s="1"/>
  <c r="D1361" i="2"/>
  <c r="C1365" i="2"/>
  <c r="F1364" i="2"/>
  <c r="J1362" i="2" a="1"/>
  <c r="J1362" i="2" s="1"/>
  <c r="H1362" i="2" a="1"/>
  <c r="H1362" i="2" s="1"/>
  <c r="I1362" i="2" a="1"/>
  <c r="I1362" i="2" s="1"/>
  <c r="K1362" i="2" a="1"/>
  <c r="K1362" i="2" s="1"/>
  <c r="B1363" i="2" a="1"/>
  <c r="B1363" i="2" s="1"/>
  <c r="A1363" i="2" a="1"/>
  <c r="A1363" i="2" s="1"/>
  <c r="D1362" i="2" a="1"/>
  <c r="H1363" i="3" l="1" a="1"/>
  <c r="H1363" i="3" s="1"/>
  <c r="I1363" i="3" a="1"/>
  <c r="I1363" i="3" s="1"/>
  <c r="K1363" i="3" a="1"/>
  <c r="K1363" i="3" s="1"/>
  <c r="C1365" i="3"/>
  <c r="G1364" i="3" a="1"/>
  <c r="G1364" i="3" s="1"/>
  <c r="L1364" i="3"/>
  <c r="M1364" i="3"/>
  <c r="J1364" i="3" a="1"/>
  <c r="J1364" i="3" s="1"/>
  <c r="K1362" i="3" a="1"/>
  <c r="K1362" i="3" s="1"/>
  <c r="H1362" i="3" a="1"/>
  <c r="H1362" i="3" s="1"/>
  <c r="I1362" i="3" a="1"/>
  <c r="I1362" i="3" s="1"/>
  <c r="J1362" i="3" a="1"/>
  <c r="J1362" i="3" s="1"/>
  <c r="F1364" i="3"/>
  <c r="A1363" i="3" a="1"/>
  <c r="A1363" i="3" s="1"/>
  <c r="B1363" i="3" a="1"/>
  <c r="B1363" i="3" s="1"/>
  <c r="D1362" i="2"/>
  <c r="H1363" i="2" a="1"/>
  <c r="H1363" i="2" s="1"/>
  <c r="I1363" i="2" a="1"/>
  <c r="I1363" i="2" s="1"/>
  <c r="J1363" i="2" a="1"/>
  <c r="J1363" i="2" s="1"/>
  <c r="K1363" i="2" a="1"/>
  <c r="K1363" i="2" s="1"/>
  <c r="A1364" i="2" a="1"/>
  <c r="A1364" i="2" s="1"/>
  <c r="B1364" i="2" a="1"/>
  <c r="B1364" i="2" s="1"/>
  <c r="C1366" i="2"/>
  <c r="F1365" i="2"/>
  <c r="D1363" i="2" a="1"/>
  <c r="C1366" i="3" l="1"/>
  <c r="L1365" i="3"/>
  <c r="M1365" i="3"/>
  <c r="H1364" i="3" a="1"/>
  <c r="H1364" i="3" s="1"/>
  <c r="I1364" i="3" a="1"/>
  <c r="I1364" i="3" s="1"/>
  <c r="K1364" i="3" a="1"/>
  <c r="K1364" i="3" s="1"/>
  <c r="F1365" i="3"/>
  <c r="F1366" i="3" s="1"/>
  <c r="A1364" i="3" a="1"/>
  <c r="A1364" i="3" s="1"/>
  <c r="B1364" i="3" a="1"/>
  <c r="B1364" i="3" s="1"/>
  <c r="D1363" i="2"/>
  <c r="C1367" i="2"/>
  <c r="F1366" i="2"/>
  <c r="K1364" i="2" a="1"/>
  <c r="K1364" i="2" s="1"/>
  <c r="J1364" i="2" a="1"/>
  <c r="J1364" i="2" s="1"/>
  <c r="H1364" i="2" a="1"/>
  <c r="H1364" i="2" s="1"/>
  <c r="I1364" i="2" a="1"/>
  <c r="I1364" i="2" s="1"/>
  <c r="B1365" i="2" a="1"/>
  <c r="B1365" i="2" s="1"/>
  <c r="A1365" i="2" a="1"/>
  <c r="A1365" i="2" s="1"/>
  <c r="D1364" i="2" a="1"/>
  <c r="G1365" i="3" l="1" a="1"/>
  <c r="G1365" i="3" s="1"/>
  <c r="C1367" i="3"/>
  <c r="G1366" i="3" a="1"/>
  <c r="G1366" i="3" s="1"/>
  <c r="M1366" i="3"/>
  <c r="L1366" i="3"/>
  <c r="A1365" i="3" a="1"/>
  <c r="A1365" i="3" s="1"/>
  <c r="B1365" i="3" a="1"/>
  <c r="B1365" i="3" s="1"/>
  <c r="D1364" i="2"/>
  <c r="A1366" i="2" a="1"/>
  <c r="A1366" i="2" s="1"/>
  <c r="B1366" i="2" a="1"/>
  <c r="B1366" i="2" s="1"/>
  <c r="I1365" i="2" a="1"/>
  <c r="I1365" i="2" s="1"/>
  <c r="J1365" i="2" a="1"/>
  <c r="J1365" i="2" s="1"/>
  <c r="H1365" i="2" a="1"/>
  <c r="H1365" i="2" s="1"/>
  <c r="K1365" i="2" a="1"/>
  <c r="K1365" i="2" s="1"/>
  <c r="C1368" i="2"/>
  <c r="F1367" i="2"/>
  <c r="D1365" i="2" a="1"/>
  <c r="I1366" i="3" l="1" a="1"/>
  <c r="I1366" i="3" s="1"/>
  <c r="K1366" i="3" a="1"/>
  <c r="K1366" i="3" s="1"/>
  <c r="H1366" i="3" a="1"/>
  <c r="H1366" i="3" s="1"/>
  <c r="C1368" i="3"/>
  <c r="G1367" i="3" a="1"/>
  <c r="G1367" i="3" s="1"/>
  <c r="L1367" i="3"/>
  <c r="M1367" i="3"/>
  <c r="J1366" i="3" a="1"/>
  <c r="J1366" i="3" s="1"/>
  <c r="H1365" i="3" a="1"/>
  <c r="H1365" i="3" s="1"/>
  <c r="I1365" i="3" a="1"/>
  <c r="I1365" i="3" s="1"/>
  <c r="K1365" i="3" a="1"/>
  <c r="K1365" i="3" s="1"/>
  <c r="J1365" i="3" a="1"/>
  <c r="J1365" i="3" s="1"/>
  <c r="F1367" i="3"/>
  <c r="A1366" i="3" a="1"/>
  <c r="A1366" i="3" s="1"/>
  <c r="B1366" i="3" a="1"/>
  <c r="B1366" i="3" s="1"/>
  <c r="D1365" i="2"/>
  <c r="A1367" i="2" a="1"/>
  <c r="A1367" i="2" s="1"/>
  <c r="B1367" i="2" a="1"/>
  <c r="B1367" i="2" s="1"/>
  <c r="C1369" i="2"/>
  <c r="F1368" i="2"/>
  <c r="J1366" i="2" a="1"/>
  <c r="J1366" i="2" s="1"/>
  <c r="H1366" i="2" a="1"/>
  <c r="H1366" i="2" s="1"/>
  <c r="K1366" i="2" a="1"/>
  <c r="K1366" i="2" s="1"/>
  <c r="I1366" i="2" a="1"/>
  <c r="I1366" i="2" s="1"/>
  <c r="D1366" i="2" a="1"/>
  <c r="C1369" i="3" l="1"/>
  <c r="L1368" i="3"/>
  <c r="M1368" i="3"/>
  <c r="J1367" i="3" a="1"/>
  <c r="J1367" i="3" s="1"/>
  <c r="H1367" i="3" a="1"/>
  <c r="H1367" i="3" s="1"/>
  <c r="I1367" i="3" a="1"/>
  <c r="I1367" i="3" s="1"/>
  <c r="K1367" i="3" a="1"/>
  <c r="K1367" i="3" s="1"/>
  <c r="F1368" i="3"/>
  <c r="F1369" i="3" s="1"/>
  <c r="A1367" i="3" a="1"/>
  <c r="A1367" i="3" s="1"/>
  <c r="B1367" i="3" a="1"/>
  <c r="B1367" i="3" s="1"/>
  <c r="D1366" i="2"/>
  <c r="B1368" i="2" a="1"/>
  <c r="B1368" i="2" s="1"/>
  <c r="A1368" i="2" a="1"/>
  <c r="A1368" i="2" s="1"/>
  <c r="C1370" i="2"/>
  <c r="F1369" i="2"/>
  <c r="K1367" i="2" a="1"/>
  <c r="K1367" i="2" s="1"/>
  <c r="J1367" i="2" a="1"/>
  <c r="J1367" i="2" s="1"/>
  <c r="H1367" i="2" a="1"/>
  <c r="H1367" i="2" s="1"/>
  <c r="I1367" i="2" a="1"/>
  <c r="I1367" i="2" s="1"/>
  <c r="D1367" i="2" a="1"/>
  <c r="G1368" i="3" l="1" a="1"/>
  <c r="G1368" i="3" s="1"/>
  <c r="C1370" i="3"/>
  <c r="F1370" i="3" s="1"/>
  <c r="G1369" i="3" a="1"/>
  <c r="G1369" i="3" s="1"/>
  <c r="M1369" i="3"/>
  <c r="L1369" i="3"/>
  <c r="A1368" i="3" a="1"/>
  <c r="A1368" i="3" s="1"/>
  <c r="B1368" i="3" a="1"/>
  <c r="B1368" i="3" s="1"/>
  <c r="D1367" i="2"/>
  <c r="C1371" i="2"/>
  <c r="F1370" i="2"/>
  <c r="B1369" i="2" a="1"/>
  <c r="B1369" i="2" s="1"/>
  <c r="A1369" i="2" a="1"/>
  <c r="A1369" i="2" s="1"/>
  <c r="K1368" i="2" a="1"/>
  <c r="K1368" i="2" s="1"/>
  <c r="H1368" i="2" a="1"/>
  <c r="H1368" i="2" s="1"/>
  <c r="I1368" i="2" a="1"/>
  <c r="I1368" i="2" s="1"/>
  <c r="J1368" i="2" a="1"/>
  <c r="J1368" i="2" s="1"/>
  <c r="D1368" i="2" a="1"/>
  <c r="I1369" i="3" l="1" a="1"/>
  <c r="I1369" i="3" s="1"/>
  <c r="K1369" i="3" a="1"/>
  <c r="K1369" i="3" s="1"/>
  <c r="H1369" i="3" a="1"/>
  <c r="H1369" i="3" s="1"/>
  <c r="J1369" i="3" a="1"/>
  <c r="J1369" i="3" s="1"/>
  <c r="C1371" i="3"/>
  <c r="G1370" i="3" a="1"/>
  <c r="G1370" i="3" s="1"/>
  <c r="J1370" i="3" a="1"/>
  <c r="J1370" i="3" s="1"/>
  <c r="L1370" i="3"/>
  <c r="M1370" i="3"/>
  <c r="H1368" i="3" a="1"/>
  <c r="H1368" i="3" s="1"/>
  <c r="K1368" i="3" a="1"/>
  <c r="K1368" i="3" s="1"/>
  <c r="I1368" i="3" a="1"/>
  <c r="I1368" i="3" s="1"/>
  <c r="J1368" i="3" a="1"/>
  <c r="J1368" i="3" s="1"/>
  <c r="B1369" i="3" a="1"/>
  <c r="B1369" i="3" s="1"/>
  <c r="A1369" i="3" a="1"/>
  <c r="A1369" i="3" s="1"/>
  <c r="D1368" i="2"/>
  <c r="H1369" i="2" a="1"/>
  <c r="H1369" i="2" s="1"/>
  <c r="J1369" i="2" a="1"/>
  <c r="J1369" i="2" s="1"/>
  <c r="K1369" i="2" a="1"/>
  <c r="K1369" i="2" s="1"/>
  <c r="I1369" i="2" a="1"/>
  <c r="I1369" i="2" s="1"/>
  <c r="A1370" i="2" a="1"/>
  <c r="A1370" i="2" s="1"/>
  <c r="B1370" i="2" a="1"/>
  <c r="B1370" i="2" s="1"/>
  <c r="C1372" i="2"/>
  <c r="F1371" i="2"/>
  <c r="D1369" i="2" a="1"/>
  <c r="C1372" i="3" l="1"/>
  <c r="M1371" i="3"/>
  <c r="L1371" i="3"/>
  <c r="H1370" i="3" a="1"/>
  <c r="H1370" i="3" s="1"/>
  <c r="I1370" i="3" a="1"/>
  <c r="I1370" i="3" s="1"/>
  <c r="K1370" i="3" a="1"/>
  <c r="K1370" i="3" s="1"/>
  <c r="F1371" i="3"/>
  <c r="F1372" i="3" s="1"/>
  <c r="A1370" i="3" a="1"/>
  <c r="A1370" i="3" s="1"/>
  <c r="B1370" i="3" a="1"/>
  <c r="B1370" i="3" s="1"/>
  <c r="D1369" i="2"/>
  <c r="A1371" i="2" a="1"/>
  <c r="A1371" i="2" s="1"/>
  <c r="B1371" i="2" a="1"/>
  <c r="B1371" i="2" s="1"/>
  <c r="C1373" i="2"/>
  <c r="F1372" i="2"/>
  <c r="I1370" i="2" a="1"/>
  <c r="I1370" i="2" s="1"/>
  <c r="H1370" i="2" a="1"/>
  <c r="H1370" i="2" s="1"/>
  <c r="J1370" i="2" a="1"/>
  <c r="J1370" i="2" s="1"/>
  <c r="K1370" i="2" a="1"/>
  <c r="K1370" i="2" s="1"/>
  <c r="D1370" i="2" a="1"/>
  <c r="G1371" i="3" l="1" a="1"/>
  <c r="G1371" i="3" s="1"/>
  <c r="C1373" i="3"/>
  <c r="G1372" i="3" a="1"/>
  <c r="G1372" i="3" s="1"/>
  <c r="J1372" i="3" a="1"/>
  <c r="J1372" i="3" s="1"/>
  <c r="L1372" i="3"/>
  <c r="M1372" i="3"/>
  <c r="A1371" i="3" a="1"/>
  <c r="A1371" i="3" s="1"/>
  <c r="B1371" i="3" a="1"/>
  <c r="B1371" i="3" s="1"/>
  <c r="D1370" i="2"/>
  <c r="K1371" i="2" a="1"/>
  <c r="K1371" i="2" s="1"/>
  <c r="H1371" i="2" a="1"/>
  <c r="H1371" i="2" s="1"/>
  <c r="J1371" i="2" a="1"/>
  <c r="J1371" i="2" s="1"/>
  <c r="I1371" i="2" a="1"/>
  <c r="I1371" i="2" s="1"/>
  <c r="B1372" i="2" a="1"/>
  <c r="B1372" i="2" s="1"/>
  <c r="A1372" i="2" a="1"/>
  <c r="A1372" i="2" s="1"/>
  <c r="C1374" i="2"/>
  <c r="F1373" i="2"/>
  <c r="D1371" i="2" a="1"/>
  <c r="H1371" i="3" l="1" a="1"/>
  <c r="H1371" i="3" s="1"/>
  <c r="I1371" i="3" a="1"/>
  <c r="I1371" i="3" s="1"/>
  <c r="K1371" i="3" a="1"/>
  <c r="K1371" i="3" s="1"/>
  <c r="J1371" i="3" a="1"/>
  <c r="J1371" i="3" s="1"/>
  <c r="K1372" i="3" a="1"/>
  <c r="K1372" i="3" s="1"/>
  <c r="H1372" i="3" a="1"/>
  <c r="H1372" i="3" s="1"/>
  <c r="I1372" i="3" a="1"/>
  <c r="I1372" i="3" s="1"/>
  <c r="C1374" i="3"/>
  <c r="G1373" i="3" a="1"/>
  <c r="G1373" i="3" s="1"/>
  <c r="L1373" i="3"/>
  <c r="M1373" i="3"/>
  <c r="F1373" i="3"/>
  <c r="A1372" i="3" a="1"/>
  <c r="A1372" i="3" s="1"/>
  <c r="B1372" i="3" a="1"/>
  <c r="B1372" i="3" s="1"/>
  <c r="D1371" i="2"/>
  <c r="B1373" i="2" a="1"/>
  <c r="B1373" i="2" s="1"/>
  <c r="A1373" i="2" a="1"/>
  <c r="A1373" i="2" s="1"/>
  <c r="C1375" i="2"/>
  <c r="F1374" i="2"/>
  <c r="K1372" i="2" a="1"/>
  <c r="K1372" i="2" s="1"/>
  <c r="J1372" i="2" a="1"/>
  <c r="J1372" i="2" s="1"/>
  <c r="I1372" i="2" a="1"/>
  <c r="I1372" i="2" s="1"/>
  <c r="H1372" i="2" a="1"/>
  <c r="H1372" i="2" s="1"/>
  <c r="D1372" i="2" a="1"/>
  <c r="K1373" i="3" l="1" a="1"/>
  <c r="K1373" i="3" s="1"/>
  <c r="H1373" i="3" a="1"/>
  <c r="H1373" i="3" s="1"/>
  <c r="I1373" i="3" a="1"/>
  <c r="I1373" i="3" s="1"/>
  <c r="J1373" i="3" a="1"/>
  <c r="J1373" i="3" s="1"/>
  <c r="C1375" i="3"/>
  <c r="L1374" i="3"/>
  <c r="M1374" i="3"/>
  <c r="F1374" i="3"/>
  <c r="F1375" i="3" s="1"/>
  <c r="A1373" i="3" a="1"/>
  <c r="A1373" i="3" s="1"/>
  <c r="B1373" i="3" a="1"/>
  <c r="B1373" i="3" s="1"/>
  <c r="D1372" i="2"/>
  <c r="B1374" i="2" a="1"/>
  <c r="B1374" i="2" s="1"/>
  <c r="A1374" i="2" a="1"/>
  <c r="A1374" i="2" s="1"/>
  <c r="C1376" i="2"/>
  <c r="F1375" i="2"/>
  <c r="K1373" i="2" a="1"/>
  <c r="K1373" i="2" s="1"/>
  <c r="H1373" i="2" a="1"/>
  <c r="H1373" i="2" s="1"/>
  <c r="I1373" i="2" a="1"/>
  <c r="I1373" i="2" s="1"/>
  <c r="J1373" i="2" a="1"/>
  <c r="J1373" i="2" s="1"/>
  <c r="D1373" i="2" a="1"/>
  <c r="G1374" i="3" l="1" a="1"/>
  <c r="G1374" i="3" s="1"/>
  <c r="C1376" i="3"/>
  <c r="G1375" i="3" a="1"/>
  <c r="G1375" i="3" s="1"/>
  <c r="L1375" i="3"/>
  <c r="M1375" i="3"/>
  <c r="J1375" i="3" a="1"/>
  <c r="J1375" i="3" s="1"/>
  <c r="F1376" i="3"/>
  <c r="B1374" i="3" a="1"/>
  <c r="B1374" i="3" s="1"/>
  <c r="A1374" i="3" a="1"/>
  <c r="A1374" i="3" s="1"/>
  <c r="D1373" i="2"/>
  <c r="B1375" i="2" a="1"/>
  <c r="B1375" i="2" s="1"/>
  <c r="A1375" i="2" a="1"/>
  <c r="A1375" i="2" s="1"/>
  <c r="J1374" i="2" a="1"/>
  <c r="J1374" i="2" s="1"/>
  <c r="K1374" i="2" a="1"/>
  <c r="K1374" i="2" s="1"/>
  <c r="H1374" i="2" a="1"/>
  <c r="H1374" i="2" s="1"/>
  <c r="I1374" i="2" a="1"/>
  <c r="I1374" i="2" s="1"/>
  <c r="C1377" i="2"/>
  <c r="F1376" i="2"/>
  <c r="D1374" i="2" a="1"/>
  <c r="C1377" i="3" l="1"/>
  <c r="G1376" i="3" a="1"/>
  <c r="G1376" i="3" s="1"/>
  <c r="L1376" i="3"/>
  <c r="M1376" i="3"/>
  <c r="J1376" i="3" a="1"/>
  <c r="J1376" i="3" s="1"/>
  <c r="H1375" i="3" a="1"/>
  <c r="H1375" i="3" s="1"/>
  <c r="K1375" i="3" a="1"/>
  <c r="K1375" i="3" s="1"/>
  <c r="I1375" i="3" a="1"/>
  <c r="I1375" i="3" s="1"/>
  <c r="K1374" i="3" a="1"/>
  <c r="K1374" i="3" s="1"/>
  <c r="H1374" i="3" a="1"/>
  <c r="H1374" i="3" s="1"/>
  <c r="I1374" i="3" a="1"/>
  <c r="I1374" i="3" s="1"/>
  <c r="J1374" i="3" a="1"/>
  <c r="J1374" i="3" s="1"/>
  <c r="A1375" i="3" a="1"/>
  <c r="A1375" i="3" s="1"/>
  <c r="B1375" i="3" a="1"/>
  <c r="B1375" i="3" s="1"/>
  <c r="D1374" i="2"/>
  <c r="A1376" i="2" a="1"/>
  <c r="A1376" i="2" s="1"/>
  <c r="B1376" i="2" a="1"/>
  <c r="B1376" i="2" s="1"/>
  <c r="C1378" i="2"/>
  <c r="F1377" i="2"/>
  <c r="K1375" i="2" a="1"/>
  <c r="K1375" i="2" s="1"/>
  <c r="H1375" i="2" a="1"/>
  <c r="H1375" i="2" s="1"/>
  <c r="I1375" i="2" a="1"/>
  <c r="I1375" i="2" s="1"/>
  <c r="J1375" i="2" a="1"/>
  <c r="J1375" i="2" s="1"/>
  <c r="D1375" i="2" a="1"/>
  <c r="H1376" i="3" l="1" a="1"/>
  <c r="H1376" i="3" s="1"/>
  <c r="I1376" i="3" a="1"/>
  <c r="I1376" i="3" s="1"/>
  <c r="K1376" i="3" a="1"/>
  <c r="K1376" i="3" s="1"/>
  <c r="C1378" i="3"/>
  <c r="L1377" i="3"/>
  <c r="M1377" i="3"/>
  <c r="F1377" i="3"/>
  <c r="F1378" i="3" s="1"/>
  <c r="B1376" i="3" a="1"/>
  <c r="B1376" i="3" s="1"/>
  <c r="A1376" i="3" a="1"/>
  <c r="A1376" i="3" s="1"/>
  <c r="D1375" i="2"/>
  <c r="B1377" i="2" a="1"/>
  <c r="B1377" i="2" s="1"/>
  <c r="A1377" i="2" a="1"/>
  <c r="A1377" i="2" s="1"/>
  <c r="C1379" i="2"/>
  <c r="F1378" i="2"/>
  <c r="H1376" i="2" a="1"/>
  <c r="H1376" i="2" s="1"/>
  <c r="K1376" i="2" a="1"/>
  <c r="K1376" i="2" s="1"/>
  <c r="J1376" i="2" a="1"/>
  <c r="J1376" i="2" s="1"/>
  <c r="I1376" i="2" a="1"/>
  <c r="I1376" i="2" s="1"/>
  <c r="D1376" i="2" a="1"/>
  <c r="C1379" i="3" l="1"/>
  <c r="G1378" i="3" a="1"/>
  <c r="G1378" i="3" s="1"/>
  <c r="J1378" i="3" s="1" a="1"/>
  <c r="J1378" i="3" s="1"/>
  <c r="M1378" i="3"/>
  <c r="L1378" i="3"/>
  <c r="G1377" i="3" a="1"/>
  <c r="G1377" i="3" s="1"/>
  <c r="A1377" i="3" a="1"/>
  <c r="A1377" i="3" s="1"/>
  <c r="B1377" i="3" a="1"/>
  <c r="B1377" i="3" s="1"/>
  <c r="D1376" i="2"/>
  <c r="C1380" i="2"/>
  <c r="F1379" i="2"/>
  <c r="H1377" i="2" a="1"/>
  <c r="H1377" i="2" s="1"/>
  <c r="J1377" i="2" a="1"/>
  <c r="J1377" i="2" s="1"/>
  <c r="K1377" i="2" a="1"/>
  <c r="K1377" i="2" s="1"/>
  <c r="I1377" i="2" a="1"/>
  <c r="I1377" i="2" s="1"/>
  <c r="A1378" i="2" a="1"/>
  <c r="A1378" i="2" s="1"/>
  <c r="B1378" i="2" a="1"/>
  <c r="B1378" i="2" s="1"/>
  <c r="D1377" i="2" a="1"/>
  <c r="H1377" i="3" l="1" a="1"/>
  <c r="H1377" i="3" s="1"/>
  <c r="I1377" i="3" a="1"/>
  <c r="I1377" i="3" s="1"/>
  <c r="K1377" i="3" a="1"/>
  <c r="K1377" i="3" s="1"/>
  <c r="J1377" i="3" a="1"/>
  <c r="J1377" i="3" s="1"/>
  <c r="C1380" i="3"/>
  <c r="L1379" i="3"/>
  <c r="M1379" i="3"/>
  <c r="I1378" i="3" a="1"/>
  <c r="I1378" i="3" s="1"/>
  <c r="H1378" i="3" a="1"/>
  <c r="H1378" i="3" s="1"/>
  <c r="K1378" i="3" a="1"/>
  <c r="K1378" i="3" s="1"/>
  <c r="F1379" i="3"/>
  <c r="F1380" i="3" s="1"/>
  <c r="A1378" i="3" a="1"/>
  <c r="A1378" i="3" s="1"/>
  <c r="B1378" i="3" a="1"/>
  <c r="B1378" i="3" s="1"/>
  <c r="D1377" i="2"/>
  <c r="K1378" i="2" a="1"/>
  <c r="K1378" i="2" s="1"/>
  <c r="H1378" i="2" a="1"/>
  <c r="H1378" i="2" s="1"/>
  <c r="I1378" i="2" a="1"/>
  <c r="I1378" i="2" s="1"/>
  <c r="J1378" i="2" a="1"/>
  <c r="J1378" i="2" s="1"/>
  <c r="A1379" i="2" a="1"/>
  <c r="A1379" i="2" s="1"/>
  <c r="B1379" i="2" a="1"/>
  <c r="B1379" i="2" s="1"/>
  <c r="C1381" i="2"/>
  <c r="F1380" i="2"/>
  <c r="D1378" i="2" a="1"/>
  <c r="G1379" i="3" l="1" a="1"/>
  <c r="G1379" i="3" s="1"/>
  <c r="C1381" i="3"/>
  <c r="G1380" i="3" a="1"/>
  <c r="G1380" i="3" s="1"/>
  <c r="J1380" i="3" a="1"/>
  <c r="J1380" i="3" s="1"/>
  <c r="L1380" i="3"/>
  <c r="M1380" i="3"/>
  <c r="F1381" i="3"/>
  <c r="A1379" i="3" a="1"/>
  <c r="A1379" i="3" s="1"/>
  <c r="B1379" i="3" a="1"/>
  <c r="B1379" i="3" s="1"/>
  <c r="D1378" i="2"/>
  <c r="A1380" i="2" a="1"/>
  <c r="A1380" i="2" s="1"/>
  <c r="B1380" i="2" a="1"/>
  <c r="B1380" i="2" s="1"/>
  <c r="C1382" i="2"/>
  <c r="F1381" i="2"/>
  <c r="J1379" i="2" a="1"/>
  <c r="J1379" i="2" s="1"/>
  <c r="K1379" i="2" a="1"/>
  <c r="K1379" i="2" s="1"/>
  <c r="I1379" i="2" a="1"/>
  <c r="I1379" i="2" s="1"/>
  <c r="H1379" i="2" a="1"/>
  <c r="H1379" i="2" s="1"/>
  <c r="D1379" i="2" a="1"/>
  <c r="C1382" i="3" l="1"/>
  <c r="G1381" i="3" a="1"/>
  <c r="G1381" i="3" s="1"/>
  <c r="J1381" i="3" s="1" a="1"/>
  <c r="J1381" i="3" s="1"/>
  <c r="M1381" i="3"/>
  <c r="L1381" i="3"/>
  <c r="H1380" i="3" a="1"/>
  <c r="H1380" i="3" s="1"/>
  <c r="I1380" i="3" a="1"/>
  <c r="I1380" i="3" s="1"/>
  <c r="K1380" i="3" a="1"/>
  <c r="K1380" i="3" s="1"/>
  <c r="J1379" i="3" a="1"/>
  <c r="J1379" i="3" s="1"/>
  <c r="H1379" i="3" a="1"/>
  <c r="H1379" i="3" s="1"/>
  <c r="I1379" i="3" a="1"/>
  <c r="I1379" i="3" s="1"/>
  <c r="K1379" i="3" a="1"/>
  <c r="K1379" i="3" s="1"/>
  <c r="A1380" i="3" a="1"/>
  <c r="A1380" i="3" s="1"/>
  <c r="B1380" i="3" a="1"/>
  <c r="B1380" i="3" s="1"/>
  <c r="D1379" i="2"/>
  <c r="I1380" i="2" a="1"/>
  <c r="I1380" i="2" s="1"/>
  <c r="K1380" i="2" a="1"/>
  <c r="K1380" i="2" s="1"/>
  <c r="J1380" i="2" a="1"/>
  <c r="J1380" i="2" s="1"/>
  <c r="H1380" i="2" a="1"/>
  <c r="H1380" i="2" s="1"/>
  <c r="C1383" i="2"/>
  <c r="F1382" i="2"/>
  <c r="B1381" i="2" a="1"/>
  <c r="B1381" i="2" s="1"/>
  <c r="A1381" i="2" a="1"/>
  <c r="A1381" i="2" s="1"/>
  <c r="D1380" i="2" a="1"/>
  <c r="I1381" i="3" l="1" a="1"/>
  <c r="I1381" i="3" s="1"/>
  <c r="K1381" i="3" a="1"/>
  <c r="K1381" i="3" s="1"/>
  <c r="H1381" i="3" a="1"/>
  <c r="H1381" i="3" s="1"/>
  <c r="C1383" i="3"/>
  <c r="L1382" i="3"/>
  <c r="M1382" i="3"/>
  <c r="F1382" i="3"/>
  <c r="F1383" i="3" s="1"/>
  <c r="B1381" i="3" a="1"/>
  <c r="B1381" i="3" s="1"/>
  <c r="A1381" i="3" a="1"/>
  <c r="A1381" i="3" s="1"/>
  <c r="D1380" i="2"/>
  <c r="H1381" i="2" a="1"/>
  <c r="H1381" i="2" s="1"/>
  <c r="K1381" i="2" a="1"/>
  <c r="K1381" i="2" s="1"/>
  <c r="I1381" i="2" a="1"/>
  <c r="I1381" i="2" s="1"/>
  <c r="J1381" i="2" a="1"/>
  <c r="J1381" i="2" s="1"/>
  <c r="B1382" i="2" a="1"/>
  <c r="B1382" i="2" s="1"/>
  <c r="A1382" i="2" a="1"/>
  <c r="A1382" i="2" s="1"/>
  <c r="C1384" i="2"/>
  <c r="F1383" i="2"/>
  <c r="D1381" i="2" a="1"/>
  <c r="C1384" i="3" l="1"/>
  <c r="G1383" i="3" a="1"/>
  <c r="G1383" i="3" s="1"/>
  <c r="J1383" i="3" a="1"/>
  <c r="J1383" i="3" s="1"/>
  <c r="M1383" i="3"/>
  <c r="L1383" i="3"/>
  <c r="F1384" i="3"/>
  <c r="G1382" i="3" a="1"/>
  <c r="G1382" i="3" s="1"/>
  <c r="A1382" i="3" a="1"/>
  <c r="A1382" i="3" s="1"/>
  <c r="B1382" i="3" a="1"/>
  <c r="B1382" i="3" s="1"/>
  <c r="D1381" i="2"/>
  <c r="C1385" i="2"/>
  <c r="F1384" i="2"/>
  <c r="K1382" i="2" a="1"/>
  <c r="K1382" i="2" s="1"/>
  <c r="H1382" i="2" a="1"/>
  <c r="H1382" i="2" s="1"/>
  <c r="J1382" i="2" a="1"/>
  <c r="J1382" i="2" s="1"/>
  <c r="I1382" i="2" a="1"/>
  <c r="I1382" i="2" s="1"/>
  <c r="B1383" i="2" a="1"/>
  <c r="B1383" i="2" s="1"/>
  <c r="A1383" i="2" a="1"/>
  <c r="A1383" i="2" s="1"/>
  <c r="D1382" i="2" a="1"/>
  <c r="H1382" i="3" l="1" a="1"/>
  <c r="H1382" i="3" s="1"/>
  <c r="I1382" i="3" a="1"/>
  <c r="I1382" i="3" s="1"/>
  <c r="K1382" i="3" a="1"/>
  <c r="K1382" i="3" s="1"/>
  <c r="J1382" i="3" a="1"/>
  <c r="J1382" i="3" s="1"/>
  <c r="H1383" i="3" a="1"/>
  <c r="H1383" i="3" s="1"/>
  <c r="I1383" i="3" a="1"/>
  <c r="I1383" i="3" s="1"/>
  <c r="K1383" i="3" a="1"/>
  <c r="K1383" i="3" s="1"/>
  <c r="C1385" i="3"/>
  <c r="G1384" i="3" a="1"/>
  <c r="G1384" i="3" s="1"/>
  <c r="L1384" i="3"/>
  <c r="M1384" i="3"/>
  <c r="A1383" i="3" a="1"/>
  <c r="A1383" i="3" s="1"/>
  <c r="B1383" i="3" a="1"/>
  <c r="B1383" i="3" s="1"/>
  <c r="D1382" i="2"/>
  <c r="I1383" i="2" a="1"/>
  <c r="I1383" i="2" s="1"/>
  <c r="J1383" i="2" a="1"/>
  <c r="J1383" i="2" s="1"/>
  <c r="H1383" i="2" a="1"/>
  <c r="H1383" i="2" s="1"/>
  <c r="K1383" i="2" a="1"/>
  <c r="K1383" i="2" s="1"/>
  <c r="A1384" i="2" a="1"/>
  <c r="A1384" i="2" s="1"/>
  <c r="B1384" i="2" a="1"/>
  <c r="B1384" i="2" s="1"/>
  <c r="C1386" i="2"/>
  <c r="F1385" i="2"/>
  <c r="D1383" i="2" a="1"/>
  <c r="K1384" i="3" l="1" a="1"/>
  <c r="K1384" i="3" s="1"/>
  <c r="H1384" i="3" a="1"/>
  <c r="H1384" i="3" s="1"/>
  <c r="I1384" i="3" a="1"/>
  <c r="I1384" i="3" s="1"/>
  <c r="J1384" i="3" a="1"/>
  <c r="J1384" i="3" s="1"/>
  <c r="C1386" i="3"/>
  <c r="L1385" i="3"/>
  <c r="M1385" i="3"/>
  <c r="F1385" i="3"/>
  <c r="F1386" i="3" s="1"/>
  <c r="A1384" i="3" a="1"/>
  <c r="A1384" i="3" s="1"/>
  <c r="B1384" i="3" a="1"/>
  <c r="B1384" i="3" s="1"/>
  <c r="D1383" i="2"/>
  <c r="H1384" i="2" a="1"/>
  <c r="H1384" i="2" s="1"/>
  <c r="K1384" i="2" a="1"/>
  <c r="K1384" i="2" s="1"/>
  <c r="J1384" i="2" a="1"/>
  <c r="J1384" i="2" s="1"/>
  <c r="I1384" i="2" a="1"/>
  <c r="I1384" i="2" s="1"/>
  <c r="A1385" i="2" a="1"/>
  <c r="A1385" i="2" s="1"/>
  <c r="B1385" i="2" a="1"/>
  <c r="B1385" i="2" s="1"/>
  <c r="C1387" i="2"/>
  <c r="F1386" i="2"/>
  <c r="D1384" i="2" a="1"/>
  <c r="C1387" i="3" l="1"/>
  <c r="G1386" i="3" a="1"/>
  <c r="G1386" i="3" s="1"/>
  <c r="L1386" i="3"/>
  <c r="M1386" i="3"/>
  <c r="J1386" i="3" a="1"/>
  <c r="J1386" i="3" s="1"/>
  <c r="G1385" i="3" a="1"/>
  <c r="G1385" i="3" s="1"/>
  <c r="F1387" i="3"/>
  <c r="A1385" i="3" a="1"/>
  <c r="A1385" i="3" s="1"/>
  <c r="B1385" i="3" a="1"/>
  <c r="B1385" i="3" s="1"/>
  <c r="D1384" i="2"/>
  <c r="A1386" i="2" a="1"/>
  <c r="A1386" i="2" s="1"/>
  <c r="B1386" i="2" a="1"/>
  <c r="B1386" i="2" s="1"/>
  <c r="C1388" i="2"/>
  <c r="F1387" i="2"/>
  <c r="H1385" i="2" a="1"/>
  <c r="H1385" i="2" s="1"/>
  <c r="K1385" i="2" a="1"/>
  <c r="K1385" i="2" s="1"/>
  <c r="I1385" i="2" a="1"/>
  <c r="I1385" i="2" s="1"/>
  <c r="J1385" i="2" a="1"/>
  <c r="J1385" i="2" s="1"/>
  <c r="D1385" i="2" a="1"/>
  <c r="K1385" i="3" l="1" a="1"/>
  <c r="K1385" i="3" s="1"/>
  <c r="H1385" i="3" a="1"/>
  <c r="H1385" i="3" s="1"/>
  <c r="I1385" i="3" a="1"/>
  <c r="I1385" i="3" s="1"/>
  <c r="J1385" i="3" a="1"/>
  <c r="J1385" i="3" s="1"/>
  <c r="K1386" i="3" a="1"/>
  <c r="K1386" i="3" s="1"/>
  <c r="H1386" i="3" a="1"/>
  <c r="H1386" i="3" s="1"/>
  <c r="I1386" i="3" a="1"/>
  <c r="I1386" i="3" s="1"/>
  <c r="C1388" i="3"/>
  <c r="G1387" i="3" a="1"/>
  <c r="G1387" i="3" s="1"/>
  <c r="L1387" i="3"/>
  <c r="M1387" i="3"/>
  <c r="B1386" i="3" a="1"/>
  <c r="B1386" i="3" s="1"/>
  <c r="A1386" i="3" a="1"/>
  <c r="A1386" i="3" s="1"/>
  <c r="D1385" i="2"/>
  <c r="B1387" i="2" a="1"/>
  <c r="B1387" i="2" s="1"/>
  <c r="A1387" i="2" a="1"/>
  <c r="A1387" i="2" s="1"/>
  <c r="C1389" i="2"/>
  <c r="F1388" i="2"/>
  <c r="J1386" i="2" a="1"/>
  <c r="J1386" i="2" s="1"/>
  <c r="K1386" i="2" a="1"/>
  <c r="K1386" i="2" s="1"/>
  <c r="I1386" i="2" a="1"/>
  <c r="I1386" i="2" s="1"/>
  <c r="H1386" i="2" a="1"/>
  <c r="H1386" i="2" s="1"/>
  <c r="D1386" i="2" a="1"/>
  <c r="I1387" i="3" l="1" a="1"/>
  <c r="I1387" i="3" s="1"/>
  <c r="K1387" i="3" a="1"/>
  <c r="K1387" i="3" s="1"/>
  <c r="H1387" i="3" a="1"/>
  <c r="H1387" i="3" s="1"/>
  <c r="C1389" i="3"/>
  <c r="M1388" i="3"/>
  <c r="L1388" i="3"/>
  <c r="J1387" i="3" a="1"/>
  <c r="J1387" i="3" s="1"/>
  <c r="F1388" i="3"/>
  <c r="F1389" i="3" s="1"/>
  <c r="A1387" i="3" a="1"/>
  <c r="A1387" i="3" s="1"/>
  <c r="B1387" i="3" a="1"/>
  <c r="B1387" i="3" s="1"/>
  <c r="D1386" i="2"/>
  <c r="A1388" i="2" a="1"/>
  <c r="A1388" i="2" s="1"/>
  <c r="B1388" i="2" a="1"/>
  <c r="B1388" i="2" s="1"/>
  <c r="C1390" i="2"/>
  <c r="F1389" i="2"/>
  <c r="J1387" i="2" a="1"/>
  <c r="J1387" i="2" s="1"/>
  <c r="H1387" i="2" a="1"/>
  <c r="H1387" i="2" s="1"/>
  <c r="K1387" i="2" a="1"/>
  <c r="K1387" i="2" s="1"/>
  <c r="I1387" i="2" a="1"/>
  <c r="I1387" i="2" s="1"/>
  <c r="D1387" i="2" a="1"/>
  <c r="C1390" i="3" l="1"/>
  <c r="G1389" i="3" a="1"/>
  <c r="G1389" i="3" s="1"/>
  <c r="J1389" i="3" a="1"/>
  <c r="J1389" i="3" s="1"/>
  <c r="L1389" i="3"/>
  <c r="M1389" i="3"/>
  <c r="F1390" i="3"/>
  <c r="G1388" i="3" a="1"/>
  <c r="G1388" i="3" s="1"/>
  <c r="B1388" i="3" a="1"/>
  <c r="B1388" i="3" s="1"/>
  <c r="A1388" i="3" a="1"/>
  <c r="A1388" i="3" s="1"/>
  <c r="D1387" i="2"/>
  <c r="A1389" i="2" a="1"/>
  <c r="A1389" i="2" s="1"/>
  <c r="B1389" i="2" a="1"/>
  <c r="B1389" i="2" s="1"/>
  <c r="C1391" i="2"/>
  <c r="F1390" i="2"/>
  <c r="I1388" i="2" a="1"/>
  <c r="I1388" i="2" s="1"/>
  <c r="H1388" i="2" a="1"/>
  <c r="H1388" i="2" s="1"/>
  <c r="K1388" i="2" a="1"/>
  <c r="K1388" i="2" s="1"/>
  <c r="J1388" i="2" a="1"/>
  <c r="J1388" i="2" s="1"/>
  <c r="D1388" i="2" a="1"/>
  <c r="H1388" i="3" l="1" a="1"/>
  <c r="H1388" i="3" s="1"/>
  <c r="I1388" i="3" a="1"/>
  <c r="I1388" i="3" s="1"/>
  <c r="K1388" i="3" a="1"/>
  <c r="K1388" i="3" s="1"/>
  <c r="J1388" i="3" a="1"/>
  <c r="J1388" i="3" s="1"/>
  <c r="H1389" i="3" a="1"/>
  <c r="H1389" i="3" s="1"/>
  <c r="I1389" i="3" a="1"/>
  <c r="I1389" i="3" s="1"/>
  <c r="K1389" i="3" a="1"/>
  <c r="K1389" i="3" s="1"/>
  <c r="C1391" i="3"/>
  <c r="G1390" i="3" a="1"/>
  <c r="G1390" i="3" s="1"/>
  <c r="L1390" i="3"/>
  <c r="M1390" i="3"/>
  <c r="A1389" i="3" a="1"/>
  <c r="A1389" i="3" s="1"/>
  <c r="B1389" i="3" a="1"/>
  <c r="B1389" i="3" s="1"/>
  <c r="D1388" i="2"/>
  <c r="K1389" i="2" a="1"/>
  <c r="K1389" i="2" s="1"/>
  <c r="I1389" i="2" a="1"/>
  <c r="I1389" i="2" s="1"/>
  <c r="J1389" i="2" a="1"/>
  <c r="J1389" i="2" s="1"/>
  <c r="H1389" i="2" a="1"/>
  <c r="H1389" i="2" s="1"/>
  <c r="B1390" i="2" a="1"/>
  <c r="B1390" i="2" s="1"/>
  <c r="A1390" i="2" a="1"/>
  <c r="A1390" i="2" s="1"/>
  <c r="C1392" i="2"/>
  <c r="F1391" i="2"/>
  <c r="D1389" i="2" a="1"/>
  <c r="C1392" i="3" l="1"/>
  <c r="M1391" i="3"/>
  <c r="L1391" i="3"/>
  <c r="I1390" i="3" a="1"/>
  <c r="I1390" i="3" s="1"/>
  <c r="H1390" i="3" a="1"/>
  <c r="H1390" i="3" s="1"/>
  <c r="K1390" i="3" a="1"/>
  <c r="K1390" i="3" s="1"/>
  <c r="F1391" i="3"/>
  <c r="F1392" i="3" s="1"/>
  <c r="J1390" i="3" a="1"/>
  <c r="J1390" i="3" s="1"/>
  <c r="A1390" i="3" a="1"/>
  <c r="A1390" i="3" s="1"/>
  <c r="B1390" i="3" a="1"/>
  <c r="B1390" i="3" s="1"/>
  <c r="D1389" i="2"/>
  <c r="C1393" i="2"/>
  <c r="F1392" i="2"/>
  <c r="B1391" i="2" a="1"/>
  <c r="B1391" i="2" s="1"/>
  <c r="A1391" i="2" a="1"/>
  <c r="A1391" i="2" s="1"/>
  <c r="H1390" i="2" a="1"/>
  <c r="H1390" i="2" s="1"/>
  <c r="J1390" i="2" a="1"/>
  <c r="J1390" i="2" s="1"/>
  <c r="K1390" i="2" a="1"/>
  <c r="K1390" i="2" s="1"/>
  <c r="I1390" i="2" a="1"/>
  <c r="I1390" i="2" s="1"/>
  <c r="D1390" i="2" a="1"/>
  <c r="G1391" i="3" l="1" a="1"/>
  <c r="G1391" i="3" s="1"/>
  <c r="C1393" i="3"/>
  <c r="G1392" i="3" a="1"/>
  <c r="G1392" i="3" s="1"/>
  <c r="L1392" i="3"/>
  <c r="M1392" i="3"/>
  <c r="A1391" i="3" a="1"/>
  <c r="A1391" i="3" s="1"/>
  <c r="B1391" i="3" a="1"/>
  <c r="B1391" i="3" s="1"/>
  <c r="D1390" i="2"/>
  <c r="J1391" i="2" a="1"/>
  <c r="J1391" i="2" s="1"/>
  <c r="K1391" i="2" a="1"/>
  <c r="K1391" i="2" s="1"/>
  <c r="H1391" i="2" a="1"/>
  <c r="H1391" i="2" s="1"/>
  <c r="I1391" i="2" a="1"/>
  <c r="I1391" i="2" s="1"/>
  <c r="A1392" i="2" a="1"/>
  <c r="A1392" i="2" s="1"/>
  <c r="B1392" i="2" a="1"/>
  <c r="B1392" i="2" s="1"/>
  <c r="C1394" i="2"/>
  <c r="F1393" i="2"/>
  <c r="D1391" i="2" a="1"/>
  <c r="H1392" i="3" l="1" a="1"/>
  <c r="H1392" i="3" s="1"/>
  <c r="I1392" i="3" a="1"/>
  <c r="I1392" i="3" s="1"/>
  <c r="K1392" i="3" a="1"/>
  <c r="K1392" i="3" s="1"/>
  <c r="C1394" i="3"/>
  <c r="G1393" i="3" a="1"/>
  <c r="G1393" i="3" s="1"/>
  <c r="J1393" i="3" s="1" a="1"/>
  <c r="J1393" i="3" s="1"/>
  <c r="L1393" i="3"/>
  <c r="M1393" i="3"/>
  <c r="J1392" i="3" a="1"/>
  <c r="J1392" i="3" s="1"/>
  <c r="I1391" i="3" a="1"/>
  <c r="I1391" i="3" s="1"/>
  <c r="H1391" i="3" a="1"/>
  <c r="H1391" i="3" s="1"/>
  <c r="K1391" i="3" a="1"/>
  <c r="K1391" i="3" s="1"/>
  <c r="J1391" i="3" a="1"/>
  <c r="J1391" i="3" s="1"/>
  <c r="F1393" i="3"/>
  <c r="F1394" i="3" s="1"/>
  <c r="A1392" i="3" a="1"/>
  <c r="A1392" i="3" s="1"/>
  <c r="B1392" i="3" a="1"/>
  <c r="B1392" i="3" s="1"/>
  <c r="D1391" i="2"/>
  <c r="B1393" i="2" a="1"/>
  <c r="B1393" i="2" s="1"/>
  <c r="A1393" i="2" a="1"/>
  <c r="A1393" i="2" s="1"/>
  <c r="J1392" i="2" a="1"/>
  <c r="J1392" i="2" s="1"/>
  <c r="K1392" i="2" a="1"/>
  <c r="K1392" i="2" s="1"/>
  <c r="H1392" i="2" a="1"/>
  <c r="H1392" i="2" s="1"/>
  <c r="I1392" i="2" a="1"/>
  <c r="I1392" i="2" s="1"/>
  <c r="C1395" i="2"/>
  <c r="F1394" i="2"/>
  <c r="D1392" i="2" a="1"/>
  <c r="I1393" i="3" l="1" a="1"/>
  <c r="I1393" i="3" s="1"/>
  <c r="K1393" i="3" a="1"/>
  <c r="K1393" i="3" s="1"/>
  <c r="H1393" i="3" a="1"/>
  <c r="H1393" i="3" s="1"/>
  <c r="C1395" i="3"/>
  <c r="G1394" i="3" a="1"/>
  <c r="G1394" i="3" s="1"/>
  <c r="L1394" i="3"/>
  <c r="M1394" i="3"/>
  <c r="J1394" i="3" a="1"/>
  <c r="J1394" i="3" s="1"/>
  <c r="F1395" i="3"/>
  <c r="B1393" i="3" a="1"/>
  <c r="B1393" i="3" s="1"/>
  <c r="A1393" i="3" a="1"/>
  <c r="A1393" i="3" s="1"/>
  <c r="D1392" i="2"/>
  <c r="C1396" i="2"/>
  <c r="F1395" i="2"/>
  <c r="B1394" i="2" a="1"/>
  <c r="B1394" i="2" s="1"/>
  <c r="A1394" i="2" a="1"/>
  <c r="A1394" i="2" s="1"/>
  <c r="I1393" i="2" a="1"/>
  <c r="I1393" i="2" s="1"/>
  <c r="H1393" i="2" a="1"/>
  <c r="H1393" i="2" s="1"/>
  <c r="J1393" i="2" a="1"/>
  <c r="J1393" i="2" s="1"/>
  <c r="K1393" i="2" a="1"/>
  <c r="K1393" i="2" s="1"/>
  <c r="D1393" i="2" a="1"/>
  <c r="C1396" i="3" l="1"/>
  <c r="G1395" i="3" a="1"/>
  <c r="G1395" i="3" s="1"/>
  <c r="J1395" i="3" s="1" a="1"/>
  <c r="J1395" i="3" s="1"/>
  <c r="L1395" i="3"/>
  <c r="M1395" i="3"/>
  <c r="F1396" i="3"/>
  <c r="K1394" i="3" a="1"/>
  <c r="K1394" i="3" s="1"/>
  <c r="I1394" i="3" a="1"/>
  <c r="I1394" i="3" s="1"/>
  <c r="H1394" i="3" a="1"/>
  <c r="H1394" i="3" s="1"/>
  <c r="A1394" i="3" a="1"/>
  <c r="A1394" i="3" s="1"/>
  <c r="B1394" i="3" a="1"/>
  <c r="B1394" i="3" s="1"/>
  <c r="D1393" i="2"/>
  <c r="I1394" i="2" a="1"/>
  <c r="I1394" i="2" s="1"/>
  <c r="J1394" i="2" a="1"/>
  <c r="J1394" i="2" s="1"/>
  <c r="H1394" i="2" a="1"/>
  <c r="H1394" i="2" s="1"/>
  <c r="K1394" i="2" a="1"/>
  <c r="K1394" i="2" s="1"/>
  <c r="B1395" i="2" a="1"/>
  <c r="B1395" i="2" s="1"/>
  <c r="A1395" i="2" a="1"/>
  <c r="A1395" i="2" s="1"/>
  <c r="C1397" i="2"/>
  <c r="F1396" i="2"/>
  <c r="D1394" i="2" a="1"/>
  <c r="H1395" i="3" l="1" a="1"/>
  <c r="H1395" i="3" s="1"/>
  <c r="I1395" i="3" a="1"/>
  <c r="I1395" i="3" s="1"/>
  <c r="K1395" i="3" a="1"/>
  <c r="K1395" i="3" s="1"/>
  <c r="C1397" i="3"/>
  <c r="F1397" i="3" s="1"/>
  <c r="G1396" i="3" a="1"/>
  <c r="G1396" i="3" s="1"/>
  <c r="M1396" i="3"/>
  <c r="L1396" i="3"/>
  <c r="J1396" i="3" a="1"/>
  <c r="J1396" i="3" s="1"/>
  <c r="A1395" i="3" a="1"/>
  <c r="A1395" i="3" s="1"/>
  <c r="B1395" i="3" a="1"/>
  <c r="B1395" i="3" s="1"/>
  <c r="D1394" i="2"/>
  <c r="C1398" i="2"/>
  <c r="F1397" i="2"/>
  <c r="A1396" i="2" a="1"/>
  <c r="A1396" i="2" s="1"/>
  <c r="B1396" i="2" a="1"/>
  <c r="B1396" i="2" s="1"/>
  <c r="H1395" i="2" a="1"/>
  <c r="H1395" i="2" s="1"/>
  <c r="K1395" i="2" a="1"/>
  <c r="K1395" i="2" s="1"/>
  <c r="I1395" i="2" a="1"/>
  <c r="I1395" i="2" s="1"/>
  <c r="J1395" i="2" a="1"/>
  <c r="J1395" i="2" s="1"/>
  <c r="D1395" i="2" a="1"/>
  <c r="F1398" i="3" l="1"/>
  <c r="K1396" i="3" a="1"/>
  <c r="K1396" i="3" s="1"/>
  <c r="H1396" i="3" a="1"/>
  <c r="H1396" i="3" s="1"/>
  <c r="I1396" i="3" a="1"/>
  <c r="I1396" i="3" s="1"/>
  <c r="C1398" i="3"/>
  <c r="G1397" i="3" a="1"/>
  <c r="G1397" i="3" s="1"/>
  <c r="L1397" i="3"/>
  <c r="M1397" i="3"/>
  <c r="J1397" i="3" a="1"/>
  <c r="J1397" i="3" s="1"/>
  <c r="A1396" i="3" a="1"/>
  <c r="A1396" i="3" s="1"/>
  <c r="B1396" i="3" a="1"/>
  <c r="B1396" i="3" s="1"/>
  <c r="D1395" i="2"/>
  <c r="K1396" i="2" a="1"/>
  <c r="K1396" i="2" s="1"/>
  <c r="J1396" i="2" a="1"/>
  <c r="J1396" i="2" s="1"/>
  <c r="I1396" i="2" a="1"/>
  <c r="I1396" i="2" s="1"/>
  <c r="H1396" i="2" a="1"/>
  <c r="H1396" i="2" s="1"/>
  <c r="A1397" i="2" a="1"/>
  <c r="A1397" i="2" s="1"/>
  <c r="B1397" i="2" a="1"/>
  <c r="B1397" i="2" s="1"/>
  <c r="C1399" i="2"/>
  <c r="F1398" i="2"/>
  <c r="D1396" i="2" a="1"/>
  <c r="C1399" i="3" l="1"/>
  <c r="G1398" i="3" a="1"/>
  <c r="G1398" i="3" s="1"/>
  <c r="L1398" i="3"/>
  <c r="M1398" i="3"/>
  <c r="K1397" i="3" a="1"/>
  <c r="K1397" i="3" s="1"/>
  <c r="H1397" i="3" a="1"/>
  <c r="H1397" i="3" s="1"/>
  <c r="I1397" i="3" a="1"/>
  <c r="I1397" i="3" s="1"/>
  <c r="A1397" i="3" a="1"/>
  <c r="A1397" i="3" s="1"/>
  <c r="B1397" i="3" a="1"/>
  <c r="B1397" i="3" s="1"/>
  <c r="D1396" i="2"/>
  <c r="I1397" i="2" a="1"/>
  <c r="I1397" i="2" s="1"/>
  <c r="H1397" i="2" a="1"/>
  <c r="H1397" i="2" s="1"/>
  <c r="K1397" i="2" a="1"/>
  <c r="K1397" i="2" s="1"/>
  <c r="J1397" i="2" a="1"/>
  <c r="J1397" i="2" s="1"/>
  <c r="B1398" i="2" a="1"/>
  <c r="B1398" i="2" s="1"/>
  <c r="A1398" i="2" a="1"/>
  <c r="A1398" i="2" s="1"/>
  <c r="C1400" i="2"/>
  <c r="F1399" i="2"/>
  <c r="D1397" i="2" a="1"/>
  <c r="I1398" i="3" l="1" a="1"/>
  <c r="I1398" i="3" s="1"/>
  <c r="K1398" i="3" a="1"/>
  <c r="K1398" i="3" s="1"/>
  <c r="H1398" i="3" a="1"/>
  <c r="H1398" i="3" s="1"/>
  <c r="J1398" i="3" a="1"/>
  <c r="J1398" i="3" s="1"/>
  <c r="C1400" i="3"/>
  <c r="L1399" i="3"/>
  <c r="M1399" i="3"/>
  <c r="F1399" i="3"/>
  <c r="F1400" i="3" s="1"/>
  <c r="B1398" i="3" a="1"/>
  <c r="B1398" i="3" s="1"/>
  <c r="A1398" i="3" a="1"/>
  <c r="A1398" i="3" s="1"/>
  <c r="D1397" i="2"/>
  <c r="A1399" i="2" a="1"/>
  <c r="A1399" i="2" s="1"/>
  <c r="B1399" i="2" a="1"/>
  <c r="B1399" i="2" s="1"/>
  <c r="H1398" i="2" a="1"/>
  <c r="H1398" i="2" s="1"/>
  <c r="J1398" i="2" a="1"/>
  <c r="J1398" i="2" s="1"/>
  <c r="I1398" i="2" a="1"/>
  <c r="I1398" i="2" s="1"/>
  <c r="K1398" i="2" a="1"/>
  <c r="K1398" i="2" s="1"/>
  <c r="C1401" i="2"/>
  <c r="F1400" i="2"/>
  <c r="D1398" i="2" a="1"/>
  <c r="C1401" i="3" l="1"/>
  <c r="G1400" i="3" a="1"/>
  <c r="G1400" i="3" s="1"/>
  <c r="L1400" i="3"/>
  <c r="M1400" i="3"/>
  <c r="G1399" i="3" a="1"/>
  <c r="G1399" i="3" s="1"/>
  <c r="A1399" i="3" a="1"/>
  <c r="A1399" i="3" s="1"/>
  <c r="B1399" i="3" a="1"/>
  <c r="B1399" i="3" s="1"/>
  <c r="D1398" i="2"/>
  <c r="A1400" i="2" a="1"/>
  <c r="A1400" i="2" s="1"/>
  <c r="B1400" i="2" a="1"/>
  <c r="B1400" i="2" s="1"/>
  <c r="C1402" i="2"/>
  <c r="F1401" i="2"/>
  <c r="H1399" i="2" a="1"/>
  <c r="H1399" i="2" s="1"/>
  <c r="I1399" i="2" a="1"/>
  <c r="I1399" i="2" s="1"/>
  <c r="J1399" i="2" a="1"/>
  <c r="J1399" i="2" s="1"/>
  <c r="K1399" i="2" a="1"/>
  <c r="K1399" i="2" s="1"/>
  <c r="D1399" i="2" a="1"/>
  <c r="I1399" i="3" l="1" a="1"/>
  <c r="I1399" i="3" s="1"/>
  <c r="K1399" i="3" a="1"/>
  <c r="K1399" i="3" s="1"/>
  <c r="H1399" i="3" a="1"/>
  <c r="H1399" i="3" s="1"/>
  <c r="J1399" i="3" a="1"/>
  <c r="J1399" i="3" s="1"/>
  <c r="H1400" i="3" a="1"/>
  <c r="H1400" i="3" s="1"/>
  <c r="I1400" i="3" a="1"/>
  <c r="I1400" i="3" s="1"/>
  <c r="K1400" i="3" a="1"/>
  <c r="K1400" i="3" s="1"/>
  <c r="J1400" i="3" a="1"/>
  <c r="J1400" i="3" s="1"/>
  <c r="C1402" i="3"/>
  <c r="G1401" i="3" a="1"/>
  <c r="G1401" i="3" s="1"/>
  <c r="L1401" i="3"/>
  <c r="M1401" i="3"/>
  <c r="F1401" i="3"/>
  <c r="A1400" i="3" a="1"/>
  <c r="A1400" i="3" s="1"/>
  <c r="B1400" i="3" a="1"/>
  <c r="B1400" i="3" s="1"/>
  <c r="D1399" i="2"/>
  <c r="C1403" i="2"/>
  <c r="F1402" i="2"/>
  <c r="B1401" i="2" a="1"/>
  <c r="B1401" i="2" s="1"/>
  <c r="A1401" i="2" a="1"/>
  <c r="A1401" i="2" s="1"/>
  <c r="H1400" i="2" a="1"/>
  <c r="H1400" i="2" s="1"/>
  <c r="J1400" i="2" a="1"/>
  <c r="J1400" i="2" s="1"/>
  <c r="I1400" i="2" a="1"/>
  <c r="I1400" i="2" s="1"/>
  <c r="K1400" i="2" a="1"/>
  <c r="K1400" i="2" s="1"/>
  <c r="D1400" i="2" a="1"/>
  <c r="C1403" i="3" l="1"/>
  <c r="L1402" i="3"/>
  <c r="M1402" i="3"/>
  <c r="F1402" i="3"/>
  <c r="F1403" i="3" s="1"/>
  <c r="I1401" i="3" a="1"/>
  <c r="I1401" i="3" s="1"/>
  <c r="K1401" i="3" a="1"/>
  <c r="K1401" i="3" s="1"/>
  <c r="H1401" i="3" a="1"/>
  <c r="H1401" i="3" s="1"/>
  <c r="J1401" i="3" a="1"/>
  <c r="J1401" i="3" s="1"/>
  <c r="A1401" i="3" a="1"/>
  <c r="A1401" i="3" s="1"/>
  <c r="B1401" i="3" a="1"/>
  <c r="B1401" i="3" s="1"/>
  <c r="D1400" i="2"/>
  <c r="I1401" i="2" a="1"/>
  <c r="I1401" i="2" s="1"/>
  <c r="J1401" i="2" a="1"/>
  <c r="J1401" i="2" s="1"/>
  <c r="H1401" i="2" a="1"/>
  <c r="H1401" i="2" s="1"/>
  <c r="K1401" i="2" a="1"/>
  <c r="K1401" i="2" s="1"/>
  <c r="A1402" i="2" a="1"/>
  <c r="A1402" i="2" s="1"/>
  <c r="B1402" i="2" a="1"/>
  <c r="B1402" i="2" s="1"/>
  <c r="C1404" i="2"/>
  <c r="F1403" i="2"/>
  <c r="D1401" i="2" a="1"/>
  <c r="G1402" i="3" l="1" a="1"/>
  <c r="G1402" i="3" s="1"/>
  <c r="C1404" i="3"/>
  <c r="G1403" i="3" a="1"/>
  <c r="G1403" i="3" s="1"/>
  <c r="L1403" i="3"/>
  <c r="M1403" i="3"/>
  <c r="A1402" i="3" a="1"/>
  <c r="A1402" i="3" s="1"/>
  <c r="B1402" i="3" a="1"/>
  <c r="B1402" i="3" s="1"/>
  <c r="D1401" i="2"/>
  <c r="C1405" i="2"/>
  <c r="F1404" i="2"/>
  <c r="H1402" i="2" a="1"/>
  <c r="H1402" i="2" s="1"/>
  <c r="J1402" i="2" a="1"/>
  <c r="J1402" i="2" s="1"/>
  <c r="K1402" i="2" a="1"/>
  <c r="K1402" i="2" s="1"/>
  <c r="I1402" i="2" a="1"/>
  <c r="I1402" i="2" s="1"/>
  <c r="A1403" i="2" a="1"/>
  <c r="A1403" i="2" s="1"/>
  <c r="B1403" i="2" a="1"/>
  <c r="B1403" i="2" s="1"/>
  <c r="D1402" i="2" a="1"/>
  <c r="I1403" i="3" l="1" a="1"/>
  <c r="I1403" i="3" s="1"/>
  <c r="H1403" i="3" a="1"/>
  <c r="H1403" i="3" s="1"/>
  <c r="K1403" i="3" a="1"/>
  <c r="K1403" i="3" s="1"/>
  <c r="C1405" i="3"/>
  <c r="G1404" i="3" a="1"/>
  <c r="G1404" i="3" s="1"/>
  <c r="M1404" i="3"/>
  <c r="L1404" i="3"/>
  <c r="J1403" i="3" a="1"/>
  <c r="J1403" i="3" s="1"/>
  <c r="H1402" i="3" a="1"/>
  <c r="H1402" i="3" s="1"/>
  <c r="K1402" i="3" a="1"/>
  <c r="K1402" i="3" s="1"/>
  <c r="I1402" i="3" a="1"/>
  <c r="I1402" i="3" s="1"/>
  <c r="J1402" i="3" a="1"/>
  <c r="J1402" i="3" s="1"/>
  <c r="F1404" i="3"/>
  <c r="F1405" i="3" s="1"/>
  <c r="A1403" i="3" a="1"/>
  <c r="A1403" i="3" s="1"/>
  <c r="B1403" i="3" a="1"/>
  <c r="B1403" i="3" s="1"/>
  <c r="D1402" i="2"/>
  <c r="B1404" i="2" a="1"/>
  <c r="B1404" i="2" s="1"/>
  <c r="A1404" i="2" a="1"/>
  <c r="A1404" i="2" s="1"/>
  <c r="J1403" i="2" a="1"/>
  <c r="J1403" i="2" s="1"/>
  <c r="H1403" i="2" a="1"/>
  <c r="H1403" i="2" s="1"/>
  <c r="I1403" i="2" a="1"/>
  <c r="I1403" i="2" s="1"/>
  <c r="K1403" i="2" a="1"/>
  <c r="K1403" i="2" s="1"/>
  <c r="C1406" i="2"/>
  <c r="F1405" i="2"/>
  <c r="D1403" i="2" a="1"/>
  <c r="H1404" i="3" l="1" a="1"/>
  <c r="H1404" i="3" s="1"/>
  <c r="I1404" i="3" a="1"/>
  <c r="I1404" i="3" s="1"/>
  <c r="K1404" i="3" a="1"/>
  <c r="K1404" i="3" s="1"/>
  <c r="C1406" i="3"/>
  <c r="G1405" i="3" a="1"/>
  <c r="G1405" i="3" s="1"/>
  <c r="J1405" i="3" s="1" a="1"/>
  <c r="J1405" i="3" s="1"/>
  <c r="L1405" i="3"/>
  <c r="M1405" i="3"/>
  <c r="J1404" i="3" a="1"/>
  <c r="J1404" i="3" s="1"/>
  <c r="F1406" i="3"/>
  <c r="A1404" i="3" a="1"/>
  <c r="A1404" i="3" s="1"/>
  <c r="B1404" i="3" a="1"/>
  <c r="B1404" i="3" s="1"/>
  <c r="D1403" i="2"/>
  <c r="B1405" i="2" a="1"/>
  <c r="B1405" i="2" s="1"/>
  <c r="A1405" i="2" a="1"/>
  <c r="A1405" i="2" s="1"/>
  <c r="C1407" i="2"/>
  <c r="F1406" i="2"/>
  <c r="H1404" i="2" a="1"/>
  <c r="H1404" i="2" s="1"/>
  <c r="I1404" i="2" a="1"/>
  <c r="I1404" i="2" s="1"/>
  <c r="K1404" i="2" a="1"/>
  <c r="K1404" i="2" s="1"/>
  <c r="J1404" i="2" a="1"/>
  <c r="J1404" i="2" s="1"/>
  <c r="D1404" i="2" a="1"/>
  <c r="C1407" i="3" l="1"/>
  <c r="G1406" i="3" a="1"/>
  <c r="G1406" i="3" s="1"/>
  <c r="M1406" i="3"/>
  <c r="L1406" i="3"/>
  <c r="J1406" i="3" a="1"/>
  <c r="J1406" i="3" s="1"/>
  <c r="F1407" i="3"/>
  <c r="I1405" i="3" a="1"/>
  <c r="I1405" i="3" s="1"/>
  <c r="K1405" i="3" a="1"/>
  <c r="K1405" i="3" s="1"/>
  <c r="H1405" i="3" a="1"/>
  <c r="H1405" i="3" s="1"/>
  <c r="B1405" i="3" a="1"/>
  <c r="B1405" i="3" s="1"/>
  <c r="A1405" i="3" a="1"/>
  <c r="A1405" i="3" s="1"/>
  <c r="D1404" i="2"/>
  <c r="B1406" i="2" a="1"/>
  <c r="B1406" i="2" s="1"/>
  <c r="A1406" i="2" a="1"/>
  <c r="A1406" i="2" s="1"/>
  <c r="C1408" i="2"/>
  <c r="F1407" i="2"/>
  <c r="I1405" i="2" a="1"/>
  <c r="I1405" i="2" s="1"/>
  <c r="K1405" i="2" a="1"/>
  <c r="K1405" i="2" s="1"/>
  <c r="H1405" i="2" a="1"/>
  <c r="H1405" i="2" s="1"/>
  <c r="J1405" i="2" a="1"/>
  <c r="J1405" i="2" s="1"/>
  <c r="D1405" i="2" a="1"/>
  <c r="H1406" i="3" l="1" a="1"/>
  <c r="H1406" i="3" s="1"/>
  <c r="I1406" i="3" a="1"/>
  <c r="I1406" i="3" s="1"/>
  <c r="K1406" i="3" a="1"/>
  <c r="K1406" i="3" s="1"/>
  <c r="C1408" i="3"/>
  <c r="G1407" i="3" a="1"/>
  <c r="G1407" i="3" s="1"/>
  <c r="L1407" i="3"/>
  <c r="M1407" i="3"/>
  <c r="A1406" i="3" a="1"/>
  <c r="A1406" i="3" s="1"/>
  <c r="B1406" i="3" a="1"/>
  <c r="B1406" i="3" s="1"/>
  <c r="D1405" i="2"/>
  <c r="A1407" i="2" a="1"/>
  <c r="A1407" i="2" s="1"/>
  <c r="B1407" i="2" a="1"/>
  <c r="B1407" i="2" s="1"/>
  <c r="C1409" i="2"/>
  <c r="F1408" i="2"/>
  <c r="H1406" i="2" a="1"/>
  <c r="H1406" i="2" s="1"/>
  <c r="K1406" i="2" a="1"/>
  <c r="K1406" i="2" s="1"/>
  <c r="J1406" i="2" a="1"/>
  <c r="J1406" i="2" s="1"/>
  <c r="I1406" i="2" a="1"/>
  <c r="I1406" i="2" s="1"/>
  <c r="D1406" i="2" a="1"/>
  <c r="H1407" i="3" l="1" a="1"/>
  <c r="H1407" i="3" s="1"/>
  <c r="I1407" i="3" a="1"/>
  <c r="I1407" i="3" s="1"/>
  <c r="K1407" i="3" a="1"/>
  <c r="K1407" i="3" s="1"/>
  <c r="J1407" i="3" a="1"/>
  <c r="J1407" i="3" s="1"/>
  <c r="C1409" i="3"/>
  <c r="L1408" i="3"/>
  <c r="M1408" i="3"/>
  <c r="F1408" i="3"/>
  <c r="F1409" i="3" s="1"/>
  <c r="A1407" i="3" a="1"/>
  <c r="A1407" i="3" s="1"/>
  <c r="B1407" i="3" a="1"/>
  <c r="B1407" i="3" s="1"/>
  <c r="D1406" i="2"/>
  <c r="J1407" i="2" a="1"/>
  <c r="J1407" i="2" s="1"/>
  <c r="K1407" i="2" a="1"/>
  <c r="K1407" i="2" s="1"/>
  <c r="H1407" i="2" a="1"/>
  <c r="H1407" i="2" s="1"/>
  <c r="I1407" i="2" a="1"/>
  <c r="I1407" i="2" s="1"/>
  <c r="A1408" i="2" a="1"/>
  <c r="A1408" i="2" s="1"/>
  <c r="B1408" i="2" a="1"/>
  <c r="B1408" i="2" s="1"/>
  <c r="C1410" i="2"/>
  <c r="F1409" i="2"/>
  <c r="D1407" i="2" a="1"/>
  <c r="G1408" i="3" l="1" a="1"/>
  <c r="G1408" i="3" s="1"/>
  <c r="C1410" i="3"/>
  <c r="G1409" i="3" a="1"/>
  <c r="G1409" i="3" s="1"/>
  <c r="M1409" i="3"/>
  <c r="L1409" i="3"/>
  <c r="J1409" i="3" a="1"/>
  <c r="J1409" i="3" s="1"/>
  <c r="A1408" i="3" a="1"/>
  <c r="A1408" i="3" s="1"/>
  <c r="B1408" i="3" a="1"/>
  <c r="B1408" i="3" s="1"/>
  <c r="D1407" i="2"/>
  <c r="A1409" i="2" a="1"/>
  <c r="A1409" i="2" s="1"/>
  <c r="B1409" i="2" a="1"/>
  <c r="B1409" i="2" s="1"/>
  <c r="C1411" i="2"/>
  <c r="F1410" i="2"/>
  <c r="K1408" i="2" a="1"/>
  <c r="K1408" i="2" s="1"/>
  <c r="I1408" i="2" a="1"/>
  <c r="I1408" i="2" s="1"/>
  <c r="J1408" i="2" a="1"/>
  <c r="J1408" i="2" s="1"/>
  <c r="H1408" i="2" a="1"/>
  <c r="H1408" i="2" s="1"/>
  <c r="D1408" i="2" a="1"/>
  <c r="C1411" i="3" l="1"/>
  <c r="G1410" i="3" a="1"/>
  <c r="G1410" i="3" s="1"/>
  <c r="L1410" i="3"/>
  <c r="M1410" i="3"/>
  <c r="J1410" i="3" a="1"/>
  <c r="J1410" i="3" s="1"/>
  <c r="K1409" i="3" a="1"/>
  <c r="K1409" i="3" s="1"/>
  <c r="H1409" i="3" a="1"/>
  <c r="H1409" i="3" s="1"/>
  <c r="I1409" i="3" a="1"/>
  <c r="I1409" i="3" s="1"/>
  <c r="H1408" i="3" a="1"/>
  <c r="H1408" i="3" s="1"/>
  <c r="I1408" i="3" a="1"/>
  <c r="I1408" i="3" s="1"/>
  <c r="K1408" i="3" a="1"/>
  <c r="K1408" i="3" s="1"/>
  <c r="J1408" i="3" a="1"/>
  <c r="J1408" i="3" s="1"/>
  <c r="F1410" i="3"/>
  <c r="F1411" i="3" s="1"/>
  <c r="A1409" i="3" a="1"/>
  <c r="A1409" i="3" s="1"/>
  <c r="B1409" i="3" a="1"/>
  <c r="B1409" i="3" s="1"/>
  <c r="D1408" i="2"/>
  <c r="A1410" i="2" a="1"/>
  <c r="A1410" i="2" s="1"/>
  <c r="B1410" i="2" a="1"/>
  <c r="B1410" i="2" s="1"/>
  <c r="C1412" i="2"/>
  <c r="F1411" i="2"/>
  <c r="J1409" i="2" a="1"/>
  <c r="J1409" i="2" s="1"/>
  <c r="K1409" i="2" a="1"/>
  <c r="K1409" i="2" s="1"/>
  <c r="I1409" i="2" a="1"/>
  <c r="I1409" i="2" s="1"/>
  <c r="H1409" i="2" a="1"/>
  <c r="H1409" i="2" s="1"/>
  <c r="D1409" i="2" a="1"/>
  <c r="H1410" i="3" l="1" a="1"/>
  <c r="H1410" i="3" s="1"/>
  <c r="I1410" i="3" a="1"/>
  <c r="I1410" i="3" s="1"/>
  <c r="K1410" i="3" a="1"/>
  <c r="K1410" i="3" s="1"/>
  <c r="C1412" i="3"/>
  <c r="G1411" i="3" a="1"/>
  <c r="G1411" i="3" s="1"/>
  <c r="L1411" i="3"/>
  <c r="M1411" i="3"/>
  <c r="J1411" i="3" a="1"/>
  <c r="J1411" i="3" s="1"/>
  <c r="B1410" i="3" a="1"/>
  <c r="B1410" i="3" s="1"/>
  <c r="A1410" i="3" a="1"/>
  <c r="A1410" i="3" s="1"/>
  <c r="D1409" i="2"/>
  <c r="H1410" i="2" a="1"/>
  <c r="H1410" i="2" s="1"/>
  <c r="I1410" i="2" a="1"/>
  <c r="I1410" i="2" s="1"/>
  <c r="J1410" i="2" a="1"/>
  <c r="J1410" i="2" s="1"/>
  <c r="K1410" i="2" a="1"/>
  <c r="K1410" i="2" s="1"/>
  <c r="A1411" i="2" a="1"/>
  <c r="A1411" i="2" s="1"/>
  <c r="B1411" i="2" a="1"/>
  <c r="B1411" i="2" s="1"/>
  <c r="C1413" i="2"/>
  <c r="F1412" i="2"/>
  <c r="D1410" i="2" a="1"/>
  <c r="H1411" i="3" l="1" a="1"/>
  <c r="H1411" i="3" s="1"/>
  <c r="K1411" i="3" a="1"/>
  <c r="K1411" i="3" s="1"/>
  <c r="I1411" i="3" a="1"/>
  <c r="I1411" i="3" s="1"/>
  <c r="C1413" i="3"/>
  <c r="L1412" i="3"/>
  <c r="M1412" i="3"/>
  <c r="F1412" i="3"/>
  <c r="F1413" i="3" s="1"/>
  <c r="A1411" i="3" a="1"/>
  <c r="A1411" i="3" s="1"/>
  <c r="B1411" i="3" a="1"/>
  <c r="B1411" i="3" s="1"/>
  <c r="D1410" i="2"/>
  <c r="A1412" i="2" a="1"/>
  <c r="A1412" i="2" s="1"/>
  <c r="B1412" i="2" a="1"/>
  <c r="B1412" i="2" s="1"/>
  <c r="C1414" i="2"/>
  <c r="F1413" i="2"/>
  <c r="I1411" i="2" a="1"/>
  <c r="I1411" i="2" s="1"/>
  <c r="H1411" i="2" a="1"/>
  <c r="H1411" i="2" s="1"/>
  <c r="K1411" i="2" a="1"/>
  <c r="K1411" i="2" s="1"/>
  <c r="J1411" i="2" a="1"/>
  <c r="J1411" i="2" s="1"/>
  <c r="D1411" i="2" a="1"/>
  <c r="G1412" i="3" l="1" a="1"/>
  <c r="G1412" i="3" s="1"/>
  <c r="C1414" i="3"/>
  <c r="G1413" i="3" a="1"/>
  <c r="G1413" i="3" s="1"/>
  <c r="L1413" i="3"/>
  <c r="M1413" i="3"/>
  <c r="J1413" i="3" a="1"/>
  <c r="J1413" i="3" s="1"/>
  <c r="A1412" i="3" a="1"/>
  <c r="A1412" i="3" s="1"/>
  <c r="B1412" i="3" a="1"/>
  <c r="B1412" i="3" s="1"/>
  <c r="D1411" i="2"/>
  <c r="B1413" i="2" a="1"/>
  <c r="B1413" i="2" s="1"/>
  <c r="A1413" i="2" a="1"/>
  <c r="A1413" i="2" s="1"/>
  <c r="C1415" i="2"/>
  <c r="F1414" i="2"/>
  <c r="H1412" i="2" a="1"/>
  <c r="H1412" i="2" s="1"/>
  <c r="J1412" i="2" a="1"/>
  <c r="J1412" i="2" s="1"/>
  <c r="I1412" i="2" a="1"/>
  <c r="I1412" i="2" s="1"/>
  <c r="K1412" i="2" a="1"/>
  <c r="K1412" i="2" s="1"/>
  <c r="D1412" i="2" a="1"/>
  <c r="C1415" i="3" l="1"/>
  <c r="G1414" i="3" a="1"/>
  <c r="G1414" i="3" s="1"/>
  <c r="L1414" i="3"/>
  <c r="M1414" i="3"/>
  <c r="J1414" i="3" a="1"/>
  <c r="J1414" i="3" s="1"/>
  <c r="I1413" i="3" a="1"/>
  <c r="I1413" i="3" s="1"/>
  <c r="K1413" i="3" a="1"/>
  <c r="K1413" i="3" s="1"/>
  <c r="H1413" i="3" a="1"/>
  <c r="H1413" i="3" s="1"/>
  <c r="K1412" i="3" a="1"/>
  <c r="K1412" i="3" s="1"/>
  <c r="H1412" i="3" a="1"/>
  <c r="H1412" i="3" s="1"/>
  <c r="I1412" i="3" a="1"/>
  <c r="I1412" i="3" s="1"/>
  <c r="J1412" i="3" a="1"/>
  <c r="J1412" i="3" s="1"/>
  <c r="F1414" i="3"/>
  <c r="F1415" i="3" s="1"/>
  <c r="A1413" i="3" a="1"/>
  <c r="A1413" i="3" s="1"/>
  <c r="B1413" i="3" a="1"/>
  <c r="B1413" i="3" s="1"/>
  <c r="D1412" i="2"/>
  <c r="A1414" i="2" a="1"/>
  <c r="A1414" i="2" s="1"/>
  <c r="B1414" i="2" a="1"/>
  <c r="B1414" i="2" s="1"/>
  <c r="C1416" i="2"/>
  <c r="F1415" i="2"/>
  <c r="H1413" i="2" a="1"/>
  <c r="H1413" i="2" s="1"/>
  <c r="I1413" i="2" a="1"/>
  <c r="I1413" i="2" s="1"/>
  <c r="K1413" i="2" a="1"/>
  <c r="K1413" i="2" s="1"/>
  <c r="J1413" i="2" a="1"/>
  <c r="J1413" i="2" s="1"/>
  <c r="D1413" i="2" a="1"/>
  <c r="I1414" i="3" l="1" a="1"/>
  <c r="I1414" i="3" s="1"/>
  <c r="H1414" i="3" a="1"/>
  <c r="H1414" i="3" s="1"/>
  <c r="K1414" i="3" a="1"/>
  <c r="K1414" i="3" s="1"/>
  <c r="C1416" i="3"/>
  <c r="G1415" i="3" a="1"/>
  <c r="G1415" i="3" s="1"/>
  <c r="L1415" i="3"/>
  <c r="M1415" i="3"/>
  <c r="J1415" i="3" a="1"/>
  <c r="J1415" i="3" s="1"/>
  <c r="A1414" i="3" a="1"/>
  <c r="A1414" i="3" s="1"/>
  <c r="B1414" i="3" a="1"/>
  <c r="B1414" i="3" s="1"/>
  <c r="D1413" i="2"/>
  <c r="H1414" i="2" a="1"/>
  <c r="H1414" i="2" s="1"/>
  <c r="I1414" i="2" a="1"/>
  <c r="I1414" i="2" s="1"/>
  <c r="K1414" i="2" a="1"/>
  <c r="K1414" i="2" s="1"/>
  <c r="J1414" i="2" a="1"/>
  <c r="J1414" i="2" s="1"/>
  <c r="A1415" i="2" a="1"/>
  <c r="A1415" i="2" s="1"/>
  <c r="B1415" i="2" a="1"/>
  <c r="B1415" i="2" s="1"/>
  <c r="C1417" i="2"/>
  <c r="F1416" i="2"/>
  <c r="D1414" i="2" a="1"/>
  <c r="H1415" i="3" l="1" a="1"/>
  <c r="H1415" i="3" s="1"/>
  <c r="K1415" i="3" a="1"/>
  <c r="K1415" i="3" s="1"/>
  <c r="I1415" i="3" a="1"/>
  <c r="I1415" i="3" s="1"/>
  <c r="C1417" i="3"/>
  <c r="M1416" i="3"/>
  <c r="L1416" i="3"/>
  <c r="F1416" i="3"/>
  <c r="F1417" i="3" s="1"/>
  <c r="A1415" i="3" a="1"/>
  <c r="A1415" i="3" s="1"/>
  <c r="B1415" i="3" a="1"/>
  <c r="B1415" i="3" s="1"/>
  <c r="D1414" i="2"/>
  <c r="B1416" i="2" a="1"/>
  <c r="B1416" i="2" s="1"/>
  <c r="A1416" i="2" a="1"/>
  <c r="A1416" i="2" s="1"/>
  <c r="C1418" i="2"/>
  <c r="F1417" i="2"/>
  <c r="J1415" i="2" a="1"/>
  <c r="J1415" i="2" s="1"/>
  <c r="H1415" i="2" a="1"/>
  <c r="H1415" i="2" s="1"/>
  <c r="I1415" i="2" a="1"/>
  <c r="I1415" i="2" s="1"/>
  <c r="K1415" i="2" a="1"/>
  <c r="K1415" i="2" s="1"/>
  <c r="D1415" i="2" a="1"/>
  <c r="G1416" i="3" l="1" a="1"/>
  <c r="G1416" i="3" s="1"/>
  <c r="C1418" i="3"/>
  <c r="G1417" i="3" a="1"/>
  <c r="G1417" i="3" s="1"/>
  <c r="J1417" i="3" a="1"/>
  <c r="J1417" i="3" s="1"/>
  <c r="L1417" i="3"/>
  <c r="M1417" i="3"/>
  <c r="A1416" i="3" a="1"/>
  <c r="A1416" i="3" s="1"/>
  <c r="B1416" i="3" a="1"/>
  <c r="B1416" i="3" s="1"/>
  <c r="D1415" i="2"/>
  <c r="A1417" i="2" a="1"/>
  <c r="A1417" i="2" s="1"/>
  <c r="B1417" i="2" a="1"/>
  <c r="B1417" i="2" s="1"/>
  <c r="C1419" i="2"/>
  <c r="F1418" i="2"/>
  <c r="I1416" i="2" a="1"/>
  <c r="I1416" i="2" s="1"/>
  <c r="K1416" i="2" a="1"/>
  <c r="K1416" i="2" s="1"/>
  <c r="H1416" i="2" a="1"/>
  <c r="H1416" i="2" s="1"/>
  <c r="J1416" i="2" a="1"/>
  <c r="J1416" i="2" s="1"/>
  <c r="D1416" i="2" a="1"/>
  <c r="C1419" i="3" l="1"/>
  <c r="G1418" i="3" a="1"/>
  <c r="G1418" i="3" s="1"/>
  <c r="J1418" i="3" a="1"/>
  <c r="J1418" i="3" s="1"/>
  <c r="L1418" i="3"/>
  <c r="M1418" i="3"/>
  <c r="K1417" i="3" a="1"/>
  <c r="K1417" i="3" s="1"/>
  <c r="I1417" i="3" a="1"/>
  <c r="I1417" i="3" s="1"/>
  <c r="H1417" i="3" a="1"/>
  <c r="H1417" i="3" s="1"/>
  <c r="H1416" i="3" a="1"/>
  <c r="H1416" i="3" s="1"/>
  <c r="K1416" i="3" a="1"/>
  <c r="K1416" i="3" s="1"/>
  <c r="I1416" i="3" a="1"/>
  <c r="I1416" i="3" s="1"/>
  <c r="J1416" i="3" a="1"/>
  <c r="J1416" i="3" s="1"/>
  <c r="F1418" i="3"/>
  <c r="F1419" i="3" s="1"/>
  <c r="B1417" i="3" a="1"/>
  <c r="B1417" i="3" s="1"/>
  <c r="A1417" i="3" a="1"/>
  <c r="A1417" i="3" s="1"/>
  <c r="D1416" i="2"/>
  <c r="A1418" i="2" a="1"/>
  <c r="A1418" i="2" s="1"/>
  <c r="B1418" i="2" a="1"/>
  <c r="B1418" i="2" s="1"/>
  <c r="C1420" i="2"/>
  <c r="F1419" i="2"/>
  <c r="H1417" i="2" a="1"/>
  <c r="H1417" i="2" s="1"/>
  <c r="I1417" i="2" a="1"/>
  <c r="I1417" i="2" s="1"/>
  <c r="K1417" i="2" a="1"/>
  <c r="K1417" i="2" s="1"/>
  <c r="J1417" i="2" a="1"/>
  <c r="J1417" i="2" s="1"/>
  <c r="D1417" i="2" a="1"/>
  <c r="H1418" i="3" l="1" a="1"/>
  <c r="H1418" i="3" s="1"/>
  <c r="I1418" i="3" a="1"/>
  <c r="I1418" i="3" s="1"/>
  <c r="K1418" i="3" a="1"/>
  <c r="K1418" i="3" s="1"/>
  <c r="C1420" i="3"/>
  <c r="G1419" i="3" a="1"/>
  <c r="G1419" i="3" s="1"/>
  <c r="L1419" i="3"/>
  <c r="M1419" i="3"/>
  <c r="J1419" i="3" a="1"/>
  <c r="J1419" i="3" s="1"/>
  <c r="A1418" i="3" a="1"/>
  <c r="A1418" i="3" s="1"/>
  <c r="B1418" i="3" a="1"/>
  <c r="B1418" i="3" s="1"/>
  <c r="D1417" i="2"/>
  <c r="C1421" i="2"/>
  <c r="F1420" i="2"/>
  <c r="H1418" i="2" a="1"/>
  <c r="H1418" i="2" s="1"/>
  <c r="K1418" i="2" a="1"/>
  <c r="K1418" i="2" s="1"/>
  <c r="J1418" i="2" a="1"/>
  <c r="J1418" i="2" s="1"/>
  <c r="I1418" i="2" a="1"/>
  <c r="I1418" i="2" s="1"/>
  <c r="A1419" i="2" a="1"/>
  <c r="A1419" i="2" s="1"/>
  <c r="B1419" i="2" a="1"/>
  <c r="B1419" i="2" s="1"/>
  <c r="D1418" i="2" a="1"/>
  <c r="H1419" i="3" l="1" a="1"/>
  <c r="H1419" i="3" s="1"/>
  <c r="I1419" i="3" a="1"/>
  <c r="I1419" i="3" s="1"/>
  <c r="K1419" i="3" a="1"/>
  <c r="K1419" i="3" s="1"/>
  <c r="C1421" i="3"/>
  <c r="L1420" i="3"/>
  <c r="M1420" i="3"/>
  <c r="F1420" i="3"/>
  <c r="F1421" i="3" s="1"/>
  <c r="A1419" i="3" a="1"/>
  <c r="A1419" i="3" s="1"/>
  <c r="B1419" i="3" a="1"/>
  <c r="B1419" i="3" s="1"/>
  <c r="D1418" i="2"/>
  <c r="A1420" i="2" a="1"/>
  <c r="A1420" i="2" s="1"/>
  <c r="B1420" i="2" a="1"/>
  <c r="B1420" i="2" s="1"/>
  <c r="K1419" i="2" a="1"/>
  <c r="K1419" i="2" s="1"/>
  <c r="H1419" i="2" a="1"/>
  <c r="H1419" i="2" s="1"/>
  <c r="I1419" i="2" a="1"/>
  <c r="I1419" i="2" s="1"/>
  <c r="J1419" i="2" a="1"/>
  <c r="J1419" i="2" s="1"/>
  <c r="C1422" i="2"/>
  <c r="F1421" i="2"/>
  <c r="D1419" i="2" a="1"/>
  <c r="G1420" i="3" l="1" a="1"/>
  <c r="G1420" i="3" s="1"/>
  <c r="C1422" i="3"/>
  <c r="G1421" i="3" a="1"/>
  <c r="G1421" i="3" s="1"/>
  <c r="M1421" i="3"/>
  <c r="L1421" i="3"/>
  <c r="J1421" i="3" a="1"/>
  <c r="J1421" i="3" s="1"/>
  <c r="A1420" i="3" a="1"/>
  <c r="A1420" i="3" s="1"/>
  <c r="B1420" i="3" a="1"/>
  <c r="B1420" i="3" s="1"/>
  <c r="D1419" i="2"/>
  <c r="A1421" i="2" a="1"/>
  <c r="A1421" i="2" s="1"/>
  <c r="B1421" i="2" a="1"/>
  <c r="B1421" i="2" s="1"/>
  <c r="K1420" i="2" a="1"/>
  <c r="K1420" i="2" s="1"/>
  <c r="J1420" i="2" a="1"/>
  <c r="J1420" i="2" s="1"/>
  <c r="H1420" i="2" a="1"/>
  <c r="H1420" i="2" s="1"/>
  <c r="I1420" i="2" a="1"/>
  <c r="I1420" i="2" s="1"/>
  <c r="C1423" i="2"/>
  <c r="F1422" i="2"/>
  <c r="D1420" i="2" a="1"/>
  <c r="I1420" i="3" l="1" a="1"/>
  <c r="I1420" i="3" s="1"/>
  <c r="K1420" i="3" a="1"/>
  <c r="K1420" i="3" s="1"/>
  <c r="H1420" i="3" a="1"/>
  <c r="H1420" i="3" s="1"/>
  <c r="J1420" i="3" a="1"/>
  <c r="J1420" i="3" s="1"/>
  <c r="K1421" i="3" a="1"/>
  <c r="K1421" i="3" s="1"/>
  <c r="H1421" i="3" a="1"/>
  <c r="H1421" i="3" s="1"/>
  <c r="I1421" i="3" a="1"/>
  <c r="I1421" i="3" s="1"/>
  <c r="C1423" i="3"/>
  <c r="G1422" i="3" a="1"/>
  <c r="G1422" i="3" s="1"/>
  <c r="J1422" i="3" s="1" a="1"/>
  <c r="J1422" i="3" s="1"/>
  <c r="L1422" i="3"/>
  <c r="M1422" i="3"/>
  <c r="F1422" i="3"/>
  <c r="A1421" i="3" a="1"/>
  <c r="A1421" i="3" s="1"/>
  <c r="B1421" i="3" a="1"/>
  <c r="B1421" i="3" s="1"/>
  <c r="D1420" i="2"/>
  <c r="H1421" i="2" a="1"/>
  <c r="H1421" i="2" s="1"/>
  <c r="J1421" i="2" a="1"/>
  <c r="J1421" i="2" s="1"/>
  <c r="I1421" i="2" a="1"/>
  <c r="I1421" i="2" s="1"/>
  <c r="K1421" i="2" a="1"/>
  <c r="K1421" i="2" s="1"/>
  <c r="C1424" i="2"/>
  <c r="F1423" i="2"/>
  <c r="A1422" i="2" a="1"/>
  <c r="A1422" i="2" s="1"/>
  <c r="B1422" i="2" a="1"/>
  <c r="B1422" i="2" s="1"/>
  <c r="D1421" i="2" a="1"/>
  <c r="K1422" i="3" l="1" a="1"/>
  <c r="K1422" i="3" s="1"/>
  <c r="H1422" i="3" a="1"/>
  <c r="H1422" i="3" s="1"/>
  <c r="I1422" i="3" a="1"/>
  <c r="I1422" i="3" s="1"/>
  <c r="C1424" i="3"/>
  <c r="L1423" i="3"/>
  <c r="M1423" i="3"/>
  <c r="F1423" i="3"/>
  <c r="F1424" i="3" s="1"/>
  <c r="B1422" i="3" a="1"/>
  <c r="B1422" i="3" s="1"/>
  <c r="A1422" i="3" a="1"/>
  <c r="A1422" i="3" s="1"/>
  <c r="D1421" i="2"/>
  <c r="C1425" i="2"/>
  <c r="F1424" i="2"/>
  <c r="J1422" i="2" a="1"/>
  <c r="J1422" i="2" s="1"/>
  <c r="I1422" i="2" a="1"/>
  <c r="I1422" i="2" s="1"/>
  <c r="K1422" i="2" a="1"/>
  <c r="K1422" i="2" s="1"/>
  <c r="H1422" i="2" a="1"/>
  <c r="H1422" i="2" s="1"/>
  <c r="A1423" i="2" a="1"/>
  <c r="A1423" i="2" s="1"/>
  <c r="B1423" i="2" a="1"/>
  <c r="B1423" i="2" s="1"/>
  <c r="D1422" i="2" a="1"/>
  <c r="C1425" i="3" l="1"/>
  <c r="G1424" i="3" a="1"/>
  <c r="G1424" i="3" s="1"/>
  <c r="J1424" i="3" s="1" a="1"/>
  <c r="J1424" i="3" s="1"/>
  <c r="L1424" i="3"/>
  <c r="M1424" i="3"/>
  <c r="G1423" i="3" a="1"/>
  <c r="G1423" i="3" s="1"/>
  <c r="A1423" i="3" a="1"/>
  <c r="A1423" i="3" s="1"/>
  <c r="B1423" i="3" a="1"/>
  <c r="B1423" i="3" s="1"/>
  <c r="D1422" i="2"/>
  <c r="B1424" i="2" a="1"/>
  <c r="B1424" i="2" s="1"/>
  <c r="A1424" i="2" a="1"/>
  <c r="A1424" i="2" s="1"/>
  <c r="K1423" i="2" a="1"/>
  <c r="K1423" i="2" s="1"/>
  <c r="J1423" i="2" a="1"/>
  <c r="J1423" i="2" s="1"/>
  <c r="H1423" i="2" a="1"/>
  <c r="H1423" i="2" s="1"/>
  <c r="I1423" i="2" a="1"/>
  <c r="I1423" i="2" s="1"/>
  <c r="C1426" i="2"/>
  <c r="F1425" i="2"/>
  <c r="D1423" i="2" a="1"/>
  <c r="H1423" i="3" l="1" a="1"/>
  <c r="H1423" i="3" s="1"/>
  <c r="I1423" i="3" a="1"/>
  <c r="I1423" i="3" s="1"/>
  <c r="K1423" i="3" a="1"/>
  <c r="K1423" i="3" s="1"/>
  <c r="J1423" i="3" a="1"/>
  <c r="J1423" i="3" s="1"/>
  <c r="K1424" i="3" a="1"/>
  <c r="K1424" i="3" s="1"/>
  <c r="H1424" i="3" a="1"/>
  <c r="H1424" i="3" s="1"/>
  <c r="I1424" i="3" a="1"/>
  <c r="I1424" i="3" s="1"/>
  <c r="C1426" i="3"/>
  <c r="G1425" i="3" a="1"/>
  <c r="G1425" i="3" s="1"/>
  <c r="L1425" i="3"/>
  <c r="M1425" i="3"/>
  <c r="J1425" i="3" a="1"/>
  <c r="J1425" i="3" s="1"/>
  <c r="F1425" i="3"/>
  <c r="A1424" i="3" a="1"/>
  <c r="A1424" i="3" s="1"/>
  <c r="B1424" i="3" a="1"/>
  <c r="B1424" i="3" s="1"/>
  <c r="D1423" i="2"/>
  <c r="B1425" i="2" a="1"/>
  <c r="B1425" i="2" s="1"/>
  <c r="A1425" i="2" a="1"/>
  <c r="A1425" i="2" s="1"/>
  <c r="C1427" i="2"/>
  <c r="F1426" i="2"/>
  <c r="I1424" i="2" a="1"/>
  <c r="I1424" i="2" s="1"/>
  <c r="J1424" i="2" a="1"/>
  <c r="J1424" i="2" s="1"/>
  <c r="H1424" i="2" a="1"/>
  <c r="H1424" i="2" s="1"/>
  <c r="K1424" i="2" a="1"/>
  <c r="K1424" i="2" s="1"/>
  <c r="D1424" i="2" a="1"/>
  <c r="K1425" i="3" l="1" a="1"/>
  <c r="K1425" i="3" s="1"/>
  <c r="H1425" i="3" a="1"/>
  <c r="H1425" i="3" s="1"/>
  <c r="I1425" i="3" a="1"/>
  <c r="I1425" i="3" s="1"/>
  <c r="C1427" i="3"/>
  <c r="M1426" i="3"/>
  <c r="L1426" i="3"/>
  <c r="F1426" i="3"/>
  <c r="F1427" i="3" s="1"/>
  <c r="A1425" i="3" a="1"/>
  <c r="A1425" i="3" s="1"/>
  <c r="B1425" i="3" a="1"/>
  <c r="B1425" i="3" s="1"/>
  <c r="D1424" i="2"/>
  <c r="J1425" i="2" a="1"/>
  <c r="J1425" i="2" s="1"/>
  <c r="K1425" i="2" a="1"/>
  <c r="K1425" i="2" s="1"/>
  <c r="H1425" i="2" a="1"/>
  <c r="H1425" i="2" s="1"/>
  <c r="I1425" i="2" a="1"/>
  <c r="I1425" i="2" s="1"/>
  <c r="A1426" i="2" a="1"/>
  <c r="A1426" i="2" s="1"/>
  <c r="B1426" i="2" a="1"/>
  <c r="B1426" i="2" s="1"/>
  <c r="C1428" i="2"/>
  <c r="F1427" i="2"/>
  <c r="D1425" i="2" a="1"/>
  <c r="C1428" i="3" l="1"/>
  <c r="G1427" i="3" a="1"/>
  <c r="G1427" i="3" s="1"/>
  <c r="L1427" i="3"/>
  <c r="M1427" i="3"/>
  <c r="J1427" i="3" a="1"/>
  <c r="J1427" i="3" s="1"/>
  <c r="G1426" i="3" a="1"/>
  <c r="G1426" i="3" s="1"/>
  <c r="A1426" i="3" a="1"/>
  <c r="A1426" i="3" s="1"/>
  <c r="B1426" i="3" a="1"/>
  <c r="B1426" i="3" s="1"/>
  <c r="D1425" i="2"/>
  <c r="J1426" i="2" a="1"/>
  <c r="J1426" i="2" s="1"/>
  <c r="K1426" i="2" a="1"/>
  <c r="K1426" i="2" s="1"/>
  <c r="H1426" i="2" a="1"/>
  <c r="H1426" i="2" s="1"/>
  <c r="I1426" i="2" a="1"/>
  <c r="I1426" i="2" s="1"/>
  <c r="A1427" i="2" a="1"/>
  <c r="A1427" i="2" s="1"/>
  <c r="B1427" i="2" a="1"/>
  <c r="B1427" i="2" s="1"/>
  <c r="C1429" i="2"/>
  <c r="F1428" i="2"/>
  <c r="D1426" i="2" a="1"/>
  <c r="K1426" i="3" l="1" a="1"/>
  <c r="K1426" i="3" s="1"/>
  <c r="H1426" i="3" a="1"/>
  <c r="H1426" i="3" s="1"/>
  <c r="I1426" i="3" a="1"/>
  <c r="I1426" i="3" s="1"/>
  <c r="J1426" i="3" a="1"/>
  <c r="J1426" i="3" s="1"/>
  <c r="H1427" i="3" a="1"/>
  <c r="H1427" i="3" s="1"/>
  <c r="I1427" i="3" a="1"/>
  <c r="I1427" i="3" s="1"/>
  <c r="K1427" i="3" a="1"/>
  <c r="K1427" i="3" s="1"/>
  <c r="C1429" i="3"/>
  <c r="G1428" i="3" a="1"/>
  <c r="G1428" i="3" s="1"/>
  <c r="J1428" i="3" a="1"/>
  <c r="J1428" i="3" s="1"/>
  <c r="L1428" i="3"/>
  <c r="M1428" i="3"/>
  <c r="F1428" i="3"/>
  <c r="A1427" i="3" a="1"/>
  <c r="A1427" i="3" s="1"/>
  <c r="B1427" i="3" a="1"/>
  <c r="B1427" i="3" s="1"/>
  <c r="D1426" i="2"/>
  <c r="B1428" i="2" a="1"/>
  <c r="B1428" i="2" s="1"/>
  <c r="A1428" i="2" a="1"/>
  <c r="A1428" i="2" s="1"/>
  <c r="C1430" i="2"/>
  <c r="F1429" i="2"/>
  <c r="I1427" i="2" a="1"/>
  <c r="I1427" i="2" s="1"/>
  <c r="J1427" i="2" a="1"/>
  <c r="J1427" i="2" s="1"/>
  <c r="H1427" i="2" a="1"/>
  <c r="H1427" i="2" s="1"/>
  <c r="K1427" i="2" a="1"/>
  <c r="K1427" i="2" s="1"/>
  <c r="D1427" i="2" a="1"/>
  <c r="C1430" i="3" l="1"/>
  <c r="L1429" i="3"/>
  <c r="M1429" i="3"/>
  <c r="I1428" i="3" a="1"/>
  <c r="I1428" i="3" s="1"/>
  <c r="K1428" i="3" a="1"/>
  <c r="K1428" i="3" s="1"/>
  <c r="H1428" i="3" a="1"/>
  <c r="H1428" i="3" s="1"/>
  <c r="F1429" i="3"/>
  <c r="F1430" i="3" s="1"/>
  <c r="A1428" i="3" a="1"/>
  <c r="A1428" i="3" s="1"/>
  <c r="B1428" i="3" a="1"/>
  <c r="B1428" i="3" s="1"/>
  <c r="D1427" i="2"/>
  <c r="H1428" i="2" a="1"/>
  <c r="H1428" i="2" s="1"/>
  <c r="K1428" i="2" a="1"/>
  <c r="K1428" i="2" s="1"/>
  <c r="I1428" i="2" a="1"/>
  <c r="I1428" i="2" s="1"/>
  <c r="J1428" i="2" a="1"/>
  <c r="J1428" i="2" s="1"/>
  <c r="A1429" i="2" a="1"/>
  <c r="A1429" i="2" s="1"/>
  <c r="B1429" i="2" a="1"/>
  <c r="B1429" i="2" s="1"/>
  <c r="C1431" i="2"/>
  <c r="F1430" i="2"/>
  <c r="D1428" i="2" a="1"/>
  <c r="G1429" i="3" l="1" a="1"/>
  <c r="G1429" i="3" s="1"/>
  <c r="C1431" i="3"/>
  <c r="G1430" i="3" a="1"/>
  <c r="G1430" i="3" s="1"/>
  <c r="J1430" i="3" s="1" a="1"/>
  <c r="J1430" i="3" s="1"/>
  <c r="L1430" i="3"/>
  <c r="M1430" i="3"/>
  <c r="B1429" i="3" a="1"/>
  <c r="B1429" i="3" s="1"/>
  <c r="A1429" i="3" a="1"/>
  <c r="A1429" i="3" s="1"/>
  <c r="D1428" i="2"/>
  <c r="C1432" i="2"/>
  <c r="F1431" i="2"/>
  <c r="J1429" i="2" a="1"/>
  <c r="J1429" i="2" s="1"/>
  <c r="H1429" i="2" a="1"/>
  <c r="H1429" i="2" s="1"/>
  <c r="I1429" i="2" a="1"/>
  <c r="I1429" i="2" s="1"/>
  <c r="K1429" i="2" a="1"/>
  <c r="K1429" i="2" s="1"/>
  <c r="A1430" i="2" a="1"/>
  <c r="A1430" i="2" s="1"/>
  <c r="B1430" i="2" a="1"/>
  <c r="B1430" i="2" s="1"/>
  <c r="D1429" i="2" a="1"/>
  <c r="H1429" i="3" l="1" a="1"/>
  <c r="H1429" i="3" s="1"/>
  <c r="I1429" i="3" a="1"/>
  <c r="I1429" i="3" s="1"/>
  <c r="K1429" i="3" a="1"/>
  <c r="K1429" i="3" s="1"/>
  <c r="J1429" i="3" a="1"/>
  <c r="J1429" i="3" s="1"/>
  <c r="H1430" i="3" a="1"/>
  <c r="H1430" i="3" s="1"/>
  <c r="K1430" i="3" a="1"/>
  <c r="K1430" i="3" s="1"/>
  <c r="I1430" i="3" a="1"/>
  <c r="I1430" i="3" s="1"/>
  <c r="C1432" i="3"/>
  <c r="G1431" i="3" a="1"/>
  <c r="G1431" i="3" s="1"/>
  <c r="M1431" i="3"/>
  <c r="L1431" i="3"/>
  <c r="J1431" i="3" a="1"/>
  <c r="J1431" i="3" s="1"/>
  <c r="F1431" i="3"/>
  <c r="A1430" i="3" a="1"/>
  <c r="A1430" i="3" s="1"/>
  <c r="B1430" i="3" a="1"/>
  <c r="B1430" i="3" s="1"/>
  <c r="D1429" i="2"/>
  <c r="A1431" i="2" a="1"/>
  <c r="A1431" i="2" s="1"/>
  <c r="B1431" i="2" a="1"/>
  <c r="B1431" i="2" s="1"/>
  <c r="I1430" i="2" a="1"/>
  <c r="I1430" i="2" s="1"/>
  <c r="H1430" i="2" a="1"/>
  <c r="H1430" i="2" s="1"/>
  <c r="J1430" i="2" a="1"/>
  <c r="J1430" i="2" s="1"/>
  <c r="K1430" i="2" a="1"/>
  <c r="K1430" i="2" s="1"/>
  <c r="C1433" i="2"/>
  <c r="F1432" i="2"/>
  <c r="D1430" i="2" a="1"/>
  <c r="C1433" i="3" l="1"/>
  <c r="L1432" i="3"/>
  <c r="M1432" i="3"/>
  <c r="H1431" i="3" a="1"/>
  <c r="H1431" i="3" s="1"/>
  <c r="I1431" i="3" a="1"/>
  <c r="I1431" i="3" s="1"/>
  <c r="K1431" i="3" a="1"/>
  <c r="K1431" i="3" s="1"/>
  <c r="F1432" i="3"/>
  <c r="F1433" i="3" s="1"/>
  <c r="A1431" i="3" a="1"/>
  <c r="A1431" i="3" s="1"/>
  <c r="B1431" i="3" a="1"/>
  <c r="B1431" i="3" s="1"/>
  <c r="D1430" i="2"/>
  <c r="J1431" i="2" a="1"/>
  <c r="J1431" i="2" s="1"/>
  <c r="K1431" i="2" a="1"/>
  <c r="K1431" i="2" s="1"/>
  <c r="H1431" i="2" a="1"/>
  <c r="H1431" i="2" s="1"/>
  <c r="I1431" i="2" a="1"/>
  <c r="I1431" i="2" s="1"/>
  <c r="B1432" i="2" a="1"/>
  <c r="B1432" i="2" s="1"/>
  <c r="A1432" i="2" a="1"/>
  <c r="A1432" i="2" s="1"/>
  <c r="C1434" i="2"/>
  <c r="F1433" i="2"/>
  <c r="D1431" i="2" a="1"/>
  <c r="G1432" i="3" l="1" a="1"/>
  <c r="G1432" i="3" s="1"/>
  <c r="C1434" i="3"/>
  <c r="G1433" i="3" a="1"/>
  <c r="G1433" i="3" s="1"/>
  <c r="L1433" i="3"/>
  <c r="M1433" i="3"/>
  <c r="J1433" i="3" a="1"/>
  <c r="J1433" i="3" s="1"/>
  <c r="A1432" i="3" a="1"/>
  <c r="A1432" i="3" s="1"/>
  <c r="B1432" i="3" a="1"/>
  <c r="B1432" i="3" s="1"/>
  <c r="D1431" i="2"/>
  <c r="C1435" i="2"/>
  <c r="F1434" i="2"/>
  <c r="B1433" i="2" a="1"/>
  <c r="B1433" i="2" s="1"/>
  <c r="A1433" i="2" a="1"/>
  <c r="A1433" i="2" s="1"/>
  <c r="I1432" i="2" a="1"/>
  <c r="I1432" i="2" s="1"/>
  <c r="H1432" i="2" a="1"/>
  <c r="H1432" i="2" s="1"/>
  <c r="K1432" i="2" a="1"/>
  <c r="K1432" i="2" s="1"/>
  <c r="J1432" i="2" a="1"/>
  <c r="J1432" i="2" s="1"/>
  <c r="D1432" i="2" a="1"/>
  <c r="C1435" i="3" l="1"/>
  <c r="G1434" i="3" a="1"/>
  <c r="G1434" i="3" s="1"/>
  <c r="J1434" i="3" a="1"/>
  <c r="J1434" i="3" s="1"/>
  <c r="L1434" i="3"/>
  <c r="M1434" i="3"/>
  <c r="H1433" i="3" a="1"/>
  <c r="H1433" i="3" s="1"/>
  <c r="I1433" i="3" a="1"/>
  <c r="I1433" i="3" s="1"/>
  <c r="K1433" i="3" a="1"/>
  <c r="K1433" i="3" s="1"/>
  <c r="H1432" i="3" a="1"/>
  <c r="H1432" i="3" s="1"/>
  <c r="I1432" i="3" a="1"/>
  <c r="I1432" i="3" s="1"/>
  <c r="K1432" i="3" a="1"/>
  <c r="K1432" i="3" s="1"/>
  <c r="J1432" i="3" a="1"/>
  <c r="J1432" i="3" s="1"/>
  <c r="F1434" i="3"/>
  <c r="F1435" i="3" s="1"/>
  <c r="A1433" i="3" a="1"/>
  <c r="A1433" i="3" s="1"/>
  <c r="B1433" i="3" a="1"/>
  <c r="B1433" i="3" s="1"/>
  <c r="D1432" i="2"/>
  <c r="H1433" i="2" a="1"/>
  <c r="H1433" i="2" s="1"/>
  <c r="J1433" i="2" a="1"/>
  <c r="J1433" i="2" s="1"/>
  <c r="I1433" i="2" a="1"/>
  <c r="I1433" i="2" s="1"/>
  <c r="K1433" i="2" a="1"/>
  <c r="K1433" i="2" s="1"/>
  <c r="A1434" i="2" a="1"/>
  <c r="A1434" i="2" s="1"/>
  <c r="B1434" i="2" a="1"/>
  <c r="B1434" i="2" s="1"/>
  <c r="C1436" i="2"/>
  <c r="F1435" i="2"/>
  <c r="D1433" i="2" a="1"/>
  <c r="H1434" i="3" l="1" a="1"/>
  <c r="H1434" i="3" s="1"/>
  <c r="I1434" i="3" a="1"/>
  <c r="I1434" i="3" s="1"/>
  <c r="K1434" i="3" a="1"/>
  <c r="K1434" i="3" s="1"/>
  <c r="C1436" i="3"/>
  <c r="F1436" i="3" s="1"/>
  <c r="G1435" i="3" a="1"/>
  <c r="G1435" i="3" s="1"/>
  <c r="L1435" i="3"/>
  <c r="M1435" i="3"/>
  <c r="J1435" i="3" a="1"/>
  <c r="J1435" i="3" s="1"/>
  <c r="B1434" i="3" a="1"/>
  <c r="B1434" i="3" s="1"/>
  <c r="A1434" i="3" a="1"/>
  <c r="A1434" i="3" s="1"/>
  <c r="D1433" i="2"/>
  <c r="C1437" i="2"/>
  <c r="F1436" i="2"/>
  <c r="A1435" i="2" a="1"/>
  <c r="A1435" i="2" s="1"/>
  <c r="B1435" i="2" a="1"/>
  <c r="B1435" i="2" s="1"/>
  <c r="I1434" i="2" a="1"/>
  <c r="I1434" i="2" s="1"/>
  <c r="K1434" i="2" a="1"/>
  <c r="K1434" i="2" s="1"/>
  <c r="H1434" i="2" a="1"/>
  <c r="H1434" i="2" s="1"/>
  <c r="J1434" i="2" a="1"/>
  <c r="J1434" i="2" s="1"/>
  <c r="D1434" i="2" a="1"/>
  <c r="K1435" i="3" l="1" a="1"/>
  <c r="K1435" i="3" s="1"/>
  <c r="H1435" i="3" a="1"/>
  <c r="H1435" i="3" s="1"/>
  <c r="I1435" i="3" a="1"/>
  <c r="I1435" i="3" s="1"/>
  <c r="C1437" i="3"/>
  <c r="G1436" i="3" a="1"/>
  <c r="G1436" i="3" s="1"/>
  <c r="L1436" i="3"/>
  <c r="M1436" i="3"/>
  <c r="J1436" i="3" a="1"/>
  <c r="J1436" i="3" s="1"/>
  <c r="A1435" i="3" a="1"/>
  <c r="A1435" i="3" s="1"/>
  <c r="B1435" i="3" a="1"/>
  <c r="B1435" i="3" s="1"/>
  <c r="D1434" i="2"/>
  <c r="K1435" i="2" a="1"/>
  <c r="K1435" i="2" s="1"/>
  <c r="I1435" i="2" a="1"/>
  <c r="I1435" i="2" s="1"/>
  <c r="J1435" i="2" a="1"/>
  <c r="J1435" i="2" s="1"/>
  <c r="H1435" i="2" a="1"/>
  <c r="H1435" i="2" s="1"/>
  <c r="A1436" i="2" a="1"/>
  <c r="A1436" i="2" s="1"/>
  <c r="B1436" i="2" a="1"/>
  <c r="B1436" i="2" s="1"/>
  <c r="C1438" i="2"/>
  <c r="F1437" i="2"/>
  <c r="D1435" i="2" a="1"/>
  <c r="H1436" i="3" l="1" a="1"/>
  <c r="H1436" i="3" s="1"/>
  <c r="I1436" i="3" a="1"/>
  <c r="I1436" i="3" s="1"/>
  <c r="K1436" i="3" a="1"/>
  <c r="K1436" i="3" s="1"/>
  <c r="C1438" i="3"/>
  <c r="L1437" i="3"/>
  <c r="M1437" i="3"/>
  <c r="F1437" i="3"/>
  <c r="F1438" i="3" s="1"/>
  <c r="A1436" i="3" a="1"/>
  <c r="A1436" i="3" s="1"/>
  <c r="B1436" i="3" a="1"/>
  <c r="B1436" i="3" s="1"/>
  <c r="D1435" i="2"/>
  <c r="H1436" i="2" a="1"/>
  <c r="H1436" i="2" s="1"/>
  <c r="J1436" i="2" a="1"/>
  <c r="J1436" i="2" s="1"/>
  <c r="K1436" i="2" a="1"/>
  <c r="K1436" i="2" s="1"/>
  <c r="I1436" i="2" a="1"/>
  <c r="I1436" i="2" s="1"/>
  <c r="C1439" i="2"/>
  <c r="F1438" i="2"/>
  <c r="B1437" i="2" a="1"/>
  <c r="B1437" i="2" s="1"/>
  <c r="A1437" i="2" a="1"/>
  <c r="A1437" i="2" s="1"/>
  <c r="D1436" i="2" a="1"/>
  <c r="G1437" i="3" l="1" a="1"/>
  <c r="G1437" i="3" s="1"/>
  <c r="C1439" i="3"/>
  <c r="G1438" i="3" a="1"/>
  <c r="G1438" i="3" s="1"/>
  <c r="J1438" i="3" a="1"/>
  <c r="J1438" i="3" s="1"/>
  <c r="L1438" i="3"/>
  <c r="M1438" i="3"/>
  <c r="A1437" i="3" a="1"/>
  <c r="A1437" i="3" s="1"/>
  <c r="B1437" i="3" a="1"/>
  <c r="B1437" i="3" s="1"/>
  <c r="D1436" i="2"/>
  <c r="A1438" i="2" a="1"/>
  <c r="A1438" i="2" s="1"/>
  <c r="B1438" i="2" a="1"/>
  <c r="B1438" i="2" s="1"/>
  <c r="H1437" i="2" a="1"/>
  <c r="H1437" i="2" s="1"/>
  <c r="I1437" i="2" a="1"/>
  <c r="I1437" i="2" s="1"/>
  <c r="K1437" i="2" a="1"/>
  <c r="K1437" i="2" s="1"/>
  <c r="J1437" i="2" a="1"/>
  <c r="J1437" i="2" s="1"/>
  <c r="C1440" i="2"/>
  <c r="F1439" i="2"/>
  <c r="D1437" i="2" a="1"/>
  <c r="C1440" i="3" l="1"/>
  <c r="L1439" i="3"/>
  <c r="M1439" i="3"/>
  <c r="F1439" i="3"/>
  <c r="F1440" i="3" s="1"/>
  <c r="H1438" i="3" a="1"/>
  <c r="H1438" i="3" s="1"/>
  <c r="I1438" i="3" a="1"/>
  <c r="I1438" i="3" s="1"/>
  <c r="K1438" i="3" a="1"/>
  <c r="K1438" i="3" s="1"/>
  <c r="H1437" i="3" a="1"/>
  <c r="H1437" i="3" s="1"/>
  <c r="I1437" i="3" a="1"/>
  <c r="I1437" i="3" s="1"/>
  <c r="K1437" i="3" a="1"/>
  <c r="K1437" i="3" s="1"/>
  <c r="J1437" i="3" a="1"/>
  <c r="J1437" i="3" s="1"/>
  <c r="A1438" i="3" a="1"/>
  <c r="A1438" i="3" s="1"/>
  <c r="B1438" i="3" a="1"/>
  <c r="B1438" i="3" s="1"/>
  <c r="D1437" i="2"/>
  <c r="A1439" i="2" a="1"/>
  <c r="A1439" i="2" s="1"/>
  <c r="B1439" i="2" a="1"/>
  <c r="B1439" i="2" s="1"/>
  <c r="I1438" i="2" a="1"/>
  <c r="I1438" i="2" s="1"/>
  <c r="H1438" i="2" a="1"/>
  <c r="H1438" i="2" s="1"/>
  <c r="K1438" i="2" a="1"/>
  <c r="K1438" i="2" s="1"/>
  <c r="J1438" i="2" a="1"/>
  <c r="J1438" i="2" s="1"/>
  <c r="C1441" i="2"/>
  <c r="F1440" i="2"/>
  <c r="D1438" i="2" a="1"/>
  <c r="G1439" i="3" l="1" a="1"/>
  <c r="G1439" i="3" s="1"/>
  <c r="C1441" i="3"/>
  <c r="G1440" i="3" a="1"/>
  <c r="G1440" i="3" s="1"/>
  <c r="M1440" i="3"/>
  <c r="J1440" i="3" a="1"/>
  <c r="J1440" i="3" s="1"/>
  <c r="L1440" i="3"/>
  <c r="A1439" i="3" a="1"/>
  <c r="A1439" i="3" s="1"/>
  <c r="B1439" i="3" a="1"/>
  <c r="B1439" i="3" s="1"/>
  <c r="D1438" i="2"/>
  <c r="I1439" i="2" a="1"/>
  <c r="I1439" i="2" s="1"/>
  <c r="K1439" i="2" a="1"/>
  <c r="K1439" i="2" s="1"/>
  <c r="H1439" i="2" a="1"/>
  <c r="H1439" i="2" s="1"/>
  <c r="J1439" i="2" a="1"/>
  <c r="J1439" i="2" s="1"/>
  <c r="C1442" i="2"/>
  <c r="F1441" i="2"/>
  <c r="B1440" i="2" a="1"/>
  <c r="B1440" i="2" s="1"/>
  <c r="A1440" i="2" a="1"/>
  <c r="A1440" i="2" s="1"/>
  <c r="D1439" i="2" a="1"/>
  <c r="C1442" i="3" l="1"/>
  <c r="G1441" i="3" a="1"/>
  <c r="G1441" i="3" s="1"/>
  <c r="L1441" i="3"/>
  <c r="M1441" i="3"/>
  <c r="J1441" i="3" a="1"/>
  <c r="J1441" i="3" s="1"/>
  <c r="I1440" i="3" a="1"/>
  <c r="I1440" i="3" s="1"/>
  <c r="K1440" i="3" a="1"/>
  <c r="K1440" i="3" s="1"/>
  <c r="H1440" i="3" a="1"/>
  <c r="H1440" i="3" s="1"/>
  <c r="H1439" i="3" a="1"/>
  <c r="H1439" i="3" s="1"/>
  <c r="I1439" i="3" a="1"/>
  <c r="I1439" i="3" s="1"/>
  <c r="K1439" i="3" a="1"/>
  <c r="K1439" i="3" s="1"/>
  <c r="J1439" i="3" a="1"/>
  <c r="J1439" i="3" s="1"/>
  <c r="F1441" i="3"/>
  <c r="F1442" i="3" s="1"/>
  <c r="A1440" i="3" a="1"/>
  <c r="A1440" i="3" s="1"/>
  <c r="B1440" i="3" a="1"/>
  <c r="B1440" i="3" s="1"/>
  <c r="D1439" i="2"/>
  <c r="K1440" i="2" a="1"/>
  <c r="K1440" i="2" s="1"/>
  <c r="J1440" i="2" a="1"/>
  <c r="J1440" i="2" s="1"/>
  <c r="H1440" i="2" a="1"/>
  <c r="H1440" i="2" s="1"/>
  <c r="I1440" i="2" a="1"/>
  <c r="I1440" i="2" s="1"/>
  <c r="A1441" i="2" a="1"/>
  <c r="A1441" i="2" s="1"/>
  <c r="B1441" i="2" a="1"/>
  <c r="B1441" i="2" s="1"/>
  <c r="C1443" i="2"/>
  <c r="F1442" i="2"/>
  <c r="D1440" i="2" a="1"/>
  <c r="K1441" i="3" l="1" a="1"/>
  <c r="K1441" i="3" s="1"/>
  <c r="H1441" i="3" a="1"/>
  <c r="H1441" i="3" s="1"/>
  <c r="I1441" i="3" a="1"/>
  <c r="I1441" i="3" s="1"/>
  <c r="C1443" i="3"/>
  <c r="G1442" i="3" a="1"/>
  <c r="G1442" i="3" s="1"/>
  <c r="L1442" i="3"/>
  <c r="M1442" i="3"/>
  <c r="B1441" i="3" a="1"/>
  <c r="B1441" i="3" s="1"/>
  <c r="A1441" i="3" a="1"/>
  <c r="A1441" i="3" s="1"/>
  <c r="D1440" i="2"/>
  <c r="C1444" i="2"/>
  <c r="F1443" i="2"/>
  <c r="J1441" i="2" a="1"/>
  <c r="J1441" i="2" s="1"/>
  <c r="K1441" i="2" a="1"/>
  <c r="K1441" i="2" s="1"/>
  <c r="H1441" i="2" a="1"/>
  <c r="H1441" i="2" s="1"/>
  <c r="I1441" i="2" a="1"/>
  <c r="I1441" i="2" s="1"/>
  <c r="B1442" i="2" a="1"/>
  <c r="B1442" i="2" s="1"/>
  <c r="A1442" i="2" a="1"/>
  <c r="A1442" i="2" s="1"/>
  <c r="D1441" i="2" a="1"/>
  <c r="C1444" i="3" l="1"/>
  <c r="L1443" i="3"/>
  <c r="M1443" i="3"/>
  <c r="K1442" i="3" a="1"/>
  <c r="K1442" i="3" s="1"/>
  <c r="H1442" i="3" a="1"/>
  <c r="H1442" i="3" s="1"/>
  <c r="I1442" i="3" a="1"/>
  <c r="I1442" i="3" s="1"/>
  <c r="F1443" i="3"/>
  <c r="F1444" i="3" s="1"/>
  <c r="J1442" i="3" a="1"/>
  <c r="J1442" i="3" s="1"/>
  <c r="A1442" i="3" a="1"/>
  <c r="A1442" i="3" s="1"/>
  <c r="B1442" i="3" a="1"/>
  <c r="B1442" i="3" s="1"/>
  <c r="D1441" i="2"/>
  <c r="J1442" i="2" a="1"/>
  <c r="J1442" i="2" s="1"/>
  <c r="K1442" i="2" a="1"/>
  <c r="K1442" i="2" s="1"/>
  <c r="H1442" i="2" a="1"/>
  <c r="H1442" i="2" s="1"/>
  <c r="I1442" i="2" a="1"/>
  <c r="I1442" i="2" s="1"/>
  <c r="A1443" i="2" a="1"/>
  <c r="A1443" i="2" s="1"/>
  <c r="B1443" i="2" a="1"/>
  <c r="B1443" i="2" s="1"/>
  <c r="C1445" i="2"/>
  <c r="F1444" i="2"/>
  <c r="D1442" i="2" a="1"/>
  <c r="G1443" i="3" l="1" a="1"/>
  <c r="G1443" i="3" s="1"/>
  <c r="C1445" i="3"/>
  <c r="G1444" i="3" a="1"/>
  <c r="G1444" i="3" s="1"/>
  <c r="L1444" i="3"/>
  <c r="M1444" i="3"/>
  <c r="J1444" i="3" a="1"/>
  <c r="J1444" i="3" s="1"/>
  <c r="A1443" i="3" a="1"/>
  <c r="A1443" i="3" s="1"/>
  <c r="B1443" i="3" a="1"/>
  <c r="B1443" i="3" s="1"/>
  <c r="D1442" i="2"/>
  <c r="C1446" i="2"/>
  <c r="F1445" i="2"/>
  <c r="A1444" i="2" a="1"/>
  <c r="A1444" i="2" s="1"/>
  <c r="B1444" i="2" a="1"/>
  <c r="B1444" i="2" s="1"/>
  <c r="I1443" i="2" a="1"/>
  <c r="I1443" i="2" s="1"/>
  <c r="J1443" i="2" a="1"/>
  <c r="J1443" i="2" s="1"/>
  <c r="H1443" i="2" a="1"/>
  <c r="H1443" i="2" s="1"/>
  <c r="K1443" i="2" a="1"/>
  <c r="K1443" i="2" s="1"/>
  <c r="D1443" i="2" a="1"/>
  <c r="I1444" i="3" l="1" a="1"/>
  <c r="I1444" i="3" s="1"/>
  <c r="H1444" i="3" a="1"/>
  <c r="H1444" i="3" s="1"/>
  <c r="K1444" i="3" a="1"/>
  <c r="K1444" i="3" s="1"/>
  <c r="C1446" i="3"/>
  <c r="G1445" i="3" a="1"/>
  <c r="G1445" i="3" s="1"/>
  <c r="L1445" i="3"/>
  <c r="M1445" i="3"/>
  <c r="J1445" i="3" a="1"/>
  <c r="J1445" i="3" s="1"/>
  <c r="H1443" i="3" a="1"/>
  <c r="H1443" i="3" s="1"/>
  <c r="I1443" i="3" a="1"/>
  <c r="I1443" i="3" s="1"/>
  <c r="K1443" i="3" a="1"/>
  <c r="K1443" i="3" s="1"/>
  <c r="J1443" i="3" a="1"/>
  <c r="J1443" i="3" s="1"/>
  <c r="F1445" i="3"/>
  <c r="A1444" i="3" a="1"/>
  <c r="A1444" i="3" s="1"/>
  <c r="B1444" i="3" a="1"/>
  <c r="B1444" i="3" s="1"/>
  <c r="D1443" i="2"/>
  <c r="I1444" i="2" a="1"/>
  <c r="I1444" i="2" s="1"/>
  <c r="J1444" i="2" a="1"/>
  <c r="J1444" i="2" s="1"/>
  <c r="K1444" i="2" a="1"/>
  <c r="K1444" i="2" s="1"/>
  <c r="H1444" i="2" a="1"/>
  <c r="H1444" i="2" s="1"/>
  <c r="A1445" i="2" a="1"/>
  <c r="A1445" i="2" s="1"/>
  <c r="B1445" i="2" a="1"/>
  <c r="B1445" i="2" s="1"/>
  <c r="C1447" i="2"/>
  <c r="F1446" i="2"/>
  <c r="D1444" i="2" a="1"/>
  <c r="C1447" i="3" l="1"/>
  <c r="L1446" i="3"/>
  <c r="M1446" i="3"/>
  <c r="K1445" i="3" a="1"/>
  <c r="K1445" i="3" s="1"/>
  <c r="I1445" i="3" a="1"/>
  <c r="I1445" i="3" s="1"/>
  <c r="H1445" i="3" a="1"/>
  <c r="H1445" i="3" s="1"/>
  <c r="F1446" i="3"/>
  <c r="F1447" i="3" s="1"/>
  <c r="A1445" i="3" a="1"/>
  <c r="A1445" i="3" s="1"/>
  <c r="B1445" i="3" a="1"/>
  <c r="B1445" i="3" s="1"/>
  <c r="D1444" i="2"/>
  <c r="B1446" i="2" a="1"/>
  <c r="B1446" i="2" s="1"/>
  <c r="A1446" i="2" a="1"/>
  <c r="A1446" i="2" s="1"/>
  <c r="J1445" i="2" a="1"/>
  <c r="J1445" i="2" s="1"/>
  <c r="K1445" i="2" a="1"/>
  <c r="K1445" i="2" s="1"/>
  <c r="I1445" i="2" a="1"/>
  <c r="I1445" i="2" s="1"/>
  <c r="H1445" i="2" a="1"/>
  <c r="H1445" i="2" s="1"/>
  <c r="C1448" i="2"/>
  <c r="F1447" i="2"/>
  <c r="D1445" i="2" a="1"/>
  <c r="G1446" i="3" l="1" a="1"/>
  <c r="G1446" i="3" s="1"/>
  <c r="C1448" i="3"/>
  <c r="G1447" i="3" a="1"/>
  <c r="G1447" i="3" s="1"/>
  <c r="M1447" i="3"/>
  <c r="L1447" i="3"/>
  <c r="J1447" i="3" a="1"/>
  <c r="J1447" i="3" s="1"/>
  <c r="B1446" i="3" a="1"/>
  <c r="B1446" i="3" s="1"/>
  <c r="A1446" i="3" a="1"/>
  <c r="A1446" i="3" s="1"/>
  <c r="D1445" i="2"/>
  <c r="B1447" i="2" a="1"/>
  <c r="B1447" i="2" s="1"/>
  <c r="A1447" i="2" a="1"/>
  <c r="A1447" i="2" s="1"/>
  <c r="K1446" i="2" a="1"/>
  <c r="K1446" i="2" s="1"/>
  <c r="I1446" i="2" a="1"/>
  <c r="I1446" i="2" s="1"/>
  <c r="J1446" i="2" a="1"/>
  <c r="J1446" i="2" s="1"/>
  <c r="H1446" i="2" a="1"/>
  <c r="H1446" i="2" s="1"/>
  <c r="C1449" i="2"/>
  <c r="F1448" i="2"/>
  <c r="D1446" i="2" a="1"/>
  <c r="C1449" i="3" l="1"/>
  <c r="G1448" i="3" a="1"/>
  <c r="G1448" i="3" s="1"/>
  <c r="L1448" i="3"/>
  <c r="M1448" i="3"/>
  <c r="J1448" i="3" a="1"/>
  <c r="J1448" i="3" s="1"/>
  <c r="I1447" i="3" a="1"/>
  <c r="I1447" i="3" s="1"/>
  <c r="H1447" i="3" a="1"/>
  <c r="H1447" i="3" s="1"/>
  <c r="K1447" i="3" a="1"/>
  <c r="K1447" i="3" s="1"/>
  <c r="I1446" i="3" a="1"/>
  <c r="I1446" i="3" s="1"/>
  <c r="H1446" i="3" a="1"/>
  <c r="H1446" i="3" s="1"/>
  <c r="K1446" i="3" a="1"/>
  <c r="K1446" i="3" s="1"/>
  <c r="J1446" i="3" a="1"/>
  <c r="J1446" i="3" s="1"/>
  <c r="F1448" i="3"/>
  <c r="F1449" i="3" s="1"/>
  <c r="A1447" i="3" a="1"/>
  <c r="A1447" i="3" s="1"/>
  <c r="B1447" i="3" a="1"/>
  <c r="B1447" i="3" s="1"/>
  <c r="D1446" i="2"/>
  <c r="B1448" i="2" a="1"/>
  <c r="B1448" i="2" s="1"/>
  <c r="A1448" i="2" a="1"/>
  <c r="A1448" i="2" s="1"/>
  <c r="C1450" i="2"/>
  <c r="F1449" i="2"/>
  <c r="H1447" i="2" a="1"/>
  <c r="H1447" i="2" s="1"/>
  <c r="I1447" i="2" a="1"/>
  <c r="I1447" i="2" s="1"/>
  <c r="J1447" i="2" a="1"/>
  <c r="J1447" i="2" s="1"/>
  <c r="K1447" i="2" a="1"/>
  <c r="K1447" i="2" s="1"/>
  <c r="D1447" i="2" a="1"/>
  <c r="H1448" i="3" l="1" a="1"/>
  <c r="H1448" i="3" s="1"/>
  <c r="K1448" i="3" a="1"/>
  <c r="K1448" i="3" s="1"/>
  <c r="I1448" i="3" a="1"/>
  <c r="I1448" i="3" s="1"/>
  <c r="C1450" i="3"/>
  <c r="G1449" i="3" a="1"/>
  <c r="G1449" i="3" s="1"/>
  <c r="L1449" i="3"/>
  <c r="M1449" i="3"/>
  <c r="B1448" i="3" a="1"/>
  <c r="B1448" i="3" s="1"/>
  <c r="A1448" i="3" a="1"/>
  <c r="A1448" i="3" s="1"/>
  <c r="D1447" i="2"/>
  <c r="J1448" i="2" a="1"/>
  <c r="J1448" i="2" s="1"/>
  <c r="K1448" i="2" a="1"/>
  <c r="K1448" i="2" s="1"/>
  <c r="I1448" i="2" a="1"/>
  <c r="I1448" i="2" s="1"/>
  <c r="H1448" i="2" a="1"/>
  <c r="H1448" i="2" s="1"/>
  <c r="A1449" i="2" a="1"/>
  <c r="A1449" i="2" s="1"/>
  <c r="B1449" i="2" a="1"/>
  <c r="B1449" i="2" s="1"/>
  <c r="C1451" i="2"/>
  <c r="F1450" i="2"/>
  <c r="D1448" i="2" a="1"/>
  <c r="I1449" i="3" l="1" a="1"/>
  <c r="I1449" i="3" s="1"/>
  <c r="H1449" i="3" a="1"/>
  <c r="H1449" i="3" s="1"/>
  <c r="K1449" i="3" a="1"/>
  <c r="K1449" i="3" s="1"/>
  <c r="J1449" i="3" a="1"/>
  <c r="J1449" i="3" s="1"/>
  <c r="C1451" i="3"/>
  <c r="L1450" i="3"/>
  <c r="M1450" i="3"/>
  <c r="F1450" i="3"/>
  <c r="F1451" i="3" s="1"/>
  <c r="A1449" i="3" a="1"/>
  <c r="A1449" i="3" s="1"/>
  <c r="B1449" i="3" a="1"/>
  <c r="B1449" i="3" s="1"/>
  <c r="D1448" i="2"/>
  <c r="C1452" i="2"/>
  <c r="F1451" i="2"/>
  <c r="A1450" i="2" a="1"/>
  <c r="A1450" i="2" s="1"/>
  <c r="B1450" i="2" a="1"/>
  <c r="B1450" i="2" s="1"/>
  <c r="I1449" i="2" a="1"/>
  <c r="I1449" i="2" s="1"/>
  <c r="K1449" i="2" a="1"/>
  <c r="K1449" i="2" s="1"/>
  <c r="H1449" i="2" a="1"/>
  <c r="H1449" i="2" s="1"/>
  <c r="J1449" i="2" a="1"/>
  <c r="J1449" i="2" s="1"/>
  <c r="D1449" i="2" a="1"/>
  <c r="G1450" i="3" l="1" a="1"/>
  <c r="G1450" i="3" s="1"/>
  <c r="C1452" i="3"/>
  <c r="G1451" i="3" a="1"/>
  <c r="G1451" i="3" s="1"/>
  <c r="L1451" i="3"/>
  <c r="M1451" i="3"/>
  <c r="J1451" i="3" a="1"/>
  <c r="J1451" i="3" s="1"/>
  <c r="A1450" i="3" a="1"/>
  <c r="A1450" i="3" s="1"/>
  <c r="B1450" i="3" a="1"/>
  <c r="B1450" i="3" s="1"/>
  <c r="D1449" i="2"/>
  <c r="A1451" i="2" a="1"/>
  <c r="A1451" i="2" s="1"/>
  <c r="B1451" i="2" a="1"/>
  <c r="B1451" i="2" s="1"/>
  <c r="K1450" i="2" a="1"/>
  <c r="K1450" i="2" s="1"/>
  <c r="H1450" i="2" a="1"/>
  <c r="H1450" i="2" s="1"/>
  <c r="I1450" i="2" a="1"/>
  <c r="I1450" i="2" s="1"/>
  <c r="J1450" i="2" a="1"/>
  <c r="J1450" i="2" s="1"/>
  <c r="C1453" i="2"/>
  <c r="F1452" i="2"/>
  <c r="D1450" i="2" a="1"/>
  <c r="C1453" i="3" l="1"/>
  <c r="G1452" i="3" a="1"/>
  <c r="G1452" i="3" s="1"/>
  <c r="M1452" i="3"/>
  <c r="J1452" i="3" a="1"/>
  <c r="J1452" i="3" s="1"/>
  <c r="L1452" i="3"/>
  <c r="I1451" i="3" a="1"/>
  <c r="I1451" i="3" s="1"/>
  <c r="H1451" i="3" a="1"/>
  <c r="H1451" i="3" s="1"/>
  <c r="K1451" i="3" a="1"/>
  <c r="K1451" i="3" s="1"/>
  <c r="I1450" i="3" a="1"/>
  <c r="I1450" i="3" s="1"/>
  <c r="H1450" i="3" a="1"/>
  <c r="H1450" i="3" s="1"/>
  <c r="K1450" i="3" a="1"/>
  <c r="K1450" i="3" s="1"/>
  <c r="J1450" i="3" a="1"/>
  <c r="J1450" i="3" s="1"/>
  <c r="F1452" i="3"/>
  <c r="F1453" i="3" s="1"/>
  <c r="A1451" i="3" a="1"/>
  <c r="A1451" i="3" s="1"/>
  <c r="B1451" i="3" a="1"/>
  <c r="B1451" i="3" s="1"/>
  <c r="D1450" i="2"/>
  <c r="C1454" i="2"/>
  <c r="F1453" i="2"/>
  <c r="H1451" i="2" a="1"/>
  <c r="H1451" i="2" s="1"/>
  <c r="J1451" i="2" a="1"/>
  <c r="J1451" i="2" s="1"/>
  <c r="K1451" i="2" a="1"/>
  <c r="K1451" i="2" s="1"/>
  <c r="I1451" i="2" a="1"/>
  <c r="I1451" i="2" s="1"/>
  <c r="B1452" i="2" a="1"/>
  <c r="B1452" i="2" s="1"/>
  <c r="A1452" i="2" a="1"/>
  <c r="A1452" i="2" s="1"/>
  <c r="D1451" i="2" a="1"/>
  <c r="I1452" i="3" l="1" a="1"/>
  <c r="I1452" i="3" s="1"/>
  <c r="H1452" i="3" a="1"/>
  <c r="H1452" i="3" s="1"/>
  <c r="K1452" i="3" a="1"/>
  <c r="K1452" i="3" s="1"/>
  <c r="C1454" i="3"/>
  <c r="G1453" i="3" a="1"/>
  <c r="G1453" i="3" s="1"/>
  <c r="L1453" i="3"/>
  <c r="M1453" i="3"/>
  <c r="J1453" i="3" a="1"/>
  <c r="J1453" i="3" s="1"/>
  <c r="A1452" i="3" a="1"/>
  <c r="A1452" i="3" s="1"/>
  <c r="B1452" i="3" a="1"/>
  <c r="B1452" i="3" s="1"/>
  <c r="D1451" i="2"/>
  <c r="I1452" i="2" a="1"/>
  <c r="I1452" i="2" s="1"/>
  <c r="J1452" i="2" a="1"/>
  <c r="J1452" i="2" s="1"/>
  <c r="H1452" i="2" a="1"/>
  <c r="H1452" i="2" s="1"/>
  <c r="K1452" i="2" a="1"/>
  <c r="K1452" i="2" s="1"/>
  <c r="A1453" i="2" a="1"/>
  <c r="A1453" i="2" s="1"/>
  <c r="B1453" i="2" a="1"/>
  <c r="B1453" i="2" s="1"/>
  <c r="C1455" i="2"/>
  <c r="F1454" i="2"/>
  <c r="D1452" i="2" a="1"/>
  <c r="I1453" i="3" l="1" a="1"/>
  <c r="I1453" i="3" s="1"/>
  <c r="K1453" i="3" a="1"/>
  <c r="K1453" i="3" s="1"/>
  <c r="H1453" i="3" a="1"/>
  <c r="H1453" i="3" s="1"/>
  <c r="C1455" i="3"/>
  <c r="L1454" i="3"/>
  <c r="M1454" i="3"/>
  <c r="F1454" i="3"/>
  <c r="F1455" i="3" s="1"/>
  <c r="B1453" i="3" a="1"/>
  <c r="B1453" i="3" s="1"/>
  <c r="A1453" i="3" a="1"/>
  <c r="A1453" i="3" s="1"/>
  <c r="D1452" i="2"/>
  <c r="A1454" i="2" a="1"/>
  <c r="A1454" i="2" s="1"/>
  <c r="B1454" i="2" a="1"/>
  <c r="B1454" i="2" s="1"/>
  <c r="K1453" i="2" a="1"/>
  <c r="K1453" i="2" s="1"/>
  <c r="H1453" i="2" a="1"/>
  <c r="H1453" i="2" s="1"/>
  <c r="J1453" i="2" a="1"/>
  <c r="J1453" i="2" s="1"/>
  <c r="I1453" i="2" a="1"/>
  <c r="I1453" i="2" s="1"/>
  <c r="C1456" i="2"/>
  <c r="F1455" i="2"/>
  <c r="D1453" i="2" a="1"/>
  <c r="G1454" i="3" l="1" a="1"/>
  <c r="G1454" i="3" s="1"/>
  <c r="C1456" i="3"/>
  <c r="G1455" i="3" a="1"/>
  <c r="G1455" i="3" s="1"/>
  <c r="J1455" i="3" s="1" a="1"/>
  <c r="J1455" i="3" s="1"/>
  <c r="L1455" i="3"/>
  <c r="M1455" i="3"/>
  <c r="A1454" i="3" a="1"/>
  <c r="A1454" i="3" s="1"/>
  <c r="B1454" i="3" a="1"/>
  <c r="B1454" i="3" s="1"/>
  <c r="D1453" i="2"/>
  <c r="A1455" i="2" a="1"/>
  <c r="A1455" i="2" s="1"/>
  <c r="B1455" i="2" a="1"/>
  <c r="B1455" i="2" s="1"/>
  <c r="H1454" i="2" a="1"/>
  <c r="H1454" i="2" s="1"/>
  <c r="I1454" i="2" a="1"/>
  <c r="I1454" i="2" s="1"/>
  <c r="J1454" i="2" a="1"/>
  <c r="J1454" i="2" s="1"/>
  <c r="K1454" i="2" a="1"/>
  <c r="K1454" i="2" s="1"/>
  <c r="C1457" i="2"/>
  <c r="F1456" i="2"/>
  <c r="D1454" i="2" a="1"/>
  <c r="I1454" i="3" l="1" a="1"/>
  <c r="I1454" i="3" s="1"/>
  <c r="K1454" i="3" a="1"/>
  <c r="K1454" i="3" s="1"/>
  <c r="H1454" i="3" a="1"/>
  <c r="H1454" i="3" s="1"/>
  <c r="J1454" i="3" a="1"/>
  <c r="J1454" i="3" s="1"/>
  <c r="I1455" i="3" a="1"/>
  <c r="I1455" i="3" s="1"/>
  <c r="H1455" i="3" a="1"/>
  <c r="H1455" i="3" s="1"/>
  <c r="K1455" i="3" a="1"/>
  <c r="K1455" i="3" s="1"/>
  <c r="C1457" i="3"/>
  <c r="G1456" i="3" a="1"/>
  <c r="G1456" i="3" s="1"/>
  <c r="J1456" i="3" s="1" a="1"/>
  <c r="J1456" i="3" s="1"/>
  <c r="L1456" i="3"/>
  <c r="M1456" i="3"/>
  <c r="F1456" i="3"/>
  <c r="A1455" i="3" a="1"/>
  <c r="A1455" i="3" s="1"/>
  <c r="B1455" i="3" a="1"/>
  <c r="B1455" i="3" s="1"/>
  <c r="D1454" i="2"/>
  <c r="A1456" i="2" a="1"/>
  <c r="A1456" i="2" s="1"/>
  <c r="B1456" i="2" a="1"/>
  <c r="B1456" i="2" s="1"/>
  <c r="K1455" i="2" a="1"/>
  <c r="K1455" i="2" s="1"/>
  <c r="J1455" i="2" a="1"/>
  <c r="J1455" i="2" s="1"/>
  <c r="I1455" i="2" a="1"/>
  <c r="I1455" i="2" s="1"/>
  <c r="H1455" i="2" a="1"/>
  <c r="H1455" i="2" s="1"/>
  <c r="C1458" i="2"/>
  <c r="F1457" i="2"/>
  <c r="D1455" i="2" a="1"/>
  <c r="K1456" i="3" l="1" a="1"/>
  <c r="K1456" i="3" s="1"/>
  <c r="I1456" i="3" a="1"/>
  <c r="I1456" i="3" s="1"/>
  <c r="H1456" i="3" a="1"/>
  <c r="H1456" i="3" s="1"/>
  <c r="C1458" i="3"/>
  <c r="L1457" i="3"/>
  <c r="M1457" i="3"/>
  <c r="F1457" i="3"/>
  <c r="F1458" i="3" s="1"/>
  <c r="A1456" i="3" a="1"/>
  <c r="A1456" i="3" s="1"/>
  <c r="B1456" i="3" a="1"/>
  <c r="B1456" i="3" s="1"/>
  <c r="D1455" i="2"/>
  <c r="A1457" i="2" a="1"/>
  <c r="A1457" i="2" s="1"/>
  <c r="B1457" i="2" a="1"/>
  <c r="B1457" i="2" s="1"/>
  <c r="C1459" i="2"/>
  <c r="F1458" i="2"/>
  <c r="H1456" i="2" a="1"/>
  <c r="H1456" i="2" s="1"/>
  <c r="K1456" i="2" a="1"/>
  <c r="K1456" i="2" s="1"/>
  <c r="I1456" i="2" a="1"/>
  <c r="I1456" i="2" s="1"/>
  <c r="J1456" i="2" a="1"/>
  <c r="J1456" i="2" s="1"/>
  <c r="D1456" i="2" a="1"/>
  <c r="C1459" i="3" l="1"/>
  <c r="G1458" i="3" a="1"/>
  <c r="G1458" i="3" s="1"/>
  <c r="L1458" i="3"/>
  <c r="M1458" i="3"/>
  <c r="J1458" i="3" a="1"/>
  <c r="J1458" i="3" s="1"/>
  <c r="G1457" i="3" a="1"/>
  <c r="G1457" i="3" s="1"/>
  <c r="A1457" i="3" a="1"/>
  <c r="A1457" i="3" s="1"/>
  <c r="B1457" i="3" a="1"/>
  <c r="B1457" i="3" s="1"/>
  <c r="D1456" i="2"/>
  <c r="A1458" i="2" a="1"/>
  <c r="A1458" i="2" s="1"/>
  <c r="B1458" i="2" a="1"/>
  <c r="B1458" i="2" s="1"/>
  <c r="J1457" i="2" a="1"/>
  <c r="J1457" i="2" s="1"/>
  <c r="K1457" i="2" a="1"/>
  <c r="K1457" i="2" s="1"/>
  <c r="I1457" i="2" a="1"/>
  <c r="I1457" i="2" s="1"/>
  <c r="H1457" i="2" a="1"/>
  <c r="H1457" i="2" s="1"/>
  <c r="C1460" i="2"/>
  <c r="F1459" i="2"/>
  <c r="D1457" i="2" a="1"/>
  <c r="K1457" i="3" l="1" a="1"/>
  <c r="K1457" i="3" s="1"/>
  <c r="I1457" i="3" a="1"/>
  <c r="I1457" i="3" s="1"/>
  <c r="H1457" i="3" a="1"/>
  <c r="H1457" i="3" s="1"/>
  <c r="J1457" i="3" a="1"/>
  <c r="J1457" i="3" s="1"/>
  <c r="I1458" i="3" a="1"/>
  <c r="I1458" i="3" s="1"/>
  <c r="H1458" i="3" a="1"/>
  <c r="H1458" i="3" s="1"/>
  <c r="K1458" i="3" a="1"/>
  <c r="K1458" i="3" s="1"/>
  <c r="C1460" i="3"/>
  <c r="G1459" i="3" a="1"/>
  <c r="G1459" i="3" s="1"/>
  <c r="L1459" i="3"/>
  <c r="M1459" i="3"/>
  <c r="F1459" i="3"/>
  <c r="B1458" i="3" a="1"/>
  <c r="B1458" i="3" s="1"/>
  <c r="A1458" i="3" a="1"/>
  <c r="A1458" i="3" s="1"/>
  <c r="D1457" i="2"/>
  <c r="A1459" i="2" a="1"/>
  <c r="A1459" i="2" s="1"/>
  <c r="B1459" i="2" a="1"/>
  <c r="B1459" i="2" s="1"/>
  <c r="C1461" i="2"/>
  <c r="F1460" i="2"/>
  <c r="K1458" i="2" a="1"/>
  <c r="K1458" i="2" s="1"/>
  <c r="H1458" i="2" a="1"/>
  <c r="H1458" i="2" s="1"/>
  <c r="I1458" i="2" a="1"/>
  <c r="I1458" i="2" s="1"/>
  <c r="J1458" i="2" a="1"/>
  <c r="J1458" i="2" s="1"/>
  <c r="D1458" i="2" a="1"/>
  <c r="I1459" i="3" l="1" a="1"/>
  <c r="I1459" i="3" s="1"/>
  <c r="K1459" i="3" a="1"/>
  <c r="K1459" i="3" s="1"/>
  <c r="H1459" i="3" a="1"/>
  <c r="H1459" i="3" s="1"/>
  <c r="J1459" i="3" a="1"/>
  <c r="J1459" i="3" s="1"/>
  <c r="C1461" i="3"/>
  <c r="L1460" i="3"/>
  <c r="M1460" i="3"/>
  <c r="F1460" i="3"/>
  <c r="F1461" i="3" s="1"/>
  <c r="A1459" i="3" a="1"/>
  <c r="A1459" i="3" s="1"/>
  <c r="B1459" i="3" a="1"/>
  <c r="B1459" i="3" s="1"/>
  <c r="D1458" i="2"/>
  <c r="A1460" i="2" a="1"/>
  <c r="A1460" i="2" s="1"/>
  <c r="B1460" i="2" a="1"/>
  <c r="B1460" i="2" s="1"/>
  <c r="C1462" i="2"/>
  <c r="F1461" i="2"/>
  <c r="K1459" i="2" a="1"/>
  <c r="K1459" i="2" s="1"/>
  <c r="J1459" i="2" a="1"/>
  <c r="J1459" i="2" s="1"/>
  <c r="H1459" i="2" a="1"/>
  <c r="H1459" i="2" s="1"/>
  <c r="I1459" i="2" a="1"/>
  <c r="I1459" i="2" s="1"/>
  <c r="D1459" i="2" a="1"/>
  <c r="G1460" i="3" l="1" a="1"/>
  <c r="G1460" i="3" s="1"/>
  <c r="C1462" i="3"/>
  <c r="G1461" i="3" a="1"/>
  <c r="G1461" i="3" s="1"/>
  <c r="J1461" i="3" s="1" a="1"/>
  <c r="J1461" i="3" s="1"/>
  <c r="L1461" i="3"/>
  <c r="M1461" i="3"/>
  <c r="F1462" i="3"/>
  <c r="B1460" i="3" a="1"/>
  <c r="B1460" i="3" s="1"/>
  <c r="A1460" i="3" a="1"/>
  <c r="A1460" i="3" s="1"/>
  <c r="D1459" i="2"/>
  <c r="C1463" i="2"/>
  <c r="F1462" i="2"/>
  <c r="J1460" i="2" a="1"/>
  <c r="J1460" i="2" s="1"/>
  <c r="K1460" i="2" a="1"/>
  <c r="K1460" i="2" s="1"/>
  <c r="H1460" i="2" a="1"/>
  <c r="H1460" i="2" s="1"/>
  <c r="I1460" i="2" a="1"/>
  <c r="I1460" i="2" s="1"/>
  <c r="B1461" i="2" a="1"/>
  <c r="B1461" i="2" s="1"/>
  <c r="A1461" i="2" a="1"/>
  <c r="A1461" i="2" s="1"/>
  <c r="D1460" i="2" a="1"/>
  <c r="I1461" i="3" l="1" a="1"/>
  <c r="I1461" i="3" s="1"/>
  <c r="H1461" i="3" a="1"/>
  <c r="H1461" i="3" s="1"/>
  <c r="K1461" i="3" a="1"/>
  <c r="K1461" i="3" s="1"/>
  <c r="C1463" i="3"/>
  <c r="G1462" i="3" a="1"/>
  <c r="G1462" i="3" s="1"/>
  <c r="L1462" i="3"/>
  <c r="M1462" i="3"/>
  <c r="J1462" i="3" a="1"/>
  <c r="J1462" i="3" s="1"/>
  <c r="F1463" i="3"/>
  <c r="I1460" i="3" a="1"/>
  <c r="I1460" i="3" s="1"/>
  <c r="H1460" i="3" a="1"/>
  <c r="H1460" i="3" s="1"/>
  <c r="K1460" i="3" a="1"/>
  <c r="K1460" i="3" s="1"/>
  <c r="J1460" i="3" a="1"/>
  <c r="J1460" i="3" s="1"/>
  <c r="A1461" i="3" a="1"/>
  <c r="A1461" i="3" s="1"/>
  <c r="B1461" i="3" a="1"/>
  <c r="B1461" i="3" s="1"/>
  <c r="D1460" i="2"/>
  <c r="J1461" i="2" a="1"/>
  <c r="J1461" i="2" s="1"/>
  <c r="K1461" i="2" a="1"/>
  <c r="K1461" i="2" s="1"/>
  <c r="H1461" i="2" a="1"/>
  <c r="H1461" i="2" s="1"/>
  <c r="I1461" i="2" a="1"/>
  <c r="I1461" i="2" s="1"/>
  <c r="B1462" i="2" a="1"/>
  <c r="B1462" i="2" s="1"/>
  <c r="A1462" i="2" a="1"/>
  <c r="A1462" i="2" s="1"/>
  <c r="C1464" i="2"/>
  <c r="F1463" i="2"/>
  <c r="D1461" i="2" a="1"/>
  <c r="C1464" i="3" l="1"/>
  <c r="G1463" i="3" a="1"/>
  <c r="G1463" i="3" s="1"/>
  <c r="M1463" i="3"/>
  <c r="L1463" i="3"/>
  <c r="J1463" i="3" a="1"/>
  <c r="J1463" i="3" s="1"/>
  <c r="F1464" i="3"/>
  <c r="K1462" i="3" a="1"/>
  <c r="K1462" i="3" s="1"/>
  <c r="I1462" i="3" a="1"/>
  <c r="I1462" i="3" s="1"/>
  <c r="H1462" i="3" a="1"/>
  <c r="H1462" i="3" s="1"/>
  <c r="A1462" i="3" a="1"/>
  <c r="A1462" i="3" s="1"/>
  <c r="B1462" i="3" a="1"/>
  <c r="B1462" i="3" s="1"/>
  <c r="D1461" i="2"/>
  <c r="A1463" i="2" a="1"/>
  <c r="A1463" i="2" s="1"/>
  <c r="B1463" i="2" a="1"/>
  <c r="B1463" i="2" s="1"/>
  <c r="C1465" i="2"/>
  <c r="F1464" i="2"/>
  <c r="I1462" i="2" a="1"/>
  <c r="I1462" i="2" s="1"/>
  <c r="H1462" i="2" a="1"/>
  <c r="H1462" i="2" s="1"/>
  <c r="J1462" i="2" a="1"/>
  <c r="J1462" i="2" s="1"/>
  <c r="K1462" i="2" a="1"/>
  <c r="K1462" i="2" s="1"/>
  <c r="D1462" i="2" a="1"/>
  <c r="I1463" i="3" l="1" a="1"/>
  <c r="I1463" i="3" s="1"/>
  <c r="H1463" i="3" a="1"/>
  <c r="H1463" i="3" s="1"/>
  <c r="K1463" i="3" a="1"/>
  <c r="K1463" i="3" s="1"/>
  <c r="C1465" i="3"/>
  <c r="G1464" i="3" a="1"/>
  <c r="G1464" i="3" s="1"/>
  <c r="J1464" i="3" s="1" a="1"/>
  <c r="J1464" i="3" s="1"/>
  <c r="L1464" i="3"/>
  <c r="M1464" i="3"/>
  <c r="A1463" i="3" a="1"/>
  <c r="A1463" i="3" s="1"/>
  <c r="B1463" i="3" a="1"/>
  <c r="B1463" i="3" s="1"/>
  <c r="D1462" i="2"/>
  <c r="H1463" i="2" a="1"/>
  <c r="H1463" i="2" s="1"/>
  <c r="J1463" i="2" a="1"/>
  <c r="J1463" i="2" s="1"/>
  <c r="I1463" i="2" a="1"/>
  <c r="I1463" i="2" s="1"/>
  <c r="K1463" i="2" a="1"/>
  <c r="K1463" i="2" s="1"/>
  <c r="B1464" i="2" a="1"/>
  <c r="B1464" i="2" s="1"/>
  <c r="A1464" i="2" a="1"/>
  <c r="A1464" i="2" s="1"/>
  <c r="C1466" i="2"/>
  <c r="F1465" i="2"/>
  <c r="D1463" i="2" a="1"/>
  <c r="C1466" i="3" l="1"/>
  <c r="L1465" i="3"/>
  <c r="M1465" i="3"/>
  <c r="I1464" i="3" a="1"/>
  <c r="I1464" i="3" s="1"/>
  <c r="H1464" i="3" a="1"/>
  <c r="H1464" i="3" s="1"/>
  <c r="K1464" i="3" a="1"/>
  <c r="K1464" i="3" s="1"/>
  <c r="F1465" i="3"/>
  <c r="F1466" i="3" s="1"/>
  <c r="A1464" i="3" a="1"/>
  <c r="A1464" i="3" s="1"/>
  <c r="B1464" i="3" a="1"/>
  <c r="B1464" i="3" s="1"/>
  <c r="D1463" i="2"/>
  <c r="H1464" i="2" a="1"/>
  <c r="H1464" i="2" s="1"/>
  <c r="I1464" i="2" a="1"/>
  <c r="I1464" i="2" s="1"/>
  <c r="J1464" i="2" a="1"/>
  <c r="J1464" i="2" s="1"/>
  <c r="K1464" i="2" a="1"/>
  <c r="K1464" i="2" s="1"/>
  <c r="C1467" i="2"/>
  <c r="F1466" i="2"/>
  <c r="A1465" i="2" a="1"/>
  <c r="A1465" i="2" s="1"/>
  <c r="B1465" i="2" a="1"/>
  <c r="B1465" i="2" s="1"/>
  <c r="D1464" i="2" a="1"/>
  <c r="G1465" i="3" l="1" a="1"/>
  <c r="G1465" i="3" s="1"/>
  <c r="C1467" i="3"/>
  <c r="G1466" i="3" a="1"/>
  <c r="G1466" i="3" s="1"/>
  <c r="L1466" i="3"/>
  <c r="M1466" i="3"/>
  <c r="B1465" i="3" a="1"/>
  <c r="B1465" i="3" s="1"/>
  <c r="A1465" i="3" a="1"/>
  <c r="A1465" i="3" s="1"/>
  <c r="D1464" i="2"/>
  <c r="H1465" i="2" a="1"/>
  <c r="H1465" i="2" s="1"/>
  <c r="I1465" i="2" a="1"/>
  <c r="I1465" i="2" s="1"/>
  <c r="J1465" i="2" a="1"/>
  <c r="J1465" i="2" s="1"/>
  <c r="K1465" i="2" a="1"/>
  <c r="K1465" i="2" s="1"/>
  <c r="C1468" i="2"/>
  <c r="F1467" i="2"/>
  <c r="B1466" i="2" a="1"/>
  <c r="B1466" i="2" s="1"/>
  <c r="A1466" i="2" a="1"/>
  <c r="A1466" i="2" s="1"/>
  <c r="D1465" i="2" a="1"/>
  <c r="H1466" i="3" l="1" a="1"/>
  <c r="H1466" i="3" s="1"/>
  <c r="I1466" i="3" a="1"/>
  <c r="I1466" i="3" s="1"/>
  <c r="K1466" i="3" a="1"/>
  <c r="K1466" i="3" s="1"/>
  <c r="C1468" i="3"/>
  <c r="G1467" i="3" a="1"/>
  <c r="G1467" i="3" s="1"/>
  <c r="M1467" i="3"/>
  <c r="J1467" i="3" a="1"/>
  <c r="J1467" i="3" s="1"/>
  <c r="L1467" i="3"/>
  <c r="J1466" i="3" a="1"/>
  <c r="J1466" i="3" s="1"/>
  <c r="H1465" i="3" a="1"/>
  <c r="H1465" i="3" s="1"/>
  <c r="I1465" i="3" a="1"/>
  <c r="I1465" i="3" s="1"/>
  <c r="K1465" i="3" a="1"/>
  <c r="K1465" i="3" s="1"/>
  <c r="J1465" i="3" a="1"/>
  <c r="J1465" i="3" s="1"/>
  <c r="F1467" i="3"/>
  <c r="A1466" i="3" a="1"/>
  <c r="A1466" i="3" s="1"/>
  <c r="B1466" i="3" a="1"/>
  <c r="B1466" i="3" s="1"/>
  <c r="D1465" i="2"/>
  <c r="A1467" i="2" a="1"/>
  <c r="A1467" i="2" s="1"/>
  <c r="B1467" i="2" a="1"/>
  <c r="B1467" i="2" s="1"/>
  <c r="I1466" i="2" a="1"/>
  <c r="I1466" i="2" s="1"/>
  <c r="K1466" i="2" a="1"/>
  <c r="K1466" i="2" s="1"/>
  <c r="J1466" i="2" a="1"/>
  <c r="J1466" i="2" s="1"/>
  <c r="H1466" i="2" a="1"/>
  <c r="H1466" i="2" s="1"/>
  <c r="C1469" i="2"/>
  <c r="F1468" i="2"/>
  <c r="D1466" i="2" a="1"/>
  <c r="C1469" i="3" l="1"/>
  <c r="L1468" i="3"/>
  <c r="M1468" i="3"/>
  <c r="H1467" i="3" a="1"/>
  <c r="H1467" i="3" s="1"/>
  <c r="K1467" i="3" a="1"/>
  <c r="K1467" i="3" s="1"/>
  <c r="I1467" i="3" a="1"/>
  <c r="I1467" i="3" s="1"/>
  <c r="F1468" i="3"/>
  <c r="F1469" i="3" s="1"/>
  <c r="A1467" i="3" a="1"/>
  <c r="A1467" i="3" s="1"/>
  <c r="B1467" i="3" a="1"/>
  <c r="B1467" i="3" s="1"/>
  <c r="D1466" i="2"/>
  <c r="A1468" i="2" a="1"/>
  <c r="A1468" i="2" s="1"/>
  <c r="B1468" i="2" a="1"/>
  <c r="B1468" i="2" s="1"/>
  <c r="J1467" i="2" a="1"/>
  <c r="J1467" i="2" s="1"/>
  <c r="I1467" i="2" a="1"/>
  <c r="I1467" i="2" s="1"/>
  <c r="K1467" i="2" a="1"/>
  <c r="K1467" i="2" s="1"/>
  <c r="H1467" i="2" a="1"/>
  <c r="H1467" i="2" s="1"/>
  <c r="C1470" i="2"/>
  <c r="F1469" i="2"/>
  <c r="D1467" i="2" a="1"/>
  <c r="G1468" i="3" l="1" a="1"/>
  <c r="G1468" i="3" s="1"/>
  <c r="C1470" i="3"/>
  <c r="G1469" i="3" a="1"/>
  <c r="G1469" i="3" s="1"/>
  <c r="L1469" i="3"/>
  <c r="M1469" i="3"/>
  <c r="A1468" i="3" a="1"/>
  <c r="A1468" i="3" s="1"/>
  <c r="B1468" i="3" a="1"/>
  <c r="B1468" i="3" s="1"/>
  <c r="D1467" i="2"/>
  <c r="C1471" i="2"/>
  <c r="F1470" i="2"/>
  <c r="H1468" i="2" a="1"/>
  <c r="H1468" i="2" s="1"/>
  <c r="I1468" i="2" a="1"/>
  <c r="I1468" i="2" s="1"/>
  <c r="J1468" i="2" a="1"/>
  <c r="J1468" i="2" s="1"/>
  <c r="K1468" i="2" a="1"/>
  <c r="K1468" i="2" s="1"/>
  <c r="A1469" i="2" a="1"/>
  <c r="A1469" i="2" s="1"/>
  <c r="B1469" i="2" a="1"/>
  <c r="B1469" i="2" s="1"/>
  <c r="D1468" i="2" a="1"/>
  <c r="K1469" i="3" l="1" a="1"/>
  <c r="K1469" i="3" s="1"/>
  <c r="H1469" i="3" a="1"/>
  <c r="H1469" i="3" s="1"/>
  <c r="I1469" i="3" a="1"/>
  <c r="I1469" i="3" s="1"/>
  <c r="C1471" i="3"/>
  <c r="G1470" i="3" a="1"/>
  <c r="G1470" i="3" s="1"/>
  <c r="J1470" i="3" s="1" a="1"/>
  <c r="J1470" i="3" s="1"/>
  <c r="L1470" i="3"/>
  <c r="M1470" i="3"/>
  <c r="J1469" i="3" a="1"/>
  <c r="J1469" i="3" s="1"/>
  <c r="H1468" i="3" a="1"/>
  <c r="H1468" i="3" s="1"/>
  <c r="I1468" i="3" a="1"/>
  <c r="I1468" i="3" s="1"/>
  <c r="K1468" i="3" a="1"/>
  <c r="K1468" i="3" s="1"/>
  <c r="J1468" i="3" a="1"/>
  <c r="J1468" i="3" s="1"/>
  <c r="F1470" i="3"/>
  <c r="A1469" i="3" a="1"/>
  <c r="A1469" i="3" s="1"/>
  <c r="B1469" i="3" a="1"/>
  <c r="B1469" i="3" s="1"/>
  <c r="D1468" i="2"/>
  <c r="H1469" i="2" a="1"/>
  <c r="H1469" i="2" s="1"/>
  <c r="K1469" i="2" a="1"/>
  <c r="K1469" i="2" s="1"/>
  <c r="I1469" i="2" a="1"/>
  <c r="I1469" i="2" s="1"/>
  <c r="J1469" i="2" a="1"/>
  <c r="J1469" i="2" s="1"/>
  <c r="A1470" i="2" a="1"/>
  <c r="A1470" i="2" s="1"/>
  <c r="B1470" i="2" a="1"/>
  <c r="B1470" i="2" s="1"/>
  <c r="C1472" i="2"/>
  <c r="F1471" i="2"/>
  <c r="D1469" i="2" a="1"/>
  <c r="C1472" i="3" l="1"/>
  <c r="M1471" i="3"/>
  <c r="L1471" i="3"/>
  <c r="H1470" i="3" a="1"/>
  <c r="H1470" i="3" s="1"/>
  <c r="K1470" i="3" a="1"/>
  <c r="K1470" i="3" s="1"/>
  <c r="I1470" i="3" a="1"/>
  <c r="I1470" i="3" s="1"/>
  <c r="F1471" i="3"/>
  <c r="F1472" i="3" s="1"/>
  <c r="B1470" i="3" a="1"/>
  <c r="B1470" i="3" s="1"/>
  <c r="A1470" i="3" a="1"/>
  <c r="A1470" i="3" s="1"/>
  <c r="D1469" i="2"/>
  <c r="C1473" i="2"/>
  <c r="F1472" i="2"/>
  <c r="A1471" i="2" a="1"/>
  <c r="A1471" i="2" s="1"/>
  <c r="B1471" i="2" a="1"/>
  <c r="B1471" i="2" s="1"/>
  <c r="H1470" i="2" a="1"/>
  <c r="H1470" i="2" s="1"/>
  <c r="I1470" i="2" a="1"/>
  <c r="I1470" i="2" s="1"/>
  <c r="K1470" i="2" a="1"/>
  <c r="K1470" i="2" s="1"/>
  <c r="J1470" i="2" a="1"/>
  <c r="J1470" i="2" s="1"/>
  <c r="D1470" i="2" a="1"/>
  <c r="G1471" i="3" l="1" a="1"/>
  <c r="G1471" i="3" s="1"/>
  <c r="C1473" i="3"/>
  <c r="G1472" i="3" a="1"/>
  <c r="G1472" i="3" s="1"/>
  <c r="L1472" i="3"/>
  <c r="M1472" i="3"/>
  <c r="J1472" i="3" a="1"/>
  <c r="J1472" i="3" s="1"/>
  <c r="A1471" i="3" a="1"/>
  <c r="A1471" i="3" s="1"/>
  <c r="B1471" i="3" a="1"/>
  <c r="B1471" i="3" s="1"/>
  <c r="D1470" i="2"/>
  <c r="A1472" i="2" a="1"/>
  <c r="A1472" i="2" s="1"/>
  <c r="B1472" i="2" a="1"/>
  <c r="B1472" i="2" s="1"/>
  <c r="J1471" i="2" a="1"/>
  <c r="J1471" i="2" s="1"/>
  <c r="I1471" i="2" a="1"/>
  <c r="I1471" i="2" s="1"/>
  <c r="K1471" i="2" a="1"/>
  <c r="K1471" i="2" s="1"/>
  <c r="H1471" i="2" a="1"/>
  <c r="H1471" i="2" s="1"/>
  <c r="C1474" i="2"/>
  <c r="F1473" i="2"/>
  <c r="D1471" i="2" a="1"/>
  <c r="H1471" i="3" l="1" a="1"/>
  <c r="H1471" i="3" s="1"/>
  <c r="I1471" i="3" a="1"/>
  <c r="I1471" i="3" s="1"/>
  <c r="K1471" i="3" a="1"/>
  <c r="K1471" i="3" s="1"/>
  <c r="J1471" i="3" a="1"/>
  <c r="J1471" i="3" s="1"/>
  <c r="H1472" i="3" a="1"/>
  <c r="H1472" i="3" s="1"/>
  <c r="I1472" i="3" a="1"/>
  <c r="I1472" i="3" s="1"/>
  <c r="K1472" i="3" a="1"/>
  <c r="K1472" i="3" s="1"/>
  <c r="C1474" i="3"/>
  <c r="G1473" i="3" a="1"/>
  <c r="G1473" i="3" s="1"/>
  <c r="L1473" i="3"/>
  <c r="M1473" i="3"/>
  <c r="J1473" i="3" a="1"/>
  <c r="J1473" i="3" s="1"/>
  <c r="F1473" i="3"/>
  <c r="A1472" i="3" a="1"/>
  <c r="A1472" i="3" s="1"/>
  <c r="B1472" i="3" a="1"/>
  <c r="B1472" i="3" s="1"/>
  <c r="D1471" i="2"/>
  <c r="C1475" i="2"/>
  <c r="F1474" i="2"/>
  <c r="A1473" i="2" a="1"/>
  <c r="A1473" i="2" s="1"/>
  <c r="B1473" i="2" a="1"/>
  <c r="B1473" i="2" s="1"/>
  <c r="J1472" i="2" a="1"/>
  <c r="J1472" i="2" s="1"/>
  <c r="H1472" i="2" a="1"/>
  <c r="H1472" i="2" s="1"/>
  <c r="K1472" i="2" a="1"/>
  <c r="K1472" i="2" s="1"/>
  <c r="I1472" i="2" a="1"/>
  <c r="I1472" i="2" s="1"/>
  <c r="D1472" i="2" a="1"/>
  <c r="I1473" i="3" l="1" a="1"/>
  <c r="I1473" i="3" s="1"/>
  <c r="K1473" i="3" a="1"/>
  <c r="K1473" i="3" s="1"/>
  <c r="H1473" i="3" a="1"/>
  <c r="H1473" i="3" s="1"/>
  <c r="C1475" i="3"/>
  <c r="L1474" i="3"/>
  <c r="M1474" i="3"/>
  <c r="F1474" i="3"/>
  <c r="F1475" i="3" s="1"/>
  <c r="A1473" i="3" a="1"/>
  <c r="A1473" i="3" s="1"/>
  <c r="B1473" i="3" a="1"/>
  <c r="B1473" i="3" s="1"/>
  <c r="D1472" i="2"/>
  <c r="J1473" i="2" a="1"/>
  <c r="J1473" i="2" s="1"/>
  <c r="I1473" i="2" a="1"/>
  <c r="I1473" i="2" s="1"/>
  <c r="H1473" i="2" a="1"/>
  <c r="H1473" i="2" s="1"/>
  <c r="K1473" i="2" a="1"/>
  <c r="K1473" i="2" s="1"/>
  <c r="A1474" i="2" a="1"/>
  <c r="A1474" i="2" s="1"/>
  <c r="B1474" i="2" a="1"/>
  <c r="B1474" i="2" s="1"/>
  <c r="C1476" i="2"/>
  <c r="F1475" i="2"/>
  <c r="D1473" i="2" a="1"/>
  <c r="G1474" i="3" l="1" a="1"/>
  <c r="G1474" i="3" s="1"/>
  <c r="C1476" i="3"/>
  <c r="G1475" i="3" a="1"/>
  <c r="G1475" i="3" s="1"/>
  <c r="L1475" i="3"/>
  <c r="M1475" i="3"/>
  <c r="J1475" i="3" a="1"/>
  <c r="J1475" i="3" s="1"/>
  <c r="A1474" i="3" a="1"/>
  <c r="A1474" i="3" s="1"/>
  <c r="B1474" i="3" a="1"/>
  <c r="B1474" i="3" s="1"/>
  <c r="D1473" i="2"/>
  <c r="B1475" i="2" a="1"/>
  <c r="B1475" i="2" s="1"/>
  <c r="A1475" i="2" a="1"/>
  <c r="A1475" i="2" s="1"/>
  <c r="H1474" i="2" a="1"/>
  <c r="H1474" i="2" s="1"/>
  <c r="I1474" i="2" a="1"/>
  <c r="I1474" i="2" s="1"/>
  <c r="J1474" i="2" a="1"/>
  <c r="J1474" i="2" s="1"/>
  <c r="K1474" i="2" a="1"/>
  <c r="K1474" i="2" s="1"/>
  <c r="C1477" i="2"/>
  <c r="F1476" i="2"/>
  <c r="D1474" i="2" a="1"/>
  <c r="C1477" i="3" l="1"/>
  <c r="G1476" i="3" a="1"/>
  <c r="G1476" i="3" s="1"/>
  <c r="L1476" i="3"/>
  <c r="M1476" i="3"/>
  <c r="J1476" i="3" a="1"/>
  <c r="J1476" i="3" s="1"/>
  <c r="H1475" i="3" a="1"/>
  <c r="H1475" i="3" s="1"/>
  <c r="I1475" i="3" a="1"/>
  <c r="I1475" i="3" s="1"/>
  <c r="K1475" i="3" a="1"/>
  <c r="K1475" i="3" s="1"/>
  <c r="K1474" i="3" a="1"/>
  <c r="K1474" i="3" s="1"/>
  <c r="H1474" i="3" a="1"/>
  <c r="H1474" i="3" s="1"/>
  <c r="I1474" i="3" a="1"/>
  <c r="I1474" i="3" s="1"/>
  <c r="J1474" i="3" a="1"/>
  <c r="J1474" i="3" s="1"/>
  <c r="F1476" i="3"/>
  <c r="F1477" i="3" s="1"/>
  <c r="A1475" i="3" a="1"/>
  <c r="A1475" i="3" s="1"/>
  <c r="B1475" i="3" a="1"/>
  <c r="B1475" i="3" s="1"/>
  <c r="D1474" i="2"/>
  <c r="B1476" i="2" a="1"/>
  <c r="B1476" i="2" s="1"/>
  <c r="A1476" i="2" a="1"/>
  <c r="A1476" i="2" s="1"/>
  <c r="C1478" i="2"/>
  <c r="F1477" i="2"/>
  <c r="H1475" i="2" a="1"/>
  <c r="H1475" i="2" s="1"/>
  <c r="I1475" i="2" a="1"/>
  <c r="I1475" i="2" s="1"/>
  <c r="J1475" i="2" a="1"/>
  <c r="J1475" i="2" s="1"/>
  <c r="K1475" i="2" a="1"/>
  <c r="K1475" i="2" s="1"/>
  <c r="D1475" i="2" a="1"/>
  <c r="I1476" i="3" l="1" a="1"/>
  <c r="I1476" i="3" s="1"/>
  <c r="K1476" i="3" a="1"/>
  <c r="K1476" i="3" s="1"/>
  <c r="H1476" i="3" a="1"/>
  <c r="H1476" i="3" s="1"/>
  <c r="C1478" i="3"/>
  <c r="F1478" i="3" s="1"/>
  <c r="G1477" i="3" a="1"/>
  <c r="G1477" i="3" s="1"/>
  <c r="L1477" i="3"/>
  <c r="M1477" i="3"/>
  <c r="A1476" i="3" a="1"/>
  <c r="A1476" i="3" s="1"/>
  <c r="B1476" i="3" a="1"/>
  <c r="B1476" i="3" s="1"/>
  <c r="D1475" i="2"/>
  <c r="H1476" i="2" a="1"/>
  <c r="H1476" i="2" s="1"/>
  <c r="I1476" i="2" a="1"/>
  <c r="I1476" i="2" s="1"/>
  <c r="K1476" i="2" a="1"/>
  <c r="K1476" i="2" s="1"/>
  <c r="J1476" i="2" a="1"/>
  <c r="J1476" i="2" s="1"/>
  <c r="A1477" i="2" a="1"/>
  <c r="A1477" i="2" s="1"/>
  <c r="B1477" i="2" a="1"/>
  <c r="B1477" i="2" s="1"/>
  <c r="C1479" i="2"/>
  <c r="F1478" i="2"/>
  <c r="D1476" i="2" a="1"/>
  <c r="I1477" i="3" l="1" a="1"/>
  <c r="I1477" i="3" s="1"/>
  <c r="H1477" i="3" a="1"/>
  <c r="H1477" i="3" s="1"/>
  <c r="K1477" i="3" a="1"/>
  <c r="K1477" i="3" s="1"/>
  <c r="J1477" i="3" a="1"/>
  <c r="J1477" i="3" s="1"/>
  <c r="C1479" i="3"/>
  <c r="G1478" i="3" a="1"/>
  <c r="G1478" i="3" s="1"/>
  <c r="L1478" i="3"/>
  <c r="M1478" i="3"/>
  <c r="J1478" i="3" a="1"/>
  <c r="J1478" i="3" s="1"/>
  <c r="B1477" i="3" a="1"/>
  <c r="B1477" i="3" s="1"/>
  <c r="A1477" i="3" a="1"/>
  <c r="A1477" i="3" s="1"/>
  <c r="D1476" i="2"/>
  <c r="A1478" i="2" a="1"/>
  <c r="A1478" i="2" s="1"/>
  <c r="B1478" i="2" a="1"/>
  <c r="B1478" i="2" s="1"/>
  <c r="C1480" i="2"/>
  <c r="F1479" i="2"/>
  <c r="K1477" i="2" a="1"/>
  <c r="K1477" i="2" s="1"/>
  <c r="J1477" i="2" a="1"/>
  <c r="J1477" i="2" s="1"/>
  <c r="I1477" i="2" a="1"/>
  <c r="I1477" i="2" s="1"/>
  <c r="H1477" i="2" a="1"/>
  <c r="H1477" i="2" s="1"/>
  <c r="D1477" i="2" a="1"/>
  <c r="K1478" i="3" l="1" a="1"/>
  <c r="K1478" i="3" s="1"/>
  <c r="H1478" i="3" a="1"/>
  <c r="H1478" i="3" s="1"/>
  <c r="I1478" i="3" a="1"/>
  <c r="I1478" i="3" s="1"/>
  <c r="C1480" i="3"/>
  <c r="L1479" i="3"/>
  <c r="M1479" i="3"/>
  <c r="F1479" i="3"/>
  <c r="F1480" i="3" s="1"/>
  <c r="A1478" i="3" a="1"/>
  <c r="A1478" i="3" s="1"/>
  <c r="B1478" i="3" a="1"/>
  <c r="B1478" i="3" s="1"/>
  <c r="D1477" i="2"/>
  <c r="H1478" i="2" a="1"/>
  <c r="H1478" i="2" s="1"/>
  <c r="I1478" i="2" a="1"/>
  <c r="I1478" i="2" s="1"/>
  <c r="K1478" i="2" a="1"/>
  <c r="K1478" i="2" s="1"/>
  <c r="J1478" i="2" a="1"/>
  <c r="J1478" i="2" s="1"/>
  <c r="A1479" i="2" a="1"/>
  <c r="A1479" i="2" s="1"/>
  <c r="B1479" i="2" a="1"/>
  <c r="B1479" i="2" s="1"/>
  <c r="C1481" i="2"/>
  <c r="F1480" i="2"/>
  <c r="D1478" i="2" a="1"/>
  <c r="C1481" i="3" l="1"/>
  <c r="G1480" i="3" a="1"/>
  <c r="G1480" i="3" s="1"/>
  <c r="M1480" i="3"/>
  <c r="L1480" i="3"/>
  <c r="J1480" i="3" a="1"/>
  <c r="J1480" i="3" s="1"/>
  <c r="G1479" i="3" a="1"/>
  <c r="G1479" i="3" s="1"/>
  <c r="A1479" i="3" a="1"/>
  <c r="A1479" i="3" s="1"/>
  <c r="B1479" i="3" a="1"/>
  <c r="B1479" i="3" s="1"/>
  <c r="D1478" i="2"/>
  <c r="A1480" i="2" a="1"/>
  <c r="A1480" i="2" s="1"/>
  <c r="B1480" i="2" a="1"/>
  <c r="B1480" i="2" s="1"/>
  <c r="K1479" i="2" a="1"/>
  <c r="K1479" i="2" s="1"/>
  <c r="I1479" i="2" a="1"/>
  <c r="I1479" i="2" s="1"/>
  <c r="J1479" i="2" a="1"/>
  <c r="J1479" i="2" s="1"/>
  <c r="H1479" i="2" a="1"/>
  <c r="H1479" i="2" s="1"/>
  <c r="C1482" i="2"/>
  <c r="F1481" i="2"/>
  <c r="D1479" i="2" a="1"/>
  <c r="H1479" i="3" l="1" a="1"/>
  <c r="H1479" i="3" s="1"/>
  <c r="I1479" i="3" a="1"/>
  <c r="I1479" i="3" s="1"/>
  <c r="K1479" i="3" a="1"/>
  <c r="K1479" i="3" s="1"/>
  <c r="J1479" i="3" a="1"/>
  <c r="J1479" i="3" s="1"/>
  <c r="H1480" i="3" a="1"/>
  <c r="H1480" i="3" s="1"/>
  <c r="I1480" i="3" a="1"/>
  <c r="I1480" i="3" s="1"/>
  <c r="K1480" i="3" a="1"/>
  <c r="K1480" i="3" s="1"/>
  <c r="C1482" i="3"/>
  <c r="G1481" i="3" a="1"/>
  <c r="G1481" i="3" s="1"/>
  <c r="L1481" i="3"/>
  <c r="M1481" i="3"/>
  <c r="J1481" i="3" a="1"/>
  <c r="J1481" i="3" s="1"/>
  <c r="F1481" i="3"/>
  <c r="A1480" i="3" a="1"/>
  <c r="A1480" i="3" s="1"/>
  <c r="B1480" i="3" a="1"/>
  <c r="B1480" i="3" s="1"/>
  <c r="D1479" i="2"/>
  <c r="A1481" i="2" a="1"/>
  <c r="A1481" i="2" s="1"/>
  <c r="B1481" i="2" a="1"/>
  <c r="B1481" i="2" s="1"/>
  <c r="C1483" i="2"/>
  <c r="F1482" i="2"/>
  <c r="H1480" i="2" a="1"/>
  <c r="H1480" i="2" s="1"/>
  <c r="J1480" i="2" a="1"/>
  <c r="J1480" i="2" s="1"/>
  <c r="K1480" i="2" a="1"/>
  <c r="K1480" i="2" s="1"/>
  <c r="I1480" i="2" a="1"/>
  <c r="I1480" i="2" s="1"/>
  <c r="D1480" i="2" a="1"/>
  <c r="I1481" i="3" l="1" a="1"/>
  <c r="I1481" i="3" s="1"/>
  <c r="K1481" i="3" a="1"/>
  <c r="K1481" i="3" s="1"/>
  <c r="H1481" i="3" a="1"/>
  <c r="H1481" i="3" s="1"/>
  <c r="C1483" i="3"/>
  <c r="L1482" i="3"/>
  <c r="M1482" i="3"/>
  <c r="F1482" i="3"/>
  <c r="F1483" i="3" s="1"/>
  <c r="A1481" i="3" a="1"/>
  <c r="A1481" i="3" s="1"/>
  <c r="B1481" i="3" a="1"/>
  <c r="B1481" i="3" s="1"/>
  <c r="D1480" i="2"/>
  <c r="C1484" i="2"/>
  <c r="F1483" i="2"/>
  <c r="A1482" i="2" a="1"/>
  <c r="A1482" i="2" s="1"/>
  <c r="B1482" i="2" a="1"/>
  <c r="B1482" i="2" s="1"/>
  <c r="I1481" i="2" a="1"/>
  <c r="I1481" i="2" s="1"/>
  <c r="J1481" i="2" a="1"/>
  <c r="J1481" i="2" s="1"/>
  <c r="K1481" i="2" a="1"/>
  <c r="K1481" i="2" s="1"/>
  <c r="H1481" i="2" a="1"/>
  <c r="H1481" i="2" s="1"/>
  <c r="D1481" i="2" a="1"/>
  <c r="G1482" i="3" l="1" a="1"/>
  <c r="G1482" i="3" s="1"/>
  <c r="C1484" i="3"/>
  <c r="G1483" i="3" a="1"/>
  <c r="G1483" i="3" s="1"/>
  <c r="J1483" i="3" a="1"/>
  <c r="J1483" i="3" s="1"/>
  <c r="M1483" i="3"/>
  <c r="L1483" i="3"/>
  <c r="B1482" i="3" a="1"/>
  <c r="B1482" i="3" s="1"/>
  <c r="A1482" i="3" a="1"/>
  <c r="A1482" i="3" s="1"/>
  <c r="D1481" i="2"/>
  <c r="I1482" i="2" a="1"/>
  <c r="I1482" i="2" s="1"/>
  <c r="H1482" i="2" a="1"/>
  <c r="H1482" i="2" s="1"/>
  <c r="K1482" i="2" a="1"/>
  <c r="K1482" i="2" s="1"/>
  <c r="J1482" i="2" a="1"/>
  <c r="J1482" i="2" s="1"/>
  <c r="B1483" i="2" a="1"/>
  <c r="B1483" i="2" s="1"/>
  <c r="A1483" i="2" a="1"/>
  <c r="A1483" i="2" s="1"/>
  <c r="C1485" i="2"/>
  <c r="F1484" i="2"/>
  <c r="D1482" i="2" a="1"/>
  <c r="K1482" i="3" l="1" a="1"/>
  <c r="K1482" i="3" s="1"/>
  <c r="H1482" i="3" a="1"/>
  <c r="H1482" i="3" s="1"/>
  <c r="I1482" i="3" a="1"/>
  <c r="I1482" i="3" s="1"/>
  <c r="J1482" i="3" a="1"/>
  <c r="J1482" i="3" s="1"/>
  <c r="H1483" i="3" a="1"/>
  <c r="H1483" i="3" s="1"/>
  <c r="I1483" i="3" a="1"/>
  <c r="I1483" i="3" s="1"/>
  <c r="K1483" i="3" a="1"/>
  <c r="K1483" i="3" s="1"/>
  <c r="C1485" i="3"/>
  <c r="G1484" i="3" a="1"/>
  <c r="G1484" i="3" s="1"/>
  <c r="L1484" i="3"/>
  <c r="M1484" i="3"/>
  <c r="J1484" i="3" a="1"/>
  <c r="J1484" i="3" s="1"/>
  <c r="F1484" i="3"/>
  <c r="A1483" i="3" a="1"/>
  <c r="A1483" i="3" s="1"/>
  <c r="B1483" i="3" a="1"/>
  <c r="B1483" i="3" s="1"/>
  <c r="D1482" i="2"/>
  <c r="C1486" i="2"/>
  <c r="F1485" i="2"/>
  <c r="A1484" i="2" a="1"/>
  <c r="A1484" i="2" s="1"/>
  <c r="B1484" i="2" a="1"/>
  <c r="B1484" i="2" s="1"/>
  <c r="I1483" i="2" a="1"/>
  <c r="I1483" i="2" s="1"/>
  <c r="K1483" i="2" a="1"/>
  <c r="K1483" i="2" s="1"/>
  <c r="H1483" i="2" a="1"/>
  <c r="H1483" i="2" s="1"/>
  <c r="J1483" i="2" a="1"/>
  <c r="J1483" i="2" s="1"/>
  <c r="D1483" i="2" a="1"/>
  <c r="H1484" i="3" l="1" a="1"/>
  <c r="H1484" i="3" s="1"/>
  <c r="I1484" i="3" a="1"/>
  <c r="I1484" i="3" s="1"/>
  <c r="K1484" i="3" a="1"/>
  <c r="K1484" i="3" s="1"/>
  <c r="C1486" i="3"/>
  <c r="L1485" i="3"/>
  <c r="M1485" i="3"/>
  <c r="F1485" i="3"/>
  <c r="F1486" i="3" s="1"/>
  <c r="A1484" i="3" a="1"/>
  <c r="A1484" i="3" s="1"/>
  <c r="B1484" i="3" a="1"/>
  <c r="B1484" i="3" s="1"/>
  <c r="D1483" i="2"/>
  <c r="I1484" i="2" a="1"/>
  <c r="I1484" i="2" s="1"/>
  <c r="K1484" i="2" a="1"/>
  <c r="K1484" i="2" s="1"/>
  <c r="J1484" i="2" a="1"/>
  <c r="J1484" i="2" s="1"/>
  <c r="H1484" i="2" a="1"/>
  <c r="H1484" i="2" s="1"/>
  <c r="B1485" i="2" a="1"/>
  <c r="B1485" i="2" s="1"/>
  <c r="A1485" i="2" a="1"/>
  <c r="A1485" i="2" s="1"/>
  <c r="C1487" i="2"/>
  <c r="F1486" i="2"/>
  <c r="D1484" i="2" a="1"/>
  <c r="G1485" i="3" l="1" a="1"/>
  <c r="G1485" i="3" s="1"/>
  <c r="C1487" i="3"/>
  <c r="G1486" i="3" a="1"/>
  <c r="G1486" i="3" s="1"/>
  <c r="L1486" i="3"/>
  <c r="M1486" i="3"/>
  <c r="J1486" i="3" a="1"/>
  <c r="J1486" i="3" s="1"/>
  <c r="A1485" i="3" a="1"/>
  <c r="A1485" i="3" s="1"/>
  <c r="B1485" i="3" a="1"/>
  <c r="B1485" i="3" s="1"/>
  <c r="D1484" i="2"/>
  <c r="K1485" i="2" a="1"/>
  <c r="K1485" i="2" s="1"/>
  <c r="H1485" i="2" a="1"/>
  <c r="H1485" i="2" s="1"/>
  <c r="I1485" i="2" a="1"/>
  <c r="I1485" i="2" s="1"/>
  <c r="J1485" i="2" a="1"/>
  <c r="J1485" i="2" s="1"/>
  <c r="A1486" i="2" a="1"/>
  <c r="A1486" i="2" s="1"/>
  <c r="B1486" i="2" a="1"/>
  <c r="B1486" i="2" s="1"/>
  <c r="C1488" i="2"/>
  <c r="F1487" i="2"/>
  <c r="D1485" i="2" a="1"/>
  <c r="I1485" i="3" l="1" a="1"/>
  <c r="I1485" i="3" s="1"/>
  <c r="K1485" i="3" a="1"/>
  <c r="K1485" i="3" s="1"/>
  <c r="H1485" i="3" a="1"/>
  <c r="H1485" i="3" s="1"/>
  <c r="J1485" i="3" a="1"/>
  <c r="J1485" i="3" s="1"/>
  <c r="K1486" i="3" a="1"/>
  <c r="K1486" i="3" s="1"/>
  <c r="H1486" i="3" a="1"/>
  <c r="H1486" i="3" s="1"/>
  <c r="I1486" i="3" a="1"/>
  <c r="I1486" i="3" s="1"/>
  <c r="C1488" i="3"/>
  <c r="L1487" i="3"/>
  <c r="M1487" i="3"/>
  <c r="F1487" i="3"/>
  <c r="F1488" i="3" s="1"/>
  <c r="A1486" i="3" a="1"/>
  <c r="A1486" i="3" s="1"/>
  <c r="B1486" i="3" a="1"/>
  <c r="B1486" i="3" s="1"/>
  <c r="D1485" i="2"/>
  <c r="C1489" i="2"/>
  <c r="F1488" i="2"/>
  <c r="A1487" i="2" a="1"/>
  <c r="A1487" i="2" s="1"/>
  <c r="B1487" i="2" a="1"/>
  <c r="B1487" i="2" s="1"/>
  <c r="H1486" i="2" a="1"/>
  <c r="H1486" i="2" s="1"/>
  <c r="I1486" i="2" a="1"/>
  <c r="I1486" i="2" s="1"/>
  <c r="K1486" i="2" a="1"/>
  <c r="K1486" i="2" s="1"/>
  <c r="J1486" i="2" a="1"/>
  <c r="J1486" i="2" s="1"/>
  <c r="D1486" i="2" a="1"/>
  <c r="C1489" i="3" l="1"/>
  <c r="G1488" i="3" a="1"/>
  <c r="G1488" i="3" s="1"/>
  <c r="M1488" i="3"/>
  <c r="L1488" i="3"/>
  <c r="J1488" i="3" a="1"/>
  <c r="J1488" i="3" s="1"/>
  <c r="G1487" i="3" a="1"/>
  <c r="G1487" i="3" s="1"/>
  <c r="A1487" i="3" a="1"/>
  <c r="A1487" i="3" s="1"/>
  <c r="B1487" i="3" a="1"/>
  <c r="B1487" i="3" s="1"/>
  <c r="D1486" i="2"/>
  <c r="I1487" i="2" a="1"/>
  <c r="I1487" i="2" s="1"/>
  <c r="K1487" i="2" a="1"/>
  <c r="K1487" i="2" s="1"/>
  <c r="H1487" i="2" a="1"/>
  <c r="H1487" i="2" s="1"/>
  <c r="J1487" i="2" a="1"/>
  <c r="J1487" i="2" s="1"/>
  <c r="B1488" i="2" a="1"/>
  <c r="B1488" i="2" s="1"/>
  <c r="A1488" i="2" a="1"/>
  <c r="A1488" i="2" s="1"/>
  <c r="C1490" i="2"/>
  <c r="F1489" i="2"/>
  <c r="D1487" i="2" a="1"/>
  <c r="J1487" i="3" l="1" a="1"/>
  <c r="J1487" i="3" s="1"/>
  <c r="H1487" i="3" a="1"/>
  <c r="H1487" i="3" s="1"/>
  <c r="I1487" i="3" a="1"/>
  <c r="I1487" i="3" s="1"/>
  <c r="K1487" i="3" a="1"/>
  <c r="K1487" i="3" s="1"/>
  <c r="H1488" i="3" a="1"/>
  <c r="H1488" i="3" s="1"/>
  <c r="I1488" i="3" a="1"/>
  <c r="I1488" i="3" s="1"/>
  <c r="K1488" i="3" a="1"/>
  <c r="K1488" i="3" s="1"/>
  <c r="C1490" i="3"/>
  <c r="G1489" i="3" a="1"/>
  <c r="G1489" i="3" s="1"/>
  <c r="L1489" i="3"/>
  <c r="M1489" i="3"/>
  <c r="J1489" i="3" a="1"/>
  <c r="J1489" i="3" s="1"/>
  <c r="F1489" i="3"/>
  <c r="A1488" i="3" a="1"/>
  <c r="A1488" i="3" s="1"/>
  <c r="B1488" i="3" a="1"/>
  <c r="B1488" i="3" s="1"/>
  <c r="D1487" i="2"/>
  <c r="A1489" i="2" a="1"/>
  <c r="A1489" i="2" s="1"/>
  <c r="B1489" i="2" a="1"/>
  <c r="B1489" i="2" s="1"/>
  <c r="I1488" i="2" a="1"/>
  <c r="I1488" i="2" s="1"/>
  <c r="J1488" i="2" a="1"/>
  <c r="J1488" i="2" s="1"/>
  <c r="K1488" i="2" a="1"/>
  <c r="K1488" i="2" s="1"/>
  <c r="H1488" i="2" a="1"/>
  <c r="H1488" i="2" s="1"/>
  <c r="C1491" i="2"/>
  <c r="F1490" i="2"/>
  <c r="D1488" i="2" a="1"/>
  <c r="I1489" i="3" l="1" a="1"/>
  <c r="I1489" i="3" s="1"/>
  <c r="K1489" i="3" a="1"/>
  <c r="K1489" i="3" s="1"/>
  <c r="H1489" i="3" a="1"/>
  <c r="H1489" i="3" s="1"/>
  <c r="C1491" i="3"/>
  <c r="L1490" i="3"/>
  <c r="M1490" i="3"/>
  <c r="F1490" i="3"/>
  <c r="F1491" i="3" s="1"/>
  <c r="B1489" i="3" a="1"/>
  <c r="B1489" i="3" s="1"/>
  <c r="A1489" i="3" a="1"/>
  <c r="A1489" i="3" s="1"/>
  <c r="D1488" i="2"/>
  <c r="C1492" i="2"/>
  <c r="F1491" i="2"/>
  <c r="H1489" i="2" a="1"/>
  <c r="H1489" i="2" s="1"/>
  <c r="J1489" i="2" a="1"/>
  <c r="J1489" i="2" s="1"/>
  <c r="K1489" i="2" a="1"/>
  <c r="K1489" i="2" s="1"/>
  <c r="I1489" i="2" a="1"/>
  <c r="I1489" i="2" s="1"/>
  <c r="A1490" i="2" a="1"/>
  <c r="A1490" i="2" s="1"/>
  <c r="B1490" i="2" a="1"/>
  <c r="B1490" i="2" s="1"/>
  <c r="D1489" i="2" a="1"/>
  <c r="C1492" i="3" l="1"/>
  <c r="G1491" i="3" a="1"/>
  <c r="G1491" i="3" s="1"/>
  <c r="M1491" i="3"/>
  <c r="J1491" i="3" a="1"/>
  <c r="J1491" i="3" s="1"/>
  <c r="L1491" i="3"/>
  <c r="G1490" i="3" a="1"/>
  <c r="G1490" i="3" s="1"/>
  <c r="A1490" i="3" a="1"/>
  <c r="A1490" i="3" s="1"/>
  <c r="B1490" i="3" a="1"/>
  <c r="B1490" i="3" s="1"/>
  <c r="D1489" i="2"/>
  <c r="I1490" i="2" a="1"/>
  <c r="I1490" i="2" s="1"/>
  <c r="J1490" i="2" a="1"/>
  <c r="J1490" i="2" s="1"/>
  <c r="H1490" i="2" a="1"/>
  <c r="H1490" i="2" s="1"/>
  <c r="K1490" i="2" a="1"/>
  <c r="K1490" i="2" s="1"/>
  <c r="A1491" i="2" a="1"/>
  <c r="A1491" i="2" s="1"/>
  <c r="B1491" i="2" a="1"/>
  <c r="B1491" i="2" s="1"/>
  <c r="C1493" i="2"/>
  <c r="F1492" i="2"/>
  <c r="D1490" i="2" a="1"/>
  <c r="K1490" i="3" l="1" a="1"/>
  <c r="K1490" i="3" s="1"/>
  <c r="H1490" i="3" a="1"/>
  <c r="H1490" i="3" s="1"/>
  <c r="I1490" i="3" a="1"/>
  <c r="I1490" i="3" s="1"/>
  <c r="J1490" i="3" a="1"/>
  <c r="J1490" i="3" s="1"/>
  <c r="H1491" i="3" a="1"/>
  <c r="H1491" i="3" s="1"/>
  <c r="I1491" i="3" a="1"/>
  <c r="I1491" i="3" s="1"/>
  <c r="K1491" i="3" a="1"/>
  <c r="K1491" i="3" s="1"/>
  <c r="C1493" i="3"/>
  <c r="G1492" i="3" a="1"/>
  <c r="G1492" i="3" s="1"/>
  <c r="L1492" i="3"/>
  <c r="M1492" i="3"/>
  <c r="F1492" i="3"/>
  <c r="A1491" i="3" a="1"/>
  <c r="A1491" i="3" s="1"/>
  <c r="B1491" i="3" a="1"/>
  <c r="B1491" i="3" s="1"/>
  <c r="D1490" i="2"/>
  <c r="C1494" i="2"/>
  <c r="F1493" i="2"/>
  <c r="K1491" i="2" a="1"/>
  <c r="K1491" i="2" s="1"/>
  <c r="H1491" i="2" a="1"/>
  <c r="H1491" i="2" s="1"/>
  <c r="J1491" i="2" a="1"/>
  <c r="J1491" i="2" s="1"/>
  <c r="I1491" i="2" a="1"/>
  <c r="I1491" i="2" s="1"/>
  <c r="A1492" i="2" a="1"/>
  <c r="A1492" i="2" s="1"/>
  <c r="B1492" i="2" a="1"/>
  <c r="B1492" i="2" s="1"/>
  <c r="D1491" i="2" a="1"/>
  <c r="H1492" i="3" l="1" a="1"/>
  <c r="H1492" i="3" s="1"/>
  <c r="I1492" i="3" a="1"/>
  <c r="I1492" i="3" s="1"/>
  <c r="K1492" i="3" a="1"/>
  <c r="K1492" i="3" s="1"/>
  <c r="J1492" i="3" a="1"/>
  <c r="J1492" i="3" s="1"/>
  <c r="C1494" i="3"/>
  <c r="L1493" i="3"/>
  <c r="M1493" i="3"/>
  <c r="F1493" i="3"/>
  <c r="F1494" i="3" s="1"/>
  <c r="A1492" i="3" a="1"/>
  <c r="A1492" i="3" s="1"/>
  <c r="B1492" i="3" a="1"/>
  <c r="B1492" i="3" s="1"/>
  <c r="D1491" i="2"/>
  <c r="H1492" i="2" a="1"/>
  <c r="H1492" i="2" s="1"/>
  <c r="I1492" i="2" a="1"/>
  <c r="I1492" i="2" s="1"/>
  <c r="J1492" i="2" a="1"/>
  <c r="J1492" i="2" s="1"/>
  <c r="K1492" i="2" a="1"/>
  <c r="K1492" i="2" s="1"/>
  <c r="A1493" i="2" a="1"/>
  <c r="A1493" i="2" s="1"/>
  <c r="B1493" i="2" a="1"/>
  <c r="B1493" i="2" s="1"/>
  <c r="C1495" i="2"/>
  <c r="F1494" i="2"/>
  <c r="D1492" i="2" a="1"/>
  <c r="C1495" i="3" l="1"/>
  <c r="G1494" i="3" a="1"/>
  <c r="G1494" i="3" s="1"/>
  <c r="L1494" i="3"/>
  <c r="M1494" i="3"/>
  <c r="J1494" i="3" a="1"/>
  <c r="J1494" i="3" s="1"/>
  <c r="F1495" i="3"/>
  <c r="G1493" i="3" a="1"/>
  <c r="G1493" i="3" s="1"/>
  <c r="A1493" i="3" a="1"/>
  <c r="A1493" i="3" s="1"/>
  <c r="B1493" i="3" a="1"/>
  <c r="B1493" i="3" s="1"/>
  <c r="D1492" i="2"/>
  <c r="C1496" i="2"/>
  <c r="F1495" i="2"/>
  <c r="A1494" i="2" a="1"/>
  <c r="A1494" i="2" s="1"/>
  <c r="B1494" i="2" a="1"/>
  <c r="B1494" i="2" s="1"/>
  <c r="I1493" i="2" a="1"/>
  <c r="I1493" i="2" s="1"/>
  <c r="K1493" i="2" a="1"/>
  <c r="K1493" i="2" s="1"/>
  <c r="J1493" i="2" a="1"/>
  <c r="J1493" i="2" s="1"/>
  <c r="H1493" i="2" a="1"/>
  <c r="H1493" i="2" s="1"/>
  <c r="D1493" i="2" a="1"/>
  <c r="I1493" i="3" l="1" a="1"/>
  <c r="I1493" i="3" s="1"/>
  <c r="K1493" i="3" a="1"/>
  <c r="K1493" i="3" s="1"/>
  <c r="H1493" i="3" a="1"/>
  <c r="H1493" i="3" s="1"/>
  <c r="J1493" i="3" a="1"/>
  <c r="J1493" i="3" s="1"/>
  <c r="K1494" i="3" a="1"/>
  <c r="K1494" i="3" s="1"/>
  <c r="H1494" i="3" a="1"/>
  <c r="H1494" i="3" s="1"/>
  <c r="I1494" i="3" a="1"/>
  <c r="I1494" i="3" s="1"/>
  <c r="C1496" i="3"/>
  <c r="G1495" i="3" a="1"/>
  <c r="G1495" i="3" s="1"/>
  <c r="L1495" i="3"/>
  <c r="M1495" i="3"/>
  <c r="B1494" i="3" a="1"/>
  <c r="B1494" i="3" s="1"/>
  <c r="A1494" i="3" a="1"/>
  <c r="A1494" i="3" s="1"/>
  <c r="D1493" i="2"/>
  <c r="K1494" i="2" a="1"/>
  <c r="K1494" i="2" s="1"/>
  <c r="H1494" i="2" a="1"/>
  <c r="H1494" i="2" s="1"/>
  <c r="I1494" i="2" a="1"/>
  <c r="I1494" i="2" s="1"/>
  <c r="J1494" i="2" a="1"/>
  <c r="J1494" i="2" s="1"/>
  <c r="B1495" i="2" a="1"/>
  <c r="B1495" i="2" s="1"/>
  <c r="A1495" i="2" a="1"/>
  <c r="A1495" i="2" s="1"/>
  <c r="C1497" i="2"/>
  <c r="F1496" i="2"/>
  <c r="D1494" i="2" a="1"/>
  <c r="K1495" i="3" l="1" a="1"/>
  <c r="K1495" i="3" s="1"/>
  <c r="H1495" i="3" a="1"/>
  <c r="H1495" i="3" s="1"/>
  <c r="I1495" i="3" a="1"/>
  <c r="I1495" i="3" s="1"/>
  <c r="C1497" i="3"/>
  <c r="L1496" i="3"/>
  <c r="M1496" i="3"/>
  <c r="F1496" i="3"/>
  <c r="F1497" i="3" s="1"/>
  <c r="J1495" i="3" a="1"/>
  <c r="J1495" i="3" s="1"/>
  <c r="A1495" i="3" a="1"/>
  <c r="A1495" i="3" s="1"/>
  <c r="B1495" i="3" a="1"/>
  <c r="B1495" i="3" s="1"/>
  <c r="D1494" i="2"/>
  <c r="K1495" i="2" a="1"/>
  <c r="K1495" i="2" s="1"/>
  <c r="H1495" i="2" a="1"/>
  <c r="H1495" i="2" s="1"/>
  <c r="I1495" i="2" a="1"/>
  <c r="I1495" i="2" s="1"/>
  <c r="J1495" i="2" a="1"/>
  <c r="J1495" i="2" s="1"/>
  <c r="C1498" i="2"/>
  <c r="F1497" i="2"/>
  <c r="A1496" i="2" a="1"/>
  <c r="A1496" i="2" s="1"/>
  <c r="B1496" i="2" a="1"/>
  <c r="B1496" i="2" s="1"/>
  <c r="D1495" i="2" a="1"/>
  <c r="G1496" i="3" l="1" a="1"/>
  <c r="G1496" i="3" s="1"/>
  <c r="C1498" i="3"/>
  <c r="G1497" i="3" a="1"/>
  <c r="G1497" i="3" s="1"/>
  <c r="L1497" i="3"/>
  <c r="M1497" i="3"/>
  <c r="J1497" i="3" a="1"/>
  <c r="J1497" i="3" s="1"/>
  <c r="A1496" i="3" a="1"/>
  <c r="A1496" i="3" s="1"/>
  <c r="B1496" i="3" a="1"/>
  <c r="B1496" i="3" s="1"/>
  <c r="D1495" i="2"/>
  <c r="J1496" i="2" a="1"/>
  <c r="J1496" i="2" s="1"/>
  <c r="K1496" i="2" a="1"/>
  <c r="K1496" i="2" s="1"/>
  <c r="H1496" i="2" a="1"/>
  <c r="H1496" i="2" s="1"/>
  <c r="I1496" i="2" a="1"/>
  <c r="I1496" i="2" s="1"/>
  <c r="A1497" i="2" a="1"/>
  <c r="A1497" i="2" s="1"/>
  <c r="B1497" i="2" a="1"/>
  <c r="B1497" i="2" s="1"/>
  <c r="C1499" i="2"/>
  <c r="F1498" i="2"/>
  <c r="D1496" i="2" a="1"/>
  <c r="C1499" i="3" l="1"/>
  <c r="G1498" i="3" a="1"/>
  <c r="G1498" i="3" s="1"/>
  <c r="L1498" i="3"/>
  <c r="M1498" i="3"/>
  <c r="J1498" i="3" a="1"/>
  <c r="J1498" i="3" s="1"/>
  <c r="I1497" i="3" a="1"/>
  <c r="I1497" i="3" s="1"/>
  <c r="K1497" i="3" a="1"/>
  <c r="K1497" i="3" s="1"/>
  <c r="H1497" i="3" a="1"/>
  <c r="H1497" i="3" s="1"/>
  <c r="H1496" i="3" a="1"/>
  <c r="H1496" i="3" s="1"/>
  <c r="I1496" i="3" a="1"/>
  <c r="I1496" i="3" s="1"/>
  <c r="K1496" i="3" a="1"/>
  <c r="K1496" i="3" s="1"/>
  <c r="J1496" i="3" a="1"/>
  <c r="J1496" i="3" s="1"/>
  <c r="F1498" i="3"/>
  <c r="F1499" i="3" s="1"/>
  <c r="A1497" i="3" a="1"/>
  <c r="A1497" i="3" s="1"/>
  <c r="B1497" i="3" a="1"/>
  <c r="B1497" i="3" s="1"/>
  <c r="D1496" i="2"/>
  <c r="C1500" i="2"/>
  <c r="F1499" i="2"/>
  <c r="A1498" i="2" a="1"/>
  <c r="A1498" i="2" s="1"/>
  <c r="B1498" i="2" a="1"/>
  <c r="B1498" i="2" s="1"/>
  <c r="I1497" i="2" a="1"/>
  <c r="I1497" i="2" s="1"/>
  <c r="H1497" i="2" a="1"/>
  <c r="H1497" i="2" s="1"/>
  <c r="J1497" i="2" a="1"/>
  <c r="J1497" i="2" s="1"/>
  <c r="K1497" i="2" a="1"/>
  <c r="K1497" i="2" s="1"/>
  <c r="D1497" i="2" a="1"/>
  <c r="K1498" i="3" l="1" a="1"/>
  <c r="K1498" i="3" s="1"/>
  <c r="H1498" i="3" a="1"/>
  <c r="H1498" i="3" s="1"/>
  <c r="I1498" i="3" a="1"/>
  <c r="I1498" i="3" s="1"/>
  <c r="C1500" i="3"/>
  <c r="F1500" i="3" s="1"/>
  <c r="G1499" i="3" a="1"/>
  <c r="G1499" i="3" s="1"/>
  <c r="L1499" i="3"/>
  <c r="M1499" i="3"/>
  <c r="A1498" i="3" a="1"/>
  <c r="A1498" i="3" s="1"/>
  <c r="B1498" i="3" a="1"/>
  <c r="B1498" i="3" s="1"/>
  <c r="D1497" i="2"/>
  <c r="K1498" i="2" a="1"/>
  <c r="K1498" i="2" s="1"/>
  <c r="I1498" i="2" a="1"/>
  <c r="I1498" i="2" s="1"/>
  <c r="H1498" i="2" a="1"/>
  <c r="H1498" i="2" s="1"/>
  <c r="J1498" i="2" a="1"/>
  <c r="J1498" i="2" s="1"/>
  <c r="A1499" i="2" a="1"/>
  <c r="A1499" i="2" s="1"/>
  <c r="B1499" i="2" a="1"/>
  <c r="B1499" i="2" s="1"/>
  <c r="C1501" i="2"/>
  <c r="F1500" i="2"/>
  <c r="D1498" i="2" a="1"/>
  <c r="J1499" i="3" l="1" a="1"/>
  <c r="J1499" i="3" s="1"/>
  <c r="H1499" i="3" a="1"/>
  <c r="H1499" i="3" s="1"/>
  <c r="I1499" i="3" a="1"/>
  <c r="I1499" i="3" s="1"/>
  <c r="K1499" i="3" a="1"/>
  <c r="K1499" i="3" s="1"/>
  <c r="C1501" i="3"/>
  <c r="G1500" i="3" a="1"/>
  <c r="G1500" i="3" s="1"/>
  <c r="J1500" i="3" s="1" a="1"/>
  <c r="J1500" i="3" s="1"/>
  <c r="L1500" i="3"/>
  <c r="M1500" i="3"/>
  <c r="A1499" i="3" a="1"/>
  <c r="A1499" i="3" s="1"/>
  <c r="B1499" i="3" a="1"/>
  <c r="B1499" i="3" s="1"/>
  <c r="D1498" i="2"/>
  <c r="I1499" i="2" a="1"/>
  <c r="I1499" i="2" s="1"/>
  <c r="K1499" i="2" a="1"/>
  <c r="K1499" i="2" s="1"/>
  <c r="H1499" i="2" a="1"/>
  <c r="H1499" i="2" s="1"/>
  <c r="J1499" i="2" a="1"/>
  <c r="J1499" i="2" s="1"/>
  <c r="B1500" i="2" a="1"/>
  <c r="B1500" i="2" s="1"/>
  <c r="A1500" i="2" a="1"/>
  <c r="A1500" i="2" s="1"/>
  <c r="C1502" i="2"/>
  <c r="F1501" i="2"/>
  <c r="D1499" i="2" a="1"/>
  <c r="C1502" i="3" l="1"/>
  <c r="L1501" i="3"/>
  <c r="M1501" i="3"/>
  <c r="K1500" i="3" a="1"/>
  <c r="K1500" i="3" s="1"/>
  <c r="H1500" i="3" a="1"/>
  <c r="H1500" i="3" s="1"/>
  <c r="I1500" i="3" a="1"/>
  <c r="I1500" i="3" s="1"/>
  <c r="F1501" i="3"/>
  <c r="F1502" i="3" s="1"/>
  <c r="A1500" i="3" a="1"/>
  <c r="A1500" i="3" s="1"/>
  <c r="B1500" i="3" a="1"/>
  <c r="B1500" i="3" s="1"/>
  <c r="D1499" i="2"/>
  <c r="A1501" i="2" a="1"/>
  <c r="A1501" i="2" s="1"/>
  <c r="B1501" i="2" a="1"/>
  <c r="B1501" i="2" s="1"/>
  <c r="C1503" i="2"/>
  <c r="F1502" i="2"/>
  <c r="K1500" i="2" a="1"/>
  <c r="K1500" i="2" s="1"/>
  <c r="J1500" i="2" a="1"/>
  <c r="J1500" i="2" s="1"/>
  <c r="I1500" i="2" a="1"/>
  <c r="I1500" i="2" s="1"/>
  <c r="H1500" i="2" a="1"/>
  <c r="H1500" i="2" s="1"/>
  <c r="D1500" i="2" a="1"/>
  <c r="G1501" i="3" l="1" a="1"/>
  <c r="G1501" i="3" s="1"/>
  <c r="C1503" i="3"/>
  <c r="G1502" i="3" a="1"/>
  <c r="G1502" i="3" s="1"/>
  <c r="L1502" i="3"/>
  <c r="M1502" i="3"/>
  <c r="J1502" i="3" a="1"/>
  <c r="J1502" i="3" s="1"/>
  <c r="B1501" i="3" a="1"/>
  <c r="B1501" i="3" s="1"/>
  <c r="A1501" i="3" a="1"/>
  <c r="A1501" i="3" s="1"/>
  <c r="D1500" i="2"/>
  <c r="C1504" i="2"/>
  <c r="F1503" i="2"/>
  <c r="J1501" i="2" a="1"/>
  <c r="J1501" i="2" s="1"/>
  <c r="I1501" i="2" a="1"/>
  <c r="I1501" i="2" s="1"/>
  <c r="K1501" i="2" a="1"/>
  <c r="K1501" i="2" s="1"/>
  <c r="H1501" i="2" a="1"/>
  <c r="H1501" i="2" s="1"/>
  <c r="B1502" i="2" a="1"/>
  <c r="B1502" i="2" s="1"/>
  <c r="A1502" i="2" a="1"/>
  <c r="A1502" i="2" s="1"/>
  <c r="D1501" i="2" a="1"/>
  <c r="C1504" i="3" l="1"/>
  <c r="G1503" i="3" a="1"/>
  <c r="G1503" i="3" s="1"/>
  <c r="L1503" i="3"/>
  <c r="M1503" i="3"/>
  <c r="J1503" i="3" a="1"/>
  <c r="J1503" i="3" s="1"/>
  <c r="K1502" i="3" a="1"/>
  <c r="K1502" i="3" s="1"/>
  <c r="H1502" i="3" a="1"/>
  <c r="H1502" i="3" s="1"/>
  <c r="I1502" i="3" a="1"/>
  <c r="I1502" i="3" s="1"/>
  <c r="I1501" i="3" a="1"/>
  <c r="I1501" i="3" s="1"/>
  <c r="K1501" i="3" a="1"/>
  <c r="K1501" i="3" s="1"/>
  <c r="H1501" i="3" a="1"/>
  <c r="H1501" i="3" s="1"/>
  <c r="J1501" i="3" a="1"/>
  <c r="J1501" i="3" s="1"/>
  <c r="F1503" i="3"/>
  <c r="F1504" i="3" s="1"/>
  <c r="A1502" i="3" a="1"/>
  <c r="A1502" i="3" s="1"/>
  <c r="B1502" i="3" a="1"/>
  <c r="B1502" i="3" s="1"/>
  <c r="D1501" i="2"/>
  <c r="A1503" i="2" a="1"/>
  <c r="A1503" i="2" s="1"/>
  <c r="B1503" i="2" a="1"/>
  <c r="B1503" i="2" s="1"/>
  <c r="J1502" i="2" a="1"/>
  <c r="J1502" i="2" s="1"/>
  <c r="I1502" i="2" a="1"/>
  <c r="I1502" i="2" s="1"/>
  <c r="K1502" i="2" a="1"/>
  <c r="K1502" i="2" s="1"/>
  <c r="H1502" i="2" a="1"/>
  <c r="H1502" i="2" s="1"/>
  <c r="C1505" i="2"/>
  <c r="F1504" i="2"/>
  <c r="D1502" i="2" a="1"/>
  <c r="H1503" i="3" l="1" a="1"/>
  <c r="H1503" i="3" s="1"/>
  <c r="K1503" i="3" a="1"/>
  <c r="K1503" i="3" s="1"/>
  <c r="I1503" i="3" a="1"/>
  <c r="I1503" i="3" s="1"/>
  <c r="C1505" i="3"/>
  <c r="G1504" i="3" a="1"/>
  <c r="G1504" i="3" s="1"/>
  <c r="L1504" i="3"/>
  <c r="M1504" i="3"/>
  <c r="J1504" i="3" a="1"/>
  <c r="J1504" i="3" s="1"/>
  <c r="A1503" i="3" a="1"/>
  <c r="A1503" i="3" s="1"/>
  <c r="B1503" i="3" a="1"/>
  <c r="B1503" i="3" s="1"/>
  <c r="D1502" i="2"/>
  <c r="A1504" i="2" a="1"/>
  <c r="A1504" i="2" s="1"/>
  <c r="B1504" i="2" a="1"/>
  <c r="B1504" i="2" s="1"/>
  <c r="C1506" i="2"/>
  <c r="F1505" i="2"/>
  <c r="I1503" i="2" a="1"/>
  <c r="I1503" i="2" s="1"/>
  <c r="J1503" i="2" a="1"/>
  <c r="J1503" i="2" s="1"/>
  <c r="H1503" i="2" a="1"/>
  <c r="H1503" i="2" s="1"/>
  <c r="K1503" i="2" a="1"/>
  <c r="K1503" i="2" s="1"/>
  <c r="D1503" i="2" a="1"/>
  <c r="H1504" i="3" l="1" a="1"/>
  <c r="H1504" i="3" s="1"/>
  <c r="I1504" i="3" a="1"/>
  <c r="I1504" i="3" s="1"/>
  <c r="K1504" i="3" a="1"/>
  <c r="K1504" i="3" s="1"/>
  <c r="C1506" i="3"/>
  <c r="L1505" i="3"/>
  <c r="M1505" i="3"/>
  <c r="F1505" i="3"/>
  <c r="F1506" i="3" s="1"/>
  <c r="A1504" i="3" a="1"/>
  <c r="A1504" i="3" s="1"/>
  <c r="B1504" i="3" a="1"/>
  <c r="B1504" i="3" s="1"/>
  <c r="D1503" i="2"/>
  <c r="C1507" i="2"/>
  <c r="F1506" i="2"/>
  <c r="A1505" i="2" a="1"/>
  <c r="A1505" i="2" s="1"/>
  <c r="B1505" i="2" a="1"/>
  <c r="B1505" i="2" s="1"/>
  <c r="K1504" i="2" a="1"/>
  <c r="K1504" i="2" s="1"/>
  <c r="I1504" i="2" a="1"/>
  <c r="I1504" i="2" s="1"/>
  <c r="J1504" i="2" a="1"/>
  <c r="J1504" i="2" s="1"/>
  <c r="H1504" i="2" a="1"/>
  <c r="H1504" i="2" s="1"/>
  <c r="D1504" i="2" a="1"/>
  <c r="G1505" i="3" l="1" a="1"/>
  <c r="G1505" i="3" s="1"/>
  <c r="C1507" i="3"/>
  <c r="G1506" i="3" a="1"/>
  <c r="G1506" i="3" s="1"/>
  <c r="L1506" i="3"/>
  <c r="M1506" i="3"/>
  <c r="J1506" i="3" a="1"/>
  <c r="J1506" i="3" s="1"/>
  <c r="A1505" i="3" a="1"/>
  <c r="A1505" i="3" s="1"/>
  <c r="B1505" i="3" a="1"/>
  <c r="B1505" i="3" s="1"/>
  <c r="D1504" i="2"/>
  <c r="H1505" i="2" a="1"/>
  <c r="H1505" i="2" s="1"/>
  <c r="I1505" i="2" a="1"/>
  <c r="I1505" i="2" s="1"/>
  <c r="K1505" i="2" a="1"/>
  <c r="K1505" i="2" s="1"/>
  <c r="J1505" i="2" a="1"/>
  <c r="J1505" i="2" s="1"/>
  <c r="A1506" i="2" a="1"/>
  <c r="A1506" i="2" s="1"/>
  <c r="B1506" i="2" a="1"/>
  <c r="B1506" i="2" s="1"/>
  <c r="C1508" i="2"/>
  <c r="F1507" i="2"/>
  <c r="D1505" i="2" a="1"/>
  <c r="I1505" i="3" l="1" a="1"/>
  <c r="I1505" i="3" s="1"/>
  <c r="K1505" i="3" a="1"/>
  <c r="K1505" i="3" s="1"/>
  <c r="H1505" i="3" a="1"/>
  <c r="H1505" i="3" s="1"/>
  <c r="J1505" i="3" a="1"/>
  <c r="J1505" i="3" s="1"/>
  <c r="K1506" i="3" a="1"/>
  <c r="K1506" i="3" s="1"/>
  <c r="H1506" i="3" a="1"/>
  <c r="H1506" i="3" s="1"/>
  <c r="I1506" i="3" a="1"/>
  <c r="I1506" i="3" s="1"/>
  <c r="C1508" i="3"/>
  <c r="G1507" i="3" a="1"/>
  <c r="G1507" i="3" s="1"/>
  <c r="L1507" i="3"/>
  <c r="M1507" i="3"/>
  <c r="J1507" i="3" a="1"/>
  <c r="J1507" i="3" s="1"/>
  <c r="F1507" i="3"/>
  <c r="B1506" i="3" a="1"/>
  <c r="B1506" i="3" s="1"/>
  <c r="A1506" i="3" a="1"/>
  <c r="A1506" i="3" s="1"/>
  <c r="D1505" i="2"/>
  <c r="A1507" i="2" a="1"/>
  <c r="A1507" i="2" s="1"/>
  <c r="B1507" i="2" a="1"/>
  <c r="B1507" i="2" s="1"/>
  <c r="C1509" i="2"/>
  <c r="F1508" i="2"/>
  <c r="J1506" i="2" a="1"/>
  <c r="J1506" i="2" s="1"/>
  <c r="K1506" i="2" a="1"/>
  <c r="K1506" i="2" s="1"/>
  <c r="I1506" i="2" a="1"/>
  <c r="I1506" i="2" s="1"/>
  <c r="H1506" i="2" a="1"/>
  <c r="H1506" i="2" s="1"/>
  <c r="D1506" i="2" a="1"/>
  <c r="I1507" i="3" l="1" a="1"/>
  <c r="I1507" i="3" s="1"/>
  <c r="K1507" i="3" a="1"/>
  <c r="K1507" i="3" s="1"/>
  <c r="H1507" i="3" a="1"/>
  <c r="H1507" i="3" s="1"/>
  <c r="C1509" i="3"/>
  <c r="L1508" i="3"/>
  <c r="M1508" i="3"/>
  <c r="F1508" i="3"/>
  <c r="F1509" i="3" s="1"/>
  <c r="A1507" i="3" a="1"/>
  <c r="A1507" i="3" s="1"/>
  <c r="B1507" i="3" a="1"/>
  <c r="B1507" i="3" s="1"/>
  <c r="D1506" i="2"/>
  <c r="C1510" i="2"/>
  <c r="F1509" i="2"/>
  <c r="J1507" i="2" a="1"/>
  <c r="J1507" i="2" s="1"/>
  <c r="I1507" i="2" a="1"/>
  <c r="I1507" i="2" s="1"/>
  <c r="K1507" i="2" a="1"/>
  <c r="K1507" i="2" s="1"/>
  <c r="H1507" i="2" a="1"/>
  <c r="H1507" i="2" s="1"/>
  <c r="A1508" i="2" a="1"/>
  <c r="A1508" i="2" s="1"/>
  <c r="B1508" i="2" a="1"/>
  <c r="B1508" i="2" s="1"/>
  <c r="D1507" i="2" a="1"/>
  <c r="G1508" i="3" l="1" a="1"/>
  <c r="G1508" i="3" s="1"/>
  <c r="C1510" i="3"/>
  <c r="G1509" i="3" a="1"/>
  <c r="G1509" i="3" s="1"/>
  <c r="L1509" i="3"/>
  <c r="M1509" i="3"/>
  <c r="J1509" i="3" a="1"/>
  <c r="J1509" i="3" s="1"/>
  <c r="A1508" i="3" a="1"/>
  <c r="A1508" i="3" s="1"/>
  <c r="B1508" i="3" a="1"/>
  <c r="B1508" i="3" s="1"/>
  <c r="D1507" i="2"/>
  <c r="J1508" i="2" a="1"/>
  <c r="J1508" i="2" s="1"/>
  <c r="K1508" i="2" a="1"/>
  <c r="K1508" i="2" s="1"/>
  <c r="H1508" i="2" a="1"/>
  <c r="H1508" i="2" s="1"/>
  <c r="I1508" i="2" a="1"/>
  <c r="I1508" i="2" s="1"/>
  <c r="B1509" i="2" a="1"/>
  <c r="B1509" i="2" s="1"/>
  <c r="A1509" i="2" a="1"/>
  <c r="A1509" i="2" s="1"/>
  <c r="C1511" i="2"/>
  <c r="F1510" i="2"/>
  <c r="D1508" i="2" a="1"/>
  <c r="H1508" i="3" l="1" a="1"/>
  <c r="H1508" i="3" s="1"/>
  <c r="I1508" i="3" a="1"/>
  <c r="I1508" i="3" s="1"/>
  <c r="K1508" i="3" a="1"/>
  <c r="K1508" i="3" s="1"/>
  <c r="J1508" i="3" a="1"/>
  <c r="J1508" i="3" s="1"/>
  <c r="I1509" i="3" a="1"/>
  <c r="I1509" i="3" s="1"/>
  <c r="K1509" i="3" a="1"/>
  <c r="K1509" i="3" s="1"/>
  <c r="H1509" i="3" a="1"/>
  <c r="H1509" i="3" s="1"/>
  <c r="C1511" i="3"/>
  <c r="G1510" i="3" a="1"/>
  <c r="G1510" i="3" s="1"/>
  <c r="L1510" i="3"/>
  <c r="M1510" i="3"/>
  <c r="J1510" i="3" a="1"/>
  <c r="J1510" i="3" s="1"/>
  <c r="F1510" i="3"/>
  <c r="A1509" i="3" a="1"/>
  <c r="A1509" i="3" s="1"/>
  <c r="B1509" i="3" a="1"/>
  <c r="B1509" i="3" s="1"/>
  <c r="D1508" i="2"/>
  <c r="A1510" i="2" a="1"/>
  <c r="A1510" i="2" s="1"/>
  <c r="B1510" i="2" a="1"/>
  <c r="B1510" i="2" s="1"/>
  <c r="C1512" i="2"/>
  <c r="F1511" i="2"/>
  <c r="H1509" i="2" a="1"/>
  <c r="H1509" i="2" s="1"/>
  <c r="J1509" i="2" a="1"/>
  <c r="J1509" i="2" s="1"/>
  <c r="K1509" i="2" a="1"/>
  <c r="K1509" i="2" s="1"/>
  <c r="I1509" i="2" a="1"/>
  <c r="I1509" i="2" s="1"/>
  <c r="D1509" i="2" a="1"/>
  <c r="C1512" i="3" l="1"/>
  <c r="L1511" i="3"/>
  <c r="M1511" i="3"/>
  <c r="K1510" i="3" a="1"/>
  <c r="K1510" i="3" s="1"/>
  <c r="H1510" i="3" a="1"/>
  <c r="H1510" i="3" s="1"/>
  <c r="I1510" i="3" a="1"/>
  <c r="I1510" i="3" s="1"/>
  <c r="F1511" i="3"/>
  <c r="F1512" i="3" s="1"/>
  <c r="A1510" i="3" a="1"/>
  <c r="A1510" i="3" s="1"/>
  <c r="B1510" i="3" a="1"/>
  <c r="B1510" i="3" s="1"/>
  <c r="D1509" i="2"/>
  <c r="J1510" i="2" a="1"/>
  <c r="J1510" i="2" s="1"/>
  <c r="H1510" i="2" a="1"/>
  <c r="H1510" i="2" s="1"/>
  <c r="I1510" i="2" a="1"/>
  <c r="I1510" i="2" s="1"/>
  <c r="K1510" i="2" a="1"/>
  <c r="K1510" i="2" s="1"/>
  <c r="A1511" i="2" a="1"/>
  <c r="A1511" i="2" s="1"/>
  <c r="B1511" i="2" a="1"/>
  <c r="B1511" i="2" s="1"/>
  <c r="C1513" i="2"/>
  <c r="F1512" i="2"/>
  <c r="D1510" i="2" a="1"/>
  <c r="G1511" i="3" l="1" a="1"/>
  <c r="G1511" i="3" s="1"/>
  <c r="C1513" i="3"/>
  <c r="G1512" i="3" a="1"/>
  <c r="G1512" i="3" s="1"/>
  <c r="L1512" i="3"/>
  <c r="M1512" i="3"/>
  <c r="J1512" i="3" a="1"/>
  <c r="J1512" i="3" s="1"/>
  <c r="A1511" i="3" a="1"/>
  <c r="A1511" i="3" s="1"/>
  <c r="B1511" i="3" a="1"/>
  <c r="B1511" i="3" s="1"/>
  <c r="D1510" i="2"/>
  <c r="J1511" i="2" a="1"/>
  <c r="J1511" i="2" s="1"/>
  <c r="K1511" i="2" a="1"/>
  <c r="K1511" i="2" s="1"/>
  <c r="H1511" i="2" a="1"/>
  <c r="H1511" i="2" s="1"/>
  <c r="I1511" i="2" a="1"/>
  <c r="I1511" i="2" s="1"/>
  <c r="C1514" i="2"/>
  <c r="F1513" i="2"/>
  <c r="B1512" i="2" a="1"/>
  <c r="B1512" i="2" s="1"/>
  <c r="A1512" i="2" a="1"/>
  <c r="A1512" i="2" s="1"/>
  <c r="D1511" i="2" a="1"/>
  <c r="C1514" i="3" l="1"/>
  <c r="G1513" i="3" a="1"/>
  <c r="G1513" i="3" s="1"/>
  <c r="L1513" i="3"/>
  <c r="M1513" i="3"/>
  <c r="J1513" i="3" a="1"/>
  <c r="J1513" i="3" s="1"/>
  <c r="H1512" i="3" a="1"/>
  <c r="H1512" i="3" s="1"/>
  <c r="I1512" i="3" a="1"/>
  <c r="I1512" i="3" s="1"/>
  <c r="K1512" i="3" a="1"/>
  <c r="K1512" i="3" s="1"/>
  <c r="H1511" i="3" a="1"/>
  <c r="H1511" i="3" s="1"/>
  <c r="I1511" i="3" a="1"/>
  <c r="I1511" i="3" s="1"/>
  <c r="K1511" i="3" a="1"/>
  <c r="K1511" i="3" s="1"/>
  <c r="J1511" i="3" a="1"/>
  <c r="J1511" i="3" s="1"/>
  <c r="F1513" i="3"/>
  <c r="F1514" i="3" s="1"/>
  <c r="A1512" i="3" a="1"/>
  <c r="A1512" i="3" s="1"/>
  <c r="B1512" i="3" a="1"/>
  <c r="B1512" i="3" s="1"/>
  <c r="D1511" i="2"/>
  <c r="C1515" i="2"/>
  <c r="F1514" i="2"/>
  <c r="J1512" i="2" a="1"/>
  <c r="J1512" i="2" s="1"/>
  <c r="K1512" i="2" a="1"/>
  <c r="K1512" i="2" s="1"/>
  <c r="H1512" i="2" a="1"/>
  <c r="H1512" i="2" s="1"/>
  <c r="I1512" i="2" a="1"/>
  <c r="I1512" i="2" s="1"/>
  <c r="A1513" i="2" a="1"/>
  <c r="A1513" i="2" s="1"/>
  <c r="B1513" i="2" a="1"/>
  <c r="B1513" i="2" s="1"/>
  <c r="D1512" i="2" a="1"/>
  <c r="I1513" i="3" l="1" a="1"/>
  <c r="I1513" i="3" s="1"/>
  <c r="K1513" i="3" a="1"/>
  <c r="K1513" i="3" s="1"/>
  <c r="H1513" i="3" a="1"/>
  <c r="H1513" i="3" s="1"/>
  <c r="C1515" i="3"/>
  <c r="G1514" i="3" a="1"/>
  <c r="G1514" i="3" s="1"/>
  <c r="M1514" i="3"/>
  <c r="L1514" i="3"/>
  <c r="J1514" i="3" a="1"/>
  <c r="J1514" i="3" s="1"/>
  <c r="B1513" i="3" a="1"/>
  <c r="B1513" i="3" s="1"/>
  <c r="A1513" i="3" a="1"/>
  <c r="A1513" i="3" s="1"/>
  <c r="D1512" i="2"/>
  <c r="J1513" i="2" a="1"/>
  <c r="J1513" i="2" s="1"/>
  <c r="I1513" i="2" a="1"/>
  <c r="I1513" i="2" s="1"/>
  <c r="K1513" i="2" a="1"/>
  <c r="K1513" i="2" s="1"/>
  <c r="H1513" i="2" a="1"/>
  <c r="H1513" i="2" s="1"/>
  <c r="B1514" i="2" a="1"/>
  <c r="B1514" i="2" s="1"/>
  <c r="A1514" i="2" a="1"/>
  <c r="A1514" i="2" s="1"/>
  <c r="C1516" i="2"/>
  <c r="F1515" i="2"/>
  <c r="D1513" i="2" a="1"/>
  <c r="K1514" i="3" l="1" a="1"/>
  <c r="K1514" i="3" s="1"/>
  <c r="H1514" i="3" a="1"/>
  <c r="H1514" i="3" s="1"/>
  <c r="I1514" i="3" a="1"/>
  <c r="I1514" i="3" s="1"/>
  <c r="C1516" i="3"/>
  <c r="L1515" i="3"/>
  <c r="M1515" i="3"/>
  <c r="F1515" i="3"/>
  <c r="F1516" i="3" s="1"/>
  <c r="A1514" i="3" a="1"/>
  <c r="A1514" i="3" s="1"/>
  <c r="B1514" i="3" a="1"/>
  <c r="B1514" i="3" s="1"/>
  <c r="D1513" i="2"/>
  <c r="B1515" i="2" a="1"/>
  <c r="B1515" i="2" s="1"/>
  <c r="A1515" i="2" a="1"/>
  <c r="A1515" i="2" s="1"/>
  <c r="J1514" i="2" a="1"/>
  <c r="J1514" i="2" s="1"/>
  <c r="K1514" i="2" a="1"/>
  <c r="K1514" i="2" s="1"/>
  <c r="I1514" i="2" a="1"/>
  <c r="I1514" i="2" s="1"/>
  <c r="H1514" i="2" a="1"/>
  <c r="H1514" i="2" s="1"/>
  <c r="C1517" i="2"/>
  <c r="F1516" i="2"/>
  <c r="D1514" i="2" a="1"/>
  <c r="C1517" i="3" l="1"/>
  <c r="G1516" i="3" a="1"/>
  <c r="G1516" i="3" s="1"/>
  <c r="L1516" i="3"/>
  <c r="M1516" i="3"/>
  <c r="F1517" i="3"/>
  <c r="G1515" i="3" a="1"/>
  <c r="G1515" i="3" s="1"/>
  <c r="A1515" i="3" a="1"/>
  <c r="A1515" i="3" s="1"/>
  <c r="B1515" i="3" a="1"/>
  <c r="B1515" i="3" s="1"/>
  <c r="D1514" i="2"/>
  <c r="C1518" i="2"/>
  <c r="F1517" i="2"/>
  <c r="A1516" i="2" a="1"/>
  <c r="A1516" i="2" s="1"/>
  <c r="B1516" i="2" a="1"/>
  <c r="B1516" i="2" s="1"/>
  <c r="I1515" i="2" a="1"/>
  <c r="I1515" i="2" s="1"/>
  <c r="K1515" i="2" a="1"/>
  <c r="K1515" i="2" s="1"/>
  <c r="H1515" i="2" a="1"/>
  <c r="H1515" i="2" s="1"/>
  <c r="J1515" i="2" a="1"/>
  <c r="J1515" i="2" s="1"/>
  <c r="D1515" i="2" a="1"/>
  <c r="H1515" i="3" l="1" a="1"/>
  <c r="H1515" i="3" s="1"/>
  <c r="I1515" i="3" a="1"/>
  <c r="I1515" i="3" s="1"/>
  <c r="K1515" i="3" a="1"/>
  <c r="K1515" i="3" s="1"/>
  <c r="J1515" i="3" a="1"/>
  <c r="J1515" i="3" s="1"/>
  <c r="H1516" i="3" a="1"/>
  <c r="H1516" i="3" s="1"/>
  <c r="I1516" i="3" a="1"/>
  <c r="I1516" i="3" s="1"/>
  <c r="K1516" i="3" a="1"/>
  <c r="K1516" i="3" s="1"/>
  <c r="J1516" i="3" a="1"/>
  <c r="J1516" i="3" s="1"/>
  <c r="C1518" i="3"/>
  <c r="G1517" i="3" a="1"/>
  <c r="G1517" i="3" s="1"/>
  <c r="L1517" i="3"/>
  <c r="M1517" i="3"/>
  <c r="A1516" i="3" a="1"/>
  <c r="A1516" i="3" s="1"/>
  <c r="B1516" i="3" a="1"/>
  <c r="B1516" i="3" s="1"/>
  <c r="D1515" i="2"/>
  <c r="J1516" i="2" a="1"/>
  <c r="J1516" i="2" s="1"/>
  <c r="I1516" i="2" a="1"/>
  <c r="I1516" i="2" s="1"/>
  <c r="K1516" i="2" a="1"/>
  <c r="K1516" i="2" s="1"/>
  <c r="H1516" i="2" a="1"/>
  <c r="H1516" i="2" s="1"/>
  <c r="A1517" i="2" a="1"/>
  <c r="A1517" i="2" s="1"/>
  <c r="B1517" i="2" a="1"/>
  <c r="B1517" i="2" s="1"/>
  <c r="C1519" i="2"/>
  <c r="F1518" i="2"/>
  <c r="D1516" i="2" a="1"/>
  <c r="I1517" i="3" l="1" a="1"/>
  <c r="I1517" i="3" s="1"/>
  <c r="K1517" i="3" a="1"/>
  <c r="K1517" i="3" s="1"/>
  <c r="H1517" i="3" a="1"/>
  <c r="H1517" i="3" s="1"/>
  <c r="C1519" i="3"/>
  <c r="L1518" i="3"/>
  <c r="M1518" i="3"/>
  <c r="J1517" i="3" a="1"/>
  <c r="J1517" i="3" s="1"/>
  <c r="F1518" i="3"/>
  <c r="F1519" i="3" s="1"/>
  <c r="A1517" i="3" a="1"/>
  <c r="A1517" i="3" s="1"/>
  <c r="B1517" i="3" a="1"/>
  <c r="B1517" i="3" s="1"/>
  <c r="D1516" i="2"/>
  <c r="C1520" i="2"/>
  <c r="F1519" i="2"/>
  <c r="A1518" i="2" a="1"/>
  <c r="A1518" i="2" s="1"/>
  <c r="B1518" i="2" a="1"/>
  <c r="B1518" i="2" s="1"/>
  <c r="J1517" i="2" a="1"/>
  <c r="J1517" i="2" s="1"/>
  <c r="K1517" i="2" a="1"/>
  <c r="K1517" i="2" s="1"/>
  <c r="I1517" i="2" a="1"/>
  <c r="I1517" i="2" s="1"/>
  <c r="H1517" i="2" a="1"/>
  <c r="H1517" i="2" s="1"/>
  <c r="D1517" i="2" a="1"/>
  <c r="C1520" i="3" l="1"/>
  <c r="G1519" i="3" a="1"/>
  <c r="G1519" i="3" s="1"/>
  <c r="J1519" i="3" a="1"/>
  <c r="J1519" i="3" s="1"/>
  <c r="L1519" i="3"/>
  <c r="M1519" i="3"/>
  <c r="G1518" i="3" a="1"/>
  <c r="G1518" i="3" s="1"/>
  <c r="F1520" i="3"/>
  <c r="B1518" i="3" a="1"/>
  <c r="B1518" i="3" s="1"/>
  <c r="A1518" i="3" a="1"/>
  <c r="A1518" i="3" s="1"/>
  <c r="D1517" i="2"/>
  <c r="A1519" i="2" a="1"/>
  <c r="A1519" i="2" s="1"/>
  <c r="B1519" i="2" a="1"/>
  <c r="B1519" i="2" s="1"/>
  <c r="J1518" i="2" a="1"/>
  <c r="J1518" i="2" s="1"/>
  <c r="I1518" i="2" a="1"/>
  <c r="I1518" i="2" s="1"/>
  <c r="K1518" i="2" a="1"/>
  <c r="K1518" i="2" s="1"/>
  <c r="H1518" i="2" a="1"/>
  <c r="H1518" i="2" s="1"/>
  <c r="C1521" i="2"/>
  <c r="F1520" i="2"/>
  <c r="D1518" i="2" a="1"/>
  <c r="K1518" i="3" l="1" a="1"/>
  <c r="K1518" i="3" s="1"/>
  <c r="H1518" i="3" a="1"/>
  <c r="H1518" i="3" s="1"/>
  <c r="I1518" i="3" a="1"/>
  <c r="I1518" i="3" s="1"/>
  <c r="J1518" i="3" a="1"/>
  <c r="J1518" i="3" s="1"/>
  <c r="H1519" i="3" a="1"/>
  <c r="H1519" i="3" s="1"/>
  <c r="I1519" i="3" a="1"/>
  <c r="I1519" i="3" s="1"/>
  <c r="K1519" i="3" a="1"/>
  <c r="K1519" i="3" s="1"/>
  <c r="C1521" i="3"/>
  <c r="G1520" i="3" a="1"/>
  <c r="G1520" i="3" s="1"/>
  <c r="L1520" i="3"/>
  <c r="M1520" i="3"/>
  <c r="A1519" i="3" a="1"/>
  <c r="A1519" i="3" s="1"/>
  <c r="B1519" i="3" a="1"/>
  <c r="B1519" i="3" s="1"/>
  <c r="D1518" i="2"/>
  <c r="A1520" i="2" a="1"/>
  <c r="A1520" i="2" s="1"/>
  <c r="B1520" i="2" a="1"/>
  <c r="B1520" i="2" s="1"/>
  <c r="C1522" i="2"/>
  <c r="F1521" i="2"/>
  <c r="H1519" i="2" a="1"/>
  <c r="H1519" i="2" s="1"/>
  <c r="K1519" i="2" a="1"/>
  <c r="K1519" i="2" s="1"/>
  <c r="I1519" i="2" a="1"/>
  <c r="I1519" i="2" s="1"/>
  <c r="J1519" i="2" a="1"/>
  <c r="J1519" i="2" s="1"/>
  <c r="D1519" i="2" a="1"/>
  <c r="H1520" i="3" l="1" a="1"/>
  <c r="H1520" i="3" s="1"/>
  <c r="I1520" i="3" a="1"/>
  <c r="I1520" i="3" s="1"/>
  <c r="K1520" i="3" a="1"/>
  <c r="K1520" i="3" s="1"/>
  <c r="C1522" i="3"/>
  <c r="L1521" i="3"/>
  <c r="M1521" i="3"/>
  <c r="J1520" i="3" a="1"/>
  <c r="J1520" i="3" s="1"/>
  <c r="F1521" i="3"/>
  <c r="F1522" i="3" s="1"/>
  <c r="B1520" i="3" a="1"/>
  <c r="B1520" i="3" s="1"/>
  <c r="A1520" i="3" a="1"/>
  <c r="A1520" i="3" s="1"/>
  <c r="D1519" i="2"/>
  <c r="B1521" i="2" a="1"/>
  <c r="B1521" i="2" s="1"/>
  <c r="A1521" i="2" a="1"/>
  <c r="A1521" i="2" s="1"/>
  <c r="J1520" i="2" a="1"/>
  <c r="J1520" i="2" s="1"/>
  <c r="K1520" i="2" a="1"/>
  <c r="K1520" i="2" s="1"/>
  <c r="I1520" i="2" a="1"/>
  <c r="I1520" i="2" s="1"/>
  <c r="H1520" i="2" a="1"/>
  <c r="H1520" i="2" s="1"/>
  <c r="C1523" i="2"/>
  <c r="F1522" i="2"/>
  <c r="D1520" i="2" a="1"/>
  <c r="C1523" i="3" l="1"/>
  <c r="G1522" i="3" a="1"/>
  <c r="G1522" i="3" s="1"/>
  <c r="L1522" i="3"/>
  <c r="M1522" i="3"/>
  <c r="J1522" i="3" a="1"/>
  <c r="J1522" i="3" s="1"/>
  <c r="F1523" i="3"/>
  <c r="G1521" i="3" a="1"/>
  <c r="G1521" i="3" s="1"/>
  <c r="A1521" i="3" a="1"/>
  <c r="A1521" i="3" s="1"/>
  <c r="B1521" i="3" a="1"/>
  <c r="B1521" i="3" s="1"/>
  <c r="D1520" i="2"/>
  <c r="A1522" i="2" a="1"/>
  <c r="A1522" i="2" s="1"/>
  <c r="B1522" i="2" a="1"/>
  <c r="B1522" i="2" s="1"/>
  <c r="J1521" i="2" a="1"/>
  <c r="J1521" i="2" s="1"/>
  <c r="H1521" i="2" a="1"/>
  <c r="H1521" i="2" s="1"/>
  <c r="K1521" i="2" a="1"/>
  <c r="K1521" i="2" s="1"/>
  <c r="I1521" i="2" a="1"/>
  <c r="I1521" i="2" s="1"/>
  <c r="C1524" i="2"/>
  <c r="F1523" i="2"/>
  <c r="D1521" i="2" a="1"/>
  <c r="K1521" i="3" l="1" a="1"/>
  <c r="K1521" i="3" s="1"/>
  <c r="H1521" i="3" a="1"/>
  <c r="H1521" i="3" s="1"/>
  <c r="I1521" i="3" a="1"/>
  <c r="I1521" i="3" s="1"/>
  <c r="J1521" i="3" a="1"/>
  <c r="J1521" i="3" s="1"/>
  <c r="K1522" i="3" a="1"/>
  <c r="K1522" i="3" s="1"/>
  <c r="H1522" i="3" a="1"/>
  <c r="H1522" i="3" s="1"/>
  <c r="I1522" i="3" a="1"/>
  <c r="I1522" i="3" s="1"/>
  <c r="C1524" i="3"/>
  <c r="G1523" i="3" a="1"/>
  <c r="G1523" i="3" s="1"/>
  <c r="L1523" i="3"/>
  <c r="M1523" i="3"/>
  <c r="A1522" i="3" a="1"/>
  <c r="A1522" i="3" s="1"/>
  <c r="B1522" i="3" a="1"/>
  <c r="B1522" i="3" s="1"/>
  <c r="D1521" i="2"/>
  <c r="A1523" i="2" a="1"/>
  <c r="A1523" i="2" s="1"/>
  <c r="B1523" i="2" a="1"/>
  <c r="B1523" i="2" s="1"/>
  <c r="C1525" i="2"/>
  <c r="F1524" i="2"/>
  <c r="J1522" i="2" a="1"/>
  <c r="J1522" i="2" s="1"/>
  <c r="I1522" i="2" a="1"/>
  <c r="I1522" i="2" s="1"/>
  <c r="K1522" i="2" a="1"/>
  <c r="K1522" i="2" s="1"/>
  <c r="H1522" i="2" a="1"/>
  <c r="H1522" i="2" s="1"/>
  <c r="D1522" i="2" a="1"/>
  <c r="C1525" i="3" l="1"/>
  <c r="M1524" i="3"/>
  <c r="L1524" i="3"/>
  <c r="H1523" i="3" a="1"/>
  <c r="H1523" i="3" s="1"/>
  <c r="I1523" i="3" a="1"/>
  <c r="I1523" i="3" s="1"/>
  <c r="K1523" i="3" a="1"/>
  <c r="K1523" i="3" s="1"/>
  <c r="F1524" i="3"/>
  <c r="F1525" i="3" s="1"/>
  <c r="J1523" i="3" a="1"/>
  <c r="J1523" i="3" s="1"/>
  <c r="A1523" i="3" a="1"/>
  <c r="A1523" i="3" s="1"/>
  <c r="B1523" i="3" a="1"/>
  <c r="B1523" i="3" s="1"/>
  <c r="D1522" i="2"/>
  <c r="C1526" i="2"/>
  <c r="F1525" i="2"/>
  <c r="I1523" i="2" a="1"/>
  <c r="I1523" i="2" s="1"/>
  <c r="H1523" i="2" a="1"/>
  <c r="H1523" i="2" s="1"/>
  <c r="J1523" i="2" a="1"/>
  <c r="J1523" i="2" s="1"/>
  <c r="K1523" i="2" a="1"/>
  <c r="K1523" i="2" s="1"/>
  <c r="A1524" i="2" a="1"/>
  <c r="A1524" i="2" s="1"/>
  <c r="B1524" i="2" a="1"/>
  <c r="B1524" i="2" s="1"/>
  <c r="D1523" i="2" a="1"/>
  <c r="G1524" i="3" l="1" a="1"/>
  <c r="G1524" i="3" s="1"/>
  <c r="C1526" i="3"/>
  <c r="G1525" i="3" a="1"/>
  <c r="G1525" i="3" s="1"/>
  <c r="L1525" i="3"/>
  <c r="M1525" i="3"/>
  <c r="A1524" i="3" a="1"/>
  <c r="A1524" i="3" s="1"/>
  <c r="B1524" i="3" a="1"/>
  <c r="B1524" i="3" s="1"/>
  <c r="D1523" i="2"/>
  <c r="H1524" i="2" a="1"/>
  <c r="H1524" i="2" s="1"/>
  <c r="K1524" i="2" a="1"/>
  <c r="K1524" i="2" s="1"/>
  <c r="I1524" i="2" a="1"/>
  <c r="I1524" i="2" s="1"/>
  <c r="J1524" i="2" a="1"/>
  <c r="J1524" i="2" s="1"/>
  <c r="A1525" i="2" a="1"/>
  <c r="A1525" i="2" s="1"/>
  <c r="B1525" i="2" a="1"/>
  <c r="B1525" i="2" s="1"/>
  <c r="C1527" i="2"/>
  <c r="F1526" i="2"/>
  <c r="D1524" i="2" a="1"/>
  <c r="H1525" i="3" l="1" a="1"/>
  <c r="H1525" i="3" s="1"/>
  <c r="I1525" i="3" a="1"/>
  <c r="I1525" i="3" s="1"/>
  <c r="K1525" i="3" a="1"/>
  <c r="K1525" i="3" s="1"/>
  <c r="C1527" i="3"/>
  <c r="G1526" i="3" a="1"/>
  <c r="G1526" i="3" s="1"/>
  <c r="L1526" i="3"/>
  <c r="M1526" i="3"/>
  <c r="J1525" i="3" a="1"/>
  <c r="J1525" i="3" s="1"/>
  <c r="I1524" i="3" a="1"/>
  <c r="I1524" i="3" s="1"/>
  <c r="H1524" i="3" a="1"/>
  <c r="H1524" i="3" s="1"/>
  <c r="K1524" i="3" a="1"/>
  <c r="K1524" i="3" s="1"/>
  <c r="J1524" i="3" a="1"/>
  <c r="J1524" i="3" s="1"/>
  <c r="F1526" i="3"/>
  <c r="F1527" i="3" s="1"/>
  <c r="B1525" i="3" a="1"/>
  <c r="B1525" i="3" s="1"/>
  <c r="A1525" i="3" a="1"/>
  <c r="A1525" i="3" s="1"/>
  <c r="D1524" i="2"/>
  <c r="A1526" i="2" a="1"/>
  <c r="A1526" i="2" s="1"/>
  <c r="B1526" i="2" a="1"/>
  <c r="B1526" i="2" s="1"/>
  <c r="C1528" i="2"/>
  <c r="F1527" i="2"/>
  <c r="H1525" i="2" a="1"/>
  <c r="H1525" i="2" s="1"/>
  <c r="K1525" i="2" a="1"/>
  <c r="K1525" i="2" s="1"/>
  <c r="J1525" i="2" a="1"/>
  <c r="J1525" i="2" s="1"/>
  <c r="I1525" i="2" a="1"/>
  <c r="I1525" i="2" s="1"/>
  <c r="D1525" i="2" a="1"/>
  <c r="H1526" i="3" l="1" a="1"/>
  <c r="H1526" i="3" s="1"/>
  <c r="I1526" i="3" a="1"/>
  <c r="I1526" i="3" s="1"/>
  <c r="K1526" i="3" a="1"/>
  <c r="K1526" i="3" s="1"/>
  <c r="C1528" i="3"/>
  <c r="G1527" i="3" a="1"/>
  <c r="G1527" i="3" s="1"/>
  <c r="J1527" i="3" s="1" a="1"/>
  <c r="J1527" i="3" s="1"/>
  <c r="L1527" i="3"/>
  <c r="M1527" i="3"/>
  <c r="J1526" i="3" a="1"/>
  <c r="J1526" i="3" s="1"/>
  <c r="F1528" i="3"/>
  <c r="A1526" i="3" a="1"/>
  <c r="A1526" i="3" s="1"/>
  <c r="B1526" i="3" a="1"/>
  <c r="B1526" i="3" s="1"/>
  <c r="D1525" i="2"/>
  <c r="K1526" i="2" a="1"/>
  <c r="K1526" i="2" s="1"/>
  <c r="I1526" i="2" a="1"/>
  <c r="I1526" i="2" s="1"/>
  <c r="J1526" i="2" a="1"/>
  <c r="J1526" i="2" s="1"/>
  <c r="H1526" i="2" a="1"/>
  <c r="H1526" i="2" s="1"/>
  <c r="C1529" i="2"/>
  <c r="F1528" i="2"/>
  <c r="A1527" i="2" a="1"/>
  <c r="A1527" i="2" s="1"/>
  <c r="B1527" i="2" a="1"/>
  <c r="B1527" i="2" s="1"/>
  <c r="D1526" i="2" a="1"/>
  <c r="C1529" i="3" l="1"/>
  <c r="G1528" i="3" a="1"/>
  <c r="G1528" i="3" s="1"/>
  <c r="M1528" i="3"/>
  <c r="L1528" i="3"/>
  <c r="J1528" i="3" a="1"/>
  <c r="J1528" i="3" s="1"/>
  <c r="F1529" i="3"/>
  <c r="H1527" i="3" a="1"/>
  <c r="H1527" i="3" s="1"/>
  <c r="K1527" i="3" a="1"/>
  <c r="K1527" i="3" s="1"/>
  <c r="I1527" i="3" a="1"/>
  <c r="I1527" i="3" s="1"/>
  <c r="A1527" i="3" a="1"/>
  <c r="A1527" i="3" s="1"/>
  <c r="B1527" i="3" a="1"/>
  <c r="B1527" i="3" s="1"/>
  <c r="D1526" i="2"/>
  <c r="C1530" i="2"/>
  <c r="F1529" i="2"/>
  <c r="B1528" i="2" a="1"/>
  <c r="B1528" i="2" s="1"/>
  <c r="A1528" i="2" a="1"/>
  <c r="A1528" i="2" s="1"/>
  <c r="K1527" i="2" a="1"/>
  <c r="K1527" i="2" s="1"/>
  <c r="J1527" i="2" a="1"/>
  <c r="J1527" i="2" s="1"/>
  <c r="H1527" i="2" a="1"/>
  <c r="H1527" i="2" s="1"/>
  <c r="I1527" i="2" a="1"/>
  <c r="I1527" i="2" s="1"/>
  <c r="D1527" i="2" a="1"/>
  <c r="K1528" i="3" l="1" a="1"/>
  <c r="K1528" i="3" s="1"/>
  <c r="I1528" i="3" a="1"/>
  <c r="I1528" i="3" s="1"/>
  <c r="H1528" i="3" a="1"/>
  <c r="H1528" i="3" s="1"/>
  <c r="C1530" i="3"/>
  <c r="G1529" i="3" a="1"/>
  <c r="G1529" i="3" s="1"/>
  <c r="L1529" i="3"/>
  <c r="M1529" i="3"/>
  <c r="J1529" i="3" a="1"/>
  <c r="J1529" i="3" s="1"/>
  <c r="A1528" i="3" a="1"/>
  <c r="A1528" i="3" s="1"/>
  <c r="B1528" i="3" a="1"/>
  <c r="B1528" i="3" s="1"/>
  <c r="D1527" i="2"/>
  <c r="K1528" i="2" a="1"/>
  <c r="K1528" i="2" s="1"/>
  <c r="J1528" i="2" a="1"/>
  <c r="J1528" i="2" s="1"/>
  <c r="I1528" i="2" a="1"/>
  <c r="I1528" i="2" s="1"/>
  <c r="H1528" i="2" a="1"/>
  <c r="H1528" i="2" s="1"/>
  <c r="A1529" i="2" a="1"/>
  <c r="A1529" i="2" s="1"/>
  <c r="B1529" i="2" a="1"/>
  <c r="B1529" i="2" s="1"/>
  <c r="C1531" i="2"/>
  <c r="F1530" i="2"/>
  <c r="D1528" i="2" a="1"/>
  <c r="I1529" i="3" l="1" a="1"/>
  <c r="I1529" i="3" s="1"/>
  <c r="K1529" i="3" a="1"/>
  <c r="K1529" i="3" s="1"/>
  <c r="H1529" i="3" a="1"/>
  <c r="H1529" i="3" s="1"/>
  <c r="C1531" i="3"/>
  <c r="L1530" i="3"/>
  <c r="M1530" i="3"/>
  <c r="F1530" i="3"/>
  <c r="F1531" i="3" s="1"/>
  <c r="A1529" i="3" a="1"/>
  <c r="A1529" i="3" s="1"/>
  <c r="B1529" i="3" a="1"/>
  <c r="B1529" i="3" s="1"/>
  <c r="D1528" i="2"/>
  <c r="A1530" i="2" a="1"/>
  <c r="A1530" i="2" s="1"/>
  <c r="B1530" i="2" a="1"/>
  <c r="B1530" i="2" s="1"/>
  <c r="C1532" i="2"/>
  <c r="F1531" i="2"/>
  <c r="I1529" i="2" a="1"/>
  <c r="I1529" i="2" s="1"/>
  <c r="J1529" i="2" a="1"/>
  <c r="J1529" i="2" s="1"/>
  <c r="H1529" i="2" a="1"/>
  <c r="H1529" i="2" s="1"/>
  <c r="K1529" i="2" a="1"/>
  <c r="K1529" i="2" s="1"/>
  <c r="D1529" i="2" a="1"/>
  <c r="G1530" i="3" l="1" a="1"/>
  <c r="G1530" i="3" s="1"/>
  <c r="C1532" i="3"/>
  <c r="G1531" i="3" a="1"/>
  <c r="G1531" i="3" s="1"/>
  <c r="L1531" i="3"/>
  <c r="M1531" i="3"/>
  <c r="J1531" i="3" a="1"/>
  <c r="J1531" i="3" s="1"/>
  <c r="B1530" i="3" a="1"/>
  <c r="B1530" i="3" s="1"/>
  <c r="A1530" i="3" a="1"/>
  <c r="A1530" i="3" s="1"/>
  <c r="D1529" i="2"/>
  <c r="C1533" i="2"/>
  <c r="F1532" i="2"/>
  <c r="J1530" i="2" a="1"/>
  <c r="J1530" i="2" s="1"/>
  <c r="I1530" i="2" a="1"/>
  <c r="I1530" i="2" s="1"/>
  <c r="H1530" i="2" a="1"/>
  <c r="H1530" i="2" s="1"/>
  <c r="K1530" i="2" a="1"/>
  <c r="K1530" i="2" s="1"/>
  <c r="A1531" i="2" a="1"/>
  <c r="A1531" i="2" s="1"/>
  <c r="B1531" i="2" a="1"/>
  <c r="B1531" i="2" s="1"/>
  <c r="D1530" i="2" a="1"/>
  <c r="C1533" i="3" l="1"/>
  <c r="G1532" i="3" a="1"/>
  <c r="G1532" i="3" s="1"/>
  <c r="L1532" i="3"/>
  <c r="M1532" i="3"/>
  <c r="J1532" i="3" a="1"/>
  <c r="J1532" i="3" s="1"/>
  <c r="H1531" i="3" a="1"/>
  <c r="H1531" i="3" s="1"/>
  <c r="I1531" i="3" a="1"/>
  <c r="I1531" i="3" s="1"/>
  <c r="K1531" i="3" a="1"/>
  <c r="K1531" i="3" s="1"/>
  <c r="I1530" i="3" a="1"/>
  <c r="I1530" i="3" s="1"/>
  <c r="H1530" i="3" a="1"/>
  <c r="H1530" i="3" s="1"/>
  <c r="K1530" i="3" a="1"/>
  <c r="K1530" i="3" s="1"/>
  <c r="J1530" i="3" a="1"/>
  <c r="J1530" i="3" s="1"/>
  <c r="F1532" i="3"/>
  <c r="F1533" i="3" s="1"/>
  <c r="A1531" i="3" a="1"/>
  <c r="A1531" i="3" s="1"/>
  <c r="B1531" i="3" a="1"/>
  <c r="B1531" i="3" s="1"/>
  <c r="D1530" i="2"/>
  <c r="A1532" i="2" a="1"/>
  <c r="A1532" i="2" s="1"/>
  <c r="B1532" i="2" a="1"/>
  <c r="B1532" i="2" s="1"/>
  <c r="J1531" i="2" a="1"/>
  <c r="J1531" i="2" s="1"/>
  <c r="I1531" i="2" a="1"/>
  <c r="I1531" i="2" s="1"/>
  <c r="K1531" i="2" a="1"/>
  <c r="K1531" i="2" s="1"/>
  <c r="H1531" i="2" a="1"/>
  <c r="H1531" i="2" s="1"/>
  <c r="C1534" i="2"/>
  <c r="F1533" i="2"/>
  <c r="D1531" i="2" a="1"/>
  <c r="H1532" i="3" l="1" a="1"/>
  <c r="H1532" i="3" s="1"/>
  <c r="I1532" i="3" a="1"/>
  <c r="I1532" i="3" s="1"/>
  <c r="K1532" i="3" a="1"/>
  <c r="K1532" i="3" s="1"/>
  <c r="C1534" i="3"/>
  <c r="G1533" i="3" a="1"/>
  <c r="G1533" i="3" s="1"/>
  <c r="M1533" i="3"/>
  <c r="L1533" i="3"/>
  <c r="B1532" i="3" a="1"/>
  <c r="B1532" i="3" s="1"/>
  <c r="A1532" i="3" a="1"/>
  <c r="A1532" i="3" s="1"/>
  <c r="D1531" i="2"/>
  <c r="C1535" i="2"/>
  <c r="F1534" i="2"/>
  <c r="I1532" i="2" a="1"/>
  <c r="I1532" i="2" s="1"/>
  <c r="K1532" i="2" a="1"/>
  <c r="K1532" i="2" s="1"/>
  <c r="H1532" i="2" a="1"/>
  <c r="H1532" i="2" s="1"/>
  <c r="J1532" i="2" a="1"/>
  <c r="J1532" i="2" s="1"/>
  <c r="B1533" i="2" a="1"/>
  <c r="B1533" i="2" s="1"/>
  <c r="A1533" i="2" a="1"/>
  <c r="A1533" i="2" s="1"/>
  <c r="D1532" i="2" a="1"/>
  <c r="H1533" i="3" l="1" a="1"/>
  <c r="H1533" i="3" s="1"/>
  <c r="K1533" i="3" a="1"/>
  <c r="K1533" i="3" s="1"/>
  <c r="I1533" i="3" a="1"/>
  <c r="I1533" i="3" s="1"/>
  <c r="J1533" i="3" a="1"/>
  <c r="J1533" i="3" s="1"/>
  <c r="C1535" i="3"/>
  <c r="L1534" i="3"/>
  <c r="M1534" i="3"/>
  <c r="F1534" i="3"/>
  <c r="F1535" i="3" s="1"/>
  <c r="A1533" i="3" a="1"/>
  <c r="A1533" i="3" s="1"/>
  <c r="B1533" i="3" a="1"/>
  <c r="B1533" i="3" s="1"/>
  <c r="D1532" i="2"/>
  <c r="I1533" i="2" a="1"/>
  <c r="I1533" i="2" s="1"/>
  <c r="J1533" i="2" a="1"/>
  <c r="J1533" i="2" s="1"/>
  <c r="H1533" i="2" a="1"/>
  <c r="H1533" i="2" s="1"/>
  <c r="K1533" i="2" a="1"/>
  <c r="K1533" i="2" s="1"/>
  <c r="B1534" i="2" a="1"/>
  <c r="B1534" i="2" s="1"/>
  <c r="A1534" i="2" a="1"/>
  <c r="A1534" i="2" s="1"/>
  <c r="C1536" i="2"/>
  <c r="F1535" i="2"/>
  <c r="D1533" i="2" a="1"/>
  <c r="C1536" i="3" l="1"/>
  <c r="G1535" i="3" a="1"/>
  <c r="G1535" i="3" s="1"/>
  <c r="L1535" i="3"/>
  <c r="M1535" i="3"/>
  <c r="J1535" i="3" a="1"/>
  <c r="J1535" i="3" s="1"/>
  <c r="F1536" i="3"/>
  <c r="G1534" i="3" a="1"/>
  <c r="G1534" i="3" s="1"/>
  <c r="A1534" i="3" a="1"/>
  <c r="A1534" i="3" s="1"/>
  <c r="B1534" i="3" a="1"/>
  <c r="B1534" i="3" s="1"/>
  <c r="D1533" i="2"/>
  <c r="A1535" i="2" a="1"/>
  <c r="A1535" i="2" s="1"/>
  <c r="B1535" i="2" a="1"/>
  <c r="B1535" i="2" s="1"/>
  <c r="K1534" i="2" a="1"/>
  <c r="K1534" i="2" s="1"/>
  <c r="J1534" i="2" a="1"/>
  <c r="J1534" i="2" s="1"/>
  <c r="I1534" i="2" a="1"/>
  <c r="I1534" i="2" s="1"/>
  <c r="H1534" i="2" a="1"/>
  <c r="H1534" i="2" s="1"/>
  <c r="C1537" i="2"/>
  <c r="F1536" i="2"/>
  <c r="D1534" i="2" a="1"/>
  <c r="K1534" i="3" l="1" a="1"/>
  <c r="K1534" i="3" s="1"/>
  <c r="I1534" i="3" a="1"/>
  <c r="I1534" i="3" s="1"/>
  <c r="H1534" i="3" a="1"/>
  <c r="H1534" i="3" s="1"/>
  <c r="J1534" i="3" a="1"/>
  <c r="J1534" i="3" s="1"/>
  <c r="I1535" i="3" a="1"/>
  <c r="I1535" i="3" s="1"/>
  <c r="K1535" i="3" a="1"/>
  <c r="K1535" i="3" s="1"/>
  <c r="H1535" i="3" a="1"/>
  <c r="H1535" i="3" s="1"/>
  <c r="C1537" i="3"/>
  <c r="G1536" i="3" a="1"/>
  <c r="G1536" i="3" s="1"/>
  <c r="L1536" i="3"/>
  <c r="M1536" i="3"/>
  <c r="A1535" i="3" a="1"/>
  <c r="A1535" i="3" s="1"/>
  <c r="B1535" i="3" a="1"/>
  <c r="B1535" i="3" s="1"/>
  <c r="D1534" i="2"/>
  <c r="B1536" i="2" a="1"/>
  <c r="B1536" i="2" s="1"/>
  <c r="A1536" i="2" a="1"/>
  <c r="A1536" i="2" s="1"/>
  <c r="K1535" i="2" a="1"/>
  <c r="K1535" i="2" s="1"/>
  <c r="I1535" i="2" a="1"/>
  <c r="I1535" i="2" s="1"/>
  <c r="J1535" i="2" a="1"/>
  <c r="J1535" i="2" s="1"/>
  <c r="H1535" i="2" a="1"/>
  <c r="H1535" i="2" s="1"/>
  <c r="C1538" i="2"/>
  <c r="F1537" i="2"/>
  <c r="D1535" i="2" a="1"/>
  <c r="C1538" i="3" l="1"/>
  <c r="L1537" i="3"/>
  <c r="M1537" i="3"/>
  <c r="I1536" i="3" a="1"/>
  <c r="I1536" i="3" s="1"/>
  <c r="H1536" i="3" a="1"/>
  <c r="H1536" i="3" s="1"/>
  <c r="K1536" i="3" a="1"/>
  <c r="K1536" i="3" s="1"/>
  <c r="F1537" i="3"/>
  <c r="F1538" i="3" s="1"/>
  <c r="J1536" i="3" a="1"/>
  <c r="J1536" i="3" s="1"/>
  <c r="A1536" i="3" a="1"/>
  <c r="A1536" i="3" s="1"/>
  <c r="B1536" i="3" a="1"/>
  <c r="B1536" i="3" s="1"/>
  <c r="D1535" i="2"/>
  <c r="A1537" i="2" a="1"/>
  <c r="A1537" i="2" s="1"/>
  <c r="B1537" i="2" a="1"/>
  <c r="B1537" i="2" s="1"/>
  <c r="C1539" i="2"/>
  <c r="F1538" i="2"/>
  <c r="H1536" i="2" a="1"/>
  <c r="H1536" i="2" s="1"/>
  <c r="J1536" i="2" a="1"/>
  <c r="J1536" i="2" s="1"/>
  <c r="I1536" i="2" a="1"/>
  <c r="I1536" i="2" s="1"/>
  <c r="K1536" i="2" a="1"/>
  <c r="K1536" i="2" s="1"/>
  <c r="D1536" i="2" a="1"/>
  <c r="G1537" i="3" l="1" a="1"/>
  <c r="G1537" i="3" s="1"/>
  <c r="C1539" i="3"/>
  <c r="G1538" i="3" a="1"/>
  <c r="G1538" i="3" s="1"/>
  <c r="M1538" i="3"/>
  <c r="L1538" i="3"/>
  <c r="B1537" i="3" a="1"/>
  <c r="B1537" i="3" s="1"/>
  <c r="A1537" i="3" a="1"/>
  <c r="A1537" i="3" s="1"/>
  <c r="D1536" i="2"/>
  <c r="H1537" i="2" a="1"/>
  <c r="H1537" i="2" s="1"/>
  <c r="I1537" i="2" a="1"/>
  <c r="I1537" i="2" s="1"/>
  <c r="K1537" i="2" a="1"/>
  <c r="K1537" i="2" s="1"/>
  <c r="J1537" i="2" a="1"/>
  <c r="J1537" i="2" s="1"/>
  <c r="C1540" i="2"/>
  <c r="F1539" i="2"/>
  <c r="A1538" i="2" a="1"/>
  <c r="A1538" i="2" s="1"/>
  <c r="B1538" i="2" a="1"/>
  <c r="B1538" i="2" s="1"/>
  <c r="D1537" i="2" a="1"/>
  <c r="J1538" i="3" l="1" a="1"/>
  <c r="J1538" i="3" s="1"/>
  <c r="H1538" i="3" a="1"/>
  <c r="H1538" i="3" s="1"/>
  <c r="I1538" i="3" a="1"/>
  <c r="I1538" i="3" s="1"/>
  <c r="K1538" i="3" a="1"/>
  <c r="K1538" i="3" s="1"/>
  <c r="C1540" i="3"/>
  <c r="G1539" i="3" a="1"/>
  <c r="G1539" i="3" s="1"/>
  <c r="L1539" i="3"/>
  <c r="M1539" i="3"/>
  <c r="I1537" i="3" a="1"/>
  <c r="I1537" i="3" s="1"/>
  <c r="H1537" i="3" a="1"/>
  <c r="H1537" i="3" s="1"/>
  <c r="K1537" i="3" a="1"/>
  <c r="K1537" i="3" s="1"/>
  <c r="J1537" i="3" a="1"/>
  <c r="J1537" i="3" s="1"/>
  <c r="F1539" i="3"/>
  <c r="A1538" i="3" a="1"/>
  <c r="A1538" i="3" s="1"/>
  <c r="B1538" i="3" a="1"/>
  <c r="B1538" i="3" s="1"/>
  <c r="D1537" i="2"/>
  <c r="H1538" i="2" a="1"/>
  <c r="H1538" i="2" s="1"/>
  <c r="I1538" i="2" a="1"/>
  <c r="I1538" i="2" s="1"/>
  <c r="K1538" i="2" a="1"/>
  <c r="K1538" i="2" s="1"/>
  <c r="J1538" i="2" a="1"/>
  <c r="J1538" i="2" s="1"/>
  <c r="C1541" i="2"/>
  <c r="F1540" i="2"/>
  <c r="A1539" i="2" a="1"/>
  <c r="A1539" i="2" s="1"/>
  <c r="B1539" i="2" a="1"/>
  <c r="B1539" i="2" s="1"/>
  <c r="D1538" i="2" a="1"/>
  <c r="H1539" i="3" l="1" a="1"/>
  <c r="H1539" i="3" s="1"/>
  <c r="K1539" i="3" a="1"/>
  <c r="K1539" i="3" s="1"/>
  <c r="I1539" i="3" a="1"/>
  <c r="I1539" i="3" s="1"/>
  <c r="J1539" i="3" a="1"/>
  <c r="J1539" i="3" s="1"/>
  <c r="C1541" i="3"/>
  <c r="L1540" i="3"/>
  <c r="M1540" i="3"/>
  <c r="F1540" i="3"/>
  <c r="F1541" i="3" s="1"/>
  <c r="A1539" i="3" a="1"/>
  <c r="A1539" i="3" s="1"/>
  <c r="B1539" i="3" a="1"/>
  <c r="B1539" i="3" s="1"/>
  <c r="D1538" i="2"/>
  <c r="C1542" i="2"/>
  <c r="F1541" i="2"/>
  <c r="K1539" i="2" a="1"/>
  <c r="K1539" i="2" s="1"/>
  <c r="H1539" i="2" a="1"/>
  <c r="H1539" i="2" s="1"/>
  <c r="J1539" i="2" a="1"/>
  <c r="J1539" i="2" s="1"/>
  <c r="I1539" i="2" a="1"/>
  <c r="I1539" i="2" s="1"/>
  <c r="A1540" i="2" a="1"/>
  <c r="A1540" i="2" s="1"/>
  <c r="B1540" i="2" a="1"/>
  <c r="B1540" i="2" s="1"/>
  <c r="D1539" i="2" a="1"/>
  <c r="C1542" i="3" l="1"/>
  <c r="G1541" i="3" a="1"/>
  <c r="G1541" i="3" s="1"/>
  <c r="L1541" i="3"/>
  <c r="M1541" i="3"/>
  <c r="J1541" i="3" a="1"/>
  <c r="J1541" i="3" s="1"/>
  <c r="F1542" i="3"/>
  <c r="G1540" i="3" a="1"/>
  <c r="G1540" i="3" s="1"/>
  <c r="A1540" i="3" a="1"/>
  <c r="A1540" i="3" s="1"/>
  <c r="B1540" i="3" a="1"/>
  <c r="B1540" i="3" s="1"/>
  <c r="D1539" i="2"/>
  <c r="J1540" i="2" a="1"/>
  <c r="J1540" i="2" s="1"/>
  <c r="I1540" i="2" a="1"/>
  <c r="I1540" i="2" s="1"/>
  <c r="H1540" i="2" a="1"/>
  <c r="H1540" i="2" s="1"/>
  <c r="K1540" i="2" a="1"/>
  <c r="K1540" i="2" s="1"/>
  <c r="A1541" i="2" a="1"/>
  <c r="A1541" i="2" s="1"/>
  <c r="B1541" i="2" a="1"/>
  <c r="B1541" i="2" s="1"/>
  <c r="C1543" i="2"/>
  <c r="F1542" i="2"/>
  <c r="D1540" i="2" a="1"/>
  <c r="K1540" i="3" l="1" a="1"/>
  <c r="K1540" i="3" s="1"/>
  <c r="I1540" i="3" a="1"/>
  <c r="I1540" i="3" s="1"/>
  <c r="H1540" i="3" a="1"/>
  <c r="H1540" i="3" s="1"/>
  <c r="J1540" i="3" a="1"/>
  <c r="J1540" i="3" s="1"/>
  <c r="H1541" i="3" a="1"/>
  <c r="H1541" i="3" s="1"/>
  <c r="I1541" i="3" a="1"/>
  <c r="I1541" i="3" s="1"/>
  <c r="K1541" i="3" a="1"/>
  <c r="K1541" i="3" s="1"/>
  <c r="C1543" i="3"/>
  <c r="G1542" i="3" a="1"/>
  <c r="G1542" i="3" s="1"/>
  <c r="M1542" i="3"/>
  <c r="L1542" i="3"/>
  <c r="A1541" i="3" a="1"/>
  <c r="A1541" i="3" s="1"/>
  <c r="B1541" i="3" a="1"/>
  <c r="B1541" i="3" s="1"/>
  <c r="D1540" i="2"/>
  <c r="A1542" i="2" a="1"/>
  <c r="A1542" i="2" s="1"/>
  <c r="B1542" i="2" a="1"/>
  <c r="B1542" i="2" s="1"/>
  <c r="H1541" i="2" a="1"/>
  <c r="H1541" i="2" s="1"/>
  <c r="I1541" i="2" a="1"/>
  <c r="I1541" i="2" s="1"/>
  <c r="K1541" i="2" a="1"/>
  <c r="K1541" i="2" s="1"/>
  <c r="J1541" i="2" a="1"/>
  <c r="J1541" i="2" s="1"/>
  <c r="C1544" i="2"/>
  <c r="F1543" i="2"/>
  <c r="D1541" i="2" a="1"/>
  <c r="H1542" i="3" l="1" a="1"/>
  <c r="H1542" i="3" s="1"/>
  <c r="I1542" i="3" a="1"/>
  <c r="I1542" i="3" s="1"/>
  <c r="K1542" i="3" a="1"/>
  <c r="K1542" i="3" s="1"/>
  <c r="C1544" i="3"/>
  <c r="L1543" i="3"/>
  <c r="M1543" i="3"/>
  <c r="F1543" i="3"/>
  <c r="F1544" i="3" s="1"/>
  <c r="J1542" i="3" a="1"/>
  <c r="J1542" i="3" s="1"/>
  <c r="B1542" i="3" a="1"/>
  <c r="B1542" i="3" s="1"/>
  <c r="A1542" i="3" a="1"/>
  <c r="A1542" i="3" s="1"/>
  <c r="D1541" i="2"/>
  <c r="C1545" i="2"/>
  <c r="F1544" i="2"/>
  <c r="I1542" i="2" a="1"/>
  <c r="I1542" i="2" s="1"/>
  <c r="J1542" i="2" a="1"/>
  <c r="J1542" i="2" s="1"/>
  <c r="K1542" i="2" a="1"/>
  <c r="K1542" i="2" s="1"/>
  <c r="H1542" i="2" a="1"/>
  <c r="H1542" i="2" s="1"/>
  <c r="A1543" i="2" a="1"/>
  <c r="A1543" i="2" s="1"/>
  <c r="B1543" i="2" a="1"/>
  <c r="B1543" i="2" s="1"/>
  <c r="D1542" i="2" a="1"/>
  <c r="C1545" i="3" l="1"/>
  <c r="G1544" i="3" a="1"/>
  <c r="G1544" i="3" s="1"/>
  <c r="L1544" i="3"/>
  <c r="M1544" i="3"/>
  <c r="J1544" i="3" a="1"/>
  <c r="J1544" i="3" s="1"/>
  <c r="G1543" i="3" a="1"/>
  <c r="G1543" i="3" s="1"/>
  <c r="A1543" i="3" a="1"/>
  <c r="A1543" i="3" s="1"/>
  <c r="B1543" i="3" a="1"/>
  <c r="B1543" i="3" s="1"/>
  <c r="D1542" i="2"/>
  <c r="J1543" i="2" a="1"/>
  <c r="J1543" i="2" s="1"/>
  <c r="H1543" i="2" a="1"/>
  <c r="H1543" i="2" s="1"/>
  <c r="K1543" i="2" a="1"/>
  <c r="K1543" i="2" s="1"/>
  <c r="I1543" i="2" a="1"/>
  <c r="I1543" i="2" s="1"/>
  <c r="A1544" i="2" a="1"/>
  <c r="A1544" i="2" s="1"/>
  <c r="B1544" i="2" a="1"/>
  <c r="B1544" i="2" s="1"/>
  <c r="C1546" i="2"/>
  <c r="F1545" i="2"/>
  <c r="D1543" i="2" a="1"/>
  <c r="I1543" i="3" l="1" a="1"/>
  <c r="I1543" i="3" s="1"/>
  <c r="K1543" i="3" a="1"/>
  <c r="K1543" i="3" s="1"/>
  <c r="H1543" i="3" a="1"/>
  <c r="H1543" i="3" s="1"/>
  <c r="J1543" i="3" a="1"/>
  <c r="J1543" i="3" s="1"/>
  <c r="H1544" i="3" a="1"/>
  <c r="H1544" i="3" s="1"/>
  <c r="I1544" i="3" a="1"/>
  <c r="I1544" i="3" s="1"/>
  <c r="K1544" i="3" a="1"/>
  <c r="K1544" i="3" s="1"/>
  <c r="C1546" i="3"/>
  <c r="G1545" i="3" a="1"/>
  <c r="G1545" i="3" s="1"/>
  <c r="J1545" i="3" a="1"/>
  <c r="J1545" i="3" s="1"/>
  <c r="L1545" i="3"/>
  <c r="M1545" i="3"/>
  <c r="F1545" i="3"/>
  <c r="A1544" i="3" a="1"/>
  <c r="A1544" i="3" s="1"/>
  <c r="B1544" i="3" a="1"/>
  <c r="B1544" i="3" s="1"/>
  <c r="D1543" i="2"/>
  <c r="B1545" i="2" a="1"/>
  <c r="B1545" i="2" s="1"/>
  <c r="A1545" i="2" a="1"/>
  <c r="A1545" i="2" s="1"/>
  <c r="I1544" i="2" a="1"/>
  <c r="I1544" i="2" s="1"/>
  <c r="J1544" i="2" a="1"/>
  <c r="J1544" i="2" s="1"/>
  <c r="H1544" i="2" a="1"/>
  <c r="H1544" i="2" s="1"/>
  <c r="K1544" i="2" a="1"/>
  <c r="K1544" i="2" s="1"/>
  <c r="C1547" i="2"/>
  <c r="F1546" i="2"/>
  <c r="D1544" i="2" a="1"/>
  <c r="I1545" i="3" l="1" a="1"/>
  <c r="I1545" i="3" s="1"/>
  <c r="H1545" i="3" a="1"/>
  <c r="H1545" i="3" s="1"/>
  <c r="K1545" i="3" a="1"/>
  <c r="K1545" i="3" s="1"/>
  <c r="C1547" i="3"/>
  <c r="L1546" i="3"/>
  <c r="M1546" i="3"/>
  <c r="F1546" i="3"/>
  <c r="F1547" i="3" s="1"/>
  <c r="A1545" i="3" a="1"/>
  <c r="A1545" i="3" s="1"/>
  <c r="B1545" i="3" a="1"/>
  <c r="B1545" i="3" s="1"/>
  <c r="D1544" i="2"/>
  <c r="A1546" i="2" a="1"/>
  <c r="A1546" i="2" s="1"/>
  <c r="B1546" i="2" a="1"/>
  <c r="B1546" i="2" s="1"/>
  <c r="C1548" i="2"/>
  <c r="F1547" i="2"/>
  <c r="H1545" i="2" a="1"/>
  <c r="H1545" i="2" s="1"/>
  <c r="I1545" i="2" a="1"/>
  <c r="I1545" i="2" s="1"/>
  <c r="J1545" i="2" a="1"/>
  <c r="J1545" i="2" s="1"/>
  <c r="K1545" i="2" a="1"/>
  <c r="K1545" i="2" s="1"/>
  <c r="D1545" i="2" a="1"/>
  <c r="G1546" i="3" l="1" a="1"/>
  <c r="G1546" i="3" s="1"/>
  <c r="C1548" i="3"/>
  <c r="G1547" i="3" a="1"/>
  <c r="G1547" i="3" s="1"/>
  <c r="M1547" i="3"/>
  <c r="L1547" i="3"/>
  <c r="A1546" i="3" a="1"/>
  <c r="A1546" i="3" s="1"/>
  <c r="B1546" i="3" a="1"/>
  <c r="B1546" i="3" s="1"/>
  <c r="D1545" i="2"/>
  <c r="C1549" i="2"/>
  <c r="F1548" i="2"/>
  <c r="K1546" i="2" a="1"/>
  <c r="K1546" i="2" s="1"/>
  <c r="I1546" i="2" a="1"/>
  <c r="I1546" i="2" s="1"/>
  <c r="J1546" i="2" a="1"/>
  <c r="J1546" i="2" s="1"/>
  <c r="H1546" i="2" a="1"/>
  <c r="H1546" i="2" s="1"/>
  <c r="A1547" i="2" a="1"/>
  <c r="A1547" i="2" s="1"/>
  <c r="B1547" i="2" a="1"/>
  <c r="B1547" i="2" s="1"/>
  <c r="D1546" i="2" a="1"/>
  <c r="I1547" i="3" l="1" a="1"/>
  <c r="I1547" i="3" s="1"/>
  <c r="K1547" i="3" a="1"/>
  <c r="K1547" i="3" s="1"/>
  <c r="H1547" i="3" a="1"/>
  <c r="H1547" i="3" s="1"/>
  <c r="C1549" i="3"/>
  <c r="G1548" i="3" a="1"/>
  <c r="G1548" i="3" s="1"/>
  <c r="J1548" i="3" s="1" a="1"/>
  <c r="J1548" i="3" s="1"/>
  <c r="L1548" i="3"/>
  <c r="M1548" i="3"/>
  <c r="J1547" i="3" a="1"/>
  <c r="J1547" i="3" s="1"/>
  <c r="K1546" i="3" a="1"/>
  <c r="K1546" i="3" s="1"/>
  <c r="H1546" i="3" a="1"/>
  <c r="H1546" i="3" s="1"/>
  <c r="I1546" i="3" a="1"/>
  <c r="I1546" i="3" s="1"/>
  <c r="J1546" i="3" a="1"/>
  <c r="J1546" i="3" s="1"/>
  <c r="F1548" i="3"/>
  <c r="A1547" i="3" a="1"/>
  <c r="A1547" i="3" s="1"/>
  <c r="B1547" i="3" a="1"/>
  <c r="B1547" i="3" s="1"/>
  <c r="D1546" i="2"/>
  <c r="I1547" i="2" a="1"/>
  <c r="I1547" i="2" s="1"/>
  <c r="J1547" i="2" a="1"/>
  <c r="J1547" i="2" s="1"/>
  <c r="K1547" i="2" a="1"/>
  <c r="K1547" i="2" s="1"/>
  <c r="H1547" i="2" a="1"/>
  <c r="H1547" i="2" s="1"/>
  <c r="B1548" i="2" a="1"/>
  <c r="B1548" i="2" s="1"/>
  <c r="A1548" i="2" a="1"/>
  <c r="A1548" i="2" s="1"/>
  <c r="C1550" i="2"/>
  <c r="F1549" i="2"/>
  <c r="D1547" i="2" a="1"/>
  <c r="C1550" i="3" l="1"/>
  <c r="L1549" i="3"/>
  <c r="M1549" i="3"/>
  <c r="F1549" i="3"/>
  <c r="F1550" i="3" s="1"/>
  <c r="H1548" i="3" a="1"/>
  <c r="H1548" i="3" s="1"/>
  <c r="I1548" i="3" a="1"/>
  <c r="I1548" i="3" s="1"/>
  <c r="K1548" i="3" a="1"/>
  <c r="K1548" i="3" s="1"/>
  <c r="A1548" i="3" a="1"/>
  <c r="A1548" i="3" s="1"/>
  <c r="B1548" i="3" a="1"/>
  <c r="B1548" i="3" s="1"/>
  <c r="D1547" i="2"/>
  <c r="C1551" i="2"/>
  <c r="F1550" i="2"/>
  <c r="A1549" i="2" a="1"/>
  <c r="A1549" i="2" s="1"/>
  <c r="B1549" i="2" a="1"/>
  <c r="B1549" i="2" s="1"/>
  <c r="I1548" i="2" a="1"/>
  <c r="I1548" i="2" s="1"/>
  <c r="J1548" i="2" a="1"/>
  <c r="J1548" i="2" s="1"/>
  <c r="H1548" i="2" a="1"/>
  <c r="H1548" i="2" s="1"/>
  <c r="K1548" i="2" a="1"/>
  <c r="K1548" i="2" s="1"/>
  <c r="D1548" i="2" a="1"/>
  <c r="G1549" i="3" l="1" a="1"/>
  <c r="G1549" i="3" s="1"/>
  <c r="C1551" i="3"/>
  <c r="G1550" i="3" a="1"/>
  <c r="G1550" i="3" s="1"/>
  <c r="L1550" i="3"/>
  <c r="M1550" i="3"/>
  <c r="J1550" i="3" a="1"/>
  <c r="J1550" i="3" s="1"/>
  <c r="B1549" i="3" a="1"/>
  <c r="B1549" i="3" s="1"/>
  <c r="A1549" i="3" a="1"/>
  <c r="A1549" i="3" s="1"/>
  <c r="D1548" i="2"/>
  <c r="A1550" i="2" a="1"/>
  <c r="A1550" i="2" s="1"/>
  <c r="B1550" i="2" a="1"/>
  <c r="B1550" i="2" s="1"/>
  <c r="J1549" i="2" a="1"/>
  <c r="J1549" i="2" s="1"/>
  <c r="H1549" i="2" a="1"/>
  <c r="H1549" i="2" s="1"/>
  <c r="K1549" i="2" a="1"/>
  <c r="K1549" i="2" s="1"/>
  <c r="I1549" i="2" a="1"/>
  <c r="I1549" i="2" s="1"/>
  <c r="C1552" i="2"/>
  <c r="F1551" i="2"/>
  <c r="D1549" i="2" a="1"/>
  <c r="H1549" i="3" l="1" a="1"/>
  <c r="H1549" i="3" s="1"/>
  <c r="K1549" i="3" a="1"/>
  <c r="K1549" i="3" s="1"/>
  <c r="I1549" i="3" a="1"/>
  <c r="I1549" i="3" s="1"/>
  <c r="J1549" i="3" a="1"/>
  <c r="J1549" i="3" s="1"/>
  <c r="H1550" i="3" a="1"/>
  <c r="H1550" i="3" s="1"/>
  <c r="I1550" i="3" a="1"/>
  <c r="I1550" i="3" s="1"/>
  <c r="K1550" i="3" a="1"/>
  <c r="K1550" i="3" s="1"/>
  <c r="C1552" i="3"/>
  <c r="G1551" i="3" a="1"/>
  <c r="G1551" i="3" s="1"/>
  <c r="L1551" i="3"/>
  <c r="M1551" i="3"/>
  <c r="F1551" i="3"/>
  <c r="A1550" i="3" a="1"/>
  <c r="A1550" i="3" s="1"/>
  <c r="B1550" i="3" a="1"/>
  <c r="B1550" i="3" s="1"/>
  <c r="D1549" i="2"/>
  <c r="C1553" i="2"/>
  <c r="F1552" i="2"/>
  <c r="I1550" i="2" a="1"/>
  <c r="I1550" i="2" s="1"/>
  <c r="H1550" i="2" a="1"/>
  <c r="H1550" i="2" s="1"/>
  <c r="J1550" i="2" a="1"/>
  <c r="J1550" i="2" s="1"/>
  <c r="K1550" i="2" a="1"/>
  <c r="K1550" i="2" s="1"/>
  <c r="A1551" i="2" a="1"/>
  <c r="A1551" i="2" s="1"/>
  <c r="B1551" i="2" a="1"/>
  <c r="B1551" i="2" s="1"/>
  <c r="D1550" i="2" a="1"/>
  <c r="I1551" i="3" l="1" a="1"/>
  <c r="I1551" i="3" s="1"/>
  <c r="H1551" i="3" a="1"/>
  <c r="H1551" i="3" s="1"/>
  <c r="K1551" i="3" a="1"/>
  <c r="K1551" i="3" s="1"/>
  <c r="J1551" i="3" a="1"/>
  <c r="J1551" i="3" s="1"/>
  <c r="C1553" i="3"/>
  <c r="L1552" i="3"/>
  <c r="M1552" i="3"/>
  <c r="F1552" i="3"/>
  <c r="F1553" i="3" s="1"/>
  <c r="B1551" i="3" a="1"/>
  <c r="B1551" i="3" s="1"/>
  <c r="A1551" i="3" a="1"/>
  <c r="A1551" i="3" s="1"/>
  <c r="D1550" i="2"/>
  <c r="I1551" i="2" a="1"/>
  <c r="I1551" i="2" s="1"/>
  <c r="K1551" i="2" a="1"/>
  <c r="K1551" i="2" s="1"/>
  <c r="H1551" i="2" a="1"/>
  <c r="H1551" i="2" s="1"/>
  <c r="J1551" i="2" a="1"/>
  <c r="J1551" i="2" s="1"/>
  <c r="A1552" i="2" a="1"/>
  <c r="A1552" i="2" s="1"/>
  <c r="B1552" i="2" a="1"/>
  <c r="B1552" i="2" s="1"/>
  <c r="C1554" i="2"/>
  <c r="F1553" i="2"/>
  <c r="D1551" i="2" a="1"/>
  <c r="G1552" i="3" l="1" a="1"/>
  <c r="G1552" i="3" s="1"/>
  <c r="C1554" i="3"/>
  <c r="G1553" i="3" a="1"/>
  <c r="G1553" i="3" s="1"/>
  <c r="L1553" i="3"/>
  <c r="M1553" i="3"/>
  <c r="A1552" i="3" a="1"/>
  <c r="A1552" i="3" s="1"/>
  <c r="B1552" i="3" a="1"/>
  <c r="B1552" i="3" s="1"/>
  <c r="D1551" i="2"/>
  <c r="A1553" i="2" a="1"/>
  <c r="A1553" i="2" s="1"/>
  <c r="B1553" i="2" a="1"/>
  <c r="B1553" i="2" s="1"/>
  <c r="C1555" i="2"/>
  <c r="F1554" i="2"/>
  <c r="H1552" i="2" a="1"/>
  <c r="H1552" i="2" s="1"/>
  <c r="J1552" i="2" a="1"/>
  <c r="J1552" i="2" s="1"/>
  <c r="K1552" i="2" a="1"/>
  <c r="K1552" i="2" s="1"/>
  <c r="I1552" i="2" a="1"/>
  <c r="I1552" i="2" s="1"/>
  <c r="D1552" i="2" a="1"/>
  <c r="I1553" i="3" l="1" a="1"/>
  <c r="I1553" i="3" s="1"/>
  <c r="H1553" i="3" a="1"/>
  <c r="H1553" i="3" s="1"/>
  <c r="K1553" i="3" a="1"/>
  <c r="K1553" i="3" s="1"/>
  <c r="C1555" i="3"/>
  <c r="G1554" i="3" a="1"/>
  <c r="G1554" i="3" s="1"/>
  <c r="J1554" i="3" a="1"/>
  <c r="J1554" i="3" s="1"/>
  <c r="L1554" i="3"/>
  <c r="M1554" i="3"/>
  <c r="J1553" i="3" a="1"/>
  <c r="J1553" i="3" s="1"/>
  <c r="I1552" i="3" a="1"/>
  <c r="I1552" i="3" s="1"/>
  <c r="K1552" i="3" a="1"/>
  <c r="K1552" i="3" s="1"/>
  <c r="H1552" i="3" a="1"/>
  <c r="H1552" i="3" s="1"/>
  <c r="J1552" i="3" a="1"/>
  <c r="J1552" i="3" s="1"/>
  <c r="F1554" i="3"/>
  <c r="A1553" i="3" a="1"/>
  <c r="A1553" i="3" s="1"/>
  <c r="B1553" i="3" a="1"/>
  <c r="B1553" i="3" s="1"/>
  <c r="D1552" i="2"/>
  <c r="I1553" i="2" a="1"/>
  <c r="I1553" i="2" s="1"/>
  <c r="J1553" i="2" a="1"/>
  <c r="J1553" i="2" s="1"/>
  <c r="K1553" i="2" a="1"/>
  <c r="K1553" i="2" s="1"/>
  <c r="H1553" i="2" a="1"/>
  <c r="H1553" i="2" s="1"/>
  <c r="C1556" i="2"/>
  <c r="F1555" i="2"/>
  <c r="A1554" i="2" a="1"/>
  <c r="A1554" i="2" s="1"/>
  <c r="B1554" i="2" a="1"/>
  <c r="B1554" i="2" s="1"/>
  <c r="D1553" i="2" a="1"/>
  <c r="C1556" i="3" l="1"/>
  <c r="L1555" i="3"/>
  <c r="M1555" i="3"/>
  <c r="H1554" i="3" a="1"/>
  <c r="H1554" i="3" s="1"/>
  <c r="I1554" i="3" a="1"/>
  <c r="I1554" i="3" s="1"/>
  <c r="K1554" i="3" a="1"/>
  <c r="K1554" i="3" s="1"/>
  <c r="F1555" i="3"/>
  <c r="F1556" i="3" s="1"/>
  <c r="B1554" i="3" a="1"/>
  <c r="B1554" i="3" s="1"/>
  <c r="A1554" i="3" a="1"/>
  <c r="A1554" i="3" s="1"/>
  <c r="D1553" i="2"/>
  <c r="B1555" i="2" a="1"/>
  <c r="B1555" i="2" s="1"/>
  <c r="A1555" i="2" a="1"/>
  <c r="A1555" i="2" s="1"/>
  <c r="I1554" i="2" a="1"/>
  <c r="I1554" i="2" s="1"/>
  <c r="J1554" i="2" a="1"/>
  <c r="J1554" i="2" s="1"/>
  <c r="K1554" i="2" a="1"/>
  <c r="K1554" i="2" s="1"/>
  <c r="H1554" i="2" a="1"/>
  <c r="H1554" i="2" s="1"/>
  <c r="C1557" i="2"/>
  <c r="F1556" i="2"/>
  <c r="D1554" i="2" a="1"/>
  <c r="G1555" i="3" l="1" a="1"/>
  <c r="G1555" i="3" s="1"/>
  <c r="C1557" i="3"/>
  <c r="G1556" i="3" a="1"/>
  <c r="G1556" i="3" s="1"/>
  <c r="L1556" i="3"/>
  <c r="M1556" i="3"/>
  <c r="A1555" i="3" a="1"/>
  <c r="A1555" i="3" s="1"/>
  <c r="B1555" i="3" a="1"/>
  <c r="B1555" i="3" s="1"/>
  <c r="D1554" i="2"/>
  <c r="C1558" i="2"/>
  <c r="F1557" i="2"/>
  <c r="I1555" i="2" a="1"/>
  <c r="I1555" i="2" s="1"/>
  <c r="J1555" i="2" a="1"/>
  <c r="J1555" i="2" s="1"/>
  <c r="H1555" i="2" a="1"/>
  <c r="H1555" i="2" s="1"/>
  <c r="K1555" i="2" a="1"/>
  <c r="K1555" i="2" s="1"/>
  <c r="A1556" i="2" a="1"/>
  <c r="A1556" i="2" s="1"/>
  <c r="B1556" i="2" a="1"/>
  <c r="B1556" i="2" s="1"/>
  <c r="D1555" i="2" a="1"/>
  <c r="H1556" i="3" l="1" a="1"/>
  <c r="H1556" i="3" s="1"/>
  <c r="I1556" i="3" a="1"/>
  <c r="I1556" i="3" s="1"/>
  <c r="K1556" i="3" a="1"/>
  <c r="K1556" i="3" s="1"/>
  <c r="C1558" i="3"/>
  <c r="G1557" i="3" a="1"/>
  <c r="G1557" i="3" s="1"/>
  <c r="M1557" i="3"/>
  <c r="L1557" i="3"/>
  <c r="J1557" i="3" a="1"/>
  <c r="J1557" i="3" s="1"/>
  <c r="J1556" i="3" a="1"/>
  <c r="J1556" i="3" s="1"/>
  <c r="K1555" i="3" a="1"/>
  <c r="K1555" i="3" s="1"/>
  <c r="I1555" i="3" a="1"/>
  <c r="I1555" i="3" s="1"/>
  <c r="H1555" i="3" a="1"/>
  <c r="H1555" i="3" s="1"/>
  <c r="J1555" i="3" a="1"/>
  <c r="J1555" i="3" s="1"/>
  <c r="F1557" i="3"/>
  <c r="B1556" i="3" a="1"/>
  <c r="B1556" i="3" s="1"/>
  <c r="A1556" i="3" a="1"/>
  <c r="A1556" i="3" s="1"/>
  <c r="D1555" i="2"/>
  <c r="J1556" i="2" a="1"/>
  <c r="J1556" i="2" s="1"/>
  <c r="K1556" i="2" a="1"/>
  <c r="K1556" i="2" s="1"/>
  <c r="H1556" i="2" a="1"/>
  <c r="H1556" i="2" s="1"/>
  <c r="I1556" i="2" a="1"/>
  <c r="I1556" i="2" s="1"/>
  <c r="B1557" i="2" a="1"/>
  <c r="B1557" i="2" s="1"/>
  <c r="A1557" i="2" a="1"/>
  <c r="A1557" i="2" s="1"/>
  <c r="C1559" i="2"/>
  <c r="F1558" i="2"/>
  <c r="D1556" i="2" a="1"/>
  <c r="C1559" i="3" l="1"/>
  <c r="L1558" i="3"/>
  <c r="M1558" i="3"/>
  <c r="H1557" i="3" a="1"/>
  <c r="H1557" i="3" s="1"/>
  <c r="I1557" i="3" a="1"/>
  <c r="I1557" i="3" s="1"/>
  <c r="K1557" i="3" a="1"/>
  <c r="K1557" i="3" s="1"/>
  <c r="F1558" i="3"/>
  <c r="F1559" i="3" s="1"/>
  <c r="A1557" i="3" a="1"/>
  <c r="A1557" i="3" s="1"/>
  <c r="B1557" i="3" a="1"/>
  <c r="B1557" i="3" s="1"/>
  <c r="D1556" i="2"/>
  <c r="C1560" i="2"/>
  <c r="F1559" i="2"/>
  <c r="A1558" i="2" a="1"/>
  <c r="A1558" i="2" s="1"/>
  <c r="B1558" i="2" a="1"/>
  <c r="B1558" i="2" s="1"/>
  <c r="H1557" i="2" a="1"/>
  <c r="H1557" i="2" s="1"/>
  <c r="J1557" i="2" a="1"/>
  <c r="J1557" i="2" s="1"/>
  <c r="I1557" i="2" a="1"/>
  <c r="I1557" i="2" s="1"/>
  <c r="K1557" i="2" a="1"/>
  <c r="K1557" i="2" s="1"/>
  <c r="D1557" i="2" a="1"/>
  <c r="G1558" i="3" l="1" a="1"/>
  <c r="G1558" i="3" s="1"/>
  <c r="C1560" i="3"/>
  <c r="G1559" i="3" a="1"/>
  <c r="G1559" i="3" s="1"/>
  <c r="L1559" i="3"/>
  <c r="M1559" i="3"/>
  <c r="J1559" i="3" a="1"/>
  <c r="J1559" i="3" s="1"/>
  <c r="A1558" i="3" a="1"/>
  <c r="A1558" i="3" s="1"/>
  <c r="B1558" i="3" a="1"/>
  <c r="B1558" i="3" s="1"/>
  <c r="D1557" i="2"/>
  <c r="A1559" i="2" a="1"/>
  <c r="A1559" i="2" s="1"/>
  <c r="B1559" i="2" a="1"/>
  <c r="B1559" i="2" s="1"/>
  <c r="J1558" i="2" a="1"/>
  <c r="J1558" i="2" s="1"/>
  <c r="K1558" i="2" a="1"/>
  <c r="K1558" i="2" s="1"/>
  <c r="I1558" i="2" a="1"/>
  <c r="I1558" i="2" s="1"/>
  <c r="H1558" i="2" a="1"/>
  <c r="H1558" i="2" s="1"/>
  <c r="C1561" i="2"/>
  <c r="F1560" i="2"/>
  <c r="D1558" i="2" a="1"/>
  <c r="K1558" i="3" l="1" a="1"/>
  <c r="K1558" i="3" s="1"/>
  <c r="H1558" i="3" a="1"/>
  <c r="H1558" i="3" s="1"/>
  <c r="I1558" i="3" a="1"/>
  <c r="I1558" i="3" s="1"/>
  <c r="J1558" i="3" a="1"/>
  <c r="J1558" i="3" s="1"/>
  <c r="I1559" i="3" a="1"/>
  <c r="I1559" i="3" s="1"/>
  <c r="H1559" i="3" a="1"/>
  <c r="H1559" i="3" s="1"/>
  <c r="K1559" i="3" a="1"/>
  <c r="K1559" i="3" s="1"/>
  <c r="C1561" i="3"/>
  <c r="G1560" i="3" a="1"/>
  <c r="G1560" i="3" s="1"/>
  <c r="L1560" i="3"/>
  <c r="M1560" i="3"/>
  <c r="F1560" i="3"/>
  <c r="A1559" i="3" a="1"/>
  <c r="A1559" i="3" s="1"/>
  <c r="B1559" i="3" a="1"/>
  <c r="B1559" i="3" s="1"/>
  <c r="D1558" i="2"/>
  <c r="C1562" i="2"/>
  <c r="F1561" i="2"/>
  <c r="B1560" i="2" a="1"/>
  <c r="B1560" i="2" s="1"/>
  <c r="A1560" i="2" a="1"/>
  <c r="A1560" i="2" s="1"/>
  <c r="J1559" i="2" a="1"/>
  <c r="J1559" i="2" s="1"/>
  <c r="H1559" i="2" a="1"/>
  <c r="H1559" i="2" s="1"/>
  <c r="K1559" i="2" a="1"/>
  <c r="K1559" i="2" s="1"/>
  <c r="I1559" i="2" a="1"/>
  <c r="I1559" i="2" s="1"/>
  <c r="D1559" i="2" a="1"/>
  <c r="H1560" i="3" l="1" a="1"/>
  <c r="H1560" i="3" s="1"/>
  <c r="I1560" i="3" a="1"/>
  <c r="I1560" i="3" s="1"/>
  <c r="K1560" i="3" a="1"/>
  <c r="K1560" i="3" s="1"/>
  <c r="J1560" i="3" a="1"/>
  <c r="J1560" i="3" s="1"/>
  <c r="C1562" i="3"/>
  <c r="L1561" i="3"/>
  <c r="M1561" i="3"/>
  <c r="F1561" i="3"/>
  <c r="F1562" i="3" s="1"/>
  <c r="A1560" i="3" a="1"/>
  <c r="A1560" i="3" s="1"/>
  <c r="B1560" i="3" a="1"/>
  <c r="B1560" i="3" s="1"/>
  <c r="D1559" i="2"/>
  <c r="A1561" i="2" a="1"/>
  <c r="A1561" i="2" s="1"/>
  <c r="B1561" i="2" a="1"/>
  <c r="B1561" i="2" s="1"/>
  <c r="I1560" i="2" a="1"/>
  <c r="I1560" i="2" s="1"/>
  <c r="J1560" i="2" a="1"/>
  <c r="J1560" i="2" s="1"/>
  <c r="K1560" i="2" a="1"/>
  <c r="K1560" i="2" s="1"/>
  <c r="H1560" i="2" a="1"/>
  <c r="H1560" i="2" s="1"/>
  <c r="C1563" i="2"/>
  <c r="F1562" i="2"/>
  <c r="D1560" i="2" a="1"/>
  <c r="G1561" i="3" l="1" a="1"/>
  <c r="G1561" i="3" s="1"/>
  <c r="C1563" i="3"/>
  <c r="F1563" i="3" s="1"/>
  <c r="G1562" i="3" a="1"/>
  <c r="G1562" i="3" s="1"/>
  <c r="M1562" i="3"/>
  <c r="L1562" i="3"/>
  <c r="J1562" i="3" a="1"/>
  <c r="J1562" i="3" s="1"/>
  <c r="B1561" i="3" a="1"/>
  <c r="B1561" i="3" s="1"/>
  <c r="A1561" i="3" a="1"/>
  <c r="A1561" i="3" s="1"/>
  <c r="D1560" i="2"/>
  <c r="A1562" i="2" a="1"/>
  <c r="A1562" i="2" s="1"/>
  <c r="B1562" i="2" a="1"/>
  <c r="B1562" i="2" s="1"/>
  <c r="I1561" i="2" a="1"/>
  <c r="I1561" i="2" s="1"/>
  <c r="K1561" i="2" a="1"/>
  <c r="K1561" i="2" s="1"/>
  <c r="J1561" i="2" a="1"/>
  <c r="J1561" i="2" s="1"/>
  <c r="H1561" i="2" a="1"/>
  <c r="H1561" i="2" s="1"/>
  <c r="C1564" i="2"/>
  <c r="F1563" i="2"/>
  <c r="D1561" i="2" a="1"/>
  <c r="H1562" i="3" l="1" a="1"/>
  <c r="H1562" i="3" s="1"/>
  <c r="I1562" i="3" a="1"/>
  <c r="I1562" i="3" s="1"/>
  <c r="K1562" i="3" a="1"/>
  <c r="K1562" i="3" s="1"/>
  <c r="C1564" i="3"/>
  <c r="G1563" i="3" a="1"/>
  <c r="G1563" i="3" s="1"/>
  <c r="L1563" i="3"/>
  <c r="M1563" i="3"/>
  <c r="J1563" i="3" a="1"/>
  <c r="J1563" i="3" s="1"/>
  <c r="K1561" i="3" a="1"/>
  <c r="K1561" i="3" s="1"/>
  <c r="I1561" i="3" a="1"/>
  <c r="I1561" i="3" s="1"/>
  <c r="H1561" i="3" a="1"/>
  <c r="H1561" i="3" s="1"/>
  <c r="J1561" i="3" a="1"/>
  <c r="J1561" i="3" s="1"/>
  <c r="A1562" i="3" a="1"/>
  <c r="A1562" i="3" s="1"/>
  <c r="B1562" i="3" a="1"/>
  <c r="B1562" i="3" s="1"/>
  <c r="D1561" i="2"/>
  <c r="C1565" i="2"/>
  <c r="F1564" i="2"/>
  <c r="B1563" i="2" a="1"/>
  <c r="B1563" i="2" s="1"/>
  <c r="A1563" i="2" a="1"/>
  <c r="A1563" i="2" s="1"/>
  <c r="K1562" i="2" a="1"/>
  <c r="K1562" i="2" s="1"/>
  <c r="J1562" i="2" a="1"/>
  <c r="J1562" i="2" s="1"/>
  <c r="H1562" i="2" a="1"/>
  <c r="H1562" i="2" s="1"/>
  <c r="I1562" i="2" a="1"/>
  <c r="I1562" i="2" s="1"/>
  <c r="D1562" i="2" a="1"/>
  <c r="C1565" i="3" l="1"/>
  <c r="L1564" i="3"/>
  <c r="M1564" i="3"/>
  <c r="I1563" i="3" a="1"/>
  <c r="I1563" i="3" s="1"/>
  <c r="H1563" i="3" a="1"/>
  <c r="H1563" i="3" s="1"/>
  <c r="K1563" i="3" a="1"/>
  <c r="K1563" i="3" s="1"/>
  <c r="F1564" i="3"/>
  <c r="F1565" i="3" s="1"/>
  <c r="B1563" i="3" a="1"/>
  <c r="B1563" i="3" s="1"/>
  <c r="A1563" i="3" a="1"/>
  <c r="A1563" i="3" s="1"/>
  <c r="D1562" i="2"/>
  <c r="A1564" i="2" a="1"/>
  <c r="A1564" i="2" s="1"/>
  <c r="B1564" i="2" a="1"/>
  <c r="B1564" i="2" s="1"/>
  <c r="I1563" i="2" a="1"/>
  <c r="I1563" i="2" s="1"/>
  <c r="K1563" i="2" a="1"/>
  <c r="K1563" i="2" s="1"/>
  <c r="H1563" i="2" a="1"/>
  <c r="H1563" i="2" s="1"/>
  <c r="J1563" i="2" a="1"/>
  <c r="J1563" i="2" s="1"/>
  <c r="C1566" i="2"/>
  <c r="F1565" i="2"/>
  <c r="D1563" i="2" a="1"/>
  <c r="G1564" i="3" l="1" a="1"/>
  <c r="G1564" i="3" s="1"/>
  <c r="C1566" i="3"/>
  <c r="G1565" i="3" a="1"/>
  <c r="G1565" i="3" s="1"/>
  <c r="L1565" i="3"/>
  <c r="M1565" i="3"/>
  <c r="A1564" i="3" a="1"/>
  <c r="A1564" i="3" s="1"/>
  <c r="B1564" i="3" a="1"/>
  <c r="B1564" i="3" s="1"/>
  <c r="D1563" i="2"/>
  <c r="A1565" i="2" a="1"/>
  <c r="A1565" i="2" s="1"/>
  <c r="B1565" i="2" a="1"/>
  <c r="B1565" i="2" s="1"/>
  <c r="I1564" i="2" a="1"/>
  <c r="I1564" i="2" s="1"/>
  <c r="H1564" i="2" a="1"/>
  <c r="H1564" i="2" s="1"/>
  <c r="J1564" i="2" a="1"/>
  <c r="J1564" i="2" s="1"/>
  <c r="K1564" i="2" a="1"/>
  <c r="K1564" i="2" s="1"/>
  <c r="C1567" i="2"/>
  <c r="F1566" i="2"/>
  <c r="D1564" i="2" a="1"/>
  <c r="I1565" i="3" l="1" a="1"/>
  <c r="I1565" i="3" s="1"/>
  <c r="K1565" i="3" a="1"/>
  <c r="K1565" i="3" s="1"/>
  <c r="H1565" i="3" a="1"/>
  <c r="H1565" i="3" s="1"/>
  <c r="J1565" i="3" a="1"/>
  <c r="J1565" i="3" s="1"/>
  <c r="C1567" i="3"/>
  <c r="G1566" i="3" a="1"/>
  <c r="G1566" i="3" s="1"/>
  <c r="L1566" i="3"/>
  <c r="M1566" i="3"/>
  <c r="K1564" i="3" a="1"/>
  <c r="K1564" i="3" s="1"/>
  <c r="H1564" i="3" a="1"/>
  <c r="H1564" i="3" s="1"/>
  <c r="I1564" i="3" a="1"/>
  <c r="I1564" i="3" s="1"/>
  <c r="J1564" i="3" a="1"/>
  <c r="J1564" i="3" s="1"/>
  <c r="F1566" i="3"/>
  <c r="A1565" i="3" a="1"/>
  <c r="A1565" i="3" s="1"/>
  <c r="B1565" i="3" a="1"/>
  <c r="B1565" i="3" s="1"/>
  <c r="D1564" i="2"/>
  <c r="I1565" i="2" a="1"/>
  <c r="I1565" i="2" s="1"/>
  <c r="K1565" i="2" a="1"/>
  <c r="K1565" i="2" s="1"/>
  <c r="J1565" i="2" a="1"/>
  <c r="J1565" i="2" s="1"/>
  <c r="H1565" i="2" a="1"/>
  <c r="H1565" i="2" s="1"/>
  <c r="A1566" i="2" a="1"/>
  <c r="A1566" i="2" s="1"/>
  <c r="B1566" i="2" a="1"/>
  <c r="B1566" i="2" s="1"/>
  <c r="C1568" i="2"/>
  <c r="F1567" i="2"/>
  <c r="D1565" i="2" a="1"/>
  <c r="H1566" i="3" l="1" a="1"/>
  <c r="H1566" i="3" s="1"/>
  <c r="I1566" i="3" a="1"/>
  <c r="I1566" i="3" s="1"/>
  <c r="K1566" i="3" a="1"/>
  <c r="K1566" i="3" s="1"/>
  <c r="C1568" i="3"/>
  <c r="M1567" i="3"/>
  <c r="L1567" i="3"/>
  <c r="J1566" i="3" a="1"/>
  <c r="J1566" i="3" s="1"/>
  <c r="F1567" i="3"/>
  <c r="F1568" i="3" s="1"/>
  <c r="B1566" i="3" a="1"/>
  <c r="B1566" i="3" s="1"/>
  <c r="A1566" i="3" a="1"/>
  <c r="A1566" i="3" s="1"/>
  <c r="D1565" i="2"/>
  <c r="C1569" i="2"/>
  <c r="F1568" i="2"/>
  <c r="A1567" i="2" a="1"/>
  <c r="A1567" i="2" s="1"/>
  <c r="B1567" i="2" a="1"/>
  <c r="B1567" i="2" s="1"/>
  <c r="K1566" i="2" a="1"/>
  <c r="K1566" i="2" s="1"/>
  <c r="J1566" i="2" a="1"/>
  <c r="J1566" i="2" s="1"/>
  <c r="I1566" i="2" a="1"/>
  <c r="I1566" i="2" s="1"/>
  <c r="H1566" i="2" a="1"/>
  <c r="H1566" i="2" s="1"/>
  <c r="D1566" i="2" a="1"/>
  <c r="C1569" i="3" l="1"/>
  <c r="G1568" i="3" a="1"/>
  <c r="G1568" i="3" s="1"/>
  <c r="L1568" i="3"/>
  <c r="M1568" i="3"/>
  <c r="J1568" i="3" a="1"/>
  <c r="J1568" i="3" s="1"/>
  <c r="F1569" i="3"/>
  <c r="G1567" i="3" a="1"/>
  <c r="G1567" i="3" s="1"/>
  <c r="A1567" i="3" a="1"/>
  <c r="A1567" i="3" s="1"/>
  <c r="B1567" i="3" a="1"/>
  <c r="B1567" i="3" s="1"/>
  <c r="D1566" i="2"/>
  <c r="H1567" i="2" a="1"/>
  <c r="H1567" i="2" s="1"/>
  <c r="I1567" i="2" a="1"/>
  <c r="I1567" i="2" s="1"/>
  <c r="K1567" i="2" a="1"/>
  <c r="K1567" i="2" s="1"/>
  <c r="J1567" i="2" a="1"/>
  <c r="J1567" i="2" s="1"/>
  <c r="B1568" i="2" a="1"/>
  <c r="B1568" i="2" s="1"/>
  <c r="A1568" i="2" a="1"/>
  <c r="A1568" i="2" s="1"/>
  <c r="C1570" i="2"/>
  <c r="F1569" i="2"/>
  <c r="D1567" i="2" a="1"/>
  <c r="K1567" i="3" l="1" a="1"/>
  <c r="K1567" i="3" s="1"/>
  <c r="I1567" i="3" a="1"/>
  <c r="I1567" i="3" s="1"/>
  <c r="H1567" i="3" a="1"/>
  <c r="H1567" i="3" s="1"/>
  <c r="J1567" i="3" a="1"/>
  <c r="J1567" i="3" s="1"/>
  <c r="H1568" i="3" a="1"/>
  <c r="H1568" i="3" s="1"/>
  <c r="I1568" i="3" a="1"/>
  <c r="I1568" i="3" s="1"/>
  <c r="K1568" i="3" a="1"/>
  <c r="K1568" i="3" s="1"/>
  <c r="C1570" i="3"/>
  <c r="G1569" i="3" a="1"/>
  <c r="G1569" i="3" s="1"/>
  <c r="L1569" i="3"/>
  <c r="M1569" i="3"/>
  <c r="A1568" i="3" a="1"/>
  <c r="A1568" i="3" s="1"/>
  <c r="B1568" i="3" a="1"/>
  <c r="B1568" i="3" s="1"/>
  <c r="D1567" i="2"/>
  <c r="B1569" i="2" a="1"/>
  <c r="B1569" i="2" s="1"/>
  <c r="A1569" i="2" a="1"/>
  <c r="A1569" i="2" s="1"/>
  <c r="C1571" i="2"/>
  <c r="F1570" i="2"/>
  <c r="J1568" i="2" a="1"/>
  <c r="J1568" i="2" s="1"/>
  <c r="H1568" i="2" a="1"/>
  <c r="H1568" i="2" s="1"/>
  <c r="K1568" i="2" a="1"/>
  <c r="K1568" i="2" s="1"/>
  <c r="I1568" i="2" a="1"/>
  <c r="I1568" i="2" s="1"/>
  <c r="D1568" i="2" a="1"/>
  <c r="K1569" i="3" l="1" a="1"/>
  <c r="K1569" i="3" s="1"/>
  <c r="I1569" i="3" a="1"/>
  <c r="I1569" i="3" s="1"/>
  <c r="H1569" i="3" a="1"/>
  <c r="H1569" i="3" s="1"/>
  <c r="C1571" i="3"/>
  <c r="L1570" i="3"/>
  <c r="M1570" i="3"/>
  <c r="F1570" i="3"/>
  <c r="F1571" i="3" s="1"/>
  <c r="J1569" i="3" a="1"/>
  <c r="J1569" i="3" s="1"/>
  <c r="A1569" i="3" a="1"/>
  <c r="A1569" i="3" s="1"/>
  <c r="B1569" i="3" a="1"/>
  <c r="B1569" i="3" s="1"/>
  <c r="D1568" i="2"/>
  <c r="C1572" i="2"/>
  <c r="F1571" i="2"/>
  <c r="I1569" i="2" a="1"/>
  <c r="I1569" i="2" s="1"/>
  <c r="H1569" i="2" a="1"/>
  <c r="H1569" i="2" s="1"/>
  <c r="J1569" i="2" a="1"/>
  <c r="J1569" i="2" s="1"/>
  <c r="K1569" i="2" a="1"/>
  <c r="K1569" i="2" s="1"/>
  <c r="A1570" i="2" a="1"/>
  <c r="A1570" i="2" s="1"/>
  <c r="B1570" i="2" a="1"/>
  <c r="B1570" i="2" s="1"/>
  <c r="D1569" i="2" a="1"/>
  <c r="G1570" i="3" l="1" a="1"/>
  <c r="G1570" i="3" s="1"/>
  <c r="C1572" i="3"/>
  <c r="G1571" i="3" a="1"/>
  <c r="G1571" i="3" s="1"/>
  <c r="L1571" i="3"/>
  <c r="M1571" i="3"/>
  <c r="A1570" i="3" a="1"/>
  <c r="A1570" i="3" s="1"/>
  <c r="B1570" i="3" a="1"/>
  <c r="B1570" i="3" s="1"/>
  <c r="D1569" i="2"/>
  <c r="J1570" i="2" a="1"/>
  <c r="J1570" i="2" s="1"/>
  <c r="H1570" i="2" a="1"/>
  <c r="H1570" i="2" s="1"/>
  <c r="K1570" i="2" a="1"/>
  <c r="K1570" i="2" s="1"/>
  <c r="I1570" i="2" a="1"/>
  <c r="I1570" i="2" s="1"/>
  <c r="A1571" i="2" a="1"/>
  <c r="A1571" i="2" s="1"/>
  <c r="B1571" i="2" a="1"/>
  <c r="B1571" i="2" s="1"/>
  <c r="C1573" i="2"/>
  <c r="F1572" i="2"/>
  <c r="D1570" i="2" a="1"/>
  <c r="I1571" i="3" l="1" a="1"/>
  <c r="I1571" i="3" s="1"/>
  <c r="H1571" i="3" a="1"/>
  <c r="H1571" i="3" s="1"/>
  <c r="K1571" i="3" a="1"/>
  <c r="K1571" i="3" s="1"/>
  <c r="K1570" i="3" a="1"/>
  <c r="K1570" i="3" s="1"/>
  <c r="H1570" i="3" a="1"/>
  <c r="H1570" i="3" s="1"/>
  <c r="I1570" i="3" a="1"/>
  <c r="I1570" i="3" s="1"/>
  <c r="J1570" i="3" a="1"/>
  <c r="J1570" i="3" s="1"/>
  <c r="J1571" i="3" a="1"/>
  <c r="J1571" i="3" s="1"/>
  <c r="C1573" i="3"/>
  <c r="G1572" i="3" a="1"/>
  <c r="G1572" i="3" s="1"/>
  <c r="M1572" i="3"/>
  <c r="L1572" i="3"/>
  <c r="F1572" i="3"/>
  <c r="A1571" i="3" a="1"/>
  <c r="A1571" i="3" s="1"/>
  <c r="B1571" i="3" a="1"/>
  <c r="B1571" i="3" s="1"/>
  <c r="D1570" i="2"/>
  <c r="B1572" i="2" a="1"/>
  <c r="B1572" i="2" s="1"/>
  <c r="A1572" i="2" a="1"/>
  <c r="A1572" i="2" s="1"/>
  <c r="C1574" i="2"/>
  <c r="F1573" i="2"/>
  <c r="J1571" i="2" a="1"/>
  <c r="J1571" i="2" s="1"/>
  <c r="K1571" i="2" a="1"/>
  <c r="K1571" i="2" s="1"/>
  <c r="I1571" i="2" a="1"/>
  <c r="I1571" i="2" s="1"/>
  <c r="H1571" i="2" a="1"/>
  <c r="H1571" i="2" s="1"/>
  <c r="D1571" i="2" a="1"/>
  <c r="H1572" i="3" l="1" a="1"/>
  <c r="H1572" i="3" s="1"/>
  <c r="I1572" i="3" a="1"/>
  <c r="I1572" i="3" s="1"/>
  <c r="K1572" i="3" a="1"/>
  <c r="K1572" i="3" s="1"/>
  <c r="C1574" i="3"/>
  <c r="G1573" i="3" a="1"/>
  <c r="G1573" i="3" s="1"/>
  <c r="J1573" i="3" s="1" a="1"/>
  <c r="J1573" i="3" s="1"/>
  <c r="L1573" i="3"/>
  <c r="M1573" i="3"/>
  <c r="F1573" i="3"/>
  <c r="F1574" i="3" s="1"/>
  <c r="J1572" i="3" a="1"/>
  <c r="J1572" i="3" s="1"/>
  <c r="A1572" i="3" a="1"/>
  <c r="A1572" i="3" s="1"/>
  <c r="B1572" i="3" a="1"/>
  <c r="B1572" i="3" s="1"/>
  <c r="D1571" i="2"/>
  <c r="B1573" i="2" a="1"/>
  <c r="B1573" i="2" s="1"/>
  <c r="A1573" i="2" a="1"/>
  <c r="A1573" i="2" s="1"/>
  <c r="I1572" i="2" a="1"/>
  <c r="I1572" i="2" s="1"/>
  <c r="H1572" i="2" a="1"/>
  <c r="H1572" i="2" s="1"/>
  <c r="J1572" i="2" a="1"/>
  <c r="J1572" i="2" s="1"/>
  <c r="K1572" i="2" a="1"/>
  <c r="K1572" i="2" s="1"/>
  <c r="C1575" i="2"/>
  <c r="F1574" i="2"/>
  <c r="D1572" i="2" a="1"/>
  <c r="C1575" i="3" l="1"/>
  <c r="G1574" i="3" a="1"/>
  <c r="G1574" i="3" s="1"/>
  <c r="L1574" i="3"/>
  <c r="M1574" i="3"/>
  <c r="J1574" i="3" a="1"/>
  <c r="J1574" i="3" s="1"/>
  <c r="F1575" i="3"/>
  <c r="H1573" i="3" a="1"/>
  <c r="H1573" i="3" s="1"/>
  <c r="I1573" i="3" a="1"/>
  <c r="I1573" i="3" s="1"/>
  <c r="K1573" i="3" a="1"/>
  <c r="K1573" i="3" s="1"/>
  <c r="B1573" i="3" a="1"/>
  <c r="B1573" i="3" s="1"/>
  <c r="A1573" i="3" a="1"/>
  <c r="A1573" i="3" s="1"/>
  <c r="D1572" i="2"/>
  <c r="A1574" i="2" a="1"/>
  <c r="A1574" i="2" s="1"/>
  <c r="B1574" i="2" a="1"/>
  <c r="B1574" i="2" s="1"/>
  <c r="C1576" i="2"/>
  <c r="F1575" i="2"/>
  <c r="K1573" i="2" a="1"/>
  <c r="K1573" i="2" s="1"/>
  <c r="J1573" i="2" a="1"/>
  <c r="J1573" i="2" s="1"/>
  <c r="I1573" i="2" a="1"/>
  <c r="I1573" i="2" s="1"/>
  <c r="H1573" i="2" a="1"/>
  <c r="H1573" i="2" s="1"/>
  <c r="D1573" i="2" a="1"/>
  <c r="H1574" i="3" l="1" a="1"/>
  <c r="H1574" i="3" s="1"/>
  <c r="I1574" i="3" a="1"/>
  <c r="I1574" i="3" s="1"/>
  <c r="K1574" i="3" a="1"/>
  <c r="K1574" i="3" s="1"/>
  <c r="C1576" i="3"/>
  <c r="G1575" i="3" a="1"/>
  <c r="G1575" i="3" s="1"/>
  <c r="L1575" i="3"/>
  <c r="M1575" i="3"/>
  <c r="A1574" i="3" a="1"/>
  <c r="A1574" i="3" s="1"/>
  <c r="B1574" i="3" a="1"/>
  <c r="B1574" i="3" s="1"/>
  <c r="D1573" i="2"/>
  <c r="J1574" i="2" a="1"/>
  <c r="J1574" i="2" s="1"/>
  <c r="K1574" i="2" a="1"/>
  <c r="K1574" i="2" s="1"/>
  <c r="H1574" i="2" a="1"/>
  <c r="H1574" i="2" s="1"/>
  <c r="I1574" i="2" a="1"/>
  <c r="I1574" i="2" s="1"/>
  <c r="A1575" i="2" a="1"/>
  <c r="A1575" i="2" s="1"/>
  <c r="B1575" i="2" a="1"/>
  <c r="B1575" i="2" s="1"/>
  <c r="C1577" i="2"/>
  <c r="F1576" i="2"/>
  <c r="D1574" i="2" a="1"/>
  <c r="H1575" i="3" l="1" a="1"/>
  <c r="H1575" i="3" s="1"/>
  <c r="I1575" i="3" a="1"/>
  <c r="I1575" i="3" s="1"/>
  <c r="K1575" i="3" a="1"/>
  <c r="K1575" i="3" s="1"/>
  <c r="J1575" i="3" a="1"/>
  <c r="J1575" i="3" s="1"/>
  <c r="C1577" i="3"/>
  <c r="L1576" i="3"/>
  <c r="M1576" i="3"/>
  <c r="F1576" i="3"/>
  <c r="F1577" i="3" s="1"/>
  <c r="B1575" i="3" a="1"/>
  <c r="B1575" i="3" s="1"/>
  <c r="A1575" i="3" a="1"/>
  <c r="A1575" i="3" s="1"/>
  <c r="D1574" i="2"/>
  <c r="A1576" i="2" a="1"/>
  <c r="A1576" i="2" s="1"/>
  <c r="B1576" i="2" a="1"/>
  <c r="B1576" i="2" s="1"/>
  <c r="C1578" i="2"/>
  <c r="F1577" i="2"/>
  <c r="H1575" i="2" a="1"/>
  <c r="H1575" i="2" s="1"/>
  <c r="J1575" i="2" a="1"/>
  <c r="J1575" i="2" s="1"/>
  <c r="K1575" i="2" a="1"/>
  <c r="K1575" i="2" s="1"/>
  <c r="I1575" i="2" a="1"/>
  <c r="I1575" i="2" s="1"/>
  <c r="D1575" i="2" a="1"/>
  <c r="G1576" i="3" l="1" a="1"/>
  <c r="G1576" i="3" s="1"/>
  <c r="C1578" i="3"/>
  <c r="G1577" i="3" a="1"/>
  <c r="G1577" i="3" s="1"/>
  <c r="J1577" i="3" s="1" a="1"/>
  <c r="J1577" i="3" s="1"/>
  <c r="L1577" i="3"/>
  <c r="M1577" i="3"/>
  <c r="A1576" i="3" a="1"/>
  <c r="A1576" i="3" s="1"/>
  <c r="B1576" i="3" a="1"/>
  <c r="B1576" i="3" s="1"/>
  <c r="D1575" i="2"/>
  <c r="A1577" i="2" a="1"/>
  <c r="A1577" i="2" s="1"/>
  <c r="B1577" i="2" a="1"/>
  <c r="B1577" i="2" s="1"/>
  <c r="C1579" i="2"/>
  <c r="F1578" i="2"/>
  <c r="J1576" i="2" a="1"/>
  <c r="J1576" i="2" s="1"/>
  <c r="H1576" i="2" a="1"/>
  <c r="H1576" i="2" s="1"/>
  <c r="K1576" i="2" a="1"/>
  <c r="K1576" i="2" s="1"/>
  <c r="I1576" i="2" a="1"/>
  <c r="I1576" i="2" s="1"/>
  <c r="D1576" i="2" a="1"/>
  <c r="K1576" i="3" l="1" a="1"/>
  <c r="K1576" i="3" s="1"/>
  <c r="H1576" i="3" a="1"/>
  <c r="H1576" i="3" s="1"/>
  <c r="I1576" i="3" a="1"/>
  <c r="I1576" i="3" s="1"/>
  <c r="J1576" i="3" a="1"/>
  <c r="J1576" i="3" s="1"/>
  <c r="I1577" i="3" a="1"/>
  <c r="I1577" i="3" s="1"/>
  <c r="H1577" i="3" a="1"/>
  <c r="H1577" i="3" s="1"/>
  <c r="K1577" i="3" a="1"/>
  <c r="K1577" i="3" s="1"/>
  <c r="C1579" i="3"/>
  <c r="G1578" i="3" a="1"/>
  <c r="G1578" i="3" s="1"/>
  <c r="J1578" i="3" s="1" a="1"/>
  <c r="J1578" i="3" s="1"/>
  <c r="L1578" i="3"/>
  <c r="M1578" i="3"/>
  <c r="F1578" i="3"/>
  <c r="A1577" i="3" a="1"/>
  <c r="A1577" i="3" s="1"/>
  <c r="B1577" i="3" a="1"/>
  <c r="B1577" i="3" s="1"/>
  <c r="D1576" i="2"/>
  <c r="A1578" i="2" a="1"/>
  <c r="A1578" i="2" s="1"/>
  <c r="B1578" i="2" a="1"/>
  <c r="B1578" i="2" s="1"/>
  <c r="C1580" i="2"/>
  <c r="F1579" i="2"/>
  <c r="H1577" i="2" a="1"/>
  <c r="H1577" i="2" s="1"/>
  <c r="I1577" i="2" a="1"/>
  <c r="I1577" i="2" s="1"/>
  <c r="J1577" i="2" a="1"/>
  <c r="J1577" i="2" s="1"/>
  <c r="K1577" i="2" a="1"/>
  <c r="K1577" i="2" s="1"/>
  <c r="D1577" i="2" a="1"/>
  <c r="H1578" i="3" l="1" a="1"/>
  <c r="H1578" i="3" s="1"/>
  <c r="I1578" i="3" a="1"/>
  <c r="I1578" i="3" s="1"/>
  <c r="K1578" i="3" a="1"/>
  <c r="K1578" i="3" s="1"/>
  <c r="C1580" i="3"/>
  <c r="L1579" i="3"/>
  <c r="M1579" i="3"/>
  <c r="F1579" i="3"/>
  <c r="F1580" i="3" s="1"/>
  <c r="B1578" i="3" a="1"/>
  <c r="B1578" i="3" s="1"/>
  <c r="A1578" i="3" a="1"/>
  <c r="A1578" i="3" s="1"/>
  <c r="D1577" i="2"/>
  <c r="K1578" i="2" a="1"/>
  <c r="K1578" i="2" s="1"/>
  <c r="J1578" i="2" a="1"/>
  <c r="J1578" i="2" s="1"/>
  <c r="H1578" i="2" a="1"/>
  <c r="H1578" i="2" s="1"/>
  <c r="I1578" i="2" a="1"/>
  <c r="I1578" i="2" s="1"/>
  <c r="B1579" i="2" a="1"/>
  <c r="B1579" i="2" s="1"/>
  <c r="A1579" i="2" a="1"/>
  <c r="A1579" i="2" s="1"/>
  <c r="C1581" i="2"/>
  <c r="F1580" i="2"/>
  <c r="D1578" i="2" a="1"/>
  <c r="G1579" i="3" l="1" a="1"/>
  <c r="G1579" i="3" s="1"/>
  <c r="C1581" i="3"/>
  <c r="G1580" i="3" a="1"/>
  <c r="G1580" i="3" s="1"/>
  <c r="L1580" i="3"/>
  <c r="M1580" i="3"/>
  <c r="A1579" i="3" a="1"/>
  <c r="A1579" i="3" s="1"/>
  <c r="B1579" i="3" a="1"/>
  <c r="B1579" i="3" s="1"/>
  <c r="D1578" i="2"/>
  <c r="I1579" i="2" a="1"/>
  <c r="I1579" i="2" s="1"/>
  <c r="K1579" i="2" a="1"/>
  <c r="K1579" i="2" s="1"/>
  <c r="H1579" i="2" a="1"/>
  <c r="H1579" i="2" s="1"/>
  <c r="J1579" i="2" a="1"/>
  <c r="J1579" i="2" s="1"/>
  <c r="A1580" i="2" a="1"/>
  <c r="A1580" i="2" s="1"/>
  <c r="B1580" i="2" a="1"/>
  <c r="B1580" i="2" s="1"/>
  <c r="C1582" i="2"/>
  <c r="F1581" i="2"/>
  <c r="D1579" i="2" a="1"/>
  <c r="H1580" i="3" l="1" a="1"/>
  <c r="H1580" i="3" s="1"/>
  <c r="I1580" i="3" a="1"/>
  <c r="I1580" i="3" s="1"/>
  <c r="K1580" i="3" a="1"/>
  <c r="K1580" i="3" s="1"/>
  <c r="K1579" i="3" a="1"/>
  <c r="K1579" i="3" s="1"/>
  <c r="H1579" i="3" a="1"/>
  <c r="H1579" i="3" s="1"/>
  <c r="I1579" i="3" a="1"/>
  <c r="I1579" i="3" s="1"/>
  <c r="J1579" i="3" a="1"/>
  <c r="J1579" i="3" s="1"/>
  <c r="J1580" i="3" a="1"/>
  <c r="J1580" i="3" s="1"/>
  <c r="C1582" i="3"/>
  <c r="G1581" i="3" a="1"/>
  <c r="G1581" i="3" s="1"/>
  <c r="L1581" i="3"/>
  <c r="M1581" i="3"/>
  <c r="F1581" i="3"/>
  <c r="A1580" i="3" a="1"/>
  <c r="A1580" i="3" s="1"/>
  <c r="B1580" i="3" a="1"/>
  <c r="B1580" i="3" s="1"/>
  <c r="D1579" i="2"/>
  <c r="B1581" i="2" a="1"/>
  <c r="B1581" i="2" s="1"/>
  <c r="A1581" i="2" a="1"/>
  <c r="A1581" i="2" s="1"/>
  <c r="C1583" i="2"/>
  <c r="F1582" i="2"/>
  <c r="J1580" i="2" a="1"/>
  <c r="J1580" i="2" s="1"/>
  <c r="I1580" i="2" a="1"/>
  <c r="I1580" i="2" s="1"/>
  <c r="K1580" i="2" a="1"/>
  <c r="K1580" i="2" s="1"/>
  <c r="H1580" i="2" a="1"/>
  <c r="H1580" i="2" s="1"/>
  <c r="D1580" i="2" a="1"/>
  <c r="K1581" i="3" l="1" a="1"/>
  <c r="K1581" i="3" s="1"/>
  <c r="H1581" i="3" a="1"/>
  <c r="H1581" i="3" s="1"/>
  <c r="I1581" i="3" a="1"/>
  <c r="I1581" i="3" s="1"/>
  <c r="C1583" i="3"/>
  <c r="G1582" i="3" a="1"/>
  <c r="G1582" i="3" s="1"/>
  <c r="L1582" i="3"/>
  <c r="M1582" i="3"/>
  <c r="F1582" i="3"/>
  <c r="F1583" i="3" s="1"/>
  <c r="J1581" i="3" a="1"/>
  <c r="J1581" i="3" s="1"/>
  <c r="A1581" i="3" a="1"/>
  <c r="A1581" i="3" s="1"/>
  <c r="B1581" i="3" a="1"/>
  <c r="B1581" i="3" s="1"/>
  <c r="D1580" i="2"/>
  <c r="I1581" i="2" a="1"/>
  <c r="I1581" i="2" s="1"/>
  <c r="K1581" i="2" a="1"/>
  <c r="K1581" i="2" s="1"/>
  <c r="H1581" i="2" a="1"/>
  <c r="H1581" i="2" s="1"/>
  <c r="J1581" i="2" a="1"/>
  <c r="J1581" i="2" s="1"/>
  <c r="B1582" i="2" a="1"/>
  <c r="B1582" i="2" s="1"/>
  <c r="A1582" i="2" a="1"/>
  <c r="A1582" i="2" s="1"/>
  <c r="C1584" i="2"/>
  <c r="F1583" i="2"/>
  <c r="D1581" i="2" a="1"/>
  <c r="H1582" i="3" l="1" a="1"/>
  <c r="H1582" i="3" s="1"/>
  <c r="I1582" i="3" a="1"/>
  <c r="I1582" i="3" s="1"/>
  <c r="K1582" i="3" a="1"/>
  <c r="K1582" i="3" s="1"/>
  <c r="J1582" i="3" a="1"/>
  <c r="J1582" i="3" s="1"/>
  <c r="C1584" i="3"/>
  <c r="G1583" i="3" a="1"/>
  <c r="G1583" i="3" s="1"/>
  <c r="L1583" i="3"/>
  <c r="M1583" i="3"/>
  <c r="J1583" i="3" a="1"/>
  <c r="J1583" i="3" s="1"/>
  <c r="A1582" i="3" a="1"/>
  <c r="A1582" i="3" s="1"/>
  <c r="B1582" i="3" a="1"/>
  <c r="B1582" i="3" s="1"/>
  <c r="D1581" i="2"/>
  <c r="I1582" i="2" a="1"/>
  <c r="I1582" i="2" s="1"/>
  <c r="J1582" i="2" a="1"/>
  <c r="J1582" i="2" s="1"/>
  <c r="K1582" i="2" a="1"/>
  <c r="K1582" i="2" s="1"/>
  <c r="H1582" i="2" a="1"/>
  <c r="H1582" i="2" s="1"/>
  <c r="A1583" i="2" a="1"/>
  <c r="A1583" i="2" s="1"/>
  <c r="B1583" i="2" a="1"/>
  <c r="B1583" i="2" s="1"/>
  <c r="C1585" i="2"/>
  <c r="F1584" i="2"/>
  <c r="D1582" i="2" a="1"/>
  <c r="I1583" i="3" l="1" a="1"/>
  <c r="I1583" i="3" s="1"/>
  <c r="K1583" i="3" a="1"/>
  <c r="K1583" i="3" s="1"/>
  <c r="H1583" i="3" a="1"/>
  <c r="H1583" i="3" s="1"/>
  <c r="C1585" i="3"/>
  <c r="L1584" i="3"/>
  <c r="M1584" i="3"/>
  <c r="F1584" i="3"/>
  <c r="F1585" i="3" s="1"/>
  <c r="A1583" i="3" a="1"/>
  <c r="A1583" i="3" s="1"/>
  <c r="B1583" i="3" a="1"/>
  <c r="B1583" i="3" s="1"/>
  <c r="D1582" i="2"/>
  <c r="H1583" i="2" a="1"/>
  <c r="H1583" i="2" s="1"/>
  <c r="J1583" i="2" a="1"/>
  <c r="J1583" i="2" s="1"/>
  <c r="I1583" i="2" a="1"/>
  <c r="I1583" i="2" s="1"/>
  <c r="K1583" i="2" a="1"/>
  <c r="K1583" i="2" s="1"/>
  <c r="C1586" i="2"/>
  <c r="F1585" i="2"/>
  <c r="B1584" i="2" a="1"/>
  <c r="B1584" i="2" s="1"/>
  <c r="A1584" i="2" a="1"/>
  <c r="A1584" i="2" s="1"/>
  <c r="D1583" i="2" a="1"/>
  <c r="G1584" i="3" l="1" a="1"/>
  <c r="G1584" i="3" s="1"/>
  <c r="C1586" i="3"/>
  <c r="G1585" i="3" a="1"/>
  <c r="G1585" i="3" s="1"/>
  <c r="L1585" i="3"/>
  <c r="M1585" i="3"/>
  <c r="A1584" i="3" a="1"/>
  <c r="A1584" i="3" s="1"/>
  <c r="B1584" i="3" a="1"/>
  <c r="B1584" i="3" s="1"/>
  <c r="D1583" i="2"/>
  <c r="I1584" i="2" a="1"/>
  <c r="I1584" i="2" s="1"/>
  <c r="H1584" i="2" a="1"/>
  <c r="H1584" i="2" s="1"/>
  <c r="J1584" i="2" a="1"/>
  <c r="J1584" i="2" s="1"/>
  <c r="K1584" i="2" a="1"/>
  <c r="K1584" i="2" s="1"/>
  <c r="B1585" i="2" a="1"/>
  <c r="B1585" i="2" s="1"/>
  <c r="A1585" i="2" a="1"/>
  <c r="A1585" i="2" s="1"/>
  <c r="C1587" i="2"/>
  <c r="F1586" i="2"/>
  <c r="D1584" i="2" a="1"/>
  <c r="I1585" i="3" l="1" a="1"/>
  <c r="I1585" i="3" s="1"/>
  <c r="K1585" i="3" a="1"/>
  <c r="K1585" i="3" s="1"/>
  <c r="H1585" i="3" a="1"/>
  <c r="H1585" i="3" s="1"/>
  <c r="C1587" i="3"/>
  <c r="L1586" i="3"/>
  <c r="M1586" i="3"/>
  <c r="F1586" i="3"/>
  <c r="F1587" i="3" s="1"/>
  <c r="J1585" i="3" a="1"/>
  <c r="J1585" i="3" s="1"/>
  <c r="H1584" i="3" a="1"/>
  <c r="H1584" i="3" s="1"/>
  <c r="I1584" i="3" a="1"/>
  <c r="I1584" i="3" s="1"/>
  <c r="K1584" i="3" a="1"/>
  <c r="K1584" i="3" s="1"/>
  <c r="J1584" i="3" a="1"/>
  <c r="J1584" i="3" s="1"/>
  <c r="B1585" i="3" a="1"/>
  <c r="B1585" i="3" s="1"/>
  <c r="A1585" i="3" a="1"/>
  <c r="A1585" i="3" s="1"/>
  <c r="D1584" i="2"/>
  <c r="A1586" i="2" a="1"/>
  <c r="A1586" i="2" s="1"/>
  <c r="B1586" i="2" a="1"/>
  <c r="B1586" i="2" s="1"/>
  <c r="C1588" i="2"/>
  <c r="F1587" i="2"/>
  <c r="J1585" i="2" a="1"/>
  <c r="J1585" i="2" s="1"/>
  <c r="K1585" i="2" a="1"/>
  <c r="K1585" i="2" s="1"/>
  <c r="I1585" i="2" a="1"/>
  <c r="I1585" i="2" s="1"/>
  <c r="H1585" i="2" a="1"/>
  <c r="H1585" i="2" s="1"/>
  <c r="D1585" i="2" a="1"/>
  <c r="C1588" i="3" l="1"/>
  <c r="G1587" i="3" a="1"/>
  <c r="G1587" i="3" s="1"/>
  <c r="M1587" i="3"/>
  <c r="L1587" i="3"/>
  <c r="J1587" i="3" a="1"/>
  <c r="J1587" i="3" s="1"/>
  <c r="F1588" i="3"/>
  <c r="G1586" i="3" a="1"/>
  <c r="G1586" i="3" s="1"/>
  <c r="A1586" i="3" a="1"/>
  <c r="A1586" i="3" s="1"/>
  <c r="B1586" i="3" a="1"/>
  <c r="B1586" i="3" s="1"/>
  <c r="D1585" i="2"/>
  <c r="C1589" i="2"/>
  <c r="F1588" i="2"/>
  <c r="I1586" i="2" a="1"/>
  <c r="I1586" i="2" s="1"/>
  <c r="K1586" i="2" a="1"/>
  <c r="K1586" i="2" s="1"/>
  <c r="H1586" i="2" a="1"/>
  <c r="H1586" i="2" s="1"/>
  <c r="J1586" i="2" a="1"/>
  <c r="J1586" i="2" s="1"/>
  <c r="A1587" i="2" a="1"/>
  <c r="A1587" i="2" s="1"/>
  <c r="B1587" i="2" a="1"/>
  <c r="B1587" i="2" s="1"/>
  <c r="D1586" i="2" a="1"/>
  <c r="H1586" i="3" l="1" a="1"/>
  <c r="H1586" i="3" s="1"/>
  <c r="I1586" i="3" a="1"/>
  <c r="I1586" i="3" s="1"/>
  <c r="K1586" i="3" a="1"/>
  <c r="K1586" i="3" s="1"/>
  <c r="J1586" i="3" a="1"/>
  <c r="J1586" i="3" s="1"/>
  <c r="H1587" i="3" a="1"/>
  <c r="H1587" i="3" s="1"/>
  <c r="I1587" i="3" a="1"/>
  <c r="I1587" i="3" s="1"/>
  <c r="K1587" i="3" a="1"/>
  <c r="K1587" i="3" s="1"/>
  <c r="C1589" i="3"/>
  <c r="F1589" i="3" s="1"/>
  <c r="G1588" i="3" a="1"/>
  <c r="G1588" i="3" s="1"/>
  <c r="L1588" i="3"/>
  <c r="M1588" i="3"/>
  <c r="B1587" i="3" a="1"/>
  <c r="B1587" i="3" s="1"/>
  <c r="A1587" i="3" a="1"/>
  <c r="A1587" i="3" s="1"/>
  <c r="D1586" i="2"/>
  <c r="B1588" i="2" a="1"/>
  <c r="B1588" i="2" s="1"/>
  <c r="A1588" i="2" a="1"/>
  <c r="A1588" i="2" s="1"/>
  <c r="I1587" i="2" a="1"/>
  <c r="I1587" i="2" s="1"/>
  <c r="J1587" i="2" a="1"/>
  <c r="J1587" i="2" s="1"/>
  <c r="K1587" i="2" a="1"/>
  <c r="K1587" i="2" s="1"/>
  <c r="H1587" i="2" a="1"/>
  <c r="H1587" i="2" s="1"/>
  <c r="C1590" i="2"/>
  <c r="F1589" i="2"/>
  <c r="D1587" i="2" a="1"/>
  <c r="K1588" i="3" l="1" a="1"/>
  <c r="K1588" i="3" s="1"/>
  <c r="H1588" i="3" a="1"/>
  <c r="H1588" i="3" s="1"/>
  <c r="I1588" i="3" a="1"/>
  <c r="I1588" i="3" s="1"/>
  <c r="C1590" i="3"/>
  <c r="G1589" i="3" a="1"/>
  <c r="G1589" i="3" s="1"/>
  <c r="L1589" i="3"/>
  <c r="M1589" i="3"/>
  <c r="J1589" i="3" a="1"/>
  <c r="J1589" i="3" s="1"/>
  <c r="J1588" i="3" a="1"/>
  <c r="J1588" i="3" s="1"/>
  <c r="A1588" i="3" a="1"/>
  <c r="A1588" i="3" s="1"/>
  <c r="B1588" i="3" a="1"/>
  <c r="B1588" i="3" s="1"/>
  <c r="D1587" i="2"/>
  <c r="C1591" i="2"/>
  <c r="F1590" i="2"/>
  <c r="A1589" i="2" a="1"/>
  <c r="A1589" i="2" s="1"/>
  <c r="B1589" i="2" a="1"/>
  <c r="B1589" i="2" s="1"/>
  <c r="J1588" i="2" a="1"/>
  <c r="J1588" i="2" s="1"/>
  <c r="I1588" i="2" a="1"/>
  <c r="I1588" i="2" s="1"/>
  <c r="K1588" i="2" a="1"/>
  <c r="K1588" i="2" s="1"/>
  <c r="H1588" i="2" a="1"/>
  <c r="H1588" i="2" s="1"/>
  <c r="D1588" i="2" a="1"/>
  <c r="I1589" i="3" l="1" a="1"/>
  <c r="I1589" i="3" s="1"/>
  <c r="H1589" i="3" a="1"/>
  <c r="H1589" i="3" s="1"/>
  <c r="K1589" i="3" a="1"/>
  <c r="K1589" i="3" s="1"/>
  <c r="C1591" i="3"/>
  <c r="L1590" i="3"/>
  <c r="M1590" i="3"/>
  <c r="F1590" i="3"/>
  <c r="F1591" i="3" s="1"/>
  <c r="A1589" i="3" a="1"/>
  <c r="A1589" i="3" s="1"/>
  <c r="B1589" i="3" a="1"/>
  <c r="B1589" i="3" s="1"/>
  <c r="D1588" i="2"/>
  <c r="K1589" i="2" a="1"/>
  <c r="K1589" i="2" s="1"/>
  <c r="J1589" i="2" a="1"/>
  <c r="J1589" i="2" s="1"/>
  <c r="H1589" i="2" a="1"/>
  <c r="H1589" i="2" s="1"/>
  <c r="I1589" i="2" a="1"/>
  <c r="I1589" i="2" s="1"/>
  <c r="B1590" i="2" a="1"/>
  <c r="B1590" i="2" s="1"/>
  <c r="A1590" i="2" a="1"/>
  <c r="A1590" i="2" s="1"/>
  <c r="C1592" i="2"/>
  <c r="F1591" i="2"/>
  <c r="D1589" i="2" a="1"/>
  <c r="G1590" i="3" l="1" a="1"/>
  <c r="G1590" i="3" s="1"/>
  <c r="C1592" i="3"/>
  <c r="G1591" i="3" a="1"/>
  <c r="G1591" i="3" s="1"/>
  <c r="M1591" i="3"/>
  <c r="L1591" i="3"/>
  <c r="J1591" i="3" a="1"/>
  <c r="J1591" i="3" s="1"/>
  <c r="B1590" i="3" a="1"/>
  <c r="B1590" i="3" s="1"/>
  <c r="A1590" i="3" a="1"/>
  <c r="A1590" i="3" s="1"/>
  <c r="D1589" i="2"/>
  <c r="A1591" i="2" a="1"/>
  <c r="A1591" i="2" s="1"/>
  <c r="B1591" i="2" a="1"/>
  <c r="B1591" i="2" s="1"/>
  <c r="I1590" i="2" a="1"/>
  <c r="I1590" i="2" s="1"/>
  <c r="K1590" i="2" a="1"/>
  <c r="K1590" i="2" s="1"/>
  <c r="J1590" i="2" a="1"/>
  <c r="J1590" i="2" s="1"/>
  <c r="H1590" i="2" a="1"/>
  <c r="H1590" i="2" s="1"/>
  <c r="C1593" i="2"/>
  <c r="F1592" i="2"/>
  <c r="D1590" i="2" a="1"/>
  <c r="K1591" i="3" l="1" a="1"/>
  <c r="K1591" i="3" s="1"/>
  <c r="I1591" i="3" a="1"/>
  <c r="I1591" i="3" s="1"/>
  <c r="H1591" i="3" a="1"/>
  <c r="H1591" i="3" s="1"/>
  <c r="C1593" i="3"/>
  <c r="G1592" i="3" a="1"/>
  <c r="G1592" i="3" s="1"/>
  <c r="L1592" i="3"/>
  <c r="M1592" i="3"/>
  <c r="J1592" i="3" a="1"/>
  <c r="J1592" i="3" s="1"/>
  <c r="H1590" i="3" a="1"/>
  <c r="H1590" i="3" s="1"/>
  <c r="I1590" i="3" a="1"/>
  <c r="I1590" i="3" s="1"/>
  <c r="K1590" i="3" a="1"/>
  <c r="K1590" i="3" s="1"/>
  <c r="J1590" i="3" a="1"/>
  <c r="J1590" i="3" s="1"/>
  <c r="F1592" i="3"/>
  <c r="A1591" i="3" a="1"/>
  <c r="A1591" i="3" s="1"/>
  <c r="B1591" i="3" a="1"/>
  <c r="B1591" i="3" s="1"/>
  <c r="D1590" i="2"/>
  <c r="C1594" i="2"/>
  <c r="F1593" i="2"/>
  <c r="J1591" i="2" a="1"/>
  <c r="J1591" i="2" s="1"/>
  <c r="K1591" i="2" a="1"/>
  <c r="K1591" i="2" s="1"/>
  <c r="H1591" i="2" a="1"/>
  <c r="H1591" i="2" s="1"/>
  <c r="I1591" i="2" a="1"/>
  <c r="I1591" i="2" s="1"/>
  <c r="B1592" i="2" a="1"/>
  <c r="B1592" i="2" s="1"/>
  <c r="A1592" i="2" a="1"/>
  <c r="A1592" i="2" s="1"/>
  <c r="D1591" i="2" a="1"/>
  <c r="C1594" i="3" l="1"/>
  <c r="L1593" i="3"/>
  <c r="M1593" i="3"/>
  <c r="I1592" i="3" a="1"/>
  <c r="I1592" i="3" s="1"/>
  <c r="K1592" i="3" a="1"/>
  <c r="K1592" i="3" s="1"/>
  <c r="H1592" i="3" a="1"/>
  <c r="H1592" i="3" s="1"/>
  <c r="F1593" i="3"/>
  <c r="F1594" i="3" s="1"/>
  <c r="A1592" i="3" a="1"/>
  <c r="A1592" i="3" s="1"/>
  <c r="B1592" i="3" a="1"/>
  <c r="B1592" i="3" s="1"/>
  <c r="D1591" i="2"/>
  <c r="I1592" i="2" a="1"/>
  <c r="I1592" i="2" s="1"/>
  <c r="K1592" i="2" a="1"/>
  <c r="K1592" i="2" s="1"/>
  <c r="H1592" i="2" a="1"/>
  <c r="H1592" i="2" s="1"/>
  <c r="J1592" i="2" a="1"/>
  <c r="J1592" i="2" s="1"/>
  <c r="B1593" i="2" a="1"/>
  <c r="B1593" i="2" s="1"/>
  <c r="A1593" i="2" a="1"/>
  <c r="A1593" i="2" s="1"/>
  <c r="C1595" i="2"/>
  <c r="F1594" i="2"/>
  <c r="D1592" i="2" a="1"/>
  <c r="G1593" i="3" l="1" a="1"/>
  <c r="G1593" i="3" s="1"/>
  <c r="C1595" i="3"/>
  <c r="G1594" i="3" a="1"/>
  <c r="G1594" i="3" s="1"/>
  <c r="L1594" i="3"/>
  <c r="M1594" i="3"/>
  <c r="J1594" i="3" a="1"/>
  <c r="J1594" i="3" s="1"/>
  <c r="A1593" i="3" a="1"/>
  <c r="A1593" i="3" s="1"/>
  <c r="B1593" i="3" a="1"/>
  <c r="B1593" i="3" s="1"/>
  <c r="D1592" i="2"/>
  <c r="C1596" i="2"/>
  <c r="F1595" i="2"/>
  <c r="A1594" i="2" a="1"/>
  <c r="A1594" i="2" s="1"/>
  <c r="B1594" i="2" a="1"/>
  <c r="B1594" i="2" s="1"/>
  <c r="I1593" i="2" a="1"/>
  <c r="I1593" i="2" s="1"/>
  <c r="J1593" i="2" a="1"/>
  <c r="J1593" i="2" s="1"/>
  <c r="K1593" i="2" a="1"/>
  <c r="K1593" i="2" s="1"/>
  <c r="H1593" i="2" a="1"/>
  <c r="H1593" i="2" s="1"/>
  <c r="D1593" i="2" a="1"/>
  <c r="K1594" i="3" l="1" a="1"/>
  <c r="K1594" i="3" s="1"/>
  <c r="H1594" i="3" a="1"/>
  <c r="H1594" i="3" s="1"/>
  <c r="I1594" i="3" a="1"/>
  <c r="I1594" i="3" s="1"/>
  <c r="C1596" i="3"/>
  <c r="G1595" i="3" a="1"/>
  <c r="G1595" i="3" s="1"/>
  <c r="L1595" i="3"/>
  <c r="M1595" i="3"/>
  <c r="J1595" i="3" a="1"/>
  <c r="J1595" i="3" s="1"/>
  <c r="K1593" i="3" a="1"/>
  <c r="K1593" i="3" s="1"/>
  <c r="H1593" i="3" a="1"/>
  <c r="H1593" i="3" s="1"/>
  <c r="I1593" i="3" a="1"/>
  <c r="I1593" i="3" s="1"/>
  <c r="J1593" i="3" a="1"/>
  <c r="J1593" i="3" s="1"/>
  <c r="F1595" i="3"/>
  <c r="A1594" i="3" a="1"/>
  <c r="A1594" i="3" s="1"/>
  <c r="B1594" i="3" a="1"/>
  <c r="B1594" i="3" s="1"/>
  <c r="D1593" i="2"/>
  <c r="A1595" i="2" a="1"/>
  <c r="A1595" i="2" s="1"/>
  <c r="B1595" i="2" a="1"/>
  <c r="B1595" i="2" s="1"/>
  <c r="H1594" i="2" a="1"/>
  <c r="H1594" i="2" s="1"/>
  <c r="I1594" i="2" a="1"/>
  <c r="I1594" i="2" s="1"/>
  <c r="J1594" i="2" a="1"/>
  <c r="J1594" i="2" s="1"/>
  <c r="K1594" i="2" a="1"/>
  <c r="K1594" i="2" s="1"/>
  <c r="C1597" i="2"/>
  <c r="F1596" i="2"/>
  <c r="D1594" i="2" a="1"/>
  <c r="C1597" i="3" l="1"/>
  <c r="L1596" i="3"/>
  <c r="M1596" i="3"/>
  <c r="I1595" i="3" a="1"/>
  <c r="I1595" i="3" s="1"/>
  <c r="H1595" i="3" a="1"/>
  <c r="H1595" i="3" s="1"/>
  <c r="K1595" i="3" a="1"/>
  <c r="K1595" i="3" s="1"/>
  <c r="F1596" i="3"/>
  <c r="F1597" i="3" s="1"/>
  <c r="A1595" i="3" a="1"/>
  <c r="A1595" i="3" s="1"/>
  <c r="B1595" i="3" a="1"/>
  <c r="B1595" i="3" s="1"/>
  <c r="D1594" i="2"/>
  <c r="C1598" i="2"/>
  <c r="F1597" i="2"/>
  <c r="B1596" i="2" a="1"/>
  <c r="B1596" i="2" s="1"/>
  <c r="A1596" i="2" a="1"/>
  <c r="A1596" i="2" s="1"/>
  <c r="H1595" i="2" a="1"/>
  <c r="H1595" i="2" s="1"/>
  <c r="I1595" i="2" a="1"/>
  <c r="I1595" i="2" s="1"/>
  <c r="J1595" i="2" a="1"/>
  <c r="J1595" i="2" s="1"/>
  <c r="K1595" i="2" a="1"/>
  <c r="K1595" i="2" s="1"/>
  <c r="D1595" i="2" a="1"/>
  <c r="G1596" i="3" l="1" a="1"/>
  <c r="G1596" i="3" s="1"/>
  <c r="C1598" i="3"/>
  <c r="G1597" i="3" a="1"/>
  <c r="G1597" i="3" s="1"/>
  <c r="L1597" i="3"/>
  <c r="M1597" i="3"/>
  <c r="A1596" i="3" a="1"/>
  <c r="A1596" i="3" s="1"/>
  <c r="B1596" i="3" a="1"/>
  <c r="B1596" i="3" s="1"/>
  <c r="D1595" i="2"/>
  <c r="A1597" i="2" a="1"/>
  <c r="A1597" i="2" s="1"/>
  <c r="B1597" i="2" a="1"/>
  <c r="B1597" i="2" s="1"/>
  <c r="I1596" i="2" a="1"/>
  <c r="I1596" i="2" s="1"/>
  <c r="K1596" i="2" a="1"/>
  <c r="K1596" i="2" s="1"/>
  <c r="J1596" i="2" a="1"/>
  <c r="J1596" i="2" s="1"/>
  <c r="H1596" i="2" a="1"/>
  <c r="H1596" i="2" s="1"/>
  <c r="C1599" i="2"/>
  <c r="F1598" i="2"/>
  <c r="D1596" i="2" a="1"/>
  <c r="K1597" i="3" l="1" a="1"/>
  <c r="K1597" i="3" s="1"/>
  <c r="H1597" i="3" a="1"/>
  <c r="H1597" i="3" s="1"/>
  <c r="I1597" i="3" a="1"/>
  <c r="I1597" i="3" s="1"/>
  <c r="C1599" i="3"/>
  <c r="G1598" i="3" a="1"/>
  <c r="G1598" i="3" s="1"/>
  <c r="L1598" i="3"/>
  <c r="M1598" i="3"/>
  <c r="J1598" i="3" a="1"/>
  <c r="J1598" i="3" s="1"/>
  <c r="J1597" i="3" a="1"/>
  <c r="J1597" i="3" s="1"/>
  <c r="H1596" i="3" a="1"/>
  <c r="H1596" i="3" s="1"/>
  <c r="K1596" i="3" a="1"/>
  <c r="K1596" i="3" s="1"/>
  <c r="I1596" i="3" a="1"/>
  <c r="I1596" i="3" s="1"/>
  <c r="J1596" i="3" a="1"/>
  <c r="J1596" i="3" s="1"/>
  <c r="F1598" i="3"/>
  <c r="B1597" i="3" a="1"/>
  <c r="B1597" i="3" s="1"/>
  <c r="A1597" i="3" a="1"/>
  <c r="A1597" i="3" s="1"/>
  <c r="D1596" i="2"/>
  <c r="C1600" i="2"/>
  <c r="F1599" i="2"/>
  <c r="J1597" i="2" a="1"/>
  <c r="J1597" i="2" s="1"/>
  <c r="K1597" i="2" a="1"/>
  <c r="K1597" i="2" s="1"/>
  <c r="I1597" i="2" a="1"/>
  <c r="I1597" i="2" s="1"/>
  <c r="H1597" i="2" a="1"/>
  <c r="H1597" i="2" s="1"/>
  <c r="B1598" i="2" a="1"/>
  <c r="B1598" i="2" s="1"/>
  <c r="A1598" i="2" a="1"/>
  <c r="A1598" i="2" s="1"/>
  <c r="D1597" i="2" a="1"/>
  <c r="C1600" i="3" l="1"/>
  <c r="L1599" i="3"/>
  <c r="M1599" i="3"/>
  <c r="F1599" i="3"/>
  <c r="F1600" i="3" s="1"/>
  <c r="I1598" i="3" a="1"/>
  <c r="I1598" i="3" s="1"/>
  <c r="K1598" i="3" a="1"/>
  <c r="K1598" i="3" s="1"/>
  <c r="H1598" i="3" a="1"/>
  <c r="H1598" i="3" s="1"/>
  <c r="A1598" i="3" a="1"/>
  <c r="A1598" i="3" s="1"/>
  <c r="B1598" i="3" a="1"/>
  <c r="B1598" i="3" s="1"/>
  <c r="D1597" i="2"/>
  <c r="A1599" i="2" a="1"/>
  <c r="A1599" i="2" s="1"/>
  <c r="B1599" i="2" a="1"/>
  <c r="B1599" i="2" s="1"/>
  <c r="I1598" i="2" a="1"/>
  <c r="I1598" i="2" s="1"/>
  <c r="K1598" i="2" a="1"/>
  <c r="K1598" i="2" s="1"/>
  <c r="H1598" i="2" a="1"/>
  <c r="H1598" i="2" s="1"/>
  <c r="J1598" i="2" a="1"/>
  <c r="J1598" i="2" s="1"/>
  <c r="C1601" i="2"/>
  <c r="F1600" i="2"/>
  <c r="D1598" i="2" a="1"/>
  <c r="G1599" i="3" l="1" a="1"/>
  <c r="G1599" i="3" s="1"/>
  <c r="C1601" i="3"/>
  <c r="G1600" i="3" a="1"/>
  <c r="G1600" i="3" s="1"/>
  <c r="L1600" i="3"/>
  <c r="M1600" i="3"/>
  <c r="B1599" i="3" a="1"/>
  <c r="B1599" i="3" s="1"/>
  <c r="A1599" i="3" a="1"/>
  <c r="A1599" i="3" s="1"/>
  <c r="D1598" i="2"/>
  <c r="B1600" i="2" a="1"/>
  <c r="B1600" i="2" s="1"/>
  <c r="A1600" i="2" a="1"/>
  <c r="A1600" i="2" s="1"/>
  <c r="I1599" i="2" a="1"/>
  <c r="I1599" i="2" s="1"/>
  <c r="K1599" i="2" a="1"/>
  <c r="K1599" i="2" s="1"/>
  <c r="H1599" i="2" a="1"/>
  <c r="H1599" i="2" s="1"/>
  <c r="J1599" i="2" a="1"/>
  <c r="J1599" i="2" s="1"/>
  <c r="C1602" i="2"/>
  <c r="F1601" i="2"/>
  <c r="D1599" i="2" a="1"/>
  <c r="K1600" i="3" l="1" a="1"/>
  <c r="K1600" i="3" s="1"/>
  <c r="H1600" i="3" a="1"/>
  <c r="H1600" i="3" s="1"/>
  <c r="I1600" i="3" a="1"/>
  <c r="I1600" i="3" s="1"/>
  <c r="C1602" i="3"/>
  <c r="G1601" i="3" a="1"/>
  <c r="G1601" i="3" s="1"/>
  <c r="M1601" i="3"/>
  <c r="L1601" i="3"/>
  <c r="J1601" i="3" a="1"/>
  <c r="J1601" i="3" s="1"/>
  <c r="J1600" i="3" a="1"/>
  <c r="J1600" i="3" s="1"/>
  <c r="H1599" i="3" a="1"/>
  <c r="H1599" i="3" s="1"/>
  <c r="K1599" i="3" a="1"/>
  <c r="K1599" i="3" s="1"/>
  <c r="I1599" i="3" a="1"/>
  <c r="I1599" i="3" s="1"/>
  <c r="J1599" i="3" a="1"/>
  <c r="J1599" i="3" s="1"/>
  <c r="F1601" i="3"/>
  <c r="A1600" i="3" a="1"/>
  <c r="A1600" i="3" s="1"/>
  <c r="B1600" i="3" a="1"/>
  <c r="B1600" i="3" s="1"/>
  <c r="D1599" i="2"/>
  <c r="C1603" i="2"/>
  <c r="F1602" i="2"/>
  <c r="B1601" i="2" a="1"/>
  <c r="B1601" i="2" s="1"/>
  <c r="A1601" i="2" a="1"/>
  <c r="A1601" i="2" s="1"/>
  <c r="K1600" i="2" a="1"/>
  <c r="K1600" i="2" s="1"/>
  <c r="I1600" i="2" a="1"/>
  <c r="I1600" i="2" s="1"/>
  <c r="H1600" i="2" a="1"/>
  <c r="H1600" i="2" s="1"/>
  <c r="J1600" i="2" a="1"/>
  <c r="J1600" i="2" s="1"/>
  <c r="D1600" i="2" a="1"/>
  <c r="C1603" i="3" l="1"/>
  <c r="L1602" i="3"/>
  <c r="M1602" i="3"/>
  <c r="I1601" i="3" a="1"/>
  <c r="I1601" i="3" s="1"/>
  <c r="H1601" i="3" a="1"/>
  <c r="H1601" i="3" s="1"/>
  <c r="K1601" i="3" a="1"/>
  <c r="K1601" i="3" s="1"/>
  <c r="F1602" i="3"/>
  <c r="F1603" i="3" s="1"/>
  <c r="A1601" i="3" a="1"/>
  <c r="A1601" i="3" s="1"/>
  <c r="B1601" i="3" a="1"/>
  <c r="B1601" i="3" s="1"/>
  <c r="D1600" i="2"/>
  <c r="A1602" i="2" a="1"/>
  <c r="A1602" i="2" s="1"/>
  <c r="B1602" i="2" a="1"/>
  <c r="B1602" i="2" s="1"/>
  <c r="J1601" i="2" a="1"/>
  <c r="J1601" i="2" s="1"/>
  <c r="K1601" i="2" a="1"/>
  <c r="K1601" i="2" s="1"/>
  <c r="H1601" i="2" a="1"/>
  <c r="H1601" i="2" s="1"/>
  <c r="I1601" i="2" a="1"/>
  <c r="I1601" i="2" s="1"/>
  <c r="C1604" i="2"/>
  <c r="F1603" i="2"/>
  <c r="D1601" i="2" a="1"/>
  <c r="G1602" i="3" l="1" a="1"/>
  <c r="G1602" i="3" s="1"/>
  <c r="C1604" i="3"/>
  <c r="G1603" i="3" a="1"/>
  <c r="G1603" i="3" s="1"/>
  <c r="L1603" i="3"/>
  <c r="M1603" i="3"/>
  <c r="J1603" i="3" a="1"/>
  <c r="J1603" i="3" s="1"/>
  <c r="B1602" i="3" a="1"/>
  <c r="B1602" i="3" s="1"/>
  <c r="A1602" i="3" a="1"/>
  <c r="A1602" i="3" s="1"/>
  <c r="D1601" i="2"/>
  <c r="A1603" i="2" a="1"/>
  <c r="A1603" i="2" s="1"/>
  <c r="B1603" i="2" a="1"/>
  <c r="B1603" i="2" s="1"/>
  <c r="H1602" i="2" a="1"/>
  <c r="H1602" i="2" s="1"/>
  <c r="K1602" i="2" a="1"/>
  <c r="K1602" i="2" s="1"/>
  <c r="J1602" i="2" a="1"/>
  <c r="J1602" i="2" s="1"/>
  <c r="I1602" i="2" a="1"/>
  <c r="I1602" i="2" s="1"/>
  <c r="C1605" i="2"/>
  <c r="F1604" i="2"/>
  <c r="D1602" i="2" a="1"/>
  <c r="K1603" i="3" l="1" a="1"/>
  <c r="K1603" i="3" s="1"/>
  <c r="H1603" i="3" a="1"/>
  <c r="H1603" i="3" s="1"/>
  <c r="I1603" i="3" a="1"/>
  <c r="I1603" i="3" s="1"/>
  <c r="C1605" i="3"/>
  <c r="G1604" i="3" a="1"/>
  <c r="G1604" i="3" s="1"/>
  <c r="J1604" i="3" s="1" a="1"/>
  <c r="J1604" i="3" s="1"/>
  <c r="L1604" i="3"/>
  <c r="M1604" i="3"/>
  <c r="H1602" i="3" a="1"/>
  <c r="H1602" i="3" s="1"/>
  <c r="I1602" i="3" a="1"/>
  <c r="I1602" i="3" s="1"/>
  <c r="K1602" i="3" a="1"/>
  <c r="K1602" i="3" s="1"/>
  <c r="J1602" i="3" a="1"/>
  <c r="J1602" i="3" s="1"/>
  <c r="F1604" i="3"/>
  <c r="A1603" i="3" a="1"/>
  <c r="A1603" i="3" s="1"/>
  <c r="B1603" i="3" a="1"/>
  <c r="B1603" i="3" s="1"/>
  <c r="D1602" i="2"/>
  <c r="A1604" i="2" a="1"/>
  <c r="A1604" i="2" s="1"/>
  <c r="B1604" i="2" a="1"/>
  <c r="B1604" i="2" s="1"/>
  <c r="J1603" i="2" a="1"/>
  <c r="J1603" i="2" s="1"/>
  <c r="K1603" i="2" a="1"/>
  <c r="K1603" i="2" s="1"/>
  <c r="I1603" i="2" a="1"/>
  <c r="I1603" i="2" s="1"/>
  <c r="H1603" i="2" a="1"/>
  <c r="H1603" i="2" s="1"/>
  <c r="C1606" i="2"/>
  <c r="F1605" i="2"/>
  <c r="D1603" i="2" a="1"/>
  <c r="C1606" i="3" l="1"/>
  <c r="M1605" i="3"/>
  <c r="L1605" i="3"/>
  <c r="K1604" i="3" a="1"/>
  <c r="K1604" i="3" s="1"/>
  <c r="I1604" i="3" a="1"/>
  <c r="I1604" i="3" s="1"/>
  <c r="H1604" i="3" a="1"/>
  <c r="H1604" i="3" s="1"/>
  <c r="F1605" i="3"/>
  <c r="F1606" i="3" s="1"/>
  <c r="B1604" i="3" a="1"/>
  <c r="B1604" i="3" s="1"/>
  <c r="A1604" i="3" a="1"/>
  <c r="A1604" i="3" s="1"/>
  <c r="D1603" i="2"/>
  <c r="A1605" i="2" a="1"/>
  <c r="A1605" i="2" s="1"/>
  <c r="B1605" i="2" a="1"/>
  <c r="B1605" i="2" s="1"/>
  <c r="C1607" i="2"/>
  <c r="F1606" i="2"/>
  <c r="J1604" i="2" a="1"/>
  <c r="J1604" i="2" s="1"/>
  <c r="I1604" i="2" a="1"/>
  <c r="I1604" i="2" s="1"/>
  <c r="H1604" i="2" a="1"/>
  <c r="H1604" i="2" s="1"/>
  <c r="K1604" i="2" a="1"/>
  <c r="K1604" i="2" s="1"/>
  <c r="D1604" i="2" a="1"/>
  <c r="G1605" i="3" l="1" a="1"/>
  <c r="G1605" i="3" s="1"/>
  <c r="C1607" i="3"/>
  <c r="G1606" i="3" a="1"/>
  <c r="G1606" i="3" s="1"/>
  <c r="L1606" i="3"/>
  <c r="M1606" i="3"/>
  <c r="J1606" i="3" a="1"/>
  <c r="J1606" i="3" s="1"/>
  <c r="A1605" i="3" a="1"/>
  <c r="A1605" i="3" s="1"/>
  <c r="B1605" i="3" a="1"/>
  <c r="B1605" i="3" s="1"/>
  <c r="D1604" i="2"/>
  <c r="C1608" i="2"/>
  <c r="F1607" i="2"/>
  <c r="A1606" i="2" a="1"/>
  <c r="A1606" i="2" s="1"/>
  <c r="B1606" i="2" a="1"/>
  <c r="B1606" i="2" s="1"/>
  <c r="K1605" i="2" a="1"/>
  <c r="K1605" i="2" s="1"/>
  <c r="H1605" i="2" a="1"/>
  <c r="H1605" i="2" s="1"/>
  <c r="I1605" i="2" a="1"/>
  <c r="I1605" i="2" s="1"/>
  <c r="J1605" i="2" a="1"/>
  <c r="J1605" i="2" s="1"/>
  <c r="D1605" i="2" a="1"/>
  <c r="I1606" i="3" l="1" a="1"/>
  <c r="I1606" i="3" s="1"/>
  <c r="K1606" i="3" a="1"/>
  <c r="K1606" i="3" s="1"/>
  <c r="H1606" i="3" a="1"/>
  <c r="H1606" i="3" s="1"/>
  <c r="C1608" i="3"/>
  <c r="G1607" i="3" a="1"/>
  <c r="G1607" i="3" s="1"/>
  <c r="L1607" i="3"/>
  <c r="M1607" i="3"/>
  <c r="J1607" i="3" a="1"/>
  <c r="J1607" i="3" s="1"/>
  <c r="I1605" i="3" a="1"/>
  <c r="I1605" i="3" s="1"/>
  <c r="K1605" i="3" a="1"/>
  <c r="K1605" i="3" s="1"/>
  <c r="H1605" i="3" a="1"/>
  <c r="H1605" i="3" s="1"/>
  <c r="J1605" i="3" a="1"/>
  <c r="J1605" i="3" s="1"/>
  <c r="F1607" i="3"/>
  <c r="A1606" i="3" a="1"/>
  <c r="A1606" i="3" s="1"/>
  <c r="B1606" i="3" a="1"/>
  <c r="B1606" i="3" s="1"/>
  <c r="D1605" i="2"/>
  <c r="I1606" i="2" a="1"/>
  <c r="I1606" i="2" s="1"/>
  <c r="K1606" i="2" a="1"/>
  <c r="K1606" i="2" s="1"/>
  <c r="J1606" i="2" a="1"/>
  <c r="J1606" i="2" s="1"/>
  <c r="H1606" i="2" a="1"/>
  <c r="H1606" i="2" s="1"/>
  <c r="A1607" i="2" a="1"/>
  <c r="A1607" i="2" s="1"/>
  <c r="B1607" i="2" a="1"/>
  <c r="B1607" i="2" s="1"/>
  <c r="C1609" i="2"/>
  <c r="F1608" i="2"/>
  <c r="D1606" i="2" a="1"/>
  <c r="C1609" i="3" l="1"/>
  <c r="L1608" i="3"/>
  <c r="M1608" i="3"/>
  <c r="H1607" i="3" a="1"/>
  <c r="H1607" i="3" s="1"/>
  <c r="K1607" i="3" a="1"/>
  <c r="K1607" i="3" s="1"/>
  <c r="I1607" i="3" a="1"/>
  <c r="I1607" i="3" s="1"/>
  <c r="F1608" i="3"/>
  <c r="F1609" i="3" s="1"/>
  <c r="A1607" i="3" a="1"/>
  <c r="A1607" i="3" s="1"/>
  <c r="B1607" i="3" a="1"/>
  <c r="B1607" i="3" s="1"/>
  <c r="D1606" i="2"/>
  <c r="C1610" i="2"/>
  <c r="F1609" i="2"/>
  <c r="K1607" i="2" a="1"/>
  <c r="K1607" i="2" s="1"/>
  <c r="H1607" i="2" a="1"/>
  <c r="H1607" i="2" s="1"/>
  <c r="I1607" i="2" a="1"/>
  <c r="I1607" i="2" s="1"/>
  <c r="J1607" i="2" a="1"/>
  <c r="J1607" i="2" s="1"/>
  <c r="B1608" i="2" a="1"/>
  <c r="B1608" i="2" s="1"/>
  <c r="A1608" i="2" a="1"/>
  <c r="A1608" i="2" s="1"/>
  <c r="D1607" i="2" a="1"/>
  <c r="G1608" i="3" l="1" a="1"/>
  <c r="G1608" i="3" s="1"/>
  <c r="C1610" i="3"/>
  <c r="G1609" i="3" a="1"/>
  <c r="G1609" i="3" s="1"/>
  <c r="M1609" i="3"/>
  <c r="L1609" i="3"/>
  <c r="J1609" i="3" a="1"/>
  <c r="J1609" i="3" s="1"/>
  <c r="A1608" i="3" a="1"/>
  <c r="A1608" i="3" s="1"/>
  <c r="B1608" i="3" a="1"/>
  <c r="B1608" i="3" s="1"/>
  <c r="D1607" i="2"/>
  <c r="J1608" i="2" a="1"/>
  <c r="J1608" i="2" s="1"/>
  <c r="K1608" i="2" a="1"/>
  <c r="K1608" i="2" s="1"/>
  <c r="I1608" i="2" a="1"/>
  <c r="I1608" i="2" s="1"/>
  <c r="H1608" i="2" a="1"/>
  <c r="H1608" i="2" s="1"/>
  <c r="A1609" i="2" a="1"/>
  <c r="A1609" i="2" s="1"/>
  <c r="B1609" i="2" a="1"/>
  <c r="B1609" i="2" s="1"/>
  <c r="C1611" i="2"/>
  <c r="F1610" i="2"/>
  <c r="D1608" i="2" a="1"/>
  <c r="C1611" i="3" l="1"/>
  <c r="G1610" i="3" a="1"/>
  <c r="G1610" i="3" s="1"/>
  <c r="L1610" i="3"/>
  <c r="M1610" i="3"/>
  <c r="J1610" i="3" a="1"/>
  <c r="J1610" i="3" s="1"/>
  <c r="H1609" i="3" a="1"/>
  <c r="H1609" i="3" s="1"/>
  <c r="I1609" i="3" a="1"/>
  <c r="I1609" i="3" s="1"/>
  <c r="K1609" i="3" a="1"/>
  <c r="K1609" i="3" s="1"/>
  <c r="I1608" i="3" a="1"/>
  <c r="I1608" i="3" s="1"/>
  <c r="K1608" i="3" a="1"/>
  <c r="K1608" i="3" s="1"/>
  <c r="H1608" i="3" a="1"/>
  <c r="H1608" i="3" s="1"/>
  <c r="J1608" i="3" a="1"/>
  <c r="J1608" i="3" s="1"/>
  <c r="F1610" i="3"/>
  <c r="F1611" i="3" s="1"/>
  <c r="B1609" i="3" a="1"/>
  <c r="B1609" i="3" s="1"/>
  <c r="A1609" i="3" a="1"/>
  <c r="A1609" i="3" s="1"/>
  <c r="D1608" i="2"/>
  <c r="A1610" i="2" a="1"/>
  <c r="A1610" i="2" s="1"/>
  <c r="B1610" i="2" a="1"/>
  <c r="B1610" i="2" s="1"/>
  <c r="C1612" i="2"/>
  <c r="F1611" i="2"/>
  <c r="H1609" i="2" a="1"/>
  <c r="H1609" i="2" s="1"/>
  <c r="I1609" i="2" a="1"/>
  <c r="I1609" i="2" s="1"/>
  <c r="J1609" i="2" a="1"/>
  <c r="J1609" i="2" s="1"/>
  <c r="K1609" i="2" a="1"/>
  <c r="K1609" i="2" s="1"/>
  <c r="D1609" i="2" a="1"/>
  <c r="K1610" i="3" l="1" a="1"/>
  <c r="K1610" i="3" s="1"/>
  <c r="I1610" i="3" a="1"/>
  <c r="I1610" i="3" s="1"/>
  <c r="H1610" i="3" a="1"/>
  <c r="H1610" i="3" s="1"/>
  <c r="C1612" i="3"/>
  <c r="F1612" i="3" s="1"/>
  <c r="G1611" i="3" a="1"/>
  <c r="G1611" i="3" s="1"/>
  <c r="L1611" i="3"/>
  <c r="M1611" i="3"/>
  <c r="A1610" i="3" a="1"/>
  <c r="A1610" i="3" s="1"/>
  <c r="B1610" i="3" a="1"/>
  <c r="B1610" i="3" s="1"/>
  <c r="D1609" i="2"/>
  <c r="K1610" i="2" a="1"/>
  <c r="K1610" i="2" s="1"/>
  <c r="H1610" i="2" a="1"/>
  <c r="H1610" i="2" s="1"/>
  <c r="J1610" i="2" a="1"/>
  <c r="J1610" i="2" s="1"/>
  <c r="I1610" i="2" a="1"/>
  <c r="I1610" i="2" s="1"/>
  <c r="B1611" i="2" a="1"/>
  <c r="B1611" i="2" s="1"/>
  <c r="A1611" i="2" a="1"/>
  <c r="A1611" i="2" s="1"/>
  <c r="C1613" i="2"/>
  <c r="F1612" i="2"/>
  <c r="D1610" i="2" a="1"/>
  <c r="H1611" i="3" l="1" a="1"/>
  <c r="H1611" i="3" s="1"/>
  <c r="I1611" i="3" a="1"/>
  <c r="I1611" i="3" s="1"/>
  <c r="K1611" i="3" a="1"/>
  <c r="K1611" i="3" s="1"/>
  <c r="J1611" i="3" a="1"/>
  <c r="J1611" i="3" s="1"/>
  <c r="C1613" i="3"/>
  <c r="G1612" i="3" a="1"/>
  <c r="G1612" i="3" s="1"/>
  <c r="L1612" i="3"/>
  <c r="M1612" i="3"/>
  <c r="J1612" i="3" a="1"/>
  <c r="J1612" i="3" s="1"/>
  <c r="B1611" i="3" a="1"/>
  <c r="B1611" i="3" s="1"/>
  <c r="A1611" i="3" a="1"/>
  <c r="A1611" i="3" s="1"/>
  <c r="D1610" i="2"/>
  <c r="A1612" i="2" a="1"/>
  <c r="A1612" i="2" s="1"/>
  <c r="B1612" i="2" a="1"/>
  <c r="B1612" i="2" s="1"/>
  <c r="C1614" i="2"/>
  <c r="F1613" i="2"/>
  <c r="I1611" i="2" a="1"/>
  <c r="I1611" i="2" s="1"/>
  <c r="J1611" i="2" a="1"/>
  <c r="J1611" i="2" s="1"/>
  <c r="K1611" i="2" a="1"/>
  <c r="K1611" i="2" s="1"/>
  <c r="H1611" i="2" a="1"/>
  <c r="H1611" i="2" s="1"/>
  <c r="D1611" i="2" a="1"/>
  <c r="C1614" i="3" l="1"/>
  <c r="L1613" i="3"/>
  <c r="M1613" i="3"/>
  <c r="I1612" i="3" a="1"/>
  <c r="I1612" i="3" s="1"/>
  <c r="K1612" i="3" a="1"/>
  <c r="K1612" i="3" s="1"/>
  <c r="H1612" i="3" a="1"/>
  <c r="H1612" i="3" s="1"/>
  <c r="F1613" i="3"/>
  <c r="F1614" i="3" s="1"/>
  <c r="A1612" i="3" a="1"/>
  <c r="A1612" i="3" s="1"/>
  <c r="B1612" i="3" a="1"/>
  <c r="B1612" i="3" s="1"/>
  <c r="D1611" i="2"/>
  <c r="C1615" i="2"/>
  <c r="F1614" i="2"/>
  <c r="A1613" i="2" a="1"/>
  <c r="A1613" i="2" s="1"/>
  <c r="B1613" i="2" a="1"/>
  <c r="B1613" i="2" s="1"/>
  <c r="K1612" i="2" a="1"/>
  <c r="K1612" i="2" s="1"/>
  <c r="H1612" i="2" a="1"/>
  <c r="H1612" i="2" s="1"/>
  <c r="I1612" i="2" a="1"/>
  <c r="I1612" i="2" s="1"/>
  <c r="J1612" i="2" a="1"/>
  <c r="J1612" i="2" s="1"/>
  <c r="D1612" i="2" a="1"/>
  <c r="G1613" i="3" l="1" a="1"/>
  <c r="G1613" i="3" s="1"/>
  <c r="C1615" i="3"/>
  <c r="G1614" i="3" a="1"/>
  <c r="G1614" i="3" s="1"/>
  <c r="L1614" i="3"/>
  <c r="M1614" i="3"/>
  <c r="J1614" i="3" a="1"/>
  <c r="J1614" i="3" s="1"/>
  <c r="A1613" i="3" a="1"/>
  <c r="A1613" i="3" s="1"/>
  <c r="B1613" i="3" a="1"/>
  <c r="B1613" i="3" s="1"/>
  <c r="D1612" i="2"/>
  <c r="H1613" i="2" a="1"/>
  <c r="H1613" i="2" s="1"/>
  <c r="J1613" i="2" a="1"/>
  <c r="J1613" i="2" s="1"/>
  <c r="I1613" i="2" a="1"/>
  <c r="I1613" i="2" s="1"/>
  <c r="K1613" i="2" a="1"/>
  <c r="K1613" i="2" s="1"/>
  <c r="B1614" i="2" a="1"/>
  <c r="B1614" i="2" s="1"/>
  <c r="A1614" i="2" a="1"/>
  <c r="A1614" i="2" s="1"/>
  <c r="C1616" i="2"/>
  <c r="F1615" i="2"/>
  <c r="D1613" i="2" a="1"/>
  <c r="K1614" i="3" l="1" a="1"/>
  <c r="K1614" i="3" s="1"/>
  <c r="H1614" i="3" a="1"/>
  <c r="H1614" i="3" s="1"/>
  <c r="I1614" i="3" a="1"/>
  <c r="I1614" i="3" s="1"/>
  <c r="C1616" i="3"/>
  <c r="G1615" i="3" a="1"/>
  <c r="G1615" i="3" s="1"/>
  <c r="L1615" i="3"/>
  <c r="M1615" i="3"/>
  <c r="H1613" i="3" a="1"/>
  <c r="H1613" i="3" s="1"/>
  <c r="K1613" i="3" a="1"/>
  <c r="K1613" i="3" s="1"/>
  <c r="I1613" i="3" a="1"/>
  <c r="I1613" i="3" s="1"/>
  <c r="J1613" i="3" a="1"/>
  <c r="J1613" i="3" s="1"/>
  <c r="F1615" i="3"/>
  <c r="B1614" i="3" a="1"/>
  <c r="B1614" i="3" s="1"/>
  <c r="A1614" i="3" a="1"/>
  <c r="A1614" i="3" s="1"/>
  <c r="D1613" i="2"/>
  <c r="C1617" i="2"/>
  <c r="F1616" i="2"/>
  <c r="A1615" i="2" a="1"/>
  <c r="A1615" i="2" s="1"/>
  <c r="B1615" i="2" a="1"/>
  <c r="B1615" i="2" s="1"/>
  <c r="K1614" i="2" a="1"/>
  <c r="K1614" i="2" s="1"/>
  <c r="I1614" i="2" a="1"/>
  <c r="I1614" i="2" s="1"/>
  <c r="J1614" i="2" a="1"/>
  <c r="J1614" i="2" s="1"/>
  <c r="H1614" i="2" a="1"/>
  <c r="H1614" i="2" s="1"/>
  <c r="D1614" i="2" a="1"/>
  <c r="K1615" i="3" l="1" a="1"/>
  <c r="K1615" i="3" s="1"/>
  <c r="H1615" i="3" a="1"/>
  <c r="H1615" i="3" s="1"/>
  <c r="I1615" i="3" a="1"/>
  <c r="I1615" i="3" s="1"/>
  <c r="J1615" i="3" a="1"/>
  <c r="J1615" i="3" s="1"/>
  <c r="C1617" i="3"/>
  <c r="L1616" i="3"/>
  <c r="M1616" i="3"/>
  <c r="F1616" i="3"/>
  <c r="F1617" i="3" s="1"/>
  <c r="A1615" i="3" a="1"/>
  <c r="A1615" i="3" s="1"/>
  <c r="B1615" i="3" a="1"/>
  <c r="B1615" i="3" s="1"/>
  <c r="D1614" i="2"/>
  <c r="I1615" i="2" a="1"/>
  <c r="I1615" i="2" s="1"/>
  <c r="J1615" i="2" a="1"/>
  <c r="J1615" i="2" s="1"/>
  <c r="H1615" i="2" a="1"/>
  <c r="H1615" i="2" s="1"/>
  <c r="K1615" i="2" a="1"/>
  <c r="K1615" i="2" s="1"/>
  <c r="A1616" i="2" a="1"/>
  <c r="A1616" i="2" s="1"/>
  <c r="B1616" i="2" a="1"/>
  <c r="B1616" i="2" s="1"/>
  <c r="C1618" i="2"/>
  <c r="F1617" i="2"/>
  <c r="D1615" i="2" a="1"/>
  <c r="C1618" i="3" l="1"/>
  <c r="G1617" i="3" a="1"/>
  <c r="G1617" i="3" s="1"/>
  <c r="L1617" i="3"/>
  <c r="M1617" i="3"/>
  <c r="J1617" i="3" a="1"/>
  <c r="J1617" i="3" s="1"/>
  <c r="G1616" i="3" a="1"/>
  <c r="G1616" i="3" s="1"/>
  <c r="A1616" i="3" a="1"/>
  <c r="A1616" i="3" s="1"/>
  <c r="B1616" i="3" a="1"/>
  <c r="B1616" i="3" s="1"/>
  <c r="D1615" i="2"/>
  <c r="C1619" i="2"/>
  <c r="F1618" i="2"/>
  <c r="J1616" i="2" a="1"/>
  <c r="J1616" i="2" s="1"/>
  <c r="I1616" i="2" a="1"/>
  <c r="I1616" i="2" s="1"/>
  <c r="K1616" i="2" a="1"/>
  <c r="K1616" i="2" s="1"/>
  <c r="H1616" i="2" a="1"/>
  <c r="H1616" i="2" s="1"/>
  <c r="A1617" i="2" a="1"/>
  <c r="A1617" i="2" s="1"/>
  <c r="B1617" i="2" a="1"/>
  <c r="B1617" i="2" s="1"/>
  <c r="D1616" i="2" a="1"/>
  <c r="I1616" i="3" l="1" a="1"/>
  <c r="I1616" i="3" s="1"/>
  <c r="H1616" i="3" a="1"/>
  <c r="H1616" i="3" s="1"/>
  <c r="K1616" i="3" a="1"/>
  <c r="K1616" i="3" s="1"/>
  <c r="J1616" i="3" a="1"/>
  <c r="J1616" i="3" s="1"/>
  <c r="H1617" i="3" a="1"/>
  <c r="H1617" i="3" s="1"/>
  <c r="K1617" i="3" a="1"/>
  <c r="K1617" i="3" s="1"/>
  <c r="I1617" i="3" a="1"/>
  <c r="I1617" i="3" s="1"/>
  <c r="C1619" i="3"/>
  <c r="G1618" i="3" a="1"/>
  <c r="G1618" i="3" s="1"/>
  <c r="L1618" i="3"/>
  <c r="M1618" i="3"/>
  <c r="F1618" i="3"/>
  <c r="A1617" i="3" a="1"/>
  <c r="A1617" i="3" s="1"/>
  <c r="B1617" i="3" a="1"/>
  <c r="B1617" i="3" s="1"/>
  <c r="D1616" i="2"/>
  <c r="A1618" i="2" a="1"/>
  <c r="A1618" i="2" s="1"/>
  <c r="B1618" i="2" a="1"/>
  <c r="B1618" i="2" s="1"/>
  <c r="I1617" i="2" a="1"/>
  <c r="I1617" i="2" s="1"/>
  <c r="K1617" i="2" a="1"/>
  <c r="K1617" i="2" s="1"/>
  <c r="H1617" i="2" a="1"/>
  <c r="H1617" i="2" s="1"/>
  <c r="J1617" i="2" a="1"/>
  <c r="J1617" i="2" s="1"/>
  <c r="C1620" i="2"/>
  <c r="F1619" i="2"/>
  <c r="D1617" i="2" a="1"/>
  <c r="I1618" i="3" l="1" a="1"/>
  <c r="I1618" i="3" s="1"/>
  <c r="K1618" i="3" a="1"/>
  <c r="K1618" i="3" s="1"/>
  <c r="H1618" i="3" a="1"/>
  <c r="H1618" i="3" s="1"/>
  <c r="C1620" i="3"/>
  <c r="M1619" i="3"/>
  <c r="L1619" i="3"/>
  <c r="J1618" i="3" a="1"/>
  <c r="J1618" i="3" s="1"/>
  <c r="F1619" i="3"/>
  <c r="F1620" i="3" s="1"/>
  <c r="A1618" i="3" a="1"/>
  <c r="A1618" i="3" s="1"/>
  <c r="B1618" i="3" a="1"/>
  <c r="B1618" i="3" s="1"/>
  <c r="D1617" i="2"/>
  <c r="C1621" i="2"/>
  <c r="F1620" i="2"/>
  <c r="A1619" i="2" a="1"/>
  <c r="A1619" i="2" s="1"/>
  <c r="B1619" i="2" a="1"/>
  <c r="B1619" i="2" s="1"/>
  <c r="H1618" i="2" a="1"/>
  <c r="H1618" i="2" s="1"/>
  <c r="K1618" i="2" a="1"/>
  <c r="K1618" i="2" s="1"/>
  <c r="J1618" i="2" a="1"/>
  <c r="J1618" i="2" s="1"/>
  <c r="I1618" i="2" a="1"/>
  <c r="I1618" i="2" s="1"/>
  <c r="D1618" i="2" a="1"/>
  <c r="C1621" i="3" l="1"/>
  <c r="G1620" i="3" a="1"/>
  <c r="G1620" i="3" s="1"/>
  <c r="L1620" i="3"/>
  <c r="M1620" i="3"/>
  <c r="J1620" i="3" a="1"/>
  <c r="J1620" i="3" s="1"/>
  <c r="F1621" i="3"/>
  <c r="G1619" i="3" a="1"/>
  <c r="G1619" i="3" s="1"/>
  <c r="A1619" i="3" a="1"/>
  <c r="A1619" i="3" s="1"/>
  <c r="B1619" i="3" a="1"/>
  <c r="B1619" i="3" s="1"/>
  <c r="D1618" i="2"/>
  <c r="K1619" i="2" a="1"/>
  <c r="K1619" i="2" s="1"/>
  <c r="I1619" i="2" a="1"/>
  <c r="I1619" i="2" s="1"/>
  <c r="H1619" i="2" a="1"/>
  <c r="H1619" i="2" s="1"/>
  <c r="J1619" i="2" a="1"/>
  <c r="J1619" i="2" s="1"/>
  <c r="A1620" i="2" a="1"/>
  <c r="A1620" i="2" s="1"/>
  <c r="B1620" i="2" a="1"/>
  <c r="B1620" i="2" s="1"/>
  <c r="C1622" i="2"/>
  <c r="F1621" i="2"/>
  <c r="D1619" i="2" a="1"/>
  <c r="K1619" i="3" l="1" a="1"/>
  <c r="K1619" i="3" s="1"/>
  <c r="I1619" i="3" a="1"/>
  <c r="I1619" i="3" s="1"/>
  <c r="H1619" i="3" a="1"/>
  <c r="H1619" i="3" s="1"/>
  <c r="J1619" i="3" a="1"/>
  <c r="J1619" i="3" s="1"/>
  <c r="H1620" i="3" a="1"/>
  <c r="H1620" i="3" s="1"/>
  <c r="K1620" i="3" a="1"/>
  <c r="K1620" i="3" s="1"/>
  <c r="I1620" i="3" a="1"/>
  <c r="I1620" i="3" s="1"/>
  <c r="C1622" i="3"/>
  <c r="G1621" i="3" a="1"/>
  <c r="G1621" i="3" s="1"/>
  <c r="L1621" i="3"/>
  <c r="M1621" i="3"/>
  <c r="A1620" i="3" a="1"/>
  <c r="A1620" i="3" s="1"/>
  <c r="B1620" i="3" a="1"/>
  <c r="B1620" i="3" s="1"/>
  <c r="D1619" i="2"/>
  <c r="A1621" i="2" a="1"/>
  <c r="A1621" i="2" s="1"/>
  <c r="B1621" i="2" a="1"/>
  <c r="B1621" i="2" s="1"/>
  <c r="J1620" i="2" a="1"/>
  <c r="J1620" i="2" s="1"/>
  <c r="H1620" i="2" a="1"/>
  <c r="H1620" i="2" s="1"/>
  <c r="K1620" i="2" a="1"/>
  <c r="K1620" i="2" s="1"/>
  <c r="I1620" i="2" a="1"/>
  <c r="I1620" i="2" s="1"/>
  <c r="C1623" i="2"/>
  <c r="F1622" i="2"/>
  <c r="D1620" i="2" a="1"/>
  <c r="K1621" i="3" l="1" a="1"/>
  <c r="K1621" i="3" s="1"/>
  <c r="H1621" i="3" a="1"/>
  <c r="H1621" i="3" s="1"/>
  <c r="I1621" i="3" a="1"/>
  <c r="I1621" i="3" s="1"/>
  <c r="C1623" i="3"/>
  <c r="L1622" i="3"/>
  <c r="M1622" i="3"/>
  <c r="F1622" i="3"/>
  <c r="F1623" i="3" s="1"/>
  <c r="J1621" i="3" a="1"/>
  <c r="J1621" i="3" s="1"/>
  <c r="B1621" i="3" a="1"/>
  <c r="B1621" i="3" s="1"/>
  <c r="A1621" i="3" a="1"/>
  <c r="A1621" i="3" s="1"/>
  <c r="D1620" i="2"/>
  <c r="A1622" i="2" a="1"/>
  <c r="A1622" i="2" s="1"/>
  <c r="B1622" i="2" a="1"/>
  <c r="B1622" i="2" s="1"/>
  <c r="H1621" i="2" a="1"/>
  <c r="H1621" i="2" s="1"/>
  <c r="J1621" i="2" a="1"/>
  <c r="J1621" i="2" s="1"/>
  <c r="I1621" i="2" a="1"/>
  <c r="I1621" i="2" s="1"/>
  <c r="K1621" i="2" a="1"/>
  <c r="K1621" i="2" s="1"/>
  <c r="C1624" i="2"/>
  <c r="F1623" i="2"/>
  <c r="D1621" i="2" a="1"/>
  <c r="G1622" i="3" l="1" a="1"/>
  <c r="G1622" i="3" s="1"/>
  <c r="C1624" i="3"/>
  <c r="F1624" i="3" s="1"/>
  <c r="G1623" i="3" a="1"/>
  <c r="G1623" i="3" s="1"/>
  <c r="L1623" i="3"/>
  <c r="M1623" i="3"/>
  <c r="J1623" i="3" a="1"/>
  <c r="J1623" i="3" s="1"/>
  <c r="A1622" i="3" a="1"/>
  <c r="A1622" i="3" s="1"/>
  <c r="B1622" i="3" a="1"/>
  <c r="B1622" i="3" s="1"/>
  <c r="D1621" i="2"/>
  <c r="C1625" i="2"/>
  <c r="F1624" i="2"/>
  <c r="H1622" i="2" a="1"/>
  <c r="H1622" i="2" s="1"/>
  <c r="J1622" i="2" a="1"/>
  <c r="J1622" i="2" s="1"/>
  <c r="I1622" i="2" a="1"/>
  <c r="I1622" i="2" s="1"/>
  <c r="K1622" i="2" a="1"/>
  <c r="K1622" i="2" s="1"/>
  <c r="B1623" i="2" a="1"/>
  <c r="B1623" i="2" s="1"/>
  <c r="A1623" i="2" a="1"/>
  <c r="A1623" i="2" s="1"/>
  <c r="D1622" i="2" a="1"/>
  <c r="H1623" i="3" l="1" a="1"/>
  <c r="H1623" i="3" s="1"/>
  <c r="K1623" i="3" a="1"/>
  <c r="K1623" i="3" s="1"/>
  <c r="I1623" i="3" a="1"/>
  <c r="I1623" i="3" s="1"/>
  <c r="C1625" i="3"/>
  <c r="G1624" i="3" a="1"/>
  <c r="G1624" i="3" s="1"/>
  <c r="M1624" i="3"/>
  <c r="L1624" i="3"/>
  <c r="J1624" i="3" a="1"/>
  <c r="J1624" i="3" s="1"/>
  <c r="I1622" i="3" a="1"/>
  <c r="I1622" i="3" s="1"/>
  <c r="H1622" i="3" a="1"/>
  <c r="H1622" i="3" s="1"/>
  <c r="K1622" i="3" a="1"/>
  <c r="K1622" i="3" s="1"/>
  <c r="J1622" i="3" a="1"/>
  <c r="J1622" i="3" s="1"/>
  <c r="B1623" i="3" a="1"/>
  <c r="B1623" i="3" s="1"/>
  <c r="A1623" i="3" a="1"/>
  <c r="A1623" i="3" s="1"/>
  <c r="D1622" i="2"/>
  <c r="J1623" i="2" a="1"/>
  <c r="J1623" i="2" s="1"/>
  <c r="H1623" i="2" a="1"/>
  <c r="H1623" i="2" s="1"/>
  <c r="K1623" i="2" a="1"/>
  <c r="K1623" i="2" s="1"/>
  <c r="I1623" i="2" a="1"/>
  <c r="I1623" i="2" s="1"/>
  <c r="A1624" i="2" a="1"/>
  <c r="A1624" i="2" s="1"/>
  <c r="B1624" i="2" a="1"/>
  <c r="B1624" i="2" s="1"/>
  <c r="C1626" i="2"/>
  <c r="F1625" i="2"/>
  <c r="D1623" i="2" a="1"/>
  <c r="C1626" i="3" l="1"/>
  <c r="L1625" i="3"/>
  <c r="M1625" i="3"/>
  <c r="H1624" i="3" a="1"/>
  <c r="H1624" i="3" s="1"/>
  <c r="K1624" i="3" a="1"/>
  <c r="K1624" i="3" s="1"/>
  <c r="I1624" i="3" a="1"/>
  <c r="I1624" i="3" s="1"/>
  <c r="F1625" i="3"/>
  <c r="F1626" i="3" s="1"/>
  <c r="A1624" i="3" a="1"/>
  <c r="A1624" i="3" s="1"/>
  <c r="B1624" i="3" a="1"/>
  <c r="B1624" i="3" s="1"/>
  <c r="D1623" i="2"/>
  <c r="C1627" i="2"/>
  <c r="F1626" i="2"/>
  <c r="K1624" i="2" a="1"/>
  <c r="K1624" i="2" s="1"/>
  <c r="H1624" i="2" a="1"/>
  <c r="H1624" i="2" s="1"/>
  <c r="I1624" i="2" a="1"/>
  <c r="I1624" i="2" s="1"/>
  <c r="J1624" i="2" a="1"/>
  <c r="J1624" i="2" s="1"/>
  <c r="A1625" i="2" a="1"/>
  <c r="A1625" i="2" s="1"/>
  <c r="B1625" i="2" a="1"/>
  <c r="B1625" i="2" s="1"/>
  <c r="D1624" i="2" a="1"/>
  <c r="G1625" i="3" l="1" a="1"/>
  <c r="G1625" i="3" s="1"/>
  <c r="C1627" i="3"/>
  <c r="G1626" i="3" a="1"/>
  <c r="G1626" i="3" s="1"/>
  <c r="L1626" i="3"/>
  <c r="M1626" i="3"/>
  <c r="J1626" i="3" a="1"/>
  <c r="J1626" i="3" s="1"/>
  <c r="A1625" i="3" a="1"/>
  <c r="A1625" i="3" s="1"/>
  <c r="B1625" i="3" a="1"/>
  <c r="B1625" i="3" s="1"/>
  <c r="D1624" i="2"/>
  <c r="J1625" i="2" a="1"/>
  <c r="J1625" i="2" s="1"/>
  <c r="I1625" i="2" a="1"/>
  <c r="I1625" i="2" s="1"/>
  <c r="H1625" i="2" a="1"/>
  <c r="H1625" i="2" s="1"/>
  <c r="K1625" i="2" a="1"/>
  <c r="K1625" i="2" s="1"/>
  <c r="A1626" i="2" a="1"/>
  <c r="A1626" i="2" s="1"/>
  <c r="B1626" i="2" a="1"/>
  <c r="B1626" i="2" s="1"/>
  <c r="C1628" i="2"/>
  <c r="F1627" i="2"/>
  <c r="D1625" i="2" a="1"/>
  <c r="H1626" i="3" l="1" a="1"/>
  <c r="H1626" i="3" s="1"/>
  <c r="K1626" i="3" a="1"/>
  <c r="K1626" i="3" s="1"/>
  <c r="I1626" i="3" a="1"/>
  <c r="I1626" i="3" s="1"/>
  <c r="C1628" i="3"/>
  <c r="G1627" i="3" a="1"/>
  <c r="G1627" i="3" s="1"/>
  <c r="J1627" i="3" a="1"/>
  <c r="J1627" i="3" s="1"/>
  <c r="L1627" i="3"/>
  <c r="M1627" i="3"/>
  <c r="K1625" i="3" a="1"/>
  <c r="K1625" i="3" s="1"/>
  <c r="H1625" i="3" a="1"/>
  <c r="H1625" i="3" s="1"/>
  <c r="I1625" i="3" a="1"/>
  <c r="I1625" i="3" s="1"/>
  <c r="J1625" i="3" a="1"/>
  <c r="J1625" i="3" s="1"/>
  <c r="F1627" i="3"/>
  <c r="B1626" i="3" a="1"/>
  <c r="B1626" i="3" s="1"/>
  <c r="A1626" i="3" a="1"/>
  <c r="A1626" i="3" s="1"/>
  <c r="D1625" i="2"/>
  <c r="K1626" i="2" a="1"/>
  <c r="K1626" i="2" s="1"/>
  <c r="H1626" i="2" a="1"/>
  <c r="H1626" i="2" s="1"/>
  <c r="J1626" i="2" a="1"/>
  <c r="J1626" i="2" s="1"/>
  <c r="I1626" i="2" a="1"/>
  <c r="I1626" i="2" s="1"/>
  <c r="C1629" i="2"/>
  <c r="F1628" i="2"/>
  <c r="A1627" i="2" a="1"/>
  <c r="A1627" i="2" s="1"/>
  <c r="B1627" i="2" a="1"/>
  <c r="B1627" i="2" s="1"/>
  <c r="D1626" i="2" a="1"/>
  <c r="C1629" i="3" l="1"/>
  <c r="M1628" i="3"/>
  <c r="L1628" i="3"/>
  <c r="I1627" i="3" a="1"/>
  <c r="I1627" i="3" s="1"/>
  <c r="H1627" i="3" a="1"/>
  <c r="H1627" i="3" s="1"/>
  <c r="K1627" i="3" a="1"/>
  <c r="K1627" i="3" s="1"/>
  <c r="F1628" i="3"/>
  <c r="F1629" i="3" s="1"/>
  <c r="A1627" i="3" a="1"/>
  <c r="A1627" i="3" s="1"/>
  <c r="B1627" i="3" a="1"/>
  <c r="B1627" i="3" s="1"/>
  <c r="D1626" i="2"/>
  <c r="K1627" i="2" a="1"/>
  <c r="K1627" i="2" s="1"/>
  <c r="H1627" i="2" a="1"/>
  <c r="H1627" i="2" s="1"/>
  <c r="J1627" i="2" a="1"/>
  <c r="J1627" i="2" s="1"/>
  <c r="I1627" i="2" a="1"/>
  <c r="I1627" i="2" s="1"/>
  <c r="C1630" i="2"/>
  <c r="F1629" i="2"/>
  <c r="A1628" i="2" a="1"/>
  <c r="A1628" i="2" s="1"/>
  <c r="B1628" i="2" a="1"/>
  <c r="B1628" i="2" s="1"/>
  <c r="D1627" i="2" a="1"/>
  <c r="G1628" i="3" l="1" a="1"/>
  <c r="G1628" i="3" s="1"/>
  <c r="C1630" i="3"/>
  <c r="G1629" i="3" a="1"/>
  <c r="G1629" i="3" s="1"/>
  <c r="L1629" i="3"/>
  <c r="M1629" i="3"/>
  <c r="J1629" i="3" a="1"/>
  <c r="J1629" i="3" s="1"/>
  <c r="A1628" i="3" a="1"/>
  <c r="A1628" i="3" s="1"/>
  <c r="B1628" i="3" a="1"/>
  <c r="B1628" i="3" s="1"/>
  <c r="D1627" i="2"/>
  <c r="J1628" i="2" a="1"/>
  <c r="J1628" i="2" s="1"/>
  <c r="K1628" i="2" a="1"/>
  <c r="K1628" i="2" s="1"/>
  <c r="I1628" i="2" a="1"/>
  <c r="I1628" i="2" s="1"/>
  <c r="H1628" i="2" a="1"/>
  <c r="H1628" i="2" s="1"/>
  <c r="C1631" i="2"/>
  <c r="F1630" i="2"/>
  <c r="A1629" i="2" a="1"/>
  <c r="A1629" i="2" s="1"/>
  <c r="B1629" i="2" a="1"/>
  <c r="B1629" i="2" s="1"/>
  <c r="D1628" i="2" a="1"/>
  <c r="H1629" i="3" l="1" a="1"/>
  <c r="H1629" i="3" s="1"/>
  <c r="I1629" i="3" a="1"/>
  <c r="I1629" i="3" s="1"/>
  <c r="K1629" i="3" a="1"/>
  <c r="K1629" i="3" s="1"/>
  <c r="C1631" i="3"/>
  <c r="G1630" i="3" a="1"/>
  <c r="G1630" i="3" s="1"/>
  <c r="L1630" i="3"/>
  <c r="M1630" i="3"/>
  <c r="J1630" i="3" a="1"/>
  <c r="J1630" i="3" s="1"/>
  <c r="I1628" i="3" a="1"/>
  <c r="I1628" i="3" s="1"/>
  <c r="K1628" i="3" a="1"/>
  <c r="K1628" i="3" s="1"/>
  <c r="H1628" i="3" a="1"/>
  <c r="H1628" i="3" s="1"/>
  <c r="J1628" i="3" a="1"/>
  <c r="J1628" i="3" s="1"/>
  <c r="F1630" i="3"/>
  <c r="A1629" i="3" a="1"/>
  <c r="A1629" i="3" s="1"/>
  <c r="B1629" i="3" a="1"/>
  <c r="B1629" i="3" s="1"/>
  <c r="D1628" i="2"/>
  <c r="C1632" i="2"/>
  <c r="F1631" i="2"/>
  <c r="J1629" i="2" a="1"/>
  <c r="J1629" i="2" s="1"/>
  <c r="K1629" i="2" a="1"/>
  <c r="K1629" i="2" s="1"/>
  <c r="I1629" i="2" a="1"/>
  <c r="I1629" i="2" s="1"/>
  <c r="H1629" i="2" a="1"/>
  <c r="H1629" i="2" s="1"/>
  <c r="A1630" i="2" a="1"/>
  <c r="A1630" i="2" s="1"/>
  <c r="B1630" i="2" a="1"/>
  <c r="B1630" i="2" s="1"/>
  <c r="D1629" i="2" a="1"/>
  <c r="C1632" i="3" l="1"/>
  <c r="L1631" i="3"/>
  <c r="M1631" i="3"/>
  <c r="H1630" i="3" a="1"/>
  <c r="H1630" i="3" s="1"/>
  <c r="I1630" i="3" a="1"/>
  <c r="I1630" i="3" s="1"/>
  <c r="K1630" i="3" a="1"/>
  <c r="K1630" i="3" s="1"/>
  <c r="F1631" i="3"/>
  <c r="F1632" i="3" s="1"/>
  <c r="A1630" i="3" a="1"/>
  <c r="A1630" i="3" s="1"/>
  <c r="B1630" i="3" a="1"/>
  <c r="B1630" i="3" s="1"/>
  <c r="D1629" i="2"/>
  <c r="K1630" i="2" a="1"/>
  <c r="K1630" i="2" s="1"/>
  <c r="J1630" i="2" a="1"/>
  <c r="J1630" i="2" s="1"/>
  <c r="I1630" i="2" a="1"/>
  <c r="I1630" i="2" s="1"/>
  <c r="H1630" i="2" a="1"/>
  <c r="H1630" i="2" s="1"/>
  <c r="A1631" i="2" a="1"/>
  <c r="A1631" i="2" s="1"/>
  <c r="B1631" i="2" a="1"/>
  <c r="B1631" i="2" s="1"/>
  <c r="C1633" i="2"/>
  <c r="F1632" i="2"/>
  <c r="D1630" i="2" a="1"/>
  <c r="G1631" i="3" l="1" a="1"/>
  <c r="G1631" i="3" s="1"/>
  <c r="C1633" i="3"/>
  <c r="G1632" i="3" a="1"/>
  <c r="G1632" i="3" s="1"/>
  <c r="L1632" i="3"/>
  <c r="M1632" i="3"/>
  <c r="A1631" i="3" a="1"/>
  <c r="A1631" i="3" s="1"/>
  <c r="B1631" i="3" a="1"/>
  <c r="B1631" i="3" s="1"/>
  <c r="D1630" i="2"/>
  <c r="C1634" i="2"/>
  <c r="F1633" i="2"/>
  <c r="B1632" i="2" a="1"/>
  <c r="B1632" i="2" s="1"/>
  <c r="A1632" i="2" a="1"/>
  <c r="A1632" i="2" s="1"/>
  <c r="J1631" i="2" a="1"/>
  <c r="J1631" i="2" s="1"/>
  <c r="K1631" i="2" a="1"/>
  <c r="K1631" i="2" s="1"/>
  <c r="I1631" i="2" a="1"/>
  <c r="I1631" i="2" s="1"/>
  <c r="H1631" i="2" a="1"/>
  <c r="H1631" i="2" s="1"/>
  <c r="D1631" i="2" a="1"/>
  <c r="H1632" i="3" l="1" a="1"/>
  <c r="H1632" i="3" s="1"/>
  <c r="I1632" i="3" a="1"/>
  <c r="I1632" i="3" s="1"/>
  <c r="K1632" i="3" a="1"/>
  <c r="K1632" i="3" s="1"/>
  <c r="C1634" i="3"/>
  <c r="G1633" i="3" a="1"/>
  <c r="G1633" i="3" s="1"/>
  <c r="M1633" i="3"/>
  <c r="L1633" i="3"/>
  <c r="J1633" i="3" a="1"/>
  <c r="J1633" i="3" s="1"/>
  <c r="J1632" i="3" a="1"/>
  <c r="J1632" i="3" s="1"/>
  <c r="J1631" i="3" a="1"/>
  <c r="J1631" i="3" s="1"/>
  <c r="K1631" i="3" a="1"/>
  <c r="K1631" i="3" s="1"/>
  <c r="H1631" i="3" a="1"/>
  <c r="H1631" i="3" s="1"/>
  <c r="I1631" i="3" a="1"/>
  <c r="I1631" i="3" s="1"/>
  <c r="F1633" i="3"/>
  <c r="A1632" i="3" a="1"/>
  <c r="A1632" i="3" s="1"/>
  <c r="B1632" i="3" a="1"/>
  <c r="B1632" i="3" s="1"/>
  <c r="D1631" i="2"/>
  <c r="I1632" i="2" a="1"/>
  <c r="I1632" i="2" s="1"/>
  <c r="J1632" i="2" a="1"/>
  <c r="J1632" i="2" s="1"/>
  <c r="K1632" i="2" a="1"/>
  <c r="K1632" i="2" s="1"/>
  <c r="H1632" i="2" a="1"/>
  <c r="H1632" i="2" s="1"/>
  <c r="A1633" i="2" a="1"/>
  <c r="A1633" i="2" s="1"/>
  <c r="B1633" i="2" a="1"/>
  <c r="B1633" i="2" s="1"/>
  <c r="C1635" i="2"/>
  <c r="F1634" i="2"/>
  <c r="D1632" i="2" a="1"/>
  <c r="C1635" i="3" l="1"/>
  <c r="L1634" i="3"/>
  <c r="M1634" i="3"/>
  <c r="I1633" i="3" a="1"/>
  <c r="I1633" i="3" s="1"/>
  <c r="H1633" i="3" a="1"/>
  <c r="H1633" i="3" s="1"/>
  <c r="K1633" i="3" a="1"/>
  <c r="K1633" i="3" s="1"/>
  <c r="F1634" i="3"/>
  <c r="F1635" i="3" s="1"/>
  <c r="B1633" i="3" a="1"/>
  <c r="B1633" i="3" s="1"/>
  <c r="A1633" i="3" a="1"/>
  <c r="A1633" i="3" s="1"/>
  <c r="D1632" i="2"/>
  <c r="A1634" i="2" a="1"/>
  <c r="A1634" i="2" s="1"/>
  <c r="B1634" i="2" a="1"/>
  <c r="B1634" i="2" s="1"/>
  <c r="K1633" i="2" a="1"/>
  <c r="K1633" i="2" s="1"/>
  <c r="I1633" i="2" a="1"/>
  <c r="I1633" i="2" s="1"/>
  <c r="J1633" i="2" a="1"/>
  <c r="J1633" i="2" s="1"/>
  <c r="H1633" i="2" a="1"/>
  <c r="H1633" i="2" s="1"/>
  <c r="C1636" i="2"/>
  <c r="F1635" i="2"/>
  <c r="D1633" i="2" a="1"/>
  <c r="G1634" i="3" l="1" a="1"/>
  <c r="G1634" i="3" s="1"/>
  <c r="C1636" i="3"/>
  <c r="G1635" i="3" a="1"/>
  <c r="G1635" i="3" s="1"/>
  <c r="L1635" i="3"/>
  <c r="M1635" i="3"/>
  <c r="A1634" i="3" a="1"/>
  <c r="A1634" i="3" s="1"/>
  <c r="B1634" i="3" a="1"/>
  <c r="B1634" i="3" s="1"/>
  <c r="D1633" i="2"/>
  <c r="A1635" i="2" a="1"/>
  <c r="A1635" i="2" s="1"/>
  <c r="B1635" i="2" a="1"/>
  <c r="B1635" i="2" s="1"/>
  <c r="C1637" i="2"/>
  <c r="F1636" i="2"/>
  <c r="H1634" i="2" a="1"/>
  <c r="H1634" i="2" s="1"/>
  <c r="K1634" i="2" a="1"/>
  <c r="K1634" i="2" s="1"/>
  <c r="I1634" i="2" a="1"/>
  <c r="I1634" i="2" s="1"/>
  <c r="J1634" i="2" a="1"/>
  <c r="J1634" i="2" s="1"/>
  <c r="D1634" i="2" a="1"/>
  <c r="H1635" i="3" l="1" a="1"/>
  <c r="H1635" i="3" s="1"/>
  <c r="I1635" i="3" a="1"/>
  <c r="I1635" i="3" s="1"/>
  <c r="K1635" i="3" a="1"/>
  <c r="K1635" i="3" s="1"/>
  <c r="C1637" i="3"/>
  <c r="G1636" i="3" a="1"/>
  <c r="G1636" i="3" s="1"/>
  <c r="L1636" i="3"/>
  <c r="M1636" i="3"/>
  <c r="J1636" i="3" a="1"/>
  <c r="J1636" i="3" s="1"/>
  <c r="J1635" i="3" a="1"/>
  <c r="J1635" i="3" s="1"/>
  <c r="H1634" i="3" a="1"/>
  <c r="H1634" i="3" s="1"/>
  <c r="K1634" i="3" a="1"/>
  <c r="K1634" i="3" s="1"/>
  <c r="I1634" i="3" a="1"/>
  <c r="I1634" i="3" s="1"/>
  <c r="J1634" i="3" a="1"/>
  <c r="J1634" i="3" s="1"/>
  <c r="F1636" i="3"/>
  <c r="B1635" i="3" a="1"/>
  <c r="B1635" i="3" s="1"/>
  <c r="A1635" i="3" a="1"/>
  <c r="A1635" i="3" s="1"/>
  <c r="D1634" i="2"/>
  <c r="C1638" i="2"/>
  <c r="F1637" i="2"/>
  <c r="A1636" i="2" a="1"/>
  <c r="A1636" i="2" s="1"/>
  <c r="B1636" i="2" a="1"/>
  <c r="B1636" i="2" s="1"/>
  <c r="J1635" i="2" a="1"/>
  <c r="J1635" i="2" s="1"/>
  <c r="H1635" i="2" a="1"/>
  <c r="H1635" i="2" s="1"/>
  <c r="I1635" i="2" a="1"/>
  <c r="I1635" i="2" s="1"/>
  <c r="K1635" i="2" a="1"/>
  <c r="K1635" i="2" s="1"/>
  <c r="D1635" i="2" a="1"/>
  <c r="C1638" i="3" l="1"/>
  <c r="L1637" i="3"/>
  <c r="M1637" i="3"/>
  <c r="F1637" i="3"/>
  <c r="F1638" i="3" s="1"/>
  <c r="H1636" i="3" a="1"/>
  <c r="H1636" i="3" s="1"/>
  <c r="I1636" i="3" a="1"/>
  <c r="I1636" i="3" s="1"/>
  <c r="K1636" i="3" a="1"/>
  <c r="K1636" i="3" s="1"/>
  <c r="A1636" i="3" a="1"/>
  <c r="A1636" i="3" s="1"/>
  <c r="B1636" i="3" a="1"/>
  <c r="B1636" i="3" s="1"/>
  <c r="D1635" i="2"/>
  <c r="H1636" i="2" a="1"/>
  <c r="H1636" i="2" s="1"/>
  <c r="K1636" i="2" a="1"/>
  <c r="K1636" i="2" s="1"/>
  <c r="J1636" i="2" a="1"/>
  <c r="J1636" i="2" s="1"/>
  <c r="I1636" i="2" a="1"/>
  <c r="I1636" i="2" s="1"/>
  <c r="A1637" i="2" a="1"/>
  <c r="A1637" i="2" s="1"/>
  <c r="B1637" i="2" a="1"/>
  <c r="B1637" i="2" s="1"/>
  <c r="C1639" i="2"/>
  <c r="F1638" i="2"/>
  <c r="D1636" i="2" a="1"/>
  <c r="G1637" i="3" l="1" a="1"/>
  <c r="G1637" i="3" s="1"/>
  <c r="C1639" i="3"/>
  <c r="G1638" i="3" a="1"/>
  <c r="G1638" i="3" s="1"/>
  <c r="L1638" i="3"/>
  <c r="M1638" i="3"/>
  <c r="J1638" i="3" a="1"/>
  <c r="J1638" i="3" s="1"/>
  <c r="A1637" i="3" a="1"/>
  <c r="A1637" i="3" s="1"/>
  <c r="B1637" i="3" a="1"/>
  <c r="B1637" i="3" s="1"/>
  <c r="D1636" i="2"/>
  <c r="C1640" i="2"/>
  <c r="F1639" i="2"/>
  <c r="A1638" i="2" a="1"/>
  <c r="A1638" i="2" s="1"/>
  <c r="B1638" i="2" a="1"/>
  <c r="B1638" i="2" s="1"/>
  <c r="H1637" i="2" a="1"/>
  <c r="H1637" i="2" s="1"/>
  <c r="I1637" i="2" a="1"/>
  <c r="I1637" i="2" s="1"/>
  <c r="K1637" i="2" a="1"/>
  <c r="K1637" i="2" s="1"/>
  <c r="J1637" i="2" a="1"/>
  <c r="J1637" i="2" s="1"/>
  <c r="D1637" i="2" a="1"/>
  <c r="K1637" i="3" l="1" a="1"/>
  <c r="K1637" i="3" s="1"/>
  <c r="H1637" i="3" a="1"/>
  <c r="H1637" i="3" s="1"/>
  <c r="I1637" i="3" a="1"/>
  <c r="I1637" i="3" s="1"/>
  <c r="J1637" i="3" a="1"/>
  <c r="J1637" i="3" s="1"/>
  <c r="H1638" i="3" a="1"/>
  <c r="H1638" i="3" s="1"/>
  <c r="I1638" i="3" a="1"/>
  <c r="I1638" i="3" s="1"/>
  <c r="K1638" i="3" a="1"/>
  <c r="K1638" i="3" s="1"/>
  <c r="C1640" i="3"/>
  <c r="G1639" i="3" a="1"/>
  <c r="G1639" i="3" s="1"/>
  <c r="J1639" i="3" a="1"/>
  <c r="J1639" i="3" s="1"/>
  <c r="L1639" i="3"/>
  <c r="M1639" i="3"/>
  <c r="F1639" i="3"/>
  <c r="B1638" i="3" a="1"/>
  <c r="B1638" i="3" s="1"/>
  <c r="A1638" i="3" a="1"/>
  <c r="A1638" i="3" s="1"/>
  <c r="D1637" i="2"/>
  <c r="B1639" i="2" a="1"/>
  <c r="B1639" i="2" s="1"/>
  <c r="A1639" i="2" a="1"/>
  <c r="A1639" i="2" s="1"/>
  <c r="H1638" i="2" a="1"/>
  <c r="H1638" i="2" s="1"/>
  <c r="I1638" i="2" a="1"/>
  <c r="I1638" i="2" s="1"/>
  <c r="J1638" i="2" a="1"/>
  <c r="J1638" i="2" s="1"/>
  <c r="K1638" i="2" a="1"/>
  <c r="K1638" i="2" s="1"/>
  <c r="C1641" i="2"/>
  <c r="F1640" i="2"/>
  <c r="D1638" i="2" a="1"/>
  <c r="C1641" i="3" l="1"/>
  <c r="L1640" i="3"/>
  <c r="M1640" i="3"/>
  <c r="K1639" i="3" a="1"/>
  <c r="K1639" i="3" s="1"/>
  <c r="H1639" i="3" a="1"/>
  <c r="H1639" i="3" s="1"/>
  <c r="I1639" i="3" a="1"/>
  <c r="I1639" i="3" s="1"/>
  <c r="F1640" i="3"/>
  <c r="F1641" i="3" s="1"/>
  <c r="A1639" i="3" a="1"/>
  <c r="A1639" i="3" s="1"/>
  <c r="B1639" i="3" a="1"/>
  <c r="B1639" i="3" s="1"/>
  <c r="D1638" i="2"/>
  <c r="B1640" i="2" a="1"/>
  <c r="B1640" i="2" s="1"/>
  <c r="A1640" i="2" a="1"/>
  <c r="A1640" i="2" s="1"/>
  <c r="C1642" i="2"/>
  <c r="F1641" i="2"/>
  <c r="I1639" i="2" a="1"/>
  <c r="I1639" i="2" s="1"/>
  <c r="K1639" i="2" a="1"/>
  <c r="K1639" i="2" s="1"/>
  <c r="J1639" i="2" a="1"/>
  <c r="J1639" i="2" s="1"/>
  <c r="H1639" i="2" a="1"/>
  <c r="H1639" i="2" s="1"/>
  <c r="D1639" i="2" a="1"/>
  <c r="G1640" i="3" l="1" a="1"/>
  <c r="G1640" i="3" s="1"/>
  <c r="C1642" i="3"/>
  <c r="G1641" i="3" a="1"/>
  <c r="G1641" i="3" s="1"/>
  <c r="L1641" i="3"/>
  <c r="M1641" i="3"/>
  <c r="A1640" i="3" a="1"/>
  <c r="A1640" i="3" s="1"/>
  <c r="B1640" i="3" a="1"/>
  <c r="B1640" i="3" s="1"/>
  <c r="D1639" i="2"/>
  <c r="I1640" i="2" a="1"/>
  <c r="I1640" i="2" s="1"/>
  <c r="J1640" i="2" a="1"/>
  <c r="J1640" i="2" s="1"/>
  <c r="H1640" i="2" a="1"/>
  <c r="H1640" i="2" s="1"/>
  <c r="K1640" i="2" a="1"/>
  <c r="K1640" i="2" s="1"/>
  <c r="A1641" i="2" a="1"/>
  <c r="A1641" i="2" s="1"/>
  <c r="B1641" i="2" a="1"/>
  <c r="B1641" i="2" s="1"/>
  <c r="C1643" i="2"/>
  <c r="F1642" i="2"/>
  <c r="D1640" i="2" a="1"/>
  <c r="I1641" i="3" l="1" a="1"/>
  <c r="I1641" i="3" s="1"/>
  <c r="K1641" i="3" a="1"/>
  <c r="K1641" i="3" s="1"/>
  <c r="H1641" i="3" a="1"/>
  <c r="H1641" i="3" s="1"/>
  <c r="C1643" i="3"/>
  <c r="G1642" i="3" a="1"/>
  <c r="G1642" i="3" s="1"/>
  <c r="L1642" i="3"/>
  <c r="M1642" i="3"/>
  <c r="J1641" i="3" a="1"/>
  <c r="J1641" i="3" s="1"/>
  <c r="K1640" i="3" a="1"/>
  <c r="K1640" i="3" s="1"/>
  <c r="H1640" i="3" a="1"/>
  <c r="H1640" i="3" s="1"/>
  <c r="I1640" i="3" a="1"/>
  <c r="I1640" i="3" s="1"/>
  <c r="J1640" i="3" a="1"/>
  <c r="J1640" i="3" s="1"/>
  <c r="F1642" i="3"/>
  <c r="A1641" i="3" a="1"/>
  <c r="A1641" i="3" s="1"/>
  <c r="B1641" i="3" a="1"/>
  <c r="B1641" i="3" s="1"/>
  <c r="D1640" i="2"/>
  <c r="J1641" i="2" a="1"/>
  <c r="J1641" i="2" s="1"/>
  <c r="K1641" i="2" a="1"/>
  <c r="K1641" i="2" s="1"/>
  <c r="I1641" i="2" a="1"/>
  <c r="I1641" i="2" s="1"/>
  <c r="H1641" i="2" a="1"/>
  <c r="H1641" i="2" s="1"/>
  <c r="B1642" i="2" a="1"/>
  <c r="B1642" i="2" s="1"/>
  <c r="A1642" i="2" a="1"/>
  <c r="A1642" i="2" s="1"/>
  <c r="C1644" i="2"/>
  <c r="F1643" i="2"/>
  <c r="D1641" i="2" a="1"/>
  <c r="H1642" i="3" l="1" a="1"/>
  <c r="H1642" i="3" s="1"/>
  <c r="I1642" i="3" a="1"/>
  <c r="I1642" i="3" s="1"/>
  <c r="K1642" i="3" a="1"/>
  <c r="K1642" i="3" s="1"/>
  <c r="J1642" i="3" a="1"/>
  <c r="J1642" i="3" s="1"/>
  <c r="C1644" i="3"/>
  <c r="L1643" i="3"/>
  <c r="M1643" i="3"/>
  <c r="F1643" i="3"/>
  <c r="F1644" i="3" s="1"/>
  <c r="A1642" i="3" a="1"/>
  <c r="A1642" i="3" s="1"/>
  <c r="B1642" i="3" a="1"/>
  <c r="B1642" i="3" s="1"/>
  <c r="D1641" i="2"/>
  <c r="C1645" i="2"/>
  <c r="F1644" i="2"/>
  <c r="I1642" i="2" a="1"/>
  <c r="I1642" i="2" s="1"/>
  <c r="K1642" i="2" a="1"/>
  <c r="K1642" i="2" s="1"/>
  <c r="J1642" i="2" a="1"/>
  <c r="J1642" i="2" s="1"/>
  <c r="H1642" i="2" a="1"/>
  <c r="H1642" i="2" s="1"/>
  <c r="B1643" i="2" a="1"/>
  <c r="B1643" i="2" s="1"/>
  <c r="A1643" i="2" a="1"/>
  <c r="A1643" i="2" s="1"/>
  <c r="D1642" i="2" a="1"/>
  <c r="G1643" i="3" l="1" a="1"/>
  <c r="G1643" i="3" s="1"/>
  <c r="C1645" i="3"/>
  <c r="G1644" i="3" a="1"/>
  <c r="G1644" i="3" s="1"/>
  <c r="L1644" i="3"/>
  <c r="M1644" i="3"/>
  <c r="A1643" i="3" a="1"/>
  <c r="A1643" i="3" s="1"/>
  <c r="B1643" i="3" a="1"/>
  <c r="B1643" i="3" s="1"/>
  <c r="D1642" i="2"/>
  <c r="A1644" i="2" a="1"/>
  <c r="A1644" i="2" s="1"/>
  <c r="B1644" i="2" a="1"/>
  <c r="B1644" i="2" s="1"/>
  <c r="K1643" i="2" a="1"/>
  <c r="K1643" i="2" s="1"/>
  <c r="J1643" i="2" a="1"/>
  <c r="J1643" i="2" s="1"/>
  <c r="I1643" i="2" a="1"/>
  <c r="I1643" i="2" s="1"/>
  <c r="H1643" i="2" a="1"/>
  <c r="H1643" i="2" s="1"/>
  <c r="C1646" i="2"/>
  <c r="F1645" i="2"/>
  <c r="D1643" i="2" a="1"/>
  <c r="H1644" i="3" l="1" a="1"/>
  <c r="H1644" i="3" s="1"/>
  <c r="I1644" i="3" a="1"/>
  <c r="I1644" i="3" s="1"/>
  <c r="K1644" i="3" a="1"/>
  <c r="K1644" i="3" s="1"/>
  <c r="C1646" i="3"/>
  <c r="G1645" i="3" a="1"/>
  <c r="G1645" i="3" s="1"/>
  <c r="M1645" i="3"/>
  <c r="L1645" i="3"/>
  <c r="J1645" i="3" a="1"/>
  <c r="J1645" i="3" s="1"/>
  <c r="J1644" i="3" a="1"/>
  <c r="J1644" i="3" s="1"/>
  <c r="I1643" i="3" a="1"/>
  <c r="I1643" i="3" s="1"/>
  <c r="K1643" i="3" a="1"/>
  <c r="K1643" i="3" s="1"/>
  <c r="H1643" i="3" a="1"/>
  <c r="H1643" i="3" s="1"/>
  <c r="J1643" i="3" a="1"/>
  <c r="J1643" i="3" s="1"/>
  <c r="F1645" i="3"/>
  <c r="F1646" i="3" s="1"/>
  <c r="A1644" i="3" a="1"/>
  <c r="A1644" i="3" s="1"/>
  <c r="B1644" i="3" a="1"/>
  <c r="B1644" i="3" s="1"/>
  <c r="D1643" i="2"/>
  <c r="A1645" i="2" a="1"/>
  <c r="A1645" i="2" s="1"/>
  <c r="B1645" i="2" a="1"/>
  <c r="B1645" i="2" s="1"/>
  <c r="K1644" i="2" a="1"/>
  <c r="K1644" i="2" s="1"/>
  <c r="J1644" i="2" a="1"/>
  <c r="J1644" i="2" s="1"/>
  <c r="I1644" i="2" a="1"/>
  <c r="I1644" i="2" s="1"/>
  <c r="H1644" i="2" a="1"/>
  <c r="H1644" i="2" s="1"/>
  <c r="C1647" i="2"/>
  <c r="F1646" i="2"/>
  <c r="D1644" i="2" a="1"/>
  <c r="C1647" i="3" l="1"/>
  <c r="G1646" i="3" a="1"/>
  <c r="G1646" i="3" s="1"/>
  <c r="L1646" i="3"/>
  <c r="M1646" i="3"/>
  <c r="J1646" i="3" a="1"/>
  <c r="J1646" i="3" s="1"/>
  <c r="F1647" i="3"/>
  <c r="K1645" i="3" a="1"/>
  <c r="K1645" i="3" s="1"/>
  <c r="I1645" i="3" a="1"/>
  <c r="I1645" i="3" s="1"/>
  <c r="H1645" i="3" a="1"/>
  <c r="H1645" i="3" s="1"/>
  <c r="B1645" i="3" a="1"/>
  <c r="B1645" i="3" s="1"/>
  <c r="A1645" i="3" a="1"/>
  <c r="A1645" i="3" s="1"/>
  <c r="D1644" i="2"/>
  <c r="C1648" i="2"/>
  <c r="F1647" i="2"/>
  <c r="A1646" i="2" a="1"/>
  <c r="A1646" i="2" s="1"/>
  <c r="B1646" i="2" a="1"/>
  <c r="B1646" i="2" s="1"/>
  <c r="H1645" i="2" a="1"/>
  <c r="H1645" i="2" s="1"/>
  <c r="K1645" i="2" a="1"/>
  <c r="K1645" i="2" s="1"/>
  <c r="I1645" i="2" a="1"/>
  <c r="I1645" i="2" s="1"/>
  <c r="J1645" i="2" a="1"/>
  <c r="J1645" i="2" s="1"/>
  <c r="D1645" i="2" a="1"/>
  <c r="H1646" i="3" l="1" a="1"/>
  <c r="H1646" i="3" s="1"/>
  <c r="I1646" i="3" a="1"/>
  <c r="I1646" i="3" s="1"/>
  <c r="K1646" i="3" a="1"/>
  <c r="K1646" i="3" s="1"/>
  <c r="C1648" i="3"/>
  <c r="G1647" i="3" a="1"/>
  <c r="G1647" i="3" s="1"/>
  <c r="J1647" i="3" a="1"/>
  <c r="J1647" i="3" s="1"/>
  <c r="L1647" i="3"/>
  <c r="M1647" i="3"/>
  <c r="A1646" i="3" a="1"/>
  <c r="A1646" i="3" s="1"/>
  <c r="B1646" i="3" a="1"/>
  <c r="B1646" i="3" s="1"/>
  <c r="D1645" i="2"/>
  <c r="A1647" i="2" a="1"/>
  <c r="A1647" i="2" s="1"/>
  <c r="B1647" i="2" a="1"/>
  <c r="B1647" i="2" s="1"/>
  <c r="K1646" i="2" a="1"/>
  <c r="K1646" i="2" s="1"/>
  <c r="J1646" i="2" a="1"/>
  <c r="J1646" i="2" s="1"/>
  <c r="H1646" i="2" a="1"/>
  <c r="H1646" i="2" s="1"/>
  <c r="I1646" i="2" a="1"/>
  <c r="I1646" i="2" s="1"/>
  <c r="C1649" i="2"/>
  <c r="F1648" i="2"/>
  <c r="D1646" i="2" a="1"/>
  <c r="C1649" i="3" l="1"/>
  <c r="L1648" i="3"/>
  <c r="M1648" i="3"/>
  <c r="H1647" i="3" a="1"/>
  <c r="H1647" i="3" s="1"/>
  <c r="I1647" i="3" a="1"/>
  <c r="I1647" i="3" s="1"/>
  <c r="K1647" i="3" a="1"/>
  <c r="K1647" i="3" s="1"/>
  <c r="F1648" i="3"/>
  <c r="F1649" i="3" s="1"/>
  <c r="B1647" i="3" a="1"/>
  <c r="B1647" i="3" s="1"/>
  <c r="A1647" i="3" a="1"/>
  <c r="A1647" i="3" s="1"/>
  <c r="D1646" i="2"/>
  <c r="C1650" i="2"/>
  <c r="F1649" i="2"/>
  <c r="K1647" i="2" a="1"/>
  <c r="K1647" i="2" s="1"/>
  <c r="I1647" i="2" a="1"/>
  <c r="I1647" i="2" s="1"/>
  <c r="H1647" i="2" a="1"/>
  <c r="H1647" i="2" s="1"/>
  <c r="J1647" i="2" a="1"/>
  <c r="J1647" i="2" s="1"/>
  <c r="A1648" i="2" a="1"/>
  <c r="A1648" i="2" s="1"/>
  <c r="B1648" i="2" a="1"/>
  <c r="B1648" i="2" s="1"/>
  <c r="D1647" i="2" a="1"/>
  <c r="G1648" i="3" l="1" a="1"/>
  <c r="G1648" i="3" s="1"/>
  <c r="C1650" i="3"/>
  <c r="G1649" i="3" a="1"/>
  <c r="G1649" i="3" s="1"/>
  <c r="L1649" i="3"/>
  <c r="M1649" i="3"/>
  <c r="J1649" i="3" a="1"/>
  <c r="J1649" i="3" s="1"/>
  <c r="A1648" i="3" a="1"/>
  <c r="A1648" i="3" s="1"/>
  <c r="B1648" i="3" a="1"/>
  <c r="B1648" i="3" s="1"/>
  <c r="D1647" i="2"/>
  <c r="H1648" i="2" a="1"/>
  <c r="H1648" i="2" s="1"/>
  <c r="K1648" i="2" a="1"/>
  <c r="K1648" i="2" s="1"/>
  <c r="J1648" i="2" a="1"/>
  <c r="J1648" i="2" s="1"/>
  <c r="I1648" i="2" a="1"/>
  <c r="I1648" i="2" s="1"/>
  <c r="A1649" i="2" a="1"/>
  <c r="A1649" i="2" s="1"/>
  <c r="B1649" i="2" a="1"/>
  <c r="B1649" i="2" s="1"/>
  <c r="C1651" i="2"/>
  <c r="F1650" i="2"/>
  <c r="D1648" i="2" a="1"/>
  <c r="C1651" i="3" l="1"/>
  <c r="G1650" i="3" a="1"/>
  <c r="G1650" i="3" s="1"/>
  <c r="L1650" i="3"/>
  <c r="M1650" i="3"/>
  <c r="J1650" i="3" a="1"/>
  <c r="J1650" i="3" s="1"/>
  <c r="H1649" i="3" a="1"/>
  <c r="H1649" i="3" s="1"/>
  <c r="I1649" i="3" a="1"/>
  <c r="I1649" i="3" s="1"/>
  <c r="K1649" i="3" a="1"/>
  <c r="K1649" i="3" s="1"/>
  <c r="K1648" i="3" a="1"/>
  <c r="K1648" i="3" s="1"/>
  <c r="H1648" i="3" a="1"/>
  <c r="H1648" i="3" s="1"/>
  <c r="I1648" i="3" a="1"/>
  <c r="I1648" i="3" s="1"/>
  <c r="J1648" i="3" a="1"/>
  <c r="J1648" i="3" s="1"/>
  <c r="F1650" i="3"/>
  <c r="F1651" i="3" s="1"/>
  <c r="A1649" i="3" a="1"/>
  <c r="A1649" i="3" s="1"/>
  <c r="B1649" i="3" a="1"/>
  <c r="B1649" i="3" s="1"/>
  <c r="D1648" i="2"/>
  <c r="B1650" i="2" a="1"/>
  <c r="B1650" i="2" s="1"/>
  <c r="A1650" i="2" a="1"/>
  <c r="A1650" i="2" s="1"/>
  <c r="J1649" i="2" a="1"/>
  <c r="J1649" i="2" s="1"/>
  <c r="K1649" i="2" a="1"/>
  <c r="K1649" i="2" s="1"/>
  <c r="H1649" i="2" a="1"/>
  <c r="H1649" i="2" s="1"/>
  <c r="I1649" i="2" a="1"/>
  <c r="I1649" i="2" s="1"/>
  <c r="C1652" i="2"/>
  <c r="F1651" i="2"/>
  <c r="D1649" i="2" a="1"/>
  <c r="I1650" i="3" l="1" a="1"/>
  <c r="I1650" i="3" s="1"/>
  <c r="K1650" i="3" a="1"/>
  <c r="K1650" i="3" s="1"/>
  <c r="H1650" i="3" a="1"/>
  <c r="H1650" i="3" s="1"/>
  <c r="C1652" i="3"/>
  <c r="G1651" i="3" a="1"/>
  <c r="G1651" i="3" s="1"/>
  <c r="L1651" i="3"/>
  <c r="M1651" i="3"/>
  <c r="B1650" i="3" a="1"/>
  <c r="B1650" i="3" s="1"/>
  <c r="A1650" i="3" a="1"/>
  <c r="A1650" i="3" s="1"/>
  <c r="D1649" i="2"/>
  <c r="B1651" i="2" a="1"/>
  <c r="B1651" i="2" s="1"/>
  <c r="A1651" i="2" a="1"/>
  <c r="A1651" i="2" s="1"/>
  <c r="C1653" i="2"/>
  <c r="F1652" i="2"/>
  <c r="I1650" i="2" a="1"/>
  <c r="I1650" i="2" s="1"/>
  <c r="J1650" i="2" a="1"/>
  <c r="J1650" i="2" s="1"/>
  <c r="H1650" i="2" a="1"/>
  <c r="H1650" i="2" s="1"/>
  <c r="K1650" i="2" a="1"/>
  <c r="K1650" i="2" s="1"/>
  <c r="D1650" i="2" a="1"/>
  <c r="H1651" i="3" l="1" a="1"/>
  <c r="H1651" i="3" s="1"/>
  <c r="I1651" i="3" a="1"/>
  <c r="I1651" i="3" s="1"/>
  <c r="K1651" i="3" a="1"/>
  <c r="K1651" i="3" s="1"/>
  <c r="J1651" i="3" a="1"/>
  <c r="J1651" i="3" s="1"/>
  <c r="C1653" i="3"/>
  <c r="L1652" i="3"/>
  <c r="M1652" i="3"/>
  <c r="F1652" i="3"/>
  <c r="F1653" i="3" s="1"/>
  <c r="A1651" i="3" a="1"/>
  <c r="A1651" i="3" s="1"/>
  <c r="B1651" i="3" a="1"/>
  <c r="B1651" i="3" s="1"/>
  <c r="D1650" i="2"/>
  <c r="C1654" i="2"/>
  <c r="F1653" i="2"/>
  <c r="I1651" i="2" a="1"/>
  <c r="I1651" i="2" s="1"/>
  <c r="H1651" i="2" a="1"/>
  <c r="H1651" i="2" s="1"/>
  <c r="K1651" i="2" a="1"/>
  <c r="K1651" i="2" s="1"/>
  <c r="J1651" i="2" a="1"/>
  <c r="J1651" i="2" s="1"/>
  <c r="A1652" i="2" a="1"/>
  <c r="A1652" i="2" s="1"/>
  <c r="B1652" i="2" a="1"/>
  <c r="B1652" i="2" s="1"/>
  <c r="D1651" i="2" a="1"/>
  <c r="G1652" i="3" l="1" a="1"/>
  <c r="G1652" i="3" s="1"/>
  <c r="C1654" i="3"/>
  <c r="F1654" i="3" s="1"/>
  <c r="G1653" i="3" a="1"/>
  <c r="G1653" i="3" s="1"/>
  <c r="M1653" i="3"/>
  <c r="J1653" i="3" a="1"/>
  <c r="J1653" i="3" s="1"/>
  <c r="L1653" i="3"/>
  <c r="B1652" i="3" a="1"/>
  <c r="B1652" i="3" s="1"/>
  <c r="A1652" i="3" a="1"/>
  <c r="A1652" i="3" s="1"/>
  <c r="D1651" i="2"/>
  <c r="A1653" i="2" a="1"/>
  <c r="A1653" i="2" s="1"/>
  <c r="B1653" i="2" a="1"/>
  <c r="B1653" i="2" s="1"/>
  <c r="J1652" i="2" a="1"/>
  <c r="J1652" i="2" s="1"/>
  <c r="K1652" i="2" a="1"/>
  <c r="K1652" i="2" s="1"/>
  <c r="I1652" i="2" a="1"/>
  <c r="I1652" i="2" s="1"/>
  <c r="H1652" i="2" a="1"/>
  <c r="H1652" i="2" s="1"/>
  <c r="C1655" i="2"/>
  <c r="F1654" i="2"/>
  <c r="D1652" i="2" a="1"/>
  <c r="I1653" i="3" l="1" a="1"/>
  <c r="I1653" i="3" s="1"/>
  <c r="H1653" i="3" a="1"/>
  <c r="H1653" i="3" s="1"/>
  <c r="K1653" i="3" a="1"/>
  <c r="K1653" i="3" s="1"/>
  <c r="C1655" i="3"/>
  <c r="G1654" i="3" a="1"/>
  <c r="G1654" i="3" s="1"/>
  <c r="L1654" i="3"/>
  <c r="M1654" i="3"/>
  <c r="J1654" i="3" a="1"/>
  <c r="J1654" i="3" s="1"/>
  <c r="I1652" i="3" a="1"/>
  <c r="I1652" i="3" s="1"/>
  <c r="K1652" i="3" a="1"/>
  <c r="K1652" i="3" s="1"/>
  <c r="H1652" i="3" a="1"/>
  <c r="H1652" i="3" s="1"/>
  <c r="J1652" i="3" a="1"/>
  <c r="J1652" i="3" s="1"/>
  <c r="A1653" i="3" a="1"/>
  <c r="A1653" i="3" s="1"/>
  <c r="B1653" i="3" a="1"/>
  <c r="B1653" i="3" s="1"/>
  <c r="D1652" i="2"/>
  <c r="J1653" i="2" a="1"/>
  <c r="J1653" i="2" s="1"/>
  <c r="K1653" i="2" a="1"/>
  <c r="K1653" i="2" s="1"/>
  <c r="I1653" i="2" a="1"/>
  <c r="I1653" i="2" s="1"/>
  <c r="H1653" i="2" a="1"/>
  <c r="H1653" i="2" s="1"/>
  <c r="B1654" i="2" a="1"/>
  <c r="B1654" i="2" s="1"/>
  <c r="A1654" i="2" a="1"/>
  <c r="A1654" i="2" s="1"/>
  <c r="C1656" i="2"/>
  <c r="F1655" i="2"/>
  <c r="D1653" i="2" a="1"/>
  <c r="K1654" i="3" l="1" a="1"/>
  <c r="K1654" i="3" s="1"/>
  <c r="H1654" i="3" a="1"/>
  <c r="H1654" i="3" s="1"/>
  <c r="I1654" i="3" a="1"/>
  <c r="I1654" i="3" s="1"/>
  <c r="C1656" i="3"/>
  <c r="L1655" i="3"/>
  <c r="M1655" i="3"/>
  <c r="F1655" i="3"/>
  <c r="F1656" i="3" s="1"/>
  <c r="A1654" i="3" a="1"/>
  <c r="A1654" i="3" s="1"/>
  <c r="B1654" i="3" a="1"/>
  <c r="B1654" i="3" s="1"/>
  <c r="D1653" i="2"/>
  <c r="B1655" i="2" a="1"/>
  <c r="B1655" i="2" s="1"/>
  <c r="A1655" i="2" a="1"/>
  <c r="A1655" i="2" s="1"/>
  <c r="I1654" i="2" a="1"/>
  <c r="I1654" i="2" s="1"/>
  <c r="J1654" i="2" a="1"/>
  <c r="J1654" i="2" s="1"/>
  <c r="K1654" i="2" a="1"/>
  <c r="K1654" i="2" s="1"/>
  <c r="H1654" i="2" a="1"/>
  <c r="H1654" i="2" s="1"/>
  <c r="C1657" i="2"/>
  <c r="F1656" i="2"/>
  <c r="D1654" i="2" a="1"/>
  <c r="G1655" i="3" l="1" a="1"/>
  <c r="G1655" i="3" s="1"/>
  <c r="C1657" i="3"/>
  <c r="G1656" i="3" a="1"/>
  <c r="G1656" i="3" s="1"/>
  <c r="J1656" i="3" s="1" a="1"/>
  <c r="J1656" i="3" s="1"/>
  <c r="L1656" i="3"/>
  <c r="M1656" i="3"/>
  <c r="F1657" i="3"/>
  <c r="A1655" i="3" a="1"/>
  <c r="A1655" i="3" s="1"/>
  <c r="B1655" i="3" a="1"/>
  <c r="B1655" i="3" s="1"/>
  <c r="D1654" i="2"/>
  <c r="C1658" i="2"/>
  <c r="F1657" i="2"/>
  <c r="H1655" i="2" a="1"/>
  <c r="H1655" i="2" s="1"/>
  <c r="K1655" i="2" a="1"/>
  <c r="K1655" i="2" s="1"/>
  <c r="J1655" i="2" a="1"/>
  <c r="J1655" i="2" s="1"/>
  <c r="I1655" i="2" a="1"/>
  <c r="I1655" i="2" s="1"/>
  <c r="A1656" i="2" a="1"/>
  <c r="A1656" i="2" s="1"/>
  <c r="B1656" i="2" a="1"/>
  <c r="B1656" i="2" s="1"/>
  <c r="D1655" i="2" a="1"/>
  <c r="H1656" i="3" l="1" a="1"/>
  <c r="H1656" i="3" s="1"/>
  <c r="I1656" i="3" a="1"/>
  <c r="I1656" i="3" s="1"/>
  <c r="K1656" i="3" a="1"/>
  <c r="K1656" i="3" s="1"/>
  <c r="C1658" i="3"/>
  <c r="G1657" i="3" a="1"/>
  <c r="G1657" i="3" s="1"/>
  <c r="L1657" i="3"/>
  <c r="M1657" i="3"/>
  <c r="J1657" i="3" a="1"/>
  <c r="J1657" i="3" s="1"/>
  <c r="F1658" i="3"/>
  <c r="K1655" i="3" a="1"/>
  <c r="K1655" i="3" s="1"/>
  <c r="H1655" i="3" a="1"/>
  <c r="H1655" i="3" s="1"/>
  <c r="I1655" i="3" a="1"/>
  <c r="I1655" i="3" s="1"/>
  <c r="J1655" i="3" a="1"/>
  <c r="J1655" i="3" s="1"/>
  <c r="A1656" i="3" a="1"/>
  <c r="A1656" i="3" s="1"/>
  <c r="B1656" i="3" a="1"/>
  <c r="B1656" i="3" s="1"/>
  <c r="D1655" i="2"/>
  <c r="J1656" i="2" a="1"/>
  <c r="J1656" i="2" s="1"/>
  <c r="H1656" i="2" a="1"/>
  <c r="H1656" i="2" s="1"/>
  <c r="I1656" i="2" a="1"/>
  <c r="I1656" i="2" s="1"/>
  <c r="K1656" i="2" a="1"/>
  <c r="K1656" i="2" s="1"/>
  <c r="B1657" i="2" a="1"/>
  <c r="B1657" i="2" s="1"/>
  <c r="A1657" i="2" a="1"/>
  <c r="A1657" i="2" s="1"/>
  <c r="C1659" i="2"/>
  <c r="F1658" i="2"/>
  <c r="D1656" i="2" a="1"/>
  <c r="C1659" i="3" l="1"/>
  <c r="G1658" i="3" a="1"/>
  <c r="G1658" i="3" s="1"/>
  <c r="L1658" i="3"/>
  <c r="M1658" i="3"/>
  <c r="J1658" i="3" a="1"/>
  <c r="J1658" i="3" s="1"/>
  <c r="F1659" i="3"/>
  <c r="H1657" i="3" a="1"/>
  <c r="H1657" i="3" s="1"/>
  <c r="I1657" i="3" a="1"/>
  <c r="I1657" i="3" s="1"/>
  <c r="K1657" i="3" a="1"/>
  <c r="K1657" i="3" s="1"/>
  <c r="B1657" i="3" a="1"/>
  <c r="B1657" i="3" s="1"/>
  <c r="A1657" i="3" a="1"/>
  <c r="A1657" i="3" s="1"/>
  <c r="D1656" i="2"/>
  <c r="C1660" i="2"/>
  <c r="F1659" i="2"/>
  <c r="J1657" i="2" a="1"/>
  <c r="J1657" i="2" s="1"/>
  <c r="H1657" i="2" a="1"/>
  <c r="H1657" i="2" s="1"/>
  <c r="I1657" i="2" a="1"/>
  <c r="I1657" i="2" s="1"/>
  <c r="K1657" i="2" a="1"/>
  <c r="K1657" i="2" s="1"/>
  <c r="A1658" i="2" a="1"/>
  <c r="A1658" i="2" s="1"/>
  <c r="B1658" i="2" a="1"/>
  <c r="B1658" i="2" s="1"/>
  <c r="D1657" i="2" a="1"/>
  <c r="I1658" i="3" l="1" a="1"/>
  <c r="I1658" i="3" s="1"/>
  <c r="H1658" i="3" a="1"/>
  <c r="H1658" i="3" s="1"/>
  <c r="K1658" i="3" a="1"/>
  <c r="K1658" i="3" s="1"/>
  <c r="C1660" i="3"/>
  <c r="G1659" i="3" a="1"/>
  <c r="G1659" i="3" s="1"/>
  <c r="L1659" i="3"/>
  <c r="M1659" i="3"/>
  <c r="A1658" i="3" a="1"/>
  <c r="A1658" i="3" s="1"/>
  <c r="B1658" i="3" a="1"/>
  <c r="B1658" i="3" s="1"/>
  <c r="D1657" i="2"/>
  <c r="A1659" i="2" a="1"/>
  <c r="A1659" i="2" s="1"/>
  <c r="B1659" i="2" a="1"/>
  <c r="B1659" i="2" s="1"/>
  <c r="H1658" i="2" a="1"/>
  <c r="H1658" i="2" s="1"/>
  <c r="J1658" i="2" a="1"/>
  <c r="J1658" i="2" s="1"/>
  <c r="K1658" i="2" a="1"/>
  <c r="K1658" i="2" s="1"/>
  <c r="I1658" i="2" a="1"/>
  <c r="I1658" i="2" s="1"/>
  <c r="C1661" i="2"/>
  <c r="F1660" i="2"/>
  <c r="D1658" i="2" a="1"/>
  <c r="K1659" i="3" l="1" a="1"/>
  <c r="K1659" i="3" s="1"/>
  <c r="H1659" i="3" a="1"/>
  <c r="H1659" i="3" s="1"/>
  <c r="I1659" i="3" a="1"/>
  <c r="I1659" i="3" s="1"/>
  <c r="J1659" i="3" a="1"/>
  <c r="J1659" i="3" s="1"/>
  <c r="C1661" i="3"/>
  <c r="M1660" i="3"/>
  <c r="L1660" i="3"/>
  <c r="F1660" i="3"/>
  <c r="F1661" i="3" s="1"/>
  <c r="B1659" i="3" a="1"/>
  <c r="B1659" i="3" s="1"/>
  <c r="A1659" i="3" a="1"/>
  <c r="A1659" i="3" s="1"/>
  <c r="D1658" i="2"/>
  <c r="A1660" i="2" a="1"/>
  <c r="A1660" i="2" s="1"/>
  <c r="B1660" i="2" a="1"/>
  <c r="B1660" i="2" s="1"/>
  <c r="C1662" i="2"/>
  <c r="F1661" i="2"/>
  <c r="J1659" i="2" a="1"/>
  <c r="J1659" i="2" s="1"/>
  <c r="I1659" i="2" a="1"/>
  <c r="I1659" i="2" s="1"/>
  <c r="H1659" i="2" a="1"/>
  <c r="H1659" i="2" s="1"/>
  <c r="K1659" i="2" a="1"/>
  <c r="K1659" i="2" s="1"/>
  <c r="D1659" i="2" a="1"/>
  <c r="G1660" i="3" l="1" a="1"/>
  <c r="G1660" i="3" s="1"/>
  <c r="C1662" i="3"/>
  <c r="G1661" i="3" a="1"/>
  <c r="G1661" i="3" s="1"/>
  <c r="L1661" i="3"/>
  <c r="M1661" i="3"/>
  <c r="A1660" i="3" a="1"/>
  <c r="A1660" i="3" s="1"/>
  <c r="B1660" i="3" a="1"/>
  <c r="B1660" i="3" s="1"/>
  <c r="D1659" i="2"/>
  <c r="C1663" i="2"/>
  <c r="F1662" i="2"/>
  <c r="K1660" i="2" a="1"/>
  <c r="K1660" i="2" s="1"/>
  <c r="I1660" i="2" a="1"/>
  <c r="I1660" i="2" s="1"/>
  <c r="H1660" i="2" a="1"/>
  <c r="H1660" i="2" s="1"/>
  <c r="J1660" i="2" a="1"/>
  <c r="J1660" i="2" s="1"/>
  <c r="B1661" i="2" a="1"/>
  <c r="B1661" i="2" s="1"/>
  <c r="A1661" i="2" a="1"/>
  <c r="A1661" i="2" s="1"/>
  <c r="D1660" i="2" a="1"/>
  <c r="I1661" i="3" l="1" a="1"/>
  <c r="I1661" i="3" s="1"/>
  <c r="K1661" i="3" a="1"/>
  <c r="K1661" i="3" s="1"/>
  <c r="H1661" i="3" a="1"/>
  <c r="H1661" i="3" s="1"/>
  <c r="C1663" i="3"/>
  <c r="G1662" i="3" a="1"/>
  <c r="G1662" i="3" s="1"/>
  <c r="L1662" i="3"/>
  <c r="M1662" i="3"/>
  <c r="J1661" i="3" a="1"/>
  <c r="J1661" i="3" s="1"/>
  <c r="K1660" i="3" a="1"/>
  <c r="K1660" i="3" s="1"/>
  <c r="H1660" i="3" a="1"/>
  <c r="H1660" i="3" s="1"/>
  <c r="I1660" i="3" a="1"/>
  <c r="I1660" i="3" s="1"/>
  <c r="J1660" i="3" a="1"/>
  <c r="J1660" i="3" s="1"/>
  <c r="F1662" i="3"/>
  <c r="F1663" i="3" s="1"/>
  <c r="A1661" i="3" a="1"/>
  <c r="A1661" i="3" s="1"/>
  <c r="B1661" i="3" a="1"/>
  <c r="B1661" i="3" s="1"/>
  <c r="D1660" i="2"/>
  <c r="K1661" i="2" a="1"/>
  <c r="K1661" i="2" s="1"/>
  <c r="J1661" i="2" a="1"/>
  <c r="J1661" i="2" s="1"/>
  <c r="H1661" i="2" a="1"/>
  <c r="H1661" i="2" s="1"/>
  <c r="I1661" i="2" a="1"/>
  <c r="I1661" i="2" s="1"/>
  <c r="B1662" i="2" a="1"/>
  <c r="B1662" i="2" s="1"/>
  <c r="A1662" i="2" a="1"/>
  <c r="A1662" i="2" s="1"/>
  <c r="C1664" i="2"/>
  <c r="F1663" i="2"/>
  <c r="D1661" i="2" a="1"/>
  <c r="K1662" i="3" l="1" a="1"/>
  <c r="K1662" i="3" s="1"/>
  <c r="I1662" i="3" a="1"/>
  <c r="I1662" i="3" s="1"/>
  <c r="H1662" i="3" a="1"/>
  <c r="H1662" i="3" s="1"/>
  <c r="C1664" i="3"/>
  <c r="G1663" i="3" a="1"/>
  <c r="G1663" i="3" s="1"/>
  <c r="L1663" i="3"/>
  <c r="M1663" i="3"/>
  <c r="J1662" i="3" a="1"/>
  <c r="J1662" i="3" s="1"/>
  <c r="F1664" i="3"/>
  <c r="B1662" i="3" a="1"/>
  <c r="B1662" i="3" s="1"/>
  <c r="A1662" i="3" a="1"/>
  <c r="A1662" i="3" s="1"/>
  <c r="D1661" i="2"/>
  <c r="C1665" i="2"/>
  <c r="F1664" i="2"/>
  <c r="A1663" i="2" a="1"/>
  <c r="A1663" i="2" s="1"/>
  <c r="B1663" i="2" a="1"/>
  <c r="B1663" i="2" s="1"/>
  <c r="J1662" i="2" a="1"/>
  <c r="J1662" i="2" s="1"/>
  <c r="I1662" i="2" a="1"/>
  <c r="I1662" i="2" s="1"/>
  <c r="K1662" i="2" a="1"/>
  <c r="K1662" i="2" s="1"/>
  <c r="H1662" i="2" a="1"/>
  <c r="H1662" i="2" s="1"/>
  <c r="D1662" i="2" a="1"/>
  <c r="C1665" i="3" l="1"/>
  <c r="G1664" i="3" a="1"/>
  <c r="G1664" i="3" s="1"/>
  <c r="L1664" i="3"/>
  <c r="M1664" i="3"/>
  <c r="F1665" i="3"/>
  <c r="J1663" i="3" a="1"/>
  <c r="J1663" i="3" s="1"/>
  <c r="H1663" i="3" a="1"/>
  <c r="H1663" i="3" s="1"/>
  <c r="I1663" i="3" a="1"/>
  <c r="I1663" i="3" s="1"/>
  <c r="K1663" i="3" a="1"/>
  <c r="K1663" i="3" s="1"/>
  <c r="A1663" i="3" a="1"/>
  <c r="A1663" i="3" s="1"/>
  <c r="B1663" i="3" a="1"/>
  <c r="B1663" i="3" s="1"/>
  <c r="D1662" i="2"/>
  <c r="A1664" i="2" a="1"/>
  <c r="A1664" i="2" s="1"/>
  <c r="B1664" i="2" a="1"/>
  <c r="B1664" i="2" s="1"/>
  <c r="H1663" i="2" a="1"/>
  <c r="H1663" i="2" s="1"/>
  <c r="J1663" i="2" a="1"/>
  <c r="J1663" i="2" s="1"/>
  <c r="I1663" i="2" a="1"/>
  <c r="I1663" i="2" s="1"/>
  <c r="K1663" i="2" a="1"/>
  <c r="K1663" i="2" s="1"/>
  <c r="C1666" i="2"/>
  <c r="F1665" i="2"/>
  <c r="D1663" i="2" a="1"/>
  <c r="K1664" i="3" l="1" a="1"/>
  <c r="K1664" i="3" s="1"/>
  <c r="H1664" i="3" a="1"/>
  <c r="H1664" i="3" s="1"/>
  <c r="I1664" i="3" a="1"/>
  <c r="I1664" i="3" s="1"/>
  <c r="J1664" i="3" a="1"/>
  <c r="J1664" i="3" s="1"/>
  <c r="C1666" i="3"/>
  <c r="G1665" i="3" a="1"/>
  <c r="G1665" i="3" s="1"/>
  <c r="L1665" i="3"/>
  <c r="M1665" i="3"/>
  <c r="A1664" i="3" a="1"/>
  <c r="A1664" i="3" s="1"/>
  <c r="B1664" i="3" a="1"/>
  <c r="B1664" i="3" s="1"/>
  <c r="D1663" i="2"/>
  <c r="C1667" i="2"/>
  <c r="F1666" i="2"/>
  <c r="K1664" i="2" a="1"/>
  <c r="K1664" i="2" s="1"/>
  <c r="I1664" i="2" a="1"/>
  <c r="I1664" i="2" s="1"/>
  <c r="H1664" i="2" a="1"/>
  <c r="H1664" i="2" s="1"/>
  <c r="J1664" i="2" a="1"/>
  <c r="J1664" i="2" s="1"/>
  <c r="A1665" i="2" a="1"/>
  <c r="A1665" i="2" s="1"/>
  <c r="B1665" i="2" a="1"/>
  <c r="B1665" i="2" s="1"/>
  <c r="D1664" i="2" a="1"/>
  <c r="C1667" i="3" l="1"/>
  <c r="L1666" i="3"/>
  <c r="M1666" i="3"/>
  <c r="J1665" i="3" a="1"/>
  <c r="J1665" i="3" s="1"/>
  <c r="H1665" i="3" a="1"/>
  <c r="H1665" i="3" s="1"/>
  <c r="I1665" i="3" a="1"/>
  <c r="I1665" i="3" s="1"/>
  <c r="K1665" i="3" a="1"/>
  <c r="K1665" i="3" s="1"/>
  <c r="F1666" i="3"/>
  <c r="F1667" i="3" s="1"/>
  <c r="A1665" i="3" a="1"/>
  <c r="A1665" i="3" s="1"/>
  <c r="B1665" i="3" a="1"/>
  <c r="B1665" i="3" s="1"/>
  <c r="D1664" i="2"/>
  <c r="K1665" i="2" a="1"/>
  <c r="K1665" i="2" s="1"/>
  <c r="J1665" i="2" a="1"/>
  <c r="J1665" i="2" s="1"/>
  <c r="H1665" i="2" a="1"/>
  <c r="H1665" i="2" s="1"/>
  <c r="I1665" i="2" a="1"/>
  <c r="I1665" i="2" s="1"/>
  <c r="A1666" i="2" a="1"/>
  <c r="A1666" i="2" s="1"/>
  <c r="B1666" i="2" a="1"/>
  <c r="B1666" i="2" s="1"/>
  <c r="C1668" i="2"/>
  <c r="F1667" i="2"/>
  <c r="D1665" i="2" a="1"/>
  <c r="G1666" i="3" l="1" a="1"/>
  <c r="G1666" i="3" s="1"/>
  <c r="C1668" i="3"/>
  <c r="G1667" i="3" a="1"/>
  <c r="G1667" i="3" s="1"/>
  <c r="M1667" i="3"/>
  <c r="L1667" i="3"/>
  <c r="A1666" i="3" a="1"/>
  <c r="A1666" i="3" s="1"/>
  <c r="B1666" i="3" a="1"/>
  <c r="B1666" i="3" s="1"/>
  <c r="D1665" i="2"/>
  <c r="J1666" i="2" a="1"/>
  <c r="J1666" i="2" s="1"/>
  <c r="H1666" i="2" a="1"/>
  <c r="H1666" i="2" s="1"/>
  <c r="I1666" i="2" a="1"/>
  <c r="I1666" i="2" s="1"/>
  <c r="K1666" i="2" a="1"/>
  <c r="K1666" i="2" s="1"/>
  <c r="B1667" i="2" a="1"/>
  <c r="B1667" i="2" s="1"/>
  <c r="A1667" i="2" a="1"/>
  <c r="A1667" i="2" s="1"/>
  <c r="C1669" i="2"/>
  <c r="F1668" i="2"/>
  <c r="D1666" i="2" a="1"/>
  <c r="H1667" i="3" l="1" a="1"/>
  <c r="H1667" i="3" s="1"/>
  <c r="I1667" i="3" a="1"/>
  <c r="I1667" i="3" s="1"/>
  <c r="K1667" i="3" a="1"/>
  <c r="K1667" i="3" s="1"/>
  <c r="C1669" i="3"/>
  <c r="G1668" i="3" a="1"/>
  <c r="G1668" i="3" s="1"/>
  <c r="L1668" i="3"/>
  <c r="M1668" i="3"/>
  <c r="J1668" i="3" a="1"/>
  <c r="J1668" i="3" s="1"/>
  <c r="J1667" i="3" a="1"/>
  <c r="J1667" i="3" s="1"/>
  <c r="I1666" i="3" a="1"/>
  <c r="I1666" i="3" s="1"/>
  <c r="K1666" i="3" a="1"/>
  <c r="K1666" i="3" s="1"/>
  <c r="H1666" i="3" a="1"/>
  <c r="H1666" i="3" s="1"/>
  <c r="J1666" i="3" a="1"/>
  <c r="J1666" i="3" s="1"/>
  <c r="F1668" i="3"/>
  <c r="F1669" i="3" s="1"/>
  <c r="A1667" i="3" a="1"/>
  <c r="A1667" i="3" s="1"/>
  <c r="B1667" i="3" a="1"/>
  <c r="B1667" i="3" s="1"/>
  <c r="D1666" i="2"/>
  <c r="C1670" i="2"/>
  <c r="F1669" i="2"/>
  <c r="B1668" i="2" a="1"/>
  <c r="B1668" i="2" s="1"/>
  <c r="A1668" i="2" a="1"/>
  <c r="A1668" i="2" s="1"/>
  <c r="J1667" i="2" a="1"/>
  <c r="J1667" i="2" s="1"/>
  <c r="K1667" i="2" a="1"/>
  <c r="K1667" i="2" s="1"/>
  <c r="I1667" i="2" a="1"/>
  <c r="I1667" i="2" s="1"/>
  <c r="H1667" i="2" a="1"/>
  <c r="H1667" i="2" s="1"/>
  <c r="D1667" i="2" a="1"/>
  <c r="C1670" i="3" l="1"/>
  <c r="G1669" i="3" a="1"/>
  <c r="G1669" i="3" s="1"/>
  <c r="L1669" i="3"/>
  <c r="M1669" i="3"/>
  <c r="J1669" i="3" a="1"/>
  <c r="J1669" i="3" s="1"/>
  <c r="H1668" i="3" a="1"/>
  <c r="H1668" i="3" s="1"/>
  <c r="I1668" i="3" a="1"/>
  <c r="I1668" i="3" s="1"/>
  <c r="K1668" i="3" a="1"/>
  <c r="K1668" i="3" s="1"/>
  <c r="F1670" i="3"/>
  <c r="A1668" i="3" a="1"/>
  <c r="A1668" i="3" s="1"/>
  <c r="B1668" i="3" a="1"/>
  <c r="B1668" i="3" s="1"/>
  <c r="D1667" i="2"/>
  <c r="B1669" i="2" a="1"/>
  <c r="B1669" i="2" s="1"/>
  <c r="A1669" i="2" a="1"/>
  <c r="A1669" i="2" s="1"/>
  <c r="I1668" i="2" a="1"/>
  <c r="I1668" i="2" s="1"/>
  <c r="J1668" i="2" a="1"/>
  <c r="J1668" i="2" s="1"/>
  <c r="K1668" i="2" a="1"/>
  <c r="K1668" i="2" s="1"/>
  <c r="H1668" i="2" a="1"/>
  <c r="H1668" i="2" s="1"/>
  <c r="C1671" i="2"/>
  <c r="F1670" i="2"/>
  <c r="D1668" i="2" a="1"/>
  <c r="H1669" i="3" l="1" a="1"/>
  <c r="H1669" i="3" s="1"/>
  <c r="I1669" i="3" a="1"/>
  <c r="I1669" i="3" s="1"/>
  <c r="K1669" i="3" a="1"/>
  <c r="K1669" i="3" s="1"/>
  <c r="C1671" i="3"/>
  <c r="G1670" i="3" a="1"/>
  <c r="G1670" i="3" s="1"/>
  <c r="L1670" i="3"/>
  <c r="M1670" i="3"/>
  <c r="B1669" i="3" a="1"/>
  <c r="B1669" i="3" s="1"/>
  <c r="A1669" i="3" a="1"/>
  <c r="A1669" i="3" s="1"/>
  <c r="D1668" i="2"/>
  <c r="C1672" i="2"/>
  <c r="F1671" i="2"/>
  <c r="K1669" i="2" a="1"/>
  <c r="K1669" i="2" s="1"/>
  <c r="J1669" i="2" a="1"/>
  <c r="J1669" i="2" s="1"/>
  <c r="H1669" i="2" a="1"/>
  <c r="H1669" i="2" s="1"/>
  <c r="I1669" i="2" a="1"/>
  <c r="I1669" i="2" s="1"/>
  <c r="A1670" i="2" a="1"/>
  <c r="A1670" i="2" s="1"/>
  <c r="B1670" i="2" a="1"/>
  <c r="B1670" i="2" s="1"/>
  <c r="D1669" i="2" a="1"/>
  <c r="H1670" i="3" l="1" a="1"/>
  <c r="H1670" i="3" s="1"/>
  <c r="I1670" i="3" a="1"/>
  <c r="I1670" i="3" s="1"/>
  <c r="K1670" i="3" a="1"/>
  <c r="K1670" i="3" s="1"/>
  <c r="J1670" i="3" a="1"/>
  <c r="J1670" i="3" s="1"/>
  <c r="C1672" i="3"/>
  <c r="L1671" i="3"/>
  <c r="M1671" i="3"/>
  <c r="F1671" i="3"/>
  <c r="F1672" i="3" s="1"/>
  <c r="A1670" i="3" a="1"/>
  <c r="A1670" i="3" s="1"/>
  <c r="B1670" i="3" a="1"/>
  <c r="B1670" i="3" s="1"/>
  <c r="D1669" i="2"/>
  <c r="I1670" i="2" a="1"/>
  <c r="I1670" i="2" s="1"/>
  <c r="H1670" i="2" a="1"/>
  <c r="H1670" i="2" s="1"/>
  <c r="K1670" i="2" a="1"/>
  <c r="K1670" i="2" s="1"/>
  <c r="J1670" i="2" a="1"/>
  <c r="J1670" i="2" s="1"/>
  <c r="A1671" i="2" a="1"/>
  <c r="A1671" i="2" s="1"/>
  <c r="B1671" i="2" a="1"/>
  <c r="B1671" i="2" s="1"/>
  <c r="C1673" i="2"/>
  <c r="F1672" i="2"/>
  <c r="D1670" i="2" a="1"/>
  <c r="G1671" i="3" l="1" a="1"/>
  <c r="G1671" i="3" s="1"/>
  <c r="C1673" i="3"/>
  <c r="G1672" i="3" a="1"/>
  <c r="G1672" i="3" s="1"/>
  <c r="L1672" i="3"/>
  <c r="M1672" i="3"/>
  <c r="B1671" i="3" a="1"/>
  <c r="B1671" i="3" s="1"/>
  <c r="A1671" i="3" a="1"/>
  <c r="A1671" i="3" s="1"/>
  <c r="D1670" i="2"/>
  <c r="K1671" i="2" a="1"/>
  <c r="K1671" i="2" s="1"/>
  <c r="H1671" i="2" a="1"/>
  <c r="H1671" i="2" s="1"/>
  <c r="J1671" i="2" a="1"/>
  <c r="J1671" i="2" s="1"/>
  <c r="I1671" i="2" a="1"/>
  <c r="I1671" i="2" s="1"/>
  <c r="A1672" i="2" a="1"/>
  <c r="A1672" i="2" s="1"/>
  <c r="B1672" i="2" a="1"/>
  <c r="B1672" i="2" s="1"/>
  <c r="C1674" i="2"/>
  <c r="F1673" i="2"/>
  <c r="D1671" i="2" a="1"/>
  <c r="H1672" i="3" l="1" a="1"/>
  <c r="H1672" i="3" s="1"/>
  <c r="I1672" i="3" a="1"/>
  <c r="I1672" i="3" s="1"/>
  <c r="K1672" i="3" a="1"/>
  <c r="K1672" i="3" s="1"/>
  <c r="C1674" i="3"/>
  <c r="G1673" i="3" a="1"/>
  <c r="G1673" i="3" s="1"/>
  <c r="M1673" i="3"/>
  <c r="L1673" i="3"/>
  <c r="J1672" i="3" a="1"/>
  <c r="J1672" i="3" s="1"/>
  <c r="H1671" i="3" a="1"/>
  <c r="H1671" i="3" s="1"/>
  <c r="I1671" i="3" a="1"/>
  <c r="I1671" i="3" s="1"/>
  <c r="K1671" i="3" a="1"/>
  <c r="K1671" i="3" s="1"/>
  <c r="J1671" i="3" a="1"/>
  <c r="J1671" i="3" s="1"/>
  <c r="F1673" i="3"/>
  <c r="F1674" i="3" s="1"/>
  <c r="A1672" i="3" a="1"/>
  <c r="A1672" i="3" s="1"/>
  <c r="B1672" i="3" a="1"/>
  <c r="B1672" i="3" s="1"/>
  <c r="D1671" i="2"/>
  <c r="C1675" i="2"/>
  <c r="F1674" i="2"/>
  <c r="K1672" i="2" a="1"/>
  <c r="K1672" i="2" s="1"/>
  <c r="H1672" i="2" a="1"/>
  <c r="H1672" i="2" s="1"/>
  <c r="I1672" i="2" a="1"/>
  <c r="I1672" i="2" s="1"/>
  <c r="J1672" i="2" a="1"/>
  <c r="J1672" i="2" s="1"/>
  <c r="A1673" i="2" a="1"/>
  <c r="A1673" i="2" s="1"/>
  <c r="B1673" i="2" a="1"/>
  <c r="B1673" i="2" s="1"/>
  <c r="D1672" i="2" a="1"/>
  <c r="H1673" i="3" l="1" a="1"/>
  <c r="H1673" i="3" s="1"/>
  <c r="I1673" i="3" a="1"/>
  <c r="I1673" i="3" s="1"/>
  <c r="K1673" i="3" a="1"/>
  <c r="K1673" i="3" s="1"/>
  <c r="C1675" i="3"/>
  <c r="G1674" i="3" a="1"/>
  <c r="G1674" i="3" s="1"/>
  <c r="L1674" i="3"/>
  <c r="M1674" i="3"/>
  <c r="J1674" i="3" a="1"/>
  <c r="J1674" i="3" s="1"/>
  <c r="J1673" i="3" a="1"/>
  <c r="J1673" i="3" s="1"/>
  <c r="F1675" i="3"/>
  <c r="A1673" i="3" a="1"/>
  <c r="A1673" i="3" s="1"/>
  <c r="B1673" i="3" a="1"/>
  <c r="B1673" i="3" s="1"/>
  <c r="D1672" i="2"/>
  <c r="H1673" i="2" a="1"/>
  <c r="H1673" i="2" s="1"/>
  <c r="I1673" i="2" a="1"/>
  <c r="I1673" i="2" s="1"/>
  <c r="K1673" i="2" a="1"/>
  <c r="K1673" i="2" s="1"/>
  <c r="J1673" i="2" a="1"/>
  <c r="J1673" i="2" s="1"/>
  <c r="B1674" i="2" a="1"/>
  <c r="B1674" i="2" s="1"/>
  <c r="A1674" i="2" a="1"/>
  <c r="A1674" i="2" s="1"/>
  <c r="C1676" i="2"/>
  <c r="F1675" i="2"/>
  <c r="D1673" i="2" a="1"/>
  <c r="C1676" i="3" l="1"/>
  <c r="G1675" i="3" a="1"/>
  <c r="G1675" i="3" s="1"/>
  <c r="L1675" i="3"/>
  <c r="M1675" i="3"/>
  <c r="J1675" i="3" a="1"/>
  <c r="J1675" i="3" s="1"/>
  <c r="F1676" i="3"/>
  <c r="H1674" i="3" a="1"/>
  <c r="H1674" i="3" s="1"/>
  <c r="I1674" i="3" a="1"/>
  <c r="I1674" i="3" s="1"/>
  <c r="K1674" i="3" a="1"/>
  <c r="K1674" i="3" s="1"/>
  <c r="B1674" i="3" a="1"/>
  <c r="B1674" i="3" s="1"/>
  <c r="A1674" i="3" a="1"/>
  <c r="A1674" i="3" s="1"/>
  <c r="D1673" i="2"/>
  <c r="A1675" i="2" a="1"/>
  <c r="A1675" i="2" s="1"/>
  <c r="B1675" i="2" a="1"/>
  <c r="B1675" i="2" s="1"/>
  <c r="C1677" i="2"/>
  <c r="F1676" i="2"/>
  <c r="J1674" i="2" a="1"/>
  <c r="J1674" i="2" s="1"/>
  <c r="K1674" i="2" a="1"/>
  <c r="K1674" i="2" s="1"/>
  <c r="H1674" i="2" a="1"/>
  <c r="H1674" i="2" s="1"/>
  <c r="I1674" i="2" a="1"/>
  <c r="I1674" i="2" s="1"/>
  <c r="D1674" i="2" a="1"/>
  <c r="I1675" i="3" l="1" a="1"/>
  <c r="I1675" i="3" s="1"/>
  <c r="K1675" i="3" a="1"/>
  <c r="K1675" i="3" s="1"/>
  <c r="H1675" i="3" a="1"/>
  <c r="H1675" i="3" s="1"/>
  <c r="C1677" i="3"/>
  <c r="G1676" i="3" a="1"/>
  <c r="G1676" i="3" s="1"/>
  <c r="L1676" i="3"/>
  <c r="M1676" i="3"/>
  <c r="A1675" i="3" a="1"/>
  <c r="A1675" i="3" s="1"/>
  <c r="B1675" i="3" a="1"/>
  <c r="B1675" i="3" s="1"/>
  <c r="D1674" i="2"/>
  <c r="H1675" i="2" a="1"/>
  <c r="H1675" i="2" s="1"/>
  <c r="J1675" i="2" a="1"/>
  <c r="J1675" i="2" s="1"/>
  <c r="K1675" i="2" a="1"/>
  <c r="K1675" i="2" s="1"/>
  <c r="I1675" i="2" a="1"/>
  <c r="I1675" i="2" s="1"/>
  <c r="A1676" i="2" a="1"/>
  <c r="A1676" i="2" s="1"/>
  <c r="B1676" i="2" a="1"/>
  <c r="B1676" i="2" s="1"/>
  <c r="C1678" i="2"/>
  <c r="F1677" i="2"/>
  <c r="D1675" i="2" a="1"/>
  <c r="I1676" i="3" l="1" a="1"/>
  <c r="I1676" i="3" s="1"/>
  <c r="K1676" i="3" a="1"/>
  <c r="K1676" i="3" s="1"/>
  <c r="H1676" i="3" a="1"/>
  <c r="H1676" i="3" s="1"/>
  <c r="J1676" i="3" a="1"/>
  <c r="J1676" i="3" s="1"/>
  <c r="C1678" i="3"/>
  <c r="L1677" i="3"/>
  <c r="M1677" i="3"/>
  <c r="F1677" i="3"/>
  <c r="F1678" i="3" s="1"/>
  <c r="A1676" i="3" a="1"/>
  <c r="A1676" i="3" s="1"/>
  <c r="B1676" i="3" a="1"/>
  <c r="B1676" i="3" s="1"/>
  <c r="D1675" i="2"/>
  <c r="A1677" i="2" a="1"/>
  <c r="A1677" i="2" s="1"/>
  <c r="B1677" i="2" a="1"/>
  <c r="B1677" i="2" s="1"/>
  <c r="C1679" i="2"/>
  <c r="F1678" i="2"/>
  <c r="J1676" i="2" a="1"/>
  <c r="J1676" i="2" s="1"/>
  <c r="K1676" i="2" a="1"/>
  <c r="K1676" i="2" s="1"/>
  <c r="I1676" i="2" a="1"/>
  <c r="I1676" i="2" s="1"/>
  <c r="H1676" i="2" a="1"/>
  <c r="H1676" i="2" s="1"/>
  <c r="D1676" i="2" a="1"/>
  <c r="C1679" i="3" l="1"/>
  <c r="G1678" i="3" a="1"/>
  <c r="G1678" i="3" s="1"/>
  <c r="L1678" i="3"/>
  <c r="M1678" i="3"/>
  <c r="J1678" i="3" a="1"/>
  <c r="J1678" i="3" s="1"/>
  <c r="F1679" i="3"/>
  <c r="G1677" i="3" a="1"/>
  <c r="G1677" i="3" s="1"/>
  <c r="A1677" i="3" a="1"/>
  <c r="A1677" i="3" s="1"/>
  <c r="B1677" i="3" a="1"/>
  <c r="B1677" i="3" s="1"/>
  <c r="D1676" i="2"/>
  <c r="K1677" i="2" a="1"/>
  <c r="K1677" i="2" s="1"/>
  <c r="H1677" i="2" a="1"/>
  <c r="H1677" i="2" s="1"/>
  <c r="I1677" i="2" a="1"/>
  <c r="I1677" i="2" s="1"/>
  <c r="J1677" i="2" a="1"/>
  <c r="J1677" i="2" s="1"/>
  <c r="A1678" i="2" a="1"/>
  <c r="A1678" i="2" s="1"/>
  <c r="B1678" i="2" a="1"/>
  <c r="B1678" i="2" s="1"/>
  <c r="C1680" i="2"/>
  <c r="F1679" i="2"/>
  <c r="D1677" i="2" a="1"/>
  <c r="I1677" i="3" l="1" a="1"/>
  <c r="I1677" i="3" s="1"/>
  <c r="K1677" i="3" a="1"/>
  <c r="K1677" i="3" s="1"/>
  <c r="H1677" i="3" a="1"/>
  <c r="H1677" i="3" s="1"/>
  <c r="J1677" i="3" a="1"/>
  <c r="J1677" i="3" s="1"/>
  <c r="I1678" i="3" a="1"/>
  <c r="I1678" i="3" s="1"/>
  <c r="K1678" i="3" a="1"/>
  <c r="K1678" i="3" s="1"/>
  <c r="H1678" i="3" a="1"/>
  <c r="H1678" i="3" s="1"/>
  <c r="C1680" i="3"/>
  <c r="G1679" i="3" a="1"/>
  <c r="G1679" i="3" s="1"/>
  <c r="M1679" i="3"/>
  <c r="L1679" i="3"/>
  <c r="A1678" i="3" a="1"/>
  <c r="A1678" i="3" s="1"/>
  <c r="B1678" i="3" a="1"/>
  <c r="B1678" i="3" s="1"/>
  <c r="D1677" i="2"/>
  <c r="C1681" i="2"/>
  <c r="F1680" i="2"/>
  <c r="B1679" i="2" a="1"/>
  <c r="B1679" i="2" s="1"/>
  <c r="A1679" i="2" a="1"/>
  <c r="A1679" i="2" s="1"/>
  <c r="J1678" i="2" a="1"/>
  <c r="J1678" i="2" s="1"/>
  <c r="K1678" i="2" a="1"/>
  <c r="K1678" i="2" s="1"/>
  <c r="H1678" i="2" a="1"/>
  <c r="H1678" i="2" s="1"/>
  <c r="I1678" i="2" a="1"/>
  <c r="I1678" i="2" s="1"/>
  <c r="D1678" i="2" a="1"/>
  <c r="H1679" i="3" l="1" a="1"/>
  <c r="H1679" i="3" s="1"/>
  <c r="I1679" i="3" a="1"/>
  <c r="I1679" i="3" s="1"/>
  <c r="K1679" i="3" a="1"/>
  <c r="K1679" i="3" s="1"/>
  <c r="C1681" i="3"/>
  <c r="L1680" i="3"/>
  <c r="M1680" i="3"/>
  <c r="F1680" i="3"/>
  <c r="F1681" i="3" s="1"/>
  <c r="J1679" i="3" a="1"/>
  <c r="J1679" i="3" s="1"/>
  <c r="A1679" i="3" a="1"/>
  <c r="A1679" i="3" s="1"/>
  <c r="B1679" i="3" a="1"/>
  <c r="B1679" i="3" s="1"/>
  <c r="D1678" i="2"/>
  <c r="K1679" i="2" a="1"/>
  <c r="K1679" i="2" s="1"/>
  <c r="J1679" i="2" a="1"/>
  <c r="J1679" i="2" s="1"/>
  <c r="H1679" i="2" a="1"/>
  <c r="H1679" i="2" s="1"/>
  <c r="I1679" i="2" a="1"/>
  <c r="I1679" i="2" s="1"/>
  <c r="A1680" i="2" a="1"/>
  <c r="A1680" i="2" s="1"/>
  <c r="B1680" i="2" a="1"/>
  <c r="B1680" i="2" s="1"/>
  <c r="C1682" i="2"/>
  <c r="F1681" i="2"/>
  <c r="D1679" i="2" a="1"/>
  <c r="C1682" i="3" l="1"/>
  <c r="G1681" i="3" a="1"/>
  <c r="G1681" i="3" s="1"/>
  <c r="L1681" i="3"/>
  <c r="M1681" i="3"/>
  <c r="J1681" i="3" a="1"/>
  <c r="J1681" i="3" s="1"/>
  <c r="F1682" i="3"/>
  <c r="G1680" i="3" a="1"/>
  <c r="G1680" i="3" s="1"/>
  <c r="A1680" i="3" a="1"/>
  <c r="A1680" i="3" s="1"/>
  <c r="B1680" i="3" a="1"/>
  <c r="B1680" i="3" s="1"/>
  <c r="D1679" i="2"/>
  <c r="B1681" i="2" a="1"/>
  <c r="B1681" i="2" s="1"/>
  <c r="A1681" i="2" a="1"/>
  <c r="A1681" i="2" s="1"/>
  <c r="C1683" i="2"/>
  <c r="F1682" i="2"/>
  <c r="K1680" i="2" a="1"/>
  <c r="K1680" i="2" s="1"/>
  <c r="I1680" i="2" a="1"/>
  <c r="I1680" i="2" s="1"/>
  <c r="J1680" i="2" a="1"/>
  <c r="J1680" i="2" s="1"/>
  <c r="H1680" i="2" a="1"/>
  <c r="H1680" i="2" s="1"/>
  <c r="D1680" i="2" a="1"/>
  <c r="H1680" i="3" l="1" a="1"/>
  <c r="H1680" i="3" s="1"/>
  <c r="I1680" i="3" a="1"/>
  <c r="I1680" i="3" s="1"/>
  <c r="K1680" i="3" a="1"/>
  <c r="K1680" i="3" s="1"/>
  <c r="J1680" i="3" a="1"/>
  <c r="J1680" i="3" s="1"/>
  <c r="H1681" i="3" a="1"/>
  <c r="H1681" i="3" s="1"/>
  <c r="I1681" i="3" a="1"/>
  <c r="I1681" i="3" s="1"/>
  <c r="K1681" i="3" a="1"/>
  <c r="K1681" i="3" s="1"/>
  <c r="C1683" i="3"/>
  <c r="G1682" i="3" a="1"/>
  <c r="G1682" i="3" s="1"/>
  <c r="L1682" i="3"/>
  <c r="M1682" i="3"/>
  <c r="B1681" i="3" a="1"/>
  <c r="B1681" i="3" s="1"/>
  <c r="A1681" i="3" a="1"/>
  <c r="A1681" i="3" s="1"/>
  <c r="D1680" i="2"/>
  <c r="A1682" i="2" a="1"/>
  <c r="A1682" i="2" s="1"/>
  <c r="B1682" i="2" a="1"/>
  <c r="B1682" i="2" s="1"/>
  <c r="C1684" i="2"/>
  <c r="F1683" i="2"/>
  <c r="J1681" i="2" a="1"/>
  <c r="J1681" i="2" s="1"/>
  <c r="K1681" i="2" a="1"/>
  <c r="K1681" i="2" s="1"/>
  <c r="I1681" i="2" a="1"/>
  <c r="I1681" i="2" s="1"/>
  <c r="H1681" i="2" a="1"/>
  <c r="H1681" i="2" s="1"/>
  <c r="D1681" i="2" a="1"/>
  <c r="H1682" i="3" l="1" a="1"/>
  <c r="H1682" i="3" s="1"/>
  <c r="I1682" i="3" a="1"/>
  <c r="I1682" i="3" s="1"/>
  <c r="K1682" i="3" a="1"/>
  <c r="K1682" i="3" s="1"/>
  <c r="C1684" i="3"/>
  <c r="L1683" i="3"/>
  <c r="M1683" i="3"/>
  <c r="F1683" i="3"/>
  <c r="F1684" i="3" s="1"/>
  <c r="J1682" i="3" a="1"/>
  <c r="J1682" i="3" s="1"/>
  <c r="A1682" i="3" a="1"/>
  <c r="A1682" i="3" s="1"/>
  <c r="B1682" i="3" a="1"/>
  <c r="B1682" i="3" s="1"/>
  <c r="D1681" i="2"/>
  <c r="J1682" i="2" a="1"/>
  <c r="J1682" i="2" s="1"/>
  <c r="I1682" i="2" a="1"/>
  <c r="I1682" i="2" s="1"/>
  <c r="K1682" i="2" a="1"/>
  <c r="K1682" i="2" s="1"/>
  <c r="H1682" i="2" a="1"/>
  <c r="H1682" i="2" s="1"/>
  <c r="B1683" i="2" a="1"/>
  <c r="B1683" i="2" s="1"/>
  <c r="A1683" i="2" a="1"/>
  <c r="A1683" i="2" s="1"/>
  <c r="C1685" i="2"/>
  <c r="F1684" i="2"/>
  <c r="D1682" i="2" a="1"/>
  <c r="C1685" i="3" l="1"/>
  <c r="G1684" i="3" a="1"/>
  <c r="G1684" i="3" s="1"/>
  <c r="L1684" i="3"/>
  <c r="M1684" i="3"/>
  <c r="J1684" i="3" a="1"/>
  <c r="J1684" i="3" s="1"/>
  <c r="F1685" i="3"/>
  <c r="G1683" i="3" a="1"/>
  <c r="G1683" i="3" s="1"/>
  <c r="B1683" i="3" a="1"/>
  <c r="B1683" i="3" s="1"/>
  <c r="A1683" i="3" a="1"/>
  <c r="A1683" i="3" s="1"/>
  <c r="D1682" i="2"/>
  <c r="C1686" i="2"/>
  <c r="F1685" i="2"/>
  <c r="A1684" i="2" a="1"/>
  <c r="A1684" i="2" s="1"/>
  <c r="B1684" i="2" a="1"/>
  <c r="B1684" i="2" s="1"/>
  <c r="I1683" i="2" a="1"/>
  <c r="I1683" i="2" s="1"/>
  <c r="H1683" i="2" a="1"/>
  <c r="H1683" i="2" s="1"/>
  <c r="J1683" i="2" a="1"/>
  <c r="J1683" i="2" s="1"/>
  <c r="K1683" i="2" a="1"/>
  <c r="K1683" i="2" s="1"/>
  <c r="D1683" i="2" a="1"/>
  <c r="H1683" i="3" l="1" a="1"/>
  <c r="H1683" i="3" s="1"/>
  <c r="I1683" i="3" a="1"/>
  <c r="I1683" i="3" s="1"/>
  <c r="K1683" i="3" a="1"/>
  <c r="K1683" i="3" s="1"/>
  <c r="J1683" i="3" a="1"/>
  <c r="J1683" i="3" s="1"/>
  <c r="H1684" i="3" a="1"/>
  <c r="H1684" i="3" s="1"/>
  <c r="I1684" i="3" a="1"/>
  <c r="I1684" i="3" s="1"/>
  <c r="K1684" i="3" a="1"/>
  <c r="K1684" i="3" s="1"/>
  <c r="C1686" i="3"/>
  <c r="G1685" i="3" a="1"/>
  <c r="G1685" i="3" s="1"/>
  <c r="M1685" i="3"/>
  <c r="L1685" i="3"/>
  <c r="A1684" i="3" a="1"/>
  <c r="A1684" i="3" s="1"/>
  <c r="B1684" i="3" a="1"/>
  <c r="B1684" i="3" s="1"/>
  <c r="D1683" i="2"/>
  <c r="I1684" i="2" a="1"/>
  <c r="I1684" i="2" s="1"/>
  <c r="H1684" i="2" a="1"/>
  <c r="H1684" i="2" s="1"/>
  <c r="J1684" i="2" a="1"/>
  <c r="J1684" i="2" s="1"/>
  <c r="K1684" i="2" a="1"/>
  <c r="K1684" i="2" s="1"/>
  <c r="A1685" i="2" a="1"/>
  <c r="A1685" i="2" s="1"/>
  <c r="B1685" i="2" a="1"/>
  <c r="B1685" i="2" s="1"/>
  <c r="C1687" i="2"/>
  <c r="F1686" i="2"/>
  <c r="D1684" i="2" a="1"/>
  <c r="C1687" i="3" l="1"/>
  <c r="L1686" i="3"/>
  <c r="M1686" i="3"/>
  <c r="H1685" i="3" a="1"/>
  <c r="H1685" i="3" s="1"/>
  <c r="I1685" i="3" a="1"/>
  <c r="I1685" i="3" s="1"/>
  <c r="K1685" i="3" a="1"/>
  <c r="K1685" i="3" s="1"/>
  <c r="F1686" i="3"/>
  <c r="F1687" i="3" s="1"/>
  <c r="J1685" i="3" a="1"/>
  <c r="J1685" i="3" s="1"/>
  <c r="A1685" i="3" a="1"/>
  <c r="A1685" i="3" s="1"/>
  <c r="B1685" i="3" a="1"/>
  <c r="B1685" i="3" s="1"/>
  <c r="D1684" i="2"/>
  <c r="K1685" i="2" a="1"/>
  <c r="K1685" i="2" s="1"/>
  <c r="I1685" i="2" a="1"/>
  <c r="I1685" i="2" s="1"/>
  <c r="J1685" i="2" a="1"/>
  <c r="J1685" i="2" s="1"/>
  <c r="H1685" i="2" a="1"/>
  <c r="H1685" i="2" s="1"/>
  <c r="C1688" i="2"/>
  <c r="F1687" i="2"/>
  <c r="A1686" i="2" a="1"/>
  <c r="A1686" i="2" s="1"/>
  <c r="B1686" i="2" a="1"/>
  <c r="B1686" i="2" s="1"/>
  <c r="D1685" i="2" a="1"/>
  <c r="G1686" i="3" l="1" a="1"/>
  <c r="G1686" i="3" s="1"/>
  <c r="C1688" i="3"/>
  <c r="G1687" i="3" a="1"/>
  <c r="G1687" i="3" s="1"/>
  <c r="L1687" i="3"/>
  <c r="M1687" i="3"/>
  <c r="B1686" i="3" a="1"/>
  <c r="B1686" i="3" s="1"/>
  <c r="A1686" i="3" a="1"/>
  <c r="A1686" i="3" s="1"/>
  <c r="D1685" i="2"/>
  <c r="A1687" i="2" a="1"/>
  <c r="A1687" i="2" s="1"/>
  <c r="B1687" i="2" a="1"/>
  <c r="B1687" i="2" s="1"/>
  <c r="C1689" i="2"/>
  <c r="F1688" i="2"/>
  <c r="J1686" i="2" a="1"/>
  <c r="J1686" i="2" s="1"/>
  <c r="K1686" i="2" a="1"/>
  <c r="K1686" i="2" s="1"/>
  <c r="I1686" i="2" a="1"/>
  <c r="I1686" i="2" s="1"/>
  <c r="H1686" i="2" a="1"/>
  <c r="H1686" i="2" s="1"/>
  <c r="D1686" i="2" a="1"/>
  <c r="I1687" i="3" l="1" a="1"/>
  <c r="I1687" i="3" s="1"/>
  <c r="K1687" i="3" a="1"/>
  <c r="K1687" i="3" s="1"/>
  <c r="H1687" i="3" a="1"/>
  <c r="H1687" i="3" s="1"/>
  <c r="C1689" i="3"/>
  <c r="G1688" i="3" a="1"/>
  <c r="G1688" i="3" s="1"/>
  <c r="L1688" i="3"/>
  <c r="M1688" i="3"/>
  <c r="J1688" i="3" a="1"/>
  <c r="J1688" i="3" s="1"/>
  <c r="J1687" i="3" a="1"/>
  <c r="J1687" i="3" s="1"/>
  <c r="H1686" i="3" a="1"/>
  <c r="H1686" i="3" s="1"/>
  <c r="I1686" i="3" a="1"/>
  <c r="I1686" i="3" s="1"/>
  <c r="K1686" i="3" a="1"/>
  <c r="K1686" i="3" s="1"/>
  <c r="J1686" i="3" a="1"/>
  <c r="J1686" i="3" s="1"/>
  <c r="F1688" i="3"/>
  <c r="A1687" i="3" a="1"/>
  <c r="A1687" i="3" s="1"/>
  <c r="B1687" i="3" a="1"/>
  <c r="B1687" i="3" s="1"/>
  <c r="D1686" i="2"/>
  <c r="C1690" i="2"/>
  <c r="F1689" i="2"/>
  <c r="K1687" i="2" a="1"/>
  <c r="K1687" i="2" s="1"/>
  <c r="I1687" i="2" a="1"/>
  <c r="I1687" i="2" s="1"/>
  <c r="H1687" i="2" a="1"/>
  <c r="H1687" i="2" s="1"/>
  <c r="J1687" i="2" a="1"/>
  <c r="J1687" i="2" s="1"/>
  <c r="B1688" i="2" a="1"/>
  <c r="B1688" i="2" s="1"/>
  <c r="A1688" i="2" a="1"/>
  <c r="A1688" i="2" s="1"/>
  <c r="D1687" i="2" a="1"/>
  <c r="C1690" i="3" l="1"/>
  <c r="L1689" i="3"/>
  <c r="M1689" i="3"/>
  <c r="F1689" i="3"/>
  <c r="F1690" i="3" s="1"/>
  <c r="I1688" i="3" a="1"/>
  <c r="I1688" i="3" s="1"/>
  <c r="K1688" i="3" a="1"/>
  <c r="K1688" i="3" s="1"/>
  <c r="H1688" i="3" a="1"/>
  <c r="H1688" i="3" s="1"/>
  <c r="A1688" i="3" a="1"/>
  <c r="A1688" i="3" s="1"/>
  <c r="B1688" i="3" a="1"/>
  <c r="B1688" i="3" s="1"/>
  <c r="D1687" i="2"/>
  <c r="K1688" i="2" a="1"/>
  <c r="K1688" i="2" s="1"/>
  <c r="I1688" i="2" a="1"/>
  <c r="I1688" i="2" s="1"/>
  <c r="J1688" i="2" a="1"/>
  <c r="J1688" i="2" s="1"/>
  <c r="H1688" i="2" a="1"/>
  <c r="H1688" i="2" s="1"/>
  <c r="A1689" i="2" a="1"/>
  <c r="A1689" i="2" s="1"/>
  <c r="B1689" i="2" a="1"/>
  <c r="B1689" i="2" s="1"/>
  <c r="C1691" i="2"/>
  <c r="F1690" i="2"/>
  <c r="D1688" i="2" a="1"/>
  <c r="G1689" i="3" l="1" a="1"/>
  <c r="G1689" i="3" s="1"/>
  <c r="C1691" i="3"/>
  <c r="G1690" i="3" a="1"/>
  <c r="G1690" i="3" s="1"/>
  <c r="L1690" i="3"/>
  <c r="M1690" i="3"/>
  <c r="A1689" i="3" a="1"/>
  <c r="A1689" i="3" s="1"/>
  <c r="B1689" i="3" a="1"/>
  <c r="B1689" i="3" s="1"/>
  <c r="D1688" i="2"/>
  <c r="C1692" i="2"/>
  <c r="F1691" i="2"/>
  <c r="B1690" i="2" a="1"/>
  <c r="B1690" i="2" s="1"/>
  <c r="A1690" i="2" a="1"/>
  <c r="A1690" i="2" s="1"/>
  <c r="K1689" i="2" a="1"/>
  <c r="K1689" i="2" s="1"/>
  <c r="J1689" i="2" a="1"/>
  <c r="J1689" i="2" s="1"/>
  <c r="H1689" i="2" a="1"/>
  <c r="H1689" i="2" s="1"/>
  <c r="I1689" i="2" a="1"/>
  <c r="I1689" i="2" s="1"/>
  <c r="D1689" i="2" a="1"/>
  <c r="I1690" i="3" l="1" a="1"/>
  <c r="I1690" i="3" s="1"/>
  <c r="K1690" i="3" a="1"/>
  <c r="K1690" i="3" s="1"/>
  <c r="H1690" i="3" a="1"/>
  <c r="H1690" i="3" s="1"/>
  <c r="C1692" i="3"/>
  <c r="G1691" i="3" a="1"/>
  <c r="G1691" i="3" s="1"/>
  <c r="M1691" i="3"/>
  <c r="L1691" i="3"/>
  <c r="J1691" i="3" a="1"/>
  <c r="J1691" i="3" s="1"/>
  <c r="J1690" i="3" a="1"/>
  <c r="J1690" i="3" s="1"/>
  <c r="I1689" i="3" a="1"/>
  <c r="I1689" i="3" s="1"/>
  <c r="K1689" i="3" a="1"/>
  <c r="K1689" i="3" s="1"/>
  <c r="H1689" i="3" a="1"/>
  <c r="H1689" i="3" s="1"/>
  <c r="J1689" i="3" a="1"/>
  <c r="J1689" i="3" s="1"/>
  <c r="F1691" i="3"/>
  <c r="A1690" i="3" a="1"/>
  <c r="A1690" i="3" s="1"/>
  <c r="B1690" i="3" a="1"/>
  <c r="B1690" i="3" s="1"/>
  <c r="D1689" i="2"/>
  <c r="B1691" i="2" a="1"/>
  <c r="B1691" i="2" s="1"/>
  <c r="A1691" i="2" a="1"/>
  <c r="A1691" i="2" s="1"/>
  <c r="J1690" i="2" a="1"/>
  <c r="J1690" i="2" s="1"/>
  <c r="K1690" i="2" a="1"/>
  <c r="K1690" i="2" s="1"/>
  <c r="H1690" i="2" a="1"/>
  <c r="H1690" i="2" s="1"/>
  <c r="I1690" i="2" a="1"/>
  <c r="I1690" i="2" s="1"/>
  <c r="C1693" i="2"/>
  <c r="F1692" i="2"/>
  <c r="D1690" i="2" a="1"/>
  <c r="C1693" i="3" l="1"/>
  <c r="L1692" i="3"/>
  <c r="M1692" i="3"/>
  <c r="F1692" i="3"/>
  <c r="F1693" i="3" s="1"/>
  <c r="H1691" i="3" a="1"/>
  <c r="H1691" i="3" s="1"/>
  <c r="I1691" i="3" a="1"/>
  <c r="I1691" i="3" s="1"/>
  <c r="K1691" i="3" a="1"/>
  <c r="K1691" i="3" s="1"/>
  <c r="A1691" i="3" a="1"/>
  <c r="A1691" i="3" s="1"/>
  <c r="B1691" i="3" a="1"/>
  <c r="B1691" i="3" s="1"/>
  <c r="D1690" i="2"/>
  <c r="I1691" i="2" a="1"/>
  <c r="I1691" i="2" s="1"/>
  <c r="K1691" i="2" a="1"/>
  <c r="K1691" i="2" s="1"/>
  <c r="J1691" i="2" a="1"/>
  <c r="J1691" i="2" s="1"/>
  <c r="H1691" i="2" a="1"/>
  <c r="H1691" i="2" s="1"/>
  <c r="B1692" i="2" a="1"/>
  <c r="B1692" i="2" s="1"/>
  <c r="A1692" i="2" a="1"/>
  <c r="A1692" i="2" s="1"/>
  <c r="C1694" i="2"/>
  <c r="F1693" i="2"/>
  <c r="D1691" i="2" a="1"/>
  <c r="G1692" i="3" l="1" a="1"/>
  <c r="G1692" i="3" s="1"/>
  <c r="C1694" i="3"/>
  <c r="G1693" i="3" a="1"/>
  <c r="G1693" i="3" s="1"/>
  <c r="L1693" i="3"/>
  <c r="M1693" i="3"/>
  <c r="J1693" i="3" a="1"/>
  <c r="J1693" i="3" s="1"/>
  <c r="A1692" i="3" a="1"/>
  <c r="A1692" i="3" s="1"/>
  <c r="B1692" i="3" a="1"/>
  <c r="B1692" i="3" s="1"/>
  <c r="D1691" i="2"/>
  <c r="B1693" i="2" a="1"/>
  <c r="B1693" i="2" s="1"/>
  <c r="A1693" i="2" a="1"/>
  <c r="A1693" i="2" s="1"/>
  <c r="C1695" i="2"/>
  <c r="F1694" i="2"/>
  <c r="J1692" i="2" a="1"/>
  <c r="J1692" i="2" s="1"/>
  <c r="H1692" i="2" a="1"/>
  <c r="H1692" i="2" s="1"/>
  <c r="K1692" i="2" a="1"/>
  <c r="K1692" i="2" s="1"/>
  <c r="I1692" i="2" a="1"/>
  <c r="I1692" i="2" s="1"/>
  <c r="D1692" i="2" a="1"/>
  <c r="C1695" i="3" l="1"/>
  <c r="G1694" i="3" a="1"/>
  <c r="G1694" i="3" s="1"/>
  <c r="L1694" i="3"/>
  <c r="M1694" i="3"/>
  <c r="J1694" i="3" a="1"/>
  <c r="J1694" i="3" s="1"/>
  <c r="H1693" i="3" a="1"/>
  <c r="H1693" i="3" s="1"/>
  <c r="I1693" i="3" a="1"/>
  <c r="I1693" i="3" s="1"/>
  <c r="K1693" i="3" a="1"/>
  <c r="K1693" i="3" s="1"/>
  <c r="H1692" i="3" a="1"/>
  <c r="H1692" i="3" s="1"/>
  <c r="I1692" i="3" a="1"/>
  <c r="I1692" i="3" s="1"/>
  <c r="K1692" i="3" a="1"/>
  <c r="K1692" i="3" s="1"/>
  <c r="J1692" i="3" a="1"/>
  <c r="J1692" i="3" s="1"/>
  <c r="F1694" i="3"/>
  <c r="F1695" i="3" s="1"/>
  <c r="B1693" i="3" a="1"/>
  <c r="B1693" i="3" s="1"/>
  <c r="A1693" i="3" a="1"/>
  <c r="A1693" i="3" s="1"/>
  <c r="D1692" i="2"/>
  <c r="C1696" i="2"/>
  <c r="F1695" i="2"/>
  <c r="K1693" i="2" a="1"/>
  <c r="K1693" i="2" s="1"/>
  <c r="I1693" i="2" a="1"/>
  <c r="I1693" i="2" s="1"/>
  <c r="J1693" i="2" a="1"/>
  <c r="J1693" i="2" s="1"/>
  <c r="H1693" i="2" a="1"/>
  <c r="H1693" i="2" s="1"/>
  <c r="A1694" i="2" a="1"/>
  <c r="A1694" i="2" s="1"/>
  <c r="B1694" i="2" a="1"/>
  <c r="B1694" i="2" s="1"/>
  <c r="D1693" i="2" a="1"/>
  <c r="H1694" i="3" l="1" a="1"/>
  <c r="H1694" i="3" s="1"/>
  <c r="I1694" i="3" a="1"/>
  <c r="I1694" i="3" s="1"/>
  <c r="K1694" i="3" a="1"/>
  <c r="K1694" i="3" s="1"/>
  <c r="C1696" i="3"/>
  <c r="G1695" i="3" a="1"/>
  <c r="G1695" i="3" s="1"/>
  <c r="L1695" i="3"/>
  <c r="M1695" i="3"/>
  <c r="A1694" i="3" a="1"/>
  <c r="A1694" i="3" s="1"/>
  <c r="B1694" i="3" a="1"/>
  <c r="B1694" i="3" s="1"/>
  <c r="D1693" i="2"/>
  <c r="A1695" i="2" a="1"/>
  <c r="A1695" i="2" s="1"/>
  <c r="B1695" i="2" a="1"/>
  <c r="B1695" i="2" s="1"/>
  <c r="K1694" i="2" a="1"/>
  <c r="K1694" i="2" s="1"/>
  <c r="I1694" i="2" a="1"/>
  <c r="I1694" i="2" s="1"/>
  <c r="J1694" i="2" a="1"/>
  <c r="J1694" i="2" s="1"/>
  <c r="H1694" i="2" a="1"/>
  <c r="H1694" i="2" s="1"/>
  <c r="C1697" i="2"/>
  <c r="F1696" i="2"/>
  <c r="D1694" i="2" a="1"/>
  <c r="H1695" i="3" l="1" a="1"/>
  <c r="H1695" i="3" s="1"/>
  <c r="I1695" i="3" a="1"/>
  <c r="I1695" i="3" s="1"/>
  <c r="K1695" i="3" a="1"/>
  <c r="K1695" i="3" s="1"/>
  <c r="J1695" i="3" a="1"/>
  <c r="J1695" i="3" s="1"/>
  <c r="C1697" i="3"/>
  <c r="L1696" i="3"/>
  <c r="M1696" i="3"/>
  <c r="F1696" i="3"/>
  <c r="F1697" i="3" s="1"/>
  <c r="B1695" i="3" a="1"/>
  <c r="B1695" i="3" s="1"/>
  <c r="A1695" i="3" a="1"/>
  <c r="A1695" i="3" s="1"/>
  <c r="D1694" i="2"/>
  <c r="K1695" i="2" a="1"/>
  <c r="K1695" i="2" s="1"/>
  <c r="J1695" i="2" a="1"/>
  <c r="J1695" i="2" s="1"/>
  <c r="H1695" i="2" a="1"/>
  <c r="H1695" i="2" s="1"/>
  <c r="I1695" i="2" a="1"/>
  <c r="I1695" i="2" s="1"/>
  <c r="A1696" i="2" a="1"/>
  <c r="A1696" i="2" s="1"/>
  <c r="B1696" i="2" a="1"/>
  <c r="B1696" i="2" s="1"/>
  <c r="C1698" i="2"/>
  <c r="F1697" i="2"/>
  <c r="D1695" i="2" a="1"/>
  <c r="C1698" i="3" l="1"/>
  <c r="G1697" i="3" a="1"/>
  <c r="G1697" i="3" s="1"/>
  <c r="M1697" i="3"/>
  <c r="L1697" i="3"/>
  <c r="J1697" i="3" a="1"/>
  <c r="J1697" i="3" s="1"/>
  <c r="F1698" i="3"/>
  <c r="G1696" i="3" a="1"/>
  <c r="G1696" i="3" s="1"/>
  <c r="A1696" i="3" a="1"/>
  <c r="A1696" i="3" s="1"/>
  <c r="B1696" i="3" a="1"/>
  <c r="B1696" i="3" s="1"/>
  <c r="D1695" i="2"/>
  <c r="J1696" i="2" a="1"/>
  <c r="J1696" i="2" s="1"/>
  <c r="I1696" i="2" a="1"/>
  <c r="I1696" i="2" s="1"/>
  <c r="K1696" i="2" a="1"/>
  <c r="K1696" i="2" s="1"/>
  <c r="H1696" i="2" a="1"/>
  <c r="H1696" i="2" s="1"/>
  <c r="C1699" i="2"/>
  <c r="F1698" i="2"/>
  <c r="A1697" i="2" a="1"/>
  <c r="A1697" i="2" s="1"/>
  <c r="B1697" i="2" a="1"/>
  <c r="B1697" i="2" s="1"/>
  <c r="D1696" i="2" a="1"/>
  <c r="H1696" i="3" l="1" a="1"/>
  <c r="H1696" i="3" s="1"/>
  <c r="I1696" i="3" a="1"/>
  <c r="I1696" i="3" s="1"/>
  <c r="K1696" i="3" a="1"/>
  <c r="K1696" i="3" s="1"/>
  <c r="J1696" i="3" a="1"/>
  <c r="J1696" i="3" s="1"/>
  <c r="H1697" i="3" a="1"/>
  <c r="H1697" i="3" s="1"/>
  <c r="I1697" i="3" a="1"/>
  <c r="I1697" i="3" s="1"/>
  <c r="K1697" i="3" a="1"/>
  <c r="K1697" i="3" s="1"/>
  <c r="C1699" i="3"/>
  <c r="G1698" i="3" a="1"/>
  <c r="G1698" i="3" s="1"/>
  <c r="L1698" i="3"/>
  <c r="M1698" i="3"/>
  <c r="B1697" i="3" a="1"/>
  <c r="B1697" i="3" s="1"/>
  <c r="A1697" i="3" a="1"/>
  <c r="A1697" i="3" s="1"/>
  <c r="D1696" i="2"/>
  <c r="K1697" i="2" a="1"/>
  <c r="K1697" i="2" s="1"/>
  <c r="I1697" i="2" a="1"/>
  <c r="I1697" i="2" s="1"/>
  <c r="H1697" i="2" a="1"/>
  <c r="H1697" i="2" s="1"/>
  <c r="J1697" i="2" a="1"/>
  <c r="J1697" i="2" s="1"/>
  <c r="C1700" i="2"/>
  <c r="F1699" i="2"/>
  <c r="B1698" i="2" a="1"/>
  <c r="B1698" i="2" s="1"/>
  <c r="A1698" i="2" a="1"/>
  <c r="A1698" i="2" s="1"/>
  <c r="D1697" i="2" a="1"/>
  <c r="C1700" i="3" l="1"/>
  <c r="L1699" i="3"/>
  <c r="M1699" i="3"/>
  <c r="I1698" i="3" a="1"/>
  <c r="I1698" i="3" s="1"/>
  <c r="K1698" i="3" a="1"/>
  <c r="K1698" i="3" s="1"/>
  <c r="H1698" i="3" a="1"/>
  <c r="H1698" i="3" s="1"/>
  <c r="J1698" i="3" a="1"/>
  <c r="J1698" i="3" s="1"/>
  <c r="F1699" i="3"/>
  <c r="F1700" i="3" s="1"/>
  <c r="A1698" i="3" a="1"/>
  <c r="A1698" i="3" s="1"/>
  <c r="B1698" i="3" a="1"/>
  <c r="B1698" i="3" s="1"/>
  <c r="D1697" i="2"/>
  <c r="H1698" i="2" a="1"/>
  <c r="H1698" i="2" s="1"/>
  <c r="K1698" i="2" a="1"/>
  <c r="K1698" i="2" s="1"/>
  <c r="I1698" i="2" a="1"/>
  <c r="I1698" i="2" s="1"/>
  <c r="J1698" i="2" a="1"/>
  <c r="J1698" i="2" s="1"/>
  <c r="C1701" i="2"/>
  <c r="F1700" i="2"/>
  <c r="A1699" i="2" a="1"/>
  <c r="A1699" i="2" s="1"/>
  <c r="B1699" i="2" a="1"/>
  <c r="B1699" i="2" s="1"/>
  <c r="D1698" i="2" a="1"/>
  <c r="G1699" i="3" l="1" a="1"/>
  <c r="G1699" i="3" s="1"/>
  <c r="C1701" i="3"/>
  <c r="G1700" i="3" a="1"/>
  <c r="G1700" i="3" s="1"/>
  <c r="J1700" i="3" s="1" a="1"/>
  <c r="J1700" i="3" s="1"/>
  <c r="L1700" i="3"/>
  <c r="M1700" i="3"/>
  <c r="A1699" i="3" a="1"/>
  <c r="A1699" i="3" s="1"/>
  <c r="B1699" i="3" a="1"/>
  <c r="B1699" i="3" s="1"/>
  <c r="D1698" i="2"/>
  <c r="H1699" i="2" a="1"/>
  <c r="H1699" i="2" s="1"/>
  <c r="I1699" i="2" a="1"/>
  <c r="I1699" i="2" s="1"/>
  <c r="J1699" i="2" a="1"/>
  <c r="J1699" i="2" s="1"/>
  <c r="K1699" i="2" a="1"/>
  <c r="K1699" i="2" s="1"/>
  <c r="A1700" i="2" a="1"/>
  <c r="A1700" i="2" s="1"/>
  <c r="B1700" i="2" a="1"/>
  <c r="B1700" i="2" s="1"/>
  <c r="C1702" i="2"/>
  <c r="F1701" i="2"/>
  <c r="D1699" i="2" a="1"/>
  <c r="I1700" i="3" l="1" a="1"/>
  <c r="I1700" i="3" s="1"/>
  <c r="K1700" i="3" a="1"/>
  <c r="K1700" i="3" s="1"/>
  <c r="H1700" i="3" a="1"/>
  <c r="H1700" i="3" s="1"/>
  <c r="C1702" i="3"/>
  <c r="G1701" i="3" a="1"/>
  <c r="G1701" i="3" s="1"/>
  <c r="L1701" i="3"/>
  <c r="M1701" i="3"/>
  <c r="J1701" i="3" a="1"/>
  <c r="J1701" i="3" s="1"/>
  <c r="H1699" i="3" a="1"/>
  <c r="H1699" i="3" s="1"/>
  <c r="I1699" i="3" a="1"/>
  <c r="I1699" i="3" s="1"/>
  <c r="K1699" i="3" a="1"/>
  <c r="K1699" i="3" s="1"/>
  <c r="J1699" i="3" a="1"/>
  <c r="J1699" i="3" s="1"/>
  <c r="F1701" i="3"/>
  <c r="A1700" i="3" a="1"/>
  <c r="A1700" i="3" s="1"/>
  <c r="B1700" i="3" a="1"/>
  <c r="B1700" i="3" s="1"/>
  <c r="D1699" i="2"/>
  <c r="B1701" i="2" a="1"/>
  <c r="B1701" i="2" s="1"/>
  <c r="A1701" i="2" a="1"/>
  <c r="A1701" i="2" s="1"/>
  <c r="C1703" i="2"/>
  <c r="F1702" i="2"/>
  <c r="I1700" i="2" a="1"/>
  <c r="I1700" i="2" s="1"/>
  <c r="H1700" i="2" a="1"/>
  <c r="H1700" i="2" s="1"/>
  <c r="K1700" i="2" a="1"/>
  <c r="K1700" i="2" s="1"/>
  <c r="J1700" i="2" a="1"/>
  <c r="J1700" i="2" s="1"/>
  <c r="D1700" i="2" a="1"/>
  <c r="C1703" i="3" l="1"/>
  <c r="L1702" i="3"/>
  <c r="M1702" i="3"/>
  <c r="H1701" i="3" a="1"/>
  <c r="H1701" i="3" s="1"/>
  <c r="I1701" i="3" a="1"/>
  <c r="I1701" i="3" s="1"/>
  <c r="K1701" i="3" a="1"/>
  <c r="K1701" i="3" s="1"/>
  <c r="F1702" i="3"/>
  <c r="F1703" i="3" s="1"/>
  <c r="A1701" i="3" a="1"/>
  <c r="A1701" i="3" s="1"/>
  <c r="B1701" i="3" a="1"/>
  <c r="B1701" i="3" s="1"/>
  <c r="D1700" i="2"/>
  <c r="B1702" i="2" a="1"/>
  <c r="B1702" i="2" s="1"/>
  <c r="A1702" i="2" a="1"/>
  <c r="A1702" i="2" s="1"/>
  <c r="C1704" i="2"/>
  <c r="F1703" i="2"/>
  <c r="I1701" i="2" a="1"/>
  <c r="I1701" i="2" s="1"/>
  <c r="K1701" i="2" a="1"/>
  <c r="K1701" i="2" s="1"/>
  <c r="J1701" i="2" a="1"/>
  <c r="J1701" i="2" s="1"/>
  <c r="H1701" i="2" a="1"/>
  <c r="H1701" i="2" s="1"/>
  <c r="D1701" i="2" a="1"/>
  <c r="G1702" i="3" l="1" a="1"/>
  <c r="G1702" i="3" s="1"/>
  <c r="C1704" i="3"/>
  <c r="G1703" i="3" a="1"/>
  <c r="G1703" i="3" s="1"/>
  <c r="M1703" i="3"/>
  <c r="L1703" i="3"/>
  <c r="J1703" i="3" a="1"/>
  <c r="J1703" i="3" s="1"/>
  <c r="A1702" i="3" a="1"/>
  <c r="A1702" i="3" s="1"/>
  <c r="B1702" i="3" a="1"/>
  <c r="B1702" i="3" s="1"/>
  <c r="D1701" i="2"/>
  <c r="H1702" i="2" a="1"/>
  <c r="H1702" i="2" s="1"/>
  <c r="K1702" i="2" a="1"/>
  <c r="K1702" i="2" s="1"/>
  <c r="I1702" i="2" a="1"/>
  <c r="I1702" i="2" s="1"/>
  <c r="J1702" i="2" a="1"/>
  <c r="J1702" i="2" s="1"/>
  <c r="C1705" i="2"/>
  <c r="F1704" i="2"/>
  <c r="B1703" i="2" a="1"/>
  <c r="B1703" i="2" s="1"/>
  <c r="A1703" i="2" a="1"/>
  <c r="A1703" i="2" s="1"/>
  <c r="D1702" i="2" a="1"/>
  <c r="I1702" i="3" l="1" a="1"/>
  <c r="I1702" i="3" s="1"/>
  <c r="K1702" i="3" a="1"/>
  <c r="K1702" i="3" s="1"/>
  <c r="H1702" i="3" a="1"/>
  <c r="H1702" i="3" s="1"/>
  <c r="J1702" i="3" a="1"/>
  <c r="J1702" i="3" s="1"/>
  <c r="I1703" i="3" a="1"/>
  <c r="I1703" i="3" s="1"/>
  <c r="K1703" i="3" a="1"/>
  <c r="K1703" i="3" s="1"/>
  <c r="H1703" i="3" a="1"/>
  <c r="H1703" i="3" s="1"/>
  <c r="C1705" i="3"/>
  <c r="G1704" i="3" a="1"/>
  <c r="G1704" i="3" s="1"/>
  <c r="L1704" i="3"/>
  <c r="M1704" i="3"/>
  <c r="J1704" i="3" a="1"/>
  <c r="J1704" i="3" s="1"/>
  <c r="F1704" i="3"/>
  <c r="A1703" i="3" a="1"/>
  <c r="A1703" i="3" s="1"/>
  <c r="B1703" i="3" a="1"/>
  <c r="B1703" i="3" s="1"/>
  <c r="D1702" i="2"/>
  <c r="J1703" i="2" a="1"/>
  <c r="J1703" i="2" s="1"/>
  <c r="I1703" i="2" a="1"/>
  <c r="I1703" i="2" s="1"/>
  <c r="H1703" i="2" a="1"/>
  <c r="H1703" i="2" s="1"/>
  <c r="K1703" i="2" a="1"/>
  <c r="K1703" i="2" s="1"/>
  <c r="A1704" i="2" a="1"/>
  <c r="A1704" i="2" s="1"/>
  <c r="B1704" i="2" a="1"/>
  <c r="B1704" i="2" s="1"/>
  <c r="C1706" i="2"/>
  <c r="F1705" i="2"/>
  <c r="D1703" i="2" a="1"/>
  <c r="C1706" i="3" l="1"/>
  <c r="L1705" i="3"/>
  <c r="M1705" i="3"/>
  <c r="H1704" i="3" a="1"/>
  <c r="H1704" i="3" s="1"/>
  <c r="I1704" i="3" a="1"/>
  <c r="I1704" i="3" s="1"/>
  <c r="K1704" i="3" a="1"/>
  <c r="K1704" i="3" s="1"/>
  <c r="F1705" i="3"/>
  <c r="F1706" i="3" s="1"/>
  <c r="B1704" i="3" a="1"/>
  <c r="B1704" i="3" s="1"/>
  <c r="A1704" i="3" a="1"/>
  <c r="A1704" i="3" s="1"/>
  <c r="D1703" i="2"/>
  <c r="B1705" i="2" a="1"/>
  <c r="B1705" i="2" s="1"/>
  <c r="A1705" i="2" a="1"/>
  <c r="A1705" i="2" s="1"/>
  <c r="J1704" i="2" a="1"/>
  <c r="J1704" i="2" s="1"/>
  <c r="I1704" i="2" a="1"/>
  <c r="I1704" i="2" s="1"/>
  <c r="H1704" i="2" a="1"/>
  <c r="H1704" i="2" s="1"/>
  <c r="K1704" i="2" a="1"/>
  <c r="K1704" i="2" s="1"/>
  <c r="C1707" i="2"/>
  <c r="F1706" i="2"/>
  <c r="D1704" i="2" a="1"/>
  <c r="G1705" i="3" l="1" a="1"/>
  <c r="G1705" i="3" s="1"/>
  <c r="C1707" i="3"/>
  <c r="G1706" i="3" a="1"/>
  <c r="G1706" i="3" s="1"/>
  <c r="J1706" i="3" s="1" a="1"/>
  <c r="J1706" i="3" s="1"/>
  <c r="L1706" i="3"/>
  <c r="M1706" i="3"/>
  <c r="A1705" i="3" a="1"/>
  <c r="A1705" i="3" s="1"/>
  <c r="B1705" i="3" a="1"/>
  <c r="B1705" i="3" s="1"/>
  <c r="D1704" i="2"/>
  <c r="C1708" i="2"/>
  <c r="F1707" i="2"/>
  <c r="A1706" i="2" a="1"/>
  <c r="A1706" i="2" s="1"/>
  <c r="B1706" i="2" a="1"/>
  <c r="B1706" i="2" s="1"/>
  <c r="K1705" i="2" a="1"/>
  <c r="K1705" i="2" s="1"/>
  <c r="J1705" i="2" a="1"/>
  <c r="J1705" i="2" s="1"/>
  <c r="I1705" i="2" a="1"/>
  <c r="I1705" i="2" s="1"/>
  <c r="H1705" i="2" a="1"/>
  <c r="H1705" i="2" s="1"/>
  <c r="D1705" i="2" a="1"/>
  <c r="H1706" i="3" l="1" a="1"/>
  <c r="H1706" i="3" s="1"/>
  <c r="I1706" i="3" a="1"/>
  <c r="I1706" i="3" s="1"/>
  <c r="K1706" i="3" a="1"/>
  <c r="K1706" i="3" s="1"/>
  <c r="C1708" i="3"/>
  <c r="G1707" i="3" a="1"/>
  <c r="G1707" i="3" s="1"/>
  <c r="L1707" i="3"/>
  <c r="M1707" i="3"/>
  <c r="J1707" i="3" a="1"/>
  <c r="J1707" i="3" s="1"/>
  <c r="H1705" i="3" a="1"/>
  <c r="H1705" i="3" s="1"/>
  <c r="I1705" i="3" a="1"/>
  <c r="I1705" i="3" s="1"/>
  <c r="K1705" i="3" a="1"/>
  <c r="K1705" i="3" s="1"/>
  <c r="J1705" i="3" a="1"/>
  <c r="J1705" i="3" s="1"/>
  <c r="F1707" i="3"/>
  <c r="B1706" i="3" a="1"/>
  <c r="B1706" i="3" s="1"/>
  <c r="A1706" i="3" a="1"/>
  <c r="A1706" i="3" s="1"/>
  <c r="D1705" i="2"/>
  <c r="K1706" i="2" a="1"/>
  <c r="K1706" i="2" s="1"/>
  <c r="J1706" i="2" a="1"/>
  <c r="J1706" i="2" s="1"/>
  <c r="I1706" i="2" a="1"/>
  <c r="I1706" i="2" s="1"/>
  <c r="H1706" i="2" a="1"/>
  <c r="H1706" i="2" s="1"/>
  <c r="B1707" i="2" a="1"/>
  <c r="B1707" i="2" s="1"/>
  <c r="A1707" i="2" a="1"/>
  <c r="A1707" i="2" s="1"/>
  <c r="C1709" i="2"/>
  <c r="F1708" i="2"/>
  <c r="D1706" i="2" a="1"/>
  <c r="C1709" i="3" l="1"/>
  <c r="L1708" i="3"/>
  <c r="M1708" i="3"/>
  <c r="H1707" i="3" a="1"/>
  <c r="H1707" i="3" s="1"/>
  <c r="I1707" i="3" a="1"/>
  <c r="I1707" i="3" s="1"/>
  <c r="K1707" i="3" a="1"/>
  <c r="K1707" i="3" s="1"/>
  <c r="F1708" i="3"/>
  <c r="F1709" i="3" s="1"/>
  <c r="A1707" i="3" a="1"/>
  <c r="A1707" i="3" s="1"/>
  <c r="B1707" i="3" a="1"/>
  <c r="B1707" i="3" s="1"/>
  <c r="D1706" i="2"/>
  <c r="A1708" i="2" a="1"/>
  <c r="A1708" i="2" s="1"/>
  <c r="B1708" i="2" a="1"/>
  <c r="B1708" i="2" s="1"/>
  <c r="H1707" i="2" a="1"/>
  <c r="H1707" i="2" s="1"/>
  <c r="K1707" i="2" a="1"/>
  <c r="K1707" i="2" s="1"/>
  <c r="J1707" i="2" a="1"/>
  <c r="J1707" i="2" s="1"/>
  <c r="I1707" i="2" a="1"/>
  <c r="I1707" i="2" s="1"/>
  <c r="C1710" i="2"/>
  <c r="F1709" i="2"/>
  <c r="D1707" i="2" a="1"/>
  <c r="G1708" i="3" l="1" a="1"/>
  <c r="G1708" i="3" s="1"/>
  <c r="C1710" i="3"/>
  <c r="G1709" i="3" a="1"/>
  <c r="G1709" i="3" s="1"/>
  <c r="M1709" i="3"/>
  <c r="L1709" i="3"/>
  <c r="A1708" i="3" a="1"/>
  <c r="A1708" i="3" s="1"/>
  <c r="B1708" i="3" a="1"/>
  <c r="B1708" i="3" s="1"/>
  <c r="D1707" i="2"/>
  <c r="H1708" i="2" a="1"/>
  <c r="H1708" i="2" s="1"/>
  <c r="J1708" i="2" a="1"/>
  <c r="J1708" i="2" s="1"/>
  <c r="I1708" i="2" a="1"/>
  <c r="I1708" i="2" s="1"/>
  <c r="K1708" i="2" a="1"/>
  <c r="K1708" i="2" s="1"/>
  <c r="B1709" i="2" a="1"/>
  <c r="B1709" i="2" s="1"/>
  <c r="A1709" i="2" a="1"/>
  <c r="A1709" i="2" s="1"/>
  <c r="C1711" i="2"/>
  <c r="F1710" i="2"/>
  <c r="D1708" i="2" a="1"/>
  <c r="H1709" i="3" l="1" a="1"/>
  <c r="H1709" i="3" s="1"/>
  <c r="I1709" i="3" a="1"/>
  <c r="I1709" i="3" s="1"/>
  <c r="K1709" i="3" a="1"/>
  <c r="K1709" i="3" s="1"/>
  <c r="J1709" i="3" a="1"/>
  <c r="J1709" i="3" s="1"/>
  <c r="C1711" i="3"/>
  <c r="G1710" i="3" a="1"/>
  <c r="G1710" i="3" s="1"/>
  <c r="L1710" i="3"/>
  <c r="M1710" i="3"/>
  <c r="J1710" i="3" a="1"/>
  <c r="J1710" i="3" s="1"/>
  <c r="H1708" i="3" a="1"/>
  <c r="H1708" i="3" s="1"/>
  <c r="I1708" i="3" a="1"/>
  <c r="I1708" i="3" s="1"/>
  <c r="K1708" i="3" a="1"/>
  <c r="K1708" i="3" s="1"/>
  <c r="J1708" i="3" a="1"/>
  <c r="J1708" i="3" s="1"/>
  <c r="F1710" i="3"/>
  <c r="B1709" i="3" a="1"/>
  <c r="B1709" i="3" s="1"/>
  <c r="A1709" i="3" a="1"/>
  <c r="A1709" i="3" s="1"/>
  <c r="D1708" i="2"/>
  <c r="B1710" i="2" a="1"/>
  <c r="B1710" i="2" s="1"/>
  <c r="A1710" i="2" a="1"/>
  <c r="A1710" i="2" s="1"/>
  <c r="C1712" i="2"/>
  <c r="F1711" i="2"/>
  <c r="H1709" i="2" a="1"/>
  <c r="H1709" i="2" s="1"/>
  <c r="J1709" i="2" a="1"/>
  <c r="J1709" i="2" s="1"/>
  <c r="I1709" i="2" a="1"/>
  <c r="I1709" i="2" s="1"/>
  <c r="K1709" i="2" a="1"/>
  <c r="K1709" i="2" s="1"/>
  <c r="D1709" i="2" a="1"/>
  <c r="C1712" i="3" l="1"/>
  <c r="L1711" i="3"/>
  <c r="M1711" i="3"/>
  <c r="H1710" i="3" a="1"/>
  <c r="H1710" i="3" s="1"/>
  <c r="I1710" i="3" a="1"/>
  <c r="I1710" i="3" s="1"/>
  <c r="K1710" i="3" a="1"/>
  <c r="K1710" i="3" s="1"/>
  <c r="F1711" i="3"/>
  <c r="F1712" i="3" s="1"/>
  <c r="A1710" i="3" a="1"/>
  <c r="A1710" i="3" s="1"/>
  <c r="B1710" i="3" a="1"/>
  <c r="B1710" i="3" s="1"/>
  <c r="D1709" i="2"/>
  <c r="C1713" i="2"/>
  <c r="F1712" i="2"/>
  <c r="J1710" i="2" a="1"/>
  <c r="J1710" i="2" s="1"/>
  <c r="K1710" i="2" a="1"/>
  <c r="K1710" i="2" s="1"/>
  <c r="H1710" i="2" a="1"/>
  <c r="H1710" i="2" s="1"/>
  <c r="I1710" i="2" a="1"/>
  <c r="I1710" i="2" s="1"/>
  <c r="A1711" i="2" a="1"/>
  <c r="A1711" i="2" s="1"/>
  <c r="B1711" i="2" a="1"/>
  <c r="B1711" i="2" s="1"/>
  <c r="D1710" i="2" a="1"/>
  <c r="G1711" i="3" l="1" a="1"/>
  <c r="G1711" i="3" s="1"/>
  <c r="C1713" i="3"/>
  <c r="G1712" i="3" a="1"/>
  <c r="G1712" i="3" s="1"/>
  <c r="L1712" i="3"/>
  <c r="M1712" i="3"/>
  <c r="J1712" i="3" a="1"/>
  <c r="J1712" i="3" s="1"/>
  <c r="A1711" i="3" a="1"/>
  <c r="A1711" i="3" s="1"/>
  <c r="B1711" i="3" a="1"/>
  <c r="B1711" i="3" s="1"/>
  <c r="D1710" i="2"/>
  <c r="K1711" i="2" a="1"/>
  <c r="K1711" i="2" s="1"/>
  <c r="J1711" i="2" a="1"/>
  <c r="J1711" i="2" s="1"/>
  <c r="I1711" i="2" a="1"/>
  <c r="I1711" i="2" s="1"/>
  <c r="H1711" i="2" a="1"/>
  <c r="H1711" i="2" s="1"/>
  <c r="B1712" i="2" a="1"/>
  <c r="B1712" i="2" s="1"/>
  <c r="A1712" i="2" a="1"/>
  <c r="A1712" i="2" s="1"/>
  <c r="C1714" i="2"/>
  <c r="F1713" i="2"/>
  <c r="D1711" i="2" a="1"/>
  <c r="H1712" i="3" l="1" a="1"/>
  <c r="H1712" i="3" s="1"/>
  <c r="I1712" i="3" a="1"/>
  <c r="I1712" i="3" s="1"/>
  <c r="K1712" i="3" a="1"/>
  <c r="K1712" i="3" s="1"/>
  <c r="C1714" i="3"/>
  <c r="G1713" i="3" a="1"/>
  <c r="G1713" i="3" s="1"/>
  <c r="L1713" i="3"/>
  <c r="M1713" i="3"/>
  <c r="J1713" i="3" a="1"/>
  <c r="J1713" i="3" s="1"/>
  <c r="I1711" i="3" a="1"/>
  <c r="I1711" i="3" s="1"/>
  <c r="K1711" i="3" a="1"/>
  <c r="K1711" i="3" s="1"/>
  <c r="H1711" i="3" a="1"/>
  <c r="H1711" i="3" s="1"/>
  <c r="J1711" i="3" a="1"/>
  <c r="J1711" i="3" s="1"/>
  <c r="F1713" i="3"/>
  <c r="A1712" i="3" a="1"/>
  <c r="A1712" i="3" s="1"/>
  <c r="B1712" i="3" a="1"/>
  <c r="B1712" i="3" s="1"/>
  <c r="D1711" i="2"/>
  <c r="C1715" i="2"/>
  <c r="F1714" i="2"/>
  <c r="K1712" i="2" a="1"/>
  <c r="K1712" i="2" s="1"/>
  <c r="J1712" i="2" a="1"/>
  <c r="J1712" i="2" s="1"/>
  <c r="H1712" i="2" a="1"/>
  <c r="H1712" i="2" s="1"/>
  <c r="I1712" i="2" a="1"/>
  <c r="I1712" i="2" s="1"/>
  <c r="A1713" i="2" a="1"/>
  <c r="A1713" i="2" s="1"/>
  <c r="B1713" i="2" a="1"/>
  <c r="B1713" i="2" s="1"/>
  <c r="D1712" i="2" a="1"/>
  <c r="C1715" i="3" l="1"/>
  <c r="L1714" i="3"/>
  <c r="M1714" i="3"/>
  <c r="I1713" i="3" a="1"/>
  <c r="I1713" i="3" s="1"/>
  <c r="K1713" i="3" a="1"/>
  <c r="K1713" i="3" s="1"/>
  <c r="H1713" i="3" a="1"/>
  <c r="H1713" i="3" s="1"/>
  <c r="F1714" i="3"/>
  <c r="F1715" i="3" s="1"/>
  <c r="A1713" i="3" a="1"/>
  <c r="A1713" i="3" s="1"/>
  <c r="B1713" i="3" a="1"/>
  <c r="B1713" i="3" s="1"/>
  <c r="D1712" i="2"/>
  <c r="A1714" i="2" a="1"/>
  <c r="A1714" i="2" s="1"/>
  <c r="B1714" i="2" a="1"/>
  <c r="B1714" i="2" s="1"/>
  <c r="K1713" i="2" a="1"/>
  <c r="K1713" i="2" s="1"/>
  <c r="H1713" i="2" a="1"/>
  <c r="H1713" i="2" s="1"/>
  <c r="I1713" i="2" a="1"/>
  <c r="I1713" i="2" s="1"/>
  <c r="J1713" i="2" a="1"/>
  <c r="J1713" i="2" s="1"/>
  <c r="C1716" i="2"/>
  <c r="F1715" i="2"/>
  <c r="D1713" i="2" a="1"/>
  <c r="G1714" i="3" l="1" a="1"/>
  <c r="G1714" i="3" s="1"/>
  <c r="C1716" i="3"/>
  <c r="G1715" i="3" a="1"/>
  <c r="G1715" i="3" s="1"/>
  <c r="M1715" i="3"/>
  <c r="L1715" i="3"/>
  <c r="A1714" i="3" a="1"/>
  <c r="A1714" i="3" s="1"/>
  <c r="B1714" i="3" a="1"/>
  <c r="B1714" i="3" s="1"/>
  <c r="D1713" i="2"/>
  <c r="B1715" i="2" a="1"/>
  <c r="B1715" i="2" s="1"/>
  <c r="A1715" i="2" a="1"/>
  <c r="A1715" i="2" s="1"/>
  <c r="C1717" i="2"/>
  <c r="F1716" i="2"/>
  <c r="J1714" i="2" a="1"/>
  <c r="J1714" i="2" s="1"/>
  <c r="H1714" i="2" a="1"/>
  <c r="H1714" i="2" s="1"/>
  <c r="I1714" i="2" a="1"/>
  <c r="I1714" i="2" s="1"/>
  <c r="K1714" i="2" a="1"/>
  <c r="K1714" i="2" s="1"/>
  <c r="D1714" i="2" a="1"/>
  <c r="H1715" i="3" l="1" a="1"/>
  <c r="H1715" i="3" s="1"/>
  <c r="I1715" i="3" a="1"/>
  <c r="I1715" i="3" s="1"/>
  <c r="K1715" i="3" a="1"/>
  <c r="K1715" i="3" s="1"/>
  <c r="C1717" i="3"/>
  <c r="G1716" i="3" a="1"/>
  <c r="G1716" i="3" s="1"/>
  <c r="L1716" i="3"/>
  <c r="M1716" i="3"/>
  <c r="J1716" i="3" a="1"/>
  <c r="J1716" i="3" s="1"/>
  <c r="J1715" i="3" a="1"/>
  <c r="J1715" i="3" s="1"/>
  <c r="H1714" i="3" a="1"/>
  <c r="H1714" i="3" s="1"/>
  <c r="I1714" i="3" a="1"/>
  <c r="I1714" i="3" s="1"/>
  <c r="K1714" i="3" a="1"/>
  <c r="K1714" i="3" s="1"/>
  <c r="J1714" i="3" a="1"/>
  <c r="J1714" i="3" s="1"/>
  <c r="F1716" i="3"/>
  <c r="A1715" i="3" a="1"/>
  <c r="A1715" i="3" s="1"/>
  <c r="B1715" i="3" a="1"/>
  <c r="B1715" i="3" s="1"/>
  <c r="D1714" i="2"/>
  <c r="B1716" i="2" a="1"/>
  <c r="B1716" i="2" s="1"/>
  <c r="A1716" i="2" a="1"/>
  <c r="A1716" i="2" s="1"/>
  <c r="J1715" i="2" a="1"/>
  <c r="J1715" i="2" s="1"/>
  <c r="I1715" i="2" a="1"/>
  <c r="I1715" i="2" s="1"/>
  <c r="H1715" i="2" a="1"/>
  <c r="H1715" i="2" s="1"/>
  <c r="K1715" i="2" a="1"/>
  <c r="K1715" i="2" s="1"/>
  <c r="C1718" i="2"/>
  <c r="F1717" i="2"/>
  <c r="D1715" i="2" a="1"/>
  <c r="C1718" i="3" l="1"/>
  <c r="L1717" i="3"/>
  <c r="M1717" i="3"/>
  <c r="I1716" i="3" a="1"/>
  <c r="I1716" i="3" s="1"/>
  <c r="K1716" i="3" a="1"/>
  <c r="K1716" i="3" s="1"/>
  <c r="H1716" i="3" a="1"/>
  <c r="H1716" i="3" s="1"/>
  <c r="F1717" i="3"/>
  <c r="F1718" i="3" s="1"/>
  <c r="B1716" i="3" a="1"/>
  <c r="B1716" i="3" s="1"/>
  <c r="A1716" i="3" a="1"/>
  <c r="A1716" i="3" s="1"/>
  <c r="D1715" i="2"/>
  <c r="B1717" i="2" a="1"/>
  <c r="B1717" i="2" s="1"/>
  <c r="A1717" i="2" a="1"/>
  <c r="A1717" i="2" s="1"/>
  <c r="C1719" i="2"/>
  <c r="F1718" i="2"/>
  <c r="H1716" i="2" a="1"/>
  <c r="H1716" i="2" s="1"/>
  <c r="J1716" i="2" a="1"/>
  <c r="J1716" i="2" s="1"/>
  <c r="K1716" i="2" a="1"/>
  <c r="K1716" i="2" s="1"/>
  <c r="I1716" i="2" a="1"/>
  <c r="I1716" i="2" s="1"/>
  <c r="D1716" i="2" a="1"/>
  <c r="G1717" i="3" l="1" a="1"/>
  <c r="G1717" i="3" s="1"/>
  <c r="C1719" i="3"/>
  <c r="G1718" i="3" a="1"/>
  <c r="G1718" i="3" s="1"/>
  <c r="L1718" i="3"/>
  <c r="M1718" i="3"/>
  <c r="A1717" i="3" a="1"/>
  <c r="A1717" i="3" s="1"/>
  <c r="B1717" i="3" a="1"/>
  <c r="B1717" i="3" s="1"/>
  <c r="D1716" i="2"/>
  <c r="A1718" i="2" a="1"/>
  <c r="A1718" i="2" s="1"/>
  <c r="B1718" i="2" a="1"/>
  <c r="B1718" i="2" s="1"/>
  <c r="I1717" i="2" a="1"/>
  <c r="I1717" i="2" s="1"/>
  <c r="K1717" i="2" a="1"/>
  <c r="K1717" i="2" s="1"/>
  <c r="J1717" i="2" a="1"/>
  <c r="J1717" i="2" s="1"/>
  <c r="H1717" i="2" a="1"/>
  <c r="H1717" i="2" s="1"/>
  <c r="C1720" i="2"/>
  <c r="F1719" i="2"/>
  <c r="D1717" i="2" a="1"/>
  <c r="I1718" i="3" l="1" a="1"/>
  <c r="I1718" i="3" s="1"/>
  <c r="K1718" i="3" a="1"/>
  <c r="K1718" i="3" s="1"/>
  <c r="H1718" i="3" a="1"/>
  <c r="H1718" i="3" s="1"/>
  <c r="C1720" i="3"/>
  <c r="G1719" i="3" a="1"/>
  <c r="G1719" i="3" s="1"/>
  <c r="L1719" i="3"/>
  <c r="M1719" i="3"/>
  <c r="J1719" i="3" a="1"/>
  <c r="J1719" i="3" s="1"/>
  <c r="J1718" i="3" a="1"/>
  <c r="J1718" i="3" s="1"/>
  <c r="H1717" i="3" a="1"/>
  <c r="H1717" i="3" s="1"/>
  <c r="I1717" i="3" a="1"/>
  <c r="I1717" i="3" s="1"/>
  <c r="K1717" i="3" a="1"/>
  <c r="K1717" i="3" s="1"/>
  <c r="J1717" i="3" a="1"/>
  <c r="J1717" i="3" s="1"/>
  <c r="F1719" i="3"/>
  <c r="B1718" i="3" a="1"/>
  <c r="B1718" i="3" s="1"/>
  <c r="A1718" i="3" a="1"/>
  <c r="A1718" i="3" s="1"/>
  <c r="D1717" i="2"/>
  <c r="C1721" i="2"/>
  <c r="F1720" i="2"/>
  <c r="I1718" i="2" a="1"/>
  <c r="I1718" i="2" s="1"/>
  <c r="K1718" i="2" a="1"/>
  <c r="K1718" i="2" s="1"/>
  <c r="J1718" i="2" a="1"/>
  <c r="J1718" i="2" s="1"/>
  <c r="H1718" i="2" a="1"/>
  <c r="H1718" i="2" s="1"/>
  <c r="A1719" i="2" a="1"/>
  <c r="A1719" i="2" s="1"/>
  <c r="B1719" i="2" a="1"/>
  <c r="B1719" i="2" s="1"/>
  <c r="D1718" i="2" a="1"/>
  <c r="C1721" i="3" l="1"/>
  <c r="L1720" i="3"/>
  <c r="M1720" i="3"/>
  <c r="F1720" i="3"/>
  <c r="F1721" i="3" s="1"/>
  <c r="I1719" i="3" a="1"/>
  <c r="I1719" i="3" s="1"/>
  <c r="K1719" i="3" a="1"/>
  <c r="K1719" i="3" s="1"/>
  <c r="H1719" i="3" a="1"/>
  <c r="H1719" i="3" s="1"/>
  <c r="A1719" i="3" a="1"/>
  <c r="A1719" i="3" s="1"/>
  <c r="B1719" i="3" a="1"/>
  <c r="B1719" i="3" s="1"/>
  <c r="D1718" i="2"/>
  <c r="I1719" i="2" a="1"/>
  <c r="I1719" i="2" s="1"/>
  <c r="J1719" i="2" a="1"/>
  <c r="J1719" i="2" s="1"/>
  <c r="K1719" i="2" a="1"/>
  <c r="K1719" i="2" s="1"/>
  <c r="H1719" i="2" a="1"/>
  <c r="H1719" i="2" s="1"/>
  <c r="A1720" i="2" a="1"/>
  <c r="A1720" i="2" s="1"/>
  <c r="B1720" i="2" a="1"/>
  <c r="B1720" i="2" s="1"/>
  <c r="C1722" i="2"/>
  <c r="F1721" i="2"/>
  <c r="D1719" i="2" a="1"/>
  <c r="G1720" i="3" l="1" a="1"/>
  <c r="G1720" i="3" s="1"/>
  <c r="C1722" i="3"/>
  <c r="G1721" i="3" a="1"/>
  <c r="G1721" i="3" s="1"/>
  <c r="M1721" i="3"/>
  <c r="L1721" i="3"/>
  <c r="A1720" i="3" a="1"/>
  <c r="A1720" i="3" s="1"/>
  <c r="B1720" i="3" a="1"/>
  <c r="B1720" i="3" s="1"/>
  <c r="D1719" i="2"/>
  <c r="C1723" i="2"/>
  <c r="F1722" i="2"/>
  <c r="A1721" i="2" a="1"/>
  <c r="A1721" i="2" s="1"/>
  <c r="B1721" i="2" a="1"/>
  <c r="B1721" i="2" s="1"/>
  <c r="H1720" i="2" a="1"/>
  <c r="H1720" i="2" s="1"/>
  <c r="I1720" i="2" a="1"/>
  <c r="I1720" i="2" s="1"/>
  <c r="J1720" i="2" a="1"/>
  <c r="J1720" i="2" s="1"/>
  <c r="K1720" i="2" a="1"/>
  <c r="K1720" i="2" s="1"/>
  <c r="D1720" i="2" a="1"/>
  <c r="H1721" i="3" l="1" a="1"/>
  <c r="H1721" i="3" s="1"/>
  <c r="I1721" i="3" a="1"/>
  <c r="I1721" i="3" s="1"/>
  <c r="K1721" i="3" a="1"/>
  <c r="K1721" i="3" s="1"/>
  <c r="C1723" i="3"/>
  <c r="G1722" i="3" a="1"/>
  <c r="G1722" i="3" s="1"/>
  <c r="L1722" i="3"/>
  <c r="M1722" i="3"/>
  <c r="J1722" i="3" a="1"/>
  <c r="J1722" i="3" s="1"/>
  <c r="J1721" i="3" a="1"/>
  <c r="J1721" i="3" s="1"/>
  <c r="I1720" i="3" a="1"/>
  <c r="I1720" i="3" s="1"/>
  <c r="K1720" i="3" a="1"/>
  <c r="K1720" i="3" s="1"/>
  <c r="H1720" i="3" a="1"/>
  <c r="H1720" i="3" s="1"/>
  <c r="J1720" i="3" a="1"/>
  <c r="J1720" i="3" s="1"/>
  <c r="F1722" i="3"/>
  <c r="B1721" i="3" a="1"/>
  <c r="B1721" i="3" s="1"/>
  <c r="A1721" i="3" a="1"/>
  <c r="A1721" i="3" s="1"/>
  <c r="D1720" i="2"/>
  <c r="A1722" i="2" a="1"/>
  <c r="A1722" i="2" s="1"/>
  <c r="B1722" i="2" a="1"/>
  <c r="B1722" i="2" s="1"/>
  <c r="I1721" i="2" a="1"/>
  <c r="I1721" i="2" s="1"/>
  <c r="H1721" i="2" a="1"/>
  <c r="H1721" i="2" s="1"/>
  <c r="K1721" i="2" a="1"/>
  <c r="K1721" i="2" s="1"/>
  <c r="J1721" i="2" a="1"/>
  <c r="J1721" i="2" s="1"/>
  <c r="C1724" i="2"/>
  <c r="F1723" i="2"/>
  <c r="D1721" i="2" a="1"/>
  <c r="C1724" i="3" l="1"/>
  <c r="L1723" i="3"/>
  <c r="M1723" i="3"/>
  <c r="H1722" i="3" a="1"/>
  <c r="H1722" i="3" s="1"/>
  <c r="I1722" i="3" a="1"/>
  <c r="I1722" i="3" s="1"/>
  <c r="K1722" i="3" a="1"/>
  <c r="K1722" i="3" s="1"/>
  <c r="F1723" i="3"/>
  <c r="F1724" i="3" s="1"/>
  <c r="A1722" i="3" a="1"/>
  <c r="A1722" i="3" s="1"/>
  <c r="B1722" i="3" a="1"/>
  <c r="B1722" i="3" s="1"/>
  <c r="D1721" i="2"/>
  <c r="C1725" i="2"/>
  <c r="F1724" i="2"/>
  <c r="B1723" i="2" a="1"/>
  <c r="B1723" i="2" s="1"/>
  <c r="A1723" i="2" a="1"/>
  <c r="A1723" i="2" s="1"/>
  <c r="H1722" i="2" a="1"/>
  <c r="H1722" i="2" s="1"/>
  <c r="J1722" i="2" a="1"/>
  <c r="J1722" i="2" s="1"/>
  <c r="K1722" i="2" a="1"/>
  <c r="K1722" i="2" s="1"/>
  <c r="I1722" i="2" a="1"/>
  <c r="I1722" i="2" s="1"/>
  <c r="D1722" i="2" a="1"/>
  <c r="G1723" i="3" l="1" a="1"/>
  <c r="G1723" i="3" s="1"/>
  <c r="C1725" i="3"/>
  <c r="G1724" i="3" a="1"/>
  <c r="G1724" i="3" s="1"/>
  <c r="L1724" i="3"/>
  <c r="M1724" i="3"/>
  <c r="J1724" i="3" a="1"/>
  <c r="J1724" i="3" s="1"/>
  <c r="A1723" i="3" a="1"/>
  <c r="A1723" i="3" s="1"/>
  <c r="B1723" i="3" a="1"/>
  <c r="B1723" i="3" s="1"/>
  <c r="D1722" i="2"/>
  <c r="H1723" i="2" a="1"/>
  <c r="H1723" i="2" s="1"/>
  <c r="I1723" i="2" a="1"/>
  <c r="I1723" i="2" s="1"/>
  <c r="K1723" i="2" a="1"/>
  <c r="K1723" i="2" s="1"/>
  <c r="J1723" i="2" a="1"/>
  <c r="J1723" i="2" s="1"/>
  <c r="A1724" i="2" a="1"/>
  <c r="A1724" i="2" s="1"/>
  <c r="B1724" i="2" a="1"/>
  <c r="B1724" i="2" s="1"/>
  <c r="C1726" i="2"/>
  <c r="F1725" i="2"/>
  <c r="D1723" i="2" a="1"/>
  <c r="C1726" i="3" l="1"/>
  <c r="G1725" i="3" a="1"/>
  <c r="G1725" i="3" s="1"/>
  <c r="L1725" i="3"/>
  <c r="M1725" i="3"/>
  <c r="J1725" i="3" a="1"/>
  <c r="J1725" i="3" s="1"/>
  <c r="I1724" i="3" a="1"/>
  <c r="I1724" i="3" s="1"/>
  <c r="K1724" i="3" a="1"/>
  <c r="K1724" i="3" s="1"/>
  <c r="H1724" i="3" a="1"/>
  <c r="H1724" i="3" s="1"/>
  <c r="I1723" i="3" a="1"/>
  <c r="I1723" i="3" s="1"/>
  <c r="K1723" i="3" a="1"/>
  <c r="K1723" i="3" s="1"/>
  <c r="H1723" i="3" a="1"/>
  <c r="H1723" i="3" s="1"/>
  <c r="J1723" i="3" a="1"/>
  <c r="J1723" i="3" s="1"/>
  <c r="F1725" i="3"/>
  <c r="F1726" i="3" s="1"/>
  <c r="A1724" i="3" a="1"/>
  <c r="A1724" i="3" s="1"/>
  <c r="B1724" i="3" a="1"/>
  <c r="B1724" i="3" s="1"/>
  <c r="D1723" i="2"/>
  <c r="A1725" i="2" a="1"/>
  <c r="A1725" i="2" s="1"/>
  <c r="B1725" i="2" a="1"/>
  <c r="B1725" i="2" s="1"/>
  <c r="C1727" i="2"/>
  <c r="F1726" i="2"/>
  <c r="I1724" i="2" a="1"/>
  <c r="I1724" i="2" s="1"/>
  <c r="K1724" i="2" a="1"/>
  <c r="K1724" i="2" s="1"/>
  <c r="H1724" i="2" a="1"/>
  <c r="H1724" i="2" s="1"/>
  <c r="J1724" i="2" a="1"/>
  <c r="J1724" i="2" s="1"/>
  <c r="D1724" i="2" a="1"/>
  <c r="H1725" i="3" l="1" a="1"/>
  <c r="H1725" i="3" s="1"/>
  <c r="I1725" i="3" a="1"/>
  <c r="I1725" i="3" s="1"/>
  <c r="K1725" i="3" a="1"/>
  <c r="K1725" i="3" s="1"/>
  <c r="C1727" i="3"/>
  <c r="G1726" i="3" a="1"/>
  <c r="G1726" i="3" s="1"/>
  <c r="L1726" i="3"/>
  <c r="M1726" i="3"/>
  <c r="J1726" i="3" a="1"/>
  <c r="J1726" i="3" s="1"/>
  <c r="A1725" i="3" a="1"/>
  <c r="A1725" i="3" s="1"/>
  <c r="B1725" i="3" a="1"/>
  <c r="B1725" i="3" s="1"/>
  <c r="D1724" i="2"/>
  <c r="C1728" i="2"/>
  <c r="F1727" i="2"/>
  <c r="A1726" i="2" a="1"/>
  <c r="A1726" i="2" s="1"/>
  <c r="B1726" i="2" a="1"/>
  <c r="B1726" i="2" s="1"/>
  <c r="H1725" i="2" a="1"/>
  <c r="H1725" i="2" s="1"/>
  <c r="I1725" i="2" a="1"/>
  <c r="I1725" i="2" s="1"/>
  <c r="K1725" i="2" a="1"/>
  <c r="K1725" i="2" s="1"/>
  <c r="J1725" i="2" a="1"/>
  <c r="J1725" i="2" s="1"/>
  <c r="D1725" i="2" a="1"/>
  <c r="H1726" i="3" l="1" a="1"/>
  <c r="H1726" i="3" s="1"/>
  <c r="I1726" i="3" a="1"/>
  <c r="I1726" i="3" s="1"/>
  <c r="K1726" i="3" a="1"/>
  <c r="K1726" i="3" s="1"/>
  <c r="C1728" i="3"/>
  <c r="M1727" i="3"/>
  <c r="L1727" i="3"/>
  <c r="F1727" i="3"/>
  <c r="F1728" i="3" s="1"/>
  <c r="A1726" i="3" a="1"/>
  <c r="A1726" i="3" s="1"/>
  <c r="B1726" i="3" a="1"/>
  <c r="B1726" i="3" s="1"/>
  <c r="D1725" i="2"/>
  <c r="B1727" i="2" a="1"/>
  <c r="B1727" i="2" s="1"/>
  <c r="A1727" i="2" a="1"/>
  <c r="A1727" i="2" s="1"/>
  <c r="I1726" i="2" a="1"/>
  <c r="I1726" i="2" s="1"/>
  <c r="J1726" i="2" a="1"/>
  <c r="J1726" i="2" s="1"/>
  <c r="H1726" i="2" a="1"/>
  <c r="H1726" i="2" s="1"/>
  <c r="K1726" i="2" a="1"/>
  <c r="K1726" i="2" s="1"/>
  <c r="C1729" i="2"/>
  <c r="F1728" i="2"/>
  <c r="D1726" i="2" a="1"/>
  <c r="G1727" i="3" l="1" a="1"/>
  <c r="G1727" i="3" s="1"/>
  <c r="C1729" i="3"/>
  <c r="G1728" i="3" a="1"/>
  <c r="G1728" i="3" s="1"/>
  <c r="L1728" i="3"/>
  <c r="M1728" i="3"/>
  <c r="J1728" i="3" a="1"/>
  <c r="J1728" i="3" s="1"/>
  <c r="A1727" i="3" a="1"/>
  <c r="A1727" i="3" s="1"/>
  <c r="B1727" i="3" a="1"/>
  <c r="B1727" i="3" s="1"/>
  <c r="D1726" i="2"/>
  <c r="B1728" i="2" a="1"/>
  <c r="B1728" i="2" s="1"/>
  <c r="A1728" i="2" a="1"/>
  <c r="A1728" i="2" s="1"/>
  <c r="K1727" i="2" a="1"/>
  <c r="K1727" i="2" s="1"/>
  <c r="I1727" i="2" a="1"/>
  <c r="I1727" i="2" s="1"/>
  <c r="H1727" i="2" a="1"/>
  <c r="H1727" i="2" s="1"/>
  <c r="J1727" i="2" a="1"/>
  <c r="J1727" i="2" s="1"/>
  <c r="C1730" i="2"/>
  <c r="F1729" i="2"/>
  <c r="D1727" i="2" a="1"/>
  <c r="H1727" i="3" l="1" a="1"/>
  <c r="H1727" i="3" s="1"/>
  <c r="I1727" i="3" a="1"/>
  <c r="I1727" i="3" s="1"/>
  <c r="K1727" i="3" a="1"/>
  <c r="K1727" i="3" s="1"/>
  <c r="J1727" i="3" a="1"/>
  <c r="J1727" i="3" s="1"/>
  <c r="H1728" i="3" a="1"/>
  <c r="H1728" i="3" s="1"/>
  <c r="I1728" i="3" a="1"/>
  <c r="I1728" i="3" s="1"/>
  <c r="K1728" i="3" a="1"/>
  <c r="K1728" i="3" s="1"/>
  <c r="C1730" i="3"/>
  <c r="G1729" i="3" a="1"/>
  <c r="G1729" i="3" s="1"/>
  <c r="L1729" i="3"/>
  <c r="M1729" i="3"/>
  <c r="J1729" i="3" a="1"/>
  <c r="J1729" i="3" s="1"/>
  <c r="F1729" i="3"/>
  <c r="B1728" i="3" a="1"/>
  <c r="B1728" i="3" s="1"/>
  <c r="A1728" i="3" a="1"/>
  <c r="A1728" i="3" s="1"/>
  <c r="D1727" i="2"/>
  <c r="B1729" i="2" a="1"/>
  <c r="B1729" i="2" s="1"/>
  <c r="A1729" i="2" a="1"/>
  <c r="A1729" i="2" s="1"/>
  <c r="C1731" i="2"/>
  <c r="F1730" i="2"/>
  <c r="K1728" i="2" a="1"/>
  <c r="K1728" i="2" s="1"/>
  <c r="J1728" i="2" a="1"/>
  <c r="J1728" i="2" s="1"/>
  <c r="H1728" i="2" a="1"/>
  <c r="H1728" i="2" s="1"/>
  <c r="I1728" i="2" a="1"/>
  <c r="I1728" i="2" s="1"/>
  <c r="D1728" i="2" a="1"/>
  <c r="I1729" i="3" l="1" a="1"/>
  <c r="I1729" i="3" s="1"/>
  <c r="K1729" i="3" a="1"/>
  <c r="K1729" i="3" s="1"/>
  <c r="H1729" i="3" a="1"/>
  <c r="H1729" i="3" s="1"/>
  <c r="C1731" i="3"/>
  <c r="L1730" i="3"/>
  <c r="F1730" i="3"/>
  <c r="M1730" i="3"/>
  <c r="A1729" i="3" a="1"/>
  <c r="A1729" i="3" s="1"/>
  <c r="B1729" i="3" a="1"/>
  <c r="B1729" i="3" s="1"/>
  <c r="D1728" i="2"/>
  <c r="C1732" i="2"/>
  <c r="F1731" i="2"/>
  <c r="H1729" i="2" a="1"/>
  <c r="H1729" i="2" s="1"/>
  <c r="K1729" i="2" a="1"/>
  <c r="K1729" i="2" s="1"/>
  <c r="I1729" i="2" a="1"/>
  <c r="I1729" i="2" s="1"/>
  <c r="J1729" i="2" a="1"/>
  <c r="J1729" i="2" s="1"/>
  <c r="A1730" i="2" a="1"/>
  <c r="A1730" i="2" s="1"/>
  <c r="B1730" i="2" a="1"/>
  <c r="B1730" i="2" s="1"/>
  <c r="D1729" i="2" a="1"/>
  <c r="G1730" i="3" l="1" a="1"/>
  <c r="G1730" i="3" s="1"/>
  <c r="A1730" i="3" a="1"/>
  <c r="A1730" i="3" s="1"/>
  <c r="B1730" i="3" a="1"/>
  <c r="B1730" i="3" s="1"/>
  <c r="M1731" i="3"/>
  <c r="L1731" i="3"/>
  <c r="F1731" i="3"/>
  <c r="C1732" i="3"/>
  <c r="G1731" i="3" a="1"/>
  <c r="G1731" i="3" s="1"/>
  <c r="J1731" i="3" s="1" a="1"/>
  <c r="J1731" i="3" s="1"/>
  <c r="D1729" i="2"/>
  <c r="B1731" i="2" a="1"/>
  <c r="B1731" i="2" s="1"/>
  <c r="A1731" i="2" a="1"/>
  <c r="A1731" i="2" s="1"/>
  <c r="I1730" i="2" a="1"/>
  <c r="I1730" i="2" s="1"/>
  <c r="K1730" i="2" a="1"/>
  <c r="K1730" i="2" s="1"/>
  <c r="H1730" i="2" a="1"/>
  <c r="H1730" i="2" s="1"/>
  <c r="J1730" i="2" a="1"/>
  <c r="J1730" i="2" s="1"/>
  <c r="C1733" i="2"/>
  <c r="F1732" i="2"/>
  <c r="D1730" i="2" a="1"/>
  <c r="K1731" i="3" l="1" a="1"/>
  <c r="K1731" i="3" s="1"/>
  <c r="H1731" i="3" a="1"/>
  <c r="H1731" i="3" s="1"/>
  <c r="I1731" i="3" a="1"/>
  <c r="I1731" i="3" s="1"/>
  <c r="F1732" i="3"/>
  <c r="C1733" i="3"/>
  <c r="L1732" i="3"/>
  <c r="M1732" i="3"/>
  <c r="A1731" i="3" a="1"/>
  <c r="A1731" i="3" s="1"/>
  <c r="B1731" i="3" a="1"/>
  <c r="B1731" i="3" s="1"/>
  <c r="H1730" i="3" a="1"/>
  <c r="H1730" i="3" s="1"/>
  <c r="I1730" i="3" a="1"/>
  <c r="I1730" i="3" s="1"/>
  <c r="K1730" i="3" a="1"/>
  <c r="K1730" i="3" s="1"/>
  <c r="J1730" i="3" a="1"/>
  <c r="J1730" i="3" s="1"/>
  <c r="D1730" i="2"/>
  <c r="A1732" i="2" a="1"/>
  <c r="A1732" i="2" s="1"/>
  <c r="B1732" i="2" a="1"/>
  <c r="B1732" i="2" s="1"/>
  <c r="H1731" i="2" a="1"/>
  <c r="H1731" i="2" s="1"/>
  <c r="K1731" i="2" a="1"/>
  <c r="K1731" i="2" s="1"/>
  <c r="J1731" i="2" a="1"/>
  <c r="J1731" i="2" s="1"/>
  <c r="I1731" i="2" a="1"/>
  <c r="I1731" i="2" s="1"/>
  <c r="C1734" i="2"/>
  <c r="F1733" i="2"/>
  <c r="D1731" i="3" a="1"/>
  <c r="D1730" i="3" a="1"/>
  <c r="D1731" i="2" a="1"/>
  <c r="D1730" i="3" l="1"/>
  <c r="D1731" i="3"/>
  <c r="B1732" i="3" a="1"/>
  <c r="B1732" i="3" s="1"/>
  <c r="A1732" i="3" a="1"/>
  <c r="A1732" i="3" s="1"/>
  <c r="G1732" i="3" a="1"/>
  <c r="G1732" i="3" s="1"/>
  <c r="L1733" i="3"/>
  <c r="C1734" i="3"/>
  <c r="F1733" i="3"/>
  <c r="M1733" i="3"/>
  <c r="D1731" i="2"/>
  <c r="A1733" i="2" a="1"/>
  <c r="A1733" i="2" s="1"/>
  <c r="B1733" i="2" a="1"/>
  <c r="B1733" i="2" s="1"/>
  <c r="J1732" i="2" a="1"/>
  <c r="J1732" i="2" s="1"/>
  <c r="K1732" i="2" a="1"/>
  <c r="K1732" i="2" s="1"/>
  <c r="H1732" i="2" a="1"/>
  <c r="H1732" i="2" s="1"/>
  <c r="I1732" i="2" a="1"/>
  <c r="I1732" i="2" s="1"/>
  <c r="C1735" i="2"/>
  <c r="F1734" i="2"/>
  <c r="D1732" i="2" a="1"/>
  <c r="F1734" i="3" l="1"/>
  <c r="M1734" i="3"/>
  <c r="L1734" i="3"/>
  <c r="C1735" i="3"/>
  <c r="G1734" i="3" a="1"/>
  <c r="G1734" i="3" s="1"/>
  <c r="J1734" i="3" a="1"/>
  <c r="J1734" i="3" s="1"/>
  <c r="K1732" i="3" a="1"/>
  <c r="K1732" i="3" s="1"/>
  <c r="H1732" i="3" a="1"/>
  <c r="H1732" i="3" s="1"/>
  <c r="I1732" i="3" a="1"/>
  <c r="I1732" i="3" s="1"/>
  <c r="J1732" i="3" a="1"/>
  <c r="J1732" i="3" s="1"/>
  <c r="B1733" i="3" a="1"/>
  <c r="B1733" i="3" s="1"/>
  <c r="A1733" i="3" a="1"/>
  <c r="A1733" i="3" s="1"/>
  <c r="G1733" i="3" a="1"/>
  <c r="G1733" i="3" s="1"/>
  <c r="D1732" i="2"/>
  <c r="A1734" i="2" a="1"/>
  <c r="A1734" i="2" s="1"/>
  <c r="B1734" i="2" a="1"/>
  <c r="B1734" i="2" s="1"/>
  <c r="K1733" i="2" a="1"/>
  <c r="K1733" i="2" s="1"/>
  <c r="H1733" i="2" a="1"/>
  <c r="H1733" i="2" s="1"/>
  <c r="I1733" i="2" a="1"/>
  <c r="I1733" i="2" s="1"/>
  <c r="J1733" i="2" a="1"/>
  <c r="J1733" i="2" s="1"/>
  <c r="C1736" i="2"/>
  <c r="F1735" i="2"/>
  <c r="D1732" i="3" a="1"/>
  <c r="D1733" i="2" a="1"/>
  <c r="D1732" i="3" l="1"/>
  <c r="H1734" i="3" a="1"/>
  <c r="H1734" i="3" s="1"/>
  <c r="I1734" i="3" a="1"/>
  <c r="I1734" i="3" s="1"/>
  <c r="K1734" i="3" a="1"/>
  <c r="K1734" i="3" s="1"/>
  <c r="C1736" i="3"/>
  <c r="G1735" i="3" a="1"/>
  <c r="G1735" i="3" s="1"/>
  <c r="F1735" i="3"/>
  <c r="M1735" i="3"/>
  <c r="L1735" i="3"/>
  <c r="J1735" i="3" a="1"/>
  <c r="J1735" i="3" s="1"/>
  <c r="K1733" i="3" a="1"/>
  <c r="K1733" i="3" s="1"/>
  <c r="I1733" i="3" a="1"/>
  <c r="I1733" i="3" s="1"/>
  <c r="H1733" i="3" a="1"/>
  <c r="H1733" i="3" s="1"/>
  <c r="J1733" i="3" a="1"/>
  <c r="J1733" i="3" s="1"/>
  <c r="A1734" i="3" a="1"/>
  <c r="A1734" i="3" s="1"/>
  <c r="B1734" i="3" a="1"/>
  <c r="B1734" i="3" s="1"/>
  <c r="D1733" i="2"/>
  <c r="A1735" i="2" a="1"/>
  <c r="A1735" i="2" s="1"/>
  <c r="B1735" i="2" a="1"/>
  <c r="B1735" i="2" s="1"/>
  <c r="C1737" i="2"/>
  <c r="F1736" i="2"/>
  <c r="J1734" i="2" a="1"/>
  <c r="J1734" i="2" s="1"/>
  <c r="I1734" i="2" a="1"/>
  <c r="I1734" i="2" s="1"/>
  <c r="H1734" i="2" a="1"/>
  <c r="H1734" i="2" s="1"/>
  <c r="K1734" i="2" a="1"/>
  <c r="K1734" i="2" s="1"/>
  <c r="D1733" i="3" a="1"/>
  <c r="D1734" i="3" a="1"/>
  <c r="D1734" i="2" a="1"/>
  <c r="D1734" i="3" l="1"/>
  <c r="D1733" i="3"/>
  <c r="B1735" i="3" a="1"/>
  <c r="B1735" i="3" s="1"/>
  <c r="A1735" i="3" a="1"/>
  <c r="A1735" i="3" s="1"/>
  <c r="K1735" i="3" a="1"/>
  <c r="K1735" i="3" s="1"/>
  <c r="H1735" i="3" a="1"/>
  <c r="H1735" i="3" s="1"/>
  <c r="I1735" i="3" a="1"/>
  <c r="I1735" i="3" s="1"/>
  <c r="L1736" i="3"/>
  <c r="M1736" i="3"/>
  <c r="F1736" i="3"/>
  <c r="G1736" i="3" a="1"/>
  <c r="G1736" i="3" s="1"/>
  <c r="C1737" i="3"/>
  <c r="D1734" i="2"/>
  <c r="A1736" i="2" a="1"/>
  <c r="A1736" i="2" s="1"/>
  <c r="B1736" i="2" a="1"/>
  <c r="B1736" i="2" s="1"/>
  <c r="C1738" i="2"/>
  <c r="F1737" i="2"/>
  <c r="I1735" i="2" a="1"/>
  <c r="I1735" i="2" s="1"/>
  <c r="K1735" i="2" a="1"/>
  <c r="K1735" i="2" s="1"/>
  <c r="H1735" i="2" a="1"/>
  <c r="H1735" i="2" s="1"/>
  <c r="J1735" i="2" a="1"/>
  <c r="J1735" i="2" s="1"/>
  <c r="D1735" i="3" a="1"/>
  <c r="D1735" i="2" a="1"/>
  <c r="D1735" i="3" l="1"/>
  <c r="K1736" i="3" a="1"/>
  <c r="K1736" i="3" s="1"/>
  <c r="I1736" i="3" a="1"/>
  <c r="I1736" i="3" s="1"/>
  <c r="H1736" i="3" a="1"/>
  <c r="H1736" i="3" s="1"/>
  <c r="A1736" i="3" a="1"/>
  <c r="A1736" i="3" s="1"/>
  <c r="B1736" i="3" a="1"/>
  <c r="B1736" i="3" s="1"/>
  <c r="C1738" i="3"/>
  <c r="F1737" i="3"/>
  <c r="M1737" i="3"/>
  <c r="L1737" i="3"/>
  <c r="G1737" i="3" a="1"/>
  <c r="G1737" i="3" s="1"/>
  <c r="J1737" i="3" s="1" a="1"/>
  <c r="J1737" i="3" s="1"/>
  <c r="J1736" i="3" a="1"/>
  <c r="J1736" i="3" s="1"/>
  <c r="D1735" i="2"/>
  <c r="I1736" i="2" a="1"/>
  <c r="I1736" i="2" s="1"/>
  <c r="K1736" i="2" a="1"/>
  <c r="K1736" i="2" s="1"/>
  <c r="H1736" i="2" a="1"/>
  <c r="H1736" i="2" s="1"/>
  <c r="J1736" i="2" a="1"/>
  <c r="J1736" i="2" s="1"/>
  <c r="B1737" i="2" a="1"/>
  <c r="B1737" i="2" s="1"/>
  <c r="A1737" i="2" a="1"/>
  <c r="A1737" i="2" s="1"/>
  <c r="C1739" i="2"/>
  <c r="F1738" i="2"/>
  <c r="D1736" i="3" a="1"/>
  <c r="D1736" i="2" a="1"/>
  <c r="D1736" i="3" l="1"/>
  <c r="A1737" i="3" a="1"/>
  <c r="A1737" i="3" s="1"/>
  <c r="B1737" i="3" a="1"/>
  <c r="B1737" i="3" s="1"/>
  <c r="K1737" i="3" a="1"/>
  <c r="K1737" i="3" s="1"/>
  <c r="H1737" i="3" a="1"/>
  <c r="H1737" i="3" s="1"/>
  <c r="I1737" i="3" a="1"/>
  <c r="I1737" i="3" s="1"/>
  <c r="F1738" i="3"/>
  <c r="M1738" i="3"/>
  <c r="L1738" i="3"/>
  <c r="C1739" i="3"/>
  <c r="D1736" i="2"/>
  <c r="C1740" i="2"/>
  <c r="F1739" i="2"/>
  <c r="A1738" i="2" a="1"/>
  <c r="A1738" i="2" s="1"/>
  <c r="B1738" i="2" a="1"/>
  <c r="B1738" i="2" s="1"/>
  <c r="J1737" i="2" a="1"/>
  <c r="J1737" i="2" s="1"/>
  <c r="K1737" i="2" a="1"/>
  <c r="K1737" i="2" s="1"/>
  <c r="H1737" i="2" a="1"/>
  <c r="H1737" i="2" s="1"/>
  <c r="I1737" i="2" a="1"/>
  <c r="I1737" i="2" s="1"/>
  <c r="D1737" i="3" a="1"/>
  <c r="D1737" i="2" a="1"/>
  <c r="D1737" i="3" l="1"/>
  <c r="C1740" i="3"/>
  <c r="F1739" i="3"/>
  <c r="L1739" i="3"/>
  <c r="M1739" i="3"/>
  <c r="G1739" i="3" a="1"/>
  <c r="G1739" i="3" s="1"/>
  <c r="G1738" i="3" a="1"/>
  <c r="G1738" i="3" s="1"/>
  <c r="B1738" i="3" a="1"/>
  <c r="B1738" i="3" s="1"/>
  <c r="A1738" i="3" a="1"/>
  <c r="A1738" i="3" s="1"/>
  <c r="D1737" i="2"/>
  <c r="H1738" i="2" a="1"/>
  <c r="H1738" i="2" s="1"/>
  <c r="K1738" i="2" a="1"/>
  <c r="K1738" i="2" s="1"/>
  <c r="J1738" i="2" a="1"/>
  <c r="J1738" i="2" s="1"/>
  <c r="I1738" i="2" a="1"/>
  <c r="I1738" i="2" s="1"/>
  <c r="B1739" i="2" a="1"/>
  <c r="B1739" i="2" s="1"/>
  <c r="A1739" i="2" a="1"/>
  <c r="A1739" i="2" s="1"/>
  <c r="C1741" i="2"/>
  <c r="F1740" i="2"/>
  <c r="D1738" i="2" a="1"/>
  <c r="H1738" i="3" l="1" a="1"/>
  <c r="H1738" i="3" s="1"/>
  <c r="K1738" i="3" a="1"/>
  <c r="K1738" i="3" s="1"/>
  <c r="I1738" i="3" a="1"/>
  <c r="I1738" i="3" s="1"/>
  <c r="J1738" i="3" a="1"/>
  <c r="J1738" i="3" s="1"/>
  <c r="C1741" i="3"/>
  <c r="F1740" i="3"/>
  <c r="G1740" i="3" s="1" a="1"/>
  <c r="G1740" i="3" s="1"/>
  <c r="M1740" i="3"/>
  <c r="L1740" i="3"/>
  <c r="J1739" i="3" a="1"/>
  <c r="J1739" i="3" s="1"/>
  <c r="I1739" i="3" a="1"/>
  <c r="I1739" i="3" s="1"/>
  <c r="K1739" i="3" a="1"/>
  <c r="K1739" i="3" s="1"/>
  <c r="H1739" i="3" a="1"/>
  <c r="H1739" i="3" s="1"/>
  <c r="A1739" i="3" a="1"/>
  <c r="A1739" i="3" s="1"/>
  <c r="B1739" i="3" a="1"/>
  <c r="B1739" i="3" s="1"/>
  <c r="D1738" i="2"/>
  <c r="A1740" i="2" a="1"/>
  <c r="A1740" i="2" s="1"/>
  <c r="B1740" i="2" a="1"/>
  <c r="B1740" i="2" s="1"/>
  <c r="C1742" i="2"/>
  <c r="F1741" i="2"/>
  <c r="I1739" i="2" a="1"/>
  <c r="I1739" i="2" s="1"/>
  <c r="K1739" i="2" a="1"/>
  <c r="K1739" i="2" s="1"/>
  <c r="H1739" i="2" a="1"/>
  <c r="H1739" i="2" s="1"/>
  <c r="J1739" i="2" a="1"/>
  <c r="J1739" i="2" s="1"/>
  <c r="D1738" i="3" a="1"/>
  <c r="D1739" i="3" a="1"/>
  <c r="D1739" i="2" a="1"/>
  <c r="D1739" i="3" l="1"/>
  <c r="D1738" i="3"/>
  <c r="J1740" i="3" a="1"/>
  <c r="J1740" i="3" s="1"/>
  <c r="K1740" i="3" a="1"/>
  <c r="K1740" i="3" s="1"/>
  <c r="H1740" i="3" a="1"/>
  <c r="H1740" i="3" s="1"/>
  <c r="I1740" i="3" a="1"/>
  <c r="I1740" i="3" s="1"/>
  <c r="M1741" i="3"/>
  <c r="L1741" i="3"/>
  <c r="C1742" i="3"/>
  <c r="F1741" i="3"/>
  <c r="A1740" i="3" a="1"/>
  <c r="A1740" i="3" s="1"/>
  <c r="B1740" i="3" a="1"/>
  <c r="B1740" i="3" s="1"/>
  <c r="D1739" i="2"/>
  <c r="C1743" i="2"/>
  <c r="F1742" i="2"/>
  <c r="A1741" i="2" a="1"/>
  <c r="A1741" i="2" s="1"/>
  <c r="B1741" i="2" a="1"/>
  <c r="B1741" i="2" s="1"/>
  <c r="I1740" i="2" a="1"/>
  <c r="I1740" i="2" s="1"/>
  <c r="H1740" i="2" a="1"/>
  <c r="H1740" i="2" s="1"/>
  <c r="J1740" i="2" a="1"/>
  <c r="J1740" i="2" s="1"/>
  <c r="K1740" i="2" a="1"/>
  <c r="K1740" i="2" s="1"/>
  <c r="D1740" i="3" a="1"/>
  <c r="D1740" i="2" a="1"/>
  <c r="D1740" i="3" l="1"/>
  <c r="B1741" i="3" a="1"/>
  <c r="B1741" i="3" s="1"/>
  <c r="A1741" i="3" a="1"/>
  <c r="A1741" i="3" s="1"/>
  <c r="G1741" i="3" a="1"/>
  <c r="G1741" i="3" s="1"/>
  <c r="C1743" i="3"/>
  <c r="L1742" i="3"/>
  <c r="F1742" i="3"/>
  <c r="G1742" i="3" a="1"/>
  <c r="G1742" i="3" s="1"/>
  <c r="M1742" i="3"/>
  <c r="D1740" i="2"/>
  <c r="A1742" i="2" a="1"/>
  <c r="A1742" i="2" s="1"/>
  <c r="B1742" i="2" a="1"/>
  <c r="B1742" i="2" s="1"/>
  <c r="K1741" i="2" a="1"/>
  <c r="K1741" i="2" s="1"/>
  <c r="J1741" i="2" a="1"/>
  <c r="J1741" i="2" s="1"/>
  <c r="H1741" i="2" a="1"/>
  <c r="H1741" i="2" s="1"/>
  <c r="I1741" i="2" a="1"/>
  <c r="I1741" i="2" s="1"/>
  <c r="C1744" i="2"/>
  <c r="F1743" i="2"/>
  <c r="D1741" i="2" a="1"/>
  <c r="J1742" i="3" l="1" a="1"/>
  <c r="J1742" i="3" s="1"/>
  <c r="I1742" i="3" a="1"/>
  <c r="I1742" i="3" s="1"/>
  <c r="H1742" i="3" a="1"/>
  <c r="H1742" i="3" s="1"/>
  <c r="K1742" i="3" a="1"/>
  <c r="K1742" i="3" s="1"/>
  <c r="K1741" i="3" a="1"/>
  <c r="K1741" i="3" s="1"/>
  <c r="H1741" i="3" a="1"/>
  <c r="H1741" i="3" s="1"/>
  <c r="I1741" i="3" a="1"/>
  <c r="I1741" i="3" s="1"/>
  <c r="J1741" i="3" a="1"/>
  <c r="J1741" i="3" s="1"/>
  <c r="A1742" i="3" a="1"/>
  <c r="A1742" i="3" s="1"/>
  <c r="B1742" i="3" a="1"/>
  <c r="B1742" i="3" s="1"/>
  <c r="L1743" i="3"/>
  <c r="M1743" i="3"/>
  <c r="C1744" i="3"/>
  <c r="F1743" i="3"/>
  <c r="G1743" i="3" s="1" a="1"/>
  <c r="G1743" i="3" s="1"/>
  <c r="D1741" i="2"/>
  <c r="C1745" i="2"/>
  <c r="F1744" i="2"/>
  <c r="A1743" i="2" a="1"/>
  <c r="A1743" i="2" s="1"/>
  <c r="B1743" i="2" a="1"/>
  <c r="B1743" i="2" s="1"/>
  <c r="H1742" i="2" a="1"/>
  <c r="H1742" i="2" s="1"/>
  <c r="K1742" i="2" a="1"/>
  <c r="K1742" i="2" s="1"/>
  <c r="I1742" i="2" a="1"/>
  <c r="I1742" i="2" s="1"/>
  <c r="J1742" i="2" a="1"/>
  <c r="J1742" i="2" s="1"/>
  <c r="D1742" i="3" a="1"/>
  <c r="D1741" i="3" a="1"/>
  <c r="D1742" i="2" a="1"/>
  <c r="D1741" i="3" l="1"/>
  <c r="D1742" i="3"/>
  <c r="K1743" i="3" a="1"/>
  <c r="K1743" i="3" s="1"/>
  <c r="H1743" i="3" a="1"/>
  <c r="H1743" i="3" s="1"/>
  <c r="I1743" i="3" a="1"/>
  <c r="I1743" i="3" s="1"/>
  <c r="J1743" i="3" a="1"/>
  <c r="J1743" i="3" s="1"/>
  <c r="B1743" i="3" a="1"/>
  <c r="B1743" i="3" s="1"/>
  <c r="A1743" i="3" a="1"/>
  <c r="A1743" i="3" s="1"/>
  <c r="F1744" i="3"/>
  <c r="M1744" i="3"/>
  <c r="L1744" i="3"/>
  <c r="C1745" i="3"/>
  <c r="D1742" i="2"/>
  <c r="J1743" i="2" a="1"/>
  <c r="J1743" i="2" s="1"/>
  <c r="K1743" i="2" a="1"/>
  <c r="K1743" i="2" s="1"/>
  <c r="H1743" i="2" a="1"/>
  <c r="H1743" i="2" s="1"/>
  <c r="I1743" i="2" a="1"/>
  <c r="I1743" i="2" s="1"/>
  <c r="B1744" i="2" a="1"/>
  <c r="B1744" i="2" s="1"/>
  <c r="A1744" i="2" a="1"/>
  <c r="A1744" i="2" s="1"/>
  <c r="C1746" i="2"/>
  <c r="F1745" i="2"/>
  <c r="D1743" i="3" a="1"/>
  <c r="D1743" i="2" a="1"/>
  <c r="D1743" i="3" l="1"/>
  <c r="B1744" i="3" a="1"/>
  <c r="B1744" i="3" s="1"/>
  <c r="A1744" i="3" a="1"/>
  <c r="A1744" i="3" s="1"/>
  <c r="G1744" i="3" a="1"/>
  <c r="G1744" i="3" s="1"/>
  <c r="M1745" i="3"/>
  <c r="C1746" i="3"/>
  <c r="L1745" i="3"/>
  <c r="F1745" i="3"/>
  <c r="G1745" i="3" s="1" a="1"/>
  <c r="G1745" i="3" s="1"/>
  <c r="D1743" i="2"/>
  <c r="H1744" i="2" a="1"/>
  <c r="H1744" i="2" s="1"/>
  <c r="I1744" i="2" a="1"/>
  <c r="I1744" i="2" s="1"/>
  <c r="J1744" i="2" a="1"/>
  <c r="J1744" i="2" s="1"/>
  <c r="K1744" i="2" a="1"/>
  <c r="K1744" i="2" s="1"/>
  <c r="A1745" i="2" a="1"/>
  <c r="A1745" i="2" s="1"/>
  <c r="B1745" i="2" a="1"/>
  <c r="B1745" i="2" s="1"/>
  <c r="C1747" i="2"/>
  <c r="F1746" i="2"/>
  <c r="D1744" i="2" a="1"/>
  <c r="K1745" i="3" l="1" a="1"/>
  <c r="K1745" i="3" s="1"/>
  <c r="H1745" i="3" a="1"/>
  <c r="H1745" i="3" s="1"/>
  <c r="I1745" i="3" a="1"/>
  <c r="I1745" i="3" s="1"/>
  <c r="J1745" i="3" a="1"/>
  <c r="J1745" i="3" s="1"/>
  <c r="A1745" i="3" a="1"/>
  <c r="A1745" i="3" s="1"/>
  <c r="B1745" i="3" a="1"/>
  <c r="B1745" i="3" s="1"/>
  <c r="H1744" i="3" a="1"/>
  <c r="H1744" i="3" s="1"/>
  <c r="I1744" i="3" a="1"/>
  <c r="I1744" i="3" s="1"/>
  <c r="K1744" i="3" a="1"/>
  <c r="K1744" i="3" s="1"/>
  <c r="J1744" i="3" a="1"/>
  <c r="J1744" i="3" s="1"/>
  <c r="C1747" i="3"/>
  <c r="G1746" i="3" a="1"/>
  <c r="G1746" i="3" s="1"/>
  <c r="L1746" i="3"/>
  <c r="F1746" i="3"/>
  <c r="M1746" i="3"/>
  <c r="D1744" i="2"/>
  <c r="A1746" i="2" a="1"/>
  <c r="A1746" i="2" s="1"/>
  <c r="B1746" i="2" a="1"/>
  <c r="B1746" i="2" s="1"/>
  <c r="C1748" i="2"/>
  <c r="F1747" i="2"/>
  <c r="J1745" i="2" a="1"/>
  <c r="J1745" i="2" s="1"/>
  <c r="K1745" i="2" a="1"/>
  <c r="K1745" i="2" s="1"/>
  <c r="I1745" i="2" a="1"/>
  <c r="I1745" i="2" s="1"/>
  <c r="H1745" i="2" a="1"/>
  <c r="H1745" i="2" s="1"/>
  <c r="D1745" i="3" a="1"/>
  <c r="D1744" i="3" a="1"/>
  <c r="D1745" i="2" a="1"/>
  <c r="D1744" i="3" l="1"/>
  <c r="D1745" i="3"/>
  <c r="C1748" i="3"/>
  <c r="F1747" i="3"/>
  <c r="M1747" i="3"/>
  <c r="L1747" i="3"/>
  <c r="G1747" i="3" a="1"/>
  <c r="G1747" i="3" s="1"/>
  <c r="K1746" i="3" a="1"/>
  <c r="K1746" i="3" s="1"/>
  <c r="H1746" i="3" a="1"/>
  <c r="H1746" i="3" s="1"/>
  <c r="I1746" i="3" a="1"/>
  <c r="I1746" i="3" s="1"/>
  <c r="J1746" i="3" a="1"/>
  <c r="J1746" i="3" s="1"/>
  <c r="B1746" i="3" a="1"/>
  <c r="B1746" i="3" s="1"/>
  <c r="A1746" i="3" a="1"/>
  <c r="A1746" i="3" s="1"/>
  <c r="D1745" i="2"/>
  <c r="A1747" i="2" a="1"/>
  <c r="A1747" i="2" s="1"/>
  <c r="B1747" i="2" a="1"/>
  <c r="B1747" i="2" s="1"/>
  <c r="C1749" i="2"/>
  <c r="F1748" i="2"/>
  <c r="H1746" i="2" a="1"/>
  <c r="H1746" i="2" s="1"/>
  <c r="I1746" i="2" a="1"/>
  <c r="I1746" i="2" s="1"/>
  <c r="J1746" i="2" a="1"/>
  <c r="J1746" i="2" s="1"/>
  <c r="K1746" i="2" a="1"/>
  <c r="K1746" i="2" s="1"/>
  <c r="D1746" i="3" a="1"/>
  <c r="D1746" i="2" a="1"/>
  <c r="D1746" i="3" l="1"/>
  <c r="K1747" i="3" a="1"/>
  <c r="K1747" i="3" s="1"/>
  <c r="I1747" i="3" a="1"/>
  <c r="I1747" i="3" s="1"/>
  <c r="H1747" i="3" a="1"/>
  <c r="H1747" i="3" s="1"/>
  <c r="B1747" i="3" a="1"/>
  <c r="B1747" i="3" s="1"/>
  <c r="A1747" i="3" a="1"/>
  <c r="A1747" i="3" s="1"/>
  <c r="M1748" i="3"/>
  <c r="C1749" i="3"/>
  <c r="F1748" i="3"/>
  <c r="G1748" i="3" a="1"/>
  <c r="G1748" i="3" s="1"/>
  <c r="J1748" i="3" s="1" a="1"/>
  <c r="J1748" i="3" s="1"/>
  <c r="L1748" i="3"/>
  <c r="J1747" i="3" a="1"/>
  <c r="J1747" i="3" s="1"/>
  <c r="D1746" i="2"/>
  <c r="A1748" i="2" a="1"/>
  <c r="A1748" i="2" s="1"/>
  <c r="B1748" i="2" a="1"/>
  <c r="B1748" i="2" s="1"/>
  <c r="C1750" i="2"/>
  <c r="F1749" i="2"/>
  <c r="I1747" i="2" a="1"/>
  <c r="I1747" i="2" s="1"/>
  <c r="H1747" i="2" a="1"/>
  <c r="H1747" i="2" s="1"/>
  <c r="J1747" i="2" a="1"/>
  <c r="J1747" i="2" s="1"/>
  <c r="K1747" i="2" a="1"/>
  <c r="K1747" i="2" s="1"/>
  <c r="D1747" i="3" a="1"/>
  <c r="D1747" i="2" a="1"/>
  <c r="D1747" i="3" l="1"/>
  <c r="A1748" i="3" a="1"/>
  <c r="A1748" i="3" s="1"/>
  <c r="B1748" i="3" a="1"/>
  <c r="B1748" i="3" s="1"/>
  <c r="I1748" i="3" a="1"/>
  <c r="I1748" i="3" s="1"/>
  <c r="H1748" i="3" a="1"/>
  <c r="H1748" i="3" s="1"/>
  <c r="K1748" i="3" a="1"/>
  <c r="K1748" i="3" s="1"/>
  <c r="L1749" i="3"/>
  <c r="F1749" i="3"/>
  <c r="G1749" i="3" s="1" a="1"/>
  <c r="G1749" i="3" s="1"/>
  <c r="M1749" i="3"/>
  <c r="C1750" i="3"/>
  <c r="D1747" i="2"/>
  <c r="C1751" i="2"/>
  <c r="F1750" i="2"/>
  <c r="K1748" i="2" a="1"/>
  <c r="K1748" i="2" s="1"/>
  <c r="I1748" i="2" a="1"/>
  <c r="I1748" i="2" s="1"/>
  <c r="H1748" i="2" a="1"/>
  <c r="H1748" i="2" s="1"/>
  <c r="J1748" i="2" a="1"/>
  <c r="J1748" i="2" s="1"/>
  <c r="A1749" i="2" a="1"/>
  <c r="A1749" i="2" s="1"/>
  <c r="B1749" i="2" a="1"/>
  <c r="B1749" i="2" s="1"/>
  <c r="D1748" i="3" a="1"/>
  <c r="D1748" i="2" a="1"/>
  <c r="D1748" i="3" l="1"/>
  <c r="J1749" i="3" a="1"/>
  <c r="J1749" i="3" s="1"/>
  <c r="K1749" i="3" a="1"/>
  <c r="K1749" i="3" s="1"/>
  <c r="H1749" i="3" a="1"/>
  <c r="H1749" i="3" s="1"/>
  <c r="I1749" i="3" a="1"/>
  <c r="I1749" i="3" s="1"/>
  <c r="L1750" i="3"/>
  <c r="C1751" i="3"/>
  <c r="M1750" i="3"/>
  <c r="F1750" i="3"/>
  <c r="B1749" i="3" a="1"/>
  <c r="B1749" i="3" s="1"/>
  <c r="A1749" i="3" a="1"/>
  <c r="A1749" i="3" s="1"/>
  <c r="D1748" i="2"/>
  <c r="H1749" i="2" a="1"/>
  <c r="H1749" i="2" s="1"/>
  <c r="I1749" i="2" a="1"/>
  <c r="I1749" i="2" s="1"/>
  <c r="K1749" i="2" a="1"/>
  <c r="K1749" i="2" s="1"/>
  <c r="J1749" i="2" a="1"/>
  <c r="J1749" i="2" s="1"/>
  <c r="B1750" i="2" a="1"/>
  <c r="B1750" i="2" s="1"/>
  <c r="A1750" i="2" a="1"/>
  <c r="A1750" i="2" s="1"/>
  <c r="C1752" i="2"/>
  <c r="F1751" i="2"/>
  <c r="D1749" i="3" a="1"/>
  <c r="D1749" i="2" a="1"/>
  <c r="D1749" i="3" l="1"/>
  <c r="L1751" i="3"/>
  <c r="F1751" i="3"/>
  <c r="M1751" i="3"/>
  <c r="C1752" i="3"/>
  <c r="G1751" i="3" a="1"/>
  <c r="G1751" i="3" s="1"/>
  <c r="J1751" i="3" s="1" a="1"/>
  <c r="J1751" i="3" s="1"/>
  <c r="G1750" i="3" a="1"/>
  <c r="G1750" i="3" s="1"/>
  <c r="B1750" i="3" a="1"/>
  <c r="B1750" i="3" s="1"/>
  <c r="A1750" i="3" a="1"/>
  <c r="A1750" i="3" s="1"/>
  <c r="D1749" i="2"/>
  <c r="B1751" i="2" a="1"/>
  <c r="B1751" i="2" s="1"/>
  <c r="A1751" i="2" a="1"/>
  <c r="A1751" i="2" s="1"/>
  <c r="C1753" i="2"/>
  <c r="F1752" i="2"/>
  <c r="I1750" i="2" a="1"/>
  <c r="I1750" i="2" s="1"/>
  <c r="H1750" i="2" a="1"/>
  <c r="H1750" i="2" s="1"/>
  <c r="K1750" i="2" a="1"/>
  <c r="K1750" i="2" s="1"/>
  <c r="J1750" i="2" a="1"/>
  <c r="J1750" i="2" s="1"/>
  <c r="D1750" i="2" a="1"/>
  <c r="K1750" i="3" l="1" a="1"/>
  <c r="K1750" i="3" s="1"/>
  <c r="I1750" i="3" a="1"/>
  <c r="I1750" i="3" s="1"/>
  <c r="H1750" i="3" a="1"/>
  <c r="H1750" i="3" s="1"/>
  <c r="J1750" i="3" a="1"/>
  <c r="J1750" i="3" s="1"/>
  <c r="L1752" i="3"/>
  <c r="F1752" i="3"/>
  <c r="M1752" i="3"/>
  <c r="J1752" i="3" a="1"/>
  <c r="J1752" i="3" s="1"/>
  <c r="C1753" i="3"/>
  <c r="G1752" i="3" a="1"/>
  <c r="G1752" i="3" s="1"/>
  <c r="H1751" i="3" a="1"/>
  <c r="H1751" i="3" s="1"/>
  <c r="I1751" i="3" a="1"/>
  <c r="I1751" i="3" s="1"/>
  <c r="K1751" i="3" a="1"/>
  <c r="K1751" i="3" s="1"/>
  <c r="A1751" i="3" a="1"/>
  <c r="A1751" i="3" s="1"/>
  <c r="B1751" i="3" a="1"/>
  <c r="B1751" i="3" s="1"/>
  <c r="D1750" i="2"/>
  <c r="C1754" i="2"/>
  <c r="F1753" i="2"/>
  <c r="I1751" i="2" a="1"/>
  <c r="I1751" i="2" s="1"/>
  <c r="K1751" i="2" a="1"/>
  <c r="K1751" i="2" s="1"/>
  <c r="H1751" i="2" a="1"/>
  <c r="H1751" i="2" s="1"/>
  <c r="J1751" i="2" a="1"/>
  <c r="J1751" i="2" s="1"/>
  <c r="A1752" i="2" a="1"/>
  <c r="A1752" i="2" s="1"/>
  <c r="B1752" i="2" a="1"/>
  <c r="B1752" i="2" s="1"/>
  <c r="D1751" i="3" a="1"/>
  <c r="D1750" i="3" a="1"/>
  <c r="D1751" i="2" a="1"/>
  <c r="D1750" i="3" l="1"/>
  <c r="D1751" i="3"/>
  <c r="K1752" i="3" a="1"/>
  <c r="K1752" i="3" s="1"/>
  <c r="I1752" i="3" a="1"/>
  <c r="I1752" i="3" s="1"/>
  <c r="H1752" i="3" a="1"/>
  <c r="H1752" i="3" s="1"/>
  <c r="C1754" i="3"/>
  <c r="F1753" i="3"/>
  <c r="M1753" i="3"/>
  <c r="L1753" i="3"/>
  <c r="A1752" i="3" a="1"/>
  <c r="A1752" i="3" s="1"/>
  <c r="B1752" i="3" a="1"/>
  <c r="B1752" i="3" s="1"/>
  <c r="D1751" i="2"/>
  <c r="J1752" i="2" a="1"/>
  <c r="J1752" i="2" s="1"/>
  <c r="K1752" i="2" a="1"/>
  <c r="K1752" i="2" s="1"/>
  <c r="I1752" i="2" a="1"/>
  <c r="I1752" i="2" s="1"/>
  <c r="H1752" i="2" a="1"/>
  <c r="H1752" i="2" s="1"/>
  <c r="B1753" i="2" a="1"/>
  <c r="B1753" i="2" s="1"/>
  <c r="A1753" i="2" a="1"/>
  <c r="A1753" i="2" s="1"/>
  <c r="C1755" i="2"/>
  <c r="F1754" i="2"/>
  <c r="D1752" i="3" a="1"/>
  <c r="D1752" i="2" a="1"/>
  <c r="D1752" i="3" l="1"/>
  <c r="C1755" i="3"/>
  <c r="L1754" i="3"/>
  <c r="F1754" i="3"/>
  <c r="M1754" i="3"/>
  <c r="G1753" i="3" a="1"/>
  <c r="G1753" i="3" s="1"/>
  <c r="A1753" i="3" a="1"/>
  <c r="A1753" i="3" s="1"/>
  <c r="B1753" i="3" a="1"/>
  <c r="B1753" i="3" s="1"/>
  <c r="D1752" i="2"/>
  <c r="C1756" i="2"/>
  <c r="F1755" i="2"/>
  <c r="I1753" i="2" a="1"/>
  <c r="I1753" i="2" s="1"/>
  <c r="H1753" i="2" a="1"/>
  <c r="H1753" i="2" s="1"/>
  <c r="K1753" i="2" a="1"/>
  <c r="K1753" i="2" s="1"/>
  <c r="J1753" i="2" a="1"/>
  <c r="J1753" i="2" s="1"/>
  <c r="B1754" i="2" a="1"/>
  <c r="B1754" i="2" s="1"/>
  <c r="A1754" i="2" a="1"/>
  <c r="A1754" i="2" s="1"/>
  <c r="D1753" i="2" a="1"/>
  <c r="F1755" i="3" l="1"/>
  <c r="M1755" i="3"/>
  <c r="G1755" i="3" a="1"/>
  <c r="G1755" i="3" s="1"/>
  <c r="L1755" i="3"/>
  <c r="C1756" i="3"/>
  <c r="K1753" i="3" a="1"/>
  <c r="K1753" i="3" s="1"/>
  <c r="H1753" i="3" a="1"/>
  <c r="H1753" i="3" s="1"/>
  <c r="I1753" i="3" a="1"/>
  <c r="I1753" i="3" s="1"/>
  <c r="J1753" i="3" a="1"/>
  <c r="J1753" i="3" s="1"/>
  <c r="A1754" i="3" a="1"/>
  <c r="A1754" i="3" s="1"/>
  <c r="B1754" i="3" a="1"/>
  <c r="B1754" i="3" s="1"/>
  <c r="G1754" i="3" a="1"/>
  <c r="G1754" i="3" s="1"/>
  <c r="D1753" i="2"/>
  <c r="K1754" i="2" a="1"/>
  <c r="K1754" i="2" s="1"/>
  <c r="H1754" i="2" a="1"/>
  <c r="H1754" i="2" s="1"/>
  <c r="J1754" i="2" a="1"/>
  <c r="J1754" i="2" s="1"/>
  <c r="I1754" i="2" a="1"/>
  <c r="I1754" i="2" s="1"/>
  <c r="B1755" i="2" a="1"/>
  <c r="B1755" i="2" s="1"/>
  <c r="A1755" i="2" a="1"/>
  <c r="A1755" i="2" s="1"/>
  <c r="C1757" i="2"/>
  <c r="F1756" i="2"/>
  <c r="D1753" i="3" a="1"/>
  <c r="D1754" i="2" a="1"/>
  <c r="D1753" i="3" l="1"/>
  <c r="K1755" i="3" a="1"/>
  <c r="K1755" i="3" s="1"/>
  <c r="I1755" i="3" a="1"/>
  <c r="I1755" i="3" s="1"/>
  <c r="H1755" i="3" a="1"/>
  <c r="H1755" i="3" s="1"/>
  <c r="J1755" i="3" a="1"/>
  <c r="J1755" i="3" s="1"/>
  <c r="C1757" i="3"/>
  <c r="L1756" i="3"/>
  <c r="M1756" i="3"/>
  <c r="F1756" i="3"/>
  <c r="G1756" i="3" a="1"/>
  <c r="G1756" i="3" s="1"/>
  <c r="J1756" i="3" s="1" a="1"/>
  <c r="J1756" i="3" s="1"/>
  <c r="J1754" i="3" a="1"/>
  <c r="J1754" i="3" s="1"/>
  <c r="H1754" i="3" a="1"/>
  <c r="H1754" i="3" s="1"/>
  <c r="K1754" i="3" a="1"/>
  <c r="K1754" i="3" s="1"/>
  <c r="I1754" i="3" a="1"/>
  <c r="I1754" i="3" s="1"/>
  <c r="B1755" i="3" a="1"/>
  <c r="B1755" i="3" s="1"/>
  <c r="A1755" i="3" a="1"/>
  <c r="A1755" i="3" s="1"/>
  <c r="D1754" i="2"/>
  <c r="C1758" i="2"/>
  <c r="F1757" i="2"/>
  <c r="K1755" i="2" a="1"/>
  <c r="K1755" i="2" s="1"/>
  <c r="J1755" i="2" a="1"/>
  <c r="J1755" i="2" s="1"/>
  <c r="I1755" i="2" a="1"/>
  <c r="I1755" i="2" s="1"/>
  <c r="H1755" i="2" a="1"/>
  <c r="H1755" i="2" s="1"/>
  <c r="B1756" i="2" a="1"/>
  <c r="B1756" i="2" s="1"/>
  <c r="A1756" i="2" a="1"/>
  <c r="A1756" i="2" s="1"/>
  <c r="D1754" i="3" a="1"/>
  <c r="D1755" i="3" a="1"/>
  <c r="D1755" i="2" a="1"/>
  <c r="D1755" i="3" l="1"/>
  <c r="D1754" i="3"/>
  <c r="B1756" i="3" a="1"/>
  <c r="B1756" i="3" s="1"/>
  <c r="A1756" i="3" a="1"/>
  <c r="A1756" i="3" s="1"/>
  <c r="H1756" i="3" a="1"/>
  <c r="H1756" i="3" s="1"/>
  <c r="I1756" i="3" a="1"/>
  <c r="I1756" i="3" s="1"/>
  <c r="K1756" i="3" a="1"/>
  <c r="K1756" i="3" s="1"/>
  <c r="C1758" i="3"/>
  <c r="L1757" i="3"/>
  <c r="F1757" i="3"/>
  <c r="M1757" i="3"/>
  <c r="G1757" i="3" a="1"/>
  <c r="G1757" i="3" s="1"/>
  <c r="D1755" i="2"/>
  <c r="J1756" i="2" a="1"/>
  <c r="J1756" i="2" s="1"/>
  <c r="H1756" i="2" a="1"/>
  <c r="H1756" i="2" s="1"/>
  <c r="K1756" i="2" a="1"/>
  <c r="K1756" i="2" s="1"/>
  <c r="I1756" i="2" a="1"/>
  <c r="I1756" i="2" s="1"/>
  <c r="A1757" i="2" a="1"/>
  <c r="A1757" i="2" s="1"/>
  <c r="B1757" i="2" a="1"/>
  <c r="B1757" i="2" s="1"/>
  <c r="C1759" i="2"/>
  <c r="F1758" i="2"/>
  <c r="D1756" i="3" a="1"/>
  <c r="D1756" i="2" a="1"/>
  <c r="D1756" i="3" l="1"/>
  <c r="I1757" i="3" a="1"/>
  <c r="I1757" i="3" s="1"/>
  <c r="K1757" i="3" a="1"/>
  <c r="K1757" i="3" s="1"/>
  <c r="H1757" i="3" a="1"/>
  <c r="H1757" i="3" s="1"/>
  <c r="A1757" i="3" a="1"/>
  <c r="A1757" i="3" s="1"/>
  <c r="B1757" i="3" a="1"/>
  <c r="B1757" i="3" s="1"/>
  <c r="F1758" i="3"/>
  <c r="G1758" i="3" a="1"/>
  <c r="G1758" i="3" s="1"/>
  <c r="L1758" i="3"/>
  <c r="C1759" i="3"/>
  <c r="M1758" i="3"/>
  <c r="J1758" i="3" a="1"/>
  <c r="J1758" i="3" s="1"/>
  <c r="J1757" i="3" a="1"/>
  <c r="J1757" i="3" s="1"/>
  <c r="D1756" i="2"/>
  <c r="C1760" i="2"/>
  <c r="F1759" i="2"/>
  <c r="K1757" i="2" a="1"/>
  <c r="K1757" i="2" s="1"/>
  <c r="J1757" i="2" a="1"/>
  <c r="J1757" i="2" s="1"/>
  <c r="I1757" i="2" a="1"/>
  <c r="I1757" i="2" s="1"/>
  <c r="H1757" i="2" a="1"/>
  <c r="H1757" i="2" s="1"/>
  <c r="B1758" i="2" a="1"/>
  <c r="B1758" i="2" s="1"/>
  <c r="A1758" i="2" a="1"/>
  <c r="A1758" i="2" s="1"/>
  <c r="D1757" i="3" a="1"/>
  <c r="D1757" i="2" a="1"/>
  <c r="D1757" i="3" l="1"/>
  <c r="F1759" i="3"/>
  <c r="M1759" i="3"/>
  <c r="C1760" i="3"/>
  <c r="L1759" i="3"/>
  <c r="G1759" i="3" a="1"/>
  <c r="G1759" i="3" s="1"/>
  <c r="J1759" i="3" s="1" a="1"/>
  <c r="J1759" i="3" s="1"/>
  <c r="H1758" i="3" a="1"/>
  <c r="H1758" i="3" s="1"/>
  <c r="K1758" i="3" a="1"/>
  <c r="K1758" i="3" s="1"/>
  <c r="I1758" i="3" a="1"/>
  <c r="I1758" i="3" s="1"/>
  <c r="B1758" i="3" a="1"/>
  <c r="B1758" i="3" s="1"/>
  <c r="A1758" i="3" a="1"/>
  <c r="A1758" i="3" s="1"/>
  <c r="D1757" i="2"/>
  <c r="H1758" i="2" a="1"/>
  <c r="H1758" i="2" s="1"/>
  <c r="I1758" i="2" a="1"/>
  <c r="I1758" i="2" s="1"/>
  <c r="K1758" i="2" a="1"/>
  <c r="K1758" i="2" s="1"/>
  <c r="J1758" i="2" a="1"/>
  <c r="J1758" i="2" s="1"/>
  <c r="A1759" i="2" a="1"/>
  <c r="A1759" i="2" s="1"/>
  <c r="B1759" i="2" a="1"/>
  <c r="B1759" i="2" s="1"/>
  <c r="C1761" i="2"/>
  <c r="F1760" i="2"/>
  <c r="D1758" i="3" a="1"/>
  <c r="D1758" i="2" a="1"/>
  <c r="D1758" i="3" l="1"/>
  <c r="I1759" i="3" a="1"/>
  <c r="I1759" i="3" s="1"/>
  <c r="K1759" i="3" a="1"/>
  <c r="K1759" i="3" s="1"/>
  <c r="H1759" i="3" a="1"/>
  <c r="H1759" i="3" s="1"/>
  <c r="L1760" i="3"/>
  <c r="F1760" i="3"/>
  <c r="M1760" i="3"/>
  <c r="G1760" i="3" a="1"/>
  <c r="G1760" i="3" s="1"/>
  <c r="C1761" i="3"/>
  <c r="B1759" i="3" a="1"/>
  <c r="B1759" i="3" s="1"/>
  <c r="A1759" i="3" a="1"/>
  <c r="A1759" i="3" s="1"/>
  <c r="D1758" i="2"/>
  <c r="C1762" i="2"/>
  <c r="F1761" i="2"/>
  <c r="A1760" i="2" a="1"/>
  <c r="A1760" i="2" s="1"/>
  <c r="B1760" i="2" a="1"/>
  <c r="B1760" i="2" s="1"/>
  <c r="H1759" i="2" a="1"/>
  <c r="H1759" i="2" s="1"/>
  <c r="I1759" i="2" a="1"/>
  <c r="I1759" i="2" s="1"/>
  <c r="K1759" i="2" a="1"/>
  <c r="K1759" i="2" s="1"/>
  <c r="J1759" i="2" a="1"/>
  <c r="J1759" i="2" s="1"/>
  <c r="D1759" i="3" a="1"/>
  <c r="D1759" i="2" a="1"/>
  <c r="D1759" i="3" l="1"/>
  <c r="J1760" i="3" a="1"/>
  <c r="J1760" i="3" s="1"/>
  <c r="H1760" i="3" a="1"/>
  <c r="H1760" i="3" s="1"/>
  <c r="K1760" i="3" a="1"/>
  <c r="K1760" i="3" s="1"/>
  <c r="I1760" i="3" a="1"/>
  <c r="I1760" i="3" s="1"/>
  <c r="M1761" i="3"/>
  <c r="L1761" i="3"/>
  <c r="C1762" i="3"/>
  <c r="F1761" i="3"/>
  <c r="B1760" i="3" a="1"/>
  <c r="B1760" i="3" s="1"/>
  <c r="A1760" i="3" a="1"/>
  <c r="A1760" i="3" s="1"/>
  <c r="D1759" i="2"/>
  <c r="H1760" i="2" a="1"/>
  <c r="H1760" i="2" s="1"/>
  <c r="K1760" i="2" a="1"/>
  <c r="K1760" i="2" s="1"/>
  <c r="J1760" i="2" a="1"/>
  <c r="J1760" i="2" s="1"/>
  <c r="I1760" i="2" a="1"/>
  <c r="I1760" i="2" s="1"/>
  <c r="A1761" i="2" a="1"/>
  <c r="A1761" i="2" s="1"/>
  <c r="B1761" i="2" a="1"/>
  <c r="B1761" i="2" s="1"/>
  <c r="C1763" i="2"/>
  <c r="F1762" i="2"/>
  <c r="D1760" i="3" a="1"/>
  <c r="D1760" i="2" a="1"/>
  <c r="D1760" i="3" l="1"/>
  <c r="A1761" i="3" a="1"/>
  <c r="A1761" i="3" s="1"/>
  <c r="B1761" i="3" a="1"/>
  <c r="B1761" i="3" s="1"/>
  <c r="G1761" i="3" a="1"/>
  <c r="G1761" i="3" s="1"/>
  <c r="F1762" i="3"/>
  <c r="G1762" i="3" a="1"/>
  <c r="G1762" i="3" s="1"/>
  <c r="M1762" i="3"/>
  <c r="C1763" i="3"/>
  <c r="L1762" i="3"/>
  <c r="D1760" i="2"/>
  <c r="C1764" i="2"/>
  <c r="F1763" i="2"/>
  <c r="A1762" i="2" a="1"/>
  <c r="A1762" i="2" s="1"/>
  <c r="B1762" i="2" a="1"/>
  <c r="B1762" i="2" s="1"/>
  <c r="I1761" i="2" a="1"/>
  <c r="I1761" i="2" s="1"/>
  <c r="H1761" i="2" a="1"/>
  <c r="H1761" i="2" s="1"/>
  <c r="K1761" i="2" a="1"/>
  <c r="K1761" i="2" s="1"/>
  <c r="J1761" i="2" a="1"/>
  <c r="J1761" i="2" s="1"/>
  <c r="D1761" i="2" a="1"/>
  <c r="L1763" i="3" l="1"/>
  <c r="C1764" i="3"/>
  <c r="F1763" i="3"/>
  <c r="M1763" i="3"/>
  <c r="G1763" i="3" a="1"/>
  <c r="G1763" i="3" s="1"/>
  <c r="J1762" i="3" a="1"/>
  <c r="J1762" i="3" s="1"/>
  <c r="H1762" i="3" a="1"/>
  <c r="H1762" i="3" s="1"/>
  <c r="I1762" i="3" a="1"/>
  <c r="I1762" i="3" s="1"/>
  <c r="K1762" i="3" a="1"/>
  <c r="K1762" i="3" s="1"/>
  <c r="B1762" i="3" a="1"/>
  <c r="B1762" i="3" s="1"/>
  <c r="A1762" i="3" a="1"/>
  <c r="A1762" i="3" s="1"/>
  <c r="I1761" i="3" a="1"/>
  <c r="I1761" i="3" s="1"/>
  <c r="H1761" i="3" a="1"/>
  <c r="H1761" i="3" s="1"/>
  <c r="K1761" i="3" a="1"/>
  <c r="K1761" i="3" s="1"/>
  <c r="J1761" i="3" a="1"/>
  <c r="J1761" i="3" s="1"/>
  <c r="D1761" i="2"/>
  <c r="B1763" i="2" a="1"/>
  <c r="B1763" i="2" s="1"/>
  <c r="A1763" i="2" a="1"/>
  <c r="A1763" i="2" s="1"/>
  <c r="I1762" i="2" a="1"/>
  <c r="I1762" i="2" s="1"/>
  <c r="H1762" i="2" a="1"/>
  <c r="H1762" i="2" s="1"/>
  <c r="J1762" i="2" a="1"/>
  <c r="J1762" i="2" s="1"/>
  <c r="K1762" i="2" a="1"/>
  <c r="K1762" i="2" s="1"/>
  <c r="C1765" i="2"/>
  <c r="F1764" i="2"/>
  <c r="D1761" i="3" a="1"/>
  <c r="D1762" i="3" a="1"/>
  <c r="D1762" i="2" a="1"/>
  <c r="D1762" i="3" l="1"/>
  <c r="D1761" i="3"/>
  <c r="A1763" i="3" a="1"/>
  <c r="A1763" i="3" s="1"/>
  <c r="B1763" i="3" a="1"/>
  <c r="B1763" i="3" s="1"/>
  <c r="H1763" i="3" a="1"/>
  <c r="H1763" i="3" s="1"/>
  <c r="K1763" i="3" a="1"/>
  <c r="K1763" i="3" s="1"/>
  <c r="I1763" i="3" a="1"/>
  <c r="I1763" i="3" s="1"/>
  <c r="L1764" i="3"/>
  <c r="C1765" i="3"/>
  <c r="G1764" i="3" a="1"/>
  <c r="G1764" i="3" s="1"/>
  <c r="F1764" i="3"/>
  <c r="M1764" i="3"/>
  <c r="J1763" i="3" a="1"/>
  <c r="J1763" i="3" s="1"/>
  <c r="D1762" i="2"/>
  <c r="A1764" i="2" a="1"/>
  <c r="A1764" i="2" s="1"/>
  <c r="B1764" i="2" a="1"/>
  <c r="B1764" i="2" s="1"/>
  <c r="H1763" i="2" a="1"/>
  <c r="H1763" i="2" s="1"/>
  <c r="I1763" i="2" a="1"/>
  <c r="I1763" i="2" s="1"/>
  <c r="J1763" i="2" a="1"/>
  <c r="J1763" i="2" s="1"/>
  <c r="K1763" i="2" a="1"/>
  <c r="K1763" i="2" s="1"/>
  <c r="C1766" i="2"/>
  <c r="F1765" i="2"/>
  <c r="D1763" i="3" a="1"/>
  <c r="D1763" i="2" a="1"/>
  <c r="D1763" i="3" l="1"/>
  <c r="I1764" i="3" a="1"/>
  <c r="I1764" i="3" s="1"/>
  <c r="K1764" i="3" a="1"/>
  <c r="K1764" i="3" s="1"/>
  <c r="H1764" i="3" a="1"/>
  <c r="H1764" i="3" s="1"/>
  <c r="A1764" i="3" a="1"/>
  <c r="A1764" i="3" s="1"/>
  <c r="B1764" i="3" a="1"/>
  <c r="B1764" i="3" s="1"/>
  <c r="F1765" i="3"/>
  <c r="L1765" i="3"/>
  <c r="C1766" i="3"/>
  <c r="M1765" i="3"/>
  <c r="G1765" i="3" a="1"/>
  <c r="G1765" i="3" s="1"/>
  <c r="J1764" i="3" a="1"/>
  <c r="J1764" i="3" s="1"/>
  <c r="D1763" i="2"/>
  <c r="J1764" i="2" a="1"/>
  <c r="J1764" i="2" s="1"/>
  <c r="I1764" i="2" a="1"/>
  <c r="I1764" i="2" s="1"/>
  <c r="H1764" i="2" a="1"/>
  <c r="H1764" i="2" s="1"/>
  <c r="K1764" i="2" a="1"/>
  <c r="K1764" i="2" s="1"/>
  <c r="C1767" i="2"/>
  <c r="F1766" i="2"/>
  <c r="B1765" i="2" a="1"/>
  <c r="B1765" i="2" s="1"/>
  <c r="A1765" i="2" a="1"/>
  <c r="A1765" i="2" s="1"/>
  <c r="D1764" i="3" a="1"/>
  <c r="D1764" i="2" a="1"/>
  <c r="D1764" i="3" l="1"/>
  <c r="K1765" i="3" a="1"/>
  <c r="K1765" i="3" s="1"/>
  <c r="H1765" i="3" a="1"/>
  <c r="H1765" i="3" s="1"/>
  <c r="I1765" i="3" a="1"/>
  <c r="I1765" i="3" s="1"/>
  <c r="L1766" i="3"/>
  <c r="C1767" i="3"/>
  <c r="M1766" i="3"/>
  <c r="F1766" i="3"/>
  <c r="B1765" i="3" a="1"/>
  <c r="B1765" i="3" s="1"/>
  <c r="A1765" i="3" a="1"/>
  <c r="A1765" i="3" s="1"/>
  <c r="J1765" i="3" a="1"/>
  <c r="J1765" i="3" s="1"/>
  <c r="D1764" i="2"/>
  <c r="H1765" i="2" a="1"/>
  <c r="H1765" i="2" s="1"/>
  <c r="J1765" i="2" a="1"/>
  <c r="J1765" i="2" s="1"/>
  <c r="K1765" i="2" a="1"/>
  <c r="K1765" i="2" s="1"/>
  <c r="I1765" i="2" a="1"/>
  <c r="I1765" i="2" s="1"/>
  <c r="C1768" i="2"/>
  <c r="F1767" i="2"/>
  <c r="A1766" i="2" a="1"/>
  <c r="A1766" i="2" s="1"/>
  <c r="B1766" i="2" a="1"/>
  <c r="B1766" i="2" s="1"/>
  <c r="D1765" i="3" a="1"/>
  <c r="D1765" i="2" a="1"/>
  <c r="D1765" i="3" l="1"/>
  <c r="A1766" i="3" a="1"/>
  <c r="A1766" i="3" s="1"/>
  <c r="B1766" i="3" a="1"/>
  <c r="B1766" i="3" s="1"/>
  <c r="F1767" i="3"/>
  <c r="M1767" i="3"/>
  <c r="C1768" i="3"/>
  <c r="L1767" i="3"/>
  <c r="G1767" i="3" a="1"/>
  <c r="G1767" i="3" s="1"/>
  <c r="G1766" i="3" a="1"/>
  <c r="G1766" i="3" s="1"/>
  <c r="D1765" i="2"/>
  <c r="A1767" i="2" a="1"/>
  <c r="A1767" i="2" s="1"/>
  <c r="B1767" i="2" a="1"/>
  <c r="B1767" i="2" s="1"/>
  <c r="J1766" i="2" a="1"/>
  <c r="J1766" i="2" s="1"/>
  <c r="I1766" i="2" a="1"/>
  <c r="I1766" i="2" s="1"/>
  <c r="H1766" i="2" a="1"/>
  <c r="H1766" i="2" s="1"/>
  <c r="K1766" i="2" a="1"/>
  <c r="K1766" i="2" s="1"/>
  <c r="C1769" i="2"/>
  <c r="F1768" i="2"/>
  <c r="D1766" i="2" a="1"/>
  <c r="I1767" i="3" l="1" a="1"/>
  <c r="I1767" i="3" s="1"/>
  <c r="H1767" i="3" a="1"/>
  <c r="H1767" i="3" s="1"/>
  <c r="K1767" i="3" a="1"/>
  <c r="K1767" i="3" s="1"/>
  <c r="J1767" i="3" a="1"/>
  <c r="J1767" i="3" s="1"/>
  <c r="F1768" i="3"/>
  <c r="M1768" i="3"/>
  <c r="C1769" i="3"/>
  <c r="G1768" i="3" a="1"/>
  <c r="G1768" i="3" s="1"/>
  <c r="J1768" i="3" s="1" a="1"/>
  <c r="J1768" i="3" s="1"/>
  <c r="L1768" i="3"/>
  <c r="A1767" i="3" a="1"/>
  <c r="A1767" i="3" s="1"/>
  <c r="B1767" i="3" a="1"/>
  <c r="B1767" i="3" s="1"/>
  <c r="K1766" i="3" a="1"/>
  <c r="K1766" i="3" s="1"/>
  <c r="H1766" i="3" a="1"/>
  <c r="H1766" i="3" s="1"/>
  <c r="I1766" i="3" a="1"/>
  <c r="I1766" i="3" s="1"/>
  <c r="J1766" i="3" a="1"/>
  <c r="J1766" i="3" s="1"/>
  <c r="D1766" i="2"/>
  <c r="C1770" i="2"/>
  <c r="F1769" i="2"/>
  <c r="B1768" i="2" a="1"/>
  <c r="B1768" i="2" s="1"/>
  <c r="A1768" i="2" a="1"/>
  <c r="A1768" i="2" s="1"/>
  <c r="H1767" i="2" a="1"/>
  <c r="H1767" i="2" s="1"/>
  <c r="K1767" i="2" a="1"/>
  <c r="K1767" i="2" s="1"/>
  <c r="J1767" i="2" a="1"/>
  <c r="J1767" i="2" s="1"/>
  <c r="I1767" i="2" a="1"/>
  <c r="I1767" i="2" s="1"/>
  <c r="D1766" i="3" a="1"/>
  <c r="D1767" i="3" a="1"/>
  <c r="D1767" i="2" a="1"/>
  <c r="D1767" i="3" l="1"/>
  <c r="D1766" i="3"/>
  <c r="I1768" i="3" a="1"/>
  <c r="I1768" i="3" s="1"/>
  <c r="K1768" i="3" a="1"/>
  <c r="K1768" i="3" s="1"/>
  <c r="H1768" i="3" a="1"/>
  <c r="H1768" i="3" s="1"/>
  <c r="F1769" i="3"/>
  <c r="L1769" i="3"/>
  <c r="M1769" i="3"/>
  <c r="G1769" i="3" a="1"/>
  <c r="G1769" i="3" s="1"/>
  <c r="C1770" i="3"/>
  <c r="B1768" i="3" a="1"/>
  <c r="B1768" i="3" s="1"/>
  <c r="A1768" i="3" a="1"/>
  <c r="A1768" i="3" s="1"/>
  <c r="D1767" i="2"/>
  <c r="J1768" i="2" a="1"/>
  <c r="J1768" i="2" s="1"/>
  <c r="K1768" i="2" a="1"/>
  <c r="K1768" i="2" s="1"/>
  <c r="I1768" i="2" a="1"/>
  <c r="I1768" i="2" s="1"/>
  <c r="H1768" i="2" a="1"/>
  <c r="H1768" i="2" s="1"/>
  <c r="A1769" i="2" a="1"/>
  <c r="A1769" i="2" s="1"/>
  <c r="B1769" i="2" a="1"/>
  <c r="B1769" i="2" s="1"/>
  <c r="C1771" i="2"/>
  <c r="F1770" i="2"/>
  <c r="D1768" i="3" a="1"/>
  <c r="D1768" i="2" a="1"/>
  <c r="D1768" i="3" l="1"/>
  <c r="A1769" i="3" a="1"/>
  <c r="A1769" i="3" s="1"/>
  <c r="B1769" i="3" a="1"/>
  <c r="B1769" i="3" s="1"/>
  <c r="K1769" i="3" a="1"/>
  <c r="K1769" i="3" s="1"/>
  <c r="H1769" i="3" a="1"/>
  <c r="H1769" i="3" s="1"/>
  <c r="I1769" i="3" a="1"/>
  <c r="I1769" i="3" s="1"/>
  <c r="M1770" i="3"/>
  <c r="C1771" i="3"/>
  <c r="F1770" i="3"/>
  <c r="L1770" i="3"/>
  <c r="J1769" i="3" a="1"/>
  <c r="J1769" i="3" s="1"/>
  <c r="D1768" i="2"/>
  <c r="A1770" i="2" a="1"/>
  <c r="A1770" i="2" s="1"/>
  <c r="B1770" i="2" a="1"/>
  <c r="B1770" i="2" s="1"/>
  <c r="C1772" i="2"/>
  <c r="F1771" i="2"/>
  <c r="J1769" i="2" a="1"/>
  <c r="J1769" i="2" s="1"/>
  <c r="H1769" i="2" a="1"/>
  <c r="H1769" i="2" s="1"/>
  <c r="K1769" i="2" a="1"/>
  <c r="K1769" i="2" s="1"/>
  <c r="I1769" i="2" a="1"/>
  <c r="I1769" i="2" s="1"/>
  <c r="D1769" i="3" a="1"/>
  <c r="D1769" i="2" a="1"/>
  <c r="D1769" i="3" l="1"/>
  <c r="A1770" i="3" a="1"/>
  <c r="A1770" i="3" s="1"/>
  <c r="B1770" i="3" a="1"/>
  <c r="B1770" i="3" s="1"/>
  <c r="F1771" i="3"/>
  <c r="L1771" i="3"/>
  <c r="M1771" i="3"/>
  <c r="C1772" i="3"/>
  <c r="G1771" i="3" a="1"/>
  <c r="G1771" i="3" s="1"/>
  <c r="J1771" i="3" s="1" a="1"/>
  <c r="J1771" i="3" s="1"/>
  <c r="G1770" i="3" a="1"/>
  <c r="G1770" i="3" s="1"/>
  <c r="D1769" i="2"/>
  <c r="A1771" i="2" a="1"/>
  <c r="A1771" i="2" s="1"/>
  <c r="B1771" i="2" a="1"/>
  <c r="B1771" i="2" s="1"/>
  <c r="C1773" i="2"/>
  <c r="F1772" i="2"/>
  <c r="K1770" i="2" a="1"/>
  <c r="K1770" i="2" s="1"/>
  <c r="I1770" i="2" a="1"/>
  <c r="I1770" i="2" s="1"/>
  <c r="H1770" i="2" a="1"/>
  <c r="H1770" i="2" s="1"/>
  <c r="J1770" i="2" a="1"/>
  <c r="J1770" i="2" s="1"/>
  <c r="D1770" i="2" a="1"/>
  <c r="H1771" i="3" l="1" a="1"/>
  <c r="H1771" i="3" s="1"/>
  <c r="I1771" i="3" a="1"/>
  <c r="I1771" i="3" s="1"/>
  <c r="K1771" i="3" a="1"/>
  <c r="K1771" i="3" s="1"/>
  <c r="B1771" i="3" a="1"/>
  <c r="B1771" i="3" s="1"/>
  <c r="A1771" i="3" a="1"/>
  <c r="A1771" i="3" s="1"/>
  <c r="I1770" i="3" a="1"/>
  <c r="I1770" i="3" s="1"/>
  <c r="K1770" i="3" a="1"/>
  <c r="K1770" i="3" s="1"/>
  <c r="H1770" i="3" a="1"/>
  <c r="H1770" i="3" s="1"/>
  <c r="J1770" i="3" a="1"/>
  <c r="J1770" i="3" s="1"/>
  <c r="M1772" i="3"/>
  <c r="F1772" i="3"/>
  <c r="C1773" i="3"/>
  <c r="L1772" i="3"/>
  <c r="D1770" i="2"/>
  <c r="J1771" i="2" a="1"/>
  <c r="J1771" i="2" s="1"/>
  <c r="K1771" i="2" a="1"/>
  <c r="K1771" i="2" s="1"/>
  <c r="I1771" i="2" a="1"/>
  <c r="I1771" i="2" s="1"/>
  <c r="H1771" i="2" a="1"/>
  <c r="H1771" i="2" s="1"/>
  <c r="A1772" i="2" a="1"/>
  <c r="A1772" i="2" s="1"/>
  <c r="B1772" i="2" a="1"/>
  <c r="B1772" i="2" s="1"/>
  <c r="C1774" i="2"/>
  <c r="F1773" i="2"/>
  <c r="D1771" i="3" a="1"/>
  <c r="D1770" i="3" a="1"/>
  <c r="D1771" i="2" a="1"/>
  <c r="D1770" i="3" l="1"/>
  <c r="D1771" i="3"/>
  <c r="A1772" i="3" a="1"/>
  <c r="A1772" i="3" s="1"/>
  <c r="B1772" i="3" a="1"/>
  <c r="B1772" i="3" s="1"/>
  <c r="G1772" i="3" a="1"/>
  <c r="G1772" i="3" s="1"/>
  <c r="F1773" i="3"/>
  <c r="M1773" i="3"/>
  <c r="G1773" i="3" a="1"/>
  <c r="G1773" i="3" s="1"/>
  <c r="C1774" i="3"/>
  <c r="L1773" i="3"/>
  <c r="J1773" i="3" a="1"/>
  <c r="J1773" i="3" s="1"/>
  <c r="D1771" i="2"/>
  <c r="C1775" i="2"/>
  <c r="F1774" i="2"/>
  <c r="K1772" i="2" a="1"/>
  <c r="K1772" i="2" s="1"/>
  <c r="J1772" i="2" a="1"/>
  <c r="J1772" i="2" s="1"/>
  <c r="H1772" i="2" a="1"/>
  <c r="H1772" i="2" s="1"/>
  <c r="I1772" i="2" a="1"/>
  <c r="I1772" i="2" s="1"/>
  <c r="B1773" i="2" a="1"/>
  <c r="B1773" i="2" s="1"/>
  <c r="A1773" i="2" a="1"/>
  <c r="A1773" i="2" s="1"/>
  <c r="D1772" i="2" a="1"/>
  <c r="F1774" i="3" l="1"/>
  <c r="M1774" i="3"/>
  <c r="C1775" i="3"/>
  <c r="G1774" i="3" a="1"/>
  <c r="G1774" i="3" s="1"/>
  <c r="L1774" i="3"/>
  <c r="J1772" i="3" a="1"/>
  <c r="J1772" i="3" s="1"/>
  <c r="H1772" i="3" a="1"/>
  <c r="H1772" i="3" s="1"/>
  <c r="K1772" i="3" a="1"/>
  <c r="K1772" i="3" s="1"/>
  <c r="I1772" i="3" a="1"/>
  <c r="I1772" i="3" s="1"/>
  <c r="H1773" i="3" a="1"/>
  <c r="H1773" i="3" s="1"/>
  <c r="I1773" i="3" a="1"/>
  <c r="I1773" i="3" s="1"/>
  <c r="K1773" i="3" a="1"/>
  <c r="K1773" i="3" s="1"/>
  <c r="B1773" i="3" a="1"/>
  <c r="B1773" i="3" s="1"/>
  <c r="A1773" i="3" a="1"/>
  <c r="A1773" i="3" s="1"/>
  <c r="D1772" i="2"/>
  <c r="H1773" i="2" a="1"/>
  <c r="H1773" i="2" s="1"/>
  <c r="I1773" i="2" a="1"/>
  <c r="I1773" i="2" s="1"/>
  <c r="J1773" i="2" a="1"/>
  <c r="J1773" i="2" s="1"/>
  <c r="K1773" i="2" a="1"/>
  <c r="K1773" i="2" s="1"/>
  <c r="A1774" i="2" a="1"/>
  <c r="A1774" i="2" s="1"/>
  <c r="B1774" i="2" a="1"/>
  <c r="B1774" i="2" s="1"/>
  <c r="C1776" i="2"/>
  <c r="F1775" i="2"/>
  <c r="D1772" i="3" a="1"/>
  <c r="D1773" i="3" a="1"/>
  <c r="D1773" i="2" a="1"/>
  <c r="D1773" i="3" l="1"/>
  <c r="D1772" i="3"/>
  <c r="J1774" i="3" a="1"/>
  <c r="J1774" i="3" s="1"/>
  <c r="I1774" i="3" a="1"/>
  <c r="I1774" i="3" s="1"/>
  <c r="H1774" i="3" a="1"/>
  <c r="H1774" i="3" s="1"/>
  <c r="K1774" i="3" a="1"/>
  <c r="K1774" i="3" s="1"/>
  <c r="M1775" i="3"/>
  <c r="L1775" i="3"/>
  <c r="F1775" i="3"/>
  <c r="C1776" i="3"/>
  <c r="A1774" i="3" a="1"/>
  <c r="A1774" i="3" s="1"/>
  <c r="B1774" i="3" a="1"/>
  <c r="B1774" i="3" s="1"/>
  <c r="D1773" i="2"/>
  <c r="B1775" i="2" a="1"/>
  <c r="B1775" i="2" s="1"/>
  <c r="A1775" i="2" a="1"/>
  <c r="A1775" i="2" s="1"/>
  <c r="C1777" i="2"/>
  <c r="F1776" i="2"/>
  <c r="K1774" i="2" a="1"/>
  <c r="K1774" i="2" s="1"/>
  <c r="H1774" i="2" a="1"/>
  <c r="H1774" i="2" s="1"/>
  <c r="J1774" i="2" a="1"/>
  <c r="J1774" i="2" s="1"/>
  <c r="I1774" i="2" a="1"/>
  <c r="I1774" i="2" s="1"/>
  <c r="D1774" i="3" a="1"/>
  <c r="D1774" i="2" a="1"/>
  <c r="D1774" i="3" l="1"/>
  <c r="L1776" i="3"/>
  <c r="C1777" i="3"/>
  <c r="F1776" i="3"/>
  <c r="M1776" i="3"/>
  <c r="A1775" i="3" a="1"/>
  <c r="A1775" i="3" s="1"/>
  <c r="B1775" i="3" a="1"/>
  <c r="B1775" i="3" s="1"/>
  <c r="G1775" i="3" a="1"/>
  <c r="G1775" i="3" s="1"/>
  <c r="D1774" i="2"/>
  <c r="B1776" i="2" a="1"/>
  <c r="B1776" i="2" s="1"/>
  <c r="A1776" i="2" a="1"/>
  <c r="A1776" i="2" s="1"/>
  <c r="C1778" i="2"/>
  <c r="F1777" i="2"/>
  <c r="I1775" i="2" a="1"/>
  <c r="I1775" i="2" s="1"/>
  <c r="H1775" i="2" a="1"/>
  <c r="H1775" i="2" s="1"/>
  <c r="J1775" i="2" a="1"/>
  <c r="J1775" i="2" s="1"/>
  <c r="K1775" i="2" a="1"/>
  <c r="K1775" i="2" s="1"/>
  <c r="D1775" i="2" a="1"/>
  <c r="A1776" i="3" l="1" a="1"/>
  <c r="A1776" i="3" s="1"/>
  <c r="B1776" i="3" a="1"/>
  <c r="B1776" i="3" s="1"/>
  <c r="I1775" i="3" a="1"/>
  <c r="I1775" i="3" s="1"/>
  <c r="K1775" i="3" a="1"/>
  <c r="K1775" i="3" s="1"/>
  <c r="H1775" i="3" a="1"/>
  <c r="H1775" i="3" s="1"/>
  <c r="J1775" i="3" a="1"/>
  <c r="J1775" i="3" s="1"/>
  <c r="G1776" i="3" a="1"/>
  <c r="G1776" i="3" s="1"/>
  <c r="M1777" i="3"/>
  <c r="C1778" i="3"/>
  <c r="L1777" i="3"/>
  <c r="G1777" i="3" a="1"/>
  <c r="G1777" i="3" s="1"/>
  <c r="F1777" i="3"/>
  <c r="D1775" i="2"/>
  <c r="C1779" i="2"/>
  <c r="F1778" i="2"/>
  <c r="A1777" i="2" a="1"/>
  <c r="A1777" i="2" s="1"/>
  <c r="B1777" i="2" a="1"/>
  <c r="B1777" i="2" s="1"/>
  <c r="I1776" i="2" a="1"/>
  <c r="I1776" i="2" s="1"/>
  <c r="J1776" i="2" a="1"/>
  <c r="J1776" i="2" s="1"/>
  <c r="H1776" i="2" a="1"/>
  <c r="H1776" i="2" s="1"/>
  <c r="K1776" i="2" a="1"/>
  <c r="K1776" i="2" s="1"/>
  <c r="D1775" i="3" a="1"/>
  <c r="D1776" i="2" a="1"/>
  <c r="D1775" i="3" l="1"/>
  <c r="H1777" i="3" a="1"/>
  <c r="H1777" i="3" s="1"/>
  <c r="K1777" i="3" a="1"/>
  <c r="K1777" i="3" s="1"/>
  <c r="I1777" i="3" a="1"/>
  <c r="I1777" i="3" s="1"/>
  <c r="K1776" i="3" a="1"/>
  <c r="K1776" i="3" s="1"/>
  <c r="I1776" i="3" a="1"/>
  <c r="I1776" i="3" s="1"/>
  <c r="H1776" i="3" a="1"/>
  <c r="H1776" i="3" s="1"/>
  <c r="J1776" i="3" a="1"/>
  <c r="J1776" i="3" s="1"/>
  <c r="B1777" i="3" a="1"/>
  <c r="B1777" i="3" s="1"/>
  <c r="A1777" i="3" a="1"/>
  <c r="A1777" i="3" s="1"/>
  <c r="F1778" i="3"/>
  <c r="M1778" i="3"/>
  <c r="C1779" i="3"/>
  <c r="L1778" i="3"/>
  <c r="J1777" i="3" a="1"/>
  <c r="J1777" i="3" s="1"/>
  <c r="D1776" i="2"/>
  <c r="I1777" i="2" a="1"/>
  <c r="I1777" i="2" s="1"/>
  <c r="H1777" i="2" a="1"/>
  <c r="H1777" i="2" s="1"/>
  <c r="K1777" i="2" a="1"/>
  <c r="K1777" i="2" s="1"/>
  <c r="J1777" i="2" a="1"/>
  <c r="J1777" i="2" s="1"/>
  <c r="A1778" i="2" a="1"/>
  <c r="A1778" i="2" s="1"/>
  <c r="B1778" i="2" a="1"/>
  <c r="B1778" i="2" s="1"/>
  <c r="C1780" i="2"/>
  <c r="F1779" i="2"/>
  <c r="D1777" i="3" a="1"/>
  <c r="D1776" i="3" a="1"/>
  <c r="D1777" i="2" a="1"/>
  <c r="D1776" i="3" l="1"/>
  <c r="D1777" i="3"/>
  <c r="A1778" i="3" a="1"/>
  <c r="A1778" i="3" s="1"/>
  <c r="B1778" i="3" a="1"/>
  <c r="B1778" i="3" s="1"/>
  <c r="G1778" i="3" a="1"/>
  <c r="G1778" i="3" s="1"/>
  <c r="M1779" i="3"/>
  <c r="C1780" i="3"/>
  <c r="G1779" i="3" a="1"/>
  <c r="G1779" i="3" s="1"/>
  <c r="F1779" i="3"/>
  <c r="L1779" i="3"/>
  <c r="J1779" i="3" a="1"/>
  <c r="J1779" i="3" s="1"/>
  <c r="D1777" i="2"/>
  <c r="C1781" i="2"/>
  <c r="F1780" i="2"/>
  <c r="K1778" i="2" a="1"/>
  <c r="K1778" i="2" s="1"/>
  <c r="I1778" i="2" a="1"/>
  <c r="I1778" i="2" s="1"/>
  <c r="H1778" i="2" a="1"/>
  <c r="H1778" i="2" s="1"/>
  <c r="J1778" i="2" a="1"/>
  <c r="J1778" i="2" s="1"/>
  <c r="A1779" i="2" a="1"/>
  <c r="A1779" i="2" s="1"/>
  <c r="B1779" i="2" a="1"/>
  <c r="B1779" i="2" s="1"/>
  <c r="D1778" i="2" a="1"/>
  <c r="M1780" i="3" l="1"/>
  <c r="L1780" i="3"/>
  <c r="C1781" i="3"/>
  <c r="F1780" i="3"/>
  <c r="G1780" i="3" a="1"/>
  <c r="G1780" i="3" s="1"/>
  <c r="J1780" i="3" s="1" a="1"/>
  <c r="J1780" i="3" s="1"/>
  <c r="J1778" i="3" a="1"/>
  <c r="J1778" i="3" s="1"/>
  <c r="K1778" i="3" a="1"/>
  <c r="K1778" i="3" s="1"/>
  <c r="H1778" i="3" a="1"/>
  <c r="H1778" i="3" s="1"/>
  <c r="I1778" i="3" a="1"/>
  <c r="I1778" i="3" s="1"/>
  <c r="K1779" i="3" a="1"/>
  <c r="K1779" i="3" s="1"/>
  <c r="H1779" i="3" a="1"/>
  <c r="H1779" i="3" s="1"/>
  <c r="I1779" i="3" a="1"/>
  <c r="I1779" i="3" s="1"/>
  <c r="B1779" i="3" a="1"/>
  <c r="B1779" i="3" s="1"/>
  <c r="A1779" i="3" a="1"/>
  <c r="A1779" i="3" s="1"/>
  <c r="D1778" i="2"/>
  <c r="I1779" i="2" a="1"/>
  <c r="I1779" i="2" s="1"/>
  <c r="J1779" i="2" a="1"/>
  <c r="J1779" i="2" s="1"/>
  <c r="H1779" i="2" a="1"/>
  <c r="H1779" i="2" s="1"/>
  <c r="K1779" i="2" a="1"/>
  <c r="K1779" i="2" s="1"/>
  <c r="A1780" i="2" a="1"/>
  <c r="A1780" i="2" s="1"/>
  <c r="B1780" i="2" a="1"/>
  <c r="B1780" i="2" s="1"/>
  <c r="C1782" i="2"/>
  <c r="F1781" i="2"/>
  <c r="D1778" i="3" a="1"/>
  <c r="D1779" i="3" a="1"/>
  <c r="D1779" i="2" a="1"/>
  <c r="D1779" i="3" l="1"/>
  <c r="D1778" i="3"/>
  <c r="A1780" i="3" a="1"/>
  <c r="A1780" i="3" s="1"/>
  <c r="B1780" i="3" a="1"/>
  <c r="B1780" i="3" s="1"/>
  <c r="M1781" i="3"/>
  <c r="G1781" i="3" a="1"/>
  <c r="G1781" i="3" s="1"/>
  <c r="C1782" i="3"/>
  <c r="L1781" i="3"/>
  <c r="F1781" i="3"/>
  <c r="I1780" i="3" a="1"/>
  <c r="I1780" i="3" s="1"/>
  <c r="K1780" i="3" a="1"/>
  <c r="K1780" i="3" s="1"/>
  <c r="H1780" i="3" a="1"/>
  <c r="H1780" i="3" s="1"/>
  <c r="D1779" i="2"/>
  <c r="B1781" i="2" a="1"/>
  <c r="B1781" i="2" s="1"/>
  <c r="A1781" i="2" a="1"/>
  <c r="A1781" i="2" s="1"/>
  <c r="H1780" i="2" a="1"/>
  <c r="H1780" i="2" s="1"/>
  <c r="I1780" i="2" a="1"/>
  <c r="I1780" i="2" s="1"/>
  <c r="K1780" i="2" a="1"/>
  <c r="K1780" i="2" s="1"/>
  <c r="J1780" i="2" a="1"/>
  <c r="J1780" i="2" s="1"/>
  <c r="C1783" i="2"/>
  <c r="F1782" i="2"/>
  <c r="D1780" i="3" a="1"/>
  <c r="D1780" i="2" a="1"/>
  <c r="D1780" i="3" l="1"/>
  <c r="K1781" i="3" a="1"/>
  <c r="K1781" i="3" s="1"/>
  <c r="I1781" i="3" a="1"/>
  <c r="I1781" i="3" s="1"/>
  <c r="H1781" i="3" a="1"/>
  <c r="H1781" i="3" s="1"/>
  <c r="J1781" i="3" a="1"/>
  <c r="J1781" i="3" s="1"/>
  <c r="B1781" i="3" a="1"/>
  <c r="B1781" i="3" s="1"/>
  <c r="A1781" i="3" a="1"/>
  <c r="A1781" i="3" s="1"/>
  <c r="L1782" i="3"/>
  <c r="F1782" i="3"/>
  <c r="C1783" i="3"/>
  <c r="M1782" i="3"/>
  <c r="D1780" i="2"/>
  <c r="A1782" i="2" a="1"/>
  <c r="A1782" i="2" s="1"/>
  <c r="B1782" i="2" a="1"/>
  <c r="B1782" i="2" s="1"/>
  <c r="C1784" i="2"/>
  <c r="F1783" i="2"/>
  <c r="J1781" i="2" a="1"/>
  <c r="J1781" i="2" s="1"/>
  <c r="K1781" i="2" a="1"/>
  <c r="K1781" i="2" s="1"/>
  <c r="H1781" i="2" a="1"/>
  <c r="H1781" i="2" s="1"/>
  <c r="I1781" i="2" a="1"/>
  <c r="I1781" i="2" s="1"/>
  <c r="D1781" i="3" a="1"/>
  <c r="D1781" i="2" a="1"/>
  <c r="D1781" i="3" l="1"/>
  <c r="M1783" i="3"/>
  <c r="L1783" i="3"/>
  <c r="F1783" i="3"/>
  <c r="C1784" i="3"/>
  <c r="G1783" i="3" a="1"/>
  <c r="G1783" i="3" s="1"/>
  <c r="G1782" i="3" a="1"/>
  <c r="G1782" i="3" s="1"/>
  <c r="A1782" i="3" a="1"/>
  <c r="A1782" i="3" s="1"/>
  <c r="B1782" i="3" a="1"/>
  <c r="B1782" i="3" s="1"/>
  <c r="D1781" i="2"/>
  <c r="H1782" i="2" a="1"/>
  <c r="H1782" i="2" s="1"/>
  <c r="I1782" i="2" a="1"/>
  <c r="I1782" i="2" s="1"/>
  <c r="K1782" i="2" a="1"/>
  <c r="K1782" i="2" s="1"/>
  <c r="J1782" i="2" a="1"/>
  <c r="J1782" i="2" s="1"/>
  <c r="A1783" i="2" a="1"/>
  <c r="A1783" i="2" s="1"/>
  <c r="B1783" i="2" a="1"/>
  <c r="B1783" i="2" s="1"/>
  <c r="C1785" i="2"/>
  <c r="F1784" i="2"/>
  <c r="D1782" i="2" a="1"/>
  <c r="H1782" i="3" l="1" a="1"/>
  <c r="H1782" i="3" s="1"/>
  <c r="I1782" i="3" a="1"/>
  <c r="I1782" i="3" s="1"/>
  <c r="K1782" i="3" a="1"/>
  <c r="K1782" i="3" s="1"/>
  <c r="J1782" i="3" a="1"/>
  <c r="J1782" i="3" s="1"/>
  <c r="H1783" i="3" a="1"/>
  <c r="H1783" i="3" s="1"/>
  <c r="I1783" i="3" a="1"/>
  <c r="I1783" i="3" s="1"/>
  <c r="K1783" i="3" a="1"/>
  <c r="K1783" i="3" s="1"/>
  <c r="J1783" i="3" a="1"/>
  <c r="J1783" i="3" s="1"/>
  <c r="L1784" i="3"/>
  <c r="F1784" i="3"/>
  <c r="M1784" i="3"/>
  <c r="G1784" i="3" a="1"/>
  <c r="G1784" i="3" s="1"/>
  <c r="C1785" i="3"/>
  <c r="A1783" i="3" a="1"/>
  <c r="A1783" i="3" s="1"/>
  <c r="B1783" i="3" a="1"/>
  <c r="B1783" i="3" s="1"/>
  <c r="D1782" i="2"/>
  <c r="C1786" i="2"/>
  <c r="F1785" i="2"/>
  <c r="H1783" i="2" a="1"/>
  <c r="H1783" i="2" s="1"/>
  <c r="K1783" i="2" a="1"/>
  <c r="K1783" i="2" s="1"/>
  <c r="J1783" i="2" a="1"/>
  <c r="J1783" i="2" s="1"/>
  <c r="I1783" i="2" a="1"/>
  <c r="I1783" i="2" s="1"/>
  <c r="A1784" i="2" a="1"/>
  <c r="A1784" i="2" s="1"/>
  <c r="B1784" i="2" a="1"/>
  <c r="B1784" i="2" s="1"/>
  <c r="D1782" i="3" a="1"/>
  <c r="D1783" i="3" a="1"/>
  <c r="D1783" i="2" a="1"/>
  <c r="D1783" i="3" l="1"/>
  <c r="D1782" i="3"/>
  <c r="A1784" i="3" a="1"/>
  <c r="A1784" i="3" s="1"/>
  <c r="B1784" i="3" a="1"/>
  <c r="B1784" i="3" s="1"/>
  <c r="H1784" i="3" a="1"/>
  <c r="H1784" i="3" s="1"/>
  <c r="K1784" i="3" a="1"/>
  <c r="K1784" i="3" s="1"/>
  <c r="I1784" i="3" a="1"/>
  <c r="I1784" i="3" s="1"/>
  <c r="C1786" i="3"/>
  <c r="F1785" i="3"/>
  <c r="M1785" i="3"/>
  <c r="L1785" i="3"/>
  <c r="G1785" i="3" a="1"/>
  <c r="G1785" i="3" s="1"/>
  <c r="J1784" i="3" a="1"/>
  <c r="J1784" i="3" s="1"/>
  <c r="D1783" i="2"/>
  <c r="K1784" i="2" a="1"/>
  <c r="K1784" i="2" s="1"/>
  <c r="I1784" i="2" a="1"/>
  <c r="I1784" i="2" s="1"/>
  <c r="J1784" i="2" a="1"/>
  <c r="J1784" i="2" s="1"/>
  <c r="H1784" i="2" a="1"/>
  <c r="H1784" i="2" s="1"/>
  <c r="A1785" i="2" a="1"/>
  <c r="A1785" i="2" s="1"/>
  <c r="B1785" i="2" a="1"/>
  <c r="B1785" i="2" s="1"/>
  <c r="C1787" i="2"/>
  <c r="F1786" i="2"/>
  <c r="D1784" i="3" a="1"/>
  <c r="D1784" i="2" a="1"/>
  <c r="D1784" i="3" l="1"/>
  <c r="K1785" i="3" a="1"/>
  <c r="K1785" i="3" s="1"/>
  <c r="H1785" i="3" a="1"/>
  <c r="H1785" i="3" s="1"/>
  <c r="I1785" i="3" a="1"/>
  <c r="I1785" i="3" s="1"/>
  <c r="A1785" i="3" a="1"/>
  <c r="A1785" i="3" s="1"/>
  <c r="B1785" i="3" a="1"/>
  <c r="B1785" i="3" s="1"/>
  <c r="L1786" i="3"/>
  <c r="M1786" i="3"/>
  <c r="F1786" i="3"/>
  <c r="G1786" i="3" a="1"/>
  <c r="G1786" i="3" s="1"/>
  <c r="C1787" i="3"/>
  <c r="J1786" i="3" a="1"/>
  <c r="J1786" i="3" s="1"/>
  <c r="J1785" i="3" a="1"/>
  <c r="J1785" i="3" s="1"/>
  <c r="D1784" i="2"/>
  <c r="A1786" i="2" a="1"/>
  <c r="A1786" i="2" s="1"/>
  <c r="B1786" i="2" a="1"/>
  <c r="B1786" i="2" s="1"/>
  <c r="C1788" i="2"/>
  <c r="F1787" i="2"/>
  <c r="K1785" i="2" a="1"/>
  <c r="K1785" i="2" s="1"/>
  <c r="J1785" i="2" a="1"/>
  <c r="J1785" i="2" s="1"/>
  <c r="I1785" i="2" a="1"/>
  <c r="I1785" i="2" s="1"/>
  <c r="H1785" i="2" a="1"/>
  <c r="H1785" i="2" s="1"/>
  <c r="D1785" i="3" a="1"/>
  <c r="D1785" i="2" a="1"/>
  <c r="D1785" i="3" l="1"/>
  <c r="C1788" i="3"/>
  <c r="M1787" i="3"/>
  <c r="L1787" i="3"/>
  <c r="F1787" i="3"/>
  <c r="G1787" i="3" a="1"/>
  <c r="G1787" i="3" s="1"/>
  <c r="I1786" i="3" a="1"/>
  <c r="I1786" i="3" s="1"/>
  <c r="K1786" i="3" a="1"/>
  <c r="K1786" i="3" s="1"/>
  <c r="H1786" i="3" a="1"/>
  <c r="H1786" i="3" s="1"/>
  <c r="B1786" i="3" a="1"/>
  <c r="B1786" i="3" s="1"/>
  <c r="A1786" i="3" a="1"/>
  <c r="A1786" i="3" s="1"/>
  <c r="D1785" i="2"/>
  <c r="B1787" i="2" a="1"/>
  <c r="B1787" i="2" s="1"/>
  <c r="A1787" i="2" a="1"/>
  <c r="A1787" i="2" s="1"/>
  <c r="C1789" i="2"/>
  <c r="F1788" i="2"/>
  <c r="K1786" i="2" a="1"/>
  <c r="K1786" i="2" s="1"/>
  <c r="H1786" i="2" a="1"/>
  <c r="H1786" i="2" s="1"/>
  <c r="J1786" i="2" a="1"/>
  <c r="J1786" i="2" s="1"/>
  <c r="I1786" i="2" a="1"/>
  <c r="I1786" i="2" s="1"/>
  <c r="D1786" i="3" a="1"/>
  <c r="D1786" i="2" a="1"/>
  <c r="D1786" i="3" l="1"/>
  <c r="J1787" i="3" a="1"/>
  <c r="J1787" i="3" s="1"/>
  <c r="H1787" i="3" a="1"/>
  <c r="H1787" i="3" s="1"/>
  <c r="I1787" i="3" a="1"/>
  <c r="I1787" i="3" s="1"/>
  <c r="K1787" i="3" a="1"/>
  <c r="K1787" i="3" s="1"/>
  <c r="A1787" i="3" a="1"/>
  <c r="A1787" i="3" s="1"/>
  <c r="B1787" i="3" a="1"/>
  <c r="B1787" i="3" s="1"/>
  <c r="F1788" i="3"/>
  <c r="G1788" i="3" a="1"/>
  <c r="G1788" i="3" s="1"/>
  <c r="L1788" i="3"/>
  <c r="M1788" i="3"/>
  <c r="C1789" i="3"/>
  <c r="D1786" i="2"/>
  <c r="C1790" i="2"/>
  <c r="F1789" i="2"/>
  <c r="H1787" i="2" a="1"/>
  <c r="H1787" i="2" s="1"/>
  <c r="I1787" i="2" a="1"/>
  <c r="I1787" i="2" s="1"/>
  <c r="J1787" i="2" a="1"/>
  <c r="J1787" i="2" s="1"/>
  <c r="K1787" i="2" a="1"/>
  <c r="K1787" i="2" s="1"/>
  <c r="A1788" i="2" a="1"/>
  <c r="A1788" i="2" s="1"/>
  <c r="B1788" i="2" a="1"/>
  <c r="B1788" i="2" s="1"/>
  <c r="D1787" i="3" a="1"/>
  <c r="D1787" i="2" a="1"/>
  <c r="D1787" i="3" l="1"/>
  <c r="I1788" i="3" a="1"/>
  <c r="I1788" i="3" s="1"/>
  <c r="H1788" i="3" a="1"/>
  <c r="H1788" i="3" s="1"/>
  <c r="K1788" i="3" a="1"/>
  <c r="K1788" i="3" s="1"/>
  <c r="J1788" i="3" a="1"/>
  <c r="J1788" i="3" s="1"/>
  <c r="A1788" i="3" a="1"/>
  <c r="A1788" i="3" s="1"/>
  <c r="B1788" i="3" a="1"/>
  <c r="B1788" i="3" s="1"/>
  <c r="F1789" i="3"/>
  <c r="L1789" i="3"/>
  <c r="M1789" i="3"/>
  <c r="C1790" i="3"/>
  <c r="G1789" i="3" a="1"/>
  <c r="G1789" i="3" s="1"/>
  <c r="D1787" i="2"/>
  <c r="A1789" i="2" a="1"/>
  <c r="A1789" i="2" s="1"/>
  <c r="B1789" i="2" a="1"/>
  <c r="B1789" i="2" s="1"/>
  <c r="I1788" i="2" a="1"/>
  <c r="I1788" i="2" s="1"/>
  <c r="H1788" i="2" a="1"/>
  <c r="H1788" i="2" s="1"/>
  <c r="J1788" i="2" a="1"/>
  <c r="J1788" i="2" s="1"/>
  <c r="K1788" i="2" a="1"/>
  <c r="K1788" i="2" s="1"/>
  <c r="C1791" i="2"/>
  <c r="F1790" i="2"/>
  <c r="D1788" i="3" a="1"/>
  <c r="D1788" i="2" a="1"/>
  <c r="D1788" i="3" l="1"/>
  <c r="F1790" i="3"/>
  <c r="M1790" i="3"/>
  <c r="L1790" i="3"/>
  <c r="G1790" i="3" a="1"/>
  <c r="G1790" i="3" s="1"/>
  <c r="C1791" i="3"/>
  <c r="A1789" i="3" a="1"/>
  <c r="A1789" i="3" s="1"/>
  <c r="B1789" i="3" a="1"/>
  <c r="B1789" i="3" s="1"/>
  <c r="J1789" i="3" a="1"/>
  <c r="J1789" i="3" s="1"/>
  <c r="H1789" i="3" a="1"/>
  <c r="H1789" i="3" s="1"/>
  <c r="K1789" i="3" a="1"/>
  <c r="K1789" i="3" s="1"/>
  <c r="I1789" i="3" a="1"/>
  <c r="I1789" i="3" s="1"/>
  <c r="D1788" i="2"/>
  <c r="C1792" i="2"/>
  <c r="F1791" i="2"/>
  <c r="I1789" i="2" a="1"/>
  <c r="I1789" i="2" s="1"/>
  <c r="J1789" i="2" a="1"/>
  <c r="J1789" i="2" s="1"/>
  <c r="K1789" i="2" a="1"/>
  <c r="K1789" i="2" s="1"/>
  <c r="H1789" i="2" a="1"/>
  <c r="H1789" i="2" s="1"/>
  <c r="B1790" i="2" a="1"/>
  <c r="B1790" i="2" s="1"/>
  <c r="A1790" i="2" a="1"/>
  <c r="A1790" i="2" s="1"/>
  <c r="D1789" i="3" a="1"/>
  <c r="D1789" i="2" a="1"/>
  <c r="D1789" i="3" l="1"/>
  <c r="M1791" i="3"/>
  <c r="C1792" i="3"/>
  <c r="L1791" i="3"/>
  <c r="F1791" i="3"/>
  <c r="G1791" i="3" a="1"/>
  <c r="G1791" i="3" s="1"/>
  <c r="K1790" i="3" a="1"/>
  <c r="K1790" i="3" s="1"/>
  <c r="H1790" i="3" a="1"/>
  <c r="H1790" i="3" s="1"/>
  <c r="I1790" i="3" a="1"/>
  <c r="I1790" i="3" s="1"/>
  <c r="A1790" i="3" a="1"/>
  <c r="A1790" i="3" s="1"/>
  <c r="B1790" i="3" a="1"/>
  <c r="B1790" i="3" s="1"/>
  <c r="J1790" i="3" a="1"/>
  <c r="J1790" i="3" s="1"/>
  <c r="D1789" i="2"/>
  <c r="A1791" i="2" a="1"/>
  <c r="A1791" i="2" s="1"/>
  <c r="B1791" i="2" a="1"/>
  <c r="B1791" i="2" s="1"/>
  <c r="H1790" i="2" a="1"/>
  <c r="H1790" i="2" s="1"/>
  <c r="K1790" i="2" a="1"/>
  <c r="K1790" i="2" s="1"/>
  <c r="J1790" i="2" a="1"/>
  <c r="J1790" i="2" s="1"/>
  <c r="I1790" i="2" a="1"/>
  <c r="I1790" i="2" s="1"/>
  <c r="C1793" i="2"/>
  <c r="F1792" i="2"/>
  <c r="D1790" i="3" a="1"/>
  <c r="D1790" i="2" a="1"/>
  <c r="D1790" i="3" l="1"/>
  <c r="H1791" i="3" a="1"/>
  <c r="H1791" i="3" s="1"/>
  <c r="I1791" i="3" a="1"/>
  <c r="I1791" i="3" s="1"/>
  <c r="K1791" i="3" a="1"/>
  <c r="K1791" i="3" s="1"/>
  <c r="F1792" i="3"/>
  <c r="M1792" i="3"/>
  <c r="G1792" i="3" a="1"/>
  <c r="G1792" i="3" s="1"/>
  <c r="L1792" i="3"/>
  <c r="C1793" i="3"/>
  <c r="J1792" i="3" a="1"/>
  <c r="J1792" i="3" s="1"/>
  <c r="J1791" i="3" a="1"/>
  <c r="J1791" i="3" s="1"/>
  <c r="A1791" i="3" a="1"/>
  <c r="A1791" i="3" s="1"/>
  <c r="B1791" i="3" a="1"/>
  <c r="B1791" i="3" s="1"/>
  <c r="D1790" i="2"/>
  <c r="C1794" i="2"/>
  <c r="F1793" i="2"/>
  <c r="J1791" i="2" a="1"/>
  <c r="J1791" i="2" s="1"/>
  <c r="I1791" i="2" a="1"/>
  <c r="I1791" i="2" s="1"/>
  <c r="K1791" i="2" a="1"/>
  <c r="K1791" i="2" s="1"/>
  <c r="H1791" i="2" a="1"/>
  <c r="H1791" i="2" s="1"/>
  <c r="A1792" i="2" a="1"/>
  <c r="A1792" i="2" s="1"/>
  <c r="B1792" i="2" a="1"/>
  <c r="B1792" i="2" s="1"/>
  <c r="D1791" i="3" a="1"/>
  <c r="D1791" i="2" a="1"/>
  <c r="D1791" i="3" l="1"/>
  <c r="K1792" i="3" a="1"/>
  <c r="K1792" i="3" s="1"/>
  <c r="I1792" i="3" a="1"/>
  <c r="I1792" i="3" s="1"/>
  <c r="H1792" i="3" a="1"/>
  <c r="H1792" i="3" s="1"/>
  <c r="C1794" i="3"/>
  <c r="F1793" i="3"/>
  <c r="G1793" i="3" a="1"/>
  <c r="G1793" i="3" s="1"/>
  <c r="J1793" i="3" s="1" a="1"/>
  <c r="J1793" i="3" s="1"/>
  <c r="L1793" i="3"/>
  <c r="M1793" i="3"/>
  <c r="A1792" i="3" a="1"/>
  <c r="A1792" i="3" s="1"/>
  <c r="B1792" i="3" a="1"/>
  <c r="B1792" i="3" s="1"/>
  <c r="D1791" i="2"/>
  <c r="K1792" i="2" a="1"/>
  <c r="K1792" i="2" s="1"/>
  <c r="H1792" i="2" a="1"/>
  <c r="H1792" i="2" s="1"/>
  <c r="I1792" i="2" a="1"/>
  <c r="I1792" i="2" s="1"/>
  <c r="J1792" i="2" a="1"/>
  <c r="J1792" i="2" s="1"/>
  <c r="B1793" i="2" a="1"/>
  <c r="B1793" i="2" s="1"/>
  <c r="A1793" i="2" a="1"/>
  <c r="A1793" i="2" s="1"/>
  <c r="C1795" i="2"/>
  <c r="F1794" i="2"/>
  <c r="D1792" i="3" a="1"/>
  <c r="D1792" i="2" a="1"/>
  <c r="D1792" i="3" l="1"/>
  <c r="A1793" i="3" a="1"/>
  <c r="A1793" i="3" s="1"/>
  <c r="B1793" i="3" a="1"/>
  <c r="B1793" i="3" s="1"/>
  <c r="M1794" i="3"/>
  <c r="G1794" i="3" a="1"/>
  <c r="G1794" i="3" s="1"/>
  <c r="F1794" i="3"/>
  <c r="C1795" i="3"/>
  <c r="L1794" i="3"/>
  <c r="H1793" i="3" a="1"/>
  <c r="H1793" i="3" s="1"/>
  <c r="K1793" i="3" a="1"/>
  <c r="K1793" i="3" s="1"/>
  <c r="I1793" i="3" a="1"/>
  <c r="I1793" i="3" s="1"/>
  <c r="D1792" i="2"/>
  <c r="C1796" i="2"/>
  <c r="F1795" i="2"/>
  <c r="A1794" i="2" a="1"/>
  <c r="A1794" i="2" s="1"/>
  <c r="B1794" i="2" a="1"/>
  <c r="B1794" i="2" s="1"/>
  <c r="J1793" i="2" a="1"/>
  <c r="J1793" i="2" s="1"/>
  <c r="K1793" i="2" a="1"/>
  <c r="K1793" i="2" s="1"/>
  <c r="H1793" i="2" a="1"/>
  <c r="H1793" i="2" s="1"/>
  <c r="I1793" i="2" a="1"/>
  <c r="I1793" i="2" s="1"/>
  <c r="D1793" i="3" a="1"/>
  <c r="D1793" i="2" a="1"/>
  <c r="D1793" i="3" l="1"/>
  <c r="J1794" i="3" a="1"/>
  <c r="J1794" i="3" s="1"/>
  <c r="K1794" i="3" a="1"/>
  <c r="K1794" i="3" s="1"/>
  <c r="H1794" i="3" a="1"/>
  <c r="H1794" i="3" s="1"/>
  <c r="I1794" i="3" a="1"/>
  <c r="I1794" i="3" s="1"/>
  <c r="M1795" i="3"/>
  <c r="C1796" i="3"/>
  <c r="L1795" i="3"/>
  <c r="F1795" i="3"/>
  <c r="A1794" i="3" a="1"/>
  <c r="A1794" i="3" s="1"/>
  <c r="B1794" i="3" a="1"/>
  <c r="B1794" i="3" s="1"/>
  <c r="D1793" i="2"/>
  <c r="H1794" i="2" a="1"/>
  <c r="H1794" i="2" s="1"/>
  <c r="I1794" i="2" a="1"/>
  <c r="I1794" i="2" s="1"/>
  <c r="K1794" i="2" a="1"/>
  <c r="K1794" i="2" s="1"/>
  <c r="J1794" i="2" a="1"/>
  <c r="J1794" i="2" s="1"/>
  <c r="A1795" i="2" a="1"/>
  <c r="A1795" i="2" s="1"/>
  <c r="B1795" i="2" a="1"/>
  <c r="B1795" i="2" s="1"/>
  <c r="C1797" i="2"/>
  <c r="F1796" i="2"/>
  <c r="D1794" i="3" a="1"/>
  <c r="D1794" i="2" a="1"/>
  <c r="D1794" i="3" l="1"/>
  <c r="B1795" i="3" a="1"/>
  <c r="B1795" i="3" s="1"/>
  <c r="A1795" i="3" a="1"/>
  <c r="A1795" i="3" s="1"/>
  <c r="L1796" i="3"/>
  <c r="F1796" i="3"/>
  <c r="M1796" i="3"/>
  <c r="G1796" i="3" a="1"/>
  <c r="G1796" i="3" s="1"/>
  <c r="J1796" i="3" s="1" a="1"/>
  <c r="J1796" i="3" s="1"/>
  <c r="C1797" i="3"/>
  <c r="G1795" i="3" a="1"/>
  <c r="G1795" i="3" s="1"/>
  <c r="D1794" i="2"/>
  <c r="A1796" i="2" a="1"/>
  <c r="A1796" i="2" s="1"/>
  <c r="B1796" i="2" a="1"/>
  <c r="B1796" i="2" s="1"/>
  <c r="I1795" i="2" a="1"/>
  <c r="I1795" i="2" s="1"/>
  <c r="J1795" i="2" a="1"/>
  <c r="J1795" i="2" s="1"/>
  <c r="H1795" i="2" a="1"/>
  <c r="H1795" i="2" s="1"/>
  <c r="K1795" i="2" a="1"/>
  <c r="K1795" i="2" s="1"/>
  <c r="C1798" i="2"/>
  <c r="F1797" i="2"/>
  <c r="D1795" i="2" a="1"/>
  <c r="C1798" i="3" l="1"/>
  <c r="L1797" i="3"/>
  <c r="M1797" i="3"/>
  <c r="F1797" i="3"/>
  <c r="J1795" i="3" a="1"/>
  <c r="J1795" i="3" s="1"/>
  <c r="H1795" i="3" a="1"/>
  <c r="H1795" i="3" s="1"/>
  <c r="I1795" i="3" a="1"/>
  <c r="I1795" i="3" s="1"/>
  <c r="K1795" i="3" a="1"/>
  <c r="K1795" i="3" s="1"/>
  <c r="I1796" i="3" a="1"/>
  <c r="I1796" i="3" s="1"/>
  <c r="K1796" i="3" a="1"/>
  <c r="K1796" i="3" s="1"/>
  <c r="H1796" i="3" a="1"/>
  <c r="H1796" i="3" s="1"/>
  <c r="A1796" i="3" a="1"/>
  <c r="A1796" i="3" s="1"/>
  <c r="B1796" i="3" a="1"/>
  <c r="B1796" i="3" s="1"/>
  <c r="D1795" i="2"/>
  <c r="A1797" i="2" a="1"/>
  <c r="A1797" i="2" s="1"/>
  <c r="B1797" i="2" a="1"/>
  <c r="B1797" i="2" s="1"/>
  <c r="C1799" i="2"/>
  <c r="F1798" i="2"/>
  <c r="J1796" i="2" a="1"/>
  <c r="J1796" i="2" s="1"/>
  <c r="K1796" i="2" a="1"/>
  <c r="K1796" i="2" s="1"/>
  <c r="I1796" i="2" a="1"/>
  <c r="I1796" i="2" s="1"/>
  <c r="H1796" i="2" a="1"/>
  <c r="H1796" i="2" s="1"/>
  <c r="D1795" i="3" a="1"/>
  <c r="D1796" i="3" a="1"/>
  <c r="D1796" i="2" a="1"/>
  <c r="D1796" i="3" l="1"/>
  <c r="D1795" i="3"/>
  <c r="B1797" i="3" a="1"/>
  <c r="B1797" i="3" s="1"/>
  <c r="A1797" i="3" a="1"/>
  <c r="A1797" i="3" s="1"/>
  <c r="G1797" i="3" a="1"/>
  <c r="G1797" i="3" s="1"/>
  <c r="F1798" i="3"/>
  <c r="M1798" i="3"/>
  <c r="L1798" i="3"/>
  <c r="C1799" i="3"/>
  <c r="G1798" i="3" a="1"/>
  <c r="G1798" i="3" s="1"/>
  <c r="J1798" i="3" a="1"/>
  <c r="J1798" i="3" s="1"/>
  <c r="D1796" i="2"/>
  <c r="H1797" i="2" a="1"/>
  <c r="H1797" i="2" s="1"/>
  <c r="J1797" i="2" a="1"/>
  <c r="J1797" i="2" s="1"/>
  <c r="K1797" i="2" a="1"/>
  <c r="K1797" i="2" s="1"/>
  <c r="I1797" i="2" a="1"/>
  <c r="I1797" i="2" s="1"/>
  <c r="B1798" i="2" a="1"/>
  <c r="B1798" i="2" s="1"/>
  <c r="A1798" i="2" a="1"/>
  <c r="A1798" i="2" s="1"/>
  <c r="C1800" i="2"/>
  <c r="F1799" i="2"/>
  <c r="D1797" i="2" a="1"/>
  <c r="F1799" i="3" l="1"/>
  <c r="L1799" i="3"/>
  <c r="C1800" i="3"/>
  <c r="M1799" i="3"/>
  <c r="G1799" i="3" a="1"/>
  <c r="G1799" i="3" s="1"/>
  <c r="J1797" i="3" a="1"/>
  <c r="J1797" i="3" s="1"/>
  <c r="H1797" i="3" a="1"/>
  <c r="H1797" i="3" s="1"/>
  <c r="K1797" i="3" a="1"/>
  <c r="K1797" i="3" s="1"/>
  <c r="I1797" i="3" a="1"/>
  <c r="I1797" i="3" s="1"/>
  <c r="K1798" i="3" a="1"/>
  <c r="K1798" i="3" s="1"/>
  <c r="H1798" i="3" a="1"/>
  <c r="H1798" i="3" s="1"/>
  <c r="I1798" i="3" a="1"/>
  <c r="I1798" i="3" s="1"/>
  <c r="A1798" i="3" a="1"/>
  <c r="A1798" i="3" s="1"/>
  <c r="B1798" i="3" a="1"/>
  <c r="B1798" i="3" s="1"/>
  <c r="D1797" i="2"/>
  <c r="A1799" i="2" a="1"/>
  <c r="A1799" i="2" s="1"/>
  <c r="B1799" i="2" a="1"/>
  <c r="B1799" i="2" s="1"/>
  <c r="K1798" i="2" a="1"/>
  <c r="K1798" i="2" s="1"/>
  <c r="I1798" i="2" a="1"/>
  <c r="I1798" i="2" s="1"/>
  <c r="H1798" i="2" a="1"/>
  <c r="H1798" i="2" s="1"/>
  <c r="J1798" i="2" a="1"/>
  <c r="J1798" i="2" s="1"/>
  <c r="C1801" i="2"/>
  <c r="F1801" i="2" s="1"/>
  <c r="B1801" i="2" s="1" a="1"/>
  <c r="B1801" i="2" s="1"/>
  <c r="F1800" i="2"/>
  <c r="A1801" i="2" a="1"/>
  <c r="A1801" i="2" s="1"/>
  <c r="D1797" i="3" a="1"/>
  <c r="D1798" i="3" a="1"/>
  <c r="D1798" i="2" a="1"/>
  <c r="D1798" i="3" l="1"/>
  <c r="D1797" i="3"/>
  <c r="H1799" i="3" a="1"/>
  <c r="H1799" i="3" s="1"/>
  <c r="K1799" i="3" a="1"/>
  <c r="K1799" i="3" s="1"/>
  <c r="I1799" i="3" a="1"/>
  <c r="I1799" i="3" s="1"/>
  <c r="C1801" i="3"/>
  <c r="F1800" i="3"/>
  <c r="L1800" i="3"/>
  <c r="G1800" i="3" a="1"/>
  <c r="G1800" i="3" s="1"/>
  <c r="M1800" i="3"/>
  <c r="J1799" i="3" a="1"/>
  <c r="J1799" i="3" s="1"/>
  <c r="A1799" i="3" a="1"/>
  <c r="A1799" i="3" s="1"/>
  <c r="B1799" i="3" a="1"/>
  <c r="B1799" i="3" s="1"/>
  <c r="D1798" i="2"/>
  <c r="I1799" i="2" a="1"/>
  <c r="I1799" i="2" s="1"/>
  <c r="H1799" i="2" a="1"/>
  <c r="H1799" i="2" s="1"/>
  <c r="J1799" i="2" a="1"/>
  <c r="J1799" i="2" s="1"/>
  <c r="K1799" i="2" a="1"/>
  <c r="K1799" i="2" s="1"/>
  <c r="A1800" i="2" a="1"/>
  <c r="A1800" i="2" s="1"/>
  <c r="B1800" i="2" a="1"/>
  <c r="B1800" i="2" s="1"/>
  <c r="K1801" i="2" a="1"/>
  <c r="K1801" i="2" s="1"/>
  <c r="H1801" i="2" a="1"/>
  <c r="H1801" i="2" s="1"/>
  <c r="I1801" i="2" a="1"/>
  <c r="I1801" i="2" s="1"/>
  <c r="J1801" i="2" a="1"/>
  <c r="J1801" i="2" s="1"/>
  <c r="D1799" i="3" a="1"/>
  <c r="D1801" i="2" a="1"/>
  <c r="D1799" i="2" a="1"/>
  <c r="D1799" i="3" l="1"/>
  <c r="A1800" i="3" a="1"/>
  <c r="A1800" i="3" s="1"/>
  <c r="B1800" i="3" a="1"/>
  <c r="B1800" i="3" s="1"/>
  <c r="J1800" i="3" a="1"/>
  <c r="J1800" i="3" s="1"/>
  <c r="H1800" i="3" a="1"/>
  <c r="H1800" i="3" s="1"/>
  <c r="K1800" i="3" a="1"/>
  <c r="K1800" i="3" s="1"/>
  <c r="I1800" i="3" a="1"/>
  <c r="I1800" i="3" s="1"/>
  <c r="F1801" i="3"/>
  <c r="M1801" i="3"/>
  <c r="L1801" i="3"/>
  <c r="C1802" i="3"/>
  <c r="D1799" i="2"/>
  <c r="D1801" i="2"/>
  <c r="H1800" i="2" a="1"/>
  <c r="H1800" i="2" s="1"/>
  <c r="I1800" i="2" a="1"/>
  <c r="I1800" i="2" s="1"/>
  <c r="J1800" i="2" a="1"/>
  <c r="J1800" i="2" s="1"/>
  <c r="K1800" i="2" a="1"/>
  <c r="K1800" i="2" s="1"/>
  <c r="D1800" i="3" a="1"/>
  <c r="D1800" i="2" a="1"/>
  <c r="D1800" i="3" l="1"/>
  <c r="F1802" i="3"/>
  <c r="M1802" i="3"/>
  <c r="L1802" i="3"/>
  <c r="C1803" i="3"/>
  <c r="B1801" i="3" a="1"/>
  <c r="B1801" i="3" s="1"/>
  <c r="A1801" i="3" a="1"/>
  <c r="A1801" i="3" s="1"/>
  <c r="G1801" i="3" a="1"/>
  <c r="G1801" i="3" s="1"/>
  <c r="D1800" i="2"/>
  <c r="D1729" i="3" a="1"/>
  <c r="H1801" i="3" l="1" a="1"/>
  <c r="H1801" i="3" s="1"/>
  <c r="K1801" i="3" a="1"/>
  <c r="K1801" i="3" s="1"/>
  <c r="I1801" i="3" a="1"/>
  <c r="I1801" i="3" s="1"/>
  <c r="J1801" i="3" a="1"/>
  <c r="J1801" i="3" s="1"/>
  <c r="A1802" i="3" a="1"/>
  <c r="A1802" i="3" s="1"/>
  <c r="B1802" i="3" a="1"/>
  <c r="B1802" i="3" s="1"/>
  <c r="L1803" i="3"/>
  <c r="M1803" i="3"/>
  <c r="C1804" i="3"/>
  <c r="F1803" i="3"/>
  <c r="G1802" i="3" a="1"/>
  <c r="G1802" i="3" s="1"/>
  <c r="D1729" i="3"/>
  <c r="D1801" i="3" a="1"/>
  <c r="D1728" i="3" a="1"/>
  <c r="D1801" i="3" l="1"/>
  <c r="A1803" i="3" a="1"/>
  <c r="A1803" i="3" s="1"/>
  <c r="B1803" i="3" a="1"/>
  <c r="B1803" i="3" s="1"/>
  <c r="F1804" i="3"/>
  <c r="C1805" i="3"/>
  <c r="L1804" i="3"/>
  <c r="M1804" i="3"/>
  <c r="G1804" i="3" a="1"/>
  <c r="G1804" i="3" s="1"/>
  <c r="G1803" i="3" a="1"/>
  <c r="G1803" i="3" s="1"/>
  <c r="J1802" i="3" a="1"/>
  <c r="J1802" i="3" s="1"/>
  <c r="K1802" i="3" a="1"/>
  <c r="K1802" i="3" s="1"/>
  <c r="H1802" i="3" a="1"/>
  <c r="H1802" i="3" s="1"/>
  <c r="I1802" i="3" a="1"/>
  <c r="I1802" i="3" s="1"/>
  <c r="D1728" i="3"/>
  <c r="D1802" i="3" a="1"/>
  <c r="D1727" i="3" a="1"/>
  <c r="D1802" i="3" l="1"/>
  <c r="I1804" i="3" a="1"/>
  <c r="I1804" i="3" s="1"/>
  <c r="K1804" i="3" a="1"/>
  <c r="K1804" i="3" s="1"/>
  <c r="H1804" i="3" a="1"/>
  <c r="H1804" i="3" s="1"/>
  <c r="B1804" i="3" a="1"/>
  <c r="B1804" i="3" s="1"/>
  <c r="A1804" i="3" a="1"/>
  <c r="A1804" i="3" s="1"/>
  <c r="I1803" i="3" a="1"/>
  <c r="I1803" i="3" s="1"/>
  <c r="K1803" i="3" a="1"/>
  <c r="K1803" i="3" s="1"/>
  <c r="H1803" i="3" a="1"/>
  <c r="H1803" i="3" s="1"/>
  <c r="J1803" i="3" a="1"/>
  <c r="J1803" i="3" s="1"/>
  <c r="J1804" i="3" a="1"/>
  <c r="J1804" i="3" s="1"/>
  <c r="C1806" i="3"/>
  <c r="L1805" i="3"/>
  <c r="F1805" i="3"/>
  <c r="M1805" i="3"/>
  <c r="G1805" i="3" a="1"/>
  <c r="G1805" i="3" s="1"/>
  <c r="J1805" i="3" a="1"/>
  <c r="J1805" i="3" s="1"/>
  <c r="D1727" i="3"/>
  <c r="D1803" i="3" a="1"/>
  <c r="D1804" i="3" a="1"/>
  <c r="D1726" i="3" a="1"/>
  <c r="D1804" i="3" l="1"/>
  <c r="D1803" i="3"/>
  <c r="C1807" i="3"/>
  <c r="M1806" i="3"/>
  <c r="F1806" i="3"/>
  <c r="L1806" i="3"/>
  <c r="G1806" i="3" a="1"/>
  <c r="G1806" i="3" s="1"/>
  <c r="A1805" i="3" a="1"/>
  <c r="A1805" i="3" s="1"/>
  <c r="B1805" i="3" a="1"/>
  <c r="B1805" i="3" s="1"/>
  <c r="I1805" i="3" a="1"/>
  <c r="I1805" i="3" s="1"/>
  <c r="K1805" i="3" a="1"/>
  <c r="K1805" i="3" s="1"/>
  <c r="H1805" i="3" a="1"/>
  <c r="H1805" i="3" s="1"/>
  <c r="D1726" i="3"/>
  <c r="D1805" i="3" a="1"/>
  <c r="D1725" i="3" a="1"/>
  <c r="D1805" i="3" l="1"/>
  <c r="I1806" i="3" a="1"/>
  <c r="I1806" i="3" s="1"/>
  <c r="H1806" i="3" a="1"/>
  <c r="H1806" i="3" s="1"/>
  <c r="K1806" i="3" a="1"/>
  <c r="K1806" i="3" s="1"/>
  <c r="J1806" i="3" a="1"/>
  <c r="J1806" i="3" s="1"/>
  <c r="B1806" i="3" a="1"/>
  <c r="B1806" i="3" s="1"/>
  <c r="A1806" i="3" a="1"/>
  <c r="A1806" i="3" s="1"/>
  <c r="C1808" i="3"/>
  <c r="M1807" i="3"/>
  <c r="F1807" i="3"/>
  <c r="L1807" i="3"/>
  <c r="G1807" i="3" a="1"/>
  <c r="G1807" i="3" s="1"/>
  <c r="D1725" i="3"/>
  <c r="D1806" i="3" a="1"/>
  <c r="D1724" i="3" a="1"/>
  <c r="D1806" i="3" l="1"/>
  <c r="J1807" i="3" a="1"/>
  <c r="J1807" i="3" s="1"/>
  <c r="K1807" i="3" a="1"/>
  <c r="K1807" i="3" s="1"/>
  <c r="I1807" i="3" a="1"/>
  <c r="I1807" i="3" s="1"/>
  <c r="H1807" i="3" a="1"/>
  <c r="H1807" i="3" s="1"/>
  <c r="B1807" i="3" a="1"/>
  <c r="B1807" i="3" s="1"/>
  <c r="A1807" i="3" a="1"/>
  <c r="A1807" i="3" s="1"/>
  <c r="F1808" i="3"/>
  <c r="M1808" i="3"/>
  <c r="C1809" i="3"/>
  <c r="L1808" i="3"/>
  <c r="G1808" i="3" a="1"/>
  <c r="G1808" i="3" s="1"/>
  <c r="D1724" i="3"/>
  <c r="D1807" i="3" a="1"/>
  <c r="D1723" i="3" a="1"/>
  <c r="D1807" i="3" l="1"/>
  <c r="K1808" i="3" a="1"/>
  <c r="K1808" i="3" s="1"/>
  <c r="H1808" i="3" a="1"/>
  <c r="H1808" i="3" s="1"/>
  <c r="I1808" i="3" a="1"/>
  <c r="I1808" i="3" s="1"/>
  <c r="M1809" i="3"/>
  <c r="F1809" i="3"/>
  <c r="L1809" i="3"/>
  <c r="G1809" i="3" a="1"/>
  <c r="G1809" i="3" s="1"/>
  <c r="C1810" i="3"/>
  <c r="A1808" i="3" a="1"/>
  <c r="A1808" i="3" s="1"/>
  <c r="B1808" i="3" a="1"/>
  <c r="B1808" i="3" s="1"/>
  <c r="J1808" i="3" a="1"/>
  <c r="J1808" i="3" s="1"/>
  <c r="D1723" i="3"/>
  <c r="D1808" i="3" a="1"/>
  <c r="D1722" i="3" a="1"/>
  <c r="D1808" i="3" l="1"/>
  <c r="H1809" i="3" a="1"/>
  <c r="H1809" i="3" s="1"/>
  <c r="K1809" i="3" a="1"/>
  <c r="K1809" i="3" s="1"/>
  <c r="I1809" i="3" a="1"/>
  <c r="I1809" i="3" s="1"/>
  <c r="B1809" i="3" a="1"/>
  <c r="B1809" i="3" s="1"/>
  <c r="A1809" i="3" a="1"/>
  <c r="A1809" i="3" s="1"/>
  <c r="J1809" i="3" a="1"/>
  <c r="J1809" i="3" s="1"/>
  <c r="M1810" i="3"/>
  <c r="F1810" i="3"/>
  <c r="G1810" i="3" a="1"/>
  <c r="G1810" i="3" s="1"/>
  <c r="C1811" i="3"/>
  <c r="J1810" i="3" a="1"/>
  <c r="J1810" i="3" s="1"/>
  <c r="L1810" i="3"/>
  <c r="D1722" i="3"/>
  <c r="D1809" i="3" a="1"/>
  <c r="D1721" i="3" a="1"/>
  <c r="D1809" i="3" l="1"/>
  <c r="M1811" i="3"/>
  <c r="C1812" i="3"/>
  <c r="L1811" i="3"/>
  <c r="F1811" i="3"/>
  <c r="I1810" i="3" a="1"/>
  <c r="I1810" i="3" s="1"/>
  <c r="H1810" i="3" a="1"/>
  <c r="H1810" i="3" s="1"/>
  <c r="K1810" i="3" a="1"/>
  <c r="K1810" i="3" s="1"/>
  <c r="B1810" i="3" a="1"/>
  <c r="B1810" i="3" s="1"/>
  <c r="A1810" i="3" a="1"/>
  <c r="A1810" i="3" s="1"/>
  <c r="D1721" i="3"/>
  <c r="D1810" i="3" a="1"/>
  <c r="D1720" i="3" a="1"/>
  <c r="D1810" i="3" l="1"/>
  <c r="M1812" i="3"/>
  <c r="F1812" i="3"/>
  <c r="C1813" i="3"/>
  <c r="L1812" i="3"/>
  <c r="G1812" i="3" a="1"/>
  <c r="G1812" i="3" s="1"/>
  <c r="J1812" i="3" s="1" a="1"/>
  <c r="J1812" i="3" s="1"/>
  <c r="A1811" i="3" a="1"/>
  <c r="A1811" i="3" s="1"/>
  <c r="B1811" i="3" a="1"/>
  <c r="B1811" i="3" s="1"/>
  <c r="G1811" i="3" a="1"/>
  <c r="G1811" i="3" s="1"/>
  <c r="D1720" i="3"/>
  <c r="D1719" i="3" a="1"/>
  <c r="I1811" i="3" l="1" a="1"/>
  <c r="I1811" i="3" s="1"/>
  <c r="H1811" i="3" a="1"/>
  <c r="H1811" i="3" s="1"/>
  <c r="K1811" i="3" a="1"/>
  <c r="K1811" i="3" s="1"/>
  <c r="J1811" i="3" a="1"/>
  <c r="J1811" i="3" s="1"/>
  <c r="H1812" i="3" a="1"/>
  <c r="H1812" i="3" s="1"/>
  <c r="K1812" i="3" a="1"/>
  <c r="K1812" i="3" s="1"/>
  <c r="I1812" i="3" a="1"/>
  <c r="I1812" i="3" s="1"/>
  <c r="F1813" i="3"/>
  <c r="M1813" i="3"/>
  <c r="C1814" i="3"/>
  <c r="L1813" i="3"/>
  <c r="G1813" i="3" a="1"/>
  <c r="G1813" i="3" s="1"/>
  <c r="A1812" i="3" a="1"/>
  <c r="A1812" i="3" s="1"/>
  <c r="B1812" i="3" a="1"/>
  <c r="B1812" i="3" s="1"/>
  <c r="D1719" i="3"/>
  <c r="D1812" i="3" a="1"/>
  <c r="D1811" i="3" a="1"/>
  <c r="D1718" i="3" a="1"/>
  <c r="D1811" i="3" l="1"/>
  <c r="D1812" i="3"/>
  <c r="K1813" i="3" a="1"/>
  <c r="K1813" i="3" s="1"/>
  <c r="H1813" i="3" a="1"/>
  <c r="H1813" i="3" s="1"/>
  <c r="I1813" i="3" a="1"/>
  <c r="I1813" i="3" s="1"/>
  <c r="A1813" i="3" a="1"/>
  <c r="A1813" i="3" s="1"/>
  <c r="B1813" i="3" a="1"/>
  <c r="B1813" i="3" s="1"/>
  <c r="M1814" i="3"/>
  <c r="L1814" i="3"/>
  <c r="F1814" i="3"/>
  <c r="C1815" i="3"/>
  <c r="G1814" i="3" a="1"/>
  <c r="G1814" i="3" s="1"/>
  <c r="J1813" i="3" a="1"/>
  <c r="J1813" i="3" s="1"/>
  <c r="D1718" i="3"/>
  <c r="D1813" i="3" a="1"/>
  <c r="D1717" i="3" a="1"/>
  <c r="D1813" i="3" l="1"/>
  <c r="I1814" i="3" a="1"/>
  <c r="I1814" i="3" s="1"/>
  <c r="K1814" i="3" a="1"/>
  <c r="K1814" i="3" s="1"/>
  <c r="H1814" i="3" a="1"/>
  <c r="H1814" i="3" s="1"/>
  <c r="B1814" i="3" a="1"/>
  <c r="B1814" i="3" s="1"/>
  <c r="A1814" i="3" a="1"/>
  <c r="A1814" i="3" s="1"/>
  <c r="L1815" i="3"/>
  <c r="C1816" i="3"/>
  <c r="F1815" i="3"/>
  <c r="M1815" i="3"/>
  <c r="G1815" i="3" a="1"/>
  <c r="G1815" i="3" s="1"/>
  <c r="J1814" i="3" a="1"/>
  <c r="J1814" i="3" s="1"/>
  <c r="D1717" i="3"/>
  <c r="D1814" i="3" a="1"/>
  <c r="D1716" i="3" a="1"/>
  <c r="D1814" i="3" l="1"/>
  <c r="B1815" i="3" a="1"/>
  <c r="B1815" i="3" s="1"/>
  <c r="A1815" i="3" a="1"/>
  <c r="A1815" i="3" s="1"/>
  <c r="H1815" i="3" a="1"/>
  <c r="H1815" i="3" s="1"/>
  <c r="I1815" i="3" a="1"/>
  <c r="I1815" i="3" s="1"/>
  <c r="K1815" i="3" a="1"/>
  <c r="K1815" i="3" s="1"/>
  <c r="J1815" i="3" a="1"/>
  <c r="J1815" i="3" s="1"/>
  <c r="M1816" i="3"/>
  <c r="F1816" i="3"/>
  <c r="G1816" i="3" a="1"/>
  <c r="G1816" i="3" s="1"/>
  <c r="J1816" i="3" s="1" a="1"/>
  <c r="J1816" i="3" s="1"/>
  <c r="L1816" i="3"/>
  <c r="C1817" i="3"/>
  <c r="D1716" i="3"/>
  <c r="D1815" i="3" a="1"/>
  <c r="D1715" i="3" a="1"/>
  <c r="D1815" i="3" l="1"/>
  <c r="A1816" i="3" a="1"/>
  <c r="A1816" i="3" s="1"/>
  <c r="B1816" i="3" a="1"/>
  <c r="B1816" i="3" s="1"/>
  <c r="I1816" i="3" a="1"/>
  <c r="I1816" i="3" s="1"/>
  <c r="H1816" i="3" a="1"/>
  <c r="H1816" i="3" s="1"/>
  <c r="K1816" i="3" a="1"/>
  <c r="K1816" i="3" s="1"/>
  <c r="L1817" i="3"/>
  <c r="M1817" i="3"/>
  <c r="G1817" i="3" a="1"/>
  <c r="G1817" i="3" s="1"/>
  <c r="F1817" i="3"/>
  <c r="C1818" i="3"/>
  <c r="D1715" i="3"/>
  <c r="D1816" i="3" a="1"/>
  <c r="D1714" i="3" a="1"/>
  <c r="D1816" i="3" l="1"/>
  <c r="A1817" i="3" a="1"/>
  <c r="A1817" i="3" s="1"/>
  <c r="B1817" i="3" a="1"/>
  <c r="B1817" i="3" s="1"/>
  <c r="J1817" i="3" a="1"/>
  <c r="J1817" i="3" s="1"/>
  <c r="K1817" i="3" a="1"/>
  <c r="K1817" i="3" s="1"/>
  <c r="I1817" i="3" a="1"/>
  <c r="I1817" i="3" s="1"/>
  <c r="H1817" i="3" a="1"/>
  <c r="H1817" i="3" s="1"/>
  <c r="M1818" i="3"/>
  <c r="F1818" i="3"/>
  <c r="L1818" i="3"/>
  <c r="C1819" i="3"/>
  <c r="D1714" i="3"/>
  <c r="D1817" i="3" a="1"/>
  <c r="D1713" i="3" a="1"/>
  <c r="D1817" i="3" l="1"/>
  <c r="C1820" i="3"/>
  <c r="M1819" i="3"/>
  <c r="F1819" i="3"/>
  <c r="G1819" i="3" a="1"/>
  <c r="G1819" i="3" s="1"/>
  <c r="L1819" i="3"/>
  <c r="B1818" i="3" a="1"/>
  <c r="B1818" i="3" s="1"/>
  <c r="A1818" i="3" a="1"/>
  <c r="A1818" i="3" s="1"/>
  <c r="G1818" i="3" a="1"/>
  <c r="G1818" i="3" s="1"/>
  <c r="D1713" i="3"/>
  <c r="D1712" i="3" a="1"/>
  <c r="H1818" i="3" l="1" a="1"/>
  <c r="H1818" i="3" s="1"/>
  <c r="K1818" i="3" a="1"/>
  <c r="K1818" i="3" s="1"/>
  <c r="I1818" i="3" a="1"/>
  <c r="I1818" i="3" s="1"/>
  <c r="J1818" i="3" a="1"/>
  <c r="J1818" i="3" s="1"/>
  <c r="J1819" i="3" a="1"/>
  <c r="J1819" i="3" s="1"/>
  <c r="H1819" i="3" a="1"/>
  <c r="H1819" i="3" s="1"/>
  <c r="K1819" i="3" a="1"/>
  <c r="K1819" i="3" s="1"/>
  <c r="I1819" i="3" a="1"/>
  <c r="I1819" i="3" s="1"/>
  <c r="B1819" i="3" a="1"/>
  <c r="B1819" i="3" s="1"/>
  <c r="A1819" i="3" a="1"/>
  <c r="A1819" i="3" s="1"/>
  <c r="L1820" i="3"/>
  <c r="F1820" i="3"/>
  <c r="M1820" i="3"/>
  <c r="C1821" i="3"/>
  <c r="D1712" i="3"/>
  <c r="D1818" i="3" a="1"/>
  <c r="D1819" i="3" a="1"/>
  <c r="D1711" i="3" a="1"/>
  <c r="D1819" i="3" l="1"/>
  <c r="D1818" i="3"/>
  <c r="A1820" i="3" a="1"/>
  <c r="A1820" i="3" s="1"/>
  <c r="B1820" i="3" a="1"/>
  <c r="B1820" i="3" s="1"/>
  <c r="G1820" i="3" a="1"/>
  <c r="G1820" i="3" s="1"/>
  <c r="C1822" i="3"/>
  <c r="L1821" i="3"/>
  <c r="F1821" i="3"/>
  <c r="M1821" i="3"/>
  <c r="G1821" i="3" a="1"/>
  <c r="G1821" i="3" s="1"/>
  <c r="D1711" i="3"/>
  <c r="D1710" i="3" a="1"/>
  <c r="K1821" i="3" l="1" a="1"/>
  <c r="K1821" i="3" s="1"/>
  <c r="H1821" i="3" a="1"/>
  <c r="H1821" i="3" s="1"/>
  <c r="I1821" i="3" a="1"/>
  <c r="I1821" i="3" s="1"/>
  <c r="H1820" i="3" a="1"/>
  <c r="H1820" i="3" s="1"/>
  <c r="I1820" i="3" a="1"/>
  <c r="I1820" i="3" s="1"/>
  <c r="K1820" i="3" a="1"/>
  <c r="K1820" i="3" s="1"/>
  <c r="J1820" i="3" a="1"/>
  <c r="J1820" i="3" s="1"/>
  <c r="J1821" i="3" a="1"/>
  <c r="J1821" i="3" s="1"/>
  <c r="B1821" i="3" a="1"/>
  <c r="B1821" i="3" s="1"/>
  <c r="A1821" i="3" a="1"/>
  <c r="A1821" i="3" s="1"/>
  <c r="M1822" i="3"/>
  <c r="F1822" i="3"/>
  <c r="C1823" i="3"/>
  <c r="L1822" i="3"/>
  <c r="D1710" i="3"/>
  <c r="D1820" i="3" a="1"/>
  <c r="D1821" i="3" a="1"/>
  <c r="D1709" i="3" a="1"/>
  <c r="D1821" i="3" l="1"/>
  <c r="D1820" i="3"/>
  <c r="G1822" i="3" a="1"/>
  <c r="G1822" i="3" s="1"/>
  <c r="B1822" i="3" a="1"/>
  <c r="B1822" i="3" s="1"/>
  <c r="A1822" i="3" a="1"/>
  <c r="A1822" i="3" s="1"/>
  <c r="L1823" i="3"/>
  <c r="M1823" i="3"/>
  <c r="F1823" i="3"/>
  <c r="C1824" i="3"/>
  <c r="D1709" i="3"/>
  <c r="D1708" i="3" a="1"/>
  <c r="A1823" i="3" l="1" a="1"/>
  <c r="A1823" i="3" s="1"/>
  <c r="B1823" i="3" a="1"/>
  <c r="B1823" i="3" s="1"/>
  <c r="F1824" i="3"/>
  <c r="L1824" i="3"/>
  <c r="C1825" i="3"/>
  <c r="M1824" i="3"/>
  <c r="G1823" i="3" a="1"/>
  <c r="G1823" i="3" s="1"/>
  <c r="K1822" i="3" a="1"/>
  <c r="K1822" i="3" s="1"/>
  <c r="H1822" i="3" a="1"/>
  <c r="H1822" i="3" s="1"/>
  <c r="I1822" i="3" a="1"/>
  <c r="I1822" i="3" s="1"/>
  <c r="J1822" i="3" a="1"/>
  <c r="J1822" i="3" s="1"/>
  <c r="D1708" i="3"/>
  <c r="D1822" i="3" a="1"/>
  <c r="D1707" i="3" a="1"/>
  <c r="D1822" i="3" l="1"/>
  <c r="F1825" i="3"/>
  <c r="G1825" i="3" a="1"/>
  <c r="G1825" i="3" s="1"/>
  <c r="M1825" i="3"/>
  <c r="C1826" i="3"/>
  <c r="L1825" i="3"/>
  <c r="J1825" i="3" a="1"/>
  <c r="J1825" i="3" s="1"/>
  <c r="G1824" i="3" a="1"/>
  <c r="G1824" i="3" s="1"/>
  <c r="A1824" i="3" a="1"/>
  <c r="A1824" i="3" s="1"/>
  <c r="B1824" i="3" a="1"/>
  <c r="B1824" i="3" s="1"/>
  <c r="I1823" i="3" a="1"/>
  <c r="I1823" i="3" s="1"/>
  <c r="H1823" i="3" a="1"/>
  <c r="H1823" i="3" s="1"/>
  <c r="K1823" i="3" a="1"/>
  <c r="K1823" i="3" s="1"/>
  <c r="J1823" i="3" a="1"/>
  <c r="J1823" i="3" s="1"/>
  <c r="D1707" i="3"/>
  <c r="D1823" i="3" a="1"/>
  <c r="D1706" i="3" a="1"/>
  <c r="D1823" i="3" l="1"/>
  <c r="I1824" i="3" a="1"/>
  <c r="I1824" i="3" s="1"/>
  <c r="K1824" i="3" a="1"/>
  <c r="K1824" i="3" s="1"/>
  <c r="H1824" i="3" a="1"/>
  <c r="H1824" i="3" s="1"/>
  <c r="J1824" i="3" a="1"/>
  <c r="J1824" i="3" s="1"/>
  <c r="B1825" i="3" a="1"/>
  <c r="B1825" i="3" s="1"/>
  <c r="A1825" i="3" a="1"/>
  <c r="A1825" i="3" s="1"/>
  <c r="C1827" i="3"/>
  <c r="M1826" i="3"/>
  <c r="L1826" i="3"/>
  <c r="F1826" i="3"/>
  <c r="K1825" i="3" a="1"/>
  <c r="K1825" i="3" s="1"/>
  <c r="I1825" i="3" a="1"/>
  <c r="I1825" i="3" s="1"/>
  <c r="H1825" i="3" a="1"/>
  <c r="H1825" i="3" s="1"/>
  <c r="D1706" i="3"/>
  <c r="D1825" i="3" a="1"/>
  <c r="D1824" i="3" a="1"/>
  <c r="D1705" i="3" a="1"/>
  <c r="D1824" i="3" l="1"/>
  <c r="D1825" i="3"/>
  <c r="A1826" i="3" a="1"/>
  <c r="A1826" i="3" s="1"/>
  <c r="B1826" i="3" a="1"/>
  <c r="B1826" i="3" s="1"/>
  <c r="F1827" i="3"/>
  <c r="G1827" i="3" a="1"/>
  <c r="G1827" i="3" s="1"/>
  <c r="M1827" i="3"/>
  <c r="C1828" i="3"/>
  <c r="L1827" i="3"/>
  <c r="G1826" i="3" a="1"/>
  <c r="G1826" i="3" s="1"/>
  <c r="D1705" i="3"/>
  <c r="D1704" i="3" a="1"/>
  <c r="L1828" i="3" l="1"/>
  <c r="M1828" i="3"/>
  <c r="F1828" i="3"/>
  <c r="G1828" i="3" a="1"/>
  <c r="G1828" i="3" s="1"/>
  <c r="C1829" i="3"/>
  <c r="J1828" i="3" a="1"/>
  <c r="J1828" i="3" s="1"/>
  <c r="A1827" i="3" a="1"/>
  <c r="A1827" i="3" s="1"/>
  <c r="B1827" i="3" a="1"/>
  <c r="B1827" i="3" s="1"/>
  <c r="J1826" i="3" a="1"/>
  <c r="J1826" i="3" s="1"/>
  <c r="I1826" i="3" a="1"/>
  <c r="I1826" i="3" s="1"/>
  <c r="K1826" i="3" a="1"/>
  <c r="K1826" i="3" s="1"/>
  <c r="H1826" i="3" a="1"/>
  <c r="H1826" i="3" s="1"/>
  <c r="J1827" i="3" a="1"/>
  <c r="J1827" i="3" s="1"/>
  <c r="K1827" i="3" a="1"/>
  <c r="K1827" i="3" s="1"/>
  <c r="H1827" i="3" a="1"/>
  <c r="H1827" i="3" s="1"/>
  <c r="I1827" i="3" a="1"/>
  <c r="I1827" i="3" s="1"/>
  <c r="D1704" i="3"/>
  <c r="D1826" i="3" a="1"/>
  <c r="D1827" i="3" a="1"/>
  <c r="D1703" i="3" a="1"/>
  <c r="D1827" i="3" l="1"/>
  <c r="D1826" i="3"/>
  <c r="B1828" i="3" a="1"/>
  <c r="B1828" i="3" s="1"/>
  <c r="A1828" i="3" a="1"/>
  <c r="A1828" i="3" s="1"/>
  <c r="C1830" i="3"/>
  <c r="L1829" i="3"/>
  <c r="F1829" i="3"/>
  <c r="M1829" i="3"/>
  <c r="I1828" i="3" a="1"/>
  <c r="I1828" i="3" s="1"/>
  <c r="H1828" i="3" a="1"/>
  <c r="H1828" i="3" s="1"/>
  <c r="K1828" i="3" a="1"/>
  <c r="K1828" i="3" s="1"/>
  <c r="D1703" i="3"/>
  <c r="D1828" i="3" a="1"/>
  <c r="D1702" i="3" a="1"/>
  <c r="D1828" i="3" l="1"/>
  <c r="A1829" i="3" a="1"/>
  <c r="A1829" i="3" s="1"/>
  <c r="B1829" i="3" a="1"/>
  <c r="B1829" i="3" s="1"/>
  <c r="G1829" i="3" a="1"/>
  <c r="G1829" i="3" s="1"/>
  <c r="L1830" i="3"/>
  <c r="M1830" i="3"/>
  <c r="C1831" i="3"/>
  <c r="F1830" i="3"/>
  <c r="D1702" i="3"/>
  <c r="D1701" i="3" a="1"/>
  <c r="H1829" i="3" l="1" a="1"/>
  <c r="H1829" i="3" s="1"/>
  <c r="I1829" i="3" a="1"/>
  <c r="I1829" i="3" s="1"/>
  <c r="K1829" i="3" a="1"/>
  <c r="K1829" i="3" s="1"/>
  <c r="J1829" i="3" a="1"/>
  <c r="J1829" i="3" s="1"/>
  <c r="A1830" i="3" a="1"/>
  <c r="A1830" i="3" s="1"/>
  <c r="B1830" i="3" a="1"/>
  <c r="B1830" i="3" s="1"/>
  <c r="L1831" i="3"/>
  <c r="F1831" i="3"/>
  <c r="M1831" i="3"/>
  <c r="G1831" i="3" a="1"/>
  <c r="G1831" i="3" s="1"/>
  <c r="J1831" i="3" s="1" a="1"/>
  <c r="J1831" i="3" s="1"/>
  <c r="C1832" i="3"/>
  <c r="G1830" i="3" a="1"/>
  <c r="G1830" i="3" s="1"/>
  <c r="D1701" i="3"/>
  <c r="D1829" i="3" a="1"/>
  <c r="D1700" i="3" a="1"/>
  <c r="D1829" i="3" l="1"/>
  <c r="L1832" i="3"/>
  <c r="F1832" i="3"/>
  <c r="G1832" i="3" a="1"/>
  <c r="G1832" i="3" s="1"/>
  <c r="M1832" i="3"/>
  <c r="C1833" i="3"/>
  <c r="J1832" i="3" a="1"/>
  <c r="J1832" i="3" s="1"/>
  <c r="A1831" i="3" a="1"/>
  <c r="A1831" i="3" s="1"/>
  <c r="B1831" i="3" a="1"/>
  <c r="B1831" i="3" s="1"/>
  <c r="K1831" i="3" a="1"/>
  <c r="K1831" i="3" s="1"/>
  <c r="H1831" i="3" a="1"/>
  <c r="H1831" i="3" s="1"/>
  <c r="I1831" i="3" a="1"/>
  <c r="I1831" i="3" s="1"/>
  <c r="H1830" i="3" a="1"/>
  <c r="H1830" i="3" s="1"/>
  <c r="I1830" i="3" a="1"/>
  <c r="I1830" i="3" s="1"/>
  <c r="K1830" i="3" a="1"/>
  <c r="K1830" i="3" s="1"/>
  <c r="J1830" i="3" a="1"/>
  <c r="J1830" i="3" s="1"/>
  <c r="D1700" i="3"/>
  <c r="D1830" i="3" a="1"/>
  <c r="D1831" i="3" a="1"/>
  <c r="D1699" i="3" a="1"/>
  <c r="D1831" i="3" l="1"/>
  <c r="D1830" i="3"/>
  <c r="A1832" i="3" a="1"/>
  <c r="A1832" i="3" s="1"/>
  <c r="B1832" i="3" a="1"/>
  <c r="B1832" i="3" s="1"/>
  <c r="C1834" i="3"/>
  <c r="L1833" i="3"/>
  <c r="M1833" i="3"/>
  <c r="G1833" i="3" a="1"/>
  <c r="G1833" i="3" s="1"/>
  <c r="F1833" i="3"/>
  <c r="I1832" i="3" a="1"/>
  <c r="I1832" i="3" s="1"/>
  <c r="K1832" i="3" a="1"/>
  <c r="K1832" i="3" s="1"/>
  <c r="H1832" i="3" a="1"/>
  <c r="H1832" i="3" s="1"/>
  <c r="D1699" i="3"/>
  <c r="D1832" i="3" a="1"/>
  <c r="D1698" i="3" a="1"/>
  <c r="D1832" i="3" l="1"/>
  <c r="I1833" i="3" a="1"/>
  <c r="I1833" i="3" s="1"/>
  <c r="K1833" i="3" a="1"/>
  <c r="K1833" i="3" s="1"/>
  <c r="H1833" i="3" a="1"/>
  <c r="H1833" i="3" s="1"/>
  <c r="J1833" i="3" a="1"/>
  <c r="J1833" i="3" s="1"/>
  <c r="L1834" i="3"/>
  <c r="M1834" i="3"/>
  <c r="C1835" i="3"/>
  <c r="F1834" i="3"/>
  <c r="G1834" i="3" a="1"/>
  <c r="G1834" i="3" s="1"/>
  <c r="B1833" i="3" a="1"/>
  <c r="B1833" i="3" s="1"/>
  <c r="A1833" i="3" a="1"/>
  <c r="A1833" i="3" s="1"/>
  <c r="D1698" i="3"/>
  <c r="D1833" i="3" a="1"/>
  <c r="D1697" i="3" a="1"/>
  <c r="D1833" i="3" l="1"/>
  <c r="K1834" i="3" a="1"/>
  <c r="K1834" i="3" s="1"/>
  <c r="H1834" i="3" a="1"/>
  <c r="H1834" i="3" s="1"/>
  <c r="I1834" i="3" a="1"/>
  <c r="I1834" i="3" s="1"/>
  <c r="F1835" i="3"/>
  <c r="M1835" i="3"/>
  <c r="C1836" i="3"/>
  <c r="L1835" i="3"/>
  <c r="G1835" i="3" a="1"/>
  <c r="G1835" i="3" s="1"/>
  <c r="J1834" i="3" a="1"/>
  <c r="J1834" i="3" s="1"/>
  <c r="A1834" i="3" a="1"/>
  <c r="A1834" i="3" s="1"/>
  <c r="B1834" i="3" a="1"/>
  <c r="B1834" i="3" s="1"/>
  <c r="D1697" i="3"/>
  <c r="D1834" i="3" a="1"/>
  <c r="D1696" i="3" a="1"/>
  <c r="D1834" i="3" l="1"/>
  <c r="K1835" i="3" a="1"/>
  <c r="K1835" i="3" s="1"/>
  <c r="H1835" i="3" a="1"/>
  <c r="H1835" i="3" s="1"/>
  <c r="I1835" i="3" a="1"/>
  <c r="I1835" i="3" s="1"/>
  <c r="B1835" i="3" a="1"/>
  <c r="B1835" i="3" s="1"/>
  <c r="A1835" i="3" a="1"/>
  <c r="A1835" i="3" s="1"/>
  <c r="J1835" i="3" a="1"/>
  <c r="J1835" i="3" s="1"/>
  <c r="L1836" i="3"/>
  <c r="C1837" i="3"/>
  <c r="M1836" i="3"/>
  <c r="F1836" i="3"/>
  <c r="D1696" i="3"/>
  <c r="D1835" i="3" a="1"/>
  <c r="D1695" i="3" a="1"/>
  <c r="D1835" i="3" l="1"/>
  <c r="F1837" i="3"/>
  <c r="C1838" i="3"/>
  <c r="G1837" i="3" a="1"/>
  <c r="G1837" i="3" s="1"/>
  <c r="L1837" i="3"/>
  <c r="M1837" i="3"/>
  <c r="J1837" i="3" a="1"/>
  <c r="J1837" i="3" s="1"/>
  <c r="A1836" i="3" a="1"/>
  <c r="A1836" i="3" s="1"/>
  <c r="B1836" i="3" a="1"/>
  <c r="B1836" i="3" s="1"/>
  <c r="G1836" i="3" a="1"/>
  <c r="G1836" i="3" s="1"/>
  <c r="D1695" i="3"/>
  <c r="D1694" i="3" a="1"/>
  <c r="H1836" i="3" l="1" a="1"/>
  <c r="H1836" i="3" s="1"/>
  <c r="K1836" i="3" a="1"/>
  <c r="K1836" i="3" s="1"/>
  <c r="I1836" i="3" a="1"/>
  <c r="I1836" i="3" s="1"/>
  <c r="J1836" i="3" a="1"/>
  <c r="J1836" i="3" s="1"/>
  <c r="H1837" i="3" a="1"/>
  <c r="H1837" i="3" s="1"/>
  <c r="K1837" i="3" a="1"/>
  <c r="K1837" i="3" s="1"/>
  <c r="I1837" i="3" a="1"/>
  <c r="I1837" i="3" s="1"/>
  <c r="M1838" i="3"/>
  <c r="L1838" i="3"/>
  <c r="C1839" i="3"/>
  <c r="F1838" i="3"/>
  <c r="A1837" i="3" a="1"/>
  <c r="A1837" i="3" s="1"/>
  <c r="B1837" i="3" a="1"/>
  <c r="B1837" i="3" s="1"/>
  <c r="D1694" i="3"/>
  <c r="D1836" i="3" a="1"/>
  <c r="D1837" i="3" a="1"/>
  <c r="D1693" i="3" a="1"/>
  <c r="D1837" i="3" l="1"/>
  <c r="D1836" i="3"/>
  <c r="B1838" i="3" a="1"/>
  <c r="B1838" i="3" s="1"/>
  <c r="A1838" i="3" a="1"/>
  <c r="A1838" i="3" s="1"/>
  <c r="G1838" i="3" a="1"/>
  <c r="G1838" i="3" s="1"/>
  <c r="F1839" i="3"/>
  <c r="M1839" i="3"/>
  <c r="L1839" i="3"/>
  <c r="C1840" i="3"/>
  <c r="G1839" i="3" a="1"/>
  <c r="G1839" i="3" s="1"/>
  <c r="J1839" i="3" a="1"/>
  <c r="J1839" i="3" s="1"/>
  <c r="D1693" i="3"/>
  <c r="D1692" i="3" a="1"/>
  <c r="F1840" i="3" l="1"/>
  <c r="M1840" i="3"/>
  <c r="G1840" i="3" a="1"/>
  <c r="G1840" i="3" s="1"/>
  <c r="L1840" i="3"/>
  <c r="C1841" i="3"/>
  <c r="J1838" i="3" a="1"/>
  <c r="J1838" i="3" s="1"/>
  <c r="H1838" i="3" a="1"/>
  <c r="H1838" i="3" s="1"/>
  <c r="I1838" i="3" a="1"/>
  <c r="I1838" i="3" s="1"/>
  <c r="K1838" i="3" a="1"/>
  <c r="K1838" i="3" s="1"/>
  <c r="H1839" i="3" a="1"/>
  <c r="H1839" i="3" s="1"/>
  <c r="I1839" i="3" a="1"/>
  <c r="I1839" i="3" s="1"/>
  <c r="K1839" i="3" a="1"/>
  <c r="K1839" i="3" s="1"/>
  <c r="B1839" i="3" a="1"/>
  <c r="B1839" i="3" s="1"/>
  <c r="A1839" i="3" a="1"/>
  <c r="A1839" i="3" s="1"/>
  <c r="D1692" i="3"/>
  <c r="D1839" i="3" a="1"/>
  <c r="D1838" i="3" a="1"/>
  <c r="D1691" i="3" a="1"/>
  <c r="D1838" i="3" l="1"/>
  <c r="D1839" i="3"/>
  <c r="J1840" i="3" a="1"/>
  <c r="J1840" i="3" s="1"/>
  <c r="H1840" i="3" a="1"/>
  <c r="H1840" i="3" s="1"/>
  <c r="I1840" i="3" a="1"/>
  <c r="I1840" i="3" s="1"/>
  <c r="K1840" i="3" a="1"/>
  <c r="K1840" i="3" s="1"/>
  <c r="F1841" i="3"/>
  <c r="M1841" i="3"/>
  <c r="C1842" i="3"/>
  <c r="L1841" i="3"/>
  <c r="G1841" i="3" a="1"/>
  <c r="G1841" i="3" s="1"/>
  <c r="B1840" i="3" a="1"/>
  <c r="B1840" i="3" s="1"/>
  <c r="A1840" i="3" a="1"/>
  <c r="A1840" i="3" s="1"/>
  <c r="D1691" i="3"/>
  <c r="D1840" i="3" a="1"/>
  <c r="D1690" i="3" a="1"/>
  <c r="D1840" i="3" l="1"/>
  <c r="H1841" i="3" a="1"/>
  <c r="H1841" i="3" s="1"/>
  <c r="I1841" i="3" a="1"/>
  <c r="I1841" i="3" s="1"/>
  <c r="K1841" i="3" a="1"/>
  <c r="K1841" i="3" s="1"/>
  <c r="L1842" i="3"/>
  <c r="C1843" i="3"/>
  <c r="F1842" i="3"/>
  <c r="M1842" i="3"/>
  <c r="G1842" i="3" a="1"/>
  <c r="G1842" i="3" s="1"/>
  <c r="A1841" i="3" a="1"/>
  <c r="A1841" i="3" s="1"/>
  <c r="B1841" i="3" a="1"/>
  <c r="B1841" i="3" s="1"/>
  <c r="J1841" i="3" a="1"/>
  <c r="J1841" i="3" s="1"/>
  <c r="D1690" i="3"/>
  <c r="D1841" i="3" a="1"/>
  <c r="D1689" i="3" a="1"/>
  <c r="D1841" i="3" l="1"/>
  <c r="I1842" i="3" a="1"/>
  <c r="I1842" i="3" s="1"/>
  <c r="K1842" i="3" a="1"/>
  <c r="K1842" i="3" s="1"/>
  <c r="H1842" i="3" a="1"/>
  <c r="H1842" i="3" s="1"/>
  <c r="A1842" i="3" a="1"/>
  <c r="A1842" i="3" s="1"/>
  <c r="B1842" i="3" a="1"/>
  <c r="B1842" i="3" s="1"/>
  <c r="J1842" i="3" a="1"/>
  <c r="J1842" i="3" s="1"/>
  <c r="L1843" i="3"/>
  <c r="M1843" i="3"/>
  <c r="C1844" i="3"/>
  <c r="F1843" i="3"/>
  <c r="G1843" i="3" a="1"/>
  <c r="G1843" i="3" s="1"/>
  <c r="D1689" i="3"/>
  <c r="D1842" i="3" a="1"/>
  <c r="D1688" i="3" a="1"/>
  <c r="D1842" i="3" l="1"/>
  <c r="J1843" i="3" a="1"/>
  <c r="J1843" i="3" s="1"/>
  <c r="I1843" i="3" a="1"/>
  <c r="I1843" i="3" s="1"/>
  <c r="H1843" i="3" a="1"/>
  <c r="H1843" i="3" s="1"/>
  <c r="K1843" i="3" a="1"/>
  <c r="K1843" i="3" s="1"/>
  <c r="A1843" i="3" a="1"/>
  <c r="A1843" i="3" s="1"/>
  <c r="B1843" i="3" a="1"/>
  <c r="B1843" i="3" s="1"/>
  <c r="M1844" i="3"/>
  <c r="C1845" i="3"/>
  <c r="F1844" i="3"/>
  <c r="L1844" i="3"/>
  <c r="G1844" i="3" a="1"/>
  <c r="G1844" i="3" s="1"/>
  <c r="D1688" i="3"/>
  <c r="D1843" i="3" a="1"/>
  <c r="D1687" i="3" a="1"/>
  <c r="D1843" i="3" l="1"/>
  <c r="B1844" i="3" a="1"/>
  <c r="B1844" i="3" s="1"/>
  <c r="A1844" i="3" a="1"/>
  <c r="A1844" i="3" s="1"/>
  <c r="K1844" i="3" a="1"/>
  <c r="K1844" i="3" s="1"/>
  <c r="I1844" i="3" a="1"/>
  <c r="I1844" i="3" s="1"/>
  <c r="H1844" i="3" a="1"/>
  <c r="H1844" i="3" s="1"/>
  <c r="M1845" i="3"/>
  <c r="L1845" i="3"/>
  <c r="C1846" i="3"/>
  <c r="F1845" i="3"/>
  <c r="G1845" i="3" s="1" a="1"/>
  <c r="G1845" i="3" s="1"/>
  <c r="J1844" i="3" a="1"/>
  <c r="J1844" i="3" s="1"/>
  <c r="D1687" i="3"/>
  <c r="D1844" i="3" a="1"/>
  <c r="D1686" i="3" a="1"/>
  <c r="D1844" i="3" l="1"/>
  <c r="I1845" i="3" a="1"/>
  <c r="I1845" i="3" s="1"/>
  <c r="K1845" i="3" a="1"/>
  <c r="K1845" i="3" s="1"/>
  <c r="H1845" i="3" a="1"/>
  <c r="H1845" i="3" s="1"/>
  <c r="J1845" i="3" a="1"/>
  <c r="J1845" i="3" s="1"/>
  <c r="A1845" i="3" a="1"/>
  <c r="A1845" i="3" s="1"/>
  <c r="B1845" i="3" a="1"/>
  <c r="B1845" i="3" s="1"/>
  <c r="L1846" i="3"/>
  <c r="M1846" i="3"/>
  <c r="F1846" i="3"/>
  <c r="C1847" i="3"/>
  <c r="D1686" i="3"/>
  <c r="D1845" i="3" a="1"/>
  <c r="D1685" i="3" a="1"/>
  <c r="D1845" i="3" l="1"/>
  <c r="M1847" i="3"/>
  <c r="C1848" i="3"/>
  <c r="L1847" i="3"/>
  <c r="F1847" i="3"/>
  <c r="G1846" i="3" a="1"/>
  <c r="G1846" i="3" s="1"/>
  <c r="A1846" i="3" a="1"/>
  <c r="A1846" i="3" s="1"/>
  <c r="B1846" i="3" a="1"/>
  <c r="B1846" i="3" s="1"/>
  <c r="D1685" i="3"/>
  <c r="D1684" i="3" a="1"/>
  <c r="B1847" i="3" l="1" a="1"/>
  <c r="B1847" i="3" s="1"/>
  <c r="A1847" i="3" a="1"/>
  <c r="A1847" i="3" s="1"/>
  <c r="F1848" i="3"/>
  <c r="C1849" i="3"/>
  <c r="M1848" i="3"/>
  <c r="L1848" i="3"/>
  <c r="H1846" i="3" a="1"/>
  <c r="H1846" i="3" s="1"/>
  <c r="K1846" i="3" a="1"/>
  <c r="K1846" i="3" s="1"/>
  <c r="I1846" i="3" a="1"/>
  <c r="I1846" i="3" s="1"/>
  <c r="J1846" i="3" a="1"/>
  <c r="J1846" i="3" s="1"/>
  <c r="G1847" i="3" a="1"/>
  <c r="G1847" i="3" s="1"/>
  <c r="D1684" i="3"/>
  <c r="D1846" i="3" a="1"/>
  <c r="D1682" i="3" a="1"/>
  <c r="D1846" i="3" l="1"/>
  <c r="G1848" i="3" a="1"/>
  <c r="G1848" i="3" s="1"/>
  <c r="A1848" i="3" a="1"/>
  <c r="A1848" i="3" s="1"/>
  <c r="B1848" i="3" a="1"/>
  <c r="B1848" i="3" s="1"/>
  <c r="I1847" i="3" a="1"/>
  <c r="I1847" i="3" s="1"/>
  <c r="H1847" i="3" a="1"/>
  <c r="H1847" i="3" s="1"/>
  <c r="K1847" i="3" a="1"/>
  <c r="K1847" i="3" s="1"/>
  <c r="J1847" i="3" a="1"/>
  <c r="J1847" i="3" s="1"/>
  <c r="F1849" i="3"/>
  <c r="M1849" i="3"/>
  <c r="L1849" i="3"/>
  <c r="C1850" i="3"/>
  <c r="D1682" i="3"/>
  <c r="D1847" i="3" a="1"/>
  <c r="D1683" i="3" a="1"/>
  <c r="D1847" i="3" l="1"/>
  <c r="F1850" i="3"/>
  <c r="G1850" i="3" a="1"/>
  <c r="G1850" i="3" s="1"/>
  <c r="C1851" i="3"/>
  <c r="L1850" i="3"/>
  <c r="M1850" i="3"/>
  <c r="J1850" i="3" a="1"/>
  <c r="J1850" i="3" s="1"/>
  <c r="B1849" i="3" a="1"/>
  <c r="B1849" i="3" s="1"/>
  <c r="A1849" i="3" a="1"/>
  <c r="A1849" i="3" s="1"/>
  <c r="I1848" i="3" a="1"/>
  <c r="I1848" i="3" s="1"/>
  <c r="K1848" i="3" a="1"/>
  <c r="K1848" i="3" s="1"/>
  <c r="H1848" i="3" a="1"/>
  <c r="H1848" i="3" s="1"/>
  <c r="J1848" i="3" a="1"/>
  <c r="J1848" i="3" s="1"/>
  <c r="G1849" i="3" a="1"/>
  <c r="G1849" i="3" s="1"/>
  <c r="D1683" i="3"/>
  <c r="D1848" i="3" a="1"/>
  <c r="D1681" i="3" a="1"/>
  <c r="D1848" i="3" l="1"/>
  <c r="I1850" i="3" a="1"/>
  <c r="I1850" i="3" s="1"/>
  <c r="H1850" i="3" a="1"/>
  <c r="H1850" i="3" s="1"/>
  <c r="K1850" i="3" a="1"/>
  <c r="K1850" i="3" s="1"/>
  <c r="J1849" i="3" a="1"/>
  <c r="J1849" i="3" s="1"/>
  <c r="H1849" i="3" a="1"/>
  <c r="H1849" i="3" s="1"/>
  <c r="K1849" i="3" a="1"/>
  <c r="K1849" i="3" s="1"/>
  <c r="I1849" i="3" a="1"/>
  <c r="I1849" i="3" s="1"/>
  <c r="A1850" i="3" a="1"/>
  <c r="A1850" i="3" s="1"/>
  <c r="B1850" i="3" a="1"/>
  <c r="B1850" i="3" s="1"/>
  <c r="F1851" i="3"/>
  <c r="G1851" i="3" s="1" a="1"/>
  <c r="G1851" i="3" s="1"/>
  <c r="C1852" i="3"/>
  <c r="L1851" i="3"/>
  <c r="M1851" i="3"/>
  <c r="D1681" i="3"/>
  <c r="D1850" i="3" a="1"/>
  <c r="D1849" i="3" a="1"/>
  <c r="D1680" i="3" a="1"/>
  <c r="D1849" i="3" l="1"/>
  <c r="D1850" i="3"/>
  <c r="I1851" i="3" a="1"/>
  <c r="I1851" i="3" s="1"/>
  <c r="H1851" i="3" a="1"/>
  <c r="H1851" i="3" s="1"/>
  <c r="K1851" i="3" a="1"/>
  <c r="K1851" i="3" s="1"/>
  <c r="J1851" i="3" a="1"/>
  <c r="J1851" i="3" s="1"/>
  <c r="B1851" i="3" a="1"/>
  <c r="B1851" i="3" s="1"/>
  <c r="A1851" i="3" a="1"/>
  <c r="A1851" i="3" s="1"/>
  <c r="M1852" i="3"/>
  <c r="L1852" i="3"/>
  <c r="C1853" i="3"/>
  <c r="F1852" i="3"/>
  <c r="D1680" i="3"/>
  <c r="D1851" i="3" a="1"/>
  <c r="D1679" i="3" a="1"/>
  <c r="D1851" i="3" l="1"/>
  <c r="A1852" i="3" a="1"/>
  <c r="A1852" i="3" s="1"/>
  <c r="B1852" i="3" a="1"/>
  <c r="B1852" i="3" s="1"/>
  <c r="L1853" i="3"/>
  <c r="M1853" i="3"/>
  <c r="C1854" i="3"/>
  <c r="F1853" i="3"/>
  <c r="G1852" i="3" a="1"/>
  <c r="G1852" i="3" s="1"/>
  <c r="D1679" i="3"/>
  <c r="D1678" i="3" a="1"/>
  <c r="A1853" i="3" l="1" a="1"/>
  <c r="A1853" i="3" s="1"/>
  <c r="B1853" i="3" a="1"/>
  <c r="B1853" i="3" s="1"/>
  <c r="G1853" i="3" a="1"/>
  <c r="G1853" i="3" s="1"/>
  <c r="K1852" i="3" a="1"/>
  <c r="K1852" i="3" s="1"/>
  <c r="I1852" i="3" a="1"/>
  <c r="I1852" i="3" s="1"/>
  <c r="H1852" i="3" a="1"/>
  <c r="H1852" i="3" s="1"/>
  <c r="J1852" i="3" a="1"/>
  <c r="J1852" i="3" s="1"/>
  <c r="M1854" i="3"/>
  <c r="L1854" i="3"/>
  <c r="C1855" i="3"/>
  <c r="F1854" i="3"/>
  <c r="D1678" i="3"/>
  <c r="D1852" i="3" a="1"/>
  <c r="D1677" i="3" a="1"/>
  <c r="D1852" i="3" l="1"/>
  <c r="H1853" i="3" a="1"/>
  <c r="H1853" i="3" s="1"/>
  <c r="I1853" i="3" a="1"/>
  <c r="I1853" i="3" s="1"/>
  <c r="K1853" i="3" a="1"/>
  <c r="K1853" i="3" s="1"/>
  <c r="J1853" i="3" a="1"/>
  <c r="J1853" i="3" s="1"/>
  <c r="B1854" i="3" a="1"/>
  <c r="B1854" i="3" s="1"/>
  <c r="A1854" i="3" a="1"/>
  <c r="A1854" i="3" s="1"/>
  <c r="M1855" i="3"/>
  <c r="C1856" i="3"/>
  <c r="F1855" i="3"/>
  <c r="G1855" i="3" a="1"/>
  <c r="G1855" i="3" s="1"/>
  <c r="J1855" i="3" a="1"/>
  <c r="J1855" i="3" s="1"/>
  <c r="L1855" i="3"/>
  <c r="G1854" i="3" a="1"/>
  <c r="G1854" i="3" s="1"/>
  <c r="D1677" i="3"/>
  <c r="D1853" i="3" a="1"/>
  <c r="D1676" i="3" a="1"/>
  <c r="D1853" i="3" l="1"/>
  <c r="I1854" i="3" a="1"/>
  <c r="I1854" i="3" s="1"/>
  <c r="H1854" i="3" a="1"/>
  <c r="H1854" i="3" s="1"/>
  <c r="K1854" i="3" a="1"/>
  <c r="K1854" i="3" s="1"/>
  <c r="J1854" i="3" a="1"/>
  <c r="J1854" i="3" s="1"/>
  <c r="K1855" i="3" a="1"/>
  <c r="K1855" i="3" s="1"/>
  <c r="I1855" i="3" a="1"/>
  <c r="I1855" i="3" s="1"/>
  <c r="H1855" i="3" a="1"/>
  <c r="H1855" i="3" s="1"/>
  <c r="A1855" i="3" a="1"/>
  <c r="A1855" i="3" s="1"/>
  <c r="B1855" i="3" a="1"/>
  <c r="B1855" i="3" s="1"/>
  <c r="F1856" i="3"/>
  <c r="G1856" i="3" a="1"/>
  <c r="G1856" i="3" s="1"/>
  <c r="J1856" i="3" s="1" a="1"/>
  <c r="J1856" i="3" s="1"/>
  <c r="M1856" i="3"/>
  <c r="C1857" i="3"/>
  <c r="L1856" i="3"/>
  <c r="D1676" i="3"/>
  <c r="D1854" i="3" a="1"/>
  <c r="D1855" i="3" a="1"/>
  <c r="D1675" i="3" a="1"/>
  <c r="D1855" i="3" l="1"/>
  <c r="D1854" i="3"/>
  <c r="H1856" i="3" a="1"/>
  <c r="H1856" i="3" s="1"/>
  <c r="K1856" i="3" a="1"/>
  <c r="K1856" i="3" s="1"/>
  <c r="I1856" i="3" a="1"/>
  <c r="I1856" i="3" s="1"/>
  <c r="B1856" i="3" a="1"/>
  <c r="B1856" i="3" s="1"/>
  <c r="A1856" i="3" a="1"/>
  <c r="A1856" i="3" s="1"/>
  <c r="F1857" i="3"/>
  <c r="G1857" i="3" s="1" a="1"/>
  <c r="G1857" i="3" s="1"/>
  <c r="C1858" i="3"/>
  <c r="M1857" i="3"/>
  <c r="L1857" i="3"/>
  <c r="D1675" i="3"/>
  <c r="D1856" i="3" a="1"/>
  <c r="D1674" i="3" a="1"/>
  <c r="D1856" i="3" l="1"/>
  <c r="K1857" i="3" a="1"/>
  <c r="K1857" i="3" s="1"/>
  <c r="H1857" i="3" a="1"/>
  <c r="H1857" i="3" s="1"/>
  <c r="I1857" i="3" a="1"/>
  <c r="I1857" i="3" s="1"/>
  <c r="J1857" i="3" a="1"/>
  <c r="J1857" i="3" s="1"/>
  <c r="B1857" i="3" a="1"/>
  <c r="B1857" i="3" s="1"/>
  <c r="A1857" i="3" a="1"/>
  <c r="A1857" i="3" s="1"/>
  <c r="C1859" i="3"/>
  <c r="M1858" i="3"/>
  <c r="F1858" i="3"/>
  <c r="L1858" i="3"/>
  <c r="G1858" i="3" a="1"/>
  <c r="G1858" i="3" s="1"/>
  <c r="D1674" i="3"/>
  <c r="D1857" i="3" a="1"/>
  <c r="D1673" i="3" a="1"/>
  <c r="D1857" i="3" l="1"/>
  <c r="H1858" i="3" a="1"/>
  <c r="H1858" i="3" s="1"/>
  <c r="I1858" i="3" a="1"/>
  <c r="I1858" i="3" s="1"/>
  <c r="K1858" i="3" a="1"/>
  <c r="K1858" i="3" s="1"/>
  <c r="A1858" i="3" a="1"/>
  <c r="A1858" i="3" s="1"/>
  <c r="B1858" i="3" a="1"/>
  <c r="B1858" i="3" s="1"/>
  <c r="F1859" i="3"/>
  <c r="G1859" i="3" a="1"/>
  <c r="G1859" i="3" s="1"/>
  <c r="L1859" i="3"/>
  <c r="M1859" i="3"/>
  <c r="C1860" i="3"/>
  <c r="J1859" i="3" a="1"/>
  <c r="J1859" i="3" s="1"/>
  <c r="J1858" i="3" a="1"/>
  <c r="J1858" i="3" s="1"/>
  <c r="D1673" i="3"/>
  <c r="D1858" i="3" a="1"/>
  <c r="D1672" i="3" a="1"/>
  <c r="D1858" i="3" l="1"/>
  <c r="L1860" i="3"/>
  <c r="C1861" i="3"/>
  <c r="M1860" i="3"/>
  <c r="F1860" i="3"/>
  <c r="K1859" i="3" a="1"/>
  <c r="K1859" i="3" s="1"/>
  <c r="H1859" i="3" a="1"/>
  <c r="H1859" i="3" s="1"/>
  <c r="I1859" i="3" a="1"/>
  <c r="I1859" i="3" s="1"/>
  <c r="A1859" i="3" a="1"/>
  <c r="A1859" i="3" s="1"/>
  <c r="B1859" i="3" a="1"/>
  <c r="B1859" i="3" s="1"/>
  <c r="D1672" i="3"/>
  <c r="D1859" i="3" a="1"/>
  <c r="D1671" i="3" a="1"/>
  <c r="D1859" i="3" l="1"/>
  <c r="A1860" i="3" a="1"/>
  <c r="A1860" i="3" s="1"/>
  <c r="B1860" i="3" a="1"/>
  <c r="B1860" i="3" s="1"/>
  <c r="G1860" i="3" a="1"/>
  <c r="G1860" i="3" s="1"/>
  <c r="L1861" i="3"/>
  <c r="M1861" i="3"/>
  <c r="C1862" i="3"/>
  <c r="F1861" i="3"/>
  <c r="D1671" i="3"/>
  <c r="D1670" i="3" a="1"/>
  <c r="J1860" i="3" l="1" a="1"/>
  <c r="J1860" i="3" s="1"/>
  <c r="H1860" i="3" a="1"/>
  <c r="H1860" i="3" s="1"/>
  <c r="I1860" i="3" a="1"/>
  <c r="I1860" i="3" s="1"/>
  <c r="K1860" i="3" a="1"/>
  <c r="K1860" i="3" s="1"/>
  <c r="C1863" i="3"/>
  <c r="M1862" i="3"/>
  <c r="L1862" i="3"/>
  <c r="F1862" i="3"/>
  <c r="G1862" i="3" a="1"/>
  <c r="G1862" i="3" s="1"/>
  <c r="J1862" i="3" s="1" a="1"/>
  <c r="J1862" i="3" s="1"/>
  <c r="B1861" i="3" a="1"/>
  <c r="B1861" i="3" s="1"/>
  <c r="A1861" i="3" a="1"/>
  <c r="A1861" i="3" s="1"/>
  <c r="G1861" i="3" a="1"/>
  <c r="G1861" i="3" s="1"/>
  <c r="D1670" i="3"/>
  <c r="D1860" i="3" a="1"/>
  <c r="D1669" i="3" a="1"/>
  <c r="D1860" i="3" l="1"/>
  <c r="I1862" i="3" a="1"/>
  <c r="I1862" i="3" s="1"/>
  <c r="H1862" i="3" a="1"/>
  <c r="H1862" i="3" s="1"/>
  <c r="K1862" i="3" a="1"/>
  <c r="K1862" i="3" s="1"/>
  <c r="A1862" i="3" a="1"/>
  <c r="A1862" i="3" s="1"/>
  <c r="B1862" i="3" a="1"/>
  <c r="B1862" i="3" s="1"/>
  <c r="L1863" i="3"/>
  <c r="M1863" i="3"/>
  <c r="C1864" i="3"/>
  <c r="F1863" i="3"/>
  <c r="H1861" i="3" a="1"/>
  <c r="H1861" i="3" s="1"/>
  <c r="I1861" i="3" a="1"/>
  <c r="I1861" i="3" s="1"/>
  <c r="K1861" i="3" a="1"/>
  <c r="K1861" i="3" s="1"/>
  <c r="J1861" i="3" a="1"/>
  <c r="J1861" i="3" s="1"/>
  <c r="D1669" i="3"/>
  <c r="D1861" i="3" a="1"/>
  <c r="D1862" i="3" a="1"/>
  <c r="D1668" i="3" a="1"/>
  <c r="D1862" i="3" l="1"/>
  <c r="D1861" i="3"/>
  <c r="A1863" i="3" a="1"/>
  <c r="A1863" i="3" s="1"/>
  <c r="B1863" i="3" a="1"/>
  <c r="B1863" i="3" s="1"/>
  <c r="C1865" i="3"/>
  <c r="L1864" i="3"/>
  <c r="F1864" i="3"/>
  <c r="M1864" i="3"/>
  <c r="G1864" i="3" a="1"/>
  <c r="G1864" i="3" s="1"/>
  <c r="J1864" i="3" s="1" a="1"/>
  <c r="J1864" i="3" s="1"/>
  <c r="G1863" i="3" a="1"/>
  <c r="G1863" i="3" s="1"/>
  <c r="D1668" i="3"/>
  <c r="D1667" i="3" a="1"/>
  <c r="I1863" i="3" l="1" a="1"/>
  <c r="I1863" i="3" s="1"/>
  <c r="K1863" i="3" a="1"/>
  <c r="K1863" i="3" s="1"/>
  <c r="H1863" i="3" a="1"/>
  <c r="H1863" i="3" s="1"/>
  <c r="J1863" i="3" a="1"/>
  <c r="J1863" i="3" s="1"/>
  <c r="F1865" i="3"/>
  <c r="M1865" i="3"/>
  <c r="L1865" i="3"/>
  <c r="C1866" i="3"/>
  <c r="G1865" i="3" a="1"/>
  <c r="G1865" i="3" s="1"/>
  <c r="J1865" i="3" s="1" a="1"/>
  <c r="J1865" i="3" s="1"/>
  <c r="I1864" i="3" a="1"/>
  <c r="I1864" i="3" s="1"/>
  <c r="K1864" i="3" a="1"/>
  <c r="K1864" i="3" s="1"/>
  <c r="H1864" i="3" a="1"/>
  <c r="H1864" i="3" s="1"/>
  <c r="B1864" i="3" a="1"/>
  <c r="B1864" i="3" s="1"/>
  <c r="A1864" i="3" a="1"/>
  <c r="A1864" i="3" s="1"/>
  <c r="D1667" i="3"/>
  <c r="D1864" i="3" a="1"/>
  <c r="D1863" i="3" a="1"/>
  <c r="D1666" i="3" a="1"/>
  <c r="D1863" i="3" l="1"/>
  <c r="D1864" i="3"/>
  <c r="K1865" i="3" a="1"/>
  <c r="K1865" i="3" s="1"/>
  <c r="I1865" i="3" a="1"/>
  <c r="I1865" i="3" s="1"/>
  <c r="H1865" i="3" a="1"/>
  <c r="H1865" i="3" s="1"/>
  <c r="F1866" i="3"/>
  <c r="C1867" i="3"/>
  <c r="G1866" i="3" a="1"/>
  <c r="G1866" i="3" s="1"/>
  <c r="M1866" i="3"/>
  <c r="L1866" i="3"/>
  <c r="B1865" i="3" a="1"/>
  <c r="B1865" i="3" s="1"/>
  <c r="A1865" i="3" a="1"/>
  <c r="A1865" i="3" s="1"/>
  <c r="D1666" i="3"/>
  <c r="D1865" i="3" a="1"/>
  <c r="D1665" i="3" a="1"/>
  <c r="D1865" i="3" l="1"/>
  <c r="M1867" i="3"/>
  <c r="C1868" i="3"/>
  <c r="L1867" i="3"/>
  <c r="F1867" i="3"/>
  <c r="G1867" i="3" a="1"/>
  <c r="G1867" i="3" s="1"/>
  <c r="H1866" i="3" a="1"/>
  <c r="H1866" i="3" s="1"/>
  <c r="I1866" i="3" a="1"/>
  <c r="I1866" i="3" s="1"/>
  <c r="K1866" i="3" a="1"/>
  <c r="K1866" i="3" s="1"/>
  <c r="B1866" i="3" a="1"/>
  <c r="B1866" i="3" s="1"/>
  <c r="A1866" i="3" a="1"/>
  <c r="A1866" i="3" s="1"/>
  <c r="J1866" i="3" a="1"/>
  <c r="J1866" i="3" s="1"/>
  <c r="D1665" i="3"/>
  <c r="D1866" i="3" a="1"/>
  <c r="D1664" i="3" a="1"/>
  <c r="D1866" i="3" l="1"/>
  <c r="B1867" i="3" a="1"/>
  <c r="B1867" i="3" s="1"/>
  <c r="A1867" i="3" a="1"/>
  <c r="A1867" i="3" s="1"/>
  <c r="H1867" i="3" a="1"/>
  <c r="H1867" i="3" s="1"/>
  <c r="I1867" i="3" a="1"/>
  <c r="I1867" i="3" s="1"/>
  <c r="K1867" i="3" a="1"/>
  <c r="K1867" i="3" s="1"/>
  <c r="F1868" i="3"/>
  <c r="C1869" i="3"/>
  <c r="G1868" i="3" a="1"/>
  <c r="G1868" i="3" s="1"/>
  <c r="M1868" i="3"/>
  <c r="L1868" i="3"/>
  <c r="J1868" i="3" a="1"/>
  <c r="J1868" i="3" s="1"/>
  <c r="J1867" i="3" a="1"/>
  <c r="J1867" i="3" s="1"/>
  <c r="D1664" i="3"/>
  <c r="D1867" i="3" a="1"/>
  <c r="D1663" i="3" a="1"/>
  <c r="D1867" i="3" l="1"/>
  <c r="H1868" i="3" a="1"/>
  <c r="H1868" i="3" s="1"/>
  <c r="I1868" i="3" a="1"/>
  <c r="I1868" i="3" s="1"/>
  <c r="K1868" i="3" a="1"/>
  <c r="K1868" i="3" s="1"/>
  <c r="F1869" i="3"/>
  <c r="M1869" i="3"/>
  <c r="C1870" i="3"/>
  <c r="L1869" i="3"/>
  <c r="G1869" i="3" a="1"/>
  <c r="G1869" i="3" s="1"/>
  <c r="J1869" i="3" a="1"/>
  <c r="J1869" i="3" s="1"/>
  <c r="B1868" i="3" a="1"/>
  <c r="B1868" i="3" s="1"/>
  <c r="A1868" i="3" a="1"/>
  <c r="A1868" i="3" s="1"/>
  <c r="D1663" i="3"/>
  <c r="D1868" i="3" a="1"/>
  <c r="D1662" i="3" a="1"/>
  <c r="D1868" i="3" l="1"/>
  <c r="I1869" i="3" a="1"/>
  <c r="I1869" i="3" s="1"/>
  <c r="H1869" i="3" a="1"/>
  <c r="H1869" i="3" s="1"/>
  <c r="K1869" i="3" a="1"/>
  <c r="K1869" i="3" s="1"/>
  <c r="F1870" i="3"/>
  <c r="G1870" i="3" a="1"/>
  <c r="G1870" i="3" s="1"/>
  <c r="C1871" i="3"/>
  <c r="L1870" i="3"/>
  <c r="M1870" i="3"/>
  <c r="J1870" i="3" a="1"/>
  <c r="J1870" i="3" s="1"/>
  <c r="A1869" i="3" a="1"/>
  <c r="A1869" i="3" s="1"/>
  <c r="B1869" i="3" a="1"/>
  <c r="B1869" i="3" s="1"/>
  <c r="D1662" i="3"/>
  <c r="D1869" i="3" a="1"/>
  <c r="D1661" i="3" a="1"/>
  <c r="D1869" i="3" l="1"/>
  <c r="M1871" i="3"/>
  <c r="C1872" i="3"/>
  <c r="L1871" i="3"/>
  <c r="F1871" i="3"/>
  <c r="H1870" i="3" a="1"/>
  <c r="H1870" i="3" s="1"/>
  <c r="K1870" i="3" a="1"/>
  <c r="K1870" i="3" s="1"/>
  <c r="I1870" i="3" a="1"/>
  <c r="I1870" i="3" s="1"/>
  <c r="B1870" i="3" a="1"/>
  <c r="B1870" i="3" s="1"/>
  <c r="A1870" i="3" a="1"/>
  <c r="A1870" i="3" s="1"/>
  <c r="D1661" i="3"/>
  <c r="D1870" i="3" a="1"/>
  <c r="D1660" i="3" a="1"/>
  <c r="D1870" i="3" l="1"/>
  <c r="B1871" i="3" a="1"/>
  <c r="B1871" i="3" s="1"/>
  <c r="A1871" i="3" a="1"/>
  <c r="A1871" i="3" s="1"/>
  <c r="M1872" i="3"/>
  <c r="C1873" i="3"/>
  <c r="L1872" i="3"/>
  <c r="F1872" i="3"/>
  <c r="G1872" i="3" a="1"/>
  <c r="G1872" i="3" s="1"/>
  <c r="G1871" i="3" a="1"/>
  <c r="G1871" i="3" s="1"/>
  <c r="D1660" i="3"/>
  <c r="D1659" i="3" a="1"/>
  <c r="H1871" i="3" l="1" a="1"/>
  <c r="H1871" i="3" s="1"/>
  <c r="K1871" i="3" a="1"/>
  <c r="K1871" i="3" s="1"/>
  <c r="I1871" i="3" a="1"/>
  <c r="I1871" i="3" s="1"/>
  <c r="J1871" i="3" a="1"/>
  <c r="J1871" i="3" s="1"/>
  <c r="K1872" i="3" a="1"/>
  <c r="K1872" i="3" s="1"/>
  <c r="I1872" i="3" a="1"/>
  <c r="I1872" i="3" s="1"/>
  <c r="H1872" i="3" a="1"/>
  <c r="H1872" i="3" s="1"/>
  <c r="L1873" i="3"/>
  <c r="M1873" i="3"/>
  <c r="C1874" i="3"/>
  <c r="F1873" i="3"/>
  <c r="J1872" i="3" a="1"/>
  <c r="J1872" i="3" s="1"/>
  <c r="B1872" i="3" a="1"/>
  <c r="B1872" i="3" s="1"/>
  <c r="A1872" i="3" a="1"/>
  <c r="A1872" i="3" s="1"/>
  <c r="D1659" i="3"/>
  <c r="D1871" i="3" a="1"/>
  <c r="D1872" i="3" a="1"/>
  <c r="D1658" i="3" a="1"/>
  <c r="D1872" i="3" l="1"/>
  <c r="D1871" i="3"/>
  <c r="G1873" i="3" a="1"/>
  <c r="G1873" i="3" s="1"/>
  <c r="A1873" i="3" a="1"/>
  <c r="A1873" i="3" s="1"/>
  <c r="B1873" i="3" a="1"/>
  <c r="B1873" i="3" s="1"/>
  <c r="F1874" i="3"/>
  <c r="M1874" i="3"/>
  <c r="C1875" i="3"/>
  <c r="L1874" i="3"/>
  <c r="G1874" i="3" a="1"/>
  <c r="G1874" i="3" s="1"/>
  <c r="J1874" i="3" a="1"/>
  <c r="J1874" i="3" s="1"/>
  <c r="D1658" i="3"/>
  <c r="D1657" i="3" a="1"/>
  <c r="C1876" i="3" l="1"/>
  <c r="L1875" i="3"/>
  <c r="F1875" i="3"/>
  <c r="G1875" i="3" a="1"/>
  <c r="G1875" i="3" s="1"/>
  <c r="J1875" i="3" s="1" a="1"/>
  <c r="J1875" i="3" s="1"/>
  <c r="M1875" i="3"/>
  <c r="B1874" i="3" a="1"/>
  <c r="B1874" i="3" s="1"/>
  <c r="A1874" i="3" a="1"/>
  <c r="A1874" i="3" s="1"/>
  <c r="K1874" i="3" a="1"/>
  <c r="K1874" i="3" s="1"/>
  <c r="I1874" i="3" a="1"/>
  <c r="I1874" i="3" s="1"/>
  <c r="H1874" i="3" a="1"/>
  <c r="H1874" i="3" s="1"/>
  <c r="H1873" i="3" a="1"/>
  <c r="H1873" i="3" s="1"/>
  <c r="I1873" i="3" a="1"/>
  <c r="I1873" i="3" s="1"/>
  <c r="K1873" i="3" a="1"/>
  <c r="K1873" i="3" s="1"/>
  <c r="J1873" i="3" a="1"/>
  <c r="J1873" i="3" s="1"/>
  <c r="D1657" i="3"/>
  <c r="D1873" i="3" a="1"/>
  <c r="D1874" i="3" a="1"/>
  <c r="D1656" i="3" a="1"/>
  <c r="D1874" i="3" l="1"/>
  <c r="D1873" i="3"/>
  <c r="H1875" i="3" a="1"/>
  <c r="H1875" i="3" s="1"/>
  <c r="I1875" i="3" a="1"/>
  <c r="I1875" i="3" s="1"/>
  <c r="K1875" i="3" a="1"/>
  <c r="K1875" i="3" s="1"/>
  <c r="A1875" i="3" a="1"/>
  <c r="A1875" i="3" s="1"/>
  <c r="B1875" i="3" a="1"/>
  <c r="B1875" i="3" s="1"/>
  <c r="L1876" i="3"/>
  <c r="M1876" i="3"/>
  <c r="C1877" i="3"/>
  <c r="F1876" i="3"/>
  <c r="G1876" i="3" a="1"/>
  <c r="G1876" i="3" s="1"/>
  <c r="D1656" i="3"/>
  <c r="D1875" i="3" a="1"/>
  <c r="D1655" i="3" a="1"/>
  <c r="D1875" i="3" l="1"/>
  <c r="A1876" i="3" a="1"/>
  <c r="A1876" i="3" s="1"/>
  <c r="B1876" i="3" a="1"/>
  <c r="B1876" i="3" s="1"/>
  <c r="I1876" i="3" a="1"/>
  <c r="I1876" i="3" s="1"/>
  <c r="K1876" i="3" a="1"/>
  <c r="K1876" i="3" s="1"/>
  <c r="H1876" i="3" a="1"/>
  <c r="H1876" i="3" s="1"/>
  <c r="F1877" i="3"/>
  <c r="M1877" i="3"/>
  <c r="G1877" i="3" a="1"/>
  <c r="G1877" i="3" s="1"/>
  <c r="L1877" i="3"/>
  <c r="C1878" i="3"/>
  <c r="J1877" i="3" a="1"/>
  <c r="J1877" i="3" s="1"/>
  <c r="J1876" i="3" a="1"/>
  <c r="J1876" i="3" s="1"/>
  <c r="D1655" i="3"/>
  <c r="D1876" i="3" a="1"/>
  <c r="D1654" i="3" a="1"/>
  <c r="D1876" i="3" l="1"/>
  <c r="F1878" i="3"/>
  <c r="G1878" i="3" a="1"/>
  <c r="G1878" i="3" s="1"/>
  <c r="L1878" i="3"/>
  <c r="M1878" i="3"/>
  <c r="C1879" i="3"/>
  <c r="A1877" i="3" a="1"/>
  <c r="A1877" i="3" s="1"/>
  <c r="B1877" i="3" a="1"/>
  <c r="B1877" i="3" s="1"/>
  <c r="H1877" i="3" a="1"/>
  <c r="H1877" i="3" s="1"/>
  <c r="I1877" i="3" a="1"/>
  <c r="I1877" i="3" s="1"/>
  <c r="K1877" i="3" a="1"/>
  <c r="K1877" i="3" s="1"/>
  <c r="D1654" i="3"/>
  <c r="D1877" i="3" a="1"/>
  <c r="D1653" i="3" a="1"/>
  <c r="D1877" i="3" l="1"/>
  <c r="F1879" i="3"/>
  <c r="M1879" i="3"/>
  <c r="L1879" i="3"/>
  <c r="C1880" i="3"/>
  <c r="G1879" i="3" a="1"/>
  <c r="G1879" i="3" s="1"/>
  <c r="J1879" i="3" s="1" a="1"/>
  <c r="J1879" i="3" s="1"/>
  <c r="J1878" i="3" a="1"/>
  <c r="J1878" i="3" s="1"/>
  <c r="H1878" i="3" a="1"/>
  <c r="H1878" i="3" s="1"/>
  <c r="I1878" i="3" a="1"/>
  <c r="I1878" i="3" s="1"/>
  <c r="K1878" i="3" a="1"/>
  <c r="K1878" i="3" s="1"/>
  <c r="A1878" i="3" a="1"/>
  <c r="A1878" i="3" s="1"/>
  <c r="B1878" i="3" a="1"/>
  <c r="B1878" i="3" s="1"/>
  <c r="D1653" i="3"/>
  <c r="D1878" i="3" a="1"/>
  <c r="D1652" i="3" a="1"/>
  <c r="D1878" i="3" l="1"/>
  <c r="K1879" i="3" a="1"/>
  <c r="K1879" i="3" s="1"/>
  <c r="H1879" i="3" a="1"/>
  <c r="H1879" i="3" s="1"/>
  <c r="I1879" i="3" a="1"/>
  <c r="I1879" i="3" s="1"/>
  <c r="A1879" i="3" a="1"/>
  <c r="A1879" i="3" s="1"/>
  <c r="B1879" i="3" a="1"/>
  <c r="B1879" i="3" s="1"/>
  <c r="F1880" i="3"/>
  <c r="C1881" i="3"/>
  <c r="M1880" i="3"/>
  <c r="G1880" i="3" a="1"/>
  <c r="G1880" i="3" s="1"/>
  <c r="L1880" i="3"/>
  <c r="D1652" i="3"/>
  <c r="D1879" i="3" a="1"/>
  <c r="D1651" i="3" a="1"/>
  <c r="D1879" i="3" l="1"/>
  <c r="K1880" i="3" a="1"/>
  <c r="K1880" i="3" s="1"/>
  <c r="H1880" i="3" a="1"/>
  <c r="H1880" i="3" s="1"/>
  <c r="I1880" i="3" a="1"/>
  <c r="I1880" i="3" s="1"/>
  <c r="J1880" i="3" a="1"/>
  <c r="J1880" i="3" s="1"/>
  <c r="F1881" i="3"/>
  <c r="L1881" i="3"/>
  <c r="M1881" i="3"/>
  <c r="C1882" i="3"/>
  <c r="G1881" i="3" a="1"/>
  <c r="G1881" i="3" s="1"/>
  <c r="A1880" i="3" a="1"/>
  <c r="A1880" i="3" s="1"/>
  <c r="B1880" i="3" a="1"/>
  <c r="B1880" i="3" s="1"/>
  <c r="D1651" i="3"/>
  <c r="D1880" i="3" a="1"/>
  <c r="D1650" i="3" a="1"/>
  <c r="D1880" i="3" l="1"/>
  <c r="I1881" i="3" a="1"/>
  <c r="I1881" i="3" s="1"/>
  <c r="H1881" i="3" a="1"/>
  <c r="H1881" i="3" s="1"/>
  <c r="K1881" i="3" a="1"/>
  <c r="K1881" i="3" s="1"/>
  <c r="L1882" i="3"/>
  <c r="C1883" i="3"/>
  <c r="M1882" i="3"/>
  <c r="F1882" i="3"/>
  <c r="B1881" i="3" a="1"/>
  <c r="B1881" i="3" s="1"/>
  <c r="A1881" i="3" a="1"/>
  <c r="A1881" i="3" s="1"/>
  <c r="J1881" i="3" a="1"/>
  <c r="J1881" i="3" s="1"/>
  <c r="D1650" i="3"/>
  <c r="D1881" i="3" a="1"/>
  <c r="D1649" i="3" a="1"/>
  <c r="D1881" i="3" l="1"/>
  <c r="G1882" i="3" a="1"/>
  <c r="G1882" i="3" s="1"/>
  <c r="A1882" i="3" a="1"/>
  <c r="A1882" i="3" s="1"/>
  <c r="B1882" i="3" a="1"/>
  <c r="B1882" i="3" s="1"/>
  <c r="F1883" i="3"/>
  <c r="L1883" i="3"/>
  <c r="C1884" i="3"/>
  <c r="G1883" i="3" a="1"/>
  <c r="G1883" i="3" s="1"/>
  <c r="M1883" i="3"/>
  <c r="J1883" i="3" a="1"/>
  <c r="J1883" i="3" s="1"/>
  <c r="D1649" i="3"/>
  <c r="D1648" i="3" a="1"/>
  <c r="F1884" i="3" l="1"/>
  <c r="M1884" i="3"/>
  <c r="C1885" i="3"/>
  <c r="L1884" i="3"/>
  <c r="G1884" i="3" a="1"/>
  <c r="G1884" i="3" s="1"/>
  <c r="B1883" i="3" a="1"/>
  <c r="B1883" i="3" s="1"/>
  <c r="A1883" i="3" a="1"/>
  <c r="A1883" i="3" s="1"/>
  <c r="K1883" i="3" a="1"/>
  <c r="K1883" i="3" s="1"/>
  <c r="I1883" i="3" a="1"/>
  <c r="I1883" i="3" s="1"/>
  <c r="H1883" i="3" a="1"/>
  <c r="H1883" i="3" s="1"/>
  <c r="H1882" i="3" a="1"/>
  <c r="H1882" i="3" s="1"/>
  <c r="K1882" i="3" a="1"/>
  <c r="K1882" i="3" s="1"/>
  <c r="I1882" i="3" a="1"/>
  <c r="I1882" i="3" s="1"/>
  <c r="J1882" i="3" a="1"/>
  <c r="J1882" i="3" s="1"/>
  <c r="D1648" i="3"/>
  <c r="D1882" i="3" a="1"/>
  <c r="D1883" i="3" a="1"/>
  <c r="D1647" i="3" a="1"/>
  <c r="D1883" i="3" l="1"/>
  <c r="D1882" i="3"/>
  <c r="I1884" i="3" a="1"/>
  <c r="I1884" i="3" s="1"/>
  <c r="H1884" i="3" a="1"/>
  <c r="H1884" i="3" s="1"/>
  <c r="K1884" i="3" a="1"/>
  <c r="K1884" i="3" s="1"/>
  <c r="L1885" i="3"/>
  <c r="C1886" i="3"/>
  <c r="M1885" i="3"/>
  <c r="F1885" i="3"/>
  <c r="G1885" i="3" a="1"/>
  <c r="G1885" i="3" s="1"/>
  <c r="J1885" i="3" s="1" a="1"/>
  <c r="J1885" i="3" s="1"/>
  <c r="J1884" i="3" a="1"/>
  <c r="J1884" i="3" s="1"/>
  <c r="B1884" i="3" a="1"/>
  <c r="B1884" i="3" s="1"/>
  <c r="A1884" i="3" a="1"/>
  <c r="A1884" i="3" s="1"/>
  <c r="D1647" i="3"/>
  <c r="D1884" i="3" a="1"/>
  <c r="D1646" i="3" a="1"/>
  <c r="D1884" i="3" l="1"/>
  <c r="C1887" i="3"/>
  <c r="F1886" i="3"/>
  <c r="M1886" i="3"/>
  <c r="L1886" i="3"/>
  <c r="A1885" i="3" a="1"/>
  <c r="A1885" i="3" s="1"/>
  <c r="B1885" i="3" a="1"/>
  <c r="B1885" i="3" s="1"/>
  <c r="I1885" i="3" a="1"/>
  <c r="I1885" i="3" s="1"/>
  <c r="K1885" i="3" a="1"/>
  <c r="K1885" i="3" s="1"/>
  <c r="H1885" i="3" a="1"/>
  <c r="H1885" i="3" s="1"/>
  <c r="D1646" i="3"/>
  <c r="D1885" i="3" a="1"/>
  <c r="D1645" i="3" a="1"/>
  <c r="D1885" i="3" l="1"/>
  <c r="B1886" i="3" a="1"/>
  <c r="B1886" i="3" s="1"/>
  <c r="A1886" i="3" a="1"/>
  <c r="A1886" i="3" s="1"/>
  <c r="F1887" i="3"/>
  <c r="L1887" i="3"/>
  <c r="G1887" i="3" a="1"/>
  <c r="G1887" i="3" s="1"/>
  <c r="M1887" i="3"/>
  <c r="C1888" i="3"/>
  <c r="G1886" i="3" a="1"/>
  <c r="G1886" i="3" s="1"/>
  <c r="D1645" i="3"/>
  <c r="D1644" i="3" a="1"/>
  <c r="I1886" i="3" l="1" a="1"/>
  <c r="I1886" i="3" s="1"/>
  <c r="K1886" i="3" a="1"/>
  <c r="K1886" i="3" s="1"/>
  <c r="H1886" i="3" a="1"/>
  <c r="H1886" i="3" s="1"/>
  <c r="J1886" i="3" a="1"/>
  <c r="J1886" i="3" s="1"/>
  <c r="C1889" i="3"/>
  <c r="F1888" i="3"/>
  <c r="M1888" i="3"/>
  <c r="L1888" i="3"/>
  <c r="G1888" i="3" a="1"/>
  <c r="G1888" i="3" s="1"/>
  <c r="J1888" i="3" s="1" a="1"/>
  <c r="J1888" i="3" s="1"/>
  <c r="B1887" i="3" a="1"/>
  <c r="B1887" i="3" s="1"/>
  <c r="A1887" i="3" a="1"/>
  <c r="A1887" i="3" s="1"/>
  <c r="J1887" i="3" a="1"/>
  <c r="J1887" i="3" s="1"/>
  <c r="I1887" i="3" a="1"/>
  <c r="I1887" i="3" s="1"/>
  <c r="K1887" i="3" a="1"/>
  <c r="K1887" i="3" s="1"/>
  <c r="H1887" i="3" a="1"/>
  <c r="H1887" i="3" s="1"/>
  <c r="D1644" i="3"/>
  <c r="D1887" i="3" a="1"/>
  <c r="D1886" i="3" a="1"/>
  <c r="D1643" i="3" a="1"/>
  <c r="D1886" i="3" l="1"/>
  <c r="D1887" i="3"/>
  <c r="B1888" i="3" a="1"/>
  <c r="B1888" i="3" s="1"/>
  <c r="A1888" i="3" a="1"/>
  <c r="A1888" i="3" s="1"/>
  <c r="I1888" i="3" a="1"/>
  <c r="I1888" i="3" s="1"/>
  <c r="K1888" i="3" a="1"/>
  <c r="K1888" i="3" s="1"/>
  <c r="H1888" i="3" a="1"/>
  <c r="H1888" i="3" s="1"/>
  <c r="L1889" i="3"/>
  <c r="C1890" i="3"/>
  <c r="M1889" i="3"/>
  <c r="G1889" i="3" a="1"/>
  <c r="G1889" i="3" s="1"/>
  <c r="F1889" i="3"/>
  <c r="D1643" i="3"/>
  <c r="D1888" i="3" a="1"/>
  <c r="D1642" i="3" a="1"/>
  <c r="D1888" i="3" l="1"/>
  <c r="A1889" i="3" a="1"/>
  <c r="A1889" i="3" s="1"/>
  <c r="B1889" i="3" a="1"/>
  <c r="B1889" i="3" s="1"/>
  <c r="M1890" i="3"/>
  <c r="C1891" i="3"/>
  <c r="F1890" i="3"/>
  <c r="L1890" i="3"/>
  <c r="G1890" i="3" a="1"/>
  <c r="G1890" i="3" s="1"/>
  <c r="H1889" i="3" a="1"/>
  <c r="H1889" i="3" s="1"/>
  <c r="K1889" i="3" a="1"/>
  <c r="K1889" i="3" s="1"/>
  <c r="I1889" i="3" a="1"/>
  <c r="I1889" i="3" s="1"/>
  <c r="J1889" i="3" a="1"/>
  <c r="J1889" i="3" s="1"/>
  <c r="D1642" i="3"/>
  <c r="D1889" i="3" a="1"/>
  <c r="D1641" i="3" a="1"/>
  <c r="D1889" i="3" l="1"/>
  <c r="I1890" i="3" a="1"/>
  <c r="I1890" i="3" s="1"/>
  <c r="H1890" i="3" a="1"/>
  <c r="H1890" i="3" s="1"/>
  <c r="K1890" i="3" a="1"/>
  <c r="K1890" i="3" s="1"/>
  <c r="J1890" i="3" a="1"/>
  <c r="J1890" i="3" s="1"/>
  <c r="A1890" i="3" a="1"/>
  <c r="A1890" i="3" s="1"/>
  <c r="B1890" i="3" a="1"/>
  <c r="B1890" i="3" s="1"/>
  <c r="L1891" i="3"/>
  <c r="M1891" i="3"/>
  <c r="F1891" i="3"/>
  <c r="C1892" i="3"/>
  <c r="D1641" i="3"/>
  <c r="D1890" i="3" a="1"/>
  <c r="D1640" i="3" a="1"/>
  <c r="D1890" i="3" l="1"/>
  <c r="A1891" i="3" a="1"/>
  <c r="A1891" i="3" s="1"/>
  <c r="B1891" i="3" a="1"/>
  <c r="B1891" i="3" s="1"/>
  <c r="M1892" i="3"/>
  <c r="F1892" i="3"/>
  <c r="C1893" i="3"/>
  <c r="L1892" i="3"/>
  <c r="G1891" i="3" a="1"/>
  <c r="G1891" i="3" s="1"/>
  <c r="D1640" i="3"/>
  <c r="D1639" i="3" a="1"/>
  <c r="J1891" i="3" l="1" a="1"/>
  <c r="J1891" i="3" s="1"/>
  <c r="K1891" i="3" a="1"/>
  <c r="K1891" i="3" s="1"/>
  <c r="I1891" i="3" a="1"/>
  <c r="I1891" i="3" s="1"/>
  <c r="H1891" i="3" a="1"/>
  <c r="H1891" i="3" s="1"/>
  <c r="M1893" i="3"/>
  <c r="C1894" i="3"/>
  <c r="F1893" i="3"/>
  <c r="L1893" i="3"/>
  <c r="G1893" i="3" a="1"/>
  <c r="G1893" i="3" s="1"/>
  <c r="A1892" i="3" a="1"/>
  <c r="A1892" i="3" s="1"/>
  <c r="B1892" i="3" a="1"/>
  <c r="B1892" i="3" s="1"/>
  <c r="G1892" i="3" a="1"/>
  <c r="G1892" i="3" s="1"/>
  <c r="D1639" i="3"/>
  <c r="D1891" i="3" a="1"/>
  <c r="D1638" i="3" a="1"/>
  <c r="D1891" i="3" l="1"/>
  <c r="K1893" i="3" a="1"/>
  <c r="K1893" i="3" s="1"/>
  <c r="I1893" i="3" a="1"/>
  <c r="I1893" i="3" s="1"/>
  <c r="H1893" i="3" a="1"/>
  <c r="H1893" i="3" s="1"/>
  <c r="A1893" i="3" a="1"/>
  <c r="A1893" i="3" s="1"/>
  <c r="B1893" i="3" a="1"/>
  <c r="B1893" i="3" s="1"/>
  <c r="C1895" i="3"/>
  <c r="L1894" i="3"/>
  <c r="M1894" i="3"/>
  <c r="F1894" i="3"/>
  <c r="G1894" i="3" a="1"/>
  <c r="G1894" i="3" s="1"/>
  <c r="J1893" i="3" a="1"/>
  <c r="J1893" i="3" s="1"/>
  <c r="J1892" i="3" a="1"/>
  <c r="J1892" i="3" s="1"/>
  <c r="H1892" i="3" a="1"/>
  <c r="H1892" i="3" s="1"/>
  <c r="I1892" i="3" a="1"/>
  <c r="I1892" i="3" s="1"/>
  <c r="K1892" i="3" a="1"/>
  <c r="K1892" i="3" s="1"/>
  <c r="D1638" i="3"/>
  <c r="D1892" i="3" a="1"/>
  <c r="D1893" i="3" a="1"/>
  <c r="D1637" i="3" a="1"/>
  <c r="D1893" i="3" l="1"/>
  <c r="D1892" i="3"/>
  <c r="B1894" i="3" a="1"/>
  <c r="B1894" i="3" s="1"/>
  <c r="A1894" i="3" a="1"/>
  <c r="A1894" i="3" s="1"/>
  <c r="K1894" i="3" a="1"/>
  <c r="K1894" i="3" s="1"/>
  <c r="H1894" i="3" a="1"/>
  <c r="H1894" i="3" s="1"/>
  <c r="I1894" i="3" a="1"/>
  <c r="I1894" i="3" s="1"/>
  <c r="J1894" i="3" a="1"/>
  <c r="J1894" i="3" s="1"/>
  <c r="F1895" i="3"/>
  <c r="M1895" i="3"/>
  <c r="L1895" i="3"/>
  <c r="C1896" i="3"/>
  <c r="D1637" i="3"/>
  <c r="D1894" i="3" a="1"/>
  <c r="D1636" i="3" a="1"/>
  <c r="D1894" i="3" l="1"/>
  <c r="A1895" i="3" a="1"/>
  <c r="A1895" i="3" s="1"/>
  <c r="B1895" i="3" a="1"/>
  <c r="B1895" i="3" s="1"/>
  <c r="M1896" i="3"/>
  <c r="C1897" i="3"/>
  <c r="L1896" i="3"/>
  <c r="F1896" i="3"/>
  <c r="G1895" i="3" a="1"/>
  <c r="G1895" i="3" s="1"/>
  <c r="D1636" i="3"/>
  <c r="D1635" i="3" a="1"/>
  <c r="K1895" i="3" l="1" a="1"/>
  <c r="K1895" i="3" s="1"/>
  <c r="I1895" i="3" a="1"/>
  <c r="I1895" i="3" s="1"/>
  <c r="H1895" i="3" a="1"/>
  <c r="H1895" i="3" s="1"/>
  <c r="J1895" i="3" a="1"/>
  <c r="J1895" i="3" s="1"/>
  <c r="A1896" i="3" a="1"/>
  <c r="A1896" i="3" s="1"/>
  <c r="B1896" i="3" a="1"/>
  <c r="B1896" i="3" s="1"/>
  <c r="G1896" i="3" a="1"/>
  <c r="G1896" i="3" s="1"/>
  <c r="L1897" i="3"/>
  <c r="M1897" i="3"/>
  <c r="F1897" i="3"/>
  <c r="G1897" i="3" a="1"/>
  <c r="G1897" i="3" s="1"/>
  <c r="C1898" i="3"/>
  <c r="D1635" i="3"/>
  <c r="D1895" i="3" a="1"/>
  <c r="D1634" i="3" a="1"/>
  <c r="D1895" i="3" l="1"/>
  <c r="B1897" i="3" a="1"/>
  <c r="B1897" i="3" s="1"/>
  <c r="A1897" i="3" a="1"/>
  <c r="A1897" i="3" s="1"/>
  <c r="K1897" i="3" a="1"/>
  <c r="K1897" i="3" s="1"/>
  <c r="H1897" i="3" a="1"/>
  <c r="H1897" i="3" s="1"/>
  <c r="I1897" i="3" a="1"/>
  <c r="I1897" i="3" s="1"/>
  <c r="J1897" i="3" a="1"/>
  <c r="J1897" i="3" s="1"/>
  <c r="H1896" i="3" a="1"/>
  <c r="H1896" i="3" s="1"/>
  <c r="I1896" i="3" a="1"/>
  <c r="I1896" i="3" s="1"/>
  <c r="K1896" i="3" a="1"/>
  <c r="K1896" i="3" s="1"/>
  <c r="J1896" i="3" a="1"/>
  <c r="J1896" i="3" s="1"/>
  <c r="M1898" i="3"/>
  <c r="F1898" i="3"/>
  <c r="L1898" i="3"/>
  <c r="C1899" i="3"/>
  <c r="D1634" i="3"/>
  <c r="D1897" i="3" a="1"/>
  <c r="D1896" i="3" a="1"/>
  <c r="D1633" i="3" a="1"/>
  <c r="D1896" i="3" l="1"/>
  <c r="D1897" i="3"/>
  <c r="C1900" i="3"/>
  <c r="M1899" i="3"/>
  <c r="F1899" i="3"/>
  <c r="L1899" i="3"/>
  <c r="G1899" i="3" a="1"/>
  <c r="G1899" i="3" s="1"/>
  <c r="J1899" i="3" s="1" a="1"/>
  <c r="J1899" i="3" s="1"/>
  <c r="B1898" i="3" a="1"/>
  <c r="B1898" i="3" s="1"/>
  <c r="A1898" i="3" a="1"/>
  <c r="A1898" i="3" s="1"/>
  <c r="G1898" i="3" a="1"/>
  <c r="G1898" i="3" s="1"/>
  <c r="D1633" i="3"/>
  <c r="D1632" i="3" a="1"/>
  <c r="J1898" i="3" l="1" a="1"/>
  <c r="J1898" i="3" s="1"/>
  <c r="I1898" i="3" a="1"/>
  <c r="I1898" i="3" s="1"/>
  <c r="K1898" i="3" a="1"/>
  <c r="K1898" i="3" s="1"/>
  <c r="H1898" i="3" a="1"/>
  <c r="H1898" i="3" s="1"/>
  <c r="H1899" i="3" a="1"/>
  <c r="H1899" i="3" s="1"/>
  <c r="I1899" i="3" a="1"/>
  <c r="I1899" i="3" s="1"/>
  <c r="K1899" i="3" a="1"/>
  <c r="K1899" i="3" s="1"/>
  <c r="A1899" i="3" a="1"/>
  <c r="A1899" i="3" s="1"/>
  <c r="B1899" i="3" a="1"/>
  <c r="B1899" i="3" s="1"/>
  <c r="M1900" i="3"/>
  <c r="C1901" i="3"/>
  <c r="F1900" i="3"/>
  <c r="L1900" i="3"/>
  <c r="D1632" i="3"/>
  <c r="D1899" i="3" a="1"/>
  <c r="D1898" i="3" a="1"/>
  <c r="D1631" i="3" a="1"/>
  <c r="D1898" i="3" l="1"/>
  <c r="D1899" i="3"/>
  <c r="B1900" i="3" a="1"/>
  <c r="B1900" i="3" s="1"/>
  <c r="A1900" i="3" a="1"/>
  <c r="A1900" i="3" s="1"/>
  <c r="F1901" i="3"/>
  <c r="G1901" i="3" a="1"/>
  <c r="G1901" i="3" s="1"/>
  <c r="M1901" i="3"/>
  <c r="L1901" i="3"/>
  <c r="C1902" i="3"/>
  <c r="J1901" i="3" a="1"/>
  <c r="J1901" i="3" s="1"/>
  <c r="G1900" i="3" a="1"/>
  <c r="G1900" i="3" s="1"/>
  <c r="D1631" i="3"/>
  <c r="D1630" i="3" a="1"/>
  <c r="M1902" i="3" l="1"/>
  <c r="C1903" i="3"/>
  <c r="L1902" i="3"/>
  <c r="F1902" i="3"/>
  <c r="G1902" i="3" a="1"/>
  <c r="G1902" i="3" s="1"/>
  <c r="J1902" i="3" a="1"/>
  <c r="J1902" i="3" s="1"/>
  <c r="A1901" i="3" a="1"/>
  <c r="A1901" i="3" s="1"/>
  <c r="B1901" i="3" a="1"/>
  <c r="B1901" i="3" s="1"/>
  <c r="J1900" i="3" a="1"/>
  <c r="J1900" i="3" s="1"/>
  <c r="K1900" i="3" a="1"/>
  <c r="K1900" i="3" s="1"/>
  <c r="I1900" i="3" a="1"/>
  <c r="I1900" i="3" s="1"/>
  <c r="H1900" i="3" a="1"/>
  <c r="H1900" i="3" s="1"/>
  <c r="H1901" i="3" a="1"/>
  <c r="H1901" i="3" s="1"/>
  <c r="I1901" i="3" a="1"/>
  <c r="I1901" i="3" s="1"/>
  <c r="K1901" i="3" a="1"/>
  <c r="K1901" i="3" s="1"/>
  <c r="D1630" i="3"/>
  <c r="D1901" i="3" a="1"/>
  <c r="D1900" i="3" a="1"/>
  <c r="D1629" i="3" a="1"/>
  <c r="D1900" i="3" l="1"/>
  <c r="D1901" i="3"/>
  <c r="F1903" i="3"/>
  <c r="M1903" i="3"/>
  <c r="C1904" i="3"/>
  <c r="G1903" i="3" a="1"/>
  <c r="G1903" i="3" s="1"/>
  <c r="L1903" i="3"/>
  <c r="I1902" i="3" a="1"/>
  <c r="I1902" i="3" s="1"/>
  <c r="H1902" i="3" a="1"/>
  <c r="H1902" i="3" s="1"/>
  <c r="K1902" i="3" a="1"/>
  <c r="K1902" i="3" s="1"/>
  <c r="B1902" i="3" a="1"/>
  <c r="B1902" i="3" s="1"/>
  <c r="A1902" i="3" a="1"/>
  <c r="A1902" i="3" s="1"/>
  <c r="D1629" i="3"/>
  <c r="D1902" i="3" a="1"/>
  <c r="D1628" i="3" a="1"/>
  <c r="D1902" i="3" l="1"/>
  <c r="K1903" i="3" a="1"/>
  <c r="K1903" i="3" s="1"/>
  <c r="H1903" i="3" a="1"/>
  <c r="H1903" i="3" s="1"/>
  <c r="I1903" i="3" a="1"/>
  <c r="I1903" i="3" s="1"/>
  <c r="B1903" i="3" a="1"/>
  <c r="B1903" i="3" s="1"/>
  <c r="A1903" i="3" a="1"/>
  <c r="A1903" i="3" s="1"/>
  <c r="J1903" i="3" a="1"/>
  <c r="J1903" i="3" s="1"/>
  <c r="F1904" i="3"/>
  <c r="G1904" i="3" a="1"/>
  <c r="G1904" i="3" s="1"/>
  <c r="M1904" i="3"/>
  <c r="L1904" i="3"/>
  <c r="C1905" i="3"/>
  <c r="D1628" i="3"/>
  <c r="D1903" i="3" a="1"/>
  <c r="D1627" i="3" a="1"/>
  <c r="D1903" i="3" l="1"/>
  <c r="K1904" i="3" a="1"/>
  <c r="K1904" i="3" s="1"/>
  <c r="H1904" i="3" a="1"/>
  <c r="H1904" i="3" s="1"/>
  <c r="I1904" i="3" a="1"/>
  <c r="I1904" i="3" s="1"/>
  <c r="B1904" i="3" a="1"/>
  <c r="B1904" i="3" s="1"/>
  <c r="A1904" i="3" a="1"/>
  <c r="A1904" i="3" s="1"/>
  <c r="F1905" i="3"/>
  <c r="C1906" i="3"/>
  <c r="G1905" i="3" a="1"/>
  <c r="G1905" i="3" s="1"/>
  <c r="M1905" i="3"/>
  <c r="L1905" i="3"/>
  <c r="J1904" i="3" a="1"/>
  <c r="J1904" i="3" s="1"/>
  <c r="D1627" i="3"/>
  <c r="D1904" i="3" a="1"/>
  <c r="D1626" i="3" a="1"/>
  <c r="D1904" i="3" l="1"/>
  <c r="J1905" i="3" a="1"/>
  <c r="J1905" i="3" s="1"/>
  <c r="K1905" i="3" a="1"/>
  <c r="K1905" i="3" s="1"/>
  <c r="H1905" i="3" a="1"/>
  <c r="H1905" i="3" s="1"/>
  <c r="I1905" i="3" a="1"/>
  <c r="I1905" i="3" s="1"/>
  <c r="M1906" i="3"/>
  <c r="C1907" i="3"/>
  <c r="F1906" i="3"/>
  <c r="G1906" i="3" a="1"/>
  <c r="G1906" i="3" s="1"/>
  <c r="L1906" i="3"/>
  <c r="B1905" i="3" a="1"/>
  <c r="B1905" i="3" s="1"/>
  <c r="A1905" i="3" a="1"/>
  <c r="A1905" i="3" s="1"/>
  <c r="D1626" i="3"/>
  <c r="D1905" i="3" a="1"/>
  <c r="D1625" i="3" a="1"/>
  <c r="D1905" i="3" l="1"/>
  <c r="K1906" i="3" a="1"/>
  <c r="K1906" i="3" s="1"/>
  <c r="H1906" i="3" a="1"/>
  <c r="H1906" i="3" s="1"/>
  <c r="I1906" i="3" a="1"/>
  <c r="I1906" i="3" s="1"/>
  <c r="B1906" i="3" a="1"/>
  <c r="B1906" i="3" s="1"/>
  <c r="A1906" i="3" a="1"/>
  <c r="A1906" i="3" s="1"/>
  <c r="L1907" i="3"/>
  <c r="M1907" i="3"/>
  <c r="C1908" i="3"/>
  <c r="F1907" i="3"/>
  <c r="G1907" i="3" a="1"/>
  <c r="G1907" i="3" s="1"/>
  <c r="J1907" i="3" s="1" a="1"/>
  <c r="J1907" i="3" s="1"/>
  <c r="J1906" i="3" a="1"/>
  <c r="J1906" i="3" s="1"/>
  <c r="D1625" i="3"/>
  <c r="D1906" i="3" a="1"/>
  <c r="D1624" i="3" a="1"/>
  <c r="D1906" i="3" l="1"/>
  <c r="B1907" i="3" a="1"/>
  <c r="B1907" i="3" s="1"/>
  <c r="A1907" i="3" a="1"/>
  <c r="A1907" i="3" s="1"/>
  <c r="I1907" i="3" a="1"/>
  <c r="I1907" i="3" s="1"/>
  <c r="K1907" i="3" a="1"/>
  <c r="K1907" i="3" s="1"/>
  <c r="H1907" i="3" a="1"/>
  <c r="H1907" i="3" s="1"/>
  <c r="F1908" i="3"/>
  <c r="C1909" i="3"/>
  <c r="G1908" i="3" a="1"/>
  <c r="G1908" i="3" s="1"/>
  <c r="J1908" i="3" s="1" a="1"/>
  <c r="J1908" i="3" s="1"/>
  <c r="M1908" i="3"/>
  <c r="L1908" i="3"/>
  <c r="D1624" i="3"/>
  <c r="D1907" i="3" a="1"/>
  <c r="D1623" i="3" a="1"/>
  <c r="D1907" i="3" l="1"/>
  <c r="A1908" i="3" a="1"/>
  <c r="A1908" i="3" s="1"/>
  <c r="B1908" i="3" a="1"/>
  <c r="B1908" i="3" s="1"/>
  <c r="C1910" i="3"/>
  <c r="M1909" i="3"/>
  <c r="F1909" i="3"/>
  <c r="G1909" i="3" a="1"/>
  <c r="G1909" i="3" s="1"/>
  <c r="J1909" i="3" s="1" a="1"/>
  <c r="J1909" i="3" s="1"/>
  <c r="L1909" i="3"/>
  <c r="I1908" i="3" a="1"/>
  <c r="I1908" i="3" s="1"/>
  <c r="H1908" i="3" a="1"/>
  <c r="H1908" i="3" s="1"/>
  <c r="K1908" i="3" a="1"/>
  <c r="K1908" i="3" s="1"/>
  <c r="D1623" i="3"/>
  <c r="D1908" i="3" a="1"/>
  <c r="D1621" i="3" a="1"/>
  <c r="D1908" i="3" l="1"/>
  <c r="H1909" i="3" a="1"/>
  <c r="H1909" i="3" s="1"/>
  <c r="I1909" i="3" a="1"/>
  <c r="I1909" i="3" s="1"/>
  <c r="K1909" i="3" a="1"/>
  <c r="K1909" i="3" s="1"/>
  <c r="B1909" i="3" a="1"/>
  <c r="B1909" i="3" s="1"/>
  <c r="A1909" i="3" a="1"/>
  <c r="A1909" i="3" s="1"/>
  <c r="L1910" i="3"/>
  <c r="C1911" i="3"/>
  <c r="F1910" i="3"/>
  <c r="M1910" i="3"/>
  <c r="G1910" i="3" a="1"/>
  <c r="G1910" i="3" s="1"/>
  <c r="D1621" i="3"/>
  <c r="D1909" i="3" a="1"/>
  <c r="D1622" i="3" a="1"/>
  <c r="D1909" i="3" l="1"/>
  <c r="K1910" i="3" a="1"/>
  <c r="K1910" i="3" s="1"/>
  <c r="I1910" i="3" a="1"/>
  <c r="I1910" i="3" s="1"/>
  <c r="H1910" i="3" a="1"/>
  <c r="H1910" i="3" s="1"/>
  <c r="J1910" i="3" a="1"/>
  <c r="J1910" i="3" s="1"/>
  <c r="C1912" i="3"/>
  <c r="M1911" i="3"/>
  <c r="F1911" i="3"/>
  <c r="L1911" i="3"/>
  <c r="A1910" i="3" a="1"/>
  <c r="A1910" i="3" s="1"/>
  <c r="B1910" i="3" a="1"/>
  <c r="B1910" i="3" s="1"/>
  <c r="D1622" i="3"/>
  <c r="D1910" i="3" a="1"/>
  <c r="D1620" i="3" a="1"/>
  <c r="D1910" i="3" l="1"/>
  <c r="B1911" i="3" a="1"/>
  <c r="B1911" i="3" s="1"/>
  <c r="A1911" i="3" a="1"/>
  <c r="A1911" i="3" s="1"/>
  <c r="G1911" i="3" a="1"/>
  <c r="G1911" i="3" s="1"/>
  <c r="L1912" i="3"/>
  <c r="M1912" i="3"/>
  <c r="C1913" i="3"/>
  <c r="F1912" i="3"/>
  <c r="D1620" i="3"/>
  <c r="D1619" i="3" a="1"/>
  <c r="A1912" i="3" l="1" a="1"/>
  <c r="A1912" i="3" s="1"/>
  <c r="B1912" i="3" a="1"/>
  <c r="B1912" i="3" s="1"/>
  <c r="J1911" i="3" a="1"/>
  <c r="J1911" i="3" s="1"/>
  <c r="H1911" i="3" a="1"/>
  <c r="H1911" i="3" s="1"/>
  <c r="I1911" i="3" a="1"/>
  <c r="I1911" i="3" s="1"/>
  <c r="K1911" i="3" a="1"/>
  <c r="K1911" i="3" s="1"/>
  <c r="G1912" i="3" a="1"/>
  <c r="G1912" i="3" s="1"/>
  <c r="F1913" i="3"/>
  <c r="G1913" i="3" a="1"/>
  <c r="G1913" i="3" s="1"/>
  <c r="M1913" i="3"/>
  <c r="L1913" i="3"/>
  <c r="C1914" i="3"/>
  <c r="D1619" i="3"/>
  <c r="D1911" i="3" a="1"/>
  <c r="D1618" i="3" a="1"/>
  <c r="D1911" i="3" l="1"/>
  <c r="L1914" i="3"/>
  <c r="C1915" i="3"/>
  <c r="F1914" i="3"/>
  <c r="G1914" i="3" a="1"/>
  <c r="G1914" i="3" s="1"/>
  <c r="M1914" i="3"/>
  <c r="H1913" i="3" a="1"/>
  <c r="H1913" i="3" s="1"/>
  <c r="I1913" i="3" a="1"/>
  <c r="I1913" i="3" s="1"/>
  <c r="K1913" i="3" a="1"/>
  <c r="K1913" i="3" s="1"/>
  <c r="H1912" i="3" a="1"/>
  <c r="H1912" i="3" s="1"/>
  <c r="K1912" i="3" a="1"/>
  <c r="K1912" i="3" s="1"/>
  <c r="I1912" i="3" a="1"/>
  <c r="I1912" i="3" s="1"/>
  <c r="J1912" i="3" a="1"/>
  <c r="J1912" i="3" s="1"/>
  <c r="A1913" i="3" a="1"/>
  <c r="A1913" i="3" s="1"/>
  <c r="B1913" i="3" a="1"/>
  <c r="B1913" i="3" s="1"/>
  <c r="J1913" i="3" a="1"/>
  <c r="J1913" i="3" s="1"/>
  <c r="D1618" i="3"/>
  <c r="D1913" i="3" a="1"/>
  <c r="D1912" i="3" a="1"/>
  <c r="D1617" i="3" a="1"/>
  <c r="D1912" i="3" l="1"/>
  <c r="D1913" i="3"/>
  <c r="C1916" i="3"/>
  <c r="F1915" i="3"/>
  <c r="M1915" i="3"/>
  <c r="G1915" i="3" a="1"/>
  <c r="G1915" i="3" s="1"/>
  <c r="L1915" i="3"/>
  <c r="J1915" i="3" a="1"/>
  <c r="J1915" i="3" s="1"/>
  <c r="J1914" i="3" a="1"/>
  <c r="J1914" i="3" s="1"/>
  <c r="H1914" i="3" a="1"/>
  <c r="H1914" i="3" s="1"/>
  <c r="K1914" i="3" a="1"/>
  <c r="K1914" i="3" s="1"/>
  <c r="I1914" i="3" a="1"/>
  <c r="I1914" i="3" s="1"/>
  <c r="B1914" i="3" a="1"/>
  <c r="B1914" i="3" s="1"/>
  <c r="A1914" i="3" a="1"/>
  <c r="A1914" i="3" s="1"/>
  <c r="D1617" i="3"/>
  <c r="D1914" i="3" a="1"/>
  <c r="D1616" i="3" a="1"/>
  <c r="D1914" i="3" l="1"/>
  <c r="L1916" i="3"/>
  <c r="M1916" i="3"/>
  <c r="C1917" i="3"/>
  <c r="F1916" i="3"/>
  <c r="K1915" i="3" a="1"/>
  <c r="K1915" i="3" s="1"/>
  <c r="I1915" i="3" a="1"/>
  <c r="I1915" i="3" s="1"/>
  <c r="H1915" i="3" a="1"/>
  <c r="H1915" i="3" s="1"/>
  <c r="A1915" i="3" a="1"/>
  <c r="A1915" i="3" s="1"/>
  <c r="B1915" i="3" a="1"/>
  <c r="B1915" i="3" s="1"/>
  <c r="D1616" i="3"/>
  <c r="D1915" i="3" a="1"/>
  <c r="D1615" i="3" a="1"/>
  <c r="D1915" i="3" l="1"/>
  <c r="A1916" i="3" a="1"/>
  <c r="A1916" i="3" s="1"/>
  <c r="B1916" i="3" a="1"/>
  <c r="B1916" i="3" s="1"/>
  <c r="L1917" i="3"/>
  <c r="M1917" i="3"/>
  <c r="C1918" i="3"/>
  <c r="F1917" i="3"/>
  <c r="G1917" i="3" s="1" a="1"/>
  <c r="G1917" i="3" s="1"/>
  <c r="G1916" i="3" a="1"/>
  <c r="G1916" i="3" s="1"/>
  <c r="D1615" i="3"/>
  <c r="D1613" i="3" a="1"/>
  <c r="I1917" i="3" l="1" a="1"/>
  <c r="I1917" i="3" s="1"/>
  <c r="H1917" i="3" a="1"/>
  <c r="H1917" i="3" s="1"/>
  <c r="K1917" i="3" a="1"/>
  <c r="K1917" i="3" s="1"/>
  <c r="J1917" i="3" a="1"/>
  <c r="J1917" i="3" s="1"/>
  <c r="K1916" i="3" a="1"/>
  <c r="K1916" i="3" s="1"/>
  <c r="I1916" i="3" a="1"/>
  <c r="I1916" i="3" s="1"/>
  <c r="H1916" i="3" a="1"/>
  <c r="H1916" i="3" s="1"/>
  <c r="J1916" i="3" a="1"/>
  <c r="J1916" i="3" s="1"/>
  <c r="B1917" i="3" a="1"/>
  <c r="B1917" i="3" s="1"/>
  <c r="A1917" i="3" a="1"/>
  <c r="A1917" i="3" s="1"/>
  <c r="L1918" i="3"/>
  <c r="M1918" i="3"/>
  <c r="C1919" i="3"/>
  <c r="F1918" i="3"/>
  <c r="G1918" i="3" a="1"/>
  <c r="G1918" i="3" s="1"/>
  <c r="J1918" i="3" a="1"/>
  <c r="J1918" i="3" s="1"/>
  <c r="D1613" i="3"/>
  <c r="D1916" i="3" a="1"/>
  <c r="D1917" i="3" a="1"/>
  <c r="D1614" i="3" a="1"/>
  <c r="D1917" i="3" l="1"/>
  <c r="D1916" i="3"/>
  <c r="I1918" i="3" a="1"/>
  <c r="I1918" i="3" s="1"/>
  <c r="K1918" i="3" a="1"/>
  <c r="K1918" i="3" s="1"/>
  <c r="H1918" i="3" a="1"/>
  <c r="H1918" i="3" s="1"/>
  <c r="B1918" i="3" a="1"/>
  <c r="B1918" i="3" s="1"/>
  <c r="A1918" i="3" a="1"/>
  <c r="A1918" i="3" s="1"/>
  <c r="F1919" i="3"/>
  <c r="L1919" i="3"/>
  <c r="M1919" i="3"/>
  <c r="C1920" i="3"/>
  <c r="G1919" i="3" a="1"/>
  <c r="G1919" i="3" s="1"/>
  <c r="D1614" i="3"/>
  <c r="D1918" i="3" a="1"/>
  <c r="D1612" i="3" a="1"/>
  <c r="D1918" i="3" l="1"/>
  <c r="K1919" i="3" a="1"/>
  <c r="K1919" i="3" s="1"/>
  <c r="H1919" i="3" a="1"/>
  <c r="H1919" i="3" s="1"/>
  <c r="I1919" i="3" a="1"/>
  <c r="I1919" i="3" s="1"/>
  <c r="F1920" i="3"/>
  <c r="C1921" i="3"/>
  <c r="L1920" i="3"/>
  <c r="M1920" i="3"/>
  <c r="G1920" i="3" a="1"/>
  <c r="G1920" i="3" s="1"/>
  <c r="A1919" i="3" a="1"/>
  <c r="A1919" i="3" s="1"/>
  <c r="B1919" i="3" a="1"/>
  <c r="B1919" i="3" s="1"/>
  <c r="J1919" i="3" a="1"/>
  <c r="J1919" i="3" s="1"/>
  <c r="D1612" i="3"/>
  <c r="D1919" i="3" a="1"/>
  <c r="D1611" i="3" a="1"/>
  <c r="D1919" i="3" l="1"/>
  <c r="C1922" i="3"/>
  <c r="M1921" i="3"/>
  <c r="F1921" i="3"/>
  <c r="G1921" i="3" a="1"/>
  <c r="G1921" i="3" s="1"/>
  <c r="L1921" i="3"/>
  <c r="H1920" i="3" a="1"/>
  <c r="H1920" i="3" s="1"/>
  <c r="I1920" i="3" a="1"/>
  <c r="I1920" i="3" s="1"/>
  <c r="K1920" i="3" a="1"/>
  <c r="K1920" i="3" s="1"/>
  <c r="A1920" i="3" a="1"/>
  <c r="A1920" i="3" s="1"/>
  <c r="B1920" i="3" a="1"/>
  <c r="B1920" i="3" s="1"/>
  <c r="J1920" i="3" a="1"/>
  <c r="J1920" i="3" s="1"/>
  <c r="D1611" i="3"/>
  <c r="D1920" i="3" a="1"/>
  <c r="D1610" i="3" a="1"/>
  <c r="D1920" i="3" l="1"/>
  <c r="J1921" i="3" a="1"/>
  <c r="J1921" i="3" s="1"/>
  <c r="H1921" i="3" a="1"/>
  <c r="H1921" i="3" s="1"/>
  <c r="K1921" i="3" a="1"/>
  <c r="K1921" i="3" s="1"/>
  <c r="I1921" i="3" a="1"/>
  <c r="I1921" i="3" s="1"/>
  <c r="B1921" i="3" a="1"/>
  <c r="B1921" i="3" s="1"/>
  <c r="A1921" i="3" a="1"/>
  <c r="A1921" i="3" s="1"/>
  <c r="M1922" i="3"/>
  <c r="F1922" i="3"/>
  <c r="C1923" i="3"/>
  <c r="L1922" i="3"/>
  <c r="D1610" i="3"/>
  <c r="D1921" i="3" a="1"/>
  <c r="D1609" i="3" a="1"/>
  <c r="D1921" i="3" l="1"/>
  <c r="M1923" i="3"/>
  <c r="L1923" i="3"/>
  <c r="C1924" i="3"/>
  <c r="F1923" i="3"/>
  <c r="B1922" i="3" a="1"/>
  <c r="B1922" i="3" s="1"/>
  <c r="A1922" i="3" a="1"/>
  <c r="A1922" i="3" s="1"/>
  <c r="G1922" i="3" a="1"/>
  <c r="G1922" i="3" s="1"/>
  <c r="D1609" i="3"/>
  <c r="D1608" i="3" a="1"/>
  <c r="K1922" i="3" l="1" a="1"/>
  <c r="K1922" i="3" s="1"/>
  <c r="H1922" i="3" a="1"/>
  <c r="H1922" i="3" s="1"/>
  <c r="I1922" i="3" a="1"/>
  <c r="I1922" i="3" s="1"/>
  <c r="J1922" i="3" a="1"/>
  <c r="J1922" i="3" s="1"/>
  <c r="G1923" i="3" a="1"/>
  <c r="G1923" i="3" s="1"/>
  <c r="A1923" i="3" a="1"/>
  <c r="A1923" i="3" s="1"/>
  <c r="B1923" i="3" a="1"/>
  <c r="B1923" i="3" s="1"/>
  <c r="L1924" i="3"/>
  <c r="F1924" i="3"/>
  <c r="M1924" i="3"/>
  <c r="C1925" i="3"/>
  <c r="D1608" i="3"/>
  <c r="D1922" i="3" a="1"/>
  <c r="D1607" i="3" a="1"/>
  <c r="D1922" i="3" l="1"/>
  <c r="F1925" i="3"/>
  <c r="M1925" i="3"/>
  <c r="L1925" i="3"/>
  <c r="C1926" i="3"/>
  <c r="G1925" i="3" a="1"/>
  <c r="G1925" i="3" s="1"/>
  <c r="J1925" i="3" a="1"/>
  <c r="J1925" i="3" s="1"/>
  <c r="G1924" i="3" a="1"/>
  <c r="G1924" i="3" s="1"/>
  <c r="B1924" i="3" a="1"/>
  <c r="B1924" i="3" s="1"/>
  <c r="A1924" i="3" a="1"/>
  <c r="A1924" i="3" s="1"/>
  <c r="I1923" i="3" a="1"/>
  <c r="I1923" i="3" s="1"/>
  <c r="K1923" i="3" a="1"/>
  <c r="K1923" i="3" s="1"/>
  <c r="H1923" i="3" a="1"/>
  <c r="H1923" i="3" s="1"/>
  <c r="J1923" i="3" a="1"/>
  <c r="J1923" i="3" s="1"/>
  <c r="D1607" i="3"/>
  <c r="D1923" i="3" a="1"/>
  <c r="D1606" i="3" a="1"/>
  <c r="D1923" i="3" l="1"/>
  <c r="K1924" i="3" a="1"/>
  <c r="K1924" i="3" s="1"/>
  <c r="H1924" i="3" a="1"/>
  <c r="H1924" i="3" s="1"/>
  <c r="I1924" i="3" a="1"/>
  <c r="I1924" i="3" s="1"/>
  <c r="J1924" i="3" a="1"/>
  <c r="J1924" i="3" s="1"/>
  <c r="L1926" i="3"/>
  <c r="C1927" i="3"/>
  <c r="F1926" i="3"/>
  <c r="M1926" i="3"/>
  <c r="A1925" i="3" a="1"/>
  <c r="A1925" i="3" s="1"/>
  <c r="B1925" i="3" a="1"/>
  <c r="B1925" i="3" s="1"/>
  <c r="H1925" i="3" a="1"/>
  <c r="H1925" i="3" s="1"/>
  <c r="I1925" i="3" a="1"/>
  <c r="I1925" i="3" s="1"/>
  <c r="K1925" i="3" a="1"/>
  <c r="K1925" i="3" s="1"/>
  <c r="D1606" i="3"/>
  <c r="D1925" i="3" a="1"/>
  <c r="D1924" i="3" a="1"/>
  <c r="D1605" i="3" a="1"/>
  <c r="D1924" i="3" l="1"/>
  <c r="D1925" i="3"/>
  <c r="B1926" i="3" a="1"/>
  <c r="B1926" i="3" s="1"/>
  <c r="A1926" i="3" a="1"/>
  <c r="A1926" i="3" s="1"/>
  <c r="L1927" i="3"/>
  <c r="C1928" i="3"/>
  <c r="F1927" i="3"/>
  <c r="M1927" i="3"/>
  <c r="G1927" i="3" a="1"/>
  <c r="G1927" i="3" s="1"/>
  <c r="G1926" i="3" a="1"/>
  <c r="G1926" i="3" s="1"/>
  <c r="D1605" i="3"/>
  <c r="D1604" i="3" a="1"/>
  <c r="I1926" i="3" l="1" a="1"/>
  <c r="I1926" i="3" s="1"/>
  <c r="K1926" i="3" a="1"/>
  <c r="K1926" i="3" s="1"/>
  <c r="H1926" i="3" a="1"/>
  <c r="H1926" i="3" s="1"/>
  <c r="J1926" i="3" a="1"/>
  <c r="J1926" i="3" s="1"/>
  <c r="H1927" i="3" a="1"/>
  <c r="H1927" i="3" s="1"/>
  <c r="K1927" i="3" a="1"/>
  <c r="K1927" i="3" s="1"/>
  <c r="I1927" i="3" a="1"/>
  <c r="I1927" i="3" s="1"/>
  <c r="B1927" i="3" a="1"/>
  <c r="B1927" i="3" s="1"/>
  <c r="A1927" i="3" a="1"/>
  <c r="A1927" i="3" s="1"/>
  <c r="J1927" i="3" a="1"/>
  <c r="J1927" i="3" s="1"/>
  <c r="L1928" i="3"/>
  <c r="M1928" i="3"/>
  <c r="C1929" i="3"/>
  <c r="F1928" i="3"/>
  <c r="D1604" i="3"/>
  <c r="D1927" i="3" a="1"/>
  <c r="D1926" i="3" a="1"/>
  <c r="D1603" i="3" a="1"/>
  <c r="D1926" i="3" l="1"/>
  <c r="D1927" i="3"/>
  <c r="B1928" i="3" a="1"/>
  <c r="B1928" i="3" s="1"/>
  <c r="A1928" i="3" a="1"/>
  <c r="A1928" i="3" s="1"/>
  <c r="G1928" i="3" a="1"/>
  <c r="G1928" i="3" s="1"/>
  <c r="M1929" i="3"/>
  <c r="F1929" i="3"/>
  <c r="C1930" i="3"/>
  <c r="L1929" i="3"/>
  <c r="G1929" i="3" a="1"/>
  <c r="G1929" i="3" s="1"/>
  <c r="J1929" i="3" s="1" a="1"/>
  <c r="J1929" i="3" s="1"/>
  <c r="D1603" i="3"/>
  <c r="D1602" i="3" a="1"/>
  <c r="K1928" i="3" l="1" a="1"/>
  <c r="K1928" i="3" s="1"/>
  <c r="H1928" i="3" a="1"/>
  <c r="H1928" i="3" s="1"/>
  <c r="I1928" i="3" a="1"/>
  <c r="I1928" i="3" s="1"/>
  <c r="J1928" i="3" a="1"/>
  <c r="J1928" i="3" s="1"/>
  <c r="K1929" i="3" a="1"/>
  <c r="K1929" i="3" s="1"/>
  <c r="H1929" i="3" a="1"/>
  <c r="H1929" i="3" s="1"/>
  <c r="I1929" i="3" a="1"/>
  <c r="I1929" i="3" s="1"/>
  <c r="L1930" i="3"/>
  <c r="F1930" i="3"/>
  <c r="C1931" i="3"/>
  <c r="M1930" i="3"/>
  <c r="B1929" i="3" a="1"/>
  <c r="B1929" i="3" s="1"/>
  <c r="A1929" i="3" a="1"/>
  <c r="A1929" i="3" s="1"/>
  <c r="D1602" i="3"/>
  <c r="D1928" i="3" a="1"/>
  <c r="D1929" i="3" a="1"/>
  <c r="D1601" i="3" a="1"/>
  <c r="D1929" i="3" l="1"/>
  <c r="D1928" i="3"/>
  <c r="B1930" i="3" a="1"/>
  <c r="B1930" i="3" s="1"/>
  <c r="A1930" i="3" a="1"/>
  <c r="A1930" i="3" s="1"/>
  <c r="F1931" i="3"/>
  <c r="M1931" i="3"/>
  <c r="C1932" i="3"/>
  <c r="L1931" i="3"/>
  <c r="G1931" i="3" a="1"/>
  <c r="G1931" i="3" s="1"/>
  <c r="J1931" i="3" a="1"/>
  <c r="J1931" i="3" s="1"/>
  <c r="G1930" i="3" a="1"/>
  <c r="G1930" i="3" s="1"/>
  <c r="D1601" i="3"/>
  <c r="D1600" i="3" a="1"/>
  <c r="A1931" i="3" l="1" a="1"/>
  <c r="A1931" i="3" s="1"/>
  <c r="B1931" i="3" a="1"/>
  <c r="B1931" i="3" s="1"/>
  <c r="H1930" i="3" a="1"/>
  <c r="H1930" i="3" s="1"/>
  <c r="I1930" i="3" a="1"/>
  <c r="I1930" i="3" s="1"/>
  <c r="K1930" i="3" a="1"/>
  <c r="K1930" i="3" s="1"/>
  <c r="J1930" i="3" a="1"/>
  <c r="J1930" i="3" s="1"/>
  <c r="K1931" i="3" a="1"/>
  <c r="K1931" i="3" s="1"/>
  <c r="I1931" i="3" a="1"/>
  <c r="I1931" i="3" s="1"/>
  <c r="H1931" i="3" a="1"/>
  <c r="H1931" i="3" s="1"/>
  <c r="C1933" i="3"/>
  <c r="F1932" i="3"/>
  <c r="M1932" i="3"/>
  <c r="L1932" i="3"/>
  <c r="D1600" i="3"/>
  <c r="D1931" i="3" a="1"/>
  <c r="D1930" i="3" a="1"/>
  <c r="D1599" i="3" a="1"/>
  <c r="D1930" i="3" l="1"/>
  <c r="D1931" i="3"/>
  <c r="G1932" i="3" a="1"/>
  <c r="G1932" i="3" s="1"/>
  <c r="B1932" i="3" a="1"/>
  <c r="B1932" i="3" s="1"/>
  <c r="A1932" i="3" a="1"/>
  <c r="A1932" i="3" s="1"/>
  <c r="M1933" i="3"/>
  <c r="L1933" i="3"/>
  <c r="F1933" i="3"/>
  <c r="C1934" i="3"/>
  <c r="G1933" i="3" a="1"/>
  <c r="G1933" i="3" s="1"/>
  <c r="D1599" i="3"/>
  <c r="D1598" i="3" a="1"/>
  <c r="I1933" i="3" l="1" a="1"/>
  <c r="I1933" i="3" s="1"/>
  <c r="K1933" i="3" a="1"/>
  <c r="K1933" i="3" s="1"/>
  <c r="H1933" i="3" a="1"/>
  <c r="H1933" i="3" s="1"/>
  <c r="M1934" i="3"/>
  <c r="L1934" i="3"/>
  <c r="F1934" i="3"/>
  <c r="C1935" i="3"/>
  <c r="G1934" i="3" a="1"/>
  <c r="G1934" i="3" s="1"/>
  <c r="B1933" i="3" a="1"/>
  <c r="B1933" i="3" s="1"/>
  <c r="A1933" i="3" a="1"/>
  <c r="A1933" i="3" s="1"/>
  <c r="J1933" i="3" a="1"/>
  <c r="J1933" i="3" s="1"/>
  <c r="I1932" i="3" a="1"/>
  <c r="I1932" i="3" s="1"/>
  <c r="K1932" i="3" a="1"/>
  <c r="K1932" i="3" s="1"/>
  <c r="H1932" i="3" a="1"/>
  <c r="H1932" i="3" s="1"/>
  <c r="J1932" i="3" a="1"/>
  <c r="J1932" i="3" s="1"/>
  <c r="D1598" i="3"/>
  <c r="D1932" i="3" a="1"/>
  <c r="D1933" i="3" a="1"/>
  <c r="D1597" i="3" a="1"/>
  <c r="D1933" i="3" l="1"/>
  <c r="D1932" i="3"/>
  <c r="K1934" i="3" a="1"/>
  <c r="K1934" i="3" s="1"/>
  <c r="H1934" i="3" a="1"/>
  <c r="H1934" i="3" s="1"/>
  <c r="I1934" i="3" a="1"/>
  <c r="I1934" i="3" s="1"/>
  <c r="C1936" i="3"/>
  <c r="F1935" i="3"/>
  <c r="M1935" i="3"/>
  <c r="G1935" i="3" a="1"/>
  <c r="G1935" i="3" s="1"/>
  <c r="J1935" i="3" s="1" a="1"/>
  <c r="J1935" i="3" s="1"/>
  <c r="L1935" i="3"/>
  <c r="A1934" i="3" a="1"/>
  <c r="A1934" i="3" s="1"/>
  <c r="B1934" i="3" a="1"/>
  <c r="B1934" i="3" s="1"/>
  <c r="J1934" i="3" a="1"/>
  <c r="J1934" i="3" s="1"/>
  <c r="D1597" i="3"/>
  <c r="D1934" i="3" a="1"/>
  <c r="D1596" i="3" a="1"/>
  <c r="D1934" i="3" l="1"/>
  <c r="I1935" i="3" a="1"/>
  <c r="I1935" i="3" s="1"/>
  <c r="K1935" i="3" a="1"/>
  <c r="K1935" i="3" s="1"/>
  <c r="H1935" i="3" a="1"/>
  <c r="H1935" i="3" s="1"/>
  <c r="A1935" i="3" a="1"/>
  <c r="A1935" i="3" s="1"/>
  <c r="B1935" i="3" a="1"/>
  <c r="B1935" i="3" s="1"/>
  <c r="M1936" i="3"/>
  <c r="C1937" i="3"/>
  <c r="L1936" i="3"/>
  <c r="F1936" i="3"/>
  <c r="G1936" i="3" a="1"/>
  <c r="G1936" i="3" s="1"/>
  <c r="D1596" i="3"/>
  <c r="D1935" i="3" a="1"/>
  <c r="D1595" i="3" a="1"/>
  <c r="D1935" i="3" l="1"/>
  <c r="I1936" i="3" a="1"/>
  <c r="I1936" i="3" s="1"/>
  <c r="H1936" i="3" a="1"/>
  <c r="H1936" i="3" s="1"/>
  <c r="K1936" i="3" a="1"/>
  <c r="K1936" i="3" s="1"/>
  <c r="F1937" i="3"/>
  <c r="M1937" i="3"/>
  <c r="L1937" i="3"/>
  <c r="G1937" i="3" a="1"/>
  <c r="G1937" i="3" s="1"/>
  <c r="C1938" i="3"/>
  <c r="J1937" i="3" a="1"/>
  <c r="J1937" i="3" s="1"/>
  <c r="J1936" i="3" a="1"/>
  <c r="J1936" i="3" s="1"/>
  <c r="A1936" i="3" a="1"/>
  <c r="A1936" i="3" s="1"/>
  <c r="B1936" i="3" a="1"/>
  <c r="B1936" i="3" s="1"/>
  <c r="D1595" i="3"/>
  <c r="D1936" i="3" a="1"/>
  <c r="D1594" i="3" a="1"/>
  <c r="D1936" i="3" l="1"/>
  <c r="M1938" i="3"/>
  <c r="F1938" i="3"/>
  <c r="L1938" i="3"/>
  <c r="C1939" i="3"/>
  <c r="H1937" i="3" a="1"/>
  <c r="H1937" i="3" s="1"/>
  <c r="I1937" i="3" a="1"/>
  <c r="I1937" i="3" s="1"/>
  <c r="K1937" i="3" a="1"/>
  <c r="K1937" i="3" s="1"/>
  <c r="A1937" i="3" a="1"/>
  <c r="A1937" i="3" s="1"/>
  <c r="B1937" i="3" a="1"/>
  <c r="B1937" i="3" s="1"/>
  <c r="D1594" i="3"/>
  <c r="D1937" i="3" a="1"/>
  <c r="D1593" i="3" a="1"/>
  <c r="D1937" i="3" l="1"/>
  <c r="A1938" i="3" a="1"/>
  <c r="A1938" i="3" s="1"/>
  <c r="B1938" i="3" a="1"/>
  <c r="B1938" i="3" s="1"/>
  <c r="L1939" i="3"/>
  <c r="C1940" i="3"/>
  <c r="F1939" i="3"/>
  <c r="M1939" i="3"/>
  <c r="G1939" i="3" a="1"/>
  <c r="G1939" i="3" s="1"/>
  <c r="G1938" i="3" a="1"/>
  <c r="G1938" i="3" s="1"/>
  <c r="D1593" i="3"/>
  <c r="D1592" i="3" a="1"/>
  <c r="H1939" i="3" l="1" a="1"/>
  <c r="H1939" i="3" s="1"/>
  <c r="I1939" i="3" a="1"/>
  <c r="I1939" i="3" s="1"/>
  <c r="K1939" i="3" a="1"/>
  <c r="K1939" i="3" s="1"/>
  <c r="J1939" i="3" a="1"/>
  <c r="J1939" i="3" s="1"/>
  <c r="J1938" i="3" a="1"/>
  <c r="J1938" i="3" s="1"/>
  <c r="K1938" i="3" a="1"/>
  <c r="K1938" i="3" s="1"/>
  <c r="H1938" i="3" a="1"/>
  <c r="H1938" i="3" s="1"/>
  <c r="I1938" i="3" a="1"/>
  <c r="I1938" i="3" s="1"/>
  <c r="A1939" i="3" a="1"/>
  <c r="A1939" i="3" s="1"/>
  <c r="B1939" i="3" a="1"/>
  <c r="B1939" i="3" s="1"/>
  <c r="M1940" i="3"/>
  <c r="F1940" i="3"/>
  <c r="L1940" i="3"/>
  <c r="C1941" i="3"/>
  <c r="D1592" i="3"/>
  <c r="D1939" i="3" a="1"/>
  <c r="D1938" i="3" a="1"/>
  <c r="D1591" i="3" a="1"/>
  <c r="D1938" i="3" l="1"/>
  <c r="D1939" i="3"/>
  <c r="A1940" i="3" a="1"/>
  <c r="A1940" i="3" s="1"/>
  <c r="B1940" i="3" a="1"/>
  <c r="B1940" i="3" s="1"/>
  <c r="G1940" i="3" a="1"/>
  <c r="G1940" i="3" s="1"/>
  <c r="M1941" i="3"/>
  <c r="F1941" i="3"/>
  <c r="G1941" i="3" a="1"/>
  <c r="G1941" i="3" s="1"/>
  <c r="C1942" i="3"/>
  <c r="J1941" i="3" a="1"/>
  <c r="J1941" i="3" s="1"/>
  <c r="L1941" i="3"/>
  <c r="D1591" i="3"/>
  <c r="D1590" i="3" a="1"/>
  <c r="M1942" i="3" l="1"/>
  <c r="L1942" i="3"/>
  <c r="C1943" i="3"/>
  <c r="F1942" i="3"/>
  <c r="G1942" i="3" s="1" a="1"/>
  <c r="G1942" i="3" s="1"/>
  <c r="K1940" i="3" a="1"/>
  <c r="K1940" i="3" s="1"/>
  <c r="I1940" i="3" a="1"/>
  <c r="I1940" i="3" s="1"/>
  <c r="H1940" i="3" a="1"/>
  <c r="H1940" i="3" s="1"/>
  <c r="J1940" i="3" a="1"/>
  <c r="J1940" i="3" s="1"/>
  <c r="K1941" i="3" a="1"/>
  <c r="K1941" i="3" s="1"/>
  <c r="H1941" i="3" a="1"/>
  <c r="H1941" i="3" s="1"/>
  <c r="I1941" i="3" a="1"/>
  <c r="I1941" i="3" s="1"/>
  <c r="B1941" i="3" a="1"/>
  <c r="B1941" i="3" s="1"/>
  <c r="A1941" i="3" a="1"/>
  <c r="A1941" i="3" s="1"/>
  <c r="D1590" i="3"/>
  <c r="D1940" i="3" a="1"/>
  <c r="D1941" i="3" a="1"/>
  <c r="D1589" i="3" a="1"/>
  <c r="D1941" i="3" l="1"/>
  <c r="D1940" i="3"/>
  <c r="K1942" i="3" a="1"/>
  <c r="K1942" i="3" s="1"/>
  <c r="I1942" i="3" a="1"/>
  <c r="I1942" i="3" s="1"/>
  <c r="H1942" i="3" a="1"/>
  <c r="H1942" i="3" s="1"/>
  <c r="J1942" i="3" a="1"/>
  <c r="J1942" i="3" s="1"/>
  <c r="B1942" i="3" a="1"/>
  <c r="B1942" i="3" s="1"/>
  <c r="A1942" i="3" a="1"/>
  <c r="A1942" i="3" s="1"/>
  <c r="M1943" i="3"/>
  <c r="C1944" i="3"/>
  <c r="F1943" i="3"/>
  <c r="L1943" i="3"/>
  <c r="D1589" i="3"/>
  <c r="D1942" i="3" a="1"/>
  <c r="D1588" i="3" a="1"/>
  <c r="D1942" i="3" l="1"/>
  <c r="A1943" i="3" a="1"/>
  <c r="A1943" i="3" s="1"/>
  <c r="B1943" i="3" a="1"/>
  <c r="B1943" i="3" s="1"/>
  <c r="L1944" i="3"/>
  <c r="M1944" i="3"/>
  <c r="C1945" i="3"/>
  <c r="F1944" i="3"/>
  <c r="G1943" i="3" a="1"/>
  <c r="G1943" i="3" s="1"/>
  <c r="D1588" i="3"/>
  <c r="D1587" i="3" a="1"/>
  <c r="L1945" i="3" l="1"/>
  <c r="F1945" i="3"/>
  <c r="M1945" i="3"/>
  <c r="C1946" i="3"/>
  <c r="G1945" i="3" a="1"/>
  <c r="G1945" i="3" s="1"/>
  <c r="I1943" i="3" a="1"/>
  <c r="I1943" i="3" s="1"/>
  <c r="K1943" i="3" a="1"/>
  <c r="K1943" i="3" s="1"/>
  <c r="H1943" i="3" a="1"/>
  <c r="H1943" i="3" s="1"/>
  <c r="J1943" i="3" a="1"/>
  <c r="J1943" i="3" s="1"/>
  <c r="A1944" i="3" a="1"/>
  <c r="A1944" i="3" s="1"/>
  <c r="B1944" i="3" a="1"/>
  <c r="B1944" i="3" s="1"/>
  <c r="G1944" i="3" a="1"/>
  <c r="G1944" i="3" s="1"/>
  <c r="D1587" i="3"/>
  <c r="D1943" i="3" a="1"/>
  <c r="D1586" i="3" a="1"/>
  <c r="D1943" i="3" l="1"/>
  <c r="M1946" i="3"/>
  <c r="C1947" i="3"/>
  <c r="F1946" i="3"/>
  <c r="L1946" i="3"/>
  <c r="G1946" i="3" a="1"/>
  <c r="G1946" i="3" s="1"/>
  <c r="J1946" i="3" a="1"/>
  <c r="J1946" i="3" s="1"/>
  <c r="I1945" i="3" a="1"/>
  <c r="I1945" i="3" s="1"/>
  <c r="H1945" i="3" a="1"/>
  <c r="H1945" i="3" s="1"/>
  <c r="K1945" i="3" a="1"/>
  <c r="K1945" i="3" s="1"/>
  <c r="B1945" i="3" a="1"/>
  <c r="B1945" i="3" s="1"/>
  <c r="A1945" i="3" a="1"/>
  <c r="A1945" i="3" s="1"/>
  <c r="J1945" i="3" a="1"/>
  <c r="J1945" i="3" s="1"/>
  <c r="K1944" i="3" a="1"/>
  <c r="K1944" i="3" s="1"/>
  <c r="H1944" i="3" a="1"/>
  <c r="H1944" i="3" s="1"/>
  <c r="I1944" i="3" a="1"/>
  <c r="I1944" i="3" s="1"/>
  <c r="J1944" i="3" a="1"/>
  <c r="J1944" i="3" s="1"/>
  <c r="D1586" i="3"/>
  <c r="D1944" i="3" a="1"/>
  <c r="D1945" i="3" a="1"/>
  <c r="D1585" i="3" a="1"/>
  <c r="D1945" i="3" l="1"/>
  <c r="D1944" i="3"/>
  <c r="M1947" i="3"/>
  <c r="F1947" i="3"/>
  <c r="C1948" i="3"/>
  <c r="L1947" i="3"/>
  <c r="G1947" i="3" a="1"/>
  <c r="G1947" i="3" s="1"/>
  <c r="J1947" i="3" s="1" a="1"/>
  <c r="J1947" i="3" s="1"/>
  <c r="K1946" i="3" a="1"/>
  <c r="K1946" i="3" s="1"/>
  <c r="H1946" i="3" a="1"/>
  <c r="H1946" i="3" s="1"/>
  <c r="I1946" i="3" a="1"/>
  <c r="I1946" i="3" s="1"/>
  <c r="B1946" i="3" a="1"/>
  <c r="B1946" i="3" s="1"/>
  <c r="A1946" i="3" a="1"/>
  <c r="A1946" i="3" s="1"/>
  <c r="D1585" i="3"/>
  <c r="D1946" i="3" a="1"/>
  <c r="D1584" i="3" a="1"/>
  <c r="D1946" i="3" l="1"/>
  <c r="F1948" i="3"/>
  <c r="M1948" i="3"/>
  <c r="L1948" i="3"/>
  <c r="G1948" i="3" a="1"/>
  <c r="G1948" i="3" s="1"/>
  <c r="J1948" i="3" s="1" a="1"/>
  <c r="J1948" i="3" s="1"/>
  <c r="C1949" i="3"/>
  <c r="A1947" i="3" a="1"/>
  <c r="A1947" i="3" s="1"/>
  <c r="B1947" i="3" a="1"/>
  <c r="B1947" i="3" s="1"/>
  <c r="H1947" i="3" a="1"/>
  <c r="H1947" i="3" s="1"/>
  <c r="K1947" i="3" a="1"/>
  <c r="K1947" i="3" s="1"/>
  <c r="I1947" i="3" a="1"/>
  <c r="I1947" i="3" s="1"/>
  <c r="D1584" i="3"/>
  <c r="D1947" i="3" a="1"/>
  <c r="D1583" i="3" a="1"/>
  <c r="D1947" i="3" l="1"/>
  <c r="M1949" i="3"/>
  <c r="F1949" i="3"/>
  <c r="L1949" i="3"/>
  <c r="G1949" i="3" a="1"/>
  <c r="G1949" i="3" s="1"/>
  <c r="J1949" i="3" s="1" a="1"/>
  <c r="J1949" i="3" s="1"/>
  <c r="C1950" i="3"/>
  <c r="I1948" i="3" a="1"/>
  <c r="I1948" i="3" s="1"/>
  <c r="K1948" i="3" a="1"/>
  <c r="K1948" i="3" s="1"/>
  <c r="H1948" i="3" a="1"/>
  <c r="H1948" i="3" s="1"/>
  <c r="B1948" i="3" a="1"/>
  <c r="B1948" i="3" s="1"/>
  <c r="A1948" i="3" a="1"/>
  <c r="A1948" i="3" s="1"/>
  <c r="D1583" i="3"/>
  <c r="D1948" i="3" a="1"/>
  <c r="D1582" i="3" a="1"/>
  <c r="D1948" i="3" l="1"/>
  <c r="M1950" i="3"/>
  <c r="C1951" i="3"/>
  <c r="F1950" i="3"/>
  <c r="G1950" i="3" a="1"/>
  <c r="G1950" i="3" s="1"/>
  <c r="J1950" i="3" s="1" a="1"/>
  <c r="J1950" i="3" s="1"/>
  <c r="L1950" i="3"/>
  <c r="H1949" i="3" a="1"/>
  <c r="H1949" i="3" s="1"/>
  <c r="I1949" i="3" a="1"/>
  <c r="I1949" i="3" s="1"/>
  <c r="K1949" i="3" a="1"/>
  <c r="K1949" i="3" s="1"/>
  <c r="A1949" i="3" a="1"/>
  <c r="A1949" i="3" s="1"/>
  <c r="B1949" i="3" a="1"/>
  <c r="B1949" i="3" s="1"/>
  <c r="D1582" i="3"/>
  <c r="D1949" i="3" a="1"/>
  <c r="D1581" i="3" a="1"/>
  <c r="D1949" i="3" l="1"/>
  <c r="K1950" i="3" a="1"/>
  <c r="K1950" i="3" s="1"/>
  <c r="H1950" i="3" a="1"/>
  <c r="H1950" i="3" s="1"/>
  <c r="I1950" i="3" a="1"/>
  <c r="I1950" i="3" s="1"/>
  <c r="B1950" i="3" a="1"/>
  <c r="B1950" i="3" s="1"/>
  <c r="A1950" i="3" a="1"/>
  <c r="A1950" i="3" s="1"/>
  <c r="F1951" i="3"/>
  <c r="M1951" i="3"/>
  <c r="L1951" i="3"/>
  <c r="G1951" i="3" a="1"/>
  <c r="G1951" i="3" s="1"/>
  <c r="C1952" i="3"/>
  <c r="D1581" i="3"/>
  <c r="D1950" i="3" a="1"/>
  <c r="D1580" i="3" a="1"/>
  <c r="D1950" i="3" l="1"/>
  <c r="J1951" i="3" a="1"/>
  <c r="J1951" i="3" s="1"/>
  <c r="K1951" i="3" a="1"/>
  <c r="K1951" i="3" s="1"/>
  <c r="H1951" i="3" a="1"/>
  <c r="H1951" i="3" s="1"/>
  <c r="I1951" i="3" a="1"/>
  <c r="I1951" i="3" s="1"/>
  <c r="A1951" i="3" a="1"/>
  <c r="A1951" i="3" s="1"/>
  <c r="B1951" i="3" a="1"/>
  <c r="B1951" i="3" s="1"/>
  <c r="C1953" i="3"/>
  <c r="F1952" i="3"/>
  <c r="M1952" i="3"/>
  <c r="G1952" i="3" a="1"/>
  <c r="G1952" i="3" s="1"/>
  <c r="L1952" i="3"/>
  <c r="D1580" i="3"/>
  <c r="D1951" i="3" a="1"/>
  <c r="D1579" i="3" a="1"/>
  <c r="D1951" i="3" l="1"/>
  <c r="J1952" i="3" a="1"/>
  <c r="J1952" i="3" s="1"/>
  <c r="H1952" i="3" a="1"/>
  <c r="H1952" i="3" s="1"/>
  <c r="K1952" i="3" a="1"/>
  <c r="K1952" i="3" s="1"/>
  <c r="I1952" i="3" a="1"/>
  <c r="I1952" i="3" s="1"/>
  <c r="B1952" i="3" a="1"/>
  <c r="B1952" i="3" s="1"/>
  <c r="A1952" i="3" a="1"/>
  <c r="A1952" i="3" s="1"/>
  <c r="C1954" i="3"/>
  <c r="L1953" i="3"/>
  <c r="M1953" i="3"/>
  <c r="F1953" i="3"/>
  <c r="D1579" i="3"/>
  <c r="D1952" i="3" a="1"/>
  <c r="D1578" i="3" a="1"/>
  <c r="D1952" i="3" l="1"/>
  <c r="A1953" i="3" a="1"/>
  <c r="A1953" i="3" s="1"/>
  <c r="B1953" i="3" a="1"/>
  <c r="B1953" i="3" s="1"/>
  <c r="G1953" i="3" a="1"/>
  <c r="G1953" i="3" s="1"/>
  <c r="L1954" i="3"/>
  <c r="C1955" i="3"/>
  <c r="F1954" i="3"/>
  <c r="M1954" i="3"/>
  <c r="G1954" i="3" a="1"/>
  <c r="G1954" i="3" s="1"/>
  <c r="J1954" i="3" a="1"/>
  <c r="J1954" i="3" s="1"/>
  <c r="D1578" i="3"/>
  <c r="D1577" i="3" a="1"/>
  <c r="J1953" i="3" l="1" a="1"/>
  <c r="J1953" i="3" s="1"/>
  <c r="H1953" i="3" a="1"/>
  <c r="H1953" i="3" s="1"/>
  <c r="I1953" i="3" a="1"/>
  <c r="I1953" i="3" s="1"/>
  <c r="K1953" i="3" a="1"/>
  <c r="K1953" i="3" s="1"/>
  <c r="K1954" i="3" a="1"/>
  <c r="K1954" i="3" s="1"/>
  <c r="I1954" i="3" a="1"/>
  <c r="I1954" i="3" s="1"/>
  <c r="H1954" i="3" a="1"/>
  <c r="H1954" i="3" s="1"/>
  <c r="A1954" i="3" a="1"/>
  <c r="A1954" i="3" s="1"/>
  <c r="B1954" i="3" a="1"/>
  <c r="B1954" i="3" s="1"/>
  <c r="L1955" i="3"/>
  <c r="M1955" i="3"/>
  <c r="F1955" i="3"/>
  <c r="C1956" i="3"/>
  <c r="D1577" i="3"/>
  <c r="D1953" i="3" a="1"/>
  <c r="D1954" i="3" a="1"/>
  <c r="D1576" i="3" a="1"/>
  <c r="D1954" i="3" l="1"/>
  <c r="D1953" i="3"/>
  <c r="A1955" i="3" a="1"/>
  <c r="A1955" i="3" s="1"/>
  <c r="B1955" i="3" a="1"/>
  <c r="B1955" i="3" s="1"/>
  <c r="G1955" i="3" a="1"/>
  <c r="G1955" i="3" s="1"/>
  <c r="C1957" i="3"/>
  <c r="M1956" i="3"/>
  <c r="L1956" i="3"/>
  <c r="G1956" i="3" a="1"/>
  <c r="G1956" i="3" s="1"/>
  <c r="F1956" i="3"/>
  <c r="D1576" i="3"/>
  <c r="D1575" i="3" a="1"/>
  <c r="J1956" i="3" l="1" a="1"/>
  <c r="J1956" i="3" s="1"/>
  <c r="K1956" i="3" a="1"/>
  <c r="K1956" i="3" s="1"/>
  <c r="I1956" i="3" a="1"/>
  <c r="I1956" i="3" s="1"/>
  <c r="H1956" i="3" a="1"/>
  <c r="H1956" i="3" s="1"/>
  <c r="H1955" i="3" a="1"/>
  <c r="H1955" i="3" s="1"/>
  <c r="K1955" i="3" a="1"/>
  <c r="K1955" i="3" s="1"/>
  <c r="I1955" i="3" a="1"/>
  <c r="I1955" i="3" s="1"/>
  <c r="J1955" i="3" a="1"/>
  <c r="J1955" i="3" s="1"/>
  <c r="A1956" i="3" a="1"/>
  <c r="A1956" i="3" s="1"/>
  <c r="B1956" i="3" a="1"/>
  <c r="B1956" i="3" s="1"/>
  <c r="L1957" i="3"/>
  <c r="G1957" i="3" a="1"/>
  <c r="G1957" i="3" s="1"/>
  <c r="F1957" i="3"/>
  <c r="M1957" i="3"/>
  <c r="C1958" i="3"/>
  <c r="D1575" i="3"/>
  <c r="D1955" i="3" a="1"/>
  <c r="D1956" i="3" a="1"/>
  <c r="D1574" i="3" a="1"/>
  <c r="D1956" i="3" l="1"/>
  <c r="D1955" i="3"/>
  <c r="H1957" i="3" a="1"/>
  <c r="H1957" i="3" s="1"/>
  <c r="I1957" i="3" a="1"/>
  <c r="I1957" i="3" s="1"/>
  <c r="K1957" i="3" a="1"/>
  <c r="K1957" i="3" s="1"/>
  <c r="J1957" i="3" a="1"/>
  <c r="J1957" i="3" s="1"/>
  <c r="C1959" i="3"/>
  <c r="M1958" i="3"/>
  <c r="F1958" i="3"/>
  <c r="G1958" i="3" s="1" a="1"/>
  <c r="G1958" i="3" s="1"/>
  <c r="L1958" i="3"/>
  <c r="A1957" i="3" a="1"/>
  <c r="A1957" i="3" s="1"/>
  <c r="B1957" i="3" a="1"/>
  <c r="B1957" i="3" s="1"/>
  <c r="D1574" i="3"/>
  <c r="D1957" i="3" a="1"/>
  <c r="D1573" i="3" a="1"/>
  <c r="D1957" i="3" l="1"/>
  <c r="H1958" i="3" a="1"/>
  <c r="H1958" i="3" s="1"/>
  <c r="I1958" i="3" a="1"/>
  <c r="I1958" i="3" s="1"/>
  <c r="K1958" i="3" a="1"/>
  <c r="K1958" i="3" s="1"/>
  <c r="J1958" i="3" a="1"/>
  <c r="J1958" i="3" s="1"/>
  <c r="A1958" i="3" a="1"/>
  <c r="A1958" i="3" s="1"/>
  <c r="B1958" i="3" a="1"/>
  <c r="B1958" i="3" s="1"/>
  <c r="C1960" i="3"/>
  <c r="F1959" i="3"/>
  <c r="G1959" i="3" a="1"/>
  <c r="G1959" i="3" s="1"/>
  <c r="J1959" i="3" s="1" a="1"/>
  <c r="J1959" i="3" s="1"/>
  <c r="L1959" i="3"/>
  <c r="M1959" i="3"/>
  <c r="D1573" i="3"/>
  <c r="D1958" i="3" a="1"/>
  <c r="D1572" i="3" a="1"/>
  <c r="D1958" i="3" l="1"/>
  <c r="A1959" i="3" a="1"/>
  <c r="A1959" i="3" s="1"/>
  <c r="B1959" i="3" a="1"/>
  <c r="B1959" i="3" s="1"/>
  <c r="K1959" i="3" a="1"/>
  <c r="K1959" i="3" s="1"/>
  <c r="H1959" i="3" a="1"/>
  <c r="H1959" i="3" s="1"/>
  <c r="I1959" i="3" a="1"/>
  <c r="I1959" i="3" s="1"/>
  <c r="M1960" i="3"/>
  <c r="G1960" i="3" a="1"/>
  <c r="G1960" i="3" s="1"/>
  <c r="J1960" i="3" s="1" a="1"/>
  <c r="J1960" i="3" s="1"/>
  <c r="F1960" i="3"/>
  <c r="C1961" i="3"/>
  <c r="L1960" i="3"/>
  <c r="D1572" i="3"/>
  <c r="D1959" i="3" a="1"/>
  <c r="D1571" i="3" a="1"/>
  <c r="D1959" i="3" l="1"/>
  <c r="K1960" i="3" a="1"/>
  <c r="K1960" i="3" s="1"/>
  <c r="H1960" i="3" a="1"/>
  <c r="H1960" i="3" s="1"/>
  <c r="I1960" i="3" a="1"/>
  <c r="I1960" i="3" s="1"/>
  <c r="C1962" i="3"/>
  <c r="L1961" i="3"/>
  <c r="F1961" i="3"/>
  <c r="G1961" i="3" a="1"/>
  <c r="G1961" i="3" s="1"/>
  <c r="J1961" i="3" s="1" a="1"/>
  <c r="J1961" i="3" s="1"/>
  <c r="M1961" i="3"/>
  <c r="A1960" i="3" a="1"/>
  <c r="A1960" i="3" s="1"/>
  <c r="B1960" i="3" a="1"/>
  <c r="B1960" i="3" s="1"/>
  <c r="D1571" i="3"/>
  <c r="D1960" i="3" a="1"/>
  <c r="D1570" i="3" a="1"/>
  <c r="D1960" i="3" l="1"/>
  <c r="K1961" i="3" a="1"/>
  <c r="K1961" i="3" s="1"/>
  <c r="H1961" i="3" a="1"/>
  <c r="H1961" i="3" s="1"/>
  <c r="I1961" i="3" a="1"/>
  <c r="I1961" i="3" s="1"/>
  <c r="B1961" i="3" a="1"/>
  <c r="B1961" i="3" s="1"/>
  <c r="A1961" i="3" a="1"/>
  <c r="A1961" i="3" s="1"/>
  <c r="F1962" i="3"/>
  <c r="L1962" i="3"/>
  <c r="M1962" i="3"/>
  <c r="G1962" i="3" a="1"/>
  <c r="G1962" i="3" s="1"/>
  <c r="J1962" i="3" s="1" a="1"/>
  <c r="J1962" i="3" s="1"/>
  <c r="C1963" i="3"/>
  <c r="D1570" i="3"/>
  <c r="D1961" i="3" a="1"/>
  <c r="D1569" i="3" a="1"/>
  <c r="D1961" i="3" l="1"/>
  <c r="C1964" i="3"/>
  <c r="L1963" i="3"/>
  <c r="F1963" i="3"/>
  <c r="M1963" i="3"/>
  <c r="G1963" i="3" a="1"/>
  <c r="G1963" i="3" s="1"/>
  <c r="J1963" i="3" s="1" a="1"/>
  <c r="J1963" i="3" s="1"/>
  <c r="B1962" i="3" a="1"/>
  <c r="B1962" i="3" s="1"/>
  <c r="A1962" i="3" a="1"/>
  <c r="A1962" i="3" s="1"/>
  <c r="I1962" i="3" a="1"/>
  <c r="I1962" i="3" s="1"/>
  <c r="K1962" i="3" a="1"/>
  <c r="K1962" i="3" s="1"/>
  <c r="H1962" i="3" a="1"/>
  <c r="H1962" i="3" s="1"/>
  <c r="D1569" i="3"/>
  <c r="D1962" i="3" a="1"/>
  <c r="D1568" i="3" a="1"/>
  <c r="D1962" i="3" l="1"/>
  <c r="K1963" i="3" a="1"/>
  <c r="K1963" i="3" s="1"/>
  <c r="H1963" i="3" a="1"/>
  <c r="H1963" i="3" s="1"/>
  <c r="I1963" i="3" a="1"/>
  <c r="I1963" i="3" s="1"/>
  <c r="A1963" i="3" a="1"/>
  <c r="A1963" i="3" s="1"/>
  <c r="B1963" i="3" a="1"/>
  <c r="B1963" i="3" s="1"/>
  <c r="M1964" i="3"/>
  <c r="F1964" i="3"/>
  <c r="C1965" i="3"/>
  <c r="L1964" i="3"/>
  <c r="D1568" i="3"/>
  <c r="D1963" i="3" a="1"/>
  <c r="D1567" i="3" a="1"/>
  <c r="D1963" i="3" l="1"/>
  <c r="L1965" i="3"/>
  <c r="C1966" i="3"/>
  <c r="F1965" i="3"/>
  <c r="M1965" i="3"/>
  <c r="A1964" i="3" a="1"/>
  <c r="A1964" i="3" s="1"/>
  <c r="B1964" i="3" a="1"/>
  <c r="B1964" i="3" s="1"/>
  <c r="G1964" i="3" a="1"/>
  <c r="G1964" i="3" s="1"/>
  <c r="D1567" i="3"/>
  <c r="D1566" i="3" a="1"/>
  <c r="I1964" i="3" l="1" a="1"/>
  <c r="I1964" i="3" s="1"/>
  <c r="K1964" i="3" a="1"/>
  <c r="K1964" i="3" s="1"/>
  <c r="H1964" i="3" a="1"/>
  <c r="H1964" i="3" s="1"/>
  <c r="J1964" i="3" a="1"/>
  <c r="J1964" i="3" s="1"/>
  <c r="G1965" i="3" a="1"/>
  <c r="G1965" i="3" s="1"/>
  <c r="A1965" i="3" a="1"/>
  <c r="A1965" i="3" s="1"/>
  <c r="B1965" i="3" a="1"/>
  <c r="B1965" i="3" s="1"/>
  <c r="C1967" i="3"/>
  <c r="L1966" i="3"/>
  <c r="F1966" i="3"/>
  <c r="M1966" i="3"/>
  <c r="D1566" i="3"/>
  <c r="D1964" i="3" a="1"/>
  <c r="D1565" i="3" a="1"/>
  <c r="D1964" i="3" l="1"/>
  <c r="B1966" i="3" a="1"/>
  <c r="B1966" i="3" s="1"/>
  <c r="A1966" i="3" a="1"/>
  <c r="A1966" i="3" s="1"/>
  <c r="H1965" i="3" a="1"/>
  <c r="H1965" i="3" s="1"/>
  <c r="K1965" i="3" a="1"/>
  <c r="K1965" i="3" s="1"/>
  <c r="I1965" i="3" a="1"/>
  <c r="I1965" i="3" s="1"/>
  <c r="J1965" i="3" a="1"/>
  <c r="J1965" i="3" s="1"/>
  <c r="M1967" i="3"/>
  <c r="F1967" i="3"/>
  <c r="C1968" i="3"/>
  <c r="G1967" i="3" a="1"/>
  <c r="G1967" i="3" s="1"/>
  <c r="J1967" i="3" s="1" a="1"/>
  <c r="J1967" i="3" s="1"/>
  <c r="L1967" i="3"/>
  <c r="G1966" i="3" a="1"/>
  <c r="G1966" i="3" s="1"/>
  <c r="D1565" i="3"/>
  <c r="D1965" i="3" a="1"/>
  <c r="D1564" i="3" a="1"/>
  <c r="D1965" i="3" l="1"/>
  <c r="L1968" i="3"/>
  <c r="F1968" i="3"/>
  <c r="G1968" i="3" a="1"/>
  <c r="G1968" i="3" s="1"/>
  <c r="C1969" i="3"/>
  <c r="M1968" i="3"/>
  <c r="J1968" i="3" a="1"/>
  <c r="J1968" i="3" s="1"/>
  <c r="H1966" i="3" a="1"/>
  <c r="H1966" i="3" s="1"/>
  <c r="K1966" i="3" a="1"/>
  <c r="K1966" i="3" s="1"/>
  <c r="I1966" i="3" a="1"/>
  <c r="I1966" i="3" s="1"/>
  <c r="J1966" i="3" a="1"/>
  <c r="J1966" i="3" s="1"/>
  <c r="K1967" i="3" a="1"/>
  <c r="K1967" i="3" s="1"/>
  <c r="I1967" i="3" a="1"/>
  <c r="I1967" i="3" s="1"/>
  <c r="H1967" i="3" a="1"/>
  <c r="H1967" i="3" s="1"/>
  <c r="A1967" i="3" a="1"/>
  <c r="A1967" i="3" s="1"/>
  <c r="B1967" i="3" a="1"/>
  <c r="B1967" i="3" s="1"/>
  <c r="D1564" i="3"/>
  <c r="D1966" i="3" a="1"/>
  <c r="D1967" i="3" a="1"/>
  <c r="D1562" i="3" a="1"/>
  <c r="D1967" i="3" l="1"/>
  <c r="D1966" i="3"/>
  <c r="C1970" i="3"/>
  <c r="L1969" i="3"/>
  <c r="M1969" i="3"/>
  <c r="F1969" i="3"/>
  <c r="G1969" i="3" a="1"/>
  <c r="G1969" i="3" s="1"/>
  <c r="I1968" i="3" a="1"/>
  <c r="I1968" i="3" s="1"/>
  <c r="K1968" i="3" a="1"/>
  <c r="K1968" i="3" s="1"/>
  <c r="H1968" i="3" a="1"/>
  <c r="H1968" i="3" s="1"/>
  <c r="A1968" i="3" a="1"/>
  <c r="A1968" i="3" s="1"/>
  <c r="B1968" i="3" a="1"/>
  <c r="B1968" i="3" s="1"/>
  <c r="D1562" i="3"/>
  <c r="D1968" i="3" a="1"/>
  <c r="D1563" i="3" a="1"/>
  <c r="D1968" i="3" l="1"/>
  <c r="K1969" i="3" a="1"/>
  <c r="K1969" i="3" s="1"/>
  <c r="H1969" i="3" a="1"/>
  <c r="H1969" i="3" s="1"/>
  <c r="I1969" i="3" a="1"/>
  <c r="I1969" i="3" s="1"/>
  <c r="J1969" i="3" a="1"/>
  <c r="J1969" i="3" s="1"/>
  <c r="C1971" i="3"/>
  <c r="F1970" i="3"/>
  <c r="G1970" i="3" a="1"/>
  <c r="G1970" i="3" s="1"/>
  <c r="J1970" i="3" s="1" a="1"/>
  <c r="J1970" i="3" s="1"/>
  <c r="L1970" i="3"/>
  <c r="M1970" i="3"/>
  <c r="B1969" i="3" a="1"/>
  <c r="B1969" i="3" s="1"/>
  <c r="A1969" i="3" a="1"/>
  <c r="A1969" i="3" s="1"/>
  <c r="D1563" i="3"/>
  <c r="D1969" i="3" a="1"/>
  <c r="D1561" i="3" a="1"/>
  <c r="D1969" i="3" l="1"/>
  <c r="I1970" i="3" a="1"/>
  <c r="I1970" i="3" s="1"/>
  <c r="H1970" i="3" a="1"/>
  <c r="H1970" i="3" s="1"/>
  <c r="K1970" i="3" a="1"/>
  <c r="K1970" i="3" s="1"/>
  <c r="B1970" i="3" a="1"/>
  <c r="B1970" i="3" s="1"/>
  <c r="A1970" i="3" a="1"/>
  <c r="A1970" i="3" s="1"/>
  <c r="F1971" i="3"/>
  <c r="M1971" i="3"/>
  <c r="G1971" i="3" a="1"/>
  <c r="G1971" i="3" s="1"/>
  <c r="C1972" i="3"/>
  <c r="L1971" i="3"/>
  <c r="D1561" i="3"/>
  <c r="D1970" i="3" a="1"/>
  <c r="D1560" i="3" a="1"/>
  <c r="D1970" i="3" l="1"/>
  <c r="M1972" i="3"/>
  <c r="F1972" i="3"/>
  <c r="L1972" i="3"/>
  <c r="C1973" i="3"/>
  <c r="G1972" i="3" a="1"/>
  <c r="G1972" i="3" s="1"/>
  <c r="A1971" i="3" a="1"/>
  <c r="A1971" i="3" s="1"/>
  <c r="B1971" i="3" a="1"/>
  <c r="B1971" i="3" s="1"/>
  <c r="H1971" i="3" a="1"/>
  <c r="H1971" i="3" s="1"/>
  <c r="K1971" i="3" a="1"/>
  <c r="K1971" i="3" s="1"/>
  <c r="I1971" i="3" a="1"/>
  <c r="I1971" i="3" s="1"/>
  <c r="J1971" i="3" a="1"/>
  <c r="J1971" i="3" s="1"/>
  <c r="D1560" i="3"/>
  <c r="D1971" i="3" a="1"/>
  <c r="D1559" i="3" a="1"/>
  <c r="D1971" i="3" l="1"/>
  <c r="A1972" i="3" a="1"/>
  <c r="A1972" i="3" s="1"/>
  <c r="B1972" i="3" a="1"/>
  <c r="B1972" i="3" s="1"/>
  <c r="H1972" i="3" a="1"/>
  <c r="H1972" i="3" s="1"/>
  <c r="K1972" i="3" a="1"/>
  <c r="K1972" i="3" s="1"/>
  <c r="I1972" i="3" a="1"/>
  <c r="I1972" i="3" s="1"/>
  <c r="C1974" i="3"/>
  <c r="F1973" i="3"/>
  <c r="G1973" i="3" a="1"/>
  <c r="G1973" i="3" s="1"/>
  <c r="L1973" i="3"/>
  <c r="M1973" i="3"/>
  <c r="J1973" i="3" a="1"/>
  <c r="J1973" i="3" s="1"/>
  <c r="J1972" i="3" a="1"/>
  <c r="J1972" i="3" s="1"/>
  <c r="D1559" i="3"/>
  <c r="D1972" i="3" a="1"/>
  <c r="D1558" i="3" a="1"/>
  <c r="D1972" i="3" l="1"/>
  <c r="K1973" i="3" a="1"/>
  <c r="K1973" i="3" s="1"/>
  <c r="I1973" i="3" a="1"/>
  <c r="I1973" i="3" s="1"/>
  <c r="H1973" i="3" a="1"/>
  <c r="H1973" i="3" s="1"/>
  <c r="L1974" i="3"/>
  <c r="M1974" i="3"/>
  <c r="C1975" i="3"/>
  <c r="F1974" i="3"/>
  <c r="G1974" i="3" a="1"/>
  <c r="G1974" i="3" s="1"/>
  <c r="A1973" i="3" a="1"/>
  <c r="A1973" i="3" s="1"/>
  <c r="B1973" i="3" a="1"/>
  <c r="B1973" i="3" s="1"/>
  <c r="D1558" i="3"/>
  <c r="D1973" i="3" a="1"/>
  <c r="D1557" i="3" a="1"/>
  <c r="D1973" i="3" l="1"/>
  <c r="I1974" i="3" a="1"/>
  <c r="I1974" i="3" s="1"/>
  <c r="K1974" i="3" a="1"/>
  <c r="K1974" i="3" s="1"/>
  <c r="H1974" i="3" a="1"/>
  <c r="H1974" i="3" s="1"/>
  <c r="J1974" i="3" a="1"/>
  <c r="J1974" i="3" s="1"/>
  <c r="A1974" i="3" a="1"/>
  <c r="A1974" i="3" s="1"/>
  <c r="B1974" i="3" a="1"/>
  <c r="B1974" i="3" s="1"/>
  <c r="M1975" i="3"/>
  <c r="F1975" i="3"/>
  <c r="C1976" i="3"/>
  <c r="L1975" i="3"/>
  <c r="G1975" i="3" a="1"/>
  <c r="G1975" i="3" s="1"/>
  <c r="D1557" i="3"/>
  <c r="D1974" i="3" a="1"/>
  <c r="D1556" i="3" a="1"/>
  <c r="D1974" i="3" l="1"/>
  <c r="A1975" i="3" a="1"/>
  <c r="A1975" i="3" s="1"/>
  <c r="B1975" i="3" a="1"/>
  <c r="B1975" i="3" s="1"/>
  <c r="H1975" i="3" a="1"/>
  <c r="H1975" i="3" s="1"/>
  <c r="K1975" i="3" a="1"/>
  <c r="K1975" i="3" s="1"/>
  <c r="I1975" i="3" a="1"/>
  <c r="I1975" i="3" s="1"/>
  <c r="F1976" i="3"/>
  <c r="M1976" i="3"/>
  <c r="C1977" i="3"/>
  <c r="L1976" i="3"/>
  <c r="G1976" i="3" a="1"/>
  <c r="G1976" i="3" s="1"/>
  <c r="J1975" i="3" a="1"/>
  <c r="J1975" i="3" s="1"/>
  <c r="D1556" i="3"/>
  <c r="D1975" i="3" a="1"/>
  <c r="D1555" i="3" a="1"/>
  <c r="D1975" i="3" l="1"/>
  <c r="H1976" i="3" a="1"/>
  <c r="H1976" i="3" s="1"/>
  <c r="K1976" i="3" a="1"/>
  <c r="K1976" i="3" s="1"/>
  <c r="I1976" i="3" a="1"/>
  <c r="I1976" i="3" s="1"/>
  <c r="J1976" i="3" a="1"/>
  <c r="J1976" i="3" s="1"/>
  <c r="F1977" i="3"/>
  <c r="L1977" i="3"/>
  <c r="G1977" i="3" a="1"/>
  <c r="G1977" i="3" s="1"/>
  <c r="C1978" i="3"/>
  <c r="M1977" i="3"/>
  <c r="B1976" i="3" a="1"/>
  <c r="B1976" i="3" s="1"/>
  <c r="A1976" i="3" a="1"/>
  <c r="A1976" i="3" s="1"/>
  <c r="D1555" i="3"/>
  <c r="D1976" i="3" a="1"/>
  <c r="D1554" i="3" a="1"/>
  <c r="D1976" i="3" l="1"/>
  <c r="I1977" i="3" a="1"/>
  <c r="I1977" i="3" s="1"/>
  <c r="K1977" i="3" a="1"/>
  <c r="K1977" i="3" s="1"/>
  <c r="H1977" i="3" a="1"/>
  <c r="H1977" i="3" s="1"/>
  <c r="B1977" i="3" a="1"/>
  <c r="B1977" i="3" s="1"/>
  <c r="A1977" i="3" a="1"/>
  <c r="A1977" i="3" s="1"/>
  <c r="C1979" i="3"/>
  <c r="F1978" i="3"/>
  <c r="L1978" i="3"/>
  <c r="M1978" i="3"/>
  <c r="J1977" i="3" a="1"/>
  <c r="J1977" i="3" s="1"/>
  <c r="D1554" i="3"/>
  <c r="D1977" i="3" a="1"/>
  <c r="D1553" i="3" a="1"/>
  <c r="D1977" i="3" l="1"/>
  <c r="A1978" i="3" a="1"/>
  <c r="A1978" i="3" s="1"/>
  <c r="B1978" i="3" a="1"/>
  <c r="B1978" i="3" s="1"/>
  <c r="G1978" i="3" a="1"/>
  <c r="G1978" i="3" s="1"/>
  <c r="F1979" i="3"/>
  <c r="M1979" i="3"/>
  <c r="G1979" i="3" a="1"/>
  <c r="G1979" i="3" s="1"/>
  <c r="L1979" i="3"/>
  <c r="C1980" i="3"/>
  <c r="D1553" i="3"/>
  <c r="D1551" i="3" a="1"/>
  <c r="K1979" i="3" l="1" a="1"/>
  <c r="K1979" i="3" s="1"/>
  <c r="I1979" i="3" a="1"/>
  <c r="I1979" i="3" s="1"/>
  <c r="H1979" i="3" a="1"/>
  <c r="H1979" i="3" s="1"/>
  <c r="J1978" i="3" a="1"/>
  <c r="J1978" i="3" s="1"/>
  <c r="I1978" i="3" a="1"/>
  <c r="I1978" i="3" s="1"/>
  <c r="H1978" i="3" a="1"/>
  <c r="H1978" i="3" s="1"/>
  <c r="K1978" i="3" a="1"/>
  <c r="K1978" i="3" s="1"/>
  <c r="J1979" i="3" a="1"/>
  <c r="J1979" i="3" s="1"/>
  <c r="F1980" i="3"/>
  <c r="L1980" i="3"/>
  <c r="M1980" i="3"/>
  <c r="G1980" i="3" a="1"/>
  <c r="G1980" i="3" s="1"/>
  <c r="C1981" i="3"/>
  <c r="A1979" i="3" a="1"/>
  <c r="A1979" i="3" s="1"/>
  <c r="B1979" i="3" a="1"/>
  <c r="B1979" i="3" s="1"/>
  <c r="D1551" i="3"/>
  <c r="D1978" i="3" a="1"/>
  <c r="D1979" i="3" a="1"/>
  <c r="D1552" i="3" a="1"/>
  <c r="D1979" i="3" l="1"/>
  <c r="D1978" i="3"/>
  <c r="J1980" i="3" a="1"/>
  <c r="J1980" i="3" s="1"/>
  <c r="H1980" i="3" a="1"/>
  <c r="H1980" i="3" s="1"/>
  <c r="I1980" i="3" a="1"/>
  <c r="I1980" i="3" s="1"/>
  <c r="K1980" i="3" a="1"/>
  <c r="K1980" i="3" s="1"/>
  <c r="B1980" i="3" a="1"/>
  <c r="B1980" i="3" s="1"/>
  <c r="A1980" i="3" a="1"/>
  <c r="A1980" i="3" s="1"/>
  <c r="C1982" i="3"/>
  <c r="M1981" i="3"/>
  <c r="F1981" i="3"/>
  <c r="L1981" i="3"/>
  <c r="D1552" i="3"/>
  <c r="D1980" i="3" a="1"/>
  <c r="D1550" i="3" a="1"/>
  <c r="D1980" i="3" l="1"/>
  <c r="B1981" i="3" a="1"/>
  <c r="B1981" i="3" s="1"/>
  <c r="A1981" i="3" a="1"/>
  <c r="A1981" i="3" s="1"/>
  <c r="G1981" i="3" a="1"/>
  <c r="G1981" i="3" s="1"/>
  <c r="C1983" i="3"/>
  <c r="L1982" i="3"/>
  <c r="F1982" i="3"/>
  <c r="M1982" i="3"/>
  <c r="G1982" i="3" a="1"/>
  <c r="G1982" i="3" s="1"/>
  <c r="J1982" i="3" a="1"/>
  <c r="J1982" i="3" s="1"/>
  <c r="D1550" i="3"/>
  <c r="D1549" i="3" a="1"/>
  <c r="B1982" i="3" l="1" a="1"/>
  <c r="B1982" i="3" s="1"/>
  <c r="A1982" i="3" a="1"/>
  <c r="A1982" i="3" s="1"/>
  <c r="L1983" i="3"/>
  <c r="M1983" i="3"/>
  <c r="C1984" i="3"/>
  <c r="F1983" i="3"/>
  <c r="G1983" i="3" a="1"/>
  <c r="G1983" i="3" s="1"/>
  <c r="K1982" i="3" a="1"/>
  <c r="K1982" i="3" s="1"/>
  <c r="I1982" i="3" a="1"/>
  <c r="I1982" i="3" s="1"/>
  <c r="H1982" i="3" a="1"/>
  <c r="H1982" i="3" s="1"/>
  <c r="H1981" i="3" a="1"/>
  <c r="H1981" i="3" s="1"/>
  <c r="I1981" i="3" a="1"/>
  <c r="I1981" i="3" s="1"/>
  <c r="K1981" i="3" a="1"/>
  <c r="K1981" i="3" s="1"/>
  <c r="J1981" i="3" a="1"/>
  <c r="J1981" i="3" s="1"/>
  <c r="D1549" i="3"/>
  <c r="D1982" i="3" a="1"/>
  <c r="D1981" i="3" a="1"/>
  <c r="D1548" i="3" a="1"/>
  <c r="D1981" i="3" l="1"/>
  <c r="D1982" i="3"/>
  <c r="H1983" i="3" a="1"/>
  <c r="H1983" i="3" s="1"/>
  <c r="K1983" i="3" a="1"/>
  <c r="K1983" i="3" s="1"/>
  <c r="I1983" i="3" a="1"/>
  <c r="I1983" i="3" s="1"/>
  <c r="J1983" i="3" a="1"/>
  <c r="J1983" i="3" s="1"/>
  <c r="A1983" i="3" a="1"/>
  <c r="A1983" i="3" s="1"/>
  <c r="B1983" i="3" a="1"/>
  <c r="B1983" i="3" s="1"/>
  <c r="C1985" i="3"/>
  <c r="L1984" i="3"/>
  <c r="F1984" i="3"/>
  <c r="G1984" i="3" s="1" a="1"/>
  <c r="G1984" i="3" s="1"/>
  <c r="M1984" i="3"/>
  <c r="D1548" i="3"/>
  <c r="D1983" i="3" a="1"/>
  <c r="D1547" i="3" a="1"/>
  <c r="D1983" i="3" l="1"/>
  <c r="H1984" i="3" a="1"/>
  <c r="H1984" i="3" s="1"/>
  <c r="K1984" i="3" a="1"/>
  <c r="K1984" i="3" s="1"/>
  <c r="I1984" i="3" a="1"/>
  <c r="I1984" i="3" s="1"/>
  <c r="J1984" i="3" a="1"/>
  <c r="J1984" i="3" s="1"/>
  <c r="A1984" i="3" a="1"/>
  <c r="A1984" i="3" s="1"/>
  <c r="B1984" i="3" a="1"/>
  <c r="B1984" i="3" s="1"/>
  <c r="C1986" i="3"/>
  <c r="L1985" i="3"/>
  <c r="M1985" i="3"/>
  <c r="F1985" i="3"/>
  <c r="G1985" i="3" a="1"/>
  <c r="G1985" i="3" s="1"/>
  <c r="D1547" i="3"/>
  <c r="D1984" i="3" a="1"/>
  <c r="D1545" i="3" a="1"/>
  <c r="D1984" i="3" l="1"/>
  <c r="H1985" i="3" a="1"/>
  <c r="H1985" i="3" s="1"/>
  <c r="K1985" i="3" a="1"/>
  <c r="K1985" i="3" s="1"/>
  <c r="I1985" i="3" a="1"/>
  <c r="I1985" i="3" s="1"/>
  <c r="B1985" i="3" a="1"/>
  <c r="B1985" i="3" s="1"/>
  <c r="A1985" i="3" a="1"/>
  <c r="A1985" i="3" s="1"/>
  <c r="M1986" i="3"/>
  <c r="C1987" i="3"/>
  <c r="L1986" i="3"/>
  <c r="F1986" i="3"/>
  <c r="G1986" i="3" a="1"/>
  <c r="G1986" i="3" s="1"/>
  <c r="J1985" i="3" a="1"/>
  <c r="J1985" i="3" s="1"/>
  <c r="D1545" i="3"/>
  <c r="D1985" i="3" a="1"/>
  <c r="D1546" i="3" a="1"/>
  <c r="D1985" i="3" l="1"/>
  <c r="A1986" i="3" a="1"/>
  <c r="A1986" i="3" s="1"/>
  <c r="B1986" i="3" a="1"/>
  <c r="B1986" i="3" s="1"/>
  <c r="J1986" i="3" a="1"/>
  <c r="J1986" i="3" s="1"/>
  <c r="H1986" i="3" a="1"/>
  <c r="H1986" i="3" s="1"/>
  <c r="K1986" i="3" a="1"/>
  <c r="K1986" i="3" s="1"/>
  <c r="I1986" i="3" a="1"/>
  <c r="I1986" i="3" s="1"/>
  <c r="C1988" i="3"/>
  <c r="F1987" i="3"/>
  <c r="L1987" i="3"/>
  <c r="M1987" i="3"/>
  <c r="G1987" i="3" a="1"/>
  <c r="G1987" i="3" s="1"/>
  <c r="D1546" i="3"/>
  <c r="D1986" i="3" a="1"/>
  <c r="D1544" i="3" a="1"/>
  <c r="D1986" i="3" l="1"/>
  <c r="H1987" i="3" a="1"/>
  <c r="H1987" i="3" s="1"/>
  <c r="I1987" i="3" a="1"/>
  <c r="I1987" i="3" s="1"/>
  <c r="K1987" i="3" a="1"/>
  <c r="K1987" i="3" s="1"/>
  <c r="B1987" i="3" a="1"/>
  <c r="B1987" i="3" s="1"/>
  <c r="A1987" i="3" a="1"/>
  <c r="A1987" i="3" s="1"/>
  <c r="F1988" i="3"/>
  <c r="M1988" i="3"/>
  <c r="C1989" i="3"/>
  <c r="L1988" i="3"/>
  <c r="G1988" i="3" a="1"/>
  <c r="G1988" i="3" s="1"/>
  <c r="J1988" i="3" s="1" a="1"/>
  <c r="J1988" i="3" s="1"/>
  <c r="J1987" i="3" a="1"/>
  <c r="J1987" i="3" s="1"/>
  <c r="D1544" i="3"/>
  <c r="D1987" i="3" a="1"/>
  <c r="D1543" i="3" a="1"/>
  <c r="D1987" i="3" l="1"/>
  <c r="M1989" i="3"/>
  <c r="F1989" i="3"/>
  <c r="C1990" i="3"/>
  <c r="L1989" i="3"/>
  <c r="A1988" i="3" a="1"/>
  <c r="A1988" i="3" s="1"/>
  <c r="B1988" i="3" a="1"/>
  <c r="B1988" i="3" s="1"/>
  <c r="K1988" i="3" a="1"/>
  <c r="K1988" i="3" s="1"/>
  <c r="H1988" i="3" a="1"/>
  <c r="H1988" i="3" s="1"/>
  <c r="I1988" i="3" a="1"/>
  <c r="I1988" i="3" s="1"/>
  <c r="D1543" i="3"/>
  <c r="D1988" i="3" a="1"/>
  <c r="D1542" i="3" a="1"/>
  <c r="D1988" i="3" l="1"/>
  <c r="C1991" i="3"/>
  <c r="L1990" i="3"/>
  <c r="F1990" i="3"/>
  <c r="M1990" i="3"/>
  <c r="B1989" i="3" a="1"/>
  <c r="B1989" i="3" s="1"/>
  <c r="A1989" i="3" a="1"/>
  <c r="A1989" i="3" s="1"/>
  <c r="G1989" i="3" a="1"/>
  <c r="G1989" i="3" s="1"/>
  <c r="D1542" i="3"/>
  <c r="D1541" i="3" a="1"/>
  <c r="K1989" i="3" l="1" a="1"/>
  <c r="K1989" i="3" s="1"/>
  <c r="H1989" i="3" a="1"/>
  <c r="H1989" i="3" s="1"/>
  <c r="I1989" i="3" a="1"/>
  <c r="I1989" i="3" s="1"/>
  <c r="J1989" i="3" a="1"/>
  <c r="J1989" i="3" s="1"/>
  <c r="G1990" i="3" a="1"/>
  <c r="G1990" i="3" s="1"/>
  <c r="A1990" i="3" a="1"/>
  <c r="A1990" i="3" s="1"/>
  <c r="B1990" i="3" a="1"/>
  <c r="B1990" i="3" s="1"/>
  <c r="F1991" i="3"/>
  <c r="C1992" i="3"/>
  <c r="L1991" i="3"/>
  <c r="M1991" i="3"/>
  <c r="G1991" i="3" a="1"/>
  <c r="G1991" i="3" s="1"/>
  <c r="D1541" i="3"/>
  <c r="D1989" i="3" a="1"/>
  <c r="D1539" i="3" a="1"/>
  <c r="D1989" i="3" l="1"/>
  <c r="I1991" i="3" a="1"/>
  <c r="I1991" i="3" s="1"/>
  <c r="H1991" i="3" a="1"/>
  <c r="H1991" i="3" s="1"/>
  <c r="K1991" i="3" a="1"/>
  <c r="K1991" i="3" s="1"/>
  <c r="I1990" i="3" a="1"/>
  <c r="I1990" i="3" s="1"/>
  <c r="K1990" i="3" a="1"/>
  <c r="K1990" i="3" s="1"/>
  <c r="H1990" i="3" a="1"/>
  <c r="H1990" i="3" s="1"/>
  <c r="J1990" i="3" a="1"/>
  <c r="J1990" i="3" s="1"/>
  <c r="F1992" i="3"/>
  <c r="M1992" i="3"/>
  <c r="G1992" i="3" a="1"/>
  <c r="G1992" i="3" s="1"/>
  <c r="C1993" i="3"/>
  <c r="L1992" i="3"/>
  <c r="A1991" i="3" a="1"/>
  <c r="A1991" i="3" s="1"/>
  <c r="B1991" i="3" a="1"/>
  <c r="B1991" i="3" s="1"/>
  <c r="J1991" i="3" a="1"/>
  <c r="J1991" i="3" s="1"/>
  <c r="D1539" i="3"/>
  <c r="D1991" i="3" a="1"/>
  <c r="D1990" i="3" a="1"/>
  <c r="D1540" i="3" a="1"/>
  <c r="D1990" i="3" l="1"/>
  <c r="D1991" i="3"/>
  <c r="C1994" i="3"/>
  <c r="L1993" i="3"/>
  <c r="M1993" i="3"/>
  <c r="F1993" i="3"/>
  <c r="B1992" i="3" a="1"/>
  <c r="B1992" i="3" s="1"/>
  <c r="A1992" i="3" a="1"/>
  <c r="A1992" i="3" s="1"/>
  <c r="I1992" i="3" a="1"/>
  <c r="I1992" i="3" s="1"/>
  <c r="H1992" i="3" a="1"/>
  <c r="H1992" i="3" s="1"/>
  <c r="K1992" i="3" a="1"/>
  <c r="K1992" i="3" s="1"/>
  <c r="J1992" i="3" a="1"/>
  <c r="J1992" i="3" s="1"/>
  <c r="D1540" i="3"/>
  <c r="D1992" i="3" a="1"/>
  <c r="D1538" i="3" a="1"/>
  <c r="D1992" i="3" l="1"/>
  <c r="G1993" i="3" a="1"/>
  <c r="G1993" i="3" s="1"/>
  <c r="B1993" i="3" a="1"/>
  <c r="B1993" i="3" s="1"/>
  <c r="A1993" i="3" a="1"/>
  <c r="A1993" i="3" s="1"/>
  <c r="F1994" i="3"/>
  <c r="M1994" i="3"/>
  <c r="L1994" i="3"/>
  <c r="G1994" i="3" a="1"/>
  <c r="G1994" i="3" s="1"/>
  <c r="C1995" i="3"/>
  <c r="D1538" i="3"/>
  <c r="D1537" i="3" a="1"/>
  <c r="F1995" i="3" l="1"/>
  <c r="M1995" i="3"/>
  <c r="C1996" i="3"/>
  <c r="L1995" i="3"/>
  <c r="G1995" i="3" a="1"/>
  <c r="G1995" i="3" s="1"/>
  <c r="K1994" i="3" a="1"/>
  <c r="K1994" i="3" s="1"/>
  <c r="I1994" i="3" a="1"/>
  <c r="I1994" i="3" s="1"/>
  <c r="H1994" i="3" a="1"/>
  <c r="H1994" i="3" s="1"/>
  <c r="B1994" i="3" a="1"/>
  <c r="B1994" i="3" s="1"/>
  <c r="A1994" i="3" a="1"/>
  <c r="A1994" i="3" s="1"/>
  <c r="J1994" i="3" a="1"/>
  <c r="J1994" i="3" s="1"/>
  <c r="I1993" i="3" a="1"/>
  <c r="I1993" i="3" s="1"/>
  <c r="K1993" i="3" a="1"/>
  <c r="K1993" i="3" s="1"/>
  <c r="H1993" i="3" a="1"/>
  <c r="H1993" i="3" s="1"/>
  <c r="J1993" i="3" a="1"/>
  <c r="J1993" i="3" s="1"/>
  <c r="D1537" i="3"/>
  <c r="D1993" i="3" a="1"/>
  <c r="D1994" i="3" a="1"/>
  <c r="D1536" i="3" a="1"/>
  <c r="D1994" i="3" l="1"/>
  <c r="D1993" i="3"/>
  <c r="J1995" i="3" a="1"/>
  <c r="J1995" i="3" s="1"/>
  <c r="K1995" i="3" a="1"/>
  <c r="K1995" i="3" s="1"/>
  <c r="I1995" i="3" a="1"/>
  <c r="I1995" i="3" s="1"/>
  <c r="H1995" i="3" a="1"/>
  <c r="H1995" i="3" s="1"/>
  <c r="C1997" i="3"/>
  <c r="L1996" i="3"/>
  <c r="M1996" i="3"/>
  <c r="F1996" i="3"/>
  <c r="G1996" i="3" a="1"/>
  <c r="G1996" i="3" s="1"/>
  <c r="A1995" i="3" a="1"/>
  <c r="A1995" i="3" s="1"/>
  <c r="B1995" i="3" a="1"/>
  <c r="B1995" i="3" s="1"/>
  <c r="D1536" i="3"/>
  <c r="D1995" i="3" a="1"/>
  <c r="D1535" i="3" a="1"/>
  <c r="D1995" i="3" l="1"/>
  <c r="H1996" i="3" a="1"/>
  <c r="H1996" i="3" s="1"/>
  <c r="K1996" i="3" a="1"/>
  <c r="K1996" i="3" s="1"/>
  <c r="I1996" i="3" a="1"/>
  <c r="I1996" i="3" s="1"/>
  <c r="J1996" i="3" a="1"/>
  <c r="J1996" i="3" s="1"/>
  <c r="B1996" i="3" a="1"/>
  <c r="B1996" i="3" s="1"/>
  <c r="A1996" i="3" a="1"/>
  <c r="A1996" i="3" s="1"/>
  <c r="M1997" i="3"/>
  <c r="C1998" i="3"/>
  <c r="L1997" i="3"/>
  <c r="F1997" i="3"/>
  <c r="D1535" i="3"/>
  <c r="D1996" i="3" a="1"/>
  <c r="D1534" i="3" a="1"/>
  <c r="D1996" i="3" l="1"/>
  <c r="A1997" i="3" a="1"/>
  <c r="A1997" i="3" s="1"/>
  <c r="B1997" i="3" a="1"/>
  <c r="B1997" i="3" s="1"/>
  <c r="G1997" i="3" a="1"/>
  <c r="G1997" i="3" s="1"/>
  <c r="C1999" i="3"/>
  <c r="F1998" i="3"/>
  <c r="L1998" i="3"/>
  <c r="M1998" i="3"/>
  <c r="G1998" i="3" a="1"/>
  <c r="G1998" i="3" s="1"/>
  <c r="J1998" i="3" a="1"/>
  <c r="J1998" i="3" s="1"/>
  <c r="D1534" i="3"/>
  <c r="D1533" i="3" a="1"/>
  <c r="H1997" i="3" l="1" a="1"/>
  <c r="H1997" i="3" s="1"/>
  <c r="K1997" i="3" a="1"/>
  <c r="K1997" i="3" s="1"/>
  <c r="I1997" i="3" a="1"/>
  <c r="I1997" i="3" s="1"/>
  <c r="J1997" i="3" a="1"/>
  <c r="J1997" i="3" s="1"/>
  <c r="H1998" i="3" a="1"/>
  <c r="H1998" i="3" s="1"/>
  <c r="K1998" i="3" a="1"/>
  <c r="K1998" i="3" s="1"/>
  <c r="I1998" i="3" a="1"/>
  <c r="I1998" i="3" s="1"/>
  <c r="A1998" i="3" a="1"/>
  <c r="A1998" i="3" s="1"/>
  <c r="B1998" i="3" a="1"/>
  <c r="B1998" i="3" s="1"/>
  <c r="C2000" i="3"/>
  <c r="F1999" i="3"/>
  <c r="M1999" i="3"/>
  <c r="L1999" i="3"/>
  <c r="D1533" i="3"/>
  <c r="D1997" i="3" a="1"/>
  <c r="D1998" i="3" a="1"/>
  <c r="D1532" i="3" a="1"/>
  <c r="D1998" i="3" l="1"/>
  <c r="D1997" i="3"/>
  <c r="A1999" i="3" a="1"/>
  <c r="A1999" i="3" s="1"/>
  <c r="B1999" i="3" a="1"/>
  <c r="B1999" i="3" s="1"/>
  <c r="G1999" i="3" a="1"/>
  <c r="G1999" i="3" s="1"/>
  <c r="F2000" i="3"/>
  <c r="M2000" i="3"/>
  <c r="L2000" i="3"/>
  <c r="G2000" i="3" a="1"/>
  <c r="G2000" i="3" s="1"/>
  <c r="C2001" i="3"/>
  <c r="D1532" i="3"/>
  <c r="D1531" i="3" a="1"/>
  <c r="C2002" i="3" l="1"/>
  <c r="L2001" i="3"/>
  <c r="F2001" i="3"/>
  <c r="M2001" i="3"/>
  <c r="G2001" i="3" a="1"/>
  <c r="G2001" i="3" s="1"/>
  <c r="J2001" i="3" a="1"/>
  <c r="J2001" i="3" s="1"/>
  <c r="H1999" i="3" a="1"/>
  <c r="H1999" i="3" s="1"/>
  <c r="K1999" i="3" a="1"/>
  <c r="K1999" i="3" s="1"/>
  <c r="I1999" i="3" a="1"/>
  <c r="I1999" i="3" s="1"/>
  <c r="J1999" i="3" a="1"/>
  <c r="J1999" i="3" s="1"/>
  <c r="J2000" i="3" a="1"/>
  <c r="J2000" i="3" s="1"/>
  <c r="I2000" i="3" a="1"/>
  <c r="I2000" i="3" s="1"/>
  <c r="H2000" i="3" a="1"/>
  <c r="H2000" i="3" s="1"/>
  <c r="K2000" i="3" a="1"/>
  <c r="K2000" i="3" s="1"/>
  <c r="A2000" i="3" a="1"/>
  <c r="A2000" i="3" s="1"/>
  <c r="B2000" i="3" a="1"/>
  <c r="B2000" i="3" s="1"/>
  <c r="D1531" i="3"/>
  <c r="D2000" i="3" a="1"/>
  <c r="D1999" i="3" a="1"/>
  <c r="D1530" i="3" a="1"/>
  <c r="D1999" i="3" l="1"/>
  <c r="D2000" i="3"/>
  <c r="B2001" i="3" a="1"/>
  <c r="B2001" i="3" s="1"/>
  <c r="A2001" i="3" a="1"/>
  <c r="A2001" i="3" s="1"/>
  <c r="K2001" i="3" a="1"/>
  <c r="K2001" i="3" s="1"/>
  <c r="H2001" i="3" a="1"/>
  <c r="H2001" i="3" s="1"/>
  <c r="I2001" i="3" a="1"/>
  <c r="I2001" i="3" s="1"/>
  <c r="M2002" i="3"/>
  <c r="C2003" i="3"/>
  <c r="F2002" i="3"/>
  <c r="L2002" i="3"/>
  <c r="G2002" i="3" a="1"/>
  <c r="G2002" i="3" s="1"/>
  <c r="D1530" i="3"/>
  <c r="D2001" i="3" a="1"/>
  <c r="D1529" i="3" a="1"/>
  <c r="D2001" i="3" l="1"/>
  <c r="M2003" i="3"/>
  <c r="L2003" i="3"/>
  <c r="C2004" i="3"/>
  <c r="F2003" i="3"/>
  <c r="G2003" i="3" s="1" a="1"/>
  <c r="G2003" i="3" s="1"/>
  <c r="H2002" i="3" a="1"/>
  <c r="H2002" i="3" s="1"/>
  <c r="I2002" i="3" a="1"/>
  <c r="I2002" i="3" s="1"/>
  <c r="K2002" i="3" a="1"/>
  <c r="K2002" i="3" s="1"/>
  <c r="A2002" i="3" a="1"/>
  <c r="A2002" i="3" s="1"/>
  <c r="B2002" i="3" a="1"/>
  <c r="B2002" i="3" s="1"/>
  <c r="J2002" i="3" a="1"/>
  <c r="J2002" i="3" s="1"/>
  <c r="D1529" i="3"/>
  <c r="D2002" i="3" a="1"/>
  <c r="D1528" i="3" a="1"/>
  <c r="D2002" i="3" l="1"/>
  <c r="H2003" i="3" a="1"/>
  <c r="H2003" i="3" s="1"/>
  <c r="K2003" i="3" a="1"/>
  <c r="K2003" i="3" s="1"/>
  <c r="I2003" i="3" a="1"/>
  <c r="I2003" i="3" s="1"/>
  <c r="J2003" i="3" a="1"/>
  <c r="J2003" i="3" s="1"/>
  <c r="F2004" i="3"/>
  <c r="M2004" i="3"/>
  <c r="L2004" i="3"/>
  <c r="G2004" i="3" a="1"/>
  <c r="G2004" i="3" s="1"/>
  <c r="C2005" i="3"/>
  <c r="J2004" i="3" a="1"/>
  <c r="J2004" i="3" s="1"/>
  <c r="A2003" i="3" a="1"/>
  <c r="A2003" i="3" s="1"/>
  <c r="B2003" i="3" a="1"/>
  <c r="B2003" i="3" s="1"/>
  <c r="D1528" i="3"/>
  <c r="D2003" i="3" a="1"/>
  <c r="D1527" i="3" a="1"/>
  <c r="D2003" i="3" l="1"/>
  <c r="A2004" i="3" a="1"/>
  <c r="A2004" i="3" s="1"/>
  <c r="B2004" i="3" a="1"/>
  <c r="B2004" i="3" s="1"/>
  <c r="L2005" i="3"/>
  <c r="M2005" i="3"/>
  <c r="F2005" i="3"/>
  <c r="C2006" i="3"/>
  <c r="G2005" i="3" a="1"/>
  <c r="G2005" i="3" s="1"/>
  <c r="J2005" i="3" s="1" a="1"/>
  <c r="J2005" i="3" s="1"/>
  <c r="I2004" i="3" a="1"/>
  <c r="I2004" i="3" s="1"/>
  <c r="H2004" i="3" a="1"/>
  <c r="H2004" i="3" s="1"/>
  <c r="K2004" i="3" a="1"/>
  <c r="K2004" i="3" s="1"/>
  <c r="D1527" i="3"/>
  <c r="D2004" i="3" a="1"/>
  <c r="D1526" i="3" a="1"/>
  <c r="D2004" i="3" l="1"/>
  <c r="C2007" i="3"/>
  <c r="F2006" i="3"/>
  <c r="L2006" i="3"/>
  <c r="M2006" i="3"/>
  <c r="I2005" i="3" a="1"/>
  <c r="I2005" i="3" s="1"/>
  <c r="K2005" i="3" a="1"/>
  <c r="K2005" i="3" s="1"/>
  <c r="H2005" i="3" a="1"/>
  <c r="H2005" i="3" s="1"/>
  <c r="B2005" i="3" a="1"/>
  <c r="B2005" i="3" s="1"/>
  <c r="A2005" i="3" a="1"/>
  <c r="A2005" i="3" s="1"/>
  <c r="D1526" i="3"/>
  <c r="D2005" i="3" a="1"/>
  <c r="D1525" i="3" a="1"/>
  <c r="D2005" i="3" l="1"/>
  <c r="B2006" i="3" a="1"/>
  <c r="B2006" i="3" s="1"/>
  <c r="A2006" i="3" a="1"/>
  <c r="A2006" i="3" s="1"/>
  <c r="F2007" i="3"/>
  <c r="M2007" i="3"/>
  <c r="C2008" i="3"/>
  <c r="L2007" i="3"/>
  <c r="G2007" i="3" a="1"/>
  <c r="G2007" i="3" s="1"/>
  <c r="J2007" i="3" a="1"/>
  <c r="J2007" i="3" s="1"/>
  <c r="G2006" i="3" a="1"/>
  <c r="G2006" i="3" s="1"/>
  <c r="D1525" i="3"/>
  <c r="D1524" i="3" a="1"/>
  <c r="A2007" i="3" l="1" a="1"/>
  <c r="A2007" i="3" s="1"/>
  <c r="B2007" i="3" a="1"/>
  <c r="B2007" i="3" s="1"/>
  <c r="I2006" i="3" a="1"/>
  <c r="I2006" i="3" s="1"/>
  <c r="H2006" i="3" a="1"/>
  <c r="H2006" i="3" s="1"/>
  <c r="K2006" i="3" a="1"/>
  <c r="K2006" i="3" s="1"/>
  <c r="J2006" i="3" a="1"/>
  <c r="J2006" i="3" s="1"/>
  <c r="K2007" i="3" a="1"/>
  <c r="K2007" i="3" s="1"/>
  <c r="H2007" i="3" a="1"/>
  <c r="H2007" i="3" s="1"/>
  <c r="I2007" i="3" a="1"/>
  <c r="I2007" i="3" s="1"/>
  <c r="G2008" i="3" a="1"/>
  <c r="G2008" i="3" s="1"/>
  <c r="L2008" i="3"/>
  <c r="M2008" i="3"/>
  <c r="F2008" i="3"/>
  <c r="C2009" i="3"/>
  <c r="D1524" i="3"/>
  <c r="D2007" i="3" a="1"/>
  <c r="D2006" i="3" a="1"/>
  <c r="D1523" i="3" a="1"/>
  <c r="D2006" i="3" l="1"/>
  <c r="D2007" i="3"/>
  <c r="J2008" i="3" a="1"/>
  <c r="J2008" i="3" s="1"/>
  <c r="I2008" i="3" a="1"/>
  <c r="I2008" i="3" s="1"/>
  <c r="H2008" i="3" a="1"/>
  <c r="H2008" i="3" s="1"/>
  <c r="K2008" i="3" a="1"/>
  <c r="K2008" i="3" s="1"/>
  <c r="C2010" i="3"/>
  <c r="L2009" i="3"/>
  <c r="M2009" i="3"/>
  <c r="F2009" i="3"/>
  <c r="G2009" i="3" s="1" a="1"/>
  <c r="G2009" i="3" s="1"/>
  <c r="B2008" i="3" a="1"/>
  <c r="B2008" i="3" s="1"/>
  <c r="A2008" i="3" a="1"/>
  <c r="A2008" i="3" s="1"/>
  <c r="D1523" i="3"/>
  <c r="D2008" i="3" a="1"/>
  <c r="D1521" i="3" a="1"/>
  <c r="D2008" i="3" l="1"/>
  <c r="K2009" i="3" a="1"/>
  <c r="K2009" i="3" s="1"/>
  <c r="H2009" i="3" a="1"/>
  <c r="H2009" i="3" s="1"/>
  <c r="I2009" i="3" a="1"/>
  <c r="I2009" i="3" s="1"/>
  <c r="J2009" i="3" a="1"/>
  <c r="J2009" i="3" s="1"/>
  <c r="B2009" i="3" a="1"/>
  <c r="B2009" i="3" s="1"/>
  <c r="A2009" i="3" a="1"/>
  <c r="A2009" i="3" s="1"/>
  <c r="M2010" i="3"/>
  <c r="C2011" i="3"/>
  <c r="L2010" i="3"/>
  <c r="F2010" i="3"/>
  <c r="G2010" i="3" s="1" a="1"/>
  <c r="G2010" i="3" s="1"/>
  <c r="D1521" i="3"/>
  <c r="D2009" i="3" a="1"/>
  <c r="D1522" i="3" a="1"/>
  <c r="D2009" i="3" l="1"/>
  <c r="H2010" i="3" a="1"/>
  <c r="H2010" i="3" s="1"/>
  <c r="I2010" i="3" a="1"/>
  <c r="I2010" i="3" s="1"/>
  <c r="K2010" i="3" a="1"/>
  <c r="K2010" i="3" s="1"/>
  <c r="J2010" i="3" a="1"/>
  <c r="J2010" i="3" s="1"/>
  <c r="A2010" i="3" a="1"/>
  <c r="A2010" i="3" s="1"/>
  <c r="B2010" i="3" a="1"/>
  <c r="B2010" i="3" s="1"/>
  <c r="C2012" i="3"/>
  <c r="L2011" i="3"/>
  <c r="F2011" i="3"/>
  <c r="G2011" i="3" a="1"/>
  <c r="G2011" i="3" s="1"/>
  <c r="M2011" i="3"/>
  <c r="D1522" i="3"/>
  <c r="D2010" i="3" a="1"/>
  <c r="D1520" i="3" a="1"/>
  <c r="D2010" i="3" l="1"/>
  <c r="I2011" i="3" a="1"/>
  <c r="I2011" i="3" s="1"/>
  <c r="H2011" i="3" a="1"/>
  <c r="H2011" i="3" s="1"/>
  <c r="K2011" i="3" a="1"/>
  <c r="K2011" i="3" s="1"/>
  <c r="J2011" i="3" a="1"/>
  <c r="J2011" i="3" s="1"/>
  <c r="M2012" i="3"/>
  <c r="L2012" i="3"/>
  <c r="C2013" i="3"/>
  <c r="F2012" i="3"/>
  <c r="G2012" i="3" s="1" a="1"/>
  <c r="G2012" i="3" s="1"/>
  <c r="A2011" i="3" a="1"/>
  <c r="A2011" i="3" s="1"/>
  <c r="B2011" i="3" a="1"/>
  <c r="B2011" i="3" s="1"/>
  <c r="D1520" i="3"/>
  <c r="D2011" i="3" a="1"/>
  <c r="D1519" i="3" a="1"/>
  <c r="D2011" i="3" l="1"/>
  <c r="H2012" i="3" a="1"/>
  <c r="H2012" i="3" s="1"/>
  <c r="K2012" i="3" a="1"/>
  <c r="K2012" i="3" s="1"/>
  <c r="I2012" i="3" a="1"/>
  <c r="I2012" i="3" s="1"/>
  <c r="J2012" i="3" a="1"/>
  <c r="J2012" i="3" s="1"/>
  <c r="A2012" i="3" a="1"/>
  <c r="A2012" i="3" s="1"/>
  <c r="B2012" i="3" a="1"/>
  <c r="B2012" i="3" s="1"/>
  <c r="C2014" i="3"/>
  <c r="L2013" i="3"/>
  <c r="M2013" i="3"/>
  <c r="G2013" i="3" a="1"/>
  <c r="G2013" i="3" s="1"/>
  <c r="F2013" i="3"/>
  <c r="D1519" i="3"/>
  <c r="D2012" i="3" a="1"/>
  <c r="D1518" i="3" a="1"/>
  <c r="D2012" i="3" l="1"/>
  <c r="J2013" i="3" a="1"/>
  <c r="J2013" i="3" s="1"/>
  <c r="K2013" i="3" a="1"/>
  <c r="K2013" i="3" s="1"/>
  <c r="H2013" i="3" a="1"/>
  <c r="H2013" i="3" s="1"/>
  <c r="I2013" i="3" a="1"/>
  <c r="I2013" i="3" s="1"/>
  <c r="M2014" i="3"/>
  <c r="F2014" i="3"/>
  <c r="L2014" i="3"/>
  <c r="C2015" i="3"/>
  <c r="G2014" i="3" a="1"/>
  <c r="G2014" i="3" s="1"/>
  <c r="A2013" i="3" a="1"/>
  <c r="A2013" i="3" s="1"/>
  <c r="B2013" i="3" a="1"/>
  <c r="B2013" i="3" s="1"/>
  <c r="D1518" i="3"/>
  <c r="D2013" i="3" a="1"/>
  <c r="D1517" i="3" a="1"/>
  <c r="D2013" i="3" l="1"/>
  <c r="K2014" i="3" a="1"/>
  <c r="K2014" i="3" s="1"/>
  <c r="H2014" i="3" a="1"/>
  <c r="H2014" i="3" s="1"/>
  <c r="I2014" i="3" a="1"/>
  <c r="I2014" i="3" s="1"/>
  <c r="J2014" i="3" a="1"/>
  <c r="J2014" i="3" s="1"/>
  <c r="L2015" i="3"/>
  <c r="M2015" i="3"/>
  <c r="F2015" i="3"/>
  <c r="C2016" i="3"/>
  <c r="G2015" i="3" a="1"/>
  <c r="G2015" i="3" s="1"/>
  <c r="B2014" i="3" a="1"/>
  <c r="B2014" i="3" s="1"/>
  <c r="A2014" i="3" a="1"/>
  <c r="A2014" i="3" s="1"/>
  <c r="D1517" i="3"/>
  <c r="D2014" i="3" a="1"/>
  <c r="D1516" i="3" a="1"/>
  <c r="D2014" i="3" l="1"/>
  <c r="I2015" i="3" a="1"/>
  <c r="I2015" i="3" s="1"/>
  <c r="K2015" i="3" a="1"/>
  <c r="K2015" i="3" s="1"/>
  <c r="H2015" i="3" a="1"/>
  <c r="H2015" i="3" s="1"/>
  <c r="F2016" i="3"/>
  <c r="M2016" i="3"/>
  <c r="L2016" i="3"/>
  <c r="G2016" i="3" a="1"/>
  <c r="G2016" i="3" s="1"/>
  <c r="C2017" i="3"/>
  <c r="J2015" i="3" a="1"/>
  <c r="J2015" i="3" s="1"/>
  <c r="B2015" i="3" a="1"/>
  <c r="B2015" i="3" s="1"/>
  <c r="A2015" i="3" a="1"/>
  <c r="A2015" i="3" s="1"/>
  <c r="D1516" i="3"/>
  <c r="D2015" i="3" a="1"/>
  <c r="D1515" i="3" a="1"/>
  <c r="D2015" i="3" l="1"/>
  <c r="L2017" i="3"/>
  <c r="M2017" i="3"/>
  <c r="F2017" i="3"/>
  <c r="G2017" i="3" a="1"/>
  <c r="G2017" i="3" s="1"/>
  <c r="C2018" i="3"/>
  <c r="J2016" i="3" a="1"/>
  <c r="J2016" i="3" s="1"/>
  <c r="K2016" i="3" a="1"/>
  <c r="K2016" i="3" s="1"/>
  <c r="I2016" i="3" a="1"/>
  <c r="I2016" i="3" s="1"/>
  <c r="H2016" i="3" a="1"/>
  <c r="H2016" i="3" s="1"/>
  <c r="B2016" i="3" a="1"/>
  <c r="B2016" i="3" s="1"/>
  <c r="A2016" i="3" a="1"/>
  <c r="A2016" i="3" s="1"/>
  <c r="D1515" i="3"/>
  <c r="D2016" i="3" a="1"/>
  <c r="D1514" i="3" a="1"/>
  <c r="D2016" i="3" l="1"/>
  <c r="I2017" i="3" a="1"/>
  <c r="I2017" i="3" s="1"/>
  <c r="H2017" i="3" a="1"/>
  <c r="H2017" i="3" s="1"/>
  <c r="K2017" i="3" a="1"/>
  <c r="K2017" i="3" s="1"/>
  <c r="C2019" i="3"/>
  <c r="F2018" i="3"/>
  <c r="L2018" i="3"/>
  <c r="M2018" i="3"/>
  <c r="G2018" i="3" a="1"/>
  <c r="G2018" i="3" s="1"/>
  <c r="A2017" i="3" a="1"/>
  <c r="A2017" i="3" s="1"/>
  <c r="B2017" i="3" a="1"/>
  <c r="B2017" i="3" s="1"/>
  <c r="J2017" i="3" a="1"/>
  <c r="J2017" i="3" s="1"/>
  <c r="D1514" i="3"/>
  <c r="D2017" i="3" a="1"/>
  <c r="D1513" i="3" a="1"/>
  <c r="D2017" i="3" l="1"/>
  <c r="H2018" i="3" a="1"/>
  <c r="H2018" i="3" s="1"/>
  <c r="I2018" i="3" a="1"/>
  <c r="I2018" i="3" s="1"/>
  <c r="K2018" i="3" a="1"/>
  <c r="K2018" i="3" s="1"/>
  <c r="M2019" i="3"/>
  <c r="C2020" i="3"/>
  <c r="L2019" i="3"/>
  <c r="F2019" i="3"/>
  <c r="G2019" i="3" a="1"/>
  <c r="G2019" i="3" s="1"/>
  <c r="J2018" i="3" a="1"/>
  <c r="J2018" i="3" s="1"/>
  <c r="A2018" i="3" a="1"/>
  <c r="A2018" i="3" s="1"/>
  <c r="B2018" i="3" a="1"/>
  <c r="B2018" i="3" s="1"/>
  <c r="D1513" i="3"/>
  <c r="D2018" i="3" a="1"/>
  <c r="D1512" i="3" a="1"/>
  <c r="D2018" i="3" l="1"/>
  <c r="H2019" i="3" a="1"/>
  <c r="H2019" i="3" s="1"/>
  <c r="K2019" i="3" a="1"/>
  <c r="K2019" i="3" s="1"/>
  <c r="I2019" i="3" a="1"/>
  <c r="I2019" i="3" s="1"/>
  <c r="J2019" i="3" a="1"/>
  <c r="J2019" i="3" s="1"/>
  <c r="B2019" i="3" a="1"/>
  <c r="B2019" i="3" s="1"/>
  <c r="A2019" i="3" a="1"/>
  <c r="A2019" i="3" s="1"/>
  <c r="M2020" i="3"/>
  <c r="C2021" i="3"/>
  <c r="L2020" i="3"/>
  <c r="F2020" i="3"/>
  <c r="D1512" i="3"/>
  <c r="D2019" i="3" a="1"/>
  <c r="D1511" i="3" a="1"/>
  <c r="D2019" i="3" l="1"/>
  <c r="L2021" i="3"/>
  <c r="C2022" i="3"/>
  <c r="M2021" i="3"/>
  <c r="G2021" i="3" a="1"/>
  <c r="G2021" i="3" s="1"/>
  <c r="F2021" i="3"/>
  <c r="A2020" i="3" a="1"/>
  <c r="A2020" i="3" s="1"/>
  <c r="B2020" i="3" a="1"/>
  <c r="B2020" i="3" s="1"/>
  <c r="G2020" i="3" a="1"/>
  <c r="G2020" i="3" s="1"/>
  <c r="D1511" i="3"/>
  <c r="D1510" i="3" a="1"/>
  <c r="J2020" i="3" l="1" a="1"/>
  <c r="J2020" i="3" s="1"/>
  <c r="I2020" i="3" a="1"/>
  <c r="I2020" i="3" s="1"/>
  <c r="H2020" i="3" a="1"/>
  <c r="H2020" i="3" s="1"/>
  <c r="K2020" i="3" a="1"/>
  <c r="K2020" i="3" s="1"/>
  <c r="I2021" i="3" a="1"/>
  <c r="I2021" i="3" s="1"/>
  <c r="K2021" i="3" a="1"/>
  <c r="K2021" i="3" s="1"/>
  <c r="H2021" i="3" a="1"/>
  <c r="H2021" i="3" s="1"/>
  <c r="B2021" i="3" a="1"/>
  <c r="B2021" i="3" s="1"/>
  <c r="A2021" i="3" a="1"/>
  <c r="A2021" i="3" s="1"/>
  <c r="J2021" i="3" a="1"/>
  <c r="J2021" i="3" s="1"/>
  <c r="F2022" i="3"/>
  <c r="M2022" i="3"/>
  <c r="C2023" i="3"/>
  <c r="L2022" i="3"/>
  <c r="D1510" i="3"/>
  <c r="D2021" i="3" a="1"/>
  <c r="D2020" i="3" a="1"/>
  <c r="D1509" i="3" a="1"/>
  <c r="D2020" i="3" l="1"/>
  <c r="D2021" i="3"/>
  <c r="B2022" i="3" a="1"/>
  <c r="B2022" i="3" s="1"/>
  <c r="A2022" i="3" a="1"/>
  <c r="A2022" i="3" s="1"/>
  <c r="G2023" i="3" a="1"/>
  <c r="G2023" i="3" s="1"/>
  <c r="F2023" i="3"/>
  <c r="C2024" i="3"/>
  <c r="L2023" i="3"/>
  <c r="M2023" i="3"/>
  <c r="J2023" i="3" a="1"/>
  <c r="J2023" i="3" s="1"/>
  <c r="G2022" i="3" a="1"/>
  <c r="G2022" i="3" s="1"/>
  <c r="D1509" i="3"/>
  <c r="D1508" i="3" a="1"/>
  <c r="I2023" i="3" l="1" a="1"/>
  <c r="I2023" i="3" s="1"/>
  <c r="H2023" i="3" a="1"/>
  <c r="H2023" i="3" s="1"/>
  <c r="K2023" i="3" a="1"/>
  <c r="K2023" i="3" s="1"/>
  <c r="K2022" i="3" a="1"/>
  <c r="K2022" i="3" s="1"/>
  <c r="I2022" i="3" a="1"/>
  <c r="I2022" i="3" s="1"/>
  <c r="H2022" i="3" a="1"/>
  <c r="H2022" i="3" s="1"/>
  <c r="J2022" i="3" a="1"/>
  <c r="J2022" i="3" s="1"/>
  <c r="C2025" i="3"/>
  <c r="F2024" i="3"/>
  <c r="M2024" i="3"/>
  <c r="L2024" i="3"/>
  <c r="G2024" i="3" a="1"/>
  <c r="G2024" i="3" s="1"/>
  <c r="A2023" i="3" a="1"/>
  <c r="A2023" i="3" s="1"/>
  <c r="B2023" i="3" a="1"/>
  <c r="B2023" i="3" s="1"/>
  <c r="D1508" i="3"/>
  <c r="D2023" i="3" a="1"/>
  <c r="D2022" i="3" a="1"/>
  <c r="D1507" i="3" a="1"/>
  <c r="D2022" i="3" l="1"/>
  <c r="D2023" i="3"/>
  <c r="A2024" i="3" a="1"/>
  <c r="A2024" i="3" s="1"/>
  <c r="B2024" i="3" a="1"/>
  <c r="B2024" i="3" s="1"/>
  <c r="K2024" i="3" a="1"/>
  <c r="K2024" i="3" s="1"/>
  <c r="I2024" i="3" a="1"/>
  <c r="I2024" i="3" s="1"/>
  <c r="H2024" i="3" a="1"/>
  <c r="H2024" i="3" s="1"/>
  <c r="L2025" i="3"/>
  <c r="F2025" i="3"/>
  <c r="M2025" i="3"/>
  <c r="G2025" i="3" a="1"/>
  <c r="G2025" i="3" s="1"/>
  <c r="C2026" i="3"/>
  <c r="J2024" i="3" a="1"/>
  <c r="J2024" i="3" s="1"/>
  <c r="D1507" i="3"/>
  <c r="D2024" i="3" a="1"/>
  <c r="D1506" i="3" a="1"/>
  <c r="D2024" i="3" l="1"/>
  <c r="K2025" i="3" a="1"/>
  <c r="K2025" i="3" s="1"/>
  <c r="I2025" i="3" a="1"/>
  <c r="I2025" i="3" s="1"/>
  <c r="H2025" i="3" a="1"/>
  <c r="H2025" i="3" s="1"/>
  <c r="F2026" i="3"/>
  <c r="C2027" i="3"/>
  <c r="L2026" i="3"/>
  <c r="M2026" i="3"/>
  <c r="G2026" i="3" a="1"/>
  <c r="G2026" i="3" s="1"/>
  <c r="A2025" i="3" a="1"/>
  <c r="A2025" i="3" s="1"/>
  <c r="B2025" i="3" a="1"/>
  <c r="B2025" i="3" s="1"/>
  <c r="J2025" i="3" a="1"/>
  <c r="J2025" i="3" s="1"/>
  <c r="D1506" i="3"/>
  <c r="D2025" i="3" a="1"/>
  <c r="D1505" i="3" a="1"/>
  <c r="D2025" i="3" l="1"/>
  <c r="J2026" i="3" a="1"/>
  <c r="J2026" i="3" s="1"/>
  <c r="H2026" i="3" a="1"/>
  <c r="H2026" i="3" s="1"/>
  <c r="I2026" i="3" a="1"/>
  <c r="I2026" i="3" s="1"/>
  <c r="K2026" i="3" a="1"/>
  <c r="K2026" i="3" s="1"/>
  <c r="F2027" i="3"/>
  <c r="L2027" i="3"/>
  <c r="M2027" i="3"/>
  <c r="C2028" i="3"/>
  <c r="G2027" i="3" a="1"/>
  <c r="G2027" i="3" s="1"/>
  <c r="B2026" i="3" a="1"/>
  <c r="B2026" i="3" s="1"/>
  <c r="A2026" i="3" a="1"/>
  <c r="A2026" i="3" s="1"/>
  <c r="D1505" i="3"/>
  <c r="D2026" i="3" a="1"/>
  <c r="D1504" i="3" a="1"/>
  <c r="D2026" i="3" l="1"/>
  <c r="H2027" i="3" a="1"/>
  <c r="H2027" i="3" s="1"/>
  <c r="I2027" i="3" a="1"/>
  <c r="I2027" i="3" s="1"/>
  <c r="K2027" i="3" a="1"/>
  <c r="K2027" i="3" s="1"/>
  <c r="A2027" i="3" a="1"/>
  <c r="A2027" i="3" s="1"/>
  <c r="B2027" i="3" a="1"/>
  <c r="B2027" i="3" s="1"/>
  <c r="F2028" i="3"/>
  <c r="M2028" i="3"/>
  <c r="C2029" i="3"/>
  <c r="L2028" i="3"/>
  <c r="G2028" i="3" a="1"/>
  <c r="G2028" i="3" s="1"/>
  <c r="J2027" i="3" a="1"/>
  <c r="J2027" i="3" s="1"/>
  <c r="D1504" i="3"/>
  <c r="D2027" i="3" a="1"/>
  <c r="D1503" i="3" a="1"/>
  <c r="D2027" i="3" l="1"/>
  <c r="K2028" i="3" a="1"/>
  <c r="K2028" i="3" s="1"/>
  <c r="I2028" i="3" a="1"/>
  <c r="I2028" i="3" s="1"/>
  <c r="H2028" i="3" a="1"/>
  <c r="H2028" i="3" s="1"/>
  <c r="F2029" i="3"/>
  <c r="M2029" i="3"/>
  <c r="C2030" i="3"/>
  <c r="L2029" i="3"/>
  <c r="G2029" i="3" a="1"/>
  <c r="G2029" i="3" s="1"/>
  <c r="A2028" i="3" a="1"/>
  <c r="A2028" i="3" s="1"/>
  <c r="B2028" i="3" a="1"/>
  <c r="B2028" i="3" s="1"/>
  <c r="J2028" i="3" a="1"/>
  <c r="J2028" i="3" s="1"/>
  <c r="D1503" i="3"/>
  <c r="D2028" i="3" a="1"/>
  <c r="D1502" i="3" a="1"/>
  <c r="D2028" i="3" l="1"/>
  <c r="I2029" i="3" a="1"/>
  <c r="I2029" i="3" s="1"/>
  <c r="K2029" i="3" a="1"/>
  <c r="K2029" i="3" s="1"/>
  <c r="H2029" i="3" a="1"/>
  <c r="H2029" i="3" s="1"/>
  <c r="J2029" i="3" a="1"/>
  <c r="J2029" i="3" s="1"/>
  <c r="C2031" i="3"/>
  <c r="M2030" i="3"/>
  <c r="L2030" i="3"/>
  <c r="F2030" i="3"/>
  <c r="B2029" i="3" a="1"/>
  <c r="B2029" i="3" s="1"/>
  <c r="A2029" i="3" a="1"/>
  <c r="A2029" i="3" s="1"/>
  <c r="D1502" i="3"/>
  <c r="D2029" i="3" a="1"/>
  <c r="D1501" i="3" a="1"/>
  <c r="D2029" i="3" l="1"/>
  <c r="B2030" i="3" a="1"/>
  <c r="B2030" i="3" s="1"/>
  <c r="A2030" i="3" a="1"/>
  <c r="A2030" i="3" s="1"/>
  <c r="G2030" i="3" a="1"/>
  <c r="G2030" i="3" s="1"/>
  <c r="M2031" i="3"/>
  <c r="L2031" i="3"/>
  <c r="C2032" i="3"/>
  <c r="F2031" i="3"/>
  <c r="D1501" i="3"/>
  <c r="D1500" i="3" a="1"/>
  <c r="B2031" i="3" l="1" a="1"/>
  <c r="B2031" i="3" s="1"/>
  <c r="A2031" i="3" a="1"/>
  <c r="A2031" i="3" s="1"/>
  <c r="G2031" i="3" a="1"/>
  <c r="G2031" i="3" s="1"/>
  <c r="C2033" i="3"/>
  <c r="F2032" i="3"/>
  <c r="G2032" i="3" a="1"/>
  <c r="G2032" i="3" s="1"/>
  <c r="J2032" i="3" s="1" a="1"/>
  <c r="J2032" i="3" s="1"/>
  <c r="L2032" i="3"/>
  <c r="M2032" i="3"/>
  <c r="H2030" i="3" a="1"/>
  <c r="H2030" i="3" s="1"/>
  <c r="K2030" i="3" a="1"/>
  <c r="K2030" i="3" s="1"/>
  <c r="I2030" i="3" a="1"/>
  <c r="I2030" i="3" s="1"/>
  <c r="J2030" i="3" a="1"/>
  <c r="J2030" i="3" s="1"/>
  <c r="D1500" i="3"/>
  <c r="D2030" i="3" a="1"/>
  <c r="D1499" i="3" a="1"/>
  <c r="D2030" i="3" l="1"/>
  <c r="C2034" i="3"/>
  <c r="M2033" i="3"/>
  <c r="L2033" i="3"/>
  <c r="F2033" i="3"/>
  <c r="G2033" i="3" a="1"/>
  <c r="G2033" i="3" s="1"/>
  <c r="J2033" i="3" a="1"/>
  <c r="J2033" i="3" s="1"/>
  <c r="K2031" i="3" a="1"/>
  <c r="K2031" i="3" s="1"/>
  <c r="H2031" i="3" a="1"/>
  <c r="H2031" i="3" s="1"/>
  <c r="I2031" i="3" a="1"/>
  <c r="I2031" i="3" s="1"/>
  <c r="J2031" i="3" a="1"/>
  <c r="J2031" i="3" s="1"/>
  <c r="I2032" i="3" a="1"/>
  <c r="I2032" i="3" s="1"/>
  <c r="K2032" i="3" a="1"/>
  <c r="K2032" i="3" s="1"/>
  <c r="H2032" i="3" a="1"/>
  <c r="H2032" i="3" s="1"/>
  <c r="A2032" i="3" a="1"/>
  <c r="A2032" i="3" s="1"/>
  <c r="B2032" i="3" a="1"/>
  <c r="B2032" i="3" s="1"/>
  <c r="D1499" i="3"/>
  <c r="D2031" i="3" a="1"/>
  <c r="D2032" i="3" a="1"/>
  <c r="D1498" i="3" a="1"/>
  <c r="D2032" i="3" l="1"/>
  <c r="D2031" i="3"/>
  <c r="B2033" i="3" a="1"/>
  <c r="B2033" i="3" s="1"/>
  <c r="A2033" i="3" a="1"/>
  <c r="A2033" i="3" s="1"/>
  <c r="F2034" i="3"/>
  <c r="M2034" i="3"/>
  <c r="G2034" i="3" a="1"/>
  <c r="G2034" i="3" s="1"/>
  <c r="C2035" i="3"/>
  <c r="L2034" i="3"/>
  <c r="I2033" i="3" a="1"/>
  <c r="I2033" i="3" s="1"/>
  <c r="H2033" i="3" a="1"/>
  <c r="H2033" i="3" s="1"/>
  <c r="K2033" i="3" a="1"/>
  <c r="K2033" i="3" s="1"/>
  <c r="D1498" i="3"/>
  <c r="D2033" i="3" a="1"/>
  <c r="D1497" i="3" a="1"/>
  <c r="D2033" i="3" l="1"/>
  <c r="L2035" i="3"/>
  <c r="F2035" i="3"/>
  <c r="G2035" i="3" a="1"/>
  <c r="G2035" i="3" s="1"/>
  <c r="M2035" i="3"/>
  <c r="C2036" i="3"/>
  <c r="B2034" i="3" a="1"/>
  <c r="B2034" i="3" s="1"/>
  <c r="A2034" i="3" a="1"/>
  <c r="A2034" i="3" s="1"/>
  <c r="J2034" i="3" a="1"/>
  <c r="J2034" i="3" s="1"/>
  <c r="H2034" i="3" a="1"/>
  <c r="H2034" i="3" s="1"/>
  <c r="I2034" i="3" a="1"/>
  <c r="I2034" i="3" s="1"/>
  <c r="K2034" i="3" a="1"/>
  <c r="K2034" i="3" s="1"/>
  <c r="D1497" i="3"/>
  <c r="D2034" i="3" a="1"/>
  <c r="D1496" i="3" a="1"/>
  <c r="D2034" i="3" l="1"/>
  <c r="M2036" i="3"/>
  <c r="L2036" i="3"/>
  <c r="C2037" i="3"/>
  <c r="F2036" i="3"/>
  <c r="G2036" i="3" s="1" a="1"/>
  <c r="G2036" i="3" s="1"/>
  <c r="J2035" i="3" a="1"/>
  <c r="J2035" i="3" s="1"/>
  <c r="I2035" i="3" a="1"/>
  <c r="I2035" i="3" s="1"/>
  <c r="H2035" i="3" a="1"/>
  <c r="H2035" i="3" s="1"/>
  <c r="K2035" i="3" a="1"/>
  <c r="K2035" i="3" s="1"/>
  <c r="B2035" i="3" a="1"/>
  <c r="B2035" i="3" s="1"/>
  <c r="A2035" i="3" a="1"/>
  <c r="A2035" i="3" s="1"/>
  <c r="D1496" i="3"/>
  <c r="D2035" i="3" a="1"/>
  <c r="D1495" i="3" a="1"/>
  <c r="D2035" i="3" l="1"/>
  <c r="H2036" i="3" a="1"/>
  <c r="H2036" i="3" s="1"/>
  <c r="I2036" i="3" a="1"/>
  <c r="I2036" i="3" s="1"/>
  <c r="K2036" i="3" a="1"/>
  <c r="K2036" i="3" s="1"/>
  <c r="J2036" i="3" a="1"/>
  <c r="J2036" i="3" s="1"/>
  <c r="G2037" i="3" a="1"/>
  <c r="G2037" i="3" s="1"/>
  <c r="L2037" i="3"/>
  <c r="F2037" i="3"/>
  <c r="M2037" i="3"/>
  <c r="C2038" i="3"/>
  <c r="A2036" i="3" a="1"/>
  <c r="A2036" i="3" s="1"/>
  <c r="B2036" i="3" a="1"/>
  <c r="B2036" i="3" s="1"/>
  <c r="D1495" i="3"/>
  <c r="D2036" i="3" a="1"/>
  <c r="D1494" i="3" a="1"/>
  <c r="D2036" i="3" l="1"/>
  <c r="H2037" i="3" a="1"/>
  <c r="H2037" i="3" s="1"/>
  <c r="I2037" i="3" a="1"/>
  <c r="I2037" i="3" s="1"/>
  <c r="K2037" i="3" a="1"/>
  <c r="K2037" i="3" s="1"/>
  <c r="F2038" i="3"/>
  <c r="M2038" i="3"/>
  <c r="C2039" i="3"/>
  <c r="L2038" i="3"/>
  <c r="A2037" i="3" a="1"/>
  <c r="A2037" i="3" s="1"/>
  <c r="B2037" i="3" a="1"/>
  <c r="B2037" i="3" s="1"/>
  <c r="J2037" i="3" a="1"/>
  <c r="J2037" i="3" s="1"/>
  <c r="D1494" i="3"/>
  <c r="D2037" i="3" a="1"/>
  <c r="D1493" i="3" a="1"/>
  <c r="D2037" i="3" l="1"/>
  <c r="L2039" i="3"/>
  <c r="M2039" i="3"/>
  <c r="C2040" i="3"/>
  <c r="F2039" i="3"/>
  <c r="G2038" i="3" a="1"/>
  <c r="G2038" i="3" s="1"/>
  <c r="B2038" i="3" a="1"/>
  <c r="B2038" i="3" s="1"/>
  <c r="A2038" i="3" a="1"/>
  <c r="A2038" i="3" s="1"/>
  <c r="D1493" i="3"/>
  <c r="D1492" i="3" a="1"/>
  <c r="A2039" i="3" l="1" a="1"/>
  <c r="A2039" i="3" s="1"/>
  <c r="B2039" i="3" a="1"/>
  <c r="B2039" i="3" s="1"/>
  <c r="K2038" i="3" a="1"/>
  <c r="K2038" i="3" s="1"/>
  <c r="H2038" i="3" a="1"/>
  <c r="H2038" i="3" s="1"/>
  <c r="I2038" i="3" a="1"/>
  <c r="I2038" i="3" s="1"/>
  <c r="J2038" i="3" a="1"/>
  <c r="J2038" i="3" s="1"/>
  <c r="G2039" i="3" a="1"/>
  <c r="G2039" i="3" s="1"/>
  <c r="C2041" i="3"/>
  <c r="F2040" i="3"/>
  <c r="L2040" i="3"/>
  <c r="M2040" i="3"/>
  <c r="G2040" i="3" a="1"/>
  <c r="G2040" i="3" s="1"/>
  <c r="D1492" i="3"/>
  <c r="D2038" i="3" a="1"/>
  <c r="D1491" i="3" a="1"/>
  <c r="D2038" i="3" l="1"/>
  <c r="K2040" i="3" a="1"/>
  <c r="K2040" i="3" s="1"/>
  <c r="H2040" i="3" a="1"/>
  <c r="H2040" i="3" s="1"/>
  <c r="I2040" i="3" a="1"/>
  <c r="I2040" i="3" s="1"/>
  <c r="L2041" i="3"/>
  <c r="F2041" i="3"/>
  <c r="M2041" i="3"/>
  <c r="C2042" i="3"/>
  <c r="G2041" i="3" a="1"/>
  <c r="G2041" i="3" s="1"/>
  <c r="B2040" i="3" a="1"/>
  <c r="B2040" i="3" s="1"/>
  <c r="A2040" i="3" a="1"/>
  <c r="A2040" i="3" s="1"/>
  <c r="I2039" i="3" a="1"/>
  <c r="I2039" i="3" s="1"/>
  <c r="H2039" i="3" a="1"/>
  <c r="H2039" i="3" s="1"/>
  <c r="K2039" i="3" a="1"/>
  <c r="K2039" i="3" s="1"/>
  <c r="J2039" i="3" a="1"/>
  <c r="J2039" i="3" s="1"/>
  <c r="J2040" i="3" a="1"/>
  <c r="J2040" i="3" s="1"/>
  <c r="D1491" i="3"/>
  <c r="D2039" i="3" a="1"/>
  <c r="D2040" i="3" a="1"/>
  <c r="D1490" i="3" a="1"/>
  <c r="D2040" i="3" l="1"/>
  <c r="D2039" i="3"/>
  <c r="C2043" i="3"/>
  <c r="F2042" i="3"/>
  <c r="G2042" i="3" a="1"/>
  <c r="G2042" i="3" s="1"/>
  <c r="L2042" i="3"/>
  <c r="M2042" i="3"/>
  <c r="J2042" i="3" a="1"/>
  <c r="J2042" i="3" s="1"/>
  <c r="J2041" i="3" a="1"/>
  <c r="J2041" i="3" s="1"/>
  <c r="H2041" i="3" a="1"/>
  <c r="H2041" i="3" s="1"/>
  <c r="K2041" i="3" a="1"/>
  <c r="K2041" i="3" s="1"/>
  <c r="I2041" i="3" a="1"/>
  <c r="I2041" i="3" s="1"/>
  <c r="A2041" i="3" a="1"/>
  <c r="A2041" i="3" s="1"/>
  <c r="B2041" i="3" a="1"/>
  <c r="B2041" i="3" s="1"/>
  <c r="D1490" i="3"/>
  <c r="D2041" i="3" a="1"/>
  <c r="D1489" i="3" a="1"/>
  <c r="D2041" i="3" l="1"/>
  <c r="C2044" i="3"/>
  <c r="M2043" i="3"/>
  <c r="L2043" i="3"/>
  <c r="F2043" i="3"/>
  <c r="H2042" i="3" a="1"/>
  <c r="H2042" i="3" s="1"/>
  <c r="I2042" i="3" a="1"/>
  <c r="I2042" i="3" s="1"/>
  <c r="K2042" i="3" a="1"/>
  <c r="K2042" i="3" s="1"/>
  <c r="B2042" i="3" a="1"/>
  <c r="B2042" i="3" s="1"/>
  <c r="A2042" i="3" a="1"/>
  <c r="A2042" i="3" s="1"/>
  <c r="D1489" i="3"/>
  <c r="D2042" i="3" a="1"/>
  <c r="D1488" i="3" a="1"/>
  <c r="D2042" i="3" l="1"/>
  <c r="L2044" i="3"/>
  <c r="F2044" i="3"/>
  <c r="M2044" i="3"/>
  <c r="G2044" i="3" a="1"/>
  <c r="G2044" i="3" s="1"/>
  <c r="C2045" i="3"/>
  <c r="B2043" i="3" a="1"/>
  <c r="B2043" i="3" s="1"/>
  <c r="A2043" i="3" a="1"/>
  <c r="A2043" i="3" s="1"/>
  <c r="G2043" i="3" a="1"/>
  <c r="G2043" i="3" s="1"/>
  <c r="D1488" i="3"/>
  <c r="D1487" i="3" a="1"/>
  <c r="F2045" i="3" l="1"/>
  <c r="G2045" i="3" a="1"/>
  <c r="G2045" i="3" s="1"/>
  <c r="L2045" i="3"/>
  <c r="M2045" i="3"/>
  <c r="C2046" i="3"/>
  <c r="J2045" i="3" a="1"/>
  <c r="J2045" i="3" s="1"/>
  <c r="J2043" i="3" a="1"/>
  <c r="J2043" i="3" s="1"/>
  <c r="I2043" i="3" a="1"/>
  <c r="I2043" i="3" s="1"/>
  <c r="K2043" i="3" a="1"/>
  <c r="K2043" i="3" s="1"/>
  <c r="H2043" i="3" a="1"/>
  <c r="H2043" i="3" s="1"/>
  <c r="J2044" i="3" a="1"/>
  <c r="J2044" i="3" s="1"/>
  <c r="H2044" i="3" a="1"/>
  <c r="H2044" i="3" s="1"/>
  <c r="K2044" i="3" a="1"/>
  <c r="K2044" i="3" s="1"/>
  <c r="I2044" i="3" a="1"/>
  <c r="I2044" i="3" s="1"/>
  <c r="B2044" i="3" a="1"/>
  <c r="B2044" i="3" s="1"/>
  <c r="A2044" i="3" a="1"/>
  <c r="A2044" i="3" s="1"/>
  <c r="D1487" i="3"/>
  <c r="D2043" i="3" a="1"/>
  <c r="D2044" i="3" a="1"/>
  <c r="D1486" i="3" a="1"/>
  <c r="D2044" i="3" l="1"/>
  <c r="D2043" i="3"/>
  <c r="H2045" i="3" a="1"/>
  <c r="H2045" i="3" s="1"/>
  <c r="K2045" i="3" a="1"/>
  <c r="K2045" i="3" s="1"/>
  <c r="I2045" i="3" a="1"/>
  <c r="I2045" i="3" s="1"/>
  <c r="L2046" i="3"/>
  <c r="F2046" i="3"/>
  <c r="M2046" i="3"/>
  <c r="C2047" i="3"/>
  <c r="G2046" i="3" a="1"/>
  <c r="G2046" i="3" s="1"/>
  <c r="B2045" i="3" a="1"/>
  <c r="B2045" i="3" s="1"/>
  <c r="A2045" i="3" a="1"/>
  <c r="A2045" i="3" s="1"/>
  <c r="D1486" i="3"/>
  <c r="D2045" i="3" a="1"/>
  <c r="D1485" i="3" a="1"/>
  <c r="D2045" i="3" l="1"/>
  <c r="H2046" i="3" a="1"/>
  <c r="H2046" i="3" s="1"/>
  <c r="I2046" i="3" a="1"/>
  <c r="I2046" i="3" s="1"/>
  <c r="K2046" i="3" a="1"/>
  <c r="K2046" i="3" s="1"/>
  <c r="J2046" i="3" a="1"/>
  <c r="J2046" i="3" s="1"/>
  <c r="L2047" i="3"/>
  <c r="F2047" i="3"/>
  <c r="M2047" i="3"/>
  <c r="G2047" i="3" a="1"/>
  <c r="G2047" i="3" s="1"/>
  <c r="C2048" i="3"/>
  <c r="B2046" i="3" a="1"/>
  <c r="B2046" i="3" s="1"/>
  <c r="A2046" i="3" a="1"/>
  <c r="A2046" i="3" s="1"/>
  <c r="D1485" i="3"/>
  <c r="D2046" i="3" a="1"/>
  <c r="D1484" i="3" a="1"/>
  <c r="D2046" i="3" l="1"/>
  <c r="C2049" i="3"/>
  <c r="F2048" i="3"/>
  <c r="G2048" i="3" a="1"/>
  <c r="G2048" i="3" s="1"/>
  <c r="L2048" i="3"/>
  <c r="M2048" i="3"/>
  <c r="J2047" i="3" a="1"/>
  <c r="J2047" i="3" s="1"/>
  <c r="I2047" i="3" a="1"/>
  <c r="I2047" i="3" s="1"/>
  <c r="K2047" i="3" a="1"/>
  <c r="K2047" i="3" s="1"/>
  <c r="H2047" i="3" a="1"/>
  <c r="H2047" i="3" s="1"/>
  <c r="A2047" i="3" a="1"/>
  <c r="A2047" i="3" s="1"/>
  <c r="B2047" i="3" a="1"/>
  <c r="B2047" i="3" s="1"/>
  <c r="D1484" i="3"/>
  <c r="D2047" i="3" a="1"/>
  <c r="D1483" i="3" a="1"/>
  <c r="D2047" i="3" l="1"/>
  <c r="J2048" i="3" a="1"/>
  <c r="J2048" i="3" s="1"/>
  <c r="H2048" i="3" a="1"/>
  <c r="H2048" i="3" s="1"/>
  <c r="I2048" i="3" a="1"/>
  <c r="I2048" i="3" s="1"/>
  <c r="K2048" i="3" a="1"/>
  <c r="K2048" i="3" s="1"/>
  <c r="A2048" i="3" a="1"/>
  <c r="A2048" i="3" s="1"/>
  <c r="B2048" i="3" a="1"/>
  <c r="B2048" i="3" s="1"/>
  <c r="M2049" i="3"/>
  <c r="C2050" i="3"/>
  <c r="L2049" i="3"/>
  <c r="F2049" i="3"/>
  <c r="G2049" i="3" a="1"/>
  <c r="G2049" i="3" s="1"/>
  <c r="D1483" i="3"/>
  <c r="D2048" i="3" a="1"/>
  <c r="D1482" i="3" a="1"/>
  <c r="D2048" i="3" l="1"/>
  <c r="B2049" i="3" a="1"/>
  <c r="B2049" i="3" s="1"/>
  <c r="A2049" i="3" a="1"/>
  <c r="A2049" i="3" s="1"/>
  <c r="J2049" i="3" a="1"/>
  <c r="J2049" i="3" s="1"/>
  <c r="H2049" i="3" a="1"/>
  <c r="H2049" i="3" s="1"/>
  <c r="I2049" i="3" a="1"/>
  <c r="I2049" i="3" s="1"/>
  <c r="K2049" i="3" a="1"/>
  <c r="K2049" i="3" s="1"/>
  <c r="M2050" i="3"/>
  <c r="C2051" i="3"/>
  <c r="L2050" i="3"/>
  <c r="F2050" i="3"/>
  <c r="G2050" i="3" s="1" a="1"/>
  <c r="G2050" i="3" s="1"/>
  <c r="D1482" i="3"/>
  <c r="D2049" i="3" a="1"/>
  <c r="D1481" i="3" a="1"/>
  <c r="D2049" i="3" l="1"/>
  <c r="J2050" i="3" a="1"/>
  <c r="J2050" i="3" s="1"/>
  <c r="I2050" i="3" a="1"/>
  <c r="I2050" i="3" s="1"/>
  <c r="H2050" i="3" a="1"/>
  <c r="H2050" i="3" s="1"/>
  <c r="K2050" i="3" a="1"/>
  <c r="K2050" i="3" s="1"/>
  <c r="A2050" i="3" a="1"/>
  <c r="A2050" i="3" s="1"/>
  <c r="B2050" i="3" a="1"/>
  <c r="B2050" i="3" s="1"/>
  <c r="C2052" i="3"/>
  <c r="L2051" i="3"/>
  <c r="M2051" i="3"/>
  <c r="F2051" i="3"/>
  <c r="D1481" i="3"/>
  <c r="D2050" i="3" a="1"/>
  <c r="D1480" i="3" a="1"/>
  <c r="D2050" i="3" l="1"/>
  <c r="A2051" i="3" a="1"/>
  <c r="A2051" i="3" s="1"/>
  <c r="B2051" i="3" a="1"/>
  <c r="B2051" i="3" s="1"/>
  <c r="G2051" i="3" a="1"/>
  <c r="G2051" i="3" s="1"/>
  <c r="M2052" i="3"/>
  <c r="C2053" i="3"/>
  <c r="F2052" i="3"/>
  <c r="L2052" i="3"/>
  <c r="D1480" i="3"/>
  <c r="D1479" i="3" a="1"/>
  <c r="H2051" i="3" l="1" a="1"/>
  <c r="H2051" i="3" s="1"/>
  <c r="K2051" i="3" a="1"/>
  <c r="K2051" i="3" s="1"/>
  <c r="I2051" i="3" a="1"/>
  <c r="I2051" i="3" s="1"/>
  <c r="J2051" i="3" a="1"/>
  <c r="J2051" i="3" s="1"/>
  <c r="B2052" i="3" a="1"/>
  <c r="B2052" i="3" s="1"/>
  <c r="A2052" i="3" a="1"/>
  <c r="A2052" i="3" s="1"/>
  <c r="M2053" i="3"/>
  <c r="L2053" i="3"/>
  <c r="F2053" i="3"/>
  <c r="C2054" i="3"/>
  <c r="G2053" i="3" a="1"/>
  <c r="G2053" i="3" s="1"/>
  <c r="G2052" i="3" a="1"/>
  <c r="G2052" i="3" s="1"/>
  <c r="D1479" i="3"/>
  <c r="D2051" i="3" a="1"/>
  <c r="D1478" i="3" a="1"/>
  <c r="D2051" i="3" l="1"/>
  <c r="J2052" i="3" a="1"/>
  <c r="J2052" i="3" s="1"/>
  <c r="K2052" i="3" a="1"/>
  <c r="K2052" i="3" s="1"/>
  <c r="I2052" i="3" a="1"/>
  <c r="I2052" i="3" s="1"/>
  <c r="H2052" i="3" a="1"/>
  <c r="H2052" i="3" s="1"/>
  <c r="J2053" i="3" a="1"/>
  <c r="J2053" i="3" s="1"/>
  <c r="K2053" i="3" a="1"/>
  <c r="K2053" i="3" s="1"/>
  <c r="H2053" i="3" a="1"/>
  <c r="H2053" i="3" s="1"/>
  <c r="I2053" i="3" a="1"/>
  <c r="I2053" i="3" s="1"/>
  <c r="C2055" i="3"/>
  <c r="M2054" i="3"/>
  <c r="F2054" i="3"/>
  <c r="L2054" i="3"/>
  <c r="B2053" i="3" a="1"/>
  <c r="B2053" i="3" s="1"/>
  <c r="A2053" i="3" a="1"/>
  <c r="A2053" i="3" s="1"/>
  <c r="D1478" i="3"/>
  <c r="D2053" i="3" a="1"/>
  <c r="D2052" i="3" a="1"/>
  <c r="D1477" i="3" a="1"/>
  <c r="D2052" i="3" l="1"/>
  <c r="D2053" i="3"/>
  <c r="A2054" i="3" a="1"/>
  <c r="A2054" i="3" s="1"/>
  <c r="B2054" i="3" a="1"/>
  <c r="B2054" i="3" s="1"/>
  <c r="M2055" i="3"/>
  <c r="F2055" i="3"/>
  <c r="G2055" i="3" a="1"/>
  <c r="G2055" i="3" s="1"/>
  <c r="C2056" i="3"/>
  <c r="L2055" i="3"/>
  <c r="G2054" i="3" a="1"/>
  <c r="G2054" i="3" s="1"/>
  <c r="D1477" i="3"/>
  <c r="D1476" i="3" a="1"/>
  <c r="K2054" i="3" l="1" a="1"/>
  <c r="K2054" i="3" s="1"/>
  <c r="I2054" i="3" a="1"/>
  <c r="I2054" i="3" s="1"/>
  <c r="H2054" i="3" a="1"/>
  <c r="H2054" i="3" s="1"/>
  <c r="J2054" i="3" a="1"/>
  <c r="J2054" i="3" s="1"/>
  <c r="J2055" i="3" a="1"/>
  <c r="J2055" i="3" s="1"/>
  <c r="H2055" i="3" a="1"/>
  <c r="H2055" i="3" s="1"/>
  <c r="I2055" i="3" a="1"/>
  <c r="I2055" i="3" s="1"/>
  <c r="K2055" i="3" a="1"/>
  <c r="K2055" i="3" s="1"/>
  <c r="G2056" i="3" a="1"/>
  <c r="G2056" i="3" s="1"/>
  <c r="L2056" i="3"/>
  <c r="F2056" i="3"/>
  <c r="M2056" i="3"/>
  <c r="C2057" i="3"/>
  <c r="B2055" i="3" a="1"/>
  <c r="B2055" i="3" s="1"/>
  <c r="A2055" i="3" a="1"/>
  <c r="A2055" i="3" s="1"/>
  <c r="D1476" i="3"/>
  <c r="D2055" i="3" a="1"/>
  <c r="D2054" i="3" a="1"/>
  <c r="D1475" i="3" a="1"/>
  <c r="D2054" i="3" l="1"/>
  <c r="D2055" i="3"/>
  <c r="B2056" i="3" a="1"/>
  <c r="B2056" i="3" s="1"/>
  <c r="A2056" i="3" a="1"/>
  <c r="A2056" i="3" s="1"/>
  <c r="I2056" i="3" a="1"/>
  <c r="I2056" i="3" s="1"/>
  <c r="K2056" i="3" a="1"/>
  <c r="K2056" i="3" s="1"/>
  <c r="H2056" i="3" a="1"/>
  <c r="H2056" i="3" s="1"/>
  <c r="J2056" i="3" a="1"/>
  <c r="J2056" i="3" s="1"/>
  <c r="C2058" i="3"/>
  <c r="L2057" i="3"/>
  <c r="M2057" i="3"/>
  <c r="F2057" i="3"/>
  <c r="D1475" i="3"/>
  <c r="D2056" i="3" a="1"/>
  <c r="D1474" i="3" a="1"/>
  <c r="D2056" i="3" l="1"/>
  <c r="A2057" i="3" a="1"/>
  <c r="A2057" i="3" s="1"/>
  <c r="B2057" i="3" a="1"/>
  <c r="B2057" i="3" s="1"/>
  <c r="M2058" i="3"/>
  <c r="F2058" i="3"/>
  <c r="G2058" i="3" a="1"/>
  <c r="G2058" i="3" s="1"/>
  <c r="C2059" i="3"/>
  <c r="J2058" i="3" a="1"/>
  <c r="J2058" i="3" s="1"/>
  <c r="L2058" i="3"/>
  <c r="G2057" i="3" a="1"/>
  <c r="G2057" i="3" s="1"/>
  <c r="D1474" i="3"/>
  <c r="D1473" i="3" a="1"/>
  <c r="F2059" i="3" l="1"/>
  <c r="M2059" i="3"/>
  <c r="C2060" i="3"/>
  <c r="L2059" i="3"/>
  <c r="G2059" i="3" a="1"/>
  <c r="G2059" i="3" s="1"/>
  <c r="J2059" i="3" a="1"/>
  <c r="J2059" i="3" s="1"/>
  <c r="A2058" i="3" a="1"/>
  <c r="A2058" i="3" s="1"/>
  <c r="B2058" i="3" a="1"/>
  <c r="B2058" i="3" s="1"/>
  <c r="I2057" i="3" a="1"/>
  <c r="I2057" i="3" s="1"/>
  <c r="H2057" i="3" a="1"/>
  <c r="H2057" i="3" s="1"/>
  <c r="K2057" i="3" a="1"/>
  <c r="K2057" i="3" s="1"/>
  <c r="J2057" i="3" a="1"/>
  <c r="J2057" i="3" s="1"/>
  <c r="H2058" i="3" a="1"/>
  <c r="H2058" i="3" s="1"/>
  <c r="K2058" i="3" a="1"/>
  <c r="K2058" i="3" s="1"/>
  <c r="I2058" i="3" a="1"/>
  <c r="I2058" i="3" s="1"/>
  <c r="D1473" i="3"/>
  <c r="D2058" i="3" a="1"/>
  <c r="D2057" i="3" a="1"/>
  <c r="D1472" i="3" a="1"/>
  <c r="D2057" i="3" l="1"/>
  <c r="D2058" i="3"/>
  <c r="L2060" i="3"/>
  <c r="F2060" i="3"/>
  <c r="M2060" i="3"/>
  <c r="G2060" i="3" a="1"/>
  <c r="G2060" i="3" s="1"/>
  <c r="C2061" i="3"/>
  <c r="H2059" i="3" a="1"/>
  <c r="H2059" i="3" s="1"/>
  <c r="K2059" i="3" a="1"/>
  <c r="K2059" i="3" s="1"/>
  <c r="I2059" i="3" a="1"/>
  <c r="I2059" i="3" s="1"/>
  <c r="B2059" i="3" a="1"/>
  <c r="B2059" i="3" s="1"/>
  <c r="A2059" i="3" a="1"/>
  <c r="A2059" i="3" s="1"/>
  <c r="D1472" i="3"/>
  <c r="D2059" i="3" a="1"/>
  <c r="D1471" i="3" a="1"/>
  <c r="D2059" i="3" l="1"/>
  <c r="F2061" i="3"/>
  <c r="M2061" i="3"/>
  <c r="L2061" i="3"/>
  <c r="C2062" i="3"/>
  <c r="G2061" i="3" a="1"/>
  <c r="G2061" i="3" s="1"/>
  <c r="J2060" i="3" a="1"/>
  <c r="J2060" i="3" s="1"/>
  <c r="K2060" i="3" a="1"/>
  <c r="K2060" i="3" s="1"/>
  <c r="I2060" i="3" a="1"/>
  <c r="I2060" i="3" s="1"/>
  <c r="H2060" i="3" a="1"/>
  <c r="H2060" i="3" s="1"/>
  <c r="A2060" i="3" a="1"/>
  <c r="A2060" i="3" s="1"/>
  <c r="B2060" i="3" a="1"/>
  <c r="B2060" i="3" s="1"/>
  <c r="D1471" i="3"/>
  <c r="D2060" i="3" a="1"/>
  <c r="D1470" i="3" a="1"/>
  <c r="D2060" i="3" l="1"/>
  <c r="L2062" i="3"/>
  <c r="F2062" i="3"/>
  <c r="M2062" i="3"/>
  <c r="C2063" i="3"/>
  <c r="K2061" i="3" a="1"/>
  <c r="K2061" i="3" s="1"/>
  <c r="H2061" i="3" a="1"/>
  <c r="H2061" i="3" s="1"/>
  <c r="I2061" i="3" a="1"/>
  <c r="I2061" i="3" s="1"/>
  <c r="A2061" i="3" a="1"/>
  <c r="A2061" i="3" s="1"/>
  <c r="B2061" i="3" a="1"/>
  <c r="B2061" i="3" s="1"/>
  <c r="J2061" i="3" a="1"/>
  <c r="J2061" i="3" s="1"/>
  <c r="D1470" i="3"/>
  <c r="D2061" i="3" a="1"/>
  <c r="D1469" i="3" a="1"/>
  <c r="D2061" i="3" l="1"/>
  <c r="A2062" i="3" a="1"/>
  <c r="A2062" i="3" s="1"/>
  <c r="B2062" i="3" a="1"/>
  <c r="B2062" i="3" s="1"/>
  <c r="C2064" i="3"/>
  <c r="F2063" i="3"/>
  <c r="M2063" i="3"/>
  <c r="L2063" i="3"/>
  <c r="G2063" i="3" a="1"/>
  <c r="G2063" i="3" s="1"/>
  <c r="G2062" i="3" a="1"/>
  <c r="G2062" i="3" s="1"/>
  <c r="D1469" i="3"/>
  <c r="D1468" i="3" a="1"/>
  <c r="K2063" i="3" l="1" a="1"/>
  <c r="K2063" i="3" s="1"/>
  <c r="H2063" i="3" a="1"/>
  <c r="H2063" i="3" s="1"/>
  <c r="I2063" i="3" a="1"/>
  <c r="I2063" i="3" s="1"/>
  <c r="J2063" i="3" a="1"/>
  <c r="J2063" i="3" s="1"/>
  <c r="A2063" i="3" a="1"/>
  <c r="A2063" i="3" s="1"/>
  <c r="B2063" i="3" a="1"/>
  <c r="B2063" i="3" s="1"/>
  <c r="C2065" i="3"/>
  <c r="L2064" i="3"/>
  <c r="F2064" i="3"/>
  <c r="M2064" i="3"/>
  <c r="G2064" i="3" a="1"/>
  <c r="G2064" i="3" s="1"/>
  <c r="J2064" i="3" s="1" a="1"/>
  <c r="J2064" i="3" s="1"/>
  <c r="I2062" i="3" a="1"/>
  <c r="I2062" i="3" s="1"/>
  <c r="K2062" i="3" a="1"/>
  <c r="K2062" i="3" s="1"/>
  <c r="H2062" i="3" a="1"/>
  <c r="H2062" i="3" s="1"/>
  <c r="J2062" i="3" a="1"/>
  <c r="J2062" i="3" s="1"/>
  <c r="D1468" i="3"/>
  <c r="D2062" i="3" a="1"/>
  <c r="D2063" i="3" a="1"/>
  <c r="D1467" i="3" a="1"/>
  <c r="D2063" i="3" l="1"/>
  <c r="D2062" i="3"/>
  <c r="B2064" i="3" a="1"/>
  <c r="B2064" i="3" s="1"/>
  <c r="A2064" i="3" a="1"/>
  <c r="A2064" i="3" s="1"/>
  <c r="F2065" i="3"/>
  <c r="G2065" i="3" a="1"/>
  <c r="G2065" i="3" s="1"/>
  <c r="C2066" i="3"/>
  <c r="L2065" i="3"/>
  <c r="M2065" i="3"/>
  <c r="J2065" i="3" a="1"/>
  <c r="J2065" i="3" s="1"/>
  <c r="I2064" i="3" a="1"/>
  <c r="I2064" i="3" s="1"/>
  <c r="K2064" i="3" a="1"/>
  <c r="K2064" i="3" s="1"/>
  <c r="H2064" i="3" a="1"/>
  <c r="H2064" i="3" s="1"/>
  <c r="D1467" i="3"/>
  <c r="D2064" i="3" a="1"/>
  <c r="D1466" i="3" a="1"/>
  <c r="D2064" i="3" l="1"/>
  <c r="F2066" i="3"/>
  <c r="M2066" i="3"/>
  <c r="G2066" i="3" a="1"/>
  <c r="G2066" i="3" s="1"/>
  <c r="C2067" i="3"/>
  <c r="L2066" i="3"/>
  <c r="K2065" i="3" a="1"/>
  <c r="K2065" i="3" s="1"/>
  <c r="I2065" i="3" a="1"/>
  <c r="I2065" i="3" s="1"/>
  <c r="H2065" i="3" a="1"/>
  <c r="H2065" i="3" s="1"/>
  <c r="A2065" i="3" a="1"/>
  <c r="A2065" i="3" s="1"/>
  <c r="B2065" i="3" a="1"/>
  <c r="B2065" i="3" s="1"/>
  <c r="D1466" i="3"/>
  <c r="D2065" i="3" a="1"/>
  <c r="D1465" i="3" a="1"/>
  <c r="D2065" i="3" l="1"/>
  <c r="K2066" i="3" a="1"/>
  <c r="K2066" i="3" s="1"/>
  <c r="H2066" i="3" a="1"/>
  <c r="H2066" i="3" s="1"/>
  <c r="I2066" i="3" a="1"/>
  <c r="I2066" i="3" s="1"/>
  <c r="B2066" i="3" a="1"/>
  <c r="B2066" i="3" s="1"/>
  <c r="A2066" i="3" a="1"/>
  <c r="A2066" i="3" s="1"/>
  <c r="C2068" i="3"/>
  <c r="L2067" i="3"/>
  <c r="F2067" i="3"/>
  <c r="M2067" i="3"/>
  <c r="G2067" i="3" a="1"/>
  <c r="G2067" i="3" s="1"/>
  <c r="J2067" i="3" s="1" a="1"/>
  <c r="J2067" i="3" s="1"/>
  <c r="J2066" i="3" a="1"/>
  <c r="J2066" i="3" s="1"/>
  <c r="D1465" i="3"/>
  <c r="D2066" i="3" a="1"/>
  <c r="D1464" i="3" a="1"/>
  <c r="D2066" i="3" l="1"/>
  <c r="H2067" i="3" a="1"/>
  <c r="H2067" i="3" s="1"/>
  <c r="I2067" i="3" a="1"/>
  <c r="I2067" i="3" s="1"/>
  <c r="K2067" i="3" a="1"/>
  <c r="K2067" i="3" s="1"/>
  <c r="B2067" i="3" a="1"/>
  <c r="B2067" i="3" s="1"/>
  <c r="A2067" i="3" a="1"/>
  <c r="A2067" i="3" s="1"/>
  <c r="L2068" i="3"/>
  <c r="F2068" i="3"/>
  <c r="M2068" i="3"/>
  <c r="G2068" i="3" a="1"/>
  <c r="G2068" i="3" s="1"/>
  <c r="C2069" i="3"/>
  <c r="D1464" i="3"/>
  <c r="D2067" i="3" a="1"/>
  <c r="D1463" i="3" a="1"/>
  <c r="D2067" i="3" l="1"/>
  <c r="F2069" i="3"/>
  <c r="M2069" i="3"/>
  <c r="G2069" i="3" a="1"/>
  <c r="G2069" i="3" s="1"/>
  <c r="C2070" i="3"/>
  <c r="L2069" i="3"/>
  <c r="J2068" i="3" a="1"/>
  <c r="J2068" i="3" s="1"/>
  <c r="K2068" i="3" a="1"/>
  <c r="K2068" i="3" s="1"/>
  <c r="I2068" i="3" a="1"/>
  <c r="I2068" i="3" s="1"/>
  <c r="H2068" i="3" a="1"/>
  <c r="H2068" i="3" s="1"/>
  <c r="A2068" i="3" a="1"/>
  <c r="A2068" i="3" s="1"/>
  <c r="B2068" i="3" a="1"/>
  <c r="B2068" i="3" s="1"/>
  <c r="D1463" i="3"/>
  <c r="D2068" i="3" a="1"/>
  <c r="D1462" i="3" a="1"/>
  <c r="D2068" i="3" l="1"/>
  <c r="C2071" i="3"/>
  <c r="L2070" i="3"/>
  <c r="F2070" i="3"/>
  <c r="M2070" i="3"/>
  <c r="G2070" i="3" a="1"/>
  <c r="G2070" i="3" s="1"/>
  <c r="I2069" i="3" a="1"/>
  <c r="I2069" i="3" s="1"/>
  <c r="H2069" i="3" a="1"/>
  <c r="H2069" i="3" s="1"/>
  <c r="K2069" i="3" a="1"/>
  <c r="K2069" i="3" s="1"/>
  <c r="A2069" i="3" a="1"/>
  <c r="A2069" i="3" s="1"/>
  <c r="B2069" i="3" a="1"/>
  <c r="B2069" i="3" s="1"/>
  <c r="J2069" i="3" a="1"/>
  <c r="J2069" i="3" s="1"/>
  <c r="D1462" i="3"/>
  <c r="D2069" i="3" a="1"/>
  <c r="D1461" i="3" a="1"/>
  <c r="D2069" i="3" l="1"/>
  <c r="J2070" i="3" a="1"/>
  <c r="J2070" i="3" s="1"/>
  <c r="H2070" i="3" a="1"/>
  <c r="H2070" i="3" s="1"/>
  <c r="I2070" i="3" a="1"/>
  <c r="I2070" i="3" s="1"/>
  <c r="K2070" i="3" a="1"/>
  <c r="K2070" i="3" s="1"/>
  <c r="B2070" i="3" a="1"/>
  <c r="B2070" i="3" s="1"/>
  <c r="A2070" i="3" a="1"/>
  <c r="A2070" i="3" s="1"/>
  <c r="F2071" i="3"/>
  <c r="G2071" i="3" a="1"/>
  <c r="G2071" i="3" s="1"/>
  <c r="C2072" i="3"/>
  <c r="L2071" i="3"/>
  <c r="M2071" i="3"/>
  <c r="D1461" i="3"/>
  <c r="D2070" i="3" a="1"/>
  <c r="D1460" i="3" a="1"/>
  <c r="D2070" i="3" l="1"/>
  <c r="K2071" i="3" a="1"/>
  <c r="K2071" i="3" s="1"/>
  <c r="H2071" i="3" a="1"/>
  <c r="H2071" i="3" s="1"/>
  <c r="I2071" i="3" a="1"/>
  <c r="I2071" i="3" s="1"/>
  <c r="A2071" i="3" a="1"/>
  <c r="A2071" i="3" s="1"/>
  <c r="B2071" i="3" a="1"/>
  <c r="B2071" i="3" s="1"/>
  <c r="L2072" i="3"/>
  <c r="F2072" i="3"/>
  <c r="G2072" i="3" a="1"/>
  <c r="G2072" i="3" s="1"/>
  <c r="C2073" i="3"/>
  <c r="M2072" i="3"/>
  <c r="J2072" i="3" a="1"/>
  <c r="J2072" i="3" s="1"/>
  <c r="J2071" i="3" a="1"/>
  <c r="J2071" i="3" s="1"/>
  <c r="D1460" i="3"/>
  <c r="D2071" i="3" a="1"/>
  <c r="D1459" i="3" a="1"/>
  <c r="D2071" i="3" l="1"/>
  <c r="C2074" i="3"/>
  <c r="F2073" i="3"/>
  <c r="G2073" i="3" a="1"/>
  <c r="G2073" i="3" s="1"/>
  <c r="L2073" i="3"/>
  <c r="M2073" i="3"/>
  <c r="J2073" i="3" a="1"/>
  <c r="J2073" i="3" s="1"/>
  <c r="H2072" i="3" a="1"/>
  <c r="H2072" i="3" s="1"/>
  <c r="I2072" i="3" a="1"/>
  <c r="I2072" i="3" s="1"/>
  <c r="K2072" i="3" a="1"/>
  <c r="K2072" i="3" s="1"/>
  <c r="B2072" i="3" a="1"/>
  <c r="B2072" i="3" s="1"/>
  <c r="A2072" i="3" a="1"/>
  <c r="A2072" i="3" s="1"/>
  <c r="D1459" i="3"/>
  <c r="D2072" i="3" a="1"/>
  <c r="D1458" i="3" a="1"/>
  <c r="D2072" i="3" l="1"/>
  <c r="I2073" i="3" a="1"/>
  <c r="I2073" i="3" s="1"/>
  <c r="K2073" i="3" a="1"/>
  <c r="K2073" i="3" s="1"/>
  <c r="H2073" i="3" a="1"/>
  <c r="H2073" i="3" s="1"/>
  <c r="A2073" i="3" a="1"/>
  <c r="A2073" i="3" s="1"/>
  <c r="B2073" i="3" a="1"/>
  <c r="B2073" i="3" s="1"/>
  <c r="F2074" i="3"/>
  <c r="M2074" i="3"/>
  <c r="C2075" i="3"/>
  <c r="L2074" i="3"/>
  <c r="G2074" i="3" a="1"/>
  <c r="G2074" i="3" s="1"/>
  <c r="D1458" i="3"/>
  <c r="D2073" i="3" a="1"/>
  <c r="D1457" i="3" a="1"/>
  <c r="D2073" i="3" l="1"/>
  <c r="H2074" i="3" a="1"/>
  <c r="H2074" i="3" s="1"/>
  <c r="I2074" i="3" a="1"/>
  <c r="I2074" i="3" s="1"/>
  <c r="K2074" i="3" a="1"/>
  <c r="K2074" i="3" s="1"/>
  <c r="B2074" i="3" a="1"/>
  <c r="B2074" i="3" s="1"/>
  <c r="A2074" i="3" a="1"/>
  <c r="A2074" i="3" s="1"/>
  <c r="J2074" i="3" a="1"/>
  <c r="J2074" i="3" s="1"/>
  <c r="M2075" i="3"/>
  <c r="G2075" i="3" a="1"/>
  <c r="G2075" i="3" s="1"/>
  <c r="L2075" i="3"/>
  <c r="F2075" i="3"/>
  <c r="C2076" i="3"/>
  <c r="D1457" i="3"/>
  <c r="D2074" i="3" a="1"/>
  <c r="D1456" i="3" a="1"/>
  <c r="D2074" i="3" l="1"/>
  <c r="H2075" i="3" a="1"/>
  <c r="H2075" i="3" s="1"/>
  <c r="I2075" i="3" a="1"/>
  <c r="I2075" i="3" s="1"/>
  <c r="K2075" i="3" a="1"/>
  <c r="K2075" i="3" s="1"/>
  <c r="L2076" i="3"/>
  <c r="C2077" i="3"/>
  <c r="F2076" i="3"/>
  <c r="M2076" i="3"/>
  <c r="A2075" i="3" a="1"/>
  <c r="A2075" i="3" s="1"/>
  <c r="B2075" i="3" a="1"/>
  <c r="B2075" i="3" s="1"/>
  <c r="J2075" i="3" a="1"/>
  <c r="J2075" i="3" s="1"/>
  <c r="D1456" i="3"/>
  <c r="D2075" i="3" a="1"/>
  <c r="D1455" i="3" a="1"/>
  <c r="D2075" i="3" l="1"/>
  <c r="L2077" i="3"/>
  <c r="F2077" i="3"/>
  <c r="C2078" i="3"/>
  <c r="M2077" i="3"/>
  <c r="G2077" i="3" a="1"/>
  <c r="G2077" i="3" s="1"/>
  <c r="A2076" i="3" a="1"/>
  <c r="A2076" i="3" s="1"/>
  <c r="B2076" i="3" a="1"/>
  <c r="B2076" i="3" s="1"/>
  <c r="G2076" i="3" a="1"/>
  <c r="G2076" i="3" s="1"/>
  <c r="D1455" i="3"/>
  <c r="D1454" i="3" a="1"/>
  <c r="J2076" i="3" l="1" a="1"/>
  <c r="J2076" i="3" s="1"/>
  <c r="H2076" i="3" a="1"/>
  <c r="H2076" i="3" s="1"/>
  <c r="K2076" i="3" a="1"/>
  <c r="K2076" i="3" s="1"/>
  <c r="I2076" i="3" a="1"/>
  <c r="I2076" i="3" s="1"/>
  <c r="J2077" i="3" a="1"/>
  <c r="J2077" i="3" s="1"/>
  <c r="K2077" i="3" a="1"/>
  <c r="K2077" i="3" s="1"/>
  <c r="H2077" i="3" a="1"/>
  <c r="H2077" i="3" s="1"/>
  <c r="I2077" i="3" a="1"/>
  <c r="I2077" i="3" s="1"/>
  <c r="L2078" i="3"/>
  <c r="F2078" i="3"/>
  <c r="M2078" i="3"/>
  <c r="G2078" i="3" a="1"/>
  <c r="G2078" i="3" s="1"/>
  <c r="C2079" i="3"/>
  <c r="B2077" i="3" a="1"/>
  <c r="B2077" i="3" s="1"/>
  <c r="A2077" i="3" a="1"/>
  <c r="A2077" i="3" s="1"/>
  <c r="D1454" i="3"/>
  <c r="D2077" i="3" a="1"/>
  <c r="D2076" i="3" a="1"/>
  <c r="D1452" i="3" a="1"/>
  <c r="D2076" i="3" l="1"/>
  <c r="D2077" i="3"/>
  <c r="K2078" i="3" a="1"/>
  <c r="K2078" i="3" s="1"/>
  <c r="H2078" i="3" a="1"/>
  <c r="H2078" i="3" s="1"/>
  <c r="I2078" i="3" a="1"/>
  <c r="I2078" i="3" s="1"/>
  <c r="A2078" i="3" a="1"/>
  <c r="A2078" i="3" s="1"/>
  <c r="B2078" i="3" a="1"/>
  <c r="B2078" i="3" s="1"/>
  <c r="J2078" i="3" a="1"/>
  <c r="J2078" i="3" s="1"/>
  <c r="F2079" i="3"/>
  <c r="M2079" i="3"/>
  <c r="G2079" i="3" a="1"/>
  <c r="G2079" i="3" s="1"/>
  <c r="L2079" i="3"/>
  <c r="C2080" i="3"/>
  <c r="D1452" i="3"/>
  <c r="D2078" i="3" a="1"/>
  <c r="D1453" i="3" a="1"/>
  <c r="D2078" i="3" l="1"/>
  <c r="H2079" i="3" a="1"/>
  <c r="H2079" i="3" s="1"/>
  <c r="K2079" i="3" a="1"/>
  <c r="K2079" i="3" s="1"/>
  <c r="I2079" i="3" a="1"/>
  <c r="I2079" i="3" s="1"/>
  <c r="A2079" i="3" a="1"/>
  <c r="A2079" i="3" s="1"/>
  <c r="B2079" i="3" a="1"/>
  <c r="B2079" i="3" s="1"/>
  <c r="J2079" i="3" a="1"/>
  <c r="J2079" i="3" s="1"/>
  <c r="L2080" i="3"/>
  <c r="F2080" i="3"/>
  <c r="G2080" i="3" a="1"/>
  <c r="G2080" i="3" s="1"/>
  <c r="C2081" i="3"/>
  <c r="M2080" i="3"/>
  <c r="D1453" i="3"/>
  <c r="D2079" i="3" a="1"/>
  <c r="D1451" i="3" a="1"/>
  <c r="D2079" i="3" l="1"/>
  <c r="L2081" i="3"/>
  <c r="M2081" i="3"/>
  <c r="F2081" i="3"/>
  <c r="G2081" i="3" s="1" a="1"/>
  <c r="G2081" i="3" s="1"/>
  <c r="C2082" i="3"/>
  <c r="H2080" i="3" a="1"/>
  <c r="H2080" i="3" s="1"/>
  <c r="I2080" i="3" a="1"/>
  <c r="I2080" i="3" s="1"/>
  <c r="K2080" i="3" a="1"/>
  <c r="K2080" i="3" s="1"/>
  <c r="A2080" i="3" a="1"/>
  <c r="A2080" i="3" s="1"/>
  <c r="B2080" i="3" a="1"/>
  <c r="B2080" i="3" s="1"/>
  <c r="J2080" i="3" a="1"/>
  <c r="J2080" i="3" s="1"/>
  <c r="D1451" i="3"/>
  <c r="D2080" i="3" a="1"/>
  <c r="D1450" i="3" a="1"/>
  <c r="D2080" i="3" l="1"/>
  <c r="I2081" i="3" a="1"/>
  <c r="I2081" i="3" s="1"/>
  <c r="K2081" i="3" a="1"/>
  <c r="K2081" i="3" s="1"/>
  <c r="H2081" i="3" a="1"/>
  <c r="H2081" i="3" s="1"/>
  <c r="J2081" i="3" a="1"/>
  <c r="J2081" i="3" s="1"/>
  <c r="G2082" i="3" a="1"/>
  <c r="G2082" i="3" s="1"/>
  <c r="L2082" i="3"/>
  <c r="F2082" i="3"/>
  <c r="C2083" i="3"/>
  <c r="M2082" i="3"/>
  <c r="J2082" i="3" a="1"/>
  <c r="J2082" i="3" s="1"/>
  <c r="B2081" i="3" a="1"/>
  <c r="B2081" i="3" s="1"/>
  <c r="A2081" i="3" a="1"/>
  <c r="A2081" i="3" s="1"/>
  <c r="D1450" i="3"/>
  <c r="D2081" i="3" a="1"/>
  <c r="D1449" i="3" a="1"/>
  <c r="D2081" i="3" l="1"/>
  <c r="L2083" i="3"/>
  <c r="F2083" i="3"/>
  <c r="M2083" i="3"/>
  <c r="C2084" i="3"/>
  <c r="H2082" i="3" a="1"/>
  <c r="H2082" i="3" s="1"/>
  <c r="K2082" i="3" a="1"/>
  <c r="K2082" i="3" s="1"/>
  <c r="I2082" i="3" a="1"/>
  <c r="I2082" i="3" s="1"/>
  <c r="B2082" i="3" a="1"/>
  <c r="B2082" i="3" s="1"/>
  <c r="A2082" i="3" a="1"/>
  <c r="A2082" i="3" s="1"/>
  <c r="D1449" i="3"/>
  <c r="D2082" i="3" a="1"/>
  <c r="D1448" i="3" a="1"/>
  <c r="D2082" i="3" l="1"/>
  <c r="A2083" i="3" a="1"/>
  <c r="A2083" i="3" s="1"/>
  <c r="B2083" i="3" a="1"/>
  <c r="B2083" i="3" s="1"/>
  <c r="L2084" i="3"/>
  <c r="C2085" i="3"/>
  <c r="M2084" i="3"/>
  <c r="G2084" i="3" a="1"/>
  <c r="G2084" i="3" s="1"/>
  <c r="J2084" i="3" s="1" a="1"/>
  <c r="J2084" i="3" s="1"/>
  <c r="F2084" i="3"/>
  <c r="G2083" i="3" a="1"/>
  <c r="G2083" i="3" s="1"/>
  <c r="D1448" i="3"/>
  <c r="D1447" i="3" a="1"/>
  <c r="K2083" i="3" l="1" a="1"/>
  <c r="K2083" i="3" s="1"/>
  <c r="H2083" i="3" a="1"/>
  <c r="H2083" i="3" s="1"/>
  <c r="I2083" i="3" a="1"/>
  <c r="I2083" i="3" s="1"/>
  <c r="J2083" i="3" a="1"/>
  <c r="J2083" i="3" s="1"/>
  <c r="B2084" i="3" a="1"/>
  <c r="B2084" i="3" s="1"/>
  <c r="A2084" i="3" a="1"/>
  <c r="A2084" i="3" s="1"/>
  <c r="K2084" i="3" a="1"/>
  <c r="K2084" i="3" s="1"/>
  <c r="I2084" i="3" a="1"/>
  <c r="I2084" i="3" s="1"/>
  <c r="H2084" i="3" a="1"/>
  <c r="H2084" i="3" s="1"/>
  <c r="G2085" i="3" a="1"/>
  <c r="G2085" i="3" s="1"/>
  <c r="C2086" i="3"/>
  <c r="L2085" i="3"/>
  <c r="F2085" i="3"/>
  <c r="M2085" i="3"/>
  <c r="D1447" i="3"/>
  <c r="D2084" i="3" a="1"/>
  <c r="D2083" i="3" a="1"/>
  <c r="D1446" i="3" a="1"/>
  <c r="D2083" i="3" l="1"/>
  <c r="D2084" i="3"/>
  <c r="H2085" i="3" a="1"/>
  <c r="H2085" i="3" s="1"/>
  <c r="I2085" i="3" a="1"/>
  <c r="I2085" i="3" s="1"/>
  <c r="K2085" i="3" a="1"/>
  <c r="K2085" i="3" s="1"/>
  <c r="J2085" i="3" a="1"/>
  <c r="J2085" i="3" s="1"/>
  <c r="L2086" i="3"/>
  <c r="C2087" i="3"/>
  <c r="F2086" i="3"/>
  <c r="G2086" i="3" s="1" a="1"/>
  <c r="G2086" i="3" s="1"/>
  <c r="M2086" i="3"/>
  <c r="B2085" i="3" a="1"/>
  <c r="B2085" i="3" s="1"/>
  <c r="A2085" i="3" a="1"/>
  <c r="A2085" i="3" s="1"/>
  <c r="D1446" i="3"/>
  <c r="D2085" i="3" a="1"/>
  <c r="D1445" i="3" a="1"/>
  <c r="D2085" i="3" l="1"/>
  <c r="J2086" i="3" a="1"/>
  <c r="J2086" i="3" s="1"/>
  <c r="H2086" i="3" a="1"/>
  <c r="H2086" i="3" s="1"/>
  <c r="I2086" i="3" a="1"/>
  <c r="I2086" i="3" s="1"/>
  <c r="K2086" i="3" a="1"/>
  <c r="K2086" i="3" s="1"/>
  <c r="B2086" i="3" a="1"/>
  <c r="B2086" i="3" s="1"/>
  <c r="A2086" i="3" a="1"/>
  <c r="A2086" i="3" s="1"/>
  <c r="C2088" i="3"/>
  <c r="F2087" i="3"/>
  <c r="L2087" i="3"/>
  <c r="M2087" i="3"/>
  <c r="D1445" i="3"/>
  <c r="D2086" i="3" a="1"/>
  <c r="D1444" i="3" a="1"/>
  <c r="D2086" i="3" l="1"/>
  <c r="B2087" i="3" a="1"/>
  <c r="B2087" i="3" s="1"/>
  <c r="A2087" i="3" a="1"/>
  <c r="A2087" i="3" s="1"/>
  <c r="F2088" i="3"/>
  <c r="L2088" i="3"/>
  <c r="C2089" i="3"/>
  <c r="M2088" i="3"/>
  <c r="G2088" i="3" a="1"/>
  <c r="G2088" i="3" s="1"/>
  <c r="J2088" i="3" s="1" a="1"/>
  <c r="J2088" i="3" s="1"/>
  <c r="G2087" i="3" a="1"/>
  <c r="G2087" i="3" s="1"/>
  <c r="D1444" i="3"/>
  <c r="D1443" i="3" a="1"/>
  <c r="H2087" i="3" l="1" a="1"/>
  <c r="H2087" i="3" s="1"/>
  <c r="K2087" i="3" a="1"/>
  <c r="K2087" i="3" s="1"/>
  <c r="I2087" i="3" a="1"/>
  <c r="I2087" i="3" s="1"/>
  <c r="J2087" i="3" a="1"/>
  <c r="J2087" i="3" s="1"/>
  <c r="B2088" i="3" a="1"/>
  <c r="B2088" i="3" s="1"/>
  <c r="A2088" i="3" a="1"/>
  <c r="A2088" i="3" s="1"/>
  <c r="K2088" i="3" a="1"/>
  <c r="K2088" i="3" s="1"/>
  <c r="I2088" i="3" a="1"/>
  <c r="I2088" i="3" s="1"/>
  <c r="H2088" i="3" a="1"/>
  <c r="H2088" i="3" s="1"/>
  <c r="M2089" i="3"/>
  <c r="G2089" i="3" a="1"/>
  <c r="G2089" i="3" s="1"/>
  <c r="C2090" i="3"/>
  <c r="F2089" i="3"/>
  <c r="L2089" i="3"/>
  <c r="D1443" i="3"/>
  <c r="D2087" i="3" a="1"/>
  <c r="D2088" i="3" a="1"/>
  <c r="D1442" i="3" a="1"/>
  <c r="D2088" i="3" l="1"/>
  <c r="D2087" i="3"/>
  <c r="I2089" i="3" a="1"/>
  <c r="I2089" i="3" s="1"/>
  <c r="K2089" i="3" a="1"/>
  <c r="K2089" i="3" s="1"/>
  <c r="H2089" i="3" a="1"/>
  <c r="H2089" i="3" s="1"/>
  <c r="C2091" i="3"/>
  <c r="F2090" i="3"/>
  <c r="M2090" i="3"/>
  <c r="L2090" i="3"/>
  <c r="G2090" i="3" a="1"/>
  <c r="G2090" i="3" s="1"/>
  <c r="J2089" i="3" a="1"/>
  <c r="J2089" i="3" s="1"/>
  <c r="B2089" i="3" a="1"/>
  <c r="B2089" i="3" s="1"/>
  <c r="A2089" i="3" a="1"/>
  <c r="A2089" i="3" s="1"/>
  <c r="D1442" i="3"/>
  <c r="D2089" i="3" a="1"/>
  <c r="D1441" i="3" a="1"/>
  <c r="D2089" i="3" l="1"/>
  <c r="I2090" i="3" a="1"/>
  <c r="I2090" i="3" s="1"/>
  <c r="H2090" i="3" a="1"/>
  <c r="H2090" i="3" s="1"/>
  <c r="K2090" i="3" a="1"/>
  <c r="K2090" i="3" s="1"/>
  <c r="L2091" i="3"/>
  <c r="F2091" i="3"/>
  <c r="M2091" i="3"/>
  <c r="C2092" i="3"/>
  <c r="J2090" i="3" a="1"/>
  <c r="J2090" i="3" s="1"/>
  <c r="A2090" i="3" a="1"/>
  <c r="A2090" i="3" s="1"/>
  <c r="B2090" i="3" a="1"/>
  <c r="B2090" i="3" s="1"/>
  <c r="D1441" i="3"/>
  <c r="D2090" i="3" a="1"/>
  <c r="D1440" i="3" a="1"/>
  <c r="D2090" i="3" l="1"/>
  <c r="M2092" i="3"/>
  <c r="L2092" i="3"/>
  <c r="C2093" i="3"/>
  <c r="F2092" i="3"/>
  <c r="G2092" i="3" a="1"/>
  <c r="G2092" i="3" s="1"/>
  <c r="J2092" i="3" s="1" a="1"/>
  <c r="J2092" i="3" s="1"/>
  <c r="B2091" i="3" a="1"/>
  <c r="B2091" i="3" s="1"/>
  <c r="A2091" i="3" a="1"/>
  <c r="A2091" i="3" s="1"/>
  <c r="G2091" i="3" a="1"/>
  <c r="G2091" i="3" s="1"/>
  <c r="D1440" i="3"/>
  <c r="D1439" i="3" a="1"/>
  <c r="J2091" i="3" l="1" a="1"/>
  <c r="J2091" i="3" s="1"/>
  <c r="I2091" i="3" a="1"/>
  <c r="I2091" i="3" s="1"/>
  <c r="K2091" i="3" a="1"/>
  <c r="K2091" i="3" s="1"/>
  <c r="H2091" i="3" a="1"/>
  <c r="H2091" i="3" s="1"/>
  <c r="K2092" i="3" a="1"/>
  <c r="K2092" i="3" s="1"/>
  <c r="H2092" i="3" a="1"/>
  <c r="H2092" i="3" s="1"/>
  <c r="I2092" i="3" a="1"/>
  <c r="I2092" i="3" s="1"/>
  <c r="B2092" i="3" a="1"/>
  <c r="B2092" i="3" s="1"/>
  <c r="A2092" i="3" a="1"/>
  <c r="A2092" i="3" s="1"/>
  <c r="F2093" i="3"/>
  <c r="M2093" i="3"/>
  <c r="L2093" i="3"/>
  <c r="C2094" i="3"/>
  <c r="D1439" i="3"/>
  <c r="D2092" i="3" a="1"/>
  <c r="D2091" i="3" a="1"/>
  <c r="D1437" i="3" a="1"/>
  <c r="D2091" i="3" l="1"/>
  <c r="D2092" i="3"/>
  <c r="A2093" i="3" a="1"/>
  <c r="A2093" i="3" s="1"/>
  <c r="B2093" i="3" a="1"/>
  <c r="B2093" i="3" s="1"/>
  <c r="G2093" i="3" a="1"/>
  <c r="G2093" i="3" s="1"/>
  <c r="L2094" i="3"/>
  <c r="M2094" i="3"/>
  <c r="F2094" i="3"/>
  <c r="C2095" i="3"/>
  <c r="G2094" i="3" a="1"/>
  <c r="G2094" i="3" s="1"/>
  <c r="D1437" i="3"/>
  <c r="D1438" i="3" a="1"/>
  <c r="C2096" i="3" l="1"/>
  <c r="M2095" i="3"/>
  <c r="F2095" i="3"/>
  <c r="L2095" i="3"/>
  <c r="G2095" i="3" a="1"/>
  <c r="G2095" i="3" s="1"/>
  <c r="H2093" i="3" a="1"/>
  <c r="H2093" i="3" s="1"/>
  <c r="K2093" i="3" a="1"/>
  <c r="K2093" i="3" s="1"/>
  <c r="I2093" i="3" a="1"/>
  <c r="I2093" i="3" s="1"/>
  <c r="J2093" i="3" a="1"/>
  <c r="J2093" i="3" s="1"/>
  <c r="J2094" i="3" a="1"/>
  <c r="J2094" i="3" s="1"/>
  <c r="H2094" i="3" a="1"/>
  <c r="H2094" i="3" s="1"/>
  <c r="K2094" i="3" a="1"/>
  <c r="K2094" i="3" s="1"/>
  <c r="I2094" i="3" a="1"/>
  <c r="I2094" i="3" s="1"/>
  <c r="B2094" i="3" a="1"/>
  <c r="B2094" i="3" s="1"/>
  <c r="A2094" i="3" a="1"/>
  <c r="A2094" i="3" s="1"/>
  <c r="D1438" i="3"/>
  <c r="D2093" i="3" a="1"/>
  <c r="D2094" i="3" a="1"/>
  <c r="D1436" i="3" a="1"/>
  <c r="D2094" i="3" l="1"/>
  <c r="D2093" i="3"/>
  <c r="K2095" i="3" a="1"/>
  <c r="K2095" i="3" s="1"/>
  <c r="H2095" i="3" a="1"/>
  <c r="H2095" i="3" s="1"/>
  <c r="I2095" i="3" a="1"/>
  <c r="I2095" i="3" s="1"/>
  <c r="B2095" i="3" a="1"/>
  <c r="B2095" i="3" s="1"/>
  <c r="A2095" i="3" a="1"/>
  <c r="A2095" i="3" s="1"/>
  <c r="J2095" i="3" a="1"/>
  <c r="J2095" i="3" s="1"/>
  <c r="F2096" i="3"/>
  <c r="L2096" i="3"/>
  <c r="M2096" i="3"/>
  <c r="C2097" i="3"/>
  <c r="D1436" i="3"/>
  <c r="D2095" i="3" a="1"/>
  <c r="D1435" i="3" a="1"/>
  <c r="D2095" i="3" l="1"/>
  <c r="L2097" i="3"/>
  <c r="M2097" i="3"/>
  <c r="C2098" i="3"/>
  <c r="F2097" i="3"/>
  <c r="G2097" i="3" a="1"/>
  <c r="G2097" i="3" s="1"/>
  <c r="B2096" i="3" a="1"/>
  <c r="B2096" i="3" s="1"/>
  <c r="A2096" i="3" a="1"/>
  <c r="A2096" i="3" s="1"/>
  <c r="G2096" i="3" a="1"/>
  <c r="G2096" i="3" s="1"/>
  <c r="D1435" i="3"/>
  <c r="D1434" i="3" a="1"/>
  <c r="I2096" i="3" l="1" a="1"/>
  <c r="I2096" i="3" s="1"/>
  <c r="H2096" i="3" a="1"/>
  <c r="H2096" i="3" s="1"/>
  <c r="K2096" i="3" a="1"/>
  <c r="K2096" i="3" s="1"/>
  <c r="J2096" i="3" a="1"/>
  <c r="J2096" i="3" s="1"/>
  <c r="J2097" i="3" a="1"/>
  <c r="J2097" i="3" s="1"/>
  <c r="H2097" i="3" a="1"/>
  <c r="H2097" i="3" s="1"/>
  <c r="K2097" i="3" a="1"/>
  <c r="K2097" i="3" s="1"/>
  <c r="I2097" i="3" a="1"/>
  <c r="I2097" i="3" s="1"/>
  <c r="B2097" i="3" a="1"/>
  <c r="B2097" i="3" s="1"/>
  <c r="A2097" i="3" a="1"/>
  <c r="A2097" i="3" s="1"/>
  <c r="C2099" i="3"/>
  <c r="F2098" i="3"/>
  <c r="M2098" i="3"/>
  <c r="L2098" i="3"/>
  <c r="D1434" i="3"/>
  <c r="D2097" i="3" a="1"/>
  <c r="D2096" i="3" a="1"/>
  <c r="D1433" i="3" a="1"/>
  <c r="D2096" i="3" l="1"/>
  <c r="D2097" i="3"/>
  <c r="F2099" i="3"/>
  <c r="L2099" i="3"/>
  <c r="G2099" i="3" a="1"/>
  <c r="G2099" i="3" s="1"/>
  <c r="C2100" i="3"/>
  <c r="M2099" i="3"/>
  <c r="A2098" i="3" a="1"/>
  <c r="A2098" i="3" s="1"/>
  <c r="B2098" i="3" a="1"/>
  <c r="B2098" i="3" s="1"/>
  <c r="G2098" i="3" a="1"/>
  <c r="G2098" i="3" s="1"/>
  <c r="D1433" i="3"/>
  <c r="D1432" i="3" a="1"/>
  <c r="J2098" i="3" l="1" a="1"/>
  <c r="J2098" i="3" s="1"/>
  <c r="H2098" i="3" a="1"/>
  <c r="H2098" i="3" s="1"/>
  <c r="K2098" i="3" a="1"/>
  <c r="K2098" i="3" s="1"/>
  <c r="I2098" i="3" a="1"/>
  <c r="I2098" i="3" s="1"/>
  <c r="F2100" i="3"/>
  <c r="C2101" i="3"/>
  <c r="L2100" i="3"/>
  <c r="G2100" i="3" a="1"/>
  <c r="G2100" i="3" s="1"/>
  <c r="J2100" i="3" s="1" a="1"/>
  <c r="J2100" i="3" s="1"/>
  <c r="M2100" i="3"/>
  <c r="J2099" i="3" a="1"/>
  <c r="J2099" i="3" s="1"/>
  <c r="H2099" i="3" a="1"/>
  <c r="H2099" i="3" s="1"/>
  <c r="K2099" i="3" a="1"/>
  <c r="K2099" i="3" s="1"/>
  <c r="I2099" i="3" a="1"/>
  <c r="I2099" i="3" s="1"/>
  <c r="A2099" i="3" a="1"/>
  <c r="A2099" i="3" s="1"/>
  <c r="B2099" i="3" a="1"/>
  <c r="B2099" i="3" s="1"/>
  <c r="D1432" i="3"/>
  <c r="D2099" i="3" a="1"/>
  <c r="D2098" i="3" a="1"/>
  <c r="D1431" i="3" a="1"/>
  <c r="D2098" i="3" l="1"/>
  <c r="D2099" i="3"/>
  <c r="A2100" i="3" a="1"/>
  <c r="A2100" i="3" s="1"/>
  <c r="B2100" i="3" a="1"/>
  <c r="B2100" i="3" s="1"/>
  <c r="F2101" i="3"/>
  <c r="G2101" i="3" s="1" a="1"/>
  <c r="G2101" i="3" s="1"/>
  <c r="L2101" i="3"/>
  <c r="C2102" i="3"/>
  <c r="M2101" i="3"/>
  <c r="K2100" i="3" a="1"/>
  <c r="K2100" i="3" s="1"/>
  <c r="H2100" i="3" a="1"/>
  <c r="H2100" i="3" s="1"/>
  <c r="I2100" i="3" a="1"/>
  <c r="I2100" i="3" s="1"/>
  <c r="D1431" i="3"/>
  <c r="D2100" i="3" a="1"/>
  <c r="D1430" i="3" a="1"/>
  <c r="D2100" i="3" l="1"/>
  <c r="K2101" i="3" a="1"/>
  <c r="K2101" i="3" s="1"/>
  <c r="H2101" i="3" a="1"/>
  <c r="H2101" i="3" s="1"/>
  <c r="I2101" i="3" a="1"/>
  <c r="I2101" i="3" s="1"/>
  <c r="J2101" i="3" a="1"/>
  <c r="J2101" i="3" s="1"/>
  <c r="L2102" i="3"/>
  <c r="M2102" i="3"/>
  <c r="F2102" i="3"/>
  <c r="C2103" i="3"/>
  <c r="B2101" i="3" a="1"/>
  <c r="B2101" i="3" s="1"/>
  <c r="A2101" i="3" a="1"/>
  <c r="A2101" i="3" s="1"/>
  <c r="D1430" i="3"/>
  <c r="D2101" i="3" a="1"/>
  <c r="D1428" i="3" a="1"/>
  <c r="D2101" i="3" l="1"/>
  <c r="L2103" i="3"/>
  <c r="M2103" i="3"/>
  <c r="C2104" i="3"/>
  <c r="F2103" i="3"/>
  <c r="A2102" i="3" a="1"/>
  <c r="A2102" i="3" s="1"/>
  <c r="B2102" i="3" a="1"/>
  <c r="B2102" i="3" s="1"/>
  <c r="G2102" i="3" a="1"/>
  <c r="G2102" i="3" s="1"/>
  <c r="D1428" i="3"/>
  <c r="D1429" i="3" a="1"/>
  <c r="H2102" i="3" l="1" a="1"/>
  <c r="H2102" i="3" s="1"/>
  <c r="I2102" i="3" a="1"/>
  <c r="I2102" i="3" s="1"/>
  <c r="K2102" i="3" a="1"/>
  <c r="K2102" i="3" s="1"/>
  <c r="J2102" i="3" a="1"/>
  <c r="J2102" i="3" s="1"/>
  <c r="F2104" i="3"/>
  <c r="G2104" i="3" a="1"/>
  <c r="G2104" i="3" s="1"/>
  <c r="M2104" i="3"/>
  <c r="C2105" i="3"/>
  <c r="L2104" i="3"/>
  <c r="J2104" i="3" a="1"/>
  <c r="J2104" i="3" s="1"/>
  <c r="B2103" i="3" a="1"/>
  <c r="B2103" i="3" s="1"/>
  <c r="A2103" i="3" a="1"/>
  <c r="A2103" i="3" s="1"/>
  <c r="G2103" i="3" a="1"/>
  <c r="G2103" i="3" s="1"/>
  <c r="D1429" i="3"/>
  <c r="D2102" i="3" a="1"/>
  <c r="D1427" i="3" a="1"/>
  <c r="D2102" i="3" l="1"/>
  <c r="C2106" i="3"/>
  <c r="L2105" i="3"/>
  <c r="F2105" i="3"/>
  <c r="M2105" i="3"/>
  <c r="H2104" i="3" a="1"/>
  <c r="H2104" i="3" s="1"/>
  <c r="I2104" i="3" a="1"/>
  <c r="I2104" i="3" s="1"/>
  <c r="K2104" i="3" a="1"/>
  <c r="K2104" i="3" s="1"/>
  <c r="B2104" i="3" a="1"/>
  <c r="B2104" i="3" s="1"/>
  <c r="A2104" i="3" a="1"/>
  <c r="A2104" i="3" s="1"/>
  <c r="J2103" i="3" a="1"/>
  <c r="J2103" i="3" s="1"/>
  <c r="H2103" i="3" a="1"/>
  <c r="H2103" i="3" s="1"/>
  <c r="K2103" i="3" a="1"/>
  <c r="K2103" i="3" s="1"/>
  <c r="I2103" i="3" a="1"/>
  <c r="I2103" i="3" s="1"/>
  <c r="D1427" i="3"/>
  <c r="D2104" i="3" a="1"/>
  <c r="D2103" i="3" a="1"/>
  <c r="D1426" i="3" a="1"/>
  <c r="D2103" i="3" l="1"/>
  <c r="D2104" i="3"/>
  <c r="A2105" i="3" a="1"/>
  <c r="A2105" i="3" s="1"/>
  <c r="B2105" i="3" a="1"/>
  <c r="B2105" i="3" s="1"/>
  <c r="L2106" i="3"/>
  <c r="F2106" i="3"/>
  <c r="C2107" i="3"/>
  <c r="M2106" i="3"/>
  <c r="G2105" i="3" a="1"/>
  <c r="G2105" i="3" s="1"/>
  <c r="D1426" i="3"/>
  <c r="D1425" i="3" a="1"/>
  <c r="H2105" i="3" l="1" a="1"/>
  <c r="H2105" i="3" s="1"/>
  <c r="I2105" i="3" a="1"/>
  <c r="I2105" i="3" s="1"/>
  <c r="K2105" i="3" a="1"/>
  <c r="K2105" i="3" s="1"/>
  <c r="J2105" i="3" a="1"/>
  <c r="J2105" i="3" s="1"/>
  <c r="M2107" i="3"/>
  <c r="C2108" i="3"/>
  <c r="F2107" i="3"/>
  <c r="G2107" i="3" a="1"/>
  <c r="G2107" i="3" s="1"/>
  <c r="L2107" i="3"/>
  <c r="J2107" i="3" a="1"/>
  <c r="J2107" i="3" s="1"/>
  <c r="B2106" i="3" a="1"/>
  <c r="B2106" i="3" s="1"/>
  <c r="A2106" i="3" a="1"/>
  <c r="A2106" i="3" s="1"/>
  <c r="G2106" i="3" a="1"/>
  <c r="G2106" i="3" s="1"/>
  <c r="D1425" i="3"/>
  <c r="D2105" i="3" a="1"/>
  <c r="D1424" i="3" a="1"/>
  <c r="D2105" i="3" l="1"/>
  <c r="A2107" i="3" a="1"/>
  <c r="A2107" i="3" s="1"/>
  <c r="B2107" i="3" a="1"/>
  <c r="B2107" i="3" s="1"/>
  <c r="L2108" i="3"/>
  <c r="M2108" i="3"/>
  <c r="F2108" i="3"/>
  <c r="G2108" i="3" s="1" a="1"/>
  <c r="G2108" i="3" s="1"/>
  <c r="C2109" i="3"/>
  <c r="K2107" i="3" a="1"/>
  <c r="K2107" i="3" s="1"/>
  <c r="I2107" i="3" a="1"/>
  <c r="I2107" i="3" s="1"/>
  <c r="H2107" i="3" a="1"/>
  <c r="H2107" i="3" s="1"/>
  <c r="I2106" i="3" a="1"/>
  <c r="I2106" i="3" s="1"/>
  <c r="K2106" i="3" a="1"/>
  <c r="K2106" i="3" s="1"/>
  <c r="H2106" i="3" a="1"/>
  <c r="H2106" i="3" s="1"/>
  <c r="J2106" i="3" a="1"/>
  <c r="J2106" i="3" s="1"/>
  <c r="D1424" i="3"/>
  <c r="D2106" i="3" a="1"/>
  <c r="D2107" i="3" a="1"/>
  <c r="D1423" i="3" a="1"/>
  <c r="D2107" i="3" l="1"/>
  <c r="D2106" i="3"/>
  <c r="I2108" i="3" a="1"/>
  <c r="I2108" i="3" s="1"/>
  <c r="K2108" i="3" a="1"/>
  <c r="K2108" i="3" s="1"/>
  <c r="H2108" i="3" a="1"/>
  <c r="H2108" i="3" s="1"/>
  <c r="J2108" i="3" a="1"/>
  <c r="J2108" i="3" s="1"/>
  <c r="C2110" i="3"/>
  <c r="F2109" i="3"/>
  <c r="L2109" i="3"/>
  <c r="M2109" i="3"/>
  <c r="G2109" i="3" a="1"/>
  <c r="G2109" i="3" s="1"/>
  <c r="A2108" i="3" a="1"/>
  <c r="A2108" i="3" s="1"/>
  <c r="B2108" i="3" a="1"/>
  <c r="B2108" i="3" s="1"/>
  <c r="D1423" i="3"/>
  <c r="D2108" i="3" a="1"/>
  <c r="D1422" i="3" a="1"/>
  <c r="D2108" i="3" l="1"/>
  <c r="K2109" i="3" a="1"/>
  <c r="K2109" i="3" s="1"/>
  <c r="H2109" i="3" a="1"/>
  <c r="H2109" i="3" s="1"/>
  <c r="I2109" i="3" a="1"/>
  <c r="I2109" i="3" s="1"/>
  <c r="F2110" i="3"/>
  <c r="L2110" i="3"/>
  <c r="C2111" i="3"/>
  <c r="M2110" i="3"/>
  <c r="G2110" i="3" a="1"/>
  <c r="G2110" i="3" s="1"/>
  <c r="J2109" i="3" a="1"/>
  <c r="J2109" i="3" s="1"/>
  <c r="A2109" i="3" a="1"/>
  <c r="A2109" i="3" s="1"/>
  <c r="B2109" i="3" a="1"/>
  <c r="B2109" i="3" s="1"/>
  <c r="D1422" i="3"/>
  <c r="D2109" i="3" a="1"/>
  <c r="D1421" i="3" a="1"/>
  <c r="D2109" i="3" l="1"/>
  <c r="J2110" i="3" a="1"/>
  <c r="J2110" i="3" s="1"/>
  <c r="H2110" i="3" a="1"/>
  <c r="H2110" i="3" s="1"/>
  <c r="I2110" i="3" a="1"/>
  <c r="I2110" i="3" s="1"/>
  <c r="K2110" i="3" a="1"/>
  <c r="K2110" i="3" s="1"/>
  <c r="L2111" i="3"/>
  <c r="M2111" i="3"/>
  <c r="F2111" i="3"/>
  <c r="G2111" i="3" s="1" a="1"/>
  <c r="G2111" i="3" s="1"/>
  <c r="C2112" i="3"/>
  <c r="A2110" i="3" a="1"/>
  <c r="A2110" i="3" s="1"/>
  <c r="B2110" i="3" a="1"/>
  <c r="B2110" i="3" s="1"/>
  <c r="D1421" i="3"/>
  <c r="D2110" i="3" a="1"/>
  <c r="D1420" i="3" a="1"/>
  <c r="D2110" i="3" l="1"/>
  <c r="I2111" i="3" a="1"/>
  <c r="I2111" i="3" s="1"/>
  <c r="K2111" i="3" a="1"/>
  <c r="K2111" i="3" s="1"/>
  <c r="H2111" i="3" a="1"/>
  <c r="H2111" i="3" s="1"/>
  <c r="J2111" i="3" a="1"/>
  <c r="J2111" i="3" s="1"/>
  <c r="A2111" i="3" a="1"/>
  <c r="A2111" i="3" s="1"/>
  <c r="B2111" i="3" a="1"/>
  <c r="B2111" i="3" s="1"/>
  <c r="M2112" i="3"/>
  <c r="C2113" i="3"/>
  <c r="F2112" i="3"/>
  <c r="G2112" i="3" a="1"/>
  <c r="G2112" i="3" s="1"/>
  <c r="L2112" i="3"/>
  <c r="D1420" i="3"/>
  <c r="D2111" i="3" a="1"/>
  <c r="D1419" i="3" a="1"/>
  <c r="D2111" i="3" l="1"/>
  <c r="A2112" i="3" a="1"/>
  <c r="A2112" i="3" s="1"/>
  <c r="B2112" i="3" a="1"/>
  <c r="B2112" i="3" s="1"/>
  <c r="H2112" i="3" a="1"/>
  <c r="H2112" i="3" s="1"/>
  <c r="K2112" i="3" a="1"/>
  <c r="K2112" i="3" s="1"/>
  <c r="I2112" i="3" a="1"/>
  <c r="I2112" i="3" s="1"/>
  <c r="L2113" i="3"/>
  <c r="F2113" i="3"/>
  <c r="G2113" i="3" s="1" a="1"/>
  <c r="G2113" i="3" s="1"/>
  <c r="M2113" i="3"/>
  <c r="C2114" i="3"/>
  <c r="J2112" i="3" a="1"/>
  <c r="J2112" i="3" s="1"/>
  <c r="D1419" i="3"/>
  <c r="D2112" i="3" a="1"/>
  <c r="D1418" i="3" a="1"/>
  <c r="D2112" i="3" l="1"/>
  <c r="K2113" i="3" a="1"/>
  <c r="K2113" i="3" s="1"/>
  <c r="H2113" i="3" a="1"/>
  <c r="H2113" i="3" s="1"/>
  <c r="I2113" i="3" a="1"/>
  <c r="I2113" i="3" s="1"/>
  <c r="J2113" i="3" a="1"/>
  <c r="J2113" i="3" s="1"/>
  <c r="L2114" i="3"/>
  <c r="F2114" i="3"/>
  <c r="C2115" i="3"/>
  <c r="M2114" i="3"/>
  <c r="G2114" i="3" a="1"/>
  <c r="G2114" i="3" s="1"/>
  <c r="B2113" i="3" a="1"/>
  <c r="B2113" i="3" s="1"/>
  <c r="A2113" i="3" a="1"/>
  <c r="A2113" i="3" s="1"/>
  <c r="D1418" i="3"/>
  <c r="D2113" i="3" a="1"/>
  <c r="D1417" i="3" a="1"/>
  <c r="D2113" i="3" l="1"/>
  <c r="I2114" i="3" a="1"/>
  <c r="I2114" i="3" s="1"/>
  <c r="K2114" i="3" a="1"/>
  <c r="K2114" i="3" s="1"/>
  <c r="H2114" i="3" a="1"/>
  <c r="H2114" i="3" s="1"/>
  <c r="A2114" i="3" a="1"/>
  <c r="A2114" i="3" s="1"/>
  <c r="B2114" i="3" a="1"/>
  <c r="B2114" i="3" s="1"/>
  <c r="J2114" i="3" a="1"/>
  <c r="J2114" i="3" s="1"/>
  <c r="L2115" i="3"/>
  <c r="C2116" i="3"/>
  <c r="F2115" i="3"/>
  <c r="M2115" i="3"/>
  <c r="D1417" i="3"/>
  <c r="D2114" i="3" a="1"/>
  <c r="D1416" i="3" a="1"/>
  <c r="D2114" i="3" l="1"/>
  <c r="A2115" i="3" a="1"/>
  <c r="A2115" i="3" s="1"/>
  <c r="B2115" i="3" a="1"/>
  <c r="B2115" i="3" s="1"/>
  <c r="G2115" i="3" a="1"/>
  <c r="G2115" i="3" s="1"/>
  <c r="M2116" i="3"/>
  <c r="L2116" i="3"/>
  <c r="C2117" i="3"/>
  <c r="F2116" i="3"/>
  <c r="D1416" i="3"/>
  <c r="D1415" i="3" a="1"/>
  <c r="A2116" i="3" l="1" a="1"/>
  <c r="A2116" i="3" s="1"/>
  <c r="B2116" i="3" a="1"/>
  <c r="B2116" i="3" s="1"/>
  <c r="G2116" i="3" a="1"/>
  <c r="G2116" i="3" s="1"/>
  <c r="G2117" i="3" a="1"/>
  <c r="G2117" i="3" s="1"/>
  <c r="F2117" i="3"/>
  <c r="C2118" i="3"/>
  <c r="M2117" i="3"/>
  <c r="L2117" i="3"/>
  <c r="K2115" i="3" a="1"/>
  <c r="K2115" i="3" s="1"/>
  <c r="I2115" i="3" a="1"/>
  <c r="I2115" i="3" s="1"/>
  <c r="H2115" i="3" a="1"/>
  <c r="H2115" i="3" s="1"/>
  <c r="J2115" i="3" a="1"/>
  <c r="J2115" i="3" s="1"/>
  <c r="D1415" i="3"/>
  <c r="D2115" i="3" a="1"/>
  <c r="D1414" i="3" a="1"/>
  <c r="D2115" i="3" l="1"/>
  <c r="I2117" i="3" a="1"/>
  <c r="I2117" i="3" s="1"/>
  <c r="K2117" i="3" a="1"/>
  <c r="K2117" i="3" s="1"/>
  <c r="H2117" i="3" a="1"/>
  <c r="H2117" i="3" s="1"/>
  <c r="H2116" i="3" a="1"/>
  <c r="H2116" i="3" s="1"/>
  <c r="I2116" i="3" a="1"/>
  <c r="I2116" i="3" s="1"/>
  <c r="K2116" i="3" a="1"/>
  <c r="K2116" i="3" s="1"/>
  <c r="J2116" i="3" a="1"/>
  <c r="J2116" i="3" s="1"/>
  <c r="L2118" i="3"/>
  <c r="M2118" i="3"/>
  <c r="F2118" i="3"/>
  <c r="C2119" i="3"/>
  <c r="J2117" i="3" a="1"/>
  <c r="J2117" i="3" s="1"/>
  <c r="B2117" i="3" a="1"/>
  <c r="B2117" i="3" s="1"/>
  <c r="A2117" i="3" a="1"/>
  <c r="A2117" i="3" s="1"/>
  <c r="D1414" i="3"/>
  <c r="D2117" i="3" a="1"/>
  <c r="D2116" i="3" a="1"/>
  <c r="D1413" i="3" a="1"/>
  <c r="D2116" i="3" l="1"/>
  <c r="D2117" i="3"/>
  <c r="L2119" i="3"/>
  <c r="C2120" i="3"/>
  <c r="M2119" i="3"/>
  <c r="F2119" i="3"/>
  <c r="A2118" i="3" a="1"/>
  <c r="A2118" i="3" s="1"/>
  <c r="B2118" i="3" a="1"/>
  <c r="B2118" i="3" s="1"/>
  <c r="G2118" i="3" a="1"/>
  <c r="G2118" i="3" s="1"/>
  <c r="D1413" i="3"/>
  <c r="D1411" i="3" a="1"/>
  <c r="H2118" i="3" l="1" a="1"/>
  <c r="H2118" i="3" s="1"/>
  <c r="K2118" i="3" a="1"/>
  <c r="K2118" i="3" s="1"/>
  <c r="I2118" i="3" a="1"/>
  <c r="I2118" i="3" s="1"/>
  <c r="J2118" i="3" a="1"/>
  <c r="J2118" i="3" s="1"/>
  <c r="A2119" i="3" a="1"/>
  <c r="A2119" i="3" s="1"/>
  <c r="B2119" i="3" a="1"/>
  <c r="B2119" i="3" s="1"/>
  <c r="G2119" i="3" a="1"/>
  <c r="G2119" i="3" s="1"/>
  <c r="M2120" i="3"/>
  <c r="F2120" i="3"/>
  <c r="G2120" i="3" a="1"/>
  <c r="G2120" i="3" s="1"/>
  <c r="L2120" i="3"/>
  <c r="C2121" i="3"/>
  <c r="D1411" i="3"/>
  <c r="D2118" i="3" a="1"/>
  <c r="D1412" i="3" a="1"/>
  <c r="D2118" i="3" l="1"/>
  <c r="A2120" i="3" a="1"/>
  <c r="A2120" i="3" s="1"/>
  <c r="B2120" i="3" a="1"/>
  <c r="B2120" i="3" s="1"/>
  <c r="K2120" i="3" a="1"/>
  <c r="K2120" i="3" s="1"/>
  <c r="H2120" i="3" a="1"/>
  <c r="H2120" i="3" s="1"/>
  <c r="I2120" i="3" a="1"/>
  <c r="I2120" i="3" s="1"/>
  <c r="J2120" i="3" a="1"/>
  <c r="J2120" i="3" s="1"/>
  <c r="J2119" i="3" a="1"/>
  <c r="J2119" i="3" s="1"/>
  <c r="H2119" i="3" a="1"/>
  <c r="H2119" i="3" s="1"/>
  <c r="I2119" i="3" a="1"/>
  <c r="I2119" i="3" s="1"/>
  <c r="K2119" i="3" a="1"/>
  <c r="K2119" i="3" s="1"/>
  <c r="F2121" i="3"/>
  <c r="G2121" i="3" s="1" a="1"/>
  <c r="G2121" i="3" s="1"/>
  <c r="M2121" i="3"/>
  <c r="C2122" i="3"/>
  <c r="L2121" i="3"/>
  <c r="D1412" i="3"/>
  <c r="D2120" i="3" a="1"/>
  <c r="D2119" i="3" a="1"/>
  <c r="D1410" i="3" a="1"/>
  <c r="D2119" i="3" l="1"/>
  <c r="D2120" i="3"/>
  <c r="H2121" i="3" a="1"/>
  <c r="H2121" i="3" s="1"/>
  <c r="I2121" i="3" a="1"/>
  <c r="I2121" i="3" s="1"/>
  <c r="K2121" i="3" a="1"/>
  <c r="K2121" i="3" s="1"/>
  <c r="J2121" i="3" a="1"/>
  <c r="J2121" i="3" s="1"/>
  <c r="B2121" i="3" a="1"/>
  <c r="B2121" i="3" s="1"/>
  <c r="A2121" i="3" a="1"/>
  <c r="A2121" i="3" s="1"/>
  <c r="F2122" i="3"/>
  <c r="C2123" i="3"/>
  <c r="L2122" i="3"/>
  <c r="G2122" i="3" a="1"/>
  <c r="G2122" i="3" s="1"/>
  <c r="M2122" i="3"/>
  <c r="D1410" i="3"/>
  <c r="D2121" i="3" a="1"/>
  <c r="D1408" i="3" a="1"/>
  <c r="D2121" i="3" l="1"/>
  <c r="I2122" i="3" a="1"/>
  <c r="I2122" i="3" s="1"/>
  <c r="K2122" i="3" a="1"/>
  <c r="K2122" i="3" s="1"/>
  <c r="H2122" i="3" a="1"/>
  <c r="H2122" i="3" s="1"/>
  <c r="M2123" i="3"/>
  <c r="L2123" i="3"/>
  <c r="F2123" i="3"/>
  <c r="C2124" i="3"/>
  <c r="G2123" i="3" a="1"/>
  <c r="G2123" i="3" s="1"/>
  <c r="A2122" i="3" a="1"/>
  <c r="A2122" i="3" s="1"/>
  <c r="B2122" i="3" a="1"/>
  <c r="B2122" i="3" s="1"/>
  <c r="J2122" i="3" a="1"/>
  <c r="J2122" i="3" s="1"/>
  <c r="D1408" i="3"/>
  <c r="D2122" i="3" a="1"/>
  <c r="D1409" i="3" a="1"/>
  <c r="D2122" i="3" l="1"/>
  <c r="K2123" i="3" a="1"/>
  <c r="K2123" i="3" s="1"/>
  <c r="H2123" i="3" a="1"/>
  <c r="H2123" i="3" s="1"/>
  <c r="I2123" i="3" a="1"/>
  <c r="I2123" i="3" s="1"/>
  <c r="J2123" i="3" a="1"/>
  <c r="J2123" i="3" s="1"/>
  <c r="B2123" i="3" a="1"/>
  <c r="B2123" i="3" s="1"/>
  <c r="A2123" i="3" a="1"/>
  <c r="A2123" i="3" s="1"/>
  <c r="F2124" i="3"/>
  <c r="M2124" i="3"/>
  <c r="C2125" i="3"/>
  <c r="L2124" i="3"/>
  <c r="G2124" i="3" a="1"/>
  <c r="G2124" i="3" s="1"/>
  <c r="D1409" i="3"/>
  <c r="D2123" i="3" a="1"/>
  <c r="D1407" i="3" a="1"/>
  <c r="D2123" i="3" l="1"/>
  <c r="J2124" i="3" a="1"/>
  <c r="J2124" i="3" s="1"/>
  <c r="H2124" i="3" a="1"/>
  <c r="H2124" i="3" s="1"/>
  <c r="K2124" i="3" a="1"/>
  <c r="K2124" i="3" s="1"/>
  <c r="I2124" i="3" a="1"/>
  <c r="I2124" i="3" s="1"/>
  <c r="M2125" i="3"/>
  <c r="C2126" i="3"/>
  <c r="G2125" i="3" a="1"/>
  <c r="G2125" i="3" s="1"/>
  <c r="F2125" i="3"/>
  <c r="L2125" i="3"/>
  <c r="J2125" i="3" a="1"/>
  <c r="J2125" i="3" s="1"/>
  <c r="B2124" i="3" a="1"/>
  <c r="B2124" i="3" s="1"/>
  <c r="A2124" i="3" a="1"/>
  <c r="A2124" i="3" s="1"/>
  <c r="D1407" i="3"/>
  <c r="D2124" i="3" a="1"/>
  <c r="D1406" i="3" a="1"/>
  <c r="D2124" i="3" l="1"/>
  <c r="A2125" i="3" a="1"/>
  <c r="A2125" i="3" s="1"/>
  <c r="B2125" i="3" a="1"/>
  <c r="B2125" i="3" s="1"/>
  <c r="I2125" i="3" a="1"/>
  <c r="I2125" i="3" s="1"/>
  <c r="K2125" i="3" a="1"/>
  <c r="K2125" i="3" s="1"/>
  <c r="H2125" i="3" a="1"/>
  <c r="H2125" i="3" s="1"/>
  <c r="C2127" i="3"/>
  <c r="L2126" i="3"/>
  <c r="M2126" i="3"/>
  <c r="F2126" i="3"/>
  <c r="D1406" i="3"/>
  <c r="D2125" i="3" a="1"/>
  <c r="D1405" i="3" a="1"/>
  <c r="D2125" i="3" l="1"/>
  <c r="L2127" i="3"/>
  <c r="M2127" i="3"/>
  <c r="C2128" i="3"/>
  <c r="F2127" i="3"/>
  <c r="G2127" i="3" a="1"/>
  <c r="G2127" i="3" s="1"/>
  <c r="B2126" i="3" a="1"/>
  <c r="B2126" i="3" s="1"/>
  <c r="A2126" i="3" a="1"/>
  <c r="A2126" i="3" s="1"/>
  <c r="G2126" i="3" a="1"/>
  <c r="G2126" i="3" s="1"/>
  <c r="D1405" i="3"/>
  <c r="D1404" i="3" a="1"/>
  <c r="H2126" i="3" l="1" a="1"/>
  <c r="H2126" i="3" s="1"/>
  <c r="I2126" i="3" a="1"/>
  <c r="I2126" i="3" s="1"/>
  <c r="K2126" i="3" a="1"/>
  <c r="K2126" i="3" s="1"/>
  <c r="J2126" i="3" a="1"/>
  <c r="J2126" i="3" s="1"/>
  <c r="H2127" i="3" a="1"/>
  <c r="H2127" i="3" s="1"/>
  <c r="K2127" i="3" a="1"/>
  <c r="K2127" i="3" s="1"/>
  <c r="I2127" i="3" a="1"/>
  <c r="I2127" i="3" s="1"/>
  <c r="J2127" i="3" a="1"/>
  <c r="J2127" i="3" s="1"/>
  <c r="A2127" i="3" a="1"/>
  <c r="A2127" i="3" s="1"/>
  <c r="B2127" i="3" a="1"/>
  <c r="B2127" i="3" s="1"/>
  <c r="F2128" i="3"/>
  <c r="M2128" i="3"/>
  <c r="C2129" i="3"/>
  <c r="L2128" i="3"/>
  <c r="D1404" i="3"/>
  <c r="D2126" i="3" a="1"/>
  <c r="D2127" i="3" a="1"/>
  <c r="D1403" i="3" a="1"/>
  <c r="D2127" i="3" l="1"/>
  <c r="D2126" i="3"/>
  <c r="A2128" i="3" a="1"/>
  <c r="A2128" i="3" s="1"/>
  <c r="B2128" i="3" a="1"/>
  <c r="B2128" i="3" s="1"/>
  <c r="G2128" i="3" a="1"/>
  <c r="G2128" i="3" s="1"/>
  <c r="M2129" i="3"/>
  <c r="C2130" i="3"/>
  <c r="L2129" i="3"/>
  <c r="F2129" i="3"/>
  <c r="G2129" i="3" a="1"/>
  <c r="G2129" i="3" s="1"/>
  <c r="D1403" i="3"/>
  <c r="D1402" i="3" a="1"/>
  <c r="H2129" i="3" l="1" a="1"/>
  <c r="H2129" i="3" s="1"/>
  <c r="I2129" i="3" a="1"/>
  <c r="I2129" i="3" s="1"/>
  <c r="K2129" i="3" a="1"/>
  <c r="K2129" i="3" s="1"/>
  <c r="H2128" i="3" a="1"/>
  <c r="H2128" i="3" s="1"/>
  <c r="K2128" i="3" a="1"/>
  <c r="K2128" i="3" s="1"/>
  <c r="I2128" i="3" a="1"/>
  <c r="I2128" i="3" s="1"/>
  <c r="J2128" i="3" a="1"/>
  <c r="J2128" i="3" s="1"/>
  <c r="J2129" i="3" a="1"/>
  <c r="J2129" i="3" s="1"/>
  <c r="B2129" i="3" a="1"/>
  <c r="B2129" i="3" s="1"/>
  <c r="A2129" i="3" a="1"/>
  <c r="A2129" i="3" s="1"/>
  <c r="F2130" i="3"/>
  <c r="M2130" i="3"/>
  <c r="C2131" i="3"/>
  <c r="L2130" i="3"/>
  <c r="D1402" i="3"/>
  <c r="D2129" i="3" a="1"/>
  <c r="D2128" i="3" a="1"/>
  <c r="D1401" i="3" a="1"/>
  <c r="D2128" i="3" l="1"/>
  <c r="D2129" i="3"/>
  <c r="B2130" i="3" a="1"/>
  <c r="B2130" i="3" s="1"/>
  <c r="A2130" i="3" a="1"/>
  <c r="A2130" i="3" s="1"/>
  <c r="G2131" i="3" a="1"/>
  <c r="G2131" i="3" s="1"/>
  <c r="C2132" i="3"/>
  <c r="F2131" i="3"/>
  <c r="M2131" i="3"/>
  <c r="L2131" i="3"/>
  <c r="J2131" i="3" a="1"/>
  <c r="J2131" i="3" s="1"/>
  <c r="G2130" i="3" a="1"/>
  <c r="G2130" i="3" s="1"/>
  <c r="D1401" i="3"/>
  <c r="D1400" i="3" a="1"/>
  <c r="H2131" i="3" l="1" a="1"/>
  <c r="H2131" i="3" s="1"/>
  <c r="I2131" i="3" a="1"/>
  <c r="I2131" i="3" s="1"/>
  <c r="K2131" i="3" a="1"/>
  <c r="K2131" i="3" s="1"/>
  <c r="H2130" i="3" a="1"/>
  <c r="H2130" i="3" s="1"/>
  <c r="K2130" i="3" a="1"/>
  <c r="K2130" i="3" s="1"/>
  <c r="I2130" i="3" a="1"/>
  <c r="I2130" i="3" s="1"/>
  <c r="J2130" i="3" a="1"/>
  <c r="J2130" i="3" s="1"/>
  <c r="A2131" i="3" a="1"/>
  <c r="A2131" i="3" s="1"/>
  <c r="B2131" i="3" a="1"/>
  <c r="B2131" i="3" s="1"/>
  <c r="L2132" i="3"/>
  <c r="F2132" i="3"/>
  <c r="G2132" i="3" a="1"/>
  <c r="G2132" i="3" s="1"/>
  <c r="C2133" i="3"/>
  <c r="M2132" i="3"/>
  <c r="D1400" i="3"/>
  <c r="D2131" i="3" a="1"/>
  <c r="D2130" i="3" a="1"/>
  <c r="D1399" i="3" a="1"/>
  <c r="D2130" i="3" l="1"/>
  <c r="D2131" i="3"/>
  <c r="I2132" i="3" a="1"/>
  <c r="I2132" i="3" s="1"/>
  <c r="K2132" i="3" a="1"/>
  <c r="K2132" i="3" s="1"/>
  <c r="H2132" i="3" a="1"/>
  <c r="H2132" i="3" s="1"/>
  <c r="B2132" i="3" a="1"/>
  <c r="B2132" i="3" s="1"/>
  <c r="A2132" i="3" a="1"/>
  <c r="A2132" i="3" s="1"/>
  <c r="J2132" i="3" a="1"/>
  <c r="J2132" i="3" s="1"/>
  <c r="C2134" i="3"/>
  <c r="F2133" i="3"/>
  <c r="G2133" i="3" a="1"/>
  <c r="G2133" i="3" s="1"/>
  <c r="J2133" i="3" a="1"/>
  <c r="J2133" i="3" s="1"/>
  <c r="L2133" i="3"/>
  <c r="M2133" i="3"/>
  <c r="D1399" i="3"/>
  <c r="D2132" i="3" a="1"/>
  <c r="D1398" i="3" a="1"/>
  <c r="D2132" i="3" l="1"/>
  <c r="K2133" i="3" a="1"/>
  <c r="K2133" i="3" s="1"/>
  <c r="I2133" i="3" a="1"/>
  <c r="I2133" i="3" s="1"/>
  <c r="H2133" i="3" a="1"/>
  <c r="H2133" i="3" s="1"/>
  <c r="A2133" i="3" a="1"/>
  <c r="A2133" i="3" s="1"/>
  <c r="B2133" i="3" a="1"/>
  <c r="B2133" i="3" s="1"/>
  <c r="M2134" i="3"/>
  <c r="F2134" i="3"/>
  <c r="G2134" i="3" a="1"/>
  <c r="G2134" i="3" s="1"/>
  <c r="L2134" i="3"/>
  <c r="C2135" i="3"/>
  <c r="D1398" i="3"/>
  <c r="D2133" i="3" a="1"/>
  <c r="D1397" i="3" a="1"/>
  <c r="D2133" i="3" l="1"/>
  <c r="J2134" i="3" a="1"/>
  <c r="J2134" i="3" s="1"/>
  <c r="K2134" i="3" a="1"/>
  <c r="K2134" i="3" s="1"/>
  <c r="H2134" i="3" a="1"/>
  <c r="H2134" i="3" s="1"/>
  <c r="I2134" i="3" a="1"/>
  <c r="I2134" i="3" s="1"/>
  <c r="F2135" i="3"/>
  <c r="L2135" i="3"/>
  <c r="G2135" i="3" a="1"/>
  <c r="G2135" i="3" s="1"/>
  <c r="M2135" i="3"/>
  <c r="C2136" i="3"/>
  <c r="A2134" i="3" a="1"/>
  <c r="A2134" i="3" s="1"/>
  <c r="B2134" i="3" a="1"/>
  <c r="B2134" i="3" s="1"/>
  <c r="D1397" i="3"/>
  <c r="D2134" i="3" a="1"/>
  <c r="D1396" i="3" a="1"/>
  <c r="D2134" i="3" l="1"/>
  <c r="I2135" i="3" a="1"/>
  <c r="I2135" i="3" s="1"/>
  <c r="H2135" i="3" a="1"/>
  <c r="H2135" i="3" s="1"/>
  <c r="K2135" i="3" a="1"/>
  <c r="K2135" i="3" s="1"/>
  <c r="B2135" i="3" a="1"/>
  <c r="B2135" i="3" s="1"/>
  <c r="A2135" i="3" a="1"/>
  <c r="A2135" i="3" s="1"/>
  <c r="L2136" i="3"/>
  <c r="F2136" i="3"/>
  <c r="M2136" i="3"/>
  <c r="G2136" i="3" a="1"/>
  <c r="G2136" i="3" s="1"/>
  <c r="C2137" i="3"/>
  <c r="J2136" i="3" a="1"/>
  <c r="J2136" i="3" s="1"/>
  <c r="J2135" i="3" a="1"/>
  <c r="J2135" i="3" s="1"/>
  <c r="D1396" i="3"/>
  <c r="D2135" i="3" a="1"/>
  <c r="D1395" i="3" a="1"/>
  <c r="D2135" i="3" l="1"/>
  <c r="K2136" i="3" a="1"/>
  <c r="K2136" i="3" s="1"/>
  <c r="H2136" i="3" a="1"/>
  <c r="H2136" i="3" s="1"/>
  <c r="I2136" i="3" a="1"/>
  <c r="I2136" i="3" s="1"/>
  <c r="A2136" i="3" a="1"/>
  <c r="A2136" i="3" s="1"/>
  <c r="B2136" i="3" a="1"/>
  <c r="B2136" i="3" s="1"/>
  <c r="F2137" i="3"/>
  <c r="G2137" i="3" a="1"/>
  <c r="G2137" i="3" s="1"/>
  <c r="L2137" i="3"/>
  <c r="M2137" i="3"/>
  <c r="C2138" i="3"/>
  <c r="D1395" i="3"/>
  <c r="D2136" i="3" a="1"/>
  <c r="D1394" i="3" a="1"/>
  <c r="D2136" i="3" l="1"/>
  <c r="C2139" i="3"/>
  <c r="L2138" i="3"/>
  <c r="F2138" i="3"/>
  <c r="M2138" i="3"/>
  <c r="G2138" i="3" a="1"/>
  <c r="G2138" i="3" s="1"/>
  <c r="J2138" i="3" s="1" a="1"/>
  <c r="J2138" i="3" s="1"/>
  <c r="B2137" i="3" a="1"/>
  <c r="B2137" i="3" s="1"/>
  <c r="A2137" i="3" a="1"/>
  <c r="A2137" i="3" s="1"/>
  <c r="J2137" i="3" a="1"/>
  <c r="J2137" i="3" s="1"/>
  <c r="H2137" i="3" a="1"/>
  <c r="H2137" i="3" s="1"/>
  <c r="K2137" i="3" a="1"/>
  <c r="K2137" i="3" s="1"/>
  <c r="I2137" i="3" a="1"/>
  <c r="I2137" i="3" s="1"/>
  <c r="D1394" i="3"/>
  <c r="D2137" i="3" a="1"/>
  <c r="D1393" i="3" a="1"/>
  <c r="D2137" i="3" l="1"/>
  <c r="B2138" i="3" a="1"/>
  <c r="B2138" i="3" s="1"/>
  <c r="A2138" i="3" a="1"/>
  <c r="A2138" i="3" s="1"/>
  <c r="L2139" i="3"/>
  <c r="F2139" i="3"/>
  <c r="M2139" i="3"/>
  <c r="C2140" i="3"/>
  <c r="G2139" i="3" a="1"/>
  <c r="G2139" i="3" s="1"/>
  <c r="H2138" i="3" a="1"/>
  <c r="H2138" i="3" s="1"/>
  <c r="K2138" i="3" a="1"/>
  <c r="K2138" i="3" s="1"/>
  <c r="I2138" i="3" a="1"/>
  <c r="I2138" i="3" s="1"/>
  <c r="D1393" i="3"/>
  <c r="D2138" i="3" a="1"/>
  <c r="D1392" i="3" a="1"/>
  <c r="D2138" i="3" l="1"/>
  <c r="H2139" i="3" a="1"/>
  <c r="H2139" i="3" s="1"/>
  <c r="I2139" i="3" a="1"/>
  <c r="I2139" i="3" s="1"/>
  <c r="K2139" i="3" a="1"/>
  <c r="K2139" i="3" s="1"/>
  <c r="A2139" i="3" a="1"/>
  <c r="A2139" i="3" s="1"/>
  <c r="B2139" i="3" a="1"/>
  <c r="B2139" i="3" s="1"/>
  <c r="J2139" i="3" a="1"/>
  <c r="J2139" i="3" s="1"/>
  <c r="C2141" i="3"/>
  <c r="L2140" i="3"/>
  <c r="F2140" i="3"/>
  <c r="M2140" i="3"/>
  <c r="G2140" i="3" a="1"/>
  <c r="G2140" i="3" s="1"/>
  <c r="D1392" i="3"/>
  <c r="D2139" i="3" a="1"/>
  <c r="D1391" i="3" a="1"/>
  <c r="D2139" i="3" l="1"/>
  <c r="J2140" i="3" a="1"/>
  <c r="J2140" i="3" s="1"/>
  <c r="H2140" i="3" a="1"/>
  <c r="H2140" i="3" s="1"/>
  <c r="I2140" i="3" a="1"/>
  <c r="I2140" i="3" s="1"/>
  <c r="K2140" i="3" a="1"/>
  <c r="K2140" i="3" s="1"/>
  <c r="A2140" i="3" a="1"/>
  <c r="A2140" i="3" s="1"/>
  <c r="B2140" i="3" a="1"/>
  <c r="B2140" i="3" s="1"/>
  <c r="L2141" i="3"/>
  <c r="F2141" i="3"/>
  <c r="G2141" i="3" a="1"/>
  <c r="G2141" i="3" s="1"/>
  <c r="C2142" i="3"/>
  <c r="M2141" i="3"/>
  <c r="D1391" i="3"/>
  <c r="D2140" i="3" a="1"/>
  <c r="D1390" i="3" a="1"/>
  <c r="D2140" i="3" l="1"/>
  <c r="J2141" i="3" a="1"/>
  <c r="J2141" i="3" s="1"/>
  <c r="K2141" i="3" a="1"/>
  <c r="K2141" i="3" s="1"/>
  <c r="H2141" i="3" a="1"/>
  <c r="H2141" i="3" s="1"/>
  <c r="I2141" i="3" a="1"/>
  <c r="I2141" i="3" s="1"/>
  <c r="C2143" i="3"/>
  <c r="L2142" i="3"/>
  <c r="G2142" i="3" a="1"/>
  <c r="G2142" i="3" s="1"/>
  <c r="F2142" i="3"/>
  <c r="M2142" i="3"/>
  <c r="B2141" i="3" a="1"/>
  <c r="B2141" i="3" s="1"/>
  <c r="A2141" i="3" a="1"/>
  <c r="A2141" i="3" s="1"/>
  <c r="D1390" i="3"/>
  <c r="D2141" i="3" a="1"/>
  <c r="D1389" i="3" a="1"/>
  <c r="D2141" i="3" l="1"/>
  <c r="H2142" i="3" a="1"/>
  <c r="H2142" i="3" s="1"/>
  <c r="K2142" i="3" a="1"/>
  <c r="K2142" i="3" s="1"/>
  <c r="I2142" i="3" a="1"/>
  <c r="I2142" i="3" s="1"/>
  <c r="M2143" i="3"/>
  <c r="C2144" i="3"/>
  <c r="F2143" i="3"/>
  <c r="G2143" i="3" s="1" a="1"/>
  <c r="G2143" i="3" s="1"/>
  <c r="L2143" i="3"/>
  <c r="B2142" i="3" a="1"/>
  <c r="B2142" i="3" s="1"/>
  <c r="A2142" i="3" a="1"/>
  <c r="A2142" i="3" s="1"/>
  <c r="J2142" i="3" a="1"/>
  <c r="J2142" i="3" s="1"/>
  <c r="D1389" i="3"/>
  <c r="D2142" i="3" a="1"/>
  <c r="D1388" i="3" a="1"/>
  <c r="D2142" i="3" l="1"/>
  <c r="H2143" i="3" a="1"/>
  <c r="H2143" i="3" s="1"/>
  <c r="K2143" i="3" a="1"/>
  <c r="K2143" i="3" s="1"/>
  <c r="I2143" i="3" a="1"/>
  <c r="I2143" i="3" s="1"/>
  <c r="J2143" i="3" a="1"/>
  <c r="J2143" i="3" s="1"/>
  <c r="F2144" i="3"/>
  <c r="L2144" i="3"/>
  <c r="C2145" i="3"/>
  <c r="M2144" i="3"/>
  <c r="G2144" i="3" a="1"/>
  <c r="G2144" i="3" s="1"/>
  <c r="J2144" i="3" s="1" a="1"/>
  <c r="J2144" i="3" s="1"/>
  <c r="A2143" i="3" a="1"/>
  <c r="A2143" i="3" s="1"/>
  <c r="B2143" i="3" a="1"/>
  <c r="B2143" i="3" s="1"/>
  <c r="D1388" i="3"/>
  <c r="D2143" i="3" a="1"/>
  <c r="D1387" i="3" a="1"/>
  <c r="D2143" i="3" l="1"/>
  <c r="B2144" i="3" a="1"/>
  <c r="B2144" i="3" s="1"/>
  <c r="A2144" i="3" a="1"/>
  <c r="A2144" i="3" s="1"/>
  <c r="H2144" i="3" a="1"/>
  <c r="H2144" i="3" s="1"/>
  <c r="K2144" i="3" a="1"/>
  <c r="K2144" i="3" s="1"/>
  <c r="I2144" i="3" a="1"/>
  <c r="I2144" i="3" s="1"/>
  <c r="L2145" i="3"/>
  <c r="F2145" i="3"/>
  <c r="G2145" i="3" s="1" a="1"/>
  <c r="G2145" i="3" s="1"/>
  <c r="M2145" i="3"/>
  <c r="C2146" i="3"/>
  <c r="D1387" i="3"/>
  <c r="D2144" i="3" a="1"/>
  <c r="D1386" i="3" a="1"/>
  <c r="D2144" i="3" l="1"/>
  <c r="J2145" i="3" a="1"/>
  <c r="J2145" i="3" s="1"/>
  <c r="H2145" i="3" a="1"/>
  <c r="H2145" i="3" s="1"/>
  <c r="K2145" i="3" a="1"/>
  <c r="K2145" i="3" s="1"/>
  <c r="I2145" i="3" a="1"/>
  <c r="I2145" i="3" s="1"/>
  <c r="B2145" i="3" a="1"/>
  <c r="B2145" i="3" s="1"/>
  <c r="A2145" i="3" a="1"/>
  <c r="A2145" i="3" s="1"/>
  <c r="C2147" i="3"/>
  <c r="M2146" i="3"/>
  <c r="F2146" i="3"/>
  <c r="G2146" i="3" a="1"/>
  <c r="G2146" i="3" s="1"/>
  <c r="L2146" i="3"/>
  <c r="D1386" i="3"/>
  <c r="D2145" i="3" a="1"/>
  <c r="D1385" i="3" a="1"/>
  <c r="D2145" i="3" l="1"/>
  <c r="H2146" i="3" a="1"/>
  <c r="H2146" i="3" s="1"/>
  <c r="K2146" i="3" a="1"/>
  <c r="K2146" i="3" s="1"/>
  <c r="I2146" i="3" a="1"/>
  <c r="I2146" i="3" s="1"/>
  <c r="A2146" i="3" a="1"/>
  <c r="A2146" i="3" s="1"/>
  <c r="B2146" i="3" a="1"/>
  <c r="B2146" i="3" s="1"/>
  <c r="L2147" i="3"/>
  <c r="C2148" i="3"/>
  <c r="M2147" i="3"/>
  <c r="F2147" i="3"/>
  <c r="J2146" i="3" a="1"/>
  <c r="J2146" i="3" s="1"/>
  <c r="D1385" i="3"/>
  <c r="D2146" i="3" a="1"/>
  <c r="D1384" i="3" a="1"/>
  <c r="D2146" i="3" l="1"/>
  <c r="B2147" i="3" a="1"/>
  <c r="B2147" i="3" s="1"/>
  <c r="A2147" i="3" a="1"/>
  <c r="A2147" i="3" s="1"/>
  <c r="G2147" i="3" a="1"/>
  <c r="G2147" i="3" s="1"/>
  <c r="F2148" i="3"/>
  <c r="G2148" i="3" s="1" a="1"/>
  <c r="G2148" i="3" s="1"/>
  <c r="L2148" i="3"/>
  <c r="M2148" i="3"/>
  <c r="C2149" i="3"/>
  <c r="D1384" i="3"/>
  <c r="D1383" i="3" a="1"/>
  <c r="J2148" i="3" l="1" a="1"/>
  <c r="J2148" i="3" s="1"/>
  <c r="H2148" i="3" a="1"/>
  <c r="H2148" i="3" s="1"/>
  <c r="I2148" i="3" a="1"/>
  <c r="I2148" i="3" s="1"/>
  <c r="K2148" i="3" a="1"/>
  <c r="K2148" i="3" s="1"/>
  <c r="M2149" i="3"/>
  <c r="C2150" i="3"/>
  <c r="F2149" i="3"/>
  <c r="G2149" i="3" a="1"/>
  <c r="G2149" i="3" s="1"/>
  <c r="L2149" i="3"/>
  <c r="A2148" i="3" a="1"/>
  <c r="A2148" i="3" s="1"/>
  <c r="B2148" i="3" a="1"/>
  <c r="B2148" i="3" s="1"/>
  <c r="K2147" i="3" a="1"/>
  <c r="K2147" i="3" s="1"/>
  <c r="H2147" i="3" a="1"/>
  <c r="H2147" i="3" s="1"/>
  <c r="I2147" i="3" a="1"/>
  <c r="I2147" i="3" s="1"/>
  <c r="J2147" i="3" a="1"/>
  <c r="J2147" i="3" s="1"/>
  <c r="D1383" i="3"/>
  <c r="D2147" i="3" a="1"/>
  <c r="D2148" i="3" a="1"/>
  <c r="D1382" i="3" a="1"/>
  <c r="D2148" i="3" l="1"/>
  <c r="D2147" i="3"/>
  <c r="I2149" i="3" a="1"/>
  <c r="I2149" i="3" s="1"/>
  <c r="H2149" i="3" a="1"/>
  <c r="H2149" i="3" s="1"/>
  <c r="K2149" i="3" a="1"/>
  <c r="K2149" i="3" s="1"/>
  <c r="J2149" i="3" a="1"/>
  <c r="J2149" i="3" s="1"/>
  <c r="L2150" i="3"/>
  <c r="C2151" i="3"/>
  <c r="F2150" i="3"/>
  <c r="M2150" i="3"/>
  <c r="B2149" i="3" a="1"/>
  <c r="B2149" i="3" s="1"/>
  <c r="A2149" i="3" a="1"/>
  <c r="A2149" i="3" s="1"/>
  <c r="D1382" i="3"/>
  <c r="D2149" i="3" a="1"/>
  <c r="D1381" i="3" a="1"/>
  <c r="D2149" i="3" l="1"/>
  <c r="A2150" i="3" a="1"/>
  <c r="A2150" i="3" s="1"/>
  <c r="B2150" i="3" a="1"/>
  <c r="B2150" i="3" s="1"/>
  <c r="C2152" i="3"/>
  <c r="L2151" i="3"/>
  <c r="M2151" i="3"/>
  <c r="F2151" i="3"/>
  <c r="G2151" i="3" a="1"/>
  <c r="G2151" i="3" s="1"/>
  <c r="J2151" i="3" s="1" a="1"/>
  <c r="J2151" i="3" s="1"/>
  <c r="G2150" i="3" a="1"/>
  <c r="G2150" i="3" s="1"/>
  <c r="D1381" i="3"/>
  <c r="D1380" i="3" a="1"/>
  <c r="I2150" i="3" l="1" a="1"/>
  <c r="I2150" i="3" s="1"/>
  <c r="H2150" i="3" a="1"/>
  <c r="H2150" i="3" s="1"/>
  <c r="K2150" i="3" a="1"/>
  <c r="K2150" i="3" s="1"/>
  <c r="J2150" i="3" a="1"/>
  <c r="J2150" i="3" s="1"/>
  <c r="I2151" i="3" a="1"/>
  <c r="I2151" i="3" s="1"/>
  <c r="K2151" i="3" a="1"/>
  <c r="K2151" i="3" s="1"/>
  <c r="H2151" i="3" a="1"/>
  <c r="H2151" i="3" s="1"/>
  <c r="A2151" i="3" a="1"/>
  <c r="A2151" i="3" s="1"/>
  <c r="B2151" i="3" a="1"/>
  <c r="B2151" i="3" s="1"/>
  <c r="C2153" i="3"/>
  <c r="M2152" i="3"/>
  <c r="F2152" i="3"/>
  <c r="L2152" i="3"/>
  <c r="D1380" i="3"/>
  <c r="D2151" i="3" a="1"/>
  <c r="D2150" i="3" a="1"/>
  <c r="D1379" i="3" a="1"/>
  <c r="D2150" i="3" l="1"/>
  <c r="D2151" i="3"/>
  <c r="B2152" i="3" a="1"/>
  <c r="B2152" i="3" s="1"/>
  <c r="A2152" i="3" a="1"/>
  <c r="A2152" i="3" s="1"/>
  <c r="L2153" i="3"/>
  <c r="M2153" i="3"/>
  <c r="C2154" i="3"/>
  <c r="G2153" i="3" a="1"/>
  <c r="G2153" i="3" s="1"/>
  <c r="F2153" i="3"/>
  <c r="G2152" i="3" a="1"/>
  <c r="G2152" i="3" s="1"/>
  <c r="D1379" i="3"/>
  <c r="D1378" i="3" a="1"/>
  <c r="I2153" i="3" l="1" a="1"/>
  <c r="I2153" i="3" s="1"/>
  <c r="K2153" i="3" a="1"/>
  <c r="K2153" i="3" s="1"/>
  <c r="H2153" i="3" a="1"/>
  <c r="H2153" i="3" s="1"/>
  <c r="J2152" i="3" a="1"/>
  <c r="J2152" i="3" s="1"/>
  <c r="H2152" i="3" a="1"/>
  <c r="H2152" i="3" s="1"/>
  <c r="I2152" i="3" a="1"/>
  <c r="I2152" i="3" s="1"/>
  <c r="K2152" i="3" a="1"/>
  <c r="K2152" i="3" s="1"/>
  <c r="J2153" i="3" a="1"/>
  <c r="J2153" i="3" s="1"/>
  <c r="B2153" i="3" a="1"/>
  <c r="B2153" i="3" s="1"/>
  <c r="A2153" i="3" a="1"/>
  <c r="A2153" i="3" s="1"/>
  <c r="L2154" i="3"/>
  <c r="F2154" i="3"/>
  <c r="G2154" i="3" s="1" a="1"/>
  <c r="G2154" i="3" s="1"/>
  <c r="C2155" i="3"/>
  <c r="M2154" i="3"/>
  <c r="D1378" i="3"/>
  <c r="D2152" i="3" a="1"/>
  <c r="D2153" i="3" a="1"/>
  <c r="D1377" i="3" a="1"/>
  <c r="D2153" i="3" l="1"/>
  <c r="D2152" i="3"/>
  <c r="H2154" i="3" a="1"/>
  <c r="H2154" i="3" s="1"/>
  <c r="I2154" i="3" a="1"/>
  <c r="I2154" i="3" s="1"/>
  <c r="K2154" i="3" a="1"/>
  <c r="K2154" i="3" s="1"/>
  <c r="J2154" i="3" a="1"/>
  <c r="J2154" i="3" s="1"/>
  <c r="A2154" i="3" a="1"/>
  <c r="A2154" i="3" s="1"/>
  <c r="B2154" i="3" a="1"/>
  <c r="B2154" i="3" s="1"/>
  <c r="M2155" i="3"/>
  <c r="L2155" i="3"/>
  <c r="C2156" i="3"/>
  <c r="F2155" i="3"/>
  <c r="D1377" i="3"/>
  <c r="D2154" i="3" a="1"/>
  <c r="D1376" i="3" a="1"/>
  <c r="D2154" i="3" l="1"/>
  <c r="F2156" i="3"/>
  <c r="M2156" i="3"/>
  <c r="C2157" i="3"/>
  <c r="L2156" i="3"/>
  <c r="G2156" i="3" a="1"/>
  <c r="G2156" i="3" s="1"/>
  <c r="B2155" i="3" a="1"/>
  <c r="B2155" i="3" s="1"/>
  <c r="A2155" i="3" a="1"/>
  <c r="A2155" i="3" s="1"/>
  <c r="G2155" i="3" a="1"/>
  <c r="G2155" i="3" s="1"/>
  <c r="D1376" i="3"/>
  <c r="D1375" i="3" a="1"/>
  <c r="J2155" i="3" l="1" a="1"/>
  <c r="J2155" i="3" s="1"/>
  <c r="H2155" i="3" a="1"/>
  <c r="H2155" i="3" s="1"/>
  <c r="K2155" i="3" a="1"/>
  <c r="K2155" i="3" s="1"/>
  <c r="I2155" i="3" a="1"/>
  <c r="I2155" i="3" s="1"/>
  <c r="J2156" i="3" a="1"/>
  <c r="J2156" i="3" s="1"/>
  <c r="H2156" i="3" a="1"/>
  <c r="H2156" i="3" s="1"/>
  <c r="I2156" i="3" a="1"/>
  <c r="I2156" i="3" s="1"/>
  <c r="K2156" i="3" a="1"/>
  <c r="K2156" i="3" s="1"/>
  <c r="C2158" i="3"/>
  <c r="L2157" i="3"/>
  <c r="F2157" i="3"/>
  <c r="M2157" i="3"/>
  <c r="B2156" i="3" a="1"/>
  <c r="B2156" i="3" s="1"/>
  <c r="A2156" i="3" a="1"/>
  <c r="A2156" i="3" s="1"/>
  <c r="D1375" i="3"/>
  <c r="D2155" i="3" a="1"/>
  <c r="D2156" i="3" a="1"/>
  <c r="D1374" i="3" a="1"/>
  <c r="D2156" i="3" l="1"/>
  <c r="D2155" i="3"/>
  <c r="A2157" i="3" a="1"/>
  <c r="A2157" i="3" s="1"/>
  <c r="B2157" i="3" a="1"/>
  <c r="B2157" i="3" s="1"/>
  <c r="G2157" i="3" a="1"/>
  <c r="G2157" i="3" s="1"/>
  <c r="L2158" i="3"/>
  <c r="M2158" i="3"/>
  <c r="C2159" i="3"/>
  <c r="F2158" i="3"/>
  <c r="G2158" i="3" a="1"/>
  <c r="G2158" i="3" s="1"/>
  <c r="D1374" i="3"/>
  <c r="D1373" i="3" a="1"/>
  <c r="H2158" i="3" l="1" a="1"/>
  <c r="H2158" i="3" s="1"/>
  <c r="I2158" i="3" a="1"/>
  <c r="I2158" i="3" s="1"/>
  <c r="K2158" i="3" a="1"/>
  <c r="K2158" i="3" s="1"/>
  <c r="H2157" i="3" a="1"/>
  <c r="H2157" i="3" s="1"/>
  <c r="I2157" i="3" a="1"/>
  <c r="I2157" i="3" s="1"/>
  <c r="K2157" i="3" a="1"/>
  <c r="K2157" i="3" s="1"/>
  <c r="J2157" i="3" a="1"/>
  <c r="J2157" i="3" s="1"/>
  <c r="J2158" i="3" a="1"/>
  <c r="J2158" i="3" s="1"/>
  <c r="B2158" i="3" a="1"/>
  <c r="B2158" i="3" s="1"/>
  <c r="A2158" i="3" a="1"/>
  <c r="A2158" i="3" s="1"/>
  <c r="F2159" i="3"/>
  <c r="M2159" i="3"/>
  <c r="C2160" i="3"/>
  <c r="L2159" i="3"/>
  <c r="D1373" i="3"/>
  <c r="D2158" i="3" a="1"/>
  <c r="D2157" i="3" a="1"/>
  <c r="D1372" i="3" a="1"/>
  <c r="D2157" i="3" l="1"/>
  <c r="D2158" i="3"/>
  <c r="A2159" i="3" a="1"/>
  <c r="A2159" i="3" s="1"/>
  <c r="B2159" i="3" a="1"/>
  <c r="B2159" i="3" s="1"/>
  <c r="G2159" i="3" a="1"/>
  <c r="G2159" i="3" s="1"/>
  <c r="L2160" i="3"/>
  <c r="M2160" i="3"/>
  <c r="F2160" i="3"/>
  <c r="G2160" i="3" a="1"/>
  <c r="G2160" i="3" s="1"/>
  <c r="C2161" i="3"/>
  <c r="D1372" i="3"/>
  <c r="D1370" i="3" a="1"/>
  <c r="H2160" i="3" l="1" a="1"/>
  <c r="H2160" i="3" s="1"/>
  <c r="I2160" i="3" a="1"/>
  <c r="I2160" i="3" s="1"/>
  <c r="K2160" i="3" a="1"/>
  <c r="K2160" i="3" s="1"/>
  <c r="L2161" i="3"/>
  <c r="M2161" i="3"/>
  <c r="C2162" i="3"/>
  <c r="F2161" i="3"/>
  <c r="A2160" i="3" a="1"/>
  <c r="A2160" i="3" s="1"/>
  <c r="B2160" i="3" a="1"/>
  <c r="B2160" i="3" s="1"/>
  <c r="J2160" i="3" a="1"/>
  <c r="J2160" i="3" s="1"/>
  <c r="H2159" i="3" a="1"/>
  <c r="H2159" i="3" s="1"/>
  <c r="K2159" i="3" a="1"/>
  <c r="K2159" i="3" s="1"/>
  <c r="I2159" i="3" a="1"/>
  <c r="I2159" i="3" s="1"/>
  <c r="J2159" i="3" a="1"/>
  <c r="J2159" i="3" s="1"/>
  <c r="D1370" i="3"/>
  <c r="D2160" i="3" a="1"/>
  <c r="D2159" i="3" a="1"/>
  <c r="D1371" i="3" a="1"/>
  <c r="D2159" i="3" l="1"/>
  <c r="D2160" i="3"/>
  <c r="M2162" i="3"/>
  <c r="L2162" i="3"/>
  <c r="C2163" i="3"/>
  <c r="F2162" i="3"/>
  <c r="G2162" i="3" a="1"/>
  <c r="G2162" i="3" s="1"/>
  <c r="J2162" i="3" s="1" a="1"/>
  <c r="J2162" i="3" s="1"/>
  <c r="A2161" i="3" a="1"/>
  <c r="A2161" i="3" s="1"/>
  <c r="B2161" i="3" a="1"/>
  <c r="B2161" i="3" s="1"/>
  <c r="G2161" i="3" a="1"/>
  <c r="G2161" i="3" s="1"/>
  <c r="D1371" i="3"/>
  <c r="D1369" i="3" a="1"/>
  <c r="J2161" i="3" l="1" a="1"/>
  <c r="J2161" i="3" s="1"/>
  <c r="H2161" i="3" a="1"/>
  <c r="H2161" i="3" s="1"/>
  <c r="I2161" i="3" a="1"/>
  <c r="I2161" i="3" s="1"/>
  <c r="K2161" i="3" a="1"/>
  <c r="K2161" i="3" s="1"/>
  <c r="I2162" i="3" a="1"/>
  <c r="I2162" i="3" s="1"/>
  <c r="K2162" i="3" a="1"/>
  <c r="K2162" i="3" s="1"/>
  <c r="H2162" i="3" a="1"/>
  <c r="H2162" i="3" s="1"/>
  <c r="A2162" i="3" a="1"/>
  <c r="A2162" i="3" s="1"/>
  <c r="B2162" i="3" a="1"/>
  <c r="B2162" i="3" s="1"/>
  <c r="L2163" i="3"/>
  <c r="F2163" i="3"/>
  <c r="C2164" i="3"/>
  <c r="M2163" i="3"/>
  <c r="D1369" i="3"/>
  <c r="D2161" i="3" a="1"/>
  <c r="D2162" i="3" a="1"/>
  <c r="D1368" i="3" a="1"/>
  <c r="D2162" i="3" l="1"/>
  <c r="D2161" i="3"/>
  <c r="B2163" i="3" a="1"/>
  <c r="B2163" i="3" s="1"/>
  <c r="A2163" i="3" a="1"/>
  <c r="A2163" i="3" s="1"/>
  <c r="G2163" i="3" a="1"/>
  <c r="G2163" i="3" s="1"/>
  <c r="F2164" i="3"/>
  <c r="L2164" i="3"/>
  <c r="C2165" i="3"/>
  <c r="M2164" i="3"/>
  <c r="G2164" i="3" a="1"/>
  <c r="G2164" i="3" s="1"/>
  <c r="D1368" i="3"/>
  <c r="D1367" i="3" a="1"/>
  <c r="I2164" i="3" l="1" a="1"/>
  <c r="I2164" i="3" s="1"/>
  <c r="K2164" i="3" a="1"/>
  <c r="K2164" i="3" s="1"/>
  <c r="H2164" i="3" a="1"/>
  <c r="H2164" i="3" s="1"/>
  <c r="B2164" i="3" a="1"/>
  <c r="B2164" i="3" s="1"/>
  <c r="A2164" i="3" a="1"/>
  <c r="A2164" i="3" s="1"/>
  <c r="J2164" i="3" a="1"/>
  <c r="J2164" i="3" s="1"/>
  <c r="C2166" i="3"/>
  <c r="M2165" i="3"/>
  <c r="F2165" i="3"/>
  <c r="L2165" i="3"/>
  <c r="H2163" i="3" a="1"/>
  <c r="H2163" i="3" s="1"/>
  <c r="I2163" i="3" a="1"/>
  <c r="I2163" i="3" s="1"/>
  <c r="K2163" i="3" a="1"/>
  <c r="K2163" i="3" s="1"/>
  <c r="J2163" i="3" a="1"/>
  <c r="J2163" i="3" s="1"/>
  <c r="D1367" i="3"/>
  <c r="D2163" i="3" a="1"/>
  <c r="D2164" i="3" a="1"/>
  <c r="D1366" i="3" a="1"/>
  <c r="D2164" i="3" l="1"/>
  <c r="D2163" i="3"/>
  <c r="B2165" i="3" a="1"/>
  <c r="B2165" i="3" s="1"/>
  <c r="A2165" i="3" a="1"/>
  <c r="A2165" i="3" s="1"/>
  <c r="G2165" i="3" a="1"/>
  <c r="G2165" i="3" s="1"/>
  <c r="F2166" i="3"/>
  <c r="M2166" i="3"/>
  <c r="G2166" i="3" a="1"/>
  <c r="G2166" i="3" s="1"/>
  <c r="C2167" i="3"/>
  <c r="L2166" i="3"/>
  <c r="D1366" i="3"/>
  <c r="D1365" i="3" a="1"/>
  <c r="I2166" i="3" l="1" a="1"/>
  <c r="I2166" i="3" s="1"/>
  <c r="K2166" i="3" a="1"/>
  <c r="K2166" i="3" s="1"/>
  <c r="H2166" i="3" a="1"/>
  <c r="H2166" i="3" s="1"/>
  <c r="A2166" i="3" a="1"/>
  <c r="A2166" i="3" s="1"/>
  <c r="B2166" i="3" a="1"/>
  <c r="B2166" i="3" s="1"/>
  <c r="J2166" i="3" a="1"/>
  <c r="J2166" i="3" s="1"/>
  <c r="F2167" i="3"/>
  <c r="L2167" i="3"/>
  <c r="G2167" i="3" a="1"/>
  <c r="G2167" i="3" s="1"/>
  <c r="J2167" i="3" s="1" a="1"/>
  <c r="J2167" i="3" s="1"/>
  <c r="M2167" i="3"/>
  <c r="C2168" i="3"/>
  <c r="H2165" i="3" a="1"/>
  <c r="H2165" i="3" s="1"/>
  <c r="K2165" i="3" a="1"/>
  <c r="K2165" i="3" s="1"/>
  <c r="I2165" i="3" a="1"/>
  <c r="I2165" i="3" s="1"/>
  <c r="J2165" i="3" a="1"/>
  <c r="J2165" i="3" s="1"/>
  <c r="D1365" i="3"/>
  <c r="D2165" i="3" a="1"/>
  <c r="D2166" i="3" a="1"/>
  <c r="D1364" i="3" a="1"/>
  <c r="D2166" i="3" l="1"/>
  <c r="D2165" i="3"/>
  <c r="A2167" i="3" a="1"/>
  <c r="A2167" i="3" s="1"/>
  <c r="B2167" i="3" a="1"/>
  <c r="B2167" i="3" s="1"/>
  <c r="M2168" i="3"/>
  <c r="L2168" i="3"/>
  <c r="F2168" i="3"/>
  <c r="C2169" i="3"/>
  <c r="G2168" i="3" a="1"/>
  <c r="G2168" i="3" s="1"/>
  <c r="K2167" i="3" a="1"/>
  <c r="K2167" i="3" s="1"/>
  <c r="H2167" i="3" a="1"/>
  <c r="H2167" i="3" s="1"/>
  <c r="I2167" i="3" a="1"/>
  <c r="I2167" i="3" s="1"/>
  <c r="D1364" i="3"/>
  <c r="D2167" i="3" a="1"/>
  <c r="D1363" i="3" a="1"/>
  <c r="D2167" i="3" l="1"/>
  <c r="L2169" i="3"/>
  <c r="F2169" i="3"/>
  <c r="G2169" i="3" a="1"/>
  <c r="G2169" i="3" s="1"/>
  <c r="M2169" i="3"/>
  <c r="C2170" i="3"/>
  <c r="I2168" i="3" a="1"/>
  <c r="I2168" i="3" s="1"/>
  <c r="K2168" i="3" a="1"/>
  <c r="K2168" i="3" s="1"/>
  <c r="H2168" i="3" a="1"/>
  <c r="H2168" i="3" s="1"/>
  <c r="B2168" i="3" a="1"/>
  <c r="B2168" i="3" s="1"/>
  <c r="A2168" i="3" a="1"/>
  <c r="A2168" i="3" s="1"/>
  <c r="J2168" i="3" a="1"/>
  <c r="J2168" i="3" s="1"/>
  <c r="D1363" i="3"/>
  <c r="D2168" i="3" a="1"/>
  <c r="D1362" i="3" a="1"/>
  <c r="D2168" i="3" l="1"/>
  <c r="I2169" i="3" a="1"/>
  <c r="I2169" i="3" s="1"/>
  <c r="K2169" i="3" a="1"/>
  <c r="K2169" i="3" s="1"/>
  <c r="H2169" i="3" a="1"/>
  <c r="H2169" i="3" s="1"/>
  <c r="B2169" i="3" a="1"/>
  <c r="B2169" i="3" s="1"/>
  <c r="A2169" i="3" a="1"/>
  <c r="A2169" i="3" s="1"/>
  <c r="J2169" i="3" a="1"/>
  <c r="J2169" i="3" s="1"/>
  <c r="M2170" i="3"/>
  <c r="F2170" i="3"/>
  <c r="C2171" i="3"/>
  <c r="G2170" i="3" a="1"/>
  <c r="G2170" i="3" s="1"/>
  <c r="L2170" i="3"/>
  <c r="D1362" i="3"/>
  <c r="D2169" i="3" a="1"/>
  <c r="D1361" i="3" a="1"/>
  <c r="D2169" i="3" l="1"/>
  <c r="H2170" i="3" a="1"/>
  <c r="H2170" i="3" s="1"/>
  <c r="I2170" i="3" a="1"/>
  <c r="I2170" i="3" s="1"/>
  <c r="K2170" i="3" a="1"/>
  <c r="K2170" i="3" s="1"/>
  <c r="F2171" i="3"/>
  <c r="L2171" i="3"/>
  <c r="M2171" i="3"/>
  <c r="G2171" i="3" a="1"/>
  <c r="G2171" i="3" s="1"/>
  <c r="J2171" i="3" s="1" a="1"/>
  <c r="J2171" i="3" s="1"/>
  <c r="C2172" i="3"/>
  <c r="A2170" i="3" a="1"/>
  <c r="A2170" i="3" s="1"/>
  <c r="B2170" i="3" a="1"/>
  <c r="B2170" i="3" s="1"/>
  <c r="J2170" i="3" a="1"/>
  <c r="J2170" i="3" s="1"/>
  <c r="D1361" i="3"/>
  <c r="D2170" i="3" a="1"/>
  <c r="D1360" i="3" a="1"/>
  <c r="D2170" i="3" l="1"/>
  <c r="F2172" i="3"/>
  <c r="M2172" i="3"/>
  <c r="G2172" i="3" a="1"/>
  <c r="G2172" i="3" s="1"/>
  <c r="L2172" i="3"/>
  <c r="C2173" i="3"/>
  <c r="J2172" i="3" a="1"/>
  <c r="J2172" i="3" s="1"/>
  <c r="B2171" i="3" a="1"/>
  <c r="B2171" i="3" s="1"/>
  <c r="A2171" i="3" a="1"/>
  <c r="A2171" i="3" s="1"/>
  <c r="H2171" i="3" a="1"/>
  <c r="H2171" i="3" s="1"/>
  <c r="K2171" i="3" a="1"/>
  <c r="K2171" i="3" s="1"/>
  <c r="I2171" i="3" a="1"/>
  <c r="I2171" i="3" s="1"/>
  <c r="D1360" i="3"/>
  <c r="D2171" i="3" a="1"/>
  <c r="D1359" i="3" a="1"/>
  <c r="D2171" i="3" l="1"/>
  <c r="M2173" i="3"/>
  <c r="C2174" i="3"/>
  <c r="F2173" i="3"/>
  <c r="G2173" i="3" a="1"/>
  <c r="G2173" i="3" s="1"/>
  <c r="L2173" i="3"/>
  <c r="J2173" i="3" a="1"/>
  <c r="J2173" i="3" s="1"/>
  <c r="K2172" i="3" a="1"/>
  <c r="K2172" i="3" s="1"/>
  <c r="I2172" i="3" a="1"/>
  <c r="I2172" i="3" s="1"/>
  <c r="H2172" i="3" a="1"/>
  <c r="H2172" i="3" s="1"/>
  <c r="B2172" i="3" a="1"/>
  <c r="B2172" i="3" s="1"/>
  <c r="A2172" i="3" a="1"/>
  <c r="A2172" i="3" s="1"/>
  <c r="D1359" i="3"/>
  <c r="D2172" i="3" a="1"/>
  <c r="D1358" i="3" a="1"/>
  <c r="D2172" i="3" l="1"/>
  <c r="K2173" i="3" a="1"/>
  <c r="K2173" i="3" s="1"/>
  <c r="H2173" i="3" a="1"/>
  <c r="H2173" i="3" s="1"/>
  <c r="I2173" i="3" a="1"/>
  <c r="I2173" i="3" s="1"/>
  <c r="A2173" i="3" a="1"/>
  <c r="A2173" i="3" s="1"/>
  <c r="B2173" i="3" a="1"/>
  <c r="B2173" i="3" s="1"/>
  <c r="F2174" i="3"/>
  <c r="M2174" i="3"/>
  <c r="G2174" i="3" a="1"/>
  <c r="G2174" i="3" s="1"/>
  <c r="L2174" i="3"/>
  <c r="C2175" i="3"/>
  <c r="D1358" i="3"/>
  <c r="D2173" i="3" a="1"/>
  <c r="D1357" i="3" a="1"/>
  <c r="D2173" i="3" l="1"/>
  <c r="B2174" i="3" a="1"/>
  <c r="B2174" i="3" s="1"/>
  <c r="A2174" i="3" a="1"/>
  <c r="A2174" i="3" s="1"/>
  <c r="J2174" i="3" a="1"/>
  <c r="J2174" i="3" s="1"/>
  <c r="H2174" i="3" a="1"/>
  <c r="H2174" i="3" s="1"/>
  <c r="K2174" i="3" a="1"/>
  <c r="K2174" i="3" s="1"/>
  <c r="I2174" i="3" a="1"/>
  <c r="I2174" i="3" s="1"/>
  <c r="F2175" i="3"/>
  <c r="M2175" i="3"/>
  <c r="G2175" i="3" a="1"/>
  <c r="G2175" i="3" s="1"/>
  <c r="J2175" i="3" s="1" a="1"/>
  <c r="J2175" i="3" s="1"/>
  <c r="C2176" i="3"/>
  <c r="L2175" i="3"/>
  <c r="D1357" i="3"/>
  <c r="D2174" i="3" a="1"/>
  <c r="D1356" i="3" a="1"/>
  <c r="D2174" i="3" l="1"/>
  <c r="A2175" i="3" a="1"/>
  <c r="A2175" i="3" s="1"/>
  <c r="B2175" i="3" a="1"/>
  <c r="B2175" i="3" s="1"/>
  <c r="F2176" i="3"/>
  <c r="G2176" i="3" a="1"/>
  <c r="G2176" i="3" s="1"/>
  <c r="L2176" i="3"/>
  <c r="C2177" i="3"/>
  <c r="M2176" i="3"/>
  <c r="I2175" i="3" a="1"/>
  <c r="I2175" i="3" s="1"/>
  <c r="K2175" i="3" a="1"/>
  <c r="K2175" i="3" s="1"/>
  <c r="H2175" i="3" a="1"/>
  <c r="H2175" i="3" s="1"/>
  <c r="D1356" i="3"/>
  <c r="D2175" i="3" a="1"/>
  <c r="D1355" i="3" a="1"/>
  <c r="D2175" i="3" l="1"/>
  <c r="K2176" i="3" a="1"/>
  <c r="K2176" i="3" s="1"/>
  <c r="H2176" i="3" a="1"/>
  <c r="H2176" i="3" s="1"/>
  <c r="I2176" i="3" a="1"/>
  <c r="I2176" i="3" s="1"/>
  <c r="J2176" i="3" a="1"/>
  <c r="J2176" i="3" s="1"/>
  <c r="L2177" i="3"/>
  <c r="F2177" i="3"/>
  <c r="C2178" i="3"/>
  <c r="M2177" i="3"/>
  <c r="G2177" i="3" a="1"/>
  <c r="G2177" i="3" s="1"/>
  <c r="B2176" i="3" a="1"/>
  <c r="B2176" i="3" s="1"/>
  <c r="A2176" i="3" a="1"/>
  <c r="A2176" i="3" s="1"/>
  <c r="D1355" i="3"/>
  <c r="D2176" i="3" a="1"/>
  <c r="D1354" i="3" a="1"/>
  <c r="D2176" i="3" l="1"/>
  <c r="I2177" i="3" a="1"/>
  <c r="I2177" i="3" s="1"/>
  <c r="K2177" i="3" a="1"/>
  <c r="K2177" i="3" s="1"/>
  <c r="H2177" i="3" a="1"/>
  <c r="H2177" i="3" s="1"/>
  <c r="B2177" i="3" a="1"/>
  <c r="B2177" i="3" s="1"/>
  <c r="A2177" i="3" a="1"/>
  <c r="A2177" i="3" s="1"/>
  <c r="F2178" i="3"/>
  <c r="C2179" i="3"/>
  <c r="M2178" i="3"/>
  <c r="G2178" i="3" a="1"/>
  <c r="G2178" i="3" s="1"/>
  <c r="J2178" i="3" s="1" a="1"/>
  <c r="J2178" i="3" s="1"/>
  <c r="L2178" i="3"/>
  <c r="J2177" i="3" a="1"/>
  <c r="J2177" i="3" s="1"/>
  <c r="D1354" i="3"/>
  <c r="D2177" i="3" a="1"/>
  <c r="D1353" i="3" a="1"/>
  <c r="D2177" i="3" l="1"/>
  <c r="L2179" i="3"/>
  <c r="F2179" i="3"/>
  <c r="G2179" i="3" a="1"/>
  <c r="G2179" i="3" s="1"/>
  <c r="M2179" i="3"/>
  <c r="J2179" i="3" a="1"/>
  <c r="J2179" i="3" s="1"/>
  <c r="I2178" i="3" a="1"/>
  <c r="I2178" i="3" s="1"/>
  <c r="H2178" i="3" a="1"/>
  <c r="H2178" i="3" s="1"/>
  <c r="K2178" i="3" a="1"/>
  <c r="K2178" i="3" s="1"/>
  <c r="A2178" i="3" a="1"/>
  <c r="A2178" i="3" s="1"/>
  <c r="B2178" i="3" a="1"/>
  <c r="B2178" i="3" s="1"/>
  <c r="D1353" i="3"/>
  <c r="D2178" i="3" a="1"/>
  <c r="D1351" i="3" a="1"/>
  <c r="D2178" i="3" l="1"/>
  <c r="K2179" i="3" a="1"/>
  <c r="K2179" i="3" s="1"/>
  <c r="H2179" i="3" a="1"/>
  <c r="H2179" i="3" s="1"/>
  <c r="I2179" i="3" a="1"/>
  <c r="I2179" i="3" s="1"/>
  <c r="B2179" i="3" a="1"/>
  <c r="B2179" i="3" s="1"/>
  <c r="A2179" i="3" a="1"/>
  <c r="A2179" i="3" s="1"/>
  <c r="D1351" i="3"/>
  <c r="D2179" i="3" a="1"/>
  <c r="D1352" i="3" a="1"/>
  <c r="D2179" i="3" l="1"/>
  <c r="D1352" i="3"/>
  <c r="D1350" i="3" a="1"/>
  <c r="D1350" i="3" l="1"/>
  <c r="D1348" i="3" a="1"/>
  <c r="D1348" i="3" l="1"/>
  <c r="D1349" i="3" a="1"/>
  <c r="D1349" i="3" l="1"/>
  <c r="D1347" i="3" a="1"/>
  <c r="D1347" i="3" l="1"/>
  <c r="D1346" i="3" a="1"/>
  <c r="D1346" i="3" l="1"/>
  <c r="D1345" i="3" a="1"/>
  <c r="D1345" i="3" l="1"/>
  <c r="D1344" i="3" a="1"/>
  <c r="D1344" i="3" l="1"/>
  <c r="D1343" i="3" a="1"/>
  <c r="D1343" i="3" l="1"/>
  <c r="D1342" i="3" a="1"/>
  <c r="D1342" i="3" l="1"/>
  <c r="D1341" i="3" a="1"/>
  <c r="D1341" i="3" l="1"/>
  <c r="D1340" i="3" a="1"/>
  <c r="D1340" i="3" l="1"/>
  <c r="D1339" i="3" a="1"/>
  <c r="D1339" i="3" l="1"/>
  <c r="D1337" i="3" a="1"/>
  <c r="D1337" i="3" l="1"/>
  <c r="D1338" i="3" a="1"/>
  <c r="D1338" i="3" l="1"/>
  <c r="D1336" i="3" a="1"/>
  <c r="D1336" i="3" l="1"/>
  <c r="D1335" i="3" a="1"/>
  <c r="D1335" i="3" l="1"/>
  <c r="D1334" i="3" a="1"/>
  <c r="D1334" i="3" l="1"/>
  <c r="D1333" i="3" a="1"/>
  <c r="D1333" i="3" l="1"/>
  <c r="D1332" i="3" a="1"/>
  <c r="D1332" i="3" l="1"/>
  <c r="D1331" i="3" a="1"/>
  <c r="D1331" i="3" l="1"/>
  <c r="D1330" i="3" a="1"/>
  <c r="D1330" i="3" l="1"/>
  <c r="D1329" i="3" a="1"/>
  <c r="D1329" i="3" l="1"/>
  <c r="D1328" i="3" a="1"/>
  <c r="D1328" i="3" l="1"/>
  <c r="D1327" i="3" a="1"/>
  <c r="D1327" i="3" l="1"/>
  <c r="D1326" i="3" a="1"/>
  <c r="D1326" i="3" l="1"/>
  <c r="D1325" i="3" a="1"/>
  <c r="D1325" i="3" l="1"/>
  <c r="D1324" i="3" a="1"/>
  <c r="D1324" i="3" l="1"/>
  <c r="D1323" i="3" a="1"/>
  <c r="D1323" i="3" l="1"/>
  <c r="D1321" i="3" a="1"/>
  <c r="D1321" i="3" l="1"/>
  <c r="D1322" i="3" a="1"/>
  <c r="D1322" i="3" l="1"/>
  <c r="D1320" i="3" a="1"/>
  <c r="D1320" i="3" l="1"/>
  <c r="D1319" i="3" a="1"/>
  <c r="D1319" i="3" l="1"/>
  <c r="D1318" i="3" a="1"/>
  <c r="D1318" i="3" l="1"/>
  <c r="D1317" i="3" a="1"/>
  <c r="D1317" i="3" l="1"/>
  <c r="D1316" i="3" a="1"/>
  <c r="D1316" i="3" l="1"/>
  <c r="D1315" i="3" a="1"/>
  <c r="D1315" i="3" l="1"/>
  <c r="D1314" i="3" a="1"/>
  <c r="D1314" i="3" l="1"/>
  <c r="D1313" i="3" a="1"/>
  <c r="D1313" i="3" l="1"/>
  <c r="D1312" i="3" a="1"/>
  <c r="D1312" i="3" l="1"/>
  <c r="D1311" i="3" a="1"/>
  <c r="D1311" i="3" l="1"/>
  <c r="D1310" i="3" a="1"/>
  <c r="D1310" i="3" l="1"/>
  <c r="D1309" i="3" a="1"/>
  <c r="D1309" i="3" l="1"/>
  <c r="D1308" i="3" a="1"/>
  <c r="D1308" i="3" l="1"/>
  <c r="D1307" i="3" a="1"/>
  <c r="D1307" i="3" l="1"/>
  <c r="D1306" i="3" a="1"/>
  <c r="D1306" i="3" l="1"/>
  <c r="D1305" i="3" a="1"/>
  <c r="D1305" i="3" l="1"/>
  <c r="D1304" i="3" a="1"/>
  <c r="D1304" i="3" l="1"/>
  <c r="D1303" i="3" a="1"/>
  <c r="D1303" i="3" l="1"/>
  <c r="D1302" i="3" a="1"/>
  <c r="D1302" i="3" l="1"/>
  <c r="D1301" i="3" a="1"/>
  <c r="D1301" i="3" l="1"/>
  <c r="D1300" i="3" a="1"/>
  <c r="D1300" i="3" l="1"/>
  <c r="D1299" i="3" a="1"/>
  <c r="D1299" i="3" l="1"/>
  <c r="D1298" i="3" a="1"/>
  <c r="D1298" i="3" l="1"/>
  <c r="D1297" i="3" a="1"/>
  <c r="D1297" i="3" l="1"/>
  <c r="D1296" i="3" a="1"/>
  <c r="D1296" i="3" l="1"/>
  <c r="D1295" i="3" a="1"/>
  <c r="D1295" i="3" l="1"/>
  <c r="D1294" i="3" a="1"/>
  <c r="D1294" i="3" l="1"/>
  <c r="D1293" i="3" a="1"/>
  <c r="D1293" i="3" l="1"/>
  <c r="D1291" i="3" a="1"/>
  <c r="D1291" i="3" l="1"/>
  <c r="D1292" i="3" a="1"/>
  <c r="D1292" i="3" l="1"/>
  <c r="D1290" i="3" a="1"/>
  <c r="D1290" i="3" l="1"/>
  <c r="D1289" i="3" a="1"/>
  <c r="D1289" i="3" l="1"/>
  <c r="D1288" i="3" a="1"/>
  <c r="D1288" i="3" l="1"/>
  <c r="D1287" i="3" a="1"/>
  <c r="D1287" i="3" l="1"/>
  <c r="D1286" i="3" a="1"/>
  <c r="D1286" i="3" l="1"/>
  <c r="D1285" i="3" a="1"/>
  <c r="D1285" i="3" l="1"/>
  <c r="D1284" i="3" a="1"/>
  <c r="D1284" i="3" l="1"/>
  <c r="D1283" i="3" a="1"/>
  <c r="D1283" i="3" l="1"/>
  <c r="D1282" i="3" a="1"/>
  <c r="D1282" i="3" l="1"/>
  <c r="D1281" i="3" a="1"/>
  <c r="D1281" i="3" l="1"/>
  <c r="D1280" i="3" a="1"/>
  <c r="D1280" i="3" l="1"/>
  <c r="D1279" i="3" a="1"/>
  <c r="D1279" i="3" l="1"/>
  <c r="D1278" i="3" a="1"/>
  <c r="D1278" i="3" l="1"/>
  <c r="D1277" i="3" a="1"/>
  <c r="D1277" i="3" l="1"/>
  <c r="D1276" i="3" a="1"/>
  <c r="D1276" i="3" l="1"/>
  <c r="D1275" i="3" a="1"/>
  <c r="D1275" i="3" l="1"/>
  <c r="D1274" i="3" a="1"/>
  <c r="D1274" i="3" l="1"/>
  <c r="D1273" i="3" a="1"/>
  <c r="D1273" i="3" l="1"/>
  <c r="D1272" i="3" a="1"/>
  <c r="D1272" i="3" l="1"/>
  <c r="D1271" i="3" a="1"/>
  <c r="D1271" i="3" l="1"/>
  <c r="D1270" i="3" a="1"/>
  <c r="D1270" i="3" l="1"/>
  <c r="D1269" i="3" a="1"/>
  <c r="D1269" i="3" l="1"/>
  <c r="D1267" i="3" a="1"/>
  <c r="D1267" i="3" l="1"/>
  <c r="D1268" i="3" a="1"/>
  <c r="D1268" i="3" l="1"/>
  <c r="D1266" i="3" a="1"/>
  <c r="D1266" i="3" l="1"/>
  <c r="D1265" i="3" a="1"/>
  <c r="D1265" i="3" l="1"/>
  <c r="D1264" i="3" a="1"/>
  <c r="D1264" i="3" l="1"/>
  <c r="D1263" i="3" a="1"/>
  <c r="D1263" i="3" l="1"/>
  <c r="D1262" i="3" a="1"/>
  <c r="D1262" i="3" l="1"/>
  <c r="D1261" i="3" a="1"/>
  <c r="D1261" i="3" l="1"/>
  <c r="D1260" i="3" a="1"/>
  <c r="D1260" i="3" l="1"/>
  <c r="D1258" i="3" a="1"/>
  <c r="D1258" i="3" l="1"/>
  <c r="D1259" i="3" a="1"/>
  <c r="D1259" i="3" l="1"/>
  <c r="D1257" i="3" a="1"/>
  <c r="D1257" i="3" l="1"/>
  <c r="D1256" i="3" a="1"/>
  <c r="D1256" i="3" l="1"/>
  <c r="D1255" i="3" a="1"/>
  <c r="D1255" i="3" l="1"/>
  <c r="D1254" i="3" a="1"/>
  <c r="D1254" i="3" l="1"/>
  <c r="D1253" i="3" a="1"/>
  <c r="D1253" i="3" l="1"/>
  <c r="D1252" i="3" a="1"/>
  <c r="D1252" i="3" l="1"/>
  <c r="D1251" i="3" a="1"/>
  <c r="D1251" i="3" l="1"/>
  <c r="D1250" i="3" a="1"/>
  <c r="D1250" i="3" l="1"/>
  <c r="D1249" i="3" a="1"/>
  <c r="D1249" i="3" l="1"/>
  <c r="D1247" i="3" a="1"/>
  <c r="D1247" i="3" l="1"/>
  <c r="D1248" i="3" a="1"/>
  <c r="D1248" i="3" l="1"/>
  <c r="D1246" i="3" a="1"/>
  <c r="D1246" i="3" l="1"/>
  <c r="D1245" i="3" a="1"/>
  <c r="D1245" i="3" l="1"/>
  <c r="D1244" i="3" a="1"/>
  <c r="D1244" i="3" l="1"/>
  <c r="D1243" i="3" a="1"/>
  <c r="D1243" i="3" l="1"/>
  <c r="D1242" i="3" a="1"/>
  <c r="D1242" i="3" l="1"/>
  <c r="D1241" i="3" a="1"/>
  <c r="D1241" i="3" l="1"/>
  <c r="D1240" i="3" a="1"/>
  <c r="D1240" i="3" l="1"/>
  <c r="D1238" i="3" a="1"/>
  <c r="D1238" i="3" l="1"/>
  <c r="D1239" i="3" a="1"/>
  <c r="D1239" i="3" l="1"/>
  <c r="D1237" i="3" a="1"/>
  <c r="D1237" i="3" l="1"/>
  <c r="D1236" i="3" a="1"/>
  <c r="D1236" i="3" l="1"/>
  <c r="D1235" i="3" a="1"/>
  <c r="D1235" i="3" l="1"/>
  <c r="D1234" i="3" a="1"/>
  <c r="D1234" i="3" l="1"/>
  <c r="D1233" i="3" a="1"/>
  <c r="D1233" i="3" l="1"/>
  <c r="D1232" i="3" a="1"/>
  <c r="D1232" i="3" l="1"/>
  <c r="D1231" i="3" a="1"/>
  <c r="D1231" i="3" l="1"/>
  <c r="D1230" i="3" a="1"/>
  <c r="D1230" i="3" l="1"/>
  <c r="D1229" i="3" a="1"/>
  <c r="D1229" i="3" l="1"/>
  <c r="D1228" i="3" a="1"/>
  <c r="D1228" i="3" l="1"/>
  <c r="D1227" i="3" a="1"/>
  <c r="D1227" i="3" l="1"/>
  <c r="D1226" i="3" a="1"/>
  <c r="D1226" i="3" l="1"/>
  <c r="D1225" i="3" a="1"/>
  <c r="D1225" i="3" l="1"/>
  <c r="D1224" i="3" a="1"/>
  <c r="D1224" i="3" l="1"/>
  <c r="D1223" i="3" a="1"/>
  <c r="D1223" i="3" l="1"/>
  <c r="D1222" i="3" a="1"/>
  <c r="D1222" i="3" l="1"/>
  <c r="D1221" i="3" a="1"/>
  <c r="D1221" i="3" l="1"/>
  <c r="D1220" i="3" a="1"/>
  <c r="D1220" i="3" l="1"/>
  <c r="D1219" i="3" a="1"/>
  <c r="D1219" i="3" l="1"/>
  <c r="D1218" i="3" a="1"/>
  <c r="D1218" i="3" l="1"/>
  <c r="D1217" i="3" a="1"/>
  <c r="D1217" i="3" l="1"/>
  <c r="D1216" i="3" a="1"/>
  <c r="D1216" i="3" l="1"/>
  <c r="D1214" i="3" a="1"/>
  <c r="D1214" i="3" l="1"/>
  <c r="D1215" i="3" a="1"/>
  <c r="D1215" i="3" l="1"/>
  <c r="D1213" i="3" a="1"/>
  <c r="D1213" i="3" l="1"/>
  <c r="D1212" i="3" a="1"/>
  <c r="D1212" i="3" l="1"/>
  <c r="D1211" i="3" a="1"/>
  <c r="D1211" i="3" l="1"/>
  <c r="D1210" i="3" a="1"/>
  <c r="D1210" i="3" l="1"/>
  <c r="D1208" i="3" a="1"/>
  <c r="D1208" i="3" l="1"/>
  <c r="D1209" i="3" a="1"/>
  <c r="D1209" i="3" l="1"/>
  <c r="D1207" i="3" a="1"/>
  <c r="D1207" i="3" l="1"/>
  <c r="D1206" i="3" a="1"/>
  <c r="D1206" i="3" l="1"/>
  <c r="D1205" i="3" a="1"/>
  <c r="D1205" i="3" l="1"/>
  <c r="D1204" i="3" a="1"/>
  <c r="D1204" i="3" l="1"/>
  <c r="D1202" i="3" a="1"/>
  <c r="D1202" i="3" l="1"/>
  <c r="D1203" i="3" a="1"/>
  <c r="D1203" i="3" l="1"/>
  <c r="D1201" i="3" a="1"/>
  <c r="D1201" i="3" l="1"/>
  <c r="D1200" i="3" a="1"/>
  <c r="D1200" i="3" l="1"/>
  <c r="D1199" i="3" a="1"/>
  <c r="D1199" i="3" l="1"/>
  <c r="D1198" i="3" a="1"/>
  <c r="D1198" i="3" l="1"/>
  <c r="D1197" i="3" a="1"/>
  <c r="D1197" i="3" l="1"/>
  <c r="D1196" i="3" a="1"/>
  <c r="D1196" i="3" l="1"/>
  <c r="D1195" i="3" a="1"/>
  <c r="D1195" i="3" l="1"/>
  <c r="D1194" i="3" a="1"/>
  <c r="D1194" i="3" l="1"/>
  <c r="D1193" i="3" a="1"/>
  <c r="D1193" i="3" l="1"/>
  <c r="D1192" i="3" a="1"/>
  <c r="D1192" i="3" l="1"/>
  <c r="D1191" i="3" a="1"/>
  <c r="D1191" i="3" l="1"/>
  <c r="D1190" i="3" a="1"/>
  <c r="D1190" i="3" l="1"/>
  <c r="D1189" i="3" a="1"/>
  <c r="D1189" i="3" l="1"/>
  <c r="D1188" i="3" a="1"/>
  <c r="D1188" i="3" l="1"/>
  <c r="D1187" i="3" a="1"/>
  <c r="D1187" i="3" l="1"/>
  <c r="D1185" i="3" a="1"/>
  <c r="D1185" i="3" l="1"/>
  <c r="D1186" i="3" a="1"/>
  <c r="D1186" i="3" l="1"/>
  <c r="D1184" i="3" a="1"/>
  <c r="D1184" i="3" l="1"/>
  <c r="D1183" i="3" a="1"/>
  <c r="D1183" i="3" l="1"/>
  <c r="D1182" i="3" a="1"/>
  <c r="D1182" i="3" l="1"/>
  <c r="D1181" i="3" a="1"/>
  <c r="D1181" i="3" l="1"/>
  <c r="D1180" i="3" a="1"/>
  <c r="D1180" i="3" l="1"/>
  <c r="D1179" i="3" a="1"/>
  <c r="D1179" i="3" l="1"/>
  <c r="D1178" i="3" a="1"/>
  <c r="D1178" i="3" l="1"/>
  <c r="D1177" i="3" a="1"/>
  <c r="D1177" i="3" l="1"/>
  <c r="D1176" i="3" a="1"/>
  <c r="D1176" i="3" l="1"/>
  <c r="D1175" i="3" a="1"/>
  <c r="D1175" i="3" l="1"/>
  <c r="D1174" i="3" a="1"/>
  <c r="D1174" i="3" l="1"/>
  <c r="D1173" i="3" a="1"/>
  <c r="D1173" i="3" l="1"/>
  <c r="D1172" i="3" a="1"/>
  <c r="D1172" i="3" l="1"/>
  <c r="D1171" i="3" a="1"/>
  <c r="D1171" i="3" l="1"/>
  <c r="D1170" i="3" a="1"/>
  <c r="D1170" i="3" l="1"/>
  <c r="D1169" i="3" a="1"/>
  <c r="D1169" i="3" l="1"/>
  <c r="D1167" i="3" a="1"/>
  <c r="D1167" i="3" l="1"/>
  <c r="D1168" i="3" a="1"/>
  <c r="D1168" i="3" l="1"/>
  <c r="D1166" i="3" a="1"/>
  <c r="D1166" i="3" l="1"/>
  <c r="D1165" i="3" a="1"/>
  <c r="D1165" i="3" l="1"/>
  <c r="D1164" i="3" a="1"/>
  <c r="D1164" i="3" l="1"/>
  <c r="D1163" i="3" a="1"/>
  <c r="D1163" i="3" l="1"/>
  <c r="D1161" i="3" a="1"/>
  <c r="D1161" i="3" l="1"/>
  <c r="D1162" i="3" a="1"/>
  <c r="D1162" i="3" l="1"/>
  <c r="D1160" i="3" a="1"/>
  <c r="D1160" i="3" l="1"/>
  <c r="D1159" i="3" a="1"/>
  <c r="D1159" i="3" l="1"/>
  <c r="D1158" i="3" a="1"/>
  <c r="D1158" i="3" l="1"/>
  <c r="D1157" i="3" a="1"/>
  <c r="D1157" i="3" l="1"/>
  <c r="D1156" i="3" a="1"/>
  <c r="D1156" i="3" l="1"/>
  <c r="D1155" i="3" a="1"/>
  <c r="D1155" i="3" l="1"/>
  <c r="D1154" i="3" a="1"/>
  <c r="D1154" i="3" l="1"/>
  <c r="D1153" i="3" a="1"/>
  <c r="D1153" i="3" l="1"/>
  <c r="D1152" i="3" a="1"/>
  <c r="D1152" i="3" l="1"/>
  <c r="D1151" i="3" a="1"/>
  <c r="D1151" i="3" l="1"/>
  <c r="D1150" i="3" a="1"/>
  <c r="D1150" i="3" l="1"/>
  <c r="D1149" i="3" a="1"/>
  <c r="D1149" i="3" l="1"/>
  <c r="D1148" i="3" a="1"/>
  <c r="D1148" i="3" l="1"/>
  <c r="D1147" i="3" a="1"/>
  <c r="D1147" i="3" l="1"/>
  <c r="D1146" i="3" a="1"/>
  <c r="D1146" i="3" l="1"/>
  <c r="D1145" i="3" a="1"/>
  <c r="D1145" i="3" l="1"/>
  <c r="D1144" i="3" a="1"/>
  <c r="D1144" i="3" l="1"/>
  <c r="D1143" i="3" a="1"/>
  <c r="D1143" i="3" l="1"/>
  <c r="D1142" i="3" a="1"/>
  <c r="D1142" i="3" l="1"/>
  <c r="D1141" i="3" a="1"/>
  <c r="D1141" i="3" l="1"/>
  <c r="D1140" i="3" a="1"/>
  <c r="D1140" i="3" l="1"/>
  <c r="D1139" i="3" a="1"/>
  <c r="D1139" i="3" l="1"/>
  <c r="D1138" i="3" a="1"/>
  <c r="D1138" i="3" l="1"/>
  <c r="D1137" i="3" a="1"/>
  <c r="D1137" i="3" l="1"/>
  <c r="D1136" i="3" a="1"/>
  <c r="D1136" i="3" l="1"/>
  <c r="D1135" i="3" a="1"/>
  <c r="D1135" i="3" l="1"/>
  <c r="D1134" i="3" a="1"/>
  <c r="D1134" i="3" l="1"/>
  <c r="D1133" i="3" a="1"/>
  <c r="D1133" i="3" l="1"/>
  <c r="D1132" i="3" a="1"/>
  <c r="D1132" i="3" l="1"/>
  <c r="D1131" i="3" a="1"/>
  <c r="D1131" i="3" l="1"/>
  <c r="D1130" i="3" a="1"/>
  <c r="D1130" i="3" l="1"/>
  <c r="D1129" i="3" a="1"/>
  <c r="D1129" i="3" l="1"/>
  <c r="D1128" i="3" a="1"/>
  <c r="D1128" i="3" l="1"/>
  <c r="D1127" i="3" a="1"/>
  <c r="D1127" i="3" l="1"/>
  <c r="D1125" i="3" a="1"/>
  <c r="D1125" i="3" l="1"/>
  <c r="D1126" i="3" a="1"/>
  <c r="D1126" i="3" l="1"/>
  <c r="D1124" i="3" a="1"/>
  <c r="D1124" i="3" l="1"/>
  <c r="D1123" i="3" a="1"/>
  <c r="D1123" i="3" l="1"/>
  <c r="D1122" i="3" a="1"/>
  <c r="D1122" i="3" l="1"/>
  <c r="D1121" i="3" a="1"/>
  <c r="D1121" i="3" l="1"/>
  <c r="D1120" i="3" a="1"/>
  <c r="D1120" i="3" l="1"/>
  <c r="D1119" i="3" a="1"/>
  <c r="D1119" i="3" l="1"/>
  <c r="D1118" i="3" a="1"/>
  <c r="D1118" i="3" l="1"/>
  <c r="D1117" i="3" a="1"/>
  <c r="D1117" i="3" l="1"/>
  <c r="D1116" i="3" a="1"/>
  <c r="D1116" i="3" l="1"/>
  <c r="D1115" i="3" a="1"/>
  <c r="D1115" i="3" l="1"/>
  <c r="D1114" i="3" a="1"/>
  <c r="D1114" i="3" l="1"/>
  <c r="D1113" i="3" a="1"/>
  <c r="D1113" i="3" l="1"/>
  <c r="D1112" i="3" a="1"/>
  <c r="D1112" i="3" l="1"/>
  <c r="D1111" i="3" a="1"/>
  <c r="D1111" i="3" l="1"/>
  <c r="D1110" i="3" a="1"/>
  <c r="D1110" i="3" l="1"/>
  <c r="D1109" i="3" a="1"/>
  <c r="D1109" i="3" l="1"/>
  <c r="D1108" i="3" a="1"/>
  <c r="D1108" i="3" l="1"/>
  <c r="D1107" i="3" a="1"/>
  <c r="D1107" i="3" l="1"/>
  <c r="D1106" i="3" a="1"/>
  <c r="D1106" i="3" l="1"/>
  <c r="D1105" i="3" a="1"/>
  <c r="D1105" i="3" l="1"/>
  <c r="D1104" i="3" a="1"/>
  <c r="D1104" i="3" l="1"/>
  <c r="D1103" i="3" a="1"/>
  <c r="D1103" i="3" l="1"/>
  <c r="D1102" i="3" a="1"/>
  <c r="D1102" i="3" l="1"/>
  <c r="D1101" i="3" a="1"/>
  <c r="D1101" i="3" l="1"/>
  <c r="D1100" i="3" a="1"/>
  <c r="D1100" i="3" l="1"/>
  <c r="D1099" i="3" a="1"/>
  <c r="D1099" i="3" l="1"/>
  <c r="D1098" i="3" a="1"/>
  <c r="D1098" i="3" l="1"/>
  <c r="D1097" i="3" a="1"/>
  <c r="D1097" i="3" l="1"/>
  <c r="D1096" i="3" a="1"/>
  <c r="D1096" i="3" l="1"/>
  <c r="D1095" i="3" a="1"/>
  <c r="D1095" i="3" l="1"/>
  <c r="D1094" i="3" a="1"/>
  <c r="D1094" i="3" l="1"/>
  <c r="D1093" i="3" a="1"/>
  <c r="D1093" i="3" l="1"/>
  <c r="D1092" i="3" a="1"/>
  <c r="D1092" i="3" l="1"/>
  <c r="D1091" i="3" a="1"/>
  <c r="D1091" i="3" l="1"/>
  <c r="D1090" i="3" a="1"/>
  <c r="D1090" i="3" l="1"/>
  <c r="D1089" i="3" a="1"/>
  <c r="D1089" i="3" l="1"/>
  <c r="D1088" i="3" a="1"/>
  <c r="D1088" i="3" l="1"/>
  <c r="D1087" i="3" a="1"/>
  <c r="D1087" i="3" l="1"/>
  <c r="D1086" i="3" a="1"/>
  <c r="D1086" i="3" l="1"/>
  <c r="D1085" i="3" a="1"/>
  <c r="D1085" i="3" l="1"/>
  <c r="D1083" i="3" a="1"/>
  <c r="D1083" i="3" l="1"/>
  <c r="D1084" i="3" a="1"/>
  <c r="D1084" i="3" l="1"/>
  <c r="D1082" i="3" a="1"/>
  <c r="D1082" i="3" l="1"/>
  <c r="D1081" i="3" a="1"/>
  <c r="D1081" i="3" l="1"/>
  <c r="D1080" i="3" a="1"/>
  <c r="D1080" i="3" l="1"/>
  <c r="D1079" i="3" a="1"/>
  <c r="D1079" i="3" l="1"/>
  <c r="D1078" i="3" a="1"/>
  <c r="D1078" i="3" l="1"/>
  <c r="D1076" i="3" a="1"/>
  <c r="D1076" i="3" l="1"/>
  <c r="D1077" i="3" a="1"/>
  <c r="D1077" i="3" l="1"/>
  <c r="D1075" i="3" a="1"/>
  <c r="D1075" i="3" l="1"/>
  <c r="D1074" i="3" a="1"/>
  <c r="D1074" i="3" l="1"/>
  <c r="D1073" i="3" a="1"/>
  <c r="D1073" i="3" l="1"/>
  <c r="D1072" i="3" a="1"/>
  <c r="D1072" i="3" l="1"/>
  <c r="D1071" i="3" a="1"/>
  <c r="D1071" i="3" l="1"/>
  <c r="D1070" i="3" a="1"/>
  <c r="D1070" i="3" l="1"/>
  <c r="D1069" i="3" a="1"/>
  <c r="D1069" i="3" l="1"/>
  <c r="D1068" i="3" a="1"/>
  <c r="D1068" i="3" l="1"/>
  <c r="D1067" i="3" a="1"/>
  <c r="D1067" i="3" l="1"/>
  <c r="D1066" i="3" a="1"/>
  <c r="D1066" i="3" l="1"/>
  <c r="D1065" i="3" a="1"/>
  <c r="D1065" i="3" l="1"/>
  <c r="D1063" i="3" a="1"/>
  <c r="D1063" i="3" l="1"/>
  <c r="D1064" i="3" a="1"/>
  <c r="D1064" i="3" l="1"/>
  <c r="D1062" i="3" a="1"/>
  <c r="D1062" i="3" l="1"/>
  <c r="D1061" i="3" a="1"/>
  <c r="D1061" i="3" l="1"/>
  <c r="D1060" i="3" a="1"/>
  <c r="D1060" i="3" l="1"/>
  <c r="D1059" i="3" a="1"/>
  <c r="D1059" i="3" l="1"/>
  <c r="D1057" i="3" a="1"/>
  <c r="D1057" i="3" l="1"/>
  <c r="D1058" i="3" a="1"/>
  <c r="D1058" i="3" l="1"/>
  <c r="D1056" i="3" a="1"/>
  <c r="D1056" i="3" l="1"/>
  <c r="D1055" i="3" a="1"/>
  <c r="D1055" i="3" l="1"/>
  <c r="D1054" i="3" a="1"/>
  <c r="D1054" i="3" l="1"/>
  <c r="D1053" i="3" a="1"/>
  <c r="D1053" i="3" l="1"/>
  <c r="D1052" i="3" a="1"/>
  <c r="D1052" i="3" l="1"/>
  <c r="D1051" i="3" a="1"/>
  <c r="D1051" i="3" l="1"/>
  <c r="D1050" i="3" a="1"/>
  <c r="D1050" i="3" l="1"/>
  <c r="D1049" i="3" a="1"/>
  <c r="D1049" i="3" l="1"/>
  <c r="D1048" i="3" a="1"/>
  <c r="D1048" i="3" l="1"/>
  <c r="D1047" i="3" a="1"/>
  <c r="D1047" i="3" l="1"/>
  <c r="D1046" i="3" a="1"/>
  <c r="D1046" i="3" l="1"/>
  <c r="D1045" i="3" a="1"/>
  <c r="D1045" i="3" l="1"/>
  <c r="D1044" i="3" a="1"/>
  <c r="D1044" i="3" l="1"/>
  <c r="D1043" i="3" a="1"/>
  <c r="D1043" i="3" l="1"/>
  <c r="D1042" i="3" a="1"/>
  <c r="D1042" i="3" l="1"/>
  <c r="D1041" i="3" a="1"/>
  <c r="D1041" i="3" l="1"/>
  <c r="D1040" i="3" a="1"/>
  <c r="D1040" i="3" l="1"/>
  <c r="D1039" i="3" a="1"/>
  <c r="D1039" i="3" l="1"/>
  <c r="D1038" i="3" a="1"/>
  <c r="D1038" i="3" l="1"/>
  <c r="D1037" i="3" a="1"/>
  <c r="D1037" i="3" l="1"/>
  <c r="D1036" i="3" a="1"/>
  <c r="D1036" i="3" l="1"/>
  <c r="D1035" i="3" a="1"/>
  <c r="D1035" i="3" l="1"/>
  <c r="D1034" i="3" a="1"/>
  <c r="D1034" i="3" l="1"/>
  <c r="D1033" i="3" a="1"/>
  <c r="D1033" i="3" l="1"/>
  <c r="D1032" i="3" a="1"/>
  <c r="D1032" i="3" l="1"/>
  <c r="D1031" i="3" a="1"/>
  <c r="D1031" i="3" l="1"/>
  <c r="D1030" i="3" a="1"/>
  <c r="D1030" i="3" l="1"/>
  <c r="D1029" i="3" a="1"/>
  <c r="D1029" i="3" l="1"/>
  <c r="D1028" i="3" a="1"/>
  <c r="D1028" i="3" l="1"/>
  <c r="D1027" i="3" a="1"/>
  <c r="D1027" i="3" l="1"/>
  <c r="D1026" i="3" a="1"/>
  <c r="D1026" i="3" l="1"/>
  <c r="D1025" i="3" a="1"/>
  <c r="D1025" i="3" l="1"/>
  <c r="D1024" i="3" a="1"/>
  <c r="D1024" i="3" l="1"/>
  <c r="D1023" i="3" a="1"/>
  <c r="D1023" i="3" l="1"/>
  <c r="D1021" i="3" a="1"/>
  <c r="D1021" i="3" l="1"/>
  <c r="D1022" i="3" a="1"/>
  <c r="D1022" i="3" l="1"/>
  <c r="D1020" i="3" a="1"/>
  <c r="D1020" i="3" l="1"/>
  <c r="D1019" i="3" a="1"/>
  <c r="D1019" i="3" l="1"/>
  <c r="D1018" i="3" a="1"/>
  <c r="D1018" i="3" l="1"/>
  <c r="D1017" i="3" a="1"/>
  <c r="D1017" i="3" l="1"/>
  <c r="D1016" i="3" a="1"/>
  <c r="D1016" i="3" l="1"/>
  <c r="D1015" i="3" a="1"/>
  <c r="D1015" i="3" l="1"/>
  <c r="D1014" i="3" a="1"/>
  <c r="D1014" i="3" l="1"/>
  <c r="D1013" i="3" a="1"/>
  <c r="D1013" i="3" l="1"/>
  <c r="D1012" i="3" a="1"/>
  <c r="D1012" i="3" l="1"/>
  <c r="D1011" i="3" a="1"/>
  <c r="D1011" i="3" l="1"/>
  <c r="D1010" i="3" a="1"/>
  <c r="D1010" i="3" l="1"/>
  <c r="D1009" i="3" a="1"/>
  <c r="D1009" i="3" l="1"/>
  <c r="D1008" i="3" a="1"/>
  <c r="D1008" i="3" l="1"/>
  <c r="D1007" i="3" a="1"/>
  <c r="D1007" i="3" l="1"/>
  <c r="D1006" i="3" a="1"/>
  <c r="D1006" i="3" l="1"/>
  <c r="D1005" i="3" a="1"/>
  <c r="D1005" i="3" l="1"/>
  <c r="D1004" i="3" a="1"/>
  <c r="D1004" i="3" l="1"/>
  <c r="D1003" i="3" a="1"/>
  <c r="D1003" i="3" l="1"/>
  <c r="D1002" i="3" a="1"/>
  <c r="D1002" i="3" l="1"/>
  <c r="D1001" i="3" a="1"/>
  <c r="D1001" i="3" l="1"/>
  <c r="D1000" i="3" a="1"/>
  <c r="D1000" i="3" l="1"/>
  <c r="D999" i="3" a="1"/>
  <c r="D999" i="3" l="1"/>
  <c r="D997" i="3" a="1"/>
  <c r="D997" i="3" l="1"/>
  <c r="D998" i="3" a="1"/>
  <c r="D998" i="3" l="1"/>
  <c r="D996" i="3" a="1"/>
  <c r="D996" i="3" l="1"/>
  <c r="D995" i="3" a="1"/>
  <c r="D995" i="3" l="1"/>
  <c r="D994" i="3" a="1"/>
  <c r="D994" i="3" l="1"/>
  <c r="D993" i="3" a="1"/>
  <c r="D993" i="3" l="1"/>
  <c r="D992" i="3" a="1"/>
  <c r="D992" i="3" l="1"/>
  <c r="D991" i="3" a="1"/>
  <c r="D991" i="3" l="1"/>
  <c r="D990" i="3" a="1"/>
  <c r="D990" i="3" l="1"/>
  <c r="D989" i="3" a="1"/>
  <c r="D989" i="3" l="1"/>
  <c r="D988" i="3" a="1"/>
  <c r="D988" i="3" l="1"/>
  <c r="D987" i="3" a="1"/>
  <c r="D987" i="3" l="1"/>
  <c r="D986" i="3" a="1"/>
  <c r="D986" i="3" l="1"/>
  <c r="D985" i="3" a="1"/>
  <c r="D985" i="3" l="1"/>
  <c r="D984" i="3" a="1"/>
  <c r="D984" i="3" l="1"/>
  <c r="D983" i="3" a="1"/>
  <c r="D983" i="3" l="1"/>
  <c r="D982" i="3" a="1"/>
  <c r="D982" i="3" l="1"/>
  <c r="D981" i="3" a="1"/>
  <c r="D981" i="3" l="1"/>
  <c r="D980" i="3" a="1"/>
  <c r="D980" i="3" l="1"/>
  <c r="D979" i="3" a="1"/>
  <c r="D979" i="3" l="1"/>
  <c r="D978" i="3" a="1"/>
  <c r="D978" i="3" l="1"/>
  <c r="D977" i="3" a="1"/>
  <c r="D977" i="3" l="1"/>
  <c r="D976" i="3" a="1"/>
  <c r="D976" i="3" l="1"/>
  <c r="D975" i="3" a="1"/>
  <c r="D975" i="3" l="1"/>
  <c r="D974" i="3" a="1"/>
  <c r="D974" i="3" l="1"/>
  <c r="D973" i="3" a="1"/>
  <c r="D973" i="3" l="1"/>
  <c r="D972" i="3" a="1"/>
  <c r="D972" i="3" l="1"/>
  <c r="D971" i="3" a="1"/>
  <c r="D971" i="3" l="1"/>
  <c r="D970" i="3" a="1"/>
  <c r="D970" i="3" l="1"/>
  <c r="D969" i="3" a="1"/>
  <c r="D969" i="3" l="1"/>
  <c r="D968" i="3" a="1"/>
  <c r="D968" i="3" l="1"/>
  <c r="D967" i="3" a="1"/>
  <c r="D967" i="3" l="1"/>
  <c r="D966" i="3" a="1"/>
  <c r="D966" i="3" l="1"/>
  <c r="D965" i="3" a="1"/>
  <c r="D965" i="3" l="1"/>
  <c r="D964" i="3" a="1"/>
  <c r="D964" i="3" l="1"/>
  <c r="D963" i="3" a="1"/>
  <c r="D963" i="3" l="1"/>
  <c r="D962" i="3" a="1"/>
  <c r="D962" i="3" l="1"/>
  <c r="D960" i="3" a="1"/>
  <c r="D960" i="3" l="1"/>
  <c r="D961" i="3" a="1"/>
  <c r="D961" i="3" l="1"/>
  <c r="D959" i="3" a="1"/>
  <c r="D959" i="3" l="1"/>
  <c r="D958" i="3" a="1"/>
  <c r="D958" i="3" l="1"/>
  <c r="D957" i="3" a="1"/>
  <c r="D957" i="3" l="1"/>
  <c r="D956" i="3" a="1"/>
  <c r="D956" i="3" l="1"/>
  <c r="D955" i="3" a="1"/>
  <c r="D955" i="3" l="1"/>
  <c r="D954" i="3" a="1"/>
  <c r="D954" i="3" l="1"/>
  <c r="D953" i="3" a="1"/>
  <c r="D953" i="3" l="1"/>
  <c r="D952" i="3" a="1"/>
  <c r="D952" i="3" l="1"/>
  <c r="D951" i="3" a="1"/>
  <c r="D951" i="3" l="1"/>
  <c r="D950" i="3" a="1"/>
  <c r="D950" i="3" l="1"/>
  <c r="D949" i="3" a="1"/>
  <c r="D949" i="3" l="1"/>
  <c r="D948" i="3" a="1"/>
  <c r="D948" i="3" l="1"/>
  <c r="D947" i="3" a="1"/>
  <c r="D947" i="3" l="1"/>
  <c r="D946" i="3" a="1"/>
  <c r="D946" i="3" l="1"/>
  <c r="D945" i="3" a="1"/>
  <c r="D945" i="3" l="1"/>
  <c r="D944" i="3" a="1"/>
  <c r="D944" i="3" l="1"/>
  <c r="D943" i="3" a="1"/>
  <c r="D943" i="3" l="1"/>
  <c r="D942" i="3" a="1"/>
  <c r="D942" i="3" l="1"/>
  <c r="D941" i="3" a="1"/>
  <c r="D941" i="3" l="1"/>
  <c r="D940" i="3" a="1"/>
  <c r="D940" i="3" l="1"/>
  <c r="D939" i="3" a="1"/>
  <c r="D939" i="3" l="1"/>
  <c r="D938" i="3" a="1"/>
  <c r="D938" i="3" l="1"/>
  <c r="D937" i="3" a="1"/>
  <c r="D937" i="3" l="1"/>
  <c r="D936" i="3" a="1"/>
  <c r="D936" i="3" l="1"/>
  <c r="D935" i="3" a="1"/>
  <c r="D935" i="3" l="1"/>
  <c r="D934" i="3" a="1"/>
  <c r="D934" i="3" l="1"/>
  <c r="D933" i="3" a="1"/>
  <c r="D933" i="3" l="1"/>
  <c r="D932" i="3" a="1"/>
  <c r="D932" i="3" l="1"/>
  <c r="D931" i="3" a="1"/>
  <c r="D931" i="3" l="1"/>
  <c r="D930" i="3" a="1"/>
  <c r="D930" i="3" l="1"/>
  <c r="D929" i="3" a="1"/>
  <c r="D929" i="3" l="1"/>
  <c r="D928" i="3" a="1"/>
  <c r="D928" i="3" l="1"/>
  <c r="D927" i="3" a="1"/>
  <c r="D927" i="3" l="1"/>
  <c r="D925" i="3" a="1"/>
  <c r="D925" i="3" l="1"/>
  <c r="D926" i="3" a="1"/>
  <c r="D926" i="3" l="1"/>
  <c r="D924" i="3" a="1"/>
  <c r="D924" i="3" l="1"/>
  <c r="D923" i="3" a="1"/>
  <c r="D923" i="3" l="1"/>
  <c r="D922" i="3" a="1"/>
  <c r="D922" i="3" l="1"/>
  <c r="D921" i="3" a="1"/>
  <c r="D921" i="3" l="1"/>
  <c r="D920" i="3" a="1"/>
  <c r="D920" i="3" l="1"/>
  <c r="D919" i="3" a="1"/>
  <c r="D919" i="3" l="1"/>
  <c r="D918" i="3" a="1"/>
  <c r="D918" i="3" l="1"/>
  <c r="D917" i="3" a="1"/>
  <c r="D917" i="3" l="1"/>
  <c r="D916" i="3" a="1"/>
  <c r="D916" i="3" l="1"/>
  <c r="D915" i="3" a="1"/>
  <c r="D915" i="3" l="1"/>
  <c r="D914" i="3" a="1"/>
  <c r="D914" i="3" l="1"/>
  <c r="D913" i="3" a="1"/>
  <c r="D913" i="3" l="1"/>
  <c r="D912" i="3" a="1"/>
  <c r="D912" i="3" l="1"/>
  <c r="D911" i="3" a="1"/>
  <c r="D911" i="3" l="1"/>
  <c r="D910" i="3" a="1"/>
  <c r="D910" i="3" l="1"/>
  <c r="D909" i="3" a="1"/>
  <c r="D909" i="3" l="1"/>
  <c r="D908" i="3" a="1"/>
  <c r="D908" i="3" l="1"/>
  <c r="D907" i="3" a="1"/>
  <c r="D907" i="3" l="1"/>
  <c r="D906" i="3" a="1"/>
  <c r="D906" i="3" l="1"/>
  <c r="D905" i="3" a="1"/>
  <c r="D905" i="3" l="1"/>
  <c r="D904" i="3" a="1"/>
  <c r="D904" i="3" l="1"/>
  <c r="D903" i="3" a="1"/>
  <c r="D903" i="3" l="1"/>
  <c r="D902" i="3" a="1"/>
  <c r="D902" i="3" l="1"/>
  <c r="D901" i="3" a="1"/>
  <c r="D901" i="3" l="1"/>
  <c r="D900" i="3" a="1"/>
  <c r="D900" i="3" l="1"/>
  <c r="D899" i="3" a="1"/>
  <c r="D899" i="3" l="1"/>
  <c r="D898" i="3" a="1"/>
  <c r="D898" i="3" l="1"/>
  <c r="D897" i="3" a="1"/>
  <c r="D897" i="3" l="1"/>
  <c r="D895" i="3" a="1"/>
  <c r="D895" i="3" l="1"/>
  <c r="D896" i="3" a="1"/>
  <c r="D896" i="3" l="1"/>
  <c r="D894" i="3" a="1"/>
  <c r="D894" i="3" l="1"/>
  <c r="D893" i="3" a="1"/>
  <c r="D893" i="3" l="1"/>
  <c r="D892" i="3" a="1"/>
  <c r="D892" i="3" l="1"/>
  <c r="D891" i="3" a="1"/>
  <c r="D891" i="3" l="1"/>
  <c r="D890" i="3" a="1"/>
  <c r="D890" i="3" l="1"/>
  <c r="D889" i="3" a="1"/>
  <c r="D889" i="3" l="1"/>
  <c r="D888" i="3" a="1"/>
  <c r="D888" i="3" l="1"/>
  <c r="D887" i="3" a="1"/>
  <c r="D887" i="3" l="1"/>
  <c r="D886" i="3" a="1"/>
  <c r="D886" i="3" l="1"/>
  <c r="D885" i="3" a="1"/>
  <c r="D885" i="3" l="1"/>
  <c r="D884" i="3" a="1"/>
  <c r="D884" i="3" l="1"/>
  <c r="D883" i="3" a="1"/>
  <c r="D883" i="3" l="1"/>
  <c r="D882" i="3" a="1"/>
  <c r="D882" i="3" l="1"/>
  <c r="D880" i="3" a="1"/>
  <c r="D880" i="3" l="1"/>
  <c r="D881" i="3" a="1"/>
  <c r="D881" i="3" l="1"/>
  <c r="D879" i="3" a="1"/>
  <c r="D879" i="3" l="1"/>
  <c r="D878" i="3" a="1"/>
  <c r="D878" i="3" l="1"/>
  <c r="D877" i="3" a="1"/>
  <c r="D877" i="3" l="1"/>
  <c r="D876" i="3" a="1"/>
  <c r="D876" i="3" l="1"/>
  <c r="D875" i="3" a="1"/>
  <c r="D875" i="3" l="1"/>
  <c r="D874" i="3" a="1"/>
  <c r="D874" i="3" l="1"/>
  <c r="D873" i="3" a="1"/>
  <c r="D873" i="3" l="1"/>
  <c r="D871" i="3" a="1"/>
  <c r="D871" i="3" l="1"/>
  <c r="D872" i="3" a="1"/>
  <c r="D872" i="3" l="1"/>
  <c r="D870" i="3" a="1"/>
  <c r="D870" i="3" l="1"/>
  <c r="D869" i="3" a="1"/>
  <c r="D869" i="3" l="1"/>
  <c r="D868" i="3" a="1"/>
  <c r="D868" i="3" l="1"/>
  <c r="D867" i="3" a="1"/>
  <c r="D867" i="3" l="1"/>
  <c r="D865" i="3" a="1"/>
  <c r="D865" i="3" l="1"/>
  <c r="D866" i="3" a="1"/>
  <c r="D866" i="3" l="1"/>
  <c r="D864" i="3" a="1"/>
  <c r="D864" i="3" l="1"/>
  <c r="D863" i="3" a="1"/>
  <c r="D863" i="3" l="1"/>
  <c r="D862" i="3" a="1"/>
  <c r="D862" i="3" l="1"/>
  <c r="D861" i="3" a="1"/>
  <c r="D861" i="3" l="1"/>
  <c r="D860" i="3" a="1"/>
  <c r="D860" i="3" l="1"/>
  <c r="D859" i="3" a="1"/>
  <c r="D859" i="3" l="1"/>
  <c r="D858" i="3" a="1"/>
  <c r="D858" i="3" l="1"/>
  <c r="D857" i="3" a="1"/>
  <c r="D857" i="3" l="1"/>
  <c r="D856" i="3" a="1"/>
  <c r="D856" i="3" l="1"/>
  <c r="D855" i="3" a="1"/>
  <c r="D855" i="3" l="1"/>
  <c r="D854" i="3" a="1"/>
  <c r="D854" i="3" l="1"/>
  <c r="D853" i="3" a="1"/>
  <c r="D853" i="3" l="1"/>
  <c r="D852" i="3" a="1"/>
  <c r="D852" i="3" l="1"/>
  <c r="D851" i="3" a="1"/>
  <c r="D851" i="3" l="1"/>
  <c r="D850" i="3" a="1"/>
  <c r="D850" i="3" l="1"/>
  <c r="D849" i="3" a="1"/>
  <c r="D849" i="3" l="1"/>
  <c r="D848" i="3" a="1"/>
  <c r="D848" i="3" l="1"/>
  <c r="D847" i="3" a="1"/>
  <c r="D847" i="3" l="1"/>
  <c r="D846" i="3" a="1"/>
  <c r="D846" i="3" l="1"/>
  <c r="D845" i="3" a="1"/>
  <c r="D845" i="3" l="1"/>
  <c r="D844" i="3" a="1"/>
  <c r="D844" i="3" l="1"/>
  <c r="D843" i="3" a="1"/>
  <c r="D843" i="3" l="1"/>
  <c r="D842" i="3" a="1"/>
  <c r="D842" i="3" l="1"/>
  <c r="D841" i="3" a="1"/>
  <c r="D841" i="3" l="1"/>
  <c r="D840" i="3" a="1"/>
  <c r="D840" i="3" l="1"/>
  <c r="D839" i="3" a="1"/>
  <c r="D839" i="3" l="1"/>
  <c r="D838" i="3" a="1"/>
  <c r="D838" i="3" l="1"/>
  <c r="D837" i="3" a="1"/>
  <c r="D837" i="3" l="1"/>
  <c r="D836" i="3" a="1"/>
  <c r="D836" i="3" l="1"/>
  <c r="D835" i="3" a="1"/>
  <c r="D835" i="3" l="1"/>
  <c r="D834" i="3" a="1"/>
  <c r="D834" i="3" l="1"/>
  <c r="D833" i="3" a="1"/>
  <c r="D833" i="3" l="1"/>
  <c r="D832" i="3" a="1"/>
  <c r="D832" i="3" l="1"/>
  <c r="D831" i="3" a="1"/>
  <c r="D831" i="3" l="1"/>
  <c r="D830" i="3" a="1"/>
  <c r="D830" i="3" l="1"/>
  <c r="D829" i="3" a="1"/>
  <c r="D829" i="3" l="1"/>
  <c r="D828" i="3" a="1"/>
  <c r="D828" i="3" l="1"/>
  <c r="D827" i="3" a="1"/>
  <c r="D827" i="3" l="1"/>
  <c r="D826" i="3" a="1"/>
  <c r="D826" i="3" l="1"/>
  <c r="D825" i="3" a="1"/>
  <c r="D825" i="3" l="1"/>
  <c r="D824" i="3" a="1"/>
  <c r="D824" i="3" l="1"/>
  <c r="D823" i="3" a="1"/>
  <c r="D823" i="3" l="1"/>
  <c r="D822" i="3" a="1"/>
  <c r="D822" i="3" l="1"/>
  <c r="D821" i="3" a="1"/>
  <c r="D821" i="3" l="1"/>
  <c r="D820" i="3" a="1"/>
  <c r="D820" i="3" l="1"/>
  <c r="D819" i="3" a="1"/>
  <c r="D819" i="3" l="1"/>
  <c r="D818" i="3" a="1"/>
  <c r="D818" i="3" l="1"/>
  <c r="D817" i="3" a="1"/>
  <c r="D817" i="3" l="1"/>
  <c r="D816" i="3" a="1"/>
  <c r="D816" i="3" l="1"/>
  <c r="D815" i="3" a="1"/>
  <c r="D815" i="3" l="1"/>
  <c r="D814" i="3" a="1"/>
  <c r="D814" i="3" l="1"/>
  <c r="D813" i="3" a="1"/>
  <c r="D813" i="3" l="1"/>
  <c r="D812" i="3" a="1"/>
  <c r="D812" i="3" l="1"/>
  <c r="D811" i="3" a="1"/>
  <c r="D811" i="3" l="1"/>
  <c r="D810" i="3" a="1"/>
  <c r="D810" i="3" l="1"/>
  <c r="D809" i="3" a="1"/>
  <c r="D809" i="3" l="1"/>
  <c r="D808" i="3" a="1"/>
  <c r="D808" i="3" l="1"/>
  <c r="D807" i="3" a="1"/>
  <c r="D807" i="3" l="1"/>
  <c r="D806" i="3" a="1"/>
  <c r="D806" i="3" l="1"/>
  <c r="D805" i="3" a="1"/>
  <c r="D805" i="3" l="1"/>
  <c r="D804" i="3" a="1"/>
  <c r="D804" i="3" l="1"/>
  <c r="D803" i="3" a="1"/>
  <c r="D803" i="3" l="1"/>
  <c r="D802" i="3" a="1"/>
  <c r="D802" i="3" l="1"/>
  <c r="D801" i="3" a="1"/>
  <c r="D801" i="3" l="1"/>
  <c r="D800" i="3" a="1"/>
  <c r="D800" i="3" l="1"/>
  <c r="D799" i="3" a="1"/>
  <c r="D799" i="3" l="1"/>
  <c r="D798" i="3" a="1"/>
  <c r="D798" i="3" l="1"/>
  <c r="D797" i="3" a="1"/>
  <c r="D797" i="3" l="1"/>
  <c r="D796" i="3" a="1"/>
  <c r="D796" i="3" l="1"/>
  <c r="D795" i="3" a="1"/>
  <c r="D795" i="3" l="1"/>
  <c r="D794" i="3" a="1"/>
  <c r="D794" i="3" l="1"/>
  <c r="D793" i="3" a="1"/>
  <c r="D793" i="3" l="1"/>
  <c r="D792" i="3" a="1"/>
  <c r="D792" i="3" l="1"/>
  <c r="D791" i="3" a="1"/>
  <c r="D791" i="3" l="1"/>
  <c r="D790" i="3" a="1"/>
  <c r="D790" i="3" l="1"/>
  <c r="D788" i="3" a="1"/>
  <c r="D788" i="3" l="1"/>
  <c r="D789" i="3" a="1"/>
  <c r="D789" i="3" l="1"/>
  <c r="D787" i="3" a="1"/>
  <c r="D787" i="3" l="1"/>
  <c r="D786" i="3" a="1"/>
  <c r="D786" i="3" l="1"/>
  <c r="D785" i="3" a="1"/>
  <c r="D785" i="3" l="1"/>
  <c r="D784" i="3" a="1"/>
  <c r="D784" i="3" l="1"/>
  <c r="D783" i="3" a="1"/>
  <c r="D783" i="3" l="1"/>
  <c r="D782" i="3" a="1"/>
  <c r="D782" i="3" l="1"/>
  <c r="D781" i="3" a="1"/>
  <c r="D781" i="3" l="1"/>
  <c r="D780" i="3" a="1"/>
  <c r="D780" i="3" l="1"/>
  <c r="D779" i="3" a="1"/>
  <c r="D779" i="3" l="1"/>
  <c r="D778" i="3" a="1"/>
  <c r="D778" i="3" l="1"/>
  <c r="D777" i="3" a="1"/>
  <c r="D777" i="3" l="1"/>
  <c r="D776" i="3" a="1"/>
  <c r="D776" i="3" l="1"/>
  <c r="D775" i="3" a="1"/>
  <c r="D775" i="3" l="1"/>
  <c r="D774" i="3" a="1"/>
  <c r="D774" i="3" l="1"/>
  <c r="D773" i="3" a="1"/>
  <c r="D773" i="3" l="1"/>
  <c r="D771" i="3" a="1"/>
  <c r="D771" i="3" l="1"/>
  <c r="D772" i="3" a="1"/>
  <c r="D772" i="3" l="1"/>
  <c r="D770" i="3" a="1"/>
  <c r="D770" i="3" l="1"/>
  <c r="D769" i="3" a="1"/>
  <c r="D769" i="3" l="1"/>
  <c r="D768" i="3" a="1"/>
  <c r="D768" i="3" l="1"/>
  <c r="D767" i="3" a="1"/>
  <c r="D767" i="3" l="1"/>
  <c r="D766" i="3" a="1"/>
  <c r="D766" i="3" l="1"/>
  <c r="D765" i="3" a="1"/>
  <c r="D765" i="3" l="1"/>
  <c r="D764" i="3" a="1"/>
  <c r="D764" i="3" l="1"/>
  <c r="D763" i="3" a="1"/>
  <c r="D763" i="3" l="1"/>
  <c r="D762" i="3" a="1"/>
  <c r="D762" i="3" l="1"/>
  <c r="D761" i="3" a="1"/>
  <c r="D761" i="3" l="1"/>
  <c r="D759" i="3" a="1"/>
  <c r="D759" i="3" l="1"/>
  <c r="D760" i="3" a="1"/>
  <c r="D760" i="3" l="1"/>
  <c r="D758" i="3" a="1"/>
  <c r="D758" i="3" l="1"/>
  <c r="D757" i="3" a="1"/>
  <c r="D757" i="3" l="1"/>
  <c r="D756" i="3" a="1"/>
  <c r="D756" i="3" l="1"/>
  <c r="D755" i="3" a="1"/>
  <c r="D755" i="3" l="1"/>
  <c r="D754" i="3" a="1"/>
  <c r="D754" i="3" l="1"/>
  <c r="D753" i="3" a="1"/>
  <c r="D753" i="3" l="1"/>
  <c r="D752" i="3" a="1"/>
  <c r="D752" i="3" l="1"/>
  <c r="D751" i="3" a="1"/>
  <c r="D751" i="3" l="1"/>
  <c r="D750" i="3" a="1"/>
  <c r="D750" i="3" l="1"/>
  <c r="D749" i="3" a="1"/>
  <c r="D749" i="3" l="1"/>
  <c r="D748" i="3" a="1"/>
  <c r="D748" i="3" l="1"/>
  <c r="D747" i="3" a="1"/>
  <c r="D747" i="3" l="1"/>
  <c r="D746" i="3" a="1"/>
  <c r="D746" i="3" l="1"/>
  <c r="D745" i="3" a="1"/>
  <c r="D745" i="3" l="1"/>
  <c r="D744" i="3" a="1"/>
  <c r="D744" i="3" l="1"/>
  <c r="D743" i="3" a="1"/>
  <c r="D743" i="3" l="1"/>
  <c r="D742" i="3" a="1"/>
  <c r="D742" i="3" l="1"/>
  <c r="D741" i="3" a="1"/>
  <c r="D741" i="3" l="1"/>
  <c r="D740" i="3" a="1"/>
  <c r="D740" i="3" l="1"/>
  <c r="D739" i="3" a="1"/>
  <c r="D739" i="3" l="1"/>
  <c r="D738" i="3" a="1"/>
  <c r="D738" i="3" l="1"/>
  <c r="D737" i="3" a="1"/>
  <c r="D737" i="3" l="1"/>
  <c r="D736" i="3" a="1"/>
  <c r="D736" i="3" l="1"/>
  <c r="D735" i="3" a="1"/>
  <c r="D735" i="3" l="1"/>
  <c r="D734" i="3" a="1"/>
  <c r="D734" i="3" l="1"/>
  <c r="D733" i="3" a="1"/>
  <c r="D733" i="3" l="1"/>
  <c r="D732" i="3" a="1"/>
  <c r="D732" i="3" l="1"/>
  <c r="D731" i="3" a="1"/>
  <c r="D731" i="3" l="1"/>
  <c r="D730" i="3" a="1"/>
  <c r="D730" i="3" l="1"/>
  <c r="D729" i="3" a="1"/>
  <c r="D729" i="3" l="1"/>
  <c r="D728" i="3" a="1"/>
  <c r="D728" i="3" l="1"/>
  <c r="D727" i="3" a="1"/>
  <c r="D727" i="3" l="1"/>
  <c r="D726" i="3" a="1"/>
  <c r="D726" i="3" l="1"/>
  <c r="D725" i="3" a="1"/>
  <c r="D725" i="3" l="1"/>
  <c r="D724" i="3" a="1"/>
  <c r="D724" i="3" l="1"/>
  <c r="D723" i="3" a="1"/>
  <c r="D723" i="3" l="1"/>
  <c r="D722" i="3" a="1"/>
  <c r="D722" i="3" l="1"/>
  <c r="D721" i="3" a="1"/>
  <c r="D721" i="3" l="1"/>
  <c r="D720" i="3" a="1"/>
  <c r="D720" i="3" l="1"/>
  <c r="D719" i="3" a="1"/>
  <c r="D719" i="3" l="1"/>
  <c r="D718" i="3" a="1"/>
  <c r="D718" i="3" l="1"/>
  <c r="D717" i="3" a="1"/>
  <c r="D717" i="3" l="1"/>
  <c r="D716" i="3" a="1"/>
  <c r="D716" i="3" l="1"/>
  <c r="D715" i="3" a="1"/>
  <c r="D715" i="3" l="1"/>
  <c r="D714" i="3" a="1"/>
  <c r="D714" i="3" l="1"/>
  <c r="D713" i="3" a="1"/>
  <c r="D713" i="3" l="1"/>
  <c r="D712" i="3" a="1"/>
  <c r="D712" i="3" l="1"/>
  <c r="D711" i="3" a="1"/>
  <c r="D711" i="3" l="1"/>
  <c r="D710" i="3" a="1"/>
  <c r="D710" i="3" l="1"/>
  <c r="D709" i="3" a="1"/>
  <c r="D709" i="3" l="1"/>
  <c r="D708" i="3" a="1"/>
  <c r="D708" i="3" l="1"/>
  <c r="D707" i="3" a="1"/>
  <c r="D707" i="3" l="1"/>
  <c r="D706" i="3" a="1"/>
  <c r="D706" i="3" l="1"/>
  <c r="D705" i="3" a="1"/>
  <c r="D705" i="3" l="1"/>
  <c r="D704" i="3" a="1"/>
  <c r="D704" i="3" l="1"/>
  <c r="D703" i="3" a="1"/>
  <c r="D703" i="3" l="1"/>
  <c r="D702" i="3" a="1"/>
  <c r="D702" i="3" l="1"/>
  <c r="D701" i="3" a="1"/>
  <c r="D701" i="3" l="1"/>
  <c r="D700" i="3" a="1"/>
  <c r="D700" i="3" l="1"/>
  <c r="D699" i="3" a="1"/>
  <c r="D699" i="3" l="1"/>
  <c r="D698" i="3" a="1"/>
  <c r="D698" i="3" l="1"/>
  <c r="D697" i="3" a="1"/>
  <c r="D697" i="3" l="1"/>
  <c r="D696" i="3" a="1"/>
  <c r="D696" i="3" l="1"/>
  <c r="D695" i="3" a="1"/>
  <c r="D695" i="3" l="1"/>
  <c r="D694" i="3" a="1"/>
  <c r="D694" i="3" l="1"/>
  <c r="D693" i="3" a="1"/>
  <c r="D693" i="3" l="1"/>
  <c r="D692" i="3" a="1"/>
  <c r="D692" i="3" l="1"/>
  <c r="D691" i="3" a="1"/>
  <c r="D691" i="3" l="1"/>
  <c r="D690" i="3" a="1"/>
  <c r="D690" i="3" l="1"/>
  <c r="D689" i="3" a="1"/>
  <c r="D689" i="3" l="1"/>
  <c r="D688" i="3" a="1"/>
  <c r="D688" i="3" l="1"/>
  <c r="D687" i="3" a="1"/>
  <c r="D687" i="3" l="1"/>
  <c r="D686" i="3" a="1"/>
  <c r="D686" i="3" l="1"/>
  <c r="D685" i="3" a="1"/>
  <c r="D685" i="3" l="1"/>
  <c r="D684" i="3" a="1"/>
  <c r="D684" i="3" l="1"/>
  <c r="D683" i="3" a="1"/>
  <c r="D683" i="3" l="1"/>
  <c r="D682" i="3" a="1"/>
  <c r="D682" i="3" l="1"/>
  <c r="D680" i="3" a="1"/>
  <c r="D680" i="3" l="1"/>
  <c r="D681" i="3" a="1"/>
  <c r="D681" i="3" l="1"/>
  <c r="D679" i="3" a="1"/>
  <c r="D679" i="3" l="1"/>
  <c r="D678" i="3" a="1"/>
  <c r="D678" i="3" l="1"/>
  <c r="D677" i="3" a="1"/>
  <c r="D677" i="3" l="1"/>
  <c r="D676" i="3" a="1"/>
  <c r="D676" i="3" l="1"/>
  <c r="D675" i="3" a="1"/>
  <c r="D675" i="3" l="1"/>
  <c r="D674" i="3" a="1"/>
  <c r="D674" i="3" l="1"/>
  <c r="D673" i="3" a="1"/>
  <c r="D673" i="3" l="1"/>
  <c r="D672" i="3" a="1"/>
  <c r="D672" i="3" l="1"/>
  <c r="D671" i="3" a="1"/>
  <c r="D671" i="3" l="1"/>
  <c r="D669" i="3" a="1"/>
  <c r="D669" i="3" l="1"/>
  <c r="D670" i="3" a="1"/>
  <c r="D670" i="3" l="1"/>
  <c r="D668" i="3" a="1"/>
  <c r="D668" i="3" l="1"/>
  <c r="D667" i="3" a="1"/>
  <c r="D667" i="3" l="1"/>
  <c r="D666" i="3" a="1"/>
  <c r="D666" i="3" l="1"/>
  <c r="D665" i="3" a="1"/>
  <c r="D665" i="3" l="1"/>
  <c r="D664" i="3" a="1"/>
  <c r="D664" i="3" l="1"/>
  <c r="D663" i="3" a="1"/>
  <c r="D663" i="3" l="1"/>
  <c r="D662" i="3" a="1"/>
  <c r="D662" i="3" l="1"/>
  <c r="D660" i="3" a="1"/>
  <c r="D660" i="3" l="1"/>
  <c r="D661" i="3" a="1"/>
  <c r="D661" i="3" l="1"/>
  <c r="D659" i="3" a="1"/>
  <c r="D659" i="3" l="1"/>
  <c r="D658" i="3" a="1"/>
  <c r="D658" i="3" l="1"/>
  <c r="D657" i="3" a="1"/>
  <c r="D657" i="3" l="1"/>
  <c r="D656" i="3" a="1"/>
  <c r="D656" i="3" l="1"/>
  <c r="D655" i="3" a="1"/>
  <c r="D655" i="3" l="1"/>
  <c r="D653" i="3" a="1"/>
  <c r="D653" i="3" l="1"/>
  <c r="D654" i="3" a="1"/>
  <c r="D654" i="3" l="1"/>
  <c r="D651" i="3" a="1"/>
  <c r="D651" i="3" l="1"/>
  <c r="D652" i="3" a="1"/>
  <c r="D652" i="3" l="1"/>
  <c r="D650" i="3" a="1"/>
  <c r="D650" i="3" l="1"/>
  <c r="D649" i="3" a="1"/>
  <c r="D649" i="3" l="1"/>
  <c r="D648" i="3" a="1"/>
  <c r="D648" i="3" l="1"/>
  <c r="D647" i="3" a="1"/>
  <c r="D647" i="3" l="1"/>
  <c r="D646" i="3" a="1"/>
  <c r="D646" i="3" l="1"/>
  <c r="D645" i="3" a="1"/>
  <c r="D645" i="3" l="1"/>
  <c r="D644" i="3" a="1"/>
  <c r="D644" i="3" l="1"/>
  <c r="D643" i="3" a="1"/>
  <c r="D643" i="3" l="1"/>
  <c r="D642" i="3" a="1"/>
  <c r="D642" i="3" l="1"/>
  <c r="D641" i="3" a="1"/>
  <c r="D641" i="3" l="1"/>
  <c r="D640" i="3" a="1"/>
  <c r="D640" i="3" l="1"/>
  <c r="D639" i="3" a="1"/>
  <c r="D639" i="3" l="1"/>
  <c r="D638" i="3" a="1"/>
  <c r="D638" i="3" l="1"/>
  <c r="D637" i="3" a="1"/>
  <c r="D637" i="3" l="1"/>
  <c r="D636" i="3" a="1"/>
  <c r="D636" i="3" l="1"/>
  <c r="D635" i="3" a="1"/>
  <c r="D635" i="3" l="1"/>
  <c r="D634" i="3" a="1"/>
  <c r="D634" i="3" l="1"/>
  <c r="D633" i="3" a="1"/>
  <c r="D633" i="3" l="1"/>
  <c r="D632" i="3" a="1"/>
  <c r="D632" i="3" l="1"/>
  <c r="D631" i="3" a="1"/>
  <c r="D631" i="3" l="1"/>
  <c r="D630" i="3" a="1"/>
  <c r="D630" i="3" l="1"/>
  <c r="D629" i="3" a="1"/>
  <c r="D629" i="3" l="1"/>
  <c r="D628" i="3" a="1"/>
  <c r="D628" i="3" l="1"/>
  <c r="D627" i="3" a="1"/>
  <c r="D627" i="3" l="1"/>
  <c r="D626" i="3" a="1"/>
  <c r="D626" i="3" l="1"/>
  <c r="D625" i="3" a="1"/>
  <c r="D625" i="3" l="1"/>
  <c r="D624" i="3" a="1"/>
  <c r="D624" i="3" l="1"/>
  <c r="D623" i="3" a="1"/>
  <c r="D623" i="3" l="1"/>
  <c r="D622" i="3" a="1"/>
  <c r="D622" i="3" l="1"/>
  <c r="D621" i="3" a="1"/>
  <c r="D621" i="3" l="1"/>
  <c r="D620" i="3" a="1"/>
  <c r="D620" i="3" l="1"/>
  <c r="D619" i="3" a="1"/>
  <c r="D619" i="3" l="1"/>
  <c r="D618" i="3" a="1"/>
  <c r="D618" i="3" l="1"/>
  <c r="D617" i="3" a="1"/>
  <c r="D617" i="3" l="1"/>
  <c r="D616" i="3" a="1"/>
  <c r="D616" i="3" l="1"/>
  <c r="D615" i="3" a="1"/>
  <c r="D615" i="3" l="1"/>
  <c r="D614" i="3" a="1"/>
  <c r="D614" i="3" l="1"/>
  <c r="D613" i="3" a="1"/>
  <c r="D613" i="3" l="1"/>
  <c r="D612" i="3" a="1"/>
  <c r="D612" i="3" l="1"/>
  <c r="D611" i="3" a="1"/>
  <c r="D611" i="3" l="1"/>
  <c r="D610" i="3" a="1"/>
  <c r="D610" i="3" l="1"/>
  <c r="D609" i="3" a="1"/>
  <c r="D609" i="3" l="1"/>
  <c r="D608" i="3" a="1"/>
  <c r="D608" i="3" l="1"/>
  <c r="D607" i="3" a="1"/>
  <c r="D607" i="3" l="1"/>
  <c r="D606" i="3" a="1"/>
  <c r="D606" i="3" l="1"/>
  <c r="D605" i="3" a="1"/>
  <c r="D605" i="3" l="1"/>
  <c r="D604" i="3" a="1"/>
  <c r="D604" i="3" l="1"/>
  <c r="D603" i="3" a="1"/>
  <c r="D603" i="3" l="1"/>
  <c r="D602" i="3" a="1"/>
  <c r="D602" i="3" l="1"/>
  <c r="D601" i="3" a="1"/>
  <c r="D601" i="3" l="1"/>
  <c r="D600" i="3" a="1"/>
  <c r="D600" i="3" l="1"/>
  <c r="D599" i="3" a="1"/>
  <c r="D599" i="3" l="1"/>
  <c r="D598" i="3" a="1"/>
  <c r="D598" i="3" l="1"/>
  <c r="D597" i="3" a="1"/>
  <c r="D597" i="3" l="1"/>
  <c r="D596" i="3" a="1"/>
  <c r="D596" i="3" l="1"/>
  <c r="D595" i="3" a="1"/>
  <c r="D595" i="3" l="1"/>
  <c r="D594" i="3" a="1"/>
  <c r="D594" i="3" l="1"/>
  <c r="D593" i="3" a="1"/>
  <c r="D593" i="3" l="1"/>
  <c r="D592" i="3" a="1"/>
  <c r="D592" i="3" l="1"/>
  <c r="D591" i="3" a="1"/>
  <c r="D591" i="3" l="1"/>
  <c r="D590" i="3" a="1"/>
  <c r="D590" i="3" l="1"/>
  <c r="D589" i="3" a="1"/>
  <c r="D589" i="3" l="1"/>
  <c r="D588" i="3" a="1"/>
  <c r="D588" i="3" l="1"/>
  <c r="D587" i="3" a="1"/>
  <c r="D587" i="3" l="1"/>
  <c r="D586" i="3" a="1"/>
  <c r="D586" i="3" l="1"/>
  <c r="D585" i="3" a="1"/>
  <c r="D585" i="3" l="1"/>
  <c r="D584" i="3" a="1"/>
  <c r="D584" i="3" l="1"/>
  <c r="D583" i="3" a="1"/>
  <c r="D583" i="3" l="1"/>
  <c r="D582" i="3" a="1"/>
  <c r="D582" i="3" l="1"/>
  <c r="D581" i="3" a="1"/>
  <c r="D581" i="3" l="1"/>
  <c r="D580" i="3" a="1"/>
  <c r="D580" i="3" l="1"/>
  <c r="D579" i="3" a="1"/>
  <c r="D579" i="3" l="1"/>
  <c r="D578" i="3" a="1"/>
  <c r="D578" i="3" l="1"/>
  <c r="D577" i="3" a="1"/>
  <c r="D577" i="3" l="1"/>
  <c r="D576" i="3" a="1"/>
  <c r="D576" i="3" l="1"/>
  <c r="D575" i="3" a="1"/>
  <c r="D575" i="3" l="1"/>
  <c r="D574" i="3" a="1"/>
  <c r="D574" i="3" l="1"/>
  <c r="D573" i="3" a="1"/>
  <c r="D573" i="3" l="1"/>
  <c r="D572" i="3" a="1"/>
  <c r="D572" i="3" l="1"/>
  <c r="D571" i="3" a="1"/>
  <c r="D571" i="3" l="1"/>
  <c r="D570" i="3" a="1"/>
  <c r="D570" i="3" l="1"/>
  <c r="D569" i="3" a="1"/>
  <c r="D569" i="3" l="1"/>
  <c r="D568" i="3" a="1"/>
  <c r="D568" i="3" l="1"/>
  <c r="D567" i="3" a="1"/>
  <c r="D567" i="3" l="1"/>
  <c r="D566" i="3" a="1"/>
  <c r="D566" i="3" l="1"/>
  <c r="D565" i="3" a="1"/>
  <c r="D565" i="3" l="1"/>
  <c r="D564" i="3" a="1"/>
  <c r="D564" i="3" l="1"/>
  <c r="D563" i="3" a="1"/>
  <c r="D563" i="3" l="1"/>
  <c r="D562" i="3" a="1"/>
  <c r="D562" i="3" l="1"/>
  <c r="D561" i="3" a="1"/>
  <c r="D561" i="3" l="1"/>
  <c r="D560" i="3" a="1"/>
  <c r="D560" i="3" l="1"/>
  <c r="D559" i="3" a="1"/>
  <c r="D559" i="3" l="1"/>
  <c r="D558" i="3" a="1"/>
  <c r="D558" i="3" l="1"/>
  <c r="D557" i="3" a="1"/>
  <c r="D557" i="3" l="1"/>
  <c r="D556" i="3" a="1"/>
  <c r="D556" i="3" l="1"/>
  <c r="D555" i="3" a="1"/>
  <c r="D555" i="3" l="1"/>
  <c r="D554" i="3" a="1"/>
  <c r="D554" i="3" l="1"/>
  <c r="D553" i="3" a="1"/>
  <c r="D553" i="3" l="1"/>
  <c r="D552" i="3" a="1"/>
  <c r="D552" i="3" l="1"/>
  <c r="D551" i="3" a="1"/>
  <c r="D551" i="3" l="1"/>
  <c r="D550" i="3" a="1"/>
  <c r="D550" i="3" l="1"/>
  <c r="D549" i="3" a="1"/>
  <c r="D549" i="3" l="1"/>
  <c r="D548" i="3" a="1"/>
  <c r="D548" i="3" l="1"/>
  <c r="D547" i="3" a="1"/>
  <c r="D547" i="3" l="1"/>
  <c r="D546" i="3" a="1"/>
  <c r="D546" i="3" l="1"/>
  <c r="D545" i="3" a="1"/>
  <c r="D545" i="3" l="1"/>
  <c r="D544" i="3" a="1"/>
  <c r="D544" i="3" l="1"/>
  <c r="D543" i="3" a="1"/>
  <c r="D543" i="3" l="1"/>
  <c r="D541" i="3" a="1"/>
  <c r="D541" i="3" l="1"/>
  <c r="D542" i="3" a="1"/>
  <c r="D542" i="3" l="1"/>
  <c r="D540" i="3" a="1"/>
  <c r="D540" i="3" l="1"/>
  <c r="D539" i="3" a="1"/>
  <c r="D539" i="3" l="1"/>
  <c r="D538" i="3" a="1"/>
  <c r="D538" i="3" l="1"/>
  <c r="D537" i="3" a="1"/>
  <c r="D537" i="3" l="1"/>
  <c r="D536" i="3" a="1"/>
  <c r="D536" i="3" l="1"/>
  <c r="D535" i="3" a="1"/>
  <c r="D535" i="3" l="1"/>
  <c r="D534" i="3" a="1"/>
  <c r="D534" i="3" l="1"/>
  <c r="D533" i="3" a="1"/>
  <c r="D533" i="3" l="1"/>
  <c r="D532" i="3" a="1"/>
  <c r="D532" i="3" l="1"/>
  <c r="D531" i="3" a="1"/>
  <c r="D531" i="3" l="1"/>
  <c r="D530" i="3" a="1"/>
  <c r="D530" i="3" l="1"/>
  <c r="D529" i="3" a="1"/>
  <c r="D529" i="3" l="1"/>
  <c r="D528" i="3" a="1"/>
  <c r="D528" i="3" l="1"/>
  <c r="D527" i="3" a="1"/>
  <c r="D527" i="3" l="1"/>
  <c r="D526" i="3" a="1"/>
  <c r="D526" i="3" l="1"/>
  <c r="D525" i="3" a="1"/>
  <c r="D525" i="3" l="1"/>
  <c r="D524" i="3" a="1"/>
  <c r="D524" i="3" l="1"/>
  <c r="D523" i="3" a="1"/>
  <c r="D523" i="3" l="1"/>
  <c r="D522" i="3" a="1"/>
  <c r="D522" i="3" l="1"/>
  <c r="D521" i="3" a="1"/>
  <c r="D521" i="3" l="1"/>
  <c r="D520" i="3" a="1"/>
  <c r="D520" i="3" l="1"/>
  <c r="D519" i="3" a="1"/>
  <c r="D519" i="3" l="1"/>
  <c r="D518" i="3" a="1"/>
  <c r="D518" i="3" l="1"/>
  <c r="D517" i="3" a="1"/>
  <c r="D517" i="3" l="1"/>
  <c r="D516" i="3" a="1"/>
  <c r="D516" i="3" l="1"/>
  <c r="D514" i="3" a="1"/>
  <c r="D514" i="3" l="1"/>
  <c r="D515" i="3" a="1"/>
  <c r="D515" i="3" l="1"/>
  <c r="D513" i="3" a="1"/>
  <c r="D513" i="3" l="1"/>
  <c r="D512" i="3" a="1"/>
  <c r="D512" i="3" l="1"/>
  <c r="D511" i="3" a="1"/>
  <c r="D511" i="3" l="1"/>
  <c r="D510" i="3" a="1"/>
  <c r="D510" i="3" l="1"/>
  <c r="D509" i="3" a="1"/>
  <c r="D509" i="3" l="1"/>
  <c r="D508" i="3" a="1"/>
  <c r="D508" i="3" l="1"/>
  <c r="D507" i="3" a="1"/>
  <c r="D507" i="3" l="1"/>
  <c r="D506" i="3" a="1"/>
  <c r="D506" i="3" l="1"/>
  <c r="D505" i="3" a="1"/>
  <c r="D505" i="3" l="1"/>
  <c r="D504" i="3" a="1"/>
  <c r="D504" i="3" l="1"/>
  <c r="D503" i="3" a="1"/>
  <c r="D503" i="3" l="1"/>
  <c r="D502" i="3" a="1"/>
  <c r="D502" i="3" l="1"/>
  <c r="D501" i="3" a="1"/>
  <c r="D501" i="3" l="1"/>
  <c r="D500" i="3" a="1"/>
  <c r="D500" i="3" l="1"/>
  <c r="D499" i="3" a="1"/>
  <c r="D499" i="3" l="1"/>
  <c r="D498" i="3" a="1"/>
  <c r="D498" i="3" l="1"/>
  <c r="D497" i="3" a="1"/>
  <c r="D497" i="3" l="1"/>
  <c r="D496" i="3" a="1"/>
  <c r="D496" i="3" l="1"/>
  <c r="D495" i="3" a="1"/>
  <c r="D495" i="3" l="1"/>
  <c r="D494" i="3" a="1"/>
  <c r="D494" i="3" l="1"/>
  <c r="D493" i="3" a="1"/>
  <c r="D493" i="3" l="1"/>
  <c r="D492" i="3" a="1"/>
  <c r="D492" i="3" l="1"/>
  <c r="D491" i="3" a="1"/>
  <c r="D491" i="3" l="1"/>
  <c r="D490" i="3" a="1"/>
  <c r="D490" i="3" l="1"/>
  <c r="D489" i="3" a="1"/>
  <c r="D489" i="3" l="1"/>
  <c r="D488" i="3" a="1"/>
  <c r="D488" i="3" l="1"/>
  <c r="D487" i="3" a="1"/>
  <c r="D487" i="3" l="1"/>
  <c r="D486" i="3" a="1"/>
  <c r="D486" i="3" l="1"/>
  <c r="D485" i="3" a="1"/>
  <c r="D485" i="3" l="1"/>
  <c r="D484" i="3" a="1"/>
  <c r="D484" i="3" l="1"/>
  <c r="D483" i="3" a="1"/>
  <c r="D483" i="3" l="1"/>
  <c r="D482" i="3" a="1"/>
  <c r="D482" i="3" l="1"/>
  <c r="D481" i="3" a="1"/>
  <c r="D481" i="3" l="1"/>
  <c r="D480" i="3" a="1"/>
  <c r="D480" i="3" l="1"/>
  <c r="D479" i="3" a="1"/>
  <c r="D479" i="3" l="1"/>
  <c r="D478" i="3" a="1"/>
  <c r="D478" i="3" l="1"/>
  <c r="D477" i="3" a="1"/>
  <c r="D477" i="3" l="1"/>
  <c r="D476" i="3" a="1"/>
  <c r="D476" i="3" l="1"/>
  <c r="D475" i="3" a="1"/>
  <c r="D475" i="3" l="1"/>
  <c r="D474" i="3" a="1"/>
  <c r="D474" i="3" l="1"/>
  <c r="D473" i="3" a="1"/>
  <c r="D473" i="3" l="1"/>
  <c r="D472" i="3" a="1"/>
  <c r="D472" i="3" l="1"/>
  <c r="D471" i="3" a="1"/>
  <c r="D471" i="3" l="1"/>
  <c r="D470" i="3" a="1"/>
  <c r="D470" i="3" l="1"/>
  <c r="D469" i="3" a="1"/>
  <c r="D469" i="3" l="1"/>
  <c r="D468" i="3" a="1"/>
  <c r="D468" i="3" l="1"/>
  <c r="D467" i="3" a="1"/>
  <c r="D467" i="3" l="1"/>
  <c r="D466" i="3" a="1"/>
  <c r="D466" i="3" l="1"/>
  <c r="D465" i="3" a="1"/>
  <c r="D465" i="3" l="1"/>
  <c r="D464" i="3" a="1"/>
  <c r="D464" i="3" l="1"/>
  <c r="D463" i="3" a="1"/>
  <c r="D463" i="3" l="1"/>
  <c r="D462" i="3" a="1"/>
  <c r="D462" i="3" l="1"/>
  <c r="D461" i="3" a="1"/>
  <c r="D461" i="3" l="1"/>
  <c r="D460" i="3" a="1"/>
  <c r="D460" i="3" l="1"/>
  <c r="D459" i="3" a="1"/>
  <c r="D459" i="3" l="1"/>
  <c r="D458" i="3" a="1"/>
  <c r="D458" i="3" l="1"/>
  <c r="D457" i="3" a="1"/>
  <c r="D457" i="3" l="1"/>
  <c r="D456" i="3" a="1"/>
  <c r="D456" i="3" l="1"/>
  <c r="D455" i="3" a="1"/>
  <c r="D455" i="3" l="1"/>
  <c r="D454" i="3" a="1"/>
  <c r="D454" i="3" l="1"/>
  <c r="D453" i="3" a="1"/>
  <c r="D453" i="3" l="1"/>
  <c r="D452" i="3" a="1"/>
  <c r="D452" i="3" l="1"/>
  <c r="D451" i="3" a="1"/>
  <c r="D451" i="3" l="1"/>
  <c r="D450" i="3" a="1"/>
  <c r="D450" i="3" l="1"/>
  <c r="D449" i="3" a="1"/>
  <c r="D449" i="3" l="1"/>
  <c r="D448" i="3" a="1"/>
  <c r="D448" i="3" l="1"/>
  <c r="D447" i="3" a="1"/>
  <c r="D447" i="3" l="1"/>
  <c r="D446" i="3" a="1"/>
  <c r="D446" i="3" l="1"/>
  <c r="D445" i="3" a="1"/>
  <c r="D445" i="3" l="1"/>
  <c r="D444" i="3" a="1"/>
  <c r="D444" i="3" l="1"/>
  <c r="D443" i="3" a="1"/>
  <c r="D443" i="3" l="1"/>
  <c r="D442" i="3" a="1"/>
  <c r="D442" i="3" l="1"/>
  <c r="D441" i="3" a="1"/>
  <c r="D441" i="3" l="1"/>
  <c r="D440" i="3" a="1"/>
  <c r="D440" i="3" l="1"/>
  <c r="D439" i="3" a="1"/>
  <c r="D439" i="3" l="1"/>
  <c r="D438" i="3" a="1"/>
  <c r="D438" i="3" l="1"/>
  <c r="D437" i="3" a="1"/>
  <c r="D437" i="3" l="1"/>
  <c r="D436" i="3" a="1"/>
  <c r="D436" i="3" l="1"/>
  <c r="D435" i="3" a="1"/>
  <c r="D435" i="3" l="1"/>
  <c r="D434" i="3" a="1"/>
  <c r="D434" i="3" l="1"/>
  <c r="D433" i="3" a="1"/>
  <c r="D433" i="3" l="1"/>
  <c r="D432" i="3" a="1"/>
  <c r="D432" i="3" l="1"/>
  <c r="D431" i="3" a="1"/>
  <c r="D431" i="3" l="1"/>
  <c r="D430" i="3" a="1"/>
  <c r="D430" i="3" l="1"/>
  <c r="D429" i="3" a="1"/>
  <c r="D429" i="3" l="1"/>
  <c r="D428" i="3" a="1"/>
  <c r="D428" i="3" l="1"/>
  <c r="D427" i="3" a="1"/>
  <c r="D427" i="3" l="1"/>
  <c r="D426" i="3" a="1"/>
  <c r="D426" i="3" l="1"/>
  <c r="D425" i="3" a="1"/>
  <c r="D425" i="3" l="1"/>
  <c r="D424" i="3" a="1"/>
  <c r="D424" i="3" l="1"/>
  <c r="D423" i="3" a="1"/>
  <c r="D423" i="3" l="1"/>
  <c r="D422" i="3" a="1"/>
  <c r="D422" i="3" l="1"/>
  <c r="D421" i="3" a="1"/>
  <c r="D421" i="3" l="1"/>
  <c r="D419" i="3" a="1"/>
  <c r="D419" i="3" l="1"/>
  <c r="D420" i="3" a="1"/>
  <c r="D420" i="3" l="1"/>
  <c r="D418" i="3" a="1"/>
  <c r="D418" i="3" l="1"/>
  <c r="D416" i="3" a="1"/>
  <c r="D416" i="3" l="1"/>
  <c r="D417" i="3" a="1"/>
  <c r="D417" i="3" l="1"/>
  <c r="D415" i="3" a="1"/>
  <c r="D415" i="3" l="1"/>
  <c r="D413" i="3" a="1"/>
  <c r="D413" i="3" l="1"/>
  <c r="D414" i="3" a="1"/>
  <c r="D414" i="3" l="1"/>
  <c r="D412" i="3" a="1"/>
  <c r="D412" i="3" l="1"/>
  <c r="D411" i="3" a="1"/>
  <c r="D411" i="3" l="1"/>
  <c r="D410" i="3" a="1"/>
  <c r="D410" i="3" l="1"/>
  <c r="D409" i="3" a="1"/>
  <c r="D409" i="3" l="1"/>
  <c r="D408" i="3" a="1"/>
  <c r="D408" i="3" l="1"/>
  <c r="D407" i="3" a="1"/>
  <c r="D407" i="3" l="1"/>
  <c r="D406" i="3" a="1"/>
  <c r="D406" i="3" l="1"/>
  <c r="D405" i="3" a="1"/>
  <c r="D405" i="3" l="1"/>
  <c r="D404" i="3" a="1"/>
  <c r="D404" i="3" l="1"/>
  <c r="D403" i="3" a="1"/>
  <c r="D403" i="3" l="1"/>
  <c r="D402" i="3" a="1"/>
  <c r="D402" i="3" l="1"/>
  <c r="D401" i="3" a="1"/>
  <c r="D401" i="3" l="1"/>
  <c r="D400" i="3" a="1"/>
  <c r="D400" i="3" l="1"/>
  <c r="D399" i="3" a="1"/>
  <c r="D399" i="3" l="1"/>
  <c r="D397" i="3" a="1"/>
  <c r="D397" i="3" l="1"/>
  <c r="D398" i="3" a="1"/>
  <c r="D398" i="3" l="1"/>
  <c r="D396" i="3" a="1"/>
  <c r="D396" i="3" l="1"/>
  <c r="D395" i="3" a="1"/>
  <c r="D395" i="3" l="1"/>
  <c r="D394" i="3" a="1"/>
  <c r="D394" i="3" l="1"/>
  <c r="D393" i="3" a="1"/>
  <c r="D393" i="3" l="1"/>
  <c r="D392" i="3" a="1"/>
  <c r="D392" i="3" l="1"/>
  <c r="D391" i="3" a="1"/>
  <c r="D391" i="3" l="1"/>
  <c r="D390" i="3" a="1"/>
  <c r="D390" i="3" l="1"/>
  <c r="D389" i="3" a="1"/>
  <c r="D389" i="3" l="1"/>
  <c r="D388" i="3" a="1"/>
  <c r="D388" i="3" l="1"/>
  <c r="D386" i="3" a="1"/>
  <c r="D386" i="3" l="1"/>
  <c r="D387" i="3" a="1"/>
  <c r="D387" i="3" l="1"/>
  <c r="D385" i="3" a="1"/>
  <c r="D385" i="3" l="1"/>
  <c r="D384" i="3" a="1"/>
  <c r="D384" i="3" l="1"/>
  <c r="D383" i="3" a="1"/>
  <c r="D383" i="3" l="1"/>
  <c r="D382" i="3" a="1"/>
  <c r="D382" i="3" l="1"/>
  <c r="D381" i="3" a="1"/>
  <c r="D381" i="3" l="1"/>
  <c r="D380" i="3" a="1"/>
  <c r="D380" i="3" l="1"/>
  <c r="D379" i="3" a="1"/>
  <c r="D379" i="3" l="1"/>
  <c r="D378" i="3" a="1"/>
  <c r="D378" i="3" l="1"/>
  <c r="D377" i="3" a="1"/>
  <c r="D377" i="3" l="1"/>
  <c r="D376" i="3" a="1"/>
  <c r="D376" i="3" l="1"/>
  <c r="D375" i="3" a="1"/>
  <c r="D375" i="3" l="1"/>
  <c r="D374" i="3" a="1"/>
  <c r="D374" i="3" l="1"/>
  <c r="D373" i="3" a="1"/>
  <c r="D373" i="3" l="1"/>
  <c r="D372" i="3" a="1"/>
  <c r="D372" i="3" l="1"/>
  <c r="D371" i="3" a="1"/>
  <c r="D371" i="3" l="1"/>
  <c r="D370" i="3" a="1"/>
  <c r="D370" i="3" l="1"/>
  <c r="D369" i="3" a="1"/>
  <c r="D369" i="3" l="1"/>
  <c r="D368" i="3" a="1"/>
  <c r="D368" i="3" l="1"/>
  <c r="D367" i="3" a="1"/>
  <c r="D367" i="3" l="1"/>
  <c r="D366" i="3" a="1"/>
  <c r="D366" i="3" l="1"/>
  <c r="D365" i="3" a="1"/>
  <c r="D365" i="3" l="1"/>
  <c r="D364" i="3" a="1"/>
  <c r="D364" i="3" l="1"/>
  <c r="D362" i="3" a="1"/>
  <c r="D362" i="3" l="1"/>
  <c r="D363" i="3" a="1"/>
  <c r="D363" i="3" l="1"/>
  <c r="D361" i="3" a="1"/>
  <c r="D361" i="3" l="1"/>
  <c r="D360" i="3" a="1"/>
  <c r="D360" i="3" l="1"/>
  <c r="D359" i="3" a="1"/>
  <c r="D359" i="3" l="1"/>
  <c r="D358" i="3" a="1"/>
  <c r="D358" i="3" l="1"/>
  <c r="D357" i="3" a="1"/>
  <c r="D357" i="3" l="1"/>
  <c r="D356" i="3" a="1"/>
  <c r="D356" i="3" l="1"/>
  <c r="D355" i="3" a="1"/>
  <c r="D355" i="3" l="1"/>
  <c r="D354" i="3" a="1"/>
  <c r="D354" i="3" l="1"/>
  <c r="D353" i="3" a="1"/>
  <c r="D353" i="3" l="1"/>
  <c r="D352" i="3" a="1"/>
  <c r="D352" i="3" l="1"/>
  <c r="D351" i="3" a="1"/>
  <c r="D351" i="3" l="1"/>
  <c r="D350" i="3" a="1"/>
  <c r="D350" i="3" l="1"/>
  <c r="D349" i="3" a="1"/>
  <c r="D349" i="3" l="1"/>
  <c r="D348" i="3" a="1"/>
  <c r="D348" i="3" l="1"/>
  <c r="D347" i="3" a="1"/>
  <c r="D347" i="3" l="1"/>
  <c r="D345" i="3" a="1"/>
  <c r="D345" i="3" l="1"/>
  <c r="D346" i="3" a="1"/>
  <c r="D346" i="3" l="1"/>
  <c r="D344" i="3" a="1"/>
  <c r="D344" i="3" l="1"/>
  <c r="D343" i="3" a="1"/>
  <c r="D343" i="3" l="1"/>
  <c r="D342" i="3" a="1"/>
  <c r="D342" i="3" l="1"/>
  <c r="D341" i="3" a="1"/>
  <c r="D341" i="3" l="1"/>
  <c r="D340" i="3" a="1"/>
  <c r="D340" i="3" l="1"/>
  <c r="D339" i="3" a="1"/>
  <c r="D339" i="3" l="1"/>
  <c r="D338" i="3" a="1"/>
  <c r="D338" i="3" l="1"/>
  <c r="D337" i="3" a="1"/>
  <c r="D337" i="3" l="1"/>
  <c r="D335" i="3" a="1"/>
  <c r="D335" i="3" l="1"/>
  <c r="D336" i="3" a="1"/>
  <c r="D336" i="3" l="1"/>
  <c r="D334" i="3" a="1"/>
  <c r="D334" i="3" l="1"/>
  <c r="D332" i="3" a="1"/>
  <c r="D332" i="3" l="1"/>
  <c r="D333" i="3" a="1"/>
  <c r="D333" i="3" l="1"/>
  <c r="D331" i="3" a="1"/>
  <c r="D331" i="3" l="1"/>
  <c r="D330" i="3" a="1"/>
  <c r="D330" i="3" l="1"/>
  <c r="D329" i="3" a="1"/>
  <c r="D329" i="3" l="1"/>
  <c r="D328" i="3" a="1"/>
  <c r="D328" i="3" l="1"/>
  <c r="D327" i="3" a="1"/>
  <c r="D327" i="3" l="1"/>
  <c r="D326" i="3" a="1"/>
  <c r="D326" i="3" l="1"/>
  <c r="D325" i="3" a="1"/>
  <c r="D325" i="3" l="1"/>
  <c r="D324" i="3" a="1"/>
  <c r="D324" i="3" l="1"/>
  <c r="D323" i="3" a="1"/>
  <c r="D323" i="3" l="1"/>
  <c r="D322" i="3" a="1"/>
  <c r="D322" i="3" l="1"/>
  <c r="D321" i="3" a="1"/>
  <c r="D321" i="3" l="1"/>
  <c r="D320" i="3" a="1"/>
  <c r="D320" i="3" l="1"/>
  <c r="D319" i="3" a="1"/>
  <c r="D319" i="3" l="1"/>
  <c r="D318" i="3" a="1"/>
  <c r="D318" i="3" l="1"/>
  <c r="D317" i="3" a="1"/>
  <c r="D317" i="3" l="1"/>
  <c r="D316" i="3" a="1"/>
  <c r="D316" i="3" l="1"/>
  <c r="D315" i="3" a="1"/>
  <c r="D315" i="3" l="1"/>
  <c r="D314" i="3" a="1"/>
  <c r="D314" i="3" l="1"/>
  <c r="D313" i="3" a="1"/>
  <c r="D313" i="3" l="1"/>
  <c r="D312" i="3" a="1"/>
  <c r="D312" i="3" l="1"/>
  <c r="D311" i="3" a="1"/>
  <c r="D311" i="3" l="1"/>
  <c r="D310" i="3" a="1"/>
  <c r="D310" i="3" l="1"/>
  <c r="D309" i="3" a="1"/>
  <c r="D309" i="3" l="1"/>
  <c r="D308" i="3" a="1"/>
  <c r="D308" i="3" l="1"/>
  <c r="D307" i="3" a="1"/>
  <c r="D307" i="3" l="1"/>
  <c r="D306" i="3" a="1"/>
  <c r="D306" i="3" l="1"/>
  <c r="D305" i="3" a="1"/>
  <c r="D305" i="3" l="1"/>
  <c r="D303" i="3" a="1"/>
  <c r="D303" i="3" l="1"/>
  <c r="D304" i="3" a="1"/>
  <c r="D304" i="3" l="1"/>
  <c r="D302" i="3" a="1"/>
  <c r="D302" i="3" l="1"/>
  <c r="D300" i="3" a="1"/>
  <c r="D300" i="3" l="1"/>
  <c r="D301" i="3" a="1"/>
  <c r="D301" i="3" l="1"/>
  <c r="D299" i="3" a="1"/>
  <c r="D299" i="3" l="1"/>
  <c r="D298" i="3" a="1"/>
  <c r="D298" i="3" l="1"/>
  <c r="D297" i="3" a="1"/>
  <c r="D297" i="3" l="1"/>
  <c r="D296" i="3" a="1"/>
  <c r="D296" i="3" l="1"/>
  <c r="D295" i="3" a="1"/>
  <c r="D295" i="3" l="1"/>
  <c r="D294" i="3" a="1"/>
  <c r="D294" i="3" l="1"/>
  <c r="D293" i="3" a="1"/>
  <c r="D293" i="3" l="1"/>
  <c r="D292" i="3" a="1"/>
  <c r="D292" i="3" l="1"/>
  <c r="D291" i="3" a="1"/>
  <c r="D291" i="3" l="1"/>
  <c r="D290" i="3" a="1"/>
  <c r="D290" i="3" l="1"/>
  <c r="D289" i="3" a="1"/>
  <c r="D289" i="3" l="1"/>
  <c r="D288" i="3" a="1"/>
  <c r="D288" i="3" l="1"/>
  <c r="D287" i="3" a="1"/>
  <c r="D287" i="3" l="1"/>
  <c r="D286" i="3" a="1"/>
  <c r="D286" i="3" l="1"/>
  <c r="D285" i="3" a="1"/>
  <c r="D285" i="3" l="1"/>
  <c r="D284" i="3" a="1"/>
  <c r="D284" i="3" l="1"/>
  <c r="D283" i="3" a="1"/>
  <c r="D283" i="3" l="1"/>
  <c r="D282" i="3" a="1"/>
  <c r="D282" i="3" l="1"/>
  <c r="D281" i="3" a="1"/>
  <c r="D281" i="3" l="1"/>
  <c r="D280" i="3" a="1"/>
  <c r="D280" i="3" l="1"/>
  <c r="D279" i="3" a="1"/>
  <c r="D279" i="3" l="1"/>
  <c r="D278" i="3" a="1"/>
  <c r="D278" i="3" l="1"/>
  <c r="D277" i="3" a="1"/>
  <c r="D277" i="3" l="1"/>
  <c r="D276" i="3" a="1"/>
  <c r="D276" i="3" l="1"/>
  <c r="D275" i="3" a="1"/>
  <c r="D275" i="3" l="1"/>
  <c r="D273" i="3" a="1"/>
  <c r="D273" i="3" l="1"/>
  <c r="D274" i="3" a="1"/>
  <c r="D274" i="3" l="1"/>
  <c r="D272" i="3" a="1"/>
  <c r="D272" i="3" l="1"/>
  <c r="D271" i="3" a="1"/>
  <c r="D271" i="3" l="1"/>
  <c r="D269" i="3" a="1"/>
  <c r="D269" i="3" l="1"/>
  <c r="D270" i="3" a="1"/>
  <c r="D270" i="3" l="1"/>
  <c r="D268" i="3" a="1"/>
  <c r="D268" i="3" l="1"/>
  <c r="D267" i="3" a="1"/>
  <c r="D267" i="3" l="1"/>
  <c r="D266" i="3" a="1"/>
  <c r="D266" i="3" l="1"/>
  <c r="D264" i="3" a="1"/>
  <c r="D264" i="3" l="1"/>
  <c r="D265" i="3" a="1"/>
  <c r="D265" i="3" l="1"/>
  <c r="D263" i="3" a="1"/>
  <c r="D263" i="3" l="1"/>
  <c r="D262" i="3" a="1"/>
  <c r="D262" i="3" l="1"/>
  <c r="D261" i="3" a="1"/>
  <c r="D261" i="3" l="1"/>
  <c r="D260" i="3" a="1"/>
  <c r="D260" i="3" l="1"/>
  <c r="D259" i="3" a="1"/>
  <c r="D259" i="3" l="1"/>
  <c r="D258" i="3" a="1"/>
  <c r="D258" i="3" l="1"/>
  <c r="D257" i="3" a="1"/>
  <c r="D257" i="3" l="1"/>
  <c r="D256" i="3" a="1"/>
  <c r="D256" i="3" l="1"/>
  <c r="D255" i="3" a="1"/>
  <c r="D255" i="3" l="1"/>
  <c r="D254" i="3" a="1"/>
  <c r="D254" i="3" l="1"/>
  <c r="D253" i="3" a="1"/>
  <c r="D253" i="3" l="1"/>
  <c r="D252" i="3" a="1"/>
  <c r="D252" i="3" l="1"/>
  <c r="D251" i="3" a="1"/>
  <c r="D251" i="3" l="1"/>
  <c r="D250" i="3" a="1"/>
  <c r="D250" i="3" l="1"/>
  <c r="D249" i="3" a="1"/>
  <c r="D249" i="3" l="1"/>
  <c r="D248" i="3" a="1"/>
  <c r="D248" i="3" l="1"/>
  <c r="D247" i="3" a="1"/>
  <c r="D247" i="3" l="1"/>
  <c r="D246" i="3" a="1"/>
  <c r="D246" i="3" l="1"/>
  <c r="D245" i="3" a="1"/>
  <c r="D245" i="3" l="1"/>
  <c r="D244" i="3" a="1"/>
  <c r="D244" i="3" l="1"/>
  <c r="D243" i="3" a="1"/>
  <c r="D243" i="3" l="1"/>
  <c r="D242" i="3" a="1"/>
  <c r="D242" i="3" l="1"/>
  <c r="D241" i="3" a="1"/>
  <c r="D241" i="3" l="1"/>
  <c r="D240" i="3" a="1"/>
  <c r="D240" i="3" l="1"/>
  <c r="D239" i="3" a="1"/>
  <c r="D239" i="3" l="1"/>
  <c r="D237" i="3" a="1"/>
  <c r="D237" i="3" l="1"/>
  <c r="D238" i="3" a="1"/>
  <c r="D238" i="3" l="1"/>
  <c r="D236" i="3" a="1"/>
  <c r="D236" i="3" l="1"/>
  <c r="D235" i="3" a="1"/>
  <c r="D235" i="3" l="1"/>
  <c r="D234" i="3" a="1"/>
  <c r="D234" i="3" l="1"/>
  <c r="D233" i="3" a="1"/>
  <c r="D233" i="3" l="1"/>
  <c r="D232" i="3" a="1"/>
  <c r="D232" i="3" l="1"/>
  <c r="D231" i="3" a="1"/>
  <c r="D231" i="3" l="1"/>
  <c r="D230" i="3" a="1"/>
  <c r="D230" i="3" l="1"/>
  <c r="D229" i="3" a="1"/>
  <c r="D229" i="3" l="1"/>
  <c r="D228" i="3" a="1"/>
  <c r="D228" i="3" l="1"/>
  <c r="D227" i="3" a="1"/>
  <c r="D227" i="3" l="1"/>
  <c r="D226" i="3" a="1"/>
  <c r="D226" i="3" l="1"/>
  <c r="D224" i="3" a="1"/>
  <c r="D224" i="3" l="1"/>
  <c r="D225" i="3" a="1"/>
  <c r="D225" i="3" l="1"/>
  <c r="D223" i="3" a="1"/>
  <c r="D223" i="3" l="1"/>
  <c r="D222" i="3" a="1"/>
  <c r="D222" i="3" l="1"/>
  <c r="D221" i="3" a="1"/>
  <c r="D221" i="3" l="1"/>
  <c r="D220" i="3" a="1"/>
  <c r="D220" i="3" l="1"/>
  <c r="D219" i="3" a="1"/>
  <c r="D219" i="3" l="1"/>
  <c r="D218" i="3" a="1"/>
  <c r="D218" i="3" l="1"/>
  <c r="D216" i="3" a="1"/>
  <c r="D216" i="3" l="1"/>
  <c r="D217" i="3" a="1"/>
  <c r="D217" i="3" l="1"/>
  <c r="D215" i="3" a="1"/>
  <c r="D215" i="3" l="1"/>
  <c r="D214" i="3" a="1"/>
  <c r="D214" i="3" l="1"/>
  <c r="D213" i="3" a="1"/>
  <c r="D213" i="3" l="1"/>
  <c r="D211" i="3" a="1"/>
  <c r="D211" i="3" l="1"/>
  <c r="D212" i="3" a="1"/>
  <c r="D212" i="3" l="1"/>
  <c r="D210" i="3" a="1"/>
  <c r="D210" i="3" l="1"/>
  <c r="D209" i="3" a="1"/>
  <c r="D209" i="3" l="1"/>
  <c r="D208" i="3" a="1"/>
  <c r="D208" i="3" l="1"/>
  <c r="D207" i="3" a="1"/>
  <c r="D207" i="3" l="1"/>
  <c r="D206" i="3" a="1"/>
  <c r="D206" i="3" l="1"/>
  <c r="D205" i="3" a="1"/>
  <c r="D205" i="3" l="1"/>
  <c r="D204" i="3" a="1"/>
  <c r="D204" i="3" l="1"/>
  <c r="D203" i="3" a="1"/>
  <c r="D203" i="3" l="1"/>
  <c r="D202" i="3" a="1"/>
  <c r="D202" i="3" l="1"/>
  <c r="D201" i="3" a="1"/>
  <c r="D201" i="3" l="1"/>
  <c r="D200" i="3" a="1"/>
  <c r="D200" i="3" l="1"/>
  <c r="D199" i="3" a="1"/>
  <c r="D199" i="3" l="1"/>
  <c r="D197" i="3" a="1"/>
  <c r="D197" i="3" l="1"/>
  <c r="D198" i="3" a="1"/>
  <c r="D198" i="3" l="1"/>
  <c r="D196" i="3" a="1"/>
  <c r="D196" i="3" l="1"/>
  <c r="D195" i="3" a="1"/>
  <c r="D195" i="3" l="1"/>
  <c r="D194" i="3" a="1"/>
  <c r="D194" i="3" l="1"/>
  <c r="D193" i="3" a="1"/>
  <c r="D193" i="3" l="1"/>
  <c r="D192" i="3" a="1"/>
  <c r="D192" i="3" l="1"/>
  <c r="D191" i="3" a="1"/>
  <c r="D191" i="3" l="1"/>
  <c r="D190" i="3" a="1"/>
  <c r="D190" i="3" l="1"/>
  <c r="D189" i="3" a="1"/>
  <c r="D189" i="3" l="1"/>
  <c r="D188" i="3" a="1"/>
  <c r="D188" i="3" l="1"/>
  <c r="D187" i="3" a="1"/>
  <c r="D187" i="3" l="1"/>
  <c r="D186" i="3" a="1"/>
  <c r="D186" i="3" l="1"/>
  <c r="D185" i="3" a="1"/>
  <c r="D185" i="3" l="1"/>
  <c r="D184" i="3" a="1"/>
  <c r="D184" i="3" l="1"/>
  <c r="D183" i="3" a="1"/>
  <c r="D183" i="3" l="1"/>
  <c r="D182" i="3" a="1"/>
  <c r="D182" i="3" l="1"/>
  <c r="D181" i="3" a="1"/>
  <c r="D181" i="3" l="1"/>
  <c r="D180" i="3" a="1"/>
  <c r="D180" i="3" l="1"/>
  <c r="D179" i="3" a="1"/>
  <c r="D179" i="3" l="1"/>
  <c r="D178" i="3" a="1"/>
  <c r="D178" i="3" l="1"/>
  <c r="D177" i="3" a="1"/>
  <c r="D177" i="3" l="1"/>
  <c r="D176" i="3" a="1"/>
  <c r="D176" i="3" l="1"/>
  <c r="D175" i="3" a="1"/>
  <c r="D175" i="3" l="1"/>
  <c r="D174" i="3" a="1"/>
  <c r="D174" i="3" l="1"/>
  <c r="D173" i="3" a="1"/>
  <c r="D173" i="3" l="1"/>
  <c r="D172" i="3" a="1"/>
  <c r="D172" i="3" l="1"/>
  <c r="D171" i="3" a="1"/>
  <c r="D171" i="3" l="1"/>
  <c r="D170" i="3" a="1"/>
  <c r="D170" i="3" l="1"/>
  <c r="D169" i="3" a="1"/>
  <c r="D169" i="3" l="1"/>
  <c r="D168" i="3" a="1"/>
  <c r="D168" i="3" l="1"/>
  <c r="D167" i="3" a="1"/>
  <c r="D167" i="3" l="1"/>
  <c r="D166" i="3" a="1"/>
  <c r="D166" i="3" l="1"/>
  <c r="D165" i="3" a="1"/>
  <c r="D165" i="3" l="1"/>
  <c r="D164" i="3" a="1"/>
  <c r="D164" i="3" l="1"/>
  <c r="D163" i="3" a="1"/>
  <c r="D163" i="3" l="1"/>
  <c r="D162" i="3" a="1"/>
  <c r="D162" i="3" l="1"/>
  <c r="D161" i="3" a="1"/>
  <c r="D161" i="3" l="1"/>
  <c r="D160" i="3" a="1"/>
  <c r="D160" i="3" l="1"/>
  <c r="D159" i="3" a="1"/>
  <c r="D159" i="3" l="1"/>
  <c r="D158" i="3" a="1"/>
  <c r="D158" i="3" l="1"/>
  <c r="D157" i="3" a="1"/>
  <c r="D157" i="3" l="1"/>
  <c r="D156" i="3" a="1"/>
  <c r="D156" i="3" l="1"/>
  <c r="D155" i="3" a="1"/>
  <c r="D155" i="3" l="1"/>
  <c r="D154" i="3" a="1"/>
  <c r="D154" i="3" l="1"/>
  <c r="D153" i="3" a="1"/>
  <c r="D153" i="3" l="1"/>
  <c r="D152" i="3" a="1"/>
  <c r="D152" i="3" l="1"/>
  <c r="D151" i="3" a="1"/>
  <c r="D151" i="3" l="1"/>
  <c r="D150" i="3" a="1"/>
  <c r="D150" i="3" l="1"/>
  <c r="D149" i="3" a="1"/>
  <c r="D149" i="3" l="1"/>
  <c r="D148" i="3" a="1"/>
  <c r="D148" i="3" l="1"/>
  <c r="D147" i="3" a="1"/>
  <c r="D147" i="3" l="1"/>
  <c r="D146" i="3" a="1"/>
  <c r="D146" i="3" l="1"/>
  <c r="D145" i="3" a="1"/>
  <c r="D145" i="3" l="1"/>
  <c r="D143" i="3" a="1"/>
  <c r="D143" i="3" l="1"/>
  <c r="D144" i="3" a="1"/>
  <c r="D144" i="3" l="1"/>
  <c r="D142" i="3" a="1"/>
  <c r="D142" i="3" l="1"/>
  <c r="D141" i="3" a="1"/>
  <c r="D141" i="3" l="1"/>
  <c r="D140" i="3" a="1"/>
  <c r="D140" i="3" l="1"/>
  <c r="D139" i="3" a="1"/>
  <c r="D139" i="3" l="1"/>
  <c r="D138" i="3" a="1"/>
  <c r="D138" i="3" l="1"/>
  <c r="D137" i="3" a="1"/>
  <c r="D137" i="3" l="1"/>
  <c r="D136" i="3" a="1"/>
  <c r="D136" i="3" l="1"/>
  <c r="D135" i="3" a="1"/>
  <c r="D135" i="3" l="1"/>
  <c r="D134" i="3" a="1"/>
  <c r="D134" i="3" l="1"/>
  <c r="D133" i="3" a="1"/>
  <c r="D133" i="3" l="1"/>
  <c r="D132" i="3" a="1"/>
  <c r="D132" i="3" l="1"/>
  <c r="D131" i="3" a="1"/>
  <c r="D131" i="3" l="1"/>
  <c r="D130" i="3" a="1"/>
  <c r="D130" i="3" l="1"/>
  <c r="D129" i="3" a="1"/>
  <c r="D129" i="3" l="1"/>
  <c r="D128" i="3" a="1"/>
  <c r="D128" i="3" l="1"/>
  <c r="D127" i="3" a="1"/>
  <c r="D127" i="3" l="1"/>
  <c r="D126" i="3" a="1"/>
  <c r="D126" i="3" l="1"/>
  <c r="D124" i="3" a="1"/>
  <c r="D124" i="3" l="1"/>
  <c r="D125" i="3" a="1"/>
  <c r="D125" i="3" l="1"/>
  <c r="D123" i="3" a="1"/>
  <c r="D123" i="3" l="1"/>
  <c r="D121" i="3" a="1"/>
  <c r="D121" i="3" l="1"/>
  <c r="D122" i="3" a="1"/>
  <c r="D122" i="3" l="1"/>
  <c r="D120" i="3" a="1"/>
  <c r="D120" i="3" l="1"/>
  <c r="D119" i="3" a="1"/>
  <c r="D119" i="3" l="1"/>
  <c r="D118" i="3" a="1"/>
  <c r="D118" i="3" l="1"/>
  <c r="D116" i="3" a="1"/>
  <c r="D116" i="3" l="1"/>
  <c r="D117" i="3" a="1"/>
  <c r="D117" i="3" l="1"/>
  <c r="D115" i="3" a="1"/>
  <c r="D115" i="3" l="1"/>
  <c r="D114" i="3" a="1"/>
  <c r="D114" i="3" l="1"/>
  <c r="D113" i="3" a="1"/>
  <c r="D113" i="3" l="1"/>
  <c r="D112" i="3" a="1"/>
  <c r="D112" i="3" l="1"/>
  <c r="D111" i="3" a="1"/>
  <c r="D111" i="3" l="1"/>
  <c r="D110" i="3" a="1"/>
  <c r="D110" i="3" l="1"/>
  <c r="D109" i="3" a="1"/>
  <c r="D109" i="3" l="1"/>
  <c r="D108" i="3" a="1"/>
  <c r="D108" i="3" l="1"/>
  <c r="D107" i="3" a="1"/>
  <c r="D107" i="3" l="1"/>
  <c r="D106" i="3" a="1"/>
  <c r="D106" i="3" l="1"/>
  <c r="D105" i="3" a="1"/>
  <c r="D105" i="3" l="1"/>
  <c r="D104" i="3" a="1"/>
  <c r="D104" i="3" l="1"/>
  <c r="D103" i="3" a="1"/>
  <c r="D103" i="3" l="1"/>
  <c r="D102" i="3" a="1"/>
  <c r="D102" i="3" l="1"/>
  <c r="D101" i="3" a="1"/>
  <c r="D101" i="3" l="1"/>
  <c r="D100" i="3" a="1"/>
  <c r="D100" i="3" l="1"/>
  <c r="D99" i="3" a="1"/>
  <c r="D99" i="3" l="1"/>
  <c r="D98" i="3" a="1"/>
  <c r="D98" i="3" l="1"/>
  <c r="D97" i="3" a="1"/>
  <c r="D97" i="3" l="1"/>
  <c r="D96" i="3" a="1"/>
  <c r="D96" i="3" l="1"/>
  <c r="D95" i="3" a="1"/>
  <c r="D95" i="3" l="1"/>
  <c r="D94" i="3" a="1"/>
  <c r="D94" i="3" l="1"/>
  <c r="D93" i="3" a="1"/>
  <c r="D93" i="3" l="1"/>
  <c r="D92" i="3" a="1"/>
  <c r="D92" i="3" l="1"/>
  <c r="D91" i="3" a="1"/>
  <c r="D91" i="3" l="1"/>
  <c r="D89" i="3" a="1"/>
  <c r="D89" i="3" l="1"/>
  <c r="D90" i="3" a="1"/>
  <c r="D90" i="3" l="1"/>
  <c r="D88" i="3" a="1"/>
  <c r="D88" i="3" l="1"/>
  <c r="D87" i="3" a="1"/>
  <c r="D87" i="3" l="1"/>
  <c r="D86" i="3" a="1"/>
  <c r="D86" i="3" l="1"/>
  <c r="D85" i="3" a="1"/>
  <c r="D85" i="3" l="1"/>
  <c r="D84" i="3" a="1"/>
  <c r="D84" i="3" l="1"/>
  <c r="D83" i="3" a="1"/>
  <c r="D83" i="3" l="1"/>
  <c r="D82" i="3" a="1"/>
  <c r="D82" i="3" l="1"/>
  <c r="D81" i="3" a="1"/>
  <c r="D81" i="3" l="1"/>
  <c r="D80" i="3" a="1"/>
  <c r="D80" i="3" l="1"/>
  <c r="D79" i="3" a="1"/>
  <c r="D79" i="3" l="1"/>
  <c r="D78" i="3" a="1"/>
  <c r="D78" i="3" l="1"/>
  <c r="D77" i="3" a="1"/>
  <c r="D77" i="3" l="1"/>
  <c r="D76" i="3" a="1"/>
  <c r="D76" i="3" l="1"/>
  <c r="D75" i="3" a="1"/>
  <c r="D75" i="3" l="1"/>
  <c r="D74" i="3" a="1"/>
  <c r="D74" i="3" l="1"/>
  <c r="D73" i="3" a="1"/>
  <c r="D73" i="3" l="1"/>
  <c r="D72" i="3" a="1"/>
  <c r="D72" i="3" l="1"/>
  <c r="D71" i="3" a="1"/>
  <c r="D71" i="3" l="1"/>
  <c r="D70" i="3" a="1"/>
  <c r="D70" i="3" l="1"/>
  <c r="D69" i="3" a="1"/>
  <c r="D69" i="3" l="1"/>
  <c r="D68" i="3" a="1"/>
  <c r="D68" i="3" l="1"/>
  <c r="D67" i="3" a="1"/>
  <c r="D67" i="3" l="1"/>
  <c r="D66" i="3" a="1"/>
  <c r="D66" i="3" l="1"/>
  <c r="D65" i="3" a="1"/>
  <c r="D65" i="3" l="1"/>
  <c r="D64" i="3" a="1"/>
  <c r="D64" i="3" l="1"/>
  <c r="D63" i="3" a="1"/>
  <c r="D63" i="3" l="1"/>
  <c r="D62" i="3" a="1"/>
  <c r="D62" i="3" l="1"/>
  <c r="D61" i="3" a="1"/>
  <c r="D61" i="3" l="1"/>
  <c r="D60" i="3" a="1"/>
  <c r="D60" i="3" l="1"/>
  <c r="D59" i="3" a="1"/>
  <c r="D59" i="3" l="1"/>
  <c r="D58" i="3" a="1"/>
  <c r="D58" i="3" l="1"/>
  <c r="D57" i="3" a="1"/>
  <c r="D57" i="3" l="1"/>
  <c r="D56" i="3" a="1"/>
  <c r="D56" i="3" l="1"/>
  <c r="D55" i="3" a="1"/>
  <c r="D55" i="3" l="1"/>
  <c r="D54" i="3" a="1"/>
  <c r="D54" i="3" l="1"/>
  <c r="D53" i="3" a="1"/>
  <c r="D53" i="3" l="1"/>
  <c r="D52" i="3" a="1"/>
  <c r="D52" i="3" l="1"/>
  <c r="D51" i="3" a="1"/>
  <c r="D51" i="3" l="1"/>
  <c r="D50" i="3" a="1"/>
  <c r="D50" i="3" l="1"/>
  <c r="D49" i="3" a="1"/>
  <c r="D49" i="3" l="1"/>
  <c r="D48" i="3" a="1"/>
  <c r="D48" i="3" l="1"/>
  <c r="D47" i="3" a="1"/>
  <c r="D47" i="3" l="1"/>
  <c r="D46" i="3" a="1"/>
  <c r="D46" i="3" l="1"/>
  <c r="D45" i="3" a="1"/>
  <c r="D45" i="3" l="1"/>
  <c r="D44" i="3" a="1"/>
  <c r="D44" i="3" l="1"/>
  <c r="D43" i="3" a="1"/>
  <c r="D43" i="3" l="1"/>
  <c r="D42" i="3" a="1"/>
  <c r="D42" i="3" l="1"/>
  <c r="D41" i="3" a="1"/>
  <c r="D41" i="3" l="1"/>
  <c r="D40" i="3" a="1"/>
  <c r="D40" i="3" l="1"/>
  <c r="D38" i="3" a="1"/>
  <c r="D38" i="3" l="1"/>
  <c r="D39" i="3" a="1"/>
  <c r="D39" i="3" l="1"/>
  <c r="D37" i="3" a="1"/>
  <c r="D37" i="3" l="1"/>
  <c r="D35" i="3" a="1"/>
  <c r="D35" i="3" l="1"/>
  <c r="D36" i="3" a="1"/>
  <c r="D36" i="3" l="1"/>
  <c r="D34" i="3" a="1"/>
  <c r="D34" i="3" l="1"/>
  <c r="D33" i="3" a="1"/>
  <c r="D33" i="3" l="1"/>
  <c r="D32" i="3" a="1"/>
  <c r="D32" i="3" l="1"/>
  <c r="D31" i="3" a="1"/>
  <c r="D31" i="3" l="1"/>
  <c r="D29" i="3" a="1"/>
  <c r="D29" i="3" l="1"/>
  <c r="D30" i="3" a="1"/>
  <c r="D30" i="3" l="1"/>
  <c r="D28" i="3" a="1"/>
  <c r="D28" i="3" l="1"/>
  <c r="D27" i="3" a="1"/>
  <c r="D27" i="3" l="1"/>
  <c r="D26" i="3" a="1"/>
  <c r="D26" i="3" l="1"/>
  <c r="D25" i="3" a="1"/>
  <c r="D25" i="3" l="1"/>
  <c r="D24" i="3" a="1"/>
  <c r="D24" i="3" l="1"/>
  <c r="D23" i="3" a="1"/>
  <c r="D23" i="3" l="1"/>
  <c r="D22" i="3" a="1"/>
  <c r="D22" i="3" l="1"/>
  <c r="D21" i="3" a="1"/>
  <c r="D21" i="3" l="1"/>
  <c r="D20" i="3" a="1"/>
  <c r="D20" i="3" l="1"/>
  <c r="D19" i="3" a="1"/>
  <c r="D19" i="3" l="1"/>
  <c r="D18" i="3" a="1"/>
  <c r="D18" i="3" l="1"/>
  <c r="D17" i="3" a="1"/>
  <c r="D17" i="3" l="1"/>
  <c r="D16" i="3" a="1"/>
  <c r="D16" i="3" l="1"/>
  <c r="D15" i="3" a="1"/>
  <c r="D15" i="3" l="1"/>
  <c r="D14" i="3" a="1"/>
  <c r="D14" i="3" l="1"/>
  <c r="D13" i="3" a="1"/>
  <c r="D13" i="3" l="1"/>
  <c r="D11" i="3" a="1"/>
  <c r="D11" i="3" l="1"/>
  <c r="D12" i="3" a="1"/>
  <c r="D12" i="3" l="1"/>
  <c r="D10" i="3" a="1"/>
  <c r="D10" i="3" l="1"/>
  <c r="D8" i="3" a="1"/>
  <c r="D8" i="3" l="1"/>
  <c r="D9" i="3" a="1"/>
  <c r="D9" i="3" l="1"/>
  <c r="D7" i="3" a="1"/>
  <c r="D7" i="3" l="1"/>
  <c r="D6" i="3" a="1"/>
  <c r="D6" i="3" l="1"/>
  <c r="D5" i="3" a="1"/>
  <c r="D5" i="3" l="1"/>
  <c r="D4" i="3" a="1"/>
  <c r="D4" i="3" l="1"/>
  <c r="D3" i="3" a="1"/>
  <c r="D2" i="3" a="1"/>
  <c r="D2" i="3" l="1"/>
  <c r="D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<sst xmlns="http://schemas.openxmlformats.org/spreadsheetml/2006/main" count="175" uniqueCount="76">
  <si>
    <t>Agg/Unknown</t>
  </si>
  <si>
    <t>Super-Pref NS</t>
    <phoneticPr fontId="1"/>
  </si>
  <si>
    <t>Pref Best NS</t>
    <phoneticPr fontId="1"/>
  </si>
  <si>
    <t>Pref Resid NS</t>
    <phoneticPr fontId="1"/>
  </si>
  <si>
    <t>Non-Pref NS</t>
    <phoneticPr fontId="1"/>
  </si>
  <si>
    <t>Undiff NS</t>
    <phoneticPr fontId="1"/>
  </si>
  <si>
    <t>Pref SM</t>
    <phoneticPr fontId="1"/>
  </si>
  <si>
    <t>Non-Pref SM</t>
    <phoneticPr fontId="1"/>
  </si>
  <si>
    <t>Undiff SM</t>
    <phoneticPr fontId="1"/>
  </si>
  <si>
    <t>A.1.a.i</t>
  </si>
  <si>
    <t>2001-cso-preferred-class-structure-mortality-tables.xls</t>
    <phoneticPr fontId="1"/>
  </si>
  <si>
    <t>Attachment A.1.a.i</t>
  </si>
  <si>
    <t>Attachment A.1.a.ii</t>
  </si>
  <si>
    <t>Attachment A.1.a.iii</t>
  </si>
  <si>
    <t>Attachment A.1.a.iv</t>
  </si>
  <si>
    <t>Attachment A.1.a.v</t>
  </si>
  <si>
    <t>Attachment A.1.b.i</t>
  </si>
  <si>
    <t>Attachment A.1.b.ii</t>
  </si>
  <si>
    <t>Attachment A.1.b.iii</t>
  </si>
  <si>
    <t>Attachment A.1.b.iv</t>
  </si>
  <si>
    <t>Attachment A.1.b.v</t>
  </si>
  <si>
    <t>2001 CSO Super Preferred Select &amp; Ultimate ANB - Male Nonsmoker</t>
  </si>
  <si>
    <t>2001 CSO Preferred Select &amp; Ultimate ANB - Male Nonsmoker</t>
  </si>
  <si>
    <t>2001 CSO Residual Standard Select &amp; Ultimate ANB - Male Nonsmoker</t>
  </si>
  <si>
    <t>2001 CSO Preferred Select &amp; Ultimate ANB - Male Smoker</t>
  </si>
  <si>
    <t>2001 CSO Residual Standard Select &amp; Ultimate ANB - Male Smoker</t>
  </si>
  <si>
    <t>2001 CSO Super Preferred Select &amp; Ultimate ANB - Female Nonsmoker</t>
  </si>
  <si>
    <t>2001 CSO Preferred Select &amp; Ultimate ANB - Female Nonsmoker</t>
  </si>
  <si>
    <t>2001 CSO Residual Standard Select &amp; Ultimate ANB - Female Nonsmoker</t>
  </si>
  <si>
    <t>2001 CSO Preferred Select &amp; Ultimate ANB - Female Smoker</t>
  </si>
  <si>
    <t>2001 CSO Residual Standard Select &amp; Ultimate ANB - Female Smoker</t>
  </si>
  <si>
    <t>2001 CSO Select and Ultimate – Male Composite, ANB</t>
  </si>
  <si>
    <t>2001 CSO Select and Ultimate - Male Nonsmoker, ANB</t>
  </si>
  <si>
    <t>2001 CSO Select and Ultimate - Male Smoker, ANB</t>
  </si>
  <si>
    <t>2001 CSO Select and Ultimate - Female Composite, ANB</t>
  </si>
  <si>
    <t>2001 CSO Select and Ultimate - Female Nonsmoker, ANB</t>
  </si>
  <si>
    <t xml:space="preserve">2001 CSO Select and Ultimate - Female Smoker, ANB </t>
  </si>
  <si>
    <t>M</t>
    <phoneticPr fontId="1"/>
  </si>
  <si>
    <t>F</t>
    <phoneticPr fontId="1"/>
  </si>
  <si>
    <t>risk_class</t>
  </si>
  <si>
    <t>gender</t>
  </si>
  <si>
    <t>A.1.a.ii</t>
  </si>
  <si>
    <t>A.1.a.iii</t>
  </si>
  <si>
    <t>A.1.a.iv</t>
  </si>
  <si>
    <t>A.1.a.v</t>
  </si>
  <si>
    <t>A.1.b.i</t>
  </si>
  <si>
    <t>A.1.b.ii</t>
  </si>
  <si>
    <t>A.1.b.iii</t>
  </si>
  <si>
    <t>A.1.b.iv</t>
  </si>
  <si>
    <t>A.1.b.v</t>
  </si>
  <si>
    <t>t1137.xlsx</t>
    <phoneticPr fontId="1"/>
  </si>
  <si>
    <t>t1138.xlsx</t>
    <phoneticPr fontId="1"/>
  </si>
  <si>
    <t>t1136.xlsx</t>
    <phoneticPr fontId="1"/>
  </si>
  <si>
    <t>Sheet1</t>
  </si>
  <si>
    <t>t1140.xlsx</t>
    <phoneticPr fontId="1"/>
  </si>
  <si>
    <t>t1141.xlsx</t>
    <phoneticPr fontId="1"/>
  </si>
  <si>
    <t>t1139.xlsx</t>
    <phoneticPr fontId="1"/>
  </si>
  <si>
    <t>B8</t>
    <phoneticPr fontId="1"/>
  </si>
  <si>
    <t>AA8</t>
    <phoneticPr fontId="1"/>
  </si>
  <si>
    <t>B25</t>
    <phoneticPr fontId="1"/>
  </si>
  <si>
    <t>B139</t>
    <phoneticPr fontId="1"/>
  </si>
  <si>
    <t>rate</t>
    <phoneticPr fontId="1"/>
  </si>
  <si>
    <t>address</t>
    <phoneticPr fontId="1"/>
  </si>
  <si>
    <t>workbook</t>
    <phoneticPr fontId="1"/>
  </si>
  <si>
    <t>Sheet</t>
    <phoneticPr fontId="1"/>
  </si>
  <si>
    <t>issue_age</t>
  </si>
  <si>
    <t>issue_age</t>
    <phoneticPr fontId="1"/>
  </si>
  <si>
    <t>issue_age_estimated</t>
    <phoneticPr fontId="1"/>
  </si>
  <si>
    <t>not available preferred table on age &lt; 11</t>
    <phoneticPr fontId="1"/>
  </si>
  <si>
    <t>row</t>
    <phoneticPr fontId="1"/>
  </si>
  <si>
    <t>mortality</t>
    <phoneticPr fontId="1"/>
  </si>
  <si>
    <t>aggregated</t>
    <phoneticPr fontId="1"/>
  </si>
  <si>
    <t>row(aggregated)</t>
    <phoneticPr fontId="1"/>
  </si>
  <si>
    <t>offset_col</t>
    <phoneticPr fontId="1"/>
  </si>
  <si>
    <t>offset_row</t>
    <phoneticPr fontId="1"/>
  </si>
  <si>
    <t>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</si>
</sst>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Tahoma"/>
      <family val="2"/>
    </font>
    <font>
      <sz val="10"/>
      <name val="Zurich BT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2" fillId="0" borderId="0" xfId="0" applyFont="1" applyAlignment="1"/>
    <xf numFmtId="0" fontId="2" fillId="0" borderId="0" xfId="1" applyFont="1" applyAlignment="1" applyProtection="1">
      <alignment horizontal="left"/>
      <protection locked="0"/>
    </xf>
    <xf numFmtId="0" fontId="0" fillId="2" borderId="0" xfId="0" applyFill="1">
      <alignment vertical="center"/>
    </xf>
    <xf numFmtId="187" fontId="0" fillId="3" borderId="0" xfId="0" applyNumberFormat="1" applyFill="1">
      <alignment vertical="center"/>
    </xf>
  </cellXfs>
  <cellStyles count="2">
    <cellStyle name="Normal_sheet" xfId="1" xr:uid="{5C951C20-2B50-4805-8F5F-6B3AF7437EDB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561975</xdr:colOff>
      <xdr:row>0</xdr:row>
      <xdr:rowOff>28575</xdr:rowOff>
    </xdr:from>
    <xdr:to>
      <xdr:col>27</xdr:col>
      <xdr:colOff>467477</xdr:colOff>
      <xdr:row>33</xdr:row>
      <xdr:rowOff>134461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BAE28EC-71DC-0658-3393-4357D440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28575"/>
          <a:ext cx="5391902" cy="7964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561975</xdr:colOff>
      <xdr:row>0</xdr:row>
      <xdr:rowOff>28575</xdr:rowOff>
    </xdr:from>
    <xdr:to>
      <xdr:col>27</xdr:col>
      <xdr:colOff>467477</xdr:colOff>
      <xdr:row>33</xdr:row>
      <xdr:rowOff>134461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B6E5963-7556-40EA-B2E3-0ACC8852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0" y="28575"/>
          <a:ext cx="5391902" cy="7964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3149-1336-4350-9E47-8DC2CEC36C6A}">
  <sheetPr codeName="Sheet1"/>
  <dimension ref="A1:K20"/>
  <sheetViews>
    <sheetView workbookViewId="0">
      <selection activeCell="H1" sqref="H1"/>
    </sheetView>
  </sheetViews>
  <sheetFormatPr defaultRowHeight="18.75"/>
  <cols>
    <col min="2" max="3" width="16.25" customWidth="1"/>
    <col min="4" max="4" width="41.875" customWidth="1"/>
    <col min="10" max="10" width="16.125" bestFit="1" customWidth="1"/>
    <col min="11" max="11" width="51.125" customWidth="1"/>
    <col min="12" max="12" width="20.625" customWidth="1"/>
    <col min="13" max="13" width="64.625" customWidth="1"/>
  </cols>
  <sheetData>
    <row r="1" spans="1:11">
      <c r="A1" t="s">
        <v>40</v>
      </c>
      <c r="B1" t="s">
        <v>39</v>
      </c>
      <c r="C1" t="s">
        <v>71</v>
      </c>
      <c r="D1" t="s">
        <v>63</v>
      </c>
      <c r="E1" t="s">
        <v>64</v>
      </c>
      <c r="F1" t="s">
        <v>62</v>
      </c>
      <c r="H1" t="s">
        <v>61</v>
      </c>
    </row>
    <row r="2" spans="1:11">
      <c r="A2" t="s">
        <v>37</v>
      </c>
      <c r="B2" t="s">
        <v>1</v>
      </c>
      <c r="C2">
        <f>ROW($B$10)</f>
        <v>10</v>
      </c>
      <c r="D2" s="1" t="s">
        <v>10</v>
      </c>
      <c r="E2" t="s">
        <v>9</v>
      </c>
      <c r="F2" t="s">
        <v>57</v>
      </c>
      <c r="G2" t="s">
        <v>58</v>
      </c>
      <c r="H2">
        <v>1E-3</v>
      </c>
      <c r="J2" s="2" t="s">
        <v>11</v>
      </c>
      <c r="K2" s="3" t="s">
        <v>21</v>
      </c>
    </row>
    <row r="3" spans="1:11">
      <c r="A3" t="s">
        <v>37</v>
      </c>
      <c r="B3" t="s">
        <v>2</v>
      </c>
      <c r="C3">
        <f t="shared" ref="C3:C11" si="0">ROW($B$10)</f>
        <v>10</v>
      </c>
      <c r="D3" s="1" t="s">
        <v>10</v>
      </c>
      <c r="E3" t="s">
        <v>41</v>
      </c>
      <c r="F3" t="s">
        <v>57</v>
      </c>
      <c r="G3" t="s">
        <v>58</v>
      </c>
      <c r="H3">
        <v>1E-3</v>
      </c>
      <c r="J3" s="2" t="s">
        <v>12</v>
      </c>
      <c r="K3" s="2" t="s">
        <v>22</v>
      </c>
    </row>
    <row r="4" spans="1:11">
      <c r="A4" t="s">
        <v>37</v>
      </c>
      <c r="B4" t="s">
        <v>3</v>
      </c>
      <c r="C4">
        <f t="shared" si="0"/>
        <v>10</v>
      </c>
      <c r="D4" s="1" t="s">
        <v>10</v>
      </c>
      <c r="E4" t="s">
        <v>41</v>
      </c>
      <c r="F4" t="s">
        <v>57</v>
      </c>
      <c r="G4" t="s">
        <v>58</v>
      </c>
      <c r="H4">
        <v>1E-3</v>
      </c>
      <c r="J4" s="2" t="s">
        <v>12</v>
      </c>
      <c r="K4" s="2" t="s">
        <v>22</v>
      </c>
    </row>
    <row r="5" spans="1:11">
      <c r="A5" t="s">
        <v>37</v>
      </c>
      <c r="B5" t="s">
        <v>4</v>
      </c>
      <c r="C5">
        <f t="shared" si="0"/>
        <v>10</v>
      </c>
      <c r="D5" s="1" t="s">
        <v>10</v>
      </c>
      <c r="E5" t="s">
        <v>42</v>
      </c>
      <c r="F5" t="s">
        <v>57</v>
      </c>
      <c r="G5" t="s">
        <v>58</v>
      </c>
      <c r="H5">
        <v>1E-3</v>
      </c>
      <c r="J5" s="2" t="s">
        <v>13</v>
      </c>
      <c r="K5" s="2" t="s">
        <v>23</v>
      </c>
    </row>
    <row r="6" spans="1:11">
      <c r="A6" t="s">
        <v>37</v>
      </c>
      <c r="B6" t="s">
        <v>5</v>
      </c>
      <c r="C6">
        <f t="shared" si="0"/>
        <v>10</v>
      </c>
      <c r="D6" t="s">
        <v>50</v>
      </c>
      <c r="E6" t="s">
        <v>53</v>
      </c>
      <c r="F6" t="s">
        <v>59</v>
      </c>
      <c r="G6" t="s">
        <v>60</v>
      </c>
      <c r="H6">
        <v>1</v>
      </c>
      <c r="J6">
        <v>1137</v>
      </c>
      <c r="K6" t="s">
        <v>32</v>
      </c>
    </row>
    <row r="7" spans="1:11">
      <c r="A7" t="s">
        <v>37</v>
      </c>
      <c r="B7" t="s">
        <v>6</v>
      </c>
      <c r="C7">
        <f t="shared" si="0"/>
        <v>10</v>
      </c>
      <c r="D7" s="1" t="s">
        <v>10</v>
      </c>
      <c r="E7" t="s">
        <v>43</v>
      </c>
      <c r="F7" t="s">
        <v>57</v>
      </c>
      <c r="G7" t="s">
        <v>58</v>
      </c>
      <c r="H7">
        <v>1E-3</v>
      </c>
      <c r="J7" s="2" t="s">
        <v>14</v>
      </c>
      <c r="K7" s="2" t="s">
        <v>24</v>
      </c>
    </row>
    <row r="8" spans="1:11">
      <c r="A8" t="s">
        <v>37</v>
      </c>
      <c r="B8" t="s">
        <v>7</v>
      </c>
      <c r="C8">
        <f t="shared" si="0"/>
        <v>10</v>
      </c>
      <c r="D8" s="1" t="s">
        <v>10</v>
      </c>
      <c r="E8" t="s">
        <v>44</v>
      </c>
      <c r="F8" t="s">
        <v>57</v>
      </c>
      <c r="G8" t="s">
        <v>58</v>
      </c>
      <c r="H8">
        <v>1E-3</v>
      </c>
      <c r="J8" s="2" t="s">
        <v>15</v>
      </c>
      <c r="K8" s="2" t="s">
        <v>25</v>
      </c>
    </row>
    <row r="9" spans="1:11">
      <c r="A9" t="s">
        <v>37</v>
      </c>
      <c r="B9" t="s">
        <v>8</v>
      </c>
      <c r="C9">
        <f t="shared" si="0"/>
        <v>10</v>
      </c>
      <c r="D9" t="s">
        <v>51</v>
      </c>
      <c r="E9" t="s">
        <v>53</v>
      </c>
      <c r="F9" t="s">
        <v>59</v>
      </c>
      <c r="G9" t="s">
        <v>60</v>
      </c>
      <c r="H9">
        <v>1</v>
      </c>
      <c r="J9">
        <v>1138</v>
      </c>
      <c r="K9" t="s">
        <v>33</v>
      </c>
    </row>
    <row r="10" spans="1:11">
      <c r="A10" t="s">
        <v>37</v>
      </c>
      <c r="B10" t="s">
        <v>0</v>
      </c>
      <c r="C10">
        <f t="shared" si="0"/>
        <v>10</v>
      </c>
      <c r="D10" t="s">
        <v>52</v>
      </c>
      <c r="E10" t="s">
        <v>53</v>
      </c>
      <c r="F10" t="s">
        <v>59</v>
      </c>
      <c r="G10" t="s">
        <v>60</v>
      </c>
      <c r="H10">
        <v>1</v>
      </c>
      <c r="J10">
        <v>1136</v>
      </c>
      <c r="K10" t="s">
        <v>31</v>
      </c>
    </row>
    <row r="11" spans="1:11">
      <c r="A11" t="s">
        <v>38</v>
      </c>
      <c r="B11" t="s">
        <v>1</v>
      </c>
      <c r="C11">
        <f>ROW($B$19)</f>
        <v>19</v>
      </c>
      <c r="D11" s="1" t="s">
        <v>10</v>
      </c>
      <c r="E11" t="s">
        <v>45</v>
      </c>
      <c r="F11" t="s">
        <v>57</v>
      </c>
      <c r="G11" t="s">
        <v>58</v>
      </c>
      <c r="H11">
        <v>1E-3</v>
      </c>
      <c r="J11" s="2" t="s">
        <v>16</v>
      </c>
      <c r="K11" s="3" t="s">
        <v>26</v>
      </c>
    </row>
    <row r="12" spans="1:11">
      <c r="A12" t="s">
        <v>38</v>
      </c>
      <c r="B12" t="s">
        <v>2</v>
      </c>
      <c r="C12">
        <f t="shared" ref="C12:C20" si="1">ROW($B$19)</f>
        <v>19</v>
      </c>
      <c r="D12" s="1" t="s">
        <v>10</v>
      </c>
      <c r="E12" t="s">
        <v>46</v>
      </c>
      <c r="F12" t="s">
        <v>57</v>
      </c>
      <c r="G12" t="s">
        <v>58</v>
      </c>
      <c r="H12">
        <v>1E-3</v>
      </c>
      <c r="J12" s="2" t="s">
        <v>17</v>
      </c>
      <c r="K12" s="2" t="s">
        <v>27</v>
      </c>
    </row>
    <row r="13" spans="1:11">
      <c r="A13" t="s">
        <v>38</v>
      </c>
      <c r="B13" t="s">
        <v>3</v>
      </c>
      <c r="C13">
        <f t="shared" si="1"/>
        <v>19</v>
      </c>
      <c r="D13" s="1" t="s">
        <v>10</v>
      </c>
      <c r="E13" t="s">
        <v>46</v>
      </c>
      <c r="F13" t="s">
        <v>57</v>
      </c>
      <c r="G13" t="s">
        <v>58</v>
      </c>
      <c r="H13">
        <v>1E-3</v>
      </c>
      <c r="J13" s="2" t="s">
        <v>17</v>
      </c>
      <c r="K13" s="2" t="s">
        <v>27</v>
      </c>
    </row>
    <row r="14" spans="1:11">
      <c r="A14" t="s">
        <v>38</v>
      </c>
      <c r="B14" t="s">
        <v>4</v>
      </c>
      <c r="C14">
        <f t="shared" si="1"/>
        <v>19</v>
      </c>
      <c r="D14" s="1" t="s">
        <v>10</v>
      </c>
      <c r="E14" t="s">
        <v>47</v>
      </c>
      <c r="F14" t="s">
        <v>57</v>
      </c>
      <c r="G14" t="s">
        <v>58</v>
      </c>
      <c r="H14">
        <v>1E-3</v>
      </c>
      <c r="J14" s="2" t="s">
        <v>18</v>
      </c>
      <c r="K14" s="2" t="s">
        <v>28</v>
      </c>
    </row>
    <row r="15" spans="1:11">
      <c r="A15" t="s">
        <v>38</v>
      </c>
      <c r="B15" t="s">
        <v>5</v>
      </c>
      <c r="C15">
        <f t="shared" si="1"/>
        <v>19</v>
      </c>
      <c r="D15" t="s">
        <v>54</v>
      </c>
      <c r="E15" t="s">
        <v>53</v>
      </c>
      <c r="F15" t="s">
        <v>59</v>
      </c>
      <c r="G15" t="s">
        <v>60</v>
      </c>
      <c r="H15">
        <v>1</v>
      </c>
      <c r="J15">
        <v>1140</v>
      </c>
      <c r="K15" t="s">
        <v>35</v>
      </c>
    </row>
    <row r="16" spans="1:11">
      <c r="A16" t="s">
        <v>38</v>
      </c>
      <c r="B16" t="s">
        <v>6</v>
      </c>
      <c r="C16">
        <f t="shared" si="1"/>
        <v>19</v>
      </c>
      <c r="D16" s="1" t="s">
        <v>10</v>
      </c>
      <c r="E16" t="s">
        <v>48</v>
      </c>
      <c r="F16" t="s">
        <v>57</v>
      </c>
      <c r="G16" t="s">
        <v>58</v>
      </c>
      <c r="H16">
        <v>1E-3</v>
      </c>
      <c r="J16" s="2" t="s">
        <v>19</v>
      </c>
      <c r="K16" s="2" t="s">
        <v>29</v>
      </c>
    </row>
    <row r="17" spans="1:11">
      <c r="A17" t="s">
        <v>38</v>
      </c>
      <c r="B17" t="s">
        <v>7</v>
      </c>
      <c r="C17">
        <f t="shared" si="1"/>
        <v>19</v>
      </c>
      <c r="D17" s="1" t="s">
        <v>10</v>
      </c>
      <c r="E17" t="s">
        <v>49</v>
      </c>
      <c r="F17" t="s">
        <v>57</v>
      </c>
      <c r="G17" t="s">
        <v>58</v>
      </c>
      <c r="H17">
        <v>1E-3</v>
      </c>
      <c r="J17" s="2" t="s">
        <v>20</v>
      </c>
      <c r="K17" s="2" t="s">
        <v>30</v>
      </c>
    </row>
    <row r="18" spans="1:11">
      <c r="A18" t="s">
        <v>38</v>
      </c>
      <c r="B18" t="s">
        <v>8</v>
      </c>
      <c r="C18">
        <f t="shared" si="1"/>
        <v>19</v>
      </c>
      <c r="D18" t="s">
        <v>55</v>
      </c>
      <c r="E18" t="s">
        <v>53</v>
      </c>
      <c r="F18" t="s">
        <v>59</v>
      </c>
      <c r="G18" t="s">
        <v>60</v>
      </c>
      <c r="H18">
        <v>1</v>
      </c>
      <c r="J18">
        <v>1141</v>
      </c>
      <c r="K18" t="s">
        <v>36</v>
      </c>
    </row>
    <row r="19" spans="1:11">
      <c r="A19" t="s">
        <v>38</v>
      </c>
      <c r="B19" t="s">
        <v>0</v>
      </c>
      <c r="C19">
        <f t="shared" si="1"/>
        <v>19</v>
      </c>
      <c r="D19" t="s">
        <v>56</v>
      </c>
      <c r="E19" t="s">
        <v>53</v>
      </c>
      <c r="F19" t="s">
        <v>59</v>
      </c>
      <c r="G19" t="s">
        <v>60</v>
      </c>
      <c r="H19">
        <v>1</v>
      </c>
      <c r="J19">
        <v>1139</v>
      </c>
      <c r="K19" t="s">
        <v>34</v>
      </c>
    </row>
    <row r="20" spans="1:11">
      <c r="C20">
        <f t="shared" si="1"/>
        <v>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FCB9-0773-4C4C-919E-78089169C2EB}">
  <dimension ref="A1:P1801"/>
  <sheetViews>
    <sheetView workbookViewId="0">
      <selection activeCell="J2" sqref="J2"/>
    </sheetView>
  </sheetViews>
  <sheetFormatPr defaultRowHeight="18.75"/>
  <cols>
    <col min="2" max="2" width="20.375" customWidth="1"/>
    <col min="3" max="4" width="9.625" customWidth="1"/>
  </cols>
  <sheetData>
    <row r="1" spans="1:16">
      <c r="A1" t="s">
        <v>40</v>
      </c>
      <c r="B1" t="s">
        <v>39</v>
      </c>
      <c r="C1" t="s">
        <v>66</v>
      </c>
      <c r="D1" t="s">
        <v>70</v>
      </c>
      <c r="F1" t="s">
        <v>69</v>
      </c>
      <c r="G1" t="s">
        <v>72</v>
      </c>
      <c r="H1" t="s">
        <v>63</v>
      </c>
      <c r="I1" t="s">
        <v>64</v>
      </c>
      <c r="J1" t="s">
        <v>62</v>
      </c>
      <c r="K1" t="s">
        <v>61</v>
      </c>
      <c r="L1" t="s">
        <v>74</v>
      </c>
      <c r="M1" t="s">
        <v>73</v>
      </c>
      <c r="N1" t="s">
        <v>65</v>
      </c>
      <c r="O1" t="s">
        <v>67</v>
      </c>
    </row>
    <row r="2" spans="1:16">
      <c r="A2" s="4" t="str" cm="1">
        <f t="array" ref="A2">INDEX(Sheet1!A:A,$F2)</f>
        <v>M</v>
      </c>
      <c r="B2" s="4" t="str" cm="1">
        <f t="array" ref="B2">INDEX(Sheet1!B:B,$F2)</f>
        <v>Super-Pref NS</v>
      </c>
      <c r="C2">
        <v>0</v>
      </c>
      <c r="D2" s="5" cm="1">
        <f t="array" aca="1" ref="D2" ca="1">OFFSET(INDIRECT("'["&amp;$H2&amp;"]"&amp;$I2&amp;"'!"&amp;$J2),$L2,$M2)*$K2</f>
        <v>2.1000000000000001E-4</v>
      </c>
      <c r="F2">
        <v>2</v>
      </c>
      <c r="G2" s="4" cm="1">
        <f t="array" ref="G2">IF($C2+$M2&lt;16,INDEX(Sheet1!C:C,$F2),$F2)</f>
        <v>10</v>
      </c>
      <c r="H2" s="4" t="str" cm="1">
        <f t="array" ref="H2">INDEX(Sheet1!D:D,$G2)</f>
        <v>t1136.xlsx</v>
      </c>
      <c r="I2" s="4" t="str" cm="1">
        <f t="array" ref="I2">INDEX(Sheet1!E:E,$G2)</f>
        <v>Sheet1</v>
      </c>
      <c r="J2" s="4" t="str" cm="1">
        <f t="array" ref="J2">INDEX(Sheet1!F:F,$G2)</f>
        <v>B25</v>
      </c>
      <c r="K2" s="4" cm="1">
        <f t="array" ref="K2">INDEX(Sheet1!H:H,$G2)</f>
        <v>1</v>
      </c>
      <c r="L2" s="4">
        <f>C2</f>
        <v>0</v>
      </c>
      <c r="M2">
        <v>5</v>
      </c>
      <c r="N2">
        <v>10</v>
      </c>
      <c r="O2">
        <v>10</v>
      </c>
      <c r="P2" t="s">
        <v>68</v>
      </c>
    </row>
    <row r="3" spans="1:16">
      <c r="A3" s="4" t="str" cm="1">
        <f t="array" ref="A3">INDEX(Sheet1!A:A,$F3)</f>
        <v>M</v>
      </c>
      <c r="B3" s="4" t="str" cm="1">
        <f t="array" ref="B3">INDEX(Sheet1!B:B,$F3)</f>
        <v>Super-Pref NS</v>
      </c>
      <c r="C3" s="4">
        <f>IF(C2=99,0,C2+1)</f>
        <v>1</v>
      </c>
      <c r="D3" s="5" cm="1">
        <f t="array" aca="1" ref="D3" ca="1">OFFSET(INDIRECT("'["&amp;$H3&amp;"]"&amp;$I3&amp;"'!"&amp;$J3),$L3,$M3)*$K3</f>
        <v>2.1000000000000001E-4</v>
      </c>
      <c r="F3" s="4">
        <f>IF(C3=0,1,0)+F2</f>
        <v>2</v>
      </c>
      <c r="G3" s="4" cm="1">
        <f t="array" ref="G3">IF($C3+$M3&lt;16,INDEX(Sheet1!C:C,$F3),$F3)</f>
        <v>10</v>
      </c>
      <c r="H3" s="4" t="str" cm="1">
        <f t="array" ref="H3">INDEX(Sheet1!D:D,$G3)</f>
        <v>t1136.xlsx</v>
      </c>
      <c r="I3" s="4" t="str" cm="1">
        <f t="array" ref="I3">INDEX(Sheet1!E:E,$G3)</f>
        <v>Sheet1</v>
      </c>
      <c r="J3" s="4" t="str" cm="1">
        <f t="array" ref="J3">INDEX(Sheet1!F:F,$G3)</f>
        <v>B25</v>
      </c>
      <c r="K3" s="4" cm="1">
        <f t="array" ref="K3">INDEX(Sheet1!H:H,$G3)</f>
        <v>1</v>
      </c>
      <c r="L3" s="4">
        <f t="shared" ref="L3:L66" si="0">C3</f>
        <v>1</v>
      </c>
      <c r="M3" s="4">
        <f>M$2</f>
        <v>5</v>
      </c>
      <c r="N3">
        <v>20</v>
      </c>
      <c r="O3">
        <v>26</v>
      </c>
    </row>
    <row r="4" spans="1:16">
      <c r="A4" s="4" t="str" cm="1">
        <f t="array" ref="A4">INDEX(Sheet1!A:A,$F4)</f>
        <v>M</v>
      </c>
      <c r="B4" s="4" t="str" cm="1">
        <f t="array" ref="B4">INDEX(Sheet1!B:B,$F4)</f>
        <v>Super-Pref NS</v>
      </c>
      <c r="C4" s="4">
        <f t="shared" ref="C4:C67" si="1">IF(C3=99,0,C3+1)</f>
        <v>2</v>
      </c>
      <c r="D4" s="5" cm="1">
        <f t="array" aca="1" ref="D4" ca="1">OFFSET(INDIRECT("'["&amp;$H4&amp;"]"&amp;$I4&amp;"'!"&amp;$J4),$L4,$M4)*$K4</f>
        <v>2.1000000000000001E-4</v>
      </c>
      <c r="F4" s="4">
        <f t="shared" ref="F4:F67" si="2">IF(C4=0,1,0)+F3</f>
        <v>2</v>
      </c>
      <c r="G4" s="4" cm="1">
        <f t="array" ref="G4">IF($C4+$M4&lt;16,INDEX(Sheet1!C:C,$F4),$F4)</f>
        <v>10</v>
      </c>
      <c r="H4" s="4" t="str" cm="1">
        <f t="array" ref="H4">INDEX(Sheet1!D:D,$G4)</f>
        <v>t1136.xlsx</v>
      </c>
      <c r="I4" s="4" t="str" cm="1">
        <f t="array" ref="I4">INDEX(Sheet1!E:E,$G4)</f>
        <v>Sheet1</v>
      </c>
      <c r="J4" s="4" t="str" cm="1">
        <f t="array" ref="J4">INDEX(Sheet1!F:F,$G4)</f>
        <v>B25</v>
      </c>
      <c r="K4" s="4" cm="1">
        <f t="array" ref="K4">INDEX(Sheet1!H:H,$G4)</f>
        <v>1</v>
      </c>
      <c r="L4" s="4">
        <f t="shared" si="0"/>
        <v>2</v>
      </c>
      <c r="M4" s="4">
        <f t="shared" ref="L4:M67" si="3">M$2</f>
        <v>5</v>
      </c>
      <c r="N4">
        <v>30</v>
      </c>
      <c r="O4">
        <v>35</v>
      </c>
    </row>
    <row r="5" spans="1:16">
      <c r="A5" s="4" t="str" cm="1">
        <f t="array" ref="A5">INDEX(Sheet1!A:A,$F5)</f>
        <v>M</v>
      </c>
      <c r="B5" s="4" t="str" cm="1">
        <f t="array" ref="B5">INDEX(Sheet1!B:B,$F5)</f>
        <v>Super-Pref NS</v>
      </c>
      <c r="C5" s="4">
        <f t="shared" si="1"/>
        <v>3</v>
      </c>
      <c r="D5" s="5" cm="1">
        <f t="array" aca="1" ref="D5" ca="1">OFFSET(INDIRECT("'["&amp;$H5&amp;"]"&amp;$I5&amp;"'!"&amp;$J5),$L5,$M5)*$K5</f>
        <v>2.1000000000000001E-4</v>
      </c>
      <c r="F5" s="4">
        <f t="shared" si="2"/>
        <v>2</v>
      </c>
      <c r="G5" s="4" cm="1">
        <f t="array" ref="G5">IF($C5+$M5&lt;16,INDEX(Sheet1!C:C,$F5),$F5)</f>
        <v>10</v>
      </c>
      <c r="H5" s="4" t="str" cm="1">
        <f t="array" ref="H5">INDEX(Sheet1!D:D,$G5)</f>
        <v>t1136.xlsx</v>
      </c>
      <c r="I5" s="4" t="str" cm="1">
        <f t="array" ref="I5">INDEX(Sheet1!E:E,$G5)</f>
        <v>Sheet1</v>
      </c>
      <c r="J5" s="4" t="str" cm="1">
        <f t="array" ref="J5">INDEX(Sheet1!F:F,$G5)</f>
        <v>B25</v>
      </c>
      <c r="K5" s="4" cm="1">
        <f t="array" ref="K5">INDEX(Sheet1!H:H,$G5)</f>
        <v>1</v>
      </c>
      <c r="L5" s="4">
        <f t="shared" si="0"/>
        <v>3</v>
      </c>
      <c r="M5" s="4">
        <f t="shared" si="3"/>
        <v>5</v>
      </c>
      <c r="N5">
        <v>40</v>
      </c>
      <c r="O5">
        <v>44</v>
      </c>
    </row>
    <row r="6" spans="1:16">
      <c r="A6" s="4" t="str" cm="1">
        <f t="array" ref="A6">INDEX(Sheet1!A:A,$F6)</f>
        <v>M</v>
      </c>
      <c r="B6" s="4" t="str" cm="1">
        <f t="array" ref="B6">INDEX(Sheet1!B:B,$F6)</f>
        <v>Super-Pref NS</v>
      </c>
      <c r="C6" s="4">
        <f t="shared" si="1"/>
        <v>4</v>
      </c>
      <c r="D6" s="5" cm="1">
        <f t="array" aca="1" ref="D6" ca="1">OFFSET(INDIRECT("'["&amp;$H6&amp;"]"&amp;$I6&amp;"'!"&amp;$J6),$L6,$M6)*$K6</f>
        <v>2.1000000000000001E-4</v>
      </c>
      <c r="F6" s="4">
        <f t="shared" si="2"/>
        <v>2</v>
      </c>
      <c r="G6" s="4" cm="1">
        <f t="array" ref="G6">IF($C6+$M6&lt;16,INDEX(Sheet1!C:C,$F6),$F6)</f>
        <v>10</v>
      </c>
      <c r="H6" s="4" t="str" cm="1">
        <f t="array" ref="H6">INDEX(Sheet1!D:D,$G6)</f>
        <v>t1136.xlsx</v>
      </c>
      <c r="I6" s="4" t="str" cm="1">
        <f t="array" ref="I6">INDEX(Sheet1!E:E,$G6)</f>
        <v>Sheet1</v>
      </c>
      <c r="J6" s="4" t="str" cm="1">
        <f t="array" ref="J6">INDEX(Sheet1!F:F,$G6)</f>
        <v>B25</v>
      </c>
      <c r="K6" s="4" cm="1">
        <f t="array" ref="K6">INDEX(Sheet1!H:H,$G6)</f>
        <v>1</v>
      </c>
      <c r="L6" s="4">
        <f t="shared" si="0"/>
        <v>4</v>
      </c>
      <c r="M6" s="4">
        <f t="shared" si="3"/>
        <v>5</v>
      </c>
      <c r="N6">
        <v>50</v>
      </c>
      <c r="O6">
        <v>54</v>
      </c>
    </row>
    <row r="7" spans="1:16">
      <c r="A7" s="4" t="str" cm="1">
        <f t="array" ref="A7">INDEX(Sheet1!A:A,$F7)</f>
        <v>M</v>
      </c>
      <c r="B7" s="4" t="str" cm="1">
        <f t="array" ref="B7">INDEX(Sheet1!B:B,$F7)</f>
        <v>Super-Pref NS</v>
      </c>
      <c r="C7" s="4">
        <f t="shared" si="1"/>
        <v>5</v>
      </c>
      <c r="D7" s="5" cm="1">
        <f t="array" aca="1" ref="D7" ca="1">OFFSET(INDIRECT("'["&amp;$H7&amp;"]"&amp;$I7&amp;"'!"&amp;$J7),$L7,$M7)*$K7</f>
        <v>2.1000000000000001E-4</v>
      </c>
      <c r="F7" s="4">
        <f t="shared" si="2"/>
        <v>2</v>
      </c>
      <c r="G7" s="4" cm="1">
        <f t="array" ref="G7">IF($C7+$M7&lt;16,INDEX(Sheet1!C:C,$F7),$F7)</f>
        <v>10</v>
      </c>
      <c r="H7" s="4" t="str" cm="1">
        <f t="array" ref="H7">INDEX(Sheet1!D:D,$G7)</f>
        <v>t1136.xlsx</v>
      </c>
      <c r="I7" s="4" t="str" cm="1">
        <f t="array" ref="I7">INDEX(Sheet1!E:E,$G7)</f>
        <v>Sheet1</v>
      </c>
      <c r="J7" s="4" t="str" cm="1">
        <f t="array" ref="J7">INDEX(Sheet1!F:F,$G7)</f>
        <v>B25</v>
      </c>
      <c r="K7" s="4" cm="1">
        <f t="array" ref="K7">INDEX(Sheet1!H:H,$G7)</f>
        <v>1</v>
      </c>
      <c r="L7" s="4">
        <f t="shared" si="0"/>
        <v>5</v>
      </c>
      <c r="M7" s="4">
        <f t="shared" si="3"/>
        <v>5</v>
      </c>
      <c r="N7">
        <v>60</v>
      </c>
      <c r="O7">
        <v>63</v>
      </c>
    </row>
    <row r="8" spans="1:16">
      <c r="A8" s="4" t="str" cm="1">
        <f t="array" ref="A8">INDEX(Sheet1!A:A,$F8)</f>
        <v>M</v>
      </c>
      <c r="B8" s="4" t="str" cm="1">
        <f t="array" ref="B8">INDEX(Sheet1!B:B,$F8)</f>
        <v>Super-Pref NS</v>
      </c>
      <c r="C8" s="4">
        <f t="shared" si="1"/>
        <v>6</v>
      </c>
      <c r="D8" s="5" cm="1">
        <f t="array" aca="1" ref="D8" ca="1">OFFSET(INDIRECT("'["&amp;$H8&amp;"]"&amp;$I8&amp;"'!"&amp;$J8),$L8,$M8)*$K8</f>
        <v>2.1000000000000001E-4</v>
      </c>
      <c r="F8" s="4">
        <f t="shared" si="2"/>
        <v>2</v>
      </c>
      <c r="G8" s="4" cm="1">
        <f t="array" ref="G8">IF($C8+$M8&lt;16,INDEX(Sheet1!C:C,$F8),$F8)</f>
        <v>10</v>
      </c>
      <c r="H8" s="4" t="str" cm="1">
        <f t="array" ref="H8">INDEX(Sheet1!D:D,$G8)</f>
        <v>t1136.xlsx</v>
      </c>
      <c r="I8" s="4" t="str" cm="1">
        <f t="array" ref="I8">INDEX(Sheet1!E:E,$G8)</f>
        <v>Sheet1</v>
      </c>
      <c r="J8" s="4" t="str" cm="1">
        <f t="array" ref="J8">INDEX(Sheet1!F:F,$G8)</f>
        <v>B25</v>
      </c>
      <c r="K8" s="4" cm="1">
        <f t="array" ref="K8">INDEX(Sheet1!H:H,$G8)</f>
        <v>1</v>
      </c>
      <c r="L8" s="4">
        <f t="shared" si="0"/>
        <v>6</v>
      </c>
      <c r="M8" s="4">
        <f t="shared" si="3"/>
        <v>5</v>
      </c>
      <c r="N8">
        <v>70</v>
      </c>
      <c r="O8">
        <v>72</v>
      </c>
    </row>
    <row r="9" spans="1:16">
      <c r="A9" s="4" t="str" cm="1">
        <f t="array" ref="A9">INDEX(Sheet1!A:A,$F9)</f>
        <v>M</v>
      </c>
      <c r="B9" s="4" t="str" cm="1">
        <f t="array" ref="B9">INDEX(Sheet1!B:B,$F9)</f>
        <v>Super-Pref NS</v>
      </c>
      <c r="C9" s="4">
        <f t="shared" si="1"/>
        <v>7</v>
      </c>
      <c r="D9" s="5" cm="1">
        <f t="array" aca="1" ref="D9" ca="1">OFFSET(INDIRECT("'["&amp;$H9&amp;"]"&amp;$I9&amp;"'!"&amp;$J9),$L9,$M9)*$K9</f>
        <v>2.4000000000000001E-4</v>
      </c>
      <c r="F9" s="4">
        <f t="shared" si="2"/>
        <v>2</v>
      </c>
      <c r="G9" s="4" cm="1">
        <f t="array" ref="G9">IF($C9+$M9&lt;16,INDEX(Sheet1!C:C,$F9),$F9)</f>
        <v>10</v>
      </c>
      <c r="H9" s="4" t="str" cm="1">
        <f t="array" ref="H9">INDEX(Sheet1!D:D,$G9)</f>
        <v>t1136.xlsx</v>
      </c>
      <c r="I9" s="4" t="str" cm="1">
        <f t="array" ref="I9">INDEX(Sheet1!E:E,$G9)</f>
        <v>Sheet1</v>
      </c>
      <c r="J9" s="4" t="str" cm="1">
        <f t="array" ref="J9">INDEX(Sheet1!F:F,$G9)</f>
        <v>B25</v>
      </c>
      <c r="K9" s="4" cm="1">
        <f t="array" ref="K9">INDEX(Sheet1!H:H,$G9)</f>
        <v>1</v>
      </c>
      <c r="L9" s="4">
        <f t="shared" si="0"/>
        <v>7</v>
      </c>
      <c r="M9" s="4">
        <f t="shared" si="3"/>
        <v>5</v>
      </c>
    </row>
    <row r="10" spans="1:16">
      <c r="A10" s="4" t="str" cm="1">
        <f t="array" ref="A10">INDEX(Sheet1!A:A,$F10)</f>
        <v>M</v>
      </c>
      <c r="B10" s="4" t="str" cm="1">
        <f t="array" ref="B10">INDEX(Sheet1!B:B,$F10)</f>
        <v>Super-Pref NS</v>
      </c>
      <c r="C10" s="4">
        <f t="shared" si="1"/>
        <v>8</v>
      </c>
      <c r="D10" s="5" cm="1">
        <f t="array" aca="1" ref="D10" ca="1">OFFSET(INDIRECT("'["&amp;$H10&amp;"]"&amp;$I10&amp;"'!"&amp;$J10),$L10,$M10)*$K10</f>
        <v>2.7999999999999998E-4</v>
      </c>
      <c r="F10" s="4">
        <f t="shared" si="2"/>
        <v>2</v>
      </c>
      <c r="G10" s="4" cm="1">
        <f t="array" ref="G10">IF($C10+$M10&lt;16,INDEX(Sheet1!C:C,$F10),$F10)</f>
        <v>10</v>
      </c>
      <c r="H10" s="4" t="str" cm="1">
        <f t="array" ref="H10">INDEX(Sheet1!D:D,$G10)</f>
        <v>t1136.xlsx</v>
      </c>
      <c r="I10" s="4" t="str" cm="1">
        <f t="array" ref="I10">INDEX(Sheet1!E:E,$G10)</f>
        <v>Sheet1</v>
      </c>
      <c r="J10" s="4" t="str" cm="1">
        <f t="array" ref="J10">INDEX(Sheet1!F:F,$G10)</f>
        <v>B25</v>
      </c>
      <c r="K10" s="4" cm="1">
        <f t="array" ref="K10">INDEX(Sheet1!H:H,$G10)</f>
        <v>1</v>
      </c>
      <c r="L10" s="4">
        <f t="shared" si="0"/>
        <v>8</v>
      </c>
      <c r="M10" s="4">
        <f t="shared" si="3"/>
        <v>5</v>
      </c>
    </row>
    <row r="11" spans="1:16">
      <c r="A11" s="4" t="str" cm="1">
        <f t="array" ref="A11">INDEX(Sheet1!A:A,$F11)</f>
        <v>M</v>
      </c>
      <c r="B11" s="4" t="str" cm="1">
        <f t="array" ref="B11">INDEX(Sheet1!B:B,$F11)</f>
        <v>Super-Pref NS</v>
      </c>
      <c r="C11" s="4">
        <f t="shared" si="1"/>
        <v>9</v>
      </c>
      <c r="D11" s="5" cm="1">
        <f t="array" aca="1" ref="D11" ca="1">OFFSET(INDIRECT("'["&amp;$H11&amp;"]"&amp;$I11&amp;"'!"&amp;$J11),$L11,$M11)*$K11</f>
        <v>3.3E-4</v>
      </c>
      <c r="F11" s="4">
        <f t="shared" si="2"/>
        <v>2</v>
      </c>
      <c r="G11" s="4" cm="1">
        <f t="array" ref="G11">IF($C11+$M11&lt;16,INDEX(Sheet1!C:C,$F11),$F11)</f>
        <v>10</v>
      </c>
      <c r="H11" s="4" t="str" cm="1">
        <f t="array" ref="H11">INDEX(Sheet1!D:D,$G11)</f>
        <v>t1136.xlsx</v>
      </c>
      <c r="I11" s="4" t="str" cm="1">
        <f t="array" ref="I11">INDEX(Sheet1!E:E,$G11)</f>
        <v>Sheet1</v>
      </c>
      <c r="J11" s="4" t="str" cm="1">
        <f t="array" ref="J11">INDEX(Sheet1!F:F,$G11)</f>
        <v>B25</v>
      </c>
      <c r="K11" s="4" cm="1">
        <f t="array" ref="K11">INDEX(Sheet1!H:H,$G11)</f>
        <v>1</v>
      </c>
      <c r="L11" s="4">
        <f t="shared" si="0"/>
        <v>9</v>
      </c>
      <c r="M11" s="4">
        <f t="shared" si="3"/>
        <v>5</v>
      </c>
    </row>
    <row r="12" spans="1:16">
      <c r="A12" s="4" t="str" cm="1">
        <f t="array" ref="A12">INDEX(Sheet1!A:A,$F12)</f>
        <v>M</v>
      </c>
      <c r="B12" s="4" t="str" cm="1">
        <f t="array" ref="B12">INDEX(Sheet1!B:B,$F12)</f>
        <v>Super-Pref NS</v>
      </c>
      <c r="C12" s="4">
        <f t="shared" si="1"/>
        <v>10</v>
      </c>
      <c r="D12" s="5" cm="1">
        <f t="array" aca="1" ref="D12" ca="1">OFFSET(INDIRECT("'["&amp;$H12&amp;"]"&amp;$I12&amp;"'!"&amp;$J12),$L12,$M12)*$K12</f>
        <v>4.2999999999999999E-4</v>
      </c>
      <c r="F12" s="4">
        <f t="shared" si="2"/>
        <v>2</v>
      </c>
      <c r="G12" s="4" cm="1">
        <f t="array" ref="G12">IF($C12+$M12&lt;16,INDEX(Sheet1!C:C,$F12),$F12)</f>
        <v>10</v>
      </c>
      <c r="H12" s="4" t="str" cm="1">
        <f t="array" ref="H12">INDEX(Sheet1!D:D,$G12)</f>
        <v>t1136.xlsx</v>
      </c>
      <c r="I12" s="4" t="str" cm="1">
        <f t="array" ref="I12">INDEX(Sheet1!E:E,$G12)</f>
        <v>Sheet1</v>
      </c>
      <c r="J12" s="4" t="str" cm="1">
        <f t="array" ref="J12">INDEX(Sheet1!F:F,$G12)</f>
        <v>B25</v>
      </c>
      <c r="K12" s="4" cm="1">
        <f t="array" ref="K12">INDEX(Sheet1!H:H,$G12)</f>
        <v>1</v>
      </c>
      <c r="L12" s="4">
        <f t="shared" si="0"/>
        <v>10</v>
      </c>
      <c r="M12" s="4">
        <f t="shared" si="3"/>
        <v>5</v>
      </c>
    </row>
    <row r="13" spans="1:16">
      <c r="A13" s="4" t="str" cm="1">
        <f t="array" ref="A13">INDEX(Sheet1!A:A,$F13)</f>
        <v>M</v>
      </c>
      <c r="B13" s="4" t="str" cm="1">
        <f t="array" ref="B13">INDEX(Sheet1!B:B,$F13)</f>
        <v>Super-Pref NS</v>
      </c>
      <c r="C13" s="4">
        <f t="shared" si="1"/>
        <v>11</v>
      </c>
      <c r="D13" s="5" cm="1">
        <f t="array" aca="1" ref="D13" ca="1">OFFSET(INDIRECT("'["&amp;$H13&amp;"]"&amp;$I13&amp;"'!"&amp;$J13),$L13,$M13)*$K13</f>
        <v>3.5999999999999997E-4</v>
      </c>
      <c r="F13" s="4">
        <f t="shared" si="2"/>
        <v>2</v>
      </c>
      <c r="G13" s="4" cm="1">
        <f t="array" ref="G13">IF($C13+$M13&lt;16,INDEX(Sheet1!C:C,$F13),$F13)</f>
        <v>2</v>
      </c>
      <c r="H13" s="4" t="str" cm="1">
        <f t="array" ref="H13">INDEX(Sheet1!D:D,$G13)</f>
        <v>2001-cso-preferred-class-structure-mortality-tables.xls</v>
      </c>
      <c r="I13" s="4" t="str" cm="1">
        <f t="array" ref="I13">INDEX(Sheet1!E:E,$G13)</f>
        <v>A.1.a.i</v>
      </c>
      <c r="J13" s="4" t="str" cm="1">
        <f t="array" ref="J13">INDEX(Sheet1!F:F,$G13)</f>
        <v>B8</v>
      </c>
      <c r="K13" s="4" cm="1">
        <f t="array" ref="K13">INDEX(Sheet1!H:H,$G13)</f>
        <v>1E-3</v>
      </c>
      <c r="L13" s="4">
        <f t="shared" si="0"/>
        <v>11</v>
      </c>
      <c r="M13" s="4">
        <f t="shared" si="3"/>
        <v>5</v>
      </c>
    </row>
    <row r="14" spans="1:16">
      <c r="A14" s="4" t="str" cm="1">
        <f t="array" ref="A14">INDEX(Sheet1!A:A,$F14)</f>
        <v>M</v>
      </c>
      <c r="B14" s="4" t="str" cm="1">
        <f t="array" ref="B14">INDEX(Sheet1!B:B,$F14)</f>
        <v>Super-Pref NS</v>
      </c>
      <c r="C14" s="4">
        <f t="shared" si="1"/>
        <v>12</v>
      </c>
      <c r="D14" s="5" cm="1">
        <f t="array" aca="1" ref="D14" ca="1">OFFSET(INDIRECT("'["&amp;$H14&amp;"]"&amp;$I14&amp;"'!"&amp;$J14),$L14,$M14)*$K14</f>
        <v>4.2000000000000002E-4</v>
      </c>
      <c r="F14" s="4">
        <f t="shared" si="2"/>
        <v>2</v>
      </c>
      <c r="G14" s="4" cm="1">
        <f t="array" ref="G14">IF($C14+$M14&lt;16,INDEX(Sheet1!C:C,$F14),$F14)</f>
        <v>2</v>
      </c>
      <c r="H14" s="4" t="str" cm="1">
        <f t="array" ref="H14">INDEX(Sheet1!D:D,$G14)</f>
        <v>2001-cso-preferred-class-structure-mortality-tables.xls</v>
      </c>
      <c r="I14" s="4" t="str" cm="1">
        <f t="array" ref="I14">INDEX(Sheet1!E:E,$G14)</f>
        <v>A.1.a.i</v>
      </c>
      <c r="J14" s="4" t="str" cm="1">
        <f t="array" ref="J14">INDEX(Sheet1!F:F,$G14)</f>
        <v>B8</v>
      </c>
      <c r="K14" s="4" cm="1">
        <f t="array" ref="K14">INDEX(Sheet1!H:H,$G14)</f>
        <v>1E-3</v>
      </c>
      <c r="L14" s="4">
        <f t="shared" si="0"/>
        <v>12</v>
      </c>
      <c r="M14" s="4">
        <f t="shared" si="3"/>
        <v>5</v>
      </c>
    </row>
    <row r="15" spans="1:16">
      <c r="A15" s="4" t="str" cm="1">
        <f t="array" ref="A15">INDEX(Sheet1!A:A,$F15)</f>
        <v>M</v>
      </c>
      <c r="B15" s="4" t="str" cm="1">
        <f t="array" ref="B15">INDEX(Sheet1!B:B,$F15)</f>
        <v>Super-Pref NS</v>
      </c>
      <c r="C15" s="4">
        <f t="shared" si="1"/>
        <v>13</v>
      </c>
      <c r="D15" s="5" cm="1">
        <f t="array" aca="1" ref="D15" ca="1">OFFSET(INDIRECT("'["&amp;$H15&amp;"]"&amp;$I15&amp;"'!"&amp;$J15),$L15,$M15)*$K15</f>
        <v>4.6000000000000001E-4</v>
      </c>
      <c r="F15" s="4">
        <f t="shared" si="2"/>
        <v>2</v>
      </c>
      <c r="G15" s="4" cm="1">
        <f t="array" ref="G15">IF($C15+$M15&lt;16,INDEX(Sheet1!C:C,$F15),$F15)</f>
        <v>2</v>
      </c>
      <c r="H15" s="4" t="str" cm="1">
        <f t="array" ref="H15">INDEX(Sheet1!D:D,$G15)</f>
        <v>2001-cso-preferred-class-structure-mortality-tables.xls</v>
      </c>
      <c r="I15" s="4" t="str" cm="1">
        <f t="array" ref="I15">INDEX(Sheet1!E:E,$G15)</f>
        <v>A.1.a.i</v>
      </c>
      <c r="J15" s="4" t="str" cm="1">
        <f t="array" ref="J15">INDEX(Sheet1!F:F,$G15)</f>
        <v>B8</v>
      </c>
      <c r="K15" s="4" cm="1">
        <f t="array" ref="K15">INDEX(Sheet1!H:H,$G15)</f>
        <v>1E-3</v>
      </c>
      <c r="L15" s="4">
        <f t="shared" si="0"/>
        <v>13</v>
      </c>
      <c r="M15" s="4">
        <f t="shared" si="3"/>
        <v>5</v>
      </c>
    </row>
    <row r="16" spans="1:16">
      <c r="A16" s="4" t="str" cm="1">
        <f t="array" ref="A16">INDEX(Sheet1!A:A,$F16)</f>
        <v>M</v>
      </c>
      <c r="B16" s="4" t="str" cm="1">
        <f t="array" ref="B16">INDEX(Sheet1!B:B,$F16)</f>
        <v>Super-Pref NS</v>
      </c>
      <c r="C16" s="4">
        <f t="shared" si="1"/>
        <v>14</v>
      </c>
      <c r="D16" s="5" cm="1">
        <f t="array" aca="1" ref="D16" ca="1">OFFSET(INDIRECT("'["&amp;$H16&amp;"]"&amp;$I16&amp;"'!"&amp;$J16),$L16,$M16)*$K16</f>
        <v>4.8000000000000001E-4</v>
      </c>
      <c r="F16" s="4">
        <f t="shared" si="2"/>
        <v>2</v>
      </c>
      <c r="G16" s="4" cm="1">
        <f t="array" ref="G16">IF($C16+$M16&lt;16,INDEX(Sheet1!C:C,$F16),$F16)</f>
        <v>2</v>
      </c>
      <c r="H16" s="4" t="str" cm="1">
        <f t="array" ref="H16">INDEX(Sheet1!D:D,$G16)</f>
        <v>2001-cso-preferred-class-structure-mortality-tables.xls</v>
      </c>
      <c r="I16" s="4" t="str" cm="1">
        <f t="array" ref="I16">INDEX(Sheet1!E:E,$G16)</f>
        <v>A.1.a.i</v>
      </c>
      <c r="J16" s="4" t="str" cm="1">
        <f t="array" ref="J16">INDEX(Sheet1!F:F,$G16)</f>
        <v>B8</v>
      </c>
      <c r="K16" s="4" cm="1">
        <f t="array" ref="K16">INDEX(Sheet1!H:H,$G16)</f>
        <v>1E-3</v>
      </c>
      <c r="L16" s="4">
        <f t="shared" si="0"/>
        <v>14</v>
      </c>
      <c r="M16" s="4">
        <f t="shared" si="3"/>
        <v>5</v>
      </c>
    </row>
    <row r="17" spans="1:13">
      <c r="A17" s="4" t="str" cm="1">
        <f t="array" ref="A17">INDEX(Sheet1!A:A,$F17)</f>
        <v>M</v>
      </c>
      <c r="B17" s="4" t="str" cm="1">
        <f t="array" ref="B17">INDEX(Sheet1!B:B,$F17)</f>
        <v>Super-Pref NS</v>
      </c>
      <c r="C17" s="4">
        <f t="shared" si="1"/>
        <v>15</v>
      </c>
      <c r="D17" s="5" cm="1">
        <f t="array" aca="1" ref="D17" ca="1">OFFSET(INDIRECT("'["&amp;$H17&amp;"]"&amp;$I17&amp;"'!"&amp;$J17),$L17,$M17)*$K17</f>
        <v>4.6999999999999999E-4</v>
      </c>
      <c r="F17" s="4">
        <f t="shared" si="2"/>
        <v>2</v>
      </c>
      <c r="G17" s="4" cm="1">
        <f t="array" ref="G17">IF($C17+$M17&lt;16,INDEX(Sheet1!C:C,$F17),$F17)</f>
        <v>2</v>
      </c>
      <c r="H17" s="4" t="str" cm="1">
        <f t="array" ref="H17">INDEX(Sheet1!D:D,$G17)</f>
        <v>2001-cso-preferred-class-structure-mortality-tables.xls</v>
      </c>
      <c r="I17" s="4" t="str" cm="1">
        <f t="array" ref="I17">INDEX(Sheet1!E:E,$G17)</f>
        <v>A.1.a.i</v>
      </c>
      <c r="J17" s="4" t="str" cm="1">
        <f t="array" ref="J17">INDEX(Sheet1!F:F,$G17)</f>
        <v>B8</v>
      </c>
      <c r="K17" s="4" cm="1">
        <f t="array" ref="K17">INDEX(Sheet1!H:H,$G17)</f>
        <v>1E-3</v>
      </c>
      <c r="L17" s="4">
        <f t="shared" si="0"/>
        <v>15</v>
      </c>
      <c r="M17" s="4">
        <f t="shared" si="3"/>
        <v>5</v>
      </c>
    </row>
    <row r="18" spans="1:13">
      <c r="A18" s="4" t="str" cm="1">
        <f t="array" ref="A18">INDEX(Sheet1!A:A,$F18)</f>
        <v>M</v>
      </c>
      <c r="B18" s="4" t="str" cm="1">
        <f t="array" ref="B18">INDEX(Sheet1!B:B,$F18)</f>
        <v>Super-Pref NS</v>
      </c>
      <c r="C18" s="4">
        <f t="shared" si="1"/>
        <v>16</v>
      </c>
      <c r="D18" s="5" cm="1">
        <f t="array" aca="1" ref="D18" ca="1">OFFSET(INDIRECT("'["&amp;$H18&amp;"]"&amp;$I18&amp;"'!"&amp;$J18),$L18,$M18)*$K18</f>
        <v>4.6999999999999999E-4</v>
      </c>
      <c r="F18" s="4">
        <f t="shared" si="2"/>
        <v>2</v>
      </c>
      <c r="G18" s="4" cm="1">
        <f t="array" ref="G18">IF($C18+$M18&lt;16,INDEX(Sheet1!C:C,$F18),$F18)</f>
        <v>2</v>
      </c>
      <c r="H18" s="4" t="str" cm="1">
        <f t="array" ref="H18">INDEX(Sheet1!D:D,$G18)</f>
        <v>2001-cso-preferred-class-structure-mortality-tables.xls</v>
      </c>
      <c r="I18" s="4" t="str" cm="1">
        <f t="array" ref="I18">INDEX(Sheet1!E:E,$G18)</f>
        <v>A.1.a.i</v>
      </c>
      <c r="J18" s="4" t="str" cm="1">
        <f t="array" ref="J18">INDEX(Sheet1!F:F,$G18)</f>
        <v>B8</v>
      </c>
      <c r="K18" s="4" cm="1">
        <f t="array" ref="K18">INDEX(Sheet1!H:H,$G18)</f>
        <v>1E-3</v>
      </c>
      <c r="L18" s="4">
        <f t="shared" si="0"/>
        <v>16</v>
      </c>
      <c r="M18" s="4">
        <f t="shared" si="3"/>
        <v>5</v>
      </c>
    </row>
    <row r="19" spans="1:13">
      <c r="A19" s="4" t="str" cm="1">
        <f t="array" ref="A19">INDEX(Sheet1!A:A,$F19)</f>
        <v>M</v>
      </c>
      <c r="B19" s="4" t="str" cm="1">
        <f t="array" ref="B19">INDEX(Sheet1!B:B,$F19)</f>
        <v>Super-Pref NS</v>
      </c>
      <c r="C19" s="4">
        <f t="shared" si="1"/>
        <v>17</v>
      </c>
      <c r="D19" s="5" cm="1">
        <f t="array" aca="1" ref="D19" ca="1">OFFSET(INDIRECT("'["&amp;$H19&amp;"]"&amp;$I19&amp;"'!"&amp;$J19),$L19,$M19)*$K19</f>
        <v>4.6999999999999999E-4</v>
      </c>
      <c r="F19" s="4">
        <f t="shared" si="2"/>
        <v>2</v>
      </c>
      <c r="G19" s="4" cm="1">
        <f t="array" ref="G19">IF($C19+$M19&lt;16,INDEX(Sheet1!C:C,$F19),$F19)</f>
        <v>2</v>
      </c>
      <c r="H19" s="4" t="str" cm="1">
        <f t="array" ref="H19">INDEX(Sheet1!D:D,$G19)</f>
        <v>2001-cso-preferred-class-structure-mortality-tables.xls</v>
      </c>
      <c r="I19" s="4" t="str" cm="1">
        <f t="array" ref="I19">INDEX(Sheet1!E:E,$G19)</f>
        <v>A.1.a.i</v>
      </c>
      <c r="J19" s="4" t="str" cm="1">
        <f t="array" ref="J19">INDEX(Sheet1!F:F,$G19)</f>
        <v>B8</v>
      </c>
      <c r="K19" s="4" cm="1">
        <f t="array" ref="K19">INDEX(Sheet1!H:H,$G19)</f>
        <v>1E-3</v>
      </c>
      <c r="L19" s="4">
        <f t="shared" si="0"/>
        <v>17</v>
      </c>
      <c r="M19" s="4">
        <f t="shared" si="3"/>
        <v>5</v>
      </c>
    </row>
    <row r="20" spans="1:13">
      <c r="A20" s="4" t="str" cm="1">
        <f t="array" ref="A20">INDEX(Sheet1!A:A,$F20)</f>
        <v>M</v>
      </c>
      <c r="B20" s="4" t="str" cm="1">
        <f t="array" ref="B20">INDEX(Sheet1!B:B,$F20)</f>
        <v>Super-Pref NS</v>
      </c>
      <c r="C20" s="4">
        <f t="shared" si="1"/>
        <v>18</v>
      </c>
      <c r="D20" s="5" cm="1">
        <f t="array" aca="1" ref="D20" ca="1">OFFSET(INDIRECT("'["&amp;$H20&amp;"]"&amp;$I20&amp;"'!"&amp;$J20),$L20,$M20)*$K20</f>
        <v>4.6999999999999999E-4</v>
      </c>
      <c r="F20" s="4">
        <f t="shared" si="2"/>
        <v>2</v>
      </c>
      <c r="G20" s="4" cm="1">
        <f t="array" ref="G20">IF($C20+$M20&lt;16,INDEX(Sheet1!C:C,$F20),$F20)</f>
        <v>2</v>
      </c>
      <c r="H20" s="4" t="str" cm="1">
        <f t="array" ref="H20">INDEX(Sheet1!D:D,$G20)</f>
        <v>2001-cso-preferred-class-structure-mortality-tables.xls</v>
      </c>
      <c r="I20" s="4" t="str" cm="1">
        <f t="array" ref="I20">INDEX(Sheet1!E:E,$G20)</f>
        <v>A.1.a.i</v>
      </c>
      <c r="J20" s="4" t="str" cm="1">
        <f t="array" ref="J20">INDEX(Sheet1!F:F,$G20)</f>
        <v>B8</v>
      </c>
      <c r="K20" s="4" cm="1">
        <f t="array" ref="K20">INDEX(Sheet1!H:H,$G20)</f>
        <v>1E-3</v>
      </c>
      <c r="L20" s="4">
        <f t="shared" si="0"/>
        <v>18</v>
      </c>
      <c r="M20" s="4">
        <f t="shared" si="3"/>
        <v>5</v>
      </c>
    </row>
    <row r="21" spans="1:13">
      <c r="A21" s="4" t="str" cm="1">
        <f t="array" ref="A21">INDEX(Sheet1!A:A,$F21)</f>
        <v>M</v>
      </c>
      <c r="B21" s="4" t="str" cm="1">
        <f t="array" ref="B21">INDEX(Sheet1!B:B,$F21)</f>
        <v>Super-Pref NS</v>
      </c>
      <c r="C21" s="4">
        <f t="shared" si="1"/>
        <v>19</v>
      </c>
      <c r="D21" s="5" cm="1">
        <f t="array" aca="1" ref="D21" ca="1">OFFSET(INDIRECT("'["&amp;$H21&amp;"]"&amp;$I21&amp;"'!"&amp;$J21),$L21,$M21)*$K21</f>
        <v>4.6000000000000001E-4</v>
      </c>
      <c r="F21" s="4">
        <f t="shared" si="2"/>
        <v>2</v>
      </c>
      <c r="G21" s="4" cm="1">
        <f t="array" ref="G21">IF($C21+$M21&lt;16,INDEX(Sheet1!C:C,$F21),$F21)</f>
        <v>2</v>
      </c>
      <c r="H21" s="4" t="str" cm="1">
        <f t="array" ref="H21">INDEX(Sheet1!D:D,$G21)</f>
        <v>2001-cso-preferred-class-structure-mortality-tables.xls</v>
      </c>
      <c r="I21" s="4" t="str" cm="1">
        <f t="array" ref="I21">INDEX(Sheet1!E:E,$G21)</f>
        <v>A.1.a.i</v>
      </c>
      <c r="J21" s="4" t="str" cm="1">
        <f t="array" ref="J21">INDEX(Sheet1!F:F,$G21)</f>
        <v>B8</v>
      </c>
      <c r="K21" s="4" cm="1">
        <f t="array" ref="K21">INDEX(Sheet1!H:H,$G21)</f>
        <v>1E-3</v>
      </c>
      <c r="L21" s="4">
        <f t="shared" si="0"/>
        <v>19</v>
      </c>
      <c r="M21" s="4">
        <f t="shared" si="3"/>
        <v>5</v>
      </c>
    </row>
    <row r="22" spans="1:13">
      <c r="A22" s="4" t="str" cm="1">
        <f t="array" ref="A22">INDEX(Sheet1!A:A,$F22)</f>
        <v>M</v>
      </c>
      <c r="B22" s="4" t="str" cm="1">
        <f t="array" ref="B22">INDEX(Sheet1!B:B,$F22)</f>
        <v>Super-Pref NS</v>
      </c>
      <c r="C22" s="4">
        <f t="shared" si="1"/>
        <v>20</v>
      </c>
      <c r="D22" s="5" cm="1">
        <f t="array" aca="1" ref="D22" ca="1">OFFSET(INDIRECT("'["&amp;$H22&amp;"]"&amp;$I22&amp;"'!"&amp;$J22),$L22,$M22)*$K22</f>
        <v>4.6000000000000001E-4</v>
      </c>
      <c r="F22" s="4">
        <f t="shared" si="2"/>
        <v>2</v>
      </c>
      <c r="G22" s="4" cm="1">
        <f t="array" ref="G22">IF($C22+$M22&lt;16,INDEX(Sheet1!C:C,$F22),$F22)</f>
        <v>2</v>
      </c>
      <c r="H22" s="4" t="str" cm="1">
        <f t="array" ref="H22">INDEX(Sheet1!D:D,$G22)</f>
        <v>2001-cso-preferred-class-structure-mortality-tables.xls</v>
      </c>
      <c r="I22" s="4" t="str" cm="1">
        <f t="array" ref="I22">INDEX(Sheet1!E:E,$G22)</f>
        <v>A.1.a.i</v>
      </c>
      <c r="J22" s="4" t="str" cm="1">
        <f t="array" ref="J22">INDEX(Sheet1!F:F,$G22)</f>
        <v>B8</v>
      </c>
      <c r="K22" s="4" cm="1">
        <f t="array" ref="K22">INDEX(Sheet1!H:H,$G22)</f>
        <v>1E-3</v>
      </c>
      <c r="L22" s="4">
        <f t="shared" si="0"/>
        <v>20</v>
      </c>
      <c r="M22" s="4">
        <f t="shared" si="3"/>
        <v>5</v>
      </c>
    </row>
    <row r="23" spans="1:13">
      <c r="A23" s="4" t="str" cm="1">
        <f t="array" ref="A23">INDEX(Sheet1!A:A,$F23)</f>
        <v>M</v>
      </c>
      <c r="B23" s="4" t="str" cm="1">
        <f t="array" ref="B23">INDEX(Sheet1!B:B,$F23)</f>
        <v>Super-Pref NS</v>
      </c>
      <c r="C23" s="4">
        <f t="shared" si="1"/>
        <v>21</v>
      </c>
      <c r="D23" s="5" cm="1">
        <f t="array" aca="1" ref="D23" ca="1">OFFSET(INDIRECT("'["&amp;$H23&amp;"]"&amp;$I23&amp;"'!"&amp;$J23),$L23,$M23)*$K23</f>
        <v>4.2999999999999999E-4</v>
      </c>
      <c r="F23" s="4">
        <f t="shared" si="2"/>
        <v>2</v>
      </c>
      <c r="G23" s="4" cm="1">
        <f t="array" ref="G23">IF($C23+$M23&lt;16,INDEX(Sheet1!C:C,$F23),$F23)</f>
        <v>2</v>
      </c>
      <c r="H23" s="4" t="str" cm="1">
        <f t="array" ref="H23">INDEX(Sheet1!D:D,$G23)</f>
        <v>2001-cso-preferred-class-structure-mortality-tables.xls</v>
      </c>
      <c r="I23" s="4" t="str" cm="1">
        <f t="array" ref="I23">INDEX(Sheet1!E:E,$G23)</f>
        <v>A.1.a.i</v>
      </c>
      <c r="J23" s="4" t="str" cm="1">
        <f t="array" ref="J23">INDEX(Sheet1!F:F,$G23)</f>
        <v>B8</v>
      </c>
      <c r="K23" s="4" cm="1">
        <f t="array" ref="K23">INDEX(Sheet1!H:H,$G23)</f>
        <v>1E-3</v>
      </c>
      <c r="L23" s="4">
        <f t="shared" si="0"/>
        <v>21</v>
      </c>
      <c r="M23" s="4">
        <f t="shared" si="3"/>
        <v>5</v>
      </c>
    </row>
    <row r="24" spans="1:13">
      <c r="A24" s="4" t="str" cm="1">
        <f t="array" ref="A24">INDEX(Sheet1!A:A,$F24)</f>
        <v>M</v>
      </c>
      <c r="B24" s="4" t="str" cm="1">
        <f t="array" ref="B24">INDEX(Sheet1!B:B,$F24)</f>
        <v>Super-Pref NS</v>
      </c>
      <c r="C24" s="4">
        <f t="shared" si="1"/>
        <v>22</v>
      </c>
      <c r="D24" s="5" cm="1">
        <f t="array" aca="1" ref="D24" ca="1">OFFSET(INDIRECT("'["&amp;$H24&amp;"]"&amp;$I24&amp;"'!"&amp;$J24),$L24,$M24)*$K24</f>
        <v>4.2000000000000002E-4</v>
      </c>
      <c r="F24" s="4">
        <f t="shared" si="2"/>
        <v>2</v>
      </c>
      <c r="G24" s="4" cm="1">
        <f t="array" ref="G24">IF($C24+$M24&lt;16,INDEX(Sheet1!C:C,$F24),$F24)</f>
        <v>2</v>
      </c>
      <c r="H24" s="4" t="str" cm="1">
        <f t="array" ref="H24">INDEX(Sheet1!D:D,$G24)</f>
        <v>2001-cso-preferred-class-structure-mortality-tables.xls</v>
      </c>
      <c r="I24" s="4" t="str" cm="1">
        <f t="array" ref="I24">INDEX(Sheet1!E:E,$G24)</f>
        <v>A.1.a.i</v>
      </c>
      <c r="J24" s="4" t="str" cm="1">
        <f t="array" ref="J24">INDEX(Sheet1!F:F,$G24)</f>
        <v>B8</v>
      </c>
      <c r="K24" s="4" cm="1">
        <f t="array" ref="K24">INDEX(Sheet1!H:H,$G24)</f>
        <v>1E-3</v>
      </c>
      <c r="L24" s="4">
        <f t="shared" si="0"/>
        <v>22</v>
      </c>
      <c r="M24" s="4">
        <f t="shared" si="3"/>
        <v>5</v>
      </c>
    </row>
    <row r="25" spans="1:13">
      <c r="A25" s="4" t="str" cm="1">
        <f t="array" ref="A25">INDEX(Sheet1!A:A,$F25)</f>
        <v>M</v>
      </c>
      <c r="B25" s="4" t="str" cm="1">
        <f t="array" ref="B25">INDEX(Sheet1!B:B,$F25)</f>
        <v>Super-Pref NS</v>
      </c>
      <c r="C25" s="4">
        <f t="shared" si="1"/>
        <v>23</v>
      </c>
      <c r="D25" s="5" cm="1">
        <f t="array" aca="1" ref="D25" ca="1">OFFSET(INDIRECT("'["&amp;$H25&amp;"]"&amp;$I25&amp;"'!"&amp;$J25),$L25,$M25)*$K25</f>
        <v>4.2000000000000002E-4</v>
      </c>
      <c r="F25" s="4">
        <f t="shared" si="2"/>
        <v>2</v>
      </c>
      <c r="G25" s="4" cm="1">
        <f t="array" ref="G25">IF($C25+$M25&lt;16,INDEX(Sheet1!C:C,$F25),$F25)</f>
        <v>2</v>
      </c>
      <c r="H25" s="4" t="str" cm="1">
        <f t="array" ref="H25">INDEX(Sheet1!D:D,$G25)</f>
        <v>2001-cso-preferred-class-structure-mortality-tables.xls</v>
      </c>
      <c r="I25" s="4" t="str" cm="1">
        <f t="array" ref="I25">INDEX(Sheet1!E:E,$G25)</f>
        <v>A.1.a.i</v>
      </c>
      <c r="J25" s="4" t="str" cm="1">
        <f t="array" ref="J25">INDEX(Sheet1!F:F,$G25)</f>
        <v>B8</v>
      </c>
      <c r="K25" s="4" cm="1">
        <f t="array" ref="K25">INDEX(Sheet1!H:H,$G25)</f>
        <v>1E-3</v>
      </c>
      <c r="L25" s="4">
        <f t="shared" si="0"/>
        <v>23</v>
      </c>
      <c r="M25" s="4">
        <f t="shared" si="3"/>
        <v>5</v>
      </c>
    </row>
    <row r="26" spans="1:13">
      <c r="A26" s="4" t="str" cm="1">
        <f t="array" ref="A26">INDEX(Sheet1!A:A,$F26)</f>
        <v>M</v>
      </c>
      <c r="B26" s="4" t="str" cm="1">
        <f t="array" ref="B26">INDEX(Sheet1!B:B,$F26)</f>
        <v>Super-Pref NS</v>
      </c>
      <c r="C26" s="4">
        <f t="shared" si="1"/>
        <v>24</v>
      </c>
      <c r="D26" s="5" cm="1">
        <f t="array" aca="1" ref="D26" ca="1">OFFSET(INDIRECT("'["&amp;$H26&amp;"]"&amp;$I26&amp;"'!"&amp;$J26),$L26,$M26)*$K26</f>
        <v>4.2000000000000002E-4</v>
      </c>
      <c r="F26" s="4">
        <f t="shared" si="2"/>
        <v>2</v>
      </c>
      <c r="G26" s="4" cm="1">
        <f t="array" ref="G26">IF($C26+$M26&lt;16,INDEX(Sheet1!C:C,$F26),$F26)</f>
        <v>2</v>
      </c>
      <c r="H26" s="4" t="str" cm="1">
        <f t="array" ref="H26">INDEX(Sheet1!D:D,$G26)</f>
        <v>2001-cso-preferred-class-structure-mortality-tables.xls</v>
      </c>
      <c r="I26" s="4" t="str" cm="1">
        <f t="array" ref="I26">INDEX(Sheet1!E:E,$G26)</f>
        <v>A.1.a.i</v>
      </c>
      <c r="J26" s="4" t="str" cm="1">
        <f t="array" ref="J26">INDEX(Sheet1!F:F,$G26)</f>
        <v>B8</v>
      </c>
      <c r="K26" s="4" cm="1">
        <f t="array" ref="K26">INDEX(Sheet1!H:H,$G26)</f>
        <v>1E-3</v>
      </c>
      <c r="L26" s="4">
        <f t="shared" si="0"/>
        <v>24</v>
      </c>
      <c r="M26" s="4">
        <f t="shared" si="3"/>
        <v>5</v>
      </c>
    </row>
    <row r="27" spans="1:13">
      <c r="A27" s="4" t="str" cm="1">
        <f t="array" ref="A27">INDEX(Sheet1!A:A,$F27)</f>
        <v>M</v>
      </c>
      <c r="B27" s="4" t="str" cm="1">
        <f t="array" ref="B27">INDEX(Sheet1!B:B,$F27)</f>
        <v>Super-Pref NS</v>
      </c>
      <c r="C27" s="4">
        <f t="shared" si="1"/>
        <v>25</v>
      </c>
      <c r="D27" s="5" cm="1">
        <f t="array" aca="1" ref="D27" ca="1">OFFSET(INDIRECT("'["&amp;$H27&amp;"]"&amp;$I27&amp;"'!"&amp;$J27),$L27,$M27)*$K27</f>
        <v>4.2999999999999999E-4</v>
      </c>
      <c r="F27" s="4">
        <f t="shared" si="2"/>
        <v>2</v>
      </c>
      <c r="G27" s="4" cm="1">
        <f t="array" ref="G27">IF($C27+$M27&lt;16,INDEX(Sheet1!C:C,$F27),$F27)</f>
        <v>2</v>
      </c>
      <c r="H27" s="4" t="str" cm="1">
        <f t="array" ref="H27">INDEX(Sheet1!D:D,$G27)</f>
        <v>2001-cso-preferred-class-structure-mortality-tables.xls</v>
      </c>
      <c r="I27" s="4" t="str" cm="1">
        <f t="array" ref="I27">INDEX(Sheet1!E:E,$G27)</f>
        <v>A.1.a.i</v>
      </c>
      <c r="J27" s="4" t="str" cm="1">
        <f t="array" ref="J27">INDEX(Sheet1!F:F,$G27)</f>
        <v>B8</v>
      </c>
      <c r="K27" s="4" cm="1">
        <f t="array" ref="K27">INDEX(Sheet1!H:H,$G27)</f>
        <v>1E-3</v>
      </c>
      <c r="L27" s="4">
        <f t="shared" si="0"/>
        <v>25</v>
      </c>
      <c r="M27" s="4">
        <f t="shared" si="3"/>
        <v>5</v>
      </c>
    </row>
    <row r="28" spans="1:13">
      <c r="A28" s="4" t="str" cm="1">
        <f t="array" ref="A28">INDEX(Sheet1!A:A,$F28)</f>
        <v>M</v>
      </c>
      <c r="B28" s="4" t="str" cm="1">
        <f t="array" ref="B28">INDEX(Sheet1!B:B,$F28)</f>
        <v>Super-Pref NS</v>
      </c>
      <c r="C28" s="4">
        <f t="shared" si="1"/>
        <v>26</v>
      </c>
      <c r="D28" s="5" cm="1">
        <f t="array" aca="1" ref="D28" ca="1">OFFSET(INDIRECT("'["&amp;$H28&amp;"]"&amp;$I28&amp;"'!"&amp;$J28),$L28,$M28)*$K28</f>
        <v>4.4000000000000002E-4</v>
      </c>
      <c r="F28" s="4">
        <f t="shared" si="2"/>
        <v>2</v>
      </c>
      <c r="G28" s="4" cm="1">
        <f t="array" ref="G28">IF($C28+$M28&lt;16,INDEX(Sheet1!C:C,$F28),$F28)</f>
        <v>2</v>
      </c>
      <c r="H28" s="4" t="str" cm="1">
        <f t="array" ref="H28">INDEX(Sheet1!D:D,$G28)</f>
        <v>2001-cso-preferred-class-structure-mortality-tables.xls</v>
      </c>
      <c r="I28" s="4" t="str" cm="1">
        <f t="array" ref="I28">INDEX(Sheet1!E:E,$G28)</f>
        <v>A.1.a.i</v>
      </c>
      <c r="J28" s="4" t="str" cm="1">
        <f t="array" ref="J28">INDEX(Sheet1!F:F,$G28)</f>
        <v>B8</v>
      </c>
      <c r="K28" s="4" cm="1">
        <f t="array" ref="K28">INDEX(Sheet1!H:H,$G28)</f>
        <v>1E-3</v>
      </c>
      <c r="L28" s="4">
        <f t="shared" si="0"/>
        <v>26</v>
      </c>
      <c r="M28" s="4">
        <f t="shared" si="3"/>
        <v>5</v>
      </c>
    </row>
    <row r="29" spans="1:13">
      <c r="A29" s="4" t="str" cm="1">
        <f t="array" ref="A29">INDEX(Sheet1!A:A,$F29)</f>
        <v>M</v>
      </c>
      <c r="B29" s="4" t="str" cm="1">
        <f t="array" ref="B29">INDEX(Sheet1!B:B,$F29)</f>
        <v>Super-Pref NS</v>
      </c>
      <c r="C29" s="4">
        <f t="shared" si="1"/>
        <v>27</v>
      </c>
      <c r="D29" s="5" cm="1">
        <f t="array" aca="1" ref="D29" ca="1">OFFSET(INDIRECT("'["&amp;$H29&amp;"]"&amp;$I29&amp;"'!"&amp;$J29),$L29,$M29)*$K29</f>
        <v>4.6000000000000001E-4</v>
      </c>
      <c r="F29" s="4">
        <f t="shared" si="2"/>
        <v>2</v>
      </c>
      <c r="G29" s="4" cm="1">
        <f t="array" ref="G29">IF($C29+$M29&lt;16,INDEX(Sheet1!C:C,$F29),$F29)</f>
        <v>2</v>
      </c>
      <c r="H29" s="4" t="str" cm="1">
        <f t="array" ref="H29">INDEX(Sheet1!D:D,$G29)</f>
        <v>2001-cso-preferred-class-structure-mortality-tables.xls</v>
      </c>
      <c r="I29" s="4" t="str" cm="1">
        <f t="array" ref="I29">INDEX(Sheet1!E:E,$G29)</f>
        <v>A.1.a.i</v>
      </c>
      <c r="J29" s="4" t="str" cm="1">
        <f t="array" ref="J29">INDEX(Sheet1!F:F,$G29)</f>
        <v>B8</v>
      </c>
      <c r="K29" s="4" cm="1">
        <f t="array" ref="K29">INDEX(Sheet1!H:H,$G29)</f>
        <v>1E-3</v>
      </c>
      <c r="L29" s="4">
        <f t="shared" si="0"/>
        <v>27</v>
      </c>
      <c r="M29" s="4">
        <f t="shared" si="3"/>
        <v>5</v>
      </c>
    </row>
    <row r="30" spans="1:13">
      <c r="A30" s="4" t="str" cm="1">
        <f t="array" ref="A30">INDEX(Sheet1!A:A,$F30)</f>
        <v>M</v>
      </c>
      <c r="B30" s="4" t="str" cm="1">
        <f t="array" ref="B30">INDEX(Sheet1!B:B,$F30)</f>
        <v>Super-Pref NS</v>
      </c>
      <c r="C30" s="4">
        <f t="shared" si="1"/>
        <v>28</v>
      </c>
      <c r="D30" s="5" cm="1">
        <f t="array" aca="1" ref="D30" ca="1">OFFSET(INDIRECT("'["&amp;$H30&amp;"]"&amp;$I30&amp;"'!"&amp;$J30),$L30,$M30)*$K30</f>
        <v>4.8000000000000001E-4</v>
      </c>
      <c r="F30" s="4">
        <f t="shared" si="2"/>
        <v>2</v>
      </c>
      <c r="G30" s="4" cm="1">
        <f t="array" ref="G30">IF($C30+$M30&lt;16,INDEX(Sheet1!C:C,$F30),$F30)</f>
        <v>2</v>
      </c>
      <c r="H30" s="4" t="str" cm="1">
        <f t="array" ref="H30">INDEX(Sheet1!D:D,$G30)</f>
        <v>2001-cso-preferred-class-structure-mortality-tables.xls</v>
      </c>
      <c r="I30" s="4" t="str" cm="1">
        <f t="array" ref="I30">INDEX(Sheet1!E:E,$G30)</f>
        <v>A.1.a.i</v>
      </c>
      <c r="J30" s="4" t="str" cm="1">
        <f t="array" ref="J30">INDEX(Sheet1!F:F,$G30)</f>
        <v>B8</v>
      </c>
      <c r="K30" s="4" cm="1">
        <f t="array" ref="K30">INDEX(Sheet1!H:H,$G30)</f>
        <v>1E-3</v>
      </c>
      <c r="L30" s="4">
        <f t="shared" si="0"/>
        <v>28</v>
      </c>
      <c r="M30" s="4">
        <f t="shared" si="3"/>
        <v>5</v>
      </c>
    </row>
    <row r="31" spans="1:13">
      <c r="A31" s="4" t="str" cm="1">
        <f t="array" ref="A31">INDEX(Sheet1!A:A,$F31)</f>
        <v>M</v>
      </c>
      <c r="B31" s="4" t="str" cm="1">
        <f t="array" ref="B31">INDEX(Sheet1!B:B,$F31)</f>
        <v>Super-Pref NS</v>
      </c>
      <c r="C31" s="4">
        <f t="shared" si="1"/>
        <v>29</v>
      </c>
      <c r="D31" s="5" cm="1">
        <f t="array" aca="1" ref="D31" ca="1">OFFSET(INDIRECT("'["&amp;$H31&amp;"]"&amp;$I31&amp;"'!"&amp;$J31),$L31,$M31)*$K31</f>
        <v>5.1000000000000004E-4</v>
      </c>
      <c r="F31" s="4">
        <f t="shared" si="2"/>
        <v>2</v>
      </c>
      <c r="G31" s="4" cm="1">
        <f t="array" ref="G31">IF($C31+$M31&lt;16,INDEX(Sheet1!C:C,$F31),$F31)</f>
        <v>2</v>
      </c>
      <c r="H31" s="4" t="str" cm="1">
        <f t="array" ref="H31">INDEX(Sheet1!D:D,$G31)</f>
        <v>2001-cso-preferred-class-structure-mortality-tables.xls</v>
      </c>
      <c r="I31" s="4" t="str" cm="1">
        <f t="array" ref="I31">INDEX(Sheet1!E:E,$G31)</f>
        <v>A.1.a.i</v>
      </c>
      <c r="J31" s="4" t="str" cm="1">
        <f t="array" ref="J31">INDEX(Sheet1!F:F,$G31)</f>
        <v>B8</v>
      </c>
      <c r="K31" s="4" cm="1">
        <f t="array" ref="K31">INDEX(Sheet1!H:H,$G31)</f>
        <v>1E-3</v>
      </c>
      <c r="L31" s="4">
        <f t="shared" si="0"/>
        <v>29</v>
      </c>
      <c r="M31" s="4">
        <f t="shared" si="3"/>
        <v>5</v>
      </c>
    </row>
    <row r="32" spans="1:13">
      <c r="A32" s="4" t="str" cm="1">
        <f t="array" ref="A32">INDEX(Sheet1!A:A,$F32)</f>
        <v>M</v>
      </c>
      <c r="B32" s="4" t="str" cm="1">
        <f t="array" ref="B32">INDEX(Sheet1!B:B,$F32)</f>
        <v>Super-Pref NS</v>
      </c>
      <c r="C32" s="4">
        <f t="shared" si="1"/>
        <v>30</v>
      </c>
      <c r="D32" s="5" cm="1">
        <f t="array" aca="1" ref="D32" ca="1">OFFSET(INDIRECT("'["&amp;$H32&amp;"]"&amp;$I32&amp;"'!"&amp;$J32),$L32,$M32)*$K32</f>
        <v>5.5000000000000003E-4</v>
      </c>
      <c r="F32" s="4">
        <f t="shared" si="2"/>
        <v>2</v>
      </c>
      <c r="G32" s="4" cm="1">
        <f t="array" ref="G32">IF($C32+$M32&lt;16,INDEX(Sheet1!C:C,$F32),$F32)</f>
        <v>2</v>
      </c>
      <c r="H32" s="4" t="str" cm="1">
        <f t="array" ref="H32">INDEX(Sheet1!D:D,$G32)</f>
        <v>2001-cso-preferred-class-structure-mortality-tables.xls</v>
      </c>
      <c r="I32" s="4" t="str" cm="1">
        <f t="array" ref="I32">INDEX(Sheet1!E:E,$G32)</f>
        <v>A.1.a.i</v>
      </c>
      <c r="J32" s="4" t="str" cm="1">
        <f t="array" ref="J32">INDEX(Sheet1!F:F,$G32)</f>
        <v>B8</v>
      </c>
      <c r="K32" s="4" cm="1">
        <f t="array" ref="K32">INDEX(Sheet1!H:H,$G32)</f>
        <v>1E-3</v>
      </c>
      <c r="L32" s="4">
        <f t="shared" si="0"/>
        <v>30</v>
      </c>
      <c r="M32" s="4">
        <f t="shared" si="3"/>
        <v>5</v>
      </c>
    </row>
    <row r="33" spans="1:13">
      <c r="A33" s="4" t="str" cm="1">
        <f t="array" ref="A33">INDEX(Sheet1!A:A,$F33)</f>
        <v>M</v>
      </c>
      <c r="B33" s="4" t="str" cm="1">
        <f t="array" ref="B33">INDEX(Sheet1!B:B,$F33)</f>
        <v>Super-Pref NS</v>
      </c>
      <c r="C33" s="4">
        <f t="shared" si="1"/>
        <v>31</v>
      </c>
      <c r="D33" s="5" cm="1">
        <f t="array" aca="1" ref="D33" ca="1">OFFSET(INDIRECT("'["&amp;$H33&amp;"]"&amp;$I33&amp;"'!"&amp;$J33),$L33,$M33)*$K33</f>
        <v>5.8E-4</v>
      </c>
      <c r="F33" s="4">
        <f t="shared" si="2"/>
        <v>2</v>
      </c>
      <c r="G33" s="4" cm="1">
        <f t="array" ref="G33">IF($C33+$M33&lt;16,INDEX(Sheet1!C:C,$F33),$F33)</f>
        <v>2</v>
      </c>
      <c r="H33" s="4" t="str" cm="1">
        <f t="array" ref="H33">INDEX(Sheet1!D:D,$G33)</f>
        <v>2001-cso-preferred-class-structure-mortality-tables.xls</v>
      </c>
      <c r="I33" s="4" t="str" cm="1">
        <f t="array" ref="I33">INDEX(Sheet1!E:E,$G33)</f>
        <v>A.1.a.i</v>
      </c>
      <c r="J33" s="4" t="str" cm="1">
        <f t="array" ref="J33">INDEX(Sheet1!F:F,$G33)</f>
        <v>B8</v>
      </c>
      <c r="K33" s="4" cm="1">
        <f t="array" ref="K33">INDEX(Sheet1!H:H,$G33)</f>
        <v>1E-3</v>
      </c>
      <c r="L33" s="4">
        <f t="shared" si="0"/>
        <v>31</v>
      </c>
      <c r="M33" s="4">
        <f t="shared" si="3"/>
        <v>5</v>
      </c>
    </row>
    <row r="34" spans="1:13">
      <c r="A34" s="4" t="str" cm="1">
        <f t="array" ref="A34">INDEX(Sheet1!A:A,$F34)</f>
        <v>M</v>
      </c>
      <c r="B34" s="4" t="str" cm="1">
        <f t="array" ref="B34">INDEX(Sheet1!B:B,$F34)</f>
        <v>Super-Pref NS</v>
      </c>
      <c r="C34" s="4">
        <f t="shared" si="1"/>
        <v>32</v>
      </c>
      <c r="D34" s="5" cm="1">
        <f t="array" aca="1" ref="D34" ca="1">OFFSET(INDIRECT("'["&amp;$H34&amp;"]"&amp;$I34&amp;"'!"&amp;$J34),$L34,$M34)*$K34</f>
        <v>5.9000000000000003E-4</v>
      </c>
      <c r="F34" s="4">
        <f t="shared" si="2"/>
        <v>2</v>
      </c>
      <c r="G34" s="4" cm="1">
        <f t="array" ref="G34">IF($C34+$M34&lt;16,INDEX(Sheet1!C:C,$F34),$F34)</f>
        <v>2</v>
      </c>
      <c r="H34" s="4" t="str" cm="1">
        <f t="array" ref="H34">INDEX(Sheet1!D:D,$G34)</f>
        <v>2001-cso-preferred-class-structure-mortality-tables.xls</v>
      </c>
      <c r="I34" s="4" t="str" cm="1">
        <f t="array" ref="I34">INDEX(Sheet1!E:E,$G34)</f>
        <v>A.1.a.i</v>
      </c>
      <c r="J34" s="4" t="str" cm="1">
        <f t="array" ref="J34">INDEX(Sheet1!F:F,$G34)</f>
        <v>B8</v>
      </c>
      <c r="K34" s="4" cm="1">
        <f t="array" ref="K34">INDEX(Sheet1!H:H,$G34)</f>
        <v>1E-3</v>
      </c>
      <c r="L34" s="4">
        <f t="shared" si="0"/>
        <v>32</v>
      </c>
      <c r="M34" s="4">
        <f t="shared" si="3"/>
        <v>5</v>
      </c>
    </row>
    <row r="35" spans="1:13">
      <c r="A35" s="4" t="str" cm="1">
        <f t="array" ref="A35">INDEX(Sheet1!A:A,$F35)</f>
        <v>M</v>
      </c>
      <c r="B35" s="4" t="str" cm="1">
        <f t="array" ref="B35">INDEX(Sheet1!B:B,$F35)</f>
        <v>Super-Pref NS</v>
      </c>
      <c r="C35" s="4">
        <f t="shared" si="1"/>
        <v>33</v>
      </c>
      <c r="D35" s="5" cm="1">
        <f t="array" aca="1" ref="D35" ca="1">OFFSET(INDIRECT("'["&amp;$H35&amp;"]"&amp;$I35&amp;"'!"&amp;$J35),$L35,$M35)*$K35</f>
        <v>6.3000000000000003E-4</v>
      </c>
      <c r="F35" s="4">
        <f t="shared" si="2"/>
        <v>2</v>
      </c>
      <c r="G35" s="4" cm="1">
        <f t="array" ref="G35">IF($C35+$M35&lt;16,INDEX(Sheet1!C:C,$F35),$F35)</f>
        <v>2</v>
      </c>
      <c r="H35" s="4" t="str" cm="1">
        <f t="array" ref="H35">INDEX(Sheet1!D:D,$G35)</f>
        <v>2001-cso-preferred-class-structure-mortality-tables.xls</v>
      </c>
      <c r="I35" s="4" t="str" cm="1">
        <f t="array" ref="I35">INDEX(Sheet1!E:E,$G35)</f>
        <v>A.1.a.i</v>
      </c>
      <c r="J35" s="4" t="str" cm="1">
        <f t="array" ref="J35">INDEX(Sheet1!F:F,$G35)</f>
        <v>B8</v>
      </c>
      <c r="K35" s="4" cm="1">
        <f t="array" ref="K35">INDEX(Sheet1!H:H,$G35)</f>
        <v>1E-3</v>
      </c>
      <c r="L35" s="4">
        <f t="shared" si="0"/>
        <v>33</v>
      </c>
      <c r="M35" s="4">
        <f t="shared" si="3"/>
        <v>5</v>
      </c>
    </row>
    <row r="36" spans="1:13">
      <c r="A36" s="4" t="str" cm="1">
        <f t="array" ref="A36">INDEX(Sheet1!A:A,$F36)</f>
        <v>M</v>
      </c>
      <c r="B36" s="4" t="str" cm="1">
        <f t="array" ref="B36">INDEX(Sheet1!B:B,$F36)</f>
        <v>Super-Pref NS</v>
      </c>
      <c r="C36" s="4">
        <f t="shared" si="1"/>
        <v>34</v>
      </c>
      <c r="D36" s="5" cm="1">
        <f t="array" aca="1" ref="D36" ca="1">OFFSET(INDIRECT("'["&amp;$H36&amp;"]"&amp;$I36&amp;"'!"&amp;$J36),$L36,$M36)*$K36</f>
        <v>6.6E-4</v>
      </c>
      <c r="F36" s="4">
        <f t="shared" si="2"/>
        <v>2</v>
      </c>
      <c r="G36" s="4" cm="1">
        <f t="array" ref="G36">IF($C36+$M36&lt;16,INDEX(Sheet1!C:C,$F36),$F36)</f>
        <v>2</v>
      </c>
      <c r="H36" s="4" t="str" cm="1">
        <f t="array" ref="H36">INDEX(Sheet1!D:D,$G36)</f>
        <v>2001-cso-preferred-class-structure-mortality-tables.xls</v>
      </c>
      <c r="I36" s="4" t="str" cm="1">
        <f t="array" ref="I36">INDEX(Sheet1!E:E,$G36)</f>
        <v>A.1.a.i</v>
      </c>
      <c r="J36" s="4" t="str" cm="1">
        <f t="array" ref="J36">INDEX(Sheet1!F:F,$G36)</f>
        <v>B8</v>
      </c>
      <c r="K36" s="4" cm="1">
        <f t="array" ref="K36">INDEX(Sheet1!H:H,$G36)</f>
        <v>1E-3</v>
      </c>
      <c r="L36" s="4">
        <f t="shared" si="0"/>
        <v>34</v>
      </c>
      <c r="M36" s="4">
        <f t="shared" si="3"/>
        <v>5</v>
      </c>
    </row>
    <row r="37" spans="1:13">
      <c r="A37" s="4" t="str" cm="1">
        <f t="array" ref="A37">INDEX(Sheet1!A:A,$F37)</f>
        <v>M</v>
      </c>
      <c r="B37" s="4" t="str" cm="1">
        <f t="array" ref="B37">INDEX(Sheet1!B:B,$F37)</f>
        <v>Super-Pref NS</v>
      </c>
      <c r="C37" s="4">
        <f t="shared" si="1"/>
        <v>35</v>
      </c>
      <c r="D37" s="5" cm="1">
        <f t="array" aca="1" ref="D37" ca="1">OFFSET(INDIRECT("'["&amp;$H37&amp;"]"&amp;$I37&amp;"'!"&amp;$J37),$L37,$M37)*$K37</f>
        <v>6.9999999999999999E-4</v>
      </c>
      <c r="F37" s="4">
        <f t="shared" si="2"/>
        <v>2</v>
      </c>
      <c r="G37" s="4" cm="1">
        <f t="array" ref="G37">IF($C37+$M37&lt;16,INDEX(Sheet1!C:C,$F37),$F37)</f>
        <v>2</v>
      </c>
      <c r="H37" s="4" t="str" cm="1">
        <f t="array" ref="H37">INDEX(Sheet1!D:D,$G37)</f>
        <v>2001-cso-preferred-class-structure-mortality-tables.xls</v>
      </c>
      <c r="I37" s="4" t="str" cm="1">
        <f t="array" ref="I37">INDEX(Sheet1!E:E,$G37)</f>
        <v>A.1.a.i</v>
      </c>
      <c r="J37" s="4" t="str" cm="1">
        <f t="array" ref="J37">INDEX(Sheet1!F:F,$G37)</f>
        <v>B8</v>
      </c>
      <c r="K37" s="4" cm="1">
        <f t="array" ref="K37">INDEX(Sheet1!H:H,$G37)</f>
        <v>1E-3</v>
      </c>
      <c r="L37" s="4">
        <f t="shared" si="0"/>
        <v>35</v>
      </c>
      <c r="M37" s="4">
        <f t="shared" si="3"/>
        <v>5</v>
      </c>
    </row>
    <row r="38" spans="1:13">
      <c r="A38" s="4" t="str" cm="1">
        <f t="array" ref="A38">INDEX(Sheet1!A:A,$F38)</f>
        <v>M</v>
      </c>
      <c r="B38" s="4" t="str" cm="1">
        <f t="array" ref="B38">INDEX(Sheet1!B:B,$F38)</f>
        <v>Super-Pref NS</v>
      </c>
      <c r="C38" s="4">
        <f t="shared" si="1"/>
        <v>36</v>
      </c>
      <c r="D38" s="5" cm="1">
        <f t="array" aca="1" ref="D38" ca="1">OFFSET(INDIRECT("'["&amp;$H38&amp;"]"&amp;$I38&amp;"'!"&amp;$J38),$L38,$M38)*$K38</f>
        <v>7.3999999999999999E-4</v>
      </c>
      <c r="F38" s="4">
        <f t="shared" si="2"/>
        <v>2</v>
      </c>
      <c r="G38" s="4" cm="1">
        <f t="array" ref="G38">IF($C38+$M38&lt;16,INDEX(Sheet1!C:C,$F38),$F38)</f>
        <v>2</v>
      </c>
      <c r="H38" s="4" t="str" cm="1">
        <f t="array" ref="H38">INDEX(Sheet1!D:D,$G38)</f>
        <v>2001-cso-preferred-class-structure-mortality-tables.xls</v>
      </c>
      <c r="I38" s="4" t="str" cm="1">
        <f t="array" ref="I38">INDEX(Sheet1!E:E,$G38)</f>
        <v>A.1.a.i</v>
      </c>
      <c r="J38" s="4" t="str" cm="1">
        <f t="array" ref="J38">INDEX(Sheet1!F:F,$G38)</f>
        <v>B8</v>
      </c>
      <c r="K38" s="4" cm="1">
        <f t="array" ref="K38">INDEX(Sheet1!H:H,$G38)</f>
        <v>1E-3</v>
      </c>
      <c r="L38" s="4">
        <f t="shared" si="0"/>
        <v>36</v>
      </c>
      <c r="M38" s="4">
        <f t="shared" si="3"/>
        <v>5</v>
      </c>
    </row>
    <row r="39" spans="1:13">
      <c r="A39" s="4" t="str" cm="1">
        <f t="array" ref="A39">INDEX(Sheet1!A:A,$F39)</f>
        <v>M</v>
      </c>
      <c r="B39" s="4" t="str" cm="1">
        <f t="array" ref="B39">INDEX(Sheet1!B:B,$F39)</f>
        <v>Super-Pref NS</v>
      </c>
      <c r="C39" s="4">
        <f t="shared" si="1"/>
        <v>37</v>
      </c>
      <c r="D39" s="5" cm="1">
        <f t="array" aca="1" ref="D39" ca="1">OFFSET(INDIRECT("'["&amp;$H39&amp;"]"&amp;$I39&amp;"'!"&amp;$J39),$L39,$M39)*$K39</f>
        <v>7.8000000000000009E-4</v>
      </c>
      <c r="F39" s="4">
        <f t="shared" si="2"/>
        <v>2</v>
      </c>
      <c r="G39" s="4" cm="1">
        <f t="array" ref="G39">IF($C39+$M39&lt;16,INDEX(Sheet1!C:C,$F39),$F39)</f>
        <v>2</v>
      </c>
      <c r="H39" s="4" t="str" cm="1">
        <f t="array" ref="H39">INDEX(Sheet1!D:D,$G39)</f>
        <v>2001-cso-preferred-class-structure-mortality-tables.xls</v>
      </c>
      <c r="I39" s="4" t="str" cm="1">
        <f t="array" ref="I39">INDEX(Sheet1!E:E,$G39)</f>
        <v>A.1.a.i</v>
      </c>
      <c r="J39" s="4" t="str" cm="1">
        <f t="array" ref="J39">INDEX(Sheet1!F:F,$G39)</f>
        <v>B8</v>
      </c>
      <c r="K39" s="4" cm="1">
        <f t="array" ref="K39">INDEX(Sheet1!H:H,$G39)</f>
        <v>1E-3</v>
      </c>
      <c r="L39" s="4">
        <f t="shared" si="0"/>
        <v>37</v>
      </c>
      <c r="M39" s="4">
        <f t="shared" si="3"/>
        <v>5</v>
      </c>
    </row>
    <row r="40" spans="1:13">
      <c r="A40" s="4" t="str" cm="1">
        <f t="array" ref="A40">INDEX(Sheet1!A:A,$F40)</f>
        <v>M</v>
      </c>
      <c r="B40" s="4" t="str" cm="1">
        <f t="array" ref="B40">INDEX(Sheet1!B:B,$F40)</f>
        <v>Super-Pref NS</v>
      </c>
      <c r="C40" s="4">
        <f t="shared" si="1"/>
        <v>38</v>
      </c>
      <c r="D40" s="5" cm="1">
        <f t="array" aca="1" ref="D40" ca="1">OFFSET(INDIRECT("'["&amp;$H40&amp;"]"&amp;$I40&amp;"'!"&amp;$J40),$L40,$M40)*$K40</f>
        <v>8.3000000000000001E-4</v>
      </c>
      <c r="F40" s="4">
        <f t="shared" si="2"/>
        <v>2</v>
      </c>
      <c r="G40" s="4" cm="1">
        <f t="array" ref="G40">IF($C40+$M40&lt;16,INDEX(Sheet1!C:C,$F40),$F40)</f>
        <v>2</v>
      </c>
      <c r="H40" s="4" t="str" cm="1">
        <f t="array" ref="H40">INDEX(Sheet1!D:D,$G40)</f>
        <v>2001-cso-preferred-class-structure-mortality-tables.xls</v>
      </c>
      <c r="I40" s="4" t="str" cm="1">
        <f t="array" ref="I40">INDEX(Sheet1!E:E,$G40)</f>
        <v>A.1.a.i</v>
      </c>
      <c r="J40" s="4" t="str" cm="1">
        <f t="array" ref="J40">INDEX(Sheet1!F:F,$G40)</f>
        <v>B8</v>
      </c>
      <c r="K40" s="4" cm="1">
        <f t="array" ref="K40">INDEX(Sheet1!H:H,$G40)</f>
        <v>1E-3</v>
      </c>
      <c r="L40" s="4">
        <f t="shared" si="0"/>
        <v>38</v>
      </c>
      <c r="M40" s="4">
        <f t="shared" si="3"/>
        <v>5</v>
      </c>
    </row>
    <row r="41" spans="1:13">
      <c r="A41" s="4" t="str" cm="1">
        <f t="array" ref="A41">INDEX(Sheet1!A:A,$F41)</f>
        <v>M</v>
      </c>
      <c r="B41" s="4" t="str" cm="1">
        <f t="array" ref="B41">INDEX(Sheet1!B:B,$F41)</f>
        <v>Super-Pref NS</v>
      </c>
      <c r="C41" s="4">
        <f t="shared" si="1"/>
        <v>39</v>
      </c>
      <c r="D41" s="5" cm="1">
        <f t="array" aca="1" ref="D41" ca="1">OFFSET(INDIRECT("'["&amp;$H41&amp;"]"&amp;$I41&amp;"'!"&amp;$J41),$L41,$M41)*$K41</f>
        <v>9.0000000000000008E-4</v>
      </c>
      <c r="F41" s="4">
        <f t="shared" si="2"/>
        <v>2</v>
      </c>
      <c r="G41" s="4" cm="1">
        <f t="array" ref="G41">IF($C41+$M41&lt;16,INDEX(Sheet1!C:C,$F41),$F41)</f>
        <v>2</v>
      </c>
      <c r="H41" s="4" t="str" cm="1">
        <f t="array" ref="H41">INDEX(Sheet1!D:D,$G41)</f>
        <v>2001-cso-preferred-class-structure-mortality-tables.xls</v>
      </c>
      <c r="I41" s="4" t="str" cm="1">
        <f t="array" ref="I41">INDEX(Sheet1!E:E,$G41)</f>
        <v>A.1.a.i</v>
      </c>
      <c r="J41" s="4" t="str" cm="1">
        <f t="array" ref="J41">INDEX(Sheet1!F:F,$G41)</f>
        <v>B8</v>
      </c>
      <c r="K41" s="4" cm="1">
        <f t="array" ref="K41">INDEX(Sheet1!H:H,$G41)</f>
        <v>1E-3</v>
      </c>
      <c r="L41" s="4">
        <f t="shared" si="0"/>
        <v>39</v>
      </c>
      <c r="M41" s="4">
        <f t="shared" si="3"/>
        <v>5</v>
      </c>
    </row>
    <row r="42" spans="1:13">
      <c r="A42" s="4" t="str" cm="1">
        <f t="array" ref="A42">INDEX(Sheet1!A:A,$F42)</f>
        <v>M</v>
      </c>
      <c r="B42" s="4" t="str" cm="1">
        <f t="array" ref="B42">INDEX(Sheet1!B:B,$F42)</f>
        <v>Super-Pref NS</v>
      </c>
      <c r="C42" s="4">
        <f t="shared" si="1"/>
        <v>40</v>
      </c>
      <c r="D42" s="5" cm="1">
        <f t="array" aca="1" ref="D42" ca="1">OFFSET(INDIRECT("'["&amp;$H42&amp;"]"&amp;$I42&amp;"'!"&amp;$J42),$L42,$M42)*$K42</f>
        <v>9.8999999999999999E-4</v>
      </c>
      <c r="F42" s="4">
        <f t="shared" si="2"/>
        <v>2</v>
      </c>
      <c r="G42" s="4" cm="1">
        <f t="array" ref="G42">IF($C42+$M42&lt;16,INDEX(Sheet1!C:C,$F42),$F42)</f>
        <v>2</v>
      </c>
      <c r="H42" s="4" t="str" cm="1">
        <f t="array" ref="H42">INDEX(Sheet1!D:D,$G42)</f>
        <v>2001-cso-preferred-class-structure-mortality-tables.xls</v>
      </c>
      <c r="I42" s="4" t="str" cm="1">
        <f t="array" ref="I42">INDEX(Sheet1!E:E,$G42)</f>
        <v>A.1.a.i</v>
      </c>
      <c r="J42" s="4" t="str" cm="1">
        <f t="array" ref="J42">INDEX(Sheet1!F:F,$G42)</f>
        <v>B8</v>
      </c>
      <c r="K42" s="4" cm="1">
        <f t="array" ref="K42">INDEX(Sheet1!H:H,$G42)</f>
        <v>1E-3</v>
      </c>
      <c r="L42" s="4">
        <f t="shared" si="0"/>
        <v>40</v>
      </c>
      <c r="M42" s="4">
        <f t="shared" si="3"/>
        <v>5</v>
      </c>
    </row>
    <row r="43" spans="1:13">
      <c r="A43" s="4" t="str" cm="1">
        <f t="array" ref="A43">INDEX(Sheet1!A:A,$F43)</f>
        <v>M</v>
      </c>
      <c r="B43" s="4" t="str" cm="1">
        <f t="array" ref="B43">INDEX(Sheet1!B:B,$F43)</f>
        <v>Super-Pref NS</v>
      </c>
      <c r="C43" s="4">
        <f t="shared" si="1"/>
        <v>41</v>
      </c>
      <c r="D43" s="5" cm="1">
        <f t="array" aca="1" ref="D43" ca="1">OFFSET(INDIRECT("'["&amp;$H43&amp;"]"&amp;$I43&amp;"'!"&amp;$J43),$L43,$M43)*$K43</f>
        <v>1.09E-3</v>
      </c>
      <c r="F43" s="4">
        <f t="shared" si="2"/>
        <v>2</v>
      </c>
      <c r="G43" s="4" cm="1">
        <f t="array" ref="G43">IF($C43+$M43&lt;16,INDEX(Sheet1!C:C,$F43),$F43)</f>
        <v>2</v>
      </c>
      <c r="H43" s="4" t="str" cm="1">
        <f t="array" ref="H43">INDEX(Sheet1!D:D,$G43)</f>
        <v>2001-cso-preferred-class-structure-mortality-tables.xls</v>
      </c>
      <c r="I43" s="4" t="str" cm="1">
        <f t="array" ref="I43">INDEX(Sheet1!E:E,$G43)</f>
        <v>A.1.a.i</v>
      </c>
      <c r="J43" s="4" t="str" cm="1">
        <f t="array" ref="J43">INDEX(Sheet1!F:F,$G43)</f>
        <v>B8</v>
      </c>
      <c r="K43" s="4" cm="1">
        <f t="array" ref="K43">INDEX(Sheet1!H:H,$G43)</f>
        <v>1E-3</v>
      </c>
      <c r="L43" s="4">
        <f t="shared" si="0"/>
        <v>41</v>
      </c>
      <c r="M43" s="4">
        <f t="shared" si="3"/>
        <v>5</v>
      </c>
    </row>
    <row r="44" spans="1:13">
      <c r="A44" s="4" t="str" cm="1">
        <f t="array" ref="A44">INDEX(Sheet1!A:A,$F44)</f>
        <v>M</v>
      </c>
      <c r="B44" s="4" t="str" cm="1">
        <f t="array" ref="B44">INDEX(Sheet1!B:B,$F44)</f>
        <v>Super-Pref NS</v>
      </c>
      <c r="C44" s="4">
        <f t="shared" si="1"/>
        <v>42</v>
      </c>
      <c r="D44" s="5" cm="1">
        <f t="array" aca="1" ref="D44" ca="1">OFFSET(INDIRECT("'["&amp;$H44&amp;"]"&amp;$I44&amp;"'!"&amp;$J44),$L44,$M44)*$K44</f>
        <v>1.1800000000000001E-3</v>
      </c>
      <c r="F44" s="4">
        <f t="shared" si="2"/>
        <v>2</v>
      </c>
      <c r="G44" s="4" cm="1">
        <f t="array" ref="G44">IF($C44+$M44&lt;16,INDEX(Sheet1!C:C,$F44),$F44)</f>
        <v>2</v>
      </c>
      <c r="H44" s="4" t="str" cm="1">
        <f t="array" ref="H44">INDEX(Sheet1!D:D,$G44)</f>
        <v>2001-cso-preferred-class-structure-mortality-tables.xls</v>
      </c>
      <c r="I44" s="4" t="str" cm="1">
        <f t="array" ref="I44">INDEX(Sheet1!E:E,$G44)</f>
        <v>A.1.a.i</v>
      </c>
      <c r="J44" s="4" t="str" cm="1">
        <f t="array" ref="J44">INDEX(Sheet1!F:F,$G44)</f>
        <v>B8</v>
      </c>
      <c r="K44" s="4" cm="1">
        <f t="array" ref="K44">INDEX(Sheet1!H:H,$G44)</f>
        <v>1E-3</v>
      </c>
      <c r="L44" s="4">
        <f t="shared" si="0"/>
        <v>42</v>
      </c>
      <c r="M44" s="4">
        <f t="shared" si="3"/>
        <v>5</v>
      </c>
    </row>
    <row r="45" spans="1:13">
      <c r="A45" s="4" t="str" cm="1">
        <f t="array" ref="A45">INDEX(Sheet1!A:A,$F45)</f>
        <v>M</v>
      </c>
      <c r="B45" s="4" t="str" cm="1">
        <f t="array" ref="B45">INDEX(Sheet1!B:B,$F45)</f>
        <v>Super-Pref NS</v>
      </c>
      <c r="C45" s="4">
        <f t="shared" si="1"/>
        <v>43</v>
      </c>
      <c r="D45" s="5" cm="1">
        <f t="array" aca="1" ref="D45" ca="1">OFFSET(INDIRECT("'["&amp;$H45&amp;"]"&amp;$I45&amp;"'!"&amp;$J45),$L45,$M45)*$K45</f>
        <v>1.2600000000000001E-3</v>
      </c>
      <c r="F45" s="4">
        <f t="shared" si="2"/>
        <v>2</v>
      </c>
      <c r="G45" s="4" cm="1">
        <f t="array" ref="G45">IF($C45+$M45&lt;16,INDEX(Sheet1!C:C,$F45),$F45)</f>
        <v>2</v>
      </c>
      <c r="H45" s="4" t="str" cm="1">
        <f t="array" ref="H45">INDEX(Sheet1!D:D,$G45)</f>
        <v>2001-cso-preferred-class-structure-mortality-tables.xls</v>
      </c>
      <c r="I45" s="4" t="str" cm="1">
        <f t="array" ref="I45">INDEX(Sheet1!E:E,$G45)</f>
        <v>A.1.a.i</v>
      </c>
      <c r="J45" s="4" t="str" cm="1">
        <f t="array" ref="J45">INDEX(Sheet1!F:F,$G45)</f>
        <v>B8</v>
      </c>
      <c r="K45" s="4" cm="1">
        <f t="array" ref="K45">INDEX(Sheet1!H:H,$G45)</f>
        <v>1E-3</v>
      </c>
      <c r="L45" s="4">
        <f t="shared" si="0"/>
        <v>43</v>
      </c>
      <c r="M45" s="4">
        <f t="shared" si="3"/>
        <v>5</v>
      </c>
    </row>
    <row r="46" spans="1:13">
      <c r="A46" s="4" t="str" cm="1">
        <f t="array" ref="A46">INDEX(Sheet1!A:A,$F46)</f>
        <v>M</v>
      </c>
      <c r="B46" s="4" t="str" cm="1">
        <f t="array" ref="B46">INDEX(Sheet1!B:B,$F46)</f>
        <v>Super-Pref NS</v>
      </c>
      <c r="C46" s="4">
        <f t="shared" si="1"/>
        <v>44</v>
      </c>
      <c r="D46" s="5" cm="1">
        <f t="array" aca="1" ref="D46" ca="1">OFFSET(INDIRECT("'["&amp;$H46&amp;"]"&amp;$I46&amp;"'!"&amp;$J46),$L46,$M46)*$K46</f>
        <v>1.33E-3</v>
      </c>
      <c r="F46" s="4">
        <f t="shared" si="2"/>
        <v>2</v>
      </c>
      <c r="G46" s="4" cm="1">
        <f t="array" ref="G46">IF($C46+$M46&lt;16,INDEX(Sheet1!C:C,$F46),$F46)</f>
        <v>2</v>
      </c>
      <c r="H46" s="4" t="str" cm="1">
        <f t="array" ref="H46">INDEX(Sheet1!D:D,$G46)</f>
        <v>2001-cso-preferred-class-structure-mortality-tables.xls</v>
      </c>
      <c r="I46" s="4" t="str" cm="1">
        <f t="array" ref="I46">INDEX(Sheet1!E:E,$G46)</f>
        <v>A.1.a.i</v>
      </c>
      <c r="J46" s="4" t="str" cm="1">
        <f t="array" ref="J46">INDEX(Sheet1!F:F,$G46)</f>
        <v>B8</v>
      </c>
      <c r="K46" s="4" cm="1">
        <f t="array" ref="K46">INDEX(Sheet1!H:H,$G46)</f>
        <v>1E-3</v>
      </c>
      <c r="L46" s="4">
        <f t="shared" si="0"/>
        <v>44</v>
      </c>
      <c r="M46" s="4">
        <f t="shared" si="3"/>
        <v>5</v>
      </c>
    </row>
    <row r="47" spans="1:13">
      <c r="A47" s="4" t="str" cm="1">
        <f t="array" ref="A47">INDEX(Sheet1!A:A,$F47)</f>
        <v>M</v>
      </c>
      <c r="B47" s="4" t="str" cm="1">
        <f t="array" ref="B47">INDEX(Sheet1!B:B,$F47)</f>
        <v>Super-Pref NS</v>
      </c>
      <c r="C47" s="4">
        <f t="shared" si="1"/>
        <v>45</v>
      </c>
      <c r="D47" s="5" cm="1">
        <f t="array" aca="1" ref="D47" ca="1">OFFSET(INDIRECT("'["&amp;$H47&amp;"]"&amp;$I47&amp;"'!"&amp;$J47),$L47,$M47)*$K47</f>
        <v>1.42E-3</v>
      </c>
      <c r="F47" s="4">
        <f t="shared" si="2"/>
        <v>2</v>
      </c>
      <c r="G47" s="4" cm="1">
        <f t="array" ref="G47">IF($C47+$M47&lt;16,INDEX(Sheet1!C:C,$F47),$F47)</f>
        <v>2</v>
      </c>
      <c r="H47" s="4" t="str" cm="1">
        <f t="array" ref="H47">INDEX(Sheet1!D:D,$G47)</f>
        <v>2001-cso-preferred-class-structure-mortality-tables.xls</v>
      </c>
      <c r="I47" s="4" t="str" cm="1">
        <f t="array" ref="I47">INDEX(Sheet1!E:E,$G47)</f>
        <v>A.1.a.i</v>
      </c>
      <c r="J47" s="4" t="str" cm="1">
        <f t="array" ref="J47">INDEX(Sheet1!F:F,$G47)</f>
        <v>B8</v>
      </c>
      <c r="K47" s="4" cm="1">
        <f t="array" ref="K47">INDEX(Sheet1!H:H,$G47)</f>
        <v>1E-3</v>
      </c>
      <c r="L47" s="4">
        <f t="shared" si="0"/>
        <v>45</v>
      </c>
      <c r="M47" s="4">
        <f t="shared" si="3"/>
        <v>5</v>
      </c>
    </row>
    <row r="48" spans="1:13">
      <c r="A48" s="4" t="str" cm="1">
        <f t="array" ref="A48">INDEX(Sheet1!A:A,$F48)</f>
        <v>M</v>
      </c>
      <c r="B48" s="4" t="str" cm="1">
        <f t="array" ref="B48">INDEX(Sheet1!B:B,$F48)</f>
        <v>Super-Pref NS</v>
      </c>
      <c r="C48" s="4">
        <f t="shared" si="1"/>
        <v>46</v>
      </c>
      <c r="D48" s="5" cm="1">
        <f t="array" aca="1" ref="D48" ca="1">OFFSET(INDIRECT("'["&amp;$H48&amp;"]"&amp;$I48&amp;"'!"&amp;$J48),$L48,$M48)*$K48</f>
        <v>1.5500000000000002E-3</v>
      </c>
      <c r="F48" s="4">
        <f t="shared" si="2"/>
        <v>2</v>
      </c>
      <c r="G48" s="4" cm="1">
        <f t="array" ref="G48">IF($C48+$M48&lt;16,INDEX(Sheet1!C:C,$F48),$F48)</f>
        <v>2</v>
      </c>
      <c r="H48" s="4" t="str" cm="1">
        <f t="array" ref="H48">INDEX(Sheet1!D:D,$G48)</f>
        <v>2001-cso-preferred-class-structure-mortality-tables.xls</v>
      </c>
      <c r="I48" s="4" t="str" cm="1">
        <f t="array" ref="I48">INDEX(Sheet1!E:E,$G48)</f>
        <v>A.1.a.i</v>
      </c>
      <c r="J48" s="4" t="str" cm="1">
        <f t="array" ref="J48">INDEX(Sheet1!F:F,$G48)</f>
        <v>B8</v>
      </c>
      <c r="K48" s="4" cm="1">
        <f t="array" ref="K48">INDEX(Sheet1!H:H,$G48)</f>
        <v>1E-3</v>
      </c>
      <c r="L48" s="4">
        <f t="shared" si="0"/>
        <v>46</v>
      </c>
      <c r="M48" s="4">
        <f t="shared" si="3"/>
        <v>5</v>
      </c>
    </row>
    <row r="49" spans="1:13">
      <c r="A49" s="4" t="str" cm="1">
        <f t="array" ref="A49">INDEX(Sheet1!A:A,$F49)</f>
        <v>M</v>
      </c>
      <c r="B49" s="4" t="str" cm="1">
        <f t="array" ref="B49">INDEX(Sheet1!B:B,$F49)</f>
        <v>Super-Pref NS</v>
      </c>
      <c r="C49" s="4">
        <f t="shared" si="1"/>
        <v>47</v>
      </c>
      <c r="D49" s="5" cm="1">
        <f t="array" aca="1" ref="D49" ca="1">OFFSET(INDIRECT("'["&amp;$H49&amp;"]"&amp;$I49&amp;"'!"&amp;$J49),$L49,$M49)*$K49</f>
        <v>1.66E-3</v>
      </c>
      <c r="F49" s="4">
        <f t="shared" si="2"/>
        <v>2</v>
      </c>
      <c r="G49" s="4" cm="1">
        <f t="array" ref="G49">IF($C49+$M49&lt;16,INDEX(Sheet1!C:C,$F49),$F49)</f>
        <v>2</v>
      </c>
      <c r="H49" s="4" t="str" cm="1">
        <f t="array" ref="H49">INDEX(Sheet1!D:D,$G49)</f>
        <v>2001-cso-preferred-class-structure-mortality-tables.xls</v>
      </c>
      <c r="I49" s="4" t="str" cm="1">
        <f t="array" ref="I49">INDEX(Sheet1!E:E,$G49)</f>
        <v>A.1.a.i</v>
      </c>
      <c r="J49" s="4" t="str" cm="1">
        <f t="array" ref="J49">INDEX(Sheet1!F:F,$G49)</f>
        <v>B8</v>
      </c>
      <c r="K49" s="4" cm="1">
        <f t="array" ref="K49">INDEX(Sheet1!H:H,$G49)</f>
        <v>1E-3</v>
      </c>
      <c r="L49" s="4">
        <f t="shared" si="0"/>
        <v>47</v>
      </c>
      <c r="M49" s="4">
        <f t="shared" si="3"/>
        <v>5</v>
      </c>
    </row>
    <row r="50" spans="1:13">
      <c r="A50" s="4" t="str" cm="1">
        <f t="array" ref="A50">INDEX(Sheet1!A:A,$F50)</f>
        <v>M</v>
      </c>
      <c r="B50" s="4" t="str" cm="1">
        <f t="array" ref="B50">INDEX(Sheet1!B:B,$F50)</f>
        <v>Super-Pref NS</v>
      </c>
      <c r="C50" s="4">
        <f t="shared" si="1"/>
        <v>48</v>
      </c>
      <c r="D50" s="5" cm="1">
        <f t="array" aca="1" ref="D50" ca="1">OFFSET(INDIRECT("'["&amp;$H50&amp;"]"&amp;$I50&amp;"'!"&amp;$J50),$L50,$M50)*$K50</f>
        <v>1.7900000000000001E-3</v>
      </c>
      <c r="F50" s="4">
        <f t="shared" si="2"/>
        <v>2</v>
      </c>
      <c r="G50" s="4" cm="1">
        <f t="array" ref="G50">IF($C50+$M50&lt;16,INDEX(Sheet1!C:C,$F50),$F50)</f>
        <v>2</v>
      </c>
      <c r="H50" s="4" t="str" cm="1">
        <f t="array" ref="H50">INDEX(Sheet1!D:D,$G50)</f>
        <v>2001-cso-preferred-class-structure-mortality-tables.xls</v>
      </c>
      <c r="I50" s="4" t="str" cm="1">
        <f t="array" ref="I50">INDEX(Sheet1!E:E,$G50)</f>
        <v>A.1.a.i</v>
      </c>
      <c r="J50" s="4" t="str" cm="1">
        <f t="array" ref="J50">INDEX(Sheet1!F:F,$G50)</f>
        <v>B8</v>
      </c>
      <c r="K50" s="4" cm="1">
        <f t="array" ref="K50">INDEX(Sheet1!H:H,$G50)</f>
        <v>1E-3</v>
      </c>
      <c r="L50" s="4">
        <f t="shared" si="0"/>
        <v>48</v>
      </c>
      <c r="M50" s="4">
        <f t="shared" si="3"/>
        <v>5</v>
      </c>
    </row>
    <row r="51" spans="1:13">
      <c r="A51" s="4" t="str" cm="1">
        <f t="array" ref="A51">INDEX(Sheet1!A:A,$F51)</f>
        <v>M</v>
      </c>
      <c r="B51" s="4" t="str" cm="1">
        <f t="array" ref="B51">INDEX(Sheet1!B:B,$F51)</f>
        <v>Super-Pref NS</v>
      </c>
      <c r="C51" s="4">
        <f t="shared" si="1"/>
        <v>49</v>
      </c>
      <c r="D51" s="5" cm="1">
        <f t="array" aca="1" ref="D51" ca="1">OFFSET(INDIRECT("'["&amp;$H51&amp;"]"&amp;$I51&amp;"'!"&amp;$J51),$L51,$M51)*$K51</f>
        <v>1.92E-3</v>
      </c>
      <c r="F51" s="4">
        <f t="shared" si="2"/>
        <v>2</v>
      </c>
      <c r="G51" s="4" cm="1">
        <f t="array" ref="G51">IF($C51+$M51&lt;16,INDEX(Sheet1!C:C,$F51),$F51)</f>
        <v>2</v>
      </c>
      <c r="H51" s="4" t="str" cm="1">
        <f t="array" ref="H51">INDEX(Sheet1!D:D,$G51)</f>
        <v>2001-cso-preferred-class-structure-mortality-tables.xls</v>
      </c>
      <c r="I51" s="4" t="str" cm="1">
        <f t="array" ref="I51">INDEX(Sheet1!E:E,$G51)</f>
        <v>A.1.a.i</v>
      </c>
      <c r="J51" s="4" t="str" cm="1">
        <f t="array" ref="J51">INDEX(Sheet1!F:F,$G51)</f>
        <v>B8</v>
      </c>
      <c r="K51" s="4" cm="1">
        <f t="array" ref="K51">INDEX(Sheet1!H:H,$G51)</f>
        <v>1E-3</v>
      </c>
      <c r="L51" s="4">
        <f t="shared" si="0"/>
        <v>49</v>
      </c>
      <c r="M51" s="4">
        <f t="shared" si="3"/>
        <v>5</v>
      </c>
    </row>
    <row r="52" spans="1:13">
      <c r="A52" s="4" t="str" cm="1">
        <f t="array" ref="A52">INDEX(Sheet1!A:A,$F52)</f>
        <v>M</v>
      </c>
      <c r="B52" s="4" t="str" cm="1">
        <f t="array" ref="B52">INDEX(Sheet1!B:B,$F52)</f>
        <v>Super-Pref NS</v>
      </c>
      <c r="C52" s="4">
        <f t="shared" si="1"/>
        <v>50</v>
      </c>
      <c r="D52" s="5" cm="1">
        <f t="array" aca="1" ref="D52" ca="1">OFFSET(INDIRECT("'["&amp;$H52&amp;"]"&amp;$I52&amp;"'!"&amp;$J52),$L52,$M52)*$K52</f>
        <v>2.0699999999999998E-3</v>
      </c>
      <c r="F52" s="4">
        <f t="shared" si="2"/>
        <v>2</v>
      </c>
      <c r="G52" s="4" cm="1">
        <f t="array" ref="G52">IF($C52+$M52&lt;16,INDEX(Sheet1!C:C,$F52),$F52)</f>
        <v>2</v>
      </c>
      <c r="H52" s="4" t="str" cm="1">
        <f t="array" ref="H52">INDEX(Sheet1!D:D,$G52)</f>
        <v>2001-cso-preferred-class-structure-mortality-tables.xls</v>
      </c>
      <c r="I52" s="4" t="str" cm="1">
        <f t="array" ref="I52">INDEX(Sheet1!E:E,$G52)</f>
        <v>A.1.a.i</v>
      </c>
      <c r="J52" s="4" t="str" cm="1">
        <f t="array" ref="J52">INDEX(Sheet1!F:F,$G52)</f>
        <v>B8</v>
      </c>
      <c r="K52" s="4" cm="1">
        <f t="array" ref="K52">INDEX(Sheet1!H:H,$G52)</f>
        <v>1E-3</v>
      </c>
      <c r="L52" s="4">
        <f t="shared" si="0"/>
        <v>50</v>
      </c>
      <c r="M52" s="4">
        <f t="shared" si="3"/>
        <v>5</v>
      </c>
    </row>
    <row r="53" spans="1:13">
      <c r="A53" s="4" t="str" cm="1">
        <f t="array" ref="A53">INDEX(Sheet1!A:A,$F53)</f>
        <v>M</v>
      </c>
      <c r="B53" s="4" t="str" cm="1">
        <f t="array" ref="B53">INDEX(Sheet1!B:B,$F53)</f>
        <v>Super-Pref NS</v>
      </c>
      <c r="C53" s="4">
        <f t="shared" si="1"/>
        <v>51</v>
      </c>
      <c r="D53" s="5" cm="1">
        <f t="array" aca="1" ref="D53" ca="1">OFFSET(INDIRECT("'["&amp;$H53&amp;"]"&amp;$I53&amp;"'!"&amp;$J53),$L53,$M53)*$K53</f>
        <v>2.2300000000000002E-3</v>
      </c>
      <c r="F53" s="4">
        <f t="shared" si="2"/>
        <v>2</v>
      </c>
      <c r="G53" s="4" cm="1">
        <f t="array" ref="G53">IF($C53+$M53&lt;16,INDEX(Sheet1!C:C,$F53),$F53)</f>
        <v>2</v>
      </c>
      <c r="H53" s="4" t="str" cm="1">
        <f t="array" ref="H53">INDEX(Sheet1!D:D,$G53)</f>
        <v>2001-cso-preferred-class-structure-mortality-tables.xls</v>
      </c>
      <c r="I53" s="4" t="str" cm="1">
        <f t="array" ref="I53">INDEX(Sheet1!E:E,$G53)</f>
        <v>A.1.a.i</v>
      </c>
      <c r="J53" s="4" t="str" cm="1">
        <f t="array" ref="J53">INDEX(Sheet1!F:F,$G53)</f>
        <v>B8</v>
      </c>
      <c r="K53" s="4" cm="1">
        <f t="array" ref="K53">INDEX(Sheet1!H:H,$G53)</f>
        <v>1E-3</v>
      </c>
      <c r="L53" s="4">
        <f t="shared" si="0"/>
        <v>51</v>
      </c>
      <c r="M53" s="4">
        <f t="shared" si="3"/>
        <v>5</v>
      </c>
    </row>
    <row r="54" spans="1:13">
      <c r="A54" s="4" t="str" cm="1">
        <f t="array" ref="A54">INDEX(Sheet1!A:A,$F54)</f>
        <v>M</v>
      </c>
      <c r="B54" s="4" t="str" cm="1">
        <f t="array" ref="B54">INDEX(Sheet1!B:B,$F54)</f>
        <v>Super-Pref NS</v>
      </c>
      <c r="C54" s="4">
        <f t="shared" si="1"/>
        <v>52</v>
      </c>
      <c r="D54" s="5" cm="1">
        <f t="array" aca="1" ref="D54" ca="1">OFFSET(INDIRECT("'["&amp;$H54&amp;"]"&amp;$I54&amp;"'!"&amp;$J54),$L54,$M54)*$K54</f>
        <v>2.3900000000000002E-3</v>
      </c>
      <c r="F54" s="4">
        <f t="shared" si="2"/>
        <v>2</v>
      </c>
      <c r="G54" s="4" cm="1">
        <f t="array" ref="G54">IF($C54+$M54&lt;16,INDEX(Sheet1!C:C,$F54),$F54)</f>
        <v>2</v>
      </c>
      <c r="H54" s="4" t="str" cm="1">
        <f t="array" ref="H54">INDEX(Sheet1!D:D,$G54)</f>
        <v>2001-cso-preferred-class-structure-mortality-tables.xls</v>
      </c>
      <c r="I54" s="4" t="str" cm="1">
        <f t="array" ref="I54">INDEX(Sheet1!E:E,$G54)</f>
        <v>A.1.a.i</v>
      </c>
      <c r="J54" s="4" t="str" cm="1">
        <f t="array" ref="J54">INDEX(Sheet1!F:F,$G54)</f>
        <v>B8</v>
      </c>
      <c r="K54" s="4" cm="1">
        <f t="array" ref="K54">INDEX(Sheet1!H:H,$G54)</f>
        <v>1E-3</v>
      </c>
      <c r="L54" s="4">
        <f t="shared" si="0"/>
        <v>52</v>
      </c>
      <c r="M54" s="4">
        <f t="shared" si="3"/>
        <v>5</v>
      </c>
    </row>
    <row r="55" spans="1:13">
      <c r="A55" s="4" t="str" cm="1">
        <f t="array" ref="A55">INDEX(Sheet1!A:A,$F55)</f>
        <v>M</v>
      </c>
      <c r="B55" s="4" t="str" cm="1">
        <f t="array" ref="B55">INDEX(Sheet1!B:B,$F55)</f>
        <v>Super-Pref NS</v>
      </c>
      <c r="C55" s="4">
        <f t="shared" si="1"/>
        <v>53</v>
      </c>
      <c r="D55" s="5" cm="1">
        <f t="array" aca="1" ref="D55" ca="1">OFFSET(INDIRECT("'["&amp;$H55&amp;"]"&amp;$I55&amp;"'!"&amp;$J55),$L55,$M55)*$K55</f>
        <v>2.5899999999999999E-3</v>
      </c>
      <c r="F55" s="4">
        <f t="shared" si="2"/>
        <v>2</v>
      </c>
      <c r="G55" s="4" cm="1">
        <f t="array" ref="G55">IF($C55+$M55&lt;16,INDEX(Sheet1!C:C,$F55),$F55)</f>
        <v>2</v>
      </c>
      <c r="H55" s="4" t="str" cm="1">
        <f t="array" ref="H55">INDEX(Sheet1!D:D,$G55)</f>
        <v>2001-cso-preferred-class-structure-mortality-tables.xls</v>
      </c>
      <c r="I55" s="4" t="str" cm="1">
        <f t="array" ref="I55">INDEX(Sheet1!E:E,$G55)</f>
        <v>A.1.a.i</v>
      </c>
      <c r="J55" s="4" t="str" cm="1">
        <f t="array" ref="J55">INDEX(Sheet1!F:F,$G55)</f>
        <v>B8</v>
      </c>
      <c r="K55" s="4" cm="1">
        <f t="array" ref="K55">INDEX(Sheet1!H:H,$G55)</f>
        <v>1E-3</v>
      </c>
      <c r="L55" s="4">
        <f t="shared" si="0"/>
        <v>53</v>
      </c>
      <c r="M55" s="4">
        <f t="shared" si="3"/>
        <v>5</v>
      </c>
    </row>
    <row r="56" spans="1:13">
      <c r="A56" s="4" t="str" cm="1">
        <f t="array" ref="A56">INDEX(Sheet1!A:A,$F56)</f>
        <v>M</v>
      </c>
      <c r="B56" s="4" t="str" cm="1">
        <f t="array" ref="B56">INDEX(Sheet1!B:B,$F56)</f>
        <v>Super-Pref NS</v>
      </c>
      <c r="C56" s="4">
        <f t="shared" si="1"/>
        <v>54</v>
      </c>
      <c r="D56" s="5" cm="1">
        <f t="array" aca="1" ref="D56" ca="1">OFFSET(INDIRECT("'["&amp;$H56&amp;"]"&amp;$I56&amp;"'!"&amp;$J56),$L56,$M56)*$K56</f>
        <v>2.81E-3</v>
      </c>
      <c r="F56" s="4">
        <f t="shared" si="2"/>
        <v>2</v>
      </c>
      <c r="G56" s="4" cm="1">
        <f t="array" ref="G56">IF($C56+$M56&lt;16,INDEX(Sheet1!C:C,$F56),$F56)</f>
        <v>2</v>
      </c>
      <c r="H56" s="4" t="str" cm="1">
        <f t="array" ref="H56">INDEX(Sheet1!D:D,$G56)</f>
        <v>2001-cso-preferred-class-structure-mortality-tables.xls</v>
      </c>
      <c r="I56" s="4" t="str" cm="1">
        <f t="array" ref="I56">INDEX(Sheet1!E:E,$G56)</f>
        <v>A.1.a.i</v>
      </c>
      <c r="J56" s="4" t="str" cm="1">
        <f t="array" ref="J56">INDEX(Sheet1!F:F,$G56)</f>
        <v>B8</v>
      </c>
      <c r="K56" s="4" cm="1">
        <f t="array" ref="K56">INDEX(Sheet1!H:H,$G56)</f>
        <v>1E-3</v>
      </c>
      <c r="L56" s="4">
        <f t="shared" si="0"/>
        <v>54</v>
      </c>
      <c r="M56" s="4">
        <f t="shared" si="3"/>
        <v>5</v>
      </c>
    </row>
    <row r="57" spans="1:13">
      <c r="A57" s="4" t="str" cm="1">
        <f t="array" ref="A57">INDEX(Sheet1!A:A,$F57)</f>
        <v>M</v>
      </c>
      <c r="B57" s="4" t="str" cm="1">
        <f t="array" ref="B57">INDEX(Sheet1!B:B,$F57)</f>
        <v>Super-Pref NS</v>
      </c>
      <c r="C57" s="4">
        <f t="shared" si="1"/>
        <v>55</v>
      </c>
      <c r="D57" s="5" cm="1">
        <f t="array" aca="1" ref="D57" ca="1">OFFSET(INDIRECT("'["&amp;$H57&amp;"]"&amp;$I57&amp;"'!"&amp;$J57),$L57,$M57)*$K57</f>
        <v>3.0600000000000002E-3</v>
      </c>
      <c r="F57" s="4">
        <f t="shared" si="2"/>
        <v>2</v>
      </c>
      <c r="G57" s="4" cm="1">
        <f t="array" ref="G57">IF($C57+$M57&lt;16,INDEX(Sheet1!C:C,$F57),$F57)</f>
        <v>2</v>
      </c>
      <c r="H57" s="4" t="str" cm="1">
        <f t="array" ref="H57">INDEX(Sheet1!D:D,$G57)</f>
        <v>2001-cso-preferred-class-structure-mortality-tables.xls</v>
      </c>
      <c r="I57" s="4" t="str" cm="1">
        <f t="array" ref="I57">INDEX(Sheet1!E:E,$G57)</f>
        <v>A.1.a.i</v>
      </c>
      <c r="J57" s="4" t="str" cm="1">
        <f t="array" ref="J57">INDEX(Sheet1!F:F,$G57)</f>
        <v>B8</v>
      </c>
      <c r="K57" s="4" cm="1">
        <f t="array" ref="K57">INDEX(Sheet1!H:H,$G57)</f>
        <v>1E-3</v>
      </c>
      <c r="L57" s="4">
        <f t="shared" si="0"/>
        <v>55</v>
      </c>
      <c r="M57" s="4">
        <f t="shared" si="3"/>
        <v>5</v>
      </c>
    </row>
    <row r="58" spans="1:13">
      <c r="A58" s="4" t="str" cm="1">
        <f t="array" ref="A58">INDEX(Sheet1!A:A,$F58)</f>
        <v>M</v>
      </c>
      <c r="B58" s="4" t="str" cm="1">
        <f t="array" ref="B58">INDEX(Sheet1!B:B,$F58)</f>
        <v>Super-Pref NS</v>
      </c>
      <c r="C58" s="4">
        <f t="shared" si="1"/>
        <v>56</v>
      </c>
      <c r="D58" s="5" cm="1">
        <f t="array" aca="1" ref="D58" ca="1">OFFSET(INDIRECT("'["&amp;$H58&amp;"]"&amp;$I58&amp;"'!"&amp;$J58),$L58,$M58)*$K58</f>
        <v>3.3799999999999998E-3</v>
      </c>
      <c r="F58" s="4">
        <f t="shared" si="2"/>
        <v>2</v>
      </c>
      <c r="G58" s="4" cm="1">
        <f t="array" ref="G58">IF($C58+$M58&lt;16,INDEX(Sheet1!C:C,$F58),$F58)</f>
        <v>2</v>
      </c>
      <c r="H58" s="4" t="str" cm="1">
        <f t="array" ref="H58">INDEX(Sheet1!D:D,$G58)</f>
        <v>2001-cso-preferred-class-structure-mortality-tables.xls</v>
      </c>
      <c r="I58" s="4" t="str" cm="1">
        <f t="array" ref="I58">INDEX(Sheet1!E:E,$G58)</f>
        <v>A.1.a.i</v>
      </c>
      <c r="J58" s="4" t="str" cm="1">
        <f t="array" ref="J58">INDEX(Sheet1!F:F,$G58)</f>
        <v>B8</v>
      </c>
      <c r="K58" s="4" cm="1">
        <f t="array" ref="K58">INDEX(Sheet1!H:H,$G58)</f>
        <v>1E-3</v>
      </c>
      <c r="L58" s="4">
        <f t="shared" si="0"/>
        <v>56</v>
      </c>
      <c r="M58" s="4">
        <f t="shared" si="3"/>
        <v>5</v>
      </c>
    </row>
    <row r="59" spans="1:13">
      <c r="A59" s="4" t="str" cm="1">
        <f t="array" ref="A59">INDEX(Sheet1!A:A,$F59)</f>
        <v>M</v>
      </c>
      <c r="B59" s="4" t="str" cm="1">
        <f t="array" ref="B59">INDEX(Sheet1!B:B,$F59)</f>
        <v>Super-Pref NS</v>
      </c>
      <c r="C59" s="4">
        <f t="shared" si="1"/>
        <v>57</v>
      </c>
      <c r="D59" s="5" cm="1">
        <f t="array" aca="1" ref="D59" ca="1">OFFSET(INDIRECT("'["&amp;$H59&amp;"]"&amp;$I59&amp;"'!"&amp;$J59),$L59,$M59)*$K59</f>
        <v>3.7400000000000003E-3</v>
      </c>
      <c r="F59" s="4">
        <f t="shared" si="2"/>
        <v>2</v>
      </c>
      <c r="G59" s="4" cm="1">
        <f t="array" ref="G59">IF($C59+$M59&lt;16,INDEX(Sheet1!C:C,$F59),$F59)</f>
        <v>2</v>
      </c>
      <c r="H59" s="4" t="str" cm="1">
        <f t="array" ref="H59">INDEX(Sheet1!D:D,$G59)</f>
        <v>2001-cso-preferred-class-structure-mortality-tables.xls</v>
      </c>
      <c r="I59" s="4" t="str" cm="1">
        <f t="array" ref="I59">INDEX(Sheet1!E:E,$G59)</f>
        <v>A.1.a.i</v>
      </c>
      <c r="J59" s="4" t="str" cm="1">
        <f t="array" ref="J59">INDEX(Sheet1!F:F,$G59)</f>
        <v>B8</v>
      </c>
      <c r="K59" s="4" cm="1">
        <f t="array" ref="K59">INDEX(Sheet1!H:H,$G59)</f>
        <v>1E-3</v>
      </c>
      <c r="L59" s="4">
        <f t="shared" si="0"/>
        <v>57</v>
      </c>
      <c r="M59" s="4">
        <f t="shared" si="3"/>
        <v>5</v>
      </c>
    </row>
    <row r="60" spans="1:13">
      <c r="A60" s="4" t="str" cm="1">
        <f t="array" ref="A60">INDEX(Sheet1!A:A,$F60)</f>
        <v>M</v>
      </c>
      <c r="B60" s="4" t="str" cm="1">
        <f t="array" ref="B60">INDEX(Sheet1!B:B,$F60)</f>
        <v>Super-Pref NS</v>
      </c>
      <c r="C60" s="4">
        <f t="shared" si="1"/>
        <v>58</v>
      </c>
      <c r="D60" s="5" cm="1">
        <f t="array" aca="1" ref="D60" ca="1">OFFSET(INDIRECT("'["&amp;$H60&amp;"]"&amp;$I60&amp;"'!"&amp;$J60),$L60,$M60)*$K60</f>
        <v>4.1399999999999996E-3</v>
      </c>
      <c r="F60" s="4">
        <f t="shared" si="2"/>
        <v>2</v>
      </c>
      <c r="G60" s="4" cm="1">
        <f t="array" ref="G60">IF($C60+$M60&lt;16,INDEX(Sheet1!C:C,$F60),$F60)</f>
        <v>2</v>
      </c>
      <c r="H60" s="4" t="str" cm="1">
        <f t="array" ref="H60">INDEX(Sheet1!D:D,$G60)</f>
        <v>2001-cso-preferred-class-structure-mortality-tables.xls</v>
      </c>
      <c r="I60" s="4" t="str" cm="1">
        <f t="array" ref="I60">INDEX(Sheet1!E:E,$G60)</f>
        <v>A.1.a.i</v>
      </c>
      <c r="J60" s="4" t="str" cm="1">
        <f t="array" ref="J60">INDEX(Sheet1!F:F,$G60)</f>
        <v>B8</v>
      </c>
      <c r="K60" s="4" cm="1">
        <f t="array" ref="K60">INDEX(Sheet1!H:H,$G60)</f>
        <v>1E-3</v>
      </c>
      <c r="L60" s="4">
        <f t="shared" si="0"/>
        <v>58</v>
      </c>
      <c r="M60" s="4">
        <f t="shared" si="3"/>
        <v>5</v>
      </c>
    </row>
    <row r="61" spans="1:13">
      <c r="A61" s="4" t="str" cm="1">
        <f t="array" ref="A61">INDEX(Sheet1!A:A,$F61)</f>
        <v>M</v>
      </c>
      <c r="B61" s="4" t="str" cm="1">
        <f t="array" ref="B61">INDEX(Sheet1!B:B,$F61)</f>
        <v>Super-Pref NS</v>
      </c>
      <c r="C61" s="4">
        <f t="shared" si="1"/>
        <v>59</v>
      </c>
      <c r="D61" s="5" cm="1">
        <f t="array" aca="1" ref="D61" ca="1">OFFSET(INDIRECT("'["&amp;$H61&amp;"]"&amp;$I61&amp;"'!"&amp;$J61),$L61,$M61)*$K61</f>
        <v>4.5700000000000003E-3</v>
      </c>
      <c r="F61" s="4">
        <f t="shared" si="2"/>
        <v>2</v>
      </c>
      <c r="G61" s="4" cm="1">
        <f t="array" ref="G61">IF($C61+$M61&lt;16,INDEX(Sheet1!C:C,$F61),$F61)</f>
        <v>2</v>
      </c>
      <c r="H61" s="4" t="str" cm="1">
        <f t="array" ref="H61">INDEX(Sheet1!D:D,$G61)</f>
        <v>2001-cso-preferred-class-structure-mortality-tables.xls</v>
      </c>
      <c r="I61" s="4" t="str" cm="1">
        <f t="array" ref="I61">INDEX(Sheet1!E:E,$G61)</f>
        <v>A.1.a.i</v>
      </c>
      <c r="J61" s="4" t="str" cm="1">
        <f t="array" ref="J61">INDEX(Sheet1!F:F,$G61)</f>
        <v>B8</v>
      </c>
      <c r="K61" s="4" cm="1">
        <f t="array" ref="K61">INDEX(Sheet1!H:H,$G61)</f>
        <v>1E-3</v>
      </c>
      <c r="L61" s="4">
        <f t="shared" si="0"/>
        <v>59</v>
      </c>
      <c r="M61" s="4">
        <f t="shared" si="3"/>
        <v>5</v>
      </c>
    </row>
    <row r="62" spans="1:13">
      <c r="A62" s="4" t="str" cm="1">
        <f t="array" ref="A62">INDEX(Sheet1!A:A,$F62)</f>
        <v>M</v>
      </c>
      <c r="B62" s="4" t="str" cm="1">
        <f t="array" ref="B62">INDEX(Sheet1!B:B,$F62)</f>
        <v>Super-Pref NS</v>
      </c>
      <c r="C62" s="4">
        <f t="shared" si="1"/>
        <v>60</v>
      </c>
      <c r="D62" s="5" cm="1">
        <f t="array" aca="1" ref="D62" ca="1">OFFSET(INDIRECT("'["&amp;$H62&amp;"]"&amp;$I62&amp;"'!"&amp;$J62),$L62,$M62)*$K62</f>
        <v>5.0099999999999997E-3</v>
      </c>
      <c r="F62" s="4">
        <f t="shared" si="2"/>
        <v>2</v>
      </c>
      <c r="G62" s="4" cm="1">
        <f t="array" ref="G62">IF($C62+$M62&lt;16,INDEX(Sheet1!C:C,$F62),$F62)</f>
        <v>2</v>
      </c>
      <c r="H62" s="4" t="str" cm="1">
        <f t="array" ref="H62">INDEX(Sheet1!D:D,$G62)</f>
        <v>2001-cso-preferred-class-structure-mortality-tables.xls</v>
      </c>
      <c r="I62" s="4" t="str" cm="1">
        <f t="array" ref="I62">INDEX(Sheet1!E:E,$G62)</f>
        <v>A.1.a.i</v>
      </c>
      <c r="J62" s="4" t="str" cm="1">
        <f t="array" ref="J62">INDEX(Sheet1!F:F,$G62)</f>
        <v>B8</v>
      </c>
      <c r="K62" s="4" cm="1">
        <f t="array" ref="K62">INDEX(Sheet1!H:H,$G62)</f>
        <v>1E-3</v>
      </c>
      <c r="L62" s="4">
        <f t="shared" si="0"/>
        <v>60</v>
      </c>
      <c r="M62" s="4">
        <f t="shared" si="3"/>
        <v>5</v>
      </c>
    </row>
    <row r="63" spans="1:13">
      <c r="A63" s="4" t="str" cm="1">
        <f t="array" ref="A63">INDEX(Sheet1!A:A,$F63)</f>
        <v>M</v>
      </c>
      <c r="B63" s="4" t="str" cm="1">
        <f t="array" ref="B63">INDEX(Sheet1!B:B,$F63)</f>
        <v>Super-Pref NS</v>
      </c>
      <c r="C63" s="4">
        <f t="shared" si="1"/>
        <v>61</v>
      </c>
      <c r="D63" s="5" cm="1">
        <f t="array" aca="1" ref="D63" ca="1">OFFSET(INDIRECT("'["&amp;$H63&amp;"]"&amp;$I63&amp;"'!"&amp;$J63),$L63,$M63)*$K63</f>
        <v>5.45E-3</v>
      </c>
      <c r="F63" s="4">
        <f t="shared" si="2"/>
        <v>2</v>
      </c>
      <c r="G63" s="4" cm="1">
        <f t="array" ref="G63">IF($C63+$M63&lt;16,INDEX(Sheet1!C:C,$F63),$F63)</f>
        <v>2</v>
      </c>
      <c r="H63" s="4" t="str" cm="1">
        <f t="array" ref="H63">INDEX(Sheet1!D:D,$G63)</f>
        <v>2001-cso-preferred-class-structure-mortality-tables.xls</v>
      </c>
      <c r="I63" s="4" t="str" cm="1">
        <f t="array" ref="I63">INDEX(Sheet1!E:E,$G63)</f>
        <v>A.1.a.i</v>
      </c>
      <c r="J63" s="4" t="str" cm="1">
        <f t="array" ref="J63">INDEX(Sheet1!F:F,$G63)</f>
        <v>B8</v>
      </c>
      <c r="K63" s="4" cm="1">
        <f t="array" ref="K63">INDEX(Sheet1!H:H,$G63)</f>
        <v>1E-3</v>
      </c>
      <c r="L63" s="4">
        <f t="shared" si="0"/>
        <v>61</v>
      </c>
      <c r="M63" s="4">
        <f t="shared" si="3"/>
        <v>5</v>
      </c>
    </row>
    <row r="64" spans="1:13">
      <c r="A64" s="4" t="str" cm="1">
        <f t="array" ref="A64">INDEX(Sheet1!A:A,$F64)</f>
        <v>M</v>
      </c>
      <c r="B64" s="4" t="str" cm="1">
        <f t="array" ref="B64">INDEX(Sheet1!B:B,$F64)</f>
        <v>Super-Pref NS</v>
      </c>
      <c r="C64" s="4">
        <f t="shared" si="1"/>
        <v>62</v>
      </c>
      <c r="D64" s="5" cm="1">
        <f t="array" aca="1" ref="D64" ca="1">OFFSET(INDIRECT("'["&amp;$H64&amp;"]"&amp;$I64&amp;"'!"&amp;$J64),$L64,$M64)*$K64</f>
        <v>5.9000000000000007E-3</v>
      </c>
      <c r="F64" s="4">
        <f t="shared" si="2"/>
        <v>2</v>
      </c>
      <c r="G64" s="4" cm="1">
        <f t="array" ref="G64">IF($C64+$M64&lt;16,INDEX(Sheet1!C:C,$F64),$F64)</f>
        <v>2</v>
      </c>
      <c r="H64" s="4" t="str" cm="1">
        <f t="array" ref="H64">INDEX(Sheet1!D:D,$G64)</f>
        <v>2001-cso-preferred-class-structure-mortality-tables.xls</v>
      </c>
      <c r="I64" s="4" t="str" cm="1">
        <f t="array" ref="I64">INDEX(Sheet1!E:E,$G64)</f>
        <v>A.1.a.i</v>
      </c>
      <c r="J64" s="4" t="str" cm="1">
        <f t="array" ref="J64">INDEX(Sheet1!F:F,$G64)</f>
        <v>B8</v>
      </c>
      <c r="K64" s="4" cm="1">
        <f t="array" ref="K64">INDEX(Sheet1!H:H,$G64)</f>
        <v>1E-3</v>
      </c>
      <c r="L64" s="4">
        <f t="shared" si="0"/>
        <v>62</v>
      </c>
      <c r="M64" s="4">
        <f t="shared" si="3"/>
        <v>5</v>
      </c>
    </row>
    <row r="65" spans="1:13">
      <c r="A65" s="4" t="str" cm="1">
        <f t="array" ref="A65">INDEX(Sheet1!A:A,$F65)</f>
        <v>M</v>
      </c>
      <c r="B65" s="4" t="str" cm="1">
        <f t="array" ref="B65">INDEX(Sheet1!B:B,$F65)</f>
        <v>Super-Pref NS</v>
      </c>
      <c r="C65" s="4">
        <f t="shared" si="1"/>
        <v>63</v>
      </c>
      <c r="D65" s="5" cm="1">
        <f t="array" aca="1" ref="D65" ca="1">OFFSET(INDIRECT("'["&amp;$H65&amp;"]"&amp;$I65&amp;"'!"&amp;$J65),$L65,$M65)*$K65</f>
        <v>6.4200000000000004E-3</v>
      </c>
      <c r="F65" s="4">
        <f t="shared" si="2"/>
        <v>2</v>
      </c>
      <c r="G65" s="4" cm="1">
        <f t="array" ref="G65">IF($C65+$M65&lt;16,INDEX(Sheet1!C:C,$F65),$F65)</f>
        <v>2</v>
      </c>
      <c r="H65" s="4" t="str" cm="1">
        <f t="array" ref="H65">INDEX(Sheet1!D:D,$G65)</f>
        <v>2001-cso-preferred-class-structure-mortality-tables.xls</v>
      </c>
      <c r="I65" s="4" t="str" cm="1">
        <f t="array" ref="I65">INDEX(Sheet1!E:E,$G65)</f>
        <v>A.1.a.i</v>
      </c>
      <c r="J65" s="4" t="str" cm="1">
        <f t="array" ref="J65">INDEX(Sheet1!F:F,$G65)</f>
        <v>B8</v>
      </c>
      <c r="K65" s="4" cm="1">
        <f t="array" ref="K65">INDEX(Sheet1!H:H,$G65)</f>
        <v>1E-3</v>
      </c>
      <c r="L65" s="4">
        <f t="shared" si="0"/>
        <v>63</v>
      </c>
      <c r="M65" s="4">
        <f t="shared" si="3"/>
        <v>5</v>
      </c>
    </row>
    <row r="66" spans="1:13">
      <c r="A66" s="4" t="str" cm="1">
        <f t="array" ref="A66">INDEX(Sheet1!A:A,$F66)</f>
        <v>M</v>
      </c>
      <c r="B66" s="4" t="str" cm="1">
        <f t="array" ref="B66">INDEX(Sheet1!B:B,$F66)</f>
        <v>Super-Pref NS</v>
      </c>
      <c r="C66" s="4">
        <f t="shared" si="1"/>
        <v>64</v>
      </c>
      <c r="D66" s="5" cm="1">
        <f t="array" aca="1" ref="D66" ca="1">OFFSET(INDIRECT("'["&amp;$H66&amp;"]"&amp;$I66&amp;"'!"&amp;$J66),$L66,$M66)*$K66</f>
        <v>7.0000000000000001E-3</v>
      </c>
      <c r="F66" s="4">
        <f t="shared" si="2"/>
        <v>2</v>
      </c>
      <c r="G66" s="4" cm="1">
        <f t="array" ref="G66">IF($C66+$M66&lt;16,INDEX(Sheet1!C:C,$F66),$F66)</f>
        <v>2</v>
      </c>
      <c r="H66" s="4" t="str" cm="1">
        <f t="array" ref="H66">INDEX(Sheet1!D:D,$G66)</f>
        <v>2001-cso-preferred-class-structure-mortality-tables.xls</v>
      </c>
      <c r="I66" s="4" t="str" cm="1">
        <f t="array" ref="I66">INDEX(Sheet1!E:E,$G66)</f>
        <v>A.1.a.i</v>
      </c>
      <c r="J66" s="4" t="str" cm="1">
        <f t="array" ref="J66">INDEX(Sheet1!F:F,$G66)</f>
        <v>B8</v>
      </c>
      <c r="K66" s="4" cm="1">
        <f t="array" ref="K66">INDEX(Sheet1!H:H,$G66)</f>
        <v>1E-3</v>
      </c>
      <c r="L66" s="4">
        <f t="shared" si="0"/>
        <v>64</v>
      </c>
      <c r="M66" s="4">
        <f t="shared" si="3"/>
        <v>5</v>
      </c>
    </row>
    <row r="67" spans="1:13">
      <c r="A67" s="4" t="str" cm="1">
        <f t="array" ref="A67">INDEX(Sheet1!A:A,$F67)</f>
        <v>M</v>
      </c>
      <c r="B67" s="4" t="str" cm="1">
        <f t="array" ref="B67">INDEX(Sheet1!B:B,$F67)</f>
        <v>Super-Pref NS</v>
      </c>
      <c r="C67" s="4">
        <f t="shared" si="1"/>
        <v>65</v>
      </c>
      <c r="D67" s="5" cm="1">
        <f t="array" aca="1" ref="D67" ca="1">OFFSET(INDIRECT("'["&amp;$H67&amp;"]"&amp;$I67&amp;"'!"&amp;$J67),$L67,$M67)*$K67</f>
        <v>7.6500000000000005E-3</v>
      </c>
      <c r="F67" s="4">
        <f t="shared" si="2"/>
        <v>2</v>
      </c>
      <c r="G67" s="4" cm="1">
        <f t="array" ref="G67">IF($C67+$M67&lt;16,INDEX(Sheet1!C:C,$F67),$F67)</f>
        <v>2</v>
      </c>
      <c r="H67" s="4" t="str" cm="1">
        <f t="array" ref="H67">INDEX(Sheet1!D:D,$G67)</f>
        <v>2001-cso-preferred-class-structure-mortality-tables.xls</v>
      </c>
      <c r="I67" s="4" t="str" cm="1">
        <f t="array" ref="I67">INDEX(Sheet1!E:E,$G67)</f>
        <v>A.1.a.i</v>
      </c>
      <c r="J67" s="4" t="str" cm="1">
        <f t="array" ref="J67">INDEX(Sheet1!F:F,$G67)</f>
        <v>B8</v>
      </c>
      <c r="K67" s="4" cm="1">
        <f t="array" ref="K67">INDEX(Sheet1!H:H,$G67)</f>
        <v>1E-3</v>
      </c>
      <c r="L67" s="4">
        <f t="shared" ref="L67:L130" si="4">C67</f>
        <v>65</v>
      </c>
      <c r="M67" s="4">
        <f t="shared" si="3"/>
        <v>5</v>
      </c>
    </row>
    <row r="68" spans="1:13">
      <c r="A68" s="4" t="str" cm="1">
        <f t="array" ref="A68">INDEX(Sheet1!A:A,$F68)</f>
        <v>M</v>
      </c>
      <c r="B68" s="4" t="str" cm="1">
        <f t="array" ref="B68">INDEX(Sheet1!B:B,$F68)</f>
        <v>Super-Pref NS</v>
      </c>
      <c r="C68" s="4">
        <f t="shared" ref="C68:C131" si="5">IF(C67=99,0,C67+1)</f>
        <v>66</v>
      </c>
      <c r="D68" s="5" cm="1">
        <f t="array" aca="1" ref="D68" ca="1">OFFSET(INDIRECT("'["&amp;$H68&amp;"]"&amp;$I68&amp;"'!"&amp;$J68),$L68,$M68)*$K68</f>
        <v>8.3800000000000003E-3</v>
      </c>
      <c r="F68" s="4">
        <f t="shared" ref="F68:F131" si="6">IF(C68=0,1,0)+F67</f>
        <v>2</v>
      </c>
      <c r="G68" s="4" cm="1">
        <f t="array" ref="G68">IF($C68+$M68&lt;16,INDEX(Sheet1!C:C,$F68),$F68)</f>
        <v>2</v>
      </c>
      <c r="H68" s="4" t="str" cm="1">
        <f t="array" ref="H68">INDEX(Sheet1!D:D,$G68)</f>
        <v>2001-cso-preferred-class-structure-mortality-tables.xls</v>
      </c>
      <c r="I68" s="4" t="str" cm="1">
        <f t="array" ref="I68">INDEX(Sheet1!E:E,$G68)</f>
        <v>A.1.a.i</v>
      </c>
      <c r="J68" s="4" t="str" cm="1">
        <f t="array" ref="J68">INDEX(Sheet1!F:F,$G68)</f>
        <v>B8</v>
      </c>
      <c r="K68" s="4" cm="1">
        <f t="array" ref="K68">INDEX(Sheet1!H:H,$G68)</f>
        <v>1E-3</v>
      </c>
      <c r="L68" s="4">
        <f t="shared" si="4"/>
        <v>66</v>
      </c>
      <c r="M68" s="4">
        <f t="shared" ref="L68:M131" si="7">M$2</f>
        <v>5</v>
      </c>
    </row>
    <row r="69" spans="1:13">
      <c r="A69" s="4" t="str" cm="1">
        <f t="array" ref="A69">INDEX(Sheet1!A:A,$F69)</f>
        <v>M</v>
      </c>
      <c r="B69" s="4" t="str" cm="1">
        <f t="array" ref="B69">INDEX(Sheet1!B:B,$F69)</f>
        <v>Super-Pref NS</v>
      </c>
      <c r="C69" s="4">
        <f t="shared" si="5"/>
        <v>67</v>
      </c>
      <c r="D69" s="5" cm="1">
        <f t="array" aca="1" ref="D69" ca="1">OFFSET(INDIRECT("'["&amp;$H69&amp;"]"&amp;$I69&amp;"'!"&amp;$J69),$L69,$M69)*$K69</f>
        <v>9.1999999999999998E-3</v>
      </c>
      <c r="F69" s="4">
        <f t="shared" si="6"/>
        <v>2</v>
      </c>
      <c r="G69" s="4" cm="1">
        <f t="array" ref="G69">IF($C69+$M69&lt;16,INDEX(Sheet1!C:C,$F69),$F69)</f>
        <v>2</v>
      </c>
      <c r="H69" s="4" t="str" cm="1">
        <f t="array" ref="H69">INDEX(Sheet1!D:D,$G69)</f>
        <v>2001-cso-preferred-class-structure-mortality-tables.xls</v>
      </c>
      <c r="I69" s="4" t="str" cm="1">
        <f t="array" ref="I69">INDEX(Sheet1!E:E,$G69)</f>
        <v>A.1.a.i</v>
      </c>
      <c r="J69" s="4" t="str" cm="1">
        <f t="array" ref="J69">INDEX(Sheet1!F:F,$G69)</f>
        <v>B8</v>
      </c>
      <c r="K69" s="4" cm="1">
        <f t="array" ref="K69">INDEX(Sheet1!H:H,$G69)</f>
        <v>1E-3</v>
      </c>
      <c r="L69" s="4">
        <f t="shared" si="4"/>
        <v>67</v>
      </c>
      <c r="M69" s="4">
        <f t="shared" si="7"/>
        <v>5</v>
      </c>
    </row>
    <row r="70" spans="1:13">
      <c r="A70" s="4" t="str" cm="1">
        <f t="array" ref="A70">INDEX(Sheet1!A:A,$F70)</f>
        <v>M</v>
      </c>
      <c r="B70" s="4" t="str" cm="1">
        <f t="array" ref="B70">INDEX(Sheet1!B:B,$F70)</f>
        <v>Super-Pref NS</v>
      </c>
      <c r="C70" s="4">
        <f t="shared" si="5"/>
        <v>68</v>
      </c>
      <c r="D70" s="5" cm="1">
        <f t="array" aca="1" ref="D70" ca="1">OFFSET(INDIRECT("'["&amp;$H70&amp;"]"&amp;$I70&amp;"'!"&amp;$J70),$L70,$M70)*$K70</f>
        <v>1.0130000000000002E-2</v>
      </c>
      <c r="F70" s="4">
        <f t="shared" si="6"/>
        <v>2</v>
      </c>
      <c r="G70" s="4" cm="1">
        <f t="array" ref="G70">IF($C70+$M70&lt;16,INDEX(Sheet1!C:C,$F70),$F70)</f>
        <v>2</v>
      </c>
      <c r="H70" s="4" t="str" cm="1">
        <f t="array" ref="H70">INDEX(Sheet1!D:D,$G70)</f>
        <v>2001-cso-preferred-class-structure-mortality-tables.xls</v>
      </c>
      <c r="I70" s="4" t="str" cm="1">
        <f t="array" ref="I70">INDEX(Sheet1!E:E,$G70)</f>
        <v>A.1.a.i</v>
      </c>
      <c r="J70" s="4" t="str" cm="1">
        <f t="array" ref="J70">INDEX(Sheet1!F:F,$G70)</f>
        <v>B8</v>
      </c>
      <c r="K70" s="4" cm="1">
        <f t="array" ref="K70">INDEX(Sheet1!H:H,$G70)</f>
        <v>1E-3</v>
      </c>
      <c r="L70" s="4">
        <f t="shared" si="4"/>
        <v>68</v>
      </c>
      <c r="M70" s="4">
        <f t="shared" si="7"/>
        <v>5</v>
      </c>
    </row>
    <row r="71" spans="1:13">
      <c r="A71" s="4" t="str" cm="1">
        <f t="array" ref="A71">INDEX(Sheet1!A:A,$F71)</f>
        <v>M</v>
      </c>
      <c r="B71" s="4" t="str" cm="1">
        <f t="array" ref="B71">INDEX(Sheet1!B:B,$F71)</f>
        <v>Super-Pref NS</v>
      </c>
      <c r="C71" s="4">
        <f t="shared" si="5"/>
        <v>69</v>
      </c>
      <c r="D71" s="5" cm="1">
        <f t="array" aca="1" ref="D71" ca="1">OFFSET(INDIRECT("'["&amp;$H71&amp;"]"&amp;$I71&amp;"'!"&amp;$J71),$L71,$M71)*$K71</f>
        <v>1.1180000000000001E-2</v>
      </c>
      <c r="F71" s="4">
        <f t="shared" si="6"/>
        <v>2</v>
      </c>
      <c r="G71" s="4" cm="1">
        <f t="array" ref="G71">IF($C71+$M71&lt;16,INDEX(Sheet1!C:C,$F71),$F71)</f>
        <v>2</v>
      </c>
      <c r="H71" s="4" t="str" cm="1">
        <f t="array" ref="H71">INDEX(Sheet1!D:D,$G71)</f>
        <v>2001-cso-preferred-class-structure-mortality-tables.xls</v>
      </c>
      <c r="I71" s="4" t="str" cm="1">
        <f t="array" ref="I71">INDEX(Sheet1!E:E,$G71)</f>
        <v>A.1.a.i</v>
      </c>
      <c r="J71" s="4" t="str" cm="1">
        <f t="array" ref="J71">INDEX(Sheet1!F:F,$G71)</f>
        <v>B8</v>
      </c>
      <c r="K71" s="4" cm="1">
        <f t="array" ref="K71">INDEX(Sheet1!H:H,$G71)</f>
        <v>1E-3</v>
      </c>
      <c r="L71" s="4">
        <f t="shared" si="4"/>
        <v>69</v>
      </c>
      <c r="M71" s="4">
        <f t="shared" si="7"/>
        <v>5</v>
      </c>
    </row>
    <row r="72" spans="1:13">
      <c r="A72" s="4" t="str" cm="1">
        <f t="array" ref="A72">INDEX(Sheet1!A:A,$F72)</f>
        <v>M</v>
      </c>
      <c r="B72" s="4" t="str" cm="1">
        <f t="array" ref="B72">INDEX(Sheet1!B:B,$F72)</f>
        <v>Super-Pref NS</v>
      </c>
      <c r="C72" s="4">
        <f t="shared" si="5"/>
        <v>70</v>
      </c>
      <c r="D72" s="5" cm="1">
        <f t="array" aca="1" ref="D72" ca="1">OFFSET(INDIRECT("'["&amp;$H72&amp;"]"&amp;$I72&amp;"'!"&amp;$J72),$L72,$M72)*$K72</f>
        <v>1.2320000000000001E-2</v>
      </c>
      <c r="F72" s="4">
        <f t="shared" si="6"/>
        <v>2</v>
      </c>
      <c r="G72" s="4" cm="1">
        <f t="array" ref="G72">IF($C72+$M72&lt;16,INDEX(Sheet1!C:C,$F72),$F72)</f>
        <v>2</v>
      </c>
      <c r="H72" s="4" t="str" cm="1">
        <f t="array" ref="H72">INDEX(Sheet1!D:D,$G72)</f>
        <v>2001-cso-preferred-class-structure-mortality-tables.xls</v>
      </c>
      <c r="I72" s="4" t="str" cm="1">
        <f t="array" ref="I72">INDEX(Sheet1!E:E,$G72)</f>
        <v>A.1.a.i</v>
      </c>
      <c r="J72" s="4" t="str" cm="1">
        <f t="array" ref="J72">INDEX(Sheet1!F:F,$G72)</f>
        <v>B8</v>
      </c>
      <c r="K72" s="4" cm="1">
        <f t="array" ref="K72">INDEX(Sheet1!H:H,$G72)</f>
        <v>1E-3</v>
      </c>
      <c r="L72" s="4">
        <f t="shared" si="4"/>
        <v>70</v>
      </c>
      <c r="M72" s="4">
        <f t="shared" si="7"/>
        <v>5</v>
      </c>
    </row>
    <row r="73" spans="1:13">
      <c r="A73" s="4" t="str" cm="1">
        <f t="array" ref="A73">INDEX(Sheet1!A:A,$F73)</f>
        <v>M</v>
      </c>
      <c r="B73" s="4" t="str" cm="1">
        <f t="array" ref="B73">INDEX(Sheet1!B:B,$F73)</f>
        <v>Super-Pref NS</v>
      </c>
      <c r="C73" s="4">
        <f t="shared" si="5"/>
        <v>71</v>
      </c>
      <c r="D73" s="5" cm="1">
        <f t="array" aca="1" ref="D73" ca="1">OFFSET(INDIRECT("'["&amp;$H73&amp;"]"&amp;$I73&amp;"'!"&amp;$J73),$L73,$M73)*$K73</f>
        <v>1.332E-2</v>
      </c>
      <c r="F73" s="4">
        <f t="shared" si="6"/>
        <v>2</v>
      </c>
      <c r="G73" s="4" cm="1">
        <f t="array" ref="G73">IF($C73+$M73&lt;16,INDEX(Sheet1!C:C,$F73),$F73)</f>
        <v>2</v>
      </c>
      <c r="H73" s="4" t="str" cm="1">
        <f t="array" ref="H73">INDEX(Sheet1!D:D,$G73)</f>
        <v>2001-cso-preferred-class-structure-mortality-tables.xls</v>
      </c>
      <c r="I73" s="4" t="str" cm="1">
        <f t="array" ref="I73">INDEX(Sheet1!E:E,$G73)</f>
        <v>A.1.a.i</v>
      </c>
      <c r="J73" s="4" t="str" cm="1">
        <f t="array" ref="J73">INDEX(Sheet1!F:F,$G73)</f>
        <v>B8</v>
      </c>
      <c r="K73" s="4" cm="1">
        <f t="array" ref="K73">INDEX(Sheet1!H:H,$G73)</f>
        <v>1E-3</v>
      </c>
      <c r="L73" s="4">
        <f t="shared" si="4"/>
        <v>71</v>
      </c>
      <c r="M73" s="4">
        <f t="shared" si="7"/>
        <v>5</v>
      </c>
    </row>
    <row r="74" spans="1:13">
      <c r="A74" s="4" t="str" cm="1">
        <f t="array" ref="A74">INDEX(Sheet1!A:A,$F74)</f>
        <v>M</v>
      </c>
      <c r="B74" s="4" t="str" cm="1">
        <f t="array" ref="B74">INDEX(Sheet1!B:B,$F74)</f>
        <v>Super-Pref NS</v>
      </c>
      <c r="C74" s="4">
        <f t="shared" si="5"/>
        <v>72</v>
      </c>
      <c r="D74" s="5" cm="1">
        <f t="array" aca="1" ref="D74" ca="1">OFFSET(INDIRECT("'["&amp;$H74&amp;"]"&amp;$I74&amp;"'!"&amp;$J74),$L74,$M74)*$K74</f>
        <v>1.418E-2</v>
      </c>
      <c r="F74" s="4">
        <f t="shared" si="6"/>
        <v>2</v>
      </c>
      <c r="G74" s="4" cm="1">
        <f t="array" ref="G74">IF($C74+$M74&lt;16,INDEX(Sheet1!C:C,$F74),$F74)</f>
        <v>2</v>
      </c>
      <c r="H74" s="4" t="str" cm="1">
        <f t="array" ref="H74">INDEX(Sheet1!D:D,$G74)</f>
        <v>2001-cso-preferred-class-structure-mortality-tables.xls</v>
      </c>
      <c r="I74" s="4" t="str" cm="1">
        <f t="array" ref="I74">INDEX(Sheet1!E:E,$G74)</f>
        <v>A.1.a.i</v>
      </c>
      <c r="J74" s="4" t="str" cm="1">
        <f t="array" ref="J74">INDEX(Sheet1!F:F,$G74)</f>
        <v>B8</v>
      </c>
      <c r="K74" s="4" cm="1">
        <f t="array" ref="K74">INDEX(Sheet1!H:H,$G74)</f>
        <v>1E-3</v>
      </c>
      <c r="L74" s="4">
        <f t="shared" si="4"/>
        <v>72</v>
      </c>
      <c r="M74" s="4">
        <f t="shared" si="7"/>
        <v>5</v>
      </c>
    </row>
    <row r="75" spans="1:13">
      <c r="A75" s="4" t="str" cm="1">
        <f t="array" ref="A75">INDEX(Sheet1!A:A,$F75)</f>
        <v>M</v>
      </c>
      <c r="B75" s="4" t="str" cm="1">
        <f t="array" ref="B75">INDEX(Sheet1!B:B,$F75)</f>
        <v>Super-Pref NS</v>
      </c>
      <c r="C75" s="4">
        <f t="shared" si="5"/>
        <v>73</v>
      </c>
      <c r="D75" s="5" cm="1">
        <f t="array" aca="1" ref="D75" ca="1">OFFSET(INDIRECT("'["&amp;$H75&amp;"]"&amp;$I75&amp;"'!"&amp;$J75),$L75,$M75)*$K75</f>
        <v>1.512E-2</v>
      </c>
      <c r="F75" s="4">
        <f t="shared" si="6"/>
        <v>2</v>
      </c>
      <c r="G75" s="4" cm="1">
        <f t="array" ref="G75">IF($C75+$M75&lt;16,INDEX(Sheet1!C:C,$F75),$F75)</f>
        <v>2</v>
      </c>
      <c r="H75" s="4" t="str" cm="1">
        <f t="array" ref="H75">INDEX(Sheet1!D:D,$G75)</f>
        <v>2001-cso-preferred-class-structure-mortality-tables.xls</v>
      </c>
      <c r="I75" s="4" t="str" cm="1">
        <f t="array" ref="I75">INDEX(Sheet1!E:E,$G75)</f>
        <v>A.1.a.i</v>
      </c>
      <c r="J75" s="4" t="str" cm="1">
        <f t="array" ref="J75">INDEX(Sheet1!F:F,$G75)</f>
        <v>B8</v>
      </c>
      <c r="K75" s="4" cm="1">
        <f t="array" ref="K75">INDEX(Sheet1!H:H,$G75)</f>
        <v>1E-3</v>
      </c>
      <c r="L75" s="4">
        <f t="shared" si="4"/>
        <v>73</v>
      </c>
      <c r="M75" s="4">
        <f t="shared" si="7"/>
        <v>5</v>
      </c>
    </row>
    <row r="76" spans="1:13">
      <c r="A76" s="4" t="str" cm="1">
        <f t="array" ref="A76">INDEX(Sheet1!A:A,$F76)</f>
        <v>M</v>
      </c>
      <c r="B76" s="4" t="str" cm="1">
        <f t="array" ref="B76">INDEX(Sheet1!B:B,$F76)</f>
        <v>Super-Pref NS</v>
      </c>
      <c r="C76" s="4">
        <f t="shared" si="5"/>
        <v>74</v>
      </c>
      <c r="D76" s="5" cm="1">
        <f t="array" aca="1" ref="D76" ca="1">OFFSET(INDIRECT("'["&amp;$H76&amp;"]"&amp;$I76&amp;"'!"&amp;$J76),$L76,$M76)*$K76</f>
        <v>1.6449999999999999E-2</v>
      </c>
      <c r="F76" s="4">
        <f t="shared" si="6"/>
        <v>2</v>
      </c>
      <c r="G76" s="4" cm="1">
        <f t="array" ref="G76">IF($C76+$M76&lt;16,INDEX(Sheet1!C:C,$F76),$F76)</f>
        <v>2</v>
      </c>
      <c r="H76" s="4" t="str" cm="1">
        <f t="array" ref="H76">INDEX(Sheet1!D:D,$G76)</f>
        <v>2001-cso-preferred-class-structure-mortality-tables.xls</v>
      </c>
      <c r="I76" s="4" t="str" cm="1">
        <f t="array" ref="I76">INDEX(Sheet1!E:E,$G76)</f>
        <v>A.1.a.i</v>
      </c>
      <c r="J76" s="4" t="str" cm="1">
        <f t="array" ref="J76">INDEX(Sheet1!F:F,$G76)</f>
        <v>B8</v>
      </c>
      <c r="K76" s="4" cm="1">
        <f t="array" ref="K76">INDEX(Sheet1!H:H,$G76)</f>
        <v>1E-3</v>
      </c>
      <c r="L76" s="4">
        <f t="shared" si="4"/>
        <v>74</v>
      </c>
      <c r="M76" s="4">
        <f t="shared" si="7"/>
        <v>5</v>
      </c>
    </row>
    <row r="77" spans="1:13">
      <c r="A77" s="4" t="str" cm="1">
        <f t="array" ref="A77">INDEX(Sheet1!A:A,$F77)</f>
        <v>M</v>
      </c>
      <c r="B77" s="4" t="str" cm="1">
        <f t="array" ref="B77">INDEX(Sheet1!B:B,$F77)</f>
        <v>Super-Pref NS</v>
      </c>
      <c r="C77" s="4">
        <f t="shared" si="5"/>
        <v>75</v>
      </c>
      <c r="D77" s="5" cm="1">
        <f t="array" aca="1" ref="D77" ca="1">OFFSET(INDIRECT("'["&amp;$H77&amp;"]"&amp;$I77&amp;"'!"&amp;$J77),$L77,$M77)*$K77</f>
        <v>1.8780000000000002E-2</v>
      </c>
      <c r="F77" s="4">
        <f t="shared" si="6"/>
        <v>2</v>
      </c>
      <c r="G77" s="4" cm="1">
        <f t="array" ref="G77">IF($C77+$M77&lt;16,INDEX(Sheet1!C:C,$F77),$F77)</f>
        <v>2</v>
      </c>
      <c r="H77" s="4" t="str" cm="1">
        <f t="array" ref="H77">INDEX(Sheet1!D:D,$G77)</f>
        <v>2001-cso-preferred-class-structure-mortality-tables.xls</v>
      </c>
      <c r="I77" s="4" t="str" cm="1">
        <f t="array" ref="I77">INDEX(Sheet1!E:E,$G77)</f>
        <v>A.1.a.i</v>
      </c>
      <c r="J77" s="4" t="str" cm="1">
        <f t="array" ref="J77">INDEX(Sheet1!F:F,$G77)</f>
        <v>B8</v>
      </c>
      <c r="K77" s="4" cm="1">
        <f t="array" ref="K77">INDEX(Sheet1!H:H,$G77)</f>
        <v>1E-3</v>
      </c>
      <c r="L77" s="4">
        <f t="shared" si="4"/>
        <v>75</v>
      </c>
      <c r="M77" s="4">
        <f t="shared" si="7"/>
        <v>5</v>
      </c>
    </row>
    <row r="78" spans="1:13">
      <c r="A78" s="4" t="str" cm="1">
        <f t="array" ref="A78">INDEX(Sheet1!A:A,$F78)</f>
        <v>M</v>
      </c>
      <c r="B78" s="4" t="str" cm="1">
        <f t="array" ref="B78">INDEX(Sheet1!B:B,$F78)</f>
        <v>Super-Pref NS</v>
      </c>
      <c r="C78" s="4">
        <f t="shared" si="5"/>
        <v>76</v>
      </c>
      <c r="D78" s="5" cm="1">
        <f t="array" aca="1" ref="D78" ca="1">OFFSET(INDIRECT("'["&amp;$H78&amp;"]"&amp;$I78&amp;"'!"&amp;$J78),$L78,$M78)*$K78</f>
        <v>2.0660000000000001E-2</v>
      </c>
      <c r="F78" s="4">
        <f t="shared" si="6"/>
        <v>2</v>
      </c>
      <c r="G78" s="4" cm="1">
        <f t="array" ref="G78">IF($C78+$M78&lt;16,INDEX(Sheet1!C:C,$F78),$F78)</f>
        <v>2</v>
      </c>
      <c r="H78" s="4" t="str" cm="1">
        <f t="array" ref="H78">INDEX(Sheet1!D:D,$G78)</f>
        <v>2001-cso-preferred-class-structure-mortality-tables.xls</v>
      </c>
      <c r="I78" s="4" t="str" cm="1">
        <f t="array" ref="I78">INDEX(Sheet1!E:E,$G78)</f>
        <v>A.1.a.i</v>
      </c>
      <c r="J78" s="4" t="str" cm="1">
        <f t="array" ref="J78">INDEX(Sheet1!F:F,$G78)</f>
        <v>B8</v>
      </c>
      <c r="K78" s="4" cm="1">
        <f t="array" ref="K78">INDEX(Sheet1!H:H,$G78)</f>
        <v>1E-3</v>
      </c>
      <c r="L78" s="4">
        <f t="shared" si="4"/>
        <v>76</v>
      </c>
      <c r="M78" s="4">
        <f t="shared" si="7"/>
        <v>5</v>
      </c>
    </row>
    <row r="79" spans="1:13">
      <c r="A79" s="4" t="str" cm="1">
        <f t="array" ref="A79">INDEX(Sheet1!A:A,$F79)</f>
        <v>M</v>
      </c>
      <c r="B79" s="4" t="str" cm="1">
        <f t="array" ref="B79">INDEX(Sheet1!B:B,$F79)</f>
        <v>Super-Pref NS</v>
      </c>
      <c r="C79" s="4">
        <f t="shared" si="5"/>
        <v>77</v>
      </c>
      <c r="D79" s="5" cm="1">
        <f t="array" aca="1" ref="D79" ca="1">OFFSET(INDIRECT("'["&amp;$H79&amp;"]"&amp;$I79&amp;"'!"&amp;$J79),$L79,$M79)*$K79</f>
        <v>2.2940000000000002E-2</v>
      </c>
      <c r="F79" s="4">
        <f t="shared" si="6"/>
        <v>2</v>
      </c>
      <c r="G79" s="4" cm="1">
        <f t="array" ref="G79">IF($C79+$M79&lt;16,INDEX(Sheet1!C:C,$F79),$F79)</f>
        <v>2</v>
      </c>
      <c r="H79" s="4" t="str" cm="1">
        <f t="array" ref="H79">INDEX(Sheet1!D:D,$G79)</f>
        <v>2001-cso-preferred-class-structure-mortality-tables.xls</v>
      </c>
      <c r="I79" s="4" t="str" cm="1">
        <f t="array" ref="I79">INDEX(Sheet1!E:E,$G79)</f>
        <v>A.1.a.i</v>
      </c>
      <c r="J79" s="4" t="str" cm="1">
        <f t="array" ref="J79">INDEX(Sheet1!F:F,$G79)</f>
        <v>B8</v>
      </c>
      <c r="K79" s="4" cm="1">
        <f t="array" ref="K79">INDEX(Sheet1!H:H,$G79)</f>
        <v>1E-3</v>
      </c>
      <c r="L79" s="4">
        <f t="shared" si="4"/>
        <v>77</v>
      </c>
      <c r="M79" s="4">
        <f t="shared" si="7"/>
        <v>5</v>
      </c>
    </row>
    <row r="80" spans="1:13">
      <c r="A80" s="4" t="str" cm="1">
        <f t="array" ref="A80">INDEX(Sheet1!A:A,$F80)</f>
        <v>M</v>
      </c>
      <c r="B80" s="4" t="str" cm="1">
        <f t="array" ref="B80">INDEX(Sheet1!B:B,$F80)</f>
        <v>Super-Pref NS</v>
      </c>
      <c r="C80" s="4">
        <f t="shared" si="5"/>
        <v>78</v>
      </c>
      <c r="D80" s="5" cm="1">
        <f t="array" aca="1" ref="D80" ca="1">OFFSET(INDIRECT("'["&amp;$H80&amp;"]"&amp;$I80&amp;"'!"&amp;$J80),$L80,$M80)*$K80</f>
        <v>2.665E-2</v>
      </c>
      <c r="F80" s="4">
        <f t="shared" si="6"/>
        <v>2</v>
      </c>
      <c r="G80" s="4" cm="1">
        <f t="array" ref="G80">IF($C80+$M80&lt;16,INDEX(Sheet1!C:C,$F80),$F80)</f>
        <v>2</v>
      </c>
      <c r="H80" s="4" t="str" cm="1">
        <f t="array" ref="H80">INDEX(Sheet1!D:D,$G80)</f>
        <v>2001-cso-preferred-class-structure-mortality-tables.xls</v>
      </c>
      <c r="I80" s="4" t="str" cm="1">
        <f t="array" ref="I80">INDEX(Sheet1!E:E,$G80)</f>
        <v>A.1.a.i</v>
      </c>
      <c r="J80" s="4" t="str" cm="1">
        <f t="array" ref="J80">INDEX(Sheet1!F:F,$G80)</f>
        <v>B8</v>
      </c>
      <c r="K80" s="4" cm="1">
        <f t="array" ref="K80">INDEX(Sheet1!H:H,$G80)</f>
        <v>1E-3</v>
      </c>
      <c r="L80" s="4">
        <f t="shared" si="4"/>
        <v>78</v>
      </c>
      <c r="M80" s="4">
        <f t="shared" si="7"/>
        <v>5</v>
      </c>
    </row>
    <row r="81" spans="1:13">
      <c r="A81" s="4" t="str" cm="1">
        <f t="array" ref="A81">INDEX(Sheet1!A:A,$F81)</f>
        <v>M</v>
      </c>
      <c r="B81" s="4" t="str" cm="1">
        <f t="array" ref="B81">INDEX(Sheet1!B:B,$F81)</f>
        <v>Super-Pref NS</v>
      </c>
      <c r="C81" s="4">
        <f t="shared" si="5"/>
        <v>79</v>
      </c>
      <c r="D81" s="5" cm="1">
        <f t="array" aca="1" ref="D81" ca="1">OFFSET(INDIRECT("'["&amp;$H81&amp;"]"&amp;$I81&amp;"'!"&amp;$J81),$L81,$M81)*$K81</f>
        <v>3.2000000000000001E-2</v>
      </c>
      <c r="F81" s="4">
        <f t="shared" si="6"/>
        <v>2</v>
      </c>
      <c r="G81" s="4" cm="1">
        <f t="array" ref="G81">IF($C81+$M81&lt;16,INDEX(Sheet1!C:C,$F81),$F81)</f>
        <v>2</v>
      </c>
      <c r="H81" s="4" t="str" cm="1">
        <f t="array" ref="H81">INDEX(Sheet1!D:D,$G81)</f>
        <v>2001-cso-preferred-class-structure-mortality-tables.xls</v>
      </c>
      <c r="I81" s="4" t="str" cm="1">
        <f t="array" ref="I81">INDEX(Sheet1!E:E,$G81)</f>
        <v>A.1.a.i</v>
      </c>
      <c r="J81" s="4" t="str" cm="1">
        <f t="array" ref="J81">INDEX(Sheet1!F:F,$G81)</f>
        <v>B8</v>
      </c>
      <c r="K81" s="4" cm="1">
        <f t="array" ref="K81">INDEX(Sheet1!H:H,$G81)</f>
        <v>1E-3</v>
      </c>
      <c r="L81" s="4">
        <f t="shared" si="4"/>
        <v>79</v>
      </c>
      <c r="M81" s="4">
        <f t="shared" si="7"/>
        <v>5</v>
      </c>
    </row>
    <row r="82" spans="1:13">
      <c r="A82" s="4" t="str" cm="1">
        <f t="array" ref="A82">INDEX(Sheet1!A:A,$F82)</f>
        <v>M</v>
      </c>
      <c r="B82" s="4" t="str" cm="1">
        <f t="array" ref="B82">INDEX(Sheet1!B:B,$F82)</f>
        <v>Super-Pref NS</v>
      </c>
      <c r="C82" s="4">
        <f t="shared" si="5"/>
        <v>80</v>
      </c>
      <c r="D82" s="5" cm="1">
        <f t="array" aca="1" ref="D82" ca="1">OFFSET(INDIRECT("'["&amp;$H82&amp;"]"&amp;$I82&amp;"'!"&amp;$J82),$L82,$M82)*$K82</f>
        <v>3.703E-2</v>
      </c>
      <c r="F82" s="4">
        <f t="shared" si="6"/>
        <v>2</v>
      </c>
      <c r="G82" s="4" cm="1">
        <f t="array" ref="G82">IF($C82+$M82&lt;16,INDEX(Sheet1!C:C,$F82),$F82)</f>
        <v>2</v>
      </c>
      <c r="H82" s="4" t="str" cm="1">
        <f t="array" ref="H82">INDEX(Sheet1!D:D,$G82)</f>
        <v>2001-cso-preferred-class-structure-mortality-tables.xls</v>
      </c>
      <c r="I82" s="4" t="str" cm="1">
        <f t="array" ref="I82">INDEX(Sheet1!E:E,$G82)</f>
        <v>A.1.a.i</v>
      </c>
      <c r="J82" s="4" t="str" cm="1">
        <f t="array" ref="J82">INDEX(Sheet1!F:F,$G82)</f>
        <v>B8</v>
      </c>
      <c r="K82" s="4" cm="1">
        <f t="array" ref="K82">INDEX(Sheet1!H:H,$G82)</f>
        <v>1E-3</v>
      </c>
      <c r="L82" s="4">
        <f t="shared" si="4"/>
        <v>80</v>
      </c>
      <c r="M82" s="4">
        <f t="shared" si="7"/>
        <v>5</v>
      </c>
    </row>
    <row r="83" spans="1:13">
      <c r="A83" s="4" t="str" cm="1">
        <f t="array" ref="A83">INDEX(Sheet1!A:A,$F83)</f>
        <v>M</v>
      </c>
      <c r="B83" s="4" t="str" cm="1">
        <f t="array" ref="B83">INDEX(Sheet1!B:B,$F83)</f>
        <v>Super-Pref NS</v>
      </c>
      <c r="C83" s="4">
        <f t="shared" si="5"/>
        <v>81</v>
      </c>
      <c r="D83" s="5" cm="1">
        <f t="array" aca="1" ref="D83" ca="1">OFFSET(INDIRECT("'["&amp;$H83&amp;"]"&amp;$I83&amp;"'!"&amp;$J83),$L83,$M83)*$K83</f>
        <v>4.6270000000000006E-2</v>
      </c>
      <c r="F83" s="4">
        <f t="shared" si="6"/>
        <v>2</v>
      </c>
      <c r="G83" s="4" cm="1">
        <f t="array" ref="G83">IF($C83+$M83&lt;16,INDEX(Sheet1!C:C,$F83),$F83)</f>
        <v>2</v>
      </c>
      <c r="H83" s="4" t="str" cm="1">
        <f t="array" ref="H83">INDEX(Sheet1!D:D,$G83)</f>
        <v>2001-cso-preferred-class-structure-mortality-tables.xls</v>
      </c>
      <c r="I83" s="4" t="str" cm="1">
        <f t="array" ref="I83">INDEX(Sheet1!E:E,$G83)</f>
        <v>A.1.a.i</v>
      </c>
      <c r="J83" s="4" t="str" cm="1">
        <f t="array" ref="J83">INDEX(Sheet1!F:F,$G83)</f>
        <v>B8</v>
      </c>
      <c r="K83" s="4" cm="1">
        <f t="array" ref="K83">INDEX(Sheet1!H:H,$G83)</f>
        <v>1E-3</v>
      </c>
      <c r="L83" s="4">
        <f t="shared" si="4"/>
        <v>81</v>
      </c>
      <c r="M83" s="4">
        <f t="shared" si="7"/>
        <v>5</v>
      </c>
    </row>
    <row r="84" spans="1:13">
      <c r="A84" s="4" t="str" cm="1">
        <f t="array" ref="A84">INDEX(Sheet1!A:A,$F84)</f>
        <v>M</v>
      </c>
      <c r="B84" s="4" t="str" cm="1">
        <f t="array" ref="B84">INDEX(Sheet1!B:B,$F84)</f>
        <v>Super-Pref NS</v>
      </c>
      <c r="C84" s="4">
        <f t="shared" si="5"/>
        <v>82</v>
      </c>
      <c r="D84" s="5" cm="1">
        <f t="array" aca="1" ref="D84" ca="1">OFFSET(INDIRECT("'["&amp;$H84&amp;"]"&amp;$I84&amp;"'!"&amp;$J84),$L84,$M84)*$K84</f>
        <v>5.287E-2</v>
      </c>
      <c r="F84" s="4">
        <f t="shared" si="6"/>
        <v>2</v>
      </c>
      <c r="G84" s="4" cm="1">
        <f t="array" ref="G84">IF($C84+$M84&lt;16,INDEX(Sheet1!C:C,$F84),$F84)</f>
        <v>2</v>
      </c>
      <c r="H84" s="4" t="str" cm="1">
        <f t="array" ref="H84">INDEX(Sheet1!D:D,$G84)</f>
        <v>2001-cso-preferred-class-structure-mortality-tables.xls</v>
      </c>
      <c r="I84" s="4" t="str" cm="1">
        <f t="array" ref="I84">INDEX(Sheet1!E:E,$G84)</f>
        <v>A.1.a.i</v>
      </c>
      <c r="J84" s="4" t="str" cm="1">
        <f t="array" ref="J84">INDEX(Sheet1!F:F,$G84)</f>
        <v>B8</v>
      </c>
      <c r="K84" s="4" cm="1">
        <f t="array" ref="K84">INDEX(Sheet1!H:H,$G84)</f>
        <v>1E-3</v>
      </c>
      <c r="L84" s="4">
        <f t="shared" si="4"/>
        <v>82</v>
      </c>
      <c r="M84" s="4">
        <f t="shared" si="7"/>
        <v>5</v>
      </c>
    </row>
    <row r="85" spans="1:13">
      <c r="A85" s="4" t="str" cm="1">
        <f t="array" ref="A85">INDEX(Sheet1!A:A,$F85)</f>
        <v>M</v>
      </c>
      <c r="B85" s="4" t="str" cm="1">
        <f t="array" ref="B85">INDEX(Sheet1!B:B,$F85)</f>
        <v>Super-Pref NS</v>
      </c>
      <c r="C85" s="4">
        <f t="shared" si="5"/>
        <v>83</v>
      </c>
      <c r="D85" s="5" cm="1">
        <f t="array" aca="1" ref="D85" ca="1">OFFSET(INDIRECT("'["&amp;$H85&amp;"]"&amp;$I85&amp;"'!"&amp;$J85),$L85,$M85)*$K85</f>
        <v>6.3960000000000003E-2</v>
      </c>
      <c r="F85" s="4">
        <f t="shared" si="6"/>
        <v>2</v>
      </c>
      <c r="G85" s="4" cm="1">
        <f t="array" ref="G85">IF($C85+$M85&lt;16,INDEX(Sheet1!C:C,$F85),$F85)</f>
        <v>2</v>
      </c>
      <c r="H85" s="4" t="str" cm="1">
        <f t="array" ref="H85">INDEX(Sheet1!D:D,$G85)</f>
        <v>2001-cso-preferred-class-structure-mortality-tables.xls</v>
      </c>
      <c r="I85" s="4" t="str" cm="1">
        <f t="array" ref="I85">INDEX(Sheet1!E:E,$G85)</f>
        <v>A.1.a.i</v>
      </c>
      <c r="J85" s="4" t="str" cm="1">
        <f t="array" ref="J85">INDEX(Sheet1!F:F,$G85)</f>
        <v>B8</v>
      </c>
      <c r="K85" s="4" cm="1">
        <f t="array" ref="K85">INDEX(Sheet1!H:H,$G85)</f>
        <v>1E-3</v>
      </c>
      <c r="L85" s="4">
        <f t="shared" si="4"/>
        <v>83</v>
      </c>
      <c r="M85" s="4">
        <f t="shared" si="7"/>
        <v>5</v>
      </c>
    </row>
    <row r="86" spans="1:13">
      <c r="A86" s="4" t="str" cm="1">
        <f t="array" ref="A86">INDEX(Sheet1!A:A,$F86)</f>
        <v>M</v>
      </c>
      <c r="B86" s="4" t="str" cm="1">
        <f t="array" ref="B86">INDEX(Sheet1!B:B,$F86)</f>
        <v>Super-Pref NS</v>
      </c>
      <c r="C86" s="4">
        <f t="shared" si="5"/>
        <v>84</v>
      </c>
      <c r="D86" s="5" cm="1">
        <f t="array" aca="1" ref="D86" ca="1">OFFSET(INDIRECT("'["&amp;$H86&amp;"]"&amp;$I86&amp;"'!"&amp;$J86),$L86,$M86)*$K86</f>
        <v>7.7600000000000002E-2</v>
      </c>
      <c r="F86" s="4">
        <f t="shared" si="6"/>
        <v>2</v>
      </c>
      <c r="G86" s="4" cm="1">
        <f t="array" ref="G86">IF($C86+$M86&lt;16,INDEX(Sheet1!C:C,$F86),$F86)</f>
        <v>2</v>
      </c>
      <c r="H86" s="4" t="str" cm="1">
        <f t="array" ref="H86">INDEX(Sheet1!D:D,$G86)</f>
        <v>2001-cso-preferred-class-structure-mortality-tables.xls</v>
      </c>
      <c r="I86" s="4" t="str" cm="1">
        <f t="array" ref="I86">INDEX(Sheet1!E:E,$G86)</f>
        <v>A.1.a.i</v>
      </c>
      <c r="J86" s="4" t="str" cm="1">
        <f t="array" ref="J86">INDEX(Sheet1!F:F,$G86)</f>
        <v>B8</v>
      </c>
      <c r="K86" s="4" cm="1">
        <f t="array" ref="K86">INDEX(Sheet1!H:H,$G86)</f>
        <v>1E-3</v>
      </c>
      <c r="L86" s="4">
        <f t="shared" si="4"/>
        <v>84</v>
      </c>
      <c r="M86" s="4">
        <f t="shared" si="7"/>
        <v>5</v>
      </c>
    </row>
    <row r="87" spans="1:13">
      <c r="A87" s="4" t="str" cm="1">
        <f t="array" ref="A87">INDEX(Sheet1!A:A,$F87)</f>
        <v>M</v>
      </c>
      <c r="B87" s="4" t="str" cm="1">
        <f t="array" ref="B87">INDEX(Sheet1!B:B,$F87)</f>
        <v>Super-Pref NS</v>
      </c>
      <c r="C87" s="4">
        <f t="shared" si="5"/>
        <v>85</v>
      </c>
      <c r="D87" s="5" cm="1">
        <f t="array" aca="1" ref="D87" ca="1">OFFSET(INDIRECT("'["&amp;$H87&amp;"]"&amp;$I87&amp;"'!"&amp;$J87),$L87,$M87)*$K87</f>
        <v>8.9300000000000004E-2</v>
      </c>
      <c r="F87" s="4">
        <f t="shared" si="6"/>
        <v>2</v>
      </c>
      <c r="G87" s="4" cm="1">
        <f t="array" ref="G87">IF($C87+$M87&lt;16,INDEX(Sheet1!C:C,$F87),$F87)</f>
        <v>2</v>
      </c>
      <c r="H87" s="4" t="str" cm="1">
        <f t="array" ref="H87">INDEX(Sheet1!D:D,$G87)</f>
        <v>2001-cso-preferred-class-structure-mortality-tables.xls</v>
      </c>
      <c r="I87" s="4" t="str" cm="1">
        <f t="array" ref="I87">INDEX(Sheet1!E:E,$G87)</f>
        <v>A.1.a.i</v>
      </c>
      <c r="J87" s="4" t="str" cm="1">
        <f t="array" ref="J87">INDEX(Sheet1!F:F,$G87)</f>
        <v>B8</v>
      </c>
      <c r="K87" s="4" cm="1">
        <f t="array" ref="K87">INDEX(Sheet1!H:H,$G87)</f>
        <v>1E-3</v>
      </c>
      <c r="L87" s="4">
        <f t="shared" si="4"/>
        <v>85</v>
      </c>
      <c r="M87" s="4">
        <f t="shared" si="7"/>
        <v>5</v>
      </c>
    </row>
    <row r="88" spans="1:13">
      <c r="A88" s="4" t="str" cm="1">
        <f t="array" ref="A88">INDEX(Sheet1!A:A,$F88)</f>
        <v>M</v>
      </c>
      <c r="B88" s="4" t="str" cm="1">
        <f t="array" ref="B88">INDEX(Sheet1!B:B,$F88)</f>
        <v>Super-Pref NS</v>
      </c>
      <c r="C88" s="4">
        <f t="shared" si="5"/>
        <v>86</v>
      </c>
      <c r="D88" s="5" cm="1">
        <f t="array" aca="1" ref="D88" ca="1">OFFSET(INDIRECT("'["&amp;$H88&amp;"]"&amp;$I88&amp;"'!"&amp;$J88),$L88,$M88)*$K88</f>
        <v>0.12194000000000001</v>
      </c>
      <c r="F88" s="4">
        <f t="shared" si="6"/>
        <v>2</v>
      </c>
      <c r="G88" s="4" cm="1">
        <f t="array" ref="G88">IF($C88+$M88&lt;16,INDEX(Sheet1!C:C,$F88),$F88)</f>
        <v>2</v>
      </c>
      <c r="H88" s="4" t="str" cm="1">
        <f t="array" ref="H88">INDEX(Sheet1!D:D,$G88)</f>
        <v>2001-cso-preferred-class-structure-mortality-tables.xls</v>
      </c>
      <c r="I88" s="4" t="str" cm="1">
        <f t="array" ref="I88">INDEX(Sheet1!E:E,$G88)</f>
        <v>A.1.a.i</v>
      </c>
      <c r="J88" s="4" t="str" cm="1">
        <f t="array" ref="J88">INDEX(Sheet1!F:F,$G88)</f>
        <v>B8</v>
      </c>
      <c r="K88" s="4" cm="1">
        <f t="array" ref="K88">INDEX(Sheet1!H:H,$G88)</f>
        <v>1E-3</v>
      </c>
      <c r="L88" s="4">
        <f t="shared" si="4"/>
        <v>86</v>
      </c>
      <c r="M88" s="4">
        <f t="shared" si="7"/>
        <v>5</v>
      </c>
    </row>
    <row r="89" spans="1:13">
      <c r="A89" s="4" t="str" cm="1">
        <f t="array" ref="A89">INDEX(Sheet1!A:A,$F89)</f>
        <v>M</v>
      </c>
      <c r="B89" s="4" t="str" cm="1">
        <f t="array" ref="B89">INDEX(Sheet1!B:B,$F89)</f>
        <v>Super-Pref NS</v>
      </c>
      <c r="C89" s="4">
        <f t="shared" si="5"/>
        <v>87</v>
      </c>
      <c r="D89" s="5" cm="1">
        <f t="array" aca="1" ref="D89" ca="1">OFFSET(INDIRECT("'["&amp;$H89&amp;"]"&amp;$I89&amp;"'!"&amp;$J89),$L89,$M89)*$K89</f>
        <v>0.15592</v>
      </c>
      <c r="F89" s="4">
        <f t="shared" si="6"/>
        <v>2</v>
      </c>
      <c r="G89" s="4" cm="1">
        <f t="array" ref="G89">IF($C89+$M89&lt;16,INDEX(Sheet1!C:C,$F89),$F89)</f>
        <v>2</v>
      </c>
      <c r="H89" s="4" t="str" cm="1">
        <f t="array" ref="H89">INDEX(Sheet1!D:D,$G89)</f>
        <v>2001-cso-preferred-class-structure-mortality-tables.xls</v>
      </c>
      <c r="I89" s="4" t="str" cm="1">
        <f t="array" ref="I89">INDEX(Sheet1!E:E,$G89)</f>
        <v>A.1.a.i</v>
      </c>
      <c r="J89" s="4" t="str" cm="1">
        <f t="array" ref="J89">INDEX(Sheet1!F:F,$G89)</f>
        <v>B8</v>
      </c>
      <c r="K89" s="4" cm="1">
        <f t="array" ref="K89">INDEX(Sheet1!H:H,$G89)</f>
        <v>1E-3</v>
      </c>
      <c r="L89" s="4">
        <f t="shared" si="4"/>
        <v>87</v>
      </c>
      <c r="M89" s="4">
        <f t="shared" si="7"/>
        <v>5</v>
      </c>
    </row>
    <row r="90" spans="1:13">
      <c r="A90" s="4" t="str" cm="1">
        <f t="array" ref="A90">INDEX(Sheet1!A:A,$F90)</f>
        <v>M</v>
      </c>
      <c r="B90" s="4" t="str" cm="1">
        <f t="array" ref="B90">INDEX(Sheet1!B:B,$F90)</f>
        <v>Super-Pref NS</v>
      </c>
      <c r="C90" s="4">
        <f t="shared" si="5"/>
        <v>88</v>
      </c>
      <c r="D90" s="5" cm="1">
        <f t="array" aca="1" ref="D90" ca="1">OFFSET(INDIRECT("'["&amp;$H90&amp;"]"&amp;$I90&amp;"'!"&amp;$J90),$L90,$M90)*$K90</f>
        <v>0.20985000000000001</v>
      </c>
      <c r="F90" s="4">
        <f t="shared" si="6"/>
        <v>2</v>
      </c>
      <c r="G90" s="4" cm="1">
        <f t="array" ref="G90">IF($C90+$M90&lt;16,INDEX(Sheet1!C:C,$F90),$F90)</f>
        <v>2</v>
      </c>
      <c r="H90" s="4" t="str" cm="1">
        <f t="array" ref="H90">INDEX(Sheet1!D:D,$G90)</f>
        <v>2001-cso-preferred-class-structure-mortality-tables.xls</v>
      </c>
      <c r="I90" s="4" t="str" cm="1">
        <f t="array" ref="I90">INDEX(Sheet1!E:E,$G90)</f>
        <v>A.1.a.i</v>
      </c>
      <c r="J90" s="4" t="str" cm="1">
        <f t="array" ref="J90">INDEX(Sheet1!F:F,$G90)</f>
        <v>B8</v>
      </c>
      <c r="K90" s="4" cm="1">
        <f t="array" ref="K90">INDEX(Sheet1!H:H,$G90)</f>
        <v>1E-3</v>
      </c>
      <c r="L90" s="4">
        <f t="shared" si="4"/>
        <v>88</v>
      </c>
      <c r="M90" s="4">
        <f t="shared" si="7"/>
        <v>5</v>
      </c>
    </row>
    <row r="91" spans="1:13">
      <c r="A91" s="4" t="str" cm="1">
        <f t="array" ref="A91">INDEX(Sheet1!A:A,$F91)</f>
        <v>M</v>
      </c>
      <c r="B91" s="4" t="str" cm="1">
        <f t="array" ref="B91">INDEX(Sheet1!B:B,$F91)</f>
        <v>Super-Pref NS</v>
      </c>
      <c r="C91" s="4">
        <f t="shared" si="5"/>
        <v>89</v>
      </c>
      <c r="D91" s="5" cm="1">
        <f t="array" aca="1" ref="D91" ca="1">OFFSET(INDIRECT("'["&amp;$H91&amp;"]"&amp;$I91&amp;"'!"&amp;$J91),$L91,$M91)*$K91</f>
        <v>0.24142</v>
      </c>
      <c r="F91" s="4">
        <f t="shared" si="6"/>
        <v>2</v>
      </c>
      <c r="G91" s="4" cm="1">
        <f t="array" ref="G91">IF($C91+$M91&lt;16,INDEX(Sheet1!C:C,$F91),$F91)</f>
        <v>2</v>
      </c>
      <c r="H91" s="4" t="str" cm="1">
        <f t="array" ref="H91">INDEX(Sheet1!D:D,$G91)</f>
        <v>2001-cso-preferred-class-structure-mortality-tables.xls</v>
      </c>
      <c r="I91" s="4" t="str" cm="1">
        <f t="array" ref="I91">INDEX(Sheet1!E:E,$G91)</f>
        <v>A.1.a.i</v>
      </c>
      <c r="J91" s="4" t="str" cm="1">
        <f t="array" ref="J91">INDEX(Sheet1!F:F,$G91)</f>
        <v>B8</v>
      </c>
      <c r="K91" s="4" cm="1">
        <f t="array" ref="K91">INDEX(Sheet1!H:H,$G91)</f>
        <v>1E-3</v>
      </c>
      <c r="L91" s="4">
        <f t="shared" si="4"/>
        <v>89</v>
      </c>
      <c r="M91" s="4">
        <f t="shared" si="7"/>
        <v>5</v>
      </c>
    </row>
    <row r="92" spans="1:13">
      <c r="A92" s="4" t="str" cm="1">
        <f t="array" ref="A92">INDEX(Sheet1!A:A,$F92)</f>
        <v>M</v>
      </c>
      <c r="B92" s="4" t="str" cm="1">
        <f t="array" ref="B92">INDEX(Sheet1!B:B,$F92)</f>
        <v>Super-Pref NS</v>
      </c>
      <c r="C92" s="4">
        <f t="shared" si="5"/>
        <v>90</v>
      </c>
      <c r="D92" s="5" cm="1">
        <f t="array" aca="1" ref="D92" ca="1">OFFSET(INDIRECT("'["&amp;$H92&amp;"]"&amp;$I92&amp;"'!"&amp;$J92),$L92,$M92)*$K92</f>
        <v>0.26355000000000001</v>
      </c>
      <c r="F92" s="4">
        <f t="shared" si="6"/>
        <v>2</v>
      </c>
      <c r="G92" s="4" cm="1">
        <f t="array" ref="G92">IF($C92+$M92&lt;16,INDEX(Sheet1!C:C,$F92),$F92)</f>
        <v>2</v>
      </c>
      <c r="H92" s="4" t="str" cm="1">
        <f t="array" ref="H92">INDEX(Sheet1!D:D,$G92)</f>
        <v>2001-cso-preferred-class-structure-mortality-tables.xls</v>
      </c>
      <c r="I92" s="4" t="str" cm="1">
        <f t="array" ref="I92">INDEX(Sheet1!E:E,$G92)</f>
        <v>A.1.a.i</v>
      </c>
      <c r="J92" s="4" t="str" cm="1">
        <f t="array" ref="J92">INDEX(Sheet1!F:F,$G92)</f>
        <v>B8</v>
      </c>
      <c r="K92" s="4" cm="1">
        <f t="array" ref="K92">INDEX(Sheet1!H:H,$G92)</f>
        <v>1E-3</v>
      </c>
      <c r="L92" s="4">
        <f t="shared" si="4"/>
        <v>90</v>
      </c>
      <c r="M92" s="4">
        <f t="shared" si="7"/>
        <v>5</v>
      </c>
    </row>
    <row r="93" spans="1:13">
      <c r="A93" s="4" t="str" cm="1">
        <f t="array" ref="A93">INDEX(Sheet1!A:A,$F93)</f>
        <v>M</v>
      </c>
      <c r="B93" s="4" t="str" cm="1">
        <f t="array" ref="B93">INDEX(Sheet1!B:B,$F93)</f>
        <v>Super-Pref NS</v>
      </c>
      <c r="C93" s="4">
        <f t="shared" si="5"/>
        <v>91</v>
      </c>
      <c r="D93" s="5" cm="1">
        <f t="array" aca="1" ref="D93" ca="1">OFFSET(INDIRECT("'["&amp;$H93&amp;"]"&amp;$I93&amp;"'!"&amp;$J93),$L93,$M93)*$K93</f>
        <v>0.28039999999999998</v>
      </c>
      <c r="F93" s="4">
        <f t="shared" si="6"/>
        <v>2</v>
      </c>
      <c r="G93" s="4" cm="1">
        <f t="array" ref="G93">IF($C93+$M93&lt;16,INDEX(Sheet1!C:C,$F93),$F93)</f>
        <v>2</v>
      </c>
      <c r="H93" s="4" t="str" cm="1">
        <f t="array" ref="H93">INDEX(Sheet1!D:D,$G93)</f>
        <v>2001-cso-preferred-class-structure-mortality-tables.xls</v>
      </c>
      <c r="I93" s="4" t="str" cm="1">
        <f t="array" ref="I93">INDEX(Sheet1!E:E,$G93)</f>
        <v>A.1.a.i</v>
      </c>
      <c r="J93" s="4" t="str" cm="1">
        <f t="array" ref="J93">INDEX(Sheet1!F:F,$G93)</f>
        <v>B8</v>
      </c>
      <c r="K93" s="4" cm="1">
        <f t="array" ref="K93">INDEX(Sheet1!H:H,$G93)</f>
        <v>1E-3</v>
      </c>
      <c r="L93" s="4">
        <f t="shared" si="4"/>
        <v>91</v>
      </c>
      <c r="M93" s="4">
        <f t="shared" si="7"/>
        <v>5</v>
      </c>
    </row>
    <row r="94" spans="1:13">
      <c r="A94" s="4" t="str" cm="1">
        <f t="array" ref="A94">INDEX(Sheet1!A:A,$F94)</f>
        <v>M</v>
      </c>
      <c r="B94" s="4" t="str" cm="1">
        <f t="array" ref="B94">INDEX(Sheet1!B:B,$F94)</f>
        <v>Super-Pref NS</v>
      </c>
      <c r="C94" s="4">
        <f t="shared" si="5"/>
        <v>92</v>
      </c>
      <c r="D94" s="5" cm="1">
        <f t="array" aca="1" ref="D94" ca="1">OFFSET(INDIRECT("'["&amp;$H94&amp;"]"&amp;$I94&amp;"'!"&amp;$J94),$L94,$M94)*$K94</f>
        <v>0.29838999999999999</v>
      </c>
      <c r="F94" s="4">
        <f t="shared" si="6"/>
        <v>2</v>
      </c>
      <c r="G94" s="4" cm="1">
        <f t="array" ref="G94">IF($C94+$M94&lt;16,INDEX(Sheet1!C:C,$F94),$F94)</f>
        <v>2</v>
      </c>
      <c r="H94" s="4" t="str" cm="1">
        <f t="array" ref="H94">INDEX(Sheet1!D:D,$G94)</f>
        <v>2001-cso-preferred-class-structure-mortality-tables.xls</v>
      </c>
      <c r="I94" s="4" t="str" cm="1">
        <f t="array" ref="I94">INDEX(Sheet1!E:E,$G94)</f>
        <v>A.1.a.i</v>
      </c>
      <c r="J94" s="4" t="str" cm="1">
        <f t="array" ref="J94">INDEX(Sheet1!F:F,$G94)</f>
        <v>B8</v>
      </c>
      <c r="K94" s="4" cm="1">
        <f t="array" ref="K94">INDEX(Sheet1!H:H,$G94)</f>
        <v>1E-3</v>
      </c>
      <c r="L94" s="4">
        <f t="shared" si="4"/>
        <v>92</v>
      </c>
      <c r="M94" s="4">
        <f t="shared" si="7"/>
        <v>5</v>
      </c>
    </row>
    <row r="95" spans="1:13">
      <c r="A95" s="4" t="str" cm="1">
        <f t="array" ref="A95">INDEX(Sheet1!A:A,$F95)</f>
        <v>M</v>
      </c>
      <c r="B95" s="4" t="str" cm="1">
        <f t="array" ref="B95">INDEX(Sheet1!B:B,$F95)</f>
        <v>Super-Pref NS</v>
      </c>
      <c r="C95" s="4">
        <f t="shared" si="5"/>
        <v>93</v>
      </c>
      <c r="D95" s="5" cm="1">
        <f t="array" aca="1" ref="D95" ca="1">OFFSET(INDIRECT("'["&amp;$H95&amp;"]"&amp;$I95&amp;"'!"&amp;$J95),$L95,$M95)*$K95</f>
        <v>0.31757999999999997</v>
      </c>
      <c r="F95" s="4">
        <f t="shared" si="6"/>
        <v>2</v>
      </c>
      <c r="G95" s="4" cm="1">
        <f t="array" ref="G95">IF($C95+$M95&lt;16,INDEX(Sheet1!C:C,$F95),$F95)</f>
        <v>2</v>
      </c>
      <c r="H95" s="4" t="str" cm="1">
        <f t="array" ref="H95">INDEX(Sheet1!D:D,$G95)</f>
        <v>2001-cso-preferred-class-structure-mortality-tables.xls</v>
      </c>
      <c r="I95" s="4" t="str" cm="1">
        <f t="array" ref="I95">INDEX(Sheet1!E:E,$G95)</f>
        <v>A.1.a.i</v>
      </c>
      <c r="J95" s="4" t="str" cm="1">
        <f t="array" ref="J95">INDEX(Sheet1!F:F,$G95)</f>
        <v>B8</v>
      </c>
      <c r="K95" s="4" cm="1">
        <f t="array" ref="K95">INDEX(Sheet1!H:H,$G95)</f>
        <v>1E-3</v>
      </c>
      <c r="L95" s="4">
        <f t="shared" si="4"/>
        <v>93</v>
      </c>
      <c r="M95" s="4">
        <f t="shared" si="7"/>
        <v>5</v>
      </c>
    </row>
    <row r="96" spans="1:13">
      <c r="A96" s="4" t="str" cm="1">
        <f t="array" ref="A96">INDEX(Sheet1!A:A,$F96)</f>
        <v>M</v>
      </c>
      <c r="B96" s="4" t="str" cm="1">
        <f t="array" ref="B96">INDEX(Sheet1!B:B,$F96)</f>
        <v>Super-Pref NS</v>
      </c>
      <c r="C96" s="4">
        <f t="shared" si="5"/>
        <v>94</v>
      </c>
      <c r="D96" s="5" cm="1">
        <f t="array" aca="1" ref="D96" ca="1">OFFSET(INDIRECT("'["&amp;$H96&amp;"]"&amp;$I96&amp;"'!"&amp;$J96),$L96,$M96)*$K96</f>
        <v>0.33811000000000002</v>
      </c>
      <c r="F96" s="4">
        <f t="shared" si="6"/>
        <v>2</v>
      </c>
      <c r="G96" s="4" cm="1">
        <f t="array" ref="G96">IF($C96+$M96&lt;16,INDEX(Sheet1!C:C,$F96),$F96)</f>
        <v>2</v>
      </c>
      <c r="H96" s="4" t="str" cm="1">
        <f t="array" ref="H96">INDEX(Sheet1!D:D,$G96)</f>
        <v>2001-cso-preferred-class-structure-mortality-tables.xls</v>
      </c>
      <c r="I96" s="4" t="str" cm="1">
        <f t="array" ref="I96">INDEX(Sheet1!E:E,$G96)</f>
        <v>A.1.a.i</v>
      </c>
      <c r="J96" s="4" t="str" cm="1">
        <f t="array" ref="J96">INDEX(Sheet1!F:F,$G96)</f>
        <v>B8</v>
      </c>
      <c r="K96" s="4" cm="1">
        <f t="array" ref="K96">INDEX(Sheet1!H:H,$G96)</f>
        <v>1E-3</v>
      </c>
      <c r="L96" s="4">
        <f t="shared" si="4"/>
        <v>94</v>
      </c>
      <c r="M96" s="4">
        <f t="shared" si="7"/>
        <v>5</v>
      </c>
    </row>
    <row r="97" spans="1:13">
      <c r="A97" s="4" t="str" cm="1">
        <f t="array" ref="A97">INDEX(Sheet1!A:A,$F97)</f>
        <v>M</v>
      </c>
      <c r="B97" s="4" t="str" cm="1">
        <f t="array" ref="B97">INDEX(Sheet1!B:B,$F97)</f>
        <v>Super-Pref NS</v>
      </c>
      <c r="C97" s="4">
        <f t="shared" si="5"/>
        <v>95</v>
      </c>
      <c r="D97" s="5" cm="1">
        <f t="array" aca="1" ref="D97" ca="1">OFFSET(INDIRECT("'["&amp;$H97&amp;"]"&amp;$I97&amp;"'!"&amp;$J97),$L97,$M97)*$K97</f>
        <v>0.36005000000000004</v>
      </c>
      <c r="F97" s="4">
        <f t="shared" si="6"/>
        <v>2</v>
      </c>
      <c r="G97" s="4" cm="1">
        <f t="array" ref="G97">IF($C97+$M97&lt;16,INDEX(Sheet1!C:C,$F97),$F97)</f>
        <v>2</v>
      </c>
      <c r="H97" s="4" t="str" cm="1">
        <f t="array" ref="H97">INDEX(Sheet1!D:D,$G97)</f>
        <v>2001-cso-preferred-class-structure-mortality-tables.xls</v>
      </c>
      <c r="I97" s="4" t="str" cm="1">
        <f t="array" ref="I97">INDEX(Sheet1!E:E,$G97)</f>
        <v>A.1.a.i</v>
      </c>
      <c r="J97" s="4" t="str" cm="1">
        <f t="array" ref="J97">INDEX(Sheet1!F:F,$G97)</f>
        <v>B8</v>
      </c>
      <c r="K97" s="4" cm="1">
        <f t="array" ref="K97">INDEX(Sheet1!H:H,$G97)</f>
        <v>1E-3</v>
      </c>
      <c r="L97" s="4">
        <f t="shared" si="4"/>
        <v>95</v>
      </c>
      <c r="M97" s="4">
        <f t="shared" si="7"/>
        <v>5</v>
      </c>
    </row>
    <row r="98" spans="1:13">
      <c r="A98" s="4" t="str" cm="1">
        <f t="array" ref="A98">INDEX(Sheet1!A:A,$F98)</f>
        <v>M</v>
      </c>
      <c r="B98" s="4" t="str" cm="1">
        <f t="array" ref="B98">INDEX(Sheet1!B:B,$F98)</f>
        <v>Super-Pref NS</v>
      </c>
      <c r="C98" s="4">
        <f t="shared" si="5"/>
        <v>96</v>
      </c>
      <c r="D98" s="5" cm="1">
        <f t="array" aca="1" ref="D98" ca="1">OFFSET(INDIRECT("'["&amp;$H98&amp;"]"&amp;$I98&amp;"'!"&amp;$J98),$L98,$M98)*$K98</f>
        <v>0.37774000000000002</v>
      </c>
      <c r="F98" s="4">
        <f t="shared" si="6"/>
        <v>2</v>
      </c>
      <c r="G98" s="4" cm="1">
        <f t="array" ref="G98">IF($C98+$M98&lt;16,INDEX(Sheet1!C:C,$F98),$F98)</f>
        <v>2</v>
      </c>
      <c r="H98" s="4" t="str" cm="1">
        <f t="array" ref="H98">INDEX(Sheet1!D:D,$G98)</f>
        <v>2001-cso-preferred-class-structure-mortality-tables.xls</v>
      </c>
      <c r="I98" s="4" t="str" cm="1">
        <f t="array" ref="I98">INDEX(Sheet1!E:E,$G98)</f>
        <v>A.1.a.i</v>
      </c>
      <c r="J98" s="4" t="str" cm="1">
        <f t="array" ref="J98">INDEX(Sheet1!F:F,$G98)</f>
        <v>B8</v>
      </c>
      <c r="K98" s="4" cm="1">
        <f t="array" ref="K98">INDEX(Sheet1!H:H,$G98)</f>
        <v>1E-3</v>
      </c>
      <c r="L98" s="4">
        <f t="shared" si="4"/>
        <v>96</v>
      </c>
      <c r="M98" s="4">
        <f t="shared" si="7"/>
        <v>5</v>
      </c>
    </row>
    <row r="99" spans="1:13">
      <c r="A99" s="4" t="str" cm="1">
        <f t="array" ref="A99">INDEX(Sheet1!A:A,$F99)</f>
        <v>M</v>
      </c>
      <c r="B99" s="4" t="str" cm="1">
        <f t="array" ref="B99">INDEX(Sheet1!B:B,$F99)</f>
        <v>Super-Pref NS</v>
      </c>
      <c r="C99" s="4">
        <f t="shared" si="5"/>
        <v>97</v>
      </c>
      <c r="D99" s="5" cm="1">
        <f t="array" aca="1" ref="D99" ca="1">OFFSET(INDIRECT("'["&amp;$H99&amp;"]"&amp;$I99&amp;"'!"&amp;$J99),$L99,$M99)*$K99</f>
        <v>0.39641000000000004</v>
      </c>
      <c r="F99" s="4">
        <f t="shared" si="6"/>
        <v>2</v>
      </c>
      <c r="G99" s="4" cm="1">
        <f t="array" ref="G99">IF($C99+$M99&lt;16,INDEX(Sheet1!C:C,$F99),$F99)</f>
        <v>2</v>
      </c>
      <c r="H99" s="4" t="str" cm="1">
        <f t="array" ref="H99">INDEX(Sheet1!D:D,$G99)</f>
        <v>2001-cso-preferred-class-structure-mortality-tables.xls</v>
      </c>
      <c r="I99" s="4" t="str" cm="1">
        <f t="array" ref="I99">INDEX(Sheet1!E:E,$G99)</f>
        <v>A.1.a.i</v>
      </c>
      <c r="J99" s="4" t="str" cm="1">
        <f t="array" ref="J99">INDEX(Sheet1!F:F,$G99)</f>
        <v>B8</v>
      </c>
      <c r="K99" s="4" cm="1">
        <f t="array" ref="K99">INDEX(Sheet1!H:H,$G99)</f>
        <v>1E-3</v>
      </c>
      <c r="L99" s="4">
        <f t="shared" si="4"/>
        <v>97</v>
      </c>
      <c r="M99" s="4">
        <f t="shared" si="7"/>
        <v>5</v>
      </c>
    </row>
    <row r="100" spans="1:13">
      <c r="A100" s="4" t="str" cm="1">
        <f t="array" ref="A100">INDEX(Sheet1!A:A,$F100)</f>
        <v>M</v>
      </c>
      <c r="B100" s="4" t="str" cm="1">
        <f t="array" ref="B100">INDEX(Sheet1!B:B,$F100)</f>
        <v>Super-Pref NS</v>
      </c>
      <c r="C100" s="4">
        <f t="shared" si="5"/>
        <v>98</v>
      </c>
      <c r="D100" s="5" cm="1">
        <f t="array" aca="1" ref="D100" ca="1">OFFSET(INDIRECT("'["&amp;$H100&amp;"]"&amp;$I100&amp;"'!"&amp;$J100),$L100,$M100)*$K100</f>
        <v>0.41631000000000001</v>
      </c>
      <c r="F100" s="4">
        <f t="shared" si="6"/>
        <v>2</v>
      </c>
      <c r="G100" s="4" cm="1">
        <f t="array" ref="G100">IF($C100+$M100&lt;16,INDEX(Sheet1!C:C,$F100),$F100)</f>
        <v>2</v>
      </c>
      <c r="H100" s="4" t="str" cm="1">
        <f t="array" ref="H100">INDEX(Sheet1!D:D,$G100)</f>
        <v>2001-cso-preferred-class-structure-mortality-tables.xls</v>
      </c>
      <c r="I100" s="4" t="str" cm="1">
        <f t="array" ref="I100">INDEX(Sheet1!E:E,$G100)</f>
        <v>A.1.a.i</v>
      </c>
      <c r="J100" s="4" t="str" cm="1">
        <f t="array" ref="J100">INDEX(Sheet1!F:F,$G100)</f>
        <v>B8</v>
      </c>
      <c r="K100" s="4" cm="1">
        <f t="array" ref="K100">INDEX(Sheet1!H:H,$G100)</f>
        <v>1E-3</v>
      </c>
      <c r="L100" s="4">
        <f t="shared" si="4"/>
        <v>98</v>
      </c>
      <c r="M100" s="4">
        <f t="shared" si="7"/>
        <v>5</v>
      </c>
    </row>
    <row r="101" spans="1:13">
      <c r="A101" s="4" t="str" cm="1">
        <f t="array" ref="A101">INDEX(Sheet1!A:A,$F101)</f>
        <v>M</v>
      </c>
      <c r="B101" s="4" t="str" cm="1">
        <f t="array" ref="B101">INDEX(Sheet1!B:B,$F101)</f>
        <v>Super-Pref NS</v>
      </c>
      <c r="C101" s="4">
        <f t="shared" si="5"/>
        <v>99</v>
      </c>
      <c r="D101" s="5" cm="1">
        <f t="array" aca="1" ref="D101" ca="1">OFFSET(INDIRECT("'["&amp;$H101&amp;"]"&amp;$I101&amp;"'!"&amp;$J101),$L101,$M101)*$K101</f>
        <v>0.43748000000000004</v>
      </c>
      <c r="F101" s="4">
        <f t="shared" si="6"/>
        <v>2</v>
      </c>
      <c r="G101" s="4" cm="1">
        <f t="array" ref="G101">IF($C101+$M101&lt;16,INDEX(Sheet1!C:C,$F101),$F101)</f>
        <v>2</v>
      </c>
      <c r="H101" s="4" t="str" cm="1">
        <f t="array" ref="H101">INDEX(Sheet1!D:D,$G101)</f>
        <v>2001-cso-preferred-class-structure-mortality-tables.xls</v>
      </c>
      <c r="I101" s="4" t="str" cm="1">
        <f t="array" ref="I101">INDEX(Sheet1!E:E,$G101)</f>
        <v>A.1.a.i</v>
      </c>
      <c r="J101" s="4" t="str" cm="1">
        <f t="array" ref="J101">INDEX(Sheet1!F:F,$G101)</f>
        <v>B8</v>
      </c>
      <c r="K101" s="4" cm="1">
        <f t="array" ref="K101">INDEX(Sheet1!H:H,$G101)</f>
        <v>1E-3</v>
      </c>
      <c r="L101" s="4">
        <f t="shared" si="4"/>
        <v>99</v>
      </c>
      <c r="M101" s="4">
        <f t="shared" si="7"/>
        <v>5</v>
      </c>
    </row>
    <row r="102" spans="1:13">
      <c r="A102" s="4" t="str" cm="1">
        <f t="array" ref="A102">INDEX(Sheet1!A:A,$F102)</f>
        <v>M</v>
      </c>
      <c r="B102" s="4" t="str" cm="1">
        <f t="array" ref="B102">INDEX(Sheet1!B:B,$F102)</f>
        <v>Pref Best NS</v>
      </c>
      <c r="C102" s="4">
        <f t="shared" si="5"/>
        <v>0</v>
      </c>
      <c r="D102" s="5" cm="1">
        <f t="array" aca="1" ref="D102" ca="1">OFFSET(INDIRECT("'["&amp;$H102&amp;"]"&amp;$I102&amp;"'!"&amp;$J102),$L102,$M102)*$K102</f>
        <v>2.1000000000000001E-4</v>
      </c>
      <c r="F102" s="4">
        <f t="shared" si="6"/>
        <v>3</v>
      </c>
      <c r="G102" s="4" cm="1">
        <f t="array" ref="G102">IF($C102+$M102&lt;16,INDEX(Sheet1!C:C,$F102),$F102)</f>
        <v>10</v>
      </c>
      <c r="H102" s="4" t="str" cm="1">
        <f t="array" ref="H102">INDEX(Sheet1!D:D,$G102)</f>
        <v>t1136.xlsx</v>
      </c>
      <c r="I102" s="4" t="str" cm="1">
        <f t="array" ref="I102">INDEX(Sheet1!E:E,$G102)</f>
        <v>Sheet1</v>
      </c>
      <c r="J102" s="4" t="str" cm="1">
        <f t="array" ref="J102">INDEX(Sheet1!F:F,$G102)</f>
        <v>B25</v>
      </c>
      <c r="K102" s="4" cm="1">
        <f t="array" ref="K102">INDEX(Sheet1!H:H,$G102)</f>
        <v>1</v>
      </c>
      <c r="L102" s="4">
        <f t="shared" si="4"/>
        <v>0</v>
      </c>
      <c r="M102" s="4">
        <f t="shared" si="7"/>
        <v>5</v>
      </c>
    </row>
    <row r="103" spans="1:13">
      <c r="A103" s="4" t="str" cm="1">
        <f t="array" ref="A103">INDEX(Sheet1!A:A,$F103)</f>
        <v>M</v>
      </c>
      <c r="B103" s="4" t="str" cm="1">
        <f t="array" ref="B103">INDEX(Sheet1!B:B,$F103)</f>
        <v>Pref Best NS</v>
      </c>
      <c r="C103" s="4">
        <f t="shared" si="5"/>
        <v>1</v>
      </c>
      <c r="D103" s="5" cm="1">
        <f t="array" aca="1" ref="D103" ca="1">OFFSET(INDIRECT("'["&amp;$H103&amp;"]"&amp;$I103&amp;"'!"&amp;$J103),$L103,$M103)*$K103</f>
        <v>2.1000000000000001E-4</v>
      </c>
      <c r="F103" s="4">
        <f t="shared" si="6"/>
        <v>3</v>
      </c>
      <c r="G103" s="4" cm="1">
        <f t="array" ref="G103">IF($C103+$M103&lt;16,INDEX(Sheet1!C:C,$F103),$F103)</f>
        <v>10</v>
      </c>
      <c r="H103" s="4" t="str" cm="1">
        <f t="array" ref="H103">INDEX(Sheet1!D:D,$G103)</f>
        <v>t1136.xlsx</v>
      </c>
      <c r="I103" s="4" t="str" cm="1">
        <f t="array" ref="I103">INDEX(Sheet1!E:E,$G103)</f>
        <v>Sheet1</v>
      </c>
      <c r="J103" s="4" t="str" cm="1">
        <f t="array" ref="J103">INDEX(Sheet1!F:F,$G103)</f>
        <v>B25</v>
      </c>
      <c r="K103" s="4" cm="1">
        <f t="array" ref="K103">INDEX(Sheet1!H:H,$G103)</f>
        <v>1</v>
      </c>
      <c r="L103" s="4">
        <f t="shared" si="4"/>
        <v>1</v>
      </c>
      <c r="M103" s="4">
        <f t="shared" si="7"/>
        <v>5</v>
      </c>
    </row>
    <row r="104" spans="1:13">
      <c r="A104" s="4" t="str" cm="1">
        <f t="array" ref="A104">INDEX(Sheet1!A:A,$F104)</f>
        <v>M</v>
      </c>
      <c r="B104" s="4" t="str" cm="1">
        <f t="array" ref="B104">INDEX(Sheet1!B:B,$F104)</f>
        <v>Pref Best NS</v>
      </c>
      <c r="C104" s="4">
        <f t="shared" si="5"/>
        <v>2</v>
      </c>
      <c r="D104" s="5" cm="1">
        <f t="array" aca="1" ref="D104" ca="1">OFFSET(INDIRECT("'["&amp;$H104&amp;"]"&amp;$I104&amp;"'!"&amp;$J104),$L104,$M104)*$K104</f>
        <v>2.1000000000000001E-4</v>
      </c>
      <c r="F104" s="4">
        <f t="shared" si="6"/>
        <v>3</v>
      </c>
      <c r="G104" s="4" cm="1">
        <f t="array" ref="G104">IF($C104+$M104&lt;16,INDEX(Sheet1!C:C,$F104),$F104)</f>
        <v>10</v>
      </c>
      <c r="H104" s="4" t="str" cm="1">
        <f t="array" ref="H104">INDEX(Sheet1!D:D,$G104)</f>
        <v>t1136.xlsx</v>
      </c>
      <c r="I104" s="4" t="str" cm="1">
        <f t="array" ref="I104">INDEX(Sheet1!E:E,$G104)</f>
        <v>Sheet1</v>
      </c>
      <c r="J104" s="4" t="str" cm="1">
        <f t="array" ref="J104">INDEX(Sheet1!F:F,$G104)</f>
        <v>B25</v>
      </c>
      <c r="K104" s="4" cm="1">
        <f t="array" ref="K104">INDEX(Sheet1!H:H,$G104)</f>
        <v>1</v>
      </c>
      <c r="L104" s="4">
        <f t="shared" si="4"/>
        <v>2</v>
      </c>
      <c r="M104" s="4">
        <f t="shared" si="7"/>
        <v>5</v>
      </c>
    </row>
    <row r="105" spans="1:13">
      <c r="A105" s="4" t="str" cm="1">
        <f t="array" ref="A105">INDEX(Sheet1!A:A,$F105)</f>
        <v>M</v>
      </c>
      <c r="B105" s="4" t="str" cm="1">
        <f t="array" ref="B105">INDEX(Sheet1!B:B,$F105)</f>
        <v>Pref Best NS</v>
      </c>
      <c r="C105" s="4">
        <f t="shared" si="5"/>
        <v>3</v>
      </c>
      <c r="D105" s="5" cm="1">
        <f t="array" aca="1" ref="D105" ca="1">OFFSET(INDIRECT("'["&amp;$H105&amp;"]"&amp;$I105&amp;"'!"&amp;$J105),$L105,$M105)*$K105</f>
        <v>2.1000000000000001E-4</v>
      </c>
      <c r="F105" s="4">
        <f t="shared" si="6"/>
        <v>3</v>
      </c>
      <c r="G105" s="4" cm="1">
        <f t="array" ref="G105">IF($C105+$M105&lt;16,INDEX(Sheet1!C:C,$F105),$F105)</f>
        <v>10</v>
      </c>
      <c r="H105" s="4" t="str" cm="1">
        <f t="array" ref="H105">INDEX(Sheet1!D:D,$G105)</f>
        <v>t1136.xlsx</v>
      </c>
      <c r="I105" s="4" t="str" cm="1">
        <f t="array" ref="I105">INDEX(Sheet1!E:E,$G105)</f>
        <v>Sheet1</v>
      </c>
      <c r="J105" s="4" t="str" cm="1">
        <f t="array" ref="J105">INDEX(Sheet1!F:F,$G105)</f>
        <v>B25</v>
      </c>
      <c r="K105" s="4" cm="1">
        <f t="array" ref="K105">INDEX(Sheet1!H:H,$G105)</f>
        <v>1</v>
      </c>
      <c r="L105" s="4">
        <f t="shared" si="4"/>
        <v>3</v>
      </c>
      <c r="M105" s="4">
        <f t="shared" si="7"/>
        <v>5</v>
      </c>
    </row>
    <row r="106" spans="1:13">
      <c r="A106" s="4" t="str" cm="1">
        <f t="array" ref="A106">INDEX(Sheet1!A:A,$F106)</f>
        <v>M</v>
      </c>
      <c r="B106" s="4" t="str" cm="1">
        <f t="array" ref="B106">INDEX(Sheet1!B:B,$F106)</f>
        <v>Pref Best NS</v>
      </c>
      <c r="C106" s="4">
        <f t="shared" si="5"/>
        <v>4</v>
      </c>
      <c r="D106" s="5" cm="1">
        <f t="array" aca="1" ref="D106" ca="1">OFFSET(INDIRECT("'["&amp;$H106&amp;"]"&amp;$I106&amp;"'!"&amp;$J106),$L106,$M106)*$K106</f>
        <v>2.1000000000000001E-4</v>
      </c>
      <c r="F106" s="4">
        <f t="shared" si="6"/>
        <v>3</v>
      </c>
      <c r="G106" s="4" cm="1">
        <f t="array" ref="G106">IF($C106+$M106&lt;16,INDEX(Sheet1!C:C,$F106),$F106)</f>
        <v>10</v>
      </c>
      <c r="H106" s="4" t="str" cm="1">
        <f t="array" ref="H106">INDEX(Sheet1!D:D,$G106)</f>
        <v>t1136.xlsx</v>
      </c>
      <c r="I106" s="4" t="str" cm="1">
        <f t="array" ref="I106">INDEX(Sheet1!E:E,$G106)</f>
        <v>Sheet1</v>
      </c>
      <c r="J106" s="4" t="str" cm="1">
        <f t="array" ref="J106">INDEX(Sheet1!F:F,$G106)</f>
        <v>B25</v>
      </c>
      <c r="K106" s="4" cm="1">
        <f t="array" ref="K106">INDEX(Sheet1!H:H,$G106)</f>
        <v>1</v>
      </c>
      <c r="L106" s="4">
        <f t="shared" si="4"/>
        <v>4</v>
      </c>
      <c r="M106" s="4">
        <f t="shared" si="7"/>
        <v>5</v>
      </c>
    </row>
    <row r="107" spans="1:13">
      <c r="A107" s="4" t="str" cm="1">
        <f t="array" ref="A107">INDEX(Sheet1!A:A,$F107)</f>
        <v>M</v>
      </c>
      <c r="B107" s="4" t="str" cm="1">
        <f t="array" ref="B107">INDEX(Sheet1!B:B,$F107)</f>
        <v>Pref Best NS</v>
      </c>
      <c r="C107" s="4">
        <f t="shared" si="5"/>
        <v>5</v>
      </c>
      <c r="D107" s="5" cm="1">
        <f t="array" aca="1" ref="D107" ca="1">OFFSET(INDIRECT("'["&amp;$H107&amp;"]"&amp;$I107&amp;"'!"&amp;$J107),$L107,$M107)*$K107</f>
        <v>2.1000000000000001E-4</v>
      </c>
      <c r="F107" s="4">
        <f t="shared" si="6"/>
        <v>3</v>
      </c>
      <c r="G107" s="4" cm="1">
        <f t="array" ref="G107">IF($C107+$M107&lt;16,INDEX(Sheet1!C:C,$F107),$F107)</f>
        <v>10</v>
      </c>
      <c r="H107" s="4" t="str" cm="1">
        <f t="array" ref="H107">INDEX(Sheet1!D:D,$G107)</f>
        <v>t1136.xlsx</v>
      </c>
      <c r="I107" s="4" t="str" cm="1">
        <f t="array" ref="I107">INDEX(Sheet1!E:E,$G107)</f>
        <v>Sheet1</v>
      </c>
      <c r="J107" s="4" t="str" cm="1">
        <f t="array" ref="J107">INDEX(Sheet1!F:F,$G107)</f>
        <v>B25</v>
      </c>
      <c r="K107" s="4" cm="1">
        <f t="array" ref="K107">INDEX(Sheet1!H:H,$G107)</f>
        <v>1</v>
      </c>
      <c r="L107" s="4">
        <f t="shared" si="4"/>
        <v>5</v>
      </c>
      <c r="M107" s="4">
        <f t="shared" si="7"/>
        <v>5</v>
      </c>
    </row>
    <row r="108" spans="1:13">
      <c r="A108" s="4" t="str" cm="1">
        <f t="array" ref="A108">INDEX(Sheet1!A:A,$F108)</f>
        <v>M</v>
      </c>
      <c r="B108" s="4" t="str" cm="1">
        <f t="array" ref="B108">INDEX(Sheet1!B:B,$F108)</f>
        <v>Pref Best NS</v>
      </c>
      <c r="C108" s="4">
        <f t="shared" si="5"/>
        <v>6</v>
      </c>
      <c r="D108" s="5" cm="1">
        <f t="array" aca="1" ref="D108" ca="1">OFFSET(INDIRECT("'["&amp;$H108&amp;"]"&amp;$I108&amp;"'!"&amp;$J108),$L108,$M108)*$K108</f>
        <v>2.1000000000000001E-4</v>
      </c>
      <c r="F108" s="4">
        <f t="shared" si="6"/>
        <v>3</v>
      </c>
      <c r="G108" s="4" cm="1">
        <f t="array" ref="G108">IF($C108+$M108&lt;16,INDEX(Sheet1!C:C,$F108),$F108)</f>
        <v>10</v>
      </c>
      <c r="H108" s="4" t="str" cm="1">
        <f t="array" ref="H108">INDEX(Sheet1!D:D,$G108)</f>
        <v>t1136.xlsx</v>
      </c>
      <c r="I108" s="4" t="str" cm="1">
        <f t="array" ref="I108">INDEX(Sheet1!E:E,$G108)</f>
        <v>Sheet1</v>
      </c>
      <c r="J108" s="4" t="str" cm="1">
        <f t="array" ref="J108">INDEX(Sheet1!F:F,$G108)</f>
        <v>B25</v>
      </c>
      <c r="K108" s="4" cm="1">
        <f t="array" ref="K108">INDEX(Sheet1!H:H,$G108)</f>
        <v>1</v>
      </c>
      <c r="L108" s="4">
        <f t="shared" si="4"/>
        <v>6</v>
      </c>
      <c r="M108" s="4">
        <f t="shared" si="7"/>
        <v>5</v>
      </c>
    </row>
    <row r="109" spans="1:13">
      <c r="A109" s="4" t="str" cm="1">
        <f t="array" ref="A109">INDEX(Sheet1!A:A,$F109)</f>
        <v>M</v>
      </c>
      <c r="B109" s="4" t="str" cm="1">
        <f t="array" ref="B109">INDEX(Sheet1!B:B,$F109)</f>
        <v>Pref Best NS</v>
      </c>
      <c r="C109" s="4">
        <f t="shared" si="5"/>
        <v>7</v>
      </c>
      <c r="D109" s="5" cm="1">
        <f t="array" aca="1" ref="D109" ca="1">OFFSET(INDIRECT("'["&amp;$H109&amp;"]"&amp;$I109&amp;"'!"&amp;$J109),$L109,$M109)*$K109</f>
        <v>2.4000000000000001E-4</v>
      </c>
      <c r="F109" s="4">
        <f t="shared" si="6"/>
        <v>3</v>
      </c>
      <c r="G109" s="4" cm="1">
        <f t="array" ref="G109">IF($C109+$M109&lt;16,INDEX(Sheet1!C:C,$F109),$F109)</f>
        <v>10</v>
      </c>
      <c r="H109" s="4" t="str" cm="1">
        <f t="array" ref="H109">INDEX(Sheet1!D:D,$G109)</f>
        <v>t1136.xlsx</v>
      </c>
      <c r="I109" s="4" t="str" cm="1">
        <f t="array" ref="I109">INDEX(Sheet1!E:E,$G109)</f>
        <v>Sheet1</v>
      </c>
      <c r="J109" s="4" t="str" cm="1">
        <f t="array" ref="J109">INDEX(Sheet1!F:F,$G109)</f>
        <v>B25</v>
      </c>
      <c r="K109" s="4" cm="1">
        <f t="array" ref="K109">INDEX(Sheet1!H:H,$G109)</f>
        <v>1</v>
      </c>
      <c r="L109" s="4">
        <f t="shared" si="4"/>
        <v>7</v>
      </c>
      <c r="M109" s="4">
        <f t="shared" si="7"/>
        <v>5</v>
      </c>
    </row>
    <row r="110" spans="1:13">
      <c r="A110" s="4" t="str" cm="1">
        <f t="array" ref="A110">INDEX(Sheet1!A:A,$F110)</f>
        <v>M</v>
      </c>
      <c r="B110" s="4" t="str" cm="1">
        <f t="array" ref="B110">INDEX(Sheet1!B:B,$F110)</f>
        <v>Pref Best NS</v>
      </c>
      <c r="C110" s="4">
        <f t="shared" si="5"/>
        <v>8</v>
      </c>
      <c r="D110" s="5" cm="1">
        <f t="array" aca="1" ref="D110" ca="1">OFFSET(INDIRECT("'["&amp;$H110&amp;"]"&amp;$I110&amp;"'!"&amp;$J110),$L110,$M110)*$K110</f>
        <v>2.7999999999999998E-4</v>
      </c>
      <c r="F110" s="4">
        <f t="shared" si="6"/>
        <v>3</v>
      </c>
      <c r="G110" s="4" cm="1">
        <f t="array" ref="G110">IF($C110+$M110&lt;16,INDEX(Sheet1!C:C,$F110),$F110)</f>
        <v>10</v>
      </c>
      <c r="H110" s="4" t="str" cm="1">
        <f t="array" ref="H110">INDEX(Sheet1!D:D,$G110)</f>
        <v>t1136.xlsx</v>
      </c>
      <c r="I110" s="4" t="str" cm="1">
        <f t="array" ref="I110">INDEX(Sheet1!E:E,$G110)</f>
        <v>Sheet1</v>
      </c>
      <c r="J110" s="4" t="str" cm="1">
        <f t="array" ref="J110">INDEX(Sheet1!F:F,$G110)</f>
        <v>B25</v>
      </c>
      <c r="K110" s="4" cm="1">
        <f t="array" ref="K110">INDEX(Sheet1!H:H,$G110)</f>
        <v>1</v>
      </c>
      <c r="L110" s="4">
        <f t="shared" si="4"/>
        <v>8</v>
      </c>
      <c r="M110" s="4">
        <f t="shared" si="7"/>
        <v>5</v>
      </c>
    </row>
    <row r="111" spans="1:13">
      <c r="A111" s="4" t="str" cm="1">
        <f t="array" ref="A111">INDEX(Sheet1!A:A,$F111)</f>
        <v>M</v>
      </c>
      <c r="B111" s="4" t="str" cm="1">
        <f t="array" ref="B111">INDEX(Sheet1!B:B,$F111)</f>
        <v>Pref Best NS</v>
      </c>
      <c r="C111" s="4">
        <f t="shared" si="5"/>
        <v>9</v>
      </c>
      <c r="D111" s="5" cm="1">
        <f t="array" aca="1" ref="D111" ca="1">OFFSET(INDIRECT("'["&amp;$H111&amp;"]"&amp;$I111&amp;"'!"&amp;$J111),$L111,$M111)*$K111</f>
        <v>3.3E-4</v>
      </c>
      <c r="F111" s="4">
        <f t="shared" si="6"/>
        <v>3</v>
      </c>
      <c r="G111" s="4" cm="1">
        <f t="array" ref="G111">IF($C111+$M111&lt;16,INDEX(Sheet1!C:C,$F111),$F111)</f>
        <v>10</v>
      </c>
      <c r="H111" s="4" t="str" cm="1">
        <f t="array" ref="H111">INDEX(Sheet1!D:D,$G111)</f>
        <v>t1136.xlsx</v>
      </c>
      <c r="I111" s="4" t="str" cm="1">
        <f t="array" ref="I111">INDEX(Sheet1!E:E,$G111)</f>
        <v>Sheet1</v>
      </c>
      <c r="J111" s="4" t="str" cm="1">
        <f t="array" ref="J111">INDEX(Sheet1!F:F,$G111)</f>
        <v>B25</v>
      </c>
      <c r="K111" s="4" cm="1">
        <f t="array" ref="K111">INDEX(Sheet1!H:H,$G111)</f>
        <v>1</v>
      </c>
      <c r="L111" s="4">
        <f t="shared" si="4"/>
        <v>9</v>
      </c>
      <c r="M111" s="4">
        <f t="shared" si="7"/>
        <v>5</v>
      </c>
    </row>
    <row r="112" spans="1:13">
      <c r="A112" s="4" t="str" cm="1">
        <f t="array" ref="A112">INDEX(Sheet1!A:A,$F112)</f>
        <v>M</v>
      </c>
      <c r="B112" s="4" t="str" cm="1">
        <f t="array" ref="B112">INDEX(Sheet1!B:B,$F112)</f>
        <v>Pref Best NS</v>
      </c>
      <c r="C112" s="4">
        <f t="shared" si="5"/>
        <v>10</v>
      </c>
      <c r="D112" s="5" cm="1">
        <f t="array" aca="1" ref="D112" ca="1">OFFSET(INDIRECT("'["&amp;$H112&amp;"]"&amp;$I112&amp;"'!"&amp;$J112),$L112,$M112)*$K112</f>
        <v>4.2999999999999999E-4</v>
      </c>
      <c r="F112" s="4">
        <f t="shared" si="6"/>
        <v>3</v>
      </c>
      <c r="G112" s="4" cm="1">
        <f t="array" ref="G112">IF($C112+$M112&lt;16,INDEX(Sheet1!C:C,$F112),$F112)</f>
        <v>10</v>
      </c>
      <c r="H112" s="4" t="str" cm="1">
        <f t="array" ref="H112">INDEX(Sheet1!D:D,$G112)</f>
        <v>t1136.xlsx</v>
      </c>
      <c r="I112" s="4" t="str" cm="1">
        <f t="array" ref="I112">INDEX(Sheet1!E:E,$G112)</f>
        <v>Sheet1</v>
      </c>
      <c r="J112" s="4" t="str" cm="1">
        <f t="array" ref="J112">INDEX(Sheet1!F:F,$G112)</f>
        <v>B25</v>
      </c>
      <c r="K112" s="4" cm="1">
        <f t="array" ref="K112">INDEX(Sheet1!H:H,$G112)</f>
        <v>1</v>
      </c>
      <c r="L112" s="4">
        <f t="shared" si="4"/>
        <v>10</v>
      </c>
      <c r="M112" s="4">
        <f t="shared" si="7"/>
        <v>5</v>
      </c>
    </row>
    <row r="113" spans="1:13">
      <c r="A113" s="4" t="str" cm="1">
        <f t="array" ref="A113">INDEX(Sheet1!A:A,$F113)</f>
        <v>M</v>
      </c>
      <c r="B113" s="4" t="str" cm="1">
        <f t="array" ref="B113">INDEX(Sheet1!B:B,$F113)</f>
        <v>Pref Best NS</v>
      </c>
      <c r="C113" s="4">
        <f t="shared" si="5"/>
        <v>11</v>
      </c>
      <c r="D113" s="5" cm="1">
        <f t="array" aca="1" ref="D113" ca="1">OFFSET(INDIRECT("'["&amp;$H113&amp;"]"&amp;$I113&amp;"'!"&amp;$J113),$L113,$M113)*$K113</f>
        <v>4.6999999999999999E-4</v>
      </c>
      <c r="F113" s="4">
        <f t="shared" si="6"/>
        <v>3</v>
      </c>
      <c r="G113" s="4" cm="1">
        <f t="array" ref="G113">IF($C113+$M113&lt;16,INDEX(Sheet1!C:C,$F113),$F113)</f>
        <v>3</v>
      </c>
      <c r="H113" s="4" t="str" cm="1">
        <f t="array" ref="H113">INDEX(Sheet1!D:D,$G113)</f>
        <v>2001-cso-preferred-class-structure-mortality-tables.xls</v>
      </c>
      <c r="I113" s="4" t="str" cm="1">
        <f t="array" ref="I113">INDEX(Sheet1!E:E,$G113)</f>
        <v>A.1.a.ii</v>
      </c>
      <c r="J113" s="4" t="str" cm="1">
        <f t="array" ref="J113">INDEX(Sheet1!F:F,$G113)</f>
        <v>B8</v>
      </c>
      <c r="K113" s="4" cm="1">
        <f t="array" ref="K113">INDEX(Sheet1!H:H,$G113)</f>
        <v>1E-3</v>
      </c>
      <c r="L113" s="4">
        <f t="shared" si="4"/>
        <v>11</v>
      </c>
      <c r="M113" s="4">
        <f t="shared" si="7"/>
        <v>5</v>
      </c>
    </row>
    <row r="114" spans="1:13">
      <c r="A114" s="4" t="str" cm="1">
        <f t="array" ref="A114">INDEX(Sheet1!A:A,$F114)</f>
        <v>M</v>
      </c>
      <c r="B114" s="4" t="str" cm="1">
        <f t="array" ref="B114">INDEX(Sheet1!B:B,$F114)</f>
        <v>Pref Best NS</v>
      </c>
      <c r="C114" s="4">
        <f t="shared" si="5"/>
        <v>12</v>
      </c>
      <c r="D114" s="5" cm="1">
        <f t="array" aca="1" ref="D114" ca="1">OFFSET(INDIRECT("'["&amp;$H114&amp;"]"&amp;$I114&amp;"'!"&amp;$J114),$L114,$M114)*$K114</f>
        <v>5.5000000000000003E-4</v>
      </c>
      <c r="F114" s="4">
        <f t="shared" si="6"/>
        <v>3</v>
      </c>
      <c r="G114" s="4" cm="1">
        <f t="array" ref="G114">IF($C114+$M114&lt;16,INDEX(Sheet1!C:C,$F114),$F114)</f>
        <v>3</v>
      </c>
      <c r="H114" s="4" t="str" cm="1">
        <f t="array" ref="H114">INDEX(Sheet1!D:D,$G114)</f>
        <v>2001-cso-preferred-class-structure-mortality-tables.xls</v>
      </c>
      <c r="I114" s="4" t="str" cm="1">
        <f t="array" ref="I114">INDEX(Sheet1!E:E,$G114)</f>
        <v>A.1.a.ii</v>
      </c>
      <c r="J114" s="4" t="str" cm="1">
        <f t="array" ref="J114">INDEX(Sheet1!F:F,$G114)</f>
        <v>B8</v>
      </c>
      <c r="K114" s="4" cm="1">
        <f t="array" ref="K114">INDEX(Sheet1!H:H,$G114)</f>
        <v>1E-3</v>
      </c>
      <c r="L114" s="4">
        <f t="shared" si="4"/>
        <v>12</v>
      </c>
      <c r="M114" s="4">
        <f t="shared" si="7"/>
        <v>5</v>
      </c>
    </row>
    <row r="115" spans="1:13">
      <c r="A115" s="4" t="str" cm="1">
        <f t="array" ref="A115">INDEX(Sheet1!A:A,$F115)</f>
        <v>M</v>
      </c>
      <c r="B115" s="4" t="str" cm="1">
        <f t="array" ref="B115">INDEX(Sheet1!B:B,$F115)</f>
        <v>Pref Best NS</v>
      </c>
      <c r="C115" s="4">
        <f t="shared" si="5"/>
        <v>13</v>
      </c>
      <c r="D115" s="5" cm="1">
        <f t="array" aca="1" ref="D115" ca="1">OFFSET(INDIRECT("'["&amp;$H115&amp;"]"&amp;$I115&amp;"'!"&amp;$J115),$L115,$M115)*$K115</f>
        <v>6.0999999999999997E-4</v>
      </c>
      <c r="F115" s="4">
        <f t="shared" si="6"/>
        <v>3</v>
      </c>
      <c r="G115" s="4" cm="1">
        <f t="array" ref="G115">IF($C115+$M115&lt;16,INDEX(Sheet1!C:C,$F115),$F115)</f>
        <v>3</v>
      </c>
      <c r="H115" s="4" t="str" cm="1">
        <f t="array" ref="H115">INDEX(Sheet1!D:D,$G115)</f>
        <v>2001-cso-preferred-class-structure-mortality-tables.xls</v>
      </c>
      <c r="I115" s="4" t="str" cm="1">
        <f t="array" ref="I115">INDEX(Sheet1!E:E,$G115)</f>
        <v>A.1.a.ii</v>
      </c>
      <c r="J115" s="4" t="str" cm="1">
        <f t="array" ref="J115">INDEX(Sheet1!F:F,$G115)</f>
        <v>B8</v>
      </c>
      <c r="K115" s="4" cm="1">
        <f t="array" ref="K115">INDEX(Sheet1!H:H,$G115)</f>
        <v>1E-3</v>
      </c>
      <c r="L115" s="4">
        <f t="shared" si="4"/>
        <v>13</v>
      </c>
      <c r="M115" s="4">
        <f t="shared" si="7"/>
        <v>5</v>
      </c>
    </row>
    <row r="116" spans="1:13">
      <c r="A116" s="4" t="str" cm="1">
        <f t="array" ref="A116">INDEX(Sheet1!A:A,$F116)</f>
        <v>M</v>
      </c>
      <c r="B116" s="4" t="str" cm="1">
        <f t="array" ref="B116">INDEX(Sheet1!B:B,$F116)</f>
        <v>Pref Best NS</v>
      </c>
      <c r="C116" s="4">
        <f t="shared" si="5"/>
        <v>14</v>
      </c>
      <c r="D116" s="5" cm="1">
        <f t="array" aca="1" ref="D116" ca="1">OFFSET(INDIRECT("'["&amp;$H116&amp;"]"&amp;$I116&amp;"'!"&amp;$J116),$L116,$M116)*$K116</f>
        <v>6.3000000000000003E-4</v>
      </c>
      <c r="F116" s="4">
        <f t="shared" si="6"/>
        <v>3</v>
      </c>
      <c r="G116" s="4" cm="1">
        <f t="array" ref="G116">IF($C116+$M116&lt;16,INDEX(Sheet1!C:C,$F116),$F116)</f>
        <v>3</v>
      </c>
      <c r="H116" s="4" t="str" cm="1">
        <f t="array" ref="H116">INDEX(Sheet1!D:D,$G116)</f>
        <v>2001-cso-preferred-class-structure-mortality-tables.xls</v>
      </c>
      <c r="I116" s="4" t="str" cm="1">
        <f t="array" ref="I116">INDEX(Sheet1!E:E,$G116)</f>
        <v>A.1.a.ii</v>
      </c>
      <c r="J116" s="4" t="str" cm="1">
        <f t="array" ref="J116">INDEX(Sheet1!F:F,$G116)</f>
        <v>B8</v>
      </c>
      <c r="K116" s="4" cm="1">
        <f t="array" ref="K116">INDEX(Sheet1!H:H,$G116)</f>
        <v>1E-3</v>
      </c>
      <c r="L116" s="4">
        <f t="shared" si="4"/>
        <v>14</v>
      </c>
      <c r="M116" s="4">
        <f t="shared" si="7"/>
        <v>5</v>
      </c>
    </row>
    <row r="117" spans="1:13">
      <c r="A117" s="4" t="str" cm="1">
        <f t="array" ref="A117">INDEX(Sheet1!A:A,$F117)</f>
        <v>M</v>
      </c>
      <c r="B117" s="4" t="str" cm="1">
        <f t="array" ref="B117">INDEX(Sheet1!B:B,$F117)</f>
        <v>Pref Best NS</v>
      </c>
      <c r="C117" s="4">
        <f t="shared" si="5"/>
        <v>15</v>
      </c>
      <c r="D117" s="5" cm="1">
        <f t="array" aca="1" ref="D117" ca="1">OFFSET(INDIRECT("'["&amp;$H117&amp;"]"&amp;$I117&amp;"'!"&amp;$J117),$L117,$M117)*$K117</f>
        <v>6.2E-4</v>
      </c>
      <c r="F117" s="4">
        <f t="shared" si="6"/>
        <v>3</v>
      </c>
      <c r="G117" s="4" cm="1">
        <f t="array" ref="G117">IF($C117+$M117&lt;16,INDEX(Sheet1!C:C,$F117),$F117)</f>
        <v>3</v>
      </c>
      <c r="H117" s="4" t="str" cm="1">
        <f t="array" ref="H117">INDEX(Sheet1!D:D,$G117)</f>
        <v>2001-cso-preferred-class-structure-mortality-tables.xls</v>
      </c>
      <c r="I117" s="4" t="str" cm="1">
        <f t="array" ref="I117">INDEX(Sheet1!E:E,$G117)</f>
        <v>A.1.a.ii</v>
      </c>
      <c r="J117" s="4" t="str" cm="1">
        <f t="array" ref="J117">INDEX(Sheet1!F:F,$G117)</f>
        <v>B8</v>
      </c>
      <c r="K117" s="4" cm="1">
        <f t="array" ref="K117">INDEX(Sheet1!H:H,$G117)</f>
        <v>1E-3</v>
      </c>
      <c r="L117" s="4">
        <f t="shared" si="4"/>
        <v>15</v>
      </c>
      <c r="M117" s="4">
        <f t="shared" si="7"/>
        <v>5</v>
      </c>
    </row>
    <row r="118" spans="1:13">
      <c r="A118" s="4" t="str" cm="1">
        <f t="array" ref="A118">INDEX(Sheet1!A:A,$F118)</f>
        <v>M</v>
      </c>
      <c r="B118" s="4" t="str" cm="1">
        <f t="array" ref="B118">INDEX(Sheet1!B:B,$F118)</f>
        <v>Pref Best NS</v>
      </c>
      <c r="C118" s="4">
        <f t="shared" si="5"/>
        <v>16</v>
      </c>
      <c r="D118" s="5" cm="1">
        <f t="array" aca="1" ref="D118" ca="1">OFFSET(INDIRECT("'["&amp;$H118&amp;"]"&amp;$I118&amp;"'!"&amp;$J118),$L118,$M118)*$K118</f>
        <v>6.3000000000000003E-4</v>
      </c>
      <c r="F118" s="4">
        <f t="shared" si="6"/>
        <v>3</v>
      </c>
      <c r="G118" s="4" cm="1">
        <f t="array" ref="G118">IF($C118+$M118&lt;16,INDEX(Sheet1!C:C,$F118),$F118)</f>
        <v>3</v>
      </c>
      <c r="H118" s="4" t="str" cm="1">
        <f t="array" ref="H118">INDEX(Sheet1!D:D,$G118)</f>
        <v>2001-cso-preferred-class-structure-mortality-tables.xls</v>
      </c>
      <c r="I118" s="4" t="str" cm="1">
        <f t="array" ref="I118">INDEX(Sheet1!E:E,$G118)</f>
        <v>A.1.a.ii</v>
      </c>
      <c r="J118" s="4" t="str" cm="1">
        <f t="array" ref="J118">INDEX(Sheet1!F:F,$G118)</f>
        <v>B8</v>
      </c>
      <c r="K118" s="4" cm="1">
        <f t="array" ref="K118">INDEX(Sheet1!H:H,$G118)</f>
        <v>1E-3</v>
      </c>
      <c r="L118" s="4">
        <f t="shared" si="4"/>
        <v>16</v>
      </c>
      <c r="M118" s="4">
        <f t="shared" si="7"/>
        <v>5</v>
      </c>
    </row>
    <row r="119" spans="1:13">
      <c r="A119" s="4" t="str" cm="1">
        <f t="array" ref="A119">INDEX(Sheet1!A:A,$F119)</f>
        <v>M</v>
      </c>
      <c r="B119" s="4" t="str" cm="1">
        <f t="array" ref="B119">INDEX(Sheet1!B:B,$F119)</f>
        <v>Pref Best NS</v>
      </c>
      <c r="C119" s="4">
        <f t="shared" si="5"/>
        <v>17</v>
      </c>
      <c r="D119" s="5" cm="1">
        <f t="array" aca="1" ref="D119" ca="1">OFFSET(INDIRECT("'["&amp;$H119&amp;"]"&amp;$I119&amp;"'!"&amp;$J119),$L119,$M119)*$K119</f>
        <v>6.2E-4</v>
      </c>
      <c r="F119" s="4">
        <f t="shared" si="6"/>
        <v>3</v>
      </c>
      <c r="G119" s="4" cm="1">
        <f t="array" ref="G119">IF($C119+$M119&lt;16,INDEX(Sheet1!C:C,$F119),$F119)</f>
        <v>3</v>
      </c>
      <c r="H119" s="4" t="str" cm="1">
        <f t="array" ref="H119">INDEX(Sheet1!D:D,$G119)</f>
        <v>2001-cso-preferred-class-structure-mortality-tables.xls</v>
      </c>
      <c r="I119" s="4" t="str" cm="1">
        <f t="array" ref="I119">INDEX(Sheet1!E:E,$G119)</f>
        <v>A.1.a.ii</v>
      </c>
      <c r="J119" s="4" t="str" cm="1">
        <f t="array" ref="J119">INDEX(Sheet1!F:F,$G119)</f>
        <v>B8</v>
      </c>
      <c r="K119" s="4" cm="1">
        <f t="array" ref="K119">INDEX(Sheet1!H:H,$G119)</f>
        <v>1E-3</v>
      </c>
      <c r="L119" s="4">
        <f t="shared" si="4"/>
        <v>17</v>
      </c>
      <c r="M119" s="4">
        <f t="shared" si="7"/>
        <v>5</v>
      </c>
    </row>
    <row r="120" spans="1:13">
      <c r="A120" s="4" t="str" cm="1">
        <f t="array" ref="A120">INDEX(Sheet1!A:A,$F120)</f>
        <v>M</v>
      </c>
      <c r="B120" s="4" t="str" cm="1">
        <f t="array" ref="B120">INDEX(Sheet1!B:B,$F120)</f>
        <v>Pref Best NS</v>
      </c>
      <c r="C120" s="4">
        <f t="shared" si="5"/>
        <v>18</v>
      </c>
      <c r="D120" s="5" cm="1">
        <f t="array" aca="1" ref="D120" ca="1">OFFSET(INDIRECT("'["&amp;$H120&amp;"]"&amp;$I120&amp;"'!"&amp;$J120),$L120,$M120)*$K120</f>
        <v>6.2E-4</v>
      </c>
      <c r="F120" s="4">
        <f t="shared" si="6"/>
        <v>3</v>
      </c>
      <c r="G120" s="4" cm="1">
        <f t="array" ref="G120">IF($C120+$M120&lt;16,INDEX(Sheet1!C:C,$F120),$F120)</f>
        <v>3</v>
      </c>
      <c r="H120" s="4" t="str" cm="1">
        <f t="array" ref="H120">INDEX(Sheet1!D:D,$G120)</f>
        <v>2001-cso-preferred-class-structure-mortality-tables.xls</v>
      </c>
      <c r="I120" s="4" t="str" cm="1">
        <f t="array" ref="I120">INDEX(Sheet1!E:E,$G120)</f>
        <v>A.1.a.ii</v>
      </c>
      <c r="J120" s="4" t="str" cm="1">
        <f t="array" ref="J120">INDEX(Sheet1!F:F,$G120)</f>
        <v>B8</v>
      </c>
      <c r="K120" s="4" cm="1">
        <f t="array" ref="K120">INDEX(Sheet1!H:H,$G120)</f>
        <v>1E-3</v>
      </c>
      <c r="L120" s="4">
        <f t="shared" si="4"/>
        <v>18</v>
      </c>
      <c r="M120" s="4">
        <f t="shared" si="7"/>
        <v>5</v>
      </c>
    </row>
    <row r="121" spans="1:13">
      <c r="A121" s="4" t="str" cm="1">
        <f t="array" ref="A121">INDEX(Sheet1!A:A,$F121)</f>
        <v>M</v>
      </c>
      <c r="B121" s="4" t="str" cm="1">
        <f t="array" ref="B121">INDEX(Sheet1!B:B,$F121)</f>
        <v>Pref Best NS</v>
      </c>
      <c r="C121" s="4">
        <f t="shared" si="5"/>
        <v>19</v>
      </c>
      <c r="D121" s="5" cm="1">
        <f t="array" aca="1" ref="D121" ca="1">OFFSET(INDIRECT("'["&amp;$H121&amp;"]"&amp;$I121&amp;"'!"&amp;$J121),$L121,$M121)*$K121</f>
        <v>5.9999999999999995E-4</v>
      </c>
      <c r="F121" s="4">
        <f t="shared" si="6"/>
        <v>3</v>
      </c>
      <c r="G121" s="4" cm="1">
        <f t="array" ref="G121">IF($C121+$M121&lt;16,INDEX(Sheet1!C:C,$F121),$F121)</f>
        <v>3</v>
      </c>
      <c r="H121" s="4" t="str" cm="1">
        <f t="array" ref="H121">INDEX(Sheet1!D:D,$G121)</f>
        <v>2001-cso-preferred-class-structure-mortality-tables.xls</v>
      </c>
      <c r="I121" s="4" t="str" cm="1">
        <f t="array" ref="I121">INDEX(Sheet1!E:E,$G121)</f>
        <v>A.1.a.ii</v>
      </c>
      <c r="J121" s="4" t="str" cm="1">
        <f t="array" ref="J121">INDEX(Sheet1!F:F,$G121)</f>
        <v>B8</v>
      </c>
      <c r="K121" s="4" cm="1">
        <f t="array" ref="K121">INDEX(Sheet1!H:H,$G121)</f>
        <v>1E-3</v>
      </c>
      <c r="L121" s="4">
        <f t="shared" si="4"/>
        <v>19</v>
      </c>
      <c r="M121" s="4">
        <f t="shared" si="7"/>
        <v>5</v>
      </c>
    </row>
    <row r="122" spans="1:13">
      <c r="A122" s="4" t="str" cm="1">
        <f t="array" ref="A122">INDEX(Sheet1!A:A,$F122)</f>
        <v>M</v>
      </c>
      <c r="B122" s="4" t="str" cm="1">
        <f t="array" ref="B122">INDEX(Sheet1!B:B,$F122)</f>
        <v>Pref Best NS</v>
      </c>
      <c r="C122" s="4">
        <f t="shared" si="5"/>
        <v>20</v>
      </c>
      <c r="D122" s="5" cm="1">
        <f t="array" aca="1" ref="D122" ca="1">OFFSET(INDIRECT("'["&amp;$H122&amp;"]"&amp;$I122&amp;"'!"&amp;$J122),$L122,$M122)*$K122</f>
        <v>5.9000000000000003E-4</v>
      </c>
      <c r="F122" s="4">
        <f t="shared" si="6"/>
        <v>3</v>
      </c>
      <c r="G122" s="4" cm="1">
        <f t="array" ref="G122">IF($C122+$M122&lt;16,INDEX(Sheet1!C:C,$F122),$F122)</f>
        <v>3</v>
      </c>
      <c r="H122" s="4" t="str" cm="1">
        <f t="array" ref="H122">INDEX(Sheet1!D:D,$G122)</f>
        <v>2001-cso-preferred-class-structure-mortality-tables.xls</v>
      </c>
      <c r="I122" s="4" t="str" cm="1">
        <f t="array" ref="I122">INDEX(Sheet1!E:E,$G122)</f>
        <v>A.1.a.ii</v>
      </c>
      <c r="J122" s="4" t="str" cm="1">
        <f t="array" ref="J122">INDEX(Sheet1!F:F,$G122)</f>
        <v>B8</v>
      </c>
      <c r="K122" s="4" cm="1">
        <f t="array" ref="K122">INDEX(Sheet1!H:H,$G122)</f>
        <v>1E-3</v>
      </c>
      <c r="L122" s="4">
        <f t="shared" si="4"/>
        <v>20</v>
      </c>
      <c r="M122" s="4">
        <f t="shared" si="7"/>
        <v>5</v>
      </c>
    </row>
    <row r="123" spans="1:13">
      <c r="A123" s="4" t="str" cm="1">
        <f t="array" ref="A123">INDEX(Sheet1!A:A,$F123)</f>
        <v>M</v>
      </c>
      <c r="B123" s="4" t="str" cm="1">
        <f t="array" ref="B123">INDEX(Sheet1!B:B,$F123)</f>
        <v>Pref Best NS</v>
      </c>
      <c r="C123" s="4">
        <f t="shared" si="5"/>
        <v>21</v>
      </c>
      <c r="D123" s="5" cm="1">
        <f t="array" aca="1" ref="D123" ca="1">OFFSET(INDIRECT("'["&amp;$H123&amp;"]"&amp;$I123&amp;"'!"&amp;$J123),$L123,$M123)*$K123</f>
        <v>5.5000000000000003E-4</v>
      </c>
      <c r="F123" s="4">
        <f t="shared" si="6"/>
        <v>3</v>
      </c>
      <c r="G123" s="4" cm="1">
        <f t="array" ref="G123">IF($C123+$M123&lt;16,INDEX(Sheet1!C:C,$F123),$F123)</f>
        <v>3</v>
      </c>
      <c r="H123" s="4" t="str" cm="1">
        <f t="array" ref="H123">INDEX(Sheet1!D:D,$G123)</f>
        <v>2001-cso-preferred-class-structure-mortality-tables.xls</v>
      </c>
      <c r="I123" s="4" t="str" cm="1">
        <f t="array" ref="I123">INDEX(Sheet1!E:E,$G123)</f>
        <v>A.1.a.ii</v>
      </c>
      <c r="J123" s="4" t="str" cm="1">
        <f t="array" ref="J123">INDEX(Sheet1!F:F,$G123)</f>
        <v>B8</v>
      </c>
      <c r="K123" s="4" cm="1">
        <f t="array" ref="K123">INDEX(Sheet1!H:H,$G123)</f>
        <v>1E-3</v>
      </c>
      <c r="L123" s="4">
        <f t="shared" si="4"/>
        <v>21</v>
      </c>
      <c r="M123" s="4">
        <f t="shared" si="7"/>
        <v>5</v>
      </c>
    </row>
    <row r="124" spans="1:13">
      <c r="A124" s="4" t="str" cm="1">
        <f t="array" ref="A124">INDEX(Sheet1!A:A,$F124)</f>
        <v>M</v>
      </c>
      <c r="B124" s="4" t="str" cm="1">
        <f t="array" ref="B124">INDEX(Sheet1!B:B,$F124)</f>
        <v>Pref Best NS</v>
      </c>
      <c r="C124" s="4">
        <f t="shared" si="5"/>
        <v>22</v>
      </c>
      <c r="D124" s="5" cm="1">
        <f t="array" aca="1" ref="D124" ca="1">OFFSET(INDIRECT("'["&amp;$H124&amp;"]"&amp;$I124&amp;"'!"&amp;$J124),$L124,$M124)*$K124</f>
        <v>5.4000000000000001E-4</v>
      </c>
      <c r="F124" s="4">
        <f t="shared" si="6"/>
        <v>3</v>
      </c>
      <c r="G124" s="4" cm="1">
        <f t="array" ref="G124">IF($C124+$M124&lt;16,INDEX(Sheet1!C:C,$F124),$F124)</f>
        <v>3</v>
      </c>
      <c r="H124" s="4" t="str" cm="1">
        <f t="array" ref="H124">INDEX(Sheet1!D:D,$G124)</f>
        <v>2001-cso-preferred-class-structure-mortality-tables.xls</v>
      </c>
      <c r="I124" s="4" t="str" cm="1">
        <f t="array" ref="I124">INDEX(Sheet1!E:E,$G124)</f>
        <v>A.1.a.ii</v>
      </c>
      <c r="J124" s="4" t="str" cm="1">
        <f t="array" ref="J124">INDEX(Sheet1!F:F,$G124)</f>
        <v>B8</v>
      </c>
      <c r="K124" s="4" cm="1">
        <f t="array" ref="K124">INDEX(Sheet1!H:H,$G124)</f>
        <v>1E-3</v>
      </c>
      <c r="L124" s="4">
        <f t="shared" si="4"/>
        <v>22</v>
      </c>
      <c r="M124" s="4">
        <f t="shared" si="7"/>
        <v>5</v>
      </c>
    </row>
    <row r="125" spans="1:13">
      <c r="A125" s="4" t="str" cm="1">
        <f t="array" ref="A125">INDEX(Sheet1!A:A,$F125)</f>
        <v>M</v>
      </c>
      <c r="B125" s="4" t="str" cm="1">
        <f t="array" ref="B125">INDEX(Sheet1!B:B,$F125)</f>
        <v>Pref Best NS</v>
      </c>
      <c r="C125" s="4">
        <f t="shared" si="5"/>
        <v>23</v>
      </c>
      <c r="D125" s="5" cm="1">
        <f t="array" aca="1" ref="D125" ca="1">OFFSET(INDIRECT("'["&amp;$H125&amp;"]"&amp;$I125&amp;"'!"&amp;$J125),$L125,$M125)*$K125</f>
        <v>5.3000000000000009E-4</v>
      </c>
      <c r="F125" s="4">
        <f t="shared" si="6"/>
        <v>3</v>
      </c>
      <c r="G125" s="4" cm="1">
        <f t="array" ref="G125">IF($C125+$M125&lt;16,INDEX(Sheet1!C:C,$F125),$F125)</f>
        <v>3</v>
      </c>
      <c r="H125" s="4" t="str" cm="1">
        <f t="array" ref="H125">INDEX(Sheet1!D:D,$G125)</f>
        <v>2001-cso-preferred-class-structure-mortality-tables.xls</v>
      </c>
      <c r="I125" s="4" t="str" cm="1">
        <f t="array" ref="I125">INDEX(Sheet1!E:E,$G125)</f>
        <v>A.1.a.ii</v>
      </c>
      <c r="J125" s="4" t="str" cm="1">
        <f t="array" ref="J125">INDEX(Sheet1!F:F,$G125)</f>
        <v>B8</v>
      </c>
      <c r="K125" s="4" cm="1">
        <f t="array" ref="K125">INDEX(Sheet1!H:H,$G125)</f>
        <v>1E-3</v>
      </c>
      <c r="L125" s="4">
        <f t="shared" si="4"/>
        <v>23</v>
      </c>
      <c r="M125" s="4">
        <f t="shared" si="7"/>
        <v>5</v>
      </c>
    </row>
    <row r="126" spans="1:13">
      <c r="A126" s="4" t="str" cm="1">
        <f t="array" ref="A126">INDEX(Sheet1!A:A,$F126)</f>
        <v>M</v>
      </c>
      <c r="B126" s="4" t="str" cm="1">
        <f t="array" ref="B126">INDEX(Sheet1!B:B,$F126)</f>
        <v>Pref Best NS</v>
      </c>
      <c r="C126" s="4">
        <f t="shared" si="5"/>
        <v>24</v>
      </c>
      <c r="D126" s="5" cm="1">
        <f t="array" aca="1" ref="D126" ca="1">OFFSET(INDIRECT("'["&amp;$H126&amp;"]"&amp;$I126&amp;"'!"&amp;$J126),$L126,$M126)*$K126</f>
        <v>5.4000000000000001E-4</v>
      </c>
      <c r="F126" s="4">
        <f t="shared" si="6"/>
        <v>3</v>
      </c>
      <c r="G126" s="4" cm="1">
        <f t="array" ref="G126">IF($C126+$M126&lt;16,INDEX(Sheet1!C:C,$F126),$F126)</f>
        <v>3</v>
      </c>
      <c r="H126" s="4" t="str" cm="1">
        <f t="array" ref="H126">INDEX(Sheet1!D:D,$G126)</f>
        <v>2001-cso-preferred-class-structure-mortality-tables.xls</v>
      </c>
      <c r="I126" s="4" t="str" cm="1">
        <f t="array" ref="I126">INDEX(Sheet1!E:E,$G126)</f>
        <v>A.1.a.ii</v>
      </c>
      <c r="J126" s="4" t="str" cm="1">
        <f t="array" ref="J126">INDEX(Sheet1!F:F,$G126)</f>
        <v>B8</v>
      </c>
      <c r="K126" s="4" cm="1">
        <f t="array" ref="K126">INDEX(Sheet1!H:H,$G126)</f>
        <v>1E-3</v>
      </c>
      <c r="L126" s="4">
        <f t="shared" si="4"/>
        <v>24</v>
      </c>
      <c r="M126" s="4">
        <f t="shared" si="7"/>
        <v>5</v>
      </c>
    </row>
    <row r="127" spans="1:13">
      <c r="A127" s="4" t="str" cm="1">
        <f t="array" ref="A127">INDEX(Sheet1!A:A,$F127)</f>
        <v>M</v>
      </c>
      <c r="B127" s="4" t="str" cm="1">
        <f t="array" ref="B127">INDEX(Sheet1!B:B,$F127)</f>
        <v>Pref Best NS</v>
      </c>
      <c r="C127" s="4">
        <f t="shared" si="5"/>
        <v>25</v>
      </c>
      <c r="D127" s="5" cm="1">
        <f t="array" aca="1" ref="D127" ca="1">OFFSET(INDIRECT("'["&amp;$H127&amp;"]"&amp;$I127&amp;"'!"&amp;$J127),$L127,$M127)*$K127</f>
        <v>5.5000000000000003E-4</v>
      </c>
      <c r="F127" s="4">
        <f t="shared" si="6"/>
        <v>3</v>
      </c>
      <c r="G127" s="4" cm="1">
        <f t="array" ref="G127">IF($C127+$M127&lt;16,INDEX(Sheet1!C:C,$F127),$F127)</f>
        <v>3</v>
      </c>
      <c r="H127" s="4" t="str" cm="1">
        <f t="array" ref="H127">INDEX(Sheet1!D:D,$G127)</f>
        <v>2001-cso-preferred-class-structure-mortality-tables.xls</v>
      </c>
      <c r="I127" s="4" t="str" cm="1">
        <f t="array" ref="I127">INDEX(Sheet1!E:E,$G127)</f>
        <v>A.1.a.ii</v>
      </c>
      <c r="J127" s="4" t="str" cm="1">
        <f t="array" ref="J127">INDEX(Sheet1!F:F,$G127)</f>
        <v>B8</v>
      </c>
      <c r="K127" s="4" cm="1">
        <f t="array" ref="K127">INDEX(Sheet1!H:H,$G127)</f>
        <v>1E-3</v>
      </c>
      <c r="L127" s="4">
        <f t="shared" si="4"/>
        <v>25</v>
      </c>
      <c r="M127" s="4">
        <f t="shared" si="7"/>
        <v>5</v>
      </c>
    </row>
    <row r="128" spans="1:13">
      <c r="A128" s="4" t="str" cm="1">
        <f t="array" ref="A128">INDEX(Sheet1!A:A,$F128)</f>
        <v>M</v>
      </c>
      <c r="B128" s="4" t="str" cm="1">
        <f t="array" ref="B128">INDEX(Sheet1!B:B,$F128)</f>
        <v>Pref Best NS</v>
      </c>
      <c r="C128" s="4">
        <f t="shared" si="5"/>
        <v>26</v>
      </c>
      <c r="D128" s="5" cm="1">
        <f t="array" aca="1" ref="D128" ca="1">OFFSET(INDIRECT("'["&amp;$H128&amp;"]"&amp;$I128&amp;"'!"&amp;$J128),$L128,$M128)*$K128</f>
        <v>5.6000000000000006E-4</v>
      </c>
      <c r="F128" s="4">
        <f t="shared" si="6"/>
        <v>3</v>
      </c>
      <c r="G128" s="4" cm="1">
        <f t="array" ref="G128">IF($C128+$M128&lt;16,INDEX(Sheet1!C:C,$F128),$F128)</f>
        <v>3</v>
      </c>
      <c r="H128" s="4" t="str" cm="1">
        <f t="array" ref="H128">INDEX(Sheet1!D:D,$G128)</f>
        <v>2001-cso-preferred-class-structure-mortality-tables.xls</v>
      </c>
      <c r="I128" s="4" t="str" cm="1">
        <f t="array" ref="I128">INDEX(Sheet1!E:E,$G128)</f>
        <v>A.1.a.ii</v>
      </c>
      <c r="J128" s="4" t="str" cm="1">
        <f t="array" ref="J128">INDEX(Sheet1!F:F,$G128)</f>
        <v>B8</v>
      </c>
      <c r="K128" s="4" cm="1">
        <f t="array" ref="K128">INDEX(Sheet1!H:H,$G128)</f>
        <v>1E-3</v>
      </c>
      <c r="L128" s="4">
        <f t="shared" si="4"/>
        <v>26</v>
      </c>
      <c r="M128" s="4">
        <f t="shared" si="7"/>
        <v>5</v>
      </c>
    </row>
    <row r="129" spans="1:13">
      <c r="A129" s="4" t="str" cm="1">
        <f t="array" ref="A129">INDEX(Sheet1!A:A,$F129)</f>
        <v>M</v>
      </c>
      <c r="B129" s="4" t="str" cm="1">
        <f t="array" ref="B129">INDEX(Sheet1!B:B,$F129)</f>
        <v>Pref Best NS</v>
      </c>
      <c r="C129" s="4">
        <f t="shared" si="5"/>
        <v>27</v>
      </c>
      <c r="D129" s="5" cm="1">
        <f t="array" aca="1" ref="D129" ca="1">OFFSET(INDIRECT("'["&amp;$H129&amp;"]"&amp;$I129&amp;"'!"&amp;$J129),$L129,$M129)*$K129</f>
        <v>5.8E-4</v>
      </c>
      <c r="F129" s="4">
        <f t="shared" si="6"/>
        <v>3</v>
      </c>
      <c r="G129" s="4" cm="1">
        <f t="array" ref="G129">IF($C129+$M129&lt;16,INDEX(Sheet1!C:C,$F129),$F129)</f>
        <v>3</v>
      </c>
      <c r="H129" s="4" t="str" cm="1">
        <f t="array" ref="H129">INDEX(Sheet1!D:D,$G129)</f>
        <v>2001-cso-preferred-class-structure-mortality-tables.xls</v>
      </c>
      <c r="I129" s="4" t="str" cm="1">
        <f t="array" ref="I129">INDEX(Sheet1!E:E,$G129)</f>
        <v>A.1.a.ii</v>
      </c>
      <c r="J129" s="4" t="str" cm="1">
        <f t="array" ref="J129">INDEX(Sheet1!F:F,$G129)</f>
        <v>B8</v>
      </c>
      <c r="K129" s="4" cm="1">
        <f t="array" ref="K129">INDEX(Sheet1!H:H,$G129)</f>
        <v>1E-3</v>
      </c>
      <c r="L129" s="4">
        <f t="shared" si="4"/>
        <v>27</v>
      </c>
      <c r="M129" s="4">
        <f t="shared" si="7"/>
        <v>5</v>
      </c>
    </row>
    <row r="130" spans="1:13">
      <c r="A130" s="4" t="str" cm="1">
        <f t="array" ref="A130">INDEX(Sheet1!A:A,$F130)</f>
        <v>M</v>
      </c>
      <c r="B130" s="4" t="str" cm="1">
        <f t="array" ref="B130">INDEX(Sheet1!B:B,$F130)</f>
        <v>Pref Best NS</v>
      </c>
      <c r="C130" s="4">
        <f t="shared" si="5"/>
        <v>28</v>
      </c>
      <c r="D130" s="5" cm="1">
        <f t="array" aca="1" ref="D130" ca="1">OFFSET(INDIRECT("'["&amp;$H130&amp;"]"&amp;$I130&amp;"'!"&amp;$J130),$L130,$M130)*$K130</f>
        <v>6.0999999999999997E-4</v>
      </c>
      <c r="F130" s="4">
        <f t="shared" si="6"/>
        <v>3</v>
      </c>
      <c r="G130" s="4" cm="1">
        <f t="array" ref="G130">IF($C130+$M130&lt;16,INDEX(Sheet1!C:C,$F130),$F130)</f>
        <v>3</v>
      </c>
      <c r="H130" s="4" t="str" cm="1">
        <f t="array" ref="H130">INDEX(Sheet1!D:D,$G130)</f>
        <v>2001-cso-preferred-class-structure-mortality-tables.xls</v>
      </c>
      <c r="I130" s="4" t="str" cm="1">
        <f t="array" ref="I130">INDEX(Sheet1!E:E,$G130)</f>
        <v>A.1.a.ii</v>
      </c>
      <c r="J130" s="4" t="str" cm="1">
        <f t="array" ref="J130">INDEX(Sheet1!F:F,$G130)</f>
        <v>B8</v>
      </c>
      <c r="K130" s="4" cm="1">
        <f t="array" ref="K130">INDEX(Sheet1!H:H,$G130)</f>
        <v>1E-3</v>
      </c>
      <c r="L130" s="4">
        <f t="shared" si="4"/>
        <v>28</v>
      </c>
      <c r="M130" s="4">
        <f t="shared" si="7"/>
        <v>5</v>
      </c>
    </row>
    <row r="131" spans="1:13">
      <c r="A131" s="4" t="str" cm="1">
        <f t="array" ref="A131">INDEX(Sheet1!A:A,$F131)</f>
        <v>M</v>
      </c>
      <c r="B131" s="4" t="str" cm="1">
        <f t="array" ref="B131">INDEX(Sheet1!B:B,$F131)</f>
        <v>Pref Best NS</v>
      </c>
      <c r="C131" s="4">
        <f t="shared" si="5"/>
        <v>29</v>
      </c>
      <c r="D131" s="5" cm="1">
        <f t="array" aca="1" ref="D131" ca="1">OFFSET(INDIRECT("'["&amp;$H131&amp;"]"&amp;$I131&amp;"'!"&amp;$J131),$L131,$M131)*$K131</f>
        <v>6.4000000000000005E-4</v>
      </c>
      <c r="F131" s="4">
        <f t="shared" si="6"/>
        <v>3</v>
      </c>
      <c r="G131" s="4" cm="1">
        <f t="array" ref="G131">IF($C131+$M131&lt;16,INDEX(Sheet1!C:C,$F131),$F131)</f>
        <v>3</v>
      </c>
      <c r="H131" s="4" t="str" cm="1">
        <f t="array" ref="H131">INDEX(Sheet1!D:D,$G131)</f>
        <v>2001-cso-preferred-class-structure-mortality-tables.xls</v>
      </c>
      <c r="I131" s="4" t="str" cm="1">
        <f t="array" ref="I131">INDEX(Sheet1!E:E,$G131)</f>
        <v>A.1.a.ii</v>
      </c>
      <c r="J131" s="4" t="str" cm="1">
        <f t="array" ref="J131">INDEX(Sheet1!F:F,$G131)</f>
        <v>B8</v>
      </c>
      <c r="K131" s="4" cm="1">
        <f t="array" ref="K131">INDEX(Sheet1!H:H,$G131)</f>
        <v>1E-3</v>
      </c>
      <c r="L131" s="4">
        <f t="shared" ref="L131:L194" si="8">C131</f>
        <v>29</v>
      </c>
      <c r="M131" s="4">
        <f t="shared" si="7"/>
        <v>5</v>
      </c>
    </row>
    <row r="132" spans="1:13">
      <c r="A132" s="4" t="str" cm="1">
        <f t="array" ref="A132">INDEX(Sheet1!A:A,$F132)</f>
        <v>M</v>
      </c>
      <c r="B132" s="4" t="str" cm="1">
        <f t="array" ref="B132">INDEX(Sheet1!B:B,$F132)</f>
        <v>Pref Best NS</v>
      </c>
      <c r="C132" s="4">
        <f t="shared" ref="C132:C195" si="9">IF(C131=99,0,C131+1)</f>
        <v>30</v>
      </c>
      <c r="D132" s="5" cm="1">
        <f t="array" aca="1" ref="D132" ca="1">OFFSET(INDIRECT("'["&amp;$H132&amp;"]"&amp;$I132&amp;"'!"&amp;$J132),$L132,$M132)*$K132</f>
        <v>6.8999999999999997E-4</v>
      </c>
      <c r="F132" s="4">
        <f t="shared" ref="F132:F195" si="10">IF(C132=0,1,0)+F131</f>
        <v>3</v>
      </c>
      <c r="G132" s="4" cm="1">
        <f t="array" ref="G132">IF($C132+$M132&lt;16,INDEX(Sheet1!C:C,$F132),$F132)</f>
        <v>3</v>
      </c>
      <c r="H132" s="4" t="str" cm="1">
        <f t="array" ref="H132">INDEX(Sheet1!D:D,$G132)</f>
        <v>2001-cso-preferred-class-structure-mortality-tables.xls</v>
      </c>
      <c r="I132" s="4" t="str" cm="1">
        <f t="array" ref="I132">INDEX(Sheet1!E:E,$G132)</f>
        <v>A.1.a.ii</v>
      </c>
      <c r="J132" s="4" t="str" cm="1">
        <f t="array" ref="J132">INDEX(Sheet1!F:F,$G132)</f>
        <v>B8</v>
      </c>
      <c r="K132" s="4" cm="1">
        <f t="array" ref="K132">INDEX(Sheet1!H:H,$G132)</f>
        <v>1E-3</v>
      </c>
      <c r="L132" s="4">
        <f t="shared" si="8"/>
        <v>30</v>
      </c>
      <c r="M132" s="4">
        <f t="shared" ref="L132:M195" si="11">M$2</f>
        <v>5</v>
      </c>
    </row>
    <row r="133" spans="1:13">
      <c r="A133" s="4" t="str" cm="1">
        <f t="array" ref="A133">INDEX(Sheet1!A:A,$F133)</f>
        <v>M</v>
      </c>
      <c r="B133" s="4" t="str" cm="1">
        <f t="array" ref="B133">INDEX(Sheet1!B:B,$F133)</f>
        <v>Pref Best NS</v>
      </c>
      <c r="C133" s="4">
        <f t="shared" si="9"/>
        <v>31</v>
      </c>
      <c r="D133" s="5" cm="1">
        <f t="array" aca="1" ref="D133" ca="1">OFFSET(INDIRECT("'["&amp;$H133&amp;"]"&amp;$I133&amp;"'!"&amp;$J133),$L133,$M133)*$K133</f>
        <v>7.2999999999999996E-4</v>
      </c>
      <c r="F133" s="4">
        <f t="shared" si="10"/>
        <v>3</v>
      </c>
      <c r="G133" s="4" cm="1">
        <f t="array" ref="G133">IF($C133+$M133&lt;16,INDEX(Sheet1!C:C,$F133),$F133)</f>
        <v>3</v>
      </c>
      <c r="H133" s="4" t="str" cm="1">
        <f t="array" ref="H133">INDEX(Sheet1!D:D,$G133)</f>
        <v>2001-cso-preferred-class-structure-mortality-tables.xls</v>
      </c>
      <c r="I133" s="4" t="str" cm="1">
        <f t="array" ref="I133">INDEX(Sheet1!E:E,$G133)</f>
        <v>A.1.a.ii</v>
      </c>
      <c r="J133" s="4" t="str" cm="1">
        <f t="array" ref="J133">INDEX(Sheet1!F:F,$G133)</f>
        <v>B8</v>
      </c>
      <c r="K133" s="4" cm="1">
        <f t="array" ref="K133">INDEX(Sheet1!H:H,$G133)</f>
        <v>1E-3</v>
      </c>
      <c r="L133" s="4">
        <f t="shared" si="8"/>
        <v>31</v>
      </c>
      <c r="M133" s="4">
        <f t="shared" si="11"/>
        <v>5</v>
      </c>
    </row>
    <row r="134" spans="1:13">
      <c r="A134" s="4" t="str" cm="1">
        <f t="array" ref="A134">INDEX(Sheet1!A:A,$F134)</f>
        <v>M</v>
      </c>
      <c r="B134" s="4" t="str" cm="1">
        <f t="array" ref="B134">INDEX(Sheet1!B:B,$F134)</f>
        <v>Pref Best NS</v>
      </c>
      <c r="C134" s="4">
        <f t="shared" si="9"/>
        <v>32</v>
      </c>
      <c r="D134" s="5" cm="1">
        <f t="array" aca="1" ref="D134" ca="1">OFFSET(INDIRECT("'["&amp;$H134&amp;"]"&amp;$I134&amp;"'!"&amp;$J134),$L134,$M134)*$K134</f>
        <v>7.3999999999999999E-4</v>
      </c>
      <c r="F134" s="4">
        <f t="shared" si="10"/>
        <v>3</v>
      </c>
      <c r="G134" s="4" cm="1">
        <f t="array" ref="G134">IF($C134+$M134&lt;16,INDEX(Sheet1!C:C,$F134),$F134)</f>
        <v>3</v>
      </c>
      <c r="H134" s="4" t="str" cm="1">
        <f t="array" ref="H134">INDEX(Sheet1!D:D,$G134)</f>
        <v>2001-cso-preferred-class-structure-mortality-tables.xls</v>
      </c>
      <c r="I134" s="4" t="str" cm="1">
        <f t="array" ref="I134">INDEX(Sheet1!E:E,$G134)</f>
        <v>A.1.a.ii</v>
      </c>
      <c r="J134" s="4" t="str" cm="1">
        <f t="array" ref="J134">INDEX(Sheet1!F:F,$G134)</f>
        <v>B8</v>
      </c>
      <c r="K134" s="4" cm="1">
        <f t="array" ref="K134">INDEX(Sheet1!H:H,$G134)</f>
        <v>1E-3</v>
      </c>
      <c r="L134" s="4">
        <f t="shared" si="8"/>
        <v>32</v>
      </c>
      <c r="M134" s="4">
        <f t="shared" si="11"/>
        <v>5</v>
      </c>
    </row>
    <row r="135" spans="1:13">
      <c r="A135" s="4" t="str" cm="1">
        <f t="array" ref="A135">INDEX(Sheet1!A:A,$F135)</f>
        <v>M</v>
      </c>
      <c r="B135" s="4" t="str" cm="1">
        <f t="array" ref="B135">INDEX(Sheet1!B:B,$F135)</f>
        <v>Pref Best NS</v>
      </c>
      <c r="C135" s="4">
        <f t="shared" si="9"/>
        <v>33</v>
      </c>
      <c r="D135" s="5" cm="1">
        <f t="array" aca="1" ref="D135" ca="1">OFFSET(INDIRECT("'["&amp;$H135&amp;"]"&amp;$I135&amp;"'!"&amp;$J135),$L135,$M135)*$K135</f>
        <v>7.9000000000000001E-4</v>
      </c>
      <c r="F135" s="4">
        <f t="shared" si="10"/>
        <v>3</v>
      </c>
      <c r="G135" s="4" cm="1">
        <f t="array" ref="G135">IF($C135+$M135&lt;16,INDEX(Sheet1!C:C,$F135),$F135)</f>
        <v>3</v>
      </c>
      <c r="H135" s="4" t="str" cm="1">
        <f t="array" ref="H135">INDEX(Sheet1!D:D,$G135)</f>
        <v>2001-cso-preferred-class-structure-mortality-tables.xls</v>
      </c>
      <c r="I135" s="4" t="str" cm="1">
        <f t="array" ref="I135">INDEX(Sheet1!E:E,$G135)</f>
        <v>A.1.a.ii</v>
      </c>
      <c r="J135" s="4" t="str" cm="1">
        <f t="array" ref="J135">INDEX(Sheet1!F:F,$G135)</f>
        <v>B8</v>
      </c>
      <c r="K135" s="4" cm="1">
        <f t="array" ref="K135">INDEX(Sheet1!H:H,$G135)</f>
        <v>1E-3</v>
      </c>
      <c r="L135" s="4">
        <f t="shared" si="8"/>
        <v>33</v>
      </c>
      <c r="M135" s="4">
        <f t="shared" si="11"/>
        <v>5</v>
      </c>
    </row>
    <row r="136" spans="1:13">
      <c r="A136" s="4" t="str" cm="1">
        <f t="array" ref="A136">INDEX(Sheet1!A:A,$F136)</f>
        <v>M</v>
      </c>
      <c r="B136" s="4" t="str" cm="1">
        <f t="array" ref="B136">INDEX(Sheet1!B:B,$F136)</f>
        <v>Pref Best NS</v>
      </c>
      <c r="C136" s="4">
        <f t="shared" si="9"/>
        <v>34</v>
      </c>
      <c r="D136" s="5" cm="1">
        <f t="array" aca="1" ref="D136" ca="1">OFFSET(INDIRECT("'["&amp;$H136&amp;"]"&amp;$I136&amp;"'!"&amp;$J136),$L136,$M136)*$K136</f>
        <v>8.3000000000000001E-4</v>
      </c>
      <c r="F136" s="4">
        <f t="shared" si="10"/>
        <v>3</v>
      </c>
      <c r="G136" s="4" cm="1">
        <f t="array" ref="G136">IF($C136+$M136&lt;16,INDEX(Sheet1!C:C,$F136),$F136)</f>
        <v>3</v>
      </c>
      <c r="H136" s="4" t="str" cm="1">
        <f t="array" ref="H136">INDEX(Sheet1!D:D,$G136)</f>
        <v>2001-cso-preferred-class-structure-mortality-tables.xls</v>
      </c>
      <c r="I136" s="4" t="str" cm="1">
        <f t="array" ref="I136">INDEX(Sheet1!E:E,$G136)</f>
        <v>A.1.a.ii</v>
      </c>
      <c r="J136" s="4" t="str" cm="1">
        <f t="array" ref="J136">INDEX(Sheet1!F:F,$G136)</f>
        <v>B8</v>
      </c>
      <c r="K136" s="4" cm="1">
        <f t="array" ref="K136">INDEX(Sheet1!H:H,$G136)</f>
        <v>1E-3</v>
      </c>
      <c r="L136" s="4">
        <f t="shared" si="8"/>
        <v>34</v>
      </c>
      <c r="M136" s="4">
        <f t="shared" si="11"/>
        <v>5</v>
      </c>
    </row>
    <row r="137" spans="1:13">
      <c r="A137" s="4" t="str" cm="1">
        <f t="array" ref="A137">INDEX(Sheet1!A:A,$F137)</f>
        <v>M</v>
      </c>
      <c r="B137" s="4" t="str" cm="1">
        <f t="array" ref="B137">INDEX(Sheet1!B:B,$F137)</f>
        <v>Pref Best NS</v>
      </c>
      <c r="C137" s="4">
        <f t="shared" si="9"/>
        <v>35</v>
      </c>
      <c r="D137" s="5" cm="1">
        <f t="array" aca="1" ref="D137" ca="1">OFFSET(INDIRECT("'["&amp;$H137&amp;"]"&amp;$I137&amp;"'!"&amp;$J137),$L137,$M137)*$K137</f>
        <v>8.8000000000000003E-4</v>
      </c>
      <c r="F137" s="4">
        <f t="shared" si="10"/>
        <v>3</v>
      </c>
      <c r="G137" s="4" cm="1">
        <f t="array" ref="G137">IF($C137+$M137&lt;16,INDEX(Sheet1!C:C,$F137),$F137)</f>
        <v>3</v>
      </c>
      <c r="H137" s="4" t="str" cm="1">
        <f t="array" ref="H137">INDEX(Sheet1!D:D,$G137)</f>
        <v>2001-cso-preferred-class-structure-mortality-tables.xls</v>
      </c>
      <c r="I137" s="4" t="str" cm="1">
        <f t="array" ref="I137">INDEX(Sheet1!E:E,$G137)</f>
        <v>A.1.a.ii</v>
      </c>
      <c r="J137" s="4" t="str" cm="1">
        <f t="array" ref="J137">INDEX(Sheet1!F:F,$G137)</f>
        <v>B8</v>
      </c>
      <c r="K137" s="4" cm="1">
        <f t="array" ref="K137">INDEX(Sheet1!H:H,$G137)</f>
        <v>1E-3</v>
      </c>
      <c r="L137" s="4">
        <f t="shared" si="8"/>
        <v>35</v>
      </c>
      <c r="M137" s="4">
        <f t="shared" si="11"/>
        <v>5</v>
      </c>
    </row>
    <row r="138" spans="1:13">
      <c r="A138" s="4" t="str" cm="1">
        <f t="array" ref="A138">INDEX(Sheet1!A:A,$F138)</f>
        <v>M</v>
      </c>
      <c r="B138" s="4" t="str" cm="1">
        <f t="array" ref="B138">INDEX(Sheet1!B:B,$F138)</f>
        <v>Pref Best NS</v>
      </c>
      <c r="C138" s="4">
        <f t="shared" si="9"/>
        <v>36</v>
      </c>
      <c r="D138" s="5" cm="1">
        <f t="array" aca="1" ref="D138" ca="1">OFFSET(INDIRECT("'["&amp;$H138&amp;"]"&amp;$I138&amp;"'!"&amp;$J138),$L138,$M138)*$K138</f>
        <v>9.2000000000000003E-4</v>
      </c>
      <c r="F138" s="4">
        <f t="shared" si="10"/>
        <v>3</v>
      </c>
      <c r="G138" s="4" cm="1">
        <f t="array" ref="G138">IF($C138+$M138&lt;16,INDEX(Sheet1!C:C,$F138),$F138)</f>
        <v>3</v>
      </c>
      <c r="H138" s="4" t="str" cm="1">
        <f t="array" ref="H138">INDEX(Sheet1!D:D,$G138)</f>
        <v>2001-cso-preferred-class-structure-mortality-tables.xls</v>
      </c>
      <c r="I138" s="4" t="str" cm="1">
        <f t="array" ref="I138">INDEX(Sheet1!E:E,$G138)</f>
        <v>A.1.a.ii</v>
      </c>
      <c r="J138" s="4" t="str" cm="1">
        <f t="array" ref="J138">INDEX(Sheet1!F:F,$G138)</f>
        <v>B8</v>
      </c>
      <c r="K138" s="4" cm="1">
        <f t="array" ref="K138">INDEX(Sheet1!H:H,$G138)</f>
        <v>1E-3</v>
      </c>
      <c r="L138" s="4">
        <f t="shared" si="8"/>
        <v>36</v>
      </c>
      <c r="M138" s="4">
        <f t="shared" si="11"/>
        <v>5</v>
      </c>
    </row>
    <row r="139" spans="1:13">
      <c r="A139" s="4" t="str" cm="1">
        <f t="array" ref="A139">INDEX(Sheet1!A:A,$F139)</f>
        <v>M</v>
      </c>
      <c r="B139" s="4" t="str" cm="1">
        <f t="array" ref="B139">INDEX(Sheet1!B:B,$F139)</f>
        <v>Pref Best NS</v>
      </c>
      <c r="C139" s="4">
        <f t="shared" si="9"/>
        <v>37</v>
      </c>
      <c r="D139" s="5" cm="1">
        <f t="array" aca="1" ref="D139" ca="1">OFFSET(INDIRECT("'["&amp;$H139&amp;"]"&amp;$I139&amp;"'!"&amp;$J139),$L139,$M139)*$K139</f>
        <v>9.6999999999999994E-4</v>
      </c>
      <c r="F139" s="4">
        <f t="shared" si="10"/>
        <v>3</v>
      </c>
      <c r="G139" s="4" cm="1">
        <f t="array" ref="G139">IF($C139+$M139&lt;16,INDEX(Sheet1!C:C,$F139),$F139)</f>
        <v>3</v>
      </c>
      <c r="H139" s="4" t="str" cm="1">
        <f t="array" ref="H139">INDEX(Sheet1!D:D,$G139)</f>
        <v>2001-cso-preferred-class-structure-mortality-tables.xls</v>
      </c>
      <c r="I139" s="4" t="str" cm="1">
        <f t="array" ref="I139">INDEX(Sheet1!E:E,$G139)</f>
        <v>A.1.a.ii</v>
      </c>
      <c r="J139" s="4" t="str" cm="1">
        <f t="array" ref="J139">INDEX(Sheet1!F:F,$G139)</f>
        <v>B8</v>
      </c>
      <c r="K139" s="4" cm="1">
        <f t="array" ref="K139">INDEX(Sheet1!H:H,$G139)</f>
        <v>1E-3</v>
      </c>
      <c r="L139" s="4">
        <f t="shared" si="8"/>
        <v>37</v>
      </c>
      <c r="M139" s="4">
        <f t="shared" si="11"/>
        <v>5</v>
      </c>
    </row>
    <row r="140" spans="1:13">
      <c r="A140" s="4" t="str" cm="1">
        <f t="array" ref="A140">INDEX(Sheet1!A:A,$F140)</f>
        <v>M</v>
      </c>
      <c r="B140" s="4" t="str" cm="1">
        <f t="array" ref="B140">INDEX(Sheet1!B:B,$F140)</f>
        <v>Pref Best NS</v>
      </c>
      <c r="C140" s="4">
        <f t="shared" si="9"/>
        <v>38</v>
      </c>
      <c r="D140" s="5" cm="1">
        <f t="array" aca="1" ref="D140" ca="1">OFFSET(INDIRECT("'["&amp;$H140&amp;"]"&amp;$I140&amp;"'!"&amp;$J140),$L140,$M140)*$K140</f>
        <v>1.0400000000000001E-3</v>
      </c>
      <c r="F140" s="4">
        <f t="shared" si="10"/>
        <v>3</v>
      </c>
      <c r="G140" s="4" cm="1">
        <f t="array" ref="G140">IF($C140+$M140&lt;16,INDEX(Sheet1!C:C,$F140),$F140)</f>
        <v>3</v>
      </c>
      <c r="H140" s="4" t="str" cm="1">
        <f t="array" ref="H140">INDEX(Sheet1!D:D,$G140)</f>
        <v>2001-cso-preferred-class-structure-mortality-tables.xls</v>
      </c>
      <c r="I140" s="4" t="str" cm="1">
        <f t="array" ref="I140">INDEX(Sheet1!E:E,$G140)</f>
        <v>A.1.a.ii</v>
      </c>
      <c r="J140" s="4" t="str" cm="1">
        <f t="array" ref="J140">INDEX(Sheet1!F:F,$G140)</f>
        <v>B8</v>
      </c>
      <c r="K140" s="4" cm="1">
        <f t="array" ref="K140">INDEX(Sheet1!H:H,$G140)</f>
        <v>1E-3</v>
      </c>
      <c r="L140" s="4">
        <f t="shared" si="8"/>
        <v>38</v>
      </c>
      <c r="M140" s="4">
        <f t="shared" si="11"/>
        <v>5</v>
      </c>
    </row>
    <row r="141" spans="1:13">
      <c r="A141" s="4" t="str" cm="1">
        <f t="array" ref="A141">INDEX(Sheet1!A:A,$F141)</f>
        <v>M</v>
      </c>
      <c r="B141" s="4" t="str" cm="1">
        <f t="array" ref="B141">INDEX(Sheet1!B:B,$F141)</f>
        <v>Pref Best NS</v>
      </c>
      <c r="C141" s="4">
        <f t="shared" si="9"/>
        <v>39</v>
      </c>
      <c r="D141" s="5" cm="1">
        <f t="array" aca="1" ref="D141" ca="1">OFFSET(INDIRECT("'["&amp;$H141&amp;"]"&amp;$I141&amp;"'!"&amp;$J141),$L141,$M141)*$K141</f>
        <v>1.1299999999999999E-3</v>
      </c>
      <c r="F141" s="4">
        <f t="shared" si="10"/>
        <v>3</v>
      </c>
      <c r="G141" s="4" cm="1">
        <f t="array" ref="G141">IF($C141+$M141&lt;16,INDEX(Sheet1!C:C,$F141),$F141)</f>
        <v>3</v>
      </c>
      <c r="H141" s="4" t="str" cm="1">
        <f t="array" ref="H141">INDEX(Sheet1!D:D,$G141)</f>
        <v>2001-cso-preferred-class-structure-mortality-tables.xls</v>
      </c>
      <c r="I141" s="4" t="str" cm="1">
        <f t="array" ref="I141">INDEX(Sheet1!E:E,$G141)</f>
        <v>A.1.a.ii</v>
      </c>
      <c r="J141" s="4" t="str" cm="1">
        <f t="array" ref="J141">INDEX(Sheet1!F:F,$G141)</f>
        <v>B8</v>
      </c>
      <c r="K141" s="4" cm="1">
        <f t="array" ref="K141">INDEX(Sheet1!H:H,$G141)</f>
        <v>1E-3</v>
      </c>
      <c r="L141" s="4">
        <f t="shared" si="8"/>
        <v>39</v>
      </c>
      <c r="M141" s="4">
        <f t="shared" si="11"/>
        <v>5</v>
      </c>
    </row>
    <row r="142" spans="1:13">
      <c r="A142" s="4" t="str" cm="1">
        <f t="array" ref="A142">INDEX(Sheet1!A:A,$F142)</f>
        <v>M</v>
      </c>
      <c r="B142" s="4" t="str" cm="1">
        <f t="array" ref="B142">INDEX(Sheet1!B:B,$F142)</f>
        <v>Pref Best NS</v>
      </c>
      <c r="C142" s="4">
        <f t="shared" si="9"/>
        <v>40</v>
      </c>
      <c r="D142" s="5" cm="1">
        <f t="array" aca="1" ref="D142" ca="1">OFFSET(INDIRECT("'["&amp;$H142&amp;"]"&amp;$I142&amp;"'!"&amp;$J142),$L142,$M142)*$K142</f>
        <v>1.25E-3</v>
      </c>
      <c r="F142" s="4">
        <f t="shared" si="10"/>
        <v>3</v>
      </c>
      <c r="G142" s="4" cm="1">
        <f t="array" ref="G142">IF($C142+$M142&lt;16,INDEX(Sheet1!C:C,$F142),$F142)</f>
        <v>3</v>
      </c>
      <c r="H142" s="4" t="str" cm="1">
        <f t="array" ref="H142">INDEX(Sheet1!D:D,$G142)</f>
        <v>2001-cso-preferred-class-structure-mortality-tables.xls</v>
      </c>
      <c r="I142" s="4" t="str" cm="1">
        <f t="array" ref="I142">INDEX(Sheet1!E:E,$G142)</f>
        <v>A.1.a.ii</v>
      </c>
      <c r="J142" s="4" t="str" cm="1">
        <f t="array" ref="J142">INDEX(Sheet1!F:F,$G142)</f>
        <v>B8</v>
      </c>
      <c r="K142" s="4" cm="1">
        <f t="array" ref="K142">INDEX(Sheet1!H:H,$G142)</f>
        <v>1E-3</v>
      </c>
      <c r="L142" s="4">
        <f t="shared" si="8"/>
        <v>40</v>
      </c>
      <c r="M142" s="4">
        <f t="shared" si="11"/>
        <v>5</v>
      </c>
    </row>
    <row r="143" spans="1:13">
      <c r="A143" s="4" t="str" cm="1">
        <f t="array" ref="A143">INDEX(Sheet1!A:A,$F143)</f>
        <v>M</v>
      </c>
      <c r="B143" s="4" t="str" cm="1">
        <f t="array" ref="B143">INDEX(Sheet1!B:B,$F143)</f>
        <v>Pref Best NS</v>
      </c>
      <c r="C143" s="4">
        <f t="shared" si="9"/>
        <v>41</v>
      </c>
      <c r="D143" s="5" cm="1">
        <f t="array" aca="1" ref="D143" ca="1">OFFSET(INDIRECT("'["&amp;$H143&amp;"]"&amp;$I143&amp;"'!"&amp;$J143),$L143,$M143)*$K143</f>
        <v>1.3700000000000001E-3</v>
      </c>
      <c r="F143" s="4">
        <f t="shared" si="10"/>
        <v>3</v>
      </c>
      <c r="G143" s="4" cm="1">
        <f t="array" ref="G143">IF($C143+$M143&lt;16,INDEX(Sheet1!C:C,$F143),$F143)</f>
        <v>3</v>
      </c>
      <c r="H143" s="4" t="str" cm="1">
        <f t="array" ref="H143">INDEX(Sheet1!D:D,$G143)</f>
        <v>2001-cso-preferred-class-structure-mortality-tables.xls</v>
      </c>
      <c r="I143" s="4" t="str" cm="1">
        <f t="array" ref="I143">INDEX(Sheet1!E:E,$G143)</f>
        <v>A.1.a.ii</v>
      </c>
      <c r="J143" s="4" t="str" cm="1">
        <f t="array" ref="J143">INDEX(Sheet1!F:F,$G143)</f>
        <v>B8</v>
      </c>
      <c r="K143" s="4" cm="1">
        <f t="array" ref="K143">INDEX(Sheet1!H:H,$G143)</f>
        <v>1E-3</v>
      </c>
      <c r="L143" s="4">
        <f t="shared" si="8"/>
        <v>41</v>
      </c>
      <c r="M143" s="4">
        <f t="shared" si="11"/>
        <v>5</v>
      </c>
    </row>
    <row r="144" spans="1:13">
      <c r="A144" s="4" t="str" cm="1">
        <f t="array" ref="A144">INDEX(Sheet1!A:A,$F144)</f>
        <v>M</v>
      </c>
      <c r="B144" s="4" t="str" cm="1">
        <f t="array" ref="B144">INDEX(Sheet1!B:B,$F144)</f>
        <v>Pref Best NS</v>
      </c>
      <c r="C144" s="4">
        <f t="shared" si="9"/>
        <v>42</v>
      </c>
      <c r="D144" s="5" cm="1">
        <f t="array" aca="1" ref="D144" ca="1">OFFSET(INDIRECT("'["&amp;$H144&amp;"]"&amp;$I144&amp;"'!"&amp;$J144),$L144,$M144)*$K144</f>
        <v>1.5E-3</v>
      </c>
      <c r="F144" s="4">
        <f t="shared" si="10"/>
        <v>3</v>
      </c>
      <c r="G144" s="4" cm="1">
        <f t="array" ref="G144">IF($C144+$M144&lt;16,INDEX(Sheet1!C:C,$F144),$F144)</f>
        <v>3</v>
      </c>
      <c r="H144" s="4" t="str" cm="1">
        <f t="array" ref="H144">INDEX(Sheet1!D:D,$G144)</f>
        <v>2001-cso-preferred-class-structure-mortality-tables.xls</v>
      </c>
      <c r="I144" s="4" t="str" cm="1">
        <f t="array" ref="I144">INDEX(Sheet1!E:E,$G144)</f>
        <v>A.1.a.ii</v>
      </c>
      <c r="J144" s="4" t="str" cm="1">
        <f t="array" ref="J144">INDEX(Sheet1!F:F,$G144)</f>
        <v>B8</v>
      </c>
      <c r="K144" s="4" cm="1">
        <f t="array" ref="K144">INDEX(Sheet1!H:H,$G144)</f>
        <v>1E-3</v>
      </c>
      <c r="L144" s="4">
        <f t="shared" si="8"/>
        <v>42</v>
      </c>
      <c r="M144" s="4">
        <f t="shared" si="11"/>
        <v>5</v>
      </c>
    </row>
    <row r="145" spans="1:13">
      <c r="A145" s="4" t="str" cm="1">
        <f t="array" ref="A145">INDEX(Sheet1!A:A,$F145)</f>
        <v>M</v>
      </c>
      <c r="B145" s="4" t="str" cm="1">
        <f t="array" ref="B145">INDEX(Sheet1!B:B,$F145)</f>
        <v>Pref Best NS</v>
      </c>
      <c r="C145" s="4">
        <f t="shared" si="9"/>
        <v>43</v>
      </c>
      <c r="D145" s="5" cm="1">
        <f t="array" aca="1" ref="D145" ca="1">OFFSET(INDIRECT("'["&amp;$H145&amp;"]"&amp;$I145&amp;"'!"&amp;$J145),$L145,$M145)*$K145</f>
        <v>1.5900000000000001E-3</v>
      </c>
      <c r="F145" s="4">
        <f t="shared" si="10"/>
        <v>3</v>
      </c>
      <c r="G145" s="4" cm="1">
        <f t="array" ref="G145">IF($C145+$M145&lt;16,INDEX(Sheet1!C:C,$F145),$F145)</f>
        <v>3</v>
      </c>
      <c r="H145" s="4" t="str" cm="1">
        <f t="array" ref="H145">INDEX(Sheet1!D:D,$G145)</f>
        <v>2001-cso-preferred-class-structure-mortality-tables.xls</v>
      </c>
      <c r="I145" s="4" t="str" cm="1">
        <f t="array" ref="I145">INDEX(Sheet1!E:E,$G145)</f>
        <v>A.1.a.ii</v>
      </c>
      <c r="J145" s="4" t="str" cm="1">
        <f t="array" ref="J145">INDEX(Sheet1!F:F,$G145)</f>
        <v>B8</v>
      </c>
      <c r="K145" s="4" cm="1">
        <f t="array" ref="K145">INDEX(Sheet1!H:H,$G145)</f>
        <v>1E-3</v>
      </c>
      <c r="L145" s="4">
        <f t="shared" si="8"/>
        <v>43</v>
      </c>
      <c r="M145" s="4">
        <f t="shared" si="11"/>
        <v>5</v>
      </c>
    </row>
    <row r="146" spans="1:13">
      <c r="A146" s="4" t="str" cm="1">
        <f t="array" ref="A146">INDEX(Sheet1!A:A,$F146)</f>
        <v>M</v>
      </c>
      <c r="B146" s="4" t="str" cm="1">
        <f t="array" ref="B146">INDEX(Sheet1!B:B,$F146)</f>
        <v>Pref Best NS</v>
      </c>
      <c r="C146" s="4">
        <f t="shared" si="9"/>
        <v>44</v>
      </c>
      <c r="D146" s="5" cm="1">
        <f t="array" aca="1" ref="D146" ca="1">OFFSET(INDIRECT("'["&amp;$H146&amp;"]"&amp;$I146&amp;"'!"&amp;$J146),$L146,$M146)*$K146</f>
        <v>1.6899999999999999E-3</v>
      </c>
      <c r="F146" s="4">
        <f t="shared" si="10"/>
        <v>3</v>
      </c>
      <c r="G146" s="4" cm="1">
        <f t="array" ref="G146">IF($C146+$M146&lt;16,INDEX(Sheet1!C:C,$F146),$F146)</f>
        <v>3</v>
      </c>
      <c r="H146" s="4" t="str" cm="1">
        <f t="array" ref="H146">INDEX(Sheet1!D:D,$G146)</f>
        <v>2001-cso-preferred-class-structure-mortality-tables.xls</v>
      </c>
      <c r="I146" s="4" t="str" cm="1">
        <f t="array" ref="I146">INDEX(Sheet1!E:E,$G146)</f>
        <v>A.1.a.ii</v>
      </c>
      <c r="J146" s="4" t="str" cm="1">
        <f t="array" ref="J146">INDEX(Sheet1!F:F,$G146)</f>
        <v>B8</v>
      </c>
      <c r="K146" s="4" cm="1">
        <f t="array" ref="K146">INDEX(Sheet1!H:H,$G146)</f>
        <v>1E-3</v>
      </c>
      <c r="L146" s="4">
        <f t="shared" si="8"/>
        <v>44</v>
      </c>
      <c r="M146" s="4">
        <f t="shared" si="11"/>
        <v>5</v>
      </c>
    </row>
    <row r="147" spans="1:13">
      <c r="A147" s="4" t="str" cm="1">
        <f t="array" ref="A147">INDEX(Sheet1!A:A,$F147)</f>
        <v>M</v>
      </c>
      <c r="B147" s="4" t="str" cm="1">
        <f t="array" ref="B147">INDEX(Sheet1!B:B,$F147)</f>
        <v>Pref Best NS</v>
      </c>
      <c r="C147" s="4">
        <f t="shared" si="9"/>
        <v>45</v>
      </c>
      <c r="D147" s="5" cm="1">
        <f t="array" aca="1" ref="D147" ca="1">OFFSET(INDIRECT("'["&amp;$H147&amp;"]"&amp;$I147&amp;"'!"&amp;$J147),$L147,$M147)*$K147</f>
        <v>1.8000000000000002E-3</v>
      </c>
      <c r="F147" s="4">
        <f t="shared" si="10"/>
        <v>3</v>
      </c>
      <c r="G147" s="4" cm="1">
        <f t="array" ref="G147">IF($C147+$M147&lt;16,INDEX(Sheet1!C:C,$F147),$F147)</f>
        <v>3</v>
      </c>
      <c r="H147" s="4" t="str" cm="1">
        <f t="array" ref="H147">INDEX(Sheet1!D:D,$G147)</f>
        <v>2001-cso-preferred-class-structure-mortality-tables.xls</v>
      </c>
      <c r="I147" s="4" t="str" cm="1">
        <f t="array" ref="I147">INDEX(Sheet1!E:E,$G147)</f>
        <v>A.1.a.ii</v>
      </c>
      <c r="J147" s="4" t="str" cm="1">
        <f t="array" ref="J147">INDEX(Sheet1!F:F,$G147)</f>
        <v>B8</v>
      </c>
      <c r="K147" s="4" cm="1">
        <f t="array" ref="K147">INDEX(Sheet1!H:H,$G147)</f>
        <v>1E-3</v>
      </c>
      <c r="L147" s="4">
        <f t="shared" si="8"/>
        <v>45</v>
      </c>
      <c r="M147" s="4">
        <f t="shared" si="11"/>
        <v>5</v>
      </c>
    </row>
    <row r="148" spans="1:13">
      <c r="A148" s="4" t="str" cm="1">
        <f t="array" ref="A148">INDEX(Sheet1!A:A,$F148)</f>
        <v>M</v>
      </c>
      <c r="B148" s="4" t="str" cm="1">
        <f t="array" ref="B148">INDEX(Sheet1!B:B,$F148)</f>
        <v>Pref Best NS</v>
      </c>
      <c r="C148" s="4">
        <f t="shared" si="9"/>
        <v>46</v>
      </c>
      <c r="D148" s="5" cm="1">
        <f t="array" aca="1" ref="D148" ca="1">OFFSET(INDIRECT("'["&amp;$H148&amp;"]"&amp;$I148&amp;"'!"&amp;$J148),$L148,$M148)*$K148</f>
        <v>1.9599999999999999E-3</v>
      </c>
      <c r="F148" s="4">
        <f t="shared" si="10"/>
        <v>3</v>
      </c>
      <c r="G148" s="4" cm="1">
        <f t="array" ref="G148">IF($C148+$M148&lt;16,INDEX(Sheet1!C:C,$F148),$F148)</f>
        <v>3</v>
      </c>
      <c r="H148" s="4" t="str" cm="1">
        <f t="array" ref="H148">INDEX(Sheet1!D:D,$G148)</f>
        <v>2001-cso-preferred-class-structure-mortality-tables.xls</v>
      </c>
      <c r="I148" s="4" t="str" cm="1">
        <f t="array" ref="I148">INDEX(Sheet1!E:E,$G148)</f>
        <v>A.1.a.ii</v>
      </c>
      <c r="J148" s="4" t="str" cm="1">
        <f t="array" ref="J148">INDEX(Sheet1!F:F,$G148)</f>
        <v>B8</v>
      </c>
      <c r="K148" s="4" cm="1">
        <f t="array" ref="K148">INDEX(Sheet1!H:H,$G148)</f>
        <v>1E-3</v>
      </c>
      <c r="L148" s="4">
        <f t="shared" si="8"/>
        <v>46</v>
      </c>
      <c r="M148" s="4">
        <f t="shared" si="11"/>
        <v>5</v>
      </c>
    </row>
    <row r="149" spans="1:13">
      <c r="A149" s="4" t="str" cm="1">
        <f t="array" ref="A149">INDEX(Sheet1!A:A,$F149)</f>
        <v>M</v>
      </c>
      <c r="B149" s="4" t="str" cm="1">
        <f t="array" ref="B149">INDEX(Sheet1!B:B,$F149)</f>
        <v>Pref Best NS</v>
      </c>
      <c r="C149" s="4">
        <f t="shared" si="9"/>
        <v>47</v>
      </c>
      <c r="D149" s="5" cm="1">
        <f t="array" aca="1" ref="D149" ca="1">OFFSET(INDIRECT("'["&amp;$H149&amp;"]"&amp;$I149&amp;"'!"&amp;$J149),$L149,$M149)*$K149</f>
        <v>2.1200000000000004E-3</v>
      </c>
      <c r="F149" s="4">
        <f t="shared" si="10"/>
        <v>3</v>
      </c>
      <c r="G149" s="4" cm="1">
        <f t="array" ref="G149">IF($C149+$M149&lt;16,INDEX(Sheet1!C:C,$F149),$F149)</f>
        <v>3</v>
      </c>
      <c r="H149" s="4" t="str" cm="1">
        <f t="array" ref="H149">INDEX(Sheet1!D:D,$G149)</f>
        <v>2001-cso-preferred-class-structure-mortality-tables.xls</v>
      </c>
      <c r="I149" s="4" t="str" cm="1">
        <f t="array" ref="I149">INDEX(Sheet1!E:E,$G149)</f>
        <v>A.1.a.ii</v>
      </c>
      <c r="J149" s="4" t="str" cm="1">
        <f t="array" ref="J149">INDEX(Sheet1!F:F,$G149)</f>
        <v>B8</v>
      </c>
      <c r="K149" s="4" cm="1">
        <f t="array" ref="K149">INDEX(Sheet1!H:H,$G149)</f>
        <v>1E-3</v>
      </c>
      <c r="L149" s="4">
        <f t="shared" si="8"/>
        <v>47</v>
      </c>
      <c r="M149" s="4">
        <f t="shared" si="11"/>
        <v>5</v>
      </c>
    </row>
    <row r="150" spans="1:13">
      <c r="A150" s="4" t="str" cm="1">
        <f t="array" ref="A150">INDEX(Sheet1!A:A,$F150)</f>
        <v>M</v>
      </c>
      <c r="B150" s="4" t="str" cm="1">
        <f t="array" ref="B150">INDEX(Sheet1!B:B,$F150)</f>
        <v>Pref Best NS</v>
      </c>
      <c r="C150" s="4">
        <f t="shared" si="9"/>
        <v>48</v>
      </c>
      <c r="D150" s="5" cm="1">
        <f t="array" aca="1" ref="D150" ca="1">OFFSET(INDIRECT("'["&amp;$H150&amp;"]"&amp;$I150&amp;"'!"&amp;$J150),$L150,$M150)*$K150</f>
        <v>2.2799999999999999E-3</v>
      </c>
      <c r="F150" s="4">
        <f t="shared" si="10"/>
        <v>3</v>
      </c>
      <c r="G150" s="4" cm="1">
        <f t="array" ref="G150">IF($C150+$M150&lt;16,INDEX(Sheet1!C:C,$F150),$F150)</f>
        <v>3</v>
      </c>
      <c r="H150" s="4" t="str" cm="1">
        <f t="array" ref="H150">INDEX(Sheet1!D:D,$G150)</f>
        <v>2001-cso-preferred-class-structure-mortality-tables.xls</v>
      </c>
      <c r="I150" s="4" t="str" cm="1">
        <f t="array" ref="I150">INDEX(Sheet1!E:E,$G150)</f>
        <v>A.1.a.ii</v>
      </c>
      <c r="J150" s="4" t="str" cm="1">
        <f t="array" ref="J150">INDEX(Sheet1!F:F,$G150)</f>
        <v>B8</v>
      </c>
      <c r="K150" s="4" cm="1">
        <f t="array" ref="K150">INDEX(Sheet1!H:H,$G150)</f>
        <v>1E-3</v>
      </c>
      <c r="L150" s="4">
        <f t="shared" si="8"/>
        <v>48</v>
      </c>
      <c r="M150" s="4">
        <f t="shared" si="11"/>
        <v>5</v>
      </c>
    </row>
    <row r="151" spans="1:13">
      <c r="A151" s="4" t="str" cm="1">
        <f t="array" ref="A151">INDEX(Sheet1!A:A,$F151)</f>
        <v>M</v>
      </c>
      <c r="B151" s="4" t="str" cm="1">
        <f t="array" ref="B151">INDEX(Sheet1!B:B,$F151)</f>
        <v>Pref Best NS</v>
      </c>
      <c r="C151" s="4">
        <f t="shared" si="9"/>
        <v>49</v>
      </c>
      <c r="D151" s="5" cm="1">
        <f t="array" aca="1" ref="D151" ca="1">OFFSET(INDIRECT("'["&amp;$H151&amp;"]"&amp;$I151&amp;"'!"&amp;$J151),$L151,$M151)*$K151</f>
        <v>2.4500000000000004E-3</v>
      </c>
      <c r="F151" s="4">
        <f t="shared" si="10"/>
        <v>3</v>
      </c>
      <c r="G151" s="4" cm="1">
        <f t="array" ref="G151">IF($C151+$M151&lt;16,INDEX(Sheet1!C:C,$F151),$F151)</f>
        <v>3</v>
      </c>
      <c r="H151" s="4" t="str" cm="1">
        <f t="array" ref="H151">INDEX(Sheet1!D:D,$G151)</f>
        <v>2001-cso-preferred-class-structure-mortality-tables.xls</v>
      </c>
      <c r="I151" s="4" t="str" cm="1">
        <f t="array" ref="I151">INDEX(Sheet1!E:E,$G151)</f>
        <v>A.1.a.ii</v>
      </c>
      <c r="J151" s="4" t="str" cm="1">
        <f t="array" ref="J151">INDEX(Sheet1!F:F,$G151)</f>
        <v>B8</v>
      </c>
      <c r="K151" s="4" cm="1">
        <f t="array" ref="K151">INDEX(Sheet1!H:H,$G151)</f>
        <v>1E-3</v>
      </c>
      <c r="L151" s="4">
        <f t="shared" si="8"/>
        <v>49</v>
      </c>
      <c r="M151" s="4">
        <f t="shared" si="11"/>
        <v>5</v>
      </c>
    </row>
    <row r="152" spans="1:13">
      <c r="A152" s="4" t="str" cm="1">
        <f t="array" ref="A152">INDEX(Sheet1!A:A,$F152)</f>
        <v>M</v>
      </c>
      <c r="B152" s="4" t="str" cm="1">
        <f t="array" ref="B152">INDEX(Sheet1!B:B,$F152)</f>
        <v>Pref Best NS</v>
      </c>
      <c r="C152" s="4">
        <f t="shared" si="9"/>
        <v>50</v>
      </c>
      <c r="D152" s="5" cm="1">
        <f t="array" aca="1" ref="D152" ca="1">OFFSET(INDIRECT("'["&amp;$H152&amp;"]"&amp;$I152&amp;"'!"&amp;$J152),$L152,$M152)*$K152</f>
        <v>2.63E-3</v>
      </c>
      <c r="F152" s="4">
        <f t="shared" si="10"/>
        <v>3</v>
      </c>
      <c r="G152" s="4" cm="1">
        <f t="array" ref="G152">IF($C152+$M152&lt;16,INDEX(Sheet1!C:C,$F152),$F152)</f>
        <v>3</v>
      </c>
      <c r="H152" s="4" t="str" cm="1">
        <f t="array" ref="H152">INDEX(Sheet1!D:D,$G152)</f>
        <v>2001-cso-preferred-class-structure-mortality-tables.xls</v>
      </c>
      <c r="I152" s="4" t="str" cm="1">
        <f t="array" ref="I152">INDEX(Sheet1!E:E,$G152)</f>
        <v>A.1.a.ii</v>
      </c>
      <c r="J152" s="4" t="str" cm="1">
        <f t="array" ref="J152">INDEX(Sheet1!F:F,$G152)</f>
        <v>B8</v>
      </c>
      <c r="K152" s="4" cm="1">
        <f t="array" ref="K152">INDEX(Sheet1!H:H,$G152)</f>
        <v>1E-3</v>
      </c>
      <c r="L152" s="4">
        <f t="shared" si="8"/>
        <v>50</v>
      </c>
      <c r="M152" s="4">
        <f t="shared" si="11"/>
        <v>5</v>
      </c>
    </row>
    <row r="153" spans="1:13">
      <c r="A153" s="4" t="str" cm="1">
        <f t="array" ref="A153">INDEX(Sheet1!A:A,$F153)</f>
        <v>M</v>
      </c>
      <c r="B153" s="4" t="str" cm="1">
        <f t="array" ref="B153">INDEX(Sheet1!B:B,$F153)</f>
        <v>Pref Best NS</v>
      </c>
      <c r="C153" s="4">
        <f t="shared" si="9"/>
        <v>51</v>
      </c>
      <c r="D153" s="5" cm="1">
        <f t="array" aca="1" ref="D153" ca="1">OFFSET(INDIRECT("'["&amp;$H153&amp;"]"&amp;$I153&amp;"'!"&amp;$J153),$L153,$M153)*$K153</f>
        <v>2.8400000000000001E-3</v>
      </c>
      <c r="F153" s="4">
        <f t="shared" si="10"/>
        <v>3</v>
      </c>
      <c r="G153" s="4" cm="1">
        <f t="array" ref="G153">IF($C153+$M153&lt;16,INDEX(Sheet1!C:C,$F153),$F153)</f>
        <v>3</v>
      </c>
      <c r="H153" s="4" t="str" cm="1">
        <f t="array" ref="H153">INDEX(Sheet1!D:D,$G153)</f>
        <v>2001-cso-preferred-class-structure-mortality-tables.xls</v>
      </c>
      <c r="I153" s="4" t="str" cm="1">
        <f t="array" ref="I153">INDEX(Sheet1!E:E,$G153)</f>
        <v>A.1.a.ii</v>
      </c>
      <c r="J153" s="4" t="str" cm="1">
        <f t="array" ref="J153">INDEX(Sheet1!F:F,$G153)</f>
        <v>B8</v>
      </c>
      <c r="K153" s="4" cm="1">
        <f t="array" ref="K153">INDEX(Sheet1!H:H,$G153)</f>
        <v>1E-3</v>
      </c>
      <c r="L153" s="4">
        <f t="shared" si="8"/>
        <v>51</v>
      </c>
      <c r="M153" s="4">
        <f t="shared" si="11"/>
        <v>5</v>
      </c>
    </row>
    <row r="154" spans="1:13">
      <c r="A154" s="4" t="str" cm="1">
        <f t="array" ref="A154">INDEX(Sheet1!A:A,$F154)</f>
        <v>M</v>
      </c>
      <c r="B154" s="4" t="str" cm="1">
        <f t="array" ref="B154">INDEX(Sheet1!B:B,$F154)</f>
        <v>Pref Best NS</v>
      </c>
      <c r="C154" s="4">
        <f t="shared" si="9"/>
        <v>52</v>
      </c>
      <c r="D154" s="5" cm="1">
        <f t="array" aca="1" ref="D154" ca="1">OFFSET(INDIRECT("'["&amp;$H154&amp;"]"&amp;$I154&amp;"'!"&amp;$J154),$L154,$M154)*$K154</f>
        <v>3.0499999999999998E-3</v>
      </c>
      <c r="F154" s="4">
        <f t="shared" si="10"/>
        <v>3</v>
      </c>
      <c r="G154" s="4" cm="1">
        <f t="array" ref="G154">IF($C154+$M154&lt;16,INDEX(Sheet1!C:C,$F154),$F154)</f>
        <v>3</v>
      </c>
      <c r="H154" s="4" t="str" cm="1">
        <f t="array" ref="H154">INDEX(Sheet1!D:D,$G154)</f>
        <v>2001-cso-preferred-class-structure-mortality-tables.xls</v>
      </c>
      <c r="I154" s="4" t="str" cm="1">
        <f t="array" ref="I154">INDEX(Sheet1!E:E,$G154)</f>
        <v>A.1.a.ii</v>
      </c>
      <c r="J154" s="4" t="str" cm="1">
        <f t="array" ref="J154">INDEX(Sheet1!F:F,$G154)</f>
        <v>B8</v>
      </c>
      <c r="K154" s="4" cm="1">
        <f t="array" ref="K154">INDEX(Sheet1!H:H,$G154)</f>
        <v>1E-3</v>
      </c>
      <c r="L154" s="4">
        <f t="shared" si="8"/>
        <v>52</v>
      </c>
      <c r="M154" s="4">
        <f t="shared" si="11"/>
        <v>5</v>
      </c>
    </row>
    <row r="155" spans="1:13">
      <c r="A155" s="4" t="str" cm="1">
        <f t="array" ref="A155">INDEX(Sheet1!A:A,$F155)</f>
        <v>M</v>
      </c>
      <c r="B155" s="4" t="str" cm="1">
        <f t="array" ref="B155">INDEX(Sheet1!B:B,$F155)</f>
        <v>Pref Best NS</v>
      </c>
      <c r="C155" s="4">
        <f t="shared" si="9"/>
        <v>53</v>
      </c>
      <c r="D155" s="5" cm="1">
        <f t="array" aca="1" ref="D155" ca="1">OFFSET(INDIRECT("'["&amp;$H155&amp;"]"&amp;$I155&amp;"'!"&amp;$J155),$L155,$M155)*$K155</f>
        <v>3.31E-3</v>
      </c>
      <c r="F155" s="4">
        <f t="shared" si="10"/>
        <v>3</v>
      </c>
      <c r="G155" s="4" cm="1">
        <f t="array" ref="G155">IF($C155+$M155&lt;16,INDEX(Sheet1!C:C,$F155),$F155)</f>
        <v>3</v>
      </c>
      <c r="H155" s="4" t="str" cm="1">
        <f t="array" ref="H155">INDEX(Sheet1!D:D,$G155)</f>
        <v>2001-cso-preferred-class-structure-mortality-tables.xls</v>
      </c>
      <c r="I155" s="4" t="str" cm="1">
        <f t="array" ref="I155">INDEX(Sheet1!E:E,$G155)</f>
        <v>A.1.a.ii</v>
      </c>
      <c r="J155" s="4" t="str" cm="1">
        <f t="array" ref="J155">INDEX(Sheet1!F:F,$G155)</f>
        <v>B8</v>
      </c>
      <c r="K155" s="4" cm="1">
        <f t="array" ref="K155">INDEX(Sheet1!H:H,$G155)</f>
        <v>1E-3</v>
      </c>
      <c r="L155" s="4">
        <f t="shared" si="8"/>
        <v>53</v>
      </c>
      <c r="M155" s="4">
        <f t="shared" si="11"/>
        <v>5</v>
      </c>
    </row>
    <row r="156" spans="1:13">
      <c r="A156" s="4" t="str" cm="1">
        <f t="array" ref="A156">INDEX(Sheet1!A:A,$F156)</f>
        <v>M</v>
      </c>
      <c r="B156" s="4" t="str" cm="1">
        <f t="array" ref="B156">INDEX(Sheet1!B:B,$F156)</f>
        <v>Pref Best NS</v>
      </c>
      <c r="C156" s="4">
        <f t="shared" si="9"/>
        <v>54</v>
      </c>
      <c r="D156" s="5" cm="1">
        <f t="array" aca="1" ref="D156" ca="1">OFFSET(INDIRECT("'["&amp;$H156&amp;"]"&amp;$I156&amp;"'!"&amp;$J156),$L156,$M156)*$K156</f>
        <v>3.6000000000000003E-3</v>
      </c>
      <c r="F156" s="4">
        <f t="shared" si="10"/>
        <v>3</v>
      </c>
      <c r="G156" s="4" cm="1">
        <f t="array" ref="G156">IF($C156+$M156&lt;16,INDEX(Sheet1!C:C,$F156),$F156)</f>
        <v>3</v>
      </c>
      <c r="H156" s="4" t="str" cm="1">
        <f t="array" ref="H156">INDEX(Sheet1!D:D,$G156)</f>
        <v>2001-cso-preferred-class-structure-mortality-tables.xls</v>
      </c>
      <c r="I156" s="4" t="str" cm="1">
        <f t="array" ref="I156">INDEX(Sheet1!E:E,$G156)</f>
        <v>A.1.a.ii</v>
      </c>
      <c r="J156" s="4" t="str" cm="1">
        <f t="array" ref="J156">INDEX(Sheet1!F:F,$G156)</f>
        <v>B8</v>
      </c>
      <c r="K156" s="4" cm="1">
        <f t="array" ref="K156">INDEX(Sheet1!H:H,$G156)</f>
        <v>1E-3</v>
      </c>
      <c r="L156" s="4">
        <f t="shared" si="8"/>
        <v>54</v>
      </c>
      <c r="M156" s="4">
        <f t="shared" si="11"/>
        <v>5</v>
      </c>
    </row>
    <row r="157" spans="1:13">
      <c r="A157" s="4" t="str" cm="1">
        <f t="array" ref="A157">INDEX(Sheet1!A:A,$F157)</f>
        <v>M</v>
      </c>
      <c r="B157" s="4" t="str" cm="1">
        <f t="array" ref="B157">INDEX(Sheet1!B:B,$F157)</f>
        <v>Pref Best NS</v>
      </c>
      <c r="C157" s="4">
        <f t="shared" si="9"/>
        <v>55</v>
      </c>
      <c r="D157" s="5" cm="1">
        <f t="array" aca="1" ref="D157" ca="1">OFFSET(INDIRECT("'["&amp;$H157&amp;"]"&amp;$I157&amp;"'!"&amp;$J157),$L157,$M157)*$K157</f>
        <v>3.9399999999999999E-3</v>
      </c>
      <c r="F157" s="4">
        <f t="shared" si="10"/>
        <v>3</v>
      </c>
      <c r="G157" s="4" cm="1">
        <f t="array" ref="G157">IF($C157+$M157&lt;16,INDEX(Sheet1!C:C,$F157),$F157)</f>
        <v>3</v>
      </c>
      <c r="H157" s="4" t="str" cm="1">
        <f t="array" ref="H157">INDEX(Sheet1!D:D,$G157)</f>
        <v>2001-cso-preferred-class-structure-mortality-tables.xls</v>
      </c>
      <c r="I157" s="4" t="str" cm="1">
        <f t="array" ref="I157">INDEX(Sheet1!E:E,$G157)</f>
        <v>A.1.a.ii</v>
      </c>
      <c r="J157" s="4" t="str" cm="1">
        <f t="array" ref="J157">INDEX(Sheet1!F:F,$G157)</f>
        <v>B8</v>
      </c>
      <c r="K157" s="4" cm="1">
        <f t="array" ref="K157">INDEX(Sheet1!H:H,$G157)</f>
        <v>1E-3</v>
      </c>
      <c r="L157" s="4">
        <f t="shared" si="8"/>
        <v>55</v>
      </c>
      <c r="M157" s="4">
        <f t="shared" si="11"/>
        <v>5</v>
      </c>
    </row>
    <row r="158" spans="1:13">
      <c r="A158" s="4" t="str" cm="1">
        <f t="array" ref="A158">INDEX(Sheet1!A:A,$F158)</f>
        <v>M</v>
      </c>
      <c r="B158" s="4" t="str" cm="1">
        <f t="array" ref="B158">INDEX(Sheet1!B:B,$F158)</f>
        <v>Pref Best NS</v>
      </c>
      <c r="C158" s="4">
        <f t="shared" si="9"/>
        <v>56</v>
      </c>
      <c r="D158" s="5" cm="1">
        <f t="array" aca="1" ref="D158" ca="1">OFFSET(INDIRECT("'["&amp;$H158&amp;"]"&amp;$I158&amp;"'!"&amp;$J158),$L158,$M158)*$K158</f>
        <v>4.3499999999999997E-3</v>
      </c>
      <c r="F158" s="4">
        <f t="shared" si="10"/>
        <v>3</v>
      </c>
      <c r="G158" s="4" cm="1">
        <f t="array" ref="G158">IF($C158+$M158&lt;16,INDEX(Sheet1!C:C,$F158),$F158)</f>
        <v>3</v>
      </c>
      <c r="H158" s="4" t="str" cm="1">
        <f t="array" ref="H158">INDEX(Sheet1!D:D,$G158)</f>
        <v>2001-cso-preferred-class-structure-mortality-tables.xls</v>
      </c>
      <c r="I158" s="4" t="str" cm="1">
        <f t="array" ref="I158">INDEX(Sheet1!E:E,$G158)</f>
        <v>A.1.a.ii</v>
      </c>
      <c r="J158" s="4" t="str" cm="1">
        <f t="array" ref="J158">INDEX(Sheet1!F:F,$G158)</f>
        <v>B8</v>
      </c>
      <c r="K158" s="4" cm="1">
        <f t="array" ref="K158">INDEX(Sheet1!H:H,$G158)</f>
        <v>1E-3</v>
      </c>
      <c r="L158" s="4">
        <f t="shared" si="8"/>
        <v>56</v>
      </c>
      <c r="M158" s="4">
        <f t="shared" si="11"/>
        <v>5</v>
      </c>
    </row>
    <row r="159" spans="1:13">
      <c r="A159" s="4" t="str" cm="1">
        <f t="array" ref="A159">INDEX(Sheet1!A:A,$F159)</f>
        <v>M</v>
      </c>
      <c r="B159" s="4" t="str" cm="1">
        <f t="array" ref="B159">INDEX(Sheet1!B:B,$F159)</f>
        <v>Pref Best NS</v>
      </c>
      <c r="C159" s="4">
        <f t="shared" si="9"/>
        <v>57</v>
      </c>
      <c r="D159" s="5" cm="1">
        <f t="array" aca="1" ref="D159" ca="1">OFFSET(INDIRECT("'["&amp;$H159&amp;"]"&amp;$I159&amp;"'!"&amp;$J159),$L159,$M159)*$K159</f>
        <v>4.8399999999999997E-3</v>
      </c>
      <c r="F159" s="4">
        <f t="shared" si="10"/>
        <v>3</v>
      </c>
      <c r="G159" s="4" cm="1">
        <f t="array" ref="G159">IF($C159+$M159&lt;16,INDEX(Sheet1!C:C,$F159),$F159)</f>
        <v>3</v>
      </c>
      <c r="H159" s="4" t="str" cm="1">
        <f t="array" ref="H159">INDEX(Sheet1!D:D,$G159)</f>
        <v>2001-cso-preferred-class-structure-mortality-tables.xls</v>
      </c>
      <c r="I159" s="4" t="str" cm="1">
        <f t="array" ref="I159">INDEX(Sheet1!E:E,$G159)</f>
        <v>A.1.a.ii</v>
      </c>
      <c r="J159" s="4" t="str" cm="1">
        <f t="array" ref="J159">INDEX(Sheet1!F:F,$G159)</f>
        <v>B8</v>
      </c>
      <c r="K159" s="4" cm="1">
        <f t="array" ref="K159">INDEX(Sheet1!H:H,$G159)</f>
        <v>1E-3</v>
      </c>
      <c r="L159" s="4">
        <f t="shared" si="8"/>
        <v>57</v>
      </c>
      <c r="M159" s="4">
        <f t="shared" si="11"/>
        <v>5</v>
      </c>
    </row>
    <row r="160" spans="1:13">
      <c r="A160" s="4" t="str" cm="1">
        <f t="array" ref="A160">INDEX(Sheet1!A:A,$F160)</f>
        <v>M</v>
      </c>
      <c r="B160" s="4" t="str" cm="1">
        <f t="array" ref="B160">INDEX(Sheet1!B:B,$F160)</f>
        <v>Pref Best NS</v>
      </c>
      <c r="C160" s="4">
        <f t="shared" si="9"/>
        <v>58</v>
      </c>
      <c r="D160" s="5" cm="1">
        <f t="array" aca="1" ref="D160" ca="1">OFFSET(INDIRECT("'["&amp;$H160&amp;"]"&amp;$I160&amp;"'!"&amp;$J160),$L160,$M160)*$K160</f>
        <v>5.3899999999999998E-3</v>
      </c>
      <c r="F160" s="4">
        <f t="shared" si="10"/>
        <v>3</v>
      </c>
      <c r="G160" s="4" cm="1">
        <f t="array" ref="G160">IF($C160+$M160&lt;16,INDEX(Sheet1!C:C,$F160),$F160)</f>
        <v>3</v>
      </c>
      <c r="H160" s="4" t="str" cm="1">
        <f t="array" ref="H160">INDEX(Sheet1!D:D,$G160)</f>
        <v>2001-cso-preferred-class-structure-mortality-tables.xls</v>
      </c>
      <c r="I160" s="4" t="str" cm="1">
        <f t="array" ref="I160">INDEX(Sheet1!E:E,$G160)</f>
        <v>A.1.a.ii</v>
      </c>
      <c r="J160" s="4" t="str" cm="1">
        <f t="array" ref="J160">INDEX(Sheet1!F:F,$G160)</f>
        <v>B8</v>
      </c>
      <c r="K160" s="4" cm="1">
        <f t="array" ref="K160">INDEX(Sheet1!H:H,$G160)</f>
        <v>1E-3</v>
      </c>
      <c r="L160" s="4">
        <f t="shared" si="8"/>
        <v>58</v>
      </c>
      <c r="M160" s="4">
        <f t="shared" si="11"/>
        <v>5</v>
      </c>
    </row>
    <row r="161" spans="1:13">
      <c r="A161" s="4" t="str" cm="1">
        <f t="array" ref="A161">INDEX(Sheet1!A:A,$F161)</f>
        <v>M</v>
      </c>
      <c r="B161" s="4" t="str" cm="1">
        <f t="array" ref="B161">INDEX(Sheet1!B:B,$F161)</f>
        <v>Pref Best NS</v>
      </c>
      <c r="C161" s="4">
        <f t="shared" si="9"/>
        <v>59</v>
      </c>
      <c r="D161" s="5" cm="1">
        <f t="array" aca="1" ref="D161" ca="1">OFFSET(INDIRECT("'["&amp;$H161&amp;"]"&amp;$I161&amp;"'!"&amp;$J161),$L161,$M161)*$K161</f>
        <v>5.9699999999999996E-3</v>
      </c>
      <c r="F161" s="4">
        <f t="shared" si="10"/>
        <v>3</v>
      </c>
      <c r="G161" s="4" cm="1">
        <f t="array" ref="G161">IF($C161+$M161&lt;16,INDEX(Sheet1!C:C,$F161),$F161)</f>
        <v>3</v>
      </c>
      <c r="H161" s="4" t="str" cm="1">
        <f t="array" ref="H161">INDEX(Sheet1!D:D,$G161)</f>
        <v>2001-cso-preferred-class-structure-mortality-tables.xls</v>
      </c>
      <c r="I161" s="4" t="str" cm="1">
        <f t="array" ref="I161">INDEX(Sheet1!E:E,$G161)</f>
        <v>A.1.a.ii</v>
      </c>
      <c r="J161" s="4" t="str" cm="1">
        <f t="array" ref="J161">INDEX(Sheet1!F:F,$G161)</f>
        <v>B8</v>
      </c>
      <c r="K161" s="4" cm="1">
        <f t="array" ref="K161">INDEX(Sheet1!H:H,$G161)</f>
        <v>1E-3</v>
      </c>
      <c r="L161" s="4">
        <f t="shared" si="8"/>
        <v>59</v>
      </c>
      <c r="M161" s="4">
        <f t="shared" si="11"/>
        <v>5</v>
      </c>
    </row>
    <row r="162" spans="1:13">
      <c r="A162" s="4" t="str" cm="1">
        <f t="array" ref="A162">INDEX(Sheet1!A:A,$F162)</f>
        <v>M</v>
      </c>
      <c r="B162" s="4" t="str" cm="1">
        <f t="array" ref="B162">INDEX(Sheet1!B:B,$F162)</f>
        <v>Pref Best NS</v>
      </c>
      <c r="C162" s="4">
        <f t="shared" si="9"/>
        <v>60</v>
      </c>
      <c r="D162" s="5" cm="1">
        <f t="array" aca="1" ref="D162" ca="1">OFFSET(INDIRECT("'["&amp;$H162&amp;"]"&amp;$I162&amp;"'!"&amp;$J162),$L162,$M162)*$K162</f>
        <v>6.5500000000000003E-3</v>
      </c>
      <c r="F162" s="4">
        <f t="shared" si="10"/>
        <v>3</v>
      </c>
      <c r="G162" s="4" cm="1">
        <f t="array" ref="G162">IF($C162+$M162&lt;16,INDEX(Sheet1!C:C,$F162),$F162)</f>
        <v>3</v>
      </c>
      <c r="H162" s="4" t="str" cm="1">
        <f t="array" ref="H162">INDEX(Sheet1!D:D,$G162)</f>
        <v>2001-cso-preferred-class-structure-mortality-tables.xls</v>
      </c>
      <c r="I162" s="4" t="str" cm="1">
        <f t="array" ref="I162">INDEX(Sheet1!E:E,$G162)</f>
        <v>A.1.a.ii</v>
      </c>
      <c r="J162" s="4" t="str" cm="1">
        <f t="array" ref="J162">INDEX(Sheet1!F:F,$G162)</f>
        <v>B8</v>
      </c>
      <c r="K162" s="4" cm="1">
        <f t="array" ref="K162">INDEX(Sheet1!H:H,$G162)</f>
        <v>1E-3</v>
      </c>
      <c r="L162" s="4">
        <f t="shared" si="8"/>
        <v>60</v>
      </c>
      <c r="M162" s="4">
        <f t="shared" si="11"/>
        <v>5</v>
      </c>
    </row>
    <row r="163" spans="1:13">
      <c r="A163" s="4" t="str" cm="1">
        <f t="array" ref="A163">INDEX(Sheet1!A:A,$F163)</f>
        <v>M</v>
      </c>
      <c r="B163" s="4" t="str" cm="1">
        <f t="array" ref="B163">INDEX(Sheet1!B:B,$F163)</f>
        <v>Pref Best NS</v>
      </c>
      <c r="C163" s="4">
        <f t="shared" si="9"/>
        <v>61</v>
      </c>
      <c r="D163" s="5" cm="1">
        <f t="array" aca="1" ref="D163" ca="1">OFFSET(INDIRECT("'["&amp;$H163&amp;"]"&amp;$I163&amp;"'!"&amp;$J163),$L163,$M163)*$K163</f>
        <v>7.1399999999999996E-3</v>
      </c>
      <c r="F163" s="4">
        <f t="shared" si="10"/>
        <v>3</v>
      </c>
      <c r="G163" s="4" cm="1">
        <f t="array" ref="G163">IF($C163+$M163&lt;16,INDEX(Sheet1!C:C,$F163),$F163)</f>
        <v>3</v>
      </c>
      <c r="H163" s="4" t="str" cm="1">
        <f t="array" ref="H163">INDEX(Sheet1!D:D,$G163)</f>
        <v>2001-cso-preferred-class-structure-mortality-tables.xls</v>
      </c>
      <c r="I163" s="4" t="str" cm="1">
        <f t="array" ref="I163">INDEX(Sheet1!E:E,$G163)</f>
        <v>A.1.a.ii</v>
      </c>
      <c r="J163" s="4" t="str" cm="1">
        <f t="array" ref="J163">INDEX(Sheet1!F:F,$G163)</f>
        <v>B8</v>
      </c>
      <c r="K163" s="4" cm="1">
        <f t="array" ref="K163">INDEX(Sheet1!H:H,$G163)</f>
        <v>1E-3</v>
      </c>
      <c r="L163" s="4">
        <f t="shared" si="8"/>
        <v>61</v>
      </c>
      <c r="M163" s="4">
        <f t="shared" si="11"/>
        <v>5</v>
      </c>
    </row>
    <row r="164" spans="1:13">
      <c r="A164" s="4" t="str" cm="1">
        <f t="array" ref="A164">INDEX(Sheet1!A:A,$F164)</f>
        <v>M</v>
      </c>
      <c r="B164" s="4" t="str" cm="1">
        <f t="array" ref="B164">INDEX(Sheet1!B:B,$F164)</f>
        <v>Pref Best NS</v>
      </c>
      <c r="C164" s="4">
        <f t="shared" si="9"/>
        <v>62</v>
      </c>
      <c r="D164" s="5" cm="1">
        <f t="array" aca="1" ref="D164" ca="1">OFFSET(INDIRECT("'["&amp;$H164&amp;"]"&amp;$I164&amp;"'!"&amp;$J164),$L164,$M164)*$K164</f>
        <v>7.7499999999999999E-3</v>
      </c>
      <c r="F164" s="4">
        <f t="shared" si="10"/>
        <v>3</v>
      </c>
      <c r="G164" s="4" cm="1">
        <f t="array" ref="G164">IF($C164+$M164&lt;16,INDEX(Sheet1!C:C,$F164),$F164)</f>
        <v>3</v>
      </c>
      <c r="H164" s="4" t="str" cm="1">
        <f t="array" ref="H164">INDEX(Sheet1!D:D,$G164)</f>
        <v>2001-cso-preferred-class-structure-mortality-tables.xls</v>
      </c>
      <c r="I164" s="4" t="str" cm="1">
        <f t="array" ref="I164">INDEX(Sheet1!E:E,$G164)</f>
        <v>A.1.a.ii</v>
      </c>
      <c r="J164" s="4" t="str" cm="1">
        <f t="array" ref="J164">INDEX(Sheet1!F:F,$G164)</f>
        <v>B8</v>
      </c>
      <c r="K164" s="4" cm="1">
        <f t="array" ref="K164">INDEX(Sheet1!H:H,$G164)</f>
        <v>1E-3</v>
      </c>
      <c r="L164" s="4">
        <f t="shared" si="8"/>
        <v>62</v>
      </c>
      <c r="M164" s="4">
        <f t="shared" si="11"/>
        <v>5</v>
      </c>
    </row>
    <row r="165" spans="1:13">
      <c r="A165" s="4" t="str" cm="1">
        <f t="array" ref="A165">INDEX(Sheet1!A:A,$F165)</f>
        <v>M</v>
      </c>
      <c r="B165" s="4" t="str" cm="1">
        <f t="array" ref="B165">INDEX(Sheet1!B:B,$F165)</f>
        <v>Pref Best NS</v>
      </c>
      <c r="C165" s="4">
        <f t="shared" si="9"/>
        <v>63</v>
      </c>
      <c r="D165" s="5" cm="1">
        <f t="array" aca="1" ref="D165" ca="1">OFFSET(INDIRECT("'["&amp;$H165&amp;"]"&amp;$I165&amp;"'!"&amp;$J165),$L165,$M165)*$K165</f>
        <v>8.43E-3</v>
      </c>
      <c r="F165" s="4">
        <f t="shared" si="10"/>
        <v>3</v>
      </c>
      <c r="G165" s="4" cm="1">
        <f t="array" ref="G165">IF($C165+$M165&lt;16,INDEX(Sheet1!C:C,$F165),$F165)</f>
        <v>3</v>
      </c>
      <c r="H165" s="4" t="str" cm="1">
        <f t="array" ref="H165">INDEX(Sheet1!D:D,$G165)</f>
        <v>2001-cso-preferred-class-structure-mortality-tables.xls</v>
      </c>
      <c r="I165" s="4" t="str" cm="1">
        <f t="array" ref="I165">INDEX(Sheet1!E:E,$G165)</f>
        <v>A.1.a.ii</v>
      </c>
      <c r="J165" s="4" t="str" cm="1">
        <f t="array" ref="J165">INDEX(Sheet1!F:F,$G165)</f>
        <v>B8</v>
      </c>
      <c r="K165" s="4" cm="1">
        <f t="array" ref="K165">INDEX(Sheet1!H:H,$G165)</f>
        <v>1E-3</v>
      </c>
      <c r="L165" s="4">
        <f t="shared" si="8"/>
        <v>63</v>
      </c>
      <c r="M165" s="4">
        <f t="shared" si="11"/>
        <v>5</v>
      </c>
    </row>
    <row r="166" spans="1:13">
      <c r="A166" s="4" t="str" cm="1">
        <f t="array" ref="A166">INDEX(Sheet1!A:A,$F166)</f>
        <v>M</v>
      </c>
      <c r="B166" s="4" t="str" cm="1">
        <f t="array" ref="B166">INDEX(Sheet1!B:B,$F166)</f>
        <v>Pref Best NS</v>
      </c>
      <c r="C166" s="4">
        <f t="shared" si="9"/>
        <v>64</v>
      </c>
      <c r="D166" s="5" cm="1">
        <f t="array" aca="1" ref="D166" ca="1">OFFSET(INDIRECT("'["&amp;$H166&amp;"]"&amp;$I166&amp;"'!"&amp;$J166),$L166,$M166)*$K166</f>
        <v>9.2100000000000012E-3</v>
      </c>
      <c r="F166" s="4">
        <f t="shared" si="10"/>
        <v>3</v>
      </c>
      <c r="G166" s="4" cm="1">
        <f t="array" ref="G166">IF($C166+$M166&lt;16,INDEX(Sheet1!C:C,$F166),$F166)</f>
        <v>3</v>
      </c>
      <c r="H166" s="4" t="str" cm="1">
        <f t="array" ref="H166">INDEX(Sheet1!D:D,$G166)</f>
        <v>2001-cso-preferred-class-structure-mortality-tables.xls</v>
      </c>
      <c r="I166" s="4" t="str" cm="1">
        <f t="array" ref="I166">INDEX(Sheet1!E:E,$G166)</f>
        <v>A.1.a.ii</v>
      </c>
      <c r="J166" s="4" t="str" cm="1">
        <f t="array" ref="J166">INDEX(Sheet1!F:F,$G166)</f>
        <v>B8</v>
      </c>
      <c r="K166" s="4" cm="1">
        <f t="array" ref="K166">INDEX(Sheet1!H:H,$G166)</f>
        <v>1E-3</v>
      </c>
      <c r="L166" s="4">
        <f t="shared" si="8"/>
        <v>64</v>
      </c>
      <c r="M166" s="4">
        <f t="shared" si="11"/>
        <v>5</v>
      </c>
    </row>
    <row r="167" spans="1:13">
      <c r="A167" s="4" t="str" cm="1">
        <f t="array" ref="A167">INDEX(Sheet1!A:A,$F167)</f>
        <v>M</v>
      </c>
      <c r="B167" s="4" t="str" cm="1">
        <f t="array" ref="B167">INDEX(Sheet1!B:B,$F167)</f>
        <v>Pref Best NS</v>
      </c>
      <c r="C167" s="4">
        <f t="shared" si="9"/>
        <v>65</v>
      </c>
      <c r="D167" s="5" cm="1">
        <f t="array" aca="1" ref="D167" ca="1">OFFSET(INDIRECT("'["&amp;$H167&amp;"]"&amp;$I167&amp;"'!"&amp;$J167),$L167,$M167)*$K167</f>
        <v>1.009E-2</v>
      </c>
      <c r="F167" s="4">
        <f t="shared" si="10"/>
        <v>3</v>
      </c>
      <c r="G167" s="4" cm="1">
        <f t="array" ref="G167">IF($C167+$M167&lt;16,INDEX(Sheet1!C:C,$F167),$F167)</f>
        <v>3</v>
      </c>
      <c r="H167" s="4" t="str" cm="1">
        <f t="array" ref="H167">INDEX(Sheet1!D:D,$G167)</f>
        <v>2001-cso-preferred-class-structure-mortality-tables.xls</v>
      </c>
      <c r="I167" s="4" t="str" cm="1">
        <f t="array" ref="I167">INDEX(Sheet1!E:E,$G167)</f>
        <v>A.1.a.ii</v>
      </c>
      <c r="J167" s="4" t="str" cm="1">
        <f t="array" ref="J167">INDEX(Sheet1!F:F,$G167)</f>
        <v>B8</v>
      </c>
      <c r="K167" s="4" cm="1">
        <f t="array" ref="K167">INDEX(Sheet1!H:H,$G167)</f>
        <v>1E-3</v>
      </c>
      <c r="L167" s="4">
        <f t="shared" si="8"/>
        <v>65</v>
      </c>
      <c r="M167" s="4">
        <f t="shared" si="11"/>
        <v>5</v>
      </c>
    </row>
    <row r="168" spans="1:13">
      <c r="A168" s="4" t="str" cm="1">
        <f t="array" ref="A168">INDEX(Sheet1!A:A,$F168)</f>
        <v>M</v>
      </c>
      <c r="B168" s="4" t="str" cm="1">
        <f t="array" ref="B168">INDEX(Sheet1!B:B,$F168)</f>
        <v>Pref Best NS</v>
      </c>
      <c r="C168" s="4">
        <f t="shared" si="9"/>
        <v>66</v>
      </c>
      <c r="D168" s="5" cm="1">
        <f t="array" aca="1" ref="D168" ca="1">OFFSET(INDIRECT("'["&amp;$H168&amp;"]"&amp;$I168&amp;"'!"&amp;$J168),$L168,$M168)*$K168</f>
        <v>1.1090000000000001E-2</v>
      </c>
      <c r="F168" s="4">
        <f t="shared" si="10"/>
        <v>3</v>
      </c>
      <c r="G168" s="4" cm="1">
        <f t="array" ref="G168">IF($C168+$M168&lt;16,INDEX(Sheet1!C:C,$F168),$F168)</f>
        <v>3</v>
      </c>
      <c r="H168" s="4" t="str" cm="1">
        <f t="array" ref="H168">INDEX(Sheet1!D:D,$G168)</f>
        <v>2001-cso-preferred-class-structure-mortality-tables.xls</v>
      </c>
      <c r="I168" s="4" t="str" cm="1">
        <f t="array" ref="I168">INDEX(Sheet1!E:E,$G168)</f>
        <v>A.1.a.ii</v>
      </c>
      <c r="J168" s="4" t="str" cm="1">
        <f t="array" ref="J168">INDEX(Sheet1!F:F,$G168)</f>
        <v>B8</v>
      </c>
      <c r="K168" s="4" cm="1">
        <f t="array" ref="K168">INDEX(Sheet1!H:H,$G168)</f>
        <v>1E-3</v>
      </c>
      <c r="L168" s="4">
        <f t="shared" si="8"/>
        <v>66</v>
      </c>
      <c r="M168" s="4">
        <f t="shared" si="11"/>
        <v>5</v>
      </c>
    </row>
    <row r="169" spans="1:13">
      <c r="A169" s="4" t="str" cm="1">
        <f t="array" ref="A169">INDEX(Sheet1!A:A,$F169)</f>
        <v>M</v>
      </c>
      <c r="B169" s="4" t="str" cm="1">
        <f t="array" ref="B169">INDEX(Sheet1!B:B,$F169)</f>
        <v>Pref Best NS</v>
      </c>
      <c r="C169" s="4">
        <f t="shared" si="9"/>
        <v>67</v>
      </c>
      <c r="D169" s="5" cm="1">
        <f t="array" aca="1" ref="D169" ca="1">OFFSET(INDIRECT("'["&amp;$H169&amp;"]"&amp;$I169&amp;"'!"&amp;$J169),$L169,$M169)*$K169</f>
        <v>1.218E-2</v>
      </c>
      <c r="F169" s="4">
        <f t="shared" si="10"/>
        <v>3</v>
      </c>
      <c r="G169" s="4" cm="1">
        <f t="array" ref="G169">IF($C169+$M169&lt;16,INDEX(Sheet1!C:C,$F169),$F169)</f>
        <v>3</v>
      </c>
      <c r="H169" s="4" t="str" cm="1">
        <f t="array" ref="H169">INDEX(Sheet1!D:D,$G169)</f>
        <v>2001-cso-preferred-class-structure-mortality-tables.xls</v>
      </c>
      <c r="I169" s="4" t="str" cm="1">
        <f t="array" ref="I169">INDEX(Sheet1!E:E,$G169)</f>
        <v>A.1.a.ii</v>
      </c>
      <c r="J169" s="4" t="str" cm="1">
        <f t="array" ref="J169">INDEX(Sheet1!F:F,$G169)</f>
        <v>B8</v>
      </c>
      <c r="K169" s="4" cm="1">
        <f t="array" ref="K169">INDEX(Sheet1!H:H,$G169)</f>
        <v>1E-3</v>
      </c>
      <c r="L169" s="4">
        <f t="shared" si="8"/>
        <v>67</v>
      </c>
      <c r="M169" s="4">
        <f t="shared" si="11"/>
        <v>5</v>
      </c>
    </row>
    <row r="170" spans="1:13">
      <c r="A170" s="4" t="str" cm="1">
        <f t="array" ref="A170">INDEX(Sheet1!A:A,$F170)</f>
        <v>M</v>
      </c>
      <c r="B170" s="4" t="str" cm="1">
        <f t="array" ref="B170">INDEX(Sheet1!B:B,$F170)</f>
        <v>Pref Best NS</v>
      </c>
      <c r="C170" s="4">
        <f t="shared" si="9"/>
        <v>68</v>
      </c>
      <c r="D170" s="5" cm="1">
        <f t="array" aca="1" ref="D170" ca="1">OFFSET(INDIRECT("'["&amp;$H170&amp;"]"&amp;$I170&amp;"'!"&amp;$J170),$L170,$M170)*$K170</f>
        <v>1.345E-2</v>
      </c>
      <c r="F170" s="4">
        <f t="shared" si="10"/>
        <v>3</v>
      </c>
      <c r="G170" s="4" cm="1">
        <f t="array" ref="G170">IF($C170+$M170&lt;16,INDEX(Sheet1!C:C,$F170),$F170)</f>
        <v>3</v>
      </c>
      <c r="H170" s="4" t="str" cm="1">
        <f t="array" ref="H170">INDEX(Sheet1!D:D,$G170)</f>
        <v>2001-cso-preferred-class-structure-mortality-tables.xls</v>
      </c>
      <c r="I170" s="4" t="str" cm="1">
        <f t="array" ref="I170">INDEX(Sheet1!E:E,$G170)</f>
        <v>A.1.a.ii</v>
      </c>
      <c r="J170" s="4" t="str" cm="1">
        <f t="array" ref="J170">INDEX(Sheet1!F:F,$G170)</f>
        <v>B8</v>
      </c>
      <c r="K170" s="4" cm="1">
        <f t="array" ref="K170">INDEX(Sheet1!H:H,$G170)</f>
        <v>1E-3</v>
      </c>
      <c r="L170" s="4">
        <f t="shared" si="8"/>
        <v>68</v>
      </c>
      <c r="M170" s="4">
        <f t="shared" si="11"/>
        <v>5</v>
      </c>
    </row>
    <row r="171" spans="1:13">
      <c r="A171" s="4" t="str" cm="1">
        <f t="array" ref="A171">INDEX(Sheet1!A:A,$F171)</f>
        <v>M</v>
      </c>
      <c r="B171" s="4" t="str" cm="1">
        <f t="array" ref="B171">INDEX(Sheet1!B:B,$F171)</f>
        <v>Pref Best NS</v>
      </c>
      <c r="C171" s="4">
        <f t="shared" si="9"/>
        <v>69</v>
      </c>
      <c r="D171" s="5" cm="1">
        <f t="array" aca="1" ref="D171" ca="1">OFFSET(INDIRECT("'["&amp;$H171&amp;"]"&amp;$I171&amp;"'!"&amp;$J171),$L171,$M171)*$K171</f>
        <v>1.489E-2</v>
      </c>
      <c r="F171" s="4">
        <f t="shared" si="10"/>
        <v>3</v>
      </c>
      <c r="G171" s="4" cm="1">
        <f t="array" ref="G171">IF($C171+$M171&lt;16,INDEX(Sheet1!C:C,$F171),$F171)</f>
        <v>3</v>
      </c>
      <c r="H171" s="4" t="str" cm="1">
        <f t="array" ref="H171">INDEX(Sheet1!D:D,$G171)</f>
        <v>2001-cso-preferred-class-structure-mortality-tables.xls</v>
      </c>
      <c r="I171" s="4" t="str" cm="1">
        <f t="array" ref="I171">INDEX(Sheet1!E:E,$G171)</f>
        <v>A.1.a.ii</v>
      </c>
      <c r="J171" s="4" t="str" cm="1">
        <f t="array" ref="J171">INDEX(Sheet1!F:F,$G171)</f>
        <v>B8</v>
      </c>
      <c r="K171" s="4" cm="1">
        <f t="array" ref="K171">INDEX(Sheet1!H:H,$G171)</f>
        <v>1E-3</v>
      </c>
      <c r="L171" s="4">
        <f t="shared" si="8"/>
        <v>69</v>
      </c>
      <c r="M171" s="4">
        <f t="shared" si="11"/>
        <v>5</v>
      </c>
    </row>
    <row r="172" spans="1:13">
      <c r="A172" s="4" t="str" cm="1">
        <f t="array" ref="A172">INDEX(Sheet1!A:A,$F172)</f>
        <v>M</v>
      </c>
      <c r="B172" s="4" t="str" cm="1">
        <f t="array" ref="B172">INDEX(Sheet1!B:B,$F172)</f>
        <v>Pref Best NS</v>
      </c>
      <c r="C172" s="4">
        <f t="shared" si="9"/>
        <v>70</v>
      </c>
      <c r="D172" s="5" cm="1">
        <f t="array" aca="1" ref="D172" ca="1">OFFSET(INDIRECT("'["&amp;$H172&amp;"]"&amp;$I172&amp;"'!"&amp;$J172),$L172,$M172)*$K172</f>
        <v>1.643E-2</v>
      </c>
      <c r="F172" s="4">
        <f t="shared" si="10"/>
        <v>3</v>
      </c>
      <c r="G172" s="4" cm="1">
        <f t="array" ref="G172">IF($C172+$M172&lt;16,INDEX(Sheet1!C:C,$F172),$F172)</f>
        <v>3</v>
      </c>
      <c r="H172" s="4" t="str" cm="1">
        <f t="array" ref="H172">INDEX(Sheet1!D:D,$G172)</f>
        <v>2001-cso-preferred-class-structure-mortality-tables.xls</v>
      </c>
      <c r="I172" s="4" t="str" cm="1">
        <f t="array" ref="I172">INDEX(Sheet1!E:E,$G172)</f>
        <v>A.1.a.ii</v>
      </c>
      <c r="J172" s="4" t="str" cm="1">
        <f t="array" ref="J172">INDEX(Sheet1!F:F,$G172)</f>
        <v>B8</v>
      </c>
      <c r="K172" s="4" cm="1">
        <f t="array" ref="K172">INDEX(Sheet1!H:H,$G172)</f>
        <v>1E-3</v>
      </c>
      <c r="L172" s="4">
        <f t="shared" si="8"/>
        <v>70</v>
      </c>
      <c r="M172" s="4">
        <f t="shared" si="11"/>
        <v>5</v>
      </c>
    </row>
    <row r="173" spans="1:13">
      <c r="A173" s="4" t="str" cm="1">
        <f t="array" ref="A173">INDEX(Sheet1!A:A,$F173)</f>
        <v>M</v>
      </c>
      <c r="B173" s="4" t="str" cm="1">
        <f t="array" ref="B173">INDEX(Sheet1!B:B,$F173)</f>
        <v>Pref Best NS</v>
      </c>
      <c r="C173" s="4">
        <f t="shared" si="9"/>
        <v>71</v>
      </c>
      <c r="D173" s="5" cm="1">
        <f t="array" aca="1" ref="D173" ca="1">OFFSET(INDIRECT("'["&amp;$H173&amp;"]"&amp;$I173&amp;"'!"&amp;$J173),$L173,$M173)*$K173</f>
        <v>1.779E-2</v>
      </c>
      <c r="F173" s="4">
        <f t="shared" si="10"/>
        <v>3</v>
      </c>
      <c r="G173" s="4" cm="1">
        <f t="array" ref="G173">IF($C173+$M173&lt;16,INDEX(Sheet1!C:C,$F173),$F173)</f>
        <v>3</v>
      </c>
      <c r="H173" s="4" t="str" cm="1">
        <f t="array" ref="H173">INDEX(Sheet1!D:D,$G173)</f>
        <v>2001-cso-preferred-class-structure-mortality-tables.xls</v>
      </c>
      <c r="I173" s="4" t="str" cm="1">
        <f t="array" ref="I173">INDEX(Sheet1!E:E,$G173)</f>
        <v>A.1.a.ii</v>
      </c>
      <c r="J173" s="4" t="str" cm="1">
        <f t="array" ref="J173">INDEX(Sheet1!F:F,$G173)</f>
        <v>B8</v>
      </c>
      <c r="K173" s="4" cm="1">
        <f t="array" ref="K173">INDEX(Sheet1!H:H,$G173)</f>
        <v>1E-3</v>
      </c>
      <c r="L173" s="4">
        <f t="shared" si="8"/>
        <v>71</v>
      </c>
      <c r="M173" s="4">
        <f t="shared" si="11"/>
        <v>5</v>
      </c>
    </row>
    <row r="174" spans="1:13">
      <c r="A174" s="4" t="str" cm="1">
        <f t="array" ref="A174">INDEX(Sheet1!A:A,$F174)</f>
        <v>M</v>
      </c>
      <c r="B174" s="4" t="str" cm="1">
        <f t="array" ref="B174">INDEX(Sheet1!B:B,$F174)</f>
        <v>Pref Best NS</v>
      </c>
      <c r="C174" s="4">
        <f t="shared" si="9"/>
        <v>72</v>
      </c>
      <c r="D174" s="5" cm="1">
        <f t="array" aca="1" ref="D174" ca="1">OFFSET(INDIRECT("'["&amp;$H174&amp;"]"&amp;$I174&amp;"'!"&amp;$J174),$L174,$M174)*$K174</f>
        <v>1.8929999999999999E-2</v>
      </c>
      <c r="F174" s="4">
        <f t="shared" si="10"/>
        <v>3</v>
      </c>
      <c r="G174" s="4" cm="1">
        <f t="array" ref="G174">IF($C174+$M174&lt;16,INDEX(Sheet1!C:C,$F174),$F174)</f>
        <v>3</v>
      </c>
      <c r="H174" s="4" t="str" cm="1">
        <f t="array" ref="H174">INDEX(Sheet1!D:D,$G174)</f>
        <v>2001-cso-preferred-class-structure-mortality-tables.xls</v>
      </c>
      <c r="I174" s="4" t="str" cm="1">
        <f t="array" ref="I174">INDEX(Sheet1!E:E,$G174)</f>
        <v>A.1.a.ii</v>
      </c>
      <c r="J174" s="4" t="str" cm="1">
        <f t="array" ref="J174">INDEX(Sheet1!F:F,$G174)</f>
        <v>B8</v>
      </c>
      <c r="K174" s="4" cm="1">
        <f t="array" ref="K174">INDEX(Sheet1!H:H,$G174)</f>
        <v>1E-3</v>
      </c>
      <c r="L174" s="4">
        <f t="shared" si="8"/>
        <v>72</v>
      </c>
      <c r="M174" s="4">
        <f t="shared" si="11"/>
        <v>5</v>
      </c>
    </row>
    <row r="175" spans="1:13">
      <c r="A175" s="4" t="str" cm="1">
        <f t="array" ref="A175">INDEX(Sheet1!A:A,$F175)</f>
        <v>M</v>
      </c>
      <c r="B175" s="4" t="str" cm="1">
        <f t="array" ref="B175">INDEX(Sheet1!B:B,$F175)</f>
        <v>Pref Best NS</v>
      </c>
      <c r="C175" s="4">
        <f t="shared" si="9"/>
        <v>73</v>
      </c>
      <c r="D175" s="5" cm="1">
        <f t="array" aca="1" ref="D175" ca="1">OFFSET(INDIRECT("'["&amp;$H175&amp;"]"&amp;$I175&amp;"'!"&amp;$J175),$L175,$M175)*$K175</f>
        <v>2.0160000000000001E-2</v>
      </c>
      <c r="F175" s="4">
        <f t="shared" si="10"/>
        <v>3</v>
      </c>
      <c r="G175" s="4" cm="1">
        <f t="array" ref="G175">IF($C175+$M175&lt;16,INDEX(Sheet1!C:C,$F175),$F175)</f>
        <v>3</v>
      </c>
      <c r="H175" s="4" t="str" cm="1">
        <f t="array" ref="H175">INDEX(Sheet1!D:D,$G175)</f>
        <v>2001-cso-preferred-class-structure-mortality-tables.xls</v>
      </c>
      <c r="I175" s="4" t="str" cm="1">
        <f t="array" ref="I175">INDEX(Sheet1!E:E,$G175)</f>
        <v>A.1.a.ii</v>
      </c>
      <c r="J175" s="4" t="str" cm="1">
        <f t="array" ref="J175">INDEX(Sheet1!F:F,$G175)</f>
        <v>B8</v>
      </c>
      <c r="K175" s="4" cm="1">
        <f t="array" ref="K175">INDEX(Sheet1!H:H,$G175)</f>
        <v>1E-3</v>
      </c>
      <c r="L175" s="4">
        <f t="shared" si="8"/>
        <v>73</v>
      </c>
      <c r="M175" s="4">
        <f t="shared" si="11"/>
        <v>5</v>
      </c>
    </row>
    <row r="176" spans="1:13">
      <c r="A176" s="4" t="str" cm="1">
        <f t="array" ref="A176">INDEX(Sheet1!A:A,$F176)</f>
        <v>M</v>
      </c>
      <c r="B176" s="4" t="str" cm="1">
        <f t="array" ref="B176">INDEX(Sheet1!B:B,$F176)</f>
        <v>Pref Best NS</v>
      </c>
      <c r="C176" s="4">
        <f t="shared" si="9"/>
        <v>74</v>
      </c>
      <c r="D176" s="5" cm="1">
        <f t="array" aca="1" ref="D176" ca="1">OFFSET(INDIRECT("'["&amp;$H176&amp;"]"&amp;$I176&amp;"'!"&amp;$J176),$L176,$M176)*$K176</f>
        <v>2.1950000000000001E-2</v>
      </c>
      <c r="F176" s="4">
        <f t="shared" si="10"/>
        <v>3</v>
      </c>
      <c r="G176" s="4" cm="1">
        <f t="array" ref="G176">IF($C176+$M176&lt;16,INDEX(Sheet1!C:C,$F176),$F176)</f>
        <v>3</v>
      </c>
      <c r="H176" s="4" t="str" cm="1">
        <f t="array" ref="H176">INDEX(Sheet1!D:D,$G176)</f>
        <v>2001-cso-preferred-class-structure-mortality-tables.xls</v>
      </c>
      <c r="I176" s="4" t="str" cm="1">
        <f t="array" ref="I176">INDEX(Sheet1!E:E,$G176)</f>
        <v>A.1.a.ii</v>
      </c>
      <c r="J176" s="4" t="str" cm="1">
        <f t="array" ref="J176">INDEX(Sheet1!F:F,$G176)</f>
        <v>B8</v>
      </c>
      <c r="K176" s="4" cm="1">
        <f t="array" ref="K176">INDEX(Sheet1!H:H,$G176)</f>
        <v>1E-3</v>
      </c>
      <c r="L176" s="4">
        <f t="shared" si="8"/>
        <v>74</v>
      </c>
      <c r="M176" s="4">
        <f t="shared" si="11"/>
        <v>5</v>
      </c>
    </row>
    <row r="177" spans="1:13">
      <c r="A177" s="4" t="str" cm="1">
        <f t="array" ref="A177">INDEX(Sheet1!A:A,$F177)</f>
        <v>M</v>
      </c>
      <c r="B177" s="4" t="str" cm="1">
        <f t="array" ref="B177">INDEX(Sheet1!B:B,$F177)</f>
        <v>Pref Best NS</v>
      </c>
      <c r="C177" s="4">
        <f t="shared" si="9"/>
        <v>75</v>
      </c>
      <c r="D177" s="5" cm="1">
        <f t="array" aca="1" ref="D177" ca="1">OFFSET(INDIRECT("'["&amp;$H177&amp;"]"&amp;$I177&amp;"'!"&amp;$J177),$L177,$M177)*$K177</f>
        <v>2.5100000000000001E-2</v>
      </c>
      <c r="F177" s="4">
        <f t="shared" si="10"/>
        <v>3</v>
      </c>
      <c r="G177" s="4" cm="1">
        <f t="array" ref="G177">IF($C177+$M177&lt;16,INDEX(Sheet1!C:C,$F177),$F177)</f>
        <v>3</v>
      </c>
      <c r="H177" s="4" t="str" cm="1">
        <f t="array" ref="H177">INDEX(Sheet1!D:D,$G177)</f>
        <v>2001-cso-preferred-class-structure-mortality-tables.xls</v>
      </c>
      <c r="I177" s="4" t="str" cm="1">
        <f t="array" ref="I177">INDEX(Sheet1!E:E,$G177)</f>
        <v>A.1.a.ii</v>
      </c>
      <c r="J177" s="4" t="str" cm="1">
        <f t="array" ref="J177">INDEX(Sheet1!F:F,$G177)</f>
        <v>B8</v>
      </c>
      <c r="K177" s="4" cm="1">
        <f t="array" ref="K177">INDEX(Sheet1!H:H,$G177)</f>
        <v>1E-3</v>
      </c>
      <c r="L177" s="4">
        <f t="shared" si="8"/>
        <v>75</v>
      </c>
      <c r="M177" s="4">
        <f t="shared" si="11"/>
        <v>5</v>
      </c>
    </row>
    <row r="178" spans="1:13">
      <c r="A178" s="4" t="str" cm="1">
        <f t="array" ref="A178">INDEX(Sheet1!A:A,$F178)</f>
        <v>M</v>
      </c>
      <c r="B178" s="4" t="str" cm="1">
        <f t="array" ref="B178">INDEX(Sheet1!B:B,$F178)</f>
        <v>Pref Best NS</v>
      </c>
      <c r="C178" s="4">
        <f t="shared" si="9"/>
        <v>76</v>
      </c>
      <c r="D178" s="5" cm="1">
        <f t="array" aca="1" ref="D178" ca="1">OFFSET(INDIRECT("'["&amp;$H178&amp;"]"&amp;$I178&amp;"'!"&amp;$J178),$L178,$M178)*$K178</f>
        <v>2.7609999999999999E-2</v>
      </c>
      <c r="F178" s="4">
        <f t="shared" si="10"/>
        <v>3</v>
      </c>
      <c r="G178" s="4" cm="1">
        <f t="array" ref="G178">IF($C178+$M178&lt;16,INDEX(Sheet1!C:C,$F178),$F178)</f>
        <v>3</v>
      </c>
      <c r="H178" s="4" t="str" cm="1">
        <f t="array" ref="H178">INDEX(Sheet1!D:D,$G178)</f>
        <v>2001-cso-preferred-class-structure-mortality-tables.xls</v>
      </c>
      <c r="I178" s="4" t="str" cm="1">
        <f t="array" ref="I178">INDEX(Sheet1!E:E,$G178)</f>
        <v>A.1.a.ii</v>
      </c>
      <c r="J178" s="4" t="str" cm="1">
        <f t="array" ref="J178">INDEX(Sheet1!F:F,$G178)</f>
        <v>B8</v>
      </c>
      <c r="K178" s="4" cm="1">
        <f t="array" ref="K178">INDEX(Sheet1!H:H,$G178)</f>
        <v>1E-3</v>
      </c>
      <c r="L178" s="4">
        <f t="shared" si="8"/>
        <v>76</v>
      </c>
      <c r="M178" s="4">
        <f t="shared" si="11"/>
        <v>5</v>
      </c>
    </row>
    <row r="179" spans="1:13">
      <c r="A179" s="4" t="str" cm="1">
        <f t="array" ref="A179">INDEX(Sheet1!A:A,$F179)</f>
        <v>M</v>
      </c>
      <c r="B179" s="4" t="str" cm="1">
        <f t="array" ref="B179">INDEX(Sheet1!B:B,$F179)</f>
        <v>Pref Best NS</v>
      </c>
      <c r="C179" s="4">
        <f t="shared" si="9"/>
        <v>77</v>
      </c>
      <c r="D179" s="5" cm="1">
        <f t="array" aca="1" ref="D179" ca="1">OFFSET(INDIRECT("'["&amp;$H179&amp;"]"&amp;$I179&amp;"'!"&amp;$J179),$L179,$M179)*$K179</f>
        <v>3.0670000000000003E-2</v>
      </c>
      <c r="F179" s="4">
        <f t="shared" si="10"/>
        <v>3</v>
      </c>
      <c r="G179" s="4" cm="1">
        <f t="array" ref="G179">IF($C179+$M179&lt;16,INDEX(Sheet1!C:C,$F179),$F179)</f>
        <v>3</v>
      </c>
      <c r="H179" s="4" t="str" cm="1">
        <f t="array" ref="H179">INDEX(Sheet1!D:D,$G179)</f>
        <v>2001-cso-preferred-class-structure-mortality-tables.xls</v>
      </c>
      <c r="I179" s="4" t="str" cm="1">
        <f t="array" ref="I179">INDEX(Sheet1!E:E,$G179)</f>
        <v>A.1.a.ii</v>
      </c>
      <c r="J179" s="4" t="str" cm="1">
        <f t="array" ref="J179">INDEX(Sheet1!F:F,$G179)</f>
        <v>B8</v>
      </c>
      <c r="K179" s="4" cm="1">
        <f t="array" ref="K179">INDEX(Sheet1!H:H,$G179)</f>
        <v>1E-3</v>
      </c>
      <c r="L179" s="4">
        <f t="shared" si="8"/>
        <v>77</v>
      </c>
      <c r="M179" s="4">
        <f t="shared" si="11"/>
        <v>5</v>
      </c>
    </row>
    <row r="180" spans="1:13">
      <c r="A180" s="4" t="str" cm="1">
        <f t="array" ref="A180">INDEX(Sheet1!A:A,$F180)</f>
        <v>M</v>
      </c>
      <c r="B180" s="4" t="str" cm="1">
        <f t="array" ref="B180">INDEX(Sheet1!B:B,$F180)</f>
        <v>Pref Best NS</v>
      </c>
      <c r="C180" s="4">
        <f t="shared" si="9"/>
        <v>78</v>
      </c>
      <c r="D180" s="5" cm="1">
        <f t="array" aca="1" ref="D180" ca="1">OFFSET(INDIRECT("'["&amp;$H180&amp;"]"&amp;$I180&amp;"'!"&amp;$J180),$L180,$M180)*$K180</f>
        <v>3.5700000000000003E-2</v>
      </c>
      <c r="F180" s="4">
        <f t="shared" si="10"/>
        <v>3</v>
      </c>
      <c r="G180" s="4" cm="1">
        <f t="array" ref="G180">IF($C180+$M180&lt;16,INDEX(Sheet1!C:C,$F180),$F180)</f>
        <v>3</v>
      </c>
      <c r="H180" s="4" t="str" cm="1">
        <f t="array" ref="H180">INDEX(Sheet1!D:D,$G180)</f>
        <v>2001-cso-preferred-class-structure-mortality-tables.xls</v>
      </c>
      <c r="I180" s="4" t="str" cm="1">
        <f t="array" ref="I180">INDEX(Sheet1!E:E,$G180)</f>
        <v>A.1.a.ii</v>
      </c>
      <c r="J180" s="4" t="str" cm="1">
        <f t="array" ref="J180">INDEX(Sheet1!F:F,$G180)</f>
        <v>B8</v>
      </c>
      <c r="K180" s="4" cm="1">
        <f t="array" ref="K180">INDEX(Sheet1!H:H,$G180)</f>
        <v>1E-3</v>
      </c>
      <c r="L180" s="4">
        <f t="shared" si="8"/>
        <v>78</v>
      </c>
      <c r="M180" s="4">
        <f t="shared" si="11"/>
        <v>5</v>
      </c>
    </row>
    <row r="181" spans="1:13">
      <c r="A181" s="4" t="str" cm="1">
        <f t="array" ref="A181">INDEX(Sheet1!A:A,$F181)</f>
        <v>M</v>
      </c>
      <c r="B181" s="4" t="str" cm="1">
        <f t="array" ref="B181">INDEX(Sheet1!B:B,$F181)</f>
        <v>Pref Best NS</v>
      </c>
      <c r="C181" s="4">
        <f t="shared" si="9"/>
        <v>79</v>
      </c>
      <c r="D181" s="5" cm="1">
        <f t="array" aca="1" ref="D181" ca="1">OFFSET(INDIRECT("'["&amp;$H181&amp;"]"&amp;$I181&amp;"'!"&amp;$J181),$L181,$M181)*$K181</f>
        <v>4.301E-2</v>
      </c>
      <c r="F181" s="4">
        <f t="shared" si="10"/>
        <v>3</v>
      </c>
      <c r="G181" s="4" cm="1">
        <f t="array" ref="G181">IF($C181+$M181&lt;16,INDEX(Sheet1!C:C,$F181),$F181)</f>
        <v>3</v>
      </c>
      <c r="H181" s="4" t="str" cm="1">
        <f t="array" ref="H181">INDEX(Sheet1!D:D,$G181)</f>
        <v>2001-cso-preferred-class-structure-mortality-tables.xls</v>
      </c>
      <c r="I181" s="4" t="str" cm="1">
        <f t="array" ref="I181">INDEX(Sheet1!E:E,$G181)</f>
        <v>A.1.a.ii</v>
      </c>
      <c r="J181" s="4" t="str" cm="1">
        <f t="array" ref="J181">INDEX(Sheet1!F:F,$G181)</f>
        <v>B8</v>
      </c>
      <c r="K181" s="4" cm="1">
        <f t="array" ref="K181">INDEX(Sheet1!H:H,$G181)</f>
        <v>1E-3</v>
      </c>
      <c r="L181" s="4">
        <f t="shared" si="8"/>
        <v>79</v>
      </c>
      <c r="M181" s="4">
        <f t="shared" si="11"/>
        <v>5</v>
      </c>
    </row>
    <row r="182" spans="1:13">
      <c r="A182" s="4" t="str" cm="1">
        <f t="array" ref="A182">INDEX(Sheet1!A:A,$F182)</f>
        <v>M</v>
      </c>
      <c r="B182" s="4" t="str" cm="1">
        <f t="array" ref="B182">INDEX(Sheet1!B:B,$F182)</f>
        <v>Pref Best NS</v>
      </c>
      <c r="C182" s="4">
        <f t="shared" si="9"/>
        <v>80</v>
      </c>
      <c r="D182" s="5" cm="1">
        <f t="array" aca="1" ref="D182" ca="1">OFFSET(INDIRECT("'["&amp;$H182&amp;"]"&amp;$I182&amp;"'!"&amp;$J182),$L182,$M182)*$K182</f>
        <v>4.9399999999999999E-2</v>
      </c>
      <c r="F182" s="4">
        <f t="shared" si="10"/>
        <v>3</v>
      </c>
      <c r="G182" s="4" cm="1">
        <f t="array" ref="G182">IF($C182+$M182&lt;16,INDEX(Sheet1!C:C,$F182),$F182)</f>
        <v>3</v>
      </c>
      <c r="H182" s="4" t="str" cm="1">
        <f t="array" ref="H182">INDEX(Sheet1!D:D,$G182)</f>
        <v>2001-cso-preferred-class-structure-mortality-tables.xls</v>
      </c>
      <c r="I182" s="4" t="str" cm="1">
        <f t="array" ref="I182">INDEX(Sheet1!E:E,$G182)</f>
        <v>A.1.a.ii</v>
      </c>
      <c r="J182" s="4" t="str" cm="1">
        <f t="array" ref="J182">INDEX(Sheet1!F:F,$G182)</f>
        <v>B8</v>
      </c>
      <c r="K182" s="4" cm="1">
        <f t="array" ref="K182">INDEX(Sheet1!H:H,$G182)</f>
        <v>1E-3</v>
      </c>
      <c r="L182" s="4">
        <f t="shared" si="8"/>
        <v>80</v>
      </c>
      <c r="M182" s="4">
        <f t="shared" si="11"/>
        <v>5</v>
      </c>
    </row>
    <row r="183" spans="1:13">
      <c r="A183" s="4" t="str" cm="1">
        <f t="array" ref="A183">INDEX(Sheet1!A:A,$F183)</f>
        <v>M</v>
      </c>
      <c r="B183" s="4" t="str" cm="1">
        <f t="array" ref="B183">INDEX(Sheet1!B:B,$F183)</f>
        <v>Pref Best NS</v>
      </c>
      <c r="C183" s="4">
        <f t="shared" si="9"/>
        <v>81</v>
      </c>
      <c r="D183" s="5" cm="1">
        <f t="array" aca="1" ref="D183" ca="1">OFFSET(INDIRECT("'["&amp;$H183&amp;"]"&amp;$I183&amp;"'!"&amp;$J183),$L183,$M183)*$K183</f>
        <v>6.0909999999999999E-2</v>
      </c>
      <c r="F183" s="4">
        <f t="shared" si="10"/>
        <v>3</v>
      </c>
      <c r="G183" s="4" cm="1">
        <f t="array" ref="G183">IF($C183+$M183&lt;16,INDEX(Sheet1!C:C,$F183),$F183)</f>
        <v>3</v>
      </c>
      <c r="H183" s="4" t="str" cm="1">
        <f t="array" ref="H183">INDEX(Sheet1!D:D,$G183)</f>
        <v>2001-cso-preferred-class-structure-mortality-tables.xls</v>
      </c>
      <c r="I183" s="4" t="str" cm="1">
        <f t="array" ref="I183">INDEX(Sheet1!E:E,$G183)</f>
        <v>A.1.a.ii</v>
      </c>
      <c r="J183" s="4" t="str" cm="1">
        <f t="array" ref="J183">INDEX(Sheet1!F:F,$G183)</f>
        <v>B8</v>
      </c>
      <c r="K183" s="4" cm="1">
        <f t="array" ref="K183">INDEX(Sheet1!H:H,$G183)</f>
        <v>1E-3</v>
      </c>
      <c r="L183" s="4">
        <f t="shared" si="8"/>
        <v>81</v>
      </c>
      <c r="M183" s="4">
        <f t="shared" si="11"/>
        <v>5</v>
      </c>
    </row>
    <row r="184" spans="1:13">
      <c r="A184" s="4" t="str" cm="1">
        <f t="array" ref="A184">INDEX(Sheet1!A:A,$F184)</f>
        <v>M</v>
      </c>
      <c r="B184" s="4" t="str" cm="1">
        <f t="array" ref="B184">INDEX(Sheet1!B:B,$F184)</f>
        <v>Pref Best NS</v>
      </c>
      <c r="C184" s="4">
        <f t="shared" si="9"/>
        <v>82</v>
      </c>
      <c r="D184" s="5" cm="1">
        <f t="array" aca="1" ref="D184" ca="1">OFFSET(INDIRECT("'["&amp;$H184&amp;"]"&amp;$I184&amp;"'!"&amp;$J184),$L184,$M184)*$K184</f>
        <v>6.795000000000001E-2</v>
      </c>
      <c r="F184" s="4">
        <f t="shared" si="10"/>
        <v>3</v>
      </c>
      <c r="G184" s="4" cm="1">
        <f t="array" ref="G184">IF($C184+$M184&lt;16,INDEX(Sheet1!C:C,$F184),$F184)</f>
        <v>3</v>
      </c>
      <c r="H184" s="4" t="str" cm="1">
        <f t="array" ref="H184">INDEX(Sheet1!D:D,$G184)</f>
        <v>2001-cso-preferred-class-structure-mortality-tables.xls</v>
      </c>
      <c r="I184" s="4" t="str" cm="1">
        <f t="array" ref="I184">INDEX(Sheet1!E:E,$G184)</f>
        <v>A.1.a.ii</v>
      </c>
      <c r="J184" s="4" t="str" cm="1">
        <f t="array" ref="J184">INDEX(Sheet1!F:F,$G184)</f>
        <v>B8</v>
      </c>
      <c r="K184" s="4" cm="1">
        <f t="array" ref="K184">INDEX(Sheet1!H:H,$G184)</f>
        <v>1E-3</v>
      </c>
      <c r="L184" s="4">
        <f t="shared" si="8"/>
        <v>82</v>
      </c>
      <c r="M184" s="4">
        <f t="shared" si="11"/>
        <v>5</v>
      </c>
    </row>
    <row r="185" spans="1:13">
      <c r="A185" s="4" t="str" cm="1">
        <f t="array" ref="A185">INDEX(Sheet1!A:A,$F185)</f>
        <v>M</v>
      </c>
      <c r="B185" s="4" t="str" cm="1">
        <f t="array" ref="B185">INDEX(Sheet1!B:B,$F185)</f>
        <v>Pref Best NS</v>
      </c>
      <c r="C185" s="4">
        <f t="shared" si="9"/>
        <v>83</v>
      </c>
      <c r="D185" s="5" cm="1">
        <f t="array" aca="1" ref="D185" ca="1">OFFSET(INDIRECT("'["&amp;$H185&amp;"]"&amp;$I185&amp;"'!"&amp;$J185),$L185,$M185)*$K185</f>
        <v>7.9900000000000013E-2</v>
      </c>
      <c r="F185" s="4">
        <f t="shared" si="10"/>
        <v>3</v>
      </c>
      <c r="G185" s="4" cm="1">
        <f t="array" ref="G185">IF($C185+$M185&lt;16,INDEX(Sheet1!C:C,$F185),$F185)</f>
        <v>3</v>
      </c>
      <c r="H185" s="4" t="str" cm="1">
        <f t="array" ref="H185">INDEX(Sheet1!D:D,$G185)</f>
        <v>2001-cso-preferred-class-structure-mortality-tables.xls</v>
      </c>
      <c r="I185" s="4" t="str" cm="1">
        <f t="array" ref="I185">INDEX(Sheet1!E:E,$G185)</f>
        <v>A.1.a.ii</v>
      </c>
      <c r="J185" s="4" t="str" cm="1">
        <f t="array" ref="J185">INDEX(Sheet1!F:F,$G185)</f>
        <v>B8</v>
      </c>
      <c r="K185" s="4" cm="1">
        <f t="array" ref="K185">INDEX(Sheet1!H:H,$G185)</f>
        <v>1E-3</v>
      </c>
      <c r="L185" s="4">
        <f t="shared" si="8"/>
        <v>83</v>
      </c>
      <c r="M185" s="4">
        <f t="shared" si="11"/>
        <v>5</v>
      </c>
    </row>
    <row r="186" spans="1:13">
      <c r="A186" s="4" t="str" cm="1">
        <f t="array" ref="A186">INDEX(Sheet1!A:A,$F186)</f>
        <v>M</v>
      </c>
      <c r="B186" s="4" t="str" cm="1">
        <f t="array" ref="B186">INDEX(Sheet1!B:B,$F186)</f>
        <v>Pref Best NS</v>
      </c>
      <c r="C186" s="4">
        <f t="shared" si="9"/>
        <v>84</v>
      </c>
      <c r="D186" s="5" cm="1">
        <f t="array" aca="1" ref="D186" ca="1">OFFSET(INDIRECT("'["&amp;$H186&amp;"]"&amp;$I186&amp;"'!"&amp;$J186),$L186,$M186)*$K186</f>
        <v>9.3799999999999994E-2</v>
      </c>
      <c r="F186" s="4">
        <f t="shared" si="10"/>
        <v>3</v>
      </c>
      <c r="G186" s="4" cm="1">
        <f t="array" ref="G186">IF($C186+$M186&lt;16,INDEX(Sheet1!C:C,$F186),$F186)</f>
        <v>3</v>
      </c>
      <c r="H186" s="4" t="str" cm="1">
        <f t="array" ref="H186">INDEX(Sheet1!D:D,$G186)</f>
        <v>2001-cso-preferred-class-structure-mortality-tables.xls</v>
      </c>
      <c r="I186" s="4" t="str" cm="1">
        <f t="array" ref="I186">INDEX(Sheet1!E:E,$G186)</f>
        <v>A.1.a.ii</v>
      </c>
      <c r="J186" s="4" t="str" cm="1">
        <f t="array" ref="J186">INDEX(Sheet1!F:F,$G186)</f>
        <v>B8</v>
      </c>
      <c r="K186" s="4" cm="1">
        <f t="array" ref="K186">INDEX(Sheet1!H:H,$G186)</f>
        <v>1E-3</v>
      </c>
      <c r="L186" s="4">
        <f t="shared" si="8"/>
        <v>84</v>
      </c>
      <c r="M186" s="4">
        <f t="shared" si="11"/>
        <v>5</v>
      </c>
    </row>
    <row r="187" spans="1:13">
      <c r="A187" s="4" t="str" cm="1">
        <f t="array" ref="A187">INDEX(Sheet1!A:A,$F187)</f>
        <v>M</v>
      </c>
      <c r="B187" s="4" t="str" cm="1">
        <f t="array" ref="B187">INDEX(Sheet1!B:B,$F187)</f>
        <v>Pref Best NS</v>
      </c>
      <c r="C187" s="4">
        <f t="shared" si="9"/>
        <v>85</v>
      </c>
      <c r="D187" s="5" cm="1">
        <f t="array" aca="1" ref="D187" ca="1">OFFSET(INDIRECT("'["&amp;$H187&amp;"]"&amp;$I187&amp;"'!"&amp;$J187),$L187,$M187)*$K187</f>
        <v>0.10404000000000001</v>
      </c>
      <c r="F187" s="4">
        <f t="shared" si="10"/>
        <v>3</v>
      </c>
      <c r="G187" s="4" cm="1">
        <f t="array" ref="G187">IF($C187+$M187&lt;16,INDEX(Sheet1!C:C,$F187),$F187)</f>
        <v>3</v>
      </c>
      <c r="H187" s="4" t="str" cm="1">
        <f t="array" ref="H187">INDEX(Sheet1!D:D,$G187)</f>
        <v>2001-cso-preferred-class-structure-mortality-tables.xls</v>
      </c>
      <c r="I187" s="4" t="str" cm="1">
        <f t="array" ref="I187">INDEX(Sheet1!E:E,$G187)</f>
        <v>A.1.a.ii</v>
      </c>
      <c r="J187" s="4" t="str" cm="1">
        <f t="array" ref="J187">INDEX(Sheet1!F:F,$G187)</f>
        <v>B8</v>
      </c>
      <c r="K187" s="4" cm="1">
        <f t="array" ref="K187">INDEX(Sheet1!H:H,$G187)</f>
        <v>1E-3</v>
      </c>
      <c r="L187" s="4">
        <f t="shared" si="8"/>
        <v>85</v>
      </c>
      <c r="M187" s="4">
        <f t="shared" si="11"/>
        <v>5</v>
      </c>
    </row>
    <row r="188" spans="1:13">
      <c r="A188" s="4" t="str" cm="1">
        <f t="array" ref="A188">INDEX(Sheet1!A:A,$F188)</f>
        <v>M</v>
      </c>
      <c r="B188" s="4" t="str" cm="1">
        <f t="array" ref="B188">INDEX(Sheet1!B:B,$F188)</f>
        <v>Pref Best NS</v>
      </c>
      <c r="C188" s="4">
        <f t="shared" si="9"/>
        <v>86</v>
      </c>
      <c r="D188" s="5" cm="1">
        <f t="array" aca="1" ref="D188" ca="1">OFFSET(INDIRECT("'["&amp;$H188&amp;"]"&amp;$I188&amp;"'!"&amp;$J188),$L188,$M188)*$K188</f>
        <v>0.13708000000000001</v>
      </c>
      <c r="F188" s="4">
        <f t="shared" si="10"/>
        <v>3</v>
      </c>
      <c r="G188" s="4" cm="1">
        <f t="array" ref="G188">IF($C188+$M188&lt;16,INDEX(Sheet1!C:C,$F188),$F188)</f>
        <v>3</v>
      </c>
      <c r="H188" s="4" t="str" cm="1">
        <f t="array" ref="H188">INDEX(Sheet1!D:D,$G188)</f>
        <v>2001-cso-preferred-class-structure-mortality-tables.xls</v>
      </c>
      <c r="I188" s="4" t="str" cm="1">
        <f t="array" ref="I188">INDEX(Sheet1!E:E,$G188)</f>
        <v>A.1.a.ii</v>
      </c>
      <c r="J188" s="4" t="str" cm="1">
        <f t="array" ref="J188">INDEX(Sheet1!F:F,$G188)</f>
        <v>B8</v>
      </c>
      <c r="K188" s="4" cm="1">
        <f t="array" ref="K188">INDEX(Sheet1!H:H,$G188)</f>
        <v>1E-3</v>
      </c>
      <c r="L188" s="4">
        <f t="shared" si="8"/>
        <v>86</v>
      </c>
      <c r="M188" s="4">
        <f t="shared" si="11"/>
        <v>5</v>
      </c>
    </row>
    <row r="189" spans="1:13">
      <c r="A189" s="4" t="str" cm="1">
        <f t="array" ref="A189">INDEX(Sheet1!A:A,$F189)</f>
        <v>M</v>
      </c>
      <c r="B189" s="4" t="str" cm="1">
        <f t="array" ref="B189">INDEX(Sheet1!B:B,$F189)</f>
        <v>Pref Best NS</v>
      </c>
      <c r="C189" s="4">
        <f t="shared" si="9"/>
        <v>87</v>
      </c>
      <c r="D189" s="5" cm="1">
        <f t="array" aca="1" ref="D189" ca="1">OFFSET(INDIRECT("'["&amp;$H189&amp;"]"&amp;$I189&amp;"'!"&amp;$J189),$L189,$M189)*$K189</f>
        <v>0.16882</v>
      </c>
      <c r="F189" s="4">
        <f t="shared" si="10"/>
        <v>3</v>
      </c>
      <c r="G189" s="4" cm="1">
        <f t="array" ref="G189">IF($C189+$M189&lt;16,INDEX(Sheet1!C:C,$F189),$F189)</f>
        <v>3</v>
      </c>
      <c r="H189" s="4" t="str" cm="1">
        <f t="array" ref="H189">INDEX(Sheet1!D:D,$G189)</f>
        <v>2001-cso-preferred-class-structure-mortality-tables.xls</v>
      </c>
      <c r="I189" s="4" t="str" cm="1">
        <f t="array" ref="I189">INDEX(Sheet1!E:E,$G189)</f>
        <v>A.1.a.ii</v>
      </c>
      <c r="J189" s="4" t="str" cm="1">
        <f t="array" ref="J189">INDEX(Sheet1!F:F,$G189)</f>
        <v>B8</v>
      </c>
      <c r="K189" s="4" cm="1">
        <f t="array" ref="K189">INDEX(Sheet1!H:H,$G189)</f>
        <v>1E-3</v>
      </c>
      <c r="L189" s="4">
        <f t="shared" si="8"/>
        <v>87</v>
      </c>
      <c r="M189" s="4">
        <f t="shared" si="11"/>
        <v>5</v>
      </c>
    </row>
    <row r="190" spans="1:13">
      <c r="A190" s="4" t="str" cm="1">
        <f t="array" ref="A190">INDEX(Sheet1!A:A,$F190)</f>
        <v>M</v>
      </c>
      <c r="B190" s="4" t="str" cm="1">
        <f t="array" ref="B190">INDEX(Sheet1!B:B,$F190)</f>
        <v>Pref Best NS</v>
      </c>
      <c r="C190" s="4">
        <f t="shared" si="9"/>
        <v>88</v>
      </c>
      <c r="D190" s="5" cm="1">
        <f t="array" aca="1" ref="D190" ca="1">OFFSET(INDIRECT("'["&amp;$H190&amp;"]"&amp;$I190&amp;"'!"&amp;$J190),$L190,$M190)*$K190</f>
        <v>0.21708000000000002</v>
      </c>
      <c r="F190" s="4">
        <f t="shared" si="10"/>
        <v>3</v>
      </c>
      <c r="G190" s="4" cm="1">
        <f t="array" ref="G190">IF($C190+$M190&lt;16,INDEX(Sheet1!C:C,$F190),$F190)</f>
        <v>3</v>
      </c>
      <c r="H190" s="4" t="str" cm="1">
        <f t="array" ref="H190">INDEX(Sheet1!D:D,$G190)</f>
        <v>2001-cso-preferred-class-structure-mortality-tables.xls</v>
      </c>
      <c r="I190" s="4" t="str" cm="1">
        <f t="array" ref="I190">INDEX(Sheet1!E:E,$G190)</f>
        <v>A.1.a.ii</v>
      </c>
      <c r="J190" s="4" t="str" cm="1">
        <f t="array" ref="J190">INDEX(Sheet1!F:F,$G190)</f>
        <v>B8</v>
      </c>
      <c r="K190" s="4" cm="1">
        <f t="array" ref="K190">INDEX(Sheet1!H:H,$G190)</f>
        <v>1E-3</v>
      </c>
      <c r="L190" s="4">
        <f t="shared" si="8"/>
        <v>88</v>
      </c>
      <c r="M190" s="4">
        <f t="shared" si="11"/>
        <v>5</v>
      </c>
    </row>
    <row r="191" spans="1:13">
      <c r="A191" s="4" t="str" cm="1">
        <f t="array" ref="A191">INDEX(Sheet1!A:A,$F191)</f>
        <v>M</v>
      </c>
      <c r="B191" s="4" t="str" cm="1">
        <f t="array" ref="B191">INDEX(Sheet1!B:B,$F191)</f>
        <v>Pref Best NS</v>
      </c>
      <c r="C191" s="4">
        <f t="shared" si="9"/>
        <v>89</v>
      </c>
      <c r="D191" s="5" cm="1">
        <f t="array" aca="1" ref="D191" ca="1">OFFSET(INDIRECT("'["&amp;$H191&amp;"]"&amp;$I191&amp;"'!"&amp;$J191),$L191,$M191)*$K191</f>
        <v>0.24296000000000001</v>
      </c>
      <c r="F191" s="4">
        <f t="shared" si="10"/>
        <v>3</v>
      </c>
      <c r="G191" s="4" cm="1">
        <f t="array" ref="G191">IF($C191+$M191&lt;16,INDEX(Sheet1!C:C,$F191),$F191)</f>
        <v>3</v>
      </c>
      <c r="H191" s="4" t="str" cm="1">
        <f t="array" ref="H191">INDEX(Sheet1!D:D,$G191)</f>
        <v>2001-cso-preferred-class-structure-mortality-tables.xls</v>
      </c>
      <c r="I191" s="4" t="str" cm="1">
        <f t="array" ref="I191">INDEX(Sheet1!E:E,$G191)</f>
        <v>A.1.a.ii</v>
      </c>
      <c r="J191" s="4" t="str" cm="1">
        <f t="array" ref="J191">INDEX(Sheet1!F:F,$G191)</f>
        <v>B8</v>
      </c>
      <c r="K191" s="4" cm="1">
        <f t="array" ref="K191">INDEX(Sheet1!H:H,$G191)</f>
        <v>1E-3</v>
      </c>
      <c r="L191" s="4">
        <f t="shared" si="8"/>
        <v>89</v>
      </c>
      <c r="M191" s="4">
        <f t="shared" si="11"/>
        <v>5</v>
      </c>
    </row>
    <row r="192" spans="1:13">
      <c r="A192" s="4" t="str" cm="1">
        <f t="array" ref="A192">INDEX(Sheet1!A:A,$F192)</f>
        <v>M</v>
      </c>
      <c r="B192" s="4" t="str" cm="1">
        <f t="array" ref="B192">INDEX(Sheet1!B:B,$F192)</f>
        <v>Pref Best NS</v>
      </c>
      <c r="C192" s="4">
        <f t="shared" si="9"/>
        <v>90</v>
      </c>
      <c r="D192" s="5" cm="1">
        <f t="array" aca="1" ref="D192" ca="1">OFFSET(INDIRECT("'["&amp;$H192&amp;"]"&amp;$I192&amp;"'!"&amp;$J192),$L192,$M192)*$K192</f>
        <v>0.26355000000000001</v>
      </c>
      <c r="F192" s="4">
        <f t="shared" si="10"/>
        <v>3</v>
      </c>
      <c r="G192" s="4" cm="1">
        <f t="array" ref="G192">IF($C192+$M192&lt;16,INDEX(Sheet1!C:C,$F192),$F192)</f>
        <v>3</v>
      </c>
      <c r="H192" s="4" t="str" cm="1">
        <f t="array" ref="H192">INDEX(Sheet1!D:D,$G192)</f>
        <v>2001-cso-preferred-class-structure-mortality-tables.xls</v>
      </c>
      <c r="I192" s="4" t="str" cm="1">
        <f t="array" ref="I192">INDEX(Sheet1!E:E,$G192)</f>
        <v>A.1.a.ii</v>
      </c>
      <c r="J192" s="4" t="str" cm="1">
        <f t="array" ref="J192">INDEX(Sheet1!F:F,$G192)</f>
        <v>B8</v>
      </c>
      <c r="K192" s="4" cm="1">
        <f t="array" ref="K192">INDEX(Sheet1!H:H,$G192)</f>
        <v>1E-3</v>
      </c>
      <c r="L192" s="4">
        <f t="shared" si="8"/>
        <v>90</v>
      </c>
      <c r="M192" s="4">
        <f t="shared" si="11"/>
        <v>5</v>
      </c>
    </row>
    <row r="193" spans="1:13">
      <c r="A193" s="4" t="str" cm="1">
        <f t="array" ref="A193">INDEX(Sheet1!A:A,$F193)</f>
        <v>M</v>
      </c>
      <c r="B193" s="4" t="str" cm="1">
        <f t="array" ref="B193">INDEX(Sheet1!B:B,$F193)</f>
        <v>Pref Best NS</v>
      </c>
      <c r="C193" s="4">
        <f t="shared" si="9"/>
        <v>91</v>
      </c>
      <c r="D193" s="5" cm="1">
        <f t="array" aca="1" ref="D193" ca="1">OFFSET(INDIRECT("'["&amp;$H193&amp;"]"&amp;$I193&amp;"'!"&amp;$J193),$L193,$M193)*$K193</f>
        <v>0.28039999999999998</v>
      </c>
      <c r="F193" s="4">
        <f t="shared" si="10"/>
        <v>3</v>
      </c>
      <c r="G193" s="4" cm="1">
        <f t="array" ref="G193">IF($C193+$M193&lt;16,INDEX(Sheet1!C:C,$F193),$F193)</f>
        <v>3</v>
      </c>
      <c r="H193" s="4" t="str" cm="1">
        <f t="array" ref="H193">INDEX(Sheet1!D:D,$G193)</f>
        <v>2001-cso-preferred-class-structure-mortality-tables.xls</v>
      </c>
      <c r="I193" s="4" t="str" cm="1">
        <f t="array" ref="I193">INDEX(Sheet1!E:E,$G193)</f>
        <v>A.1.a.ii</v>
      </c>
      <c r="J193" s="4" t="str" cm="1">
        <f t="array" ref="J193">INDEX(Sheet1!F:F,$G193)</f>
        <v>B8</v>
      </c>
      <c r="K193" s="4" cm="1">
        <f t="array" ref="K193">INDEX(Sheet1!H:H,$G193)</f>
        <v>1E-3</v>
      </c>
      <c r="L193" s="4">
        <f t="shared" si="8"/>
        <v>91</v>
      </c>
      <c r="M193" s="4">
        <f t="shared" si="11"/>
        <v>5</v>
      </c>
    </row>
    <row r="194" spans="1:13">
      <c r="A194" s="4" t="str" cm="1">
        <f t="array" ref="A194">INDEX(Sheet1!A:A,$F194)</f>
        <v>M</v>
      </c>
      <c r="B194" s="4" t="str" cm="1">
        <f t="array" ref="B194">INDEX(Sheet1!B:B,$F194)</f>
        <v>Pref Best NS</v>
      </c>
      <c r="C194" s="4">
        <f t="shared" si="9"/>
        <v>92</v>
      </c>
      <c r="D194" s="5" cm="1">
        <f t="array" aca="1" ref="D194" ca="1">OFFSET(INDIRECT("'["&amp;$H194&amp;"]"&amp;$I194&amp;"'!"&amp;$J194),$L194,$M194)*$K194</f>
        <v>0.29838999999999999</v>
      </c>
      <c r="F194" s="4">
        <f t="shared" si="10"/>
        <v>3</v>
      </c>
      <c r="G194" s="4" cm="1">
        <f t="array" ref="G194">IF($C194+$M194&lt;16,INDEX(Sheet1!C:C,$F194),$F194)</f>
        <v>3</v>
      </c>
      <c r="H194" s="4" t="str" cm="1">
        <f t="array" ref="H194">INDEX(Sheet1!D:D,$G194)</f>
        <v>2001-cso-preferred-class-structure-mortality-tables.xls</v>
      </c>
      <c r="I194" s="4" t="str" cm="1">
        <f t="array" ref="I194">INDEX(Sheet1!E:E,$G194)</f>
        <v>A.1.a.ii</v>
      </c>
      <c r="J194" s="4" t="str" cm="1">
        <f t="array" ref="J194">INDEX(Sheet1!F:F,$G194)</f>
        <v>B8</v>
      </c>
      <c r="K194" s="4" cm="1">
        <f t="array" ref="K194">INDEX(Sheet1!H:H,$G194)</f>
        <v>1E-3</v>
      </c>
      <c r="L194" s="4">
        <f t="shared" si="8"/>
        <v>92</v>
      </c>
      <c r="M194" s="4">
        <f t="shared" si="11"/>
        <v>5</v>
      </c>
    </row>
    <row r="195" spans="1:13">
      <c r="A195" s="4" t="str" cm="1">
        <f t="array" ref="A195">INDEX(Sheet1!A:A,$F195)</f>
        <v>M</v>
      </c>
      <c r="B195" s="4" t="str" cm="1">
        <f t="array" ref="B195">INDEX(Sheet1!B:B,$F195)</f>
        <v>Pref Best NS</v>
      </c>
      <c r="C195" s="4">
        <f t="shared" si="9"/>
        <v>93</v>
      </c>
      <c r="D195" s="5" cm="1">
        <f t="array" aca="1" ref="D195" ca="1">OFFSET(INDIRECT("'["&amp;$H195&amp;"]"&amp;$I195&amp;"'!"&amp;$J195),$L195,$M195)*$K195</f>
        <v>0.31757999999999997</v>
      </c>
      <c r="F195" s="4">
        <f t="shared" si="10"/>
        <v>3</v>
      </c>
      <c r="G195" s="4" cm="1">
        <f t="array" ref="G195">IF($C195+$M195&lt;16,INDEX(Sheet1!C:C,$F195),$F195)</f>
        <v>3</v>
      </c>
      <c r="H195" s="4" t="str" cm="1">
        <f t="array" ref="H195">INDEX(Sheet1!D:D,$G195)</f>
        <v>2001-cso-preferred-class-structure-mortality-tables.xls</v>
      </c>
      <c r="I195" s="4" t="str" cm="1">
        <f t="array" ref="I195">INDEX(Sheet1!E:E,$G195)</f>
        <v>A.1.a.ii</v>
      </c>
      <c r="J195" s="4" t="str" cm="1">
        <f t="array" ref="J195">INDEX(Sheet1!F:F,$G195)</f>
        <v>B8</v>
      </c>
      <c r="K195" s="4" cm="1">
        <f t="array" ref="K195">INDEX(Sheet1!H:H,$G195)</f>
        <v>1E-3</v>
      </c>
      <c r="L195" s="4">
        <f t="shared" ref="L195:L258" si="12">C195</f>
        <v>93</v>
      </c>
      <c r="M195" s="4">
        <f t="shared" si="11"/>
        <v>5</v>
      </c>
    </row>
    <row r="196" spans="1:13">
      <c r="A196" s="4" t="str" cm="1">
        <f t="array" ref="A196">INDEX(Sheet1!A:A,$F196)</f>
        <v>M</v>
      </c>
      <c r="B196" s="4" t="str" cm="1">
        <f t="array" ref="B196">INDEX(Sheet1!B:B,$F196)</f>
        <v>Pref Best NS</v>
      </c>
      <c r="C196" s="4">
        <f t="shared" ref="C196:C259" si="13">IF(C195=99,0,C195+1)</f>
        <v>94</v>
      </c>
      <c r="D196" s="5" cm="1">
        <f t="array" aca="1" ref="D196" ca="1">OFFSET(INDIRECT("'["&amp;$H196&amp;"]"&amp;$I196&amp;"'!"&amp;$J196),$L196,$M196)*$K196</f>
        <v>0.33811000000000002</v>
      </c>
      <c r="F196" s="4">
        <f t="shared" ref="F196:F259" si="14">IF(C196=0,1,0)+F195</f>
        <v>3</v>
      </c>
      <c r="G196" s="4" cm="1">
        <f t="array" ref="G196">IF($C196+$M196&lt;16,INDEX(Sheet1!C:C,$F196),$F196)</f>
        <v>3</v>
      </c>
      <c r="H196" s="4" t="str" cm="1">
        <f t="array" ref="H196">INDEX(Sheet1!D:D,$G196)</f>
        <v>2001-cso-preferred-class-structure-mortality-tables.xls</v>
      </c>
      <c r="I196" s="4" t="str" cm="1">
        <f t="array" ref="I196">INDEX(Sheet1!E:E,$G196)</f>
        <v>A.1.a.ii</v>
      </c>
      <c r="J196" s="4" t="str" cm="1">
        <f t="array" ref="J196">INDEX(Sheet1!F:F,$G196)</f>
        <v>B8</v>
      </c>
      <c r="K196" s="4" cm="1">
        <f t="array" ref="K196">INDEX(Sheet1!H:H,$G196)</f>
        <v>1E-3</v>
      </c>
      <c r="L196" s="4">
        <f t="shared" si="12"/>
        <v>94</v>
      </c>
      <c r="M196" s="4">
        <f t="shared" ref="L196:M259" si="15">M$2</f>
        <v>5</v>
      </c>
    </row>
    <row r="197" spans="1:13">
      <c r="A197" s="4" t="str" cm="1">
        <f t="array" ref="A197">INDEX(Sheet1!A:A,$F197)</f>
        <v>M</v>
      </c>
      <c r="B197" s="4" t="str" cm="1">
        <f t="array" ref="B197">INDEX(Sheet1!B:B,$F197)</f>
        <v>Pref Best NS</v>
      </c>
      <c r="C197" s="4">
        <f t="shared" si="13"/>
        <v>95</v>
      </c>
      <c r="D197" s="5" cm="1">
        <f t="array" aca="1" ref="D197" ca="1">OFFSET(INDIRECT("'["&amp;$H197&amp;"]"&amp;$I197&amp;"'!"&amp;$J197),$L197,$M197)*$K197</f>
        <v>0.36005000000000004</v>
      </c>
      <c r="F197" s="4">
        <f t="shared" si="14"/>
        <v>3</v>
      </c>
      <c r="G197" s="4" cm="1">
        <f t="array" ref="G197">IF($C197+$M197&lt;16,INDEX(Sheet1!C:C,$F197),$F197)</f>
        <v>3</v>
      </c>
      <c r="H197" s="4" t="str" cm="1">
        <f t="array" ref="H197">INDEX(Sheet1!D:D,$G197)</f>
        <v>2001-cso-preferred-class-structure-mortality-tables.xls</v>
      </c>
      <c r="I197" s="4" t="str" cm="1">
        <f t="array" ref="I197">INDEX(Sheet1!E:E,$G197)</f>
        <v>A.1.a.ii</v>
      </c>
      <c r="J197" s="4" t="str" cm="1">
        <f t="array" ref="J197">INDEX(Sheet1!F:F,$G197)</f>
        <v>B8</v>
      </c>
      <c r="K197" s="4" cm="1">
        <f t="array" ref="K197">INDEX(Sheet1!H:H,$G197)</f>
        <v>1E-3</v>
      </c>
      <c r="L197" s="4">
        <f t="shared" si="12"/>
        <v>95</v>
      </c>
      <c r="M197" s="4">
        <f t="shared" si="15"/>
        <v>5</v>
      </c>
    </row>
    <row r="198" spans="1:13">
      <c r="A198" s="4" t="str" cm="1">
        <f t="array" ref="A198">INDEX(Sheet1!A:A,$F198)</f>
        <v>M</v>
      </c>
      <c r="B198" s="4" t="str" cm="1">
        <f t="array" ref="B198">INDEX(Sheet1!B:B,$F198)</f>
        <v>Pref Best NS</v>
      </c>
      <c r="C198" s="4">
        <f t="shared" si="13"/>
        <v>96</v>
      </c>
      <c r="D198" s="5" cm="1">
        <f t="array" aca="1" ref="D198" ca="1">OFFSET(INDIRECT("'["&amp;$H198&amp;"]"&amp;$I198&amp;"'!"&amp;$J198),$L198,$M198)*$K198</f>
        <v>0.37774000000000002</v>
      </c>
      <c r="F198" s="4">
        <f t="shared" si="14"/>
        <v>3</v>
      </c>
      <c r="G198" s="4" cm="1">
        <f t="array" ref="G198">IF($C198+$M198&lt;16,INDEX(Sheet1!C:C,$F198),$F198)</f>
        <v>3</v>
      </c>
      <c r="H198" s="4" t="str" cm="1">
        <f t="array" ref="H198">INDEX(Sheet1!D:D,$G198)</f>
        <v>2001-cso-preferred-class-structure-mortality-tables.xls</v>
      </c>
      <c r="I198" s="4" t="str" cm="1">
        <f t="array" ref="I198">INDEX(Sheet1!E:E,$G198)</f>
        <v>A.1.a.ii</v>
      </c>
      <c r="J198" s="4" t="str" cm="1">
        <f t="array" ref="J198">INDEX(Sheet1!F:F,$G198)</f>
        <v>B8</v>
      </c>
      <c r="K198" s="4" cm="1">
        <f t="array" ref="K198">INDEX(Sheet1!H:H,$G198)</f>
        <v>1E-3</v>
      </c>
      <c r="L198" s="4">
        <f t="shared" si="12"/>
        <v>96</v>
      </c>
      <c r="M198" s="4">
        <f t="shared" si="15"/>
        <v>5</v>
      </c>
    </row>
    <row r="199" spans="1:13">
      <c r="A199" s="4" t="str" cm="1">
        <f t="array" ref="A199">INDEX(Sheet1!A:A,$F199)</f>
        <v>M</v>
      </c>
      <c r="B199" s="4" t="str" cm="1">
        <f t="array" ref="B199">INDEX(Sheet1!B:B,$F199)</f>
        <v>Pref Best NS</v>
      </c>
      <c r="C199" s="4">
        <f t="shared" si="13"/>
        <v>97</v>
      </c>
      <c r="D199" s="5" cm="1">
        <f t="array" aca="1" ref="D199" ca="1">OFFSET(INDIRECT("'["&amp;$H199&amp;"]"&amp;$I199&amp;"'!"&amp;$J199),$L199,$M199)*$K199</f>
        <v>0.39641000000000004</v>
      </c>
      <c r="F199" s="4">
        <f t="shared" si="14"/>
        <v>3</v>
      </c>
      <c r="G199" s="4" cm="1">
        <f t="array" ref="G199">IF($C199+$M199&lt;16,INDEX(Sheet1!C:C,$F199),$F199)</f>
        <v>3</v>
      </c>
      <c r="H199" s="4" t="str" cm="1">
        <f t="array" ref="H199">INDEX(Sheet1!D:D,$G199)</f>
        <v>2001-cso-preferred-class-structure-mortality-tables.xls</v>
      </c>
      <c r="I199" s="4" t="str" cm="1">
        <f t="array" ref="I199">INDEX(Sheet1!E:E,$G199)</f>
        <v>A.1.a.ii</v>
      </c>
      <c r="J199" s="4" t="str" cm="1">
        <f t="array" ref="J199">INDEX(Sheet1!F:F,$G199)</f>
        <v>B8</v>
      </c>
      <c r="K199" s="4" cm="1">
        <f t="array" ref="K199">INDEX(Sheet1!H:H,$G199)</f>
        <v>1E-3</v>
      </c>
      <c r="L199" s="4">
        <f t="shared" si="12"/>
        <v>97</v>
      </c>
      <c r="M199" s="4">
        <f t="shared" si="15"/>
        <v>5</v>
      </c>
    </row>
    <row r="200" spans="1:13">
      <c r="A200" s="4" t="str" cm="1">
        <f t="array" ref="A200">INDEX(Sheet1!A:A,$F200)</f>
        <v>M</v>
      </c>
      <c r="B200" s="4" t="str" cm="1">
        <f t="array" ref="B200">INDEX(Sheet1!B:B,$F200)</f>
        <v>Pref Best NS</v>
      </c>
      <c r="C200" s="4">
        <f t="shared" si="13"/>
        <v>98</v>
      </c>
      <c r="D200" s="5" cm="1">
        <f t="array" aca="1" ref="D200" ca="1">OFFSET(INDIRECT("'["&amp;$H200&amp;"]"&amp;$I200&amp;"'!"&amp;$J200),$L200,$M200)*$K200</f>
        <v>0.41631000000000001</v>
      </c>
      <c r="F200" s="4">
        <f t="shared" si="14"/>
        <v>3</v>
      </c>
      <c r="G200" s="4" cm="1">
        <f t="array" ref="G200">IF($C200+$M200&lt;16,INDEX(Sheet1!C:C,$F200),$F200)</f>
        <v>3</v>
      </c>
      <c r="H200" s="4" t="str" cm="1">
        <f t="array" ref="H200">INDEX(Sheet1!D:D,$G200)</f>
        <v>2001-cso-preferred-class-structure-mortality-tables.xls</v>
      </c>
      <c r="I200" s="4" t="str" cm="1">
        <f t="array" ref="I200">INDEX(Sheet1!E:E,$G200)</f>
        <v>A.1.a.ii</v>
      </c>
      <c r="J200" s="4" t="str" cm="1">
        <f t="array" ref="J200">INDEX(Sheet1!F:F,$G200)</f>
        <v>B8</v>
      </c>
      <c r="K200" s="4" cm="1">
        <f t="array" ref="K200">INDEX(Sheet1!H:H,$G200)</f>
        <v>1E-3</v>
      </c>
      <c r="L200" s="4">
        <f t="shared" si="12"/>
        <v>98</v>
      </c>
      <c r="M200" s="4">
        <f t="shared" si="15"/>
        <v>5</v>
      </c>
    </row>
    <row r="201" spans="1:13">
      <c r="A201" s="4" t="str" cm="1">
        <f t="array" ref="A201">INDEX(Sheet1!A:A,$F201)</f>
        <v>M</v>
      </c>
      <c r="B201" s="4" t="str" cm="1">
        <f t="array" ref="B201">INDEX(Sheet1!B:B,$F201)</f>
        <v>Pref Best NS</v>
      </c>
      <c r="C201" s="4">
        <f t="shared" si="13"/>
        <v>99</v>
      </c>
      <c r="D201" s="5" cm="1">
        <f t="array" aca="1" ref="D201" ca="1">OFFSET(INDIRECT("'["&amp;$H201&amp;"]"&amp;$I201&amp;"'!"&amp;$J201),$L201,$M201)*$K201</f>
        <v>0.43748000000000004</v>
      </c>
      <c r="F201" s="4">
        <f t="shared" si="14"/>
        <v>3</v>
      </c>
      <c r="G201" s="4" cm="1">
        <f t="array" ref="G201">IF($C201+$M201&lt;16,INDEX(Sheet1!C:C,$F201),$F201)</f>
        <v>3</v>
      </c>
      <c r="H201" s="4" t="str" cm="1">
        <f t="array" ref="H201">INDEX(Sheet1!D:D,$G201)</f>
        <v>2001-cso-preferred-class-structure-mortality-tables.xls</v>
      </c>
      <c r="I201" s="4" t="str" cm="1">
        <f t="array" ref="I201">INDEX(Sheet1!E:E,$G201)</f>
        <v>A.1.a.ii</v>
      </c>
      <c r="J201" s="4" t="str" cm="1">
        <f t="array" ref="J201">INDEX(Sheet1!F:F,$G201)</f>
        <v>B8</v>
      </c>
      <c r="K201" s="4" cm="1">
        <f t="array" ref="K201">INDEX(Sheet1!H:H,$G201)</f>
        <v>1E-3</v>
      </c>
      <c r="L201" s="4">
        <f t="shared" si="12"/>
        <v>99</v>
      </c>
      <c r="M201" s="4">
        <f t="shared" si="15"/>
        <v>5</v>
      </c>
    </row>
    <row r="202" spans="1:13">
      <c r="A202" s="4" t="str" cm="1">
        <f t="array" ref="A202">INDEX(Sheet1!A:A,$F202)</f>
        <v>M</v>
      </c>
      <c r="B202" s="4" t="str" cm="1">
        <f t="array" ref="B202">INDEX(Sheet1!B:B,$F202)</f>
        <v>Pref Resid NS</v>
      </c>
      <c r="C202" s="4">
        <f t="shared" si="13"/>
        <v>0</v>
      </c>
      <c r="D202" s="5" cm="1">
        <f t="array" aca="1" ref="D202" ca="1">OFFSET(INDIRECT("'["&amp;$H202&amp;"]"&amp;$I202&amp;"'!"&amp;$J202),$L202,$M202)*$K202</f>
        <v>2.1000000000000001E-4</v>
      </c>
      <c r="F202" s="4">
        <f t="shared" si="14"/>
        <v>4</v>
      </c>
      <c r="G202" s="4" cm="1">
        <f t="array" ref="G202">IF($C202+$M202&lt;16,INDEX(Sheet1!C:C,$F202),$F202)</f>
        <v>10</v>
      </c>
      <c r="H202" s="4" t="str" cm="1">
        <f t="array" ref="H202">INDEX(Sheet1!D:D,$G202)</f>
        <v>t1136.xlsx</v>
      </c>
      <c r="I202" s="4" t="str" cm="1">
        <f t="array" ref="I202">INDEX(Sheet1!E:E,$G202)</f>
        <v>Sheet1</v>
      </c>
      <c r="J202" s="4" t="str" cm="1">
        <f t="array" ref="J202">INDEX(Sheet1!F:F,$G202)</f>
        <v>B25</v>
      </c>
      <c r="K202" s="4" cm="1">
        <f t="array" ref="K202">INDEX(Sheet1!H:H,$G202)</f>
        <v>1</v>
      </c>
      <c r="L202" s="4">
        <f t="shared" si="12"/>
        <v>0</v>
      </c>
      <c r="M202" s="4">
        <f t="shared" si="15"/>
        <v>5</v>
      </c>
    </row>
    <row r="203" spans="1:13">
      <c r="A203" s="4" t="str" cm="1">
        <f t="array" ref="A203">INDEX(Sheet1!A:A,$F203)</f>
        <v>M</v>
      </c>
      <c r="B203" s="4" t="str" cm="1">
        <f t="array" ref="B203">INDEX(Sheet1!B:B,$F203)</f>
        <v>Pref Resid NS</v>
      </c>
      <c r="C203" s="4">
        <f t="shared" si="13"/>
        <v>1</v>
      </c>
      <c r="D203" s="5" cm="1">
        <f t="array" aca="1" ref="D203" ca="1">OFFSET(INDIRECT("'["&amp;$H203&amp;"]"&amp;$I203&amp;"'!"&amp;$J203),$L203,$M203)*$K203</f>
        <v>2.1000000000000001E-4</v>
      </c>
      <c r="F203" s="4">
        <f t="shared" si="14"/>
        <v>4</v>
      </c>
      <c r="G203" s="4" cm="1">
        <f t="array" ref="G203">IF($C203+$M203&lt;16,INDEX(Sheet1!C:C,$F203),$F203)</f>
        <v>10</v>
      </c>
      <c r="H203" s="4" t="str" cm="1">
        <f t="array" ref="H203">INDEX(Sheet1!D:D,$G203)</f>
        <v>t1136.xlsx</v>
      </c>
      <c r="I203" s="4" t="str" cm="1">
        <f t="array" ref="I203">INDEX(Sheet1!E:E,$G203)</f>
        <v>Sheet1</v>
      </c>
      <c r="J203" s="4" t="str" cm="1">
        <f t="array" ref="J203">INDEX(Sheet1!F:F,$G203)</f>
        <v>B25</v>
      </c>
      <c r="K203" s="4" cm="1">
        <f t="array" ref="K203">INDEX(Sheet1!H:H,$G203)</f>
        <v>1</v>
      </c>
      <c r="L203" s="4">
        <f t="shared" si="12"/>
        <v>1</v>
      </c>
      <c r="M203" s="4">
        <f t="shared" si="15"/>
        <v>5</v>
      </c>
    </row>
    <row r="204" spans="1:13">
      <c r="A204" s="4" t="str" cm="1">
        <f t="array" ref="A204">INDEX(Sheet1!A:A,$F204)</f>
        <v>M</v>
      </c>
      <c r="B204" s="4" t="str" cm="1">
        <f t="array" ref="B204">INDEX(Sheet1!B:B,$F204)</f>
        <v>Pref Resid NS</v>
      </c>
      <c r="C204" s="4">
        <f t="shared" si="13"/>
        <v>2</v>
      </c>
      <c r="D204" s="5" cm="1">
        <f t="array" aca="1" ref="D204" ca="1">OFFSET(INDIRECT("'["&amp;$H204&amp;"]"&amp;$I204&amp;"'!"&amp;$J204),$L204,$M204)*$K204</f>
        <v>2.1000000000000001E-4</v>
      </c>
      <c r="F204" s="4">
        <f t="shared" si="14"/>
        <v>4</v>
      </c>
      <c r="G204" s="4" cm="1">
        <f t="array" ref="G204">IF($C204+$M204&lt;16,INDEX(Sheet1!C:C,$F204),$F204)</f>
        <v>10</v>
      </c>
      <c r="H204" s="4" t="str" cm="1">
        <f t="array" ref="H204">INDEX(Sheet1!D:D,$G204)</f>
        <v>t1136.xlsx</v>
      </c>
      <c r="I204" s="4" t="str" cm="1">
        <f t="array" ref="I204">INDEX(Sheet1!E:E,$G204)</f>
        <v>Sheet1</v>
      </c>
      <c r="J204" s="4" t="str" cm="1">
        <f t="array" ref="J204">INDEX(Sheet1!F:F,$G204)</f>
        <v>B25</v>
      </c>
      <c r="K204" s="4" cm="1">
        <f t="array" ref="K204">INDEX(Sheet1!H:H,$G204)</f>
        <v>1</v>
      </c>
      <c r="L204" s="4">
        <f t="shared" si="12"/>
        <v>2</v>
      </c>
      <c r="M204" s="4">
        <f t="shared" si="15"/>
        <v>5</v>
      </c>
    </row>
    <row r="205" spans="1:13">
      <c r="A205" s="4" t="str" cm="1">
        <f t="array" ref="A205">INDEX(Sheet1!A:A,$F205)</f>
        <v>M</v>
      </c>
      <c r="B205" s="4" t="str" cm="1">
        <f t="array" ref="B205">INDEX(Sheet1!B:B,$F205)</f>
        <v>Pref Resid NS</v>
      </c>
      <c r="C205" s="4">
        <f t="shared" si="13"/>
        <v>3</v>
      </c>
      <c r="D205" s="5" cm="1">
        <f t="array" aca="1" ref="D205" ca="1">OFFSET(INDIRECT("'["&amp;$H205&amp;"]"&amp;$I205&amp;"'!"&amp;$J205),$L205,$M205)*$K205</f>
        <v>2.1000000000000001E-4</v>
      </c>
      <c r="F205" s="4">
        <f t="shared" si="14"/>
        <v>4</v>
      </c>
      <c r="G205" s="4" cm="1">
        <f t="array" ref="G205">IF($C205+$M205&lt;16,INDEX(Sheet1!C:C,$F205),$F205)</f>
        <v>10</v>
      </c>
      <c r="H205" s="4" t="str" cm="1">
        <f t="array" ref="H205">INDEX(Sheet1!D:D,$G205)</f>
        <v>t1136.xlsx</v>
      </c>
      <c r="I205" s="4" t="str" cm="1">
        <f t="array" ref="I205">INDEX(Sheet1!E:E,$G205)</f>
        <v>Sheet1</v>
      </c>
      <c r="J205" s="4" t="str" cm="1">
        <f t="array" ref="J205">INDEX(Sheet1!F:F,$G205)</f>
        <v>B25</v>
      </c>
      <c r="K205" s="4" cm="1">
        <f t="array" ref="K205">INDEX(Sheet1!H:H,$G205)</f>
        <v>1</v>
      </c>
      <c r="L205" s="4">
        <f t="shared" si="12"/>
        <v>3</v>
      </c>
      <c r="M205" s="4">
        <f t="shared" si="15"/>
        <v>5</v>
      </c>
    </row>
    <row r="206" spans="1:13">
      <c r="A206" s="4" t="str" cm="1">
        <f t="array" ref="A206">INDEX(Sheet1!A:A,$F206)</f>
        <v>M</v>
      </c>
      <c r="B206" s="4" t="str" cm="1">
        <f t="array" ref="B206">INDEX(Sheet1!B:B,$F206)</f>
        <v>Pref Resid NS</v>
      </c>
      <c r="C206" s="4">
        <f t="shared" si="13"/>
        <v>4</v>
      </c>
      <c r="D206" s="5" cm="1">
        <f t="array" aca="1" ref="D206" ca="1">OFFSET(INDIRECT("'["&amp;$H206&amp;"]"&amp;$I206&amp;"'!"&amp;$J206),$L206,$M206)*$K206</f>
        <v>2.1000000000000001E-4</v>
      </c>
      <c r="F206" s="4">
        <f t="shared" si="14"/>
        <v>4</v>
      </c>
      <c r="G206" s="4" cm="1">
        <f t="array" ref="G206">IF($C206+$M206&lt;16,INDEX(Sheet1!C:C,$F206),$F206)</f>
        <v>10</v>
      </c>
      <c r="H206" s="4" t="str" cm="1">
        <f t="array" ref="H206">INDEX(Sheet1!D:D,$G206)</f>
        <v>t1136.xlsx</v>
      </c>
      <c r="I206" s="4" t="str" cm="1">
        <f t="array" ref="I206">INDEX(Sheet1!E:E,$G206)</f>
        <v>Sheet1</v>
      </c>
      <c r="J206" s="4" t="str" cm="1">
        <f t="array" ref="J206">INDEX(Sheet1!F:F,$G206)</f>
        <v>B25</v>
      </c>
      <c r="K206" s="4" cm="1">
        <f t="array" ref="K206">INDEX(Sheet1!H:H,$G206)</f>
        <v>1</v>
      </c>
      <c r="L206" s="4">
        <f t="shared" si="12"/>
        <v>4</v>
      </c>
      <c r="M206" s="4">
        <f t="shared" si="15"/>
        <v>5</v>
      </c>
    </row>
    <row r="207" spans="1:13">
      <c r="A207" s="4" t="str" cm="1">
        <f t="array" ref="A207">INDEX(Sheet1!A:A,$F207)</f>
        <v>M</v>
      </c>
      <c r="B207" s="4" t="str" cm="1">
        <f t="array" ref="B207">INDEX(Sheet1!B:B,$F207)</f>
        <v>Pref Resid NS</v>
      </c>
      <c r="C207" s="4">
        <f t="shared" si="13"/>
        <v>5</v>
      </c>
      <c r="D207" s="5" cm="1">
        <f t="array" aca="1" ref="D207" ca="1">OFFSET(INDIRECT("'["&amp;$H207&amp;"]"&amp;$I207&amp;"'!"&amp;$J207),$L207,$M207)*$K207</f>
        <v>2.1000000000000001E-4</v>
      </c>
      <c r="F207" s="4">
        <f t="shared" si="14"/>
        <v>4</v>
      </c>
      <c r="G207" s="4" cm="1">
        <f t="array" ref="G207">IF($C207+$M207&lt;16,INDEX(Sheet1!C:C,$F207),$F207)</f>
        <v>10</v>
      </c>
      <c r="H207" s="4" t="str" cm="1">
        <f t="array" ref="H207">INDEX(Sheet1!D:D,$G207)</f>
        <v>t1136.xlsx</v>
      </c>
      <c r="I207" s="4" t="str" cm="1">
        <f t="array" ref="I207">INDEX(Sheet1!E:E,$G207)</f>
        <v>Sheet1</v>
      </c>
      <c r="J207" s="4" t="str" cm="1">
        <f t="array" ref="J207">INDEX(Sheet1!F:F,$G207)</f>
        <v>B25</v>
      </c>
      <c r="K207" s="4" cm="1">
        <f t="array" ref="K207">INDEX(Sheet1!H:H,$G207)</f>
        <v>1</v>
      </c>
      <c r="L207" s="4">
        <f t="shared" si="12"/>
        <v>5</v>
      </c>
      <c r="M207" s="4">
        <f t="shared" si="15"/>
        <v>5</v>
      </c>
    </row>
    <row r="208" spans="1:13">
      <c r="A208" s="4" t="str" cm="1">
        <f t="array" ref="A208">INDEX(Sheet1!A:A,$F208)</f>
        <v>M</v>
      </c>
      <c r="B208" s="4" t="str" cm="1">
        <f t="array" ref="B208">INDEX(Sheet1!B:B,$F208)</f>
        <v>Pref Resid NS</v>
      </c>
      <c r="C208" s="4">
        <f t="shared" si="13"/>
        <v>6</v>
      </c>
      <c r="D208" s="5" cm="1">
        <f t="array" aca="1" ref="D208" ca="1">OFFSET(INDIRECT("'["&amp;$H208&amp;"]"&amp;$I208&amp;"'!"&amp;$J208),$L208,$M208)*$K208</f>
        <v>2.1000000000000001E-4</v>
      </c>
      <c r="F208" s="4">
        <f t="shared" si="14"/>
        <v>4</v>
      </c>
      <c r="G208" s="4" cm="1">
        <f t="array" ref="G208">IF($C208+$M208&lt;16,INDEX(Sheet1!C:C,$F208),$F208)</f>
        <v>10</v>
      </c>
      <c r="H208" s="4" t="str" cm="1">
        <f t="array" ref="H208">INDEX(Sheet1!D:D,$G208)</f>
        <v>t1136.xlsx</v>
      </c>
      <c r="I208" s="4" t="str" cm="1">
        <f t="array" ref="I208">INDEX(Sheet1!E:E,$G208)</f>
        <v>Sheet1</v>
      </c>
      <c r="J208" s="4" t="str" cm="1">
        <f t="array" ref="J208">INDEX(Sheet1!F:F,$G208)</f>
        <v>B25</v>
      </c>
      <c r="K208" s="4" cm="1">
        <f t="array" ref="K208">INDEX(Sheet1!H:H,$G208)</f>
        <v>1</v>
      </c>
      <c r="L208" s="4">
        <f t="shared" si="12"/>
        <v>6</v>
      </c>
      <c r="M208" s="4">
        <f t="shared" si="15"/>
        <v>5</v>
      </c>
    </row>
    <row r="209" spans="1:13">
      <c r="A209" s="4" t="str" cm="1">
        <f t="array" ref="A209">INDEX(Sheet1!A:A,$F209)</f>
        <v>M</v>
      </c>
      <c r="B209" s="4" t="str" cm="1">
        <f t="array" ref="B209">INDEX(Sheet1!B:B,$F209)</f>
        <v>Pref Resid NS</v>
      </c>
      <c r="C209" s="4">
        <f t="shared" si="13"/>
        <v>7</v>
      </c>
      <c r="D209" s="5" cm="1">
        <f t="array" aca="1" ref="D209" ca="1">OFFSET(INDIRECT("'["&amp;$H209&amp;"]"&amp;$I209&amp;"'!"&amp;$J209),$L209,$M209)*$K209</f>
        <v>2.4000000000000001E-4</v>
      </c>
      <c r="F209" s="4">
        <f t="shared" si="14"/>
        <v>4</v>
      </c>
      <c r="G209" s="4" cm="1">
        <f t="array" ref="G209">IF($C209+$M209&lt;16,INDEX(Sheet1!C:C,$F209),$F209)</f>
        <v>10</v>
      </c>
      <c r="H209" s="4" t="str" cm="1">
        <f t="array" ref="H209">INDEX(Sheet1!D:D,$G209)</f>
        <v>t1136.xlsx</v>
      </c>
      <c r="I209" s="4" t="str" cm="1">
        <f t="array" ref="I209">INDEX(Sheet1!E:E,$G209)</f>
        <v>Sheet1</v>
      </c>
      <c r="J209" s="4" t="str" cm="1">
        <f t="array" ref="J209">INDEX(Sheet1!F:F,$G209)</f>
        <v>B25</v>
      </c>
      <c r="K209" s="4" cm="1">
        <f t="array" ref="K209">INDEX(Sheet1!H:H,$G209)</f>
        <v>1</v>
      </c>
      <c r="L209" s="4">
        <f t="shared" si="12"/>
        <v>7</v>
      </c>
      <c r="M209" s="4">
        <f t="shared" si="15"/>
        <v>5</v>
      </c>
    </row>
    <row r="210" spans="1:13">
      <c r="A210" s="4" t="str" cm="1">
        <f t="array" ref="A210">INDEX(Sheet1!A:A,$F210)</f>
        <v>M</v>
      </c>
      <c r="B210" s="4" t="str" cm="1">
        <f t="array" ref="B210">INDEX(Sheet1!B:B,$F210)</f>
        <v>Pref Resid NS</v>
      </c>
      <c r="C210" s="4">
        <f t="shared" si="13"/>
        <v>8</v>
      </c>
      <c r="D210" s="5" cm="1">
        <f t="array" aca="1" ref="D210" ca="1">OFFSET(INDIRECT("'["&amp;$H210&amp;"]"&amp;$I210&amp;"'!"&amp;$J210),$L210,$M210)*$K210</f>
        <v>2.7999999999999998E-4</v>
      </c>
      <c r="F210" s="4">
        <f t="shared" si="14"/>
        <v>4</v>
      </c>
      <c r="G210" s="4" cm="1">
        <f t="array" ref="G210">IF($C210+$M210&lt;16,INDEX(Sheet1!C:C,$F210),$F210)</f>
        <v>10</v>
      </c>
      <c r="H210" s="4" t="str" cm="1">
        <f t="array" ref="H210">INDEX(Sheet1!D:D,$G210)</f>
        <v>t1136.xlsx</v>
      </c>
      <c r="I210" s="4" t="str" cm="1">
        <f t="array" ref="I210">INDEX(Sheet1!E:E,$G210)</f>
        <v>Sheet1</v>
      </c>
      <c r="J210" s="4" t="str" cm="1">
        <f t="array" ref="J210">INDEX(Sheet1!F:F,$G210)</f>
        <v>B25</v>
      </c>
      <c r="K210" s="4" cm="1">
        <f t="array" ref="K210">INDEX(Sheet1!H:H,$G210)</f>
        <v>1</v>
      </c>
      <c r="L210" s="4">
        <f t="shared" si="12"/>
        <v>8</v>
      </c>
      <c r="M210" s="4">
        <f t="shared" si="15"/>
        <v>5</v>
      </c>
    </row>
    <row r="211" spans="1:13">
      <c r="A211" s="4" t="str" cm="1">
        <f t="array" ref="A211">INDEX(Sheet1!A:A,$F211)</f>
        <v>M</v>
      </c>
      <c r="B211" s="4" t="str" cm="1">
        <f t="array" ref="B211">INDEX(Sheet1!B:B,$F211)</f>
        <v>Pref Resid NS</v>
      </c>
      <c r="C211" s="4">
        <f t="shared" si="13"/>
        <v>9</v>
      </c>
      <c r="D211" s="5" cm="1">
        <f t="array" aca="1" ref="D211" ca="1">OFFSET(INDIRECT("'["&amp;$H211&amp;"]"&amp;$I211&amp;"'!"&amp;$J211),$L211,$M211)*$K211</f>
        <v>3.3E-4</v>
      </c>
      <c r="F211" s="4">
        <f t="shared" si="14"/>
        <v>4</v>
      </c>
      <c r="G211" s="4" cm="1">
        <f t="array" ref="G211">IF($C211+$M211&lt;16,INDEX(Sheet1!C:C,$F211),$F211)</f>
        <v>10</v>
      </c>
      <c r="H211" s="4" t="str" cm="1">
        <f t="array" ref="H211">INDEX(Sheet1!D:D,$G211)</f>
        <v>t1136.xlsx</v>
      </c>
      <c r="I211" s="4" t="str" cm="1">
        <f t="array" ref="I211">INDEX(Sheet1!E:E,$G211)</f>
        <v>Sheet1</v>
      </c>
      <c r="J211" s="4" t="str" cm="1">
        <f t="array" ref="J211">INDEX(Sheet1!F:F,$G211)</f>
        <v>B25</v>
      </c>
      <c r="K211" s="4" cm="1">
        <f t="array" ref="K211">INDEX(Sheet1!H:H,$G211)</f>
        <v>1</v>
      </c>
      <c r="L211" s="4">
        <f t="shared" si="12"/>
        <v>9</v>
      </c>
      <c r="M211" s="4">
        <f t="shared" si="15"/>
        <v>5</v>
      </c>
    </row>
    <row r="212" spans="1:13">
      <c r="A212" s="4" t="str" cm="1">
        <f t="array" ref="A212">INDEX(Sheet1!A:A,$F212)</f>
        <v>M</v>
      </c>
      <c r="B212" s="4" t="str" cm="1">
        <f t="array" ref="B212">INDEX(Sheet1!B:B,$F212)</f>
        <v>Pref Resid NS</v>
      </c>
      <c r="C212" s="4">
        <f t="shared" si="13"/>
        <v>10</v>
      </c>
      <c r="D212" s="5" cm="1">
        <f t="array" aca="1" ref="D212" ca="1">OFFSET(INDIRECT("'["&amp;$H212&amp;"]"&amp;$I212&amp;"'!"&amp;$J212),$L212,$M212)*$K212</f>
        <v>4.2999999999999999E-4</v>
      </c>
      <c r="F212" s="4">
        <f t="shared" si="14"/>
        <v>4</v>
      </c>
      <c r="G212" s="4" cm="1">
        <f t="array" ref="G212">IF($C212+$M212&lt;16,INDEX(Sheet1!C:C,$F212),$F212)</f>
        <v>10</v>
      </c>
      <c r="H212" s="4" t="str" cm="1">
        <f t="array" ref="H212">INDEX(Sheet1!D:D,$G212)</f>
        <v>t1136.xlsx</v>
      </c>
      <c r="I212" s="4" t="str" cm="1">
        <f t="array" ref="I212">INDEX(Sheet1!E:E,$G212)</f>
        <v>Sheet1</v>
      </c>
      <c r="J212" s="4" t="str" cm="1">
        <f t="array" ref="J212">INDEX(Sheet1!F:F,$G212)</f>
        <v>B25</v>
      </c>
      <c r="K212" s="4" cm="1">
        <f t="array" ref="K212">INDEX(Sheet1!H:H,$G212)</f>
        <v>1</v>
      </c>
      <c r="L212" s="4">
        <f t="shared" si="12"/>
        <v>10</v>
      </c>
      <c r="M212" s="4">
        <f t="shared" si="15"/>
        <v>5</v>
      </c>
    </row>
    <row r="213" spans="1:13">
      <c r="A213" s="4" t="str" cm="1">
        <f t="array" ref="A213">INDEX(Sheet1!A:A,$F213)</f>
        <v>M</v>
      </c>
      <c r="B213" s="4" t="str" cm="1">
        <f t="array" ref="B213">INDEX(Sheet1!B:B,$F213)</f>
        <v>Pref Resid NS</v>
      </c>
      <c r="C213" s="4">
        <f t="shared" si="13"/>
        <v>11</v>
      </c>
      <c r="D213" s="5" cm="1">
        <f t="array" aca="1" ref="D213" ca="1">OFFSET(INDIRECT("'["&amp;$H213&amp;"]"&amp;$I213&amp;"'!"&amp;$J213),$L213,$M213)*$K213</f>
        <v>4.6999999999999999E-4</v>
      </c>
      <c r="F213" s="4">
        <f t="shared" si="14"/>
        <v>4</v>
      </c>
      <c r="G213" s="4" cm="1">
        <f t="array" ref="G213">IF($C213+$M213&lt;16,INDEX(Sheet1!C:C,$F213),$F213)</f>
        <v>4</v>
      </c>
      <c r="H213" s="4" t="str" cm="1">
        <f t="array" ref="H213">INDEX(Sheet1!D:D,$G213)</f>
        <v>2001-cso-preferred-class-structure-mortality-tables.xls</v>
      </c>
      <c r="I213" s="4" t="str" cm="1">
        <f t="array" ref="I213">INDEX(Sheet1!E:E,$G213)</f>
        <v>A.1.a.ii</v>
      </c>
      <c r="J213" s="4" t="str" cm="1">
        <f t="array" ref="J213">INDEX(Sheet1!F:F,$G213)</f>
        <v>B8</v>
      </c>
      <c r="K213" s="4" cm="1">
        <f t="array" ref="K213">INDEX(Sheet1!H:H,$G213)</f>
        <v>1E-3</v>
      </c>
      <c r="L213" s="4">
        <f t="shared" si="12"/>
        <v>11</v>
      </c>
      <c r="M213" s="4">
        <f t="shared" si="15"/>
        <v>5</v>
      </c>
    </row>
    <row r="214" spans="1:13">
      <c r="A214" s="4" t="str" cm="1">
        <f t="array" ref="A214">INDEX(Sheet1!A:A,$F214)</f>
        <v>M</v>
      </c>
      <c r="B214" s="4" t="str" cm="1">
        <f t="array" ref="B214">INDEX(Sheet1!B:B,$F214)</f>
        <v>Pref Resid NS</v>
      </c>
      <c r="C214" s="4">
        <f t="shared" si="13"/>
        <v>12</v>
      </c>
      <c r="D214" s="5" cm="1">
        <f t="array" aca="1" ref="D214" ca="1">OFFSET(INDIRECT("'["&amp;$H214&amp;"]"&amp;$I214&amp;"'!"&amp;$J214),$L214,$M214)*$K214</f>
        <v>5.5000000000000003E-4</v>
      </c>
      <c r="F214" s="4">
        <f t="shared" si="14"/>
        <v>4</v>
      </c>
      <c r="G214" s="4" cm="1">
        <f t="array" ref="G214">IF($C214+$M214&lt;16,INDEX(Sheet1!C:C,$F214),$F214)</f>
        <v>4</v>
      </c>
      <c r="H214" s="4" t="str" cm="1">
        <f t="array" ref="H214">INDEX(Sheet1!D:D,$G214)</f>
        <v>2001-cso-preferred-class-structure-mortality-tables.xls</v>
      </c>
      <c r="I214" s="4" t="str" cm="1">
        <f t="array" ref="I214">INDEX(Sheet1!E:E,$G214)</f>
        <v>A.1.a.ii</v>
      </c>
      <c r="J214" s="4" t="str" cm="1">
        <f t="array" ref="J214">INDEX(Sheet1!F:F,$G214)</f>
        <v>B8</v>
      </c>
      <c r="K214" s="4" cm="1">
        <f t="array" ref="K214">INDEX(Sheet1!H:H,$G214)</f>
        <v>1E-3</v>
      </c>
      <c r="L214" s="4">
        <f t="shared" si="12"/>
        <v>12</v>
      </c>
      <c r="M214" s="4">
        <f t="shared" si="15"/>
        <v>5</v>
      </c>
    </row>
    <row r="215" spans="1:13">
      <c r="A215" s="4" t="str" cm="1">
        <f t="array" ref="A215">INDEX(Sheet1!A:A,$F215)</f>
        <v>M</v>
      </c>
      <c r="B215" s="4" t="str" cm="1">
        <f t="array" ref="B215">INDEX(Sheet1!B:B,$F215)</f>
        <v>Pref Resid NS</v>
      </c>
      <c r="C215" s="4">
        <f t="shared" si="13"/>
        <v>13</v>
      </c>
      <c r="D215" s="5" cm="1">
        <f t="array" aca="1" ref="D215" ca="1">OFFSET(INDIRECT("'["&amp;$H215&amp;"]"&amp;$I215&amp;"'!"&amp;$J215),$L215,$M215)*$K215</f>
        <v>6.0999999999999997E-4</v>
      </c>
      <c r="F215" s="4">
        <f t="shared" si="14"/>
        <v>4</v>
      </c>
      <c r="G215" s="4" cm="1">
        <f t="array" ref="G215">IF($C215+$M215&lt;16,INDEX(Sheet1!C:C,$F215),$F215)</f>
        <v>4</v>
      </c>
      <c r="H215" s="4" t="str" cm="1">
        <f t="array" ref="H215">INDEX(Sheet1!D:D,$G215)</f>
        <v>2001-cso-preferred-class-structure-mortality-tables.xls</v>
      </c>
      <c r="I215" s="4" t="str" cm="1">
        <f t="array" ref="I215">INDEX(Sheet1!E:E,$G215)</f>
        <v>A.1.a.ii</v>
      </c>
      <c r="J215" s="4" t="str" cm="1">
        <f t="array" ref="J215">INDEX(Sheet1!F:F,$G215)</f>
        <v>B8</v>
      </c>
      <c r="K215" s="4" cm="1">
        <f t="array" ref="K215">INDEX(Sheet1!H:H,$G215)</f>
        <v>1E-3</v>
      </c>
      <c r="L215" s="4">
        <f t="shared" si="12"/>
        <v>13</v>
      </c>
      <c r="M215" s="4">
        <f t="shared" si="15"/>
        <v>5</v>
      </c>
    </row>
    <row r="216" spans="1:13">
      <c r="A216" s="4" t="str" cm="1">
        <f t="array" ref="A216">INDEX(Sheet1!A:A,$F216)</f>
        <v>M</v>
      </c>
      <c r="B216" s="4" t="str" cm="1">
        <f t="array" ref="B216">INDEX(Sheet1!B:B,$F216)</f>
        <v>Pref Resid NS</v>
      </c>
      <c r="C216" s="4">
        <f t="shared" si="13"/>
        <v>14</v>
      </c>
      <c r="D216" s="5" cm="1">
        <f t="array" aca="1" ref="D216" ca="1">OFFSET(INDIRECT("'["&amp;$H216&amp;"]"&amp;$I216&amp;"'!"&amp;$J216),$L216,$M216)*$K216</f>
        <v>6.3000000000000003E-4</v>
      </c>
      <c r="F216" s="4">
        <f t="shared" si="14"/>
        <v>4</v>
      </c>
      <c r="G216" s="4" cm="1">
        <f t="array" ref="G216">IF($C216+$M216&lt;16,INDEX(Sheet1!C:C,$F216),$F216)</f>
        <v>4</v>
      </c>
      <c r="H216" s="4" t="str" cm="1">
        <f t="array" ref="H216">INDEX(Sheet1!D:D,$G216)</f>
        <v>2001-cso-preferred-class-structure-mortality-tables.xls</v>
      </c>
      <c r="I216" s="4" t="str" cm="1">
        <f t="array" ref="I216">INDEX(Sheet1!E:E,$G216)</f>
        <v>A.1.a.ii</v>
      </c>
      <c r="J216" s="4" t="str" cm="1">
        <f t="array" ref="J216">INDEX(Sheet1!F:F,$G216)</f>
        <v>B8</v>
      </c>
      <c r="K216" s="4" cm="1">
        <f t="array" ref="K216">INDEX(Sheet1!H:H,$G216)</f>
        <v>1E-3</v>
      </c>
      <c r="L216" s="4">
        <f t="shared" si="12"/>
        <v>14</v>
      </c>
      <c r="M216" s="4">
        <f t="shared" si="15"/>
        <v>5</v>
      </c>
    </row>
    <row r="217" spans="1:13">
      <c r="A217" s="4" t="str" cm="1">
        <f t="array" ref="A217">INDEX(Sheet1!A:A,$F217)</f>
        <v>M</v>
      </c>
      <c r="B217" s="4" t="str" cm="1">
        <f t="array" ref="B217">INDEX(Sheet1!B:B,$F217)</f>
        <v>Pref Resid NS</v>
      </c>
      <c r="C217" s="4">
        <f t="shared" si="13"/>
        <v>15</v>
      </c>
      <c r="D217" s="5" cm="1">
        <f t="array" aca="1" ref="D217" ca="1">OFFSET(INDIRECT("'["&amp;$H217&amp;"]"&amp;$I217&amp;"'!"&amp;$J217),$L217,$M217)*$K217</f>
        <v>6.2E-4</v>
      </c>
      <c r="F217" s="4">
        <f t="shared" si="14"/>
        <v>4</v>
      </c>
      <c r="G217" s="4" cm="1">
        <f t="array" ref="G217">IF($C217+$M217&lt;16,INDEX(Sheet1!C:C,$F217),$F217)</f>
        <v>4</v>
      </c>
      <c r="H217" s="4" t="str" cm="1">
        <f t="array" ref="H217">INDEX(Sheet1!D:D,$G217)</f>
        <v>2001-cso-preferred-class-structure-mortality-tables.xls</v>
      </c>
      <c r="I217" s="4" t="str" cm="1">
        <f t="array" ref="I217">INDEX(Sheet1!E:E,$G217)</f>
        <v>A.1.a.ii</v>
      </c>
      <c r="J217" s="4" t="str" cm="1">
        <f t="array" ref="J217">INDEX(Sheet1!F:F,$G217)</f>
        <v>B8</v>
      </c>
      <c r="K217" s="4" cm="1">
        <f t="array" ref="K217">INDEX(Sheet1!H:H,$G217)</f>
        <v>1E-3</v>
      </c>
      <c r="L217" s="4">
        <f t="shared" si="12"/>
        <v>15</v>
      </c>
      <c r="M217" s="4">
        <f t="shared" si="15"/>
        <v>5</v>
      </c>
    </row>
    <row r="218" spans="1:13">
      <c r="A218" s="4" t="str" cm="1">
        <f t="array" ref="A218">INDEX(Sheet1!A:A,$F218)</f>
        <v>M</v>
      </c>
      <c r="B218" s="4" t="str" cm="1">
        <f t="array" ref="B218">INDEX(Sheet1!B:B,$F218)</f>
        <v>Pref Resid NS</v>
      </c>
      <c r="C218" s="4">
        <f t="shared" si="13"/>
        <v>16</v>
      </c>
      <c r="D218" s="5" cm="1">
        <f t="array" aca="1" ref="D218" ca="1">OFFSET(INDIRECT("'["&amp;$H218&amp;"]"&amp;$I218&amp;"'!"&amp;$J218),$L218,$M218)*$K218</f>
        <v>6.3000000000000003E-4</v>
      </c>
      <c r="F218" s="4">
        <f t="shared" si="14"/>
        <v>4</v>
      </c>
      <c r="G218" s="4" cm="1">
        <f t="array" ref="G218">IF($C218+$M218&lt;16,INDEX(Sheet1!C:C,$F218),$F218)</f>
        <v>4</v>
      </c>
      <c r="H218" s="4" t="str" cm="1">
        <f t="array" ref="H218">INDEX(Sheet1!D:D,$G218)</f>
        <v>2001-cso-preferred-class-structure-mortality-tables.xls</v>
      </c>
      <c r="I218" s="4" t="str" cm="1">
        <f t="array" ref="I218">INDEX(Sheet1!E:E,$G218)</f>
        <v>A.1.a.ii</v>
      </c>
      <c r="J218" s="4" t="str" cm="1">
        <f t="array" ref="J218">INDEX(Sheet1!F:F,$G218)</f>
        <v>B8</v>
      </c>
      <c r="K218" s="4" cm="1">
        <f t="array" ref="K218">INDEX(Sheet1!H:H,$G218)</f>
        <v>1E-3</v>
      </c>
      <c r="L218" s="4">
        <f t="shared" si="12"/>
        <v>16</v>
      </c>
      <c r="M218" s="4">
        <f t="shared" si="15"/>
        <v>5</v>
      </c>
    </row>
    <row r="219" spans="1:13">
      <c r="A219" s="4" t="str" cm="1">
        <f t="array" ref="A219">INDEX(Sheet1!A:A,$F219)</f>
        <v>M</v>
      </c>
      <c r="B219" s="4" t="str" cm="1">
        <f t="array" ref="B219">INDEX(Sheet1!B:B,$F219)</f>
        <v>Pref Resid NS</v>
      </c>
      <c r="C219" s="4">
        <f t="shared" si="13"/>
        <v>17</v>
      </c>
      <c r="D219" s="5" cm="1">
        <f t="array" aca="1" ref="D219" ca="1">OFFSET(INDIRECT("'["&amp;$H219&amp;"]"&amp;$I219&amp;"'!"&amp;$J219),$L219,$M219)*$K219</f>
        <v>6.2E-4</v>
      </c>
      <c r="F219" s="4">
        <f t="shared" si="14"/>
        <v>4</v>
      </c>
      <c r="G219" s="4" cm="1">
        <f t="array" ref="G219">IF($C219+$M219&lt;16,INDEX(Sheet1!C:C,$F219),$F219)</f>
        <v>4</v>
      </c>
      <c r="H219" s="4" t="str" cm="1">
        <f t="array" ref="H219">INDEX(Sheet1!D:D,$G219)</f>
        <v>2001-cso-preferred-class-structure-mortality-tables.xls</v>
      </c>
      <c r="I219" s="4" t="str" cm="1">
        <f t="array" ref="I219">INDEX(Sheet1!E:E,$G219)</f>
        <v>A.1.a.ii</v>
      </c>
      <c r="J219" s="4" t="str" cm="1">
        <f t="array" ref="J219">INDEX(Sheet1!F:F,$G219)</f>
        <v>B8</v>
      </c>
      <c r="K219" s="4" cm="1">
        <f t="array" ref="K219">INDEX(Sheet1!H:H,$G219)</f>
        <v>1E-3</v>
      </c>
      <c r="L219" s="4">
        <f t="shared" si="12"/>
        <v>17</v>
      </c>
      <c r="M219" s="4">
        <f t="shared" si="15"/>
        <v>5</v>
      </c>
    </row>
    <row r="220" spans="1:13">
      <c r="A220" s="4" t="str" cm="1">
        <f t="array" ref="A220">INDEX(Sheet1!A:A,$F220)</f>
        <v>M</v>
      </c>
      <c r="B220" s="4" t="str" cm="1">
        <f t="array" ref="B220">INDEX(Sheet1!B:B,$F220)</f>
        <v>Pref Resid NS</v>
      </c>
      <c r="C220" s="4">
        <f t="shared" si="13"/>
        <v>18</v>
      </c>
      <c r="D220" s="5" cm="1">
        <f t="array" aca="1" ref="D220" ca="1">OFFSET(INDIRECT("'["&amp;$H220&amp;"]"&amp;$I220&amp;"'!"&amp;$J220),$L220,$M220)*$K220</f>
        <v>6.2E-4</v>
      </c>
      <c r="F220" s="4">
        <f t="shared" si="14"/>
        <v>4</v>
      </c>
      <c r="G220" s="4" cm="1">
        <f t="array" ref="G220">IF($C220+$M220&lt;16,INDEX(Sheet1!C:C,$F220),$F220)</f>
        <v>4</v>
      </c>
      <c r="H220" s="4" t="str" cm="1">
        <f t="array" ref="H220">INDEX(Sheet1!D:D,$G220)</f>
        <v>2001-cso-preferred-class-structure-mortality-tables.xls</v>
      </c>
      <c r="I220" s="4" t="str" cm="1">
        <f t="array" ref="I220">INDEX(Sheet1!E:E,$G220)</f>
        <v>A.1.a.ii</v>
      </c>
      <c r="J220" s="4" t="str" cm="1">
        <f t="array" ref="J220">INDEX(Sheet1!F:F,$G220)</f>
        <v>B8</v>
      </c>
      <c r="K220" s="4" cm="1">
        <f t="array" ref="K220">INDEX(Sheet1!H:H,$G220)</f>
        <v>1E-3</v>
      </c>
      <c r="L220" s="4">
        <f t="shared" si="12"/>
        <v>18</v>
      </c>
      <c r="M220" s="4">
        <f t="shared" si="15"/>
        <v>5</v>
      </c>
    </row>
    <row r="221" spans="1:13">
      <c r="A221" s="4" t="str" cm="1">
        <f t="array" ref="A221">INDEX(Sheet1!A:A,$F221)</f>
        <v>M</v>
      </c>
      <c r="B221" s="4" t="str" cm="1">
        <f t="array" ref="B221">INDEX(Sheet1!B:B,$F221)</f>
        <v>Pref Resid NS</v>
      </c>
      <c r="C221" s="4">
        <f t="shared" si="13"/>
        <v>19</v>
      </c>
      <c r="D221" s="5" cm="1">
        <f t="array" aca="1" ref="D221" ca="1">OFFSET(INDIRECT("'["&amp;$H221&amp;"]"&amp;$I221&amp;"'!"&amp;$J221),$L221,$M221)*$K221</f>
        <v>5.9999999999999995E-4</v>
      </c>
      <c r="F221" s="4">
        <f t="shared" si="14"/>
        <v>4</v>
      </c>
      <c r="G221" s="4" cm="1">
        <f t="array" ref="G221">IF($C221+$M221&lt;16,INDEX(Sheet1!C:C,$F221),$F221)</f>
        <v>4</v>
      </c>
      <c r="H221" s="4" t="str" cm="1">
        <f t="array" ref="H221">INDEX(Sheet1!D:D,$G221)</f>
        <v>2001-cso-preferred-class-structure-mortality-tables.xls</v>
      </c>
      <c r="I221" s="4" t="str" cm="1">
        <f t="array" ref="I221">INDEX(Sheet1!E:E,$G221)</f>
        <v>A.1.a.ii</v>
      </c>
      <c r="J221" s="4" t="str" cm="1">
        <f t="array" ref="J221">INDEX(Sheet1!F:F,$G221)</f>
        <v>B8</v>
      </c>
      <c r="K221" s="4" cm="1">
        <f t="array" ref="K221">INDEX(Sheet1!H:H,$G221)</f>
        <v>1E-3</v>
      </c>
      <c r="L221" s="4">
        <f t="shared" si="12"/>
        <v>19</v>
      </c>
      <c r="M221" s="4">
        <f t="shared" si="15"/>
        <v>5</v>
      </c>
    </row>
    <row r="222" spans="1:13">
      <c r="A222" s="4" t="str" cm="1">
        <f t="array" ref="A222">INDEX(Sheet1!A:A,$F222)</f>
        <v>M</v>
      </c>
      <c r="B222" s="4" t="str" cm="1">
        <f t="array" ref="B222">INDEX(Sheet1!B:B,$F222)</f>
        <v>Pref Resid NS</v>
      </c>
      <c r="C222" s="4">
        <f t="shared" si="13"/>
        <v>20</v>
      </c>
      <c r="D222" s="5" cm="1">
        <f t="array" aca="1" ref="D222" ca="1">OFFSET(INDIRECT("'["&amp;$H222&amp;"]"&amp;$I222&amp;"'!"&amp;$J222),$L222,$M222)*$K222</f>
        <v>5.9000000000000003E-4</v>
      </c>
      <c r="F222" s="4">
        <f t="shared" si="14"/>
        <v>4</v>
      </c>
      <c r="G222" s="4" cm="1">
        <f t="array" ref="G222">IF($C222+$M222&lt;16,INDEX(Sheet1!C:C,$F222),$F222)</f>
        <v>4</v>
      </c>
      <c r="H222" s="4" t="str" cm="1">
        <f t="array" ref="H222">INDEX(Sheet1!D:D,$G222)</f>
        <v>2001-cso-preferred-class-structure-mortality-tables.xls</v>
      </c>
      <c r="I222" s="4" t="str" cm="1">
        <f t="array" ref="I222">INDEX(Sheet1!E:E,$G222)</f>
        <v>A.1.a.ii</v>
      </c>
      <c r="J222" s="4" t="str" cm="1">
        <f t="array" ref="J222">INDEX(Sheet1!F:F,$G222)</f>
        <v>B8</v>
      </c>
      <c r="K222" s="4" cm="1">
        <f t="array" ref="K222">INDEX(Sheet1!H:H,$G222)</f>
        <v>1E-3</v>
      </c>
      <c r="L222" s="4">
        <f t="shared" si="12"/>
        <v>20</v>
      </c>
      <c r="M222" s="4">
        <f t="shared" si="15"/>
        <v>5</v>
      </c>
    </row>
    <row r="223" spans="1:13">
      <c r="A223" s="4" t="str" cm="1">
        <f t="array" ref="A223">INDEX(Sheet1!A:A,$F223)</f>
        <v>M</v>
      </c>
      <c r="B223" s="4" t="str" cm="1">
        <f t="array" ref="B223">INDEX(Sheet1!B:B,$F223)</f>
        <v>Pref Resid NS</v>
      </c>
      <c r="C223" s="4">
        <f t="shared" si="13"/>
        <v>21</v>
      </c>
      <c r="D223" s="5" cm="1">
        <f t="array" aca="1" ref="D223" ca="1">OFFSET(INDIRECT("'["&amp;$H223&amp;"]"&amp;$I223&amp;"'!"&amp;$J223),$L223,$M223)*$K223</f>
        <v>5.5000000000000003E-4</v>
      </c>
      <c r="F223" s="4">
        <f t="shared" si="14"/>
        <v>4</v>
      </c>
      <c r="G223" s="4" cm="1">
        <f t="array" ref="G223">IF($C223+$M223&lt;16,INDEX(Sheet1!C:C,$F223),$F223)</f>
        <v>4</v>
      </c>
      <c r="H223" s="4" t="str" cm="1">
        <f t="array" ref="H223">INDEX(Sheet1!D:D,$G223)</f>
        <v>2001-cso-preferred-class-structure-mortality-tables.xls</v>
      </c>
      <c r="I223" s="4" t="str" cm="1">
        <f t="array" ref="I223">INDEX(Sheet1!E:E,$G223)</f>
        <v>A.1.a.ii</v>
      </c>
      <c r="J223" s="4" t="str" cm="1">
        <f t="array" ref="J223">INDEX(Sheet1!F:F,$G223)</f>
        <v>B8</v>
      </c>
      <c r="K223" s="4" cm="1">
        <f t="array" ref="K223">INDEX(Sheet1!H:H,$G223)</f>
        <v>1E-3</v>
      </c>
      <c r="L223" s="4">
        <f t="shared" si="12"/>
        <v>21</v>
      </c>
      <c r="M223" s="4">
        <f t="shared" si="15"/>
        <v>5</v>
      </c>
    </row>
    <row r="224" spans="1:13">
      <c r="A224" s="4" t="str" cm="1">
        <f t="array" ref="A224">INDEX(Sheet1!A:A,$F224)</f>
        <v>M</v>
      </c>
      <c r="B224" s="4" t="str" cm="1">
        <f t="array" ref="B224">INDEX(Sheet1!B:B,$F224)</f>
        <v>Pref Resid NS</v>
      </c>
      <c r="C224" s="4">
        <f t="shared" si="13"/>
        <v>22</v>
      </c>
      <c r="D224" s="5" cm="1">
        <f t="array" aca="1" ref="D224" ca="1">OFFSET(INDIRECT("'["&amp;$H224&amp;"]"&amp;$I224&amp;"'!"&amp;$J224),$L224,$M224)*$K224</f>
        <v>5.4000000000000001E-4</v>
      </c>
      <c r="F224" s="4">
        <f t="shared" si="14"/>
        <v>4</v>
      </c>
      <c r="G224" s="4" cm="1">
        <f t="array" ref="G224">IF($C224+$M224&lt;16,INDEX(Sheet1!C:C,$F224),$F224)</f>
        <v>4</v>
      </c>
      <c r="H224" s="4" t="str" cm="1">
        <f t="array" ref="H224">INDEX(Sheet1!D:D,$G224)</f>
        <v>2001-cso-preferred-class-structure-mortality-tables.xls</v>
      </c>
      <c r="I224" s="4" t="str" cm="1">
        <f t="array" ref="I224">INDEX(Sheet1!E:E,$G224)</f>
        <v>A.1.a.ii</v>
      </c>
      <c r="J224" s="4" t="str" cm="1">
        <f t="array" ref="J224">INDEX(Sheet1!F:F,$G224)</f>
        <v>B8</v>
      </c>
      <c r="K224" s="4" cm="1">
        <f t="array" ref="K224">INDEX(Sheet1!H:H,$G224)</f>
        <v>1E-3</v>
      </c>
      <c r="L224" s="4">
        <f t="shared" si="12"/>
        <v>22</v>
      </c>
      <c r="M224" s="4">
        <f t="shared" si="15"/>
        <v>5</v>
      </c>
    </row>
    <row r="225" spans="1:13">
      <c r="A225" s="4" t="str" cm="1">
        <f t="array" ref="A225">INDEX(Sheet1!A:A,$F225)</f>
        <v>M</v>
      </c>
      <c r="B225" s="4" t="str" cm="1">
        <f t="array" ref="B225">INDEX(Sheet1!B:B,$F225)</f>
        <v>Pref Resid NS</v>
      </c>
      <c r="C225" s="4">
        <f t="shared" si="13"/>
        <v>23</v>
      </c>
      <c r="D225" s="5" cm="1">
        <f t="array" aca="1" ref="D225" ca="1">OFFSET(INDIRECT("'["&amp;$H225&amp;"]"&amp;$I225&amp;"'!"&amp;$J225),$L225,$M225)*$K225</f>
        <v>5.3000000000000009E-4</v>
      </c>
      <c r="F225" s="4">
        <f t="shared" si="14"/>
        <v>4</v>
      </c>
      <c r="G225" s="4" cm="1">
        <f t="array" ref="G225">IF($C225+$M225&lt;16,INDEX(Sheet1!C:C,$F225),$F225)</f>
        <v>4</v>
      </c>
      <c r="H225" s="4" t="str" cm="1">
        <f t="array" ref="H225">INDEX(Sheet1!D:D,$G225)</f>
        <v>2001-cso-preferred-class-structure-mortality-tables.xls</v>
      </c>
      <c r="I225" s="4" t="str" cm="1">
        <f t="array" ref="I225">INDEX(Sheet1!E:E,$G225)</f>
        <v>A.1.a.ii</v>
      </c>
      <c r="J225" s="4" t="str" cm="1">
        <f t="array" ref="J225">INDEX(Sheet1!F:F,$G225)</f>
        <v>B8</v>
      </c>
      <c r="K225" s="4" cm="1">
        <f t="array" ref="K225">INDEX(Sheet1!H:H,$G225)</f>
        <v>1E-3</v>
      </c>
      <c r="L225" s="4">
        <f t="shared" si="12"/>
        <v>23</v>
      </c>
      <c r="M225" s="4">
        <f t="shared" si="15"/>
        <v>5</v>
      </c>
    </row>
    <row r="226" spans="1:13">
      <c r="A226" s="4" t="str" cm="1">
        <f t="array" ref="A226">INDEX(Sheet1!A:A,$F226)</f>
        <v>M</v>
      </c>
      <c r="B226" s="4" t="str" cm="1">
        <f t="array" ref="B226">INDEX(Sheet1!B:B,$F226)</f>
        <v>Pref Resid NS</v>
      </c>
      <c r="C226" s="4">
        <f t="shared" si="13"/>
        <v>24</v>
      </c>
      <c r="D226" s="5" cm="1">
        <f t="array" aca="1" ref="D226" ca="1">OFFSET(INDIRECT("'["&amp;$H226&amp;"]"&amp;$I226&amp;"'!"&amp;$J226),$L226,$M226)*$K226</f>
        <v>5.4000000000000001E-4</v>
      </c>
      <c r="F226" s="4">
        <f t="shared" si="14"/>
        <v>4</v>
      </c>
      <c r="G226" s="4" cm="1">
        <f t="array" ref="G226">IF($C226+$M226&lt;16,INDEX(Sheet1!C:C,$F226),$F226)</f>
        <v>4</v>
      </c>
      <c r="H226" s="4" t="str" cm="1">
        <f t="array" ref="H226">INDEX(Sheet1!D:D,$G226)</f>
        <v>2001-cso-preferred-class-structure-mortality-tables.xls</v>
      </c>
      <c r="I226" s="4" t="str" cm="1">
        <f t="array" ref="I226">INDEX(Sheet1!E:E,$G226)</f>
        <v>A.1.a.ii</v>
      </c>
      <c r="J226" s="4" t="str" cm="1">
        <f t="array" ref="J226">INDEX(Sheet1!F:F,$G226)</f>
        <v>B8</v>
      </c>
      <c r="K226" s="4" cm="1">
        <f t="array" ref="K226">INDEX(Sheet1!H:H,$G226)</f>
        <v>1E-3</v>
      </c>
      <c r="L226" s="4">
        <f t="shared" si="12"/>
        <v>24</v>
      </c>
      <c r="M226" s="4">
        <f t="shared" si="15"/>
        <v>5</v>
      </c>
    </row>
    <row r="227" spans="1:13">
      <c r="A227" s="4" t="str" cm="1">
        <f t="array" ref="A227">INDEX(Sheet1!A:A,$F227)</f>
        <v>M</v>
      </c>
      <c r="B227" s="4" t="str" cm="1">
        <f t="array" ref="B227">INDEX(Sheet1!B:B,$F227)</f>
        <v>Pref Resid NS</v>
      </c>
      <c r="C227" s="4">
        <f t="shared" si="13"/>
        <v>25</v>
      </c>
      <c r="D227" s="5" cm="1">
        <f t="array" aca="1" ref="D227" ca="1">OFFSET(INDIRECT("'["&amp;$H227&amp;"]"&amp;$I227&amp;"'!"&amp;$J227),$L227,$M227)*$K227</f>
        <v>5.5000000000000003E-4</v>
      </c>
      <c r="F227" s="4">
        <f t="shared" si="14"/>
        <v>4</v>
      </c>
      <c r="G227" s="4" cm="1">
        <f t="array" ref="G227">IF($C227+$M227&lt;16,INDEX(Sheet1!C:C,$F227),$F227)</f>
        <v>4</v>
      </c>
      <c r="H227" s="4" t="str" cm="1">
        <f t="array" ref="H227">INDEX(Sheet1!D:D,$G227)</f>
        <v>2001-cso-preferred-class-structure-mortality-tables.xls</v>
      </c>
      <c r="I227" s="4" t="str" cm="1">
        <f t="array" ref="I227">INDEX(Sheet1!E:E,$G227)</f>
        <v>A.1.a.ii</v>
      </c>
      <c r="J227" s="4" t="str" cm="1">
        <f t="array" ref="J227">INDEX(Sheet1!F:F,$G227)</f>
        <v>B8</v>
      </c>
      <c r="K227" s="4" cm="1">
        <f t="array" ref="K227">INDEX(Sheet1!H:H,$G227)</f>
        <v>1E-3</v>
      </c>
      <c r="L227" s="4">
        <f t="shared" si="12"/>
        <v>25</v>
      </c>
      <c r="M227" s="4">
        <f t="shared" si="15"/>
        <v>5</v>
      </c>
    </row>
    <row r="228" spans="1:13">
      <c r="A228" s="4" t="str" cm="1">
        <f t="array" ref="A228">INDEX(Sheet1!A:A,$F228)</f>
        <v>M</v>
      </c>
      <c r="B228" s="4" t="str" cm="1">
        <f t="array" ref="B228">INDEX(Sheet1!B:B,$F228)</f>
        <v>Pref Resid NS</v>
      </c>
      <c r="C228" s="4">
        <f t="shared" si="13"/>
        <v>26</v>
      </c>
      <c r="D228" s="5" cm="1">
        <f t="array" aca="1" ref="D228" ca="1">OFFSET(INDIRECT("'["&amp;$H228&amp;"]"&amp;$I228&amp;"'!"&amp;$J228),$L228,$M228)*$K228</f>
        <v>5.6000000000000006E-4</v>
      </c>
      <c r="F228" s="4">
        <f t="shared" si="14"/>
        <v>4</v>
      </c>
      <c r="G228" s="4" cm="1">
        <f t="array" ref="G228">IF($C228+$M228&lt;16,INDEX(Sheet1!C:C,$F228),$F228)</f>
        <v>4</v>
      </c>
      <c r="H228" s="4" t="str" cm="1">
        <f t="array" ref="H228">INDEX(Sheet1!D:D,$G228)</f>
        <v>2001-cso-preferred-class-structure-mortality-tables.xls</v>
      </c>
      <c r="I228" s="4" t="str" cm="1">
        <f t="array" ref="I228">INDEX(Sheet1!E:E,$G228)</f>
        <v>A.1.a.ii</v>
      </c>
      <c r="J228" s="4" t="str" cm="1">
        <f t="array" ref="J228">INDEX(Sheet1!F:F,$G228)</f>
        <v>B8</v>
      </c>
      <c r="K228" s="4" cm="1">
        <f t="array" ref="K228">INDEX(Sheet1!H:H,$G228)</f>
        <v>1E-3</v>
      </c>
      <c r="L228" s="4">
        <f t="shared" si="12"/>
        <v>26</v>
      </c>
      <c r="M228" s="4">
        <f t="shared" si="15"/>
        <v>5</v>
      </c>
    </row>
    <row r="229" spans="1:13">
      <c r="A229" s="4" t="str" cm="1">
        <f t="array" ref="A229">INDEX(Sheet1!A:A,$F229)</f>
        <v>M</v>
      </c>
      <c r="B229" s="4" t="str" cm="1">
        <f t="array" ref="B229">INDEX(Sheet1!B:B,$F229)</f>
        <v>Pref Resid NS</v>
      </c>
      <c r="C229" s="4">
        <f t="shared" si="13"/>
        <v>27</v>
      </c>
      <c r="D229" s="5" cm="1">
        <f t="array" aca="1" ref="D229" ca="1">OFFSET(INDIRECT("'["&amp;$H229&amp;"]"&amp;$I229&amp;"'!"&amp;$J229),$L229,$M229)*$K229</f>
        <v>5.8E-4</v>
      </c>
      <c r="F229" s="4">
        <f t="shared" si="14"/>
        <v>4</v>
      </c>
      <c r="G229" s="4" cm="1">
        <f t="array" ref="G229">IF($C229+$M229&lt;16,INDEX(Sheet1!C:C,$F229),$F229)</f>
        <v>4</v>
      </c>
      <c r="H229" s="4" t="str" cm="1">
        <f t="array" ref="H229">INDEX(Sheet1!D:D,$G229)</f>
        <v>2001-cso-preferred-class-structure-mortality-tables.xls</v>
      </c>
      <c r="I229" s="4" t="str" cm="1">
        <f t="array" ref="I229">INDEX(Sheet1!E:E,$G229)</f>
        <v>A.1.a.ii</v>
      </c>
      <c r="J229" s="4" t="str" cm="1">
        <f t="array" ref="J229">INDEX(Sheet1!F:F,$G229)</f>
        <v>B8</v>
      </c>
      <c r="K229" s="4" cm="1">
        <f t="array" ref="K229">INDEX(Sheet1!H:H,$G229)</f>
        <v>1E-3</v>
      </c>
      <c r="L229" s="4">
        <f t="shared" si="12"/>
        <v>27</v>
      </c>
      <c r="M229" s="4">
        <f t="shared" si="15"/>
        <v>5</v>
      </c>
    </row>
    <row r="230" spans="1:13">
      <c r="A230" s="4" t="str" cm="1">
        <f t="array" ref="A230">INDEX(Sheet1!A:A,$F230)</f>
        <v>M</v>
      </c>
      <c r="B230" s="4" t="str" cm="1">
        <f t="array" ref="B230">INDEX(Sheet1!B:B,$F230)</f>
        <v>Pref Resid NS</v>
      </c>
      <c r="C230" s="4">
        <f t="shared" si="13"/>
        <v>28</v>
      </c>
      <c r="D230" s="5" cm="1">
        <f t="array" aca="1" ref="D230" ca="1">OFFSET(INDIRECT("'["&amp;$H230&amp;"]"&amp;$I230&amp;"'!"&amp;$J230),$L230,$M230)*$K230</f>
        <v>6.0999999999999997E-4</v>
      </c>
      <c r="F230" s="4">
        <f t="shared" si="14"/>
        <v>4</v>
      </c>
      <c r="G230" s="4" cm="1">
        <f t="array" ref="G230">IF($C230+$M230&lt;16,INDEX(Sheet1!C:C,$F230),$F230)</f>
        <v>4</v>
      </c>
      <c r="H230" s="4" t="str" cm="1">
        <f t="array" ref="H230">INDEX(Sheet1!D:D,$G230)</f>
        <v>2001-cso-preferred-class-structure-mortality-tables.xls</v>
      </c>
      <c r="I230" s="4" t="str" cm="1">
        <f t="array" ref="I230">INDEX(Sheet1!E:E,$G230)</f>
        <v>A.1.a.ii</v>
      </c>
      <c r="J230" s="4" t="str" cm="1">
        <f t="array" ref="J230">INDEX(Sheet1!F:F,$G230)</f>
        <v>B8</v>
      </c>
      <c r="K230" s="4" cm="1">
        <f t="array" ref="K230">INDEX(Sheet1!H:H,$G230)</f>
        <v>1E-3</v>
      </c>
      <c r="L230" s="4">
        <f t="shared" si="12"/>
        <v>28</v>
      </c>
      <c r="M230" s="4">
        <f t="shared" si="15"/>
        <v>5</v>
      </c>
    </row>
    <row r="231" spans="1:13">
      <c r="A231" s="4" t="str" cm="1">
        <f t="array" ref="A231">INDEX(Sheet1!A:A,$F231)</f>
        <v>M</v>
      </c>
      <c r="B231" s="4" t="str" cm="1">
        <f t="array" ref="B231">INDEX(Sheet1!B:B,$F231)</f>
        <v>Pref Resid NS</v>
      </c>
      <c r="C231" s="4">
        <f t="shared" si="13"/>
        <v>29</v>
      </c>
      <c r="D231" s="5" cm="1">
        <f t="array" aca="1" ref="D231" ca="1">OFFSET(INDIRECT("'["&amp;$H231&amp;"]"&amp;$I231&amp;"'!"&amp;$J231),$L231,$M231)*$K231</f>
        <v>6.4000000000000005E-4</v>
      </c>
      <c r="F231" s="4">
        <f t="shared" si="14"/>
        <v>4</v>
      </c>
      <c r="G231" s="4" cm="1">
        <f t="array" ref="G231">IF($C231+$M231&lt;16,INDEX(Sheet1!C:C,$F231),$F231)</f>
        <v>4</v>
      </c>
      <c r="H231" s="4" t="str" cm="1">
        <f t="array" ref="H231">INDEX(Sheet1!D:D,$G231)</f>
        <v>2001-cso-preferred-class-structure-mortality-tables.xls</v>
      </c>
      <c r="I231" s="4" t="str" cm="1">
        <f t="array" ref="I231">INDEX(Sheet1!E:E,$G231)</f>
        <v>A.1.a.ii</v>
      </c>
      <c r="J231" s="4" t="str" cm="1">
        <f t="array" ref="J231">INDEX(Sheet1!F:F,$G231)</f>
        <v>B8</v>
      </c>
      <c r="K231" s="4" cm="1">
        <f t="array" ref="K231">INDEX(Sheet1!H:H,$G231)</f>
        <v>1E-3</v>
      </c>
      <c r="L231" s="4">
        <f t="shared" si="12"/>
        <v>29</v>
      </c>
      <c r="M231" s="4">
        <f t="shared" si="15"/>
        <v>5</v>
      </c>
    </row>
    <row r="232" spans="1:13">
      <c r="A232" s="4" t="str" cm="1">
        <f t="array" ref="A232">INDEX(Sheet1!A:A,$F232)</f>
        <v>M</v>
      </c>
      <c r="B232" s="4" t="str" cm="1">
        <f t="array" ref="B232">INDEX(Sheet1!B:B,$F232)</f>
        <v>Pref Resid NS</v>
      </c>
      <c r="C232" s="4">
        <f t="shared" si="13"/>
        <v>30</v>
      </c>
      <c r="D232" s="5" cm="1">
        <f t="array" aca="1" ref="D232" ca="1">OFFSET(INDIRECT("'["&amp;$H232&amp;"]"&amp;$I232&amp;"'!"&amp;$J232),$L232,$M232)*$K232</f>
        <v>6.8999999999999997E-4</v>
      </c>
      <c r="F232" s="4">
        <f t="shared" si="14"/>
        <v>4</v>
      </c>
      <c r="G232" s="4" cm="1">
        <f t="array" ref="G232">IF($C232+$M232&lt;16,INDEX(Sheet1!C:C,$F232),$F232)</f>
        <v>4</v>
      </c>
      <c r="H232" s="4" t="str" cm="1">
        <f t="array" ref="H232">INDEX(Sheet1!D:D,$G232)</f>
        <v>2001-cso-preferred-class-structure-mortality-tables.xls</v>
      </c>
      <c r="I232" s="4" t="str" cm="1">
        <f t="array" ref="I232">INDEX(Sheet1!E:E,$G232)</f>
        <v>A.1.a.ii</v>
      </c>
      <c r="J232" s="4" t="str" cm="1">
        <f t="array" ref="J232">INDEX(Sheet1!F:F,$G232)</f>
        <v>B8</v>
      </c>
      <c r="K232" s="4" cm="1">
        <f t="array" ref="K232">INDEX(Sheet1!H:H,$G232)</f>
        <v>1E-3</v>
      </c>
      <c r="L232" s="4">
        <f t="shared" si="12"/>
        <v>30</v>
      </c>
      <c r="M232" s="4">
        <f t="shared" si="15"/>
        <v>5</v>
      </c>
    </row>
    <row r="233" spans="1:13">
      <c r="A233" s="4" t="str" cm="1">
        <f t="array" ref="A233">INDEX(Sheet1!A:A,$F233)</f>
        <v>M</v>
      </c>
      <c r="B233" s="4" t="str" cm="1">
        <f t="array" ref="B233">INDEX(Sheet1!B:B,$F233)</f>
        <v>Pref Resid NS</v>
      </c>
      <c r="C233" s="4">
        <f t="shared" si="13"/>
        <v>31</v>
      </c>
      <c r="D233" s="5" cm="1">
        <f t="array" aca="1" ref="D233" ca="1">OFFSET(INDIRECT("'["&amp;$H233&amp;"]"&amp;$I233&amp;"'!"&amp;$J233),$L233,$M233)*$K233</f>
        <v>7.2999999999999996E-4</v>
      </c>
      <c r="F233" s="4">
        <f t="shared" si="14"/>
        <v>4</v>
      </c>
      <c r="G233" s="4" cm="1">
        <f t="array" ref="G233">IF($C233+$M233&lt;16,INDEX(Sheet1!C:C,$F233),$F233)</f>
        <v>4</v>
      </c>
      <c r="H233" s="4" t="str" cm="1">
        <f t="array" ref="H233">INDEX(Sheet1!D:D,$G233)</f>
        <v>2001-cso-preferred-class-structure-mortality-tables.xls</v>
      </c>
      <c r="I233" s="4" t="str" cm="1">
        <f t="array" ref="I233">INDEX(Sheet1!E:E,$G233)</f>
        <v>A.1.a.ii</v>
      </c>
      <c r="J233" s="4" t="str" cm="1">
        <f t="array" ref="J233">INDEX(Sheet1!F:F,$G233)</f>
        <v>B8</v>
      </c>
      <c r="K233" s="4" cm="1">
        <f t="array" ref="K233">INDEX(Sheet1!H:H,$G233)</f>
        <v>1E-3</v>
      </c>
      <c r="L233" s="4">
        <f t="shared" si="12"/>
        <v>31</v>
      </c>
      <c r="M233" s="4">
        <f t="shared" si="15"/>
        <v>5</v>
      </c>
    </row>
    <row r="234" spans="1:13">
      <c r="A234" s="4" t="str" cm="1">
        <f t="array" ref="A234">INDEX(Sheet1!A:A,$F234)</f>
        <v>M</v>
      </c>
      <c r="B234" s="4" t="str" cm="1">
        <f t="array" ref="B234">INDEX(Sheet1!B:B,$F234)</f>
        <v>Pref Resid NS</v>
      </c>
      <c r="C234" s="4">
        <f t="shared" si="13"/>
        <v>32</v>
      </c>
      <c r="D234" s="5" cm="1">
        <f t="array" aca="1" ref="D234" ca="1">OFFSET(INDIRECT("'["&amp;$H234&amp;"]"&amp;$I234&amp;"'!"&amp;$J234),$L234,$M234)*$K234</f>
        <v>7.3999999999999999E-4</v>
      </c>
      <c r="F234" s="4">
        <f t="shared" si="14"/>
        <v>4</v>
      </c>
      <c r="G234" s="4" cm="1">
        <f t="array" ref="G234">IF($C234+$M234&lt;16,INDEX(Sheet1!C:C,$F234),$F234)</f>
        <v>4</v>
      </c>
      <c r="H234" s="4" t="str" cm="1">
        <f t="array" ref="H234">INDEX(Sheet1!D:D,$G234)</f>
        <v>2001-cso-preferred-class-structure-mortality-tables.xls</v>
      </c>
      <c r="I234" s="4" t="str" cm="1">
        <f t="array" ref="I234">INDEX(Sheet1!E:E,$G234)</f>
        <v>A.1.a.ii</v>
      </c>
      <c r="J234" s="4" t="str" cm="1">
        <f t="array" ref="J234">INDEX(Sheet1!F:F,$G234)</f>
        <v>B8</v>
      </c>
      <c r="K234" s="4" cm="1">
        <f t="array" ref="K234">INDEX(Sheet1!H:H,$G234)</f>
        <v>1E-3</v>
      </c>
      <c r="L234" s="4">
        <f t="shared" si="12"/>
        <v>32</v>
      </c>
      <c r="M234" s="4">
        <f t="shared" si="15"/>
        <v>5</v>
      </c>
    </row>
    <row r="235" spans="1:13">
      <c r="A235" s="4" t="str" cm="1">
        <f t="array" ref="A235">INDEX(Sheet1!A:A,$F235)</f>
        <v>M</v>
      </c>
      <c r="B235" s="4" t="str" cm="1">
        <f t="array" ref="B235">INDEX(Sheet1!B:B,$F235)</f>
        <v>Pref Resid NS</v>
      </c>
      <c r="C235" s="4">
        <f t="shared" si="13"/>
        <v>33</v>
      </c>
      <c r="D235" s="5" cm="1">
        <f t="array" aca="1" ref="D235" ca="1">OFFSET(INDIRECT("'["&amp;$H235&amp;"]"&amp;$I235&amp;"'!"&amp;$J235),$L235,$M235)*$K235</f>
        <v>7.9000000000000001E-4</v>
      </c>
      <c r="F235" s="4">
        <f t="shared" si="14"/>
        <v>4</v>
      </c>
      <c r="G235" s="4" cm="1">
        <f t="array" ref="G235">IF($C235+$M235&lt;16,INDEX(Sheet1!C:C,$F235),$F235)</f>
        <v>4</v>
      </c>
      <c r="H235" s="4" t="str" cm="1">
        <f t="array" ref="H235">INDEX(Sheet1!D:D,$G235)</f>
        <v>2001-cso-preferred-class-structure-mortality-tables.xls</v>
      </c>
      <c r="I235" s="4" t="str" cm="1">
        <f t="array" ref="I235">INDEX(Sheet1!E:E,$G235)</f>
        <v>A.1.a.ii</v>
      </c>
      <c r="J235" s="4" t="str" cm="1">
        <f t="array" ref="J235">INDEX(Sheet1!F:F,$G235)</f>
        <v>B8</v>
      </c>
      <c r="K235" s="4" cm="1">
        <f t="array" ref="K235">INDEX(Sheet1!H:H,$G235)</f>
        <v>1E-3</v>
      </c>
      <c r="L235" s="4">
        <f t="shared" si="12"/>
        <v>33</v>
      </c>
      <c r="M235" s="4">
        <f t="shared" si="15"/>
        <v>5</v>
      </c>
    </row>
    <row r="236" spans="1:13">
      <c r="A236" s="4" t="str" cm="1">
        <f t="array" ref="A236">INDEX(Sheet1!A:A,$F236)</f>
        <v>M</v>
      </c>
      <c r="B236" s="4" t="str" cm="1">
        <f t="array" ref="B236">INDEX(Sheet1!B:B,$F236)</f>
        <v>Pref Resid NS</v>
      </c>
      <c r="C236" s="4">
        <f t="shared" si="13"/>
        <v>34</v>
      </c>
      <c r="D236" s="5" cm="1">
        <f t="array" aca="1" ref="D236" ca="1">OFFSET(INDIRECT("'["&amp;$H236&amp;"]"&amp;$I236&amp;"'!"&amp;$J236),$L236,$M236)*$K236</f>
        <v>8.3000000000000001E-4</v>
      </c>
      <c r="F236" s="4">
        <f t="shared" si="14"/>
        <v>4</v>
      </c>
      <c r="G236" s="4" cm="1">
        <f t="array" ref="G236">IF($C236+$M236&lt;16,INDEX(Sheet1!C:C,$F236),$F236)</f>
        <v>4</v>
      </c>
      <c r="H236" s="4" t="str" cm="1">
        <f t="array" ref="H236">INDEX(Sheet1!D:D,$G236)</f>
        <v>2001-cso-preferred-class-structure-mortality-tables.xls</v>
      </c>
      <c r="I236" s="4" t="str" cm="1">
        <f t="array" ref="I236">INDEX(Sheet1!E:E,$G236)</f>
        <v>A.1.a.ii</v>
      </c>
      <c r="J236" s="4" t="str" cm="1">
        <f t="array" ref="J236">INDEX(Sheet1!F:F,$G236)</f>
        <v>B8</v>
      </c>
      <c r="K236" s="4" cm="1">
        <f t="array" ref="K236">INDEX(Sheet1!H:H,$G236)</f>
        <v>1E-3</v>
      </c>
      <c r="L236" s="4">
        <f t="shared" si="12"/>
        <v>34</v>
      </c>
      <c r="M236" s="4">
        <f t="shared" si="15"/>
        <v>5</v>
      </c>
    </row>
    <row r="237" spans="1:13">
      <c r="A237" s="4" t="str" cm="1">
        <f t="array" ref="A237">INDEX(Sheet1!A:A,$F237)</f>
        <v>M</v>
      </c>
      <c r="B237" s="4" t="str" cm="1">
        <f t="array" ref="B237">INDEX(Sheet1!B:B,$F237)</f>
        <v>Pref Resid NS</v>
      </c>
      <c r="C237" s="4">
        <f t="shared" si="13"/>
        <v>35</v>
      </c>
      <c r="D237" s="5" cm="1">
        <f t="array" aca="1" ref="D237" ca="1">OFFSET(INDIRECT("'["&amp;$H237&amp;"]"&amp;$I237&amp;"'!"&amp;$J237),$L237,$M237)*$K237</f>
        <v>8.8000000000000003E-4</v>
      </c>
      <c r="F237" s="4">
        <f t="shared" si="14"/>
        <v>4</v>
      </c>
      <c r="G237" s="4" cm="1">
        <f t="array" ref="G237">IF($C237+$M237&lt;16,INDEX(Sheet1!C:C,$F237),$F237)</f>
        <v>4</v>
      </c>
      <c r="H237" s="4" t="str" cm="1">
        <f t="array" ref="H237">INDEX(Sheet1!D:D,$G237)</f>
        <v>2001-cso-preferred-class-structure-mortality-tables.xls</v>
      </c>
      <c r="I237" s="4" t="str" cm="1">
        <f t="array" ref="I237">INDEX(Sheet1!E:E,$G237)</f>
        <v>A.1.a.ii</v>
      </c>
      <c r="J237" s="4" t="str" cm="1">
        <f t="array" ref="J237">INDEX(Sheet1!F:F,$G237)</f>
        <v>B8</v>
      </c>
      <c r="K237" s="4" cm="1">
        <f t="array" ref="K237">INDEX(Sheet1!H:H,$G237)</f>
        <v>1E-3</v>
      </c>
      <c r="L237" s="4">
        <f t="shared" si="12"/>
        <v>35</v>
      </c>
      <c r="M237" s="4">
        <f t="shared" si="15"/>
        <v>5</v>
      </c>
    </row>
    <row r="238" spans="1:13">
      <c r="A238" s="4" t="str" cm="1">
        <f t="array" ref="A238">INDEX(Sheet1!A:A,$F238)</f>
        <v>M</v>
      </c>
      <c r="B238" s="4" t="str" cm="1">
        <f t="array" ref="B238">INDEX(Sheet1!B:B,$F238)</f>
        <v>Pref Resid NS</v>
      </c>
      <c r="C238" s="4">
        <f t="shared" si="13"/>
        <v>36</v>
      </c>
      <c r="D238" s="5" cm="1">
        <f t="array" aca="1" ref="D238" ca="1">OFFSET(INDIRECT("'["&amp;$H238&amp;"]"&amp;$I238&amp;"'!"&amp;$J238),$L238,$M238)*$K238</f>
        <v>9.2000000000000003E-4</v>
      </c>
      <c r="F238" s="4">
        <f t="shared" si="14"/>
        <v>4</v>
      </c>
      <c r="G238" s="4" cm="1">
        <f t="array" ref="G238">IF($C238+$M238&lt;16,INDEX(Sheet1!C:C,$F238),$F238)</f>
        <v>4</v>
      </c>
      <c r="H238" s="4" t="str" cm="1">
        <f t="array" ref="H238">INDEX(Sheet1!D:D,$G238)</f>
        <v>2001-cso-preferred-class-structure-mortality-tables.xls</v>
      </c>
      <c r="I238" s="4" t="str" cm="1">
        <f t="array" ref="I238">INDEX(Sheet1!E:E,$G238)</f>
        <v>A.1.a.ii</v>
      </c>
      <c r="J238" s="4" t="str" cm="1">
        <f t="array" ref="J238">INDEX(Sheet1!F:F,$G238)</f>
        <v>B8</v>
      </c>
      <c r="K238" s="4" cm="1">
        <f t="array" ref="K238">INDEX(Sheet1!H:H,$G238)</f>
        <v>1E-3</v>
      </c>
      <c r="L238" s="4">
        <f t="shared" si="12"/>
        <v>36</v>
      </c>
      <c r="M238" s="4">
        <f t="shared" si="15"/>
        <v>5</v>
      </c>
    </row>
    <row r="239" spans="1:13">
      <c r="A239" s="4" t="str" cm="1">
        <f t="array" ref="A239">INDEX(Sheet1!A:A,$F239)</f>
        <v>M</v>
      </c>
      <c r="B239" s="4" t="str" cm="1">
        <f t="array" ref="B239">INDEX(Sheet1!B:B,$F239)</f>
        <v>Pref Resid NS</v>
      </c>
      <c r="C239" s="4">
        <f t="shared" si="13"/>
        <v>37</v>
      </c>
      <c r="D239" s="5" cm="1">
        <f t="array" aca="1" ref="D239" ca="1">OFFSET(INDIRECT("'["&amp;$H239&amp;"]"&amp;$I239&amp;"'!"&amp;$J239),$L239,$M239)*$K239</f>
        <v>9.6999999999999994E-4</v>
      </c>
      <c r="F239" s="4">
        <f t="shared" si="14"/>
        <v>4</v>
      </c>
      <c r="G239" s="4" cm="1">
        <f t="array" ref="G239">IF($C239+$M239&lt;16,INDEX(Sheet1!C:C,$F239),$F239)</f>
        <v>4</v>
      </c>
      <c r="H239" s="4" t="str" cm="1">
        <f t="array" ref="H239">INDEX(Sheet1!D:D,$G239)</f>
        <v>2001-cso-preferred-class-structure-mortality-tables.xls</v>
      </c>
      <c r="I239" s="4" t="str" cm="1">
        <f t="array" ref="I239">INDEX(Sheet1!E:E,$G239)</f>
        <v>A.1.a.ii</v>
      </c>
      <c r="J239" s="4" t="str" cm="1">
        <f t="array" ref="J239">INDEX(Sheet1!F:F,$G239)</f>
        <v>B8</v>
      </c>
      <c r="K239" s="4" cm="1">
        <f t="array" ref="K239">INDEX(Sheet1!H:H,$G239)</f>
        <v>1E-3</v>
      </c>
      <c r="L239" s="4">
        <f t="shared" si="12"/>
        <v>37</v>
      </c>
      <c r="M239" s="4">
        <f t="shared" si="15"/>
        <v>5</v>
      </c>
    </row>
    <row r="240" spans="1:13">
      <c r="A240" s="4" t="str" cm="1">
        <f t="array" ref="A240">INDEX(Sheet1!A:A,$F240)</f>
        <v>M</v>
      </c>
      <c r="B240" s="4" t="str" cm="1">
        <f t="array" ref="B240">INDEX(Sheet1!B:B,$F240)</f>
        <v>Pref Resid NS</v>
      </c>
      <c r="C240" s="4">
        <f t="shared" si="13"/>
        <v>38</v>
      </c>
      <c r="D240" s="5" cm="1">
        <f t="array" aca="1" ref="D240" ca="1">OFFSET(INDIRECT("'["&amp;$H240&amp;"]"&amp;$I240&amp;"'!"&amp;$J240),$L240,$M240)*$K240</f>
        <v>1.0400000000000001E-3</v>
      </c>
      <c r="F240" s="4">
        <f t="shared" si="14"/>
        <v>4</v>
      </c>
      <c r="G240" s="4" cm="1">
        <f t="array" ref="G240">IF($C240+$M240&lt;16,INDEX(Sheet1!C:C,$F240),$F240)</f>
        <v>4</v>
      </c>
      <c r="H240" s="4" t="str" cm="1">
        <f t="array" ref="H240">INDEX(Sheet1!D:D,$G240)</f>
        <v>2001-cso-preferred-class-structure-mortality-tables.xls</v>
      </c>
      <c r="I240" s="4" t="str" cm="1">
        <f t="array" ref="I240">INDEX(Sheet1!E:E,$G240)</f>
        <v>A.1.a.ii</v>
      </c>
      <c r="J240" s="4" t="str" cm="1">
        <f t="array" ref="J240">INDEX(Sheet1!F:F,$G240)</f>
        <v>B8</v>
      </c>
      <c r="K240" s="4" cm="1">
        <f t="array" ref="K240">INDEX(Sheet1!H:H,$G240)</f>
        <v>1E-3</v>
      </c>
      <c r="L240" s="4">
        <f t="shared" si="12"/>
        <v>38</v>
      </c>
      <c r="M240" s="4">
        <f t="shared" si="15"/>
        <v>5</v>
      </c>
    </row>
    <row r="241" spans="1:13">
      <c r="A241" s="4" t="str" cm="1">
        <f t="array" ref="A241">INDEX(Sheet1!A:A,$F241)</f>
        <v>M</v>
      </c>
      <c r="B241" s="4" t="str" cm="1">
        <f t="array" ref="B241">INDEX(Sheet1!B:B,$F241)</f>
        <v>Pref Resid NS</v>
      </c>
      <c r="C241" s="4">
        <f t="shared" si="13"/>
        <v>39</v>
      </c>
      <c r="D241" s="5" cm="1">
        <f t="array" aca="1" ref="D241" ca="1">OFFSET(INDIRECT("'["&amp;$H241&amp;"]"&amp;$I241&amp;"'!"&amp;$J241),$L241,$M241)*$K241</f>
        <v>1.1299999999999999E-3</v>
      </c>
      <c r="F241" s="4">
        <f t="shared" si="14"/>
        <v>4</v>
      </c>
      <c r="G241" s="4" cm="1">
        <f t="array" ref="G241">IF($C241+$M241&lt;16,INDEX(Sheet1!C:C,$F241),$F241)</f>
        <v>4</v>
      </c>
      <c r="H241" s="4" t="str" cm="1">
        <f t="array" ref="H241">INDEX(Sheet1!D:D,$G241)</f>
        <v>2001-cso-preferred-class-structure-mortality-tables.xls</v>
      </c>
      <c r="I241" s="4" t="str" cm="1">
        <f t="array" ref="I241">INDEX(Sheet1!E:E,$G241)</f>
        <v>A.1.a.ii</v>
      </c>
      <c r="J241" s="4" t="str" cm="1">
        <f t="array" ref="J241">INDEX(Sheet1!F:F,$G241)</f>
        <v>B8</v>
      </c>
      <c r="K241" s="4" cm="1">
        <f t="array" ref="K241">INDEX(Sheet1!H:H,$G241)</f>
        <v>1E-3</v>
      </c>
      <c r="L241" s="4">
        <f t="shared" si="12"/>
        <v>39</v>
      </c>
      <c r="M241" s="4">
        <f t="shared" si="15"/>
        <v>5</v>
      </c>
    </row>
    <row r="242" spans="1:13">
      <c r="A242" s="4" t="str" cm="1">
        <f t="array" ref="A242">INDEX(Sheet1!A:A,$F242)</f>
        <v>M</v>
      </c>
      <c r="B242" s="4" t="str" cm="1">
        <f t="array" ref="B242">INDEX(Sheet1!B:B,$F242)</f>
        <v>Pref Resid NS</v>
      </c>
      <c r="C242" s="4">
        <f t="shared" si="13"/>
        <v>40</v>
      </c>
      <c r="D242" s="5" cm="1">
        <f t="array" aca="1" ref="D242" ca="1">OFFSET(INDIRECT("'["&amp;$H242&amp;"]"&amp;$I242&amp;"'!"&amp;$J242),$L242,$M242)*$K242</f>
        <v>1.25E-3</v>
      </c>
      <c r="F242" s="4">
        <f t="shared" si="14"/>
        <v>4</v>
      </c>
      <c r="G242" s="4" cm="1">
        <f t="array" ref="G242">IF($C242+$M242&lt;16,INDEX(Sheet1!C:C,$F242),$F242)</f>
        <v>4</v>
      </c>
      <c r="H242" s="4" t="str" cm="1">
        <f t="array" ref="H242">INDEX(Sheet1!D:D,$G242)</f>
        <v>2001-cso-preferred-class-structure-mortality-tables.xls</v>
      </c>
      <c r="I242" s="4" t="str" cm="1">
        <f t="array" ref="I242">INDEX(Sheet1!E:E,$G242)</f>
        <v>A.1.a.ii</v>
      </c>
      <c r="J242" s="4" t="str" cm="1">
        <f t="array" ref="J242">INDEX(Sheet1!F:F,$G242)</f>
        <v>B8</v>
      </c>
      <c r="K242" s="4" cm="1">
        <f t="array" ref="K242">INDEX(Sheet1!H:H,$G242)</f>
        <v>1E-3</v>
      </c>
      <c r="L242" s="4">
        <f t="shared" si="12"/>
        <v>40</v>
      </c>
      <c r="M242" s="4">
        <f t="shared" si="15"/>
        <v>5</v>
      </c>
    </row>
    <row r="243" spans="1:13">
      <c r="A243" s="4" t="str" cm="1">
        <f t="array" ref="A243">INDEX(Sheet1!A:A,$F243)</f>
        <v>M</v>
      </c>
      <c r="B243" s="4" t="str" cm="1">
        <f t="array" ref="B243">INDEX(Sheet1!B:B,$F243)</f>
        <v>Pref Resid NS</v>
      </c>
      <c r="C243" s="4">
        <f t="shared" si="13"/>
        <v>41</v>
      </c>
      <c r="D243" s="5" cm="1">
        <f t="array" aca="1" ref="D243" ca="1">OFFSET(INDIRECT("'["&amp;$H243&amp;"]"&amp;$I243&amp;"'!"&amp;$J243),$L243,$M243)*$K243</f>
        <v>1.3700000000000001E-3</v>
      </c>
      <c r="F243" s="4">
        <f t="shared" si="14"/>
        <v>4</v>
      </c>
      <c r="G243" s="4" cm="1">
        <f t="array" ref="G243">IF($C243+$M243&lt;16,INDEX(Sheet1!C:C,$F243),$F243)</f>
        <v>4</v>
      </c>
      <c r="H243" s="4" t="str" cm="1">
        <f t="array" ref="H243">INDEX(Sheet1!D:D,$G243)</f>
        <v>2001-cso-preferred-class-structure-mortality-tables.xls</v>
      </c>
      <c r="I243" s="4" t="str" cm="1">
        <f t="array" ref="I243">INDEX(Sheet1!E:E,$G243)</f>
        <v>A.1.a.ii</v>
      </c>
      <c r="J243" s="4" t="str" cm="1">
        <f t="array" ref="J243">INDEX(Sheet1!F:F,$G243)</f>
        <v>B8</v>
      </c>
      <c r="K243" s="4" cm="1">
        <f t="array" ref="K243">INDEX(Sheet1!H:H,$G243)</f>
        <v>1E-3</v>
      </c>
      <c r="L243" s="4">
        <f t="shared" si="12"/>
        <v>41</v>
      </c>
      <c r="M243" s="4">
        <f t="shared" si="15"/>
        <v>5</v>
      </c>
    </row>
    <row r="244" spans="1:13">
      <c r="A244" s="4" t="str" cm="1">
        <f t="array" ref="A244">INDEX(Sheet1!A:A,$F244)</f>
        <v>M</v>
      </c>
      <c r="B244" s="4" t="str" cm="1">
        <f t="array" ref="B244">INDEX(Sheet1!B:B,$F244)</f>
        <v>Pref Resid NS</v>
      </c>
      <c r="C244" s="4">
        <f t="shared" si="13"/>
        <v>42</v>
      </c>
      <c r="D244" s="5" cm="1">
        <f t="array" aca="1" ref="D244" ca="1">OFFSET(INDIRECT("'["&amp;$H244&amp;"]"&amp;$I244&amp;"'!"&amp;$J244),$L244,$M244)*$K244</f>
        <v>1.5E-3</v>
      </c>
      <c r="F244" s="4">
        <f t="shared" si="14"/>
        <v>4</v>
      </c>
      <c r="G244" s="4" cm="1">
        <f t="array" ref="G244">IF($C244+$M244&lt;16,INDEX(Sheet1!C:C,$F244),$F244)</f>
        <v>4</v>
      </c>
      <c r="H244" s="4" t="str" cm="1">
        <f t="array" ref="H244">INDEX(Sheet1!D:D,$G244)</f>
        <v>2001-cso-preferred-class-structure-mortality-tables.xls</v>
      </c>
      <c r="I244" s="4" t="str" cm="1">
        <f t="array" ref="I244">INDEX(Sheet1!E:E,$G244)</f>
        <v>A.1.a.ii</v>
      </c>
      <c r="J244" s="4" t="str" cm="1">
        <f t="array" ref="J244">INDEX(Sheet1!F:F,$G244)</f>
        <v>B8</v>
      </c>
      <c r="K244" s="4" cm="1">
        <f t="array" ref="K244">INDEX(Sheet1!H:H,$G244)</f>
        <v>1E-3</v>
      </c>
      <c r="L244" s="4">
        <f t="shared" si="12"/>
        <v>42</v>
      </c>
      <c r="M244" s="4">
        <f t="shared" si="15"/>
        <v>5</v>
      </c>
    </row>
    <row r="245" spans="1:13">
      <c r="A245" s="4" t="str" cm="1">
        <f t="array" ref="A245">INDEX(Sheet1!A:A,$F245)</f>
        <v>M</v>
      </c>
      <c r="B245" s="4" t="str" cm="1">
        <f t="array" ref="B245">INDEX(Sheet1!B:B,$F245)</f>
        <v>Pref Resid NS</v>
      </c>
      <c r="C245" s="4">
        <f t="shared" si="13"/>
        <v>43</v>
      </c>
      <c r="D245" s="5" cm="1">
        <f t="array" aca="1" ref="D245" ca="1">OFFSET(INDIRECT("'["&amp;$H245&amp;"]"&amp;$I245&amp;"'!"&amp;$J245),$L245,$M245)*$K245</f>
        <v>1.5900000000000001E-3</v>
      </c>
      <c r="F245" s="4">
        <f t="shared" si="14"/>
        <v>4</v>
      </c>
      <c r="G245" s="4" cm="1">
        <f t="array" ref="G245">IF($C245+$M245&lt;16,INDEX(Sheet1!C:C,$F245),$F245)</f>
        <v>4</v>
      </c>
      <c r="H245" s="4" t="str" cm="1">
        <f t="array" ref="H245">INDEX(Sheet1!D:D,$G245)</f>
        <v>2001-cso-preferred-class-structure-mortality-tables.xls</v>
      </c>
      <c r="I245" s="4" t="str" cm="1">
        <f t="array" ref="I245">INDEX(Sheet1!E:E,$G245)</f>
        <v>A.1.a.ii</v>
      </c>
      <c r="J245" s="4" t="str" cm="1">
        <f t="array" ref="J245">INDEX(Sheet1!F:F,$G245)</f>
        <v>B8</v>
      </c>
      <c r="K245" s="4" cm="1">
        <f t="array" ref="K245">INDEX(Sheet1!H:H,$G245)</f>
        <v>1E-3</v>
      </c>
      <c r="L245" s="4">
        <f t="shared" si="12"/>
        <v>43</v>
      </c>
      <c r="M245" s="4">
        <f t="shared" si="15"/>
        <v>5</v>
      </c>
    </row>
    <row r="246" spans="1:13">
      <c r="A246" s="4" t="str" cm="1">
        <f t="array" ref="A246">INDEX(Sheet1!A:A,$F246)</f>
        <v>M</v>
      </c>
      <c r="B246" s="4" t="str" cm="1">
        <f t="array" ref="B246">INDEX(Sheet1!B:B,$F246)</f>
        <v>Pref Resid NS</v>
      </c>
      <c r="C246" s="4">
        <f t="shared" si="13"/>
        <v>44</v>
      </c>
      <c r="D246" s="5" cm="1">
        <f t="array" aca="1" ref="D246" ca="1">OFFSET(INDIRECT("'["&amp;$H246&amp;"]"&amp;$I246&amp;"'!"&amp;$J246),$L246,$M246)*$K246</f>
        <v>1.6899999999999999E-3</v>
      </c>
      <c r="F246" s="4">
        <f t="shared" si="14"/>
        <v>4</v>
      </c>
      <c r="G246" s="4" cm="1">
        <f t="array" ref="G246">IF($C246+$M246&lt;16,INDEX(Sheet1!C:C,$F246),$F246)</f>
        <v>4</v>
      </c>
      <c r="H246" s="4" t="str" cm="1">
        <f t="array" ref="H246">INDEX(Sheet1!D:D,$G246)</f>
        <v>2001-cso-preferred-class-structure-mortality-tables.xls</v>
      </c>
      <c r="I246" s="4" t="str" cm="1">
        <f t="array" ref="I246">INDEX(Sheet1!E:E,$G246)</f>
        <v>A.1.a.ii</v>
      </c>
      <c r="J246" s="4" t="str" cm="1">
        <f t="array" ref="J246">INDEX(Sheet1!F:F,$G246)</f>
        <v>B8</v>
      </c>
      <c r="K246" s="4" cm="1">
        <f t="array" ref="K246">INDEX(Sheet1!H:H,$G246)</f>
        <v>1E-3</v>
      </c>
      <c r="L246" s="4">
        <f t="shared" si="12"/>
        <v>44</v>
      </c>
      <c r="M246" s="4">
        <f t="shared" si="15"/>
        <v>5</v>
      </c>
    </row>
    <row r="247" spans="1:13">
      <c r="A247" s="4" t="str" cm="1">
        <f t="array" ref="A247">INDEX(Sheet1!A:A,$F247)</f>
        <v>M</v>
      </c>
      <c r="B247" s="4" t="str" cm="1">
        <f t="array" ref="B247">INDEX(Sheet1!B:B,$F247)</f>
        <v>Pref Resid NS</v>
      </c>
      <c r="C247" s="4">
        <f t="shared" si="13"/>
        <v>45</v>
      </c>
      <c r="D247" s="5" cm="1">
        <f t="array" aca="1" ref="D247" ca="1">OFFSET(INDIRECT("'["&amp;$H247&amp;"]"&amp;$I247&amp;"'!"&amp;$J247),$L247,$M247)*$K247</f>
        <v>1.8000000000000002E-3</v>
      </c>
      <c r="F247" s="4">
        <f t="shared" si="14"/>
        <v>4</v>
      </c>
      <c r="G247" s="4" cm="1">
        <f t="array" ref="G247">IF($C247+$M247&lt;16,INDEX(Sheet1!C:C,$F247),$F247)</f>
        <v>4</v>
      </c>
      <c r="H247" s="4" t="str" cm="1">
        <f t="array" ref="H247">INDEX(Sheet1!D:D,$G247)</f>
        <v>2001-cso-preferred-class-structure-mortality-tables.xls</v>
      </c>
      <c r="I247" s="4" t="str" cm="1">
        <f t="array" ref="I247">INDEX(Sheet1!E:E,$G247)</f>
        <v>A.1.a.ii</v>
      </c>
      <c r="J247" s="4" t="str" cm="1">
        <f t="array" ref="J247">INDEX(Sheet1!F:F,$G247)</f>
        <v>B8</v>
      </c>
      <c r="K247" s="4" cm="1">
        <f t="array" ref="K247">INDEX(Sheet1!H:H,$G247)</f>
        <v>1E-3</v>
      </c>
      <c r="L247" s="4">
        <f t="shared" si="12"/>
        <v>45</v>
      </c>
      <c r="M247" s="4">
        <f t="shared" si="15"/>
        <v>5</v>
      </c>
    </row>
    <row r="248" spans="1:13">
      <c r="A248" s="4" t="str" cm="1">
        <f t="array" ref="A248">INDEX(Sheet1!A:A,$F248)</f>
        <v>M</v>
      </c>
      <c r="B248" s="4" t="str" cm="1">
        <f t="array" ref="B248">INDEX(Sheet1!B:B,$F248)</f>
        <v>Pref Resid NS</v>
      </c>
      <c r="C248" s="4">
        <f t="shared" si="13"/>
        <v>46</v>
      </c>
      <c r="D248" s="5" cm="1">
        <f t="array" aca="1" ref="D248" ca="1">OFFSET(INDIRECT("'["&amp;$H248&amp;"]"&amp;$I248&amp;"'!"&amp;$J248),$L248,$M248)*$K248</f>
        <v>1.9599999999999999E-3</v>
      </c>
      <c r="F248" s="4">
        <f t="shared" si="14"/>
        <v>4</v>
      </c>
      <c r="G248" s="4" cm="1">
        <f t="array" ref="G248">IF($C248+$M248&lt;16,INDEX(Sheet1!C:C,$F248),$F248)</f>
        <v>4</v>
      </c>
      <c r="H248" s="4" t="str" cm="1">
        <f t="array" ref="H248">INDEX(Sheet1!D:D,$G248)</f>
        <v>2001-cso-preferred-class-structure-mortality-tables.xls</v>
      </c>
      <c r="I248" s="4" t="str" cm="1">
        <f t="array" ref="I248">INDEX(Sheet1!E:E,$G248)</f>
        <v>A.1.a.ii</v>
      </c>
      <c r="J248" s="4" t="str" cm="1">
        <f t="array" ref="J248">INDEX(Sheet1!F:F,$G248)</f>
        <v>B8</v>
      </c>
      <c r="K248" s="4" cm="1">
        <f t="array" ref="K248">INDEX(Sheet1!H:H,$G248)</f>
        <v>1E-3</v>
      </c>
      <c r="L248" s="4">
        <f t="shared" si="12"/>
        <v>46</v>
      </c>
      <c r="M248" s="4">
        <f t="shared" si="15"/>
        <v>5</v>
      </c>
    </row>
    <row r="249" spans="1:13">
      <c r="A249" s="4" t="str" cm="1">
        <f t="array" ref="A249">INDEX(Sheet1!A:A,$F249)</f>
        <v>M</v>
      </c>
      <c r="B249" s="4" t="str" cm="1">
        <f t="array" ref="B249">INDEX(Sheet1!B:B,$F249)</f>
        <v>Pref Resid NS</v>
      </c>
      <c r="C249" s="4">
        <f t="shared" si="13"/>
        <v>47</v>
      </c>
      <c r="D249" s="5" cm="1">
        <f t="array" aca="1" ref="D249" ca="1">OFFSET(INDIRECT("'["&amp;$H249&amp;"]"&amp;$I249&amp;"'!"&amp;$J249),$L249,$M249)*$K249</f>
        <v>2.1200000000000004E-3</v>
      </c>
      <c r="F249" s="4">
        <f t="shared" si="14"/>
        <v>4</v>
      </c>
      <c r="G249" s="4" cm="1">
        <f t="array" ref="G249">IF($C249+$M249&lt;16,INDEX(Sheet1!C:C,$F249),$F249)</f>
        <v>4</v>
      </c>
      <c r="H249" s="4" t="str" cm="1">
        <f t="array" ref="H249">INDEX(Sheet1!D:D,$G249)</f>
        <v>2001-cso-preferred-class-structure-mortality-tables.xls</v>
      </c>
      <c r="I249" s="4" t="str" cm="1">
        <f t="array" ref="I249">INDEX(Sheet1!E:E,$G249)</f>
        <v>A.1.a.ii</v>
      </c>
      <c r="J249" s="4" t="str" cm="1">
        <f t="array" ref="J249">INDEX(Sheet1!F:F,$G249)</f>
        <v>B8</v>
      </c>
      <c r="K249" s="4" cm="1">
        <f t="array" ref="K249">INDEX(Sheet1!H:H,$G249)</f>
        <v>1E-3</v>
      </c>
      <c r="L249" s="4">
        <f t="shared" si="12"/>
        <v>47</v>
      </c>
      <c r="M249" s="4">
        <f t="shared" si="15"/>
        <v>5</v>
      </c>
    </row>
    <row r="250" spans="1:13">
      <c r="A250" s="4" t="str" cm="1">
        <f t="array" ref="A250">INDEX(Sheet1!A:A,$F250)</f>
        <v>M</v>
      </c>
      <c r="B250" s="4" t="str" cm="1">
        <f t="array" ref="B250">INDEX(Sheet1!B:B,$F250)</f>
        <v>Pref Resid NS</v>
      </c>
      <c r="C250" s="4">
        <f t="shared" si="13"/>
        <v>48</v>
      </c>
      <c r="D250" s="5" cm="1">
        <f t="array" aca="1" ref="D250" ca="1">OFFSET(INDIRECT("'["&amp;$H250&amp;"]"&amp;$I250&amp;"'!"&amp;$J250),$L250,$M250)*$K250</f>
        <v>2.2799999999999999E-3</v>
      </c>
      <c r="F250" s="4">
        <f t="shared" si="14"/>
        <v>4</v>
      </c>
      <c r="G250" s="4" cm="1">
        <f t="array" ref="G250">IF($C250+$M250&lt;16,INDEX(Sheet1!C:C,$F250),$F250)</f>
        <v>4</v>
      </c>
      <c r="H250" s="4" t="str" cm="1">
        <f t="array" ref="H250">INDEX(Sheet1!D:D,$G250)</f>
        <v>2001-cso-preferred-class-structure-mortality-tables.xls</v>
      </c>
      <c r="I250" s="4" t="str" cm="1">
        <f t="array" ref="I250">INDEX(Sheet1!E:E,$G250)</f>
        <v>A.1.a.ii</v>
      </c>
      <c r="J250" s="4" t="str" cm="1">
        <f t="array" ref="J250">INDEX(Sheet1!F:F,$G250)</f>
        <v>B8</v>
      </c>
      <c r="K250" s="4" cm="1">
        <f t="array" ref="K250">INDEX(Sheet1!H:H,$G250)</f>
        <v>1E-3</v>
      </c>
      <c r="L250" s="4">
        <f t="shared" si="12"/>
        <v>48</v>
      </c>
      <c r="M250" s="4">
        <f t="shared" si="15"/>
        <v>5</v>
      </c>
    </row>
    <row r="251" spans="1:13">
      <c r="A251" s="4" t="str" cm="1">
        <f t="array" ref="A251">INDEX(Sheet1!A:A,$F251)</f>
        <v>M</v>
      </c>
      <c r="B251" s="4" t="str" cm="1">
        <f t="array" ref="B251">INDEX(Sheet1!B:B,$F251)</f>
        <v>Pref Resid NS</v>
      </c>
      <c r="C251" s="4">
        <f t="shared" si="13"/>
        <v>49</v>
      </c>
      <c r="D251" s="5" cm="1">
        <f t="array" aca="1" ref="D251" ca="1">OFFSET(INDIRECT("'["&amp;$H251&amp;"]"&amp;$I251&amp;"'!"&amp;$J251),$L251,$M251)*$K251</f>
        <v>2.4500000000000004E-3</v>
      </c>
      <c r="F251" s="4">
        <f t="shared" si="14"/>
        <v>4</v>
      </c>
      <c r="G251" s="4" cm="1">
        <f t="array" ref="G251">IF($C251+$M251&lt;16,INDEX(Sheet1!C:C,$F251),$F251)</f>
        <v>4</v>
      </c>
      <c r="H251" s="4" t="str" cm="1">
        <f t="array" ref="H251">INDEX(Sheet1!D:D,$G251)</f>
        <v>2001-cso-preferred-class-structure-mortality-tables.xls</v>
      </c>
      <c r="I251" s="4" t="str" cm="1">
        <f t="array" ref="I251">INDEX(Sheet1!E:E,$G251)</f>
        <v>A.1.a.ii</v>
      </c>
      <c r="J251" s="4" t="str" cm="1">
        <f t="array" ref="J251">INDEX(Sheet1!F:F,$G251)</f>
        <v>B8</v>
      </c>
      <c r="K251" s="4" cm="1">
        <f t="array" ref="K251">INDEX(Sheet1!H:H,$G251)</f>
        <v>1E-3</v>
      </c>
      <c r="L251" s="4">
        <f t="shared" si="12"/>
        <v>49</v>
      </c>
      <c r="M251" s="4">
        <f t="shared" si="15"/>
        <v>5</v>
      </c>
    </row>
    <row r="252" spans="1:13">
      <c r="A252" s="4" t="str" cm="1">
        <f t="array" ref="A252">INDEX(Sheet1!A:A,$F252)</f>
        <v>M</v>
      </c>
      <c r="B252" s="4" t="str" cm="1">
        <f t="array" ref="B252">INDEX(Sheet1!B:B,$F252)</f>
        <v>Pref Resid NS</v>
      </c>
      <c r="C252" s="4">
        <f t="shared" si="13"/>
        <v>50</v>
      </c>
      <c r="D252" s="5" cm="1">
        <f t="array" aca="1" ref="D252" ca="1">OFFSET(INDIRECT("'["&amp;$H252&amp;"]"&amp;$I252&amp;"'!"&amp;$J252),$L252,$M252)*$K252</f>
        <v>2.63E-3</v>
      </c>
      <c r="F252" s="4">
        <f t="shared" si="14"/>
        <v>4</v>
      </c>
      <c r="G252" s="4" cm="1">
        <f t="array" ref="G252">IF($C252+$M252&lt;16,INDEX(Sheet1!C:C,$F252),$F252)</f>
        <v>4</v>
      </c>
      <c r="H252" s="4" t="str" cm="1">
        <f t="array" ref="H252">INDEX(Sheet1!D:D,$G252)</f>
        <v>2001-cso-preferred-class-structure-mortality-tables.xls</v>
      </c>
      <c r="I252" s="4" t="str" cm="1">
        <f t="array" ref="I252">INDEX(Sheet1!E:E,$G252)</f>
        <v>A.1.a.ii</v>
      </c>
      <c r="J252" s="4" t="str" cm="1">
        <f t="array" ref="J252">INDEX(Sheet1!F:F,$G252)</f>
        <v>B8</v>
      </c>
      <c r="K252" s="4" cm="1">
        <f t="array" ref="K252">INDEX(Sheet1!H:H,$G252)</f>
        <v>1E-3</v>
      </c>
      <c r="L252" s="4">
        <f t="shared" si="12"/>
        <v>50</v>
      </c>
      <c r="M252" s="4">
        <f t="shared" si="15"/>
        <v>5</v>
      </c>
    </row>
    <row r="253" spans="1:13">
      <c r="A253" s="4" t="str" cm="1">
        <f t="array" ref="A253">INDEX(Sheet1!A:A,$F253)</f>
        <v>M</v>
      </c>
      <c r="B253" s="4" t="str" cm="1">
        <f t="array" ref="B253">INDEX(Sheet1!B:B,$F253)</f>
        <v>Pref Resid NS</v>
      </c>
      <c r="C253" s="4">
        <f t="shared" si="13"/>
        <v>51</v>
      </c>
      <c r="D253" s="5" cm="1">
        <f t="array" aca="1" ref="D253" ca="1">OFFSET(INDIRECT("'["&amp;$H253&amp;"]"&amp;$I253&amp;"'!"&amp;$J253),$L253,$M253)*$K253</f>
        <v>2.8400000000000001E-3</v>
      </c>
      <c r="F253" s="4">
        <f t="shared" si="14"/>
        <v>4</v>
      </c>
      <c r="G253" s="4" cm="1">
        <f t="array" ref="G253">IF($C253+$M253&lt;16,INDEX(Sheet1!C:C,$F253),$F253)</f>
        <v>4</v>
      </c>
      <c r="H253" s="4" t="str" cm="1">
        <f t="array" ref="H253">INDEX(Sheet1!D:D,$G253)</f>
        <v>2001-cso-preferred-class-structure-mortality-tables.xls</v>
      </c>
      <c r="I253" s="4" t="str" cm="1">
        <f t="array" ref="I253">INDEX(Sheet1!E:E,$G253)</f>
        <v>A.1.a.ii</v>
      </c>
      <c r="J253" s="4" t="str" cm="1">
        <f t="array" ref="J253">INDEX(Sheet1!F:F,$G253)</f>
        <v>B8</v>
      </c>
      <c r="K253" s="4" cm="1">
        <f t="array" ref="K253">INDEX(Sheet1!H:H,$G253)</f>
        <v>1E-3</v>
      </c>
      <c r="L253" s="4">
        <f t="shared" si="12"/>
        <v>51</v>
      </c>
      <c r="M253" s="4">
        <f t="shared" si="15"/>
        <v>5</v>
      </c>
    </row>
    <row r="254" spans="1:13">
      <c r="A254" s="4" t="str" cm="1">
        <f t="array" ref="A254">INDEX(Sheet1!A:A,$F254)</f>
        <v>M</v>
      </c>
      <c r="B254" s="4" t="str" cm="1">
        <f t="array" ref="B254">INDEX(Sheet1!B:B,$F254)</f>
        <v>Pref Resid NS</v>
      </c>
      <c r="C254" s="4">
        <f t="shared" si="13"/>
        <v>52</v>
      </c>
      <c r="D254" s="5" cm="1">
        <f t="array" aca="1" ref="D254" ca="1">OFFSET(INDIRECT("'["&amp;$H254&amp;"]"&amp;$I254&amp;"'!"&amp;$J254),$L254,$M254)*$K254</f>
        <v>3.0499999999999998E-3</v>
      </c>
      <c r="F254" s="4">
        <f t="shared" si="14"/>
        <v>4</v>
      </c>
      <c r="G254" s="4" cm="1">
        <f t="array" ref="G254">IF($C254+$M254&lt;16,INDEX(Sheet1!C:C,$F254),$F254)</f>
        <v>4</v>
      </c>
      <c r="H254" s="4" t="str" cm="1">
        <f t="array" ref="H254">INDEX(Sheet1!D:D,$G254)</f>
        <v>2001-cso-preferred-class-structure-mortality-tables.xls</v>
      </c>
      <c r="I254" s="4" t="str" cm="1">
        <f t="array" ref="I254">INDEX(Sheet1!E:E,$G254)</f>
        <v>A.1.a.ii</v>
      </c>
      <c r="J254" s="4" t="str" cm="1">
        <f t="array" ref="J254">INDEX(Sheet1!F:F,$G254)</f>
        <v>B8</v>
      </c>
      <c r="K254" s="4" cm="1">
        <f t="array" ref="K254">INDEX(Sheet1!H:H,$G254)</f>
        <v>1E-3</v>
      </c>
      <c r="L254" s="4">
        <f t="shared" si="12"/>
        <v>52</v>
      </c>
      <c r="M254" s="4">
        <f t="shared" si="15"/>
        <v>5</v>
      </c>
    </row>
    <row r="255" spans="1:13">
      <c r="A255" s="4" t="str" cm="1">
        <f t="array" ref="A255">INDEX(Sheet1!A:A,$F255)</f>
        <v>M</v>
      </c>
      <c r="B255" s="4" t="str" cm="1">
        <f t="array" ref="B255">INDEX(Sheet1!B:B,$F255)</f>
        <v>Pref Resid NS</v>
      </c>
      <c r="C255" s="4">
        <f t="shared" si="13"/>
        <v>53</v>
      </c>
      <c r="D255" s="5" cm="1">
        <f t="array" aca="1" ref="D255" ca="1">OFFSET(INDIRECT("'["&amp;$H255&amp;"]"&amp;$I255&amp;"'!"&amp;$J255),$L255,$M255)*$K255</f>
        <v>3.31E-3</v>
      </c>
      <c r="F255" s="4">
        <f t="shared" si="14"/>
        <v>4</v>
      </c>
      <c r="G255" s="4" cm="1">
        <f t="array" ref="G255">IF($C255+$M255&lt;16,INDEX(Sheet1!C:C,$F255),$F255)</f>
        <v>4</v>
      </c>
      <c r="H255" s="4" t="str" cm="1">
        <f t="array" ref="H255">INDEX(Sheet1!D:D,$G255)</f>
        <v>2001-cso-preferred-class-structure-mortality-tables.xls</v>
      </c>
      <c r="I255" s="4" t="str" cm="1">
        <f t="array" ref="I255">INDEX(Sheet1!E:E,$G255)</f>
        <v>A.1.a.ii</v>
      </c>
      <c r="J255" s="4" t="str" cm="1">
        <f t="array" ref="J255">INDEX(Sheet1!F:F,$G255)</f>
        <v>B8</v>
      </c>
      <c r="K255" s="4" cm="1">
        <f t="array" ref="K255">INDEX(Sheet1!H:H,$G255)</f>
        <v>1E-3</v>
      </c>
      <c r="L255" s="4">
        <f t="shared" si="12"/>
        <v>53</v>
      </c>
      <c r="M255" s="4">
        <f t="shared" si="15"/>
        <v>5</v>
      </c>
    </row>
    <row r="256" spans="1:13">
      <c r="A256" s="4" t="str" cm="1">
        <f t="array" ref="A256">INDEX(Sheet1!A:A,$F256)</f>
        <v>M</v>
      </c>
      <c r="B256" s="4" t="str" cm="1">
        <f t="array" ref="B256">INDEX(Sheet1!B:B,$F256)</f>
        <v>Pref Resid NS</v>
      </c>
      <c r="C256" s="4">
        <f t="shared" si="13"/>
        <v>54</v>
      </c>
      <c r="D256" s="5" cm="1">
        <f t="array" aca="1" ref="D256" ca="1">OFFSET(INDIRECT("'["&amp;$H256&amp;"]"&amp;$I256&amp;"'!"&amp;$J256),$L256,$M256)*$K256</f>
        <v>3.6000000000000003E-3</v>
      </c>
      <c r="F256" s="4">
        <f t="shared" si="14"/>
        <v>4</v>
      </c>
      <c r="G256" s="4" cm="1">
        <f t="array" ref="G256">IF($C256+$M256&lt;16,INDEX(Sheet1!C:C,$F256),$F256)</f>
        <v>4</v>
      </c>
      <c r="H256" s="4" t="str" cm="1">
        <f t="array" ref="H256">INDEX(Sheet1!D:D,$G256)</f>
        <v>2001-cso-preferred-class-structure-mortality-tables.xls</v>
      </c>
      <c r="I256" s="4" t="str" cm="1">
        <f t="array" ref="I256">INDEX(Sheet1!E:E,$G256)</f>
        <v>A.1.a.ii</v>
      </c>
      <c r="J256" s="4" t="str" cm="1">
        <f t="array" ref="J256">INDEX(Sheet1!F:F,$G256)</f>
        <v>B8</v>
      </c>
      <c r="K256" s="4" cm="1">
        <f t="array" ref="K256">INDEX(Sheet1!H:H,$G256)</f>
        <v>1E-3</v>
      </c>
      <c r="L256" s="4">
        <f t="shared" si="12"/>
        <v>54</v>
      </c>
      <c r="M256" s="4">
        <f t="shared" si="15"/>
        <v>5</v>
      </c>
    </row>
    <row r="257" spans="1:13">
      <c r="A257" s="4" t="str" cm="1">
        <f t="array" ref="A257">INDEX(Sheet1!A:A,$F257)</f>
        <v>M</v>
      </c>
      <c r="B257" s="4" t="str" cm="1">
        <f t="array" ref="B257">INDEX(Sheet1!B:B,$F257)</f>
        <v>Pref Resid NS</v>
      </c>
      <c r="C257" s="4">
        <f t="shared" si="13"/>
        <v>55</v>
      </c>
      <c r="D257" s="5" cm="1">
        <f t="array" aca="1" ref="D257" ca="1">OFFSET(INDIRECT("'["&amp;$H257&amp;"]"&amp;$I257&amp;"'!"&amp;$J257),$L257,$M257)*$K257</f>
        <v>3.9399999999999999E-3</v>
      </c>
      <c r="F257" s="4">
        <f t="shared" si="14"/>
        <v>4</v>
      </c>
      <c r="G257" s="4" cm="1">
        <f t="array" ref="G257">IF($C257+$M257&lt;16,INDEX(Sheet1!C:C,$F257),$F257)</f>
        <v>4</v>
      </c>
      <c r="H257" s="4" t="str" cm="1">
        <f t="array" ref="H257">INDEX(Sheet1!D:D,$G257)</f>
        <v>2001-cso-preferred-class-structure-mortality-tables.xls</v>
      </c>
      <c r="I257" s="4" t="str" cm="1">
        <f t="array" ref="I257">INDEX(Sheet1!E:E,$G257)</f>
        <v>A.1.a.ii</v>
      </c>
      <c r="J257" s="4" t="str" cm="1">
        <f t="array" ref="J257">INDEX(Sheet1!F:F,$G257)</f>
        <v>B8</v>
      </c>
      <c r="K257" s="4" cm="1">
        <f t="array" ref="K257">INDEX(Sheet1!H:H,$G257)</f>
        <v>1E-3</v>
      </c>
      <c r="L257" s="4">
        <f t="shared" si="12"/>
        <v>55</v>
      </c>
      <c r="M257" s="4">
        <f t="shared" si="15"/>
        <v>5</v>
      </c>
    </row>
    <row r="258" spans="1:13">
      <c r="A258" s="4" t="str" cm="1">
        <f t="array" ref="A258">INDEX(Sheet1!A:A,$F258)</f>
        <v>M</v>
      </c>
      <c r="B258" s="4" t="str" cm="1">
        <f t="array" ref="B258">INDEX(Sheet1!B:B,$F258)</f>
        <v>Pref Resid NS</v>
      </c>
      <c r="C258" s="4">
        <f t="shared" si="13"/>
        <v>56</v>
      </c>
      <c r="D258" s="5" cm="1">
        <f t="array" aca="1" ref="D258" ca="1">OFFSET(INDIRECT("'["&amp;$H258&amp;"]"&amp;$I258&amp;"'!"&amp;$J258),$L258,$M258)*$K258</f>
        <v>4.3499999999999997E-3</v>
      </c>
      <c r="F258" s="4">
        <f t="shared" si="14"/>
        <v>4</v>
      </c>
      <c r="G258" s="4" cm="1">
        <f t="array" ref="G258">IF($C258+$M258&lt;16,INDEX(Sheet1!C:C,$F258),$F258)</f>
        <v>4</v>
      </c>
      <c r="H258" s="4" t="str" cm="1">
        <f t="array" ref="H258">INDEX(Sheet1!D:D,$G258)</f>
        <v>2001-cso-preferred-class-structure-mortality-tables.xls</v>
      </c>
      <c r="I258" s="4" t="str" cm="1">
        <f t="array" ref="I258">INDEX(Sheet1!E:E,$G258)</f>
        <v>A.1.a.ii</v>
      </c>
      <c r="J258" s="4" t="str" cm="1">
        <f t="array" ref="J258">INDEX(Sheet1!F:F,$G258)</f>
        <v>B8</v>
      </c>
      <c r="K258" s="4" cm="1">
        <f t="array" ref="K258">INDEX(Sheet1!H:H,$G258)</f>
        <v>1E-3</v>
      </c>
      <c r="L258" s="4">
        <f t="shared" si="12"/>
        <v>56</v>
      </c>
      <c r="M258" s="4">
        <f t="shared" si="15"/>
        <v>5</v>
      </c>
    </row>
    <row r="259" spans="1:13">
      <c r="A259" s="4" t="str" cm="1">
        <f t="array" ref="A259">INDEX(Sheet1!A:A,$F259)</f>
        <v>M</v>
      </c>
      <c r="B259" s="4" t="str" cm="1">
        <f t="array" ref="B259">INDEX(Sheet1!B:B,$F259)</f>
        <v>Pref Resid NS</v>
      </c>
      <c r="C259" s="4">
        <f t="shared" si="13"/>
        <v>57</v>
      </c>
      <c r="D259" s="5" cm="1">
        <f t="array" aca="1" ref="D259" ca="1">OFFSET(INDIRECT("'["&amp;$H259&amp;"]"&amp;$I259&amp;"'!"&amp;$J259),$L259,$M259)*$K259</f>
        <v>4.8399999999999997E-3</v>
      </c>
      <c r="F259" s="4">
        <f t="shared" si="14"/>
        <v>4</v>
      </c>
      <c r="G259" s="4" cm="1">
        <f t="array" ref="G259">IF($C259+$M259&lt;16,INDEX(Sheet1!C:C,$F259),$F259)</f>
        <v>4</v>
      </c>
      <c r="H259" s="4" t="str" cm="1">
        <f t="array" ref="H259">INDEX(Sheet1!D:D,$G259)</f>
        <v>2001-cso-preferred-class-structure-mortality-tables.xls</v>
      </c>
      <c r="I259" s="4" t="str" cm="1">
        <f t="array" ref="I259">INDEX(Sheet1!E:E,$G259)</f>
        <v>A.1.a.ii</v>
      </c>
      <c r="J259" s="4" t="str" cm="1">
        <f t="array" ref="J259">INDEX(Sheet1!F:F,$G259)</f>
        <v>B8</v>
      </c>
      <c r="K259" s="4" cm="1">
        <f t="array" ref="K259">INDEX(Sheet1!H:H,$G259)</f>
        <v>1E-3</v>
      </c>
      <c r="L259" s="4">
        <f t="shared" ref="L259:L322" si="16">C259</f>
        <v>57</v>
      </c>
      <c r="M259" s="4">
        <f t="shared" si="15"/>
        <v>5</v>
      </c>
    </row>
    <row r="260" spans="1:13">
      <c r="A260" s="4" t="str" cm="1">
        <f t="array" ref="A260">INDEX(Sheet1!A:A,$F260)</f>
        <v>M</v>
      </c>
      <c r="B260" s="4" t="str" cm="1">
        <f t="array" ref="B260">INDEX(Sheet1!B:B,$F260)</f>
        <v>Pref Resid NS</v>
      </c>
      <c r="C260" s="4">
        <f t="shared" ref="C260:C323" si="17">IF(C259=99,0,C259+1)</f>
        <v>58</v>
      </c>
      <c r="D260" s="5" cm="1">
        <f t="array" aca="1" ref="D260" ca="1">OFFSET(INDIRECT("'["&amp;$H260&amp;"]"&amp;$I260&amp;"'!"&amp;$J260),$L260,$M260)*$K260</f>
        <v>5.3899999999999998E-3</v>
      </c>
      <c r="F260" s="4">
        <f t="shared" ref="F260:F323" si="18">IF(C260=0,1,0)+F259</f>
        <v>4</v>
      </c>
      <c r="G260" s="4" cm="1">
        <f t="array" ref="G260">IF($C260+$M260&lt;16,INDEX(Sheet1!C:C,$F260),$F260)</f>
        <v>4</v>
      </c>
      <c r="H260" s="4" t="str" cm="1">
        <f t="array" ref="H260">INDEX(Sheet1!D:D,$G260)</f>
        <v>2001-cso-preferred-class-structure-mortality-tables.xls</v>
      </c>
      <c r="I260" s="4" t="str" cm="1">
        <f t="array" ref="I260">INDEX(Sheet1!E:E,$G260)</f>
        <v>A.1.a.ii</v>
      </c>
      <c r="J260" s="4" t="str" cm="1">
        <f t="array" ref="J260">INDEX(Sheet1!F:F,$G260)</f>
        <v>B8</v>
      </c>
      <c r="K260" s="4" cm="1">
        <f t="array" ref="K260">INDEX(Sheet1!H:H,$G260)</f>
        <v>1E-3</v>
      </c>
      <c r="L260" s="4">
        <f t="shared" si="16"/>
        <v>58</v>
      </c>
      <c r="M260" s="4">
        <f t="shared" ref="L260:M323" si="19">M$2</f>
        <v>5</v>
      </c>
    </row>
    <row r="261" spans="1:13">
      <c r="A261" s="4" t="str" cm="1">
        <f t="array" ref="A261">INDEX(Sheet1!A:A,$F261)</f>
        <v>M</v>
      </c>
      <c r="B261" s="4" t="str" cm="1">
        <f t="array" ref="B261">INDEX(Sheet1!B:B,$F261)</f>
        <v>Pref Resid NS</v>
      </c>
      <c r="C261" s="4">
        <f t="shared" si="17"/>
        <v>59</v>
      </c>
      <c r="D261" s="5" cm="1">
        <f t="array" aca="1" ref="D261" ca="1">OFFSET(INDIRECT("'["&amp;$H261&amp;"]"&amp;$I261&amp;"'!"&amp;$J261),$L261,$M261)*$K261</f>
        <v>5.9699999999999996E-3</v>
      </c>
      <c r="F261" s="4">
        <f t="shared" si="18"/>
        <v>4</v>
      </c>
      <c r="G261" s="4" cm="1">
        <f t="array" ref="G261">IF($C261+$M261&lt;16,INDEX(Sheet1!C:C,$F261),$F261)</f>
        <v>4</v>
      </c>
      <c r="H261" s="4" t="str" cm="1">
        <f t="array" ref="H261">INDEX(Sheet1!D:D,$G261)</f>
        <v>2001-cso-preferred-class-structure-mortality-tables.xls</v>
      </c>
      <c r="I261" s="4" t="str" cm="1">
        <f t="array" ref="I261">INDEX(Sheet1!E:E,$G261)</f>
        <v>A.1.a.ii</v>
      </c>
      <c r="J261" s="4" t="str" cm="1">
        <f t="array" ref="J261">INDEX(Sheet1!F:F,$G261)</f>
        <v>B8</v>
      </c>
      <c r="K261" s="4" cm="1">
        <f t="array" ref="K261">INDEX(Sheet1!H:H,$G261)</f>
        <v>1E-3</v>
      </c>
      <c r="L261" s="4">
        <f t="shared" si="16"/>
        <v>59</v>
      </c>
      <c r="M261" s="4">
        <f t="shared" si="19"/>
        <v>5</v>
      </c>
    </row>
    <row r="262" spans="1:13">
      <c r="A262" s="4" t="str" cm="1">
        <f t="array" ref="A262">INDEX(Sheet1!A:A,$F262)</f>
        <v>M</v>
      </c>
      <c r="B262" s="4" t="str" cm="1">
        <f t="array" ref="B262">INDEX(Sheet1!B:B,$F262)</f>
        <v>Pref Resid NS</v>
      </c>
      <c r="C262" s="4">
        <f t="shared" si="17"/>
        <v>60</v>
      </c>
      <c r="D262" s="5" cm="1">
        <f t="array" aca="1" ref="D262" ca="1">OFFSET(INDIRECT("'["&amp;$H262&amp;"]"&amp;$I262&amp;"'!"&amp;$J262),$L262,$M262)*$K262</f>
        <v>6.5500000000000003E-3</v>
      </c>
      <c r="F262" s="4">
        <f t="shared" si="18"/>
        <v>4</v>
      </c>
      <c r="G262" s="4" cm="1">
        <f t="array" ref="G262">IF($C262+$M262&lt;16,INDEX(Sheet1!C:C,$F262),$F262)</f>
        <v>4</v>
      </c>
      <c r="H262" s="4" t="str" cm="1">
        <f t="array" ref="H262">INDEX(Sheet1!D:D,$G262)</f>
        <v>2001-cso-preferred-class-structure-mortality-tables.xls</v>
      </c>
      <c r="I262" s="4" t="str" cm="1">
        <f t="array" ref="I262">INDEX(Sheet1!E:E,$G262)</f>
        <v>A.1.a.ii</v>
      </c>
      <c r="J262" s="4" t="str" cm="1">
        <f t="array" ref="J262">INDEX(Sheet1!F:F,$G262)</f>
        <v>B8</v>
      </c>
      <c r="K262" s="4" cm="1">
        <f t="array" ref="K262">INDEX(Sheet1!H:H,$G262)</f>
        <v>1E-3</v>
      </c>
      <c r="L262" s="4">
        <f t="shared" si="16"/>
        <v>60</v>
      </c>
      <c r="M262" s="4">
        <f t="shared" si="19"/>
        <v>5</v>
      </c>
    </row>
    <row r="263" spans="1:13">
      <c r="A263" s="4" t="str" cm="1">
        <f t="array" ref="A263">INDEX(Sheet1!A:A,$F263)</f>
        <v>M</v>
      </c>
      <c r="B263" s="4" t="str" cm="1">
        <f t="array" ref="B263">INDEX(Sheet1!B:B,$F263)</f>
        <v>Pref Resid NS</v>
      </c>
      <c r="C263" s="4">
        <f t="shared" si="17"/>
        <v>61</v>
      </c>
      <c r="D263" s="5" cm="1">
        <f t="array" aca="1" ref="D263" ca="1">OFFSET(INDIRECT("'["&amp;$H263&amp;"]"&amp;$I263&amp;"'!"&amp;$J263),$L263,$M263)*$K263</f>
        <v>7.1399999999999996E-3</v>
      </c>
      <c r="F263" s="4">
        <f t="shared" si="18"/>
        <v>4</v>
      </c>
      <c r="G263" s="4" cm="1">
        <f t="array" ref="G263">IF($C263+$M263&lt;16,INDEX(Sheet1!C:C,$F263),$F263)</f>
        <v>4</v>
      </c>
      <c r="H263" s="4" t="str" cm="1">
        <f t="array" ref="H263">INDEX(Sheet1!D:D,$G263)</f>
        <v>2001-cso-preferred-class-structure-mortality-tables.xls</v>
      </c>
      <c r="I263" s="4" t="str" cm="1">
        <f t="array" ref="I263">INDEX(Sheet1!E:E,$G263)</f>
        <v>A.1.a.ii</v>
      </c>
      <c r="J263" s="4" t="str" cm="1">
        <f t="array" ref="J263">INDEX(Sheet1!F:F,$G263)</f>
        <v>B8</v>
      </c>
      <c r="K263" s="4" cm="1">
        <f t="array" ref="K263">INDEX(Sheet1!H:H,$G263)</f>
        <v>1E-3</v>
      </c>
      <c r="L263" s="4">
        <f t="shared" si="16"/>
        <v>61</v>
      </c>
      <c r="M263" s="4">
        <f t="shared" si="19"/>
        <v>5</v>
      </c>
    </row>
    <row r="264" spans="1:13">
      <c r="A264" s="4" t="str" cm="1">
        <f t="array" ref="A264">INDEX(Sheet1!A:A,$F264)</f>
        <v>M</v>
      </c>
      <c r="B264" s="4" t="str" cm="1">
        <f t="array" ref="B264">INDEX(Sheet1!B:B,$F264)</f>
        <v>Pref Resid NS</v>
      </c>
      <c r="C264" s="4">
        <f t="shared" si="17"/>
        <v>62</v>
      </c>
      <c r="D264" s="5" cm="1">
        <f t="array" aca="1" ref="D264" ca="1">OFFSET(INDIRECT("'["&amp;$H264&amp;"]"&amp;$I264&amp;"'!"&amp;$J264),$L264,$M264)*$K264</f>
        <v>7.7499999999999999E-3</v>
      </c>
      <c r="F264" s="4">
        <f t="shared" si="18"/>
        <v>4</v>
      </c>
      <c r="G264" s="4" cm="1">
        <f t="array" ref="G264">IF($C264+$M264&lt;16,INDEX(Sheet1!C:C,$F264),$F264)</f>
        <v>4</v>
      </c>
      <c r="H264" s="4" t="str" cm="1">
        <f t="array" ref="H264">INDEX(Sheet1!D:D,$G264)</f>
        <v>2001-cso-preferred-class-structure-mortality-tables.xls</v>
      </c>
      <c r="I264" s="4" t="str" cm="1">
        <f t="array" ref="I264">INDEX(Sheet1!E:E,$G264)</f>
        <v>A.1.a.ii</v>
      </c>
      <c r="J264" s="4" t="str" cm="1">
        <f t="array" ref="J264">INDEX(Sheet1!F:F,$G264)</f>
        <v>B8</v>
      </c>
      <c r="K264" s="4" cm="1">
        <f t="array" ref="K264">INDEX(Sheet1!H:H,$G264)</f>
        <v>1E-3</v>
      </c>
      <c r="L264" s="4">
        <f t="shared" si="16"/>
        <v>62</v>
      </c>
      <c r="M264" s="4">
        <f t="shared" si="19"/>
        <v>5</v>
      </c>
    </row>
    <row r="265" spans="1:13">
      <c r="A265" s="4" t="str" cm="1">
        <f t="array" ref="A265">INDEX(Sheet1!A:A,$F265)</f>
        <v>M</v>
      </c>
      <c r="B265" s="4" t="str" cm="1">
        <f t="array" ref="B265">INDEX(Sheet1!B:B,$F265)</f>
        <v>Pref Resid NS</v>
      </c>
      <c r="C265" s="4">
        <f t="shared" si="17"/>
        <v>63</v>
      </c>
      <c r="D265" s="5" cm="1">
        <f t="array" aca="1" ref="D265" ca="1">OFFSET(INDIRECT("'["&amp;$H265&amp;"]"&amp;$I265&amp;"'!"&amp;$J265),$L265,$M265)*$K265</f>
        <v>8.43E-3</v>
      </c>
      <c r="F265" s="4">
        <f t="shared" si="18"/>
        <v>4</v>
      </c>
      <c r="G265" s="4" cm="1">
        <f t="array" ref="G265">IF($C265+$M265&lt;16,INDEX(Sheet1!C:C,$F265),$F265)</f>
        <v>4</v>
      </c>
      <c r="H265" s="4" t="str" cm="1">
        <f t="array" ref="H265">INDEX(Sheet1!D:D,$G265)</f>
        <v>2001-cso-preferred-class-structure-mortality-tables.xls</v>
      </c>
      <c r="I265" s="4" t="str" cm="1">
        <f t="array" ref="I265">INDEX(Sheet1!E:E,$G265)</f>
        <v>A.1.a.ii</v>
      </c>
      <c r="J265" s="4" t="str" cm="1">
        <f t="array" ref="J265">INDEX(Sheet1!F:F,$G265)</f>
        <v>B8</v>
      </c>
      <c r="K265" s="4" cm="1">
        <f t="array" ref="K265">INDEX(Sheet1!H:H,$G265)</f>
        <v>1E-3</v>
      </c>
      <c r="L265" s="4">
        <f t="shared" si="16"/>
        <v>63</v>
      </c>
      <c r="M265" s="4">
        <f t="shared" si="19"/>
        <v>5</v>
      </c>
    </row>
    <row r="266" spans="1:13">
      <c r="A266" s="4" t="str" cm="1">
        <f t="array" ref="A266">INDEX(Sheet1!A:A,$F266)</f>
        <v>M</v>
      </c>
      <c r="B266" s="4" t="str" cm="1">
        <f t="array" ref="B266">INDEX(Sheet1!B:B,$F266)</f>
        <v>Pref Resid NS</v>
      </c>
      <c r="C266" s="4">
        <f t="shared" si="17"/>
        <v>64</v>
      </c>
      <c r="D266" s="5" cm="1">
        <f t="array" aca="1" ref="D266" ca="1">OFFSET(INDIRECT("'["&amp;$H266&amp;"]"&amp;$I266&amp;"'!"&amp;$J266),$L266,$M266)*$K266</f>
        <v>9.2100000000000012E-3</v>
      </c>
      <c r="F266" s="4">
        <f t="shared" si="18"/>
        <v>4</v>
      </c>
      <c r="G266" s="4" cm="1">
        <f t="array" ref="G266">IF($C266+$M266&lt;16,INDEX(Sheet1!C:C,$F266),$F266)</f>
        <v>4</v>
      </c>
      <c r="H266" s="4" t="str" cm="1">
        <f t="array" ref="H266">INDEX(Sheet1!D:D,$G266)</f>
        <v>2001-cso-preferred-class-structure-mortality-tables.xls</v>
      </c>
      <c r="I266" s="4" t="str" cm="1">
        <f t="array" ref="I266">INDEX(Sheet1!E:E,$G266)</f>
        <v>A.1.a.ii</v>
      </c>
      <c r="J266" s="4" t="str" cm="1">
        <f t="array" ref="J266">INDEX(Sheet1!F:F,$G266)</f>
        <v>B8</v>
      </c>
      <c r="K266" s="4" cm="1">
        <f t="array" ref="K266">INDEX(Sheet1!H:H,$G266)</f>
        <v>1E-3</v>
      </c>
      <c r="L266" s="4">
        <f t="shared" si="16"/>
        <v>64</v>
      </c>
      <c r="M266" s="4">
        <f t="shared" si="19"/>
        <v>5</v>
      </c>
    </row>
    <row r="267" spans="1:13">
      <c r="A267" s="4" t="str" cm="1">
        <f t="array" ref="A267">INDEX(Sheet1!A:A,$F267)</f>
        <v>M</v>
      </c>
      <c r="B267" s="4" t="str" cm="1">
        <f t="array" ref="B267">INDEX(Sheet1!B:B,$F267)</f>
        <v>Pref Resid NS</v>
      </c>
      <c r="C267" s="4">
        <f t="shared" si="17"/>
        <v>65</v>
      </c>
      <c r="D267" s="5" cm="1">
        <f t="array" aca="1" ref="D267" ca="1">OFFSET(INDIRECT("'["&amp;$H267&amp;"]"&amp;$I267&amp;"'!"&amp;$J267),$L267,$M267)*$K267</f>
        <v>1.009E-2</v>
      </c>
      <c r="F267" s="4">
        <f t="shared" si="18"/>
        <v>4</v>
      </c>
      <c r="G267" s="4" cm="1">
        <f t="array" ref="G267">IF($C267+$M267&lt;16,INDEX(Sheet1!C:C,$F267),$F267)</f>
        <v>4</v>
      </c>
      <c r="H267" s="4" t="str" cm="1">
        <f t="array" ref="H267">INDEX(Sheet1!D:D,$G267)</f>
        <v>2001-cso-preferred-class-structure-mortality-tables.xls</v>
      </c>
      <c r="I267" s="4" t="str" cm="1">
        <f t="array" ref="I267">INDEX(Sheet1!E:E,$G267)</f>
        <v>A.1.a.ii</v>
      </c>
      <c r="J267" s="4" t="str" cm="1">
        <f t="array" ref="J267">INDEX(Sheet1!F:F,$G267)</f>
        <v>B8</v>
      </c>
      <c r="K267" s="4" cm="1">
        <f t="array" ref="K267">INDEX(Sheet1!H:H,$G267)</f>
        <v>1E-3</v>
      </c>
      <c r="L267" s="4">
        <f t="shared" si="16"/>
        <v>65</v>
      </c>
      <c r="M267" s="4">
        <f t="shared" si="19"/>
        <v>5</v>
      </c>
    </row>
    <row r="268" spans="1:13">
      <c r="A268" s="4" t="str" cm="1">
        <f t="array" ref="A268">INDEX(Sheet1!A:A,$F268)</f>
        <v>M</v>
      </c>
      <c r="B268" s="4" t="str" cm="1">
        <f t="array" ref="B268">INDEX(Sheet1!B:B,$F268)</f>
        <v>Pref Resid NS</v>
      </c>
      <c r="C268" s="4">
        <f t="shared" si="17"/>
        <v>66</v>
      </c>
      <c r="D268" s="5" cm="1">
        <f t="array" aca="1" ref="D268" ca="1">OFFSET(INDIRECT("'["&amp;$H268&amp;"]"&amp;$I268&amp;"'!"&amp;$J268),$L268,$M268)*$K268</f>
        <v>1.1090000000000001E-2</v>
      </c>
      <c r="F268" s="4">
        <f t="shared" si="18"/>
        <v>4</v>
      </c>
      <c r="G268" s="4" cm="1">
        <f t="array" ref="G268">IF($C268+$M268&lt;16,INDEX(Sheet1!C:C,$F268),$F268)</f>
        <v>4</v>
      </c>
      <c r="H268" s="4" t="str" cm="1">
        <f t="array" ref="H268">INDEX(Sheet1!D:D,$G268)</f>
        <v>2001-cso-preferred-class-structure-mortality-tables.xls</v>
      </c>
      <c r="I268" s="4" t="str" cm="1">
        <f t="array" ref="I268">INDEX(Sheet1!E:E,$G268)</f>
        <v>A.1.a.ii</v>
      </c>
      <c r="J268" s="4" t="str" cm="1">
        <f t="array" ref="J268">INDEX(Sheet1!F:F,$G268)</f>
        <v>B8</v>
      </c>
      <c r="K268" s="4" cm="1">
        <f t="array" ref="K268">INDEX(Sheet1!H:H,$G268)</f>
        <v>1E-3</v>
      </c>
      <c r="L268" s="4">
        <f t="shared" si="16"/>
        <v>66</v>
      </c>
      <c r="M268" s="4">
        <f t="shared" si="19"/>
        <v>5</v>
      </c>
    </row>
    <row r="269" spans="1:13">
      <c r="A269" s="4" t="str" cm="1">
        <f t="array" ref="A269">INDEX(Sheet1!A:A,$F269)</f>
        <v>M</v>
      </c>
      <c r="B269" s="4" t="str" cm="1">
        <f t="array" ref="B269">INDEX(Sheet1!B:B,$F269)</f>
        <v>Pref Resid NS</v>
      </c>
      <c r="C269" s="4">
        <f t="shared" si="17"/>
        <v>67</v>
      </c>
      <c r="D269" s="5" cm="1">
        <f t="array" aca="1" ref="D269" ca="1">OFFSET(INDIRECT("'["&amp;$H269&amp;"]"&amp;$I269&amp;"'!"&amp;$J269),$L269,$M269)*$K269</f>
        <v>1.218E-2</v>
      </c>
      <c r="F269" s="4">
        <f t="shared" si="18"/>
        <v>4</v>
      </c>
      <c r="G269" s="4" cm="1">
        <f t="array" ref="G269">IF($C269+$M269&lt;16,INDEX(Sheet1!C:C,$F269),$F269)</f>
        <v>4</v>
      </c>
      <c r="H269" s="4" t="str" cm="1">
        <f t="array" ref="H269">INDEX(Sheet1!D:D,$G269)</f>
        <v>2001-cso-preferred-class-structure-mortality-tables.xls</v>
      </c>
      <c r="I269" s="4" t="str" cm="1">
        <f t="array" ref="I269">INDEX(Sheet1!E:E,$G269)</f>
        <v>A.1.a.ii</v>
      </c>
      <c r="J269" s="4" t="str" cm="1">
        <f t="array" ref="J269">INDEX(Sheet1!F:F,$G269)</f>
        <v>B8</v>
      </c>
      <c r="K269" s="4" cm="1">
        <f t="array" ref="K269">INDEX(Sheet1!H:H,$G269)</f>
        <v>1E-3</v>
      </c>
      <c r="L269" s="4">
        <f t="shared" si="16"/>
        <v>67</v>
      </c>
      <c r="M269" s="4">
        <f t="shared" si="19"/>
        <v>5</v>
      </c>
    </row>
    <row r="270" spans="1:13">
      <c r="A270" s="4" t="str" cm="1">
        <f t="array" ref="A270">INDEX(Sheet1!A:A,$F270)</f>
        <v>M</v>
      </c>
      <c r="B270" s="4" t="str" cm="1">
        <f t="array" ref="B270">INDEX(Sheet1!B:B,$F270)</f>
        <v>Pref Resid NS</v>
      </c>
      <c r="C270" s="4">
        <f t="shared" si="17"/>
        <v>68</v>
      </c>
      <c r="D270" s="5" cm="1">
        <f t="array" aca="1" ref="D270" ca="1">OFFSET(INDIRECT("'["&amp;$H270&amp;"]"&amp;$I270&amp;"'!"&amp;$J270),$L270,$M270)*$K270</f>
        <v>1.345E-2</v>
      </c>
      <c r="F270" s="4">
        <f t="shared" si="18"/>
        <v>4</v>
      </c>
      <c r="G270" s="4" cm="1">
        <f t="array" ref="G270">IF($C270+$M270&lt;16,INDEX(Sheet1!C:C,$F270),$F270)</f>
        <v>4</v>
      </c>
      <c r="H270" s="4" t="str" cm="1">
        <f t="array" ref="H270">INDEX(Sheet1!D:D,$G270)</f>
        <v>2001-cso-preferred-class-structure-mortality-tables.xls</v>
      </c>
      <c r="I270" s="4" t="str" cm="1">
        <f t="array" ref="I270">INDEX(Sheet1!E:E,$G270)</f>
        <v>A.1.a.ii</v>
      </c>
      <c r="J270" s="4" t="str" cm="1">
        <f t="array" ref="J270">INDEX(Sheet1!F:F,$G270)</f>
        <v>B8</v>
      </c>
      <c r="K270" s="4" cm="1">
        <f t="array" ref="K270">INDEX(Sheet1!H:H,$G270)</f>
        <v>1E-3</v>
      </c>
      <c r="L270" s="4">
        <f t="shared" si="16"/>
        <v>68</v>
      </c>
      <c r="M270" s="4">
        <f t="shared" si="19"/>
        <v>5</v>
      </c>
    </row>
    <row r="271" spans="1:13">
      <c r="A271" s="4" t="str" cm="1">
        <f t="array" ref="A271">INDEX(Sheet1!A:A,$F271)</f>
        <v>M</v>
      </c>
      <c r="B271" s="4" t="str" cm="1">
        <f t="array" ref="B271">INDEX(Sheet1!B:B,$F271)</f>
        <v>Pref Resid NS</v>
      </c>
      <c r="C271" s="4">
        <f t="shared" si="17"/>
        <v>69</v>
      </c>
      <c r="D271" s="5" cm="1">
        <f t="array" aca="1" ref="D271" ca="1">OFFSET(INDIRECT("'["&amp;$H271&amp;"]"&amp;$I271&amp;"'!"&amp;$J271),$L271,$M271)*$K271</f>
        <v>1.489E-2</v>
      </c>
      <c r="F271" s="4">
        <f t="shared" si="18"/>
        <v>4</v>
      </c>
      <c r="G271" s="4" cm="1">
        <f t="array" ref="G271">IF($C271+$M271&lt;16,INDEX(Sheet1!C:C,$F271),$F271)</f>
        <v>4</v>
      </c>
      <c r="H271" s="4" t="str" cm="1">
        <f t="array" ref="H271">INDEX(Sheet1!D:D,$G271)</f>
        <v>2001-cso-preferred-class-structure-mortality-tables.xls</v>
      </c>
      <c r="I271" s="4" t="str" cm="1">
        <f t="array" ref="I271">INDEX(Sheet1!E:E,$G271)</f>
        <v>A.1.a.ii</v>
      </c>
      <c r="J271" s="4" t="str" cm="1">
        <f t="array" ref="J271">INDEX(Sheet1!F:F,$G271)</f>
        <v>B8</v>
      </c>
      <c r="K271" s="4" cm="1">
        <f t="array" ref="K271">INDEX(Sheet1!H:H,$G271)</f>
        <v>1E-3</v>
      </c>
      <c r="L271" s="4">
        <f t="shared" si="16"/>
        <v>69</v>
      </c>
      <c r="M271" s="4">
        <f t="shared" si="19"/>
        <v>5</v>
      </c>
    </row>
    <row r="272" spans="1:13">
      <c r="A272" s="4" t="str" cm="1">
        <f t="array" ref="A272">INDEX(Sheet1!A:A,$F272)</f>
        <v>M</v>
      </c>
      <c r="B272" s="4" t="str" cm="1">
        <f t="array" ref="B272">INDEX(Sheet1!B:B,$F272)</f>
        <v>Pref Resid NS</v>
      </c>
      <c r="C272" s="4">
        <f t="shared" si="17"/>
        <v>70</v>
      </c>
      <c r="D272" s="5" cm="1">
        <f t="array" aca="1" ref="D272" ca="1">OFFSET(INDIRECT("'["&amp;$H272&amp;"]"&amp;$I272&amp;"'!"&amp;$J272),$L272,$M272)*$K272</f>
        <v>1.643E-2</v>
      </c>
      <c r="F272" s="4">
        <f t="shared" si="18"/>
        <v>4</v>
      </c>
      <c r="G272" s="4" cm="1">
        <f t="array" ref="G272">IF($C272+$M272&lt;16,INDEX(Sheet1!C:C,$F272),$F272)</f>
        <v>4</v>
      </c>
      <c r="H272" s="4" t="str" cm="1">
        <f t="array" ref="H272">INDEX(Sheet1!D:D,$G272)</f>
        <v>2001-cso-preferred-class-structure-mortality-tables.xls</v>
      </c>
      <c r="I272" s="4" t="str" cm="1">
        <f t="array" ref="I272">INDEX(Sheet1!E:E,$G272)</f>
        <v>A.1.a.ii</v>
      </c>
      <c r="J272" s="4" t="str" cm="1">
        <f t="array" ref="J272">INDEX(Sheet1!F:F,$G272)</f>
        <v>B8</v>
      </c>
      <c r="K272" s="4" cm="1">
        <f t="array" ref="K272">INDEX(Sheet1!H:H,$G272)</f>
        <v>1E-3</v>
      </c>
      <c r="L272" s="4">
        <f t="shared" si="16"/>
        <v>70</v>
      </c>
      <c r="M272" s="4">
        <f t="shared" si="19"/>
        <v>5</v>
      </c>
    </row>
    <row r="273" spans="1:13">
      <c r="A273" s="4" t="str" cm="1">
        <f t="array" ref="A273">INDEX(Sheet1!A:A,$F273)</f>
        <v>M</v>
      </c>
      <c r="B273" s="4" t="str" cm="1">
        <f t="array" ref="B273">INDEX(Sheet1!B:B,$F273)</f>
        <v>Pref Resid NS</v>
      </c>
      <c r="C273" s="4">
        <f t="shared" si="17"/>
        <v>71</v>
      </c>
      <c r="D273" s="5" cm="1">
        <f t="array" aca="1" ref="D273" ca="1">OFFSET(INDIRECT("'["&amp;$H273&amp;"]"&amp;$I273&amp;"'!"&amp;$J273),$L273,$M273)*$K273</f>
        <v>1.779E-2</v>
      </c>
      <c r="F273" s="4">
        <f t="shared" si="18"/>
        <v>4</v>
      </c>
      <c r="G273" s="4" cm="1">
        <f t="array" ref="G273">IF($C273+$M273&lt;16,INDEX(Sheet1!C:C,$F273),$F273)</f>
        <v>4</v>
      </c>
      <c r="H273" s="4" t="str" cm="1">
        <f t="array" ref="H273">INDEX(Sheet1!D:D,$G273)</f>
        <v>2001-cso-preferred-class-structure-mortality-tables.xls</v>
      </c>
      <c r="I273" s="4" t="str" cm="1">
        <f t="array" ref="I273">INDEX(Sheet1!E:E,$G273)</f>
        <v>A.1.a.ii</v>
      </c>
      <c r="J273" s="4" t="str" cm="1">
        <f t="array" ref="J273">INDEX(Sheet1!F:F,$G273)</f>
        <v>B8</v>
      </c>
      <c r="K273" s="4" cm="1">
        <f t="array" ref="K273">INDEX(Sheet1!H:H,$G273)</f>
        <v>1E-3</v>
      </c>
      <c r="L273" s="4">
        <f t="shared" si="16"/>
        <v>71</v>
      </c>
      <c r="M273" s="4">
        <f t="shared" si="19"/>
        <v>5</v>
      </c>
    </row>
    <row r="274" spans="1:13">
      <c r="A274" s="4" t="str" cm="1">
        <f t="array" ref="A274">INDEX(Sheet1!A:A,$F274)</f>
        <v>M</v>
      </c>
      <c r="B274" s="4" t="str" cm="1">
        <f t="array" ref="B274">INDEX(Sheet1!B:B,$F274)</f>
        <v>Pref Resid NS</v>
      </c>
      <c r="C274" s="4">
        <f t="shared" si="17"/>
        <v>72</v>
      </c>
      <c r="D274" s="5" cm="1">
        <f t="array" aca="1" ref="D274" ca="1">OFFSET(INDIRECT("'["&amp;$H274&amp;"]"&amp;$I274&amp;"'!"&amp;$J274),$L274,$M274)*$K274</f>
        <v>1.8929999999999999E-2</v>
      </c>
      <c r="F274" s="4">
        <f t="shared" si="18"/>
        <v>4</v>
      </c>
      <c r="G274" s="4" cm="1">
        <f t="array" ref="G274">IF($C274+$M274&lt;16,INDEX(Sheet1!C:C,$F274),$F274)</f>
        <v>4</v>
      </c>
      <c r="H274" s="4" t="str" cm="1">
        <f t="array" ref="H274">INDEX(Sheet1!D:D,$G274)</f>
        <v>2001-cso-preferred-class-structure-mortality-tables.xls</v>
      </c>
      <c r="I274" s="4" t="str" cm="1">
        <f t="array" ref="I274">INDEX(Sheet1!E:E,$G274)</f>
        <v>A.1.a.ii</v>
      </c>
      <c r="J274" s="4" t="str" cm="1">
        <f t="array" ref="J274">INDEX(Sheet1!F:F,$G274)</f>
        <v>B8</v>
      </c>
      <c r="K274" s="4" cm="1">
        <f t="array" ref="K274">INDEX(Sheet1!H:H,$G274)</f>
        <v>1E-3</v>
      </c>
      <c r="L274" s="4">
        <f t="shared" si="16"/>
        <v>72</v>
      </c>
      <c r="M274" s="4">
        <f t="shared" si="19"/>
        <v>5</v>
      </c>
    </row>
    <row r="275" spans="1:13">
      <c r="A275" s="4" t="str" cm="1">
        <f t="array" ref="A275">INDEX(Sheet1!A:A,$F275)</f>
        <v>M</v>
      </c>
      <c r="B275" s="4" t="str" cm="1">
        <f t="array" ref="B275">INDEX(Sheet1!B:B,$F275)</f>
        <v>Pref Resid NS</v>
      </c>
      <c r="C275" s="4">
        <f t="shared" si="17"/>
        <v>73</v>
      </c>
      <c r="D275" s="5" cm="1">
        <f t="array" aca="1" ref="D275" ca="1">OFFSET(INDIRECT("'["&amp;$H275&amp;"]"&amp;$I275&amp;"'!"&amp;$J275),$L275,$M275)*$K275</f>
        <v>2.0160000000000001E-2</v>
      </c>
      <c r="F275" s="4">
        <f t="shared" si="18"/>
        <v>4</v>
      </c>
      <c r="G275" s="4" cm="1">
        <f t="array" ref="G275">IF($C275+$M275&lt;16,INDEX(Sheet1!C:C,$F275),$F275)</f>
        <v>4</v>
      </c>
      <c r="H275" s="4" t="str" cm="1">
        <f t="array" ref="H275">INDEX(Sheet1!D:D,$G275)</f>
        <v>2001-cso-preferred-class-structure-mortality-tables.xls</v>
      </c>
      <c r="I275" s="4" t="str" cm="1">
        <f t="array" ref="I275">INDEX(Sheet1!E:E,$G275)</f>
        <v>A.1.a.ii</v>
      </c>
      <c r="J275" s="4" t="str" cm="1">
        <f t="array" ref="J275">INDEX(Sheet1!F:F,$G275)</f>
        <v>B8</v>
      </c>
      <c r="K275" s="4" cm="1">
        <f t="array" ref="K275">INDEX(Sheet1!H:H,$G275)</f>
        <v>1E-3</v>
      </c>
      <c r="L275" s="4">
        <f t="shared" si="16"/>
        <v>73</v>
      </c>
      <c r="M275" s="4">
        <f t="shared" si="19"/>
        <v>5</v>
      </c>
    </row>
    <row r="276" spans="1:13">
      <c r="A276" s="4" t="str" cm="1">
        <f t="array" ref="A276">INDEX(Sheet1!A:A,$F276)</f>
        <v>M</v>
      </c>
      <c r="B276" s="4" t="str" cm="1">
        <f t="array" ref="B276">INDEX(Sheet1!B:B,$F276)</f>
        <v>Pref Resid NS</v>
      </c>
      <c r="C276" s="4">
        <f t="shared" si="17"/>
        <v>74</v>
      </c>
      <c r="D276" s="5" cm="1">
        <f t="array" aca="1" ref="D276" ca="1">OFFSET(INDIRECT("'["&amp;$H276&amp;"]"&amp;$I276&amp;"'!"&amp;$J276),$L276,$M276)*$K276</f>
        <v>2.1950000000000001E-2</v>
      </c>
      <c r="F276" s="4">
        <f t="shared" si="18"/>
        <v>4</v>
      </c>
      <c r="G276" s="4" cm="1">
        <f t="array" ref="G276">IF($C276+$M276&lt;16,INDEX(Sheet1!C:C,$F276),$F276)</f>
        <v>4</v>
      </c>
      <c r="H276" s="4" t="str" cm="1">
        <f t="array" ref="H276">INDEX(Sheet1!D:D,$G276)</f>
        <v>2001-cso-preferred-class-structure-mortality-tables.xls</v>
      </c>
      <c r="I276" s="4" t="str" cm="1">
        <f t="array" ref="I276">INDEX(Sheet1!E:E,$G276)</f>
        <v>A.1.a.ii</v>
      </c>
      <c r="J276" s="4" t="str" cm="1">
        <f t="array" ref="J276">INDEX(Sheet1!F:F,$G276)</f>
        <v>B8</v>
      </c>
      <c r="K276" s="4" cm="1">
        <f t="array" ref="K276">INDEX(Sheet1!H:H,$G276)</f>
        <v>1E-3</v>
      </c>
      <c r="L276" s="4">
        <f t="shared" si="16"/>
        <v>74</v>
      </c>
      <c r="M276" s="4">
        <f t="shared" si="19"/>
        <v>5</v>
      </c>
    </row>
    <row r="277" spans="1:13">
      <c r="A277" s="4" t="str" cm="1">
        <f t="array" ref="A277">INDEX(Sheet1!A:A,$F277)</f>
        <v>M</v>
      </c>
      <c r="B277" s="4" t="str" cm="1">
        <f t="array" ref="B277">INDEX(Sheet1!B:B,$F277)</f>
        <v>Pref Resid NS</v>
      </c>
      <c r="C277" s="4">
        <f t="shared" si="17"/>
        <v>75</v>
      </c>
      <c r="D277" s="5" cm="1">
        <f t="array" aca="1" ref="D277" ca="1">OFFSET(INDIRECT("'["&amp;$H277&amp;"]"&amp;$I277&amp;"'!"&amp;$J277),$L277,$M277)*$K277</f>
        <v>2.5100000000000001E-2</v>
      </c>
      <c r="F277" s="4">
        <f t="shared" si="18"/>
        <v>4</v>
      </c>
      <c r="G277" s="4" cm="1">
        <f t="array" ref="G277">IF($C277+$M277&lt;16,INDEX(Sheet1!C:C,$F277),$F277)</f>
        <v>4</v>
      </c>
      <c r="H277" s="4" t="str" cm="1">
        <f t="array" ref="H277">INDEX(Sheet1!D:D,$G277)</f>
        <v>2001-cso-preferred-class-structure-mortality-tables.xls</v>
      </c>
      <c r="I277" s="4" t="str" cm="1">
        <f t="array" ref="I277">INDEX(Sheet1!E:E,$G277)</f>
        <v>A.1.a.ii</v>
      </c>
      <c r="J277" s="4" t="str" cm="1">
        <f t="array" ref="J277">INDEX(Sheet1!F:F,$G277)</f>
        <v>B8</v>
      </c>
      <c r="K277" s="4" cm="1">
        <f t="array" ref="K277">INDEX(Sheet1!H:H,$G277)</f>
        <v>1E-3</v>
      </c>
      <c r="L277" s="4">
        <f t="shared" si="16"/>
        <v>75</v>
      </c>
      <c r="M277" s="4">
        <f t="shared" si="19"/>
        <v>5</v>
      </c>
    </row>
    <row r="278" spans="1:13">
      <c r="A278" s="4" t="str" cm="1">
        <f t="array" ref="A278">INDEX(Sheet1!A:A,$F278)</f>
        <v>M</v>
      </c>
      <c r="B278" s="4" t="str" cm="1">
        <f t="array" ref="B278">INDEX(Sheet1!B:B,$F278)</f>
        <v>Pref Resid NS</v>
      </c>
      <c r="C278" s="4">
        <f t="shared" si="17"/>
        <v>76</v>
      </c>
      <c r="D278" s="5" cm="1">
        <f t="array" aca="1" ref="D278" ca="1">OFFSET(INDIRECT("'["&amp;$H278&amp;"]"&amp;$I278&amp;"'!"&amp;$J278),$L278,$M278)*$K278</f>
        <v>2.7609999999999999E-2</v>
      </c>
      <c r="F278" s="4">
        <f t="shared" si="18"/>
        <v>4</v>
      </c>
      <c r="G278" s="4" cm="1">
        <f t="array" ref="G278">IF($C278+$M278&lt;16,INDEX(Sheet1!C:C,$F278),$F278)</f>
        <v>4</v>
      </c>
      <c r="H278" s="4" t="str" cm="1">
        <f t="array" ref="H278">INDEX(Sheet1!D:D,$G278)</f>
        <v>2001-cso-preferred-class-structure-mortality-tables.xls</v>
      </c>
      <c r="I278" s="4" t="str" cm="1">
        <f t="array" ref="I278">INDEX(Sheet1!E:E,$G278)</f>
        <v>A.1.a.ii</v>
      </c>
      <c r="J278" s="4" t="str" cm="1">
        <f t="array" ref="J278">INDEX(Sheet1!F:F,$G278)</f>
        <v>B8</v>
      </c>
      <c r="K278" s="4" cm="1">
        <f t="array" ref="K278">INDEX(Sheet1!H:H,$G278)</f>
        <v>1E-3</v>
      </c>
      <c r="L278" s="4">
        <f t="shared" si="16"/>
        <v>76</v>
      </c>
      <c r="M278" s="4">
        <f t="shared" si="19"/>
        <v>5</v>
      </c>
    </row>
    <row r="279" spans="1:13">
      <c r="A279" s="4" t="str" cm="1">
        <f t="array" ref="A279">INDEX(Sheet1!A:A,$F279)</f>
        <v>M</v>
      </c>
      <c r="B279" s="4" t="str" cm="1">
        <f t="array" ref="B279">INDEX(Sheet1!B:B,$F279)</f>
        <v>Pref Resid NS</v>
      </c>
      <c r="C279" s="4">
        <f t="shared" si="17"/>
        <v>77</v>
      </c>
      <c r="D279" s="5" cm="1">
        <f t="array" aca="1" ref="D279" ca="1">OFFSET(INDIRECT("'["&amp;$H279&amp;"]"&amp;$I279&amp;"'!"&amp;$J279),$L279,$M279)*$K279</f>
        <v>3.0670000000000003E-2</v>
      </c>
      <c r="F279" s="4">
        <f t="shared" si="18"/>
        <v>4</v>
      </c>
      <c r="G279" s="4" cm="1">
        <f t="array" ref="G279">IF($C279+$M279&lt;16,INDEX(Sheet1!C:C,$F279),$F279)</f>
        <v>4</v>
      </c>
      <c r="H279" s="4" t="str" cm="1">
        <f t="array" ref="H279">INDEX(Sheet1!D:D,$G279)</f>
        <v>2001-cso-preferred-class-structure-mortality-tables.xls</v>
      </c>
      <c r="I279" s="4" t="str" cm="1">
        <f t="array" ref="I279">INDEX(Sheet1!E:E,$G279)</f>
        <v>A.1.a.ii</v>
      </c>
      <c r="J279" s="4" t="str" cm="1">
        <f t="array" ref="J279">INDEX(Sheet1!F:F,$G279)</f>
        <v>B8</v>
      </c>
      <c r="K279" s="4" cm="1">
        <f t="array" ref="K279">INDEX(Sheet1!H:H,$G279)</f>
        <v>1E-3</v>
      </c>
      <c r="L279" s="4">
        <f t="shared" si="16"/>
        <v>77</v>
      </c>
      <c r="M279" s="4">
        <f t="shared" si="19"/>
        <v>5</v>
      </c>
    </row>
    <row r="280" spans="1:13">
      <c r="A280" s="4" t="str" cm="1">
        <f t="array" ref="A280">INDEX(Sheet1!A:A,$F280)</f>
        <v>M</v>
      </c>
      <c r="B280" s="4" t="str" cm="1">
        <f t="array" ref="B280">INDEX(Sheet1!B:B,$F280)</f>
        <v>Pref Resid NS</v>
      </c>
      <c r="C280" s="4">
        <f t="shared" si="17"/>
        <v>78</v>
      </c>
      <c r="D280" s="5" cm="1">
        <f t="array" aca="1" ref="D280" ca="1">OFFSET(INDIRECT("'["&amp;$H280&amp;"]"&amp;$I280&amp;"'!"&amp;$J280),$L280,$M280)*$K280</f>
        <v>3.5700000000000003E-2</v>
      </c>
      <c r="F280" s="4">
        <f t="shared" si="18"/>
        <v>4</v>
      </c>
      <c r="G280" s="4" cm="1">
        <f t="array" ref="G280">IF($C280+$M280&lt;16,INDEX(Sheet1!C:C,$F280),$F280)</f>
        <v>4</v>
      </c>
      <c r="H280" s="4" t="str" cm="1">
        <f t="array" ref="H280">INDEX(Sheet1!D:D,$G280)</f>
        <v>2001-cso-preferred-class-structure-mortality-tables.xls</v>
      </c>
      <c r="I280" s="4" t="str" cm="1">
        <f t="array" ref="I280">INDEX(Sheet1!E:E,$G280)</f>
        <v>A.1.a.ii</v>
      </c>
      <c r="J280" s="4" t="str" cm="1">
        <f t="array" ref="J280">INDEX(Sheet1!F:F,$G280)</f>
        <v>B8</v>
      </c>
      <c r="K280" s="4" cm="1">
        <f t="array" ref="K280">INDEX(Sheet1!H:H,$G280)</f>
        <v>1E-3</v>
      </c>
      <c r="L280" s="4">
        <f t="shared" si="16"/>
        <v>78</v>
      </c>
      <c r="M280" s="4">
        <f t="shared" si="19"/>
        <v>5</v>
      </c>
    </row>
    <row r="281" spans="1:13">
      <c r="A281" s="4" t="str" cm="1">
        <f t="array" ref="A281">INDEX(Sheet1!A:A,$F281)</f>
        <v>M</v>
      </c>
      <c r="B281" s="4" t="str" cm="1">
        <f t="array" ref="B281">INDEX(Sheet1!B:B,$F281)</f>
        <v>Pref Resid NS</v>
      </c>
      <c r="C281" s="4">
        <f t="shared" si="17"/>
        <v>79</v>
      </c>
      <c r="D281" s="5" cm="1">
        <f t="array" aca="1" ref="D281" ca="1">OFFSET(INDIRECT("'["&amp;$H281&amp;"]"&amp;$I281&amp;"'!"&amp;$J281),$L281,$M281)*$K281</f>
        <v>4.301E-2</v>
      </c>
      <c r="F281" s="4">
        <f t="shared" si="18"/>
        <v>4</v>
      </c>
      <c r="G281" s="4" cm="1">
        <f t="array" ref="G281">IF($C281+$M281&lt;16,INDEX(Sheet1!C:C,$F281),$F281)</f>
        <v>4</v>
      </c>
      <c r="H281" s="4" t="str" cm="1">
        <f t="array" ref="H281">INDEX(Sheet1!D:D,$G281)</f>
        <v>2001-cso-preferred-class-structure-mortality-tables.xls</v>
      </c>
      <c r="I281" s="4" t="str" cm="1">
        <f t="array" ref="I281">INDEX(Sheet1!E:E,$G281)</f>
        <v>A.1.a.ii</v>
      </c>
      <c r="J281" s="4" t="str" cm="1">
        <f t="array" ref="J281">INDEX(Sheet1!F:F,$G281)</f>
        <v>B8</v>
      </c>
      <c r="K281" s="4" cm="1">
        <f t="array" ref="K281">INDEX(Sheet1!H:H,$G281)</f>
        <v>1E-3</v>
      </c>
      <c r="L281" s="4">
        <f t="shared" si="16"/>
        <v>79</v>
      </c>
      <c r="M281" s="4">
        <f t="shared" si="19"/>
        <v>5</v>
      </c>
    </row>
    <row r="282" spans="1:13">
      <c r="A282" s="4" t="str" cm="1">
        <f t="array" ref="A282">INDEX(Sheet1!A:A,$F282)</f>
        <v>M</v>
      </c>
      <c r="B282" s="4" t="str" cm="1">
        <f t="array" ref="B282">INDEX(Sheet1!B:B,$F282)</f>
        <v>Pref Resid NS</v>
      </c>
      <c r="C282" s="4">
        <f t="shared" si="17"/>
        <v>80</v>
      </c>
      <c r="D282" s="5" cm="1">
        <f t="array" aca="1" ref="D282" ca="1">OFFSET(INDIRECT("'["&amp;$H282&amp;"]"&amp;$I282&amp;"'!"&amp;$J282),$L282,$M282)*$K282</f>
        <v>4.9399999999999999E-2</v>
      </c>
      <c r="F282" s="4">
        <f t="shared" si="18"/>
        <v>4</v>
      </c>
      <c r="G282" s="4" cm="1">
        <f t="array" ref="G282">IF($C282+$M282&lt;16,INDEX(Sheet1!C:C,$F282),$F282)</f>
        <v>4</v>
      </c>
      <c r="H282" s="4" t="str" cm="1">
        <f t="array" ref="H282">INDEX(Sheet1!D:D,$G282)</f>
        <v>2001-cso-preferred-class-structure-mortality-tables.xls</v>
      </c>
      <c r="I282" s="4" t="str" cm="1">
        <f t="array" ref="I282">INDEX(Sheet1!E:E,$G282)</f>
        <v>A.1.a.ii</v>
      </c>
      <c r="J282" s="4" t="str" cm="1">
        <f t="array" ref="J282">INDEX(Sheet1!F:F,$G282)</f>
        <v>B8</v>
      </c>
      <c r="K282" s="4" cm="1">
        <f t="array" ref="K282">INDEX(Sheet1!H:H,$G282)</f>
        <v>1E-3</v>
      </c>
      <c r="L282" s="4">
        <f t="shared" si="16"/>
        <v>80</v>
      </c>
      <c r="M282" s="4">
        <f t="shared" si="19"/>
        <v>5</v>
      </c>
    </row>
    <row r="283" spans="1:13">
      <c r="A283" s="4" t="str" cm="1">
        <f t="array" ref="A283">INDEX(Sheet1!A:A,$F283)</f>
        <v>M</v>
      </c>
      <c r="B283" s="4" t="str" cm="1">
        <f t="array" ref="B283">INDEX(Sheet1!B:B,$F283)</f>
        <v>Pref Resid NS</v>
      </c>
      <c r="C283" s="4">
        <f t="shared" si="17"/>
        <v>81</v>
      </c>
      <c r="D283" s="5" cm="1">
        <f t="array" aca="1" ref="D283" ca="1">OFFSET(INDIRECT("'["&amp;$H283&amp;"]"&amp;$I283&amp;"'!"&amp;$J283),$L283,$M283)*$K283</f>
        <v>6.0909999999999999E-2</v>
      </c>
      <c r="F283" s="4">
        <f t="shared" si="18"/>
        <v>4</v>
      </c>
      <c r="G283" s="4" cm="1">
        <f t="array" ref="G283">IF($C283+$M283&lt;16,INDEX(Sheet1!C:C,$F283),$F283)</f>
        <v>4</v>
      </c>
      <c r="H283" s="4" t="str" cm="1">
        <f t="array" ref="H283">INDEX(Sheet1!D:D,$G283)</f>
        <v>2001-cso-preferred-class-structure-mortality-tables.xls</v>
      </c>
      <c r="I283" s="4" t="str" cm="1">
        <f t="array" ref="I283">INDEX(Sheet1!E:E,$G283)</f>
        <v>A.1.a.ii</v>
      </c>
      <c r="J283" s="4" t="str" cm="1">
        <f t="array" ref="J283">INDEX(Sheet1!F:F,$G283)</f>
        <v>B8</v>
      </c>
      <c r="K283" s="4" cm="1">
        <f t="array" ref="K283">INDEX(Sheet1!H:H,$G283)</f>
        <v>1E-3</v>
      </c>
      <c r="L283" s="4">
        <f t="shared" si="16"/>
        <v>81</v>
      </c>
      <c r="M283" s="4">
        <f t="shared" si="19"/>
        <v>5</v>
      </c>
    </row>
    <row r="284" spans="1:13">
      <c r="A284" s="4" t="str" cm="1">
        <f t="array" ref="A284">INDEX(Sheet1!A:A,$F284)</f>
        <v>M</v>
      </c>
      <c r="B284" s="4" t="str" cm="1">
        <f t="array" ref="B284">INDEX(Sheet1!B:B,$F284)</f>
        <v>Pref Resid NS</v>
      </c>
      <c r="C284" s="4">
        <f t="shared" si="17"/>
        <v>82</v>
      </c>
      <c r="D284" s="5" cm="1">
        <f t="array" aca="1" ref="D284" ca="1">OFFSET(INDIRECT("'["&amp;$H284&amp;"]"&amp;$I284&amp;"'!"&amp;$J284),$L284,$M284)*$K284</f>
        <v>6.795000000000001E-2</v>
      </c>
      <c r="F284" s="4">
        <f t="shared" si="18"/>
        <v>4</v>
      </c>
      <c r="G284" s="4" cm="1">
        <f t="array" ref="G284">IF($C284+$M284&lt;16,INDEX(Sheet1!C:C,$F284),$F284)</f>
        <v>4</v>
      </c>
      <c r="H284" s="4" t="str" cm="1">
        <f t="array" ref="H284">INDEX(Sheet1!D:D,$G284)</f>
        <v>2001-cso-preferred-class-structure-mortality-tables.xls</v>
      </c>
      <c r="I284" s="4" t="str" cm="1">
        <f t="array" ref="I284">INDEX(Sheet1!E:E,$G284)</f>
        <v>A.1.a.ii</v>
      </c>
      <c r="J284" s="4" t="str" cm="1">
        <f t="array" ref="J284">INDEX(Sheet1!F:F,$G284)</f>
        <v>B8</v>
      </c>
      <c r="K284" s="4" cm="1">
        <f t="array" ref="K284">INDEX(Sheet1!H:H,$G284)</f>
        <v>1E-3</v>
      </c>
      <c r="L284" s="4">
        <f t="shared" si="16"/>
        <v>82</v>
      </c>
      <c r="M284" s="4">
        <f t="shared" si="19"/>
        <v>5</v>
      </c>
    </row>
    <row r="285" spans="1:13">
      <c r="A285" s="4" t="str" cm="1">
        <f t="array" ref="A285">INDEX(Sheet1!A:A,$F285)</f>
        <v>M</v>
      </c>
      <c r="B285" s="4" t="str" cm="1">
        <f t="array" ref="B285">INDEX(Sheet1!B:B,$F285)</f>
        <v>Pref Resid NS</v>
      </c>
      <c r="C285" s="4">
        <f t="shared" si="17"/>
        <v>83</v>
      </c>
      <c r="D285" s="5" cm="1">
        <f t="array" aca="1" ref="D285" ca="1">OFFSET(INDIRECT("'["&amp;$H285&amp;"]"&amp;$I285&amp;"'!"&amp;$J285),$L285,$M285)*$K285</f>
        <v>7.9900000000000013E-2</v>
      </c>
      <c r="F285" s="4">
        <f t="shared" si="18"/>
        <v>4</v>
      </c>
      <c r="G285" s="4" cm="1">
        <f t="array" ref="G285">IF($C285+$M285&lt;16,INDEX(Sheet1!C:C,$F285),$F285)</f>
        <v>4</v>
      </c>
      <c r="H285" s="4" t="str" cm="1">
        <f t="array" ref="H285">INDEX(Sheet1!D:D,$G285)</f>
        <v>2001-cso-preferred-class-structure-mortality-tables.xls</v>
      </c>
      <c r="I285" s="4" t="str" cm="1">
        <f t="array" ref="I285">INDEX(Sheet1!E:E,$G285)</f>
        <v>A.1.a.ii</v>
      </c>
      <c r="J285" s="4" t="str" cm="1">
        <f t="array" ref="J285">INDEX(Sheet1!F:F,$G285)</f>
        <v>B8</v>
      </c>
      <c r="K285" s="4" cm="1">
        <f t="array" ref="K285">INDEX(Sheet1!H:H,$G285)</f>
        <v>1E-3</v>
      </c>
      <c r="L285" s="4">
        <f t="shared" si="16"/>
        <v>83</v>
      </c>
      <c r="M285" s="4">
        <f t="shared" si="19"/>
        <v>5</v>
      </c>
    </row>
    <row r="286" spans="1:13">
      <c r="A286" s="4" t="str" cm="1">
        <f t="array" ref="A286">INDEX(Sheet1!A:A,$F286)</f>
        <v>M</v>
      </c>
      <c r="B286" s="4" t="str" cm="1">
        <f t="array" ref="B286">INDEX(Sheet1!B:B,$F286)</f>
        <v>Pref Resid NS</v>
      </c>
      <c r="C286" s="4">
        <f t="shared" si="17"/>
        <v>84</v>
      </c>
      <c r="D286" s="5" cm="1">
        <f t="array" aca="1" ref="D286" ca="1">OFFSET(INDIRECT("'["&amp;$H286&amp;"]"&amp;$I286&amp;"'!"&amp;$J286),$L286,$M286)*$K286</f>
        <v>9.3799999999999994E-2</v>
      </c>
      <c r="F286" s="4">
        <f t="shared" si="18"/>
        <v>4</v>
      </c>
      <c r="G286" s="4" cm="1">
        <f t="array" ref="G286">IF($C286+$M286&lt;16,INDEX(Sheet1!C:C,$F286),$F286)</f>
        <v>4</v>
      </c>
      <c r="H286" s="4" t="str" cm="1">
        <f t="array" ref="H286">INDEX(Sheet1!D:D,$G286)</f>
        <v>2001-cso-preferred-class-structure-mortality-tables.xls</v>
      </c>
      <c r="I286" s="4" t="str" cm="1">
        <f t="array" ref="I286">INDEX(Sheet1!E:E,$G286)</f>
        <v>A.1.a.ii</v>
      </c>
      <c r="J286" s="4" t="str" cm="1">
        <f t="array" ref="J286">INDEX(Sheet1!F:F,$G286)</f>
        <v>B8</v>
      </c>
      <c r="K286" s="4" cm="1">
        <f t="array" ref="K286">INDEX(Sheet1!H:H,$G286)</f>
        <v>1E-3</v>
      </c>
      <c r="L286" s="4">
        <f t="shared" si="16"/>
        <v>84</v>
      </c>
      <c r="M286" s="4">
        <f t="shared" si="19"/>
        <v>5</v>
      </c>
    </row>
    <row r="287" spans="1:13">
      <c r="A287" s="4" t="str" cm="1">
        <f t="array" ref="A287">INDEX(Sheet1!A:A,$F287)</f>
        <v>M</v>
      </c>
      <c r="B287" s="4" t="str" cm="1">
        <f t="array" ref="B287">INDEX(Sheet1!B:B,$F287)</f>
        <v>Pref Resid NS</v>
      </c>
      <c r="C287" s="4">
        <f t="shared" si="17"/>
        <v>85</v>
      </c>
      <c r="D287" s="5" cm="1">
        <f t="array" aca="1" ref="D287" ca="1">OFFSET(INDIRECT("'["&amp;$H287&amp;"]"&amp;$I287&amp;"'!"&amp;$J287),$L287,$M287)*$K287</f>
        <v>0.10404000000000001</v>
      </c>
      <c r="F287" s="4">
        <f t="shared" si="18"/>
        <v>4</v>
      </c>
      <c r="G287" s="4" cm="1">
        <f t="array" ref="G287">IF($C287+$M287&lt;16,INDEX(Sheet1!C:C,$F287),$F287)</f>
        <v>4</v>
      </c>
      <c r="H287" s="4" t="str" cm="1">
        <f t="array" ref="H287">INDEX(Sheet1!D:D,$G287)</f>
        <v>2001-cso-preferred-class-structure-mortality-tables.xls</v>
      </c>
      <c r="I287" s="4" t="str" cm="1">
        <f t="array" ref="I287">INDEX(Sheet1!E:E,$G287)</f>
        <v>A.1.a.ii</v>
      </c>
      <c r="J287" s="4" t="str" cm="1">
        <f t="array" ref="J287">INDEX(Sheet1!F:F,$G287)</f>
        <v>B8</v>
      </c>
      <c r="K287" s="4" cm="1">
        <f t="array" ref="K287">INDEX(Sheet1!H:H,$G287)</f>
        <v>1E-3</v>
      </c>
      <c r="L287" s="4">
        <f t="shared" si="16"/>
        <v>85</v>
      </c>
      <c r="M287" s="4">
        <f t="shared" si="19"/>
        <v>5</v>
      </c>
    </row>
    <row r="288" spans="1:13">
      <c r="A288" s="4" t="str" cm="1">
        <f t="array" ref="A288">INDEX(Sheet1!A:A,$F288)</f>
        <v>M</v>
      </c>
      <c r="B288" s="4" t="str" cm="1">
        <f t="array" ref="B288">INDEX(Sheet1!B:B,$F288)</f>
        <v>Pref Resid NS</v>
      </c>
      <c r="C288" s="4">
        <f t="shared" si="17"/>
        <v>86</v>
      </c>
      <c r="D288" s="5" cm="1">
        <f t="array" aca="1" ref="D288" ca="1">OFFSET(INDIRECT("'["&amp;$H288&amp;"]"&amp;$I288&amp;"'!"&amp;$J288),$L288,$M288)*$K288</f>
        <v>0.13708000000000001</v>
      </c>
      <c r="F288" s="4">
        <f t="shared" si="18"/>
        <v>4</v>
      </c>
      <c r="G288" s="4" cm="1">
        <f t="array" ref="G288">IF($C288+$M288&lt;16,INDEX(Sheet1!C:C,$F288),$F288)</f>
        <v>4</v>
      </c>
      <c r="H288" s="4" t="str" cm="1">
        <f t="array" ref="H288">INDEX(Sheet1!D:D,$G288)</f>
        <v>2001-cso-preferred-class-structure-mortality-tables.xls</v>
      </c>
      <c r="I288" s="4" t="str" cm="1">
        <f t="array" ref="I288">INDEX(Sheet1!E:E,$G288)</f>
        <v>A.1.a.ii</v>
      </c>
      <c r="J288" s="4" t="str" cm="1">
        <f t="array" ref="J288">INDEX(Sheet1!F:F,$G288)</f>
        <v>B8</v>
      </c>
      <c r="K288" s="4" cm="1">
        <f t="array" ref="K288">INDEX(Sheet1!H:H,$G288)</f>
        <v>1E-3</v>
      </c>
      <c r="L288" s="4">
        <f t="shared" si="16"/>
        <v>86</v>
      </c>
      <c r="M288" s="4">
        <f t="shared" si="19"/>
        <v>5</v>
      </c>
    </row>
    <row r="289" spans="1:13">
      <c r="A289" s="4" t="str" cm="1">
        <f t="array" ref="A289">INDEX(Sheet1!A:A,$F289)</f>
        <v>M</v>
      </c>
      <c r="B289" s="4" t="str" cm="1">
        <f t="array" ref="B289">INDEX(Sheet1!B:B,$F289)</f>
        <v>Pref Resid NS</v>
      </c>
      <c r="C289" s="4">
        <f t="shared" si="17"/>
        <v>87</v>
      </c>
      <c r="D289" s="5" cm="1">
        <f t="array" aca="1" ref="D289" ca="1">OFFSET(INDIRECT("'["&amp;$H289&amp;"]"&amp;$I289&amp;"'!"&amp;$J289),$L289,$M289)*$K289</f>
        <v>0.16882</v>
      </c>
      <c r="F289" s="4">
        <f t="shared" si="18"/>
        <v>4</v>
      </c>
      <c r="G289" s="4" cm="1">
        <f t="array" ref="G289">IF($C289+$M289&lt;16,INDEX(Sheet1!C:C,$F289),$F289)</f>
        <v>4</v>
      </c>
      <c r="H289" s="4" t="str" cm="1">
        <f t="array" ref="H289">INDEX(Sheet1!D:D,$G289)</f>
        <v>2001-cso-preferred-class-structure-mortality-tables.xls</v>
      </c>
      <c r="I289" s="4" t="str" cm="1">
        <f t="array" ref="I289">INDEX(Sheet1!E:E,$G289)</f>
        <v>A.1.a.ii</v>
      </c>
      <c r="J289" s="4" t="str" cm="1">
        <f t="array" ref="J289">INDEX(Sheet1!F:F,$G289)</f>
        <v>B8</v>
      </c>
      <c r="K289" s="4" cm="1">
        <f t="array" ref="K289">INDEX(Sheet1!H:H,$G289)</f>
        <v>1E-3</v>
      </c>
      <c r="L289" s="4">
        <f t="shared" si="16"/>
        <v>87</v>
      </c>
      <c r="M289" s="4">
        <f t="shared" si="19"/>
        <v>5</v>
      </c>
    </row>
    <row r="290" spans="1:13">
      <c r="A290" s="4" t="str" cm="1">
        <f t="array" ref="A290">INDEX(Sheet1!A:A,$F290)</f>
        <v>M</v>
      </c>
      <c r="B290" s="4" t="str" cm="1">
        <f t="array" ref="B290">INDEX(Sheet1!B:B,$F290)</f>
        <v>Pref Resid NS</v>
      </c>
      <c r="C290" s="4">
        <f t="shared" si="17"/>
        <v>88</v>
      </c>
      <c r="D290" s="5" cm="1">
        <f t="array" aca="1" ref="D290" ca="1">OFFSET(INDIRECT("'["&amp;$H290&amp;"]"&amp;$I290&amp;"'!"&amp;$J290),$L290,$M290)*$K290</f>
        <v>0.21708000000000002</v>
      </c>
      <c r="F290" s="4">
        <f t="shared" si="18"/>
        <v>4</v>
      </c>
      <c r="G290" s="4" cm="1">
        <f t="array" ref="G290">IF($C290+$M290&lt;16,INDEX(Sheet1!C:C,$F290),$F290)</f>
        <v>4</v>
      </c>
      <c r="H290" s="4" t="str" cm="1">
        <f t="array" ref="H290">INDEX(Sheet1!D:D,$G290)</f>
        <v>2001-cso-preferred-class-structure-mortality-tables.xls</v>
      </c>
      <c r="I290" s="4" t="str" cm="1">
        <f t="array" ref="I290">INDEX(Sheet1!E:E,$G290)</f>
        <v>A.1.a.ii</v>
      </c>
      <c r="J290" s="4" t="str" cm="1">
        <f t="array" ref="J290">INDEX(Sheet1!F:F,$G290)</f>
        <v>B8</v>
      </c>
      <c r="K290" s="4" cm="1">
        <f t="array" ref="K290">INDEX(Sheet1!H:H,$G290)</f>
        <v>1E-3</v>
      </c>
      <c r="L290" s="4">
        <f t="shared" si="16"/>
        <v>88</v>
      </c>
      <c r="M290" s="4">
        <f t="shared" si="19"/>
        <v>5</v>
      </c>
    </row>
    <row r="291" spans="1:13">
      <c r="A291" s="4" t="str" cm="1">
        <f t="array" ref="A291">INDEX(Sheet1!A:A,$F291)</f>
        <v>M</v>
      </c>
      <c r="B291" s="4" t="str" cm="1">
        <f t="array" ref="B291">INDEX(Sheet1!B:B,$F291)</f>
        <v>Pref Resid NS</v>
      </c>
      <c r="C291" s="4">
        <f t="shared" si="17"/>
        <v>89</v>
      </c>
      <c r="D291" s="5" cm="1">
        <f t="array" aca="1" ref="D291" ca="1">OFFSET(INDIRECT("'["&amp;$H291&amp;"]"&amp;$I291&amp;"'!"&amp;$J291),$L291,$M291)*$K291</f>
        <v>0.24296000000000001</v>
      </c>
      <c r="F291" s="4">
        <f t="shared" si="18"/>
        <v>4</v>
      </c>
      <c r="G291" s="4" cm="1">
        <f t="array" ref="G291">IF($C291+$M291&lt;16,INDEX(Sheet1!C:C,$F291),$F291)</f>
        <v>4</v>
      </c>
      <c r="H291" s="4" t="str" cm="1">
        <f t="array" ref="H291">INDEX(Sheet1!D:D,$G291)</f>
        <v>2001-cso-preferred-class-structure-mortality-tables.xls</v>
      </c>
      <c r="I291" s="4" t="str" cm="1">
        <f t="array" ref="I291">INDEX(Sheet1!E:E,$G291)</f>
        <v>A.1.a.ii</v>
      </c>
      <c r="J291" s="4" t="str" cm="1">
        <f t="array" ref="J291">INDEX(Sheet1!F:F,$G291)</f>
        <v>B8</v>
      </c>
      <c r="K291" s="4" cm="1">
        <f t="array" ref="K291">INDEX(Sheet1!H:H,$G291)</f>
        <v>1E-3</v>
      </c>
      <c r="L291" s="4">
        <f t="shared" si="16"/>
        <v>89</v>
      </c>
      <c r="M291" s="4">
        <f t="shared" si="19"/>
        <v>5</v>
      </c>
    </row>
    <row r="292" spans="1:13">
      <c r="A292" s="4" t="str" cm="1">
        <f t="array" ref="A292">INDEX(Sheet1!A:A,$F292)</f>
        <v>M</v>
      </c>
      <c r="B292" s="4" t="str" cm="1">
        <f t="array" ref="B292">INDEX(Sheet1!B:B,$F292)</f>
        <v>Pref Resid NS</v>
      </c>
      <c r="C292" s="4">
        <f t="shared" si="17"/>
        <v>90</v>
      </c>
      <c r="D292" s="5" cm="1">
        <f t="array" aca="1" ref="D292" ca="1">OFFSET(INDIRECT("'["&amp;$H292&amp;"]"&amp;$I292&amp;"'!"&amp;$J292),$L292,$M292)*$K292</f>
        <v>0.26355000000000001</v>
      </c>
      <c r="F292" s="4">
        <f t="shared" si="18"/>
        <v>4</v>
      </c>
      <c r="G292" s="4" cm="1">
        <f t="array" ref="G292">IF($C292+$M292&lt;16,INDEX(Sheet1!C:C,$F292),$F292)</f>
        <v>4</v>
      </c>
      <c r="H292" s="4" t="str" cm="1">
        <f t="array" ref="H292">INDEX(Sheet1!D:D,$G292)</f>
        <v>2001-cso-preferred-class-structure-mortality-tables.xls</v>
      </c>
      <c r="I292" s="4" t="str" cm="1">
        <f t="array" ref="I292">INDEX(Sheet1!E:E,$G292)</f>
        <v>A.1.a.ii</v>
      </c>
      <c r="J292" s="4" t="str" cm="1">
        <f t="array" ref="J292">INDEX(Sheet1!F:F,$G292)</f>
        <v>B8</v>
      </c>
      <c r="K292" s="4" cm="1">
        <f t="array" ref="K292">INDEX(Sheet1!H:H,$G292)</f>
        <v>1E-3</v>
      </c>
      <c r="L292" s="4">
        <f t="shared" si="16"/>
        <v>90</v>
      </c>
      <c r="M292" s="4">
        <f t="shared" si="19"/>
        <v>5</v>
      </c>
    </row>
    <row r="293" spans="1:13">
      <c r="A293" s="4" t="str" cm="1">
        <f t="array" ref="A293">INDEX(Sheet1!A:A,$F293)</f>
        <v>M</v>
      </c>
      <c r="B293" s="4" t="str" cm="1">
        <f t="array" ref="B293">INDEX(Sheet1!B:B,$F293)</f>
        <v>Pref Resid NS</v>
      </c>
      <c r="C293" s="4">
        <f t="shared" si="17"/>
        <v>91</v>
      </c>
      <c r="D293" s="5" cm="1">
        <f t="array" aca="1" ref="D293" ca="1">OFFSET(INDIRECT("'["&amp;$H293&amp;"]"&amp;$I293&amp;"'!"&amp;$J293),$L293,$M293)*$K293</f>
        <v>0.28039999999999998</v>
      </c>
      <c r="F293" s="4">
        <f t="shared" si="18"/>
        <v>4</v>
      </c>
      <c r="G293" s="4" cm="1">
        <f t="array" ref="G293">IF($C293+$M293&lt;16,INDEX(Sheet1!C:C,$F293),$F293)</f>
        <v>4</v>
      </c>
      <c r="H293" s="4" t="str" cm="1">
        <f t="array" ref="H293">INDEX(Sheet1!D:D,$G293)</f>
        <v>2001-cso-preferred-class-structure-mortality-tables.xls</v>
      </c>
      <c r="I293" s="4" t="str" cm="1">
        <f t="array" ref="I293">INDEX(Sheet1!E:E,$G293)</f>
        <v>A.1.a.ii</v>
      </c>
      <c r="J293" s="4" t="str" cm="1">
        <f t="array" ref="J293">INDEX(Sheet1!F:F,$G293)</f>
        <v>B8</v>
      </c>
      <c r="K293" s="4" cm="1">
        <f t="array" ref="K293">INDEX(Sheet1!H:H,$G293)</f>
        <v>1E-3</v>
      </c>
      <c r="L293" s="4">
        <f t="shared" si="16"/>
        <v>91</v>
      </c>
      <c r="M293" s="4">
        <f t="shared" si="19"/>
        <v>5</v>
      </c>
    </row>
    <row r="294" spans="1:13">
      <c r="A294" s="4" t="str" cm="1">
        <f t="array" ref="A294">INDEX(Sheet1!A:A,$F294)</f>
        <v>M</v>
      </c>
      <c r="B294" s="4" t="str" cm="1">
        <f t="array" ref="B294">INDEX(Sheet1!B:B,$F294)</f>
        <v>Pref Resid NS</v>
      </c>
      <c r="C294" s="4">
        <f t="shared" si="17"/>
        <v>92</v>
      </c>
      <c r="D294" s="5" cm="1">
        <f t="array" aca="1" ref="D294" ca="1">OFFSET(INDIRECT("'["&amp;$H294&amp;"]"&amp;$I294&amp;"'!"&amp;$J294),$L294,$M294)*$K294</f>
        <v>0.29838999999999999</v>
      </c>
      <c r="F294" s="4">
        <f t="shared" si="18"/>
        <v>4</v>
      </c>
      <c r="G294" s="4" cm="1">
        <f t="array" ref="G294">IF($C294+$M294&lt;16,INDEX(Sheet1!C:C,$F294),$F294)</f>
        <v>4</v>
      </c>
      <c r="H294" s="4" t="str" cm="1">
        <f t="array" ref="H294">INDEX(Sheet1!D:D,$G294)</f>
        <v>2001-cso-preferred-class-structure-mortality-tables.xls</v>
      </c>
      <c r="I294" s="4" t="str" cm="1">
        <f t="array" ref="I294">INDEX(Sheet1!E:E,$G294)</f>
        <v>A.1.a.ii</v>
      </c>
      <c r="J294" s="4" t="str" cm="1">
        <f t="array" ref="J294">INDEX(Sheet1!F:F,$G294)</f>
        <v>B8</v>
      </c>
      <c r="K294" s="4" cm="1">
        <f t="array" ref="K294">INDEX(Sheet1!H:H,$G294)</f>
        <v>1E-3</v>
      </c>
      <c r="L294" s="4">
        <f t="shared" si="16"/>
        <v>92</v>
      </c>
      <c r="M294" s="4">
        <f t="shared" si="19"/>
        <v>5</v>
      </c>
    </row>
    <row r="295" spans="1:13">
      <c r="A295" s="4" t="str" cm="1">
        <f t="array" ref="A295">INDEX(Sheet1!A:A,$F295)</f>
        <v>M</v>
      </c>
      <c r="B295" s="4" t="str" cm="1">
        <f t="array" ref="B295">INDEX(Sheet1!B:B,$F295)</f>
        <v>Pref Resid NS</v>
      </c>
      <c r="C295" s="4">
        <f t="shared" si="17"/>
        <v>93</v>
      </c>
      <c r="D295" s="5" cm="1">
        <f t="array" aca="1" ref="D295" ca="1">OFFSET(INDIRECT("'["&amp;$H295&amp;"]"&amp;$I295&amp;"'!"&amp;$J295),$L295,$M295)*$K295</f>
        <v>0.31757999999999997</v>
      </c>
      <c r="F295" s="4">
        <f t="shared" si="18"/>
        <v>4</v>
      </c>
      <c r="G295" s="4" cm="1">
        <f t="array" ref="G295">IF($C295+$M295&lt;16,INDEX(Sheet1!C:C,$F295),$F295)</f>
        <v>4</v>
      </c>
      <c r="H295" s="4" t="str" cm="1">
        <f t="array" ref="H295">INDEX(Sheet1!D:D,$G295)</f>
        <v>2001-cso-preferred-class-structure-mortality-tables.xls</v>
      </c>
      <c r="I295" s="4" t="str" cm="1">
        <f t="array" ref="I295">INDEX(Sheet1!E:E,$G295)</f>
        <v>A.1.a.ii</v>
      </c>
      <c r="J295" s="4" t="str" cm="1">
        <f t="array" ref="J295">INDEX(Sheet1!F:F,$G295)</f>
        <v>B8</v>
      </c>
      <c r="K295" s="4" cm="1">
        <f t="array" ref="K295">INDEX(Sheet1!H:H,$G295)</f>
        <v>1E-3</v>
      </c>
      <c r="L295" s="4">
        <f t="shared" si="16"/>
        <v>93</v>
      </c>
      <c r="M295" s="4">
        <f t="shared" si="19"/>
        <v>5</v>
      </c>
    </row>
    <row r="296" spans="1:13">
      <c r="A296" s="4" t="str" cm="1">
        <f t="array" ref="A296">INDEX(Sheet1!A:A,$F296)</f>
        <v>M</v>
      </c>
      <c r="B296" s="4" t="str" cm="1">
        <f t="array" ref="B296">INDEX(Sheet1!B:B,$F296)</f>
        <v>Pref Resid NS</v>
      </c>
      <c r="C296" s="4">
        <f t="shared" si="17"/>
        <v>94</v>
      </c>
      <c r="D296" s="5" cm="1">
        <f t="array" aca="1" ref="D296" ca="1">OFFSET(INDIRECT("'["&amp;$H296&amp;"]"&amp;$I296&amp;"'!"&amp;$J296),$L296,$M296)*$K296</f>
        <v>0.33811000000000002</v>
      </c>
      <c r="F296" s="4">
        <f t="shared" si="18"/>
        <v>4</v>
      </c>
      <c r="G296" s="4" cm="1">
        <f t="array" ref="G296">IF($C296+$M296&lt;16,INDEX(Sheet1!C:C,$F296),$F296)</f>
        <v>4</v>
      </c>
      <c r="H296" s="4" t="str" cm="1">
        <f t="array" ref="H296">INDEX(Sheet1!D:D,$G296)</f>
        <v>2001-cso-preferred-class-structure-mortality-tables.xls</v>
      </c>
      <c r="I296" s="4" t="str" cm="1">
        <f t="array" ref="I296">INDEX(Sheet1!E:E,$G296)</f>
        <v>A.1.a.ii</v>
      </c>
      <c r="J296" s="4" t="str" cm="1">
        <f t="array" ref="J296">INDEX(Sheet1!F:F,$G296)</f>
        <v>B8</v>
      </c>
      <c r="K296" s="4" cm="1">
        <f t="array" ref="K296">INDEX(Sheet1!H:H,$G296)</f>
        <v>1E-3</v>
      </c>
      <c r="L296" s="4">
        <f t="shared" si="16"/>
        <v>94</v>
      </c>
      <c r="M296" s="4">
        <f t="shared" si="19"/>
        <v>5</v>
      </c>
    </row>
    <row r="297" spans="1:13">
      <c r="A297" s="4" t="str" cm="1">
        <f t="array" ref="A297">INDEX(Sheet1!A:A,$F297)</f>
        <v>M</v>
      </c>
      <c r="B297" s="4" t="str" cm="1">
        <f t="array" ref="B297">INDEX(Sheet1!B:B,$F297)</f>
        <v>Pref Resid NS</v>
      </c>
      <c r="C297" s="4">
        <f t="shared" si="17"/>
        <v>95</v>
      </c>
      <c r="D297" s="5" cm="1">
        <f t="array" aca="1" ref="D297" ca="1">OFFSET(INDIRECT("'["&amp;$H297&amp;"]"&amp;$I297&amp;"'!"&amp;$J297),$L297,$M297)*$K297</f>
        <v>0.36005000000000004</v>
      </c>
      <c r="F297" s="4">
        <f t="shared" si="18"/>
        <v>4</v>
      </c>
      <c r="G297" s="4" cm="1">
        <f t="array" ref="G297">IF($C297+$M297&lt;16,INDEX(Sheet1!C:C,$F297),$F297)</f>
        <v>4</v>
      </c>
      <c r="H297" s="4" t="str" cm="1">
        <f t="array" ref="H297">INDEX(Sheet1!D:D,$G297)</f>
        <v>2001-cso-preferred-class-structure-mortality-tables.xls</v>
      </c>
      <c r="I297" s="4" t="str" cm="1">
        <f t="array" ref="I297">INDEX(Sheet1!E:E,$G297)</f>
        <v>A.1.a.ii</v>
      </c>
      <c r="J297" s="4" t="str" cm="1">
        <f t="array" ref="J297">INDEX(Sheet1!F:F,$G297)</f>
        <v>B8</v>
      </c>
      <c r="K297" s="4" cm="1">
        <f t="array" ref="K297">INDEX(Sheet1!H:H,$G297)</f>
        <v>1E-3</v>
      </c>
      <c r="L297" s="4">
        <f t="shared" si="16"/>
        <v>95</v>
      </c>
      <c r="M297" s="4">
        <f t="shared" si="19"/>
        <v>5</v>
      </c>
    </row>
    <row r="298" spans="1:13">
      <c r="A298" s="4" t="str" cm="1">
        <f t="array" ref="A298">INDEX(Sheet1!A:A,$F298)</f>
        <v>M</v>
      </c>
      <c r="B298" s="4" t="str" cm="1">
        <f t="array" ref="B298">INDEX(Sheet1!B:B,$F298)</f>
        <v>Pref Resid NS</v>
      </c>
      <c r="C298" s="4">
        <f t="shared" si="17"/>
        <v>96</v>
      </c>
      <c r="D298" s="5" cm="1">
        <f t="array" aca="1" ref="D298" ca="1">OFFSET(INDIRECT("'["&amp;$H298&amp;"]"&amp;$I298&amp;"'!"&amp;$J298),$L298,$M298)*$K298</f>
        <v>0.37774000000000002</v>
      </c>
      <c r="F298" s="4">
        <f t="shared" si="18"/>
        <v>4</v>
      </c>
      <c r="G298" s="4" cm="1">
        <f t="array" ref="G298">IF($C298+$M298&lt;16,INDEX(Sheet1!C:C,$F298),$F298)</f>
        <v>4</v>
      </c>
      <c r="H298" s="4" t="str" cm="1">
        <f t="array" ref="H298">INDEX(Sheet1!D:D,$G298)</f>
        <v>2001-cso-preferred-class-structure-mortality-tables.xls</v>
      </c>
      <c r="I298" s="4" t="str" cm="1">
        <f t="array" ref="I298">INDEX(Sheet1!E:E,$G298)</f>
        <v>A.1.a.ii</v>
      </c>
      <c r="J298" s="4" t="str" cm="1">
        <f t="array" ref="J298">INDEX(Sheet1!F:F,$G298)</f>
        <v>B8</v>
      </c>
      <c r="K298" s="4" cm="1">
        <f t="array" ref="K298">INDEX(Sheet1!H:H,$G298)</f>
        <v>1E-3</v>
      </c>
      <c r="L298" s="4">
        <f t="shared" si="16"/>
        <v>96</v>
      </c>
      <c r="M298" s="4">
        <f t="shared" si="19"/>
        <v>5</v>
      </c>
    </row>
    <row r="299" spans="1:13">
      <c r="A299" s="4" t="str" cm="1">
        <f t="array" ref="A299">INDEX(Sheet1!A:A,$F299)</f>
        <v>M</v>
      </c>
      <c r="B299" s="4" t="str" cm="1">
        <f t="array" ref="B299">INDEX(Sheet1!B:B,$F299)</f>
        <v>Pref Resid NS</v>
      </c>
      <c r="C299" s="4">
        <f t="shared" si="17"/>
        <v>97</v>
      </c>
      <c r="D299" s="5" cm="1">
        <f t="array" aca="1" ref="D299" ca="1">OFFSET(INDIRECT("'["&amp;$H299&amp;"]"&amp;$I299&amp;"'!"&amp;$J299),$L299,$M299)*$K299</f>
        <v>0.39641000000000004</v>
      </c>
      <c r="F299" s="4">
        <f t="shared" si="18"/>
        <v>4</v>
      </c>
      <c r="G299" s="4" cm="1">
        <f t="array" ref="G299">IF($C299+$M299&lt;16,INDEX(Sheet1!C:C,$F299),$F299)</f>
        <v>4</v>
      </c>
      <c r="H299" s="4" t="str" cm="1">
        <f t="array" ref="H299">INDEX(Sheet1!D:D,$G299)</f>
        <v>2001-cso-preferred-class-structure-mortality-tables.xls</v>
      </c>
      <c r="I299" s="4" t="str" cm="1">
        <f t="array" ref="I299">INDEX(Sheet1!E:E,$G299)</f>
        <v>A.1.a.ii</v>
      </c>
      <c r="J299" s="4" t="str" cm="1">
        <f t="array" ref="J299">INDEX(Sheet1!F:F,$G299)</f>
        <v>B8</v>
      </c>
      <c r="K299" s="4" cm="1">
        <f t="array" ref="K299">INDEX(Sheet1!H:H,$G299)</f>
        <v>1E-3</v>
      </c>
      <c r="L299" s="4">
        <f t="shared" si="16"/>
        <v>97</v>
      </c>
      <c r="M299" s="4">
        <f t="shared" si="19"/>
        <v>5</v>
      </c>
    </row>
    <row r="300" spans="1:13">
      <c r="A300" s="4" t="str" cm="1">
        <f t="array" ref="A300">INDEX(Sheet1!A:A,$F300)</f>
        <v>M</v>
      </c>
      <c r="B300" s="4" t="str" cm="1">
        <f t="array" ref="B300">INDEX(Sheet1!B:B,$F300)</f>
        <v>Pref Resid NS</v>
      </c>
      <c r="C300" s="4">
        <f t="shared" si="17"/>
        <v>98</v>
      </c>
      <c r="D300" s="5" cm="1">
        <f t="array" aca="1" ref="D300" ca="1">OFFSET(INDIRECT("'["&amp;$H300&amp;"]"&amp;$I300&amp;"'!"&amp;$J300),$L300,$M300)*$K300</f>
        <v>0.41631000000000001</v>
      </c>
      <c r="F300" s="4">
        <f t="shared" si="18"/>
        <v>4</v>
      </c>
      <c r="G300" s="4" cm="1">
        <f t="array" ref="G300">IF($C300+$M300&lt;16,INDEX(Sheet1!C:C,$F300),$F300)</f>
        <v>4</v>
      </c>
      <c r="H300" s="4" t="str" cm="1">
        <f t="array" ref="H300">INDEX(Sheet1!D:D,$G300)</f>
        <v>2001-cso-preferred-class-structure-mortality-tables.xls</v>
      </c>
      <c r="I300" s="4" t="str" cm="1">
        <f t="array" ref="I300">INDEX(Sheet1!E:E,$G300)</f>
        <v>A.1.a.ii</v>
      </c>
      <c r="J300" s="4" t="str" cm="1">
        <f t="array" ref="J300">INDEX(Sheet1!F:F,$G300)</f>
        <v>B8</v>
      </c>
      <c r="K300" s="4" cm="1">
        <f t="array" ref="K300">INDEX(Sheet1!H:H,$G300)</f>
        <v>1E-3</v>
      </c>
      <c r="L300" s="4">
        <f t="shared" si="16"/>
        <v>98</v>
      </c>
      <c r="M300" s="4">
        <f t="shared" si="19"/>
        <v>5</v>
      </c>
    </row>
    <row r="301" spans="1:13">
      <c r="A301" s="4" t="str" cm="1">
        <f t="array" ref="A301">INDEX(Sheet1!A:A,$F301)</f>
        <v>M</v>
      </c>
      <c r="B301" s="4" t="str" cm="1">
        <f t="array" ref="B301">INDEX(Sheet1!B:B,$F301)</f>
        <v>Pref Resid NS</v>
      </c>
      <c r="C301" s="4">
        <f t="shared" si="17"/>
        <v>99</v>
      </c>
      <c r="D301" s="5" cm="1">
        <f t="array" aca="1" ref="D301" ca="1">OFFSET(INDIRECT("'["&amp;$H301&amp;"]"&amp;$I301&amp;"'!"&amp;$J301),$L301,$M301)*$K301</f>
        <v>0.43748000000000004</v>
      </c>
      <c r="F301" s="4">
        <f t="shared" si="18"/>
        <v>4</v>
      </c>
      <c r="G301" s="4" cm="1">
        <f t="array" ref="G301">IF($C301+$M301&lt;16,INDEX(Sheet1!C:C,$F301),$F301)</f>
        <v>4</v>
      </c>
      <c r="H301" s="4" t="str" cm="1">
        <f t="array" ref="H301">INDEX(Sheet1!D:D,$G301)</f>
        <v>2001-cso-preferred-class-structure-mortality-tables.xls</v>
      </c>
      <c r="I301" s="4" t="str" cm="1">
        <f t="array" ref="I301">INDEX(Sheet1!E:E,$G301)</f>
        <v>A.1.a.ii</v>
      </c>
      <c r="J301" s="4" t="str" cm="1">
        <f t="array" ref="J301">INDEX(Sheet1!F:F,$G301)</f>
        <v>B8</v>
      </c>
      <c r="K301" s="4" cm="1">
        <f t="array" ref="K301">INDEX(Sheet1!H:H,$G301)</f>
        <v>1E-3</v>
      </c>
      <c r="L301" s="4">
        <f t="shared" si="16"/>
        <v>99</v>
      </c>
      <c r="M301" s="4">
        <f t="shared" si="19"/>
        <v>5</v>
      </c>
    </row>
    <row r="302" spans="1:13">
      <c r="A302" s="4" t="str" cm="1">
        <f t="array" ref="A302">INDEX(Sheet1!A:A,$F302)</f>
        <v>M</v>
      </c>
      <c r="B302" s="4" t="str" cm="1">
        <f t="array" ref="B302">INDEX(Sheet1!B:B,$F302)</f>
        <v>Non-Pref NS</v>
      </c>
      <c r="C302" s="4">
        <f t="shared" si="17"/>
        <v>0</v>
      </c>
      <c r="D302" s="5" cm="1">
        <f t="array" aca="1" ref="D302" ca="1">OFFSET(INDIRECT("'["&amp;$H302&amp;"]"&amp;$I302&amp;"'!"&amp;$J302),$L302,$M302)*$K302</f>
        <v>2.1000000000000001E-4</v>
      </c>
      <c r="F302" s="4">
        <f t="shared" si="18"/>
        <v>5</v>
      </c>
      <c r="G302" s="4" cm="1">
        <f t="array" ref="G302">IF($C302+$M302&lt;16,INDEX(Sheet1!C:C,$F302),$F302)</f>
        <v>10</v>
      </c>
      <c r="H302" s="4" t="str" cm="1">
        <f t="array" ref="H302">INDEX(Sheet1!D:D,$G302)</f>
        <v>t1136.xlsx</v>
      </c>
      <c r="I302" s="4" t="str" cm="1">
        <f t="array" ref="I302">INDEX(Sheet1!E:E,$G302)</f>
        <v>Sheet1</v>
      </c>
      <c r="J302" s="4" t="str" cm="1">
        <f t="array" ref="J302">INDEX(Sheet1!F:F,$G302)</f>
        <v>B25</v>
      </c>
      <c r="K302" s="4" cm="1">
        <f t="array" ref="K302">INDEX(Sheet1!H:H,$G302)</f>
        <v>1</v>
      </c>
      <c r="L302" s="4">
        <f t="shared" si="16"/>
        <v>0</v>
      </c>
      <c r="M302" s="4">
        <f t="shared" si="19"/>
        <v>5</v>
      </c>
    </row>
    <row r="303" spans="1:13">
      <c r="A303" s="4" t="str" cm="1">
        <f t="array" ref="A303">INDEX(Sheet1!A:A,$F303)</f>
        <v>M</v>
      </c>
      <c r="B303" s="4" t="str" cm="1">
        <f t="array" ref="B303">INDEX(Sheet1!B:B,$F303)</f>
        <v>Non-Pref NS</v>
      </c>
      <c r="C303" s="4">
        <f t="shared" si="17"/>
        <v>1</v>
      </c>
      <c r="D303" s="5" cm="1">
        <f t="array" aca="1" ref="D303" ca="1">OFFSET(INDIRECT("'["&amp;$H303&amp;"]"&amp;$I303&amp;"'!"&amp;$J303),$L303,$M303)*$K303</f>
        <v>2.1000000000000001E-4</v>
      </c>
      <c r="F303" s="4">
        <f t="shared" si="18"/>
        <v>5</v>
      </c>
      <c r="G303" s="4" cm="1">
        <f t="array" ref="G303">IF($C303+$M303&lt;16,INDEX(Sheet1!C:C,$F303),$F303)</f>
        <v>10</v>
      </c>
      <c r="H303" s="4" t="str" cm="1">
        <f t="array" ref="H303">INDEX(Sheet1!D:D,$G303)</f>
        <v>t1136.xlsx</v>
      </c>
      <c r="I303" s="4" t="str" cm="1">
        <f t="array" ref="I303">INDEX(Sheet1!E:E,$G303)</f>
        <v>Sheet1</v>
      </c>
      <c r="J303" s="4" t="str" cm="1">
        <f t="array" ref="J303">INDEX(Sheet1!F:F,$G303)</f>
        <v>B25</v>
      </c>
      <c r="K303" s="4" cm="1">
        <f t="array" ref="K303">INDEX(Sheet1!H:H,$G303)</f>
        <v>1</v>
      </c>
      <c r="L303" s="4">
        <f t="shared" si="16"/>
        <v>1</v>
      </c>
      <c r="M303" s="4">
        <f t="shared" si="19"/>
        <v>5</v>
      </c>
    </row>
    <row r="304" spans="1:13">
      <c r="A304" s="4" t="str" cm="1">
        <f t="array" ref="A304">INDEX(Sheet1!A:A,$F304)</f>
        <v>M</v>
      </c>
      <c r="B304" s="4" t="str" cm="1">
        <f t="array" ref="B304">INDEX(Sheet1!B:B,$F304)</f>
        <v>Non-Pref NS</v>
      </c>
      <c r="C304" s="4">
        <f t="shared" si="17"/>
        <v>2</v>
      </c>
      <c r="D304" s="5" cm="1">
        <f t="array" aca="1" ref="D304" ca="1">OFFSET(INDIRECT("'["&amp;$H304&amp;"]"&amp;$I304&amp;"'!"&amp;$J304),$L304,$M304)*$K304</f>
        <v>2.1000000000000001E-4</v>
      </c>
      <c r="F304" s="4">
        <f t="shared" si="18"/>
        <v>5</v>
      </c>
      <c r="G304" s="4" cm="1">
        <f t="array" ref="G304">IF($C304+$M304&lt;16,INDEX(Sheet1!C:C,$F304),$F304)</f>
        <v>10</v>
      </c>
      <c r="H304" s="4" t="str" cm="1">
        <f t="array" ref="H304">INDEX(Sheet1!D:D,$G304)</f>
        <v>t1136.xlsx</v>
      </c>
      <c r="I304" s="4" t="str" cm="1">
        <f t="array" ref="I304">INDEX(Sheet1!E:E,$G304)</f>
        <v>Sheet1</v>
      </c>
      <c r="J304" s="4" t="str" cm="1">
        <f t="array" ref="J304">INDEX(Sheet1!F:F,$G304)</f>
        <v>B25</v>
      </c>
      <c r="K304" s="4" cm="1">
        <f t="array" ref="K304">INDEX(Sheet1!H:H,$G304)</f>
        <v>1</v>
      </c>
      <c r="L304" s="4">
        <f t="shared" si="16"/>
        <v>2</v>
      </c>
      <c r="M304" s="4">
        <f t="shared" si="19"/>
        <v>5</v>
      </c>
    </row>
    <row r="305" spans="1:13">
      <c r="A305" s="4" t="str" cm="1">
        <f t="array" ref="A305">INDEX(Sheet1!A:A,$F305)</f>
        <v>M</v>
      </c>
      <c r="B305" s="4" t="str" cm="1">
        <f t="array" ref="B305">INDEX(Sheet1!B:B,$F305)</f>
        <v>Non-Pref NS</v>
      </c>
      <c r="C305" s="4">
        <f t="shared" si="17"/>
        <v>3</v>
      </c>
      <c r="D305" s="5" cm="1">
        <f t="array" aca="1" ref="D305" ca="1">OFFSET(INDIRECT("'["&amp;$H305&amp;"]"&amp;$I305&amp;"'!"&amp;$J305),$L305,$M305)*$K305</f>
        <v>2.1000000000000001E-4</v>
      </c>
      <c r="F305" s="4">
        <f t="shared" si="18"/>
        <v>5</v>
      </c>
      <c r="G305" s="4" cm="1">
        <f t="array" ref="G305">IF($C305+$M305&lt;16,INDEX(Sheet1!C:C,$F305),$F305)</f>
        <v>10</v>
      </c>
      <c r="H305" s="4" t="str" cm="1">
        <f t="array" ref="H305">INDEX(Sheet1!D:D,$G305)</f>
        <v>t1136.xlsx</v>
      </c>
      <c r="I305" s="4" t="str" cm="1">
        <f t="array" ref="I305">INDEX(Sheet1!E:E,$G305)</f>
        <v>Sheet1</v>
      </c>
      <c r="J305" s="4" t="str" cm="1">
        <f t="array" ref="J305">INDEX(Sheet1!F:F,$G305)</f>
        <v>B25</v>
      </c>
      <c r="K305" s="4" cm="1">
        <f t="array" ref="K305">INDEX(Sheet1!H:H,$G305)</f>
        <v>1</v>
      </c>
      <c r="L305" s="4">
        <f t="shared" si="16"/>
        <v>3</v>
      </c>
      <c r="M305" s="4">
        <f t="shared" si="19"/>
        <v>5</v>
      </c>
    </row>
    <row r="306" spans="1:13">
      <c r="A306" s="4" t="str" cm="1">
        <f t="array" ref="A306">INDEX(Sheet1!A:A,$F306)</f>
        <v>M</v>
      </c>
      <c r="B306" s="4" t="str" cm="1">
        <f t="array" ref="B306">INDEX(Sheet1!B:B,$F306)</f>
        <v>Non-Pref NS</v>
      </c>
      <c r="C306" s="4">
        <f t="shared" si="17"/>
        <v>4</v>
      </c>
      <c r="D306" s="5" cm="1">
        <f t="array" aca="1" ref="D306" ca="1">OFFSET(INDIRECT("'["&amp;$H306&amp;"]"&amp;$I306&amp;"'!"&amp;$J306),$L306,$M306)*$K306</f>
        <v>2.1000000000000001E-4</v>
      </c>
      <c r="F306" s="4">
        <f t="shared" si="18"/>
        <v>5</v>
      </c>
      <c r="G306" s="4" cm="1">
        <f t="array" ref="G306">IF($C306+$M306&lt;16,INDEX(Sheet1!C:C,$F306),$F306)</f>
        <v>10</v>
      </c>
      <c r="H306" s="4" t="str" cm="1">
        <f t="array" ref="H306">INDEX(Sheet1!D:D,$G306)</f>
        <v>t1136.xlsx</v>
      </c>
      <c r="I306" s="4" t="str" cm="1">
        <f t="array" ref="I306">INDEX(Sheet1!E:E,$G306)</f>
        <v>Sheet1</v>
      </c>
      <c r="J306" s="4" t="str" cm="1">
        <f t="array" ref="J306">INDEX(Sheet1!F:F,$G306)</f>
        <v>B25</v>
      </c>
      <c r="K306" s="4" cm="1">
        <f t="array" ref="K306">INDEX(Sheet1!H:H,$G306)</f>
        <v>1</v>
      </c>
      <c r="L306" s="4">
        <f t="shared" si="16"/>
        <v>4</v>
      </c>
      <c r="M306" s="4">
        <f t="shared" si="19"/>
        <v>5</v>
      </c>
    </row>
    <row r="307" spans="1:13">
      <c r="A307" s="4" t="str" cm="1">
        <f t="array" ref="A307">INDEX(Sheet1!A:A,$F307)</f>
        <v>M</v>
      </c>
      <c r="B307" s="4" t="str" cm="1">
        <f t="array" ref="B307">INDEX(Sheet1!B:B,$F307)</f>
        <v>Non-Pref NS</v>
      </c>
      <c r="C307" s="4">
        <f t="shared" si="17"/>
        <v>5</v>
      </c>
      <c r="D307" s="5" cm="1">
        <f t="array" aca="1" ref="D307" ca="1">OFFSET(INDIRECT("'["&amp;$H307&amp;"]"&amp;$I307&amp;"'!"&amp;$J307),$L307,$M307)*$K307</f>
        <v>2.1000000000000001E-4</v>
      </c>
      <c r="F307" s="4">
        <f t="shared" si="18"/>
        <v>5</v>
      </c>
      <c r="G307" s="4" cm="1">
        <f t="array" ref="G307">IF($C307+$M307&lt;16,INDEX(Sheet1!C:C,$F307),$F307)</f>
        <v>10</v>
      </c>
      <c r="H307" s="4" t="str" cm="1">
        <f t="array" ref="H307">INDEX(Sheet1!D:D,$G307)</f>
        <v>t1136.xlsx</v>
      </c>
      <c r="I307" s="4" t="str" cm="1">
        <f t="array" ref="I307">INDEX(Sheet1!E:E,$G307)</f>
        <v>Sheet1</v>
      </c>
      <c r="J307" s="4" t="str" cm="1">
        <f t="array" ref="J307">INDEX(Sheet1!F:F,$G307)</f>
        <v>B25</v>
      </c>
      <c r="K307" s="4" cm="1">
        <f t="array" ref="K307">INDEX(Sheet1!H:H,$G307)</f>
        <v>1</v>
      </c>
      <c r="L307" s="4">
        <f t="shared" si="16"/>
        <v>5</v>
      </c>
      <c r="M307" s="4">
        <f t="shared" si="19"/>
        <v>5</v>
      </c>
    </row>
    <row r="308" spans="1:13">
      <c r="A308" s="4" t="str" cm="1">
        <f t="array" ref="A308">INDEX(Sheet1!A:A,$F308)</f>
        <v>M</v>
      </c>
      <c r="B308" s="4" t="str" cm="1">
        <f t="array" ref="B308">INDEX(Sheet1!B:B,$F308)</f>
        <v>Non-Pref NS</v>
      </c>
      <c r="C308" s="4">
        <f t="shared" si="17"/>
        <v>6</v>
      </c>
      <c r="D308" s="5" cm="1">
        <f t="array" aca="1" ref="D308" ca="1">OFFSET(INDIRECT("'["&amp;$H308&amp;"]"&amp;$I308&amp;"'!"&amp;$J308),$L308,$M308)*$K308</f>
        <v>2.1000000000000001E-4</v>
      </c>
      <c r="F308" s="4">
        <f t="shared" si="18"/>
        <v>5</v>
      </c>
      <c r="G308" s="4" cm="1">
        <f t="array" ref="G308">IF($C308+$M308&lt;16,INDEX(Sheet1!C:C,$F308),$F308)</f>
        <v>10</v>
      </c>
      <c r="H308" s="4" t="str" cm="1">
        <f t="array" ref="H308">INDEX(Sheet1!D:D,$G308)</f>
        <v>t1136.xlsx</v>
      </c>
      <c r="I308" s="4" t="str" cm="1">
        <f t="array" ref="I308">INDEX(Sheet1!E:E,$G308)</f>
        <v>Sheet1</v>
      </c>
      <c r="J308" s="4" t="str" cm="1">
        <f t="array" ref="J308">INDEX(Sheet1!F:F,$G308)</f>
        <v>B25</v>
      </c>
      <c r="K308" s="4" cm="1">
        <f t="array" ref="K308">INDEX(Sheet1!H:H,$G308)</f>
        <v>1</v>
      </c>
      <c r="L308" s="4">
        <f t="shared" si="16"/>
        <v>6</v>
      </c>
      <c r="M308" s="4">
        <f t="shared" si="19"/>
        <v>5</v>
      </c>
    </row>
    <row r="309" spans="1:13">
      <c r="A309" s="4" t="str" cm="1">
        <f t="array" ref="A309">INDEX(Sheet1!A:A,$F309)</f>
        <v>M</v>
      </c>
      <c r="B309" s="4" t="str" cm="1">
        <f t="array" ref="B309">INDEX(Sheet1!B:B,$F309)</f>
        <v>Non-Pref NS</v>
      </c>
      <c r="C309" s="4">
        <f t="shared" si="17"/>
        <v>7</v>
      </c>
      <c r="D309" s="5" cm="1">
        <f t="array" aca="1" ref="D309" ca="1">OFFSET(INDIRECT("'["&amp;$H309&amp;"]"&amp;$I309&amp;"'!"&amp;$J309),$L309,$M309)*$K309</f>
        <v>2.4000000000000001E-4</v>
      </c>
      <c r="F309" s="4">
        <f t="shared" si="18"/>
        <v>5</v>
      </c>
      <c r="G309" s="4" cm="1">
        <f t="array" ref="G309">IF($C309+$M309&lt;16,INDEX(Sheet1!C:C,$F309),$F309)</f>
        <v>10</v>
      </c>
      <c r="H309" s="4" t="str" cm="1">
        <f t="array" ref="H309">INDEX(Sheet1!D:D,$G309)</f>
        <v>t1136.xlsx</v>
      </c>
      <c r="I309" s="4" t="str" cm="1">
        <f t="array" ref="I309">INDEX(Sheet1!E:E,$G309)</f>
        <v>Sheet1</v>
      </c>
      <c r="J309" s="4" t="str" cm="1">
        <f t="array" ref="J309">INDEX(Sheet1!F:F,$G309)</f>
        <v>B25</v>
      </c>
      <c r="K309" s="4" cm="1">
        <f t="array" ref="K309">INDEX(Sheet1!H:H,$G309)</f>
        <v>1</v>
      </c>
      <c r="L309" s="4">
        <f t="shared" si="16"/>
        <v>7</v>
      </c>
      <c r="M309" s="4">
        <f t="shared" si="19"/>
        <v>5</v>
      </c>
    </row>
    <row r="310" spans="1:13">
      <c r="A310" s="4" t="str" cm="1">
        <f t="array" ref="A310">INDEX(Sheet1!A:A,$F310)</f>
        <v>M</v>
      </c>
      <c r="B310" s="4" t="str" cm="1">
        <f t="array" ref="B310">INDEX(Sheet1!B:B,$F310)</f>
        <v>Non-Pref NS</v>
      </c>
      <c r="C310" s="4">
        <f t="shared" si="17"/>
        <v>8</v>
      </c>
      <c r="D310" s="5" cm="1">
        <f t="array" aca="1" ref="D310" ca="1">OFFSET(INDIRECT("'["&amp;$H310&amp;"]"&amp;$I310&amp;"'!"&amp;$J310),$L310,$M310)*$K310</f>
        <v>2.7999999999999998E-4</v>
      </c>
      <c r="F310" s="4">
        <f t="shared" si="18"/>
        <v>5</v>
      </c>
      <c r="G310" s="4" cm="1">
        <f t="array" ref="G310">IF($C310+$M310&lt;16,INDEX(Sheet1!C:C,$F310),$F310)</f>
        <v>10</v>
      </c>
      <c r="H310" s="4" t="str" cm="1">
        <f t="array" ref="H310">INDEX(Sheet1!D:D,$G310)</f>
        <v>t1136.xlsx</v>
      </c>
      <c r="I310" s="4" t="str" cm="1">
        <f t="array" ref="I310">INDEX(Sheet1!E:E,$G310)</f>
        <v>Sheet1</v>
      </c>
      <c r="J310" s="4" t="str" cm="1">
        <f t="array" ref="J310">INDEX(Sheet1!F:F,$G310)</f>
        <v>B25</v>
      </c>
      <c r="K310" s="4" cm="1">
        <f t="array" ref="K310">INDEX(Sheet1!H:H,$G310)</f>
        <v>1</v>
      </c>
      <c r="L310" s="4">
        <f t="shared" si="16"/>
        <v>8</v>
      </c>
      <c r="M310" s="4">
        <f t="shared" si="19"/>
        <v>5</v>
      </c>
    </row>
    <row r="311" spans="1:13">
      <c r="A311" s="4" t="str" cm="1">
        <f t="array" ref="A311">INDEX(Sheet1!A:A,$F311)</f>
        <v>M</v>
      </c>
      <c r="B311" s="4" t="str" cm="1">
        <f t="array" ref="B311">INDEX(Sheet1!B:B,$F311)</f>
        <v>Non-Pref NS</v>
      </c>
      <c r="C311" s="4">
        <f t="shared" si="17"/>
        <v>9</v>
      </c>
      <c r="D311" s="5" cm="1">
        <f t="array" aca="1" ref="D311" ca="1">OFFSET(INDIRECT("'["&amp;$H311&amp;"]"&amp;$I311&amp;"'!"&amp;$J311),$L311,$M311)*$K311</f>
        <v>3.3E-4</v>
      </c>
      <c r="F311" s="4">
        <f t="shared" si="18"/>
        <v>5</v>
      </c>
      <c r="G311" s="4" cm="1">
        <f t="array" ref="G311">IF($C311+$M311&lt;16,INDEX(Sheet1!C:C,$F311),$F311)</f>
        <v>10</v>
      </c>
      <c r="H311" s="4" t="str" cm="1">
        <f t="array" ref="H311">INDEX(Sheet1!D:D,$G311)</f>
        <v>t1136.xlsx</v>
      </c>
      <c r="I311" s="4" t="str" cm="1">
        <f t="array" ref="I311">INDEX(Sheet1!E:E,$G311)</f>
        <v>Sheet1</v>
      </c>
      <c r="J311" s="4" t="str" cm="1">
        <f t="array" ref="J311">INDEX(Sheet1!F:F,$G311)</f>
        <v>B25</v>
      </c>
      <c r="K311" s="4" cm="1">
        <f t="array" ref="K311">INDEX(Sheet1!H:H,$G311)</f>
        <v>1</v>
      </c>
      <c r="L311" s="4">
        <f t="shared" si="16"/>
        <v>9</v>
      </c>
      <c r="M311" s="4">
        <f t="shared" si="19"/>
        <v>5</v>
      </c>
    </row>
    <row r="312" spans="1:13">
      <c r="A312" s="4" t="str" cm="1">
        <f t="array" ref="A312">INDEX(Sheet1!A:A,$F312)</f>
        <v>M</v>
      </c>
      <c r="B312" s="4" t="str" cm="1">
        <f t="array" ref="B312">INDEX(Sheet1!B:B,$F312)</f>
        <v>Non-Pref NS</v>
      </c>
      <c r="C312" s="4">
        <f t="shared" si="17"/>
        <v>10</v>
      </c>
      <c r="D312" s="5" cm="1">
        <f t="array" aca="1" ref="D312" ca="1">OFFSET(INDIRECT("'["&amp;$H312&amp;"]"&amp;$I312&amp;"'!"&amp;$J312),$L312,$M312)*$K312</f>
        <v>4.2999999999999999E-4</v>
      </c>
      <c r="F312" s="4">
        <f t="shared" si="18"/>
        <v>5</v>
      </c>
      <c r="G312" s="4" cm="1">
        <f t="array" ref="G312">IF($C312+$M312&lt;16,INDEX(Sheet1!C:C,$F312),$F312)</f>
        <v>10</v>
      </c>
      <c r="H312" s="4" t="str" cm="1">
        <f t="array" ref="H312">INDEX(Sheet1!D:D,$G312)</f>
        <v>t1136.xlsx</v>
      </c>
      <c r="I312" s="4" t="str" cm="1">
        <f t="array" ref="I312">INDEX(Sheet1!E:E,$G312)</f>
        <v>Sheet1</v>
      </c>
      <c r="J312" s="4" t="str" cm="1">
        <f t="array" ref="J312">INDEX(Sheet1!F:F,$G312)</f>
        <v>B25</v>
      </c>
      <c r="K312" s="4" cm="1">
        <f t="array" ref="K312">INDEX(Sheet1!H:H,$G312)</f>
        <v>1</v>
      </c>
      <c r="L312" s="4">
        <f t="shared" si="16"/>
        <v>10</v>
      </c>
      <c r="M312" s="4">
        <f t="shared" si="19"/>
        <v>5</v>
      </c>
    </row>
    <row r="313" spans="1:13">
      <c r="A313" s="4" t="str" cm="1">
        <f t="array" ref="A313">INDEX(Sheet1!A:A,$F313)</f>
        <v>M</v>
      </c>
      <c r="B313" s="4" t="str" cm="1">
        <f t="array" ref="B313">INDEX(Sheet1!B:B,$F313)</f>
        <v>Non-Pref NS</v>
      </c>
      <c r="C313" s="4">
        <f t="shared" si="17"/>
        <v>11</v>
      </c>
      <c r="D313" s="5" cm="1">
        <f t="array" aca="1" ref="D313" ca="1">OFFSET(INDIRECT("'["&amp;$H313&amp;"]"&amp;$I313&amp;"'!"&amp;$J313),$L313,$M313)*$K313</f>
        <v>7.3999999999999999E-4</v>
      </c>
      <c r="F313" s="4">
        <f t="shared" si="18"/>
        <v>5</v>
      </c>
      <c r="G313" s="4" cm="1">
        <f t="array" ref="G313">IF($C313+$M313&lt;16,INDEX(Sheet1!C:C,$F313),$F313)</f>
        <v>5</v>
      </c>
      <c r="H313" s="4" t="str" cm="1">
        <f t="array" ref="H313">INDEX(Sheet1!D:D,$G313)</f>
        <v>2001-cso-preferred-class-structure-mortality-tables.xls</v>
      </c>
      <c r="I313" s="4" t="str" cm="1">
        <f t="array" ref="I313">INDEX(Sheet1!E:E,$G313)</f>
        <v>A.1.a.iii</v>
      </c>
      <c r="J313" s="4" t="str" cm="1">
        <f t="array" ref="J313">INDEX(Sheet1!F:F,$G313)</f>
        <v>B8</v>
      </c>
      <c r="K313" s="4" cm="1">
        <f t="array" ref="K313">INDEX(Sheet1!H:H,$G313)</f>
        <v>1E-3</v>
      </c>
      <c r="L313" s="4">
        <f t="shared" si="16"/>
        <v>11</v>
      </c>
      <c r="M313" s="4">
        <f t="shared" si="19"/>
        <v>5</v>
      </c>
    </row>
    <row r="314" spans="1:13">
      <c r="A314" s="4" t="str" cm="1">
        <f t="array" ref="A314">INDEX(Sheet1!A:A,$F314)</f>
        <v>M</v>
      </c>
      <c r="B314" s="4" t="str" cm="1">
        <f t="array" ref="B314">INDEX(Sheet1!B:B,$F314)</f>
        <v>Non-Pref NS</v>
      </c>
      <c r="C314" s="4">
        <f t="shared" si="17"/>
        <v>12</v>
      </c>
      <c r="D314" s="5" cm="1">
        <f t="array" aca="1" ref="D314" ca="1">OFFSET(INDIRECT("'["&amp;$H314&amp;"]"&amp;$I314&amp;"'!"&amp;$J314),$L314,$M314)*$K314</f>
        <v>8.7000000000000001E-4</v>
      </c>
      <c r="F314" s="4">
        <f t="shared" si="18"/>
        <v>5</v>
      </c>
      <c r="G314" s="4" cm="1">
        <f t="array" ref="G314">IF($C314+$M314&lt;16,INDEX(Sheet1!C:C,$F314),$F314)</f>
        <v>5</v>
      </c>
      <c r="H314" s="4" t="str" cm="1">
        <f t="array" ref="H314">INDEX(Sheet1!D:D,$G314)</f>
        <v>2001-cso-preferred-class-structure-mortality-tables.xls</v>
      </c>
      <c r="I314" s="4" t="str" cm="1">
        <f t="array" ref="I314">INDEX(Sheet1!E:E,$G314)</f>
        <v>A.1.a.iii</v>
      </c>
      <c r="J314" s="4" t="str" cm="1">
        <f t="array" ref="J314">INDEX(Sheet1!F:F,$G314)</f>
        <v>B8</v>
      </c>
      <c r="K314" s="4" cm="1">
        <f t="array" ref="K314">INDEX(Sheet1!H:H,$G314)</f>
        <v>1E-3</v>
      </c>
      <c r="L314" s="4">
        <f t="shared" si="16"/>
        <v>12</v>
      </c>
      <c r="M314" s="4">
        <f t="shared" si="19"/>
        <v>5</v>
      </c>
    </row>
    <row r="315" spans="1:13">
      <c r="A315" s="4" t="str" cm="1">
        <f t="array" ref="A315">INDEX(Sheet1!A:A,$F315)</f>
        <v>M</v>
      </c>
      <c r="B315" s="4" t="str" cm="1">
        <f t="array" ref="B315">INDEX(Sheet1!B:B,$F315)</f>
        <v>Non-Pref NS</v>
      </c>
      <c r="C315" s="4">
        <f t="shared" si="17"/>
        <v>13</v>
      </c>
      <c r="D315" s="5" cm="1">
        <f t="array" aca="1" ref="D315" ca="1">OFFSET(INDIRECT("'["&amp;$H315&amp;"]"&amp;$I315&amp;"'!"&amp;$J315),$L315,$M315)*$K315</f>
        <v>9.7999999999999997E-4</v>
      </c>
      <c r="F315" s="4">
        <f t="shared" si="18"/>
        <v>5</v>
      </c>
      <c r="G315" s="4" cm="1">
        <f t="array" ref="G315">IF($C315+$M315&lt;16,INDEX(Sheet1!C:C,$F315),$F315)</f>
        <v>5</v>
      </c>
      <c r="H315" s="4" t="str" cm="1">
        <f t="array" ref="H315">INDEX(Sheet1!D:D,$G315)</f>
        <v>2001-cso-preferred-class-structure-mortality-tables.xls</v>
      </c>
      <c r="I315" s="4" t="str" cm="1">
        <f t="array" ref="I315">INDEX(Sheet1!E:E,$G315)</f>
        <v>A.1.a.iii</v>
      </c>
      <c r="J315" s="4" t="str" cm="1">
        <f t="array" ref="J315">INDEX(Sheet1!F:F,$G315)</f>
        <v>B8</v>
      </c>
      <c r="K315" s="4" cm="1">
        <f t="array" ref="K315">INDEX(Sheet1!H:H,$G315)</f>
        <v>1E-3</v>
      </c>
      <c r="L315" s="4">
        <f t="shared" si="16"/>
        <v>13</v>
      </c>
      <c r="M315" s="4">
        <f t="shared" si="19"/>
        <v>5</v>
      </c>
    </row>
    <row r="316" spans="1:13">
      <c r="A316" s="4" t="str" cm="1">
        <f t="array" ref="A316">INDEX(Sheet1!A:A,$F316)</f>
        <v>M</v>
      </c>
      <c r="B316" s="4" t="str" cm="1">
        <f t="array" ref="B316">INDEX(Sheet1!B:B,$F316)</f>
        <v>Non-Pref NS</v>
      </c>
      <c r="C316" s="4">
        <f t="shared" si="17"/>
        <v>14</v>
      </c>
      <c r="D316" s="5" cm="1">
        <f t="array" aca="1" ref="D316" ca="1">OFFSET(INDIRECT("'["&amp;$H316&amp;"]"&amp;$I316&amp;"'!"&amp;$J316),$L316,$M316)*$K316</f>
        <v>9.8999999999999999E-4</v>
      </c>
      <c r="F316" s="4">
        <f t="shared" si="18"/>
        <v>5</v>
      </c>
      <c r="G316" s="4" cm="1">
        <f t="array" ref="G316">IF($C316+$M316&lt;16,INDEX(Sheet1!C:C,$F316),$F316)</f>
        <v>5</v>
      </c>
      <c r="H316" s="4" t="str" cm="1">
        <f t="array" ref="H316">INDEX(Sheet1!D:D,$G316)</f>
        <v>2001-cso-preferred-class-structure-mortality-tables.xls</v>
      </c>
      <c r="I316" s="4" t="str" cm="1">
        <f t="array" ref="I316">INDEX(Sheet1!E:E,$G316)</f>
        <v>A.1.a.iii</v>
      </c>
      <c r="J316" s="4" t="str" cm="1">
        <f t="array" ref="J316">INDEX(Sheet1!F:F,$G316)</f>
        <v>B8</v>
      </c>
      <c r="K316" s="4" cm="1">
        <f t="array" ref="K316">INDEX(Sheet1!H:H,$G316)</f>
        <v>1E-3</v>
      </c>
      <c r="L316" s="4">
        <f t="shared" si="16"/>
        <v>14</v>
      </c>
      <c r="M316" s="4">
        <f t="shared" si="19"/>
        <v>5</v>
      </c>
    </row>
    <row r="317" spans="1:13">
      <c r="A317" s="4" t="str" cm="1">
        <f t="array" ref="A317">INDEX(Sheet1!A:A,$F317)</f>
        <v>M</v>
      </c>
      <c r="B317" s="4" t="str" cm="1">
        <f t="array" ref="B317">INDEX(Sheet1!B:B,$F317)</f>
        <v>Non-Pref NS</v>
      </c>
      <c r="C317" s="4">
        <f t="shared" si="17"/>
        <v>15</v>
      </c>
      <c r="D317" s="5" cm="1">
        <f t="array" aca="1" ref="D317" ca="1">OFFSET(INDIRECT("'["&amp;$H317&amp;"]"&amp;$I317&amp;"'!"&amp;$J317),$L317,$M317)*$K317</f>
        <v>9.8999999999999999E-4</v>
      </c>
      <c r="F317" s="4">
        <f t="shared" si="18"/>
        <v>5</v>
      </c>
      <c r="G317" s="4" cm="1">
        <f t="array" ref="G317">IF($C317+$M317&lt;16,INDEX(Sheet1!C:C,$F317),$F317)</f>
        <v>5</v>
      </c>
      <c r="H317" s="4" t="str" cm="1">
        <f t="array" ref="H317">INDEX(Sheet1!D:D,$G317)</f>
        <v>2001-cso-preferred-class-structure-mortality-tables.xls</v>
      </c>
      <c r="I317" s="4" t="str" cm="1">
        <f t="array" ref="I317">INDEX(Sheet1!E:E,$G317)</f>
        <v>A.1.a.iii</v>
      </c>
      <c r="J317" s="4" t="str" cm="1">
        <f t="array" ref="J317">INDEX(Sheet1!F:F,$G317)</f>
        <v>B8</v>
      </c>
      <c r="K317" s="4" cm="1">
        <f t="array" ref="K317">INDEX(Sheet1!H:H,$G317)</f>
        <v>1E-3</v>
      </c>
      <c r="L317" s="4">
        <f t="shared" si="16"/>
        <v>15</v>
      </c>
      <c r="M317" s="4">
        <f t="shared" si="19"/>
        <v>5</v>
      </c>
    </row>
    <row r="318" spans="1:13">
      <c r="A318" s="4" t="str" cm="1">
        <f t="array" ref="A318">INDEX(Sheet1!A:A,$F318)</f>
        <v>M</v>
      </c>
      <c r="B318" s="4" t="str" cm="1">
        <f t="array" ref="B318">INDEX(Sheet1!B:B,$F318)</f>
        <v>Non-Pref NS</v>
      </c>
      <c r="C318" s="4">
        <f t="shared" si="17"/>
        <v>16</v>
      </c>
      <c r="D318" s="5" cm="1">
        <f t="array" aca="1" ref="D318" ca="1">OFFSET(INDIRECT("'["&amp;$H318&amp;"]"&amp;$I318&amp;"'!"&amp;$J318),$L318,$M318)*$K318</f>
        <v>9.7999999999999997E-4</v>
      </c>
      <c r="F318" s="4">
        <f t="shared" si="18"/>
        <v>5</v>
      </c>
      <c r="G318" s="4" cm="1">
        <f t="array" ref="G318">IF($C318+$M318&lt;16,INDEX(Sheet1!C:C,$F318),$F318)</f>
        <v>5</v>
      </c>
      <c r="H318" s="4" t="str" cm="1">
        <f t="array" ref="H318">INDEX(Sheet1!D:D,$G318)</f>
        <v>2001-cso-preferred-class-structure-mortality-tables.xls</v>
      </c>
      <c r="I318" s="4" t="str" cm="1">
        <f t="array" ref="I318">INDEX(Sheet1!E:E,$G318)</f>
        <v>A.1.a.iii</v>
      </c>
      <c r="J318" s="4" t="str" cm="1">
        <f t="array" ref="J318">INDEX(Sheet1!F:F,$G318)</f>
        <v>B8</v>
      </c>
      <c r="K318" s="4" cm="1">
        <f t="array" ref="K318">INDEX(Sheet1!H:H,$G318)</f>
        <v>1E-3</v>
      </c>
      <c r="L318" s="4">
        <f t="shared" si="16"/>
        <v>16</v>
      </c>
      <c r="M318" s="4">
        <f t="shared" si="19"/>
        <v>5</v>
      </c>
    </row>
    <row r="319" spans="1:13">
      <c r="A319" s="4" t="str" cm="1">
        <f t="array" ref="A319">INDEX(Sheet1!A:A,$F319)</f>
        <v>M</v>
      </c>
      <c r="B319" s="4" t="str" cm="1">
        <f t="array" ref="B319">INDEX(Sheet1!B:B,$F319)</f>
        <v>Non-Pref NS</v>
      </c>
      <c r="C319" s="4">
        <f t="shared" si="17"/>
        <v>17</v>
      </c>
      <c r="D319" s="5" cm="1">
        <f t="array" aca="1" ref="D319" ca="1">OFFSET(INDIRECT("'["&amp;$H319&amp;"]"&amp;$I319&amp;"'!"&amp;$J319),$L319,$M319)*$K319</f>
        <v>9.7999999999999997E-4</v>
      </c>
      <c r="F319" s="4">
        <f t="shared" si="18"/>
        <v>5</v>
      </c>
      <c r="G319" s="4" cm="1">
        <f t="array" ref="G319">IF($C319+$M319&lt;16,INDEX(Sheet1!C:C,$F319),$F319)</f>
        <v>5</v>
      </c>
      <c r="H319" s="4" t="str" cm="1">
        <f t="array" ref="H319">INDEX(Sheet1!D:D,$G319)</f>
        <v>2001-cso-preferred-class-structure-mortality-tables.xls</v>
      </c>
      <c r="I319" s="4" t="str" cm="1">
        <f t="array" ref="I319">INDEX(Sheet1!E:E,$G319)</f>
        <v>A.1.a.iii</v>
      </c>
      <c r="J319" s="4" t="str" cm="1">
        <f t="array" ref="J319">INDEX(Sheet1!F:F,$G319)</f>
        <v>B8</v>
      </c>
      <c r="K319" s="4" cm="1">
        <f t="array" ref="K319">INDEX(Sheet1!H:H,$G319)</f>
        <v>1E-3</v>
      </c>
      <c r="L319" s="4">
        <f t="shared" si="16"/>
        <v>17</v>
      </c>
      <c r="M319" s="4">
        <f t="shared" si="19"/>
        <v>5</v>
      </c>
    </row>
    <row r="320" spans="1:13">
      <c r="A320" s="4" t="str" cm="1">
        <f t="array" ref="A320">INDEX(Sheet1!A:A,$F320)</f>
        <v>M</v>
      </c>
      <c r="B320" s="4" t="str" cm="1">
        <f t="array" ref="B320">INDEX(Sheet1!B:B,$F320)</f>
        <v>Non-Pref NS</v>
      </c>
      <c r="C320" s="4">
        <f t="shared" si="17"/>
        <v>18</v>
      </c>
      <c r="D320" s="5" cm="1">
        <f t="array" aca="1" ref="D320" ca="1">OFFSET(INDIRECT("'["&amp;$H320&amp;"]"&amp;$I320&amp;"'!"&amp;$J320),$L320,$M320)*$K320</f>
        <v>9.6999999999999994E-4</v>
      </c>
      <c r="F320" s="4">
        <f t="shared" si="18"/>
        <v>5</v>
      </c>
      <c r="G320" s="4" cm="1">
        <f t="array" ref="G320">IF($C320+$M320&lt;16,INDEX(Sheet1!C:C,$F320),$F320)</f>
        <v>5</v>
      </c>
      <c r="H320" s="4" t="str" cm="1">
        <f t="array" ref="H320">INDEX(Sheet1!D:D,$G320)</f>
        <v>2001-cso-preferred-class-structure-mortality-tables.xls</v>
      </c>
      <c r="I320" s="4" t="str" cm="1">
        <f t="array" ref="I320">INDEX(Sheet1!E:E,$G320)</f>
        <v>A.1.a.iii</v>
      </c>
      <c r="J320" s="4" t="str" cm="1">
        <f t="array" ref="J320">INDEX(Sheet1!F:F,$G320)</f>
        <v>B8</v>
      </c>
      <c r="K320" s="4" cm="1">
        <f t="array" ref="K320">INDEX(Sheet1!H:H,$G320)</f>
        <v>1E-3</v>
      </c>
      <c r="L320" s="4">
        <f t="shared" si="16"/>
        <v>18</v>
      </c>
      <c r="M320" s="4">
        <f t="shared" si="19"/>
        <v>5</v>
      </c>
    </row>
    <row r="321" spans="1:13">
      <c r="A321" s="4" t="str" cm="1">
        <f t="array" ref="A321">INDEX(Sheet1!A:A,$F321)</f>
        <v>M</v>
      </c>
      <c r="B321" s="4" t="str" cm="1">
        <f t="array" ref="B321">INDEX(Sheet1!B:B,$F321)</f>
        <v>Non-Pref NS</v>
      </c>
      <c r="C321" s="4">
        <f t="shared" si="17"/>
        <v>19</v>
      </c>
      <c r="D321" s="5" cm="1">
        <f t="array" aca="1" ref="D321" ca="1">OFFSET(INDIRECT("'["&amp;$H321&amp;"]"&amp;$I321&amp;"'!"&amp;$J321),$L321,$M321)*$K321</f>
        <v>9.3999999999999997E-4</v>
      </c>
      <c r="F321" s="4">
        <f t="shared" si="18"/>
        <v>5</v>
      </c>
      <c r="G321" s="4" cm="1">
        <f t="array" ref="G321">IF($C321+$M321&lt;16,INDEX(Sheet1!C:C,$F321),$F321)</f>
        <v>5</v>
      </c>
      <c r="H321" s="4" t="str" cm="1">
        <f t="array" ref="H321">INDEX(Sheet1!D:D,$G321)</f>
        <v>2001-cso-preferred-class-structure-mortality-tables.xls</v>
      </c>
      <c r="I321" s="4" t="str" cm="1">
        <f t="array" ref="I321">INDEX(Sheet1!E:E,$G321)</f>
        <v>A.1.a.iii</v>
      </c>
      <c r="J321" s="4" t="str" cm="1">
        <f t="array" ref="J321">INDEX(Sheet1!F:F,$G321)</f>
        <v>B8</v>
      </c>
      <c r="K321" s="4" cm="1">
        <f t="array" ref="K321">INDEX(Sheet1!H:H,$G321)</f>
        <v>1E-3</v>
      </c>
      <c r="L321" s="4">
        <f t="shared" si="16"/>
        <v>19</v>
      </c>
      <c r="M321" s="4">
        <f t="shared" si="19"/>
        <v>5</v>
      </c>
    </row>
    <row r="322" spans="1:13">
      <c r="A322" s="4" t="str" cm="1">
        <f t="array" ref="A322">INDEX(Sheet1!A:A,$F322)</f>
        <v>M</v>
      </c>
      <c r="B322" s="4" t="str" cm="1">
        <f t="array" ref="B322">INDEX(Sheet1!B:B,$F322)</f>
        <v>Non-Pref NS</v>
      </c>
      <c r="C322" s="4">
        <f t="shared" si="17"/>
        <v>20</v>
      </c>
      <c r="D322" s="5" cm="1">
        <f t="array" aca="1" ref="D322" ca="1">OFFSET(INDIRECT("'["&amp;$H322&amp;"]"&amp;$I322&amp;"'!"&amp;$J322),$L322,$M322)*$K322</f>
        <v>9.0000000000000008E-4</v>
      </c>
      <c r="F322" s="4">
        <f t="shared" si="18"/>
        <v>5</v>
      </c>
      <c r="G322" s="4" cm="1">
        <f t="array" ref="G322">IF($C322+$M322&lt;16,INDEX(Sheet1!C:C,$F322),$F322)</f>
        <v>5</v>
      </c>
      <c r="H322" s="4" t="str" cm="1">
        <f t="array" ref="H322">INDEX(Sheet1!D:D,$G322)</f>
        <v>2001-cso-preferred-class-structure-mortality-tables.xls</v>
      </c>
      <c r="I322" s="4" t="str" cm="1">
        <f t="array" ref="I322">INDEX(Sheet1!E:E,$G322)</f>
        <v>A.1.a.iii</v>
      </c>
      <c r="J322" s="4" t="str" cm="1">
        <f t="array" ref="J322">INDEX(Sheet1!F:F,$G322)</f>
        <v>B8</v>
      </c>
      <c r="K322" s="4" cm="1">
        <f t="array" ref="K322">INDEX(Sheet1!H:H,$G322)</f>
        <v>1E-3</v>
      </c>
      <c r="L322" s="4">
        <f t="shared" si="16"/>
        <v>20</v>
      </c>
      <c r="M322" s="4">
        <f t="shared" si="19"/>
        <v>5</v>
      </c>
    </row>
    <row r="323" spans="1:13">
      <c r="A323" s="4" t="str" cm="1">
        <f t="array" ref="A323">INDEX(Sheet1!A:A,$F323)</f>
        <v>M</v>
      </c>
      <c r="B323" s="4" t="str" cm="1">
        <f t="array" ref="B323">INDEX(Sheet1!B:B,$F323)</f>
        <v>Non-Pref NS</v>
      </c>
      <c r="C323" s="4">
        <f t="shared" si="17"/>
        <v>21</v>
      </c>
      <c r="D323" s="5" cm="1">
        <f t="array" aca="1" ref="D323" ca="1">OFFSET(INDIRECT("'["&amp;$H323&amp;"]"&amp;$I323&amp;"'!"&amp;$J323),$L323,$M323)*$K323</f>
        <v>8.5999999999999998E-4</v>
      </c>
      <c r="F323" s="4">
        <f t="shared" si="18"/>
        <v>5</v>
      </c>
      <c r="G323" s="4" cm="1">
        <f t="array" ref="G323">IF($C323+$M323&lt;16,INDEX(Sheet1!C:C,$F323),$F323)</f>
        <v>5</v>
      </c>
      <c r="H323" s="4" t="str" cm="1">
        <f t="array" ref="H323">INDEX(Sheet1!D:D,$G323)</f>
        <v>2001-cso-preferred-class-structure-mortality-tables.xls</v>
      </c>
      <c r="I323" s="4" t="str" cm="1">
        <f t="array" ref="I323">INDEX(Sheet1!E:E,$G323)</f>
        <v>A.1.a.iii</v>
      </c>
      <c r="J323" s="4" t="str" cm="1">
        <f t="array" ref="J323">INDEX(Sheet1!F:F,$G323)</f>
        <v>B8</v>
      </c>
      <c r="K323" s="4" cm="1">
        <f t="array" ref="K323">INDEX(Sheet1!H:H,$G323)</f>
        <v>1E-3</v>
      </c>
      <c r="L323" s="4">
        <f t="shared" ref="L323:L386" si="20">C323</f>
        <v>21</v>
      </c>
      <c r="M323" s="4">
        <f t="shared" si="19"/>
        <v>5</v>
      </c>
    </row>
    <row r="324" spans="1:13">
      <c r="A324" s="4" t="str" cm="1">
        <f t="array" ref="A324">INDEX(Sheet1!A:A,$F324)</f>
        <v>M</v>
      </c>
      <c r="B324" s="4" t="str" cm="1">
        <f t="array" ref="B324">INDEX(Sheet1!B:B,$F324)</f>
        <v>Non-Pref NS</v>
      </c>
      <c r="C324" s="4">
        <f t="shared" ref="C324:C387" si="21">IF(C323=99,0,C323+1)</f>
        <v>22</v>
      </c>
      <c r="D324" s="5" cm="1">
        <f t="array" aca="1" ref="D324" ca="1">OFFSET(INDIRECT("'["&amp;$H324&amp;"]"&amp;$I324&amp;"'!"&amp;$J324),$L324,$M324)*$K324</f>
        <v>8.1999999999999998E-4</v>
      </c>
      <c r="F324" s="4">
        <f t="shared" ref="F324:F387" si="22">IF(C324=0,1,0)+F323</f>
        <v>5</v>
      </c>
      <c r="G324" s="4" cm="1">
        <f t="array" ref="G324">IF($C324+$M324&lt;16,INDEX(Sheet1!C:C,$F324),$F324)</f>
        <v>5</v>
      </c>
      <c r="H324" s="4" t="str" cm="1">
        <f t="array" ref="H324">INDEX(Sheet1!D:D,$G324)</f>
        <v>2001-cso-preferred-class-structure-mortality-tables.xls</v>
      </c>
      <c r="I324" s="4" t="str" cm="1">
        <f t="array" ref="I324">INDEX(Sheet1!E:E,$G324)</f>
        <v>A.1.a.iii</v>
      </c>
      <c r="J324" s="4" t="str" cm="1">
        <f t="array" ref="J324">INDEX(Sheet1!F:F,$G324)</f>
        <v>B8</v>
      </c>
      <c r="K324" s="4" cm="1">
        <f t="array" ref="K324">INDEX(Sheet1!H:H,$G324)</f>
        <v>1E-3</v>
      </c>
      <c r="L324" s="4">
        <f t="shared" si="20"/>
        <v>22</v>
      </c>
      <c r="M324" s="4">
        <f t="shared" ref="L324:M387" si="23">M$2</f>
        <v>5</v>
      </c>
    </row>
    <row r="325" spans="1:13">
      <c r="A325" s="4" t="str" cm="1">
        <f t="array" ref="A325">INDEX(Sheet1!A:A,$F325)</f>
        <v>M</v>
      </c>
      <c r="B325" s="4" t="str" cm="1">
        <f t="array" ref="B325">INDEX(Sheet1!B:B,$F325)</f>
        <v>Non-Pref NS</v>
      </c>
      <c r="C325" s="4">
        <f t="shared" si="21"/>
        <v>23</v>
      </c>
      <c r="D325" s="5" cm="1">
        <f t="array" aca="1" ref="D325" ca="1">OFFSET(INDIRECT("'["&amp;$H325&amp;"]"&amp;$I325&amp;"'!"&amp;$J325),$L325,$M325)*$K325</f>
        <v>8.1000000000000006E-4</v>
      </c>
      <c r="F325" s="4">
        <f t="shared" si="22"/>
        <v>5</v>
      </c>
      <c r="G325" s="4" cm="1">
        <f t="array" ref="G325">IF($C325+$M325&lt;16,INDEX(Sheet1!C:C,$F325),$F325)</f>
        <v>5</v>
      </c>
      <c r="H325" s="4" t="str" cm="1">
        <f t="array" ref="H325">INDEX(Sheet1!D:D,$G325)</f>
        <v>2001-cso-preferred-class-structure-mortality-tables.xls</v>
      </c>
      <c r="I325" s="4" t="str" cm="1">
        <f t="array" ref="I325">INDEX(Sheet1!E:E,$G325)</f>
        <v>A.1.a.iii</v>
      </c>
      <c r="J325" s="4" t="str" cm="1">
        <f t="array" ref="J325">INDEX(Sheet1!F:F,$G325)</f>
        <v>B8</v>
      </c>
      <c r="K325" s="4" cm="1">
        <f t="array" ref="K325">INDEX(Sheet1!H:H,$G325)</f>
        <v>1E-3</v>
      </c>
      <c r="L325" s="4">
        <f t="shared" si="20"/>
        <v>23</v>
      </c>
      <c r="M325" s="4">
        <f t="shared" si="23"/>
        <v>5</v>
      </c>
    </row>
    <row r="326" spans="1:13">
      <c r="A326" s="4" t="str" cm="1">
        <f t="array" ref="A326">INDEX(Sheet1!A:A,$F326)</f>
        <v>M</v>
      </c>
      <c r="B326" s="4" t="str" cm="1">
        <f t="array" ref="B326">INDEX(Sheet1!B:B,$F326)</f>
        <v>Non-Pref NS</v>
      </c>
      <c r="C326" s="4">
        <f t="shared" si="21"/>
        <v>24</v>
      </c>
      <c r="D326" s="5" cm="1">
        <f t="array" aca="1" ref="D326" ca="1">OFFSET(INDIRECT("'["&amp;$H326&amp;"]"&amp;$I326&amp;"'!"&amp;$J326),$L326,$M326)*$K326</f>
        <v>8.0000000000000004E-4</v>
      </c>
      <c r="F326" s="4">
        <f t="shared" si="22"/>
        <v>5</v>
      </c>
      <c r="G326" s="4" cm="1">
        <f t="array" ref="G326">IF($C326+$M326&lt;16,INDEX(Sheet1!C:C,$F326),$F326)</f>
        <v>5</v>
      </c>
      <c r="H326" s="4" t="str" cm="1">
        <f t="array" ref="H326">INDEX(Sheet1!D:D,$G326)</f>
        <v>2001-cso-preferred-class-structure-mortality-tables.xls</v>
      </c>
      <c r="I326" s="4" t="str" cm="1">
        <f t="array" ref="I326">INDEX(Sheet1!E:E,$G326)</f>
        <v>A.1.a.iii</v>
      </c>
      <c r="J326" s="4" t="str" cm="1">
        <f t="array" ref="J326">INDEX(Sheet1!F:F,$G326)</f>
        <v>B8</v>
      </c>
      <c r="K326" s="4" cm="1">
        <f t="array" ref="K326">INDEX(Sheet1!H:H,$G326)</f>
        <v>1E-3</v>
      </c>
      <c r="L326" s="4">
        <f t="shared" si="20"/>
        <v>24</v>
      </c>
      <c r="M326" s="4">
        <f t="shared" si="23"/>
        <v>5</v>
      </c>
    </row>
    <row r="327" spans="1:13">
      <c r="A327" s="4" t="str" cm="1">
        <f t="array" ref="A327">INDEX(Sheet1!A:A,$F327)</f>
        <v>M</v>
      </c>
      <c r="B327" s="4" t="str" cm="1">
        <f t="array" ref="B327">INDEX(Sheet1!B:B,$F327)</f>
        <v>Non-Pref NS</v>
      </c>
      <c r="C327" s="4">
        <f t="shared" si="21"/>
        <v>25</v>
      </c>
      <c r="D327" s="5" cm="1">
        <f t="array" aca="1" ref="D327" ca="1">OFFSET(INDIRECT("'["&amp;$H327&amp;"]"&amp;$I327&amp;"'!"&amp;$J327),$L327,$M327)*$K327</f>
        <v>8.1000000000000006E-4</v>
      </c>
      <c r="F327" s="4">
        <f t="shared" si="22"/>
        <v>5</v>
      </c>
      <c r="G327" s="4" cm="1">
        <f t="array" ref="G327">IF($C327+$M327&lt;16,INDEX(Sheet1!C:C,$F327),$F327)</f>
        <v>5</v>
      </c>
      <c r="H327" s="4" t="str" cm="1">
        <f t="array" ref="H327">INDEX(Sheet1!D:D,$G327)</f>
        <v>2001-cso-preferred-class-structure-mortality-tables.xls</v>
      </c>
      <c r="I327" s="4" t="str" cm="1">
        <f t="array" ref="I327">INDEX(Sheet1!E:E,$G327)</f>
        <v>A.1.a.iii</v>
      </c>
      <c r="J327" s="4" t="str" cm="1">
        <f t="array" ref="J327">INDEX(Sheet1!F:F,$G327)</f>
        <v>B8</v>
      </c>
      <c r="K327" s="4" cm="1">
        <f t="array" ref="K327">INDEX(Sheet1!H:H,$G327)</f>
        <v>1E-3</v>
      </c>
      <c r="L327" s="4">
        <f t="shared" si="20"/>
        <v>25</v>
      </c>
      <c r="M327" s="4">
        <f t="shared" si="23"/>
        <v>5</v>
      </c>
    </row>
    <row r="328" spans="1:13">
      <c r="A328" s="4" t="str" cm="1">
        <f t="array" ref="A328">INDEX(Sheet1!A:A,$F328)</f>
        <v>M</v>
      </c>
      <c r="B328" s="4" t="str" cm="1">
        <f t="array" ref="B328">INDEX(Sheet1!B:B,$F328)</f>
        <v>Non-Pref NS</v>
      </c>
      <c r="C328" s="4">
        <f t="shared" si="21"/>
        <v>26</v>
      </c>
      <c r="D328" s="5" cm="1">
        <f t="array" aca="1" ref="D328" ca="1">OFFSET(INDIRECT("'["&amp;$H328&amp;"]"&amp;$I328&amp;"'!"&amp;$J328),$L328,$M328)*$K328</f>
        <v>8.4000000000000003E-4</v>
      </c>
      <c r="F328" s="4">
        <f t="shared" si="22"/>
        <v>5</v>
      </c>
      <c r="G328" s="4" cm="1">
        <f t="array" ref="G328">IF($C328+$M328&lt;16,INDEX(Sheet1!C:C,$F328),$F328)</f>
        <v>5</v>
      </c>
      <c r="H328" s="4" t="str" cm="1">
        <f t="array" ref="H328">INDEX(Sheet1!D:D,$G328)</f>
        <v>2001-cso-preferred-class-structure-mortality-tables.xls</v>
      </c>
      <c r="I328" s="4" t="str" cm="1">
        <f t="array" ref="I328">INDEX(Sheet1!E:E,$G328)</f>
        <v>A.1.a.iii</v>
      </c>
      <c r="J328" s="4" t="str" cm="1">
        <f t="array" ref="J328">INDEX(Sheet1!F:F,$G328)</f>
        <v>B8</v>
      </c>
      <c r="K328" s="4" cm="1">
        <f t="array" ref="K328">INDEX(Sheet1!H:H,$G328)</f>
        <v>1E-3</v>
      </c>
      <c r="L328" s="4">
        <f t="shared" si="20"/>
        <v>26</v>
      </c>
      <c r="M328" s="4">
        <f t="shared" si="23"/>
        <v>5</v>
      </c>
    </row>
    <row r="329" spans="1:13">
      <c r="A329" s="4" t="str" cm="1">
        <f t="array" ref="A329">INDEX(Sheet1!A:A,$F329)</f>
        <v>M</v>
      </c>
      <c r="B329" s="4" t="str" cm="1">
        <f t="array" ref="B329">INDEX(Sheet1!B:B,$F329)</f>
        <v>Non-Pref NS</v>
      </c>
      <c r="C329" s="4">
        <f t="shared" si="21"/>
        <v>27</v>
      </c>
      <c r="D329" s="5" cm="1">
        <f t="array" aca="1" ref="D329" ca="1">OFFSET(INDIRECT("'["&amp;$H329&amp;"]"&amp;$I329&amp;"'!"&amp;$J329),$L329,$M329)*$K329</f>
        <v>8.5999999999999998E-4</v>
      </c>
      <c r="F329" s="4">
        <f t="shared" si="22"/>
        <v>5</v>
      </c>
      <c r="G329" s="4" cm="1">
        <f t="array" ref="G329">IF($C329+$M329&lt;16,INDEX(Sheet1!C:C,$F329),$F329)</f>
        <v>5</v>
      </c>
      <c r="H329" s="4" t="str" cm="1">
        <f t="array" ref="H329">INDEX(Sheet1!D:D,$G329)</f>
        <v>2001-cso-preferred-class-structure-mortality-tables.xls</v>
      </c>
      <c r="I329" s="4" t="str" cm="1">
        <f t="array" ref="I329">INDEX(Sheet1!E:E,$G329)</f>
        <v>A.1.a.iii</v>
      </c>
      <c r="J329" s="4" t="str" cm="1">
        <f t="array" ref="J329">INDEX(Sheet1!F:F,$G329)</f>
        <v>B8</v>
      </c>
      <c r="K329" s="4" cm="1">
        <f t="array" ref="K329">INDEX(Sheet1!H:H,$G329)</f>
        <v>1E-3</v>
      </c>
      <c r="L329" s="4">
        <f t="shared" si="20"/>
        <v>27</v>
      </c>
      <c r="M329" s="4">
        <f t="shared" si="23"/>
        <v>5</v>
      </c>
    </row>
    <row r="330" spans="1:13">
      <c r="A330" s="4" t="str" cm="1">
        <f t="array" ref="A330">INDEX(Sheet1!A:A,$F330)</f>
        <v>M</v>
      </c>
      <c r="B330" s="4" t="str" cm="1">
        <f t="array" ref="B330">INDEX(Sheet1!B:B,$F330)</f>
        <v>Non-Pref NS</v>
      </c>
      <c r="C330" s="4">
        <f t="shared" si="21"/>
        <v>28</v>
      </c>
      <c r="D330" s="5" cm="1">
        <f t="array" aca="1" ref="D330" ca="1">OFFSET(INDIRECT("'["&amp;$H330&amp;"]"&amp;$I330&amp;"'!"&amp;$J330),$L330,$M330)*$K330</f>
        <v>9.0000000000000008E-4</v>
      </c>
      <c r="F330" s="4">
        <f t="shared" si="22"/>
        <v>5</v>
      </c>
      <c r="G330" s="4" cm="1">
        <f t="array" ref="G330">IF($C330+$M330&lt;16,INDEX(Sheet1!C:C,$F330),$F330)</f>
        <v>5</v>
      </c>
      <c r="H330" s="4" t="str" cm="1">
        <f t="array" ref="H330">INDEX(Sheet1!D:D,$G330)</f>
        <v>2001-cso-preferred-class-structure-mortality-tables.xls</v>
      </c>
      <c r="I330" s="4" t="str" cm="1">
        <f t="array" ref="I330">INDEX(Sheet1!E:E,$G330)</f>
        <v>A.1.a.iii</v>
      </c>
      <c r="J330" s="4" t="str" cm="1">
        <f t="array" ref="J330">INDEX(Sheet1!F:F,$G330)</f>
        <v>B8</v>
      </c>
      <c r="K330" s="4" cm="1">
        <f t="array" ref="K330">INDEX(Sheet1!H:H,$G330)</f>
        <v>1E-3</v>
      </c>
      <c r="L330" s="4">
        <f t="shared" si="20"/>
        <v>28</v>
      </c>
      <c r="M330" s="4">
        <f t="shared" si="23"/>
        <v>5</v>
      </c>
    </row>
    <row r="331" spans="1:13">
      <c r="A331" s="4" t="str" cm="1">
        <f t="array" ref="A331">INDEX(Sheet1!A:A,$F331)</f>
        <v>M</v>
      </c>
      <c r="B331" s="4" t="str" cm="1">
        <f t="array" ref="B331">INDEX(Sheet1!B:B,$F331)</f>
        <v>Non-Pref NS</v>
      </c>
      <c r="C331" s="4">
        <f t="shared" si="21"/>
        <v>29</v>
      </c>
      <c r="D331" s="5" cm="1">
        <f t="array" aca="1" ref="D331" ca="1">OFFSET(INDIRECT("'["&amp;$H331&amp;"]"&amp;$I331&amp;"'!"&amp;$J331),$L331,$M331)*$K331</f>
        <v>9.5E-4</v>
      </c>
      <c r="F331" s="4">
        <f t="shared" si="22"/>
        <v>5</v>
      </c>
      <c r="G331" s="4" cm="1">
        <f t="array" ref="G331">IF($C331+$M331&lt;16,INDEX(Sheet1!C:C,$F331),$F331)</f>
        <v>5</v>
      </c>
      <c r="H331" s="4" t="str" cm="1">
        <f t="array" ref="H331">INDEX(Sheet1!D:D,$G331)</f>
        <v>2001-cso-preferred-class-structure-mortality-tables.xls</v>
      </c>
      <c r="I331" s="4" t="str" cm="1">
        <f t="array" ref="I331">INDEX(Sheet1!E:E,$G331)</f>
        <v>A.1.a.iii</v>
      </c>
      <c r="J331" s="4" t="str" cm="1">
        <f t="array" ref="J331">INDEX(Sheet1!F:F,$G331)</f>
        <v>B8</v>
      </c>
      <c r="K331" s="4" cm="1">
        <f t="array" ref="K331">INDEX(Sheet1!H:H,$G331)</f>
        <v>1E-3</v>
      </c>
      <c r="L331" s="4">
        <f t="shared" si="20"/>
        <v>29</v>
      </c>
      <c r="M331" s="4">
        <f t="shared" si="23"/>
        <v>5</v>
      </c>
    </row>
    <row r="332" spans="1:13">
      <c r="A332" s="4" t="str" cm="1">
        <f t="array" ref="A332">INDEX(Sheet1!A:A,$F332)</f>
        <v>M</v>
      </c>
      <c r="B332" s="4" t="str" cm="1">
        <f t="array" ref="B332">INDEX(Sheet1!B:B,$F332)</f>
        <v>Non-Pref NS</v>
      </c>
      <c r="C332" s="4">
        <f t="shared" si="21"/>
        <v>30</v>
      </c>
      <c r="D332" s="5" cm="1">
        <f t="array" aca="1" ref="D332" ca="1">OFFSET(INDIRECT("'["&amp;$H332&amp;"]"&amp;$I332&amp;"'!"&amp;$J332),$L332,$M332)*$K332</f>
        <v>1.0300000000000001E-3</v>
      </c>
      <c r="F332" s="4">
        <f t="shared" si="22"/>
        <v>5</v>
      </c>
      <c r="G332" s="4" cm="1">
        <f t="array" ref="G332">IF($C332+$M332&lt;16,INDEX(Sheet1!C:C,$F332),$F332)</f>
        <v>5</v>
      </c>
      <c r="H332" s="4" t="str" cm="1">
        <f t="array" ref="H332">INDEX(Sheet1!D:D,$G332)</f>
        <v>2001-cso-preferred-class-structure-mortality-tables.xls</v>
      </c>
      <c r="I332" s="4" t="str" cm="1">
        <f t="array" ref="I332">INDEX(Sheet1!E:E,$G332)</f>
        <v>A.1.a.iii</v>
      </c>
      <c r="J332" s="4" t="str" cm="1">
        <f t="array" ref="J332">INDEX(Sheet1!F:F,$G332)</f>
        <v>B8</v>
      </c>
      <c r="K332" s="4" cm="1">
        <f t="array" ref="K332">INDEX(Sheet1!H:H,$G332)</f>
        <v>1E-3</v>
      </c>
      <c r="L332" s="4">
        <f t="shared" si="20"/>
        <v>30</v>
      </c>
      <c r="M332" s="4">
        <f t="shared" si="23"/>
        <v>5</v>
      </c>
    </row>
    <row r="333" spans="1:13">
      <c r="A333" s="4" t="str" cm="1">
        <f t="array" ref="A333">INDEX(Sheet1!A:A,$F333)</f>
        <v>M</v>
      </c>
      <c r="B333" s="4" t="str" cm="1">
        <f t="array" ref="B333">INDEX(Sheet1!B:B,$F333)</f>
        <v>Non-Pref NS</v>
      </c>
      <c r="C333" s="4">
        <f t="shared" si="21"/>
        <v>31</v>
      </c>
      <c r="D333" s="5" cm="1">
        <f t="array" aca="1" ref="D333" ca="1">OFFSET(INDIRECT("'["&amp;$H333&amp;"]"&amp;$I333&amp;"'!"&amp;$J333),$L333,$M333)*$K333</f>
        <v>1.07E-3</v>
      </c>
      <c r="F333" s="4">
        <f t="shared" si="22"/>
        <v>5</v>
      </c>
      <c r="G333" s="4" cm="1">
        <f t="array" ref="G333">IF($C333+$M333&lt;16,INDEX(Sheet1!C:C,$F333),$F333)</f>
        <v>5</v>
      </c>
      <c r="H333" s="4" t="str" cm="1">
        <f t="array" ref="H333">INDEX(Sheet1!D:D,$G333)</f>
        <v>2001-cso-preferred-class-structure-mortality-tables.xls</v>
      </c>
      <c r="I333" s="4" t="str" cm="1">
        <f t="array" ref="I333">INDEX(Sheet1!E:E,$G333)</f>
        <v>A.1.a.iii</v>
      </c>
      <c r="J333" s="4" t="str" cm="1">
        <f t="array" ref="J333">INDEX(Sheet1!F:F,$G333)</f>
        <v>B8</v>
      </c>
      <c r="K333" s="4" cm="1">
        <f t="array" ref="K333">INDEX(Sheet1!H:H,$G333)</f>
        <v>1E-3</v>
      </c>
      <c r="L333" s="4">
        <f t="shared" si="20"/>
        <v>31</v>
      </c>
      <c r="M333" s="4">
        <f t="shared" si="23"/>
        <v>5</v>
      </c>
    </row>
    <row r="334" spans="1:13">
      <c r="A334" s="4" t="str" cm="1">
        <f t="array" ref="A334">INDEX(Sheet1!A:A,$F334)</f>
        <v>M</v>
      </c>
      <c r="B334" s="4" t="str" cm="1">
        <f t="array" ref="B334">INDEX(Sheet1!B:B,$F334)</f>
        <v>Non-Pref NS</v>
      </c>
      <c r="C334" s="4">
        <f t="shared" si="21"/>
        <v>32</v>
      </c>
      <c r="D334" s="5" cm="1">
        <f t="array" aca="1" ref="D334" ca="1">OFFSET(INDIRECT("'["&amp;$H334&amp;"]"&amp;$I334&amp;"'!"&amp;$J334),$L334,$M334)*$K334</f>
        <v>1.1000000000000001E-3</v>
      </c>
      <c r="F334" s="4">
        <f t="shared" si="22"/>
        <v>5</v>
      </c>
      <c r="G334" s="4" cm="1">
        <f t="array" ref="G334">IF($C334+$M334&lt;16,INDEX(Sheet1!C:C,$F334),$F334)</f>
        <v>5</v>
      </c>
      <c r="H334" s="4" t="str" cm="1">
        <f t="array" ref="H334">INDEX(Sheet1!D:D,$G334)</f>
        <v>2001-cso-preferred-class-structure-mortality-tables.xls</v>
      </c>
      <c r="I334" s="4" t="str" cm="1">
        <f t="array" ref="I334">INDEX(Sheet1!E:E,$G334)</f>
        <v>A.1.a.iii</v>
      </c>
      <c r="J334" s="4" t="str" cm="1">
        <f t="array" ref="J334">INDEX(Sheet1!F:F,$G334)</f>
        <v>B8</v>
      </c>
      <c r="K334" s="4" cm="1">
        <f t="array" ref="K334">INDEX(Sheet1!H:H,$G334)</f>
        <v>1E-3</v>
      </c>
      <c r="L334" s="4">
        <f t="shared" si="20"/>
        <v>32</v>
      </c>
      <c r="M334" s="4">
        <f t="shared" si="23"/>
        <v>5</v>
      </c>
    </row>
    <row r="335" spans="1:13">
      <c r="A335" s="4" t="str" cm="1">
        <f t="array" ref="A335">INDEX(Sheet1!A:A,$F335)</f>
        <v>M</v>
      </c>
      <c r="B335" s="4" t="str" cm="1">
        <f t="array" ref="B335">INDEX(Sheet1!B:B,$F335)</f>
        <v>Non-Pref NS</v>
      </c>
      <c r="C335" s="4">
        <f t="shared" si="21"/>
        <v>33</v>
      </c>
      <c r="D335" s="5" cm="1">
        <f t="array" aca="1" ref="D335" ca="1">OFFSET(INDIRECT("'["&amp;$H335&amp;"]"&amp;$I335&amp;"'!"&amp;$J335),$L335,$M335)*$K335</f>
        <v>1.16E-3</v>
      </c>
      <c r="F335" s="4">
        <f t="shared" si="22"/>
        <v>5</v>
      </c>
      <c r="G335" s="4" cm="1">
        <f t="array" ref="G335">IF($C335+$M335&lt;16,INDEX(Sheet1!C:C,$F335),$F335)</f>
        <v>5</v>
      </c>
      <c r="H335" s="4" t="str" cm="1">
        <f t="array" ref="H335">INDEX(Sheet1!D:D,$G335)</f>
        <v>2001-cso-preferred-class-structure-mortality-tables.xls</v>
      </c>
      <c r="I335" s="4" t="str" cm="1">
        <f t="array" ref="I335">INDEX(Sheet1!E:E,$G335)</f>
        <v>A.1.a.iii</v>
      </c>
      <c r="J335" s="4" t="str" cm="1">
        <f t="array" ref="J335">INDEX(Sheet1!F:F,$G335)</f>
        <v>B8</v>
      </c>
      <c r="K335" s="4" cm="1">
        <f t="array" ref="K335">INDEX(Sheet1!H:H,$G335)</f>
        <v>1E-3</v>
      </c>
      <c r="L335" s="4">
        <f t="shared" si="20"/>
        <v>33</v>
      </c>
      <c r="M335" s="4">
        <f t="shared" si="23"/>
        <v>5</v>
      </c>
    </row>
    <row r="336" spans="1:13">
      <c r="A336" s="4" t="str" cm="1">
        <f t="array" ref="A336">INDEX(Sheet1!A:A,$F336)</f>
        <v>M</v>
      </c>
      <c r="B336" s="4" t="str" cm="1">
        <f t="array" ref="B336">INDEX(Sheet1!B:B,$F336)</f>
        <v>Non-Pref NS</v>
      </c>
      <c r="C336" s="4">
        <f t="shared" si="21"/>
        <v>34</v>
      </c>
      <c r="D336" s="5" cm="1">
        <f t="array" aca="1" ref="D336" ca="1">OFFSET(INDIRECT("'["&amp;$H336&amp;"]"&amp;$I336&amp;"'!"&amp;$J336),$L336,$M336)*$K336</f>
        <v>1.23E-3</v>
      </c>
      <c r="F336" s="4">
        <f t="shared" si="22"/>
        <v>5</v>
      </c>
      <c r="G336" s="4" cm="1">
        <f t="array" ref="G336">IF($C336+$M336&lt;16,INDEX(Sheet1!C:C,$F336),$F336)</f>
        <v>5</v>
      </c>
      <c r="H336" s="4" t="str" cm="1">
        <f t="array" ref="H336">INDEX(Sheet1!D:D,$G336)</f>
        <v>2001-cso-preferred-class-structure-mortality-tables.xls</v>
      </c>
      <c r="I336" s="4" t="str" cm="1">
        <f t="array" ref="I336">INDEX(Sheet1!E:E,$G336)</f>
        <v>A.1.a.iii</v>
      </c>
      <c r="J336" s="4" t="str" cm="1">
        <f t="array" ref="J336">INDEX(Sheet1!F:F,$G336)</f>
        <v>B8</v>
      </c>
      <c r="K336" s="4" cm="1">
        <f t="array" ref="K336">INDEX(Sheet1!H:H,$G336)</f>
        <v>1E-3</v>
      </c>
      <c r="L336" s="4">
        <f t="shared" si="20"/>
        <v>34</v>
      </c>
      <c r="M336" s="4">
        <f t="shared" si="23"/>
        <v>5</v>
      </c>
    </row>
    <row r="337" spans="1:13">
      <c r="A337" s="4" t="str" cm="1">
        <f t="array" ref="A337">INDEX(Sheet1!A:A,$F337)</f>
        <v>M</v>
      </c>
      <c r="B337" s="4" t="str" cm="1">
        <f t="array" ref="B337">INDEX(Sheet1!B:B,$F337)</f>
        <v>Non-Pref NS</v>
      </c>
      <c r="C337" s="4">
        <f t="shared" si="21"/>
        <v>35</v>
      </c>
      <c r="D337" s="5" cm="1">
        <f t="array" aca="1" ref="D337" ca="1">OFFSET(INDIRECT("'["&amp;$H337&amp;"]"&amp;$I337&amp;"'!"&amp;$J337),$L337,$M337)*$K337</f>
        <v>1.2900000000000001E-3</v>
      </c>
      <c r="F337" s="4">
        <f t="shared" si="22"/>
        <v>5</v>
      </c>
      <c r="G337" s="4" cm="1">
        <f t="array" ref="G337">IF($C337+$M337&lt;16,INDEX(Sheet1!C:C,$F337),$F337)</f>
        <v>5</v>
      </c>
      <c r="H337" s="4" t="str" cm="1">
        <f t="array" ref="H337">INDEX(Sheet1!D:D,$G337)</f>
        <v>2001-cso-preferred-class-structure-mortality-tables.xls</v>
      </c>
      <c r="I337" s="4" t="str" cm="1">
        <f t="array" ref="I337">INDEX(Sheet1!E:E,$G337)</f>
        <v>A.1.a.iii</v>
      </c>
      <c r="J337" s="4" t="str" cm="1">
        <f t="array" ref="J337">INDEX(Sheet1!F:F,$G337)</f>
        <v>B8</v>
      </c>
      <c r="K337" s="4" cm="1">
        <f t="array" ref="K337">INDEX(Sheet1!H:H,$G337)</f>
        <v>1E-3</v>
      </c>
      <c r="L337" s="4">
        <f t="shared" si="20"/>
        <v>35</v>
      </c>
      <c r="M337" s="4">
        <f t="shared" si="23"/>
        <v>5</v>
      </c>
    </row>
    <row r="338" spans="1:13">
      <c r="A338" s="4" t="str" cm="1">
        <f t="array" ref="A338">INDEX(Sheet1!A:A,$F338)</f>
        <v>M</v>
      </c>
      <c r="B338" s="4" t="str" cm="1">
        <f t="array" ref="B338">INDEX(Sheet1!B:B,$F338)</f>
        <v>Non-Pref NS</v>
      </c>
      <c r="C338" s="4">
        <f t="shared" si="21"/>
        <v>36</v>
      </c>
      <c r="D338" s="5" cm="1">
        <f t="array" aca="1" ref="D338" ca="1">OFFSET(INDIRECT("'["&amp;$H338&amp;"]"&amp;$I338&amp;"'!"&amp;$J338),$L338,$M338)*$K338</f>
        <v>1.3500000000000001E-3</v>
      </c>
      <c r="F338" s="4">
        <f t="shared" si="22"/>
        <v>5</v>
      </c>
      <c r="G338" s="4" cm="1">
        <f t="array" ref="G338">IF($C338+$M338&lt;16,INDEX(Sheet1!C:C,$F338),$F338)</f>
        <v>5</v>
      </c>
      <c r="H338" s="4" t="str" cm="1">
        <f t="array" ref="H338">INDEX(Sheet1!D:D,$G338)</f>
        <v>2001-cso-preferred-class-structure-mortality-tables.xls</v>
      </c>
      <c r="I338" s="4" t="str" cm="1">
        <f t="array" ref="I338">INDEX(Sheet1!E:E,$G338)</f>
        <v>A.1.a.iii</v>
      </c>
      <c r="J338" s="4" t="str" cm="1">
        <f t="array" ref="J338">INDEX(Sheet1!F:F,$G338)</f>
        <v>B8</v>
      </c>
      <c r="K338" s="4" cm="1">
        <f t="array" ref="K338">INDEX(Sheet1!H:H,$G338)</f>
        <v>1E-3</v>
      </c>
      <c r="L338" s="4">
        <f t="shared" si="20"/>
        <v>36</v>
      </c>
      <c r="M338" s="4">
        <f t="shared" si="23"/>
        <v>5</v>
      </c>
    </row>
    <row r="339" spans="1:13">
      <c r="A339" s="4" t="str" cm="1">
        <f t="array" ref="A339">INDEX(Sheet1!A:A,$F339)</f>
        <v>M</v>
      </c>
      <c r="B339" s="4" t="str" cm="1">
        <f t="array" ref="B339">INDEX(Sheet1!B:B,$F339)</f>
        <v>Non-Pref NS</v>
      </c>
      <c r="C339" s="4">
        <f t="shared" si="21"/>
        <v>37</v>
      </c>
      <c r="D339" s="5" cm="1">
        <f t="array" aca="1" ref="D339" ca="1">OFFSET(INDIRECT("'["&amp;$H339&amp;"]"&amp;$I339&amp;"'!"&amp;$J339),$L339,$M339)*$K339</f>
        <v>1.42E-3</v>
      </c>
      <c r="F339" s="4">
        <f t="shared" si="22"/>
        <v>5</v>
      </c>
      <c r="G339" s="4" cm="1">
        <f t="array" ref="G339">IF($C339+$M339&lt;16,INDEX(Sheet1!C:C,$F339),$F339)</f>
        <v>5</v>
      </c>
      <c r="H339" s="4" t="str" cm="1">
        <f t="array" ref="H339">INDEX(Sheet1!D:D,$G339)</f>
        <v>2001-cso-preferred-class-structure-mortality-tables.xls</v>
      </c>
      <c r="I339" s="4" t="str" cm="1">
        <f t="array" ref="I339">INDEX(Sheet1!E:E,$G339)</f>
        <v>A.1.a.iii</v>
      </c>
      <c r="J339" s="4" t="str" cm="1">
        <f t="array" ref="J339">INDEX(Sheet1!F:F,$G339)</f>
        <v>B8</v>
      </c>
      <c r="K339" s="4" cm="1">
        <f t="array" ref="K339">INDEX(Sheet1!H:H,$G339)</f>
        <v>1E-3</v>
      </c>
      <c r="L339" s="4">
        <f t="shared" si="20"/>
        <v>37</v>
      </c>
      <c r="M339" s="4">
        <f t="shared" si="23"/>
        <v>5</v>
      </c>
    </row>
    <row r="340" spans="1:13">
      <c r="A340" s="4" t="str" cm="1">
        <f t="array" ref="A340">INDEX(Sheet1!A:A,$F340)</f>
        <v>M</v>
      </c>
      <c r="B340" s="4" t="str" cm="1">
        <f t="array" ref="B340">INDEX(Sheet1!B:B,$F340)</f>
        <v>Non-Pref NS</v>
      </c>
      <c r="C340" s="4">
        <f t="shared" si="21"/>
        <v>38</v>
      </c>
      <c r="D340" s="5" cm="1">
        <f t="array" aca="1" ref="D340" ca="1">OFFSET(INDIRECT("'["&amp;$H340&amp;"]"&amp;$I340&amp;"'!"&amp;$J340),$L340,$M340)*$K340</f>
        <v>1.5200000000000001E-3</v>
      </c>
      <c r="F340" s="4">
        <f t="shared" si="22"/>
        <v>5</v>
      </c>
      <c r="G340" s="4" cm="1">
        <f t="array" ref="G340">IF($C340+$M340&lt;16,INDEX(Sheet1!C:C,$F340),$F340)</f>
        <v>5</v>
      </c>
      <c r="H340" s="4" t="str" cm="1">
        <f t="array" ref="H340">INDEX(Sheet1!D:D,$G340)</f>
        <v>2001-cso-preferred-class-structure-mortality-tables.xls</v>
      </c>
      <c r="I340" s="4" t="str" cm="1">
        <f t="array" ref="I340">INDEX(Sheet1!E:E,$G340)</f>
        <v>A.1.a.iii</v>
      </c>
      <c r="J340" s="4" t="str" cm="1">
        <f t="array" ref="J340">INDEX(Sheet1!F:F,$G340)</f>
        <v>B8</v>
      </c>
      <c r="K340" s="4" cm="1">
        <f t="array" ref="K340">INDEX(Sheet1!H:H,$G340)</f>
        <v>1E-3</v>
      </c>
      <c r="L340" s="4">
        <f t="shared" si="20"/>
        <v>38</v>
      </c>
      <c r="M340" s="4">
        <f t="shared" si="23"/>
        <v>5</v>
      </c>
    </row>
    <row r="341" spans="1:13">
      <c r="A341" s="4" t="str" cm="1">
        <f t="array" ref="A341">INDEX(Sheet1!A:A,$F341)</f>
        <v>M</v>
      </c>
      <c r="B341" s="4" t="str" cm="1">
        <f t="array" ref="B341">INDEX(Sheet1!B:B,$F341)</f>
        <v>Non-Pref NS</v>
      </c>
      <c r="C341" s="4">
        <f t="shared" si="21"/>
        <v>39</v>
      </c>
      <c r="D341" s="5" cm="1">
        <f t="array" aca="1" ref="D341" ca="1">OFFSET(INDIRECT("'["&amp;$H341&amp;"]"&amp;$I341&amp;"'!"&amp;$J341),$L341,$M341)*$K341</f>
        <v>1.67E-3</v>
      </c>
      <c r="F341" s="4">
        <f t="shared" si="22"/>
        <v>5</v>
      </c>
      <c r="G341" s="4" cm="1">
        <f t="array" ref="G341">IF($C341+$M341&lt;16,INDEX(Sheet1!C:C,$F341),$F341)</f>
        <v>5</v>
      </c>
      <c r="H341" s="4" t="str" cm="1">
        <f t="array" ref="H341">INDEX(Sheet1!D:D,$G341)</f>
        <v>2001-cso-preferred-class-structure-mortality-tables.xls</v>
      </c>
      <c r="I341" s="4" t="str" cm="1">
        <f t="array" ref="I341">INDEX(Sheet1!E:E,$G341)</f>
        <v>A.1.a.iii</v>
      </c>
      <c r="J341" s="4" t="str" cm="1">
        <f t="array" ref="J341">INDEX(Sheet1!F:F,$G341)</f>
        <v>B8</v>
      </c>
      <c r="K341" s="4" cm="1">
        <f t="array" ref="K341">INDEX(Sheet1!H:H,$G341)</f>
        <v>1E-3</v>
      </c>
      <c r="L341" s="4">
        <f t="shared" si="20"/>
        <v>39</v>
      </c>
      <c r="M341" s="4">
        <f t="shared" si="23"/>
        <v>5</v>
      </c>
    </row>
    <row r="342" spans="1:13">
      <c r="A342" s="4" t="str" cm="1">
        <f t="array" ref="A342">INDEX(Sheet1!A:A,$F342)</f>
        <v>M</v>
      </c>
      <c r="B342" s="4" t="str" cm="1">
        <f t="array" ref="B342">INDEX(Sheet1!B:B,$F342)</f>
        <v>Non-Pref NS</v>
      </c>
      <c r="C342" s="4">
        <f t="shared" si="21"/>
        <v>40</v>
      </c>
      <c r="D342" s="5" cm="1">
        <f t="array" aca="1" ref="D342" ca="1">OFFSET(INDIRECT("'["&amp;$H342&amp;"]"&amp;$I342&amp;"'!"&amp;$J342),$L342,$M342)*$K342</f>
        <v>1.8500000000000001E-3</v>
      </c>
      <c r="F342" s="4">
        <f t="shared" si="22"/>
        <v>5</v>
      </c>
      <c r="G342" s="4" cm="1">
        <f t="array" ref="G342">IF($C342+$M342&lt;16,INDEX(Sheet1!C:C,$F342),$F342)</f>
        <v>5</v>
      </c>
      <c r="H342" s="4" t="str" cm="1">
        <f t="array" ref="H342">INDEX(Sheet1!D:D,$G342)</f>
        <v>2001-cso-preferred-class-structure-mortality-tables.xls</v>
      </c>
      <c r="I342" s="4" t="str" cm="1">
        <f t="array" ref="I342">INDEX(Sheet1!E:E,$G342)</f>
        <v>A.1.a.iii</v>
      </c>
      <c r="J342" s="4" t="str" cm="1">
        <f t="array" ref="J342">INDEX(Sheet1!F:F,$G342)</f>
        <v>B8</v>
      </c>
      <c r="K342" s="4" cm="1">
        <f t="array" ref="K342">INDEX(Sheet1!H:H,$G342)</f>
        <v>1E-3</v>
      </c>
      <c r="L342" s="4">
        <f t="shared" si="20"/>
        <v>40</v>
      </c>
      <c r="M342" s="4">
        <f t="shared" si="23"/>
        <v>5</v>
      </c>
    </row>
    <row r="343" spans="1:13">
      <c r="A343" s="4" t="str" cm="1">
        <f t="array" ref="A343">INDEX(Sheet1!A:A,$F343)</f>
        <v>M</v>
      </c>
      <c r="B343" s="4" t="str" cm="1">
        <f t="array" ref="B343">INDEX(Sheet1!B:B,$F343)</f>
        <v>Non-Pref NS</v>
      </c>
      <c r="C343" s="4">
        <f t="shared" si="21"/>
        <v>41</v>
      </c>
      <c r="D343" s="5" cm="1">
        <f t="array" aca="1" ref="D343" ca="1">OFFSET(INDIRECT("'["&amp;$H343&amp;"]"&amp;$I343&amp;"'!"&amp;$J343),$L343,$M343)*$K343</f>
        <v>2.0499999999999997E-3</v>
      </c>
      <c r="F343" s="4">
        <f t="shared" si="22"/>
        <v>5</v>
      </c>
      <c r="G343" s="4" cm="1">
        <f t="array" ref="G343">IF($C343+$M343&lt;16,INDEX(Sheet1!C:C,$F343),$F343)</f>
        <v>5</v>
      </c>
      <c r="H343" s="4" t="str" cm="1">
        <f t="array" ref="H343">INDEX(Sheet1!D:D,$G343)</f>
        <v>2001-cso-preferred-class-structure-mortality-tables.xls</v>
      </c>
      <c r="I343" s="4" t="str" cm="1">
        <f t="array" ref="I343">INDEX(Sheet1!E:E,$G343)</f>
        <v>A.1.a.iii</v>
      </c>
      <c r="J343" s="4" t="str" cm="1">
        <f t="array" ref="J343">INDEX(Sheet1!F:F,$G343)</f>
        <v>B8</v>
      </c>
      <c r="K343" s="4" cm="1">
        <f t="array" ref="K343">INDEX(Sheet1!H:H,$G343)</f>
        <v>1E-3</v>
      </c>
      <c r="L343" s="4">
        <f t="shared" si="20"/>
        <v>41</v>
      </c>
      <c r="M343" s="4">
        <f t="shared" si="23"/>
        <v>5</v>
      </c>
    </row>
    <row r="344" spans="1:13">
      <c r="A344" s="4" t="str" cm="1">
        <f t="array" ref="A344">INDEX(Sheet1!A:A,$F344)</f>
        <v>M</v>
      </c>
      <c r="B344" s="4" t="str" cm="1">
        <f t="array" ref="B344">INDEX(Sheet1!B:B,$F344)</f>
        <v>Non-Pref NS</v>
      </c>
      <c r="C344" s="4">
        <f t="shared" si="21"/>
        <v>42</v>
      </c>
      <c r="D344" s="5" cm="1">
        <f t="array" aca="1" ref="D344" ca="1">OFFSET(INDIRECT("'["&amp;$H344&amp;"]"&amp;$I344&amp;"'!"&amp;$J344),$L344,$M344)*$K344</f>
        <v>2.2500000000000003E-3</v>
      </c>
      <c r="F344" s="4">
        <f t="shared" si="22"/>
        <v>5</v>
      </c>
      <c r="G344" s="4" cm="1">
        <f t="array" ref="G344">IF($C344+$M344&lt;16,INDEX(Sheet1!C:C,$F344),$F344)</f>
        <v>5</v>
      </c>
      <c r="H344" s="4" t="str" cm="1">
        <f t="array" ref="H344">INDEX(Sheet1!D:D,$G344)</f>
        <v>2001-cso-preferred-class-structure-mortality-tables.xls</v>
      </c>
      <c r="I344" s="4" t="str" cm="1">
        <f t="array" ref="I344">INDEX(Sheet1!E:E,$G344)</f>
        <v>A.1.a.iii</v>
      </c>
      <c r="J344" s="4" t="str" cm="1">
        <f t="array" ref="J344">INDEX(Sheet1!F:F,$G344)</f>
        <v>B8</v>
      </c>
      <c r="K344" s="4" cm="1">
        <f t="array" ref="K344">INDEX(Sheet1!H:H,$G344)</f>
        <v>1E-3</v>
      </c>
      <c r="L344" s="4">
        <f t="shared" si="20"/>
        <v>42</v>
      </c>
      <c r="M344" s="4">
        <f t="shared" si="23"/>
        <v>5</v>
      </c>
    </row>
    <row r="345" spans="1:13">
      <c r="A345" s="4" t="str" cm="1">
        <f t="array" ref="A345">INDEX(Sheet1!A:A,$F345)</f>
        <v>M</v>
      </c>
      <c r="B345" s="4" t="str" cm="1">
        <f t="array" ref="B345">INDEX(Sheet1!B:B,$F345)</f>
        <v>Non-Pref NS</v>
      </c>
      <c r="C345" s="4">
        <f t="shared" si="21"/>
        <v>43</v>
      </c>
      <c r="D345" s="5" cm="1">
        <f t="array" aca="1" ref="D345" ca="1">OFFSET(INDIRECT("'["&amp;$H345&amp;"]"&amp;$I345&amp;"'!"&amp;$J345),$L345,$M345)*$K345</f>
        <v>2.3799999999999997E-3</v>
      </c>
      <c r="F345" s="4">
        <f t="shared" si="22"/>
        <v>5</v>
      </c>
      <c r="G345" s="4" cm="1">
        <f t="array" ref="G345">IF($C345+$M345&lt;16,INDEX(Sheet1!C:C,$F345),$F345)</f>
        <v>5</v>
      </c>
      <c r="H345" s="4" t="str" cm="1">
        <f t="array" ref="H345">INDEX(Sheet1!D:D,$G345)</f>
        <v>2001-cso-preferred-class-structure-mortality-tables.xls</v>
      </c>
      <c r="I345" s="4" t="str" cm="1">
        <f t="array" ref="I345">INDEX(Sheet1!E:E,$G345)</f>
        <v>A.1.a.iii</v>
      </c>
      <c r="J345" s="4" t="str" cm="1">
        <f t="array" ref="J345">INDEX(Sheet1!F:F,$G345)</f>
        <v>B8</v>
      </c>
      <c r="K345" s="4" cm="1">
        <f t="array" ref="K345">INDEX(Sheet1!H:H,$G345)</f>
        <v>1E-3</v>
      </c>
      <c r="L345" s="4">
        <f t="shared" si="20"/>
        <v>43</v>
      </c>
      <c r="M345" s="4">
        <f t="shared" si="23"/>
        <v>5</v>
      </c>
    </row>
    <row r="346" spans="1:13">
      <c r="A346" s="4" t="str" cm="1">
        <f t="array" ref="A346">INDEX(Sheet1!A:A,$F346)</f>
        <v>M</v>
      </c>
      <c r="B346" s="4" t="str" cm="1">
        <f t="array" ref="B346">INDEX(Sheet1!B:B,$F346)</f>
        <v>Non-Pref NS</v>
      </c>
      <c r="C346" s="4">
        <f t="shared" si="21"/>
        <v>44</v>
      </c>
      <c r="D346" s="5" cm="1">
        <f t="array" aca="1" ref="D346" ca="1">OFFSET(INDIRECT("'["&amp;$H346&amp;"]"&amp;$I346&amp;"'!"&amp;$J346),$L346,$M346)*$K346</f>
        <v>2.5200000000000001E-3</v>
      </c>
      <c r="F346" s="4">
        <f t="shared" si="22"/>
        <v>5</v>
      </c>
      <c r="G346" s="4" cm="1">
        <f t="array" ref="G346">IF($C346+$M346&lt;16,INDEX(Sheet1!C:C,$F346),$F346)</f>
        <v>5</v>
      </c>
      <c r="H346" s="4" t="str" cm="1">
        <f t="array" ref="H346">INDEX(Sheet1!D:D,$G346)</f>
        <v>2001-cso-preferred-class-structure-mortality-tables.xls</v>
      </c>
      <c r="I346" s="4" t="str" cm="1">
        <f t="array" ref="I346">INDEX(Sheet1!E:E,$G346)</f>
        <v>A.1.a.iii</v>
      </c>
      <c r="J346" s="4" t="str" cm="1">
        <f t="array" ref="J346">INDEX(Sheet1!F:F,$G346)</f>
        <v>B8</v>
      </c>
      <c r="K346" s="4" cm="1">
        <f t="array" ref="K346">INDEX(Sheet1!H:H,$G346)</f>
        <v>1E-3</v>
      </c>
      <c r="L346" s="4">
        <f t="shared" si="20"/>
        <v>44</v>
      </c>
      <c r="M346" s="4">
        <f t="shared" si="23"/>
        <v>5</v>
      </c>
    </row>
    <row r="347" spans="1:13">
      <c r="A347" s="4" t="str" cm="1">
        <f t="array" ref="A347">INDEX(Sheet1!A:A,$F347)</f>
        <v>M</v>
      </c>
      <c r="B347" s="4" t="str" cm="1">
        <f t="array" ref="B347">INDEX(Sheet1!B:B,$F347)</f>
        <v>Non-Pref NS</v>
      </c>
      <c r="C347" s="4">
        <f t="shared" si="21"/>
        <v>45</v>
      </c>
      <c r="D347" s="5" cm="1">
        <f t="array" aca="1" ref="D347" ca="1">OFFSET(INDIRECT("'["&amp;$H347&amp;"]"&amp;$I347&amp;"'!"&amp;$J347),$L347,$M347)*$K347</f>
        <v>2.7000000000000001E-3</v>
      </c>
      <c r="F347" s="4">
        <f t="shared" si="22"/>
        <v>5</v>
      </c>
      <c r="G347" s="4" cm="1">
        <f t="array" ref="G347">IF($C347+$M347&lt;16,INDEX(Sheet1!C:C,$F347),$F347)</f>
        <v>5</v>
      </c>
      <c r="H347" s="4" t="str" cm="1">
        <f t="array" ref="H347">INDEX(Sheet1!D:D,$G347)</f>
        <v>2001-cso-preferred-class-structure-mortality-tables.xls</v>
      </c>
      <c r="I347" s="4" t="str" cm="1">
        <f t="array" ref="I347">INDEX(Sheet1!E:E,$G347)</f>
        <v>A.1.a.iii</v>
      </c>
      <c r="J347" s="4" t="str" cm="1">
        <f t="array" ref="J347">INDEX(Sheet1!F:F,$G347)</f>
        <v>B8</v>
      </c>
      <c r="K347" s="4" cm="1">
        <f t="array" ref="K347">INDEX(Sheet1!H:H,$G347)</f>
        <v>1E-3</v>
      </c>
      <c r="L347" s="4">
        <f t="shared" si="20"/>
        <v>45</v>
      </c>
      <c r="M347" s="4">
        <f t="shared" si="23"/>
        <v>5</v>
      </c>
    </row>
    <row r="348" spans="1:13">
      <c r="A348" s="4" t="str" cm="1">
        <f t="array" ref="A348">INDEX(Sheet1!A:A,$F348)</f>
        <v>M</v>
      </c>
      <c r="B348" s="4" t="str" cm="1">
        <f t="array" ref="B348">INDEX(Sheet1!B:B,$F348)</f>
        <v>Non-Pref NS</v>
      </c>
      <c r="C348" s="4">
        <f t="shared" si="21"/>
        <v>46</v>
      </c>
      <c r="D348" s="5" cm="1">
        <f t="array" aca="1" ref="D348" ca="1">OFFSET(INDIRECT("'["&amp;$H348&amp;"]"&amp;$I348&amp;"'!"&amp;$J348),$L348,$M348)*$K348</f>
        <v>2.9399999999999999E-3</v>
      </c>
      <c r="F348" s="4">
        <f t="shared" si="22"/>
        <v>5</v>
      </c>
      <c r="G348" s="4" cm="1">
        <f t="array" ref="G348">IF($C348+$M348&lt;16,INDEX(Sheet1!C:C,$F348),$F348)</f>
        <v>5</v>
      </c>
      <c r="H348" s="4" t="str" cm="1">
        <f t="array" ref="H348">INDEX(Sheet1!D:D,$G348)</f>
        <v>2001-cso-preferred-class-structure-mortality-tables.xls</v>
      </c>
      <c r="I348" s="4" t="str" cm="1">
        <f t="array" ref="I348">INDEX(Sheet1!E:E,$G348)</f>
        <v>A.1.a.iii</v>
      </c>
      <c r="J348" s="4" t="str" cm="1">
        <f t="array" ref="J348">INDEX(Sheet1!F:F,$G348)</f>
        <v>B8</v>
      </c>
      <c r="K348" s="4" cm="1">
        <f t="array" ref="K348">INDEX(Sheet1!H:H,$G348)</f>
        <v>1E-3</v>
      </c>
      <c r="L348" s="4">
        <f t="shared" si="20"/>
        <v>46</v>
      </c>
      <c r="M348" s="4">
        <f t="shared" si="23"/>
        <v>5</v>
      </c>
    </row>
    <row r="349" spans="1:13">
      <c r="A349" s="4" t="str" cm="1">
        <f t="array" ref="A349">INDEX(Sheet1!A:A,$F349)</f>
        <v>M</v>
      </c>
      <c r="B349" s="4" t="str" cm="1">
        <f t="array" ref="B349">INDEX(Sheet1!B:B,$F349)</f>
        <v>Non-Pref NS</v>
      </c>
      <c r="C349" s="4">
        <f t="shared" si="21"/>
        <v>47</v>
      </c>
      <c r="D349" s="5" cm="1">
        <f t="array" aca="1" ref="D349" ca="1">OFFSET(INDIRECT("'["&amp;$H349&amp;"]"&amp;$I349&amp;"'!"&amp;$J349),$L349,$M349)*$K349</f>
        <v>3.1900000000000001E-3</v>
      </c>
      <c r="F349" s="4">
        <f t="shared" si="22"/>
        <v>5</v>
      </c>
      <c r="G349" s="4" cm="1">
        <f t="array" ref="G349">IF($C349+$M349&lt;16,INDEX(Sheet1!C:C,$F349),$F349)</f>
        <v>5</v>
      </c>
      <c r="H349" s="4" t="str" cm="1">
        <f t="array" ref="H349">INDEX(Sheet1!D:D,$G349)</f>
        <v>2001-cso-preferred-class-structure-mortality-tables.xls</v>
      </c>
      <c r="I349" s="4" t="str" cm="1">
        <f t="array" ref="I349">INDEX(Sheet1!E:E,$G349)</f>
        <v>A.1.a.iii</v>
      </c>
      <c r="J349" s="4" t="str" cm="1">
        <f t="array" ref="J349">INDEX(Sheet1!F:F,$G349)</f>
        <v>B8</v>
      </c>
      <c r="K349" s="4" cm="1">
        <f t="array" ref="K349">INDEX(Sheet1!H:H,$G349)</f>
        <v>1E-3</v>
      </c>
      <c r="L349" s="4">
        <f t="shared" si="20"/>
        <v>47</v>
      </c>
      <c r="M349" s="4">
        <f t="shared" si="23"/>
        <v>5</v>
      </c>
    </row>
    <row r="350" spans="1:13">
      <c r="A350" s="4" t="str" cm="1">
        <f t="array" ref="A350">INDEX(Sheet1!A:A,$F350)</f>
        <v>M</v>
      </c>
      <c r="B350" s="4" t="str" cm="1">
        <f t="array" ref="B350">INDEX(Sheet1!B:B,$F350)</f>
        <v>Non-Pref NS</v>
      </c>
      <c r="C350" s="4">
        <f t="shared" si="21"/>
        <v>48</v>
      </c>
      <c r="D350" s="5" cm="1">
        <f t="array" aca="1" ref="D350" ca="1">OFFSET(INDIRECT("'["&amp;$H350&amp;"]"&amp;$I350&amp;"'!"&amp;$J350),$L350,$M350)*$K350</f>
        <v>3.4300000000000003E-3</v>
      </c>
      <c r="F350" s="4">
        <f t="shared" si="22"/>
        <v>5</v>
      </c>
      <c r="G350" s="4" cm="1">
        <f t="array" ref="G350">IF($C350+$M350&lt;16,INDEX(Sheet1!C:C,$F350),$F350)</f>
        <v>5</v>
      </c>
      <c r="H350" s="4" t="str" cm="1">
        <f t="array" ref="H350">INDEX(Sheet1!D:D,$G350)</f>
        <v>2001-cso-preferred-class-structure-mortality-tables.xls</v>
      </c>
      <c r="I350" s="4" t="str" cm="1">
        <f t="array" ref="I350">INDEX(Sheet1!E:E,$G350)</f>
        <v>A.1.a.iii</v>
      </c>
      <c r="J350" s="4" t="str" cm="1">
        <f t="array" ref="J350">INDEX(Sheet1!F:F,$G350)</f>
        <v>B8</v>
      </c>
      <c r="K350" s="4" cm="1">
        <f t="array" ref="K350">INDEX(Sheet1!H:H,$G350)</f>
        <v>1E-3</v>
      </c>
      <c r="L350" s="4">
        <f t="shared" si="20"/>
        <v>48</v>
      </c>
      <c r="M350" s="4">
        <f t="shared" si="23"/>
        <v>5</v>
      </c>
    </row>
    <row r="351" spans="1:13">
      <c r="A351" s="4" t="str" cm="1">
        <f t="array" ref="A351">INDEX(Sheet1!A:A,$F351)</f>
        <v>M</v>
      </c>
      <c r="B351" s="4" t="str" cm="1">
        <f t="array" ref="B351">INDEX(Sheet1!B:B,$F351)</f>
        <v>Non-Pref NS</v>
      </c>
      <c r="C351" s="4">
        <f t="shared" si="21"/>
        <v>49</v>
      </c>
      <c r="D351" s="5" cm="1">
        <f t="array" aca="1" ref="D351" ca="1">OFFSET(INDIRECT("'["&amp;$H351&amp;"]"&amp;$I351&amp;"'!"&amp;$J351),$L351,$M351)*$K351</f>
        <v>3.7000000000000002E-3</v>
      </c>
      <c r="F351" s="4">
        <f t="shared" si="22"/>
        <v>5</v>
      </c>
      <c r="G351" s="4" cm="1">
        <f t="array" ref="G351">IF($C351+$M351&lt;16,INDEX(Sheet1!C:C,$F351),$F351)</f>
        <v>5</v>
      </c>
      <c r="H351" s="4" t="str" cm="1">
        <f t="array" ref="H351">INDEX(Sheet1!D:D,$G351)</f>
        <v>2001-cso-preferred-class-structure-mortality-tables.xls</v>
      </c>
      <c r="I351" s="4" t="str" cm="1">
        <f t="array" ref="I351">INDEX(Sheet1!E:E,$G351)</f>
        <v>A.1.a.iii</v>
      </c>
      <c r="J351" s="4" t="str" cm="1">
        <f t="array" ref="J351">INDEX(Sheet1!F:F,$G351)</f>
        <v>B8</v>
      </c>
      <c r="K351" s="4" cm="1">
        <f t="array" ref="K351">INDEX(Sheet1!H:H,$G351)</f>
        <v>1E-3</v>
      </c>
      <c r="L351" s="4">
        <f t="shared" si="20"/>
        <v>49</v>
      </c>
      <c r="M351" s="4">
        <f t="shared" si="23"/>
        <v>5</v>
      </c>
    </row>
    <row r="352" spans="1:13">
      <c r="A352" s="4" t="str" cm="1">
        <f t="array" ref="A352">INDEX(Sheet1!A:A,$F352)</f>
        <v>M</v>
      </c>
      <c r="B352" s="4" t="str" cm="1">
        <f t="array" ref="B352">INDEX(Sheet1!B:B,$F352)</f>
        <v>Non-Pref NS</v>
      </c>
      <c r="C352" s="4">
        <f t="shared" si="21"/>
        <v>50</v>
      </c>
      <c r="D352" s="5" cm="1">
        <f t="array" aca="1" ref="D352" ca="1">OFFSET(INDIRECT("'["&amp;$H352&amp;"]"&amp;$I352&amp;"'!"&amp;$J352),$L352,$M352)*$K352</f>
        <v>3.98E-3</v>
      </c>
      <c r="F352" s="4">
        <f t="shared" si="22"/>
        <v>5</v>
      </c>
      <c r="G352" s="4" cm="1">
        <f t="array" ref="G352">IF($C352+$M352&lt;16,INDEX(Sheet1!C:C,$F352),$F352)</f>
        <v>5</v>
      </c>
      <c r="H352" s="4" t="str" cm="1">
        <f t="array" ref="H352">INDEX(Sheet1!D:D,$G352)</f>
        <v>2001-cso-preferred-class-structure-mortality-tables.xls</v>
      </c>
      <c r="I352" s="4" t="str" cm="1">
        <f t="array" ref="I352">INDEX(Sheet1!E:E,$G352)</f>
        <v>A.1.a.iii</v>
      </c>
      <c r="J352" s="4" t="str" cm="1">
        <f t="array" ref="J352">INDEX(Sheet1!F:F,$G352)</f>
        <v>B8</v>
      </c>
      <c r="K352" s="4" cm="1">
        <f t="array" ref="K352">INDEX(Sheet1!H:H,$G352)</f>
        <v>1E-3</v>
      </c>
      <c r="L352" s="4">
        <f t="shared" si="20"/>
        <v>50</v>
      </c>
      <c r="M352" s="4">
        <f t="shared" si="23"/>
        <v>5</v>
      </c>
    </row>
    <row r="353" spans="1:13">
      <c r="A353" s="4" t="str" cm="1">
        <f t="array" ref="A353">INDEX(Sheet1!A:A,$F353)</f>
        <v>M</v>
      </c>
      <c r="B353" s="4" t="str" cm="1">
        <f t="array" ref="B353">INDEX(Sheet1!B:B,$F353)</f>
        <v>Non-Pref NS</v>
      </c>
      <c r="C353" s="4">
        <f t="shared" si="21"/>
        <v>51</v>
      </c>
      <c r="D353" s="5" cm="1">
        <f t="array" aca="1" ref="D353" ca="1">OFFSET(INDIRECT("'["&amp;$H353&amp;"]"&amp;$I353&amp;"'!"&amp;$J353),$L353,$M353)*$K353</f>
        <v>4.3E-3</v>
      </c>
      <c r="F353" s="4">
        <f t="shared" si="22"/>
        <v>5</v>
      </c>
      <c r="G353" s="4" cm="1">
        <f t="array" ref="G353">IF($C353+$M353&lt;16,INDEX(Sheet1!C:C,$F353),$F353)</f>
        <v>5</v>
      </c>
      <c r="H353" s="4" t="str" cm="1">
        <f t="array" ref="H353">INDEX(Sheet1!D:D,$G353)</f>
        <v>2001-cso-preferred-class-structure-mortality-tables.xls</v>
      </c>
      <c r="I353" s="4" t="str" cm="1">
        <f t="array" ref="I353">INDEX(Sheet1!E:E,$G353)</f>
        <v>A.1.a.iii</v>
      </c>
      <c r="J353" s="4" t="str" cm="1">
        <f t="array" ref="J353">INDEX(Sheet1!F:F,$G353)</f>
        <v>B8</v>
      </c>
      <c r="K353" s="4" cm="1">
        <f t="array" ref="K353">INDEX(Sheet1!H:H,$G353)</f>
        <v>1E-3</v>
      </c>
      <c r="L353" s="4">
        <f t="shared" si="20"/>
        <v>51</v>
      </c>
      <c r="M353" s="4">
        <f t="shared" si="23"/>
        <v>5</v>
      </c>
    </row>
    <row r="354" spans="1:13">
      <c r="A354" s="4" t="str" cm="1">
        <f t="array" ref="A354">INDEX(Sheet1!A:A,$F354)</f>
        <v>M</v>
      </c>
      <c r="B354" s="4" t="str" cm="1">
        <f t="array" ref="B354">INDEX(Sheet1!B:B,$F354)</f>
        <v>Non-Pref NS</v>
      </c>
      <c r="C354" s="4">
        <f t="shared" si="21"/>
        <v>52</v>
      </c>
      <c r="D354" s="5" cm="1">
        <f t="array" aca="1" ref="D354" ca="1">OFFSET(INDIRECT("'["&amp;$H354&amp;"]"&amp;$I354&amp;"'!"&amp;$J354),$L354,$M354)*$K354</f>
        <v>4.6299999999999996E-3</v>
      </c>
      <c r="F354" s="4">
        <f t="shared" si="22"/>
        <v>5</v>
      </c>
      <c r="G354" s="4" cm="1">
        <f t="array" ref="G354">IF($C354+$M354&lt;16,INDEX(Sheet1!C:C,$F354),$F354)</f>
        <v>5</v>
      </c>
      <c r="H354" s="4" t="str" cm="1">
        <f t="array" ref="H354">INDEX(Sheet1!D:D,$G354)</f>
        <v>2001-cso-preferred-class-structure-mortality-tables.xls</v>
      </c>
      <c r="I354" s="4" t="str" cm="1">
        <f t="array" ref="I354">INDEX(Sheet1!E:E,$G354)</f>
        <v>A.1.a.iii</v>
      </c>
      <c r="J354" s="4" t="str" cm="1">
        <f t="array" ref="J354">INDEX(Sheet1!F:F,$G354)</f>
        <v>B8</v>
      </c>
      <c r="K354" s="4" cm="1">
        <f t="array" ref="K354">INDEX(Sheet1!H:H,$G354)</f>
        <v>1E-3</v>
      </c>
      <c r="L354" s="4">
        <f t="shared" si="20"/>
        <v>52</v>
      </c>
      <c r="M354" s="4">
        <f t="shared" si="23"/>
        <v>5</v>
      </c>
    </row>
    <row r="355" spans="1:13">
      <c r="A355" s="4" t="str" cm="1">
        <f t="array" ref="A355">INDEX(Sheet1!A:A,$F355)</f>
        <v>M</v>
      </c>
      <c r="B355" s="4" t="str" cm="1">
        <f t="array" ref="B355">INDEX(Sheet1!B:B,$F355)</f>
        <v>Non-Pref NS</v>
      </c>
      <c r="C355" s="4">
        <f t="shared" si="21"/>
        <v>53</v>
      </c>
      <c r="D355" s="5" cm="1">
        <f t="array" aca="1" ref="D355" ca="1">OFFSET(INDIRECT("'["&amp;$H355&amp;"]"&amp;$I355&amp;"'!"&amp;$J355),$L355,$M355)*$K355</f>
        <v>5.0300000000000006E-3</v>
      </c>
      <c r="F355" s="4">
        <f t="shared" si="22"/>
        <v>5</v>
      </c>
      <c r="G355" s="4" cm="1">
        <f t="array" ref="G355">IF($C355+$M355&lt;16,INDEX(Sheet1!C:C,$F355),$F355)</f>
        <v>5</v>
      </c>
      <c r="H355" s="4" t="str" cm="1">
        <f t="array" ref="H355">INDEX(Sheet1!D:D,$G355)</f>
        <v>2001-cso-preferred-class-structure-mortality-tables.xls</v>
      </c>
      <c r="I355" s="4" t="str" cm="1">
        <f t="array" ref="I355">INDEX(Sheet1!E:E,$G355)</f>
        <v>A.1.a.iii</v>
      </c>
      <c r="J355" s="4" t="str" cm="1">
        <f t="array" ref="J355">INDEX(Sheet1!F:F,$G355)</f>
        <v>B8</v>
      </c>
      <c r="K355" s="4" cm="1">
        <f t="array" ref="K355">INDEX(Sheet1!H:H,$G355)</f>
        <v>1E-3</v>
      </c>
      <c r="L355" s="4">
        <f t="shared" si="20"/>
        <v>53</v>
      </c>
      <c r="M355" s="4">
        <f t="shared" si="23"/>
        <v>5</v>
      </c>
    </row>
    <row r="356" spans="1:13">
      <c r="A356" s="4" t="str" cm="1">
        <f t="array" ref="A356">INDEX(Sheet1!A:A,$F356)</f>
        <v>M</v>
      </c>
      <c r="B356" s="4" t="str" cm="1">
        <f t="array" ref="B356">INDEX(Sheet1!B:B,$F356)</f>
        <v>Non-Pref NS</v>
      </c>
      <c r="C356" s="4">
        <f t="shared" si="21"/>
        <v>54</v>
      </c>
      <c r="D356" s="5" cm="1">
        <f t="array" aca="1" ref="D356" ca="1">OFFSET(INDIRECT("'["&amp;$H356&amp;"]"&amp;$I356&amp;"'!"&amp;$J356),$L356,$M356)*$K356</f>
        <v>5.4800000000000005E-3</v>
      </c>
      <c r="F356" s="4">
        <f t="shared" si="22"/>
        <v>5</v>
      </c>
      <c r="G356" s="4" cm="1">
        <f t="array" ref="G356">IF($C356+$M356&lt;16,INDEX(Sheet1!C:C,$F356),$F356)</f>
        <v>5</v>
      </c>
      <c r="H356" s="4" t="str" cm="1">
        <f t="array" ref="H356">INDEX(Sheet1!D:D,$G356)</f>
        <v>2001-cso-preferred-class-structure-mortality-tables.xls</v>
      </c>
      <c r="I356" s="4" t="str" cm="1">
        <f t="array" ref="I356">INDEX(Sheet1!E:E,$G356)</f>
        <v>A.1.a.iii</v>
      </c>
      <c r="J356" s="4" t="str" cm="1">
        <f t="array" ref="J356">INDEX(Sheet1!F:F,$G356)</f>
        <v>B8</v>
      </c>
      <c r="K356" s="4" cm="1">
        <f t="array" ref="K356">INDEX(Sheet1!H:H,$G356)</f>
        <v>1E-3</v>
      </c>
      <c r="L356" s="4">
        <f t="shared" si="20"/>
        <v>54</v>
      </c>
      <c r="M356" s="4">
        <f t="shared" si="23"/>
        <v>5</v>
      </c>
    </row>
    <row r="357" spans="1:13">
      <c r="A357" s="4" t="str" cm="1">
        <f t="array" ref="A357">INDEX(Sheet1!A:A,$F357)</f>
        <v>M</v>
      </c>
      <c r="B357" s="4" t="str" cm="1">
        <f t="array" ref="B357">INDEX(Sheet1!B:B,$F357)</f>
        <v>Non-Pref NS</v>
      </c>
      <c r="C357" s="4">
        <f t="shared" si="21"/>
        <v>55</v>
      </c>
      <c r="D357" s="5" cm="1">
        <f t="array" aca="1" ref="D357" ca="1">OFFSET(INDIRECT("'["&amp;$H357&amp;"]"&amp;$I357&amp;"'!"&amp;$J357),$L357,$M357)*$K357</f>
        <v>6.0099999999999997E-3</v>
      </c>
      <c r="F357" s="4">
        <f t="shared" si="22"/>
        <v>5</v>
      </c>
      <c r="G357" s="4" cm="1">
        <f t="array" ref="G357">IF($C357+$M357&lt;16,INDEX(Sheet1!C:C,$F357),$F357)</f>
        <v>5</v>
      </c>
      <c r="H357" s="4" t="str" cm="1">
        <f t="array" ref="H357">INDEX(Sheet1!D:D,$G357)</f>
        <v>2001-cso-preferred-class-structure-mortality-tables.xls</v>
      </c>
      <c r="I357" s="4" t="str" cm="1">
        <f t="array" ref="I357">INDEX(Sheet1!E:E,$G357)</f>
        <v>A.1.a.iii</v>
      </c>
      <c r="J357" s="4" t="str" cm="1">
        <f t="array" ref="J357">INDEX(Sheet1!F:F,$G357)</f>
        <v>B8</v>
      </c>
      <c r="K357" s="4" cm="1">
        <f t="array" ref="K357">INDEX(Sheet1!H:H,$G357)</f>
        <v>1E-3</v>
      </c>
      <c r="L357" s="4">
        <f t="shared" si="20"/>
        <v>55</v>
      </c>
      <c r="M357" s="4">
        <f t="shared" si="23"/>
        <v>5</v>
      </c>
    </row>
    <row r="358" spans="1:13">
      <c r="A358" s="4" t="str" cm="1">
        <f t="array" ref="A358">INDEX(Sheet1!A:A,$F358)</f>
        <v>M</v>
      </c>
      <c r="B358" s="4" t="str" cm="1">
        <f t="array" ref="B358">INDEX(Sheet1!B:B,$F358)</f>
        <v>Non-Pref NS</v>
      </c>
      <c r="C358" s="4">
        <f t="shared" si="21"/>
        <v>56</v>
      </c>
      <c r="D358" s="5" cm="1">
        <f t="array" aca="1" ref="D358" ca="1">OFFSET(INDIRECT("'["&amp;$H358&amp;"]"&amp;$I358&amp;"'!"&amp;$J358),$L358,$M358)*$K358</f>
        <v>6.6699999999999997E-3</v>
      </c>
      <c r="F358" s="4">
        <f t="shared" si="22"/>
        <v>5</v>
      </c>
      <c r="G358" s="4" cm="1">
        <f t="array" ref="G358">IF($C358+$M358&lt;16,INDEX(Sheet1!C:C,$F358),$F358)</f>
        <v>5</v>
      </c>
      <c r="H358" s="4" t="str" cm="1">
        <f t="array" ref="H358">INDEX(Sheet1!D:D,$G358)</f>
        <v>2001-cso-preferred-class-structure-mortality-tables.xls</v>
      </c>
      <c r="I358" s="4" t="str" cm="1">
        <f t="array" ref="I358">INDEX(Sheet1!E:E,$G358)</f>
        <v>A.1.a.iii</v>
      </c>
      <c r="J358" s="4" t="str" cm="1">
        <f t="array" ref="J358">INDEX(Sheet1!F:F,$G358)</f>
        <v>B8</v>
      </c>
      <c r="K358" s="4" cm="1">
        <f t="array" ref="K358">INDEX(Sheet1!H:H,$G358)</f>
        <v>1E-3</v>
      </c>
      <c r="L358" s="4">
        <f t="shared" si="20"/>
        <v>56</v>
      </c>
      <c r="M358" s="4">
        <f t="shared" si="23"/>
        <v>5</v>
      </c>
    </row>
    <row r="359" spans="1:13">
      <c r="A359" s="4" t="str" cm="1">
        <f t="array" ref="A359">INDEX(Sheet1!A:A,$F359)</f>
        <v>M</v>
      </c>
      <c r="B359" s="4" t="str" cm="1">
        <f t="array" ref="B359">INDEX(Sheet1!B:B,$F359)</f>
        <v>Non-Pref NS</v>
      </c>
      <c r="C359" s="4">
        <f t="shared" si="21"/>
        <v>57</v>
      </c>
      <c r="D359" s="5" cm="1">
        <f t="array" aca="1" ref="D359" ca="1">OFFSET(INDIRECT("'["&amp;$H359&amp;"]"&amp;$I359&amp;"'!"&amp;$J359),$L359,$M359)*$K359</f>
        <v>7.4400000000000004E-3</v>
      </c>
      <c r="F359" s="4">
        <f t="shared" si="22"/>
        <v>5</v>
      </c>
      <c r="G359" s="4" cm="1">
        <f t="array" ref="G359">IF($C359+$M359&lt;16,INDEX(Sheet1!C:C,$F359),$F359)</f>
        <v>5</v>
      </c>
      <c r="H359" s="4" t="str" cm="1">
        <f t="array" ref="H359">INDEX(Sheet1!D:D,$G359)</f>
        <v>2001-cso-preferred-class-structure-mortality-tables.xls</v>
      </c>
      <c r="I359" s="4" t="str" cm="1">
        <f t="array" ref="I359">INDEX(Sheet1!E:E,$G359)</f>
        <v>A.1.a.iii</v>
      </c>
      <c r="J359" s="4" t="str" cm="1">
        <f t="array" ref="J359">INDEX(Sheet1!F:F,$G359)</f>
        <v>B8</v>
      </c>
      <c r="K359" s="4" cm="1">
        <f t="array" ref="K359">INDEX(Sheet1!H:H,$G359)</f>
        <v>1E-3</v>
      </c>
      <c r="L359" s="4">
        <f t="shared" si="20"/>
        <v>57</v>
      </c>
      <c r="M359" s="4">
        <f t="shared" si="23"/>
        <v>5</v>
      </c>
    </row>
    <row r="360" spans="1:13">
      <c r="A360" s="4" t="str" cm="1">
        <f t="array" ref="A360">INDEX(Sheet1!A:A,$F360)</f>
        <v>M</v>
      </c>
      <c r="B360" s="4" t="str" cm="1">
        <f t="array" ref="B360">INDEX(Sheet1!B:B,$F360)</f>
        <v>Non-Pref NS</v>
      </c>
      <c r="C360" s="4">
        <f t="shared" si="21"/>
        <v>58</v>
      </c>
      <c r="D360" s="5" cm="1">
        <f t="array" aca="1" ref="D360" ca="1">OFFSET(INDIRECT("'["&amp;$H360&amp;"]"&amp;$I360&amp;"'!"&amp;$J360),$L360,$M360)*$K360</f>
        <v>8.3300000000000006E-3</v>
      </c>
      <c r="F360" s="4">
        <f t="shared" si="22"/>
        <v>5</v>
      </c>
      <c r="G360" s="4" cm="1">
        <f t="array" ref="G360">IF($C360+$M360&lt;16,INDEX(Sheet1!C:C,$F360),$F360)</f>
        <v>5</v>
      </c>
      <c r="H360" s="4" t="str" cm="1">
        <f t="array" ref="H360">INDEX(Sheet1!D:D,$G360)</f>
        <v>2001-cso-preferred-class-structure-mortality-tables.xls</v>
      </c>
      <c r="I360" s="4" t="str" cm="1">
        <f t="array" ref="I360">INDEX(Sheet1!E:E,$G360)</f>
        <v>A.1.a.iii</v>
      </c>
      <c r="J360" s="4" t="str" cm="1">
        <f t="array" ref="J360">INDEX(Sheet1!F:F,$G360)</f>
        <v>B8</v>
      </c>
      <c r="K360" s="4" cm="1">
        <f t="array" ref="K360">INDEX(Sheet1!H:H,$G360)</f>
        <v>1E-3</v>
      </c>
      <c r="L360" s="4">
        <f t="shared" si="20"/>
        <v>58</v>
      </c>
      <c r="M360" s="4">
        <f t="shared" si="23"/>
        <v>5</v>
      </c>
    </row>
    <row r="361" spans="1:13">
      <c r="A361" s="4" t="str" cm="1">
        <f t="array" ref="A361">INDEX(Sheet1!A:A,$F361)</f>
        <v>M</v>
      </c>
      <c r="B361" s="4" t="str" cm="1">
        <f t="array" ref="B361">INDEX(Sheet1!B:B,$F361)</f>
        <v>Non-Pref NS</v>
      </c>
      <c r="C361" s="4">
        <f t="shared" si="21"/>
        <v>59</v>
      </c>
      <c r="D361" s="5" cm="1">
        <f t="array" aca="1" ref="D361" ca="1">OFFSET(INDIRECT("'["&amp;$H361&amp;"]"&amp;$I361&amp;"'!"&amp;$J361),$L361,$M361)*$K361</f>
        <v>9.2499999999999995E-3</v>
      </c>
      <c r="F361" s="4">
        <f t="shared" si="22"/>
        <v>5</v>
      </c>
      <c r="G361" s="4" cm="1">
        <f t="array" ref="G361">IF($C361+$M361&lt;16,INDEX(Sheet1!C:C,$F361),$F361)</f>
        <v>5</v>
      </c>
      <c r="H361" s="4" t="str" cm="1">
        <f t="array" ref="H361">INDEX(Sheet1!D:D,$G361)</f>
        <v>2001-cso-preferred-class-structure-mortality-tables.xls</v>
      </c>
      <c r="I361" s="4" t="str" cm="1">
        <f t="array" ref="I361">INDEX(Sheet1!E:E,$G361)</f>
        <v>A.1.a.iii</v>
      </c>
      <c r="J361" s="4" t="str" cm="1">
        <f t="array" ref="J361">INDEX(Sheet1!F:F,$G361)</f>
        <v>B8</v>
      </c>
      <c r="K361" s="4" cm="1">
        <f t="array" ref="K361">INDEX(Sheet1!H:H,$G361)</f>
        <v>1E-3</v>
      </c>
      <c r="L361" s="4">
        <f t="shared" si="20"/>
        <v>59</v>
      </c>
      <c r="M361" s="4">
        <f t="shared" si="23"/>
        <v>5</v>
      </c>
    </row>
    <row r="362" spans="1:13">
      <c r="A362" s="4" t="str" cm="1">
        <f t="array" ref="A362">INDEX(Sheet1!A:A,$F362)</f>
        <v>M</v>
      </c>
      <c r="B362" s="4" t="str" cm="1">
        <f t="array" ref="B362">INDEX(Sheet1!B:B,$F362)</f>
        <v>Non-Pref NS</v>
      </c>
      <c r="C362" s="4">
        <f t="shared" si="21"/>
        <v>60</v>
      </c>
      <c r="D362" s="5" cm="1">
        <f t="array" aca="1" ref="D362" ca="1">OFFSET(INDIRECT("'["&amp;$H362&amp;"]"&amp;$I362&amp;"'!"&amp;$J362),$L362,$M362)*$K362</f>
        <v>1.0189999999999999E-2</v>
      </c>
      <c r="F362" s="4">
        <f t="shared" si="22"/>
        <v>5</v>
      </c>
      <c r="G362" s="4" cm="1">
        <f t="array" ref="G362">IF($C362+$M362&lt;16,INDEX(Sheet1!C:C,$F362),$F362)</f>
        <v>5</v>
      </c>
      <c r="H362" s="4" t="str" cm="1">
        <f t="array" ref="H362">INDEX(Sheet1!D:D,$G362)</f>
        <v>2001-cso-preferred-class-structure-mortality-tables.xls</v>
      </c>
      <c r="I362" s="4" t="str" cm="1">
        <f t="array" ref="I362">INDEX(Sheet1!E:E,$G362)</f>
        <v>A.1.a.iii</v>
      </c>
      <c r="J362" s="4" t="str" cm="1">
        <f t="array" ref="J362">INDEX(Sheet1!F:F,$G362)</f>
        <v>B8</v>
      </c>
      <c r="K362" s="4" cm="1">
        <f t="array" ref="K362">INDEX(Sheet1!H:H,$G362)</f>
        <v>1E-3</v>
      </c>
      <c r="L362" s="4">
        <f t="shared" si="20"/>
        <v>60</v>
      </c>
      <c r="M362" s="4">
        <f t="shared" si="23"/>
        <v>5</v>
      </c>
    </row>
    <row r="363" spans="1:13">
      <c r="A363" s="4" t="str" cm="1">
        <f t="array" ref="A363">INDEX(Sheet1!A:A,$F363)</f>
        <v>M</v>
      </c>
      <c r="B363" s="4" t="str" cm="1">
        <f t="array" ref="B363">INDEX(Sheet1!B:B,$F363)</f>
        <v>Non-Pref NS</v>
      </c>
      <c r="C363" s="4">
        <f t="shared" si="21"/>
        <v>61</v>
      </c>
      <c r="D363" s="5" cm="1">
        <f t="array" aca="1" ref="D363" ca="1">OFFSET(INDIRECT("'["&amp;$H363&amp;"]"&amp;$I363&amp;"'!"&amp;$J363),$L363,$M363)*$K363</f>
        <v>1.1130000000000001E-2</v>
      </c>
      <c r="F363" s="4">
        <f t="shared" si="22"/>
        <v>5</v>
      </c>
      <c r="G363" s="4" cm="1">
        <f t="array" ref="G363">IF($C363+$M363&lt;16,INDEX(Sheet1!C:C,$F363),$F363)</f>
        <v>5</v>
      </c>
      <c r="H363" s="4" t="str" cm="1">
        <f t="array" ref="H363">INDEX(Sheet1!D:D,$G363)</f>
        <v>2001-cso-preferred-class-structure-mortality-tables.xls</v>
      </c>
      <c r="I363" s="4" t="str" cm="1">
        <f t="array" ref="I363">INDEX(Sheet1!E:E,$G363)</f>
        <v>A.1.a.iii</v>
      </c>
      <c r="J363" s="4" t="str" cm="1">
        <f t="array" ref="J363">INDEX(Sheet1!F:F,$G363)</f>
        <v>B8</v>
      </c>
      <c r="K363" s="4" cm="1">
        <f t="array" ref="K363">INDEX(Sheet1!H:H,$G363)</f>
        <v>1E-3</v>
      </c>
      <c r="L363" s="4">
        <f t="shared" si="20"/>
        <v>61</v>
      </c>
      <c r="M363" s="4">
        <f t="shared" si="23"/>
        <v>5</v>
      </c>
    </row>
    <row r="364" spans="1:13">
      <c r="A364" s="4" t="str" cm="1">
        <f t="array" ref="A364">INDEX(Sheet1!A:A,$F364)</f>
        <v>M</v>
      </c>
      <c r="B364" s="4" t="str" cm="1">
        <f t="array" ref="B364">INDEX(Sheet1!B:B,$F364)</f>
        <v>Non-Pref NS</v>
      </c>
      <c r="C364" s="4">
        <f t="shared" si="21"/>
        <v>62</v>
      </c>
      <c r="D364" s="5" cm="1">
        <f t="array" aca="1" ref="D364" ca="1">OFFSET(INDIRECT("'["&amp;$H364&amp;"]"&amp;$I364&amp;"'!"&amp;$J364),$L364,$M364)*$K364</f>
        <v>1.209E-2</v>
      </c>
      <c r="F364" s="4">
        <f t="shared" si="22"/>
        <v>5</v>
      </c>
      <c r="G364" s="4" cm="1">
        <f t="array" ref="G364">IF($C364+$M364&lt;16,INDEX(Sheet1!C:C,$F364),$F364)</f>
        <v>5</v>
      </c>
      <c r="H364" s="4" t="str" cm="1">
        <f t="array" ref="H364">INDEX(Sheet1!D:D,$G364)</f>
        <v>2001-cso-preferred-class-structure-mortality-tables.xls</v>
      </c>
      <c r="I364" s="4" t="str" cm="1">
        <f t="array" ref="I364">INDEX(Sheet1!E:E,$G364)</f>
        <v>A.1.a.iii</v>
      </c>
      <c r="J364" s="4" t="str" cm="1">
        <f t="array" ref="J364">INDEX(Sheet1!F:F,$G364)</f>
        <v>B8</v>
      </c>
      <c r="K364" s="4" cm="1">
        <f t="array" ref="K364">INDEX(Sheet1!H:H,$G364)</f>
        <v>1E-3</v>
      </c>
      <c r="L364" s="4">
        <f t="shared" si="20"/>
        <v>62</v>
      </c>
      <c r="M364" s="4">
        <f t="shared" si="23"/>
        <v>5</v>
      </c>
    </row>
    <row r="365" spans="1:13">
      <c r="A365" s="4" t="str" cm="1">
        <f t="array" ref="A365">INDEX(Sheet1!A:A,$F365)</f>
        <v>M</v>
      </c>
      <c r="B365" s="4" t="str" cm="1">
        <f t="array" ref="B365">INDEX(Sheet1!B:B,$F365)</f>
        <v>Non-Pref NS</v>
      </c>
      <c r="C365" s="4">
        <f t="shared" si="21"/>
        <v>63</v>
      </c>
      <c r="D365" s="5" cm="1">
        <f t="array" aca="1" ref="D365" ca="1">OFFSET(INDIRECT("'["&amp;$H365&amp;"]"&amp;$I365&amp;"'!"&amp;$J365),$L365,$M365)*$K365</f>
        <v>1.319E-2</v>
      </c>
      <c r="F365" s="4">
        <f t="shared" si="22"/>
        <v>5</v>
      </c>
      <c r="G365" s="4" cm="1">
        <f t="array" ref="G365">IF($C365+$M365&lt;16,INDEX(Sheet1!C:C,$F365),$F365)</f>
        <v>5</v>
      </c>
      <c r="H365" s="4" t="str" cm="1">
        <f t="array" ref="H365">INDEX(Sheet1!D:D,$G365)</f>
        <v>2001-cso-preferred-class-structure-mortality-tables.xls</v>
      </c>
      <c r="I365" s="4" t="str" cm="1">
        <f t="array" ref="I365">INDEX(Sheet1!E:E,$G365)</f>
        <v>A.1.a.iii</v>
      </c>
      <c r="J365" s="4" t="str" cm="1">
        <f t="array" ref="J365">INDEX(Sheet1!F:F,$G365)</f>
        <v>B8</v>
      </c>
      <c r="K365" s="4" cm="1">
        <f t="array" ref="K365">INDEX(Sheet1!H:H,$G365)</f>
        <v>1E-3</v>
      </c>
      <c r="L365" s="4">
        <f t="shared" si="20"/>
        <v>63</v>
      </c>
      <c r="M365" s="4">
        <f t="shared" si="23"/>
        <v>5</v>
      </c>
    </row>
    <row r="366" spans="1:13">
      <c r="A366" s="4" t="str" cm="1">
        <f t="array" ref="A366">INDEX(Sheet1!A:A,$F366)</f>
        <v>M</v>
      </c>
      <c r="B366" s="4" t="str" cm="1">
        <f t="array" ref="B366">INDEX(Sheet1!B:B,$F366)</f>
        <v>Non-Pref NS</v>
      </c>
      <c r="C366" s="4">
        <f t="shared" si="21"/>
        <v>64</v>
      </c>
      <c r="D366" s="5" cm="1">
        <f t="array" aca="1" ref="D366" ca="1">OFFSET(INDIRECT("'["&amp;$H366&amp;"]"&amp;$I366&amp;"'!"&amp;$J366),$L366,$M366)*$K366</f>
        <v>1.443E-2</v>
      </c>
      <c r="F366" s="4">
        <f t="shared" si="22"/>
        <v>5</v>
      </c>
      <c r="G366" s="4" cm="1">
        <f t="array" ref="G366">IF($C366+$M366&lt;16,INDEX(Sheet1!C:C,$F366),$F366)</f>
        <v>5</v>
      </c>
      <c r="H366" s="4" t="str" cm="1">
        <f t="array" ref="H366">INDEX(Sheet1!D:D,$G366)</f>
        <v>2001-cso-preferred-class-structure-mortality-tables.xls</v>
      </c>
      <c r="I366" s="4" t="str" cm="1">
        <f t="array" ref="I366">INDEX(Sheet1!E:E,$G366)</f>
        <v>A.1.a.iii</v>
      </c>
      <c r="J366" s="4" t="str" cm="1">
        <f t="array" ref="J366">INDEX(Sheet1!F:F,$G366)</f>
        <v>B8</v>
      </c>
      <c r="K366" s="4" cm="1">
        <f t="array" ref="K366">INDEX(Sheet1!H:H,$G366)</f>
        <v>1E-3</v>
      </c>
      <c r="L366" s="4">
        <f t="shared" si="20"/>
        <v>64</v>
      </c>
      <c r="M366" s="4">
        <f t="shared" si="23"/>
        <v>5</v>
      </c>
    </row>
    <row r="367" spans="1:13">
      <c r="A367" s="4" t="str" cm="1">
        <f t="array" ref="A367">INDEX(Sheet1!A:A,$F367)</f>
        <v>M</v>
      </c>
      <c r="B367" s="4" t="str" cm="1">
        <f t="array" ref="B367">INDEX(Sheet1!B:B,$F367)</f>
        <v>Non-Pref NS</v>
      </c>
      <c r="C367" s="4">
        <f t="shared" si="21"/>
        <v>65</v>
      </c>
      <c r="D367" s="5" cm="1">
        <f t="array" aca="1" ref="D367" ca="1">OFFSET(INDIRECT("'["&amp;$H367&amp;"]"&amp;$I367&amp;"'!"&amp;$J367),$L367,$M367)*$K367</f>
        <v>1.584E-2</v>
      </c>
      <c r="F367" s="4">
        <f t="shared" si="22"/>
        <v>5</v>
      </c>
      <c r="G367" s="4" cm="1">
        <f t="array" ref="G367">IF($C367+$M367&lt;16,INDEX(Sheet1!C:C,$F367),$F367)</f>
        <v>5</v>
      </c>
      <c r="H367" s="4" t="str" cm="1">
        <f t="array" ref="H367">INDEX(Sheet1!D:D,$G367)</f>
        <v>2001-cso-preferred-class-structure-mortality-tables.xls</v>
      </c>
      <c r="I367" s="4" t="str" cm="1">
        <f t="array" ref="I367">INDEX(Sheet1!E:E,$G367)</f>
        <v>A.1.a.iii</v>
      </c>
      <c r="J367" s="4" t="str" cm="1">
        <f t="array" ref="J367">INDEX(Sheet1!F:F,$G367)</f>
        <v>B8</v>
      </c>
      <c r="K367" s="4" cm="1">
        <f t="array" ref="K367">INDEX(Sheet1!H:H,$G367)</f>
        <v>1E-3</v>
      </c>
      <c r="L367" s="4">
        <f t="shared" si="20"/>
        <v>65</v>
      </c>
      <c r="M367" s="4">
        <f t="shared" si="23"/>
        <v>5</v>
      </c>
    </row>
    <row r="368" spans="1:13">
      <c r="A368" s="4" t="str" cm="1">
        <f t="array" ref="A368">INDEX(Sheet1!A:A,$F368)</f>
        <v>M</v>
      </c>
      <c r="B368" s="4" t="str" cm="1">
        <f t="array" ref="B368">INDEX(Sheet1!B:B,$F368)</f>
        <v>Non-Pref NS</v>
      </c>
      <c r="C368" s="4">
        <f t="shared" si="21"/>
        <v>66</v>
      </c>
      <c r="D368" s="5" cm="1">
        <f t="array" aca="1" ref="D368" ca="1">OFFSET(INDIRECT("'["&amp;$H368&amp;"]"&amp;$I368&amp;"'!"&amp;$J368),$L368,$M368)*$K368</f>
        <v>1.746E-2</v>
      </c>
      <c r="F368" s="4">
        <f t="shared" si="22"/>
        <v>5</v>
      </c>
      <c r="G368" s="4" cm="1">
        <f t="array" ref="G368">IF($C368+$M368&lt;16,INDEX(Sheet1!C:C,$F368),$F368)</f>
        <v>5</v>
      </c>
      <c r="H368" s="4" t="str" cm="1">
        <f t="array" ref="H368">INDEX(Sheet1!D:D,$G368)</f>
        <v>2001-cso-preferred-class-structure-mortality-tables.xls</v>
      </c>
      <c r="I368" s="4" t="str" cm="1">
        <f t="array" ref="I368">INDEX(Sheet1!E:E,$G368)</f>
        <v>A.1.a.iii</v>
      </c>
      <c r="J368" s="4" t="str" cm="1">
        <f t="array" ref="J368">INDEX(Sheet1!F:F,$G368)</f>
        <v>B8</v>
      </c>
      <c r="K368" s="4" cm="1">
        <f t="array" ref="K368">INDEX(Sheet1!H:H,$G368)</f>
        <v>1E-3</v>
      </c>
      <c r="L368" s="4">
        <f t="shared" si="20"/>
        <v>66</v>
      </c>
      <c r="M368" s="4">
        <f t="shared" si="23"/>
        <v>5</v>
      </c>
    </row>
    <row r="369" spans="1:13">
      <c r="A369" s="4" t="str" cm="1">
        <f t="array" ref="A369">INDEX(Sheet1!A:A,$F369)</f>
        <v>M</v>
      </c>
      <c r="B369" s="4" t="str" cm="1">
        <f t="array" ref="B369">INDEX(Sheet1!B:B,$F369)</f>
        <v>Non-Pref NS</v>
      </c>
      <c r="C369" s="4">
        <f t="shared" si="21"/>
        <v>67</v>
      </c>
      <c r="D369" s="5" cm="1">
        <f t="array" aca="1" ref="D369" ca="1">OFFSET(INDIRECT("'["&amp;$H369&amp;"]"&amp;$I369&amp;"'!"&amp;$J369),$L369,$M369)*$K369</f>
        <v>1.925E-2</v>
      </c>
      <c r="F369" s="4">
        <f t="shared" si="22"/>
        <v>5</v>
      </c>
      <c r="G369" s="4" cm="1">
        <f t="array" ref="G369">IF($C369+$M369&lt;16,INDEX(Sheet1!C:C,$F369),$F369)</f>
        <v>5</v>
      </c>
      <c r="H369" s="4" t="str" cm="1">
        <f t="array" ref="H369">INDEX(Sheet1!D:D,$G369)</f>
        <v>2001-cso-preferred-class-structure-mortality-tables.xls</v>
      </c>
      <c r="I369" s="4" t="str" cm="1">
        <f t="array" ref="I369">INDEX(Sheet1!E:E,$G369)</f>
        <v>A.1.a.iii</v>
      </c>
      <c r="J369" s="4" t="str" cm="1">
        <f t="array" ref="J369">INDEX(Sheet1!F:F,$G369)</f>
        <v>B8</v>
      </c>
      <c r="K369" s="4" cm="1">
        <f t="array" ref="K369">INDEX(Sheet1!H:H,$G369)</f>
        <v>1E-3</v>
      </c>
      <c r="L369" s="4">
        <f t="shared" si="20"/>
        <v>67</v>
      </c>
      <c r="M369" s="4">
        <f t="shared" si="23"/>
        <v>5</v>
      </c>
    </row>
    <row r="370" spans="1:13">
      <c r="A370" s="4" t="str" cm="1">
        <f t="array" ref="A370">INDEX(Sheet1!A:A,$F370)</f>
        <v>M</v>
      </c>
      <c r="B370" s="4" t="str" cm="1">
        <f t="array" ref="B370">INDEX(Sheet1!B:B,$F370)</f>
        <v>Non-Pref NS</v>
      </c>
      <c r="C370" s="4">
        <f t="shared" si="21"/>
        <v>68</v>
      </c>
      <c r="D370" s="5" cm="1">
        <f t="array" aca="1" ref="D370" ca="1">OFFSET(INDIRECT("'["&amp;$H370&amp;"]"&amp;$I370&amp;"'!"&amp;$J370),$L370,$M370)*$K370</f>
        <v>2.129E-2</v>
      </c>
      <c r="F370" s="4">
        <f t="shared" si="22"/>
        <v>5</v>
      </c>
      <c r="G370" s="4" cm="1">
        <f t="array" ref="G370">IF($C370+$M370&lt;16,INDEX(Sheet1!C:C,$F370),$F370)</f>
        <v>5</v>
      </c>
      <c r="H370" s="4" t="str" cm="1">
        <f t="array" ref="H370">INDEX(Sheet1!D:D,$G370)</f>
        <v>2001-cso-preferred-class-structure-mortality-tables.xls</v>
      </c>
      <c r="I370" s="4" t="str" cm="1">
        <f t="array" ref="I370">INDEX(Sheet1!E:E,$G370)</f>
        <v>A.1.a.iii</v>
      </c>
      <c r="J370" s="4" t="str" cm="1">
        <f t="array" ref="J370">INDEX(Sheet1!F:F,$G370)</f>
        <v>B8</v>
      </c>
      <c r="K370" s="4" cm="1">
        <f t="array" ref="K370">INDEX(Sheet1!H:H,$G370)</f>
        <v>1E-3</v>
      </c>
      <c r="L370" s="4">
        <f t="shared" si="20"/>
        <v>68</v>
      </c>
      <c r="M370" s="4">
        <f t="shared" si="23"/>
        <v>5</v>
      </c>
    </row>
    <row r="371" spans="1:13">
      <c r="A371" s="4" t="str" cm="1">
        <f t="array" ref="A371">INDEX(Sheet1!A:A,$F371)</f>
        <v>M</v>
      </c>
      <c r="B371" s="4" t="str" cm="1">
        <f t="array" ref="B371">INDEX(Sheet1!B:B,$F371)</f>
        <v>Non-Pref NS</v>
      </c>
      <c r="C371" s="4">
        <f t="shared" si="21"/>
        <v>69</v>
      </c>
      <c r="D371" s="5" cm="1">
        <f t="array" aca="1" ref="D371" ca="1">OFFSET(INDIRECT("'["&amp;$H371&amp;"]"&amp;$I371&amp;"'!"&amp;$J371),$L371,$M371)*$K371</f>
        <v>2.3640000000000001E-2</v>
      </c>
      <c r="F371" s="4">
        <f t="shared" si="22"/>
        <v>5</v>
      </c>
      <c r="G371" s="4" cm="1">
        <f t="array" ref="G371">IF($C371+$M371&lt;16,INDEX(Sheet1!C:C,$F371),$F371)</f>
        <v>5</v>
      </c>
      <c r="H371" s="4" t="str" cm="1">
        <f t="array" ref="H371">INDEX(Sheet1!D:D,$G371)</f>
        <v>2001-cso-preferred-class-structure-mortality-tables.xls</v>
      </c>
      <c r="I371" s="4" t="str" cm="1">
        <f t="array" ref="I371">INDEX(Sheet1!E:E,$G371)</f>
        <v>A.1.a.iii</v>
      </c>
      <c r="J371" s="4" t="str" cm="1">
        <f t="array" ref="J371">INDEX(Sheet1!F:F,$G371)</f>
        <v>B8</v>
      </c>
      <c r="K371" s="4" cm="1">
        <f t="array" ref="K371">INDEX(Sheet1!H:H,$G371)</f>
        <v>1E-3</v>
      </c>
      <c r="L371" s="4">
        <f t="shared" si="20"/>
        <v>69</v>
      </c>
      <c r="M371" s="4">
        <f t="shared" si="23"/>
        <v>5</v>
      </c>
    </row>
    <row r="372" spans="1:13">
      <c r="A372" s="4" t="str" cm="1">
        <f t="array" ref="A372">INDEX(Sheet1!A:A,$F372)</f>
        <v>M</v>
      </c>
      <c r="B372" s="4" t="str" cm="1">
        <f t="array" ref="B372">INDEX(Sheet1!B:B,$F372)</f>
        <v>Non-Pref NS</v>
      </c>
      <c r="C372" s="4">
        <f t="shared" si="21"/>
        <v>70</v>
      </c>
      <c r="D372" s="5" cm="1">
        <f t="array" aca="1" ref="D372" ca="1">OFFSET(INDIRECT("'["&amp;$H372&amp;"]"&amp;$I372&amp;"'!"&amp;$J372),$L372,$M372)*$K372</f>
        <v>2.614E-2</v>
      </c>
      <c r="F372" s="4">
        <f t="shared" si="22"/>
        <v>5</v>
      </c>
      <c r="G372" s="4" cm="1">
        <f t="array" ref="G372">IF($C372+$M372&lt;16,INDEX(Sheet1!C:C,$F372),$F372)</f>
        <v>5</v>
      </c>
      <c r="H372" s="4" t="str" cm="1">
        <f t="array" ref="H372">INDEX(Sheet1!D:D,$G372)</f>
        <v>2001-cso-preferred-class-structure-mortality-tables.xls</v>
      </c>
      <c r="I372" s="4" t="str" cm="1">
        <f t="array" ref="I372">INDEX(Sheet1!E:E,$G372)</f>
        <v>A.1.a.iii</v>
      </c>
      <c r="J372" s="4" t="str" cm="1">
        <f t="array" ref="J372">INDEX(Sheet1!F:F,$G372)</f>
        <v>B8</v>
      </c>
      <c r="K372" s="4" cm="1">
        <f t="array" ref="K372">INDEX(Sheet1!H:H,$G372)</f>
        <v>1E-3</v>
      </c>
      <c r="L372" s="4">
        <f t="shared" si="20"/>
        <v>70</v>
      </c>
      <c r="M372" s="4">
        <f t="shared" si="23"/>
        <v>5</v>
      </c>
    </row>
    <row r="373" spans="1:13">
      <c r="A373" s="4" t="str" cm="1">
        <f t="array" ref="A373">INDEX(Sheet1!A:A,$F373)</f>
        <v>M</v>
      </c>
      <c r="B373" s="4" t="str" cm="1">
        <f t="array" ref="B373">INDEX(Sheet1!B:B,$F373)</f>
        <v>Non-Pref NS</v>
      </c>
      <c r="C373" s="4">
        <f t="shared" si="21"/>
        <v>71</v>
      </c>
      <c r="D373" s="5" cm="1">
        <f t="array" aca="1" ref="D373" ca="1">OFFSET(INDIRECT("'["&amp;$H373&amp;"]"&amp;$I373&amp;"'!"&amp;$J373),$L373,$M373)*$K373</f>
        <v>2.8340000000000001E-2</v>
      </c>
      <c r="F373" s="4">
        <f t="shared" si="22"/>
        <v>5</v>
      </c>
      <c r="G373" s="4" cm="1">
        <f t="array" ref="G373">IF($C373+$M373&lt;16,INDEX(Sheet1!C:C,$F373),$F373)</f>
        <v>5</v>
      </c>
      <c r="H373" s="4" t="str" cm="1">
        <f t="array" ref="H373">INDEX(Sheet1!D:D,$G373)</f>
        <v>2001-cso-preferred-class-structure-mortality-tables.xls</v>
      </c>
      <c r="I373" s="4" t="str" cm="1">
        <f t="array" ref="I373">INDEX(Sheet1!E:E,$G373)</f>
        <v>A.1.a.iii</v>
      </c>
      <c r="J373" s="4" t="str" cm="1">
        <f t="array" ref="J373">INDEX(Sheet1!F:F,$G373)</f>
        <v>B8</v>
      </c>
      <c r="K373" s="4" cm="1">
        <f t="array" ref="K373">INDEX(Sheet1!H:H,$G373)</f>
        <v>1E-3</v>
      </c>
      <c r="L373" s="4">
        <f t="shared" si="20"/>
        <v>71</v>
      </c>
      <c r="M373" s="4">
        <f t="shared" si="23"/>
        <v>5</v>
      </c>
    </row>
    <row r="374" spans="1:13">
      <c r="A374" s="4" t="str" cm="1">
        <f t="array" ref="A374">INDEX(Sheet1!A:A,$F374)</f>
        <v>M</v>
      </c>
      <c r="B374" s="4" t="str" cm="1">
        <f t="array" ref="B374">INDEX(Sheet1!B:B,$F374)</f>
        <v>Non-Pref NS</v>
      </c>
      <c r="C374" s="4">
        <f t="shared" si="21"/>
        <v>72</v>
      </c>
      <c r="D374" s="5" cm="1">
        <f t="array" aca="1" ref="D374" ca="1">OFFSET(INDIRECT("'["&amp;$H374&amp;"]"&amp;$I374&amp;"'!"&amp;$J374),$L374,$M374)*$K374</f>
        <v>3.015E-2</v>
      </c>
      <c r="F374" s="4">
        <f t="shared" si="22"/>
        <v>5</v>
      </c>
      <c r="G374" s="4" cm="1">
        <f t="array" ref="G374">IF($C374+$M374&lt;16,INDEX(Sheet1!C:C,$F374),$F374)</f>
        <v>5</v>
      </c>
      <c r="H374" s="4" t="str" cm="1">
        <f t="array" ref="H374">INDEX(Sheet1!D:D,$G374)</f>
        <v>2001-cso-preferred-class-structure-mortality-tables.xls</v>
      </c>
      <c r="I374" s="4" t="str" cm="1">
        <f t="array" ref="I374">INDEX(Sheet1!E:E,$G374)</f>
        <v>A.1.a.iii</v>
      </c>
      <c r="J374" s="4" t="str" cm="1">
        <f t="array" ref="J374">INDEX(Sheet1!F:F,$G374)</f>
        <v>B8</v>
      </c>
      <c r="K374" s="4" cm="1">
        <f t="array" ref="K374">INDEX(Sheet1!H:H,$G374)</f>
        <v>1E-3</v>
      </c>
      <c r="L374" s="4">
        <f t="shared" si="20"/>
        <v>72</v>
      </c>
      <c r="M374" s="4">
        <f t="shared" si="23"/>
        <v>5</v>
      </c>
    </row>
    <row r="375" spans="1:13">
      <c r="A375" s="4" t="str" cm="1">
        <f t="array" ref="A375">INDEX(Sheet1!A:A,$F375)</f>
        <v>M</v>
      </c>
      <c r="B375" s="4" t="str" cm="1">
        <f t="array" ref="B375">INDEX(Sheet1!B:B,$F375)</f>
        <v>Non-Pref NS</v>
      </c>
      <c r="C375" s="4">
        <f t="shared" si="21"/>
        <v>73</v>
      </c>
      <c r="D375" s="5" cm="1">
        <f t="array" aca="1" ref="D375" ca="1">OFFSET(INDIRECT("'["&amp;$H375&amp;"]"&amp;$I375&amp;"'!"&amp;$J375),$L375,$M375)*$K375</f>
        <v>3.2100000000000004E-2</v>
      </c>
      <c r="F375" s="4">
        <f t="shared" si="22"/>
        <v>5</v>
      </c>
      <c r="G375" s="4" cm="1">
        <f t="array" ref="G375">IF($C375+$M375&lt;16,INDEX(Sheet1!C:C,$F375),$F375)</f>
        <v>5</v>
      </c>
      <c r="H375" s="4" t="str" cm="1">
        <f t="array" ref="H375">INDEX(Sheet1!D:D,$G375)</f>
        <v>2001-cso-preferred-class-structure-mortality-tables.xls</v>
      </c>
      <c r="I375" s="4" t="str" cm="1">
        <f t="array" ref="I375">INDEX(Sheet1!E:E,$G375)</f>
        <v>A.1.a.iii</v>
      </c>
      <c r="J375" s="4" t="str" cm="1">
        <f t="array" ref="J375">INDEX(Sheet1!F:F,$G375)</f>
        <v>B8</v>
      </c>
      <c r="K375" s="4" cm="1">
        <f t="array" ref="K375">INDEX(Sheet1!H:H,$G375)</f>
        <v>1E-3</v>
      </c>
      <c r="L375" s="4">
        <f t="shared" si="20"/>
        <v>73</v>
      </c>
      <c r="M375" s="4">
        <f t="shared" si="23"/>
        <v>5</v>
      </c>
    </row>
    <row r="376" spans="1:13">
      <c r="A376" s="4" t="str" cm="1">
        <f t="array" ref="A376">INDEX(Sheet1!A:A,$F376)</f>
        <v>M</v>
      </c>
      <c r="B376" s="4" t="str" cm="1">
        <f t="array" ref="B376">INDEX(Sheet1!B:B,$F376)</f>
        <v>Non-Pref NS</v>
      </c>
      <c r="C376" s="4">
        <f t="shared" si="21"/>
        <v>74</v>
      </c>
      <c r="D376" s="5" cm="1">
        <f t="array" aca="1" ref="D376" ca="1">OFFSET(INDIRECT("'["&amp;$H376&amp;"]"&amp;$I376&amp;"'!"&amp;$J376),$L376,$M376)*$K376</f>
        <v>3.4939999999999999E-2</v>
      </c>
      <c r="F376" s="4">
        <f t="shared" si="22"/>
        <v>5</v>
      </c>
      <c r="G376" s="4" cm="1">
        <f t="array" ref="G376">IF($C376+$M376&lt;16,INDEX(Sheet1!C:C,$F376),$F376)</f>
        <v>5</v>
      </c>
      <c r="H376" s="4" t="str" cm="1">
        <f t="array" ref="H376">INDEX(Sheet1!D:D,$G376)</f>
        <v>2001-cso-preferred-class-structure-mortality-tables.xls</v>
      </c>
      <c r="I376" s="4" t="str" cm="1">
        <f t="array" ref="I376">INDEX(Sheet1!E:E,$G376)</f>
        <v>A.1.a.iii</v>
      </c>
      <c r="J376" s="4" t="str" cm="1">
        <f t="array" ref="J376">INDEX(Sheet1!F:F,$G376)</f>
        <v>B8</v>
      </c>
      <c r="K376" s="4" cm="1">
        <f t="array" ref="K376">INDEX(Sheet1!H:H,$G376)</f>
        <v>1E-3</v>
      </c>
      <c r="L376" s="4">
        <f t="shared" si="20"/>
        <v>74</v>
      </c>
      <c r="M376" s="4">
        <f t="shared" si="23"/>
        <v>5</v>
      </c>
    </row>
    <row r="377" spans="1:13">
      <c r="A377" s="4" t="str" cm="1">
        <f t="array" ref="A377">INDEX(Sheet1!A:A,$F377)</f>
        <v>M</v>
      </c>
      <c r="B377" s="4" t="str" cm="1">
        <f t="array" ref="B377">INDEX(Sheet1!B:B,$F377)</f>
        <v>Non-Pref NS</v>
      </c>
      <c r="C377" s="4">
        <f t="shared" si="21"/>
        <v>75</v>
      </c>
      <c r="D377" s="5" cm="1">
        <f t="array" aca="1" ref="D377" ca="1">OFFSET(INDIRECT("'["&amp;$H377&amp;"]"&amp;$I377&amp;"'!"&amp;$J377),$L377,$M377)*$K377</f>
        <v>4.0060000000000005E-2</v>
      </c>
      <c r="F377" s="4">
        <f t="shared" si="22"/>
        <v>5</v>
      </c>
      <c r="G377" s="4" cm="1">
        <f t="array" ref="G377">IF($C377+$M377&lt;16,INDEX(Sheet1!C:C,$F377),$F377)</f>
        <v>5</v>
      </c>
      <c r="H377" s="4" t="str" cm="1">
        <f t="array" ref="H377">INDEX(Sheet1!D:D,$G377)</f>
        <v>2001-cso-preferred-class-structure-mortality-tables.xls</v>
      </c>
      <c r="I377" s="4" t="str" cm="1">
        <f t="array" ref="I377">INDEX(Sheet1!E:E,$G377)</f>
        <v>A.1.a.iii</v>
      </c>
      <c r="J377" s="4" t="str" cm="1">
        <f t="array" ref="J377">INDEX(Sheet1!F:F,$G377)</f>
        <v>B8</v>
      </c>
      <c r="K377" s="4" cm="1">
        <f t="array" ref="K377">INDEX(Sheet1!H:H,$G377)</f>
        <v>1E-3</v>
      </c>
      <c r="L377" s="4">
        <f t="shared" si="20"/>
        <v>75</v>
      </c>
      <c r="M377" s="4">
        <f t="shared" si="23"/>
        <v>5</v>
      </c>
    </row>
    <row r="378" spans="1:13">
      <c r="A378" s="4" t="str" cm="1">
        <f t="array" ref="A378">INDEX(Sheet1!A:A,$F378)</f>
        <v>M</v>
      </c>
      <c r="B378" s="4" t="str" cm="1">
        <f t="array" ref="B378">INDEX(Sheet1!B:B,$F378)</f>
        <v>Non-Pref NS</v>
      </c>
      <c r="C378" s="4">
        <f t="shared" si="21"/>
        <v>76</v>
      </c>
      <c r="D378" s="5" cm="1">
        <f t="array" aca="1" ref="D378" ca="1">OFFSET(INDIRECT("'["&amp;$H378&amp;"]"&amp;$I378&amp;"'!"&amp;$J378),$L378,$M378)*$K378</f>
        <v>4.4080000000000001E-2</v>
      </c>
      <c r="F378" s="4">
        <f t="shared" si="22"/>
        <v>5</v>
      </c>
      <c r="G378" s="4" cm="1">
        <f t="array" ref="G378">IF($C378+$M378&lt;16,INDEX(Sheet1!C:C,$F378),$F378)</f>
        <v>5</v>
      </c>
      <c r="H378" s="4" t="str" cm="1">
        <f t="array" ref="H378">INDEX(Sheet1!D:D,$G378)</f>
        <v>2001-cso-preferred-class-structure-mortality-tables.xls</v>
      </c>
      <c r="I378" s="4" t="str" cm="1">
        <f t="array" ref="I378">INDEX(Sheet1!E:E,$G378)</f>
        <v>A.1.a.iii</v>
      </c>
      <c r="J378" s="4" t="str" cm="1">
        <f t="array" ref="J378">INDEX(Sheet1!F:F,$G378)</f>
        <v>B8</v>
      </c>
      <c r="K378" s="4" cm="1">
        <f t="array" ref="K378">INDEX(Sheet1!H:H,$G378)</f>
        <v>1E-3</v>
      </c>
      <c r="L378" s="4">
        <f t="shared" si="20"/>
        <v>76</v>
      </c>
      <c r="M378" s="4">
        <f t="shared" si="23"/>
        <v>5</v>
      </c>
    </row>
    <row r="379" spans="1:13">
      <c r="A379" s="4" t="str" cm="1">
        <f t="array" ref="A379">INDEX(Sheet1!A:A,$F379)</f>
        <v>M</v>
      </c>
      <c r="B379" s="4" t="str" cm="1">
        <f t="array" ref="B379">INDEX(Sheet1!B:B,$F379)</f>
        <v>Non-Pref NS</v>
      </c>
      <c r="C379" s="4">
        <f t="shared" si="21"/>
        <v>77</v>
      </c>
      <c r="D379" s="5" cm="1">
        <f t="array" aca="1" ref="D379" ca="1">OFFSET(INDIRECT("'["&amp;$H379&amp;"]"&amp;$I379&amp;"'!"&amp;$J379),$L379,$M379)*$K379</f>
        <v>4.8979999999999996E-2</v>
      </c>
      <c r="F379" s="4">
        <f t="shared" si="22"/>
        <v>5</v>
      </c>
      <c r="G379" s="4" cm="1">
        <f t="array" ref="G379">IF($C379+$M379&lt;16,INDEX(Sheet1!C:C,$F379),$F379)</f>
        <v>5</v>
      </c>
      <c r="H379" s="4" t="str" cm="1">
        <f t="array" ref="H379">INDEX(Sheet1!D:D,$G379)</f>
        <v>2001-cso-preferred-class-structure-mortality-tables.xls</v>
      </c>
      <c r="I379" s="4" t="str" cm="1">
        <f t="array" ref="I379">INDEX(Sheet1!E:E,$G379)</f>
        <v>A.1.a.iii</v>
      </c>
      <c r="J379" s="4" t="str" cm="1">
        <f t="array" ref="J379">INDEX(Sheet1!F:F,$G379)</f>
        <v>B8</v>
      </c>
      <c r="K379" s="4" cm="1">
        <f t="array" ref="K379">INDEX(Sheet1!H:H,$G379)</f>
        <v>1E-3</v>
      </c>
      <c r="L379" s="4">
        <f t="shared" si="20"/>
        <v>77</v>
      </c>
      <c r="M379" s="4">
        <f t="shared" si="23"/>
        <v>5</v>
      </c>
    </row>
    <row r="380" spans="1:13">
      <c r="A380" s="4" t="str" cm="1">
        <f t="array" ref="A380">INDEX(Sheet1!A:A,$F380)</f>
        <v>M</v>
      </c>
      <c r="B380" s="4" t="str" cm="1">
        <f t="array" ref="B380">INDEX(Sheet1!B:B,$F380)</f>
        <v>Non-Pref NS</v>
      </c>
      <c r="C380" s="4">
        <f t="shared" si="21"/>
        <v>78</v>
      </c>
      <c r="D380" s="5" cm="1">
        <f t="array" aca="1" ref="D380" ca="1">OFFSET(INDIRECT("'["&amp;$H380&amp;"]"&amp;$I380&amp;"'!"&amp;$J380),$L380,$M380)*$K380</f>
        <v>5.7159999999999996E-2</v>
      </c>
      <c r="F380" s="4">
        <f t="shared" si="22"/>
        <v>5</v>
      </c>
      <c r="G380" s="4" cm="1">
        <f t="array" ref="G380">IF($C380+$M380&lt;16,INDEX(Sheet1!C:C,$F380),$F380)</f>
        <v>5</v>
      </c>
      <c r="H380" s="4" t="str" cm="1">
        <f t="array" ref="H380">INDEX(Sheet1!D:D,$G380)</f>
        <v>2001-cso-preferred-class-structure-mortality-tables.xls</v>
      </c>
      <c r="I380" s="4" t="str" cm="1">
        <f t="array" ref="I380">INDEX(Sheet1!E:E,$G380)</f>
        <v>A.1.a.iii</v>
      </c>
      <c r="J380" s="4" t="str" cm="1">
        <f t="array" ref="J380">INDEX(Sheet1!F:F,$G380)</f>
        <v>B8</v>
      </c>
      <c r="K380" s="4" cm="1">
        <f t="array" ref="K380">INDEX(Sheet1!H:H,$G380)</f>
        <v>1E-3</v>
      </c>
      <c r="L380" s="4">
        <f t="shared" si="20"/>
        <v>78</v>
      </c>
      <c r="M380" s="4">
        <f t="shared" si="23"/>
        <v>5</v>
      </c>
    </row>
    <row r="381" spans="1:13">
      <c r="A381" s="4" t="str" cm="1">
        <f t="array" ref="A381">INDEX(Sheet1!A:A,$F381)</f>
        <v>M</v>
      </c>
      <c r="B381" s="4" t="str" cm="1">
        <f t="array" ref="B381">INDEX(Sheet1!B:B,$F381)</f>
        <v>Non-Pref NS</v>
      </c>
      <c r="C381" s="4">
        <f t="shared" si="21"/>
        <v>79</v>
      </c>
      <c r="D381" s="5" cm="1">
        <f t="array" aca="1" ref="D381" ca="1">OFFSET(INDIRECT("'["&amp;$H381&amp;"]"&amp;$I381&amp;"'!"&amp;$J381),$L381,$M381)*$K381</f>
        <v>6.9089999999999999E-2</v>
      </c>
      <c r="F381" s="4">
        <f t="shared" si="22"/>
        <v>5</v>
      </c>
      <c r="G381" s="4" cm="1">
        <f t="array" ref="G381">IF($C381+$M381&lt;16,INDEX(Sheet1!C:C,$F381),$F381)</f>
        <v>5</v>
      </c>
      <c r="H381" s="4" t="str" cm="1">
        <f t="array" ref="H381">INDEX(Sheet1!D:D,$G381)</f>
        <v>2001-cso-preferred-class-structure-mortality-tables.xls</v>
      </c>
      <c r="I381" s="4" t="str" cm="1">
        <f t="array" ref="I381">INDEX(Sheet1!E:E,$G381)</f>
        <v>A.1.a.iii</v>
      </c>
      <c r="J381" s="4" t="str" cm="1">
        <f t="array" ref="J381">INDEX(Sheet1!F:F,$G381)</f>
        <v>B8</v>
      </c>
      <c r="K381" s="4" cm="1">
        <f t="array" ref="K381">INDEX(Sheet1!H:H,$G381)</f>
        <v>1E-3</v>
      </c>
      <c r="L381" s="4">
        <f t="shared" si="20"/>
        <v>79</v>
      </c>
      <c r="M381" s="4">
        <f t="shared" si="23"/>
        <v>5</v>
      </c>
    </row>
    <row r="382" spans="1:13">
      <c r="A382" s="4" t="str" cm="1">
        <f t="array" ref="A382">INDEX(Sheet1!A:A,$F382)</f>
        <v>M</v>
      </c>
      <c r="B382" s="4" t="str" cm="1">
        <f t="array" ref="B382">INDEX(Sheet1!B:B,$F382)</f>
        <v>Non-Pref NS</v>
      </c>
      <c r="C382" s="4">
        <f t="shared" si="21"/>
        <v>80</v>
      </c>
      <c r="D382" s="5" cm="1">
        <f t="array" aca="1" ref="D382" ca="1">OFFSET(INDIRECT("'["&amp;$H382&amp;"]"&amp;$I382&amp;"'!"&amp;$J382),$L382,$M382)*$K382</f>
        <v>7.8700000000000006E-2</v>
      </c>
      <c r="F382" s="4">
        <f t="shared" si="22"/>
        <v>5</v>
      </c>
      <c r="G382" s="4" cm="1">
        <f t="array" ref="G382">IF($C382+$M382&lt;16,INDEX(Sheet1!C:C,$F382),$F382)</f>
        <v>5</v>
      </c>
      <c r="H382" s="4" t="str" cm="1">
        <f t="array" ref="H382">INDEX(Sheet1!D:D,$G382)</f>
        <v>2001-cso-preferred-class-structure-mortality-tables.xls</v>
      </c>
      <c r="I382" s="4" t="str" cm="1">
        <f t="array" ref="I382">INDEX(Sheet1!E:E,$G382)</f>
        <v>A.1.a.iii</v>
      </c>
      <c r="J382" s="4" t="str" cm="1">
        <f t="array" ref="J382">INDEX(Sheet1!F:F,$G382)</f>
        <v>B8</v>
      </c>
      <c r="K382" s="4" cm="1">
        <f t="array" ref="K382">INDEX(Sheet1!H:H,$G382)</f>
        <v>1E-3</v>
      </c>
      <c r="L382" s="4">
        <f t="shared" si="20"/>
        <v>80</v>
      </c>
      <c r="M382" s="4">
        <f t="shared" si="23"/>
        <v>5</v>
      </c>
    </row>
    <row r="383" spans="1:13">
      <c r="A383" s="4" t="str" cm="1">
        <f t="array" ref="A383">INDEX(Sheet1!A:A,$F383)</f>
        <v>M</v>
      </c>
      <c r="B383" s="4" t="str" cm="1">
        <f t="array" ref="B383">INDEX(Sheet1!B:B,$F383)</f>
        <v>Non-Pref NS</v>
      </c>
      <c r="C383" s="4">
        <f t="shared" si="21"/>
        <v>81</v>
      </c>
      <c r="D383" s="5" cm="1">
        <f t="array" aca="1" ref="D383" ca="1">OFFSET(INDIRECT("'["&amp;$H383&amp;"]"&amp;$I383&amp;"'!"&amp;$J383),$L383,$M383)*$K383</f>
        <v>9.5569999999999988E-2</v>
      </c>
      <c r="F383" s="4">
        <f t="shared" si="22"/>
        <v>5</v>
      </c>
      <c r="G383" s="4" cm="1">
        <f t="array" ref="G383">IF($C383+$M383&lt;16,INDEX(Sheet1!C:C,$F383),$F383)</f>
        <v>5</v>
      </c>
      <c r="H383" s="4" t="str" cm="1">
        <f t="array" ref="H383">INDEX(Sheet1!D:D,$G383)</f>
        <v>2001-cso-preferred-class-structure-mortality-tables.xls</v>
      </c>
      <c r="I383" s="4" t="str" cm="1">
        <f t="array" ref="I383">INDEX(Sheet1!E:E,$G383)</f>
        <v>A.1.a.iii</v>
      </c>
      <c r="J383" s="4" t="str" cm="1">
        <f t="array" ref="J383">INDEX(Sheet1!F:F,$G383)</f>
        <v>B8</v>
      </c>
      <c r="K383" s="4" cm="1">
        <f t="array" ref="K383">INDEX(Sheet1!H:H,$G383)</f>
        <v>1E-3</v>
      </c>
      <c r="L383" s="4">
        <f t="shared" si="20"/>
        <v>81</v>
      </c>
      <c r="M383" s="4">
        <f t="shared" si="23"/>
        <v>5</v>
      </c>
    </row>
    <row r="384" spans="1:13">
      <c r="A384" s="4" t="str" cm="1">
        <f t="array" ref="A384">INDEX(Sheet1!A:A,$F384)</f>
        <v>M</v>
      </c>
      <c r="B384" s="4" t="str" cm="1">
        <f t="array" ref="B384">INDEX(Sheet1!B:B,$F384)</f>
        <v>Non-Pref NS</v>
      </c>
      <c r="C384" s="4">
        <f t="shared" si="21"/>
        <v>82</v>
      </c>
      <c r="D384" s="5" cm="1">
        <f t="array" aca="1" ref="D384" ca="1">OFFSET(INDIRECT("'["&amp;$H384&amp;"]"&amp;$I384&amp;"'!"&amp;$J384),$L384,$M384)*$K384</f>
        <v>0.10365000000000001</v>
      </c>
      <c r="F384" s="4">
        <f t="shared" si="22"/>
        <v>5</v>
      </c>
      <c r="G384" s="4" cm="1">
        <f t="array" ref="G384">IF($C384+$M384&lt;16,INDEX(Sheet1!C:C,$F384),$F384)</f>
        <v>5</v>
      </c>
      <c r="H384" s="4" t="str" cm="1">
        <f t="array" ref="H384">INDEX(Sheet1!D:D,$G384)</f>
        <v>2001-cso-preferred-class-structure-mortality-tables.xls</v>
      </c>
      <c r="I384" s="4" t="str" cm="1">
        <f t="array" ref="I384">INDEX(Sheet1!E:E,$G384)</f>
        <v>A.1.a.iii</v>
      </c>
      <c r="J384" s="4" t="str" cm="1">
        <f t="array" ref="J384">INDEX(Sheet1!F:F,$G384)</f>
        <v>B8</v>
      </c>
      <c r="K384" s="4" cm="1">
        <f t="array" ref="K384">INDEX(Sheet1!H:H,$G384)</f>
        <v>1E-3</v>
      </c>
      <c r="L384" s="4">
        <f t="shared" si="20"/>
        <v>82</v>
      </c>
      <c r="M384" s="4">
        <f t="shared" si="23"/>
        <v>5</v>
      </c>
    </row>
    <row r="385" spans="1:13">
      <c r="A385" s="4" t="str" cm="1">
        <f t="array" ref="A385">INDEX(Sheet1!A:A,$F385)</f>
        <v>M</v>
      </c>
      <c r="B385" s="4" t="str" cm="1">
        <f t="array" ref="B385">INDEX(Sheet1!B:B,$F385)</f>
        <v>Non-Pref NS</v>
      </c>
      <c r="C385" s="4">
        <f t="shared" si="21"/>
        <v>83</v>
      </c>
      <c r="D385" s="5" cm="1">
        <f t="array" aca="1" ref="D385" ca="1">OFFSET(INDIRECT("'["&amp;$H385&amp;"]"&amp;$I385&amp;"'!"&amp;$J385),$L385,$M385)*$K385</f>
        <v>0.11762</v>
      </c>
      <c r="F385" s="4">
        <f t="shared" si="22"/>
        <v>5</v>
      </c>
      <c r="G385" s="4" cm="1">
        <f t="array" ref="G385">IF($C385+$M385&lt;16,INDEX(Sheet1!C:C,$F385),$F385)</f>
        <v>5</v>
      </c>
      <c r="H385" s="4" t="str" cm="1">
        <f t="array" ref="H385">INDEX(Sheet1!D:D,$G385)</f>
        <v>2001-cso-preferred-class-structure-mortality-tables.xls</v>
      </c>
      <c r="I385" s="4" t="str" cm="1">
        <f t="array" ref="I385">INDEX(Sheet1!E:E,$G385)</f>
        <v>A.1.a.iii</v>
      </c>
      <c r="J385" s="4" t="str" cm="1">
        <f t="array" ref="J385">INDEX(Sheet1!F:F,$G385)</f>
        <v>B8</v>
      </c>
      <c r="K385" s="4" cm="1">
        <f t="array" ref="K385">INDEX(Sheet1!H:H,$G385)</f>
        <v>1E-3</v>
      </c>
      <c r="L385" s="4">
        <f t="shared" si="20"/>
        <v>83</v>
      </c>
      <c r="M385" s="4">
        <f t="shared" si="23"/>
        <v>5</v>
      </c>
    </row>
    <row r="386" spans="1:13">
      <c r="A386" s="4" t="str" cm="1">
        <f t="array" ref="A386">INDEX(Sheet1!A:A,$F386)</f>
        <v>M</v>
      </c>
      <c r="B386" s="4" t="str" cm="1">
        <f t="array" ref="B386">INDEX(Sheet1!B:B,$F386)</f>
        <v>Non-Pref NS</v>
      </c>
      <c r="C386" s="4">
        <f t="shared" si="21"/>
        <v>84</v>
      </c>
      <c r="D386" s="5" cm="1">
        <f t="array" aca="1" ref="D386" ca="1">OFFSET(INDIRECT("'["&amp;$H386&amp;"]"&amp;$I386&amp;"'!"&amp;$J386),$L386,$M386)*$K386</f>
        <v>0.1321</v>
      </c>
      <c r="F386" s="4">
        <f t="shared" si="22"/>
        <v>5</v>
      </c>
      <c r="G386" s="4" cm="1">
        <f t="array" ref="G386">IF($C386+$M386&lt;16,INDEX(Sheet1!C:C,$F386),$F386)</f>
        <v>5</v>
      </c>
      <c r="H386" s="4" t="str" cm="1">
        <f t="array" ref="H386">INDEX(Sheet1!D:D,$G386)</f>
        <v>2001-cso-preferred-class-structure-mortality-tables.xls</v>
      </c>
      <c r="I386" s="4" t="str" cm="1">
        <f t="array" ref="I386">INDEX(Sheet1!E:E,$G386)</f>
        <v>A.1.a.iii</v>
      </c>
      <c r="J386" s="4" t="str" cm="1">
        <f t="array" ref="J386">INDEX(Sheet1!F:F,$G386)</f>
        <v>B8</v>
      </c>
      <c r="K386" s="4" cm="1">
        <f t="array" ref="K386">INDEX(Sheet1!H:H,$G386)</f>
        <v>1E-3</v>
      </c>
      <c r="L386" s="4">
        <f t="shared" si="20"/>
        <v>84</v>
      </c>
      <c r="M386" s="4">
        <f t="shared" si="23"/>
        <v>5</v>
      </c>
    </row>
    <row r="387" spans="1:13">
      <c r="A387" s="4" t="str" cm="1">
        <f t="array" ref="A387">INDEX(Sheet1!A:A,$F387)</f>
        <v>M</v>
      </c>
      <c r="B387" s="4" t="str" cm="1">
        <f t="array" ref="B387">INDEX(Sheet1!B:B,$F387)</f>
        <v>Non-Pref NS</v>
      </c>
      <c r="C387" s="4">
        <f t="shared" si="21"/>
        <v>85</v>
      </c>
      <c r="D387" s="5" cm="1">
        <f t="array" aca="1" ref="D387" ca="1">OFFSET(INDIRECT("'["&amp;$H387&amp;"]"&amp;$I387&amp;"'!"&amp;$J387),$L387,$M387)*$K387</f>
        <v>0.1389</v>
      </c>
      <c r="F387" s="4">
        <f t="shared" si="22"/>
        <v>5</v>
      </c>
      <c r="G387" s="4" cm="1">
        <f t="array" ref="G387">IF($C387+$M387&lt;16,INDEX(Sheet1!C:C,$F387),$F387)</f>
        <v>5</v>
      </c>
      <c r="H387" s="4" t="str" cm="1">
        <f t="array" ref="H387">INDEX(Sheet1!D:D,$G387)</f>
        <v>2001-cso-preferred-class-structure-mortality-tables.xls</v>
      </c>
      <c r="I387" s="4" t="str" cm="1">
        <f t="array" ref="I387">INDEX(Sheet1!E:E,$G387)</f>
        <v>A.1.a.iii</v>
      </c>
      <c r="J387" s="4" t="str" cm="1">
        <f t="array" ref="J387">INDEX(Sheet1!F:F,$G387)</f>
        <v>B8</v>
      </c>
      <c r="K387" s="4" cm="1">
        <f t="array" ref="K387">INDEX(Sheet1!H:H,$G387)</f>
        <v>1E-3</v>
      </c>
      <c r="L387" s="4">
        <f t="shared" ref="L387:L450" si="24">C387</f>
        <v>85</v>
      </c>
      <c r="M387" s="4">
        <f t="shared" si="23"/>
        <v>5</v>
      </c>
    </row>
    <row r="388" spans="1:13">
      <c r="A388" s="4" t="str" cm="1">
        <f t="array" ref="A388">INDEX(Sheet1!A:A,$F388)</f>
        <v>M</v>
      </c>
      <c r="B388" s="4" t="str" cm="1">
        <f t="array" ref="B388">INDEX(Sheet1!B:B,$F388)</f>
        <v>Non-Pref NS</v>
      </c>
      <c r="C388" s="4">
        <f t="shared" ref="C388:C451" si="25">IF(C387=99,0,C387+1)</f>
        <v>86</v>
      </c>
      <c r="D388" s="5" cm="1">
        <f t="array" aca="1" ref="D388" ca="1">OFFSET(INDIRECT("'["&amp;$H388&amp;"]"&amp;$I388&amp;"'!"&amp;$J388),$L388,$M388)*$K388</f>
        <v>0.17287</v>
      </c>
      <c r="F388" s="4">
        <f t="shared" ref="F388:F451" si="26">IF(C388=0,1,0)+F387</f>
        <v>5</v>
      </c>
      <c r="G388" s="4" cm="1">
        <f t="array" ref="G388">IF($C388+$M388&lt;16,INDEX(Sheet1!C:C,$F388),$F388)</f>
        <v>5</v>
      </c>
      <c r="H388" s="4" t="str" cm="1">
        <f t="array" ref="H388">INDEX(Sheet1!D:D,$G388)</f>
        <v>2001-cso-preferred-class-structure-mortality-tables.xls</v>
      </c>
      <c r="I388" s="4" t="str" cm="1">
        <f t="array" ref="I388">INDEX(Sheet1!E:E,$G388)</f>
        <v>A.1.a.iii</v>
      </c>
      <c r="J388" s="4" t="str" cm="1">
        <f t="array" ref="J388">INDEX(Sheet1!F:F,$G388)</f>
        <v>B8</v>
      </c>
      <c r="K388" s="4" cm="1">
        <f t="array" ref="K388">INDEX(Sheet1!H:H,$G388)</f>
        <v>1E-3</v>
      </c>
      <c r="L388" s="4">
        <f t="shared" si="24"/>
        <v>86</v>
      </c>
      <c r="M388" s="4">
        <f t="shared" ref="L388:M451" si="27">M$2</f>
        <v>5</v>
      </c>
    </row>
    <row r="389" spans="1:13">
      <c r="A389" s="4" t="str" cm="1">
        <f t="array" ref="A389">INDEX(Sheet1!A:A,$F389)</f>
        <v>M</v>
      </c>
      <c r="B389" s="4" t="str" cm="1">
        <f t="array" ref="B389">INDEX(Sheet1!B:B,$F389)</f>
        <v>Non-Pref NS</v>
      </c>
      <c r="C389" s="4">
        <f t="shared" si="25"/>
        <v>87</v>
      </c>
      <c r="D389" s="5" cm="1">
        <f t="array" aca="1" ref="D389" ca="1">OFFSET(INDIRECT("'["&amp;$H389&amp;"]"&amp;$I389&amp;"'!"&amp;$J389),$L389,$M389)*$K389</f>
        <v>0.19927</v>
      </c>
      <c r="F389" s="4">
        <f t="shared" si="26"/>
        <v>5</v>
      </c>
      <c r="G389" s="4" cm="1">
        <f t="array" ref="G389">IF($C389+$M389&lt;16,INDEX(Sheet1!C:C,$F389),$F389)</f>
        <v>5</v>
      </c>
      <c r="H389" s="4" t="str" cm="1">
        <f t="array" ref="H389">INDEX(Sheet1!D:D,$G389)</f>
        <v>2001-cso-preferred-class-structure-mortality-tables.xls</v>
      </c>
      <c r="I389" s="4" t="str" cm="1">
        <f t="array" ref="I389">INDEX(Sheet1!E:E,$G389)</f>
        <v>A.1.a.iii</v>
      </c>
      <c r="J389" s="4" t="str" cm="1">
        <f t="array" ref="J389">INDEX(Sheet1!F:F,$G389)</f>
        <v>B8</v>
      </c>
      <c r="K389" s="4" cm="1">
        <f t="array" ref="K389">INDEX(Sheet1!H:H,$G389)</f>
        <v>1E-3</v>
      </c>
      <c r="L389" s="4">
        <f t="shared" si="24"/>
        <v>87</v>
      </c>
      <c r="M389" s="4">
        <f t="shared" si="27"/>
        <v>5</v>
      </c>
    </row>
    <row r="390" spans="1:13">
      <c r="A390" s="4" t="str" cm="1">
        <f t="array" ref="A390">INDEX(Sheet1!A:A,$F390)</f>
        <v>M</v>
      </c>
      <c r="B390" s="4" t="str" cm="1">
        <f t="array" ref="B390">INDEX(Sheet1!B:B,$F390)</f>
        <v>Non-Pref NS</v>
      </c>
      <c r="C390" s="4">
        <f t="shared" si="25"/>
        <v>88</v>
      </c>
      <c r="D390" s="5" cm="1">
        <f t="array" aca="1" ref="D390" ca="1">OFFSET(INDIRECT("'["&amp;$H390&amp;"]"&amp;$I390&amp;"'!"&amp;$J390),$L390,$M390)*$K390</f>
        <v>0.23413999999999999</v>
      </c>
      <c r="F390" s="4">
        <f t="shared" si="26"/>
        <v>5</v>
      </c>
      <c r="G390" s="4" cm="1">
        <f t="array" ref="G390">IF($C390+$M390&lt;16,INDEX(Sheet1!C:C,$F390),$F390)</f>
        <v>5</v>
      </c>
      <c r="H390" s="4" t="str" cm="1">
        <f t="array" ref="H390">INDEX(Sheet1!D:D,$G390)</f>
        <v>2001-cso-preferred-class-structure-mortality-tables.xls</v>
      </c>
      <c r="I390" s="4" t="str" cm="1">
        <f t="array" ref="I390">INDEX(Sheet1!E:E,$G390)</f>
        <v>A.1.a.iii</v>
      </c>
      <c r="J390" s="4" t="str" cm="1">
        <f t="array" ref="J390">INDEX(Sheet1!F:F,$G390)</f>
        <v>B8</v>
      </c>
      <c r="K390" s="4" cm="1">
        <f t="array" ref="K390">INDEX(Sheet1!H:H,$G390)</f>
        <v>1E-3</v>
      </c>
      <c r="L390" s="4">
        <f t="shared" si="24"/>
        <v>88</v>
      </c>
      <c r="M390" s="4">
        <f t="shared" si="27"/>
        <v>5</v>
      </c>
    </row>
    <row r="391" spans="1:13">
      <c r="A391" s="4" t="str" cm="1">
        <f t="array" ref="A391">INDEX(Sheet1!A:A,$F391)</f>
        <v>M</v>
      </c>
      <c r="B391" s="4" t="str" cm="1">
        <f t="array" ref="B391">INDEX(Sheet1!B:B,$F391)</f>
        <v>Non-Pref NS</v>
      </c>
      <c r="C391" s="4">
        <f t="shared" si="25"/>
        <v>89</v>
      </c>
      <c r="D391" s="5" cm="1">
        <f t="array" aca="1" ref="D391" ca="1">OFFSET(INDIRECT("'["&amp;$H391&amp;"]"&amp;$I391&amp;"'!"&amp;$J391),$L391,$M391)*$K391</f>
        <v>0.24656</v>
      </c>
      <c r="F391" s="4">
        <f t="shared" si="26"/>
        <v>5</v>
      </c>
      <c r="G391" s="4" cm="1">
        <f t="array" ref="G391">IF($C391+$M391&lt;16,INDEX(Sheet1!C:C,$F391),$F391)</f>
        <v>5</v>
      </c>
      <c r="H391" s="4" t="str" cm="1">
        <f t="array" ref="H391">INDEX(Sheet1!D:D,$G391)</f>
        <v>2001-cso-preferred-class-structure-mortality-tables.xls</v>
      </c>
      <c r="I391" s="4" t="str" cm="1">
        <f t="array" ref="I391">INDEX(Sheet1!E:E,$G391)</f>
        <v>A.1.a.iii</v>
      </c>
      <c r="J391" s="4" t="str" cm="1">
        <f t="array" ref="J391">INDEX(Sheet1!F:F,$G391)</f>
        <v>B8</v>
      </c>
      <c r="K391" s="4" cm="1">
        <f t="array" ref="K391">INDEX(Sheet1!H:H,$G391)</f>
        <v>1E-3</v>
      </c>
      <c r="L391" s="4">
        <f t="shared" si="24"/>
        <v>89</v>
      </c>
      <c r="M391" s="4">
        <f t="shared" si="27"/>
        <v>5</v>
      </c>
    </row>
    <row r="392" spans="1:13">
      <c r="A392" s="4" t="str" cm="1">
        <f t="array" ref="A392">INDEX(Sheet1!A:A,$F392)</f>
        <v>M</v>
      </c>
      <c r="B392" s="4" t="str" cm="1">
        <f t="array" ref="B392">INDEX(Sheet1!B:B,$F392)</f>
        <v>Non-Pref NS</v>
      </c>
      <c r="C392" s="4">
        <f t="shared" si="25"/>
        <v>90</v>
      </c>
      <c r="D392" s="5" cm="1">
        <f t="array" aca="1" ref="D392" ca="1">OFFSET(INDIRECT("'["&amp;$H392&amp;"]"&amp;$I392&amp;"'!"&amp;$J392),$L392,$M392)*$K392</f>
        <v>0.26355000000000001</v>
      </c>
      <c r="F392" s="4">
        <f t="shared" si="26"/>
        <v>5</v>
      </c>
      <c r="G392" s="4" cm="1">
        <f t="array" ref="G392">IF($C392+$M392&lt;16,INDEX(Sheet1!C:C,$F392),$F392)</f>
        <v>5</v>
      </c>
      <c r="H392" s="4" t="str" cm="1">
        <f t="array" ref="H392">INDEX(Sheet1!D:D,$G392)</f>
        <v>2001-cso-preferred-class-structure-mortality-tables.xls</v>
      </c>
      <c r="I392" s="4" t="str" cm="1">
        <f t="array" ref="I392">INDEX(Sheet1!E:E,$G392)</f>
        <v>A.1.a.iii</v>
      </c>
      <c r="J392" s="4" t="str" cm="1">
        <f t="array" ref="J392">INDEX(Sheet1!F:F,$G392)</f>
        <v>B8</v>
      </c>
      <c r="K392" s="4" cm="1">
        <f t="array" ref="K392">INDEX(Sheet1!H:H,$G392)</f>
        <v>1E-3</v>
      </c>
      <c r="L392" s="4">
        <f t="shared" si="24"/>
        <v>90</v>
      </c>
      <c r="M392" s="4">
        <f t="shared" si="27"/>
        <v>5</v>
      </c>
    </row>
    <row r="393" spans="1:13">
      <c r="A393" s="4" t="str" cm="1">
        <f t="array" ref="A393">INDEX(Sheet1!A:A,$F393)</f>
        <v>M</v>
      </c>
      <c r="B393" s="4" t="str" cm="1">
        <f t="array" ref="B393">INDEX(Sheet1!B:B,$F393)</f>
        <v>Non-Pref NS</v>
      </c>
      <c r="C393" s="4">
        <f t="shared" si="25"/>
        <v>91</v>
      </c>
      <c r="D393" s="5" cm="1">
        <f t="array" aca="1" ref="D393" ca="1">OFFSET(INDIRECT("'["&amp;$H393&amp;"]"&amp;$I393&amp;"'!"&amp;$J393),$L393,$M393)*$K393</f>
        <v>0.28039999999999998</v>
      </c>
      <c r="F393" s="4">
        <f t="shared" si="26"/>
        <v>5</v>
      </c>
      <c r="G393" s="4" cm="1">
        <f t="array" ref="G393">IF($C393+$M393&lt;16,INDEX(Sheet1!C:C,$F393),$F393)</f>
        <v>5</v>
      </c>
      <c r="H393" s="4" t="str" cm="1">
        <f t="array" ref="H393">INDEX(Sheet1!D:D,$G393)</f>
        <v>2001-cso-preferred-class-structure-mortality-tables.xls</v>
      </c>
      <c r="I393" s="4" t="str" cm="1">
        <f t="array" ref="I393">INDEX(Sheet1!E:E,$G393)</f>
        <v>A.1.a.iii</v>
      </c>
      <c r="J393" s="4" t="str" cm="1">
        <f t="array" ref="J393">INDEX(Sheet1!F:F,$G393)</f>
        <v>B8</v>
      </c>
      <c r="K393" s="4" cm="1">
        <f t="array" ref="K393">INDEX(Sheet1!H:H,$G393)</f>
        <v>1E-3</v>
      </c>
      <c r="L393" s="4">
        <f t="shared" si="24"/>
        <v>91</v>
      </c>
      <c r="M393" s="4">
        <f t="shared" si="27"/>
        <v>5</v>
      </c>
    </row>
    <row r="394" spans="1:13">
      <c r="A394" s="4" t="str" cm="1">
        <f t="array" ref="A394">INDEX(Sheet1!A:A,$F394)</f>
        <v>M</v>
      </c>
      <c r="B394" s="4" t="str" cm="1">
        <f t="array" ref="B394">INDEX(Sheet1!B:B,$F394)</f>
        <v>Non-Pref NS</v>
      </c>
      <c r="C394" s="4">
        <f t="shared" si="25"/>
        <v>92</v>
      </c>
      <c r="D394" s="5" cm="1">
        <f t="array" aca="1" ref="D394" ca="1">OFFSET(INDIRECT("'["&amp;$H394&amp;"]"&amp;$I394&amp;"'!"&amp;$J394),$L394,$M394)*$K394</f>
        <v>0.29838999999999999</v>
      </c>
      <c r="F394" s="4">
        <f t="shared" si="26"/>
        <v>5</v>
      </c>
      <c r="G394" s="4" cm="1">
        <f t="array" ref="G394">IF($C394+$M394&lt;16,INDEX(Sheet1!C:C,$F394),$F394)</f>
        <v>5</v>
      </c>
      <c r="H394" s="4" t="str" cm="1">
        <f t="array" ref="H394">INDEX(Sheet1!D:D,$G394)</f>
        <v>2001-cso-preferred-class-structure-mortality-tables.xls</v>
      </c>
      <c r="I394" s="4" t="str" cm="1">
        <f t="array" ref="I394">INDEX(Sheet1!E:E,$G394)</f>
        <v>A.1.a.iii</v>
      </c>
      <c r="J394" s="4" t="str" cm="1">
        <f t="array" ref="J394">INDEX(Sheet1!F:F,$G394)</f>
        <v>B8</v>
      </c>
      <c r="K394" s="4" cm="1">
        <f t="array" ref="K394">INDEX(Sheet1!H:H,$G394)</f>
        <v>1E-3</v>
      </c>
      <c r="L394" s="4">
        <f t="shared" si="24"/>
        <v>92</v>
      </c>
      <c r="M394" s="4">
        <f t="shared" si="27"/>
        <v>5</v>
      </c>
    </row>
    <row r="395" spans="1:13">
      <c r="A395" s="4" t="str" cm="1">
        <f t="array" ref="A395">INDEX(Sheet1!A:A,$F395)</f>
        <v>M</v>
      </c>
      <c r="B395" s="4" t="str" cm="1">
        <f t="array" ref="B395">INDEX(Sheet1!B:B,$F395)</f>
        <v>Non-Pref NS</v>
      </c>
      <c r="C395" s="4">
        <f t="shared" si="25"/>
        <v>93</v>
      </c>
      <c r="D395" s="5" cm="1">
        <f t="array" aca="1" ref="D395" ca="1">OFFSET(INDIRECT("'["&amp;$H395&amp;"]"&amp;$I395&amp;"'!"&amp;$J395),$L395,$M395)*$K395</f>
        <v>0.31757999999999997</v>
      </c>
      <c r="F395" s="4">
        <f t="shared" si="26"/>
        <v>5</v>
      </c>
      <c r="G395" s="4" cm="1">
        <f t="array" ref="G395">IF($C395+$M395&lt;16,INDEX(Sheet1!C:C,$F395),$F395)</f>
        <v>5</v>
      </c>
      <c r="H395" s="4" t="str" cm="1">
        <f t="array" ref="H395">INDEX(Sheet1!D:D,$G395)</f>
        <v>2001-cso-preferred-class-structure-mortality-tables.xls</v>
      </c>
      <c r="I395" s="4" t="str" cm="1">
        <f t="array" ref="I395">INDEX(Sheet1!E:E,$G395)</f>
        <v>A.1.a.iii</v>
      </c>
      <c r="J395" s="4" t="str" cm="1">
        <f t="array" ref="J395">INDEX(Sheet1!F:F,$G395)</f>
        <v>B8</v>
      </c>
      <c r="K395" s="4" cm="1">
        <f t="array" ref="K395">INDEX(Sheet1!H:H,$G395)</f>
        <v>1E-3</v>
      </c>
      <c r="L395" s="4">
        <f t="shared" si="24"/>
        <v>93</v>
      </c>
      <c r="M395" s="4">
        <f t="shared" si="27"/>
        <v>5</v>
      </c>
    </row>
    <row r="396" spans="1:13">
      <c r="A396" s="4" t="str" cm="1">
        <f t="array" ref="A396">INDEX(Sheet1!A:A,$F396)</f>
        <v>M</v>
      </c>
      <c r="B396" s="4" t="str" cm="1">
        <f t="array" ref="B396">INDEX(Sheet1!B:B,$F396)</f>
        <v>Non-Pref NS</v>
      </c>
      <c r="C396" s="4">
        <f t="shared" si="25"/>
        <v>94</v>
      </c>
      <c r="D396" s="5" cm="1">
        <f t="array" aca="1" ref="D396" ca="1">OFFSET(INDIRECT("'["&amp;$H396&amp;"]"&amp;$I396&amp;"'!"&amp;$J396),$L396,$M396)*$K396</f>
        <v>0.33811000000000002</v>
      </c>
      <c r="F396" s="4">
        <f t="shared" si="26"/>
        <v>5</v>
      </c>
      <c r="G396" s="4" cm="1">
        <f t="array" ref="G396">IF($C396+$M396&lt;16,INDEX(Sheet1!C:C,$F396),$F396)</f>
        <v>5</v>
      </c>
      <c r="H396" s="4" t="str" cm="1">
        <f t="array" ref="H396">INDEX(Sheet1!D:D,$G396)</f>
        <v>2001-cso-preferred-class-structure-mortality-tables.xls</v>
      </c>
      <c r="I396" s="4" t="str" cm="1">
        <f t="array" ref="I396">INDEX(Sheet1!E:E,$G396)</f>
        <v>A.1.a.iii</v>
      </c>
      <c r="J396" s="4" t="str" cm="1">
        <f t="array" ref="J396">INDEX(Sheet1!F:F,$G396)</f>
        <v>B8</v>
      </c>
      <c r="K396" s="4" cm="1">
        <f t="array" ref="K396">INDEX(Sheet1!H:H,$G396)</f>
        <v>1E-3</v>
      </c>
      <c r="L396" s="4">
        <f t="shared" si="24"/>
        <v>94</v>
      </c>
      <c r="M396" s="4">
        <f t="shared" si="27"/>
        <v>5</v>
      </c>
    </row>
    <row r="397" spans="1:13">
      <c r="A397" s="4" t="str" cm="1">
        <f t="array" ref="A397">INDEX(Sheet1!A:A,$F397)</f>
        <v>M</v>
      </c>
      <c r="B397" s="4" t="str" cm="1">
        <f t="array" ref="B397">INDEX(Sheet1!B:B,$F397)</f>
        <v>Non-Pref NS</v>
      </c>
      <c r="C397" s="4">
        <f t="shared" si="25"/>
        <v>95</v>
      </c>
      <c r="D397" s="5" cm="1">
        <f t="array" aca="1" ref="D397" ca="1">OFFSET(INDIRECT("'["&amp;$H397&amp;"]"&amp;$I397&amp;"'!"&amp;$J397),$L397,$M397)*$K397</f>
        <v>0.36005000000000004</v>
      </c>
      <c r="F397" s="4">
        <f t="shared" si="26"/>
        <v>5</v>
      </c>
      <c r="G397" s="4" cm="1">
        <f t="array" ref="G397">IF($C397+$M397&lt;16,INDEX(Sheet1!C:C,$F397),$F397)</f>
        <v>5</v>
      </c>
      <c r="H397" s="4" t="str" cm="1">
        <f t="array" ref="H397">INDEX(Sheet1!D:D,$G397)</f>
        <v>2001-cso-preferred-class-structure-mortality-tables.xls</v>
      </c>
      <c r="I397" s="4" t="str" cm="1">
        <f t="array" ref="I397">INDEX(Sheet1!E:E,$G397)</f>
        <v>A.1.a.iii</v>
      </c>
      <c r="J397" s="4" t="str" cm="1">
        <f t="array" ref="J397">INDEX(Sheet1!F:F,$G397)</f>
        <v>B8</v>
      </c>
      <c r="K397" s="4" cm="1">
        <f t="array" ref="K397">INDEX(Sheet1!H:H,$G397)</f>
        <v>1E-3</v>
      </c>
      <c r="L397" s="4">
        <f t="shared" si="24"/>
        <v>95</v>
      </c>
      <c r="M397" s="4">
        <f t="shared" si="27"/>
        <v>5</v>
      </c>
    </row>
    <row r="398" spans="1:13">
      <c r="A398" s="4" t="str" cm="1">
        <f t="array" ref="A398">INDEX(Sheet1!A:A,$F398)</f>
        <v>M</v>
      </c>
      <c r="B398" s="4" t="str" cm="1">
        <f t="array" ref="B398">INDEX(Sheet1!B:B,$F398)</f>
        <v>Non-Pref NS</v>
      </c>
      <c r="C398" s="4">
        <f t="shared" si="25"/>
        <v>96</v>
      </c>
      <c r="D398" s="5" cm="1">
        <f t="array" aca="1" ref="D398" ca="1">OFFSET(INDIRECT("'["&amp;$H398&amp;"]"&amp;$I398&amp;"'!"&amp;$J398),$L398,$M398)*$K398</f>
        <v>0.37774000000000002</v>
      </c>
      <c r="F398" s="4">
        <f t="shared" si="26"/>
        <v>5</v>
      </c>
      <c r="G398" s="4" cm="1">
        <f t="array" ref="G398">IF($C398+$M398&lt;16,INDEX(Sheet1!C:C,$F398),$F398)</f>
        <v>5</v>
      </c>
      <c r="H398" s="4" t="str" cm="1">
        <f t="array" ref="H398">INDEX(Sheet1!D:D,$G398)</f>
        <v>2001-cso-preferred-class-structure-mortality-tables.xls</v>
      </c>
      <c r="I398" s="4" t="str" cm="1">
        <f t="array" ref="I398">INDEX(Sheet1!E:E,$G398)</f>
        <v>A.1.a.iii</v>
      </c>
      <c r="J398" s="4" t="str" cm="1">
        <f t="array" ref="J398">INDEX(Sheet1!F:F,$G398)</f>
        <v>B8</v>
      </c>
      <c r="K398" s="4" cm="1">
        <f t="array" ref="K398">INDEX(Sheet1!H:H,$G398)</f>
        <v>1E-3</v>
      </c>
      <c r="L398" s="4">
        <f t="shared" si="24"/>
        <v>96</v>
      </c>
      <c r="M398" s="4">
        <f t="shared" si="27"/>
        <v>5</v>
      </c>
    </row>
    <row r="399" spans="1:13">
      <c r="A399" s="4" t="str" cm="1">
        <f t="array" ref="A399">INDEX(Sheet1!A:A,$F399)</f>
        <v>M</v>
      </c>
      <c r="B399" s="4" t="str" cm="1">
        <f t="array" ref="B399">INDEX(Sheet1!B:B,$F399)</f>
        <v>Non-Pref NS</v>
      </c>
      <c r="C399" s="4">
        <f t="shared" si="25"/>
        <v>97</v>
      </c>
      <c r="D399" s="5" cm="1">
        <f t="array" aca="1" ref="D399" ca="1">OFFSET(INDIRECT("'["&amp;$H399&amp;"]"&amp;$I399&amp;"'!"&amp;$J399),$L399,$M399)*$K399</f>
        <v>0.39641000000000004</v>
      </c>
      <c r="F399" s="4">
        <f t="shared" si="26"/>
        <v>5</v>
      </c>
      <c r="G399" s="4" cm="1">
        <f t="array" ref="G399">IF($C399+$M399&lt;16,INDEX(Sheet1!C:C,$F399),$F399)</f>
        <v>5</v>
      </c>
      <c r="H399" s="4" t="str" cm="1">
        <f t="array" ref="H399">INDEX(Sheet1!D:D,$G399)</f>
        <v>2001-cso-preferred-class-structure-mortality-tables.xls</v>
      </c>
      <c r="I399" s="4" t="str" cm="1">
        <f t="array" ref="I399">INDEX(Sheet1!E:E,$G399)</f>
        <v>A.1.a.iii</v>
      </c>
      <c r="J399" s="4" t="str" cm="1">
        <f t="array" ref="J399">INDEX(Sheet1!F:F,$G399)</f>
        <v>B8</v>
      </c>
      <c r="K399" s="4" cm="1">
        <f t="array" ref="K399">INDEX(Sheet1!H:H,$G399)</f>
        <v>1E-3</v>
      </c>
      <c r="L399" s="4">
        <f t="shared" si="24"/>
        <v>97</v>
      </c>
      <c r="M399" s="4">
        <f t="shared" si="27"/>
        <v>5</v>
      </c>
    </row>
    <row r="400" spans="1:13">
      <c r="A400" s="4" t="str" cm="1">
        <f t="array" ref="A400">INDEX(Sheet1!A:A,$F400)</f>
        <v>M</v>
      </c>
      <c r="B400" s="4" t="str" cm="1">
        <f t="array" ref="B400">INDEX(Sheet1!B:B,$F400)</f>
        <v>Non-Pref NS</v>
      </c>
      <c r="C400" s="4">
        <f t="shared" si="25"/>
        <v>98</v>
      </c>
      <c r="D400" s="5" cm="1">
        <f t="array" aca="1" ref="D400" ca="1">OFFSET(INDIRECT("'["&amp;$H400&amp;"]"&amp;$I400&amp;"'!"&amp;$J400),$L400,$M400)*$K400</f>
        <v>0.41631000000000001</v>
      </c>
      <c r="F400" s="4">
        <f t="shared" si="26"/>
        <v>5</v>
      </c>
      <c r="G400" s="4" cm="1">
        <f t="array" ref="G400">IF($C400+$M400&lt;16,INDEX(Sheet1!C:C,$F400),$F400)</f>
        <v>5</v>
      </c>
      <c r="H400" s="4" t="str" cm="1">
        <f t="array" ref="H400">INDEX(Sheet1!D:D,$G400)</f>
        <v>2001-cso-preferred-class-structure-mortality-tables.xls</v>
      </c>
      <c r="I400" s="4" t="str" cm="1">
        <f t="array" ref="I400">INDEX(Sheet1!E:E,$G400)</f>
        <v>A.1.a.iii</v>
      </c>
      <c r="J400" s="4" t="str" cm="1">
        <f t="array" ref="J400">INDEX(Sheet1!F:F,$G400)</f>
        <v>B8</v>
      </c>
      <c r="K400" s="4" cm="1">
        <f t="array" ref="K400">INDEX(Sheet1!H:H,$G400)</f>
        <v>1E-3</v>
      </c>
      <c r="L400" s="4">
        <f t="shared" si="24"/>
        <v>98</v>
      </c>
      <c r="M400" s="4">
        <f t="shared" si="27"/>
        <v>5</v>
      </c>
    </row>
    <row r="401" spans="1:13">
      <c r="A401" s="4" t="str" cm="1">
        <f t="array" ref="A401">INDEX(Sheet1!A:A,$F401)</f>
        <v>M</v>
      </c>
      <c r="B401" s="4" t="str" cm="1">
        <f t="array" ref="B401">INDEX(Sheet1!B:B,$F401)</f>
        <v>Non-Pref NS</v>
      </c>
      <c r="C401" s="4">
        <f t="shared" si="25"/>
        <v>99</v>
      </c>
      <c r="D401" s="5" cm="1">
        <f t="array" aca="1" ref="D401" ca="1">OFFSET(INDIRECT("'["&amp;$H401&amp;"]"&amp;$I401&amp;"'!"&amp;$J401),$L401,$M401)*$K401</f>
        <v>0.43748000000000004</v>
      </c>
      <c r="F401" s="4">
        <f t="shared" si="26"/>
        <v>5</v>
      </c>
      <c r="G401" s="4" cm="1">
        <f t="array" ref="G401">IF($C401+$M401&lt;16,INDEX(Sheet1!C:C,$F401),$F401)</f>
        <v>5</v>
      </c>
      <c r="H401" s="4" t="str" cm="1">
        <f t="array" ref="H401">INDEX(Sheet1!D:D,$G401)</f>
        <v>2001-cso-preferred-class-structure-mortality-tables.xls</v>
      </c>
      <c r="I401" s="4" t="str" cm="1">
        <f t="array" ref="I401">INDEX(Sheet1!E:E,$G401)</f>
        <v>A.1.a.iii</v>
      </c>
      <c r="J401" s="4" t="str" cm="1">
        <f t="array" ref="J401">INDEX(Sheet1!F:F,$G401)</f>
        <v>B8</v>
      </c>
      <c r="K401" s="4" cm="1">
        <f t="array" ref="K401">INDEX(Sheet1!H:H,$G401)</f>
        <v>1E-3</v>
      </c>
      <c r="L401" s="4">
        <f t="shared" si="24"/>
        <v>99</v>
      </c>
      <c r="M401" s="4">
        <f t="shared" si="27"/>
        <v>5</v>
      </c>
    </row>
    <row r="402" spans="1:13">
      <c r="A402" s="4" t="str" cm="1">
        <f t="array" ref="A402">INDEX(Sheet1!A:A,$F402)</f>
        <v>M</v>
      </c>
      <c r="B402" s="4" t="str" cm="1">
        <f t="array" ref="B402">INDEX(Sheet1!B:B,$F402)</f>
        <v>Undiff NS</v>
      </c>
      <c r="C402" s="4">
        <f t="shared" si="25"/>
        <v>0</v>
      </c>
      <c r="D402" s="5" cm="1">
        <f t="array" aca="1" ref="D402" ca="1">OFFSET(INDIRECT("'["&amp;$H402&amp;"]"&amp;$I402&amp;"'!"&amp;$J402),$L402,$M402)*$K402</f>
        <v>2.1000000000000001E-4</v>
      </c>
      <c r="F402" s="4">
        <f t="shared" si="26"/>
        <v>6</v>
      </c>
      <c r="G402" s="4" cm="1">
        <f t="array" ref="G402">IF($C402+$M402&lt;16,INDEX(Sheet1!C:C,$F402),$F402)</f>
        <v>10</v>
      </c>
      <c r="H402" s="4" t="str" cm="1">
        <f t="array" ref="H402">INDEX(Sheet1!D:D,$G402)</f>
        <v>t1136.xlsx</v>
      </c>
      <c r="I402" s="4" t="str" cm="1">
        <f t="array" ref="I402">INDEX(Sheet1!E:E,$G402)</f>
        <v>Sheet1</v>
      </c>
      <c r="J402" s="4" t="str" cm="1">
        <f t="array" ref="J402">INDEX(Sheet1!F:F,$G402)</f>
        <v>B25</v>
      </c>
      <c r="K402" s="4" cm="1">
        <f t="array" ref="K402">INDEX(Sheet1!H:H,$G402)</f>
        <v>1</v>
      </c>
      <c r="L402" s="4">
        <f t="shared" si="24"/>
        <v>0</v>
      </c>
      <c r="M402" s="4">
        <f t="shared" si="27"/>
        <v>5</v>
      </c>
    </row>
    <row r="403" spans="1:13">
      <c r="A403" s="4" t="str" cm="1">
        <f t="array" ref="A403">INDEX(Sheet1!A:A,$F403)</f>
        <v>M</v>
      </c>
      <c r="B403" s="4" t="str" cm="1">
        <f t="array" ref="B403">INDEX(Sheet1!B:B,$F403)</f>
        <v>Undiff NS</v>
      </c>
      <c r="C403" s="4">
        <f t="shared" si="25"/>
        <v>1</v>
      </c>
      <c r="D403" s="5" cm="1">
        <f t="array" aca="1" ref="D403" ca="1">OFFSET(INDIRECT("'["&amp;$H403&amp;"]"&amp;$I403&amp;"'!"&amp;$J403),$L403,$M403)*$K403</f>
        <v>2.1000000000000001E-4</v>
      </c>
      <c r="F403" s="4">
        <f t="shared" si="26"/>
        <v>6</v>
      </c>
      <c r="G403" s="4" cm="1">
        <f t="array" ref="G403">IF($C403+$M403&lt;16,INDEX(Sheet1!C:C,$F403),$F403)</f>
        <v>10</v>
      </c>
      <c r="H403" s="4" t="str" cm="1">
        <f t="array" ref="H403">INDEX(Sheet1!D:D,$G403)</f>
        <v>t1136.xlsx</v>
      </c>
      <c r="I403" s="4" t="str" cm="1">
        <f t="array" ref="I403">INDEX(Sheet1!E:E,$G403)</f>
        <v>Sheet1</v>
      </c>
      <c r="J403" s="4" t="str" cm="1">
        <f t="array" ref="J403">INDEX(Sheet1!F:F,$G403)</f>
        <v>B25</v>
      </c>
      <c r="K403" s="4" cm="1">
        <f t="array" ref="K403">INDEX(Sheet1!H:H,$G403)</f>
        <v>1</v>
      </c>
      <c r="L403" s="4">
        <f t="shared" si="24"/>
        <v>1</v>
      </c>
      <c r="M403" s="4">
        <f t="shared" si="27"/>
        <v>5</v>
      </c>
    </row>
    <row r="404" spans="1:13">
      <c r="A404" s="4" t="str" cm="1">
        <f t="array" ref="A404">INDEX(Sheet1!A:A,$F404)</f>
        <v>M</v>
      </c>
      <c r="B404" s="4" t="str" cm="1">
        <f t="array" ref="B404">INDEX(Sheet1!B:B,$F404)</f>
        <v>Undiff NS</v>
      </c>
      <c r="C404" s="4">
        <f t="shared" si="25"/>
        <v>2</v>
      </c>
      <c r="D404" s="5" cm="1">
        <f t="array" aca="1" ref="D404" ca="1">OFFSET(INDIRECT("'["&amp;$H404&amp;"]"&amp;$I404&amp;"'!"&amp;$J404),$L404,$M404)*$K404</f>
        <v>2.1000000000000001E-4</v>
      </c>
      <c r="F404" s="4">
        <f t="shared" si="26"/>
        <v>6</v>
      </c>
      <c r="G404" s="4" cm="1">
        <f t="array" ref="G404">IF($C404+$M404&lt;16,INDEX(Sheet1!C:C,$F404),$F404)</f>
        <v>10</v>
      </c>
      <c r="H404" s="4" t="str" cm="1">
        <f t="array" ref="H404">INDEX(Sheet1!D:D,$G404)</f>
        <v>t1136.xlsx</v>
      </c>
      <c r="I404" s="4" t="str" cm="1">
        <f t="array" ref="I404">INDEX(Sheet1!E:E,$G404)</f>
        <v>Sheet1</v>
      </c>
      <c r="J404" s="4" t="str" cm="1">
        <f t="array" ref="J404">INDEX(Sheet1!F:F,$G404)</f>
        <v>B25</v>
      </c>
      <c r="K404" s="4" cm="1">
        <f t="array" ref="K404">INDEX(Sheet1!H:H,$G404)</f>
        <v>1</v>
      </c>
      <c r="L404" s="4">
        <f t="shared" si="24"/>
        <v>2</v>
      </c>
      <c r="M404" s="4">
        <f t="shared" si="27"/>
        <v>5</v>
      </c>
    </row>
    <row r="405" spans="1:13">
      <c r="A405" s="4" t="str" cm="1">
        <f t="array" ref="A405">INDEX(Sheet1!A:A,$F405)</f>
        <v>M</v>
      </c>
      <c r="B405" s="4" t="str" cm="1">
        <f t="array" ref="B405">INDEX(Sheet1!B:B,$F405)</f>
        <v>Undiff NS</v>
      </c>
      <c r="C405" s="4">
        <f t="shared" si="25"/>
        <v>3</v>
      </c>
      <c r="D405" s="5" cm="1">
        <f t="array" aca="1" ref="D405" ca="1">OFFSET(INDIRECT("'["&amp;$H405&amp;"]"&amp;$I405&amp;"'!"&amp;$J405),$L405,$M405)*$K405</f>
        <v>2.1000000000000001E-4</v>
      </c>
      <c r="F405" s="4">
        <f t="shared" si="26"/>
        <v>6</v>
      </c>
      <c r="G405" s="4" cm="1">
        <f t="array" ref="G405">IF($C405+$M405&lt;16,INDEX(Sheet1!C:C,$F405),$F405)</f>
        <v>10</v>
      </c>
      <c r="H405" s="4" t="str" cm="1">
        <f t="array" ref="H405">INDEX(Sheet1!D:D,$G405)</f>
        <v>t1136.xlsx</v>
      </c>
      <c r="I405" s="4" t="str" cm="1">
        <f t="array" ref="I405">INDEX(Sheet1!E:E,$G405)</f>
        <v>Sheet1</v>
      </c>
      <c r="J405" s="4" t="str" cm="1">
        <f t="array" ref="J405">INDEX(Sheet1!F:F,$G405)</f>
        <v>B25</v>
      </c>
      <c r="K405" s="4" cm="1">
        <f t="array" ref="K405">INDEX(Sheet1!H:H,$G405)</f>
        <v>1</v>
      </c>
      <c r="L405" s="4">
        <f t="shared" si="24"/>
        <v>3</v>
      </c>
      <c r="M405" s="4">
        <f t="shared" si="27"/>
        <v>5</v>
      </c>
    </row>
    <row r="406" spans="1:13">
      <c r="A406" s="4" t="str" cm="1">
        <f t="array" ref="A406">INDEX(Sheet1!A:A,$F406)</f>
        <v>M</v>
      </c>
      <c r="B406" s="4" t="str" cm="1">
        <f t="array" ref="B406">INDEX(Sheet1!B:B,$F406)</f>
        <v>Undiff NS</v>
      </c>
      <c r="C406" s="4">
        <f t="shared" si="25"/>
        <v>4</v>
      </c>
      <c r="D406" s="5" cm="1">
        <f t="array" aca="1" ref="D406" ca="1">OFFSET(INDIRECT("'["&amp;$H406&amp;"]"&amp;$I406&amp;"'!"&amp;$J406),$L406,$M406)*$K406</f>
        <v>2.1000000000000001E-4</v>
      </c>
      <c r="F406" s="4">
        <f t="shared" si="26"/>
        <v>6</v>
      </c>
      <c r="G406" s="4" cm="1">
        <f t="array" ref="G406">IF($C406+$M406&lt;16,INDEX(Sheet1!C:C,$F406),$F406)</f>
        <v>10</v>
      </c>
      <c r="H406" s="4" t="str" cm="1">
        <f t="array" ref="H406">INDEX(Sheet1!D:D,$G406)</f>
        <v>t1136.xlsx</v>
      </c>
      <c r="I406" s="4" t="str" cm="1">
        <f t="array" ref="I406">INDEX(Sheet1!E:E,$G406)</f>
        <v>Sheet1</v>
      </c>
      <c r="J406" s="4" t="str" cm="1">
        <f t="array" ref="J406">INDEX(Sheet1!F:F,$G406)</f>
        <v>B25</v>
      </c>
      <c r="K406" s="4" cm="1">
        <f t="array" ref="K406">INDEX(Sheet1!H:H,$G406)</f>
        <v>1</v>
      </c>
      <c r="L406" s="4">
        <f t="shared" si="24"/>
        <v>4</v>
      </c>
      <c r="M406" s="4">
        <f t="shared" si="27"/>
        <v>5</v>
      </c>
    </row>
    <row r="407" spans="1:13">
      <c r="A407" s="4" t="str" cm="1">
        <f t="array" ref="A407">INDEX(Sheet1!A:A,$F407)</f>
        <v>M</v>
      </c>
      <c r="B407" s="4" t="str" cm="1">
        <f t="array" ref="B407">INDEX(Sheet1!B:B,$F407)</f>
        <v>Undiff NS</v>
      </c>
      <c r="C407" s="4">
        <f t="shared" si="25"/>
        <v>5</v>
      </c>
      <c r="D407" s="5" cm="1">
        <f t="array" aca="1" ref="D407" ca="1">OFFSET(INDIRECT("'["&amp;$H407&amp;"]"&amp;$I407&amp;"'!"&amp;$J407),$L407,$M407)*$K407</f>
        <v>2.1000000000000001E-4</v>
      </c>
      <c r="F407" s="4">
        <f t="shared" si="26"/>
        <v>6</v>
      </c>
      <c r="G407" s="4" cm="1">
        <f t="array" ref="G407">IF($C407+$M407&lt;16,INDEX(Sheet1!C:C,$F407),$F407)</f>
        <v>10</v>
      </c>
      <c r="H407" s="4" t="str" cm="1">
        <f t="array" ref="H407">INDEX(Sheet1!D:D,$G407)</f>
        <v>t1136.xlsx</v>
      </c>
      <c r="I407" s="4" t="str" cm="1">
        <f t="array" ref="I407">INDEX(Sheet1!E:E,$G407)</f>
        <v>Sheet1</v>
      </c>
      <c r="J407" s="4" t="str" cm="1">
        <f t="array" ref="J407">INDEX(Sheet1!F:F,$G407)</f>
        <v>B25</v>
      </c>
      <c r="K407" s="4" cm="1">
        <f t="array" ref="K407">INDEX(Sheet1!H:H,$G407)</f>
        <v>1</v>
      </c>
      <c r="L407" s="4">
        <f t="shared" si="24"/>
        <v>5</v>
      </c>
      <c r="M407" s="4">
        <f t="shared" si="27"/>
        <v>5</v>
      </c>
    </row>
    <row r="408" spans="1:13">
      <c r="A408" s="4" t="str" cm="1">
        <f t="array" ref="A408">INDEX(Sheet1!A:A,$F408)</f>
        <v>M</v>
      </c>
      <c r="B408" s="4" t="str" cm="1">
        <f t="array" ref="B408">INDEX(Sheet1!B:B,$F408)</f>
        <v>Undiff NS</v>
      </c>
      <c r="C408" s="4">
        <f t="shared" si="25"/>
        <v>6</v>
      </c>
      <c r="D408" s="5" cm="1">
        <f t="array" aca="1" ref="D408" ca="1">OFFSET(INDIRECT("'["&amp;$H408&amp;"]"&amp;$I408&amp;"'!"&amp;$J408),$L408,$M408)*$K408</f>
        <v>2.1000000000000001E-4</v>
      </c>
      <c r="F408" s="4">
        <f t="shared" si="26"/>
        <v>6</v>
      </c>
      <c r="G408" s="4" cm="1">
        <f t="array" ref="G408">IF($C408+$M408&lt;16,INDEX(Sheet1!C:C,$F408),$F408)</f>
        <v>10</v>
      </c>
      <c r="H408" s="4" t="str" cm="1">
        <f t="array" ref="H408">INDEX(Sheet1!D:D,$G408)</f>
        <v>t1136.xlsx</v>
      </c>
      <c r="I408" s="4" t="str" cm="1">
        <f t="array" ref="I408">INDEX(Sheet1!E:E,$G408)</f>
        <v>Sheet1</v>
      </c>
      <c r="J408" s="4" t="str" cm="1">
        <f t="array" ref="J408">INDEX(Sheet1!F:F,$G408)</f>
        <v>B25</v>
      </c>
      <c r="K408" s="4" cm="1">
        <f t="array" ref="K408">INDEX(Sheet1!H:H,$G408)</f>
        <v>1</v>
      </c>
      <c r="L408" s="4">
        <f t="shared" si="24"/>
        <v>6</v>
      </c>
      <c r="M408" s="4">
        <f t="shared" si="27"/>
        <v>5</v>
      </c>
    </row>
    <row r="409" spans="1:13">
      <c r="A409" s="4" t="str" cm="1">
        <f t="array" ref="A409">INDEX(Sheet1!A:A,$F409)</f>
        <v>M</v>
      </c>
      <c r="B409" s="4" t="str" cm="1">
        <f t="array" ref="B409">INDEX(Sheet1!B:B,$F409)</f>
        <v>Undiff NS</v>
      </c>
      <c r="C409" s="4">
        <f t="shared" si="25"/>
        <v>7</v>
      </c>
      <c r="D409" s="5" cm="1">
        <f t="array" aca="1" ref="D409" ca="1">OFFSET(INDIRECT("'["&amp;$H409&amp;"]"&amp;$I409&amp;"'!"&amp;$J409),$L409,$M409)*$K409</f>
        <v>2.4000000000000001E-4</v>
      </c>
      <c r="F409" s="4">
        <f t="shared" si="26"/>
        <v>6</v>
      </c>
      <c r="G409" s="4" cm="1">
        <f t="array" ref="G409">IF($C409+$M409&lt;16,INDEX(Sheet1!C:C,$F409),$F409)</f>
        <v>10</v>
      </c>
      <c r="H409" s="4" t="str" cm="1">
        <f t="array" ref="H409">INDEX(Sheet1!D:D,$G409)</f>
        <v>t1136.xlsx</v>
      </c>
      <c r="I409" s="4" t="str" cm="1">
        <f t="array" ref="I409">INDEX(Sheet1!E:E,$G409)</f>
        <v>Sheet1</v>
      </c>
      <c r="J409" s="4" t="str" cm="1">
        <f t="array" ref="J409">INDEX(Sheet1!F:F,$G409)</f>
        <v>B25</v>
      </c>
      <c r="K409" s="4" cm="1">
        <f t="array" ref="K409">INDEX(Sheet1!H:H,$G409)</f>
        <v>1</v>
      </c>
      <c r="L409" s="4">
        <f t="shared" si="24"/>
        <v>7</v>
      </c>
      <c r="M409" s="4">
        <f t="shared" si="27"/>
        <v>5</v>
      </c>
    </row>
    <row r="410" spans="1:13">
      <c r="A410" s="4" t="str" cm="1">
        <f t="array" ref="A410">INDEX(Sheet1!A:A,$F410)</f>
        <v>M</v>
      </c>
      <c r="B410" s="4" t="str" cm="1">
        <f t="array" ref="B410">INDEX(Sheet1!B:B,$F410)</f>
        <v>Undiff NS</v>
      </c>
      <c r="C410" s="4">
        <f t="shared" si="25"/>
        <v>8</v>
      </c>
      <c r="D410" s="5" cm="1">
        <f t="array" aca="1" ref="D410" ca="1">OFFSET(INDIRECT("'["&amp;$H410&amp;"]"&amp;$I410&amp;"'!"&amp;$J410),$L410,$M410)*$K410</f>
        <v>2.7999999999999998E-4</v>
      </c>
      <c r="F410" s="4">
        <f t="shared" si="26"/>
        <v>6</v>
      </c>
      <c r="G410" s="4" cm="1">
        <f t="array" ref="G410">IF($C410+$M410&lt;16,INDEX(Sheet1!C:C,$F410),$F410)</f>
        <v>10</v>
      </c>
      <c r="H410" s="4" t="str" cm="1">
        <f t="array" ref="H410">INDEX(Sheet1!D:D,$G410)</f>
        <v>t1136.xlsx</v>
      </c>
      <c r="I410" s="4" t="str" cm="1">
        <f t="array" ref="I410">INDEX(Sheet1!E:E,$G410)</f>
        <v>Sheet1</v>
      </c>
      <c r="J410" s="4" t="str" cm="1">
        <f t="array" ref="J410">INDEX(Sheet1!F:F,$G410)</f>
        <v>B25</v>
      </c>
      <c r="K410" s="4" cm="1">
        <f t="array" ref="K410">INDEX(Sheet1!H:H,$G410)</f>
        <v>1</v>
      </c>
      <c r="L410" s="4">
        <f t="shared" si="24"/>
        <v>8</v>
      </c>
      <c r="M410" s="4">
        <f t="shared" si="27"/>
        <v>5</v>
      </c>
    </row>
    <row r="411" spans="1:13">
      <c r="A411" s="4" t="str" cm="1">
        <f t="array" ref="A411">INDEX(Sheet1!A:A,$F411)</f>
        <v>M</v>
      </c>
      <c r="B411" s="4" t="str" cm="1">
        <f t="array" ref="B411">INDEX(Sheet1!B:B,$F411)</f>
        <v>Undiff NS</v>
      </c>
      <c r="C411" s="4">
        <f t="shared" si="25"/>
        <v>9</v>
      </c>
      <c r="D411" s="5" cm="1">
        <f t="array" aca="1" ref="D411" ca="1">OFFSET(INDIRECT("'["&amp;$H411&amp;"]"&amp;$I411&amp;"'!"&amp;$J411),$L411,$M411)*$K411</f>
        <v>3.3E-4</v>
      </c>
      <c r="F411" s="4">
        <f t="shared" si="26"/>
        <v>6</v>
      </c>
      <c r="G411" s="4" cm="1">
        <f t="array" ref="G411">IF($C411+$M411&lt;16,INDEX(Sheet1!C:C,$F411),$F411)</f>
        <v>10</v>
      </c>
      <c r="H411" s="4" t="str" cm="1">
        <f t="array" ref="H411">INDEX(Sheet1!D:D,$G411)</f>
        <v>t1136.xlsx</v>
      </c>
      <c r="I411" s="4" t="str" cm="1">
        <f t="array" ref="I411">INDEX(Sheet1!E:E,$G411)</f>
        <v>Sheet1</v>
      </c>
      <c r="J411" s="4" t="str" cm="1">
        <f t="array" ref="J411">INDEX(Sheet1!F:F,$G411)</f>
        <v>B25</v>
      </c>
      <c r="K411" s="4" cm="1">
        <f t="array" ref="K411">INDEX(Sheet1!H:H,$G411)</f>
        <v>1</v>
      </c>
      <c r="L411" s="4">
        <f t="shared" si="24"/>
        <v>9</v>
      </c>
      <c r="M411" s="4">
        <f t="shared" si="27"/>
        <v>5</v>
      </c>
    </row>
    <row r="412" spans="1:13">
      <c r="A412" s="4" t="str" cm="1">
        <f t="array" ref="A412">INDEX(Sheet1!A:A,$F412)</f>
        <v>M</v>
      </c>
      <c r="B412" s="4" t="str" cm="1">
        <f t="array" ref="B412">INDEX(Sheet1!B:B,$F412)</f>
        <v>Undiff NS</v>
      </c>
      <c r="C412" s="4">
        <f t="shared" si="25"/>
        <v>10</v>
      </c>
      <c r="D412" s="5" cm="1">
        <f t="array" aca="1" ref="D412" ca="1">OFFSET(INDIRECT("'["&amp;$H412&amp;"]"&amp;$I412&amp;"'!"&amp;$J412),$L412,$M412)*$K412</f>
        <v>4.2999999999999999E-4</v>
      </c>
      <c r="F412" s="4">
        <f t="shared" si="26"/>
        <v>6</v>
      </c>
      <c r="G412" s="4" cm="1">
        <f t="array" ref="G412">IF($C412+$M412&lt;16,INDEX(Sheet1!C:C,$F412),$F412)</f>
        <v>10</v>
      </c>
      <c r="H412" s="4" t="str" cm="1">
        <f t="array" ref="H412">INDEX(Sheet1!D:D,$G412)</f>
        <v>t1136.xlsx</v>
      </c>
      <c r="I412" s="4" t="str" cm="1">
        <f t="array" ref="I412">INDEX(Sheet1!E:E,$G412)</f>
        <v>Sheet1</v>
      </c>
      <c r="J412" s="4" t="str" cm="1">
        <f t="array" ref="J412">INDEX(Sheet1!F:F,$G412)</f>
        <v>B25</v>
      </c>
      <c r="K412" s="4" cm="1">
        <f t="array" ref="K412">INDEX(Sheet1!H:H,$G412)</f>
        <v>1</v>
      </c>
      <c r="L412" s="4">
        <f t="shared" si="24"/>
        <v>10</v>
      </c>
      <c r="M412" s="4">
        <f t="shared" si="27"/>
        <v>5</v>
      </c>
    </row>
    <row r="413" spans="1:13">
      <c r="A413" s="4" t="str" cm="1">
        <f t="array" ref="A413">INDEX(Sheet1!A:A,$F413)</f>
        <v>M</v>
      </c>
      <c r="B413" s="4" t="str" cm="1">
        <f t="array" ref="B413">INDEX(Sheet1!B:B,$F413)</f>
        <v>Undiff NS</v>
      </c>
      <c r="C413" s="4">
        <f t="shared" si="25"/>
        <v>11</v>
      </c>
      <c r="D413" s="5" cm="1">
        <f t="array" aca="1" ref="D413" ca="1">OFFSET(INDIRECT("'["&amp;$H413&amp;"]"&amp;$I413&amp;"'!"&amp;$J413),$L413,$M413)*$K413</f>
        <v>6.4000000000000005E-4</v>
      </c>
      <c r="F413" s="4">
        <f t="shared" si="26"/>
        <v>6</v>
      </c>
      <c r="G413" s="4" cm="1">
        <f t="array" ref="G413">IF($C413+$M413&lt;16,INDEX(Sheet1!C:C,$F413),$F413)</f>
        <v>6</v>
      </c>
      <c r="H413" s="4" t="str" cm="1">
        <f t="array" ref="H413">INDEX(Sheet1!D:D,$G413)</f>
        <v>t1137.xlsx</v>
      </c>
      <c r="I413" s="4" t="str" cm="1">
        <f t="array" ref="I413">INDEX(Sheet1!E:E,$G413)</f>
        <v>Sheet1</v>
      </c>
      <c r="J413" s="4" t="str" cm="1">
        <f t="array" ref="J413">INDEX(Sheet1!F:F,$G413)</f>
        <v>B25</v>
      </c>
      <c r="K413" s="4" cm="1">
        <f t="array" ref="K413">INDEX(Sheet1!H:H,$G413)</f>
        <v>1</v>
      </c>
      <c r="L413" s="4">
        <f t="shared" si="24"/>
        <v>11</v>
      </c>
      <c r="M413" s="4">
        <f t="shared" si="27"/>
        <v>5</v>
      </c>
    </row>
    <row r="414" spans="1:13">
      <c r="A414" s="4" t="str" cm="1">
        <f t="array" ref="A414">INDEX(Sheet1!A:A,$F414)</f>
        <v>M</v>
      </c>
      <c r="B414" s="4" t="str" cm="1">
        <f t="array" ref="B414">INDEX(Sheet1!B:B,$F414)</f>
        <v>Undiff NS</v>
      </c>
      <c r="C414" s="4">
        <f t="shared" si="25"/>
        <v>12</v>
      </c>
      <c r="D414" s="5" cm="1">
        <f t="array" aca="1" ref="D414" ca="1">OFFSET(INDIRECT("'["&amp;$H414&amp;"]"&amp;$I414&amp;"'!"&amp;$J414),$L414,$M414)*$K414</f>
        <v>7.5000000000000002E-4</v>
      </c>
      <c r="F414" s="4">
        <f t="shared" si="26"/>
        <v>6</v>
      </c>
      <c r="G414" s="4" cm="1">
        <f t="array" ref="G414">IF($C414+$M414&lt;16,INDEX(Sheet1!C:C,$F414),$F414)</f>
        <v>6</v>
      </c>
      <c r="H414" s="4" t="str" cm="1">
        <f t="array" ref="H414">INDEX(Sheet1!D:D,$G414)</f>
        <v>t1137.xlsx</v>
      </c>
      <c r="I414" s="4" t="str" cm="1">
        <f t="array" ref="I414">INDEX(Sheet1!E:E,$G414)</f>
        <v>Sheet1</v>
      </c>
      <c r="J414" s="4" t="str" cm="1">
        <f t="array" ref="J414">INDEX(Sheet1!F:F,$G414)</f>
        <v>B25</v>
      </c>
      <c r="K414" s="4" cm="1">
        <f t="array" ref="K414">INDEX(Sheet1!H:H,$G414)</f>
        <v>1</v>
      </c>
      <c r="L414" s="4">
        <f t="shared" si="24"/>
        <v>12</v>
      </c>
      <c r="M414" s="4">
        <f t="shared" si="27"/>
        <v>5</v>
      </c>
    </row>
    <row r="415" spans="1:13">
      <c r="A415" s="4" t="str" cm="1">
        <f t="array" ref="A415">INDEX(Sheet1!A:A,$F415)</f>
        <v>M</v>
      </c>
      <c r="B415" s="4" t="str" cm="1">
        <f t="array" ref="B415">INDEX(Sheet1!B:B,$F415)</f>
        <v>Undiff NS</v>
      </c>
      <c r="C415" s="4">
        <f t="shared" si="25"/>
        <v>13</v>
      </c>
      <c r="D415" s="5" cm="1">
        <f t="array" aca="1" ref="D415" ca="1">OFFSET(INDIRECT("'["&amp;$H415&amp;"]"&amp;$I415&amp;"'!"&amp;$J415),$L415,$M415)*$K415</f>
        <v>8.4999999999999995E-4</v>
      </c>
      <c r="F415" s="4">
        <f t="shared" si="26"/>
        <v>6</v>
      </c>
      <c r="G415" s="4" cm="1">
        <f t="array" ref="G415">IF($C415+$M415&lt;16,INDEX(Sheet1!C:C,$F415),$F415)</f>
        <v>6</v>
      </c>
      <c r="H415" s="4" t="str" cm="1">
        <f t="array" ref="H415">INDEX(Sheet1!D:D,$G415)</f>
        <v>t1137.xlsx</v>
      </c>
      <c r="I415" s="4" t="str" cm="1">
        <f t="array" ref="I415">INDEX(Sheet1!E:E,$G415)</f>
        <v>Sheet1</v>
      </c>
      <c r="J415" s="4" t="str" cm="1">
        <f t="array" ref="J415">INDEX(Sheet1!F:F,$G415)</f>
        <v>B25</v>
      </c>
      <c r="K415" s="4" cm="1">
        <f t="array" ref="K415">INDEX(Sheet1!H:H,$G415)</f>
        <v>1</v>
      </c>
      <c r="L415" s="4">
        <f t="shared" si="24"/>
        <v>13</v>
      </c>
      <c r="M415" s="4">
        <f t="shared" si="27"/>
        <v>5</v>
      </c>
    </row>
    <row r="416" spans="1:13">
      <c r="A416" s="4" t="str" cm="1">
        <f t="array" ref="A416">INDEX(Sheet1!A:A,$F416)</f>
        <v>M</v>
      </c>
      <c r="B416" s="4" t="str" cm="1">
        <f t="array" ref="B416">INDEX(Sheet1!B:B,$F416)</f>
        <v>Undiff NS</v>
      </c>
      <c r="C416" s="4">
        <f t="shared" si="25"/>
        <v>14</v>
      </c>
      <c r="D416" s="5" cm="1">
        <f t="array" aca="1" ref="D416" ca="1">OFFSET(INDIRECT("'["&amp;$H416&amp;"]"&amp;$I416&amp;"'!"&amp;$J416),$L416,$M416)*$K416</f>
        <v>8.5999999999999998E-4</v>
      </c>
      <c r="F416" s="4">
        <f t="shared" si="26"/>
        <v>6</v>
      </c>
      <c r="G416" s="4" cm="1">
        <f t="array" ref="G416">IF($C416+$M416&lt;16,INDEX(Sheet1!C:C,$F416),$F416)</f>
        <v>6</v>
      </c>
      <c r="H416" s="4" t="str" cm="1">
        <f t="array" ref="H416">INDEX(Sheet1!D:D,$G416)</f>
        <v>t1137.xlsx</v>
      </c>
      <c r="I416" s="4" t="str" cm="1">
        <f t="array" ref="I416">INDEX(Sheet1!E:E,$G416)</f>
        <v>Sheet1</v>
      </c>
      <c r="J416" s="4" t="str" cm="1">
        <f t="array" ref="J416">INDEX(Sheet1!F:F,$G416)</f>
        <v>B25</v>
      </c>
      <c r="K416" s="4" cm="1">
        <f t="array" ref="K416">INDEX(Sheet1!H:H,$G416)</f>
        <v>1</v>
      </c>
      <c r="L416" s="4">
        <f t="shared" si="24"/>
        <v>14</v>
      </c>
      <c r="M416" s="4">
        <f t="shared" si="27"/>
        <v>5</v>
      </c>
    </row>
    <row r="417" spans="1:13">
      <c r="A417" s="4" t="str" cm="1">
        <f t="array" ref="A417">INDEX(Sheet1!A:A,$F417)</f>
        <v>M</v>
      </c>
      <c r="B417" s="4" t="str" cm="1">
        <f t="array" ref="B417">INDEX(Sheet1!B:B,$F417)</f>
        <v>Undiff NS</v>
      </c>
      <c r="C417" s="4">
        <f t="shared" si="25"/>
        <v>15</v>
      </c>
      <c r="D417" s="5" cm="1">
        <f t="array" aca="1" ref="D417" ca="1">OFFSET(INDIRECT("'["&amp;$H417&amp;"]"&amp;$I417&amp;"'!"&amp;$J417),$L417,$M417)*$K417</f>
        <v>8.5999999999999998E-4</v>
      </c>
      <c r="F417" s="4">
        <f t="shared" si="26"/>
        <v>6</v>
      </c>
      <c r="G417" s="4" cm="1">
        <f t="array" ref="G417">IF($C417+$M417&lt;16,INDEX(Sheet1!C:C,$F417),$F417)</f>
        <v>6</v>
      </c>
      <c r="H417" s="4" t="str" cm="1">
        <f t="array" ref="H417">INDEX(Sheet1!D:D,$G417)</f>
        <v>t1137.xlsx</v>
      </c>
      <c r="I417" s="4" t="str" cm="1">
        <f t="array" ref="I417">INDEX(Sheet1!E:E,$G417)</f>
        <v>Sheet1</v>
      </c>
      <c r="J417" s="4" t="str" cm="1">
        <f t="array" ref="J417">INDEX(Sheet1!F:F,$G417)</f>
        <v>B25</v>
      </c>
      <c r="K417" s="4" cm="1">
        <f t="array" ref="K417">INDEX(Sheet1!H:H,$G417)</f>
        <v>1</v>
      </c>
      <c r="L417" s="4">
        <f t="shared" si="24"/>
        <v>15</v>
      </c>
      <c r="M417" s="4">
        <f t="shared" si="27"/>
        <v>5</v>
      </c>
    </row>
    <row r="418" spans="1:13">
      <c r="A418" s="4" t="str" cm="1">
        <f t="array" ref="A418">INDEX(Sheet1!A:A,$F418)</f>
        <v>M</v>
      </c>
      <c r="B418" s="4" t="str" cm="1">
        <f t="array" ref="B418">INDEX(Sheet1!B:B,$F418)</f>
        <v>Undiff NS</v>
      </c>
      <c r="C418" s="4">
        <f t="shared" si="25"/>
        <v>16</v>
      </c>
      <c r="D418" s="5" cm="1">
        <f t="array" aca="1" ref="D418" ca="1">OFFSET(INDIRECT("'["&amp;$H418&amp;"]"&amp;$I418&amp;"'!"&amp;$J418),$L418,$M418)*$K418</f>
        <v>8.4999999999999995E-4</v>
      </c>
      <c r="F418" s="4">
        <f t="shared" si="26"/>
        <v>6</v>
      </c>
      <c r="G418" s="4" cm="1">
        <f t="array" ref="G418">IF($C418+$M418&lt;16,INDEX(Sheet1!C:C,$F418),$F418)</f>
        <v>6</v>
      </c>
      <c r="H418" s="4" t="str" cm="1">
        <f t="array" ref="H418">INDEX(Sheet1!D:D,$G418)</f>
        <v>t1137.xlsx</v>
      </c>
      <c r="I418" s="4" t="str" cm="1">
        <f t="array" ref="I418">INDEX(Sheet1!E:E,$G418)</f>
        <v>Sheet1</v>
      </c>
      <c r="J418" s="4" t="str" cm="1">
        <f t="array" ref="J418">INDEX(Sheet1!F:F,$G418)</f>
        <v>B25</v>
      </c>
      <c r="K418" s="4" cm="1">
        <f t="array" ref="K418">INDEX(Sheet1!H:H,$G418)</f>
        <v>1</v>
      </c>
      <c r="L418" s="4">
        <f t="shared" si="24"/>
        <v>16</v>
      </c>
      <c r="M418" s="4">
        <f t="shared" si="27"/>
        <v>5</v>
      </c>
    </row>
    <row r="419" spans="1:13">
      <c r="A419" s="4" t="str" cm="1">
        <f t="array" ref="A419">INDEX(Sheet1!A:A,$F419)</f>
        <v>M</v>
      </c>
      <c r="B419" s="4" t="str" cm="1">
        <f t="array" ref="B419">INDEX(Sheet1!B:B,$F419)</f>
        <v>Undiff NS</v>
      </c>
      <c r="C419" s="4">
        <f t="shared" si="25"/>
        <v>17</v>
      </c>
      <c r="D419" s="5" cm="1">
        <f t="array" aca="1" ref="D419" ca="1">OFFSET(INDIRECT("'["&amp;$H419&amp;"]"&amp;$I419&amp;"'!"&amp;$J419),$L419,$M419)*$K419</f>
        <v>8.4000000000000003E-4</v>
      </c>
      <c r="F419" s="4">
        <f t="shared" si="26"/>
        <v>6</v>
      </c>
      <c r="G419" s="4" cm="1">
        <f t="array" ref="G419">IF($C419+$M419&lt;16,INDEX(Sheet1!C:C,$F419),$F419)</f>
        <v>6</v>
      </c>
      <c r="H419" s="4" t="str" cm="1">
        <f t="array" ref="H419">INDEX(Sheet1!D:D,$G419)</f>
        <v>t1137.xlsx</v>
      </c>
      <c r="I419" s="4" t="str" cm="1">
        <f t="array" ref="I419">INDEX(Sheet1!E:E,$G419)</f>
        <v>Sheet1</v>
      </c>
      <c r="J419" s="4" t="str" cm="1">
        <f t="array" ref="J419">INDEX(Sheet1!F:F,$G419)</f>
        <v>B25</v>
      </c>
      <c r="K419" s="4" cm="1">
        <f t="array" ref="K419">INDEX(Sheet1!H:H,$G419)</f>
        <v>1</v>
      </c>
      <c r="L419" s="4">
        <f t="shared" si="24"/>
        <v>17</v>
      </c>
      <c r="M419" s="4">
        <f t="shared" si="27"/>
        <v>5</v>
      </c>
    </row>
    <row r="420" spans="1:13">
      <c r="A420" s="4" t="str" cm="1">
        <f t="array" ref="A420">INDEX(Sheet1!A:A,$F420)</f>
        <v>M</v>
      </c>
      <c r="B420" s="4" t="str" cm="1">
        <f t="array" ref="B420">INDEX(Sheet1!B:B,$F420)</f>
        <v>Undiff NS</v>
      </c>
      <c r="C420" s="4">
        <f t="shared" si="25"/>
        <v>18</v>
      </c>
      <c r="D420" s="5" cm="1">
        <f t="array" aca="1" ref="D420" ca="1">OFFSET(INDIRECT("'["&amp;$H420&amp;"]"&amp;$I420&amp;"'!"&amp;$J420),$L420,$M420)*$K420</f>
        <v>8.4000000000000003E-4</v>
      </c>
      <c r="F420" s="4">
        <f t="shared" si="26"/>
        <v>6</v>
      </c>
      <c r="G420" s="4" cm="1">
        <f t="array" ref="G420">IF($C420+$M420&lt;16,INDEX(Sheet1!C:C,$F420),$F420)</f>
        <v>6</v>
      </c>
      <c r="H420" s="4" t="str" cm="1">
        <f t="array" ref="H420">INDEX(Sheet1!D:D,$G420)</f>
        <v>t1137.xlsx</v>
      </c>
      <c r="I420" s="4" t="str" cm="1">
        <f t="array" ref="I420">INDEX(Sheet1!E:E,$G420)</f>
        <v>Sheet1</v>
      </c>
      <c r="J420" s="4" t="str" cm="1">
        <f t="array" ref="J420">INDEX(Sheet1!F:F,$G420)</f>
        <v>B25</v>
      </c>
      <c r="K420" s="4" cm="1">
        <f t="array" ref="K420">INDEX(Sheet1!H:H,$G420)</f>
        <v>1</v>
      </c>
      <c r="L420" s="4">
        <f t="shared" si="24"/>
        <v>18</v>
      </c>
      <c r="M420" s="4">
        <f t="shared" si="27"/>
        <v>5</v>
      </c>
    </row>
    <row r="421" spans="1:13">
      <c r="A421" s="4" t="str" cm="1">
        <f t="array" ref="A421">INDEX(Sheet1!A:A,$F421)</f>
        <v>M</v>
      </c>
      <c r="B421" s="4" t="str" cm="1">
        <f t="array" ref="B421">INDEX(Sheet1!B:B,$F421)</f>
        <v>Undiff NS</v>
      </c>
      <c r="C421" s="4">
        <f t="shared" si="25"/>
        <v>19</v>
      </c>
      <c r="D421" s="5" cm="1">
        <f t="array" aca="1" ref="D421" ca="1">OFFSET(INDIRECT("'["&amp;$H421&amp;"]"&amp;$I421&amp;"'!"&amp;$J421),$L421,$M421)*$K421</f>
        <v>8.1999999999999998E-4</v>
      </c>
      <c r="F421" s="4">
        <f t="shared" si="26"/>
        <v>6</v>
      </c>
      <c r="G421" s="4" cm="1">
        <f t="array" ref="G421">IF($C421+$M421&lt;16,INDEX(Sheet1!C:C,$F421),$F421)</f>
        <v>6</v>
      </c>
      <c r="H421" s="4" t="str" cm="1">
        <f t="array" ref="H421">INDEX(Sheet1!D:D,$G421)</f>
        <v>t1137.xlsx</v>
      </c>
      <c r="I421" s="4" t="str" cm="1">
        <f t="array" ref="I421">INDEX(Sheet1!E:E,$G421)</f>
        <v>Sheet1</v>
      </c>
      <c r="J421" s="4" t="str" cm="1">
        <f t="array" ref="J421">INDEX(Sheet1!F:F,$G421)</f>
        <v>B25</v>
      </c>
      <c r="K421" s="4" cm="1">
        <f t="array" ref="K421">INDEX(Sheet1!H:H,$G421)</f>
        <v>1</v>
      </c>
      <c r="L421" s="4">
        <f t="shared" si="24"/>
        <v>19</v>
      </c>
      <c r="M421" s="4">
        <f t="shared" si="27"/>
        <v>5</v>
      </c>
    </row>
    <row r="422" spans="1:13">
      <c r="A422" s="4" t="str" cm="1">
        <f t="array" ref="A422">INDEX(Sheet1!A:A,$F422)</f>
        <v>M</v>
      </c>
      <c r="B422" s="4" t="str" cm="1">
        <f t="array" ref="B422">INDEX(Sheet1!B:B,$F422)</f>
        <v>Undiff NS</v>
      </c>
      <c r="C422" s="4">
        <f t="shared" si="25"/>
        <v>20</v>
      </c>
      <c r="D422" s="5" cm="1">
        <f t="array" aca="1" ref="D422" ca="1">OFFSET(INDIRECT("'["&amp;$H422&amp;"]"&amp;$I422&amp;"'!"&amp;$J422),$L422,$M422)*$K422</f>
        <v>7.9000000000000001E-4</v>
      </c>
      <c r="F422" s="4">
        <f t="shared" si="26"/>
        <v>6</v>
      </c>
      <c r="G422" s="4" cm="1">
        <f t="array" ref="G422">IF($C422+$M422&lt;16,INDEX(Sheet1!C:C,$F422),$F422)</f>
        <v>6</v>
      </c>
      <c r="H422" s="4" t="str" cm="1">
        <f t="array" ref="H422">INDEX(Sheet1!D:D,$G422)</f>
        <v>t1137.xlsx</v>
      </c>
      <c r="I422" s="4" t="str" cm="1">
        <f t="array" ref="I422">INDEX(Sheet1!E:E,$G422)</f>
        <v>Sheet1</v>
      </c>
      <c r="J422" s="4" t="str" cm="1">
        <f t="array" ref="J422">INDEX(Sheet1!F:F,$G422)</f>
        <v>B25</v>
      </c>
      <c r="K422" s="4" cm="1">
        <f t="array" ref="K422">INDEX(Sheet1!H:H,$G422)</f>
        <v>1</v>
      </c>
      <c r="L422" s="4">
        <f t="shared" si="24"/>
        <v>20</v>
      </c>
      <c r="M422" s="4">
        <f t="shared" si="27"/>
        <v>5</v>
      </c>
    </row>
    <row r="423" spans="1:13">
      <c r="A423" s="4" t="str" cm="1">
        <f t="array" ref="A423">INDEX(Sheet1!A:A,$F423)</f>
        <v>M</v>
      </c>
      <c r="B423" s="4" t="str" cm="1">
        <f t="array" ref="B423">INDEX(Sheet1!B:B,$F423)</f>
        <v>Undiff NS</v>
      </c>
      <c r="C423" s="4">
        <f t="shared" si="25"/>
        <v>21</v>
      </c>
      <c r="D423" s="5" cm="1">
        <f t="array" aca="1" ref="D423" ca="1">OFFSET(INDIRECT("'["&amp;$H423&amp;"]"&amp;$I423&amp;"'!"&amp;$J423),$L423,$M423)*$K423</f>
        <v>7.5000000000000002E-4</v>
      </c>
      <c r="F423" s="4">
        <f t="shared" si="26"/>
        <v>6</v>
      </c>
      <c r="G423" s="4" cm="1">
        <f t="array" ref="G423">IF($C423+$M423&lt;16,INDEX(Sheet1!C:C,$F423),$F423)</f>
        <v>6</v>
      </c>
      <c r="H423" s="4" t="str" cm="1">
        <f t="array" ref="H423">INDEX(Sheet1!D:D,$G423)</f>
        <v>t1137.xlsx</v>
      </c>
      <c r="I423" s="4" t="str" cm="1">
        <f t="array" ref="I423">INDEX(Sheet1!E:E,$G423)</f>
        <v>Sheet1</v>
      </c>
      <c r="J423" s="4" t="str" cm="1">
        <f t="array" ref="J423">INDEX(Sheet1!F:F,$G423)</f>
        <v>B25</v>
      </c>
      <c r="K423" s="4" cm="1">
        <f t="array" ref="K423">INDEX(Sheet1!H:H,$G423)</f>
        <v>1</v>
      </c>
      <c r="L423" s="4">
        <f t="shared" si="24"/>
        <v>21</v>
      </c>
      <c r="M423" s="4">
        <f t="shared" si="27"/>
        <v>5</v>
      </c>
    </row>
    <row r="424" spans="1:13">
      <c r="A424" s="4" t="str" cm="1">
        <f t="array" ref="A424">INDEX(Sheet1!A:A,$F424)</f>
        <v>M</v>
      </c>
      <c r="B424" s="4" t="str" cm="1">
        <f t="array" ref="B424">INDEX(Sheet1!B:B,$F424)</f>
        <v>Undiff NS</v>
      </c>
      <c r="C424" s="4">
        <f t="shared" si="25"/>
        <v>22</v>
      </c>
      <c r="D424" s="5" cm="1">
        <f t="array" aca="1" ref="D424" ca="1">OFFSET(INDIRECT("'["&amp;$H424&amp;"]"&amp;$I424&amp;"'!"&amp;$J424),$L424,$M424)*$K424</f>
        <v>7.2000000000000005E-4</v>
      </c>
      <c r="F424" s="4">
        <f t="shared" si="26"/>
        <v>6</v>
      </c>
      <c r="G424" s="4" cm="1">
        <f t="array" ref="G424">IF($C424+$M424&lt;16,INDEX(Sheet1!C:C,$F424),$F424)</f>
        <v>6</v>
      </c>
      <c r="H424" s="4" t="str" cm="1">
        <f t="array" ref="H424">INDEX(Sheet1!D:D,$G424)</f>
        <v>t1137.xlsx</v>
      </c>
      <c r="I424" s="4" t="str" cm="1">
        <f t="array" ref="I424">INDEX(Sheet1!E:E,$G424)</f>
        <v>Sheet1</v>
      </c>
      <c r="J424" s="4" t="str" cm="1">
        <f t="array" ref="J424">INDEX(Sheet1!F:F,$G424)</f>
        <v>B25</v>
      </c>
      <c r="K424" s="4" cm="1">
        <f t="array" ref="K424">INDEX(Sheet1!H:H,$G424)</f>
        <v>1</v>
      </c>
      <c r="L424" s="4">
        <f t="shared" si="24"/>
        <v>22</v>
      </c>
      <c r="M424" s="4">
        <f t="shared" si="27"/>
        <v>5</v>
      </c>
    </row>
    <row r="425" spans="1:13">
      <c r="A425" s="4" t="str" cm="1">
        <f t="array" ref="A425">INDEX(Sheet1!A:A,$F425)</f>
        <v>M</v>
      </c>
      <c r="B425" s="4" t="str" cm="1">
        <f t="array" ref="B425">INDEX(Sheet1!B:B,$F425)</f>
        <v>Undiff NS</v>
      </c>
      <c r="C425" s="4">
        <f t="shared" si="25"/>
        <v>23</v>
      </c>
      <c r="D425" s="5" cm="1">
        <f t="array" aca="1" ref="D425" ca="1">OFFSET(INDIRECT("'["&amp;$H425&amp;"]"&amp;$I425&amp;"'!"&amp;$J425),$L425,$M425)*$K425</f>
        <v>6.9999999999999999E-4</v>
      </c>
      <c r="F425" s="4">
        <f t="shared" si="26"/>
        <v>6</v>
      </c>
      <c r="G425" s="4" cm="1">
        <f t="array" ref="G425">IF($C425+$M425&lt;16,INDEX(Sheet1!C:C,$F425),$F425)</f>
        <v>6</v>
      </c>
      <c r="H425" s="4" t="str" cm="1">
        <f t="array" ref="H425">INDEX(Sheet1!D:D,$G425)</f>
        <v>t1137.xlsx</v>
      </c>
      <c r="I425" s="4" t="str" cm="1">
        <f t="array" ref="I425">INDEX(Sheet1!E:E,$G425)</f>
        <v>Sheet1</v>
      </c>
      <c r="J425" s="4" t="str" cm="1">
        <f t="array" ref="J425">INDEX(Sheet1!F:F,$G425)</f>
        <v>B25</v>
      </c>
      <c r="K425" s="4" cm="1">
        <f t="array" ref="K425">INDEX(Sheet1!H:H,$G425)</f>
        <v>1</v>
      </c>
      <c r="L425" s="4">
        <f t="shared" si="24"/>
        <v>23</v>
      </c>
      <c r="M425" s="4">
        <f t="shared" si="27"/>
        <v>5</v>
      </c>
    </row>
    <row r="426" spans="1:13">
      <c r="A426" s="4" t="str" cm="1">
        <f t="array" ref="A426">INDEX(Sheet1!A:A,$F426)</f>
        <v>M</v>
      </c>
      <c r="B426" s="4" t="str" cm="1">
        <f t="array" ref="B426">INDEX(Sheet1!B:B,$F426)</f>
        <v>Undiff NS</v>
      </c>
      <c r="C426" s="4">
        <f t="shared" si="25"/>
        <v>24</v>
      </c>
      <c r="D426" s="5" cm="1">
        <f t="array" aca="1" ref="D426" ca="1">OFFSET(INDIRECT("'["&amp;$H426&amp;"]"&amp;$I426&amp;"'!"&amp;$J426),$L426,$M426)*$K426</f>
        <v>6.9999999999999999E-4</v>
      </c>
      <c r="F426" s="4">
        <f t="shared" si="26"/>
        <v>6</v>
      </c>
      <c r="G426" s="4" cm="1">
        <f t="array" ref="G426">IF($C426+$M426&lt;16,INDEX(Sheet1!C:C,$F426),$F426)</f>
        <v>6</v>
      </c>
      <c r="H426" s="4" t="str" cm="1">
        <f t="array" ref="H426">INDEX(Sheet1!D:D,$G426)</f>
        <v>t1137.xlsx</v>
      </c>
      <c r="I426" s="4" t="str" cm="1">
        <f t="array" ref="I426">INDEX(Sheet1!E:E,$G426)</f>
        <v>Sheet1</v>
      </c>
      <c r="J426" s="4" t="str" cm="1">
        <f t="array" ref="J426">INDEX(Sheet1!F:F,$G426)</f>
        <v>B25</v>
      </c>
      <c r="K426" s="4" cm="1">
        <f t="array" ref="K426">INDEX(Sheet1!H:H,$G426)</f>
        <v>1</v>
      </c>
      <c r="L426" s="4">
        <f t="shared" si="24"/>
        <v>24</v>
      </c>
      <c r="M426" s="4">
        <f t="shared" si="27"/>
        <v>5</v>
      </c>
    </row>
    <row r="427" spans="1:13">
      <c r="A427" s="4" t="str" cm="1">
        <f t="array" ref="A427">INDEX(Sheet1!A:A,$F427)</f>
        <v>M</v>
      </c>
      <c r="B427" s="4" t="str" cm="1">
        <f t="array" ref="B427">INDEX(Sheet1!B:B,$F427)</f>
        <v>Undiff NS</v>
      </c>
      <c r="C427" s="4">
        <f t="shared" si="25"/>
        <v>25</v>
      </c>
      <c r="D427" s="5" cm="1">
        <f t="array" aca="1" ref="D427" ca="1">OFFSET(INDIRECT("'["&amp;$H427&amp;"]"&amp;$I427&amp;"'!"&amp;$J427),$L427,$M427)*$K427</f>
        <v>7.1000000000000002E-4</v>
      </c>
      <c r="F427" s="4">
        <f t="shared" si="26"/>
        <v>6</v>
      </c>
      <c r="G427" s="4" cm="1">
        <f t="array" ref="G427">IF($C427+$M427&lt;16,INDEX(Sheet1!C:C,$F427),$F427)</f>
        <v>6</v>
      </c>
      <c r="H427" s="4" t="str" cm="1">
        <f t="array" ref="H427">INDEX(Sheet1!D:D,$G427)</f>
        <v>t1137.xlsx</v>
      </c>
      <c r="I427" s="4" t="str" cm="1">
        <f t="array" ref="I427">INDEX(Sheet1!E:E,$G427)</f>
        <v>Sheet1</v>
      </c>
      <c r="J427" s="4" t="str" cm="1">
        <f t="array" ref="J427">INDEX(Sheet1!F:F,$G427)</f>
        <v>B25</v>
      </c>
      <c r="K427" s="4" cm="1">
        <f t="array" ref="K427">INDEX(Sheet1!H:H,$G427)</f>
        <v>1</v>
      </c>
      <c r="L427" s="4">
        <f t="shared" si="24"/>
        <v>25</v>
      </c>
      <c r="M427" s="4">
        <f t="shared" si="27"/>
        <v>5</v>
      </c>
    </row>
    <row r="428" spans="1:13">
      <c r="A428" s="4" t="str" cm="1">
        <f t="array" ref="A428">INDEX(Sheet1!A:A,$F428)</f>
        <v>M</v>
      </c>
      <c r="B428" s="4" t="str" cm="1">
        <f t="array" ref="B428">INDEX(Sheet1!B:B,$F428)</f>
        <v>Undiff NS</v>
      </c>
      <c r="C428" s="4">
        <f t="shared" si="25"/>
        <v>26</v>
      </c>
      <c r="D428" s="5" cm="1">
        <f t="array" aca="1" ref="D428" ca="1">OFFSET(INDIRECT("'["&amp;$H428&amp;"]"&amp;$I428&amp;"'!"&amp;$J428),$L428,$M428)*$K428</f>
        <v>7.2999999999999996E-4</v>
      </c>
      <c r="F428" s="4">
        <f t="shared" si="26"/>
        <v>6</v>
      </c>
      <c r="G428" s="4" cm="1">
        <f t="array" ref="G428">IF($C428+$M428&lt;16,INDEX(Sheet1!C:C,$F428),$F428)</f>
        <v>6</v>
      </c>
      <c r="H428" s="4" t="str" cm="1">
        <f t="array" ref="H428">INDEX(Sheet1!D:D,$G428)</f>
        <v>t1137.xlsx</v>
      </c>
      <c r="I428" s="4" t="str" cm="1">
        <f t="array" ref="I428">INDEX(Sheet1!E:E,$G428)</f>
        <v>Sheet1</v>
      </c>
      <c r="J428" s="4" t="str" cm="1">
        <f t="array" ref="J428">INDEX(Sheet1!F:F,$G428)</f>
        <v>B25</v>
      </c>
      <c r="K428" s="4" cm="1">
        <f t="array" ref="K428">INDEX(Sheet1!H:H,$G428)</f>
        <v>1</v>
      </c>
      <c r="L428" s="4">
        <f t="shared" si="24"/>
        <v>26</v>
      </c>
      <c r="M428" s="4">
        <f t="shared" si="27"/>
        <v>5</v>
      </c>
    </row>
    <row r="429" spans="1:13">
      <c r="A429" s="4" t="str" cm="1">
        <f t="array" ref="A429">INDEX(Sheet1!A:A,$F429)</f>
        <v>M</v>
      </c>
      <c r="B429" s="4" t="str" cm="1">
        <f t="array" ref="B429">INDEX(Sheet1!B:B,$F429)</f>
        <v>Undiff NS</v>
      </c>
      <c r="C429" s="4">
        <f t="shared" si="25"/>
        <v>27</v>
      </c>
      <c r="D429" s="5" cm="1">
        <f t="array" aca="1" ref="D429" ca="1">OFFSET(INDIRECT("'["&amp;$H429&amp;"]"&amp;$I429&amp;"'!"&amp;$J429),$L429,$M429)*$K429</f>
        <v>7.5000000000000002E-4</v>
      </c>
      <c r="F429" s="4">
        <f t="shared" si="26"/>
        <v>6</v>
      </c>
      <c r="G429" s="4" cm="1">
        <f t="array" ref="G429">IF($C429+$M429&lt;16,INDEX(Sheet1!C:C,$F429),$F429)</f>
        <v>6</v>
      </c>
      <c r="H429" s="4" t="str" cm="1">
        <f t="array" ref="H429">INDEX(Sheet1!D:D,$G429)</f>
        <v>t1137.xlsx</v>
      </c>
      <c r="I429" s="4" t="str" cm="1">
        <f t="array" ref="I429">INDEX(Sheet1!E:E,$G429)</f>
        <v>Sheet1</v>
      </c>
      <c r="J429" s="4" t="str" cm="1">
        <f t="array" ref="J429">INDEX(Sheet1!F:F,$G429)</f>
        <v>B25</v>
      </c>
      <c r="K429" s="4" cm="1">
        <f t="array" ref="K429">INDEX(Sheet1!H:H,$G429)</f>
        <v>1</v>
      </c>
      <c r="L429" s="4">
        <f t="shared" si="24"/>
        <v>27</v>
      </c>
      <c r="M429" s="4">
        <f t="shared" si="27"/>
        <v>5</v>
      </c>
    </row>
    <row r="430" spans="1:13">
      <c r="A430" s="4" t="str" cm="1">
        <f t="array" ref="A430">INDEX(Sheet1!A:A,$F430)</f>
        <v>M</v>
      </c>
      <c r="B430" s="4" t="str" cm="1">
        <f t="array" ref="B430">INDEX(Sheet1!B:B,$F430)</f>
        <v>Undiff NS</v>
      </c>
      <c r="C430" s="4">
        <f t="shared" si="25"/>
        <v>28</v>
      </c>
      <c r="D430" s="5" cm="1">
        <f t="array" aca="1" ref="D430" ca="1">OFFSET(INDIRECT("'["&amp;$H430&amp;"]"&amp;$I430&amp;"'!"&amp;$J430),$L430,$M430)*$K430</f>
        <v>7.9000000000000001E-4</v>
      </c>
      <c r="F430" s="4">
        <f t="shared" si="26"/>
        <v>6</v>
      </c>
      <c r="G430" s="4" cm="1">
        <f t="array" ref="G430">IF($C430+$M430&lt;16,INDEX(Sheet1!C:C,$F430),$F430)</f>
        <v>6</v>
      </c>
      <c r="H430" s="4" t="str" cm="1">
        <f t="array" ref="H430">INDEX(Sheet1!D:D,$G430)</f>
        <v>t1137.xlsx</v>
      </c>
      <c r="I430" s="4" t="str" cm="1">
        <f t="array" ref="I430">INDEX(Sheet1!E:E,$G430)</f>
        <v>Sheet1</v>
      </c>
      <c r="J430" s="4" t="str" cm="1">
        <f t="array" ref="J430">INDEX(Sheet1!F:F,$G430)</f>
        <v>B25</v>
      </c>
      <c r="K430" s="4" cm="1">
        <f t="array" ref="K430">INDEX(Sheet1!H:H,$G430)</f>
        <v>1</v>
      </c>
      <c r="L430" s="4">
        <f t="shared" si="24"/>
        <v>28</v>
      </c>
      <c r="M430" s="4">
        <f t="shared" si="27"/>
        <v>5</v>
      </c>
    </row>
    <row r="431" spans="1:13">
      <c r="A431" s="4" t="str" cm="1">
        <f t="array" ref="A431">INDEX(Sheet1!A:A,$F431)</f>
        <v>M</v>
      </c>
      <c r="B431" s="4" t="str" cm="1">
        <f t="array" ref="B431">INDEX(Sheet1!B:B,$F431)</f>
        <v>Undiff NS</v>
      </c>
      <c r="C431" s="4">
        <f t="shared" si="25"/>
        <v>29</v>
      </c>
      <c r="D431" s="5" cm="1">
        <f t="array" aca="1" ref="D431" ca="1">OFFSET(INDIRECT("'["&amp;$H431&amp;"]"&amp;$I431&amp;"'!"&amp;$J431),$L431,$M431)*$K431</f>
        <v>8.4000000000000003E-4</v>
      </c>
      <c r="F431" s="4">
        <f t="shared" si="26"/>
        <v>6</v>
      </c>
      <c r="G431" s="4" cm="1">
        <f t="array" ref="G431">IF($C431+$M431&lt;16,INDEX(Sheet1!C:C,$F431),$F431)</f>
        <v>6</v>
      </c>
      <c r="H431" s="4" t="str" cm="1">
        <f t="array" ref="H431">INDEX(Sheet1!D:D,$G431)</f>
        <v>t1137.xlsx</v>
      </c>
      <c r="I431" s="4" t="str" cm="1">
        <f t="array" ref="I431">INDEX(Sheet1!E:E,$G431)</f>
        <v>Sheet1</v>
      </c>
      <c r="J431" s="4" t="str" cm="1">
        <f t="array" ref="J431">INDEX(Sheet1!F:F,$G431)</f>
        <v>B25</v>
      </c>
      <c r="K431" s="4" cm="1">
        <f t="array" ref="K431">INDEX(Sheet1!H:H,$G431)</f>
        <v>1</v>
      </c>
      <c r="L431" s="4">
        <f t="shared" si="24"/>
        <v>29</v>
      </c>
      <c r="M431" s="4">
        <f t="shared" si="27"/>
        <v>5</v>
      </c>
    </row>
    <row r="432" spans="1:13">
      <c r="A432" s="4" t="str" cm="1">
        <f t="array" ref="A432">INDEX(Sheet1!A:A,$F432)</f>
        <v>M</v>
      </c>
      <c r="B432" s="4" t="str" cm="1">
        <f t="array" ref="B432">INDEX(Sheet1!B:B,$F432)</f>
        <v>Undiff NS</v>
      </c>
      <c r="C432" s="4">
        <f t="shared" si="25"/>
        <v>30</v>
      </c>
      <c r="D432" s="5" cm="1">
        <f t="array" aca="1" ref="D432" ca="1">OFFSET(INDIRECT("'["&amp;$H432&amp;"]"&amp;$I432&amp;"'!"&amp;$J432),$L432,$M432)*$K432</f>
        <v>8.9999999999999998E-4</v>
      </c>
      <c r="F432" s="4">
        <f t="shared" si="26"/>
        <v>6</v>
      </c>
      <c r="G432" s="4" cm="1">
        <f t="array" ref="G432">IF($C432+$M432&lt;16,INDEX(Sheet1!C:C,$F432),$F432)</f>
        <v>6</v>
      </c>
      <c r="H432" s="4" t="str" cm="1">
        <f t="array" ref="H432">INDEX(Sheet1!D:D,$G432)</f>
        <v>t1137.xlsx</v>
      </c>
      <c r="I432" s="4" t="str" cm="1">
        <f t="array" ref="I432">INDEX(Sheet1!E:E,$G432)</f>
        <v>Sheet1</v>
      </c>
      <c r="J432" s="4" t="str" cm="1">
        <f t="array" ref="J432">INDEX(Sheet1!F:F,$G432)</f>
        <v>B25</v>
      </c>
      <c r="K432" s="4" cm="1">
        <f t="array" ref="K432">INDEX(Sheet1!H:H,$G432)</f>
        <v>1</v>
      </c>
      <c r="L432" s="4">
        <f t="shared" si="24"/>
        <v>30</v>
      </c>
      <c r="M432" s="4">
        <f t="shared" si="27"/>
        <v>5</v>
      </c>
    </row>
    <row r="433" spans="1:13">
      <c r="A433" s="4" t="str" cm="1">
        <f t="array" ref="A433">INDEX(Sheet1!A:A,$F433)</f>
        <v>M</v>
      </c>
      <c r="B433" s="4" t="str" cm="1">
        <f t="array" ref="B433">INDEX(Sheet1!B:B,$F433)</f>
        <v>Undiff NS</v>
      </c>
      <c r="C433" s="4">
        <f t="shared" si="25"/>
        <v>31</v>
      </c>
      <c r="D433" s="5" cm="1">
        <f t="array" aca="1" ref="D433" ca="1">OFFSET(INDIRECT("'["&amp;$H433&amp;"]"&amp;$I433&amp;"'!"&amp;$J433),$L433,$M433)*$K433</f>
        <v>9.3999999999999997E-4</v>
      </c>
      <c r="F433" s="4">
        <f t="shared" si="26"/>
        <v>6</v>
      </c>
      <c r="G433" s="4" cm="1">
        <f t="array" ref="G433">IF($C433+$M433&lt;16,INDEX(Sheet1!C:C,$F433),$F433)</f>
        <v>6</v>
      </c>
      <c r="H433" s="4" t="str" cm="1">
        <f t="array" ref="H433">INDEX(Sheet1!D:D,$G433)</f>
        <v>t1137.xlsx</v>
      </c>
      <c r="I433" s="4" t="str" cm="1">
        <f t="array" ref="I433">INDEX(Sheet1!E:E,$G433)</f>
        <v>Sheet1</v>
      </c>
      <c r="J433" s="4" t="str" cm="1">
        <f t="array" ref="J433">INDEX(Sheet1!F:F,$G433)</f>
        <v>B25</v>
      </c>
      <c r="K433" s="4" cm="1">
        <f t="array" ref="K433">INDEX(Sheet1!H:H,$G433)</f>
        <v>1</v>
      </c>
      <c r="L433" s="4">
        <f t="shared" si="24"/>
        <v>31</v>
      </c>
      <c r="M433" s="4">
        <f t="shared" si="27"/>
        <v>5</v>
      </c>
    </row>
    <row r="434" spans="1:13">
      <c r="A434" s="4" t="str" cm="1">
        <f t="array" ref="A434">INDEX(Sheet1!A:A,$F434)</f>
        <v>M</v>
      </c>
      <c r="B434" s="4" t="str" cm="1">
        <f t="array" ref="B434">INDEX(Sheet1!B:B,$F434)</f>
        <v>Undiff NS</v>
      </c>
      <c r="C434" s="4">
        <f t="shared" si="25"/>
        <v>32</v>
      </c>
      <c r="D434" s="5" cm="1">
        <f t="array" aca="1" ref="D434" ca="1">OFFSET(INDIRECT("'["&amp;$H434&amp;"]"&amp;$I434&amp;"'!"&amp;$J434),$L434,$M434)*$K434</f>
        <v>9.7000000000000005E-4</v>
      </c>
      <c r="F434" s="4">
        <f t="shared" si="26"/>
        <v>6</v>
      </c>
      <c r="G434" s="4" cm="1">
        <f t="array" ref="G434">IF($C434+$M434&lt;16,INDEX(Sheet1!C:C,$F434),$F434)</f>
        <v>6</v>
      </c>
      <c r="H434" s="4" t="str" cm="1">
        <f t="array" ref="H434">INDEX(Sheet1!D:D,$G434)</f>
        <v>t1137.xlsx</v>
      </c>
      <c r="I434" s="4" t="str" cm="1">
        <f t="array" ref="I434">INDEX(Sheet1!E:E,$G434)</f>
        <v>Sheet1</v>
      </c>
      <c r="J434" s="4" t="str" cm="1">
        <f t="array" ref="J434">INDEX(Sheet1!F:F,$G434)</f>
        <v>B25</v>
      </c>
      <c r="K434" s="4" cm="1">
        <f t="array" ref="K434">INDEX(Sheet1!H:H,$G434)</f>
        <v>1</v>
      </c>
      <c r="L434" s="4">
        <f t="shared" si="24"/>
        <v>32</v>
      </c>
      <c r="M434" s="4">
        <f t="shared" si="27"/>
        <v>5</v>
      </c>
    </row>
    <row r="435" spans="1:13">
      <c r="A435" s="4" t="str" cm="1">
        <f t="array" ref="A435">INDEX(Sheet1!A:A,$F435)</f>
        <v>M</v>
      </c>
      <c r="B435" s="4" t="str" cm="1">
        <f t="array" ref="B435">INDEX(Sheet1!B:B,$F435)</f>
        <v>Undiff NS</v>
      </c>
      <c r="C435" s="4">
        <f t="shared" si="25"/>
        <v>33</v>
      </c>
      <c r="D435" s="5" cm="1">
        <f t="array" aca="1" ref="D435" ca="1">OFFSET(INDIRECT("'["&amp;$H435&amp;"]"&amp;$I435&amp;"'!"&amp;$J435),$L435,$M435)*$K435</f>
        <v>1.0300000000000001E-3</v>
      </c>
      <c r="F435" s="4">
        <f t="shared" si="26"/>
        <v>6</v>
      </c>
      <c r="G435" s="4" cm="1">
        <f t="array" ref="G435">IF($C435+$M435&lt;16,INDEX(Sheet1!C:C,$F435),$F435)</f>
        <v>6</v>
      </c>
      <c r="H435" s="4" t="str" cm="1">
        <f t="array" ref="H435">INDEX(Sheet1!D:D,$G435)</f>
        <v>t1137.xlsx</v>
      </c>
      <c r="I435" s="4" t="str" cm="1">
        <f t="array" ref="I435">INDEX(Sheet1!E:E,$G435)</f>
        <v>Sheet1</v>
      </c>
      <c r="J435" s="4" t="str" cm="1">
        <f t="array" ref="J435">INDEX(Sheet1!F:F,$G435)</f>
        <v>B25</v>
      </c>
      <c r="K435" s="4" cm="1">
        <f t="array" ref="K435">INDEX(Sheet1!H:H,$G435)</f>
        <v>1</v>
      </c>
      <c r="L435" s="4">
        <f t="shared" si="24"/>
        <v>33</v>
      </c>
      <c r="M435" s="4">
        <f t="shared" si="27"/>
        <v>5</v>
      </c>
    </row>
    <row r="436" spans="1:13">
      <c r="A436" s="4" t="str" cm="1">
        <f t="array" ref="A436">INDEX(Sheet1!A:A,$F436)</f>
        <v>M</v>
      </c>
      <c r="B436" s="4" t="str" cm="1">
        <f t="array" ref="B436">INDEX(Sheet1!B:B,$F436)</f>
        <v>Undiff NS</v>
      </c>
      <c r="C436" s="4">
        <f t="shared" si="25"/>
        <v>34</v>
      </c>
      <c r="D436" s="5" cm="1">
        <f t="array" aca="1" ref="D436" ca="1">OFFSET(INDIRECT("'["&amp;$H436&amp;"]"&amp;$I436&amp;"'!"&amp;$J436),$L436,$M436)*$K436</f>
        <v>1.08E-3</v>
      </c>
      <c r="F436" s="4">
        <f t="shared" si="26"/>
        <v>6</v>
      </c>
      <c r="G436" s="4" cm="1">
        <f t="array" ref="G436">IF($C436+$M436&lt;16,INDEX(Sheet1!C:C,$F436),$F436)</f>
        <v>6</v>
      </c>
      <c r="H436" s="4" t="str" cm="1">
        <f t="array" ref="H436">INDEX(Sheet1!D:D,$G436)</f>
        <v>t1137.xlsx</v>
      </c>
      <c r="I436" s="4" t="str" cm="1">
        <f t="array" ref="I436">INDEX(Sheet1!E:E,$G436)</f>
        <v>Sheet1</v>
      </c>
      <c r="J436" s="4" t="str" cm="1">
        <f t="array" ref="J436">INDEX(Sheet1!F:F,$G436)</f>
        <v>B25</v>
      </c>
      <c r="K436" s="4" cm="1">
        <f t="array" ref="K436">INDEX(Sheet1!H:H,$G436)</f>
        <v>1</v>
      </c>
      <c r="L436" s="4">
        <f t="shared" si="24"/>
        <v>34</v>
      </c>
      <c r="M436" s="4">
        <f t="shared" si="27"/>
        <v>5</v>
      </c>
    </row>
    <row r="437" spans="1:13">
      <c r="A437" s="4" t="str" cm="1">
        <f t="array" ref="A437">INDEX(Sheet1!A:A,$F437)</f>
        <v>M</v>
      </c>
      <c r="B437" s="4" t="str" cm="1">
        <f t="array" ref="B437">INDEX(Sheet1!B:B,$F437)</f>
        <v>Undiff NS</v>
      </c>
      <c r="C437" s="4">
        <f t="shared" si="25"/>
        <v>35</v>
      </c>
      <c r="D437" s="5" cm="1">
        <f t="array" aca="1" ref="D437" ca="1">OFFSET(INDIRECT("'["&amp;$H437&amp;"]"&amp;$I437&amp;"'!"&amp;$J437),$L437,$M437)*$K437</f>
        <v>1.14E-3</v>
      </c>
      <c r="F437" s="4">
        <f t="shared" si="26"/>
        <v>6</v>
      </c>
      <c r="G437" s="4" cm="1">
        <f t="array" ref="G437">IF($C437+$M437&lt;16,INDEX(Sheet1!C:C,$F437),$F437)</f>
        <v>6</v>
      </c>
      <c r="H437" s="4" t="str" cm="1">
        <f t="array" ref="H437">INDEX(Sheet1!D:D,$G437)</f>
        <v>t1137.xlsx</v>
      </c>
      <c r="I437" s="4" t="str" cm="1">
        <f t="array" ref="I437">INDEX(Sheet1!E:E,$G437)</f>
        <v>Sheet1</v>
      </c>
      <c r="J437" s="4" t="str" cm="1">
        <f t="array" ref="J437">INDEX(Sheet1!F:F,$G437)</f>
        <v>B25</v>
      </c>
      <c r="K437" s="4" cm="1">
        <f t="array" ref="K437">INDEX(Sheet1!H:H,$G437)</f>
        <v>1</v>
      </c>
      <c r="L437" s="4">
        <f t="shared" si="24"/>
        <v>35</v>
      </c>
      <c r="M437" s="4">
        <f t="shared" si="27"/>
        <v>5</v>
      </c>
    </row>
    <row r="438" spans="1:13">
      <c r="A438" s="4" t="str" cm="1">
        <f t="array" ref="A438">INDEX(Sheet1!A:A,$F438)</f>
        <v>M</v>
      </c>
      <c r="B438" s="4" t="str" cm="1">
        <f t="array" ref="B438">INDEX(Sheet1!B:B,$F438)</f>
        <v>Undiff NS</v>
      </c>
      <c r="C438" s="4">
        <f t="shared" si="25"/>
        <v>36</v>
      </c>
      <c r="D438" s="5" cm="1">
        <f t="array" aca="1" ref="D438" ca="1">OFFSET(INDIRECT("'["&amp;$H438&amp;"]"&amp;$I438&amp;"'!"&amp;$J438),$L438,$M438)*$K438</f>
        <v>1.1900000000000001E-3</v>
      </c>
      <c r="F438" s="4">
        <f t="shared" si="26"/>
        <v>6</v>
      </c>
      <c r="G438" s="4" cm="1">
        <f t="array" ref="G438">IF($C438+$M438&lt;16,INDEX(Sheet1!C:C,$F438),$F438)</f>
        <v>6</v>
      </c>
      <c r="H438" s="4" t="str" cm="1">
        <f t="array" ref="H438">INDEX(Sheet1!D:D,$G438)</f>
        <v>t1137.xlsx</v>
      </c>
      <c r="I438" s="4" t="str" cm="1">
        <f t="array" ref="I438">INDEX(Sheet1!E:E,$G438)</f>
        <v>Sheet1</v>
      </c>
      <c r="J438" s="4" t="str" cm="1">
        <f t="array" ref="J438">INDEX(Sheet1!F:F,$G438)</f>
        <v>B25</v>
      </c>
      <c r="K438" s="4" cm="1">
        <f t="array" ref="K438">INDEX(Sheet1!H:H,$G438)</f>
        <v>1</v>
      </c>
      <c r="L438" s="4">
        <f t="shared" si="24"/>
        <v>36</v>
      </c>
      <c r="M438" s="4">
        <f t="shared" si="27"/>
        <v>5</v>
      </c>
    </row>
    <row r="439" spans="1:13">
      <c r="A439" s="4" t="str" cm="1">
        <f t="array" ref="A439">INDEX(Sheet1!A:A,$F439)</f>
        <v>M</v>
      </c>
      <c r="B439" s="4" t="str" cm="1">
        <f t="array" ref="B439">INDEX(Sheet1!B:B,$F439)</f>
        <v>Undiff NS</v>
      </c>
      <c r="C439" s="4">
        <f t="shared" si="25"/>
        <v>37</v>
      </c>
      <c r="D439" s="5" cm="1">
        <f t="array" aca="1" ref="D439" ca="1">OFFSET(INDIRECT("'["&amp;$H439&amp;"]"&amp;$I439&amp;"'!"&amp;$J439),$L439,$M439)*$K439</f>
        <v>1.25E-3</v>
      </c>
      <c r="F439" s="4">
        <f t="shared" si="26"/>
        <v>6</v>
      </c>
      <c r="G439" s="4" cm="1">
        <f t="array" ref="G439">IF($C439+$M439&lt;16,INDEX(Sheet1!C:C,$F439),$F439)</f>
        <v>6</v>
      </c>
      <c r="H439" s="4" t="str" cm="1">
        <f t="array" ref="H439">INDEX(Sheet1!D:D,$G439)</f>
        <v>t1137.xlsx</v>
      </c>
      <c r="I439" s="4" t="str" cm="1">
        <f t="array" ref="I439">INDEX(Sheet1!E:E,$G439)</f>
        <v>Sheet1</v>
      </c>
      <c r="J439" s="4" t="str" cm="1">
        <f t="array" ref="J439">INDEX(Sheet1!F:F,$G439)</f>
        <v>B25</v>
      </c>
      <c r="K439" s="4" cm="1">
        <f t="array" ref="K439">INDEX(Sheet1!H:H,$G439)</f>
        <v>1</v>
      </c>
      <c r="L439" s="4">
        <f t="shared" si="24"/>
        <v>37</v>
      </c>
      <c r="M439" s="4">
        <f t="shared" si="27"/>
        <v>5</v>
      </c>
    </row>
    <row r="440" spans="1:13">
      <c r="A440" s="4" t="str" cm="1">
        <f t="array" ref="A440">INDEX(Sheet1!A:A,$F440)</f>
        <v>M</v>
      </c>
      <c r="B440" s="4" t="str" cm="1">
        <f t="array" ref="B440">INDEX(Sheet1!B:B,$F440)</f>
        <v>Undiff NS</v>
      </c>
      <c r="C440" s="4">
        <f t="shared" si="25"/>
        <v>38</v>
      </c>
      <c r="D440" s="5" cm="1">
        <f t="array" aca="1" ref="D440" ca="1">OFFSET(INDIRECT("'["&amp;$H440&amp;"]"&amp;$I440&amp;"'!"&amp;$J440),$L440,$M440)*$K440</f>
        <v>1.3500000000000001E-3</v>
      </c>
      <c r="F440" s="4">
        <f t="shared" si="26"/>
        <v>6</v>
      </c>
      <c r="G440" s="4" cm="1">
        <f t="array" ref="G440">IF($C440+$M440&lt;16,INDEX(Sheet1!C:C,$F440),$F440)</f>
        <v>6</v>
      </c>
      <c r="H440" s="4" t="str" cm="1">
        <f t="array" ref="H440">INDEX(Sheet1!D:D,$G440)</f>
        <v>t1137.xlsx</v>
      </c>
      <c r="I440" s="4" t="str" cm="1">
        <f t="array" ref="I440">INDEX(Sheet1!E:E,$G440)</f>
        <v>Sheet1</v>
      </c>
      <c r="J440" s="4" t="str" cm="1">
        <f t="array" ref="J440">INDEX(Sheet1!F:F,$G440)</f>
        <v>B25</v>
      </c>
      <c r="K440" s="4" cm="1">
        <f t="array" ref="K440">INDEX(Sheet1!H:H,$G440)</f>
        <v>1</v>
      </c>
      <c r="L440" s="4">
        <f t="shared" si="24"/>
        <v>38</v>
      </c>
      <c r="M440" s="4">
        <f t="shared" si="27"/>
        <v>5</v>
      </c>
    </row>
    <row r="441" spans="1:13">
      <c r="A441" s="4" t="str" cm="1">
        <f t="array" ref="A441">INDEX(Sheet1!A:A,$F441)</f>
        <v>M</v>
      </c>
      <c r="B441" s="4" t="str" cm="1">
        <f t="array" ref="B441">INDEX(Sheet1!B:B,$F441)</f>
        <v>Undiff NS</v>
      </c>
      <c r="C441" s="4">
        <f t="shared" si="25"/>
        <v>39</v>
      </c>
      <c r="D441" s="5" cm="1">
        <f t="array" aca="1" ref="D441" ca="1">OFFSET(INDIRECT("'["&amp;$H441&amp;"]"&amp;$I441&amp;"'!"&amp;$J441),$L441,$M441)*$K441</f>
        <v>1.47E-3</v>
      </c>
      <c r="F441" s="4">
        <f t="shared" si="26"/>
        <v>6</v>
      </c>
      <c r="G441" s="4" cm="1">
        <f t="array" ref="G441">IF($C441+$M441&lt;16,INDEX(Sheet1!C:C,$F441),$F441)</f>
        <v>6</v>
      </c>
      <c r="H441" s="4" t="str" cm="1">
        <f t="array" ref="H441">INDEX(Sheet1!D:D,$G441)</f>
        <v>t1137.xlsx</v>
      </c>
      <c r="I441" s="4" t="str" cm="1">
        <f t="array" ref="I441">INDEX(Sheet1!E:E,$G441)</f>
        <v>Sheet1</v>
      </c>
      <c r="J441" s="4" t="str" cm="1">
        <f t="array" ref="J441">INDEX(Sheet1!F:F,$G441)</f>
        <v>B25</v>
      </c>
      <c r="K441" s="4" cm="1">
        <f t="array" ref="K441">INDEX(Sheet1!H:H,$G441)</f>
        <v>1</v>
      </c>
      <c r="L441" s="4">
        <f t="shared" si="24"/>
        <v>39</v>
      </c>
      <c r="M441" s="4">
        <f t="shared" si="27"/>
        <v>5</v>
      </c>
    </row>
    <row r="442" spans="1:13">
      <c r="A442" s="4" t="str" cm="1">
        <f t="array" ref="A442">INDEX(Sheet1!A:A,$F442)</f>
        <v>M</v>
      </c>
      <c r="B442" s="4" t="str" cm="1">
        <f t="array" ref="B442">INDEX(Sheet1!B:B,$F442)</f>
        <v>Undiff NS</v>
      </c>
      <c r="C442" s="4">
        <f t="shared" si="25"/>
        <v>40</v>
      </c>
      <c r="D442" s="5" cm="1">
        <f t="array" aca="1" ref="D442" ca="1">OFFSET(INDIRECT("'["&amp;$H442&amp;"]"&amp;$I442&amp;"'!"&amp;$J442),$L442,$M442)*$K442</f>
        <v>1.6299999999999999E-3</v>
      </c>
      <c r="F442" s="4">
        <f t="shared" si="26"/>
        <v>6</v>
      </c>
      <c r="G442" s="4" cm="1">
        <f t="array" ref="G442">IF($C442+$M442&lt;16,INDEX(Sheet1!C:C,$F442),$F442)</f>
        <v>6</v>
      </c>
      <c r="H442" s="4" t="str" cm="1">
        <f t="array" ref="H442">INDEX(Sheet1!D:D,$G442)</f>
        <v>t1137.xlsx</v>
      </c>
      <c r="I442" s="4" t="str" cm="1">
        <f t="array" ref="I442">INDEX(Sheet1!E:E,$G442)</f>
        <v>Sheet1</v>
      </c>
      <c r="J442" s="4" t="str" cm="1">
        <f t="array" ref="J442">INDEX(Sheet1!F:F,$G442)</f>
        <v>B25</v>
      </c>
      <c r="K442" s="4" cm="1">
        <f t="array" ref="K442">INDEX(Sheet1!H:H,$G442)</f>
        <v>1</v>
      </c>
      <c r="L442" s="4">
        <f t="shared" si="24"/>
        <v>40</v>
      </c>
      <c r="M442" s="4">
        <f t="shared" si="27"/>
        <v>5</v>
      </c>
    </row>
    <row r="443" spans="1:13">
      <c r="A443" s="4" t="str" cm="1">
        <f t="array" ref="A443">INDEX(Sheet1!A:A,$F443)</f>
        <v>M</v>
      </c>
      <c r="B443" s="4" t="str" cm="1">
        <f t="array" ref="B443">INDEX(Sheet1!B:B,$F443)</f>
        <v>Undiff NS</v>
      </c>
      <c r="C443" s="4">
        <f t="shared" si="25"/>
        <v>41</v>
      </c>
      <c r="D443" s="5" cm="1">
        <f t="array" aca="1" ref="D443" ca="1">OFFSET(INDIRECT("'["&amp;$H443&amp;"]"&amp;$I443&amp;"'!"&amp;$J443),$L443,$M443)*$K443</f>
        <v>1.8E-3</v>
      </c>
      <c r="F443" s="4">
        <f t="shared" si="26"/>
        <v>6</v>
      </c>
      <c r="G443" s="4" cm="1">
        <f t="array" ref="G443">IF($C443+$M443&lt;16,INDEX(Sheet1!C:C,$F443),$F443)</f>
        <v>6</v>
      </c>
      <c r="H443" s="4" t="str" cm="1">
        <f t="array" ref="H443">INDEX(Sheet1!D:D,$G443)</f>
        <v>t1137.xlsx</v>
      </c>
      <c r="I443" s="4" t="str" cm="1">
        <f t="array" ref="I443">INDEX(Sheet1!E:E,$G443)</f>
        <v>Sheet1</v>
      </c>
      <c r="J443" s="4" t="str" cm="1">
        <f t="array" ref="J443">INDEX(Sheet1!F:F,$G443)</f>
        <v>B25</v>
      </c>
      <c r="K443" s="4" cm="1">
        <f t="array" ref="K443">INDEX(Sheet1!H:H,$G443)</f>
        <v>1</v>
      </c>
      <c r="L443" s="4">
        <f t="shared" si="24"/>
        <v>41</v>
      </c>
      <c r="M443" s="4">
        <f t="shared" si="27"/>
        <v>5</v>
      </c>
    </row>
    <row r="444" spans="1:13">
      <c r="A444" s="4" t="str" cm="1">
        <f t="array" ref="A444">INDEX(Sheet1!A:A,$F444)</f>
        <v>M</v>
      </c>
      <c r="B444" s="4" t="str" cm="1">
        <f t="array" ref="B444">INDEX(Sheet1!B:B,$F444)</f>
        <v>Undiff NS</v>
      </c>
      <c r="C444" s="4">
        <f t="shared" si="25"/>
        <v>42</v>
      </c>
      <c r="D444" s="5" cm="1">
        <f t="array" aca="1" ref="D444" ca="1">OFFSET(INDIRECT("'["&amp;$H444&amp;"]"&amp;$I444&amp;"'!"&amp;$J444),$L444,$M444)*$K444</f>
        <v>1.97E-3</v>
      </c>
      <c r="F444" s="4">
        <f t="shared" si="26"/>
        <v>6</v>
      </c>
      <c r="G444" s="4" cm="1">
        <f t="array" ref="G444">IF($C444+$M444&lt;16,INDEX(Sheet1!C:C,$F444),$F444)</f>
        <v>6</v>
      </c>
      <c r="H444" s="4" t="str" cm="1">
        <f t="array" ref="H444">INDEX(Sheet1!D:D,$G444)</f>
        <v>t1137.xlsx</v>
      </c>
      <c r="I444" s="4" t="str" cm="1">
        <f t="array" ref="I444">INDEX(Sheet1!E:E,$G444)</f>
        <v>Sheet1</v>
      </c>
      <c r="J444" s="4" t="str" cm="1">
        <f t="array" ref="J444">INDEX(Sheet1!F:F,$G444)</f>
        <v>B25</v>
      </c>
      <c r="K444" s="4" cm="1">
        <f t="array" ref="K444">INDEX(Sheet1!H:H,$G444)</f>
        <v>1</v>
      </c>
      <c r="L444" s="4">
        <f t="shared" si="24"/>
        <v>42</v>
      </c>
      <c r="M444" s="4">
        <f t="shared" si="27"/>
        <v>5</v>
      </c>
    </row>
    <row r="445" spans="1:13">
      <c r="A445" s="4" t="str" cm="1">
        <f t="array" ref="A445">INDEX(Sheet1!A:A,$F445)</f>
        <v>M</v>
      </c>
      <c r="B445" s="4" t="str" cm="1">
        <f t="array" ref="B445">INDEX(Sheet1!B:B,$F445)</f>
        <v>Undiff NS</v>
      </c>
      <c r="C445" s="4">
        <f t="shared" si="25"/>
        <v>43</v>
      </c>
      <c r="D445" s="5" cm="1">
        <f t="array" aca="1" ref="D445" ca="1">OFFSET(INDIRECT("'["&amp;$H445&amp;"]"&amp;$I445&amp;"'!"&amp;$J445),$L445,$M445)*$K445</f>
        <v>2.0899999999999998E-3</v>
      </c>
      <c r="F445" s="4">
        <f t="shared" si="26"/>
        <v>6</v>
      </c>
      <c r="G445" s="4" cm="1">
        <f t="array" ref="G445">IF($C445+$M445&lt;16,INDEX(Sheet1!C:C,$F445),$F445)</f>
        <v>6</v>
      </c>
      <c r="H445" s="4" t="str" cm="1">
        <f t="array" ref="H445">INDEX(Sheet1!D:D,$G445)</f>
        <v>t1137.xlsx</v>
      </c>
      <c r="I445" s="4" t="str" cm="1">
        <f t="array" ref="I445">INDEX(Sheet1!E:E,$G445)</f>
        <v>Sheet1</v>
      </c>
      <c r="J445" s="4" t="str" cm="1">
        <f t="array" ref="J445">INDEX(Sheet1!F:F,$G445)</f>
        <v>B25</v>
      </c>
      <c r="K445" s="4" cm="1">
        <f t="array" ref="K445">INDEX(Sheet1!H:H,$G445)</f>
        <v>1</v>
      </c>
      <c r="L445" s="4">
        <f t="shared" si="24"/>
        <v>43</v>
      </c>
      <c r="M445" s="4">
        <f t="shared" si="27"/>
        <v>5</v>
      </c>
    </row>
    <row r="446" spans="1:13">
      <c r="A446" s="4" t="str" cm="1">
        <f t="array" ref="A446">INDEX(Sheet1!A:A,$F446)</f>
        <v>M</v>
      </c>
      <c r="B446" s="4" t="str" cm="1">
        <f t="array" ref="B446">INDEX(Sheet1!B:B,$F446)</f>
        <v>Undiff NS</v>
      </c>
      <c r="C446" s="4">
        <f t="shared" si="25"/>
        <v>44</v>
      </c>
      <c r="D446" s="5" cm="1">
        <f t="array" aca="1" ref="D446" ca="1">OFFSET(INDIRECT("'["&amp;$H446&amp;"]"&amp;$I446&amp;"'!"&amp;$J446),$L446,$M446)*$K446</f>
        <v>2.2200000000000002E-3</v>
      </c>
      <c r="F446" s="4">
        <f t="shared" si="26"/>
        <v>6</v>
      </c>
      <c r="G446" s="4" cm="1">
        <f t="array" ref="G446">IF($C446+$M446&lt;16,INDEX(Sheet1!C:C,$F446),$F446)</f>
        <v>6</v>
      </c>
      <c r="H446" s="4" t="str" cm="1">
        <f t="array" ref="H446">INDEX(Sheet1!D:D,$G446)</f>
        <v>t1137.xlsx</v>
      </c>
      <c r="I446" s="4" t="str" cm="1">
        <f t="array" ref="I446">INDEX(Sheet1!E:E,$G446)</f>
        <v>Sheet1</v>
      </c>
      <c r="J446" s="4" t="str" cm="1">
        <f t="array" ref="J446">INDEX(Sheet1!F:F,$G446)</f>
        <v>B25</v>
      </c>
      <c r="K446" s="4" cm="1">
        <f t="array" ref="K446">INDEX(Sheet1!H:H,$G446)</f>
        <v>1</v>
      </c>
      <c r="L446" s="4">
        <f t="shared" si="24"/>
        <v>44</v>
      </c>
      <c r="M446" s="4">
        <f t="shared" si="27"/>
        <v>5</v>
      </c>
    </row>
    <row r="447" spans="1:13">
      <c r="A447" s="4" t="str" cm="1">
        <f t="array" ref="A447">INDEX(Sheet1!A:A,$F447)</f>
        <v>M</v>
      </c>
      <c r="B447" s="4" t="str" cm="1">
        <f t="array" ref="B447">INDEX(Sheet1!B:B,$F447)</f>
        <v>Undiff NS</v>
      </c>
      <c r="C447" s="4">
        <f t="shared" si="25"/>
        <v>45</v>
      </c>
      <c r="D447" s="5" cm="1">
        <f t="array" aca="1" ref="D447" ca="1">OFFSET(INDIRECT("'["&amp;$H447&amp;"]"&amp;$I447&amp;"'!"&amp;$J447),$L447,$M447)*$K447</f>
        <v>2.3700000000000001E-3</v>
      </c>
      <c r="F447" s="4">
        <f t="shared" si="26"/>
        <v>6</v>
      </c>
      <c r="G447" s="4" cm="1">
        <f t="array" ref="G447">IF($C447+$M447&lt;16,INDEX(Sheet1!C:C,$F447),$F447)</f>
        <v>6</v>
      </c>
      <c r="H447" s="4" t="str" cm="1">
        <f t="array" ref="H447">INDEX(Sheet1!D:D,$G447)</f>
        <v>t1137.xlsx</v>
      </c>
      <c r="I447" s="4" t="str" cm="1">
        <f t="array" ref="I447">INDEX(Sheet1!E:E,$G447)</f>
        <v>Sheet1</v>
      </c>
      <c r="J447" s="4" t="str" cm="1">
        <f t="array" ref="J447">INDEX(Sheet1!F:F,$G447)</f>
        <v>B25</v>
      </c>
      <c r="K447" s="4" cm="1">
        <f t="array" ref="K447">INDEX(Sheet1!H:H,$G447)</f>
        <v>1</v>
      </c>
      <c r="L447" s="4">
        <f t="shared" si="24"/>
        <v>45</v>
      </c>
      <c r="M447" s="4">
        <f t="shared" si="27"/>
        <v>5</v>
      </c>
    </row>
    <row r="448" spans="1:13">
      <c r="A448" s="4" t="str" cm="1">
        <f t="array" ref="A448">INDEX(Sheet1!A:A,$F448)</f>
        <v>M</v>
      </c>
      <c r="B448" s="4" t="str" cm="1">
        <f t="array" ref="B448">INDEX(Sheet1!B:B,$F448)</f>
        <v>Undiff NS</v>
      </c>
      <c r="C448" s="4">
        <f t="shared" si="25"/>
        <v>46</v>
      </c>
      <c r="D448" s="5" cm="1">
        <f t="array" aca="1" ref="D448" ca="1">OFFSET(INDIRECT("'["&amp;$H448&amp;"]"&amp;$I448&amp;"'!"&amp;$J448),$L448,$M448)*$K448</f>
        <v>2.5799999999999998E-3</v>
      </c>
      <c r="F448" s="4">
        <f t="shared" si="26"/>
        <v>6</v>
      </c>
      <c r="G448" s="4" cm="1">
        <f t="array" ref="G448">IF($C448+$M448&lt;16,INDEX(Sheet1!C:C,$F448),$F448)</f>
        <v>6</v>
      </c>
      <c r="H448" s="4" t="str" cm="1">
        <f t="array" ref="H448">INDEX(Sheet1!D:D,$G448)</f>
        <v>t1137.xlsx</v>
      </c>
      <c r="I448" s="4" t="str" cm="1">
        <f t="array" ref="I448">INDEX(Sheet1!E:E,$G448)</f>
        <v>Sheet1</v>
      </c>
      <c r="J448" s="4" t="str" cm="1">
        <f t="array" ref="J448">INDEX(Sheet1!F:F,$G448)</f>
        <v>B25</v>
      </c>
      <c r="K448" s="4" cm="1">
        <f t="array" ref="K448">INDEX(Sheet1!H:H,$G448)</f>
        <v>1</v>
      </c>
      <c r="L448" s="4">
        <f t="shared" si="24"/>
        <v>46</v>
      </c>
      <c r="M448" s="4">
        <f t="shared" si="27"/>
        <v>5</v>
      </c>
    </row>
    <row r="449" spans="1:13">
      <c r="A449" s="4" t="str" cm="1">
        <f t="array" ref="A449">INDEX(Sheet1!A:A,$F449)</f>
        <v>M</v>
      </c>
      <c r="B449" s="4" t="str" cm="1">
        <f t="array" ref="B449">INDEX(Sheet1!B:B,$F449)</f>
        <v>Undiff NS</v>
      </c>
      <c r="C449" s="4">
        <f t="shared" si="25"/>
        <v>47</v>
      </c>
      <c r="D449" s="5" cm="1">
        <f t="array" aca="1" ref="D449" ca="1">OFFSET(INDIRECT("'["&amp;$H449&amp;"]"&amp;$I449&amp;"'!"&amp;$J449),$L449,$M449)*$K449</f>
        <v>2.7899999999999999E-3</v>
      </c>
      <c r="F449" s="4">
        <f t="shared" si="26"/>
        <v>6</v>
      </c>
      <c r="G449" s="4" cm="1">
        <f t="array" ref="G449">IF($C449+$M449&lt;16,INDEX(Sheet1!C:C,$F449),$F449)</f>
        <v>6</v>
      </c>
      <c r="H449" s="4" t="str" cm="1">
        <f t="array" ref="H449">INDEX(Sheet1!D:D,$G449)</f>
        <v>t1137.xlsx</v>
      </c>
      <c r="I449" s="4" t="str" cm="1">
        <f t="array" ref="I449">INDEX(Sheet1!E:E,$G449)</f>
        <v>Sheet1</v>
      </c>
      <c r="J449" s="4" t="str" cm="1">
        <f t="array" ref="J449">INDEX(Sheet1!F:F,$G449)</f>
        <v>B25</v>
      </c>
      <c r="K449" s="4" cm="1">
        <f t="array" ref="K449">INDEX(Sheet1!H:H,$G449)</f>
        <v>1</v>
      </c>
      <c r="L449" s="4">
        <f t="shared" si="24"/>
        <v>47</v>
      </c>
      <c r="M449" s="4">
        <f t="shared" si="27"/>
        <v>5</v>
      </c>
    </row>
    <row r="450" spans="1:13">
      <c r="A450" s="4" t="str" cm="1">
        <f t="array" ref="A450">INDEX(Sheet1!A:A,$F450)</f>
        <v>M</v>
      </c>
      <c r="B450" s="4" t="str" cm="1">
        <f t="array" ref="B450">INDEX(Sheet1!B:B,$F450)</f>
        <v>Undiff NS</v>
      </c>
      <c r="C450" s="4">
        <f t="shared" si="25"/>
        <v>48</v>
      </c>
      <c r="D450" s="5" cm="1">
        <f t="array" aca="1" ref="D450" ca="1">OFFSET(INDIRECT("'["&amp;$H450&amp;"]"&amp;$I450&amp;"'!"&amp;$J450),$L450,$M450)*$K450</f>
        <v>3.0100000000000001E-3</v>
      </c>
      <c r="F450" s="4">
        <f t="shared" si="26"/>
        <v>6</v>
      </c>
      <c r="G450" s="4" cm="1">
        <f t="array" ref="G450">IF($C450+$M450&lt;16,INDEX(Sheet1!C:C,$F450),$F450)</f>
        <v>6</v>
      </c>
      <c r="H450" s="4" t="str" cm="1">
        <f t="array" ref="H450">INDEX(Sheet1!D:D,$G450)</f>
        <v>t1137.xlsx</v>
      </c>
      <c r="I450" s="4" t="str" cm="1">
        <f t="array" ref="I450">INDEX(Sheet1!E:E,$G450)</f>
        <v>Sheet1</v>
      </c>
      <c r="J450" s="4" t="str" cm="1">
        <f t="array" ref="J450">INDEX(Sheet1!F:F,$G450)</f>
        <v>B25</v>
      </c>
      <c r="K450" s="4" cm="1">
        <f t="array" ref="K450">INDEX(Sheet1!H:H,$G450)</f>
        <v>1</v>
      </c>
      <c r="L450" s="4">
        <f t="shared" si="24"/>
        <v>48</v>
      </c>
      <c r="M450" s="4">
        <f t="shared" si="27"/>
        <v>5</v>
      </c>
    </row>
    <row r="451" spans="1:13">
      <c r="A451" s="4" t="str" cm="1">
        <f t="array" ref="A451">INDEX(Sheet1!A:A,$F451)</f>
        <v>M</v>
      </c>
      <c r="B451" s="4" t="str" cm="1">
        <f t="array" ref="B451">INDEX(Sheet1!B:B,$F451)</f>
        <v>Undiff NS</v>
      </c>
      <c r="C451" s="4">
        <f t="shared" si="25"/>
        <v>49</v>
      </c>
      <c r="D451" s="5" cm="1">
        <f t="array" aca="1" ref="D451" ca="1">OFFSET(INDIRECT("'["&amp;$H451&amp;"]"&amp;$I451&amp;"'!"&amp;$J451),$L451,$M451)*$K451</f>
        <v>3.2499999999999999E-3</v>
      </c>
      <c r="F451" s="4">
        <f t="shared" si="26"/>
        <v>6</v>
      </c>
      <c r="G451" s="4" cm="1">
        <f t="array" ref="G451">IF($C451+$M451&lt;16,INDEX(Sheet1!C:C,$F451),$F451)</f>
        <v>6</v>
      </c>
      <c r="H451" s="4" t="str" cm="1">
        <f t="array" ref="H451">INDEX(Sheet1!D:D,$G451)</f>
        <v>t1137.xlsx</v>
      </c>
      <c r="I451" s="4" t="str" cm="1">
        <f t="array" ref="I451">INDEX(Sheet1!E:E,$G451)</f>
        <v>Sheet1</v>
      </c>
      <c r="J451" s="4" t="str" cm="1">
        <f t="array" ref="J451">INDEX(Sheet1!F:F,$G451)</f>
        <v>B25</v>
      </c>
      <c r="K451" s="4" cm="1">
        <f t="array" ref="K451">INDEX(Sheet1!H:H,$G451)</f>
        <v>1</v>
      </c>
      <c r="L451" s="4">
        <f t="shared" ref="L451:L514" si="28">C451</f>
        <v>49</v>
      </c>
      <c r="M451" s="4">
        <f t="shared" si="27"/>
        <v>5</v>
      </c>
    </row>
    <row r="452" spans="1:13">
      <c r="A452" s="4" t="str" cm="1">
        <f t="array" ref="A452">INDEX(Sheet1!A:A,$F452)</f>
        <v>M</v>
      </c>
      <c r="B452" s="4" t="str" cm="1">
        <f t="array" ref="B452">INDEX(Sheet1!B:B,$F452)</f>
        <v>Undiff NS</v>
      </c>
      <c r="C452" s="4">
        <f t="shared" ref="C452:C515" si="29">IF(C451=99,0,C451+1)</f>
        <v>50</v>
      </c>
      <c r="D452" s="5" cm="1">
        <f t="array" aca="1" ref="D452" ca="1">OFFSET(INDIRECT("'["&amp;$H452&amp;"]"&amp;$I452&amp;"'!"&amp;$J452),$L452,$M452)*$K452</f>
        <v>3.49E-3</v>
      </c>
      <c r="F452" s="4">
        <f t="shared" ref="F452:F515" si="30">IF(C452=0,1,0)+F451</f>
        <v>6</v>
      </c>
      <c r="G452" s="4" cm="1">
        <f t="array" ref="G452">IF($C452+$M452&lt;16,INDEX(Sheet1!C:C,$F452),$F452)</f>
        <v>6</v>
      </c>
      <c r="H452" s="4" t="str" cm="1">
        <f t="array" ref="H452">INDEX(Sheet1!D:D,$G452)</f>
        <v>t1137.xlsx</v>
      </c>
      <c r="I452" s="4" t="str" cm="1">
        <f t="array" ref="I452">INDEX(Sheet1!E:E,$G452)</f>
        <v>Sheet1</v>
      </c>
      <c r="J452" s="4" t="str" cm="1">
        <f t="array" ref="J452">INDEX(Sheet1!F:F,$G452)</f>
        <v>B25</v>
      </c>
      <c r="K452" s="4" cm="1">
        <f t="array" ref="K452">INDEX(Sheet1!H:H,$G452)</f>
        <v>1</v>
      </c>
      <c r="L452" s="4">
        <f t="shared" si="28"/>
        <v>50</v>
      </c>
      <c r="M452" s="4">
        <f t="shared" ref="L452:M515" si="31">M$2</f>
        <v>5</v>
      </c>
    </row>
    <row r="453" spans="1:13">
      <c r="A453" s="4" t="str" cm="1">
        <f t="array" ref="A453">INDEX(Sheet1!A:A,$F453)</f>
        <v>M</v>
      </c>
      <c r="B453" s="4" t="str" cm="1">
        <f t="array" ref="B453">INDEX(Sheet1!B:B,$F453)</f>
        <v>Undiff NS</v>
      </c>
      <c r="C453" s="4">
        <f t="shared" si="29"/>
        <v>51</v>
      </c>
      <c r="D453" s="5" cm="1">
        <f t="array" aca="1" ref="D453" ca="1">OFFSET(INDIRECT("'["&amp;$H453&amp;"]"&amp;$I453&amp;"'!"&amp;$J453),$L453,$M453)*$K453</f>
        <v>3.7699999999999999E-3</v>
      </c>
      <c r="F453" s="4">
        <f t="shared" si="30"/>
        <v>6</v>
      </c>
      <c r="G453" s="4" cm="1">
        <f t="array" ref="G453">IF($C453+$M453&lt;16,INDEX(Sheet1!C:C,$F453),$F453)</f>
        <v>6</v>
      </c>
      <c r="H453" s="4" t="str" cm="1">
        <f t="array" ref="H453">INDEX(Sheet1!D:D,$G453)</f>
        <v>t1137.xlsx</v>
      </c>
      <c r="I453" s="4" t="str" cm="1">
        <f t="array" ref="I453">INDEX(Sheet1!E:E,$G453)</f>
        <v>Sheet1</v>
      </c>
      <c r="J453" s="4" t="str" cm="1">
        <f t="array" ref="J453">INDEX(Sheet1!F:F,$G453)</f>
        <v>B25</v>
      </c>
      <c r="K453" s="4" cm="1">
        <f t="array" ref="K453">INDEX(Sheet1!H:H,$G453)</f>
        <v>1</v>
      </c>
      <c r="L453" s="4">
        <f t="shared" si="28"/>
        <v>51</v>
      </c>
      <c r="M453" s="4">
        <f t="shared" si="31"/>
        <v>5</v>
      </c>
    </row>
    <row r="454" spans="1:13">
      <c r="A454" s="4" t="str" cm="1">
        <f t="array" ref="A454">INDEX(Sheet1!A:A,$F454)</f>
        <v>M</v>
      </c>
      <c r="B454" s="4" t="str" cm="1">
        <f t="array" ref="B454">INDEX(Sheet1!B:B,$F454)</f>
        <v>Undiff NS</v>
      </c>
      <c r="C454" s="4">
        <f t="shared" si="29"/>
        <v>52</v>
      </c>
      <c r="D454" s="5" cm="1">
        <f t="array" aca="1" ref="D454" ca="1">OFFSET(INDIRECT("'["&amp;$H454&amp;"]"&amp;$I454&amp;"'!"&amp;$J454),$L454,$M454)*$K454</f>
        <v>4.0499999999999998E-3</v>
      </c>
      <c r="F454" s="4">
        <f t="shared" si="30"/>
        <v>6</v>
      </c>
      <c r="G454" s="4" cm="1">
        <f t="array" ref="G454">IF($C454+$M454&lt;16,INDEX(Sheet1!C:C,$F454),$F454)</f>
        <v>6</v>
      </c>
      <c r="H454" s="4" t="str" cm="1">
        <f t="array" ref="H454">INDEX(Sheet1!D:D,$G454)</f>
        <v>t1137.xlsx</v>
      </c>
      <c r="I454" s="4" t="str" cm="1">
        <f t="array" ref="I454">INDEX(Sheet1!E:E,$G454)</f>
        <v>Sheet1</v>
      </c>
      <c r="J454" s="4" t="str" cm="1">
        <f t="array" ref="J454">INDEX(Sheet1!F:F,$G454)</f>
        <v>B25</v>
      </c>
      <c r="K454" s="4" cm="1">
        <f t="array" ref="K454">INDEX(Sheet1!H:H,$G454)</f>
        <v>1</v>
      </c>
      <c r="L454" s="4">
        <f t="shared" si="28"/>
        <v>52</v>
      </c>
      <c r="M454" s="4">
        <f t="shared" si="31"/>
        <v>5</v>
      </c>
    </row>
    <row r="455" spans="1:13">
      <c r="A455" s="4" t="str" cm="1">
        <f t="array" ref="A455">INDEX(Sheet1!A:A,$F455)</f>
        <v>M</v>
      </c>
      <c r="B455" s="4" t="str" cm="1">
        <f t="array" ref="B455">INDEX(Sheet1!B:B,$F455)</f>
        <v>Undiff NS</v>
      </c>
      <c r="C455" s="4">
        <f t="shared" si="29"/>
        <v>53</v>
      </c>
      <c r="D455" s="5" cm="1">
        <f t="array" aca="1" ref="D455" ca="1">OFFSET(INDIRECT("'["&amp;$H455&amp;"]"&amp;$I455&amp;"'!"&amp;$J455),$L455,$M455)*$K455</f>
        <v>4.4099999999999999E-3</v>
      </c>
      <c r="F455" s="4">
        <f t="shared" si="30"/>
        <v>6</v>
      </c>
      <c r="G455" s="4" cm="1">
        <f t="array" ref="G455">IF($C455+$M455&lt;16,INDEX(Sheet1!C:C,$F455),$F455)</f>
        <v>6</v>
      </c>
      <c r="H455" s="4" t="str" cm="1">
        <f t="array" ref="H455">INDEX(Sheet1!D:D,$G455)</f>
        <v>t1137.xlsx</v>
      </c>
      <c r="I455" s="4" t="str" cm="1">
        <f t="array" ref="I455">INDEX(Sheet1!E:E,$G455)</f>
        <v>Sheet1</v>
      </c>
      <c r="J455" s="4" t="str" cm="1">
        <f t="array" ref="J455">INDEX(Sheet1!F:F,$G455)</f>
        <v>B25</v>
      </c>
      <c r="K455" s="4" cm="1">
        <f t="array" ref="K455">INDEX(Sheet1!H:H,$G455)</f>
        <v>1</v>
      </c>
      <c r="L455" s="4">
        <f t="shared" si="28"/>
        <v>53</v>
      </c>
      <c r="M455" s="4">
        <f t="shared" si="31"/>
        <v>5</v>
      </c>
    </row>
    <row r="456" spans="1:13">
      <c r="A456" s="4" t="str" cm="1">
        <f t="array" ref="A456">INDEX(Sheet1!A:A,$F456)</f>
        <v>M</v>
      </c>
      <c r="B456" s="4" t="str" cm="1">
        <f t="array" ref="B456">INDEX(Sheet1!B:B,$F456)</f>
        <v>Undiff NS</v>
      </c>
      <c r="C456" s="4">
        <f t="shared" si="29"/>
        <v>54</v>
      </c>
      <c r="D456" s="5" cm="1">
        <f t="array" aca="1" ref="D456" ca="1">OFFSET(INDIRECT("'["&amp;$H456&amp;"]"&amp;$I456&amp;"'!"&amp;$J456),$L456,$M456)*$K456</f>
        <v>4.79E-3</v>
      </c>
      <c r="F456" s="4">
        <f t="shared" si="30"/>
        <v>6</v>
      </c>
      <c r="G456" s="4" cm="1">
        <f t="array" ref="G456">IF($C456+$M456&lt;16,INDEX(Sheet1!C:C,$F456),$F456)</f>
        <v>6</v>
      </c>
      <c r="H456" s="4" t="str" cm="1">
        <f t="array" ref="H456">INDEX(Sheet1!D:D,$G456)</f>
        <v>t1137.xlsx</v>
      </c>
      <c r="I456" s="4" t="str" cm="1">
        <f t="array" ref="I456">INDEX(Sheet1!E:E,$G456)</f>
        <v>Sheet1</v>
      </c>
      <c r="J456" s="4" t="str" cm="1">
        <f t="array" ref="J456">INDEX(Sheet1!F:F,$G456)</f>
        <v>B25</v>
      </c>
      <c r="K456" s="4" cm="1">
        <f t="array" ref="K456">INDEX(Sheet1!H:H,$G456)</f>
        <v>1</v>
      </c>
      <c r="L456" s="4">
        <f t="shared" si="28"/>
        <v>54</v>
      </c>
      <c r="M456" s="4">
        <f t="shared" si="31"/>
        <v>5</v>
      </c>
    </row>
    <row r="457" spans="1:13">
      <c r="A457" s="4" t="str" cm="1">
        <f t="array" ref="A457">INDEX(Sheet1!A:A,$F457)</f>
        <v>M</v>
      </c>
      <c r="B457" s="4" t="str" cm="1">
        <f t="array" ref="B457">INDEX(Sheet1!B:B,$F457)</f>
        <v>Undiff NS</v>
      </c>
      <c r="C457" s="4">
        <f t="shared" si="29"/>
        <v>55</v>
      </c>
      <c r="D457" s="5" cm="1">
        <f t="array" aca="1" ref="D457" ca="1">OFFSET(INDIRECT("'["&amp;$H457&amp;"]"&amp;$I457&amp;"'!"&amp;$J457),$L457,$M457)*$K457</f>
        <v>5.2599999999999999E-3</v>
      </c>
      <c r="F457" s="4">
        <f t="shared" si="30"/>
        <v>6</v>
      </c>
      <c r="G457" s="4" cm="1">
        <f t="array" ref="G457">IF($C457+$M457&lt;16,INDEX(Sheet1!C:C,$F457),$F457)</f>
        <v>6</v>
      </c>
      <c r="H457" s="4" t="str" cm="1">
        <f t="array" ref="H457">INDEX(Sheet1!D:D,$G457)</f>
        <v>t1137.xlsx</v>
      </c>
      <c r="I457" s="4" t="str" cm="1">
        <f t="array" ref="I457">INDEX(Sheet1!E:E,$G457)</f>
        <v>Sheet1</v>
      </c>
      <c r="J457" s="4" t="str" cm="1">
        <f t="array" ref="J457">INDEX(Sheet1!F:F,$G457)</f>
        <v>B25</v>
      </c>
      <c r="K457" s="4" cm="1">
        <f t="array" ref="K457">INDEX(Sheet1!H:H,$G457)</f>
        <v>1</v>
      </c>
      <c r="L457" s="4">
        <f t="shared" si="28"/>
        <v>55</v>
      </c>
      <c r="M457" s="4">
        <f t="shared" si="31"/>
        <v>5</v>
      </c>
    </row>
    <row r="458" spans="1:13">
      <c r="A458" s="4" t="str" cm="1">
        <f t="array" ref="A458">INDEX(Sheet1!A:A,$F458)</f>
        <v>M</v>
      </c>
      <c r="B458" s="4" t="str" cm="1">
        <f t="array" ref="B458">INDEX(Sheet1!B:B,$F458)</f>
        <v>Undiff NS</v>
      </c>
      <c r="C458" s="4">
        <f t="shared" si="29"/>
        <v>56</v>
      </c>
      <c r="D458" s="5" cm="1">
        <f t="array" aca="1" ref="D458" ca="1">OFFSET(INDIRECT("'["&amp;$H458&amp;"]"&amp;$I458&amp;"'!"&amp;$J458),$L458,$M458)*$K458</f>
        <v>5.8300000000000001E-3</v>
      </c>
      <c r="F458" s="4">
        <f t="shared" si="30"/>
        <v>6</v>
      </c>
      <c r="G458" s="4" cm="1">
        <f t="array" ref="G458">IF($C458+$M458&lt;16,INDEX(Sheet1!C:C,$F458),$F458)</f>
        <v>6</v>
      </c>
      <c r="H458" s="4" t="str" cm="1">
        <f t="array" ref="H458">INDEX(Sheet1!D:D,$G458)</f>
        <v>t1137.xlsx</v>
      </c>
      <c r="I458" s="4" t="str" cm="1">
        <f t="array" ref="I458">INDEX(Sheet1!E:E,$G458)</f>
        <v>Sheet1</v>
      </c>
      <c r="J458" s="4" t="str" cm="1">
        <f t="array" ref="J458">INDEX(Sheet1!F:F,$G458)</f>
        <v>B25</v>
      </c>
      <c r="K458" s="4" cm="1">
        <f t="array" ref="K458">INDEX(Sheet1!H:H,$G458)</f>
        <v>1</v>
      </c>
      <c r="L458" s="4">
        <f t="shared" si="28"/>
        <v>56</v>
      </c>
      <c r="M458" s="4">
        <f t="shared" si="31"/>
        <v>5</v>
      </c>
    </row>
    <row r="459" spans="1:13">
      <c r="A459" s="4" t="str" cm="1">
        <f t="array" ref="A459">INDEX(Sheet1!A:A,$F459)</f>
        <v>M</v>
      </c>
      <c r="B459" s="4" t="str" cm="1">
        <f t="array" ref="B459">INDEX(Sheet1!B:B,$F459)</f>
        <v>Undiff NS</v>
      </c>
      <c r="C459" s="4">
        <f t="shared" si="29"/>
        <v>57</v>
      </c>
      <c r="D459" s="5" cm="1">
        <f t="array" aca="1" ref="D459" ca="1">OFFSET(INDIRECT("'["&amp;$H459&amp;"]"&amp;$I459&amp;"'!"&amp;$J459),$L459,$M459)*$K459</f>
        <v>6.4999999999999997E-3</v>
      </c>
      <c r="F459" s="4">
        <f t="shared" si="30"/>
        <v>6</v>
      </c>
      <c r="G459" s="4" cm="1">
        <f t="array" ref="G459">IF($C459+$M459&lt;16,INDEX(Sheet1!C:C,$F459),$F459)</f>
        <v>6</v>
      </c>
      <c r="H459" s="4" t="str" cm="1">
        <f t="array" ref="H459">INDEX(Sheet1!D:D,$G459)</f>
        <v>t1137.xlsx</v>
      </c>
      <c r="I459" s="4" t="str" cm="1">
        <f t="array" ref="I459">INDEX(Sheet1!E:E,$G459)</f>
        <v>Sheet1</v>
      </c>
      <c r="J459" s="4" t="str" cm="1">
        <f t="array" ref="J459">INDEX(Sheet1!F:F,$G459)</f>
        <v>B25</v>
      </c>
      <c r="K459" s="4" cm="1">
        <f t="array" ref="K459">INDEX(Sheet1!H:H,$G459)</f>
        <v>1</v>
      </c>
      <c r="L459" s="4">
        <f t="shared" si="28"/>
        <v>57</v>
      </c>
      <c r="M459" s="4">
        <f t="shared" si="31"/>
        <v>5</v>
      </c>
    </row>
    <row r="460" spans="1:13">
      <c r="A460" s="4" t="str" cm="1">
        <f t="array" ref="A460">INDEX(Sheet1!A:A,$F460)</f>
        <v>M</v>
      </c>
      <c r="B460" s="4" t="str" cm="1">
        <f t="array" ref="B460">INDEX(Sheet1!B:B,$F460)</f>
        <v>Undiff NS</v>
      </c>
      <c r="C460" s="4">
        <f t="shared" si="29"/>
        <v>58</v>
      </c>
      <c r="D460" s="5" cm="1">
        <f t="array" aca="1" ref="D460" ca="1">OFFSET(INDIRECT("'["&amp;$H460&amp;"]"&amp;$I460&amp;"'!"&amp;$J460),$L460,$M460)*$K460</f>
        <v>7.26E-3</v>
      </c>
      <c r="F460" s="4">
        <f t="shared" si="30"/>
        <v>6</v>
      </c>
      <c r="G460" s="4" cm="1">
        <f t="array" ref="G460">IF($C460+$M460&lt;16,INDEX(Sheet1!C:C,$F460),$F460)</f>
        <v>6</v>
      </c>
      <c r="H460" s="4" t="str" cm="1">
        <f t="array" ref="H460">INDEX(Sheet1!D:D,$G460)</f>
        <v>t1137.xlsx</v>
      </c>
      <c r="I460" s="4" t="str" cm="1">
        <f t="array" ref="I460">INDEX(Sheet1!E:E,$G460)</f>
        <v>Sheet1</v>
      </c>
      <c r="J460" s="4" t="str" cm="1">
        <f t="array" ref="J460">INDEX(Sheet1!F:F,$G460)</f>
        <v>B25</v>
      </c>
      <c r="K460" s="4" cm="1">
        <f t="array" ref="K460">INDEX(Sheet1!H:H,$G460)</f>
        <v>1</v>
      </c>
      <c r="L460" s="4">
        <f t="shared" si="28"/>
        <v>58</v>
      </c>
      <c r="M460" s="4">
        <f t="shared" si="31"/>
        <v>5</v>
      </c>
    </row>
    <row r="461" spans="1:13">
      <c r="A461" s="4" t="str" cm="1">
        <f t="array" ref="A461">INDEX(Sheet1!A:A,$F461)</f>
        <v>M</v>
      </c>
      <c r="B461" s="4" t="str" cm="1">
        <f t="array" ref="B461">INDEX(Sheet1!B:B,$F461)</f>
        <v>Undiff NS</v>
      </c>
      <c r="C461" s="4">
        <f t="shared" si="29"/>
        <v>59</v>
      </c>
      <c r="D461" s="5" cm="1">
        <f t="array" aca="1" ref="D461" ca="1">OFFSET(INDIRECT("'["&amp;$H461&amp;"]"&amp;$I461&amp;"'!"&amp;$J461),$L461,$M461)*$K461</f>
        <v>8.0599999999999995E-3</v>
      </c>
      <c r="F461" s="4">
        <f t="shared" si="30"/>
        <v>6</v>
      </c>
      <c r="G461" s="4" cm="1">
        <f t="array" ref="G461">IF($C461+$M461&lt;16,INDEX(Sheet1!C:C,$F461),$F461)</f>
        <v>6</v>
      </c>
      <c r="H461" s="4" t="str" cm="1">
        <f t="array" ref="H461">INDEX(Sheet1!D:D,$G461)</f>
        <v>t1137.xlsx</v>
      </c>
      <c r="I461" s="4" t="str" cm="1">
        <f t="array" ref="I461">INDEX(Sheet1!E:E,$G461)</f>
        <v>Sheet1</v>
      </c>
      <c r="J461" s="4" t="str" cm="1">
        <f t="array" ref="J461">INDEX(Sheet1!F:F,$G461)</f>
        <v>B25</v>
      </c>
      <c r="K461" s="4" cm="1">
        <f t="array" ref="K461">INDEX(Sheet1!H:H,$G461)</f>
        <v>1</v>
      </c>
      <c r="L461" s="4">
        <f t="shared" si="28"/>
        <v>59</v>
      </c>
      <c r="M461" s="4">
        <f t="shared" si="31"/>
        <v>5</v>
      </c>
    </row>
    <row r="462" spans="1:13">
      <c r="A462" s="4" t="str" cm="1">
        <f t="array" ref="A462">INDEX(Sheet1!A:A,$F462)</f>
        <v>M</v>
      </c>
      <c r="B462" s="4" t="str" cm="1">
        <f t="array" ref="B462">INDEX(Sheet1!B:B,$F462)</f>
        <v>Undiff NS</v>
      </c>
      <c r="C462" s="4">
        <f t="shared" si="29"/>
        <v>60</v>
      </c>
      <c r="D462" s="5" cm="1">
        <f t="array" aca="1" ref="D462" ca="1">OFFSET(INDIRECT("'["&amp;$H462&amp;"]"&amp;$I462&amp;"'!"&amp;$J462),$L462,$M462)*$K462</f>
        <v>8.8599999999999998E-3</v>
      </c>
      <c r="F462" s="4">
        <f t="shared" si="30"/>
        <v>6</v>
      </c>
      <c r="G462" s="4" cm="1">
        <f t="array" ref="G462">IF($C462+$M462&lt;16,INDEX(Sheet1!C:C,$F462),$F462)</f>
        <v>6</v>
      </c>
      <c r="H462" s="4" t="str" cm="1">
        <f t="array" ref="H462">INDEX(Sheet1!D:D,$G462)</f>
        <v>t1137.xlsx</v>
      </c>
      <c r="I462" s="4" t="str" cm="1">
        <f t="array" ref="I462">INDEX(Sheet1!E:E,$G462)</f>
        <v>Sheet1</v>
      </c>
      <c r="J462" s="4" t="str" cm="1">
        <f t="array" ref="J462">INDEX(Sheet1!F:F,$G462)</f>
        <v>B25</v>
      </c>
      <c r="K462" s="4" cm="1">
        <f t="array" ref="K462">INDEX(Sheet1!H:H,$G462)</f>
        <v>1</v>
      </c>
      <c r="L462" s="4">
        <f t="shared" si="28"/>
        <v>60</v>
      </c>
      <c r="M462" s="4">
        <f t="shared" si="31"/>
        <v>5</v>
      </c>
    </row>
    <row r="463" spans="1:13">
      <c r="A463" s="4" t="str" cm="1">
        <f t="array" ref="A463">INDEX(Sheet1!A:A,$F463)</f>
        <v>M</v>
      </c>
      <c r="B463" s="4" t="str" cm="1">
        <f t="array" ref="B463">INDEX(Sheet1!B:B,$F463)</f>
        <v>Undiff NS</v>
      </c>
      <c r="C463" s="4">
        <f t="shared" si="29"/>
        <v>61</v>
      </c>
      <c r="D463" s="5" cm="1">
        <f t="array" aca="1" ref="D463" ca="1">OFFSET(INDIRECT("'["&amp;$H463&amp;"]"&amp;$I463&amp;"'!"&amp;$J463),$L463,$M463)*$K463</f>
        <v>9.6699999999999998E-3</v>
      </c>
      <c r="F463" s="4">
        <f t="shared" si="30"/>
        <v>6</v>
      </c>
      <c r="G463" s="4" cm="1">
        <f t="array" ref="G463">IF($C463+$M463&lt;16,INDEX(Sheet1!C:C,$F463),$F463)</f>
        <v>6</v>
      </c>
      <c r="H463" s="4" t="str" cm="1">
        <f t="array" ref="H463">INDEX(Sheet1!D:D,$G463)</f>
        <v>t1137.xlsx</v>
      </c>
      <c r="I463" s="4" t="str" cm="1">
        <f t="array" ref="I463">INDEX(Sheet1!E:E,$G463)</f>
        <v>Sheet1</v>
      </c>
      <c r="J463" s="4" t="str" cm="1">
        <f t="array" ref="J463">INDEX(Sheet1!F:F,$G463)</f>
        <v>B25</v>
      </c>
      <c r="K463" s="4" cm="1">
        <f t="array" ref="K463">INDEX(Sheet1!H:H,$G463)</f>
        <v>1</v>
      </c>
      <c r="L463" s="4">
        <f t="shared" si="28"/>
        <v>61</v>
      </c>
      <c r="M463" s="4">
        <f t="shared" si="31"/>
        <v>5</v>
      </c>
    </row>
    <row r="464" spans="1:13">
      <c r="A464" s="4" t="str" cm="1">
        <f t="array" ref="A464">INDEX(Sheet1!A:A,$F464)</f>
        <v>M</v>
      </c>
      <c r="B464" s="4" t="str" cm="1">
        <f t="array" ref="B464">INDEX(Sheet1!B:B,$F464)</f>
        <v>Undiff NS</v>
      </c>
      <c r="C464" s="4">
        <f t="shared" si="29"/>
        <v>62</v>
      </c>
      <c r="D464" s="5" cm="1">
        <f t="array" aca="1" ref="D464" ca="1">OFFSET(INDIRECT("'["&amp;$H464&amp;"]"&amp;$I464&amp;"'!"&amp;$J464),$L464,$M464)*$K464</f>
        <v>1.051E-2</v>
      </c>
      <c r="F464" s="4">
        <f t="shared" si="30"/>
        <v>6</v>
      </c>
      <c r="G464" s="4" cm="1">
        <f t="array" ref="G464">IF($C464+$M464&lt;16,INDEX(Sheet1!C:C,$F464),$F464)</f>
        <v>6</v>
      </c>
      <c r="H464" s="4" t="str" cm="1">
        <f t="array" ref="H464">INDEX(Sheet1!D:D,$G464)</f>
        <v>t1137.xlsx</v>
      </c>
      <c r="I464" s="4" t="str" cm="1">
        <f t="array" ref="I464">INDEX(Sheet1!E:E,$G464)</f>
        <v>Sheet1</v>
      </c>
      <c r="J464" s="4" t="str" cm="1">
        <f t="array" ref="J464">INDEX(Sheet1!F:F,$G464)</f>
        <v>B25</v>
      </c>
      <c r="K464" s="4" cm="1">
        <f t="array" ref="K464">INDEX(Sheet1!H:H,$G464)</f>
        <v>1</v>
      </c>
      <c r="L464" s="4">
        <f t="shared" si="28"/>
        <v>62</v>
      </c>
      <c r="M464" s="4">
        <f t="shared" si="31"/>
        <v>5</v>
      </c>
    </row>
    <row r="465" spans="1:13">
      <c r="A465" s="4" t="str" cm="1">
        <f t="array" ref="A465">INDEX(Sheet1!A:A,$F465)</f>
        <v>M</v>
      </c>
      <c r="B465" s="4" t="str" cm="1">
        <f t="array" ref="B465">INDEX(Sheet1!B:B,$F465)</f>
        <v>Undiff NS</v>
      </c>
      <c r="C465" s="4">
        <f t="shared" si="29"/>
        <v>63</v>
      </c>
      <c r="D465" s="5" cm="1">
        <f t="array" aca="1" ref="D465" ca="1">OFFSET(INDIRECT("'["&amp;$H465&amp;"]"&amp;$I465&amp;"'!"&amp;$J465),$L465,$M465)*$K465</f>
        <v>1.146E-2</v>
      </c>
      <c r="F465" s="4">
        <f t="shared" si="30"/>
        <v>6</v>
      </c>
      <c r="G465" s="4" cm="1">
        <f t="array" ref="G465">IF($C465+$M465&lt;16,INDEX(Sheet1!C:C,$F465),$F465)</f>
        <v>6</v>
      </c>
      <c r="H465" s="4" t="str" cm="1">
        <f t="array" ref="H465">INDEX(Sheet1!D:D,$G465)</f>
        <v>t1137.xlsx</v>
      </c>
      <c r="I465" s="4" t="str" cm="1">
        <f t="array" ref="I465">INDEX(Sheet1!E:E,$G465)</f>
        <v>Sheet1</v>
      </c>
      <c r="J465" s="4" t="str" cm="1">
        <f t="array" ref="J465">INDEX(Sheet1!F:F,$G465)</f>
        <v>B25</v>
      </c>
      <c r="K465" s="4" cm="1">
        <f t="array" ref="K465">INDEX(Sheet1!H:H,$G465)</f>
        <v>1</v>
      </c>
      <c r="L465" s="4">
        <f t="shared" si="28"/>
        <v>63</v>
      </c>
      <c r="M465" s="4">
        <f t="shared" si="31"/>
        <v>5</v>
      </c>
    </row>
    <row r="466" spans="1:13">
      <c r="A466" s="4" t="str" cm="1">
        <f t="array" ref="A466">INDEX(Sheet1!A:A,$F466)</f>
        <v>M</v>
      </c>
      <c r="B466" s="4" t="str" cm="1">
        <f t="array" ref="B466">INDEX(Sheet1!B:B,$F466)</f>
        <v>Undiff NS</v>
      </c>
      <c r="C466" s="4">
        <f t="shared" si="29"/>
        <v>64</v>
      </c>
      <c r="D466" s="5" cm="1">
        <f t="array" aca="1" ref="D466" ca="1">OFFSET(INDIRECT("'["&amp;$H466&amp;"]"&amp;$I466&amp;"'!"&amp;$J466),$L466,$M466)*$K466</f>
        <v>1.2529999999999999E-2</v>
      </c>
      <c r="F466" s="4">
        <f t="shared" si="30"/>
        <v>6</v>
      </c>
      <c r="G466" s="4" cm="1">
        <f t="array" ref="G466">IF($C466+$M466&lt;16,INDEX(Sheet1!C:C,$F466),$F466)</f>
        <v>6</v>
      </c>
      <c r="H466" s="4" t="str" cm="1">
        <f t="array" ref="H466">INDEX(Sheet1!D:D,$G466)</f>
        <v>t1137.xlsx</v>
      </c>
      <c r="I466" s="4" t="str" cm="1">
        <f t="array" ref="I466">INDEX(Sheet1!E:E,$G466)</f>
        <v>Sheet1</v>
      </c>
      <c r="J466" s="4" t="str" cm="1">
        <f t="array" ref="J466">INDEX(Sheet1!F:F,$G466)</f>
        <v>B25</v>
      </c>
      <c r="K466" s="4" cm="1">
        <f t="array" ref="K466">INDEX(Sheet1!H:H,$G466)</f>
        <v>1</v>
      </c>
      <c r="L466" s="4">
        <f t="shared" si="28"/>
        <v>64</v>
      </c>
      <c r="M466" s="4">
        <f t="shared" si="31"/>
        <v>5</v>
      </c>
    </row>
    <row r="467" spans="1:13">
      <c r="A467" s="4" t="str" cm="1">
        <f t="array" ref="A467">INDEX(Sheet1!A:A,$F467)</f>
        <v>M</v>
      </c>
      <c r="B467" s="4" t="str" cm="1">
        <f t="array" ref="B467">INDEX(Sheet1!B:B,$F467)</f>
        <v>Undiff NS</v>
      </c>
      <c r="C467" s="4">
        <f t="shared" si="29"/>
        <v>65</v>
      </c>
      <c r="D467" s="5" cm="1">
        <f t="array" aca="1" ref="D467" ca="1">OFFSET(INDIRECT("'["&amp;$H467&amp;"]"&amp;$I467&amp;"'!"&amp;$J467),$L467,$M467)*$K467</f>
        <v>1.375E-2</v>
      </c>
      <c r="F467" s="4">
        <f t="shared" si="30"/>
        <v>6</v>
      </c>
      <c r="G467" s="4" cm="1">
        <f t="array" ref="G467">IF($C467+$M467&lt;16,INDEX(Sheet1!C:C,$F467),$F467)</f>
        <v>6</v>
      </c>
      <c r="H467" s="4" t="str" cm="1">
        <f t="array" ref="H467">INDEX(Sheet1!D:D,$G467)</f>
        <v>t1137.xlsx</v>
      </c>
      <c r="I467" s="4" t="str" cm="1">
        <f t="array" ref="I467">INDEX(Sheet1!E:E,$G467)</f>
        <v>Sheet1</v>
      </c>
      <c r="J467" s="4" t="str" cm="1">
        <f t="array" ref="J467">INDEX(Sheet1!F:F,$G467)</f>
        <v>B25</v>
      </c>
      <c r="K467" s="4" cm="1">
        <f t="array" ref="K467">INDEX(Sheet1!H:H,$G467)</f>
        <v>1</v>
      </c>
      <c r="L467" s="4">
        <f t="shared" si="28"/>
        <v>65</v>
      </c>
      <c r="M467" s="4">
        <f t="shared" si="31"/>
        <v>5</v>
      </c>
    </row>
    <row r="468" spans="1:13">
      <c r="A468" s="4" t="str" cm="1">
        <f t="array" ref="A468">INDEX(Sheet1!A:A,$F468)</f>
        <v>M</v>
      </c>
      <c r="B468" s="4" t="str" cm="1">
        <f t="array" ref="B468">INDEX(Sheet1!B:B,$F468)</f>
        <v>Undiff NS</v>
      </c>
      <c r="C468" s="4">
        <f t="shared" si="29"/>
        <v>66</v>
      </c>
      <c r="D468" s="5" cm="1">
        <f t="array" aca="1" ref="D468" ca="1">OFFSET(INDIRECT("'["&amp;$H468&amp;"]"&amp;$I468&amp;"'!"&amp;$J468),$L468,$M468)*$K468</f>
        <v>1.5140000000000001E-2</v>
      </c>
      <c r="F468" s="4">
        <f t="shared" si="30"/>
        <v>6</v>
      </c>
      <c r="G468" s="4" cm="1">
        <f t="array" ref="G468">IF($C468+$M468&lt;16,INDEX(Sheet1!C:C,$F468),$F468)</f>
        <v>6</v>
      </c>
      <c r="H468" s="4" t="str" cm="1">
        <f t="array" ref="H468">INDEX(Sheet1!D:D,$G468)</f>
        <v>t1137.xlsx</v>
      </c>
      <c r="I468" s="4" t="str" cm="1">
        <f t="array" ref="I468">INDEX(Sheet1!E:E,$G468)</f>
        <v>Sheet1</v>
      </c>
      <c r="J468" s="4" t="str" cm="1">
        <f t="array" ref="J468">INDEX(Sheet1!F:F,$G468)</f>
        <v>B25</v>
      </c>
      <c r="K468" s="4" cm="1">
        <f t="array" ref="K468">INDEX(Sheet1!H:H,$G468)</f>
        <v>1</v>
      </c>
      <c r="L468" s="4">
        <f t="shared" si="28"/>
        <v>66</v>
      </c>
      <c r="M468" s="4">
        <f t="shared" si="31"/>
        <v>5</v>
      </c>
    </row>
    <row r="469" spans="1:13">
      <c r="A469" s="4" t="str" cm="1">
        <f t="array" ref="A469">INDEX(Sheet1!A:A,$F469)</f>
        <v>M</v>
      </c>
      <c r="B469" s="4" t="str" cm="1">
        <f t="array" ref="B469">INDEX(Sheet1!B:B,$F469)</f>
        <v>Undiff NS</v>
      </c>
      <c r="C469" s="4">
        <f t="shared" si="29"/>
        <v>67</v>
      </c>
      <c r="D469" s="5" cm="1">
        <f t="array" aca="1" ref="D469" ca="1">OFFSET(INDIRECT("'["&amp;$H469&amp;"]"&amp;$I469&amp;"'!"&amp;$J469),$L469,$M469)*$K469</f>
        <v>1.668E-2</v>
      </c>
      <c r="F469" s="4">
        <f t="shared" si="30"/>
        <v>6</v>
      </c>
      <c r="G469" s="4" cm="1">
        <f t="array" ref="G469">IF($C469+$M469&lt;16,INDEX(Sheet1!C:C,$F469),$F469)</f>
        <v>6</v>
      </c>
      <c r="H469" s="4" t="str" cm="1">
        <f t="array" ref="H469">INDEX(Sheet1!D:D,$G469)</f>
        <v>t1137.xlsx</v>
      </c>
      <c r="I469" s="4" t="str" cm="1">
        <f t="array" ref="I469">INDEX(Sheet1!E:E,$G469)</f>
        <v>Sheet1</v>
      </c>
      <c r="J469" s="4" t="str" cm="1">
        <f t="array" ref="J469">INDEX(Sheet1!F:F,$G469)</f>
        <v>B25</v>
      </c>
      <c r="K469" s="4" cm="1">
        <f t="array" ref="K469">INDEX(Sheet1!H:H,$G469)</f>
        <v>1</v>
      </c>
      <c r="L469" s="4">
        <f t="shared" si="28"/>
        <v>67</v>
      </c>
      <c r="M469" s="4">
        <f t="shared" si="31"/>
        <v>5</v>
      </c>
    </row>
    <row r="470" spans="1:13">
      <c r="A470" s="4" t="str" cm="1">
        <f t="array" ref="A470">INDEX(Sheet1!A:A,$F470)</f>
        <v>M</v>
      </c>
      <c r="B470" s="4" t="str" cm="1">
        <f t="array" ref="B470">INDEX(Sheet1!B:B,$F470)</f>
        <v>Undiff NS</v>
      </c>
      <c r="C470" s="4">
        <f t="shared" si="29"/>
        <v>68</v>
      </c>
      <c r="D470" s="5" cm="1">
        <f t="array" aca="1" ref="D470" ca="1">OFFSET(INDIRECT("'["&amp;$H470&amp;"]"&amp;$I470&amp;"'!"&amp;$J470),$L470,$M470)*$K470</f>
        <v>1.8440000000000002E-2</v>
      </c>
      <c r="F470" s="4">
        <f t="shared" si="30"/>
        <v>6</v>
      </c>
      <c r="G470" s="4" cm="1">
        <f t="array" ref="G470">IF($C470+$M470&lt;16,INDEX(Sheet1!C:C,$F470),$F470)</f>
        <v>6</v>
      </c>
      <c r="H470" s="4" t="str" cm="1">
        <f t="array" ref="H470">INDEX(Sheet1!D:D,$G470)</f>
        <v>t1137.xlsx</v>
      </c>
      <c r="I470" s="4" t="str" cm="1">
        <f t="array" ref="I470">INDEX(Sheet1!E:E,$G470)</f>
        <v>Sheet1</v>
      </c>
      <c r="J470" s="4" t="str" cm="1">
        <f t="array" ref="J470">INDEX(Sheet1!F:F,$G470)</f>
        <v>B25</v>
      </c>
      <c r="K470" s="4" cm="1">
        <f t="array" ref="K470">INDEX(Sheet1!H:H,$G470)</f>
        <v>1</v>
      </c>
      <c r="L470" s="4">
        <f t="shared" si="28"/>
        <v>68</v>
      </c>
      <c r="M470" s="4">
        <f t="shared" si="31"/>
        <v>5</v>
      </c>
    </row>
    <row r="471" spans="1:13">
      <c r="A471" s="4" t="str" cm="1">
        <f t="array" ref="A471">INDEX(Sheet1!A:A,$F471)</f>
        <v>M</v>
      </c>
      <c r="B471" s="4" t="str" cm="1">
        <f t="array" ref="B471">INDEX(Sheet1!B:B,$F471)</f>
        <v>Undiff NS</v>
      </c>
      <c r="C471" s="4">
        <f t="shared" si="29"/>
        <v>69</v>
      </c>
      <c r="D471" s="5" cm="1">
        <f t="array" aca="1" ref="D471" ca="1">OFFSET(INDIRECT("'["&amp;$H471&amp;"]"&amp;$I471&amp;"'!"&amp;$J471),$L471,$M471)*$K471</f>
        <v>2.0459999999999999E-2</v>
      </c>
      <c r="F471" s="4">
        <f t="shared" si="30"/>
        <v>6</v>
      </c>
      <c r="G471" s="4" cm="1">
        <f t="array" ref="G471">IF($C471+$M471&lt;16,INDEX(Sheet1!C:C,$F471),$F471)</f>
        <v>6</v>
      </c>
      <c r="H471" s="4" t="str" cm="1">
        <f t="array" ref="H471">INDEX(Sheet1!D:D,$G471)</f>
        <v>t1137.xlsx</v>
      </c>
      <c r="I471" s="4" t="str" cm="1">
        <f t="array" ref="I471">INDEX(Sheet1!E:E,$G471)</f>
        <v>Sheet1</v>
      </c>
      <c r="J471" s="4" t="str" cm="1">
        <f t="array" ref="J471">INDEX(Sheet1!F:F,$G471)</f>
        <v>B25</v>
      </c>
      <c r="K471" s="4" cm="1">
        <f t="array" ref="K471">INDEX(Sheet1!H:H,$G471)</f>
        <v>1</v>
      </c>
      <c r="L471" s="4">
        <f t="shared" si="28"/>
        <v>69</v>
      </c>
      <c r="M471" s="4">
        <f t="shared" si="31"/>
        <v>5</v>
      </c>
    </row>
    <row r="472" spans="1:13">
      <c r="A472" s="4" t="str" cm="1">
        <f t="array" ref="A472">INDEX(Sheet1!A:A,$F472)</f>
        <v>M</v>
      </c>
      <c r="B472" s="4" t="str" cm="1">
        <f t="array" ref="B472">INDEX(Sheet1!B:B,$F472)</f>
        <v>Undiff NS</v>
      </c>
      <c r="C472" s="4">
        <f t="shared" si="29"/>
        <v>70</v>
      </c>
      <c r="D472" s="5" cm="1">
        <f t="array" aca="1" ref="D472" ca="1">OFFSET(INDIRECT("'["&amp;$H472&amp;"]"&amp;$I472&amp;"'!"&amp;$J472),$L472,$M472)*$K472</f>
        <v>2.2599999999999999E-2</v>
      </c>
      <c r="F472" s="4">
        <f t="shared" si="30"/>
        <v>6</v>
      </c>
      <c r="G472" s="4" cm="1">
        <f t="array" ref="G472">IF($C472+$M472&lt;16,INDEX(Sheet1!C:C,$F472),$F472)</f>
        <v>6</v>
      </c>
      <c r="H472" s="4" t="str" cm="1">
        <f t="array" ref="H472">INDEX(Sheet1!D:D,$G472)</f>
        <v>t1137.xlsx</v>
      </c>
      <c r="I472" s="4" t="str" cm="1">
        <f t="array" ref="I472">INDEX(Sheet1!E:E,$G472)</f>
        <v>Sheet1</v>
      </c>
      <c r="J472" s="4" t="str" cm="1">
        <f t="array" ref="J472">INDEX(Sheet1!F:F,$G472)</f>
        <v>B25</v>
      </c>
      <c r="K472" s="4" cm="1">
        <f t="array" ref="K472">INDEX(Sheet1!H:H,$G472)</f>
        <v>1</v>
      </c>
      <c r="L472" s="4">
        <f t="shared" si="28"/>
        <v>70</v>
      </c>
      <c r="M472" s="4">
        <f t="shared" si="31"/>
        <v>5</v>
      </c>
    </row>
    <row r="473" spans="1:13">
      <c r="A473" s="4" t="str" cm="1">
        <f t="array" ref="A473">INDEX(Sheet1!A:A,$F473)</f>
        <v>M</v>
      </c>
      <c r="B473" s="4" t="str" cm="1">
        <f t="array" ref="B473">INDEX(Sheet1!B:B,$F473)</f>
        <v>Undiff NS</v>
      </c>
      <c r="C473" s="4">
        <f t="shared" si="29"/>
        <v>71</v>
      </c>
      <c r="D473" s="5" cm="1">
        <f t="array" aca="1" ref="D473" ca="1">OFFSET(INDIRECT("'["&amp;$H473&amp;"]"&amp;$I473&amp;"'!"&amp;$J473),$L473,$M473)*$K473</f>
        <v>2.4490000000000001E-2</v>
      </c>
      <c r="F473" s="4">
        <f t="shared" si="30"/>
        <v>6</v>
      </c>
      <c r="G473" s="4" cm="1">
        <f t="array" ref="G473">IF($C473+$M473&lt;16,INDEX(Sheet1!C:C,$F473),$F473)</f>
        <v>6</v>
      </c>
      <c r="H473" s="4" t="str" cm="1">
        <f t="array" ref="H473">INDEX(Sheet1!D:D,$G473)</f>
        <v>t1137.xlsx</v>
      </c>
      <c r="I473" s="4" t="str" cm="1">
        <f t="array" ref="I473">INDEX(Sheet1!E:E,$G473)</f>
        <v>Sheet1</v>
      </c>
      <c r="J473" s="4" t="str" cm="1">
        <f t="array" ref="J473">INDEX(Sheet1!F:F,$G473)</f>
        <v>B25</v>
      </c>
      <c r="K473" s="4" cm="1">
        <f t="array" ref="K473">INDEX(Sheet1!H:H,$G473)</f>
        <v>1</v>
      </c>
      <c r="L473" s="4">
        <f t="shared" si="28"/>
        <v>71</v>
      </c>
      <c r="M473" s="4">
        <f t="shared" si="31"/>
        <v>5</v>
      </c>
    </row>
    <row r="474" spans="1:13">
      <c r="A474" s="4" t="str" cm="1">
        <f t="array" ref="A474">INDEX(Sheet1!A:A,$F474)</f>
        <v>M</v>
      </c>
      <c r="B474" s="4" t="str" cm="1">
        <f t="array" ref="B474">INDEX(Sheet1!B:B,$F474)</f>
        <v>Undiff NS</v>
      </c>
      <c r="C474" s="4">
        <f t="shared" si="29"/>
        <v>72</v>
      </c>
      <c r="D474" s="5" cm="1">
        <f t="array" aca="1" ref="D474" ca="1">OFFSET(INDIRECT("'["&amp;$H474&amp;"]"&amp;$I474&amp;"'!"&amp;$J474),$L474,$M474)*$K474</f>
        <v>2.6069999999999999E-2</v>
      </c>
      <c r="F474" s="4">
        <f t="shared" si="30"/>
        <v>6</v>
      </c>
      <c r="G474" s="4" cm="1">
        <f t="array" ref="G474">IF($C474+$M474&lt;16,INDEX(Sheet1!C:C,$F474),$F474)</f>
        <v>6</v>
      </c>
      <c r="H474" s="4" t="str" cm="1">
        <f t="array" ref="H474">INDEX(Sheet1!D:D,$G474)</f>
        <v>t1137.xlsx</v>
      </c>
      <c r="I474" s="4" t="str" cm="1">
        <f t="array" ref="I474">INDEX(Sheet1!E:E,$G474)</f>
        <v>Sheet1</v>
      </c>
      <c r="J474" s="4" t="str" cm="1">
        <f t="array" ref="J474">INDEX(Sheet1!F:F,$G474)</f>
        <v>B25</v>
      </c>
      <c r="K474" s="4" cm="1">
        <f t="array" ref="K474">INDEX(Sheet1!H:H,$G474)</f>
        <v>1</v>
      </c>
      <c r="L474" s="4">
        <f t="shared" si="28"/>
        <v>72</v>
      </c>
      <c r="M474" s="4">
        <f t="shared" si="31"/>
        <v>5</v>
      </c>
    </row>
    <row r="475" spans="1:13">
      <c r="A475" s="4" t="str" cm="1">
        <f t="array" ref="A475">INDEX(Sheet1!A:A,$F475)</f>
        <v>M</v>
      </c>
      <c r="B475" s="4" t="str" cm="1">
        <f t="array" ref="B475">INDEX(Sheet1!B:B,$F475)</f>
        <v>Undiff NS</v>
      </c>
      <c r="C475" s="4">
        <f t="shared" si="29"/>
        <v>73</v>
      </c>
      <c r="D475" s="5" cm="1">
        <f t="array" aca="1" ref="D475" ca="1">OFFSET(INDIRECT("'["&amp;$H475&amp;"]"&amp;$I475&amp;"'!"&amp;$J475),$L475,$M475)*$K475</f>
        <v>2.775E-2</v>
      </c>
      <c r="F475" s="4">
        <f t="shared" si="30"/>
        <v>6</v>
      </c>
      <c r="G475" s="4" cm="1">
        <f t="array" ref="G475">IF($C475+$M475&lt;16,INDEX(Sheet1!C:C,$F475),$F475)</f>
        <v>6</v>
      </c>
      <c r="H475" s="4" t="str" cm="1">
        <f t="array" ref="H475">INDEX(Sheet1!D:D,$G475)</f>
        <v>t1137.xlsx</v>
      </c>
      <c r="I475" s="4" t="str" cm="1">
        <f t="array" ref="I475">INDEX(Sheet1!E:E,$G475)</f>
        <v>Sheet1</v>
      </c>
      <c r="J475" s="4" t="str" cm="1">
        <f t="array" ref="J475">INDEX(Sheet1!F:F,$G475)</f>
        <v>B25</v>
      </c>
      <c r="K475" s="4" cm="1">
        <f t="array" ref="K475">INDEX(Sheet1!H:H,$G475)</f>
        <v>1</v>
      </c>
      <c r="L475" s="4">
        <f t="shared" si="28"/>
        <v>73</v>
      </c>
      <c r="M475" s="4">
        <f t="shared" si="31"/>
        <v>5</v>
      </c>
    </row>
    <row r="476" spans="1:13">
      <c r="A476" s="4" t="str" cm="1">
        <f t="array" ref="A476">INDEX(Sheet1!A:A,$F476)</f>
        <v>M</v>
      </c>
      <c r="B476" s="4" t="str" cm="1">
        <f t="array" ref="B476">INDEX(Sheet1!B:B,$F476)</f>
        <v>Undiff NS</v>
      </c>
      <c r="C476" s="4">
        <f t="shared" si="29"/>
        <v>74</v>
      </c>
      <c r="D476" s="5" cm="1">
        <f t="array" aca="1" ref="D476" ca="1">OFFSET(INDIRECT("'["&amp;$H476&amp;"]"&amp;$I476&amp;"'!"&amp;$J476),$L476,$M476)*$K476</f>
        <v>3.0210000000000001E-2</v>
      </c>
      <c r="F476" s="4">
        <f t="shared" si="30"/>
        <v>6</v>
      </c>
      <c r="G476" s="4" cm="1">
        <f t="array" ref="G476">IF($C476+$M476&lt;16,INDEX(Sheet1!C:C,$F476),$F476)</f>
        <v>6</v>
      </c>
      <c r="H476" s="4" t="str" cm="1">
        <f t="array" ref="H476">INDEX(Sheet1!D:D,$G476)</f>
        <v>t1137.xlsx</v>
      </c>
      <c r="I476" s="4" t="str" cm="1">
        <f t="array" ref="I476">INDEX(Sheet1!E:E,$G476)</f>
        <v>Sheet1</v>
      </c>
      <c r="J476" s="4" t="str" cm="1">
        <f t="array" ref="J476">INDEX(Sheet1!F:F,$G476)</f>
        <v>B25</v>
      </c>
      <c r="K476" s="4" cm="1">
        <f t="array" ref="K476">INDEX(Sheet1!H:H,$G476)</f>
        <v>1</v>
      </c>
      <c r="L476" s="4">
        <f t="shared" si="28"/>
        <v>74</v>
      </c>
      <c r="M476" s="4">
        <f t="shared" si="31"/>
        <v>5</v>
      </c>
    </row>
    <row r="477" spans="1:13">
      <c r="A477" s="4" t="str" cm="1">
        <f t="array" ref="A477">INDEX(Sheet1!A:A,$F477)</f>
        <v>M</v>
      </c>
      <c r="B477" s="4" t="str" cm="1">
        <f t="array" ref="B477">INDEX(Sheet1!B:B,$F477)</f>
        <v>Undiff NS</v>
      </c>
      <c r="C477" s="4">
        <f t="shared" si="29"/>
        <v>75</v>
      </c>
      <c r="D477" s="5" cm="1">
        <f t="array" aca="1" ref="D477" ca="1">OFFSET(INDIRECT("'["&amp;$H477&amp;"]"&amp;$I477&amp;"'!"&amp;$J477),$L477,$M477)*$K477</f>
        <v>3.4610000000000002E-2</v>
      </c>
      <c r="F477" s="4">
        <f t="shared" si="30"/>
        <v>6</v>
      </c>
      <c r="G477" s="4" cm="1">
        <f t="array" ref="G477">IF($C477+$M477&lt;16,INDEX(Sheet1!C:C,$F477),$F477)</f>
        <v>6</v>
      </c>
      <c r="H477" s="4" t="str" cm="1">
        <f t="array" ref="H477">INDEX(Sheet1!D:D,$G477)</f>
        <v>t1137.xlsx</v>
      </c>
      <c r="I477" s="4" t="str" cm="1">
        <f t="array" ref="I477">INDEX(Sheet1!E:E,$G477)</f>
        <v>Sheet1</v>
      </c>
      <c r="J477" s="4" t="str" cm="1">
        <f t="array" ref="J477">INDEX(Sheet1!F:F,$G477)</f>
        <v>B25</v>
      </c>
      <c r="K477" s="4" cm="1">
        <f t="array" ref="K477">INDEX(Sheet1!H:H,$G477)</f>
        <v>1</v>
      </c>
      <c r="L477" s="4">
        <f t="shared" si="28"/>
        <v>75</v>
      </c>
      <c r="M477" s="4">
        <f t="shared" si="31"/>
        <v>5</v>
      </c>
    </row>
    <row r="478" spans="1:13">
      <c r="A478" s="4" t="str" cm="1">
        <f t="array" ref="A478">INDEX(Sheet1!A:A,$F478)</f>
        <v>M</v>
      </c>
      <c r="B478" s="4" t="str" cm="1">
        <f t="array" ref="B478">INDEX(Sheet1!B:B,$F478)</f>
        <v>Undiff NS</v>
      </c>
      <c r="C478" s="4">
        <f t="shared" si="29"/>
        <v>76</v>
      </c>
      <c r="D478" s="5" cm="1">
        <f t="array" aca="1" ref="D478" ca="1">OFFSET(INDIRECT("'["&amp;$H478&amp;"]"&amp;$I478&amp;"'!"&amp;$J478),$L478,$M478)*$K478</f>
        <v>3.8080000000000003E-2</v>
      </c>
      <c r="F478" s="4">
        <f t="shared" si="30"/>
        <v>6</v>
      </c>
      <c r="G478" s="4" cm="1">
        <f t="array" ref="G478">IF($C478+$M478&lt;16,INDEX(Sheet1!C:C,$F478),$F478)</f>
        <v>6</v>
      </c>
      <c r="H478" s="4" t="str" cm="1">
        <f t="array" ref="H478">INDEX(Sheet1!D:D,$G478)</f>
        <v>t1137.xlsx</v>
      </c>
      <c r="I478" s="4" t="str" cm="1">
        <f t="array" ref="I478">INDEX(Sheet1!E:E,$G478)</f>
        <v>Sheet1</v>
      </c>
      <c r="J478" s="4" t="str" cm="1">
        <f t="array" ref="J478">INDEX(Sheet1!F:F,$G478)</f>
        <v>B25</v>
      </c>
      <c r="K478" s="4" cm="1">
        <f t="array" ref="K478">INDEX(Sheet1!H:H,$G478)</f>
        <v>1</v>
      </c>
      <c r="L478" s="4">
        <f t="shared" si="28"/>
        <v>76</v>
      </c>
      <c r="M478" s="4">
        <f t="shared" si="31"/>
        <v>5</v>
      </c>
    </row>
    <row r="479" spans="1:13">
      <c r="A479" s="4" t="str" cm="1">
        <f t="array" ref="A479">INDEX(Sheet1!A:A,$F479)</f>
        <v>M</v>
      </c>
      <c r="B479" s="4" t="str" cm="1">
        <f t="array" ref="B479">INDEX(Sheet1!B:B,$F479)</f>
        <v>Undiff NS</v>
      </c>
      <c r="C479" s="4">
        <f t="shared" si="29"/>
        <v>77</v>
      </c>
      <c r="D479" s="5" cm="1">
        <f t="array" aca="1" ref="D479" ca="1">OFFSET(INDIRECT("'["&amp;$H479&amp;"]"&amp;$I479&amp;"'!"&amp;$J479),$L479,$M479)*$K479</f>
        <v>4.231E-2</v>
      </c>
      <c r="F479" s="4">
        <f t="shared" si="30"/>
        <v>6</v>
      </c>
      <c r="G479" s="4" cm="1">
        <f t="array" ref="G479">IF($C479+$M479&lt;16,INDEX(Sheet1!C:C,$F479),$F479)</f>
        <v>6</v>
      </c>
      <c r="H479" s="4" t="str" cm="1">
        <f t="array" ref="H479">INDEX(Sheet1!D:D,$G479)</f>
        <v>t1137.xlsx</v>
      </c>
      <c r="I479" s="4" t="str" cm="1">
        <f t="array" ref="I479">INDEX(Sheet1!E:E,$G479)</f>
        <v>Sheet1</v>
      </c>
      <c r="J479" s="4" t="str" cm="1">
        <f t="array" ref="J479">INDEX(Sheet1!F:F,$G479)</f>
        <v>B25</v>
      </c>
      <c r="K479" s="4" cm="1">
        <f t="array" ref="K479">INDEX(Sheet1!H:H,$G479)</f>
        <v>1</v>
      </c>
      <c r="L479" s="4">
        <f t="shared" si="28"/>
        <v>77</v>
      </c>
      <c r="M479" s="4">
        <f t="shared" si="31"/>
        <v>5</v>
      </c>
    </row>
    <row r="480" spans="1:13">
      <c r="A480" s="4" t="str" cm="1">
        <f t="array" ref="A480">INDEX(Sheet1!A:A,$F480)</f>
        <v>M</v>
      </c>
      <c r="B480" s="4" t="str" cm="1">
        <f t="array" ref="B480">INDEX(Sheet1!B:B,$F480)</f>
        <v>Undiff NS</v>
      </c>
      <c r="C480" s="4">
        <f t="shared" si="29"/>
        <v>78</v>
      </c>
      <c r="D480" s="5" cm="1">
        <f t="array" aca="1" ref="D480" ca="1">OFFSET(INDIRECT("'["&amp;$H480&amp;"]"&amp;$I480&amp;"'!"&amp;$J480),$L480,$M480)*$K480</f>
        <v>4.9340000000000002E-2</v>
      </c>
      <c r="F480" s="4">
        <f t="shared" si="30"/>
        <v>6</v>
      </c>
      <c r="G480" s="4" cm="1">
        <f t="array" ref="G480">IF($C480+$M480&lt;16,INDEX(Sheet1!C:C,$F480),$F480)</f>
        <v>6</v>
      </c>
      <c r="H480" s="4" t="str" cm="1">
        <f t="array" ref="H480">INDEX(Sheet1!D:D,$G480)</f>
        <v>t1137.xlsx</v>
      </c>
      <c r="I480" s="4" t="str" cm="1">
        <f t="array" ref="I480">INDEX(Sheet1!E:E,$G480)</f>
        <v>Sheet1</v>
      </c>
      <c r="J480" s="4" t="str" cm="1">
        <f t="array" ref="J480">INDEX(Sheet1!F:F,$G480)</f>
        <v>B25</v>
      </c>
      <c r="K480" s="4" cm="1">
        <f t="array" ref="K480">INDEX(Sheet1!H:H,$G480)</f>
        <v>1</v>
      </c>
      <c r="L480" s="4">
        <f t="shared" si="28"/>
        <v>78</v>
      </c>
      <c r="M480" s="4">
        <f t="shared" si="31"/>
        <v>5</v>
      </c>
    </row>
    <row r="481" spans="1:13">
      <c r="A481" s="4" t="str" cm="1">
        <f t="array" ref="A481">INDEX(Sheet1!A:A,$F481)</f>
        <v>M</v>
      </c>
      <c r="B481" s="4" t="str" cm="1">
        <f t="array" ref="B481">INDEX(Sheet1!B:B,$F481)</f>
        <v>Undiff NS</v>
      </c>
      <c r="C481" s="4">
        <f t="shared" si="29"/>
        <v>79</v>
      </c>
      <c r="D481" s="5" cm="1">
        <f t="array" aca="1" ref="D481" ca="1">OFFSET(INDIRECT("'["&amp;$H481&amp;"]"&amp;$I481&amp;"'!"&amp;$J481),$L481,$M481)*$K481</f>
        <v>5.9589999999999997E-2</v>
      </c>
      <c r="F481" s="4">
        <f t="shared" si="30"/>
        <v>6</v>
      </c>
      <c r="G481" s="4" cm="1">
        <f t="array" ref="G481">IF($C481+$M481&lt;16,INDEX(Sheet1!C:C,$F481),$F481)</f>
        <v>6</v>
      </c>
      <c r="H481" s="4" t="str" cm="1">
        <f t="array" ref="H481">INDEX(Sheet1!D:D,$G481)</f>
        <v>t1137.xlsx</v>
      </c>
      <c r="I481" s="4" t="str" cm="1">
        <f t="array" ref="I481">INDEX(Sheet1!E:E,$G481)</f>
        <v>Sheet1</v>
      </c>
      <c r="J481" s="4" t="str" cm="1">
        <f t="array" ref="J481">INDEX(Sheet1!F:F,$G481)</f>
        <v>B25</v>
      </c>
      <c r="K481" s="4" cm="1">
        <f t="array" ref="K481">INDEX(Sheet1!H:H,$G481)</f>
        <v>1</v>
      </c>
      <c r="L481" s="4">
        <f t="shared" si="28"/>
        <v>79</v>
      </c>
      <c r="M481" s="4">
        <f t="shared" si="31"/>
        <v>5</v>
      </c>
    </row>
    <row r="482" spans="1:13">
      <c r="A482" s="4" t="str" cm="1">
        <f t="array" ref="A482">INDEX(Sheet1!A:A,$F482)</f>
        <v>M</v>
      </c>
      <c r="B482" s="4" t="str" cm="1">
        <f t="array" ref="B482">INDEX(Sheet1!B:B,$F482)</f>
        <v>Undiff NS</v>
      </c>
      <c r="C482" s="4">
        <f t="shared" si="29"/>
        <v>80</v>
      </c>
      <c r="D482" s="5" cm="1">
        <f t="array" aca="1" ref="D482" ca="1">OFFSET(INDIRECT("'["&amp;$H482&amp;"]"&amp;$I482&amp;"'!"&amp;$J482),$L482,$M482)*$K482</f>
        <v>6.8019999999999997E-2</v>
      </c>
      <c r="F482" s="4">
        <f t="shared" si="30"/>
        <v>6</v>
      </c>
      <c r="G482" s="4" cm="1">
        <f t="array" ref="G482">IF($C482+$M482&lt;16,INDEX(Sheet1!C:C,$F482),$F482)</f>
        <v>6</v>
      </c>
      <c r="H482" s="4" t="str" cm="1">
        <f t="array" ref="H482">INDEX(Sheet1!D:D,$G482)</f>
        <v>t1137.xlsx</v>
      </c>
      <c r="I482" s="4" t="str" cm="1">
        <f t="array" ref="I482">INDEX(Sheet1!E:E,$G482)</f>
        <v>Sheet1</v>
      </c>
      <c r="J482" s="4" t="str" cm="1">
        <f t="array" ref="J482">INDEX(Sheet1!F:F,$G482)</f>
        <v>B25</v>
      </c>
      <c r="K482" s="4" cm="1">
        <f t="array" ref="K482">INDEX(Sheet1!H:H,$G482)</f>
        <v>1</v>
      </c>
      <c r="L482" s="4">
        <f t="shared" si="28"/>
        <v>80</v>
      </c>
      <c r="M482" s="4">
        <f t="shared" si="31"/>
        <v>5</v>
      </c>
    </row>
    <row r="483" spans="1:13">
      <c r="A483" s="4" t="str" cm="1">
        <f t="array" ref="A483">INDEX(Sheet1!A:A,$F483)</f>
        <v>M</v>
      </c>
      <c r="B483" s="4" t="str" cm="1">
        <f t="array" ref="B483">INDEX(Sheet1!B:B,$F483)</f>
        <v>Undiff NS</v>
      </c>
      <c r="C483" s="4">
        <f t="shared" si="29"/>
        <v>81</v>
      </c>
      <c r="D483" s="5" cm="1">
        <f t="array" aca="1" ref="D483" ca="1">OFFSET(INDIRECT("'["&amp;$H483&amp;"]"&amp;$I483&amp;"'!"&amp;$J483),$L483,$M483)*$K483</f>
        <v>8.294E-2</v>
      </c>
      <c r="F483" s="4">
        <f t="shared" si="30"/>
        <v>6</v>
      </c>
      <c r="G483" s="4" cm="1">
        <f t="array" ref="G483">IF($C483+$M483&lt;16,INDEX(Sheet1!C:C,$F483),$F483)</f>
        <v>6</v>
      </c>
      <c r="H483" s="4" t="str" cm="1">
        <f t="array" ref="H483">INDEX(Sheet1!D:D,$G483)</f>
        <v>t1137.xlsx</v>
      </c>
      <c r="I483" s="4" t="str" cm="1">
        <f t="array" ref="I483">INDEX(Sheet1!E:E,$G483)</f>
        <v>Sheet1</v>
      </c>
      <c r="J483" s="4" t="str" cm="1">
        <f t="array" ref="J483">INDEX(Sheet1!F:F,$G483)</f>
        <v>B25</v>
      </c>
      <c r="K483" s="4" cm="1">
        <f t="array" ref="K483">INDEX(Sheet1!H:H,$G483)</f>
        <v>1</v>
      </c>
      <c r="L483" s="4">
        <f t="shared" si="28"/>
        <v>81</v>
      </c>
      <c r="M483" s="4">
        <f t="shared" si="31"/>
        <v>5</v>
      </c>
    </row>
    <row r="484" spans="1:13">
      <c r="A484" s="4" t="str" cm="1">
        <f t="array" ref="A484">INDEX(Sheet1!A:A,$F484)</f>
        <v>M</v>
      </c>
      <c r="B484" s="4" t="str" cm="1">
        <f t="array" ref="B484">INDEX(Sheet1!B:B,$F484)</f>
        <v>Undiff NS</v>
      </c>
      <c r="C484" s="4">
        <f t="shared" si="29"/>
        <v>82</v>
      </c>
      <c r="D484" s="5" cm="1">
        <f t="array" aca="1" ref="D484" ca="1">OFFSET(INDIRECT("'["&amp;$H484&amp;"]"&amp;$I484&amp;"'!"&amp;$J484),$L484,$M484)*$K484</f>
        <v>9.0649999999999994E-2</v>
      </c>
      <c r="F484" s="4">
        <f t="shared" si="30"/>
        <v>6</v>
      </c>
      <c r="G484" s="4" cm="1">
        <f t="array" ref="G484">IF($C484+$M484&lt;16,INDEX(Sheet1!C:C,$F484),$F484)</f>
        <v>6</v>
      </c>
      <c r="H484" s="4" t="str" cm="1">
        <f t="array" ref="H484">INDEX(Sheet1!D:D,$G484)</f>
        <v>t1137.xlsx</v>
      </c>
      <c r="I484" s="4" t="str" cm="1">
        <f t="array" ref="I484">INDEX(Sheet1!E:E,$G484)</f>
        <v>Sheet1</v>
      </c>
      <c r="J484" s="4" t="str" cm="1">
        <f t="array" ref="J484">INDEX(Sheet1!F:F,$G484)</f>
        <v>B25</v>
      </c>
      <c r="K484" s="4" cm="1">
        <f t="array" ref="K484">INDEX(Sheet1!H:H,$G484)</f>
        <v>1</v>
      </c>
      <c r="L484" s="4">
        <f t="shared" si="28"/>
        <v>82</v>
      </c>
      <c r="M484" s="4">
        <f t="shared" si="31"/>
        <v>5</v>
      </c>
    </row>
    <row r="485" spans="1:13">
      <c r="A485" s="4" t="str" cm="1">
        <f t="array" ref="A485">INDEX(Sheet1!A:A,$F485)</f>
        <v>M</v>
      </c>
      <c r="B485" s="4" t="str" cm="1">
        <f t="array" ref="B485">INDEX(Sheet1!B:B,$F485)</f>
        <v>Undiff NS</v>
      </c>
      <c r="C485" s="4">
        <f t="shared" si="29"/>
        <v>83</v>
      </c>
      <c r="D485" s="5" cm="1">
        <f t="array" aca="1" ref="D485" ca="1">OFFSET(INDIRECT("'["&amp;$H485&amp;"]"&amp;$I485&amp;"'!"&amp;$J485),$L485,$M485)*$K485</f>
        <v>0.10388</v>
      </c>
      <c r="F485" s="4">
        <f t="shared" si="30"/>
        <v>6</v>
      </c>
      <c r="G485" s="4" cm="1">
        <f t="array" ref="G485">IF($C485+$M485&lt;16,INDEX(Sheet1!C:C,$F485),$F485)</f>
        <v>6</v>
      </c>
      <c r="H485" s="4" t="str" cm="1">
        <f t="array" ref="H485">INDEX(Sheet1!D:D,$G485)</f>
        <v>t1137.xlsx</v>
      </c>
      <c r="I485" s="4" t="str" cm="1">
        <f t="array" ref="I485">INDEX(Sheet1!E:E,$G485)</f>
        <v>Sheet1</v>
      </c>
      <c r="J485" s="4" t="str" cm="1">
        <f t="array" ref="J485">INDEX(Sheet1!F:F,$G485)</f>
        <v>B25</v>
      </c>
      <c r="K485" s="4" cm="1">
        <f t="array" ref="K485">INDEX(Sheet1!H:H,$G485)</f>
        <v>1</v>
      </c>
      <c r="L485" s="4">
        <f t="shared" si="28"/>
        <v>83</v>
      </c>
      <c r="M485" s="4">
        <f t="shared" si="31"/>
        <v>5</v>
      </c>
    </row>
    <row r="486" spans="1:13">
      <c r="A486" s="4" t="str" cm="1">
        <f t="array" ref="A486">INDEX(Sheet1!A:A,$F486)</f>
        <v>M</v>
      </c>
      <c r="B486" s="4" t="str" cm="1">
        <f t="array" ref="B486">INDEX(Sheet1!B:B,$F486)</f>
        <v>Undiff NS</v>
      </c>
      <c r="C486" s="4">
        <f t="shared" si="29"/>
        <v>84</v>
      </c>
      <c r="D486" s="5" cm="1">
        <f t="array" aca="1" ref="D486" ca="1">OFFSET(INDIRECT("'["&amp;$H486&amp;"]"&amp;$I486&amp;"'!"&amp;$J486),$L486,$M486)*$K486</f>
        <v>0.11815000000000001</v>
      </c>
      <c r="F486" s="4">
        <f t="shared" si="30"/>
        <v>6</v>
      </c>
      <c r="G486" s="4" cm="1">
        <f t="array" ref="G486">IF($C486+$M486&lt;16,INDEX(Sheet1!C:C,$F486),$F486)</f>
        <v>6</v>
      </c>
      <c r="H486" s="4" t="str" cm="1">
        <f t="array" ref="H486">INDEX(Sheet1!D:D,$G486)</f>
        <v>t1137.xlsx</v>
      </c>
      <c r="I486" s="4" t="str" cm="1">
        <f t="array" ref="I486">INDEX(Sheet1!E:E,$G486)</f>
        <v>Sheet1</v>
      </c>
      <c r="J486" s="4" t="str" cm="1">
        <f t="array" ref="J486">INDEX(Sheet1!F:F,$G486)</f>
        <v>B25</v>
      </c>
      <c r="K486" s="4" cm="1">
        <f t="array" ref="K486">INDEX(Sheet1!H:H,$G486)</f>
        <v>1</v>
      </c>
      <c r="L486" s="4">
        <f t="shared" si="28"/>
        <v>84</v>
      </c>
      <c r="M486" s="4">
        <f t="shared" si="31"/>
        <v>5</v>
      </c>
    </row>
    <row r="487" spans="1:13">
      <c r="A487" s="4" t="str" cm="1">
        <f t="array" ref="A487">INDEX(Sheet1!A:A,$F487)</f>
        <v>M</v>
      </c>
      <c r="B487" s="4" t="str" cm="1">
        <f t="array" ref="B487">INDEX(Sheet1!B:B,$F487)</f>
        <v>Undiff NS</v>
      </c>
      <c r="C487" s="4">
        <f t="shared" si="29"/>
        <v>85</v>
      </c>
      <c r="D487" s="5" cm="1">
        <f t="array" aca="1" ref="D487" ca="1">OFFSET(INDIRECT("'["&amp;$H487&amp;"]"&amp;$I487&amp;"'!"&amp;$J487),$L487,$M487)*$K487</f>
        <v>0.12620999999999999</v>
      </c>
      <c r="F487" s="4">
        <f t="shared" si="30"/>
        <v>6</v>
      </c>
      <c r="G487" s="4" cm="1">
        <f t="array" ref="G487">IF($C487+$M487&lt;16,INDEX(Sheet1!C:C,$F487),$F487)</f>
        <v>6</v>
      </c>
      <c r="H487" s="4" t="str" cm="1">
        <f t="array" ref="H487">INDEX(Sheet1!D:D,$G487)</f>
        <v>t1137.xlsx</v>
      </c>
      <c r="I487" s="4" t="str" cm="1">
        <f t="array" ref="I487">INDEX(Sheet1!E:E,$G487)</f>
        <v>Sheet1</v>
      </c>
      <c r="J487" s="4" t="str" cm="1">
        <f t="array" ref="J487">INDEX(Sheet1!F:F,$G487)</f>
        <v>B25</v>
      </c>
      <c r="K487" s="4" cm="1">
        <f t="array" ref="K487">INDEX(Sheet1!H:H,$G487)</f>
        <v>1</v>
      </c>
      <c r="L487" s="4">
        <f t="shared" si="28"/>
        <v>85</v>
      </c>
      <c r="M487" s="4">
        <f t="shared" si="31"/>
        <v>5</v>
      </c>
    </row>
    <row r="488" spans="1:13">
      <c r="A488" s="4" t="str" cm="1">
        <f t="array" ref="A488">INDEX(Sheet1!A:A,$F488)</f>
        <v>M</v>
      </c>
      <c r="B488" s="4" t="str" cm="1">
        <f t="array" ref="B488">INDEX(Sheet1!B:B,$F488)</f>
        <v>Undiff NS</v>
      </c>
      <c r="C488" s="4">
        <f t="shared" si="29"/>
        <v>86</v>
      </c>
      <c r="D488" s="5" cm="1">
        <f t="array" aca="1" ref="D488" ca="1">OFFSET(INDIRECT("'["&amp;$H488&amp;"]"&amp;$I488&amp;"'!"&amp;$J488),$L488,$M488)*$K488</f>
        <v>0.15984000000000001</v>
      </c>
      <c r="F488" s="4">
        <f t="shared" si="30"/>
        <v>6</v>
      </c>
      <c r="G488" s="4" cm="1">
        <f t="array" ref="G488">IF($C488+$M488&lt;16,INDEX(Sheet1!C:C,$F488),$F488)</f>
        <v>6</v>
      </c>
      <c r="H488" s="4" t="str" cm="1">
        <f t="array" ref="H488">INDEX(Sheet1!D:D,$G488)</f>
        <v>t1137.xlsx</v>
      </c>
      <c r="I488" s="4" t="str" cm="1">
        <f t="array" ref="I488">INDEX(Sheet1!E:E,$G488)</f>
        <v>Sheet1</v>
      </c>
      <c r="J488" s="4" t="str" cm="1">
        <f t="array" ref="J488">INDEX(Sheet1!F:F,$G488)</f>
        <v>B25</v>
      </c>
      <c r="K488" s="4" cm="1">
        <f t="array" ref="K488">INDEX(Sheet1!H:H,$G488)</f>
        <v>1</v>
      </c>
      <c r="L488" s="4">
        <f t="shared" si="28"/>
        <v>86</v>
      </c>
      <c r="M488" s="4">
        <f t="shared" si="31"/>
        <v>5</v>
      </c>
    </row>
    <row r="489" spans="1:13">
      <c r="A489" s="4" t="str" cm="1">
        <f t="array" ref="A489">INDEX(Sheet1!A:A,$F489)</f>
        <v>M</v>
      </c>
      <c r="B489" s="4" t="str" cm="1">
        <f t="array" ref="B489">INDEX(Sheet1!B:B,$F489)</f>
        <v>Undiff NS</v>
      </c>
      <c r="C489" s="4">
        <f t="shared" si="29"/>
        <v>87</v>
      </c>
      <c r="D489" s="5" cm="1">
        <f t="array" aca="1" ref="D489" ca="1">OFFSET(INDIRECT("'["&amp;$H489&amp;"]"&amp;$I489&amp;"'!"&amp;$J489),$L489,$M489)*$K489</f>
        <v>0.18819</v>
      </c>
      <c r="F489" s="4">
        <f t="shared" si="30"/>
        <v>6</v>
      </c>
      <c r="G489" s="4" cm="1">
        <f t="array" ref="G489">IF($C489+$M489&lt;16,INDEX(Sheet1!C:C,$F489),$F489)</f>
        <v>6</v>
      </c>
      <c r="H489" s="4" t="str" cm="1">
        <f t="array" ref="H489">INDEX(Sheet1!D:D,$G489)</f>
        <v>t1137.xlsx</v>
      </c>
      <c r="I489" s="4" t="str" cm="1">
        <f t="array" ref="I489">INDEX(Sheet1!E:E,$G489)</f>
        <v>Sheet1</v>
      </c>
      <c r="J489" s="4" t="str" cm="1">
        <f t="array" ref="J489">INDEX(Sheet1!F:F,$G489)</f>
        <v>B25</v>
      </c>
      <c r="K489" s="4" cm="1">
        <f t="array" ref="K489">INDEX(Sheet1!H:H,$G489)</f>
        <v>1</v>
      </c>
      <c r="L489" s="4">
        <f t="shared" si="28"/>
        <v>87</v>
      </c>
      <c r="M489" s="4">
        <f t="shared" si="31"/>
        <v>5</v>
      </c>
    </row>
    <row r="490" spans="1:13">
      <c r="A490" s="4" t="str" cm="1">
        <f t="array" ref="A490">INDEX(Sheet1!A:A,$F490)</f>
        <v>M</v>
      </c>
      <c r="B490" s="4" t="str" cm="1">
        <f t="array" ref="B490">INDEX(Sheet1!B:B,$F490)</f>
        <v>Undiff NS</v>
      </c>
      <c r="C490" s="4">
        <f t="shared" si="29"/>
        <v>88</v>
      </c>
      <c r="D490" s="5" cm="1">
        <f t="array" aca="1" ref="D490" ca="1">OFFSET(INDIRECT("'["&amp;$H490&amp;"]"&amp;$I490&amp;"'!"&amp;$J490),$L490,$M490)*$K490</f>
        <v>0.22792999999999999</v>
      </c>
      <c r="F490" s="4">
        <f t="shared" si="30"/>
        <v>6</v>
      </c>
      <c r="G490" s="4" cm="1">
        <f t="array" ref="G490">IF($C490+$M490&lt;16,INDEX(Sheet1!C:C,$F490),$F490)</f>
        <v>6</v>
      </c>
      <c r="H490" s="4" t="str" cm="1">
        <f t="array" ref="H490">INDEX(Sheet1!D:D,$G490)</f>
        <v>t1137.xlsx</v>
      </c>
      <c r="I490" s="4" t="str" cm="1">
        <f t="array" ref="I490">INDEX(Sheet1!E:E,$G490)</f>
        <v>Sheet1</v>
      </c>
      <c r="J490" s="4" t="str" cm="1">
        <f t="array" ref="J490">INDEX(Sheet1!F:F,$G490)</f>
        <v>B25</v>
      </c>
      <c r="K490" s="4" cm="1">
        <f t="array" ref="K490">INDEX(Sheet1!H:H,$G490)</f>
        <v>1</v>
      </c>
      <c r="L490" s="4">
        <f t="shared" si="28"/>
        <v>88</v>
      </c>
      <c r="M490" s="4">
        <f t="shared" si="31"/>
        <v>5</v>
      </c>
    </row>
    <row r="491" spans="1:13">
      <c r="A491" s="4" t="str" cm="1">
        <f t="array" ref="A491">INDEX(Sheet1!A:A,$F491)</f>
        <v>M</v>
      </c>
      <c r="B491" s="4" t="str" cm="1">
        <f t="array" ref="B491">INDEX(Sheet1!B:B,$F491)</f>
        <v>Undiff NS</v>
      </c>
      <c r="C491" s="4">
        <f t="shared" si="29"/>
        <v>89</v>
      </c>
      <c r="D491" s="5" cm="1">
        <f t="array" aca="1" ref="D491" ca="1">OFFSET(INDIRECT("'["&amp;$H491&amp;"]"&amp;$I491&amp;"'!"&amp;$J491),$L491,$M491)*$K491</f>
        <v>0.24525</v>
      </c>
      <c r="F491" s="4">
        <f t="shared" si="30"/>
        <v>6</v>
      </c>
      <c r="G491" s="4" cm="1">
        <f t="array" ref="G491">IF($C491+$M491&lt;16,INDEX(Sheet1!C:C,$F491),$F491)</f>
        <v>6</v>
      </c>
      <c r="H491" s="4" t="str" cm="1">
        <f t="array" ref="H491">INDEX(Sheet1!D:D,$G491)</f>
        <v>t1137.xlsx</v>
      </c>
      <c r="I491" s="4" t="str" cm="1">
        <f t="array" ref="I491">INDEX(Sheet1!E:E,$G491)</f>
        <v>Sheet1</v>
      </c>
      <c r="J491" s="4" t="str" cm="1">
        <f t="array" ref="J491">INDEX(Sheet1!F:F,$G491)</f>
        <v>B25</v>
      </c>
      <c r="K491" s="4" cm="1">
        <f t="array" ref="K491">INDEX(Sheet1!H:H,$G491)</f>
        <v>1</v>
      </c>
      <c r="L491" s="4">
        <f t="shared" si="28"/>
        <v>89</v>
      </c>
      <c r="M491" s="4">
        <f t="shared" si="31"/>
        <v>5</v>
      </c>
    </row>
    <row r="492" spans="1:13">
      <c r="A492" s="4" t="str" cm="1">
        <f t="array" ref="A492">INDEX(Sheet1!A:A,$F492)</f>
        <v>M</v>
      </c>
      <c r="B492" s="4" t="str" cm="1">
        <f t="array" ref="B492">INDEX(Sheet1!B:B,$F492)</f>
        <v>Undiff NS</v>
      </c>
      <c r="C492" s="4">
        <f t="shared" si="29"/>
        <v>90</v>
      </c>
      <c r="D492" s="5" cm="1">
        <f t="array" aca="1" ref="D492" ca="1">OFFSET(INDIRECT("'["&amp;$H492&amp;"]"&amp;$I492&amp;"'!"&amp;$J492),$L492,$M492)*$K492</f>
        <v>0.26355000000000001</v>
      </c>
      <c r="F492" s="4">
        <f t="shared" si="30"/>
        <v>6</v>
      </c>
      <c r="G492" s="4" cm="1">
        <f t="array" ref="G492">IF($C492+$M492&lt;16,INDEX(Sheet1!C:C,$F492),$F492)</f>
        <v>6</v>
      </c>
      <c r="H492" s="4" t="str" cm="1">
        <f t="array" ref="H492">INDEX(Sheet1!D:D,$G492)</f>
        <v>t1137.xlsx</v>
      </c>
      <c r="I492" s="4" t="str" cm="1">
        <f t="array" ref="I492">INDEX(Sheet1!E:E,$G492)</f>
        <v>Sheet1</v>
      </c>
      <c r="J492" s="4" t="str" cm="1">
        <f t="array" ref="J492">INDEX(Sheet1!F:F,$G492)</f>
        <v>B25</v>
      </c>
      <c r="K492" s="4" cm="1">
        <f t="array" ref="K492">INDEX(Sheet1!H:H,$G492)</f>
        <v>1</v>
      </c>
      <c r="L492" s="4">
        <f t="shared" si="28"/>
        <v>90</v>
      </c>
      <c r="M492" s="4">
        <f t="shared" si="31"/>
        <v>5</v>
      </c>
    </row>
    <row r="493" spans="1:13">
      <c r="A493" s="4" t="str" cm="1">
        <f t="array" ref="A493">INDEX(Sheet1!A:A,$F493)</f>
        <v>M</v>
      </c>
      <c r="B493" s="4" t="str" cm="1">
        <f t="array" ref="B493">INDEX(Sheet1!B:B,$F493)</f>
        <v>Undiff NS</v>
      </c>
      <c r="C493" s="4">
        <f t="shared" si="29"/>
        <v>91</v>
      </c>
      <c r="D493" s="5" cm="1">
        <f t="array" aca="1" ref="D493" ca="1">OFFSET(INDIRECT("'["&amp;$H493&amp;"]"&amp;$I493&amp;"'!"&amp;$J493),$L493,$M493)*$K493</f>
        <v>0.28039999999999998</v>
      </c>
      <c r="F493" s="4">
        <f t="shared" si="30"/>
        <v>6</v>
      </c>
      <c r="G493" s="4" cm="1">
        <f t="array" ref="G493">IF($C493+$M493&lt;16,INDEX(Sheet1!C:C,$F493),$F493)</f>
        <v>6</v>
      </c>
      <c r="H493" s="4" t="str" cm="1">
        <f t="array" ref="H493">INDEX(Sheet1!D:D,$G493)</f>
        <v>t1137.xlsx</v>
      </c>
      <c r="I493" s="4" t="str" cm="1">
        <f t="array" ref="I493">INDEX(Sheet1!E:E,$G493)</f>
        <v>Sheet1</v>
      </c>
      <c r="J493" s="4" t="str" cm="1">
        <f t="array" ref="J493">INDEX(Sheet1!F:F,$G493)</f>
        <v>B25</v>
      </c>
      <c r="K493" s="4" cm="1">
        <f t="array" ref="K493">INDEX(Sheet1!H:H,$G493)</f>
        <v>1</v>
      </c>
      <c r="L493" s="4">
        <f t="shared" si="28"/>
        <v>91</v>
      </c>
      <c r="M493" s="4">
        <f t="shared" si="31"/>
        <v>5</v>
      </c>
    </row>
    <row r="494" spans="1:13">
      <c r="A494" s="4" t="str" cm="1">
        <f t="array" ref="A494">INDEX(Sheet1!A:A,$F494)</f>
        <v>M</v>
      </c>
      <c r="B494" s="4" t="str" cm="1">
        <f t="array" ref="B494">INDEX(Sheet1!B:B,$F494)</f>
        <v>Undiff NS</v>
      </c>
      <c r="C494" s="4">
        <f t="shared" si="29"/>
        <v>92</v>
      </c>
      <c r="D494" s="5" cm="1">
        <f t="array" aca="1" ref="D494" ca="1">OFFSET(INDIRECT("'["&amp;$H494&amp;"]"&amp;$I494&amp;"'!"&amp;$J494),$L494,$M494)*$K494</f>
        <v>0.29838999999999999</v>
      </c>
      <c r="F494" s="4">
        <f t="shared" si="30"/>
        <v>6</v>
      </c>
      <c r="G494" s="4" cm="1">
        <f t="array" ref="G494">IF($C494+$M494&lt;16,INDEX(Sheet1!C:C,$F494),$F494)</f>
        <v>6</v>
      </c>
      <c r="H494" s="4" t="str" cm="1">
        <f t="array" ref="H494">INDEX(Sheet1!D:D,$G494)</f>
        <v>t1137.xlsx</v>
      </c>
      <c r="I494" s="4" t="str" cm="1">
        <f t="array" ref="I494">INDEX(Sheet1!E:E,$G494)</f>
        <v>Sheet1</v>
      </c>
      <c r="J494" s="4" t="str" cm="1">
        <f t="array" ref="J494">INDEX(Sheet1!F:F,$G494)</f>
        <v>B25</v>
      </c>
      <c r="K494" s="4" cm="1">
        <f t="array" ref="K494">INDEX(Sheet1!H:H,$G494)</f>
        <v>1</v>
      </c>
      <c r="L494" s="4">
        <f t="shared" si="28"/>
        <v>92</v>
      </c>
      <c r="M494" s="4">
        <f t="shared" si="31"/>
        <v>5</v>
      </c>
    </row>
    <row r="495" spans="1:13">
      <c r="A495" s="4" t="str" cm="1">
        <f t="array" ref="A495">INDEX(Sheet1!A:A,$F495)</f>
        <v>M</v>
      </c>
      <c r="B495" s="4" t="str" cm="1">
        <f t="array" ref="B495">INDEX(Sheet1!B:B,$F495)</f>
        <v>Undiff NS</v>
      </c>
      <c r="C495" s="4">
        <f t="shared" si="29"/>
        <v>93</v>
      </c>
      <c r="D495" s="5" cm="1">
        <f t="array" aca="1" ref="D495" ca="1">OFFSET(INDIRECT("'["&amp;$H495&amp;"]"&amp;$I495&amp;"'!"&amp;$J495),$L495,$M495)*$K495</f>
        <v>0.31757999999999997</v>
      </c>
      <c r="F495" s="4">
        <f t="shared" si="30"/>
        <v>6</v>
      </c>
      <c r="G495" s="4" cm="1">
        <f t="array" ref="G495">IF($C495+$M495&lt;16,INDEX(Sheet1!C:C,$F495),$F495)</f>
        <v>6</v>
      </c>
      <c r="H495" s="4" t="str" cm="1">
        <f t="array" ref="H495">INDEX(Sheet1!D:D,$G495)</f>
        <v>t1137.xlsx</v>
      </c>
      <c r="I495" s="4" t="str" cm="1">
        <f t="array" ref="I495">INDEX(Sheet1!E:E,$G495)</f>
        <v>Sheet1</v>
      </c>
      <c r="J495" s="4" t="str" cm="1">
        <f t="array" ref="J495">INDEX(Sheet1!F:F,$G495)</f>
        <v>B25</v>
      </c>
      <c r="K495" s="4" cm="1">
        <f t="array" ref="K495">INDEX(Sheet1!H:H,$G495)</f>
        <v>1</v>
      </c>
      <c r="L495" s="4">
        <f t="shared" si="28"/>
        <v>93</v>
      </c>
      <c r="M495" s="4">
        <f t="shared" si="31"/>
        <v>5</v>
      </c>
    </row>
    <row r="496" spans="1:13">
      <c r="A496" s="4" t="str" cm="1">
        <f t="array" ref="A496">INDEX(Sheet1!A:A,$F496)</f>
        <v>M</v>
      </c>
      <c r="B496" s="4" t="str" cm="1">
        <f t="array" ref="B496">INDEX(Sheet1!B:B,$F496)</f>
        <v>Undiff NS</v>
      </c>
      <c r="C496" s="4">
        <f t="shared" si="29"/>
        <v>94</v>
      </c>
      <c r="D496" s="5" cm="1">
        <f t="array" aca="1" ref="D496" ca="1">OFFSET(INDIRECT("'["&amp;$H496&amp;"]"&amp;$I496&amp;"'!"&amp;$J496),$L496,$M496)*$K496</f>
        <v>0.33811000000000002</v>
      </c>
      <c r="F496" s="4">
        <f t="shared" si="30"/>
        <v>6</v>
      </c>
      <c r="G496" s="4" cm="1">
        <f t="array" ref="G496">IF($C496+$M496&lt;16,INDEX(Sheet1!C:C,$F496),$F496)</f>
        <v>6</v>
      </c>
      <c r="H496" s="4" t="str" cm="1">
        <f t="array" ref="H496">INDEX(Sheet1!D:D,$G496)</f>
        <v>t1137.xlsx</v>
      </c>
      <c r="I496" s="4" t="str" cm="1">
        <f t="array" ref="I496">INDEX(Sheet1!E:E,$G496)</f>
        <v>Sheet1</v>
      </c>
      <c r="J496" s="4" t="str" cm="1">
        <f t="array" ref="J496">INDEX(Sheet1!F:F,$G496)</f>
        <v>B25</v>
      </c>
      <c r="K496" s="4" cm="1">
        <f t="array" ref="K496">INDEX(Sheet1!H:H,$G496)</f>
        <v>1</v>
      </c>
      <c r="L496" s="4">
        <f t="shared" si="28"/>
        <v>94</v>
      </c>
      <c r="M496" s="4">
        <f t="shared" si="31"/>
        <v>5</v>
      </c>
    </row>
    <row r="497" spans="1:13">
      <c r="A497" s="4" t="str" cm="1">
        <f t="array" ref="A497">INDEX(Sheet1!A:A,$F497)</f>
        <v>M</v>
      </c>
      <c r="B497" s="4" t="str" cm="1">
        <f t="array" ref="B497">INDEX(Sheet1!B:B,$F497)</f>
        <v>Undiff NS</v>
      </c>
      <c r="C497" s="4">
        <f t="shared" si="29"/>
        <v>95</v>
      </c>
      <c r="D497" s="5" cm="1">
        <f t="array" aca="1" ref="D497" ca="1">OFFSET(INDIRECT("'["&amp;$H497&amp;"]"&amp;$I497&amp;"'!"&amp;$J497),$L497,$M497)*$K497</f>
        <v>0.36004999999999998</v>
      </c>
      <c r="F497" s="4">
        <f t="shared" si="30"/>
        <v>6</v>
      </c>
      <c r="G497" s="4" cm="1">
        <f t="array" ref="G497">IF($C497+$M497&lt;16,INDEX(Sheet1!C:C,$F497),$F497)</f>
        <v>6</v>
      </c>
      <c r="H497" s="4" t="str" cm="1">
        <f t="array" ref="H497">INDEX(Sheet1!D:D,$G497)</f>
        <v>t1137.xlsx</v>
      </c>
      <c r="I497" s="4" t="str" cm="1">
        <f t="array" ref="I497">INDEX(Sheet1!E:E,$G497)</f>
        <v>Sheet1</v>
      </c>
      <c r="J497" s="4" t="str" cm="1">
        <f t="array" ref="J497">INDEX(Sheet1!F:F,$G497)</f>
        <v>B25</v>
      </c>
      <c r="K497" s="4" cm="1">
        <f t="array" ref="K497">INDEX(Sheet1!H:H,$G497)</f>
        <v>1</v>
      </c>
      <c r="L497" s="4">
        <f t="shared" si="28"/>
        <v>95</v>
      </c>
      <c r="M497" s="4">
        <f t="shared" si="31"/>
        <v>5</v>
      </c>
    </row>
    <row r="498" spans="1:13">
      <c r="A498" s="4" t="str" cm="1">
        <f t="array" ref="A498">INDEX(Sheet1!A:A,$F498)</f>
        <v>M</v>
      </c>
      <c r="B498" s="4" t="str" cm="1">
        <f t="array" ref="B498">INDEX(Sheet1!B:B,$F498)</f>
        <v>Undiff NS</v>
      </c>
      <c r="C498" s="4">
        <f t="shared" si="29"/>
        <v>96</v>
      </c>
      <c r="D498" s="5" cm="1">
        <f t="array" aca="1" ref="D498" ca="1">OFFSET(INDIRECT("'["&amp;$H498&amp;"]"&amp;$I498&amp;"'!"&amp;$J498),$L498,$M498)*$K498</f>
        <v>0.37774000000000002</v>
      </c>
      <c r="F498" s="4">
        <f t="shared" si="30"/>
        <v>6</v>
      </c>
      <c r="G498" s="4" cm="1">
        <f t="array" ref="G498">IF($C498+$M498&lt;16,INDEX(Sheet1!C:C,$F498),$F498)</f>
        <v>6</v>
      </c>
      <c r="H498" s="4" t="str" cm="1">
        <f t="array" ref="H498">INDEX(Sheet1!D:D,$G498)</f>
        <v>t1137.xlsx</v>
      </c>
      <c r="I498" s="4" t="str" cm="1">
        <f t="array" ref="I498">INDEX(Sheet1!E:E,$G498)</f>
        <v>Sheet1</v>
      </c>
      <c r="J498" s="4" t="str" cm="1">
        <f t="array" ref="J498">INDEX(Sheet1!F:F,$G498)</f>
        <v>B25</v>
      </c>
      <c r="K498" s="4" cm="1">
        <f t="array" ref="K498">INDEX(Sheet1!H:H,$G498)</f>
        <v>1</v>
      </c>
      <c r="L498" s="4">
        <f t="shared" si="28"/>
        <v>96</v>
      </c>
      <c r="M498" s="4">
        <f t="shared" si="31"/>
        <v>5</v>
      </c>
    </row>
    <row r="499" spans="1:13">
      <c r="A499" s="4" t="str" cm="1">
        <f t="array" ref="A499">INDEX(Sheet1!A:A,$F499)</f>
        <v>M</v>
      </c>
      <c r="B499" s="4" t="str" cm="1">
        <f t="array" ref="B499">INDEX(Sheet1!B:B,$F499)</f>
        <v>Undiff NS</v>
      </c>
      <c r="C499" s="4">
        <f t="shared" si="29"/>
        <v>97</v>
      </c>
      <c r="D499" s="5" cm="1">
        <f t="array" aca="1" ref="D499" ca="1">OFFSET(INDIRECT("'["&amp;$H499&amp;"]"&amp;$I499&amp;"'!"&amp;$J499),$L499,$M499)*$K499</f>
        <v>0.39640999999999998</v>
      </c>
      <c r="F499" s="4">
        <f t="shared" si="30"/>
        <v>6</v>
      </c>
      <c r="G499" s="4" cm="1">
        <f t="array" ref="G499">IF($C499+$M499&lt;16,INDEX(Sheet1!C:C,$F499),$F499)</f>
        <v>6</v>
      </c>
      <c r="H499" s="4" t="str" cm="1">
        <f t="array" ref="H499">INDEX(Sheet1!D:D,$G499)</f>
        <v>t1137.xlsx</v>
      </c>
      <c r="I499" s="4" t="str" cm="1">
        <f t="array" ref="I499">INDEX(Sheet1!E:E,$G499)</f>
        <v>Sheet1</v>
      </c>
      <c r="J499" s="4" t="str" cm="1">
        <f t="array" ref="J499">INDEX(Sheet1!F:F,$G499)</f>
        <v>B25</v>
      </c>
      <c r="K499" s="4" cm="1">
        <f t="array" ref="K499">INDEX(Sheet1!H:H,$G499)</f>
        <v>1</v>
      </c>
      <c r="L499" s="4">
        <f t="shared" si="28"/>
        <v>97</v>
      </c>
      <c r="M499" s="4">
        <f t="shared" si="31"/>
        <v>5</v>
      </c>
    </row>
    <row r="500" spans="1:13">
      <c r="A500" s="4" t="str" cm="1">
        <f t="array" ref="A500">INDEX(Sheet1!A:A,$F500)</f>
        <v>M</v>
      </c>
      <c r="B500" s="4" t="str" cm="1">
        <f t="array" ref="B500">INDEX(Sheet1!B:B,$F500)</f>
        <v>Undiff NS</v>
      </c>
      <c r="C500" s="4">
        <f t="shared" si="29"/>
        <v>98</v>
      </c>
      <c r="D500" s="5" cm="1">
        <f t="array" aca="1" ref="D500" ca="1">OFFSET(INDIRECT("'["&amp;$H500&amp;"]"&amp;$I500&amp;"'!"&amp;$J500),$L500,$M500)*$K500</f>
        <v>0.41631000000000001</v>
      </c>
      <c r="F500" s="4">
        <f t="shared" si="30"/>
        <v>6</v>
      </c>
      <c r="G500" s="4" cm="1">
        <f t="array" ref="G500">IF($C500+$M500&lt;16,INDEX(Sheet1!C:C,$F500),$F500)</f>
        <v>6</v>
      </c>
      <c r="H500" s="4" t="str" cm="1">
        <f t="array" ref="H500">INDEX(Sheet1!D:D,$G500)</f>
        <v>t1137.xlsx</v>
      </c>
      <c r="I500" s="4" t="str" cm="1">
        <f t="array" ref="I500">INDEX(Sheet1!E:E,$G500)</f>
        <v>Sheet1</v>
      </c>
      <c r="J500" s="4" t="str" cm="1">
        <f t="array" ref="J500">INDEX(Sheet1!F:F,$G500)</f>
        <v>B25</v>
      </c>
      <c r="K500" s="4" cm="1">
        <f t="array" ref="K500">INDEX(Sheet1!H:H,$G500)</f>
        <v>1</v>
      </c>
      <c r="L500" s="4">
        <f t="shared" si="28"/>
        <v>98</v>
      </c>
      <c r="M500" s="4">
        <f t="shared" si="31"/>
        <v>5</v>
      </c>
    </row>
    <row r="501" spans="1:13">
      <c r="A501" s="4" t="str" cm="1">
        <f t="array" ref="A501">INDEX(Sheet1!A:A,$F501)</f>
        <v>M</v>
      </c>
      <c r="B501" s="4" t="str" cm="1">
        <f t="array" ref="B501">INDEX(Sheet1!B:B,$F501)</f>
        <v>Undiff NS</v>
      </c>
      <c r="C501" s="4">
        <f t="shared" si="29"/>
        <v>99</v>
      </c>
      <c r="D501" s="5" cm="1">
        <f t="array" aca="1" ref="D501" ca="1">OFFSET(INDIRECT("'["&amp;$H501&amp;"]"&amp;$I501&amp;"'!"&amp;$J501),$L501,$M501)*$K501</f>
        <v>0.43747999999999998</v>
      </c>
      <c r="F501" s="4">
        <f t="shared" si="30"/>
        <v>6</v>
      </c>
      <c r="G501" s="4" cm="1">
        <f t="array" ref="G501">IF($C501+$M501&lt;16,INDEX(Sheet1!C:C,$F501),$F501)</f>
        <v>6</v>
      </c>
      <c r="H501" s="4" t="str" cm="1">
        <f t="array" ref="H501">INDEX(Sheet1!D:D,$G501)</f>
        <v>t1137.xlsx</v>
      </c>
      <c r="I501" s="4" t="str" cm="1">
        <f t="array" ref="I501">INDEX(Sheet1!E:E,$G501)</f>
        <v>Sheet1</v>
      </c>
      <c r="J501" s="4" t="str" cm="1">
        <f t="array" ref="J501">INDEX(Sheet1!F:F,$G501)</f>
        <v>B25</v>
      </c>
      <c r="K501" s="4" cm="1">
        <f t="array" ref="K501">INDEX(Sheet1!H:H,$G501)</f>
        <v>1</v>
      </c>
      <c r="L501" s="4">
        <f t="shared" si="28"/>
        <v>99</v>
      </c>
      <c r="M501" s="4">
        <f t="shared" si="31"/>
        <v>5</v>
      </c>
    </row>
    <row r="502" spans="1:13">
      <c r="A502" s="4" t="str" cm="1">
        <f t="array" ref="A502">INDEX(Sheet1!A:A,$F502)</f>
        <v>M</v>
      </c>
      <c r="B502" s="4" t="str" cm="1">
        <f t="array" ref="B502">INDEX(Sheet1!B:B,$F502)</f>
        <v>Pref SM</v>
      </c>
      <c r="C502" s="4">
        <f t="shared" si="29"/>
        <v>0</v>
      </c>
      <c r="D502" s="5" cm="1">
        <f t="array" aca="1" ref="D502" ca="1">OFFSET(INDIRECT("'["&amp;$H502&amp;"]"&amp;$I502&amp;"'!"&amp;$J502),$L502,$M502)*$K502</f>
        <v>2.1000000000000001E-4</v>
      </c>
      <c r="F502" s="4">
        <f t="shared" si="30"/>
        <v>7</v>
      </c>
      <c r="G502" s="4" cm="1">
        <f t="array" ref="G502">IF($C502+$M502&lt;16,INDEX(Sheet1!C:C,$F502),$F502)</f>
        <v>10</v>
      </c>
      <c r="H502" s="4" t="str" cm="1">
        <f t="array" ref="H502">INDEX(Sheet1!D:D,$G502)</f>
        <v>t1136.xlsx</v>
      </c>
      <c r="I502" s="4" t="str" cm="1">
        <f t="array" ref="I502">INDEX(Sheet1!E:E,$G502)</f>
        <v>Sheet1</v>
      </c>
      <c r="J502" s="4" t="str" cm="1">
        <f t="array" ref="J502">INDEX(Sheet1!F:F,$G502)</f>
        <v>B25</v>
      </c>
      <c r="K502" s="4" cm="1">
        <f t="array" ref="K502">INDEX(Sheet1!H:H,$G502)</f>
        <v>1</v>
      </c>
      <c r="L502" s="4">
        <f t="shared" si="28"/>
        <v>0</v>
      </c>
      <c r="M502" s="4">
        <f t="shared" si="31"/>
        <v>5</v>
      </c>
    </row>
    <row r="503" spans="1:13">
      <c r="A503" s="4" t="str" cm="1">
        <f t="array" ref="A503">INDEX(Sheet1!A:A,$F503)</f>
        <v>M</v>
      </c>
      <c r="B503" s="4" t="str" cm="1">
        <f t="array" ref="B503">INDEX(Sheet1!B:B,$F503)</f>
        <v>Pref SM</v>
      </c>
      <c r="C503" s="4">
        <f t="shared" si="29"/>
        <v>1</v>
      </c>
      <c r="D503" s="5" cm="1">
        <f t="array" aca="1" ref="D503" ca="1">OFFSET(INDIRECT("'["&amp;$H503&amp;"]"&amp;$I503&amp;"'!"&amp;$J503),$L503,$M503)*$K503</f>
        <v>2.1000000000000001E-4</v>
      </c>
      <c r="F503" s="4">
        <f t="shared" si="30"/>
        <v>7</v>
      </c>
      <c r="G503" s="4" cm="1">
        <f t="array" ref="G503">IF($C503+$M503&lt;16,INDEX(Sheet1!C:C,$F503),$F503)</f>
        <v>10</v>
      </c>
      <c r="H503" s="4" t="str" cm="1">
        <f t="array" ref="H503">INDEX(Sheet1!D:D,$G503)</f>
        <v>t1136.xlsx</v>
      </c>
      <c r="I503" s="4" t="str" cm="1">
        <f t="array" ref="I503">INDEX(Sheet1!E:E,$G503)</f>
        <v>Sheet1</v>
      </c>
      <c r="J503" s="4" t="str" cm="1">
        <f t="array" ref="J503">INDEX(Sheet1!F:F,$G503)</f>
        <v>B25</v>
      </c>
      <c r="K503" s="4" cm="1">
        <f t="array" ref="K503">INDEX(Sheet1!H:H,$G503)</f>
        <v>1</v>
      </c>
      <c r="L503" s="4">
        <f t="shared" si="28"/>
        <v>1</v>
      </c>
      <c r="M503" s="4">
        <f t="shared" si="31"/>
        <v>5</v>
      </c>
    </row>
    <row r="504" spans="1:13">
      <c r="A504" s="4" t="str" cm="1">
        <f t="array" ref="A504">INDEX(Sheet1!A:A,$F504)</f>
        <v>M</v>
      </c>
      <c r="B504" s="4" t="str" cm="1">
        <f t="array" ref="B504">INDEX(Sheet1!B:B,$F504)</f>
        <v>Pref SM</v>
      </c>
      <c r="C504" s="4">
        <f t="shared" si="29"/>
        <v>2</v>
      </c>
      <c r="D504" s="5" cm="1">
        <f t="array" aca="1" ref="D504" ca="1">OFFSET(INDIRECT("'["&amp;$H504&amp;"]"&amp;$I504&amp;"'!"&amp;$J504),$L504,$M504)*$K504</f>
        <v>2.1000000000000001E-4</v>
      </c>
      <c r="F504" s="4">
        <f t="shared" si="30"/>
        <v>7</v>
      </c>
      <c r="G504" s="4" cm="1">
        <f t="array" ref="G504">IF($C504+$M504&lt;16,INDEX(Sheet1!C:C,$F504),$F504)</f>
        <v>10</v>
      </c>
      <c r="H504" s="4" t="str" cm="1">
        <f t="array" ref="H504">INDEX(Sheet1!D:D,$G504)</f>
        <v>t1136.xlsx</v>
      </c>
      <c r="I504" s="4" t="str" cm="1">
        <f t="array" ref="I504">INDEX(Sheet1!E:E,$G504)</f>
        <v>Sheet1</v>
      </c>
      <c r="J504" s="4" t="str" cm="1">
        <f t="array" ref="J504">INDEX(Sheet1!F:F,$G504)</f>
        <v>B25</v>
      </c>
      <c r="K504" s="4" cm="1">
        <f t="array" ref="K504">INDEX(Sheet1!H:H,$G504)</f>
        <v>1</v>
      </c>
      <c r="L504" s="4">
        <f t="shared" si="28"/>
        <v>2</v>
      </c>
      <c r="M504" s="4">
        <f t="shared" si="31"/>
        <v>5</v>
      </c>
    </row>
    <row r="505" spans="1:13">
      <c r="A505" s="4" t="str" cm="1">
        <f t="array" ref="A505">INDEX(Sheet1!A:A,$F505)</f>
        <v>M</v>
      </c>
      <c r="B505" s="4" t="str" cm="1">
        <f t="array" ref="B505">INDEX(Sheet1!B:B,$F505)</f>
        <v>Pref SM</v>
      </c>
      <c r="C505" s="4">
        <f t="shared" si="29"/>
        <v>3</v>
      </c>
      <c r="D505" s="5" cm="1">
        <f t="array" aca="1" ref="D505" ca="1">OFFSET(INDIRECT("'["&amp;$H505&amp;"]"&amp;$I505&amp;"'!"&amp;$J505),$L505,$M505)*$K505</f>
        <v>2.1000000000000001E-4</v>
      </c>
      <c r="F505" s="4">
        <f t="shared" si="30"/>
        <v>7</v>
      </c>
      <c r="G505" s="4" cm="1">
        <f t="array" ref="G505">IF($C505+$M505&lt;16,INDEX(Sheet1!C:C,$F505),$F505)</f>
        <v>10</v>
      </c>
      <c r="H505" s="4" t="str" cm="1">
        <f t="array" ref="H505">INDEX(Sheet1!D:D,$G505)</f>
        <v>t1136.xlsx</v>
      </c>
      <c r="I505" s="4" t="str" cm="1">
        <f t="array" ref="I505">INDEX(Sheet1!E:E,$G505)</f>
        <v>Sheet1</v>
      </c>
      <c r="J505" s="4" t="str" cm="1">
        <f t="array" ref="J505">INDEX(Sheet1!F:F,$G505)</f>
        <v>B25</v>
      </c>
      <c r="K505" s="4" cm="1">
        <f t="array" ref="K505">INDEX(Sheet1!H:H,$G505)</f>
        <v>1</v>
      </c>
      <c r="L505" s="4">
        <f t="shared" si="28"/>
        <v>3</v>
      </c>
      <c r="M505" s="4">
        <f t="shared" si="31"/>
        <v>5</v>
      </c>
    </row>
    <row r="506" spans="1:13">
      <c r="A506" s="4" t="str" cm="1">
        <f t="array" ref="A506">INDEX(Sheet1!A:A,$F506)</f>
        <v>M</v>
      </c>
      <c r="B506" s="4" t="str" cm="1">
        <f t="array" ref="B506">INDEX(Sheet1!B:B,$F506)</f>
        <v>Pref SM</v>
      </c>
      <c r="C506" s="4">
        <f t="shared" si="29"/>
        <v>4</v>
      </c>
      <c r="D506" s="5" cm="1">
        <f t="array" aca="1" ref="D506" ca="1">OFFSET(INDIRECT("'["&amp;$H506&amp;"]"&amp;$I506&amp;"'!"&amp;$J506),$L506,$M506)*$K506</f>
        <v>2.1000000000000001E-4</v>
      </c>
      <c r="F506" s="4">
        <f t="shared" si="30"/>
        <v>7</v>
      </c>
      <c r="G506" s="4" cm="1">
        <f t="array" ref="G506">IF($C506+$M506&lt;16,INDEX(Sheet1!C:C,$F506),$F506)</f>
        <v>10</v>
      </c>
      <c r="H506" s="4" t="str" cm="1">
        <f t="array" ref="H506">INDEX(Sheet1!D:D,$G506)</f>
        <v>t1136.xlsx</v>
      </c>
      <c r="I506" s="4" t="str" cm="1">
        <f t="array" ref="I506">INDEX(Sheet1!E:E,$G506)</f>
        <v>Sheet1</v>
      </c>
      <c r="J506" s="4" t="str" cm="1">
        <f t="array" ref="J506">INDEX(Sheet1!F:F,$G506)</f>
        <v>B25</v>
      </c>
      <c r="K506" s="4" cm="1">
        <f t="array" ref="K506">INDEX(Sheet1!H:H,$G506)</f>
        <v>1</v>
      </c>
      <c r="L506" s="4">
        <f t="shared" si="28"/>
        <v>4</v>
      </c>
      <c r="M506" s="4">
        <f t="shared" si="31"/>
        <v>5</v>
      </c>
    </row>
    <row r="507" spans="1:13">
      <c r="A507" s="4" t="str" cm="1">
        <f t="array" ref="A507">INDEX(Sheet1!A:A,$F507)</f>
        <v>M</v>
      </c>
      <c r="B507" s="4" t="str" cm="1">
        <f t="array" ref="B507">INDEX(Sheet1!B:B,$F507)</f>
        <v>Pref SM</v>
      </c>
      <c r="C507" s="4">
        <f t="shared" si="29"/>
        <v>5</v>
      </c>
      <c r="D507" s="5" cm="1">
        <f t="array" aca="1" ref="D507" ca="1">OFFSET(INDIRECT("'["&amp;$H507&amp;"]"&amp;$I507&amp;"'!"&amp;$J507),$L507,$M507)*$K507</f>
        <v>2.1000000000000001E-4</v>
      </c>
      <c r="F507" s="4">
        <f t="shared" si="30"/>
        <v>7</v>
      </c>
      <c r="G507" s="4" cm="1">
        <f t="array" ref="G507">IF($C507+$M507&lt;16,INDEX(Sheet1!C:C,$F507),$F507)</f>
        <v>10</v>
      </c>
      <c r="H507" s="4" t="str" cm="1">
        <f t="array" ref="H507">INDEX(Sheet1!D:D,$G507)</f>
        <v>t1136.xlsx</v>
      </c>
      <c r="I507" s="4" t="str" cm="1">
        <f t="array" ref="I507">INDEX(Sheet1!E:E,$G507)</f>
        <v>Sheet1</v>
      </c>
      <c r="J507" s="4" t="str" cm="1">
        <f t="array" ref="J507">INDEX(Sheet1!F:F,$G507)</f>
        <v>B25</v>
      </c>
      <c r="K507" s="4" cm="1">
        <f t="array" ref="K507">INDEX(Sheet1!H:H,$G507)</f>
        <v>1</v>
      </c>
      <c r="L507" s="4">
        <f t="shared" si="28"/>
        <v>5</v>
      </c>
      <c r="M507" s="4">
        <f t="shared" si="31"/>
        <v>5</v>
      </c>
    </row>
    <row r="508" spans="1:13">
      <c r="A508" s="4" t="str" cm="1">
        <f t="array" ref="A508">INDEX(Sheet1!A:A,$F508)</f>
        <v>M</v>
      </c>
      <c r="B508" s="4" t="str" cm="1">
        <f t="array" ref="B508">INDEX(Sheet1!B:B,$F508)</f>
        <v>Pref SM</v>
      </c>
      <c r="C508" s="4">
        <f t="shared" si="29"/>
        <v>6</v>
      </c>
      <c r="D508" s="5" cm="1">
        <f t="array" aca="1" ref="D508" ca="1">OFFSET(INDIRECT("'["&amp;$H508&amp;"]"&amp;$I508&amp;"'!"&amp;$J508),$L508,$M508)*$K508</f>
        <v>2.1000000000000001E-4</v>
      </c>
      <c r="F508" s="4">
        <f t="shared" si="30"/>
        <v>7</v>
      </c>
      <c r="G508" s="4" cm="1">
        <f t="array" ref="G508">IF($C508+$M508&lt;16,INDEX(Sheet1!C:C,$F508),$F508)</f>
        <v>10</v>
      </c>
      <c r="H508" s="4" t="str" cm="1">
        <f t="array" ref="H508">INDEX(Sheet1!D:D,$G508)</f>
        <v>t1136.xlsx</v>
      </c>
      <c r="I508" s="4" t="str" cm="1">
        <f t="array" ref="I508">INDEX(Sheet1!E:E,$G508)</f>
        <v>Sheet1</v>
      </c>
      <c r="J508" s="4" t="str" cm="1">
        <f t="array" ref="J508">INDEX(Sheet1!F:F,$G508)</f>
        <v>B25</v>
      </c>
      <c r="K508" s="4" cm="1">
        <f t="array" ref="K508">INDEX(Sheet1!H:H,$G508)</f>
        <v>1</v>
      </c>
      <c r="L508" s="4">
        <f t="shared" si="28"/>
        <v>6</v>
      </c>
      <c r="M508" s="4">
        <f t="shared" si="31"/>
        <v>5</v>
      </c>
    </row>
    <row r="509" spans="1:13">
      <c r="A509" s="4" t="str" cm="1">
        <f t="array" ref="A509">INDEX(Sheet1!A:A,$F509)</f>
        <v>M</v>
      </c>
      <c r="B509" s="4" t="str" cm="1">
        <f t="array" ref="B509">INDEX(Sheet1!B:B,$F509)</f>
        <v>Pref SM</v>
      </c>
      <c r="C509" s="4">
        <f t="shared" si="29"/>
        <v>7</v>
      </c>
      <c r="D509" s="5" cm="1">
        <f t="array" aca="1" ref="D509" ca="1">OFFSET(INDIRECT("'["&amp;$H509&amp;"]"&amp;$I509&amp;"'!"&amp;$J509),$L509,$M509)*$K509</f>
        <v>2.4000000000000001E-4</v>
      </c>
      <c r="F509" s="4">
        <f t="shared" si="30"/>
        <v>7</v>
      </c>
      <c r="G509" s="4" cm="1">
        <f t="array" ref="G509">IF($C509+$M509&lt;16,INDEX(Sheet1!C:C,$F509),$F509)</f>
        <v>10</v>
      </c>
      <c r="H509" s="4" t="str" cm="1">
        <f t="array" ref="H509">INDEX(Sheet1!D:D,$G509)</f>
        <v>t1136.xlsx</v>
      </c>
      <c r="I509" s="4" t="str" cm="1">
        <f t="array" ref="I509">INDEX(Sheet1!E:E,$G509)</f>
        <v>Sheet1</v>
      </c>
      <c r="J509" s="4" t="str" cm="1">
        <f t="array" ref="J509">INDEX(Sheet1!F:F,$G509)</f>
        <v>B25</v>
      </c>
      <c r="K509" s="4" cm="1">
        <f t="array" ref="K509">INDEX(Sheet1!H:H,$G509)</f>
        <v>1</v>
      </c>
      <c r="L509" s="4">
        <f t="shared" si="28"/>
        <v>7</v>
      </c>
      <c r="M509" s="4">
        <f t="shared" si="31"/>
        <v>5</v>
      </c>
    </row>
    <row r="510" spans="1:13">
      <c r="A510" s="4" t="str" cm="1">
        <f t="array" ref="A510">INDEX(Sheet1!A:A,$F510)</f>
        <v>M</v>
      </c>
      <c r="B510" s="4" t="str" cm="1">
        <f t="array" ref="B510">INDEX(Sheet1!B:B,$F510)</f>
        <v>Pref SM</v>
      </c>
      <c r="C510" s="4">
        <f t="shared" si="29"/>
        <v>8</v>
      </c>
      <c r="D510" s="5" cm="1">
        <f t="array" aca="1" ref="D510" ca="1">OFFSET(INDIRECT("'["&amp;$H510&amp;"]"&amp;$I510&amp;"'!"&amp;$J510),$L510,$M510)*$K510</f>
        <v>2.7999999999999998E-4</v>
      </c>
      <c r="F510" s="4">
        <f t="shared" si="30"/>
        <v>7</v>
      </c>
      <c r="G510" s="4" cm="1">
        <f t="array" ref="G510">IF($C510+$M510&lt;16,INDEX(Sheet1!C:C,$F510),$F510)</f>
        <v>10</v>
      </c>
      <c r="H510" s="4" t="str" cm="1">
        <f t="array" ref="H510">INDEX(Sheet1!D:D,$G510)</f>
        <v>t1136.xlsx</v>
      </c>
      <c r="I510" s="4" t="str" cm="1">
        <f t="array" ref="I510">INDEX(Sheet1!E:E,$G510)</f>
        <v>Sheet1</v>
      </c>
      <c r="J510" s="4" t="str" cm="1">
        <f t="array" ref="J510">INDEX(Sheet1!F:F,$G510)</f>
        <v>B25</v>
      </c>
      <c r="K510" s="4" cm="1">
        <f t="array" ref="K510">INDEX(Sheet1!H:H,$G510)</f>
        <v>1</v>
      </c>
      <c r="L510" s="4">
        <f t="shared" si="28"/>
        <v>8</v>
      </c>
      <c r="M510" s="4">
        <f t="shared" si="31"/>
        <v>5</v>
      </c>
    </row>
    <row r="511" spans="1:13">
      <c r="A511" s="4" t="str" cm="1">
        <f t="array" ref="A511">INDEX(Sheet1!A:A,$F511)</f>
        <v>M</v>
      </c>
      <c r="B511" s="4" t="str" cm="1">
        <f t="array" ref="B511">INDEX(Sheet1!B:B,$F511)</f>
        <v>Pref SM</v>
      </c>
      <c r="C511" s="4">
        <f t="shared" si="29"/>
        <v>9</v>
      </c>
      <c r="D511" s="5" cm="1">
        <f t="array" aca="1" ref="D511" ca="1">OFFSET(INDIRECT("'["&amp;$H511&amp;"]"&amp;$I511&amp;"'!"&amp;$J511),$L511,$M511)*$K511</f>
        <v>3.3E-4</v>
      </c>
      <c r="F511" s="4">
        <f t="shared" si="30"/>
        <v>7</v>
      </c>
      <c r="G511" s="4" cm="1">
        <f t="array" ref="G511">IF($C511+$M511&lt;16,INDEX(Sheet1!C:C,$F511),$F511)</f>
        <v>10</v>
      </c>
      <c r="H511" s="4" t="str" cm="1">
        <f t="array" ref="H511">INDEX(Sheet1!D:D,$G511)</f>
        <v>t1136.xlsx</v>
      </c>
      <c r="I511" s="4" t="str" cm="1">
        <f t="array" ref="I511">INDEX(Sheet1!E:E,$G511)</f>
        <v>Sheet1</v>
      </c>
      <c r="J511" s="4" t="str" cm="1">
        <f t="array" ref="J511">INDEX(Sheet1!F:F,$G511)</f>
        <v>B25</v>
      </c>
      <c r="K511" s="4" cm="1">
        <f t="array" ref="K511">INDEX(Sheet1!H:H,$G511)</f>
        <v>1</v>
      </c>
      <c r="L511" s="4">
        <f t="shared" si="28"/>
        <v>9</v>
      </c>
      <c r="M511" s="4">
        <f t="shared" si="31"/>
        <v>5</v>
      </c>
    </row>
    <row r="512" spans="1:13">
      <c r="A512" s="4" t="str" cm="1">
        <f t="array" ref="A512">INDEX(Sheet1!A:A,$F512)</f>
        <v>M</v>
      </c>
      <c r="B512" s="4" t="str" cm="1">
        <f t="array" ref="B512">INDEX(Sheet1!B:B,$F512)</f>
        <v>Pref SM</v>
      </c>
      <c r="C512" s="4">
        <f t="shared" si="29"/>
        <v>10</v>
      </c>
      <c r="D512" s="5" cm="1">
        <f t="array" aca="1" ref="D512" ca="1">OFFSET(INDIRECT("'["&amp;$H512&amp;"]"&amp;$I512&amp;"'!"&amp;$J512),$L512,$M512)*$K512</f>
        <v>4.2999999999999999E-4</v>
      </c>
      <c r="F512" s="4">
        <f t="shared" si="30"/>
        <v>7</v>
      </c>
      <c r="G512" s="4" cm="1">
        <f t="array" ref="G512">IF($C512+$M512&lt;16,INDEX(Sheet1!C:C,$F512),$F512)</f>
        <v>10</v>
      </c>
      <c r="H512" s="4" t="str" cm="1">
        <f t="array" ref="H512">INDEX(Sheet1!D:D,$G512)</f>
        <v>t1136.xlsx</v>
      </c>
      <c r="I512" s="4" t="str" cm="1">
        <f t="array" ref="I512">INDEX(Sheet1!E:E,$G512)</f>
        <v>Sheet1</v>
      </c>
      <c r="J512" s="4" t="str" cm="1">
        <f t="array" ref="J512">INDEX(Sheet1!F:F,$G512)</f>
        <v>B25</v>
      </c>
      <c r="K512" s="4" cm="1">
        <f t="array" ref="K512">INDEX(Sheet1!H:H,$G512)</f>
        <v>1</v>
      </c>
      <c r="L512" s="4">
        <f t="shared" si="28"/>
        <v>10</v>
      </c>
      <c r="M512" s="4">
        <f t="shared" si="31"/>
        <v>5</v>
      </c>
    </row>
    <row r="513" spans="1:13">
      <c r="A513" s="4" t="str" cm="1">
        <f t="array" ref="A513">INDEX(Sheet1!A:A,$F513)</f>
        <v>M</v>
      </c>
      <c r="B513" s="4" t="str" cm="1">
        <f t="array" ref="B513">INDEX(Sheet1!B:B,$F513)</f>
        <v>Pref SM</v>
      </c>
      <c r="C513" s="4">
        <f t="shared" si="29"/>
        <v>11</v>
      </c>
      <c r="D513" s="5" cm="1">
        <f t="array" aca="1" ref="D513" ca="1">OFFSET(INDIRECT("'["&amp;$H513&amp;"]"&amp;$I513&amp;"'!"&amp;$J513),$L513,$M513)*$K513</f>
        <v>5.0000000000000001E-4</v>
      </c>
      <c r="F513" s="4">
        <f t="shared" si="30"/>
        <v>7</v>
      </c>
      <c r="G513" s="4" cm="1">
        <f t="array" ref="G513">IF($C513+$M513&lt;16,INDEX(Sheet1!C:C,$F513),$F513)</f>
        <v>7</v>
      </c>
      <c r="H513" s="4" t="str" cm="1">
        <f t="array" ref="H513">INDEX(Sheet1!D:D,$G513)</f>
        <v>2001-cso-preferred-class-structure-mortality-tables.xls</v>
      </c>
      <c r="I513" s="4" t="str" cm="1">
        <f t="array" ref="I513">INDEX(Sheet1!E:E,$G513)</f>
        <v>A.1.a.iv</v>
      </c>
      <c r="J513" s="4" t="str" cm="1">
        <f t="array" ref="J513">INDEX(Sheet1!F:F,$G513)</f>
        <v>B8</v>
      </c>
      <c r="K513" s="4" cm="1">
        <f t="array" ref="K513">INDEX(Sheet1!H:H,$G513)</f>
        <v>1E-3</v>
      </c>
      <c r="L513" s="4">
        <f t="shared" si="28"/>
        <v>11</v>
      </c>
      <c r="M513" s="4">
        <f t="shared" si="31"/>
        <v>5</v>
      </c>
    </row>
    <row r="514" spans="1:13">
      <c r="A514" s="4" t="str" cm="1">
        <f t="array" ref="A514">INDEX(Sheet1!A:A,$F514)</f>
        <v>M</v>
      </c>
      <c r="B514" s="4" t="str" cm="1">
        <f t="array" ref="B514">INDEX(Sheet1!B:B,$F514)</f>
        <v>Pref SM</v>
      </c>
      <c r="C514" s="4">
        <f t="shared" si="29"/>
        <v>12</v>
      </c>
      <c r="D514" s="5" cm="1">
        <f t="array" aca="1" ref="D514" ca="1">OFFSET(INDIRECT("'["&amp;$H514&amp;"]"&amp;$I514&amp;"'!"&amp;$J514),$L514,$M514)*$K514</f>
        <v>6.3000000000000003E-4</v>
      </c>
      <c r="F514" s="4">
        <f t="shared" si="30"/>
        <v>7</v>
      </c>
      <c r="G514" s="4" cm="1">
        <f t="array" ref="G514">IF($C514+$M514&lt;16,INDEX(Sheet1!C:C,$F514),$F514)</f>
        <v>7</v>
      </c>
      <c r="H514" s="4" t="str" cm="1">
        <f t="array" ref="H514">INDEX(Sheet1!D:D,$G514)</f>
        <v>2001-cso-preferred-class-structure-mortality-tables.xls</v>
      </c>
      <c r="I514" s="4" t="str" cm="1">
        <f t="array" ref="I514">INDEX(Sheet1!E:E,$G514)</f>
        <v>A.1.a.iv</v>
      </c>
      <c r="J514" s="4" t="str" cm="1">
        <f t="array" ref="J514">INDEX(Sheet1!F:F,$G514)</f>
        <v>B8</v>
      </c>
      <c r="K514" s="4" cm="1">
        <f t="array" ref="K514">INDEX(Sheet1!H:H,$G514)</f>
        <v>1E-3</v>
      </c>
      <c r="L514" s="4">
        <f t="shared" si="28"/>
        <v>12</v>
      </c>
      <c r="M514" s="4">
        <f t="shared" si="31"/>
        <v>5</v>
      </c>
    </row>
    <row r="515" spans="1:13">
      <c r="A515" s="4" t="str" cm="1">
        <f t="array" ref="A515">INDEX(Sheet1!A:A,$F515)</f>
        <v>M</v>
      </c>
      <c r="B515" s="4" t="str" cm="1">
        <f t="array" ref="B515">INDEX(Sheet1!B:B,$F515)</f>
        <v>Pref SM</v>
      </c>
      <c r="C515" s="4">
        <f t="shared" si="29"/>
        <v>13</v>
      </c>
      <c r="D515" s="5" cm="1">
        <f t="array" aca="1" ref="D515" ca="1">OFFSET(INDIRECT("'["&amp;$H515&amp;"]"&amp;$I515&amp;"'!"&amp;$J515),$L515,$M515)*$K515</f>
        <v>7.3999999999999999E-4</v>
      </c>
      <c r="F515" s="4">
        <f t="shared" si="30"/>
        <v>7</v>
      </c>
      <c r="G515" s="4" cm="1">
        <f t="array" ref="G515">IF($C515+$M515&lt;16,INDEX(Sheet1!C:C,$F515),$F515)</f>
        <v>7</v>
      </c>
      <c r="H515" s="4" t="str" cm="1">
        <f t="array" ref="H515">INDEX(Sheet1!D:D,$G515)</f>
        <v>2001-cso-preferred-class-structure-mortality-tables.xls</v>
      </c>
      <c r="I515" s="4" t="str" cm="1">
        <f t="array" ref="I515">INDEX(Sheet1!E:E,$G515)</f>
        <v>A.1.a.iv</v>
      </c>
      <c r="J515" s="4" t="str" cm="1">
        <f t="array" ref="J515">INDEX(Sheet1!F:F,$G515)</f>
        <v>B8</v>
      </c>
      <c r="K515" s="4" cm="1">
        <f t="array" ref="K515">INDEX(Sheet1!H:H,$G515)</f>
        <v>1E-3</v>
      </c>
      <c r="L515" s="4">
        <f t="shared" ref="L515:L578" si="32">C515</f>
        <v>13</v>
      </c>
      <c r="M515" s="4">
        <f t="shared" si="31"/>
        <v>5</v>
      </c>
    </row>
    <row r="516" spans="1:13">
      <c r="A516" s="4" t="str" cm="1">
        <f t="array" ref="A516">INDEX(Sheet1!A:A,$F516)</f>
        <v>M</v>
      </c>
      <c r="B516" s="4" t="str" cm="1">
        <f t="array" ref="B516">INDEX(Sheet1!B:B,$F516)</f>
        <v>Pref SM</v>
      </c>
      <c r="C516" s="4">
        <f t="shared" ref="C516:C579" si="33">IF(C515=99,0,C515+1)</f>
        <v>14</v>
      </c>
      <c r="D516" s="5" cm="1">
        <f t="array" aca="1" ref="D516" ca="1">OFFSET(INDIRECT("'["&amp;$H516&amp;"]"&amp;$I516&amp;"'!"&amp;$J516),$L516,$M516)*$K516</f>
        <v>8.1000000000000006E-4</v>
      </c>
      <c r="F516" s="4">
        <f t="shared" ref="F516:F579" si="34">IF(C516=0,1,0)+F515</f>
        <v>7</v>
      </c>
      <c r="G516" s="4" cm="1">
        <f t="array" ref="G516">IF($C516+$M516&lt;16,INDEX(Sheet1!C:C,$F516),$F516)</f>
        <v>7</v>
      </c>
      <c r="H516" s="4" t="str" cm="1">
        <f t="array" ref="H516">INDEX(Sheet1!D:D,$G516)</f>
        <v>2001-cso-preferred-class-structure-mortality-tables.xls</v>
      </c>
      <c r="I516" s="4" t="str" cm="1">
        <f t="array" ref="I516">INDEX(Sheet1!E:E,$G516)</f>
        <v>A.1.a.iv</v>
      </c>
      <c r="J516" s="4" t="str" cm="1">
        <f t="array" ref="J516">INDEX(Sheet1!F:F,$G516)</f>
        <v>B8</v>
      </c>
      <c r="K516" s="4" cm="1">
        <f t="array" ref="K516">INDEX(Sheet1!H:H,$G516)</f>
        <v>1E-3</v>
      </c>
      <c r="L516" s="4">
        <f t="shared" si="32"/>
        <v>14</v>
      </c>
      <c r="M516" s="4">
        <f t="shared" ref="L516:M579" si="35">M$2</f>
        <v>5</v>
      </c>
    </row>
    <row r="517" spans="1:13">
      <c r="A517" s="4" t="str" cm="1">
        <f t="array" ref="A517">INDEX(Sheet1!A:A,$F517)</f>
        <v>M</v>
      </c>
      <c r="B517" s="4" t="str" cm="1">
        <f t="array" ref="B517">INDEX(Sheet1!B:B,$F517)</f>
        <v>Pref SM</v>
      </c>
      <c r="C517" s="4">
        <f t="shared" si="33"/>
        <v>15</v>
      </c>
      <c r="D517" s="5" cm="1">
        <f t="array" aca="1" ref="D517" ca="1">OFFSET(INDIRECT("'["&amp;$H517&amp;"]"&amp;$I517&amp;"'!"&amp;$J517),$L517,$M517)*$K517</f>
        <v>8.4000000000000003E-4</v>
      </c>
      <c r="F517" s="4">
        <f t="shared" si="34"/>
        <v>7</v>
      </c>
      <c r="G517" s="4" cm="1">
        <f t="array" ref="G517">IF($C517+$M517&lt;16,INDEX(Sheet1!C:C,$F517),$F517)</f>
        <v>7</v>
      </c>
      <c r="H517" s="4" t="str" cm="1">
        <f t="array" ref="H517">INDEX(Sheet1!D:D,$G517)</f>
        <v>2001-cso-preferred-class-structure-mortality-tables.xls</v>
      </c>
      <c r="I517" s="4" t="str" cm="1">
        <f t="array" ref="I517">INDEX(Sheet1!E:E,$G517)</f>
        <v>A.1.a.iv</v>
      </c>
      <c r="J517" s="4" t="str" cm="1">
        <f t="array" ref="J517">INDEX(Sheet1!F:F,$G517)</f>
        <v>B8</v>
      </c>
      <c r="K517" s="4" cm="1">
        <f t="array" ref="K517">INDEX(Sheet1!H:H,$G517)</f>
        <v>1E-3</v>
      </c>
      <c r="L517" s="4">
        <f t="shared" si="32"/>
        <v>15</v>
      </c>
      <c r="M517" s="4">
        <f t="shared" si="35"/>
        <v>5</v>
      </c>
    </row>
    <row r="518" spans="1:13">
      <c r="A518" s="4" t="str" cm="1">
        <f t="array" ref="A518">INDEX(Sheet1!A:A,$F518)</f>
        <v>M</v>
      </c>
      <c r="B518" s="4" t="str" cm="1">
        <f t="array" ref="B518">INDEX(Sheet1!B:B,$F518)</f>
        <v>Pref SM</v>
      </c>
      <c r="C518" s="4">
        <f t="shared" si="33"/>
        <v>16</v>
      </c>
      <c r="D518" s="5" cm="1">
        <f t="array" aca="1" ref="D518" ca="1">OFFSET(INDIRECT("'["&amp;$H518&amp;"]"&amp;$I518&amp;"'!"&amp;$J518),$L518,$M518)*$K518</f>
        <v>8.5999999999999998E-4</v>
      </c>
      <c r="F518" s="4">
        <f t="shared" si="34"/>
        <v>7</v>
      </c>
      <c r="G518" s="4" cm="1">
        <f t="array" ref="G518">IF($C518+$M518&lt;16,INDEX(Sheet1!C:C,$F518),$F518)</f>
        <v>7</v>
      </c>
      <c r="H518" s="4" t="str" cm="1">
        <f t="array" ref="H518">INDEX(Sheet1!D:D,$G518)</f>
        <v>2001-cso-preferred-class-structure-mortality-tables.xls</v>
      </c>
      <c r="I518" s="4" t="str" cm="1">
        <f t="array" ref="I518">INDEX(Sheet1!E:E,$G518)</f>
        <v>A.1.a.iv</v>
      </c>
      <c r="J518" s="4" t="str" cm="1">
        <f t="array" ref="J518">INDEX(Sheet1!F:F,$G518)</f>
        <v>B8</v>
      </c>
      <c r="K518" s="4" cm="1">
        <f t="array" ref="K518">INDEX(Sheet1!H:H,$G518)</f>
        <v>1E-3</v>
      </c>
      <c r="L518" s="4">
        <f t="shared" si="32"/>
        <v>16</v>
      </c>
      <c r="M518" s="4">
        <f t="shared" si="35"/>
        <v>5</v>
      </c>
    </row>
    <row r="519" spans="1:13">
      <c r="A519" s="4" t="str" cm="1">
        <f t="array" ref="A519">INDEX(Sheet1!A:A,$F519)</f>
        <v>M</v>
      </c>
      <c r="B519" s="4" t="str" cm="1">
        <f t="array" ref="B519">INDEX(Sheet1!B:B,$F519)</f>
        <v>Pref SM</v>
      </c>
      <c r="C519" s="4">
        <f t="shared" si="33"/>
        <v>17</v>
      </c>
      <c r="D519" s="5" cm="1">
        <f t="array" aca="1" ref="D519" ca="1">OFFSET(INDIRECT("'["&amp;$H519&amp;"]"&amp;$I519&amp;"'!"&amp;$J519),$L519,$M519)*$K519</f>
        <v>9.1E-4</v>
      </c>
      <c r="F519" s="4">
        <f t="shared" si="34"/>
        <v>7</v>
      </c>
      <c r="G519" s="4" cm="1">
        <f t="array" ref="G519">IF($C519+$M519&lt;16,INDEX(Sheet1!C:C,$F519),$F519)</f>
        <v>7</v>
      </c>
      <c r="H519" s="4" t="str" cm="1">
        <f t="array" ref="H519">INDEX(Sheet1!D:D,$G519)</f>
        <v>2001-cso-preferred-class-structure-mortality-tables.xls</v>
      </c>
      <c r="I519" s="4" t="str" cm="1">
        <f t="array" ref="I519">INDEX(Sheet1!E:E,$G519)</f>
        <v>A.1.a.iv</v>
      </c>
      <c r="J519" s="4" t="str" cm="1">
        <f t="array" ref="J519">INDEX(Sheet1!F:F,$G519)</f>
        <v>B8</v>
      </c>
      <c r="K519" s="4" cm="1">
        <f t="array" ref="K519">INDEX(Sheet1!H:H,$G519)</f>
        <v>1E-3</v>
      </c>
      <c r="L519" s="4">
        <f t="shared" si="32"/>
        <v>17</v>
      </c>
      <c r="M519" s="4">
        <f t="shared" si="35"/>
        <v>5</v>
      </c>
    </row>
    <row r="520" spans="1:13">
      <c r="A520" s="4" t="str" cm="1">
        <f t="array" ref="A520">INDEX(Sheet1!A:A,$F520)</f>
        <v>M</v>
      </c>
      <c r="B520" s="4" t="str" cm="1">
        <f t="array" ref="B520">INDEX(Sheet1!B:B,$F520)</f>
        <v>Pref SM</v>
      </c>
      <c r="C520" s="4">
        <f t="shared" si="33"/>
        <v>18</v>
      </c>
      <c r="D520" s="5" cm="1">
        <f t="array" aca="1" ref="D520" ca="1">OFFSET(INDIRECT("'["&amp;$H520&amp;"]"&amp;$I520&amp;"'!"&amp;$J520),$L520,$M520)*$K520</f>
        <v>9.2000000000000003E-4</v>
      </c>
      <c r="F520" s="4">
        <f t="shared" si="34"/>
        <v>7</v>
      </c>
      <c r="G520" s="4" cm="1">
        <f t="array" ref="G520">IF($C520+$M520&lt;16,INDEX(Sheet1!C:C,$F520),$F520)</f>
        <v>7</v>
      </c>
      <c r="H520" s="4" t="str" cm="1">
        <f t="array" ref="H520">INDEX(Sheet1!D:D,$G520)</f>
        <v>2001-cso-preferred-class-structure-mortality-tables.xls</v>
      </c>
      <c r="I520" s="4" t="str" cm="1">
        <f t="array" ref="I520">INDEX(Sheet1!E:E,$G520)</f>
        <v>A.1.a.iv</v>
      </c>
      <c r="J520" s="4" t="str" cm="1">
        <f t="array" ref="J520">INDEX(Sheet1!F:F,$G520)</f>
        <v>B8</v>
      </c>
      <c r="K520" s="4" cm="1">
        <f t="array" ref="K520">INDEX(Sheet1!H:H,$G520)</f>
        <v>1E-3</v>
      </c>
      <c r="L520" s="4">
        <f t="shared" si="32"/>
        <v>18</v>
      </c>
      <c r="M520" s="4">
        <f t="shared" si="35"/>
        <v>5</v>
      </c>
    </row>
    <row r="521" spans="1:13">
      <c r="A521" s="4" t="str" cm="1">
        <f t="array" ref="A521">INDEX(Sheet1!A:A,$F521)</f>
        <v>M</v>
      </c>
      <c r="B521" s="4" t="str" cm="1">
        <f t="array" ref="B521">INDEX(Sheet1!B:B,$F521)</f>
        <v>Pref SM</v>
      </c>
      <c r="C521" s="4">
        <f t="shared" si="33"/>
        <v>19</v>
      </c>
      <c r="D521" s="5" cm="1">
        <f t="array" aca="1" ref="D521" ca="1">OFFSET(INDIRECT("'["&amp;$H521&amp;"]"&amp;$I521&amp;"'!"&amp;$J521),$L521,$M521)*$K521</f>
        <v>9.3000000000000005E-4</v>
      </c>
      <c r="F521" s="4">
        <f t="shared" si="34"/>
        <v>7</v>
      </c>
      <c r="G521" s="4" cm="1">
        <f t="array" ref="G521">IF($C521+$M521&lt;16,INDEX(Sheet1!C:C,$F521),$F521)</f>
        <v>7</v>
      </c>
      <c r="H521" s="4" t="str" cm="1">
        <f t="array" ref="H521">INDEX(Sheet1!D:D,$G521)</f>
        <v>2001-cso-preferred-class-structure-mortality-tables.xls</v>
      </c>
      <c r="I521" s="4" t="str" cm="1">
        <f t="array" ref="I521">INDEX(Sheet1!E:E,$G521)</f>
        <v>A.1.a.iv</v>
      </c>
      <c r="J521" s="4" t="str" cm="1">
        <f t="array" ref="J521">INDEX(Sheet1!F:F,$G521)</f>
        <v>B8</v>
      </c>
      <c r="K521" s="4" cm="1">
        <f t="array" ref="K521">INDEX(Sheet1!H:H,$G521)</f>
        <v>1E-3</v>
      </c>
      <c r="L521" s="4">
        <f t="shared" si="32"/>
        <v>19</v>
      </c>
      <c r="M521" s="4">
        <f t="shared" si="35"/>
        <v>5</v>
      </c>
    </row>
    <row r="522" spans="1:13">
      <c r="A522" s="4" t="str" cm="1">
        <f t="array" ref="A522">INDEX(Sheet1!A:A,$F522)</f>
        <v>M</v>
      </c>
      <c r="B522" s="4" t="str" cm="1">
        <f t="array" ref="B522">INDEX(Sheet1!B:B,$F522)</f>
        <v>Pref SM</v>
      </c>
      <c r="C522" s="4">
        <f t="shared" si="33"/>
        <v>20</v>
      </c>
      <c r="D522" s="5" cm="1">
        <f t="array" aca="1" ref="D522" ca="1">OFFSET(INDIRECT("'["&amp;$H522&amp;"]"&amp;$I522&amp;"'!"&amp;$J522),$L522,$M522)*$K522</f>
        <v>9.3999999999999997E-4</v>
      </c>
      <c r="F522" s="4">
        <f t="shared" si="34"/>
        <v>7</v>
      </c>
      <c r="G522" s="4" cm="1">
        <f t="array" ref="G522">IF($C522+$M522&lt;16,INDEX(Sheet1!C:C,$F522),$F522)</f>
        <v>7</v>
      </c>
      <c r="H522" s="4" t="str" cm="1">
        <f t="array" ref="H522">INDEX(Sheet1!D:D,$G522)</f>
        <v>2001-cso-preferred-class-structure-mortality-tables.xls</v>
      </c>
      <c r="I522" s="4" t="str" cm="1">
        <f t="array" ref="I522">INDEX(Sheet1!E:E,$G522)</f>
        <v>A.1.a.iv</v>
      </c>
      <c r="J522" s="4" t="str" cm="1">
        <f t="array" ref="J522">INDEX(Sheet1!F:F,$G522)</f>
        <v>B8</v>
      </c>
      <c r="K522" s="4" cm="1">
        <f t="array" ref="K522">INDEX(Sheet1!H:H,$G522)</f>
        <v>1E-3</v>
      </c>
      <c r="L522" s="4">
        <f t="shared" si="32"/>
        <v>20</v>
      </c>
      <c r="M522" s="4">
        <f t="shared" si="35"/>
        <v>5</v>
      </c>
    </row>
    <row r="523" spans="1:13">
      <c r="A523" s="4" t="str" cm="1">
        <f t="array" ref="A523">INDEX(Sheet1!A:A,$F523)</f>
        <v>M</v>
      </c>
      <c r="B523" s="4" t="str" cm="1">
        <f t="array" ref="B523">INDEX(Sheet1!B:B,$F523)</f>
        <v>Pref SM</v>
      </c>
      <c r="C523" s="4">
        <f t="shared" si="33"/>
        <v>21</v>
      </c>
      <c r="D523" s="5" cm="1">
        <f t="array" aca="1" ref="D523" ca="1">OFFSET(INDIRECT("'["&amp;$H523&amp;"]"&amp;$I523&amp;"'!"&amp;$J523),$L523,$M523)*$K523</f>
        <v>9.0000000000000008E-4</v>
      </c>
      <c r="F523" s="4">
        <f t="shared" si="34"/>
        <v>7</v>
      </c>
      <c r="G523" s="4" cm="1">
        <f t="array" ref="G523">IF($C523+$M523&lt;16,INDEX(Sheet1!C:C,$F523),$F523)</f>
        <v>7</v>
      </c>
      <c r="H523" s="4" t="str" cm="1">
        <f t="array" ref="H523">INDEX(Sheet1!D:D,$G523)</f>
        <v>2001-cso-preferred-class-structure-mortality-tables.xls</v>
      </c>
      <c r="I523" s="4" t="str" cm="1">
        <f t="array" ref="I523">INDEX(Sheet1!E:E,$G523)</f>
        <v>A.1.a.iv</v>
      </c>
      <c r="J523" s="4" t="str" cm="1">
        <f t="array" ref="J523">INDEX(Sheet1!F:F,$G523)</f>
        <v>B8</v>
      </c>
      <c r="K523" s="4" cm="1">
        <f t="array" ref="K523">INDEX(Sheet1!H:H,$G523)</f>
        <v>1E-3</v>
      </c>
      <c r="L523" s="4">
        <f t="shared" si="32"/>
        <v>21</v>
      </c>
      <c r="M523" s="4">
        <f t="shared" si="35"/>
        <v>5</v>
      </c>
    </row>
    <row r="524" spans="1:13">
      <c r="A524" s="4" t="str" cm="1">
        <f t="array" ref="A524">INDEX(Sheet1!A:A,$F524)</f>
        <v>M</v>
      </c>
      <c r="B524" s="4" t="str" cm="1">
        <f t="array" ref="B524">INDEX(Sheet1!B:B,$F524)</f>
        <v>Pref SM</v>
      </c>
      <c r="C524" s="4">
        <f t="shared" si="33"/>
        <v>22</v>
      </c>
      <c r="D524" s="5" cm="1">
        <f t="array" aca="1" ref="D524" ca="1">OFFSET(INDIRECT("'["&amp;$H524&amp;"]"&amp;$I524&amp;"'!"&amp;$J524),$L524,$M524)*$K524</f>
        <v>8.7000000000000001E-4</v>
      </c>
      <c r="F524" s="4">
        <f t="shared" si="34"/>
        <v>7</v>
      </c>
      <c r="G524" s="4" cm="1">
        <f t="array" ref="G524">IF($C524+$M524&lt;16,INDEX(Sheet1!C:C,$F524),$F524)</f>
        <v>7</v>
      </c>
      <c r="H524" s="4" t="str" cm="1">
        <f t="array" ref="H524">INDEX(Sheet1!D:D,$G524)</f>
        <v>2001-cso-preferred-class-structure-mortality-tables.xls</v>
      </c>
      <c r="I524" s="4" t="str" cm="1">
        <f t="array" ref="I524">INDEX(Sheet1!E:E,$G524)</f>
        <v>A.1.a.iv</v>
      </c>
      <c r="J524" s="4" t="str" cm="1">
        <f t="array" ref="J524">INDEX(Sheet1!F:F,$G524)</f>
        <v>B8</v>
      </c>
      <c r="K524" s="4" cm="1">
        <f t="array" ref="K524">INDEX(Sheet1!H:H,$G524)</f>
        <v>1E-3</v>
      </c>
      <c r="L524" s="4">
        <f t="shared" si="32"/>
        <v>22</v>
      </c>
      <c r="M524" s="4">
        <f t="shared" si="35"/>
        <v>5</v>
      </c>
    </row>
    <row r="525" spans="1:13">
      <c r="A525" s="4" t="str" cm="1">
        <f t="array" ref="A525">INDEX(Sheet1!A:A,$F525)</f>
        <v>M</v>
      </c>
      <c r="B525" s="4" t="str" cm="1">
        <f t="array" ref="B525">INDEX(Sheet1!B:B,$F525)</f>
        <v>Pref SM</v>
      </c>
      <c r="C525" s="4">
        <f t="shared" si="33"/>
        <v>23</v>
      </c>
      <c r="D525" s="5" cm="1">
        <f t="array" aca="1" ref="D525" ca="1">OFFSET(INDIRECT("'["&amp;$H525&amp;"]"&amp;$I525&amp;"'!"&amp;$J525),$L525,$M525)*$K525</f>
        <v>8.7000000000000001E-4</v>
      </c>
      <c r="F525" s="4">
        <f t="shared" si="34"/>
        <v>7</v>
      </c>
      <c r="G525" s="4" cm="1">
        <f t="array" ref="G525">IF($C525+$M525&lt;16,INDEX(Sheet1!C:C,$F525),$F525)</f>
        <v>7</v>
      </c>
      <c r="H525" s="4" t="str" cm="1">
        <f t="array" ref="H525">INDEX(Sheet1!D:D,$G525)</f>
        <v>2001-cso-preferred-class-structure-mortality-tables.xls</v>
      </c>
      <c r="I525" s="4" t="str" cm="1">
        <f t="array" ref="I525">INDEX(Sheet1!E:E,$G525)</f>
        <v>A.1.a.iv</v>
      </c>
      <c r="J525" s="4" t="str" cm="1">
        <f t="array" ref="J525">INDEX(Sheet1!F:F,$G525)</f>
        <v>B8</v>
      </c>
      <c r="K525" s="4" cm="1">
        <f t="array" ref="K525">INDEX(Sheet1!H:H,$G525)</f>
        <v>1E-3</v>
      </c>
      <c r="L525" s="4">
        <f t="shared" si="32"/>
        <v>23</v>
      </c>
      <c r="M525" s="4">
        <f t="shared" si="35"/>
        <v>5</v>
      </c>
    </row>
    <row r="526" spans="1:13">
      <c r="A526" s="4" t="str" cm="1">
        <f t="array" ref="A526">INDEX(Sheet1!A:A,$F526)</f>
        <v>M</v>
      </c>
      <c r="B526" s="4" t="str" cm="1">
        <f t="array" ref="B526">INDEX(Sheet1!B:B,$F526)</f>
        <v>Pref SM</v>
      </c>
      <c r="C526" s="4">
        <f t="shared" si="33"/>
        <v>24</v>
      </c>
      <c r="D526" s="5" cm="1">
        <f t="array" aca="1" ref="D526" ca="1">OFFSET(INDIRECT("'["&amp;$H526&amp;"]"&amp;$I526&amp;"'!"&amp;$J526),$L526,$M526)*$K526</f>
        <v>8.7000000000000001E-4</v>
      </c>
      <c r="F526" s="4">
        <f t="shared" si="34"/>
        <v>7</v>
      </c>
      <c r="G526" s="4" cm="1">
        <f t="array" ref="G526">IF($C526+$M526&lt;16,INDEX(Sheet1!C:C,$F526),$F526)</f>
        <v>7</v>
      </c>
      <c r="H526" s="4" t="str" cm="1">
        <f t="array" ref="H526">INDEX(Sheet1!D:D,$G526)</f>
        <v>2001-cso-preferred-class-structure-mortality-tables.xls</v>
      </c>
      <c r="I526" s="4" t="str" cm="1">
        <f t="array" ref="I526">INDEX(Sheet1!E:E,$G526)</f>
        <v>A.1.a.iv</v>
      </c>
      <c r="J526" s="4" t="str" cm="1">
        <f t="array" ref="J526">INDEX(Sheet1!F:F,$G526)</f>
        <v>B8</v>
      </c>
      <c r="K526" s="4" cm="1">
        <f t="array" ref="K526">INDEX(Sheet1!H:H,$G526)</f>
        <v>1E-3</v>
      </c>
      <c r="L526" s="4">
        <f t="shared" si="32"/>
        <v>24</v>
      </c>
      <c r="M526" s="4">
        <f t="shared" si="35"/>
        <v>5</v>
      </c>
    </row>
    <row r="527" spans="1:13">
      <c r="A527" s="4" t="str" cm="1">
        <f t="array" ref="A527">INDEX(Sheet1!A:A,$F527)</f>
        <v>M</v>
      </c>
      <c r="B527" s="4" t="str" cm="1">
        <f t="array" ref="B527">INDEX(Sheet1!B:B,$F527)</f>
        <v>Pref SM</v>
      </c>
      <c r="C527" s="4">
        <f t="shared" si="33"/>
        <v>25</v>
      </c>
      <c r="D527" s="5" cm="1">
        <f t="array" aca="1" ref="D527" ca="1">OFFSET(INDIRECT("'["&amp;$H527&amp;"]"&amp;$I527&amp;"'!"&amp;$J527),$L527,$M527)*$K527</f>
        <v>9.0000000000000008E-4</v>
      </c>
      <c r="F527" s="4">
        <f t="shared" si="34"/>
        <v>7</v>
      </c>
      <c r="G527" s="4" cm="1">
        <f t="array" ref="G527">IF($C527+$M527&lt;16,INDEX(Sheet1!C:C,$F527),$F527)</f>
        <v>7</v>
      </c>
      <c r="H527" s="4" t="str" cm="1">
        <f t="array" ref="H527">INDEX(Sheet1!D:D,$G527)</f>
        <v>2001-cso-preferred-class-structure-mortality-tables.xls</v>
      </c>
      <c r="I527" s="4" t="str" cm="1">
        <f t="array" ref="I527">INDEX(Sheet1!E:E,$G527)</f>
        <v>A.1.a.iv</v>
      </c>
      <c r="J527" s="4" t="str" cm="1">
        <f t="array" ref="J527">INDEX(Sheet1!F:F,$G527)</f>
        <v>B8</v>
      </c>
      <c r="K527" s="4" cm="1">
        <f t="array" ref="K527">INDEX(Sheet1!H:H,$G527)</f>
        <v>1E-3</v>
      </c>
      <c r="L527" s="4">
        <f t="shared" si="32"/>
        <v>25</v>
      </c>
      <c r="M527" s="4">
        <f t="shared" si="35"/>
        <v>5</v>
      </c>
    </row>
    <row r="528" spans="1:13">
      <c r="A528" s="4" t="str" cm="1">
        <f t="array" ref="A528">INDEX(Sheet1!A:A,$F528)</f>
        <v>M</v>
      </c>
      <c r="B528" s="4" t="str" cm="1">
        <f t="array" ref="B528">INDEX(Sheet1!B:B,$F528)</f>
        <v>Pref SM</v>
      </c>
      <c r="C528" s="4">
        <f t="shared" si="33"/>
        <v>26</v>
      </c>
      <c r="D528" s="5" cm="1">
        <f t="array" aca="1" ref="D528" ca="1">OFFSET(INDIRECT("'["&amp;$H528&amp;"]"&amp;$I528&amp;"'!"&amp;$J528),$L528,$M528)*$K528</f>
        <v>9.2000000000000003E-4</v>
      </c>
      <c r="F528" s="4">
        <f t="shared" si="34"/>
        <v>7</v>
      </c>
      <c r="G528" s="4" cm="1">
        <f t="array" ref="G528">IF($C528+$M528&lt;16,INDEX(Sheet1!C:C,$F528),$F528)</f>
        <v>7</v>
      </c>
      <c r="H528" s="4" t="str" cm="1">
        <f t="array" ref="H528">INDEX(Sheet1!D:D,$G528)</f>
        <v>2001-cso-preferred-class-structure-mortality-tables.xls</v>
      </c>
      <c r="I528" s="4" t="str" cm="1">
        <f t="array" ref="I528">INDEX(Sheet1!E:E,$G528)</f>
        <v>A.1.a.iv</v>
      </c>
      <c r="J528" s="4" t="str" cm="1">
        <f t="array" ref="J528">INDEX(Sheet1!F:F,$G528)</f>
        <v>B8</v>
      </c>
      <c r="K528" s="4" cm="1">
        <f t="array" ref="K528">INDEX(Sheet1!H:H,$G528)</f>
        <v>1E-3</v>
      </c>
      <c r="L528" s="4">
        <f t="shared" si="32"/>
        <v>26</v>
      </c>
      <c r="M528" s="4">
        <f t="shared" si="35"/>
        <v>5</v>
      </c>
    </row>
    <row r="529" spans="1:13">
      <c r="A529" s="4" t="str" cm="1">
        <f t="array" ref="A529">INDEX(Sheet1!A:A,$F529)</f>
        <v>M</v>
      </c>
      <c r="B529" s="4" t="str" cm="1">
        <f t="array" ref="B529">INDEX(Sheet1!B:B,$F529)</f>
        <v>Pref SM</v>
      </c>
      <c r="C529" s="4">
        <f t="shared" si="33"/>
        <v>27</v>
      </c>
      <c r="D529" s="5" cm="1">
        <f t="array" aca="1" ref="D529" ca="1">OFFSET(INDIRECT("'["&amp;$H529&amp;"]"&amp;$I529&amp;"'!"&amp;$J529),$L529,$M529)*$K529</f>
        <v>9.6999999999999994E-4</v>
      </c>
      <c r="F529" s="4">
        <f t="shared" si="34"/>
        <v>7</v>
      </c>
      <c r="G529" s="4" cm="1">
        <f t="array" ref="G529">IF($C529+$M529&lt;16,INDEX(Sheet1!C:C,$F529),$F529)</f>
        <v>7</v>
      </c>
      <c r="H529" s="4" t="str" cm="1">
        <f t="array" ref="H529">INDEX(Sheet1!D:D,$G529)</f>
        <v>2001-cso-preferred-class-structure-mortality-tables.xls</v>
      </c>
      <c r="I529" s="4" t="str" cm="1">
        <f t="array" ref="I529">INDEX(Sheet1!E:E,$G529)</f>
        <v>A.1.a.iv</v>
      </c>
      <c r="J529" s="4" t="str" cm="1">
        <f t="array" ref="J529">INDEX(Sheet1!F:F,$G529)</f>
        <v>B8</v>
      </c>
      <c r="K529" s="4" cm="1">
        <f t="array" ref="K529">INDEX(Sheet1!H:H,$G529)</f>
        <v>1E-3</v>
      </c>
      <c r="L529" s="4">
        <f t="shared" si="32"/>
        <v>27</v>
      </c>
      <c r="M529" s="4">
        <f t="shared" si="35"/>
        <v>5</v>
      </c>
    </row>
    <row r="530" spans="1:13">
      <c r="A530" s="4" t="str" cm="1">
        <f t="array" ref="A530">INDEX(Sheet1!A:A,$F530)</f>
        <v>M</v>
      </c>
      <c r="B530" s="4" t="str" cm="1">
        <f t="array" ref="B530">INDEX(Sheet1!B:B,$F530)</f>
        <v>Pref SM</v>
      </c>
      <c r="C530" s="4">
        <f t="shared" si="33"/>
        <v>28</v>
      </c>
      <c r="D530" s="5" cm="1">
        <f t="array" aca="1" ref="D530" ca="1">OFFSET(INDIRECT("'["&amp;$H530&amp;"]"&amp;$I530&amp;"'!"&amp;$J530),$L530,$M530)*$K530</f>
        <v>1.0300000000000001E-3</v>
      </c>
      <c r="F530" s="4">
        <f t="shared" si="34"/>
        <v>7</v>
      </c>
      <c r="G530" s="4" cm="1">
        <f t="array" ref="G530">IF($C530+$M530&lt;16,INDEX(Sheet1!C:C,$F530),$F530)</f>
        <v>7</v>
      </c>
      <c r="H530" s="4" t="str" cm="1">
        <f t="array" ref="H530">INDEX(Sheet1!D:D,$G530)</f>
        <v>2001-cso-preferred-class-structure-mortality-tables.xls</v>
      </c>
      <c r="I530" s="4" t="str" cm="1">
        <f t="array" ref="I530">INDEX(Sheet1!E:E,$G530)</f>
        <v>A.1.a.iv</v>
      </c>
      <c r="J530" s="4" t="str" cm="1">
        <f t="array" ref="J530">INDEX(Sheet1!F:F,$G530)</f>
        <v>B8</v>
      </c>
      <c r="K530" s="4" cm="1">
        <f t="array" ref="K530">INDEX(Sheet1!H:H,$G530)</f>
        <v>1E-3</v>
      </c>
      <c r="L530" s="4">
        <f t="shared" si="32"/>
        <v>28</v>
      </c>
      <c r="M530" s="4">
        <f t="shared" si="35"/>
        <v>5</v>
      </c>
    </row>
    <row r="531" spans="1:13">
      <c r="A531" s="4" t="str" cm="1">
        <f t="array" ref="A531">INDEX(Sheet1!A:A,$F531)</f>
        <v>M</v>
      </c>
      <c r="B531" s="4" t="str" cm="1">
        <f t="array" ref="B531">INDEX(Sheet1!B:B,$F531)</f>
        <v>Pref SM</v>
      </c>
      <c r="C531" s="4">
        <f t="shared" si="33"/>
        <v>29</v>
      </c>
      <c r="D531" s="5" cm="1">
        <f t="array" aca="1" ref="D531" ca="1">OFFSET(INDIRECT("'["&amp;$H531&amp;"]"&amp;$I531&amp;"'!"&amp;$J531),$L531,$M531)*$K531</f>
        <v>1.09E-3</v>
      </c>
      <c r="F531" s="4">
        <f t="shared" si="34"/>
        <v>7</v>
      </c>
      <c r="G531" s="4" cm="1">
        <f t="array" ref="G531">IF($C531+$M531&lt;16,INDEX(Sheet1!C:C,$F531),$F531)</f>
        <v>7</v>
      </c>
      <c r="H531" s="4" t="str" cm="1">
        <f t="array" ref="H531">INDEX(Sheet1!D:D,$G531)</f>
        <v>2001-cso-preferred-class-structure-mortality-tables.xls</v>
      </c>
      <c r="I531" s="4" t="str" cm="1">
        <f t="array" ref="I531">INDEX(Sheet1!E:E,$G531)</f>
        <v>A.1.a.iv</v>
      </c>
      <c r="J531" s="4" t="str" cm="1">
        <f t="array" ref="J531">INDEX(Sheet1!F:F,$G531)</f>
        <v>B8</v>
      </c>
      <c r="K531" s="4" cm="1">
        <f t="array" ref="K531">INDEX(Sheet1!H:H,$G531)</f>
        <v>1E-3</v>
      </c>
      <c r="L531" s="4">
        <f t="shared" si="32"/>
        <v>29</v>
      </c>
      <c r="M531" s="4">
        <f t="shared" si="35"/>
        <v>5</v>
      </c>
    </row>
    <row r="532" spans="1:13">
      <c r="A532" s="4" t="str" cm="1">
        <f t="array" ref="A532">INDEX(Sheet1!A:A,$F532)</f>
        <v>M</v>
      </c>
      <c r="B532" s="4" t="str" cm="1">
        <f t="array" ref="B532">INDEX(Sheet1!B:B,$F532)</f>
        <v>Pref SM</v>
      </c>
      <c r="C532" s="4">
        <f t="shared" si="33"/>
        <v>30</v>
      </c>
      <c r="D532" s="5" cm="1">
        <f t="array" aca="1" ref="D532" ca="1">OFFSET(INDIRECT("'["&amp;$H532&amp;"]"&amp;$I532&amp;"'!"&amp;$J532),$L532,$M532)*$K532</f>
        <v>1.17E-3</v>
      </c>
      <c r="F532" s="4">
        <f t="shared" si="34"/>
        <v>7</v>
      </c>
      <c r="G532" s="4" cm="1">
        <f t="array" ref="G532">IF($C532+$M532&lt;16,INDEX(Sheet1!C:C,$F532),$F532)</f>
        <v>7</v>
      </c>
      <c r="H532" s="4" t="str" cm="1">
        <f t="array" ref="H532">INDEX(Sheet1!D:D,$G532)</f>
        <v>2001-cso-preferred-class-structure-mortality-tables.xls</v>
      </c>
      <c r="I532" s="4" t="str" cm="1">
        <f t="array" ref="I532">INDEX(Sheet1!E:E,$G532)</f>
        <v>A.1.a.iv</v>
      </c>
      <c r="J532" s="4" t="str" cm="1">
        <f t="array" ref="J532">INDEX(Sheet1!F:F,$G532)</f>
        <v>B8</v>
      </c>
      <c r="K532" s="4" cm="1">
        <f t="array" ref="K532">INDEX(Sheet1!H:H,$G532)</f>
        <v>1E-3</v>
      </c>
      <c r="L532" s="4">
        <f t="shared" si="32"/>
        <v>30</v>
      </c>
      <c r="M532" s="4">
        <f t="shared" si="35"/>
        <v>5</v>
      </c>
    </row>
    <row r="533" spans="1:13">
      <c r="A533" s="4" t="str" cm="1">
        <f t="array" ref="A533">INDEX(Sheet1!A:A,$F533)</f>
        <v>M</v>
      </c>
      <c r="B533" s="4" t="str" cm="1">
        <f t="array" ref="B533">INDEX(Sheet1!B:B,$F533)</f>
        <v>Pref SM</v>
      </c>
      <c r="C533" s="4">
        <f t="shared" si="33"/>
        <v>31</v>
      </c>
      <c r="D533" s="5" cm="1">
        <f t="array" aca="1" ref="D533" ca="1">OFFSET(INDIRECT("'["&amp;$H533&amp;"]"&amp;$I533&amp;"'!"&amp;$J533),$L533,$M533)*$K533</f>
        <v>1.2600000000000001E-3</v>
      </c>
      <c r="F533" s="4">
        <f t="shared" si="34"/>
        <v>7</v>
      </c>
      <c r="G533" s="4" cm="1">
        <f t="array" ref="G533">IF($C533+$M533&lt;16,INDEX(Sheet1!C:C,$F533),$F533)</f>
        <v>7</v>
      </c>
      <c r="H533" s="4" t="str" cm="1">
        <f t="array" ref="H533">INDEX(Sheet1!D:D,$G533)</f>
        <v>2001-cso-preferred-class-structure-mortality-tables.xls</v>
      </c>
      <c r="I533" s="4" t="str" cm="1">
        <f t="array" ref="I533">INDEX(Sheet1!E:E,$G533)</f>
        <v>A.1.a.iv</v>
      </c>
      <c r="J533" s="4" t="str" cm="1">
        <f t="array" ref="J533">INDEX(Sheet1!F:F,$G533)</f>
        <v>B8</v>
      </c>
      <c r="K533" s="4" cm="1">
        <f t="array" ref="K533">INDEX(Sheet1!H:H,$G533)</f>
        <v>1E-3</v>
      </c>
      <c r="L533" s="4">
        <f t="shared" si="32"/>
        <v>31</v>
      </c>
      <c r="M533" s="4">
        <f t="shared" si="35"/>
        <v>5</v>
      </c>
    </row>
    <row r="534" spans="1:13">
      <c r="A534" s="4" t="str" cm="1">
        <f t="array" ref="A534">INDEX(Sheet1!A:A,$F534)</f>
        <v>M</v>
      </c>
      <c r="B534" s="4" t="str" cm="1">
        <f t="array" ref="B534">INDEX(Sheet1!B:B,$F534)</f>
        <v>Pref SM</v>
      </c>
      <c r="C534" s="4">
        <f t="shared" si="33"/>
        <v>32</v>
      </c>
      <c r="D534" s="5" cm="1">
        <f t="array" aca="1" ref="D534" ca="1">OFFSET(INDIRECT("'["&amp;$H534&amp;"]"&amp;$I534&amp;"'!"&amp;$J534),$L534,$M534)*$K534</f>
        <v>1.3000000000000002E-3</v>
      </c>
      <c r="F534" s="4">
        <f t="shared" si="34"/>
        <v>7</v>
      </c>
      <c r="G534" s="4" cm="1">
        <f t="array" ref="G534">IF($C534+$M534&lt;16,INDEX(Sheet1!C:C,$F534),$F534)</f>
        <v>7</v>
      </c>
      <c r="H534" s="4" t="str" cm="1">
        <f t="array" ref="H534">INDEX(Sheet1!D:D,$G534)</f>
        <v>2001-cso-preferred-class-structure-mortality-tables.xls</v>
      </c>
      <c r="I534" s="4" t="str" cm="1">
        <f t="array" ref="I534">INDEX(Sheet1!E:E,$G534)</f>
        <v>A.1.a.iv</v>
      </c>
      <c r="J534" s="4" t="str" cm="1">
        <f t="array" ref="J534">INDEX(Sheet1!F:F,$G534)</f>
        <v>B8</v>
      </c>
      <c r="K534" s="4" cm="1">
        <f t="array" ref="K534">INDEX(Sheet1!H:H,$G534)</f>
        <v>1E-3</v>
      </c>
      <c r="L534" s="4">
        <f t="shared" si="32"/>
        <v>32</v>
      </c>
      <c r="M534" s="4">
        <f t="shared" si="35"/>
        <v>5</v>
      </c>
    </row>
    <row r="535" spans="1:13">
      <c r="A535" s="4" t="str" cm="1">
        <f t="array" ref="A535">INDEX(Sheet1!A:A,$F535)</f>
        <v>M</v>
      </c>
      <c r="B535" s="4" t="str" cm="1">
        <f t="array" ref="B535">INDEX(Sheet1!B:B,$F535)</f>
        <v>Pref SM</v>
      </c>
      <c r="C535" s="4">
        <f t="shared" si="33"/>
        <v>33</v>
      </c>
      <c r="D535" s="5" cm="1">
        <f t="array" aca="1" ref="D535" ca="1">OFFSET(INDIRECT("'["&amp;$H535&amp;"]"&amp;$I535&amp;"'!"&amp;$J535),$L535,$M535)*$K535</f>
        <v>1.3799999999999999E-3</v>
      </c>
      <c r="F535" s="4">
        <f t="shared" si="34"/>
        <v>7</v>
      </c>
      <c r="G535" s="4" cm="1">
        <f t="array" ref="G535">IF($C535+$M535&lt;16,INDEX(Sheet1!C:C,$F535),$F535)</f>
        <v>7</v>
      </c>
      <c r="H535" s="4" t="str" cm="1">
        <f t="array" ref="H535">INDEX(Sheet1!D:D,$G535)</f>
        <v>2001-cso-preferred-class-structure-mortality-tables.xls</v>
      </c>
      <c r="I535" s="4" t="str" cm="1">
        <f t="array" ref="I535">INDEX(Sheet1!E:E,$G535)</f>
        <v>A.1.a.iv</v>
      </c>
      <c r="J535" s="4" t="str" cm="1">
        <f t="array" ref="J535">INDEX(Sheet1!F:F,$G535)</f>
        <v>B8</v>
      </c>
      <c r="K535" s="4" cm="1">
        <f t="array" ref="K535">INDEX(Sheet1!H:H,$G535)</f>
        <v>1E-3</v>
      </c>
      <c r="L535" s="4">
        <f t="shared" si="32"/>
        <v>33</v>
      </c>
      <c r="M535" s="4">
        <f t="shared" si="35"/>
        <v>5</v>
      </c>
    </row>
    <row r="536" spans="1:13">
      <c r="A536" s="4" t="str" cm="1">
        <f t="array" ref="A536">INDEX(Sheet1!A:A,$F536)</f>
        <v>M</v>
      </c>
      <c r="B536" s="4" t="str" cm="1">
        <f t="array" ref="B536">INDEX(Sheet1!B:B,$F536)</f>
        <v>Pref SM</v>
      </c>
      <c r="C536" s="4">
        <f t="shared" si="33"/>
        <v>34</v>
      </c>
      <c r="D536" s="5" cm="1">
        <f t="array" aca="1" ref="D536" ca="1">OFFSET(INDIRECT("'["&amp;$H536&amp;"]"&amp;$I536&amp;"'!"&amp;$J536),$L536,$M536)*$K536</f>
        <v>1.48E-3</v>
      </c>
      <c r="F536" s="4">
        <f t="shared" si="34"/>
        <v>7</v>
      </c>
      <c r="G536" s="4" cm="1">
        <f t="array" ref="G536">IF($C536+$M536&lt;16,INDEX(Sheet1!C:C,$F536),$F536)</f>
        <v>7</v>
      </c>
      <c r="H536" s="4" t="str" cm="1">
        <f t="array" ref="H536">INDEX(Sheet1!D:D,$G536)</f>
        <v>2001-cso-preferred-class-structure-mortality-tables.xls</v>
      </c>
      <c r="I536" s="4" t="str" cm="1">
        <f t="array" ref="I536">INDEX(Sheet1!E:E,$G536)</f>
        <v>A.1.a.iv</v>
      </c>
      <c r="J536" s="4" t="str" cm="1">
        <f t="array" ref="J536">INDEX(Sheet1!F:F,$G536)</f>
        <v>B8</v>
      </c>
      <c r="K536" s="4" cm="1">
        <f t="array" ref="K536">INDEX(Sheet1!H:H,$G536)</f>
        <v>1E-3</v>
      </c>
      <c r="L536" s="4">
        <f t="shared" si="32"/>
        <v>34</v>
      </c>
      <c r="M536" s="4">
        <f t="shared" si="35"/>
        <v>5</v>
      </c>
    </row>
    <row r="537" spans="1:13">
      <c r="A537" s="4" t="str" cm="1">
        <f t="array" ref="A537">INDEX(Sheet1!A:A,$F537)</f>
        <v>M</v>
      </c>
      <c r="B537" s="4" t="str" cm="1">
        <f t="array" ref="B537">INDEX(Sheet1!B:B,$F537)</f>
        <v>Pref SM</v>
      </c>
      <c r="C537" s="4">
        <f t="shared" si="33"/>
        <v>35</v>
      </c>
      <c r="D537" s="5" cm="1">
        <f t="array" aca="1" ref="D537" ca="1">OFFSET(INDIRECT("'["&amp;$H537&amp;"]"&amp;$I537&amp;"'!"&amp;$J537),$L537,$M537)*$K537</f>
        <v>1.57E-3</v>
      </c>
      <c r="F537" s="4">
        <f t="shared" si="34"/>
        <v>7</v>
      </c>
      <c r="G537" s="4" cm="1">
        <f t="array" ref="G537">IF($C537+$M537&lt;16,INDEX(Sheet1!C:C,$F537),$F537)</f>
        <v>7</v>
      </c>
      <c r="H537" s="4" t="str" cm="1">
        <f t="array" ref="H537">INDEX(Sheet1!D:D,$G537)</f>
        <v>2001-cso-preferred-class-structure-mortality-tables.xls</v>
      </c>
      <c r="I537" s="4" t="str" cm="1">
        <f t="array" ref="I537">INDEX(Sheet1!E:E,$G537)</f>
        <v>A.1.a.iv</v>
      </c>
      <c r="J537" s="4" t="str" cm="1">
        <f t="array" ref="J537">INDEX(Sheet1!F:F,$G537)</f>
        <v>B8</v>
      </c>
      <c r="K537" s="4" cm="1">
        <f t="array" ref="K537">INDEX(Sheet1!H:H,$G537)</f>
        <v>1E-3</v>
      </c>
      <c r="L537" s="4">
        <f t="shared" si="32"/>
        <v>35</v>
      </c>
      <c r="M537" s="4">
        <f t="shared" si="35"/>
        <v>5</v>
      </c>
    </row>
    <row r="538" spans="1:13">
      <c r="A538" s="4" t="str" cm="1">
        <f t="array" ref="A538">INDEX(Sheet1!A:A,$F538)</f>
        <v>M</v>
      </c>
      <c r="B538" s="4" t="str" cm="1">
        <f t="array" ref="B538">INDEX(Sheet1!B:B,$F538)</f>
        <v>Pref SM</v>
      </c>
      <c r="C538" s="4">
        <f t="shared" si="33"/>
        <v>36</v>
      </c>
      <c r="D538" s="5" cm="1">
        <f t="array" aca="1" ref="D538" ca="1">OFFSET(INDIRECT("'["&amp;$H538&amp;"]"&amp;$I538&amp;"'!"&amp;$J538),$L538,$M538)*$K538</f>
        <v>1.64E-3</v>
      </c>
      <c r="F538" s="4">
        <f t="shared" si="34"/>
        <v>7</v>
      </c>
      <c r="G538" s="4" cm="1">
        <f t="array" ref="G538">IF($C538+$M538&lt;16,INDEX(Sheet1!C:C,$F538),$F538)</f>
        <v>7</v>
      </c>
      <c r="H538" s="4" t="str" cm="1">
        <f t="array" ref="H538">INDEX(Sheet1!D:D,$G538)</f>
        <v>2001-cso-preferred-class-structure-mortality-tables.xls</v>
      </c>
      <c r="I538" s="4" t="str" cm="1">
        <f t="array" ref="I538">INDEX(Sheet1!E:E,$G538)</f>
        <v>A.1.a.iv</v>
      </c>
      <c r="J538" s="4" t="str" cm="1">
        <f t="array" ref="J538">INDEX(Sheet1!F:F,$G538)</f>
        <v>B8</v>
      </c>
      <c r="K538" s="4" cm="1">
        <f t="array" ref="K538">INDEX(Sheet1!H:H,$G538)</f>
        <v>1E-3</v>
      </c>
      <c r="L538" s="4">
        <f t="shared" si="32"/>
        <v>36</v>
      </c>
      <c r="M538" s="4">
        <f t="shared" si="35"/>
        <v>5</v>
      </c>
    </row>
    <row r="539" spans="1:13">
      <c r="A539" s="4" t="str" cm="1">
        <f t="array" ref="A539">INDEX(Sheet1!A:A,$F539)</f>
        <v>M</v>
      </c>
      <c r="B539" s="4" t="str" cm="1">
        <f t="array" ref="B539">INDEX(Sheet1!B:B,$F539)</f>
        <v>Pref SM</v>
      </c>
      <c r="C539" s="4">
        <f t="shared" si="33"/>
        <v>37</v>
      </c>
      <c r="D539" s="5" cm="1">
        <f t="array" aca="1" ref="D539" ca="1">OFFSET(INDIRECT("'["&amp;$H539&amp;"]"&amp;$I539&amp;"'!"&amp;$J539),$L539,$M539)*$K539</f>
        <v>1.74E-3</v>
      </c>
      <c r="F539" s="4">
        <f t="shared" si="34"/>
        <v>7</v>
      </c>
      <c r="G539" s="4" cm="1">
        <f t="array" ref="G539">IF($C539+$M539&lt;16,INDEX(Sheet1!C:C,$F539),$F539)</f>
        <v>7</v>
      </c>
      <c r="H539" s="4" t="str" cm="1">
        <f t="array" ref="H539">INDEX(Sheet1!D:D,$G539)</f>
        <v>2001-cso-preferred-class-structure-mortality-tables.xls</v>
      </c>
      <c r="I539" s="4" t="str" cm="1">
        <f t="array" ref="I539">INDEX(Sheet1!E:E,$G539)</f>
        <v>A.1.a.iv</v>
      </c>
      <c r="J539" s="4" t="str" cm="1">
        <f t="array" ref="J539">INDEX(Sheet1!F:F,$G539)</f>
        <v>B8</v>
      </c>
      <c r="K539" s="4" cm="1">
        <f t="array" ref="K539">INDEX(Sheet1!H:H,$G539)</f>
        <v>1E-3</v>
      </c>
      <c r="L539" s="4">
        <f t="shared" si="32"/>
        <v>37</v>
      </c>
      <c r="M539" s="4">
        <f t="shared" si="35"/>
        <v>5</v>
      </c>
    </row>
    <row r="540" spans="1:13">
      <c r="A540" s="4" t="str" cm="1">
        <f t="array" ref="A540">INDEX(Sheet1!A:A,$F540)</f>
        <v>M</v>
      </c>
      <c r="B540" s="4" t="str" cm="1">
        <f t="array" ref="B540">INDEX(Sheet1!B:B,$F540)</f>
        <v>Pref SM</v>
      </c>
      <c r="C540" s="4">
        <f t="shared" si="33"/>
        <v>38</v>
      </c>
      <c r="D540" s="5" cm="1">
        <f t="array" aca="1" ref="D540" ca="1">OFFSET(INDIRECT("'["&amp;$H540&amp;"]"&amp;$I540&amp;"'!"&amp;$J540),$L540,$M540)*$K540</f>
        <v>1.8700000000000001E-3</v>
      </c>
      <c r="F540" s="4">
        <f t="shared" si="34"/>
        <v>7</v>
      </c>
      <c r="G540" s="4" cm="1">
        <f t="array" ref="G540">IF($C540+$M540&lt;16,INDEX(Sheet1!C:C,$F540),$F540)</f>
        <v>7</v>
      </c>
      <c r="H540" s="4" t="str" cm="1">
        <f t="array" ref="H540">INDEX(Sheet1!D:D,$G540)</f>
        <v>2001-cso-preferred-class-structure-mortality-tables.xls</v>
      </c>
      <c r="I540" s="4" t="str" cm="1">
        <f t="array" ref="I540">INDEX(Sheet1!E:E,$G540)</f>
        <v>A.1.a.iv</v>
      </c>
      <c r="J540" s="4" t="str" cm="1">
        <f t="array" ref="J540">INDEX(Sheet1!F:F,$G540)</f>
        <v>B8</v>
      </c>
      <c r="K540" s="4" cm="1">
        <f t="array" ref="K540">INDEX(Sheet1!H:H,$G540)</f>
        <v>1E-3</v>
      </c>
      <c r="L540" s="4">
        <f t="shared" si="32"/>
        <v>38</v>
      </c>
      <c r="M540" s="4">
        <f t="shared" si="35"/>
        <v>5</v>
      </c>
    </row>
    <row r="541" spans="1:13">
      <c r="A541" s="4" t="str" cm="1">
        <f t="array" ref="A541">INDEX(Sheet1!A:A,$F541)</f>
        <v>M</v>
      </c>
      <c r="B541" s="4" t="str" cm="1">
        <f t="array" ref="B541">INDEX(Sheet1!B:B,$F541)</f>
        <v>Pref SM</v>
      </c>
      <c r="C541" s="4">
        <f t="shared" si="33"/>
        <v>39</v>
      </c>
      <c r="D541" s="5" cm="1">
        <f t="array" aca="1" ref="D541" ca="1">OFFSET(INDIRECT("'["&amp;$H541&amp;"]"&amp;$I541&amp;"'!"&amp;$J541),$L541,$M541)*$K541</f>
        <v>2.0499999999999997E-3</v>
      </c>
      <c r="F541" s="4">
        <f t="shared" si="34"/>
        <v>7</v>
      </c>
      <c r="G541" s="4" cm="1">
        <f t="array" ref="G541">IF($C541+$M541&lt;16,INDEX(Sheet1!C:C,$F541),$F541)</f>
        <v>7</v>
      </c>
      <c r="H541" s="4" t="str" cm="1">
        <f t="array" ref="H541">INDEX(Sheet1!D:D,$G541)</f>
        <v>2001-cso-preferred-class-structure-mortality-tables.xls</v>
      </c>
      <c r="I541" s="4" t="str" cm="1">
        <f t="array" ref="I541">INDEX(Sheet1!E:E,$G541)</f>
        <v>A.1.a.iv</v>
      </c>
      <c r="J541" s="4" t="str" cm="1">
        <f t="array" ref="J541">INDEX(Sheet1!F:F,$G541)</f>
        <v>B8</v>
      </c>
      <c r="K541" s="4" cm="1">
        <f t="array" ref="K541">INDEX(Sheet1!H:H,$G541)</f>
        <v>1E-3</v>
      </c>
      <c r="L541" s="4">
        <f t="shared" si="32"/>
        <v>39</v>
      </c>
      <c r="M541" s="4">
        <f t="shared" si="35"/>
        <v>5</v>
      </c>
    </row>
    <row r="542" spans="1:13">
      <c r="A542" s="4" t="str" cm="1">
        <f t="array" ref="A542">INDEX(Sheet1!A:A,$F542)</f>
        <v>M</v>
      </c>
      <c r="B542" s="4" t="str" cm="1">
        <f t="array" ref="B542">INDEX(Sheet1!B:B,$F542)</f>
        <v>Pref SM</v>
      </c>
      <c r="C542" s="4">
        <f t="shared" si="33"/>
        <v>40</v>
      </c>
      <c r="D542" s="5" cm="1">
        <f t="array" aca="1" ref="D542" ca="1">OFFSET(INDIRECT("'["&amp;$H542&amp;"]"&amp;$I542&amp;"'!"&amp;$J542),$L542,$M542)*$K542</f>
        <v>2.2899999999999999E-3</v>
      </c>
      <c r="F542" s="4">
        <f t="shared" si="34"/>
        <v>7</v>
      </c>
      <c r="G542" s="4" cm="1">
        <f t="array" ref="G542">IF($C542+$M542&lt;16,INDEX(Sheet1!C:C,$F542),$F542)</f>
        <v>7</v>
      </c>
      <c r="H542" s="4" t="str" cm="1">
        <f t="array" ref="H542">INDEX(Sheet1!D:D,$G542)</f>
        <v>2001-cso-preferred-class-structure-mortality-tables.xls</v>
      </c>
      <c r="I542" s="4" t="str" cm="1">
        <f t="array" ref="I542">INDEX(Sheet1!E:E,$G542)</f>
        <v>A.1.a.iv</v>
      </c>
      <c r="J542" s="4" t="str" cm="1">
        <f t="array" ref="J542">INDEX(Sheet1!F:F,$G542)</f>
        <v>B8</v>
      </c>
      <c r="K542" s="4" cm="1">
        <f t="array" ref="K542">INDEX(Sheet1!H:H,$G542)</f>
        <v>1E-3</v>
      </c>
      <c r="L542" s="4">
        <f t="shared" si="32"/>
        <v>40</v>
      </c>
      <c r="M542" s="4">
        <f t="shared" si="35"/>
        <v>5</v>
      </c>
    </row>
    <row r="543" spans="1:13">
      <c r="A543" s="4" t="str" cm="1">
        <f t="array" ref="A543">INDEX(Sheet1!A:A,$F543)</f>
        <v>M</v>
      </c>
      <c r="B543" s="4" t="str" cm="1">
        <f t="array" ref="B543">INDEX(Sheet1!B:B,$F543)</f>
        <v>Pref SM</v>
      </c>
      <c r="C543" s="4">
        <f t="shared" si="33"/>
        <v>41</v>
      </c>
      <c r="D543" s="5" cm="1">
        <f t="array" aca="1" ref="D543" ca="1">OFFSET(INDIRECT("'["&amp;$H543&amp;"]"&amp;$I543&amp;"'!"&amp;$J543),$L543,$M543)*$K543</f>
        <v>2.5600000000000002E-3</v>
      </c>
      <c r="F543" s="4">
        <f t="shared" si="34"/>
        <v>7</v>
      </c>
      <c r="G543" s="4" cm="1">
        <f t="array" ref="G543">IF($C543+$M543&lt;16,INDEX(Sheet1!C:C,$F543),$F543)</f>
        <v>7</v>
      </c>
      <c r="H543" s="4" t="str" cm="1">
        <f t="array" ref="H543">INDEX(Sheet1!D:D,$G543)</f>
        <v>2001-cso-preferred-class-structure-mortality-tables.xls</v>
      </c>
      <c r="I543" s="4" t="str" cm="1">
        <f t="array" ref="I543">INDEX(Sheet1!E:E,$G543)</f>
        <v>A.1.a.iv</v>
      </c>
      <c r="J543" s="4" t="str" cm="1">
        <f t="array" ref="J543">INDEX(Sheet1!F:F,$G543)</f>
        <v>B8</v>
      </c>
      <c r="K543" s="4" cm="1">
        <f t="array" ref="K543">INDEX(Sheet1!H:H,$G543)</f>
        <v>1E-3</v>
      </c>
      <c r="L543" s="4">
        <f t="shared" si="32"/>
        <v>41</v>
      </c>
      <c r="M543" s="4">
        <f t="shared" si="35"/>
        <v>5</v>
      </c>
    </row>
    <row r="544" spans="1:13">
      <c r="A544" s="4" t="str" cm="1">
        <f t="array" ref="A544">INDEX(Sheet1!A:A,$F544)</f>
        <v>M</v>
      </c>
      <c r="B544" s="4" t="str" cm="1">
        <f t="array" ref="B544">INDEX(Sheet1!B:B,$F544)</f>
        <v>Pref SM</v>
      </c>
      <c r="C544" s="4">
        <f t="shared" si="33"/>
        <v>42</v>
      </c>
      <c r="D544" s="5" cm="1">
        <f t="array" aca="1" ref="D544" ca="1">OFFSET(INDIRECT("'["&amp;$H544&amp;"]"&amp;$I544&amp;"'!"&amp;$J544),$L544,$M544)*$K544</f>
        <v>2.81E-3</v>
      </c>
      <c r="F544" s="4">
        <f t="shared" si="34"/>
        <v>7</v>
      </c>
      <c r="G544" s="4" cm="1">
        <f t="array" ref="G544">IF($C544+$M544&lt;16,INDEX(Sheet1!C:C,$F544),$F544)</f>
        <v>7</v>
      </c>
      <c r="H544" s="4" t="str" cm="1">
        <f t="array" ref="H544">INDEX(Sheet1!D:D,$G544)</f>
        <v>2001-cso-preferred-class-structure-mortality-tables.xls</v>
      </c>
      <c r="I544" s="4" t="str" cm="1">
        <f t="array" ref="I544">INDEX(Sheet1!E:E,$G544)</f>
        <v>A.1.a.iv</v>
      </c>
      <c r="J544" s="4" t="str" cm="1">
        <f t="array" ref="J544">INDEX(Sheet1!F:F,$G544)</f>
        <v>B8</v>
      </c>
      <c r="K544" s="4" cm="1">
        <f t="array" ref="K544">INDEX(Sheet1!H:H,$G544)</f>
        <v>1E-3</v>
      </c>
      <c r="L544" s="4">
        <f t="shared" si="32"/>
        <v>42</v>
      </c>
      <c r="M544" s="4">
        <f t="shared" si="35"/>
        <v>5</v>
      </c>
    </row>
    <row r="545" spans="1:13">
      <c r="A545" s="4" t="str" cm="1">
        <f t="array" ref="A545">INDEX(Sheet1!A:A,$F545)</f>
        <v>M</v>
      </c>
      <c r="B545" s="4" t="str" cm="1">
        <f t="array" ref="B545">INDEX(Sheet1!B:B,$F545)</f>
        <v>Pref SM</v>
      </c>
      <c r="C545" s="4">
        <f t="shared" si="33"/>
        <v>43</v>
      </c>
      <c r="D545" s="5" cm="1">
        <f t="array" aca="1" ref="D545" ca="1">OFFSET(INDIRECT("'["&amp;$H545&amp;"]"&amp;$I545&amp;"'!"&amp;$J545),$L545,$M545)*$K545</f>
        <v>3.0000000000000001E-3</v>
      </c>
      <c r="F545" s="4">
        <f t="shared" si="34"/>
        <v>7</v>
      </c>
      <c r="G545" s="4" cm="1">
        <f t="array" ref="G545">IF($C545+$M545&lt;16,INDEX(Sheet1!C:C,$F545),$F545)</f>
        <v>7</v>
      </c>
      <c r="H545" s="4" t="str" cm="1">
        <f t="array" ref="H545">INDEX(Sheet1!D:D,$G545)</f>
        <v>2001-cso-preferred-class-structure-mortality-tables.xls</v>
      </c>
      <c r="I545" s="4" t="str" cm="1">
        <f t="array" ref="I545">INDEX(Sheet1!E:E,$G545)</f>
        <v>A.1.a.iv</v>
      </c>
      <c r="J545" s="4" t="str" cm="1">
        <f t="array" ref="J545">INDEX(Sheet1!F:F,$G545)</f>
        <v>B8</v>
      </c>
      <c r="K545" s="4" cm="1">
        <f t="array" ref="K545">INDEX(Sheet1!H:H,$G545)</f>
        <v>1E-3</v>
      </c>
      <c r="L545" s="4">
        <f t="shared" si="32"/>
        <v>43</v>
      </c>
      <c r="M545" s="4">
        <f t="shared" si="35"/>
        <v>5</v>
      </c>
    </row>
    <row r="546" spans="1:13">
      <c r="A546" s="4" t="str" cm="1">
        <f t="array" ref="A546">INDEX(Sheet1!A:A,$F546)</f>
        <v>M</v>
      </c>
      <c r="B546" s="4" t="str" cm="1">
        <f t="array" ref="B546">INDEX(Sheet1!B:B,$F546)</f>
        <v>Pref SM</v>
      </c>
      <c r="C546" s="4">
        <f t="shared" si="33"/>
        <v>44</v>
      </c>
      <c r="D546" s="5" cm="1">
        <f t="array" aca="1" ref="D546" ca="1">OFFSET(INDIRECT("'["&amp;$H546&amp;"]"&amp;$I546&amp;"'!"&amp;$J546),$L546,$M546)*$K546</f>
        <v>3.1800000000000001E-3</v>
      </c>
      <c r="F546" s="4">
        <f t="shared" si="34"/>
        <v>7</v>
      </c>
      <c r="G546" s="4" cm="1">
        <f t="array" ref="G546">IF($C546+$M546&lt;16,INDEX(Sheet1!C:C,$F546),$F546)</f>
        <v>7</v>
      </c>
      <c r="H546" s="4" t="str" cm="1">
        <f t="array" ref="H546">INDEX(Sheet1!D:D,$G546)</f>
        <v>2001-cso-preferred-class-structure-mortality-tables.xls</v>
      </c>
      <c r="I546" s="4" t="str" cm="1">
        <f t="array" ref="I546">INDEX(Sheet1!E:E,$G546)</f>
        <v>A.1.a.iv</v>
      </c>
      <c r="J546" s="4" t="str" cm="1">
        <f t="array" ref="J546">INDEX(Sheet1!F:F,$G546)</f>
        <v>B8</v>
      </c>
      <c r="K546" s="4" cm="1">
        <f t="array" ref="K546">INDEX(Sheet1!H:H,$G546)</f>
        <v>1E-3</v>
      </c>
      <c r="L546" s="4">
        <f t="shared" si="32"/>
        <v>44</v>
      </c>
      <c r="M546" s="4">
        <f t="shared" si="35"/>
        <v>5</v>
      </c>
    </row>
    <row r="547" spans="1:13">
      <c r="A547" s="4" t="str" cm="1">
        <f t="array" ref="A547">INDEX(Sheet1!A:A,$F547)</f>
        <v>M</v>
      </c>
      <c r="B547" s="4" t="str" cm="1">
        <f t="array" ref="B547">INDEX(Sheet1!B:B,$F547)</f>
        <v>Pref SM</v>
      </c>
      <c r="C547" s="4">
        <f t="shared" si="33"/>
        <v>45</v>
      </c>
      <c r="D547" s="5" cm="1">
        <f t="array" aca="1" ref="D547" ca="1">OFFSET(INDIRECT("'["&amp;$H547&amp;"]"&amp;$I547&amp;"'!"&amp;$J547),$L547,$M547)*$K547</f>
        <v>3.4199999999999999E-3</v>
      </c>
      <c r="F547" s="4">
        <f t="shared" si="34"/>
        <v>7</v>
      </c>
      <c r="G547" s="4" cm="1">
        <f t="array" ref="G547">IF($C547+$M547&lt;16,INDEX(Sheet1!C:C,$F547),$F547)</f>
        <v>7</v>
      </c>
      <c r="H547" s="4" t="str" cm="1">
        <f t="array" ref="H547">INDEX(Sheet1!D:D,$G547)</f>
        <v>2001-cso-preferred-class-structure-mortality-tables.xls</v>
      </c>
      <c r="I547" s="4" t="str" cm="1">
        <f t="array" ref="I547">INDEX(Sheet1!E:E,$G547)</f>
        <v>A.1.a.iv</v>
      </c>
      <c r="J547" s="4" t="str" cm="1">
        <f t="array" ref="J547">INDEX(Sheet1!F:F,$G547)</f>
        <v>B8</v>
      </c>
      <c r="K547" s="4" cm="1">
        <f t="array" ref="K547">INDEX(Sheet1!H:H,$G547)</f>
        <v>1E-3</v>
      </c>
      <c r="L547" s="4">
        <f t="shared" si="32"/>
        <v>45</v>
      </c>
      <c r="M547" s="4">
        <f t="shared" si="35"/>
        <v>5</v>
      </c>
    </row>
    <row r="548" spans="1:13">
      <c r="A548" s="4" t="str" cm="1">
        <f t="array" ref="A548">INDEX(Sheet1!A:A,$F548)</f>
        <v>M</v>
      </c>
      <c r="B548" s="4" t="str" cm="1">
        <f t="array" ref="B548">INDEX(Sheet1!B:B,$F548)</f>
        <v>Pref SM</v>
      </c>
      <c r="C548" s="4">
        <f t="shared" si="33"/>
        <v>46</v>
      </c>
      <c r="D548" s="5" cm="1">
        <f t="array" aca="1" ref="D548" ca="1">OFFSET(INDIRECT("'["&amp;$H548&amp;"]"&amp;$I548&amp;"'!"&amp;$J548),$L548,$M548)*$K548</f>
        <v>3.7200000000000002E-3</v>
      </c>
      <c r="F548" s="4">
        <f t="shared" si="34"/>
        <v>7</v>
      </c>
      <c r="G548" s="4" cm="1">
        <f t="array" ref="G548">IF($C548+$M548&lt;16,INDEX(Sheet1!C:C,$F548),$F548)</f>
        <v>7</v>
      </c>
      <c r="H548" s="4" t="str" cm="1">
        <f t="array" ref="H548">INDEX(Sheet1!D:D,$G548)</f>
        <v>2001-cso-preferred-class-structure-mortality-tables.xls</v>
      </c>
      <c r="I548" s="4" t="str" cm="1">
        <f t="array" ref="I548">INDEX(Sheet1!E:E,$G548)</f>
        <v>A.1.a.iv</v>
      </c>
      <c r="J548" s="4" t="str" cm="1">
        <f t="array" ref="J548">INDEX(Sheet1!F:F,$G548)</f>
        <v>B8</v>
      </c>
      <c r="K548" s="4" cm="1">
        <f t="array" ref="K548">INDEX(Sheet1!H:H,$G548)</f>
        <v>1E-3</v>
      </c>
      <c r="L548" s="4">
        <f t="shared" si="32"/>
        <v>46</v>
      </c>
      <c r="M548" s="4">
        <f t="shared" si="35"/>
        <v>5</v>
      </c>
    </row>
    <row r="549" spans="1:13">
      <c r="A549" s="4" t="str" cm="1">
        <f t="array" ref="A549">INDEX(Sheet1!A:A,$F549)</f>
        <v>M</v>
      </c>
      <c r="B549" s="4" t="str" cm="1">
        <f t="array" ref="B549">INDEX(Sheet1!B:B,$F549)</f>
        <v>Pref SM</v>
      </c>
      <c r="C549" s="4">
        <f t="shared" si="33"/>
        <v>47</v>
      </c>
      <c r="D549" s="5" cm="1">
        <f t="array" aca="1" ref="D549" ca="1">OFFSET(INDIRECT("'["&amp;$H549&amp;"]"&amp;$I549&amp;"'!"&amp;$J549),$L549,$M549)*$K549</f>
        <v>4.0499999999999998E-3</v>
      </c>
      <c r="F549" s="4">
        <f t="shared" si="34"/>
        <v>7</v>
      </c>
      <c r="G549" s="4" cm="1">
        <f t="array" ref="G549">IF($C549+$M549&lt;16,INDEX(Sheet1!C:C,$F549),$F549)</f>
        <v>7</v>
      </c>
      <c r="H549" s="4" t="str" cm="1">
        <f t="array" ref="H549">INDEX(Sheet1!D:D,$G549)</f>
        <v>2001-cso-preferred-class-structure-mortality-tables.xls</v>
      </c>
      <c r="I549" s="4" t="str" cm="1">
        <f t="array" ref="I549">INDEX(Sheet1!E:E,$G549)</f>
        <v>A.1.a.iv</v>
      </c>
      <c r="J549" s="4" t="str" cm="1">
        <f t="array" ref="J549">INDEX(Sheet1!F:F,$G549)</f>
        <v>B8</v>
      </c>
      <c r="K549" s="4" cm="1">
        <f t="array" ref="K549">INDEX(Sheet1!H:H,$G549)</f>
        <v>1E-3</v>
      </c>
      <c r="L549" s="4">
        <f t="shared" si="32"/>
        <v>47</v>
      </c>
      <c r="M549" s="4">
        <f t="shared" si="35"/>
        <v>5</v>
      </c>
    </row>
    <row r="550" spans="1:13">
      <c r="A550" s="4" t="str" cm="1">
        <f t="array" ref="A550">INDEX(Sheet1!A:A,$F550)</f>
        <v>M</v>
      </c>
      <c r="B550" s="4" t="str" cm="1">
        <f t="array" ref="B550">INDEX(Sheet1!B:B,$F550)</f>
        <v>Pref SM</v>
      </c>
      <c r="C550" s="4">
        <f t="shared" si="33"/>
        <v>48</v>
      </c>
      <c r="D550" s="5" cm="1">
        <f t="array" aca="1" ref="D550" ca="1">OFFSET(INDIRECT("'["&amp;$H550&amp;"]"&amp;$I550&amp;"'!"&amp;$J550),$L550,$M550)*$K550</f>
        <v>4.3499999999999997E-3</v>
      </c>
      <c r="F550" s="4">
        <f t="shared" si="34"/>
        <v>7</v>
      </c>
      <c r="G550" s="4" cm="1">
        <f t="array" ref="G550">IF($C550+$M550&lt;16,INDEX(Sheet1!C:C,$F550),$F550)</f>
        <v>7</v>
      </c>
      <c r="H550" s="4" t="str" cm="1">
        <f t="array" ref="H550">INDEX(Sheet1!D:D,$G550)</f>
        <v>2001-cso-preferred-class-structure-mortality-tables.xls</v>
      </c>
      <c r="I550" s="4" t="str" cm="1">
        <f t="array" ref="I550">INDEX(Sheet1!E:E,$G550)</f>
        <v>A.1.a.iv</v>
      </c>
      <c r="J550" s="4" t="str" cm="1">
        <f t="array" ref="J550">INDEX(Sheet1!F:F,$G550)</f>
        <v>B8</v>
      </c>
      <c r="K550" s="4" cm="1">
        <f t="array" ref="K550">INDEX(Sheet1!H:H,$G550)</f>
        <v>1E-3</v>
      </c>
      <c r="L550" s="4">
        <f t="shared" si="32"/>
        <v>48</v>
      </c>
      <c r="M550" s="4">
        <f t="shared" si="35"/>
        <v>5</v>
      </c>
    </row>
    <row r="551" spans="1:13">
      <c r="A551" s="4" t="str" cm="1">
        <f t="array" ref="A551">INDEX(Sheet1!A:A,$F551)</f>
        <v>M</v>
      </c>
      <c r="B551" s="4" t="str" cm="1">
        <f t="array" ref="B551">INDEX(Sheet1!B:B,$F551)</f>
        <v>Pref SM</v>
      </c>
      <c r="C551" s="4">
        <f t="shared" si="33"/>
        <v>49</v>
      </c>
      <c r="D551" s="5" cm="1">
        <f t="array" aca="1" ref="D551" ca="1">OFFSET(INDIRECT("'["&amp;$H551&amp;"]"&amp;$I551&amp;"'!"&amp;$J551),$L551,$M551)*$K551</f>
        <v>4.6900000000000006E-3</v>
      </c>
      <c r="F551" s="4">
        <f t="shared" si="34"/>
        <v>7</v>
      </c>
      <c r="G551" s="4" cm="1">
        <f t="array" ref="G551">IF($C551+$M551&lt;16,INDEX(Sheet1!C:C,$F551),$F551)</f>
        <v>7</v>
      </c>
      <c r="H551" s="4" t="str" cm="1">
        <f t="array" ref="H551">INDEX(Sheet1!D:D,$G551)</f>
        <v>2001-cso-preferred-class-structure-mortality-tables.xls</v>
      </c>
      <c r="I551" s="4" t="str" cm="1">
        <f t="array" ref="I551">INDEX(Sheet1!E:E,$G551)</f>
        <v>A.1.a.iv</v>
      </c>
      <c r="J551" s="4" t="str" cm="1">
        <f t="array" ref="J551">INDEX(Sheet1!F:F,$G551)</f>
        <v>B8</v>
      </c>
      <c r="K551" s="4" cm="1">
        <f t="array" ref="K551">INDEX(Sheet1!H:H,$G551)</f>
        <v>1E-3</v>
      </c>
      <c r="L551" s="4">
        <f t="shared" si="32"/>
        <v>49</v>
      </c>
      <c r="M551" s="4">
        <f t="shared" si="35"/>
        <v>5</v>
      </c>
    </row>
    <row r="552" spans="1:13">
      <c r="A552" s="4" t="str" cm="1">
        <f t="array" ref="A552">INDEX(Sheet1!A:A,$F552)</f>
        <v>M</v>
      </c>
      <c r="B552" s="4" t="str" cm="1">
        <f t="array" ref="B552">INDEX(Sheet1!B:B,$F552)</f>
        <v>Pref SM</v>
      </c>
      <c r="C552" s="4">
        <f t="shared" si="33"/>
        <v>50</v>
      </c>
      <c r="D552" s="5" cm="1">
        <f t="array" aca="1" ref="D552" ca="1">OFFSET(INDIRECT("'["&amp;$H552&amp;"]"&amp;$I552&amp;"'!"&amp;$J552),$L552,$M552)*$K552</f>
        <v>5.0400000000000002E-3</v>
      </c>
      <c r="F552" s="4">
        <f t="shared" si="34"/>
        <v>7</v>
      </c>
      <c r="G552" s="4" cm="1">
        <f t="array" ref="G552">IF($C552+$M552&lt;16,INDEX(Sheet1!C:C,$F552),$F552)</f>
        <v>7</v>
      </c>
      <c r="H552" s="4" t="str" cm="1">
        <f t="array" ref="H552">INDEX(Sheet1!D:D,$G552)</f>
        <v>2001-cso-preferred-class-structure-mortality-tables.xls</v>
      </c>
      <c r="I552" s="4" t="str" cm="1">
        <f t="array" ref="I552">INDEX(Sheet1!E:E,$G552)</f>
        <v>A.1.a.iv</v>
      </c>
      <c r="J552" s="4" t="str" cm="1">
        <f t="array" ref="J552">INDEX(Sheet1!F:F,$G552)</f>
        <v>B8</v>
      </c>
      <c r="K552" s="4" cm="1">
        <f t="array" ref="K552">INDEX(Sheet1!H:H,$G552)</f>
        <v>1E-3</v>
      </c>
      <c r="L552" s="4">
        <f t="shared" si="32"/>
        <v>50</v>
      </c>
      <c r="M552" s="4">
        <f t="shared" si="35"/>
        <v>5</v>
      </c>
    </row>
    <row r="553" spans="1:13">
      <c r="A553" s="4" t="str" cm="1">
        <f t="array" ref="A553">INDEX(Sheet1!A:A,$F553)</f>
        <v>M</v>
      </c>
      <c r="B553" s="4" t="str" cm="1">
        <f t="array" ref="B553">INDEX(Sheet1!B:B,$F553)</f>
        <v>Pref SM</v>
      </c>
      <c r="C553" s="4">
        <f t="shared" si="33"/>
        <v>51</v>
      </c>
      <c r="D553" s="5" cm="1">
        <f t="array" aca="1" ref="D553" ca="1">OFFSET(INDIRECT("'["&amp;$H553&amp;"]"&amp;$I553&amp;"'!"&amp;$J553),$L553,$M553)*$K553</f>
        <v>5.4600000000000004E-3</v>
      </c>
      <c r="F553" s="4">
        <f t="shared" si="34"/>
        <v>7</v>
      </c>
      <c r="G553" s="4" cm="1">
        <f t="array" ref="G553">IF($C553+$M553&lt;16,INDEX(Sheet1!C:C,$F553),$F553)</f>
        <v>7</v>
      </c>
      <c r="H553" s="4" t="str" cm="1">
        <f t="array" ref="H553">INDEX(Sheet1!D:D,$G553)</f>
        <v>2001-cso-preferred-class-structure-mortality-tables.xls</v>
      </c>
      <c r="I553" s="4" t="str" cm="1">
        <f t="array" ref="I553">INDEX(Sheet1!E:E,$G553)</f>
        <v>A.1.a.iv</v>
      </c>
      <c r="J553" s="4" t="str" cm="1">
        <f t="array" ref="J553">INDEX(Sheet1!F:F,$G553)</f>
        <v>B8</v>
      </c>
      <c r="K553" s="4" cm="1">
        <f t="array" ref="K553">INDEX(Sheet1!H:H,$G553)</f>
        <v>1E-3</v>
      </c>
      <c r="L553" s="4">
        <f t="shared" si="32"/>
        <v>51</v>
      </c>
      <c r="M553" s="4">
        <f t="shared" si="35"/>
        <v>5</v>
      </c>
    </row>
    <row r="554" spans="1:13">
      <c r="A554" s="4" t="str" cm="1">
        <f t="array" ref="A554">INDEX(Sheet1!A:A,$F554)</f>
        <v>M</v>
      </c>
      <c r="B554" s="4" t="str" cm="1">
        <f t="array" ref="B554">INDEX(Sheet1!B:B,$F554)</f>
        <v>Pref SM</v>
      </c>
      <c r="C554" s="4">
        <f t="shared" si="33"/>
        <v>52</v>
      </c>
      <c r="D554" s="5" cm="1">
        <f t="array" aca="1" ref="D554" ca="1">OFFSET(INDIRECT("'["&amp;$H554&amp;"]"&amp;$I554&amp;"'!"&amp;$J554),$L554,$M554)*$K554</f>
        <v>5.8500000000000002E-3</v>
      </c>
      <c r="F554" s="4">
        <f t="shared" si="34"/>
        <v>7</v>
      </c>
      <c r="G554" s="4" cm="1">
        <f t="array" ref="G554">IF($C554+$M554&lt;16,INDEX(Sheet1!C:C,$F554),$F554)</f>
        <v>7</v>
      </c>
      <c r="H554" s="4" t="str" cm="1">
        <f t="array" ref="H554">INDEX(Sheet1!D:D,$G554)</f>
        <v>2001-cso-preferred-class-structure-mortality-tables.xls</v>
      </c>
      <c r="I554" s="4" t="str" cm="1">
        <f t="array" ref="I554">INDEX(Sheet1!E:E,$G554)</f>
        <v>A.1.a.iv</v>
      </c>
      <c r="J554" s="4" t="str" cm="1">
        <f t="array" ref="J554">INDEX(Sheet1!F:F,$G554)</f>
        <v>B8</v>
      </c>
      <c r="K554" s="4" cm="1">
        <f t="array" ref="K554">INDEX(Sheet1!H:H,$G554)</f>
        <v>1E-3</v>
      </c>
      <c r="L554" s="4">
        <f t="shared" si="32"/>
        <v>52</v>
      </c>
      <c r="M554" s="4">
        <f t="shared" si="35"/>
        <v>5</v>
      </c>
    </row>
    <row r="555" spans="1:13">
      <c r="A555" s="4" t="str" cm="1">
        <f t="array" ref="A555">INDEX(Sheet1!A:A,$F555)</f>
        <v>M</v>
      </c>
      <c r="B555" s="4" t="str" cm="1">
        <f t="array" ref="B555">INDEX(Sheet1!B:B,$F555)</f>
        <v>Pref SM</v>
      </c>
      <c r="C555" s="4">
        <f t="shared" si="33"/>
        <v>53</v>
      </c>
      <c r="D555" s="5" cm="1">
        <f t="array" aca="1" ref="D555" ca="1">OFFSET(INDIRECT("'["&amp;$H555&amp;"]"&amp;$I555&amp;"'!"&amp;$J555),$L555,$M555)*$K555</f>
        <v>6.3600000000000002E-3</v>
      </c>
      <c r="F555" s="4">
        <f t="shared" si="34"/>
        <v>7</v>
      </c>
      <c r="G555" s="4" cm="1">
        <f t="array" ref="G555">IF($C555+$M555&lt;16,INDEX(Sheet1!C:C,$F555),$F555)</f>
        <v>7</v>
      </c>
      <c r="H555" s="4" t="str" cm="1">
        <f t="array" ref="H555">INDEX(Sheet1!D:D,$G555)</f>
        <v>2001-cso-preferred-class-structure-mortality-tables.xls</v>
      </c>
      <c r="I555" s="4" t="str" cm="1">
        <f t="array" ref="I555">INDEX(Sheet1!E:E,$G555)</f>
        <v>A.1.a.iv</v>
      </c>
      <c r="J555" s="4" t="str" cm="1">
        <f t="array" ref="J555">INDEX(Sheet1!F:F,$G555)</f>
        <v>B8</v>
      </c>
      <c r="K555" s="4" cm="1">
        <f t="array" ref="K555">INDEX(Sheet1!H:H,$G555)</f>
        <v>1E-3</v>
      </c>
      <c r="L555" s="4">
        <f t="shared" si="32"/>
        <v>53</v>
      </c>
      <c r="M555" s="4">
        <f t="shared" si="35"/>
        <v>5</v>
      </c>
    </row>
    <row r="556" spans="1:13">
      <c r="A556" s="4" t="str" cm="1">
        <f t="array" ref="A556">INDEX(Sheet1!A:A,$F556)</f>
        <v>M</v>
      </c>
      <c r="B556" s="4" t="str" cm="1">
        <f t="array" ref="B556">INDEX(Sheet1!B:B,$F556)</f>
        <v>Pref SM</v>
      </c>
      <c r="C556" s="4">
        <f t="shared" si="33"/>
        <v>54</v>
      </c>
      <c r="D556" s="5" cm="1">
        <f t="array" aca="1" ref="D556" ca="1">OFFSET(INDIRECT("'["&amp;$H556&amp;"]"&amp;$I556&amp;"'!"&amp;$J556),$L556,$M556)*$K556</f>
        <v>6.9199999999999999E-3</v>
      </c>
      <c r="F556" s="4">
        <f t="shared" si="34"/>
        <v>7</v>
      </c>
      <c r="G556" s="4" cm="1">
        <f t="array" ref="G556">IF($C556+$M556&lt;16,INDEX(Sheet1!C:C,$F556),$F556)</f>
        <v>7</v>
      </c>
      <c r="H556" s="4" t="str" cm="1">
        <f t="array" ref="H556">INDEX(Sheet1!D:D,$G556)</f>
        <v>2001-cso-preferred-class-structure-mortality-tables.xls</v>
      </c>
      <c r="I556" s="4" t="str" cm="1">
        <f t="array" ref="I556">INDEX(Sheet1!E:E,$G556)</f>
        <v>A.1.a.iv</v>
      </c>
      <c r="J556" s="4" t="str" cm="1">
        <f t="array" ref="J556">INDEX(Sheet1!F:F,$G556)</f>
        <v>B8</v>
      </c>
      <c r="K556" s="4" cm="1">
        <f t="array" ref="K556">INDEX(Sheet1!H:H,$G556)</f>
        <v>1E-3</v>
      </c>
      <c r="L556" s="4">
        <f t="shared" si="32"/>
        <v>54</v>
      </c>
      <c r="M556" s="4">
        <f t="shared" si="35"/>
        <v>5</v>
      </c>
    </row>
    <row r="557" spans="1:13">
      <c r="A557" s="4" t="str" cm="1">
        <f t="array" ref="A557">INDEX(Sheet1!A:A,$F557)</f>
        <v>M</v>
      </c>
      <c r="B557" s="4" t="str" cm="1">
        <f t="array" ref="B557">INDEX(Sheet1!B:B,$F557)</f>
        <v>Pref SM</v>
      </c>
      <c r="C557" s="4">
        <f t="shared" si="33"/>
        <v>55</v>
      </c>
      <c r="D557" s="5" cm="1">
        <f t="array" aca="1" ref="D557" ca="1">OFFSET(INDIRECT("'["&amp;$H557&amp;"]"&amp;$I557&amp;"'!"&amp;$J557),$L557,$M557)*$K557</f>
        <v>7.5900000000000004E-3</v>
      </c>
      <c r="F557" s="4">
        <f t="shared" si="34"/>
        <v>7</v>
      </c>
      <c r="G557" s="4" cm="1">
        <f t="array" ref="G557">IF($C557+$M557&lt;16,INDEX(Sheet1!C:C,$F557),$F557)</f>
        <v>7</v>
      </c>
      <c r="H557" s="4" t="str" cm="1">
        <f t="array" ref="H557">INDEX(Sheet1!D:D,$G557)</f>
        <v>2001-cso-preferred-class-structure-mortality-tables.xls</v>
      </c>
      <c r="I557" s="4" t="str" cm="1">
        <f t="array" ref="I557">INDEX(Sheet1!E:E,$G557)</f>
        <v>A.1.a.iv</v>
      </c>
      <c r="J557" s="4" t="str" cm="1">
        <f t="array" ref="J557">INDEX(Sheet1!F:F,$G557)</f>
        <v>B8</v>
      </c>
      <c r="K557" s="4" cm="1">
        <f t="array" ref="K557">INDEX(Sheet1!H:H,$G557)</f>
        <v>1E-3</v>
      </c>
      <c r="L557" s="4">
        <f t="shared" si="32"/>
        <v>55</v>
      </c>
      <c r="M557" s="4">
        <f t="shared" si="35"/>
        <v>5</v>
      </c>
    </row>
    <row r="558" spans="1:13">
      <c r="A558" s="4" t="str" cm="1">
        <f t="array" ref="A558">INDEX(Sheet1!A:A,$F558)</f>
        <v>M</v>
      </c>
      <c r="B558" s="4" t="str" cm="1">
        <f t="array" ref="B558">INDEX(Sheet1!B:B,$F558)</f>
        <v>Pref SM</v>
      </c>
      <c r="C558" s="4">
        <f t="shared" si="33"/>
        <v>56</v>
      </c>
      <c r="D558" s="5" cm="1">
        <f t="array" aca="1" ref="D558" ca="1">OFFSET(INDIRECT("'["&amp;$H558&amp;"]"&amp;$I558&amp;"'!"&amp;$J558),$L558,$M558)*$K558</f>
        <v>8.4100000000000008E-3</v>
      </c>
      <c r="F558" s="4">
        <f t="shared" si="34"/>
        <v>7</v>
      </c>
      <c r="G558" s="4" cm="1">
        <f t="array" ref="G558">IF($C558+$M558&lt;16,INDEX(Sheet1!C:C,$F558),$F558)</f>
        <v>7</v>
      </c>
      <c r="H558" s="4" t="str" cm="1">
        <f t="array" ref="H558">INDEX(Sheet1!D:D,$G558)</f>
        <v>2001-cso-preferred-class-structure-mortality-tables.xls</v>
      </c>
      <c r="I558" s="4" t="str" cm="1">
        <f t="array" ref="I558">INDEX(Sheet1!E:E,$G558)</f>
        <v>A.1.a.iv</v>
      </c>
      <c r="J558" s="4" t="str" cm="1">
        <f t="array" ref="J558">INDEX(Sheet1!F:F,$G558)</f>
        <v>B8</v>
      </c>
      <c r="K558" s="4" cm="1">
        <f t="array" ref="K558">INDEX(Sheet1!H:H,$G558)</f>
        <v>1E-3</v>
      </c>
      <c r="L558" s="4">
        <f t="shared" si="32"/>
        <v>56</v>
      </c>
      <c r="M558" s="4">
        <f t="shared" si="35"/>
        <v>5</v>
      </c>
    </row>
    <row r="559" spans="1:13">
      <c r="A559" s="4" t="str" cm="1">
        <f t="array" ref="A559">INDEX(Sheet1!A:A,$F559)</f>
        <v>M</v>
      </c>
      <c r="B559" s="4" t="str" cm="1">
        <f t="array" ref="B559">INDEX(Sheet1!B:B,$F559)</f>
        <v>Pref SM</v>
      </c>
      <c r="C559" s="4">
        <f t="shared" si="33"/>
        <v>57</v>
      </c>
      <c r="D559" s="5" cm="1">
        <f t="array" aca="1" ref="D559" ca="1">OFFSET(INDIRECT("'["&amp;$H559&amp;"]"&amp;$I559&amp;"'!"&amp;$J559),$L559,$M559)*$K559</f>
        <v>9.3800000000000012E-3</v>
      </c>
      <c r="F559" s="4">
        <f t="shared" si="34"/>
        <v>7</v>
      </c>
      <c r="G559" s="4" cm="1">
        <f t="array" ref="G559">IF($C559+$M559&lt;16,INDEX(Sheet1!C:C,$F559),$F559)</f>
        <v>7</v>
      </c>
      <c r="H559" s="4" t="str" cm="1">
        <f t="array" ref="H559">INDEX(Sheet1!D:D,$G559)</f>
        <v>2001-cso-preferred-class-structure-mortality-tables.xls</v>
      </c>
      <c r="I559" s="4" t="str" cm="1">
        <f t="array" ref="I559">INDEX(Sheet1!E:E,$G559)</f>
        <v>A.1.a.iv</v>
      </c>
      <c r="J559" s="4" t="str" cm="1">
        <f t="array" ref="J559">INDEX(Sheet1!F:F,$G559)</f>
        <v>B8</v>
      </c>
      <c r="K559" s="4" cm="1">
        <f t="array" ref="K559">INDEX(Sheet1!H:H,$G559)</f>
        <v>1E-3</v>
      </c>
      <c r="L559" s="4">
        <f t="shared" si="32"/>
        <v>57</v>
      </c>
      <c r="M559" s="4">
        <f t="shared" si="35"/>
        <v>5</v>
      </c>
    </row>
    <row r="560" spans="1:13">
      <c r="A560" s="4" t="str" cm="1">
        <f t="array" ref="A560">INDEX(Sheet1!A:A,$F560)</f>
        <v>M</v>
      </c>
      <c r="B560" s="4" t="str" cm="1">
        <f t="array" ref="B560">INDEX(Sheet1!B:B,$F560)</f>
        <v>Pref SM</v>
      </c>
      <c r="C560" s="4">
        <f t="shared" si="33"/>
        <v>58</v>
      </c>
      <c r="D560" s="5" cm="1">
        <f t="array" aca="1" ref="D560" ca="1">OFFSET(INDIRECT("'["&amp;$H560&amp;"]"&amp;$I560&amp;"'!"&amp;$J560),$L560,$M560)*$K560</f>
        <v>1.047E-2</v>
      </c>
      <c r="F560" s="4">
        <f t="shared" si="34"/>
        <v>7</v>
      </c>
      <c r="G560" s="4" cm="1">
        <f t="array" ref="G560">IF($C560+$M560&lt;16,INDEX(Sheet1!C:C,$F560),$F560)</f>
        <v>7</v>
      </c>
      <c r="H560" s="4" t="str" cm="1">
        <f t="array" ref="H560">INDEX(Sheet1!D:D,$G560)</f>
        <v>2001-cso-preferred-class-structure-mortality-tables.xls</v>
      </c>
      <c r="I560" s="4" t="str" cm="1">
        <f t="array" ref="I560">INDEX(Sheet1!E:E,$G560)</f>
        <v>A.1.a.iv</v>
      </c>
      <c r="J560" s="4" t="str" cm="1">
        <f t="array" ref="J560">INDEX(Sheet1!F:F,$G560)</f>
        <v>B8</v>
      </c>
      <c r="K560" s="4" cm="1">
        <f t="array" ref="K560">INDEX(Sheet1!H:H,$G560)</f>
        <v>1E-3</v>
      </c>
      <c r="L560" s="4">
        <f t="shared" si="32"/>
        <v>58</v>
      </c>
      <c r="M560" s="4">
        <f t="shared" si="35"/>
        <v>5</v>
      </c>
    </row>
    <row r="561" spans="1:13">
      <c r="A561" s="4" t="str" cm="1">
        <f t="array" ref="A561">INDEX(Sheet1!A:A,$F561)</f>
        <v>M</v>
      </c>
      <c r="B561" s="4" t="str" cm="1">
        <f t="array" ref="B561">INDEX(Sheet1!B:B,$F561)</f>
        <v>Pref SM</v>
      </c>
      <c r="C561" s="4">
        <f t="shared" si="33"/>
        <v>59</v>
      </c>
      <c r="D561" s="5" cm="1">
        <f t="array" aca="1" ref="D561" ca="1">OFFSET(INDIRECT("'["&amp;$H561&amp;"]"&amp;$I561&amp;"'!"&amp;$J561),$L561,$M561)*$K561</f>
        <v>1.1610000000000001E-2</v>
      </c>
      <c r="F561" s="4">
        <f t="shared" si="34"/>
        <v>7</v>
      </c>
      <c r="G561" s="4" cm="1">
        <f t="array" ref="G561">IF($C561+$M561&lt;16,INDEX(Sheet1!C:C,$F561),$F561)</f>
        <v>7</v>
      </c>
      <c r="H561" s="4" t="str" cm="1">
        <f t="array" ref="H561">INDEX(Sheet1!D:D,$G561)</f>
        <v>2001-cso-preferred-class-structure-mortality-tables.xls</v>
      </c>
      <c r="I561" s="4" t="str" cm="1">
        <f t="array" ref="I561">INDEX(Sheet1!E:E,$G561)</f>
        <v>A.1.a.iv</v>
      </c>
      <c r="J561" s="4" t="str" cm="1">
        <f t="array" ref="J561">INDEX(Sheet1!F:F,$G561)</f>
        <v>B8</v>
      </c>
      <c r="K561" s="4" cm="1">
        <f t="array" ref="K561">INDEX(Sheet1!H:H,$G561)</f>
        <v>1E-3</v>
      </c>
      <c r="L561" s="4">
        <f t="shared" si="32"/>
        <v>59</v>
      </c>
      <c r="M561" s="4">
        <f t="shared" si="35"/>
        <v>5</v>
      </c>
    </row>
    <row r="562" spans="1:13">
      <c r="A562" s="4" t="str" cm="1">
        <f t="array" ref="A562">INDEX(Sheet1!A:A,$F562)</f>
        <v>M</v>
      </c>
      <c r="B562" s="4" t="str" cm="1">
        <f t="array" ref="B562">INDEX(Sheet1!B:B,$F562)</f>
        <v>Pref SM</v>
      </c>
      <c r="C562" s="4">
        <f t="shared" si="33"/>
        <v>60</v>
      </c>
      <c r="D562" s="5" cm="1">
        <f t="array" aca="1" ref="D562" ca="1">OFFSET(INDIRECT("'["&amp;$H562&amp;"]"&amp;$I562&amp;"'!"&amp;$J562),$L562,$M562)*$K562</f>
        <v>1.2740000000000001E-2</v>
      </c>
      <c r="F562" s="4">
        <f t="shared" si="34"/>
        <v>7</v>
      </c>
      <c r="G562" s="4" cm="1">
        <f t="array" ref="G562">IF($C562+$M562&lt;16,INDEX(Sheet1!C:C,$F562),$F562)</f>
        <v>7</v>
      </c>
      <c r="H562" s="4" t="str" cm="1">
        <f t="array" ref="H562">INDEX(Sheet1!D:D,$G562)</f>
        <v>2001-cso-preferred-class-structure-mortality-tables.xls</v>
      </c>
      <c r="I562" s="4" t="str" cm="1">
        <f t="array" ref="I562">INDEX(Sheet1!E:E,$G562)</f>
        <v>A.1.a.iv</v>
      </c>
      <c r="J562" s="4" t="str" cm="1">
        <f t="array" ref="J562">INDEX(Sheet1!F:F,$G562)</f>
        <v>B8</v>
      </c>
      <c r="K562" s="4" cm="1">
        <f t="array" ref="K562">INDEX(Sheet1!H:H,$G562)</f>
        <v>1E-3</v>
      </c>
      <c r="L562" s="4">
        <f t="shared" si="32"/>
        <v>60</v>
      </c>
      <c r="M562" s="4">
        <f t="shared" si="35"/>
        <v>5</v>
      </c>
    </row>
    <row r="563" spans="1:13">
      <c r="A563" s="4" t="str" cm="1">
        <f t="array" ref="A563">INDEX(Sheet1!A:A,$F563)</f>
        <v>M</v>
      </c>
      <c r="B563" s="4" t="str" cm="1">
        <f t="array" ref="B563">INDEX(Sheet1!B:B,$F563)</f>
        <v>Pref SM</v>
      </c>
      <c r="C563" s="4">
        <f t="shared" si="33"/>
        <v>61</v>
      </c>
      <c r="D563" s="5" cm="1">
        <f t="array" aca="1" ref="D563" ca="1">OFFSET(INDIRECT("'["&amp;$H563&amp;"]"&amp;$I563&amp;"'!"&amp;$J563),$L563,$M563)*$K563</f>
        <v>1.3869999999999999E-2</v>
      </c>
      <c r="F563" s="4">
        <f t="shared" si="34"/>
        <v>7</v>
      </c>
      <c r="G563" s="4" cm="1">
        <f t="array" ref="G563">IF($C563+$M563&lt;16,INDEX(Sheet1!C:C,$F563),$F563)</f>
        <v>7</v>
      </c>
      <c r="H563" s="4" t="str" cm="1">
        <f t="array" ref="H563">INDEX(Sheet1!D:D,$G563)</f>
        <v>2001-cso-preferred-class-structure-mortality-tables.xls</v>
      </c>
      <c r="I563" s="4" t="str" cm="1">
        <f t="array" ref="I563">INDEX(Sheet1!E:E,$G563)</f>
        <v>A.1.a.iv</v>
      </c>
      <c r="J563" s="4" t="str" cm="1">
        <f t="array" ref="J563">INDEX(Sheet1!F:F,$G563)</f>
        <v>B8</v>
      </c>
      <c r="K563" s="4" cm="1">
        <f t="array" ref="K563">INDEX(Sheet1!H:H,$G563)</f>
        <v>1E-3</v>
      </c>
      <c r="L563" s="4">
        <f t="shared" si="32"/>
        <v>61</v>
      </c>
      <c r="M563" s="4">
        <f t="shared" si="35"/>
        <v>5</v>
      </c>
    </row>
    <row r="564" spans="1:13">
      <c r="A564" s="4" t="str" cm="1">
        <f t="array" ref="A564">INDEX(Sheet1!A:A,$F564)</f>
        <v>M</v>
      </c>
      <c r="B564" s="4" t="str" cm="1">
        <f t="array" ref="B564">INDEX(Sheet1!B:B,$F564)</f>
        <v>Pref SM</v>
      </c>
      <c r="C564" s="4">
        <f t="shared" si="33"/>
        <v>62</v>
      </c>
      <c r="D564" s="5" cm="1">
        <f t="array" aca="1" ref="D564" ca="1">OFFSET(INDIRECT("'["&amp;$H564&amp;"]"&amp;$I564&amp;"'!"&amp;$J564),$L564,$M564)*$K564</f>
        <v>1.502E-2</v>
      </c>
      <c r="F564" s="4">
        <f t="shared" si="34"/>
        <v>7</v>
      </c>
      <c r="G564" s="4" cm="1">
        <f t="array" ref="G564">IF($C564+$M564&lt;16,INDEX(Sheet1!C:C,$F564),$F564)</f>
        <v>7</v>
      </c>
      <c r="H564" s="4" t="str" cm="1">
        <f t="array" ref="H564">INDEX(Sheet1!D:D,$G564)</f>
        <v>2001-cso-preferred-class-structure-mortality-tables.xls</v>
      </c>
      <c r="I564" s="4" t="str" cm="1">
        <f t="array" ref="I564">INDEX(Sheet1!E:E,$G564)</f>
        <v>A.1.a.iv</v>
      </c>
      <c r="J564" s="4" t="str" cm="1">
        <f t="array" ref="J564">INDEX(Sheet1!F:F,$G564)</f>
        <v>B8</v>
      </c>
      <c r="K564" s="4" cm="1">
        <f t="array" ref="K564">INDEX(Sheet1!H:H,$G564)</f>
        <v>1E-3</v>
      </c>
      <c r="L564" s="4">
        <f t="shared" si="32"/>
        <v>62</v>
      </c>
      <c r="M564" s="4">
        <f t="shared" si="35"/>
        <v>5</v>
      </c>
    </row>
    <row r="565" spans="1:13">
      <c r="A565" s="4" t="str" cm="1">
        <f t="array" ref="A565">INDEX(Sheet1!A:A,$F565)</f>
        <v>M</v>
      </c>
      <c r="B565" s="4" t="str" cm="1">
        <f t="array" ref="B565">INDEX(Sheet1!B:B,$F565)</f>
        <v>Pref SM</v>
      </c>
      <c r="C565" s="4">
        <f t="shared" si="33"/>
        <v>63</v>
      </c>
      <c r="D565" s="5" cm="1">
        <f t="array" aca="1" ref="D565" ca="1">OFFSET(INDIRECT("'["&amp;$H565&amp;"]"&amp;$I565&amp;"'!"&amp;$J565),$L565,$M565)*$K565</f>
        <v>1.634E-2</v>
      </c>
      <c r="F565" s="4">
        <f t="shared" si="34"/>
        <v>7</v>
      </c>
      <c r="G565" s="4" cm="1">
        <f t="array" ref="G565">IF($C565+$M565&lt;16,INDEX(Sheet1!C:C,$F565),$F565)</f>
        <v>7</v>
      </c>
      <c r="H565" s="4" t="str" cm="1">
        <f t="array" ref="H565">INDEX(Sheet1!D:D,$G565)</f>
        <v>2001-cso-preferred-class-structure-mortality-tables.xls</v>
      </c>
      <c r="I565" s="4" t="str" cm="1">
        <f t="array" ref="I565">INDEX(Sheet1!E:E,$G565)</f>
        <v>A.1.a.iv</v>
      </c>
      <c r="J565" s="4" t="str" cm="1">
        <f t="array" ref="J565">INDEX(Sheet1!F:F,$G565)</f>
        <v>B8</v>
      </c>
      <c r="K565" s="4" cm="1">
        <f t="array" ref="K565">INDEX(Sheet1!H:H,$G565)</f>
        <v>1E-3</v>
      </c>
      <c r="L565" s="4">
        <f t="shared" si="32"/>
        <v>63</v>
      </c>
      <c r="M565" s="4">
        <f t="shared" si="35"/>
        <v>5</v>
      </c>
    </row>
    <row r="566" spans="1:13">
      <c r="A566" s="4" t="str" cm="1">
        <f t="array" ref="A566">INDEX(Sheet1!A:A,$F566)</f>
        <v>M</v>
      </c>
      <c r="B566" s="4" t="str" cm="1">
        <f t="array" ref="B566">INDEX(Sheet1!B:B,$F566)</f>
        <v>Pref SM</v>
      </c>
      <c r="C566" s="4">
        <f t="shared" si="33"/>
        <v>64</v>
      </c>
      <c r="D566" s="5" cm="1">
        <f t="array" aca="1" ref="D566" ca="1">OFFSET(INDIRECT("'["&amp;$H566&amp;"]"&amp;$I566&amp;"'!"&amp;$J566),$L566,$M566)*$K566</f>
        <v>1.7819999999999999E-2</v>
      </c>
      <c r="F566" s="4">
        <f t="shared" si="34"/>
        <v>7</v>
      </c>
      <c r="G566" s="4" cm="1">
        <f t="array" ref="G566">IF($C566+$M566&lt;16,INDEX(Sheet1!C:C,$F566),$F566)</f>
        <v>7</v>
      </c>
      <c r="H566" s="4" t="str" cm="1">
        <f t="array" ref="H566">INDEX(Sheet1!D:D,$G566)</f>
        <v>2001-cso-preferred-class-structure-mortality-tables.xls</v>
      </c>
      <c r="I566" s="4" t="str" cm="1">
        <f t="array" ref="I566">INDEX(Sheet1!E:E,$G566)</f>
        <v>A.1.a.iv</v>
      </c>
      <c r="J566" s="4" t="str" cm="1">
        <f t="array" ref="J566">INDEX(Sheet1!F:F,$G566)</f>
        <v>B8</v>
      </c>
      <c r="K566" s="4" cm="1">
        <f t="array" ref="K566">INDEX(Sheet1!H:H,$G566)</f>
        <v>1E-3</v>
      </c>
      <c r="L566" s="4">
        <f t="shared" si="32"/>
        <v>64</v>
      </c>
      <c r="M566" s="4">
        <f t="shared" si="35"/>
        <v>5</v>
      </c>
    </row>
    <row r="567" spans="1:13">
      <c r="A567" s="4" t="str" cm="1">
        <f t="array" ref="A567">INDEX(Sheet1!A:A,$F567)</f>
        <v>M</v>
      </c>
      <c r="B567" s="4" t="str" cm="1">
        <f t="array" ref="B567">INDEX(Sheet1!B:B,$F567)</f>
        <v>Pref SM</v>
      </c>
      <c r="C567" s="4">
        <f t="shared" si="33"/>
        <v>65</v>
      </c>
      <c r="D567" s="5" cm="1">
        <f t="array" aca="1" ref="D567" ca="1">OFFSET(INDIRECT("'["&amp;$H567&amp;"]"&amp;$I567&amp;"'!"&amp;$J567),$L567,$M567)*$K567</f>
        <v>1.9480000000000001E-2</v>
      </c>
      <c r="F567" s="4">
        <f t="shared" si="34"/>
        <v>7</v>
      </c>
      <c r="G567" s="4" cm="1">
        <f t="array" ref="G567">IF($C567+$M567&lt;16,INDEX(Sheet1!C:C,$F567),$F567)</f>
        <v>7</v>
      </c>
      <c r="H567" s="4" t="str" cm="1">
        <f t="array" ref="H567">INDEX(Sheet1!D:D,$G567)</f>
        <v>2001-cso-preferred-class-structure-mortality-tables.xls</v>
      </c>
      <c r="I567" s="4" t="str" cm="1">
        <f t="array" ref="I567">INDEX(Sheet1!E:E,$G567)</f>
        <v>A.1.a.iv</v>
      </c>
      <c r="J567" s="4" t="str" cm="1">
        <f t="array" ref="J567">INDEX(Sheet1!F:F,$G567)</f>
        <v>B8</v>
      </c>
      <c r="K567" s="4" cm="1">
        <f t="array" ref="K567">INDEX(Sheet1!H:H,$G567)</f>
        <v>1E-3</v>
      </c>
      <c r="L567" s="4">
        <f t="shared" si="32"/>
        <v>65</v>
      </c>
      <c r="M567" s="4">
        <f t="shared" si="35"/>
        <v>5</v>
      </c>
    </row>
    <row r="568" spans="1:13">
      <c r="A568" s="4" t="str" cm="1">
        <f t="array" ref="A568">INDEX(Sheet1!A:A,$F568)</f>
        <v>M</v>
      </c>
      <c r="B568" s="4" t="str" cm="1">
        <f t="array" ref="B568">INDEX(Sheet1!B:B,$F568)</f>
        <v>Pref SM</v>
      </c>
      <c r="C568" s="4">
        <f t="shared" si="33"/>
        <v>66</v>
      </c>
      <c r="D568" s="5" cm="1">
        <f t="array" aca="1" ref="D568" ca="1">OFFSET(INDIRECT("'["&amp;$H568&amp;"]"&amp;$I568&amp;"'!"&amp;$J568),$L568,$M568)*$K568</f>
        <v>2.111E-2</v>
      </c>
      <c r="F568" s="4">
        <f t="shared" si="34"/>
        <v>7</v>
      </c>
      <c r="G568" s="4" cm="1">
        <f t="array" ref="G568">IF($C568+$M568&lt;16,INDEX(Sheet1!C:C,$F568),$F568)</f>
        <v>7</v>
      </c>
      <c r="H568" s="4" t="str" cm="1">
        <f t="array" ref="H568">INDEX(Sheet1!D:D,$G568)</f>
        <v>2001-cso-preferred-class-structure-mortality-tables.xls</v>
      </c>
      <c r="I568" s="4" t="str" cm="1">
        <f t="array" ref="I568">INDEX(Sheet1!E:E,$G568)</f>
        <v>A.1.a.iv</v>
      </c>
      <c r="J568" s="4" t="str" cm="1">
        <f t="array" ref="J568">INDEX(Sheet1!F:F,$G568)</f>
        <v>B8</v>
      </c>
      <c r="K568" s="4" cm="1">
        <f t="array" ref="K568">INDEX(Sheet1!H:H,$G568)</f>
        <v>1E-3</v>
      </c>
      <c r="L568" s="4">
        <f t="shared" si="32"/>
        <v>66</v>
      </c>
      <c r="M568" s="4">
        <f t="shared" si="35"/>
        <v>5</v>
      </c>
    </row>
    <row r="569" spans="1:13">
      <c r="A569" s="4" t="str" cm="1">
        <f t="array" ref="A569">INDEX(Sheet1!A:A,$F569)</f>
        <v>M</v>
      </c>
      <c r="B569" s="4" t="str" cm="1">
        <f t="array" ref="B569">INDEX(Sheet1!B:B,$F569)</f>
        <v>Pref SM</v>
      </c>
      <c r="C569" s="4">
        <f t="shared" si="33"/>
        <v>67</v>
      </c>
      <c r="D569" s="5" cm="1">
        <f t="array" aca="1" ref="D569" ca="1">OFFSET(INDIRECT("'["&amp;$H569&amp;"]"&amp;$I569&amp;"'!"&amp;$J569),$L569,$M569)*$K569</f>
        <v>2.2859999999999998E-2</v>
      </c>
      <c r="F569" s="4">
        <f t="shared" si="34"/>
        <v>7</v>
      </c>
      <c r="G569" s="4" cm="1">
        <f t="array" ref="G569">IF($C569+$M569&lt;16,INDEX(Sheet1!C:C,$F569),$F569)</f>
        <v>7</v>
      </c>
      <c r="H569" s="4" t="str" cm="1">
        <f t="array" ref="H569">INDEX(Sheet1!D:D,$G569)</f>
        <v>2001-cso-preferred-class-structure-mortality-tables.xls</v>
      </c>
      <c r="I569" s="4" t="str" cm="1">
        <f t="array" ref="I569">INDEX(Sheet1!E:E,$G569)</f>
        <v>A.1.a.iv</v>
      </c>
      <c r="J569" s="4" t="str" cm="1">
        <f t="array" ref="J569">INDEX(Sheet1!F:F,$G569)</f>
        <v>B8</v>
      </c>
      <c r="K569" s="4" cm="1">
        <f t="array" ref="K569">INDEX(Sheet1!H:H,$G569)</f>
        <v>1E-3</v>
      </c>
      <c r="L569" s="4">
        <f t="shared" si="32"/>
        <v>67</v>
      </c>
      <c r="M569" s="4">
        <f t="shared" si="35"/>
        <v>5</v>
      </c>
    </row>
    <row r="570" spans="1:13">
      <c r="A570" s="4" t="str" cm="1">
        <f t="array" ref="A570">INDEX(Sheet1!A:A,$F570)</f>
        <v>M</v>
      </c>
      <c r="B570" s="4" t="str" cm="1">
        <f t="array" ref="B570">INDEX(Sheet1!B:B,$F570)</f>
        <v>Pref SM</v>
      </c>
      <c r="C570" s="4">
        <f t="shared" si="33"/>
        <v>68</v>
      </c>
      <c r="D570" s="5" cm="1">
        <f t="array" aca="1" ref="D570" ca="1">OFFSET(INDIRECT("'["&amp;$H570&amp;"]"&amp;$I570&amp;"'!"&amp;$J570),$L570,$M570)*$K570</f>
        <v>2.4820000000000002E-2</v>
      </c>
      <c r="F570" s="4">
        <f t="shared" si="34"/>
        <v>7</v>
      </c>
      <c r="G570" s="4" cm="1">
        <f t="array" ref="G570">IF($C570+$M570&lt;16,INDEX(Sheet1!C:C,$F570),$F570)</f>
        <v>7</v>
      </c>
      <c r="H570" s="4" t="str" cm="1">
        <f t="array" ref="H570">INDEX(Sheet1!D:D,$G570)</f>
        <v>2001-cso-preferred-class-structure-mortality-tables.xls</v>
      </c>
      <c r="I570" s="4" t="str" cm="1">
        <f t="array" ref="I570">INDEX(Sheet1!E:E,$G570)</f>
        <v>A.1.a.iv</v>
      </c>
      <c r="J570" s="4" t="str" cm="1">
        <f t="array" ref="J570">INDEX(Sheet1!F:F,$G570)</f>
        <v>B8</v>
      </c>
      <c r="K570" s="4" cm="1">
        <f t="array" ref="K570">INDEX(Sheet1!H:H,$G570)</f>
        <v>1E-3</v>
      </c>
      <c r="L570" s="4">
        <f t="shared" si="32"/>
        <v>68</v>
      </c>
      <c r="M570" s="4">
        <f t="shared" si="35"/>
        <v>5</v>
      </c>
    </row>
    <row r="571" spans="1:13">
      <c r="A571" s="4" t="str" cm="1">
        <f t="array" ref="A571">INDEX(Sheet1!A:A,$F571)</f>
        <v>M</v>
      </c>
      <c r="B571" s="4" t="str" cm="1">
        <f t="array" ref="B571">INDEX(Sheet1!B:B,$F571)</f>
        <v>Pref SM</v>
      </c>
      <c r="C571" s="4">
        <f t="shared" si="33"/>
        <v>69</v>
      </c>
      <c r="D571" s="5" cm="1">
        <f t="array" aca="1" ref="D571" ca="1">OFFSET(INDIRECT("'["&amp;$H571&amp;"]"&amp;$I571&amp;"'!"&amp;$J571),$L571,$M571)*$K571</f>
        <v>2.7030000000000002E-2</v>
      </c>
      <c r="F571" s="4">
        <f t="shared" si="34"/>
        <v>7</v>
      </c>
      <c r="G571" s="4" cm="1">
        <f t="array" ref="G571">IF($C571+$M571&lt;16,INDEX(Sheet1!C:C,$F571),$F571)</f>
        <v>7</v>
      </c>
      <c r="H571" s="4" t="str" cm="1">
        <f t="array" ref="H571">INDEX(Sheet1!D:D,$G571)</f>
        <v>2001-cso-preferred-class-structure-mortality-tables.xls</v>
      </c>
      <c r="I571" s="4" t="str" cm="1">
        <f t="array" ref="I571">INDEX(Sheet1!E:E,$G571)</f>
        <v>A.1.a.iv</v>
      </c>
      <c r="J571" s="4" t="str" cm="1">
        <f t="array" ref="J571">INDEX(Sheet1!F:F,$G571)</f>
        <v>B8</v>
      </c>
      <c r="K571" s="4" cm="1">
        <f t="array" ref="K571">INDEX(Sheet1!H:H,$G571)</f>
        <v>1E-3</v>
      </c>
      <c r="L571" s="4">
        <f t="shared" si="32"/>
        <v>69</v>
      </c>
      <c r="M571" s="4">
        <f t="shared" si="35"/>
        <v>5</v>
      </c>
    </row>
    <row r="572" spans="1:13">
      <c r="A572" s="4" t="str" cm="1">
        <f t="array" ref="A572">INDEX(Sheet1!A:A,$F572)</f>
        <v>M</v>
      </c>
      <c r="B572" s="4" t="str" cm="1">
        <f t="array" ref="B572">INDEX(Sheet1!B:B,$F572)</f>
        <v>Pref SM</v>
      </c>
      <c r="C572" s="4">
        <f t="shared" si="33"/>
        <v>70</v>
      </c>
      <c r="D572" s="5" cm="1">
        <f t="array" aca="1" ref="D572" ca="1">OFFSET(INDIRECT("'["&amp;$H572&amp;"]"&amp;$I572&amp;"'!"&amp;$J572),$L572,$M572)*$K572</f>
        <v>2.929E-2</v>
      </c>
      <c r="F572" s="4">
        <f t="shared" si="34"/>
        <v>7</v>
      </c>
      <c r="G572" s="4" cm="1">
        <f t="array" ref="G572">IF($C572+$M572&lt;16,INDEX(Sheet1!C:C,$F572),$F572)</f>
        <v>7</v>
      </c>
      <c r="H572" s="4" t="str" cm="1">
        <f t="array" ref="H572">INDEX(Sheet1!D:D,$G572)</f>
        <v>2001-cso-preferred-class-structure-mortality-tables.xls</v>
      </c>
      <c r="I572" s="4" t="str" cm="1">
        <f t="array" ref="I572">INDEX(Sheet1!E:E,$G572)</f>
        <v>A.1.a.iv</v>
      </c>
      <c r="J572" s="4" t="str" cm="1">
        <f t="array" ref="J572">INDEX(Sheet1!F:F,$G572)</f>
        <v>B8</v>
      </c>
      <c r="K572" s="4" cm="1">
        <f t="array" ref="K572">INDEX(Sheet1!H:H,$G572)</f>
        <v>1E-3</v>
      </c>
      <c r="L572" s="4">
        <f t="shared" si="32"/>
        <v>70</v>
      </c>
      <c r="M572" s="4">
        <f t="shared" si="35"/>
        <v>5</v>
      </c>
    </row>
    <row r="573" spans="1:13">
      <c r="A573" s="4" t="str" cm="1">
        <f t="array" ref="A573">INDEX(Sheet1!A:A,$F573)</f>
        <v>M</v>
      </c>
      <c r="B573" s="4" t="str" cm="1">
        <f t="array" ref="B573">INDEX(Sheet1!B:B,$F573)</f>
        <v>Pref SM</v>
      </c>
      <c r="C573" s="4">
        <f t="shared" si="33"/>
        <v>71</v>
      </c>
      <c r="D573" s="5" cm="1">
        <f t="array" aca="1" ref="D573" ca="1">OFFSET(INDIRECT("'["&amp;$H573&amp;"]"&amp;$I573&amp;"'!"&amp;$J573),$L573,$M573)*$K573</f>
        <v>3.107E-2</v>
      </c>
      <c r="F573" s="4">
        <f t="shared" si="34"/>
        <v>7</v>
      </c>
      <c r="G573" s="4" cm="1">
        <f t="array" ref="G573">IF($C573+$M573&lt;16,INDEX(Sheet1!C:C,$F573),$F573)</f>
        <v>7</v>
      </c>
      <c r="H573" s="4" t="str" cm="1">
        <f t="array" ref="H573">INDEX(Sheet1!D:D,$G573)</f>
        <v>2001-cso-preferred-class-structure-mortality-tables.xls</v>
      </c>
      <c r="I573" s="4" t="str" cm="1">
        <f t="array" ref="I573">INDEX(Sheet1!E:E,$G573)</f>
        <v>A.1.a.iv</v>
      </c>
      <c r="J573" s="4" t="str" cm="1">
        <f t="array" ref="J573">INDEX(Sheet1!F:F,$G573)</f>
        <v>B8</v>
      </c>
      <c r="K573" s="4" cm="1">
        <f t="array" ref="K573">INDEX(Sheet1!H:H,$G573)</f>
        <v>1E-3</v>
      </c>
      <c r="L573" s="4">
        <f t="shared" si="32"/>
        <v>71</v>
      </c>
      <c r="M573" s="4">
        <f t="shared" si="35"/>
        <v>5</v>
      </c>
    </row>
    <row r="574" spans="1:13">
      <c r="A574" s="4" t="str" cm="1">
        <f t="array" ref="A574">INDEX(Sheet1!A:A,$F574)</f>
        <v>M</v>
      </c>
      <c r="B574" s="4" t="str" cm="1">
        <f t="array" ref="B574">INDEX(Sheet1!B:B,$F574)</f>
        <v>Pref SM</v>
      </c>
      <c r="C574" s="4">
        <f t="shared" si="33"/>
        <v>72</v>
      </c>
      <c r="D574" s="5" cm="1">
        <f t="array" aca="1" ref="D574" ca="1">OFFSET(INDIRECT("'["&amp;$H574&amp;"]"&amp;$I574&amp;"'!"&amp;$J574),$L574,$M574)*$K574</f>
        <v>3.2369999999999996E-2</v>
      </c>
      <c r="F574" s="4">
        <f t="shared" si="34"/>
        <v>7</v>
      </c>
      <c r="G574" s="4" cm="1">
        <f t="array" ref="G574">IF($C574+$M574&lt;16,INDEX(Sheet1!C:C,$F574),$F574)</f>
        <v>7</v>
      </c>
      <c r="H574" s="4" t="str" cm="1">
        <f t="array" ref="H574">INDEX(Sheet1!D:D,$G574)</f>
        <v>2001-cso-preferred-class-structure-mortality-tables.xls</v>
      </c>
      <c r="I574" s="4" t="str" cm="1">
        <f t="array" ref="I574">INDEX(Sheet1!E:E,$G574)</f>
        <v>A.1.a.iv</v>
      </c>
      <c r="J574" s="4" t="str" cm="1">
        <f t="array" ref="J574">INDEX(Sheet1!F:F,$G574)</f>
        <v>B8</v>
      </c>
      <c r="K574" s="4" cm="1">
        <f t="array" ref="K574">INDEX(Sheet1!H:H,$G574)</f>
        <v>1E-3</v>
      </c>
      <c r="L574" s="4">
        <f t="shared" si="32"/>
        <v>72</v>
      </c>
      <c r="M574" s="4">
        <f t="shared" si="35"/>
        <v>5</v>
      </c>
    </row>
    <row r="575" spans="1:13">
      <c r="A575" s="4" t="str" cm="1">
        <f t="array" ref="A575">INDEX(Sheet1!A:A,$F575)</f>
        <v>M</v>
      </c>
      <c r="B575" s="4" t="str" cm="1">
        <f t="array" ref="B575">INDEX(Sheet1!B:B,$F575)</f>
        <v>Pref SM</v>
      </c>
      <c r="C575" s="4">
        <f t="shared" si="33"/>
        <v>73</v>
      </c>
      <c r="D575" s="5" cm="1">
        <f t="array" aca="1" ref="D575" ca="1">OFFSET(INDIRECT("'["&amp;$H575&amp;"]"&amp;$I575&amp;"'!"&amp;$J575),$L575,$M575)*$K575</f>
        <v>3.3740000000000006E-2</v>
      </c>
      <c r="F575" s="4">
        <f t="shared" si="34"/>
        <v>7</v>
      </c>
      <c r="G575" s="4" cm="1">
        <f t="array" ref="G575">IF($C575+$M575&lt;16,INDEX(Sheet1!C:C,$F575),$F575)</f>
        <v>7</v>
      </c>
      <c r="H575" s="4" t="str" cm="1">
        <f t="array" ref="H575">INDEX(Sheet1!D:D,$G575)</f>
        <v>2001-cso-preferred-class-structure-mortality-tables.xls</v>
      </c>
      <c r="I575" s="4" t="str" cm="1">
        <f t="array" ref="I575">INDEX(Sheet1!E:E,$G575)</f>
        <v>A.1.a.iv</v>
      </c>
      <c r="J575" s="4" t="str" cm="1">
        <f t="array" ref="J575">INDEX(Sheet1!F:F,$G575)</f>
        <v>B8</v>
      </c>
      <c r="K575" s="4" cm="1">
        <f t="array" ref="K575">INDEX(Sheet1!H:H,$G575)</f>
        <v>1E-3</v>
      </c>
      <c r="L575" s="4">
        <f t="shared" si="32"/>
        <v>73</v>
      </c>
      <c r="M575" s="4">
        <f t="shared" si="35"/>
        <v>5</v>
      </c>
    </row>
    <row r="576" spans="1:13">
      <c r="A576" s="4" t="str" cm="1">
        <f t="array" ref="A576">INDEX(Sheet1!A:A,$F576)</f>
        <v>M</v>
      </c>
      <c r="B576" s="4" t="str" cm="1">
        <f t="array" ref="B576">INDEX(Sheet1!B:B,$F576)</f>
        <v>Pref SM</v>
      </c>
      <c r="C576" s="4">
        <f t="shared" si="33"/>
        <v>74</v>
      </c>
      <c r="D576" s="5" cm="1">
        <f t="array" aca="1" ref="D576" ca="1">OFFSET(INDIRECT("'["&amp;$H576&amp;"]"&amp;$I576&amp;"'!"&amp;$J576),$L576,$M576)*$K576</f>
        <v>3.5959999999999999E-2</v>
      </c>
      <c r="F576" s="4">
        <f t="shared" si="34"/>
        <v>7</v>
      </c>
      <c r="G576" s="4" cm="1">
        <f t="array" ref="G576">IF($C576+$M576&lt;16,INDEX(Sheet1!C:C,$F576),$F576)</f>
        <v>7</v>
      </c>
      <c r="H576" s="4" t="str" cm="1">
        <f t="array" ref="H576">INDEX(Sheet1!D:D,$G576)</f>
        <v>2001-cso-preferred-class-structure-mortality-tables.xls</v>
      </c>
      <c r="I576" s="4" t="str" cm="1">
        <f t="array" ref="I576">INDEX(Sheet1!E:E,$G576)</f>
        <v>A.1.a.iv</v>
      </c>
      <c r="J576" s="4" t="str" cm="1">
        <f t="array" ref="J576">INDEX(Sheet1!F:F,$G576)</f>
        <v>B8</v>
      </c>
      <c r="K576" s="4" cm="1">
        <f t="array" ref="K576">INDEX(Sheet1!H:H,$G576)</f>
        <v>1E-3</v>
      </c>
      <c r="L576" s="4">
        <f t="shared" si="32"/>
        <v>74</v>
      </c>
      <c r="M576" s="4">
        <f t="shared" si="35"/>
        <v>5</v>
      </c>
    </row>
    <row r="577" spans="1:13">
      <c r="A577" s="4" t="str" cm="1">
        <f t="array" ref="A577">INDEX(Sheet1!A:A,$F577)</f>
        <v>M</v>
      </c>
      <c r="B577" s="4" t="str" cm="1">
        <f t="array" ref="B577">INDEX(Sheet1!B:B,$F577)</f>
        <v>Pref SM</v>
      </c>
      <c r="C577" s="4">
        <f t="shared" si="33"/>
        <v>75</v>
      </c>
      <c r="D577" s="5" cm="1">
        <f t="array" aca="1" ref="D577" ca="1">OFFSET(INDIRECT("'["&amp;$H577&amp;"]"&amp;$I577&amp;"'!"&amp;$J577),$L577,$M577)*$K577</f>
        <v>4.0289999999999999E-2</v>
      </c>
      <c r="F577" s="4">
        <f t="shared" si="34"/>
        <v>7</v>
      </c>
      <c r="G577" s="4" cm="1">
        <f t="array" ref="G577">IF($C577+$M577&lt;16,INDEX(Sheet1!C:C,$F577),$F577)</f>
        <v>7</v>
      </c>
      <c r="H577" s="4" t="str" cm="1">
        <f t="array" ref="H577">INDEX(Sheet1!D:D,$G577)</f>
        <v>2001-cso-preferred-class-structure-mortality-tables.xls</v>
      </c>
      <c r="I577" s="4" t="str" cm="1">
        <f t="array" ref="I577">INDEX(Sheet1!E:E,$G577)</f>
        <v>A.1.a.iv</v>
      </c>
      <c r="J577" s="4" t="str" cm="1">
        <f t="array" ref="J577">INDEX(Sheet1!F:F,$G577)</f>
        <v>B8</v>
      </c>
      <c r="K577" s="4" cm="1">
        <f t="array" ref="K577">INDEX(Sheet1!H:H,$G577)</f>
        <v>1E-3</v>
      </c>
      <c r="L577" s="4">
        <f t="shared" si="32"/>
        <v>75</v>
      </c>
      <c r="M577" s="4">
        <f t="shared" si="35"/>
        <v>5</v>
      </c>
    </row>
    <row r="578" spans="1:13">
      <c r="A578" s="4" t="str" cm="1">
        <f t="array" ref="A578">INDEX(Sheet1!A:A,$F578)</f>
        <v>M</v>
      </c>
      <c r="B578" s="4" t="str" cm="1">
        <f t="array" ref="B578">INDEX(Sheet1!B:B,$F578)</f>
        <v>Pref SM</v>
      </c>
      <c r="C578" s="4">
        <f t="shared" si="33"/>
        <v>76</v>
      </c>
      <c r="D578" s="5" cm="1">
        <f t="array" aca="1" ref="D578" ca="1">OFFSET(INDIRECT("'["&amp;$H578&amp;"]"&amp;$I578&amp;"'!"&amp;$J578),$L578,$M578)*$K578</f>
        <v>4.3650000000000001E-2</v>
      </c>
      <c r="F578" s="4">
        <f t="shared" si="34"/>
        <v>7</v>
      </c>
      <c r="G578" s="4" cm="1">
        <f t="array" ref="G578">IF($C578+$M578&lt;16,INDEX(Sheet1!C:C,$F578),$F578)</f>
        <v>7</v>
      </c>
      <c r="H578" s="4" t="str" cm="1">
        <f t="array" ref="H578">INDEX(Sheet1!D:D,$G578)</f>
        <v>2001-cso-preferred-class-structure-mortality-tables.xls</v>
      </c>
      <c r="I578" s="4" t="str" cm="1">
        <f t="array" ref="I578">INDEX(Sheet1!E:E,$G578)</f>
        <v>A.1.a.iv</v>
      </c>
      <c r="J578" s="4" t="str" cm="1">
        <f t="array" ref="J578">INDEX(Sheet1!F:F,$G578)</f>
        <v>B8</v>
      </c>
      <c r="K578" s="4" cm="1">
        <f t="array" ref="K578">INDEX(Sheet1!H:H,$G578)</f>
        <v>1E-3</v>
      </c>
      <c r="L578" s="4">
        <f t="shared" si="32"/>
        <v>76</v>
      </c>
      <c r="M578" s="4">
        <f t="shared" si="35"/>
        <v>5</v>
      </c>
    </row>
    <row r="579" spans="1:13">
      <c r="A579" s="4" t="str" cm="1">
        <f t="array" ref="A579">INDEX(Sheet1!A:A,$F579)</f>
        <v>M</v>
      </c>
      <c r="B579" s="4" t="str" cm="1">
        <f t="array" ref="B579">INDEX(Sheet1!B:B,$F579)</f>
        <v>Pref SM</v>
      </c>
      <c r="C579" s="4">
        <f t="shared" si="33"/>
        <v>77</v>
      </c>
      <c r="D579" s="5" cm="1">
        <f t="array" aca="1" ref="D579" ca="1">OFFSET(INDIRECT("'["&amp;$H579&amp;"]"&amp;$I579&amp;"'!"&amp;$J579),$L579,$M579)*$K579</f>
        <v>4.7630000000000006E-2</v>
      </c>
      <c r="F579" s="4">
        <f t="shared" si="34"/>
        <v>7</v>
      </c>
      <c r="G579" s="4" cm="1">
        <f t="array" ref="G579">IF($C579+$M579&lt;16,INDEX(Sheet1!C:C,$F579),$F579)</f>
        <v>7</v>
      </c>
      <c r="H579" s="4" t="str" cm="1">
        <f t="array" ref="H579">INDEX(Sheet1!D:D,$G579)</f>
        <v>2001-cso-preferred-class-structure-mortality-tables.xls</v>
      </c>
      <c r="I579" s="4" t="str" cm="1">
        <f t="array" ref="I579">INDEX(Sheet1!E:E,$G579)</f>
        <v>A.1.a.iv</v>
      </c>
      <c r="J579" s="4" t="str" cm="1">
        <f t="array" ref="J579">INDEX(Sheet1!F:F,$G579)</f>
        <v>B8</v>
      </c>
      <c r="K579" s="4" cm="1">
        <f t="array" ref="K579">INDEX(Sheet1!H:H,$G579)</f>
        <v>1E-3</v>
      </c>
      <c r="L579" s="4">
        <f t="shared" ref="L579:L642" si="36">C579</f>
        <v>77</v>
      </c>
      <c r="M579" s="4">
        <f t="shared" si="35"/>
        <v>5</v>
      </c>
    </row>
    <row r="580" spans="1:13">
      <c r="A580" s="4" t="str" cm="1">
        <f t="array" ref="A580">INDEX(Sheet1!A:A,$F580)</f>
        <v>M</v>
      </c>
      <c r="B580" s="4" t="str" cm="1">
        <f t="array" ref="B580">INDEX(Sheet1!B:B,$F580)</f>
        <v>Pref SM</v>
      </c>
      <c r="C580" s="4">
        <f t="shared" ref="C580:C643" si="37">IF(C579=99,0,C579+1)</f>
        <v>78</v>
      </c>
      <c r="D580" s="5" cm="1">
        <f t="array" aca="1" ref="D580" ca="1">OFFSET(INDIRECT("'["&amp;$H580&amp;"]"&amp;$I580&amp;"'!"&amp;$J580),$L580,$M580)*$K580</f>
        <v>5.4869999999999995E-2</v>
      </c>
      <c r="F580" s="4">
        <f t="shared" ref="F580:F643" si="38">IF(C580=0,1,0)+F579</f>
        <v>7</v>
      </c>
      <c r="G580" s="4" cm="1">
        <f t="array" ref="G580">IF($C580+$M580&lt;16,INDEX(Sheet1!C:C,$F580),$F580)</f>
        <v>7</v>
      </c>
      <c r="H580" s="4" t="str" cm="1">
        <f t="array" ref="H580">INDEX(Sheet1!D:D,$G580)</f>
        <v>2001-cso-preferred-class-structure-mortality-tables.xls</v>
      </c>
      <c r="I580" s="4" t="str" cm="1">
        <f t="array" ref="I580">INDEX(Sheet1!E:E,$G580)</f>
        <v>A.1.a.iv</v>
      </c>
      <c r="J580" s="4" t="str" cm="1">
        <f t="array" ref="J580">INDEX(Sheet1!F:F,$G580)</f>
        <v>B8</v>
      </c>
      <c r="K580" s="4" cm="1">
        <f t="array" ref="K580">INDEX(Sheet1!H:H,$G580)</f>
        <v>1E-3</v>
      </c>
      <c r="L580" s="4">
        <f t="shared" si="36"/>
        <v>78</v>
      </c>
      <c r="M580" s="4">
        <f t="shared" ref="L580:M643" si="39">M$2</f>
        <v>5</v>
      </c>
    </row>
    <row r="581" spans="1:13">
      <c r="A581" s="4" t="str" cm="1">
        <f t="array" ref="A581">INDEX(Sheet1!A:A,$F581)</f>
        <v>M</v>
      </c>
      <c r="B581" s="4" t="str" cm="1">
        <f t="array" ref="B581">INDEX(Sheet1!B:B,$F581)</f>
        <v>Pref SM</v>
      </c>
      <c r="C581" s="4">
        <f t="shared" si="37"/>
        <v>79</v>
      </c>
      <c r="D581" s="5" cm="1">
        <f t="array" aca="1" ref="D581" ca="1">OFFSET(INDIRECT("'["&amp;$H581&amp;"]"&amp;$I581&amp;"'!"&amp;$J581),$L581,$M581)*$K581</f>
        <v>6.583E-2</v>
      </c>
      <c r="F581" s="4">
        <f t="shared" si="38"/>
        <v>7</v>
      </c>
      <c r="G581" s="4" cm="1">
        <f t="array" ref="G581">IF($C581+$M581&lt;16,INDEX(Sheet1!C:C,$F581),$F581)</f>
        <v>7</v>
      </c>
      <c r="H581" s="4" t="str" cm="1">
        <f t="array" ref="H581">INDEX(Sheet1!D:D,$G581)</f>
        <v>2001-cso-preferred-class-structure-mortality-tables.xls</v>
      </c>
      <c r="I581" s="4" t="str" cm="1">
        <f t="array" ref="I581">INDEX(Sheet1!E:E,$G581)</f>
        <v>A.1.a.iv</v>
      </c>
      <c r="J581" s="4" t="str" cm="1">
        <f t="array" ref="J581">INDEX(Sheet1!F:F,$G581)</f>
        <v>B8</v>
      </c>
      <c r="K581" s="4" cm="1">
        <f t="array" ref="K581">INDEX(Sheet1!H:H,$G581)</f>
        <v>1E-3</v>
      </c>
      <c r="L581" s="4">
        <f t="shared" si="36"/>
        <v>79</v>
      </c>
      <c r="M581" s="4">
        <f t="shared" si="39"/>
        <v>5</v>
      </c>
    </row>
    <row r="582" spans="1:13">
      <c r="A582" s="4" t="str" cm="1">
        <f t="array" ref="A582">INDEX(Sheet1!A:A,$F582)</f>
        <v>M</v>
      </c>
      <c r="B582" s="4" t="str" cm="1">
        <f t="array" ref="B582">INDEX(Sheet1!B:B,$F582)</f>
        <v>Pref SM</v>
      </c>
      <c r="C582" s="4">
        <f t="shared" si="37"/>
        <v>80</v>
      </c>
      <c r="D582" s="5" cm="1">
        <f t="array" aca="1" ref="D582" ca="1">OFFSET(INDIRECT("'["&amp;$H582&amp;"]"&amp;$I582&amp;"'!"&amp;$J582),$L582,$M582)*$K582</f>
        <v>7.4560000000000001E-2</v>
      </c>
      <c r="F582" s="4">
        <f t="shared" si="38"/>
        <v>7</v>
      </c>
      <c r="G582" s="4" cm="1">
        <f t="array" ref="G582">IF($C582+$M582&lt;16,INDEX(Sheet1!C:C,$F582),$F582)</f>
        <v>7</v>
      </c>
      <c r="H582" s="4" t="str" cm="1">
        <f t="array" ref="H582">INDEX(Sheet1!D:D,$G582)</f>
        <v>2001-cso-preferred-class-structure-mortality-tables.xls</v>
      </c>
      <c r="I582" s="4" t="str" cm="1">
        <f t="array" ref="I582">INDEX(Sheet1!E:E,$G582)</f>
        <v>A.1.a.iv</v>
      </c>
      <c r="J582" s="4" t="str" cm="1">
        <f t="array" ref="J582">INDEX(Sheet1!F:F,$G582)</f>
        <v>B8</v>
      </c>
      <c r="K582" s="4" cm="1">
        <f t="array" ref="K582">INDEX(Sheet1!H:H,$G582)</f>
        <v>1E-3</v>
      </c>
      <c r="L582" s="4">
        <f t="shared" si="36"/>
        <v>80</v>
      </c>
      <c r="M582" s="4">
        <f t="shared" si="39"/>
        <v>5</v>
      </c>
    </row>
    <row r="583" spans="1:13">
      <c r="A583" s="4" t="str" cm="1">
        <f t="array" ref="A583">INDEX(Sheet1!A:A,$F583)</f>
        <v>M</v>
      </c>
      <c r="B583" s="4" t="str" cm="1">
        <f t="array" ref="B583">INDEX(Sheet1!B:B,$F583)</f>
        <v>Pref SM</v>
      </c>
      <c r="C583" s="4">
        <f t="shared" si="37"/>
        <v>81</v>
      </c>
      <c r="D583" s="5" cm="1">
        <f t="array" aca="1" ref="D583" ca="1">OFFSET(INDIRECT("'["&amp;$H583&amp;"]"&amp;$I583&amp;"'!"&amp;$J583),$L583,$M583)*$K583</f>
        <v>8.6140000000000008E-2</v>
      </c>
      <c r="F583" s="4">
        <f t="shared" si="38"/>
        <v>7</v>
      </c>
      <c r="G583" s="4" cm="1">
        <f t="array" ref="G583">IF($C583+$M583&lt;16,INDEX(Sheet1!C:C,$F583),$F583)</f>
        <v>7</v>
      </c>
      <c r="H583" s="4" t="str" cm="1">
        <f t="array" ref="H583">INDEX(Sheet1!D:D,$G583)</f>
        <v>2001-cso-preferred-class-structure-mortality-tables.xls</v>
      </c>
      <c r="I583" s="4" t="str" cm="1">
        <f t="array" ref="I583">INDEX(Sheet1!E:E,$G583)</f>
        <v>A.1.a.iv</v>
      </c>
      <c r="J583" s="4" t="str" cm="1">
        <f t="array" ref="J583">INDEX(Sheet1!F:F,$G583)</f>
        <v>B8</v>
      </c>
      <c r="K583" s="4" cm="1">
        <f t="array" ref="K583">INDEX(Sheet1!H:H,$G583)</f>
        <v>1E-3</v>
      </c>
      <c r="L583" s="4">
        <f t="shared" si="36"/>
        <v>81</v>
      </c>
      <c r="M583" s="4">
        <f t="shared" si="39"/>
        <v>5</v>
      </c>
    </row>
    <row r="584" spans="1:13">
      <c r="A584" s="4" t="str" cm="1">
        <f t="array" ref="A584">INDEX(Sheet1!A:A,$F584)</f>
        <v>M</v>
      </c>
      <c r="B584" s="4" t="str" cm="1">
        <f t="array" ref="B584">INDEX(Sheet1!B:B,$F584)</f>
        <v>Pref SM</v>
      </c>
      <c r="C584" s="4">
        <f t="shared" si="37"/>
        <v>82</v>
      </c>
      <c r="D584" s="5" cm="1">
        <f t="array" aca="1" ref="D584" ca="1">OFFSET(INDIRECT("'["&amp;$H584&amp;"]"&amp;$I584&amp;"'!"&amp;$J584),$L584,$M584)*$K584</f>
        <v>9.4409999999999994E-2</v>
      </c>
      <c r="F584" s="4">
        <f t="shared" si="38"/>
        <v>7</v>
      </c>
      <c r="G584" s="4" cm="1">
        <f t="array" ref="G584">IF($C584+$M584&lt;16,INDEX(Sheet1!C:C,$F584),$F584)</f>
        <v>7</v>
      </c>
      <c r="H584" s="4" t="str" cm="1">
        <f t="array" ref="H584">INDEX(Sheet1!D:D,$G584)</f>
        <v>2001-cso-preferred-class-structure-mortality-tables.xls</v>
      </c>
      <c r="I584" s="4" t="str" cm="1">
        <f t="array" ref="I584">INDEX(Sheet1!E:E,$G584)</f>
        <v>A.1.a.iv</v>
      </c>
      <c r="J584" s="4" t="str" cm="1">
        <f t="array" ref="J584">INDEX(Sheet1!F:F,$G584)</f>
        <v>B8</v>
      </c>
      <c r="K584" s="4" cm="1">
        <f t="array" ref="K584">INDEX(Sheet1!H:H,$G584)</f>
        <v>1E-3</v>
      </c>
      <c r="L584" s="4">
        <f t="shared" si="36"/>
        <v>82</v>
      </c>
      <c r="M584" s="4">
        <f t="shared" si="39"/>
        <v>5</v>
      </c>
    </row>
    <row r="585" spans="1:13">
      <c r="A585" s="4" t="str" cm="1">
        <f t="array" ref="A585">INDEX(Sheet1!A:A,$F585)</f>
        <v>M</v>
      </c>
      <c r="B585" s="4" t="str" cm="1">
        <f t="array" ref="B585">INDEX(Sheet1!B:B,$F585)</f>
        <v>Pref SM</v>
      </c>
      <c r="C585" s="4">
        <f t="shared" si="37"/>
        <v>83</v>
      </c>
      <c r="D585" s="5" cm="1">
        <f t="array" aca="1" ref="D585" ca="1">OFFSET(INDIRECT("'["&amp;$H585&amp;"]"&amp;$I585&amp;"'!"&amp;$J585),$L585,$M585)*$K585</f>
        <v>0.10804999999999999</v>
      </c>
      <c r="F585" s="4">
        <f t="shared" si="38"/>
        <v>7</v>
      </c>
      <c r="G585" s="4" cm="1">
        <f t="array" ref="G585">IF($C585+$M585&lt;16,INDEX(Sheet1!C:C,$F585),$F585)</f>
        <v>7</v>
      </c>
      <c r="H585" s="4" t="str" cm="1">
        <f t="array" ref="H585">INDEX(Sheet1!D:D,$G585)</f>
        <v>2001-cso-preferred-class-structure-mortality-tables.xls</v>
      </c>
      <c r="I585" s="4" t="str" cm="1">
        <f t="array" ref="I585">INDEX(Sheet1!E:E,$G585)</f>
        <v>A.1.a.iv</v>
      </c>
      <c r="J585" s="4" t="str" cm="1">
        <f t="array" ref="J585">INDEX(Sheet1!F:F,$G585)</f>
        <v>B8</v>
      </c>
      <c r="K585" s="4" cm="1">
        <f t="array" ref="K585">INDEX(Sheet1!H:H,$G585)</f>
        <v>1E-3</v>
      </c>
      <c r="L585" s="4">
        <f t="shared" si="36"/>
        <v>83</v>
      </c>
      <c r="M585" s="4">
        <f t="shared" si="39"/>
        <v>5</v>
      </c>
    </row>
    <row r="586" spans="1:13">
      <c r="A586" s="4" t="str" cm="1">
        <f t="array" ref="A586">INDEX(Sheet1!A:A,$F586)</f>
        <v>M</v>
      </c>
      <c r="B586" s="4" t="str" cm="1">
        <f t="array" ref="B586">INDEX(Sheet1!B:B,$F586)</f>
        <v>Pref SM</v>
      </c>
      <c r="C586" s="4">
        <f t="shared" si="37"/>
        <v>84</v>
      </c>
      <c r="D586" s="5" cm="1">
        <f t="array" aca="1" ref="D586" ca="1">OFFSET(INDIRECT("'["&amp;$H586&amp;"]"&amp;$I586&amp;"'!"&amp;$J586),$L586,$M586)*$K586</f>
        <v>0.12490999999999999</v>
      </c>
      <c r="F586" s="4">
        <f t="shared" si="38"/>
        <v>7</v>
      </c>
      <c r="G586" s="4" cm="1">
        <f t="array" ref="G586">IF($C586+$M586&lt;16,INDEX(Sheet1!C:C,$F586),$F586)</f>
        <v>7</v>
      </c>
      <c r="H586" s="4" t="str" cm="1">
        <f t="array" ref="H586">INDEX(Sheet1!D:D,$G586)</f>
        <v>2001-cso-preferred-class-structure-mortality-tables.xls</v>
      </c>
      <c r="I586" s="4" t="str" cm="1">
        <f t="array" ref="I586">INDEX(Sheet1!E:E,$G586)</f>
        <v>A.1.a.iv</v>
      </c>
      <c r="J586" s="4" t="str" cm="1">
        <f t="array" ref="J586">INDEX(Sheet1!F:F,$G586)</f>
        <v>B8</v>
      </c>
      <c r="K586" s="4" cm="1">
        <f t="array" ref="K586">INDEX(Sheet1!H:H,$G586)</f>
        <v>1E-3</v>
      </c>
      <c r="L586" s="4">
        <f t="shared" si="36"/>
        <v>84</v>
      </c>
      <c r="M586" s="4">
        <f t="shared" si="39"/>
        <v>5</v>
      </c>
    </row>
    <row r="587" spans="1:13">
      <c r="A587" s="4" t="str" cm="1">
        <f t="array" ref="A587">INDEX(Sheet1!A:A,$F587)</f>
        <v>M</v>
      </c>
      <c r="B587" s="4" t="str" cm="1">
        <f t="array" ref="B587">INDEX(Sheet1!B:B,$F587)</f>
        <v>Pref SM</v>
      </c>
      <c r="C587" s="4">
        <f t="shared" si="37"/>
        <v>85</v>
      </c>
      <c r="D587" s="5" cm="1">
        <f t="array" aca="1" ref="D587" ca="1">OFFSET(INDIRECT("'["&amp;$H587&amp;"]"&amp;$I587&amp;"'!"&amp;$J587),$L587,$M587)*$K587</f>
        <v>0.14063999999999999</v>
      </c>
      <c r="F587" s="4">
        <f t="shared" si="38"/>
        <v>7</v>
      </c>
      <c r="G587" s="4" cm="1">
        <f t="array" ref="G587">IF($C587+$M587&lt;16,INDEX(Sheet1!C:C,$F587),$F587)</f>
        <v>7</v>
      </c>
      <c r="H587" s="4" t="str" cm="1">
        <f t="array" ref="H587">INDEX(Sheet1!D:D,$G587)</f>
        <v>2001-cso-preferred-class-structure-mortality-tables.xls</v>
      </c>
      <c r="I587" s="4" t="str" cm="1">
        <f t="array" ref="I587">INDEX(Sheet1!E:E,$G587)</f>
        <v>A.1.a.iv</v>
      </c>
      <c r="J587" s="4" t="str" cm="1">
        <f t="array" ref="J587">INDEX(Sheet1!F:F,$G587)</f>
        <v>B8</v>
      </c>
      <c r="K587" s="4" cm="1">
        <f t="array" ref="K587">INDEX(Sheet1!H:H,$G587)</f>
        <v>1E-3</v>
      </c>
      <c r="L587" s="4">
        <f t="shared" si="36"/>
        <v>85</v>
      </c>
      <c r="M587" s="4">
        <f t="shared" si="39"/>
        <v>5</v>
      </c>
    </row>
    <row r="588" spans="1:13">
      <c r="A588" s="4" t="str" cm="1">
        <f t="array" ref="A588">INDEX(Sheet1!A:A,$F588)</f>
        <v>M</v>
      </c>
      <c r="B588" s="4" t="str" cm="1">
        <f t="array" ref="B588">INDEX(Sheet1!B:B,$F588)</f>
        <v>Pref SM</v>
      </c>
      <c r="C588" s="4">
        <f t="shared" si="37"/>
        <v>86</v>
      </c>
      <c r="D588" s="5" cm="1">
        <f t="array" aca="1" ref="D588" ca="1">OFFSET(INDIRECT("'["&amp;$H588&amp;"]"&amp;$I588&amp;"'!"&amp;$J588),$L588,$M588)*$K588</f>
        <v>0.17534</v>
      </c>
      <c r="F588" s="4">
        <f t="shared" si="38"/>
        <v>7</v>
      </c>
      <c r="G588" s="4" cm="1">
        <f t="array" ref="G588">IF($C588+$M588&lt;16,INDEX(Sheet1!C:C,$F588),$F588)</f>
        <v>7</v>
      </c>
      <c r="H588" s="4" t="str" cm="1">
        <f t="array" ref="H588">INDEX(Sheet1!D:D,$G588)</f>
        <v>2001-cso-preferred-class-structure-mortality-tables.xls</v>
      </c>
      <c r="I588" s="4" t="str" cm="1">
        <f t="array" ref="I588">INDEX(Sheet1!E:E,$G588)</f>
        <v>A.1.a.iv</v>
      </c>
      <c r="J588" s="4" t="str" cm="1">
        <f t="array" ref="J588">INDEX(Sheet1!F:F,$G588)</f>
        <v>B8</v>
      </c>
      <c r="K588" s="4" cm="1">
        <f t="array" ref="K588">INDEX(Sheet1!H:H,$G588)</f>
        <v>1E-3</v>
      </c>
      <c r="L588" s="4">
        <f t="shared" si="36"/>
        <v>86</v>
      </c>
      <c r="M588" s="4">
        <f t="shared" si="39"/>
        <v>5</v>
      </c>
    </row>
    <row r="589" spans="1:13">
      <c r="A589" s="4" t="str" cm="1">
        <f t="array" ref="A589">INDEX(Sheet1!A:A,$F589)</f>
        <v>M</v>
      </c>
      <c r="B589" s="4" t="str" cm="1">
        <f t="array" ref="B589">INDEX(Sheet1!B:B,$F589)</f>
        <v>Pref SM</v>
      </c>
      <c r="C589" s="4">
        <f t="shared" si="37"/>
        <v>87</v>
      </c>
      <c r="D589" s="5" cm="1">
        <f t="array" aca="1" ref="D589" ca="1">OFFSET(INDIRECT("'["&amp;$H589&amp;"]"&amp;$I589&amp;"'!"&amp;$J589),$L589,$M589)*$K589</f>
        <v>0.23604</v>
      </c>
      <c r="F589" s="4">
        <f t="shared" si="38"/>
        <v>7</v>
      </c>
      <c r="G589" s="4" cm="1">
        <f t="array" ref="G589">IF($C589+$M589&lt;16,INDEX(Sheet1!C:C,$F589),$F589)</f>
        <v>7</v>
      </c>
      <c r="H589" s="4" t="str" cm="1">
        <f t="array" ref="H589">INDEX(Sheet1!D:D,$G589)</f>
        <v>2001-cso-preferred-class-structure-mortality-tables.xls</v>
      </c>
      <c r="I589" s="4" t="str" cm="1">
        <f t="array" ref="I589">INDEX(Sheet1!E:E,$G589)</f>
        <v>A.1.a.iv</v>
      </c>
      <c r="J589" s="4" t="str" cm="1">
        <f t="array" ref="J589">INDEX(Sheet1!F:F,$G589)</f>
        <v>B8</v>
      </c>
      <c r="K589" s="4" cm="1">
        <f t="array" ref="K589">INDEX(Sheet1!H:H,$G589)</f>
        <v>1E-3</v>
      </c>
      <c r="L589" s="4">
        <f t="shared" si="36"/>
        <v>87</v>
      </c>
      <c r="M589" s="4">
        <f t="shared" si="39"/>
        <v>5</v>
      </c>
    </row>
    <row r="590" spans="1:13">
      <c r="A590" s="4" t="str" cm="1">
        <f t="array" ref="A590">INDEX(Sheet1!A:A,$F590)</f>
        <v>M</v>
      </c>
      <c r="B590" s="4" t="str" cm="1">
        <f t="array" ref="B590">INDEX(Sheet1!B:B,$F590)</f>
        <v>Pref SM</v>
      </c>
      <c r="C590" s="4">
        <f t="shared" si="37"/>
        <v>88</v>
      </c>
      <c r="D590" s="5" cm="1">
        <f t="array" aca="1" ref="D590" ca="1">OFFSET(INDIRECT("'["&amp;$H590&amp;"]"&amp;$I590&amp;"'!"&amp;$J590),$L590,$M590)*$K590</f>
        <v>0.25319000000000003</v>
      </c>
      <c r="F590" s="4">
        <f t="shared" si="38"/>
        <v>7</v>
      </c>
      <c r="G590" s="4" cm="1">
        <f t="array" ref="G590">IF($C590+$M590&lt;16,INDEX(Sheet1!C:C,$F590),$F590)</f>
        <v>7</v>
      </c>
      <c r="H590" s="4" t="str" cm="1">
        <f t="array" ref="H590">INDEX(Sheet1!D:D,$G590)</f>
        <v>2001-cso-preferred-class-structure-mortality-tables.xls</v>
      </c>
      <c r="I590" s="4" t="str" cm="1">
        <f t="array" ref="I590">INDEX(Sheet1!E:E,$G590)</f>
        <v>A.1.a.iv</v>
      </c>
      <c r="J590" s="4" t="str" cm="1">
        <f t="array" ref="J590">INDEX(Sheet1!F:F,$G590)</f>
        <v>B8</v>
      </c>
      <c r="K590" s="4" cm="1">
        <f t="array" ref="K590">INDEX(Sheet1!H:H,$G590)</f>
        <v>1E-3</v>
      </c>
      <c r="L590" s="4">
        <f t="shared" si="36"/>
        <v>88</v>
      </c>
      <c r="M590" s="4">
        <f t="shared" si="39"/>
        <v>5</v>
      </c>
    </row>
    <row r="591" spans="1:13">
      <c r="A591" s="4" t="str" cm="1">
        <f t="array" ref="A591">INDEX(Sheet1!A:A,$F591)</f>
        <v>M</v>
      </c>
      <c r="B591" s="4" t="str" cm="1">
        <f t="array" ref="B591">INDEX(Sheet1!B:B,$F591)</f>
        <v>Pref SM</v>
      </c>
      <c r="C591" s="4">
        <f t="shared" si="37"/>
        <v>89</v>
      </c>
      <c r="D591" s="5" cm="1">
        <f t="array" aca="1" ref="D591" ca="1">OFFSET(INDIRECT("'["&amp;$H591&amp;"]"&amp;$I591&amp;"'!"&amp;$J591),$L591,$M591)*$K591</f>
        <v>0.27116000000000001</v>
      </c>
      <c r="F591" s="4">
        <f t="shared" si="38"/>
        <v>7</v>
      </c>
      <c r="G591" s="4" cm="1">
        <f t="array" ref="G591">IF($C591+$M591&lt;16,INDEX(Sheet1!C:C,$F591),$F591)</f>
        <v>7</v>
      </c>
      <c r="H591" s="4" t="str" cm="1">
        <f t="array" ref="H591">INDEX(Sheet1!D:D,$G591)</f>
        <v>2001-cso-preferred-class-structure-mortality-tables.xls</v>
      </c>
      <c r="I591" s="4" t="str" cm="1">
        <f t="array" ref="I591">INDEX(Sheet1!E:E,$G591)</f>
        <v>A.1.a.iv</v>
      </c>
      <c r="J591" s="4" t="str" cm="1">
        <f t="array" ref="J591">INDEX(Sheet1!F:F,$G591)</f>
        <v>B8</v>
      </c>
      <c r="K591" s="4" cm="1">
        <f t="array" ref="K591">INDEX(Sheet1!H:H,$G591)</f>
        <v>1E-3</v>
      </c>
      <c r="L591" s="4">
        <f t="shared" si="36"/>
        <v>89</v>
      </c>
      <c r="M591" s="4">
        <f t="shared" si="39"/>
        <v>5</v>
      </c>
    </row>
    <row r="592" spans="1:13">
      <c r="A592" s="4" t="str" cm="1">
        <f t="array" ref="A592">INDEX(Sheet1!A:A,$F592)</f>
        <v>M</v>
      </c>
      <c r="B592" s="4" t="str" cm="1">
        <f t="array" ref="B592">INDEX(Sheet1!B:B,$F592)</f>
        <v>Pref SM</v>
      </c>
      <c r="C592" s="4">
        <f t="shared" si="37"/>
        <v>90</v>
      </c>
      <c r="D592" s="5" cm="1">
        <f t="array" aca="1" ref="D592" ca="1">OFFSET(INDIRECT("'["&amp;$H592&amp;"]"&amp;$I592&amp;"'!"&amp;$J592),$L592,$M592)*$K592</f>
        <v>0.29105000000000003</v>
      </c>
      <c r="F592" s="4">
        <f t="shared" si="38"/>
        <v>7</v>
      </c>
      <c r="G592" s="4" cm="1">
        <f t="array" ref="G592">IF($C592+$M592&lt;16,INDEX(Sheet1!C:C,$F592),$F592)</f>
        <v>7</v>
      </c>
      <c r="H592" s="4" t="str" cm="1">
        <f t="array" ref="H592">INDEX(Sheet1!D:D,$G592)</f>
        <v>2001-cso-preferred-class-structure-mortality-tables.xls</v>
      </c>
      <c r="I592" s="4" t="str" cm="1">
        <f t="array" ref="I592">INDEX(Sheet1!E:E,$G592)</f>
        <v>A.1.a.iv</v>
      </c>
      <c r="J592" s="4" t="str" cm="1">
        <f t="array" ref="J592">INDEX(Sheet1!F:F,$G592)</f>
        <v>B8</v>
      </c>
      <c r="K592" s="4" cm="1">
        <f t="array" ref="K592">INDEX(Sheet1!H:H,$G592)</f>
        <v>1E-3</v>
      </c>
      <c r="L592" s="4">
        <f t="shared" si="36"/>
        <v>90</v>
      </c>
      <c r="M592" s="4">
        <f t="shared" si="39"/>
        <v>5</v>
      </c>
    </row>
    <row r="593" spans="1:13">
      <c r="A593" s="4" t="str" cm="1">
        <f t="array" ref="A593">INDEX(Sheet1!A:A,$F593)</f>
        <v>M</v>
      </c>
      <c r="B593" s="4" t="str" cm="1">
        <f t="array" ref="B593">INDEX(Sheet1!B:B,$F593)</f>
        <v>Pref SM</v>
      </c>
      <c r="C593" s="4">
        <f t="shared" si="37"/>
        <v>91</v>
      </c>
      <c r="D593" s="5" cm="1">
        <f t="array" aca="1" ref="D593" ca="1">OFFSET(INDIRECT("'["&amp;$H593&amp;"]"&amp;$I593&amp;"'!"&amp;$J593),$L593,$M593)*$K593</f>
        <v>0.30632999999999999</v>
      </c>
      <c r="F593" s="4">
        <f t="shared" si="38"/>
        <v>7</v>
      </c>
      <c r="G593" s="4" cm="1">
        <f t="array" ref="G593">IF($C593+$M593&lt;16,INDEX(Sheet1!C:C,$F593),$F593)</f>
        <v>7</v>
      </c>
      <c r="H593" s="4" t="str" cm="1">
        <f t="array" ref="H593">INDEX(Sheet1!D:D,$G593)</f>
        <v>2001-cso-preferred-class-structure-mortality-tables.xls</v>
      </c>
      <c r="I593" s="4" t="str" cm="1">
        <f t="array" ref="I593">INDEX(Sheet1!E:E,$G593)</f>
        <v>A.1.a.iv</v>
      </c>
      <c r="J593" s="4" t="str" cm="1">
        <f t="array" ref="J593">INDEX(Sheet1!F:F,$G593)</f>
        <v>B8</v>
      </c>
      <c r="K593" s="4" cm="1">
        <f t="array" ref="K593">INDEX(Sheet1!H:H,$G593)</f>
        <v>1E-3</v>
      </c>
      <c r="L593" s="4">
        <f t="shared" si="36"/>
        <v>91</v>
      </c>
      <c r="M593" s="4">
        <f t="shared" si="39"/>
        <v>5</v>
      </c>
    </row>
    <row r="594" spans="1:13">
      <c r="A594" s="4" t="str" cm="1">
        <f t="array" ref="A594">INDEX(Sheet1!A:A,$F594)</f>
        <v>M</v>
      </c>
      <c r="B594" s="4" t="str" cm="1">
        <f t="array" ref="B594">INDEX(Sheet1!B:B,$F594)</f>
        <v>Pref SM</v>
      </c>
      <c r="C594" s="4">
        <f t="shared" si="37"/>
        <v>92</v>
      </c>
      <c r="D594" s="5" cm="1">
        <f t="array" aca="1" ref="D594" ca="1">OFFSET(INDIRECT("'["&amp;$H594&amp;"]"&amp;$I594&amp;"'!"&amp;$J594),$L594,$M594)*$K594</f>
        <v>0.32244</v>
      </c>
      <c r="F594" s="4">
        <f t="shared" si="38"/>
        <v>7</v>
      </c>
      <c r="G594" s="4" cm="1">
        <f t="array" ref="G594">IF($C594+$M594&lt;16,INDEX(Sheet1!C:C,$F594),$F594)</f>
        <v>7</v>
      </c>
      <c r="H594" s="4" t="str" cm="1">
        <f t="array" ref="H594">INDEX(Sheet1!D:D,$G594)</f>
        <v>2001-cso-preferred-class-structure-mortality-tables.xls</v>
      </c>
      <c r="I594" s="4" t="str" cm="1">
        <f t="array" ref="I594">INDEX(Sheet1!E:E,$G594)</f>
        <v>A.1.a.iv</v>
      </c>
      <c r="J594" s="4" t="str" cm="1">
        <f t="array" ref="J594">INDEX(Sheet1!F:F,$G594)</f>
        <v>B8</v>
      </c>
      <c r="K594" s="4" cm="1">
        <f t="array" ref="K594">INDEX(Sheet1!H:H,$G594)</f>
        <v>1E-3</v>
      </c>
      <c r="L594" s="4">
        <f t="shared" si="36"/>
        <v>92</v>
      </c>
      <c r="M594" s="4">
        <f t="shared" si="39"/>
        <v>5</v>
      </c>
    </row>
    <row r="595" spans="1:13">
      <c r="A595" s="4" t="str" cm="1">
        <f t="array" ref="A595">INDEX(Sheet1!A:A,$F595)</f>
        <v>M</v>
      </c>
      <c r="B595" s="4" t="str" cm="1">
        <f t="array" ref="B595">INDEX(Sheet1!B:B,$F595)</f>
        <v>Pref SM</v>
      </c>
      <c r="C595" s="4">
        <f t="shared" si="37"/>
        <v>93</v>
      </c>
      <c r="D595" s="5" cm="1">
        <f t="array" aca="1" ref="D595" ca="1">OFFSET(INDIRECT("'["&amp;$H595&amp;"]"&amp;$I595&amp;"'!"&amp;$J595),$L595,$M595)*$K595</f>
        <v>0.33944999999999997</v>
      </c>
      <c r="F595" s="4">
        <f t="shared" si="38"/>
        <v>7</v>
      </c>
      <c r="G595" s="4" cm="1">
        <f t="array" ref="G595">IF($C595+$M595&lt;16,INDEX(Sheet1!C:C,$F595),$F595)</f>
        <v>7</v>
      </c>
      <c r="H595" s="4" t="str" cm="1">
        <f t="array" ref="H595">INDEX(Sheet1!D:D,$G595)</f>
        <v>2001-cso-preferred-class-structure-mortality-tables.xls</v>
      </c>
      <c r="I595" s="4" t="str" cm="1">
        <f t="array" ref="I595">INDEX(Sheet1!E:E,$G595)</f>
        <v>A.1.a.iv</v>
      </c>
      <c r="J595" s="4" t="str" cm="1">
        <f t="array" ref="J595">INDEX(Sheet1!F:F,$G595)</f>
        <v>B8</v>
      </c>
      <c r="K595" s="4" cm="1">
        <f t="array" ref="K595">INDEX(Sheet1!H:H,$G595)</f>
        <v>1E-3</v>
      </c>
      <c r="L595" s="4">
        <f t="shared" si="36"/>
        <v>93</v>
      </c>
      <c r="M595" s="4">
        <f t="shared" si="39"/>
        <v>5</v>
      </c>
    </row>
    <row r="596" spans="1:13">
      <c r="A596" s="4" t="str" cm="1">
        <f t="array" ref="A596">INDEX(Sheet1!A:A,$F596)</f>
        <v>M</v>
      </c>
      <c r="B596" s="4" t="str" cm="1">
        <f t="array" ref="B596">INDEX(Sheet1!B:B,$F596)</f>
        <v>Pref SM</v>
      </c>
      <c r="C596" s="4">
        <f t="shared" si="37"/>
        <v>94</v>
      </c>
      <c r="D596" s="5" cm="1">
        <f t="array" aca="1" ref="D596" ca="1">OFFSET(INDIRECT("'["&amp;$H596&amp;"]"&amp;$I596&amp;"'!"&amp;$J596),$L596,$M596)*$K596</f>
        <v>0.35742000000000002</v>
      </c>
      <c r="F596" s="4">
        <f t="shared" si="38"/>
        <v>7</v>
      </c>
      <c r="G596" s="4" cm="1">
        <f t="array" ref="G596">IF($C596+$M596&lt;16,INDEX(Sheet1!C:C,$F596),$F596)</f>
        <v>7</v>
      </c>
      <c r="H596" s="4" t="str" cm="1">
        <f t="array" ref="H596">INDEX(Sheet1!D:D,$G596)</f>
        <v>2001-cso-preferred-class-structure-mortality-tables.xls</v>
      </c>
      <c r="I596" s="4" t="str" cm="1">
        <f t="array" ref="I596">INDEX(Sheet1!E:E,$G596)</f>
        <v>A.1.a.iv</v>
      </c>
      <c r="J596" s="4" t="str" cm="1">
        <f t="array" ref="J596">INDEX(Sheet1!F:F,$G596)</f>
        <v>B8</v>
      </c>
      <c r="K596" s="4" cm="1">
        <f t="array" ref="K596">INDEX(Sheet1!H:H,$G596)</f>
        <v>1E-3</v>
      </c>
      <c r="L596" s="4">
        <f t="shared" si="36"/>
        <v>94</v>
      </c>
      <c r="M596" s="4">
        <f t="shared" si="39"/>
        <v>5</v>
      </c>
    </row>
    <row r="597" spans="1:13">
      <c r="A597" s="4" t="str" cm="1">
        <f t="array" ref="A597">INDEX(Sheet1!A:A,$F597)</f>
        <v>M</v>
      </c>
      <c r="B597" s="4" t="str" cm="1">
        <f t="array" ref="B597">INDEX(Sheet1!B:B,$F597)</f>
        <v>Pref SM</v>
      </c>
      <c r="C597" s="4">
        <f t="shared" si="37"/>
        <v>95</v>
      </c>
      <c r="D597" s="5" cm="1">
        <f t="array" aca="1" ref="D597" ca="1">OFFSET(INDIRECT("'["&amp;$H597&amp;"]"&amp;$I597&amp;"'!"&amp;$J597),$L597,$M597)*$K597</f>
        <v>0.37640000000000001</v>
      </c>
      <c r="F597" s="4">
        <f t="shared" si="38"/>
        <v>7</v>
      </c>
      <c r="G597" s="4" cm="1">
        <f t="array" ref="G597">IF($C597+$M597&lt;16,INDEX(Sheet1!C:C,$F597),$F597)</f>
        <v>7</v>
      </c>
      <c r="H597" s="4" t="str" cm="1">
        <f t="array" ref="H597">INDEX(Sheet1!D:D,$G597)</f>
        <v>2001-cso-preferred-class-structure-mortality-tables.xls</v>
      </c>
      <c r="I597" s="4" t="str" cm="1">
        <f t="array" ref="I597">INDEX(Sheet1!E:E,$G597)</f>
        <v>A.1.a.iv</v>
      </c>
      <c r="J597" s="4" t="str" cm="1">
        <f t="array" ref="J597">INDEX(Sheet1!F:F,$G597)</f>
        <v>B8</v>
      </c>
      <c r="K597" s="4" cm="1">
        <f t="array" ref="K597">INDEX(Sheet1!H:H,$G597)</f>
        <v>1E-3</v>
      </c>
      <c r="L597" s="4">
        <f t="shared" si="36"/>
        <v>95</v>
      </c>
      <c r="M597" s="4">
        <f t="shared" si="39"/>
        <v>5</v>
      </c>
    </row>
    <row r="598" spans="1:13">
      <c r="A598" s="4" t="str" cm="1">
        <f t="array" ref="A598">INDEX(Sheet1!A:A,$F598)</f>
        <v>M</v>
      </c>
      <c r="B598" s="4" t="str" cm="1">
        <f t="array" ref="B598">INDEX(Sheet1!B:B,$F598)</f>
        <v>Pref SM</v>
      </c>
      <c r="C598" s="4">
        <f t="shared" si="37"/>
        <v>96</v>
      </c>
      <c r="D598" s="5" cm="1">
        <f t="array" aca="1" ref="D598" ca="1">OFFSET(INDIRECT("'["&amp;$H598&amp;"]"&amp;$I598&amp;"'!"&amp;$J598),$L598,$M598)*$K598</f>
        <v>0.39077000000000001</v>
      </c>
      <c r="F598" s="4">
        <f t="shared" si="38"/>
        <v>7</v>
      </c>
      <c r="G598" s="4" cm="1">
        <f t="array" ref="G598">IF($C598+$M598&lt;16,INDEX(Sheet1!C:C,$F598),$F598)</f>
        <v>7</v>
      </c>
      <c r="H598" s="4" t="str" cm="1">
        <f t="array" ref="H598">INDEX(Sheet1!D:D,$G598)</f>
        <v>2001-cso-preferred-class-structure-mortality-tables.xls</v>
      </c>
      <c r="I598" s="4" t="str" cm="1">
        <f t="array" ref="I598">INDEX(Sheet1!E:E,$G598)</f>
        <v>A.1.a.iv</v>
      </c>
      <c r="J598" s="4" t="str" cm="1">
        <f t="array" ref="J598">INDEX(Sheet1!F:F,$G598)</f>
        <v>B8</v>
      </c>
      <c r="K598" s="4" cm="1">
        <f t="array" ref="K598">INDEX(Sheet1!H:H,$G598)</f>
        <v>1E-3</v>
      </c>
      <c r="L598" s="4">
        <f t="shared" si="36"/>
        <v>96</v>
      </c>
      <c r="M598" s="4">
        <f t="shared" si="39"/>
        <v>5</v>
      </c>
    </row>
    <row r="599" spans="1:13">
      <c r="A599" s="4" t="str" cm="1">
        <f t="array" ref="A599">INDEX(Sheet1!A:A,$F599)</f>
        <v>M</v>
      </c>
      <c r="B599" s="4" t="str" cm="1">
        <f t="array" ref="B599">INDEX(Sheet1!B:B,$F599)</f>
        <v>Pref SM</v>
      </c>
      <c r="C599" s="4">
        <f t="shared" si="37"/>
        <v>97</v>
      </c>
      <c r="D599" s="5" cm="1">
        <f t="array" aca="1" ref="D599" ca="1">OFFSET(INDIRECT("'["&amp;$H599&amp;"]"&amp;$I599&amp;"'!"&amp;$J599),$L599,$M599)*$K599</f>
        <v>0.40592</v>
      </c>
      <c r="F599" s="4">
        <f t="shared" si="38"/>
        <v>7</v>
      </c>
      <c r="G599" s="4" cm="1">
        <f t="array" ref="G599">IF($C599+$M599&lt;16,INDEX(Sheet1!C:C,$F599),$F599)</f>
        <v>7</v>
      </c>
      <c r="H599" s="4" t="str" cm="1">
        <f t="array" ref="H599">INDEX(Sheet1!D:D,$G599)</f>
        <v>2001-cso-preferred-class-structure-mortality-tables.xls</v>
      </c>
      <c r="I599" s="4" t="str" cm="1">
        <f t="array" ref="I599">INDEX(Sheet1!E:E,$G599)</f>
        <v>A.1.a.iv</v>
      </c>
      <c r="J599" s="4" t="str" cm="1">
        <f t="array" ref="J599">INDEX(Sheet1!F:F,$G599)</f>
        <v>B8</v>
      </c>
      <c r="K599" s="4" cm="1">
        <f t="array" ref="K599">INDEX(Sheet1!H:H,$G599)</f>
        <v>1E-3</v>
      </c>
      <c r="L599" s="4">
        <f t="shared" si="36"/>
        <v>97</v>
      </c>
      <c r="M599" s="4">
        <f t="shared" si="39"/>
        <v>5</v>
      </c>
    </row>
    <row r="600" spans="1:13">
      <c r="A600" s="4" t="str" cm="1">
        <f t="array" ref="A600">INDEX(Sheet1!A:A,$F600)</f>
        <v>M</v>
      </c>
      <c r="B600" s="4" t="str" cm="1">
        <f t="array" ref="B600">INDEX(Sheet1!B:B,$F600)</f>
        <v>Pref SM</v>
      </c>
      <c r="C600" s="4">
        <f t="shared" si="37"/>
        <v>98</v>
      </c>
      <c r="D600" s="5" cm="1">
        <f t="array" aca="1" ref="D600" ca="1">OFFSET(INDIRECT("'["&amp;$H600&amp;"]"&amp;$I600&amp;"'!"&amp;$J600),$L600,$M600)*$K600</f>
        <v>0.42182999999999998</v>
      </c>
      <c r="F600" s="4">
        <f t="shared" si="38"/>
        <v>7</v>
      </c>
      <c r="G600" s="4" cm="1">
        <f t="array" ref="G600">IF($C600+$M600&lt;16,INDEX(Sheet1!C:C,$F600),$F600)</f>
        <v>7</v>
      </c>
      <c r="H600" s="4" t="str" cm="1">
        <f t="array" ref="H600">INDEX(Sheet1!D:D,$G600)</f>
        <v>2001-cso-preferred-class-structure-mortality-tables.xls</v>
      </c>
      <c r="I600" s="4" t="str" cm="1">
        <f t="array" ref="I600">INDEX(Sheet1!E:E,$G600)</f>
        <v>A.1.a.iv</v>
      </c>
      <c r="J600" s="4" t="str" cm="1">
        <f t="array" ref="J600">INDEX(Sheet1!F:F,$G600)</f>
        <v>B8</v>
      </c>
      <c r="K600" s="4" cm="1">
        <f t="array" ref="K600">INDEX(Sheet1!H:H,$G600)</f>
        <v>1E-3</v>
      </c>
      <c r="L600" s="4">
        <f t="shared" si="36"/>
        <v>98</v>
      </c>
      <c r="M600" s="4">
        <f t="shared" si="39"/>
        <v>5</v>
      </c>
    </row>
    <row r="601" spans="1:13">
      <c r="A601" s="4" t="str" cm="1">
        <f t="array" ref="A601">INDEX(Sheet1!A:A,$F601)</f>
        <v>M</v>
      </c>
      <c r="B601" s="4" t="str" cm="1">
        <f t="array" ref="B601">INDEX(Sheet1!B:B,$F601)</f>
        <v>Pref SM</v>
      </c>
      <c r="C601" s="4">
        <f t="shared" si="37"/>
        <v>99</v>
      </c>
      <c r="D601" s="5" cm="1">
        <f t="array" aca="1" ref="D601" ca="1">OFFSET(INDIRECT("'["&amp;$H601&amp;"]"&amp;$I601&amp;"'!"&amp;$J601),$L601,$M601)*$K601</f>
        <v>0.43857000000000002</v>
      </c>
      <c r="F601" s="4">
        <f t="shared" si="38"/>
        <v>7</v>
      </c>
      <c r="G601" s="4" cm="1">
        <f t="array" ref="G601">IF($C601+$M601&lt;16,INDEX(Sheet1!C:C,$F601),$F601)</f>
        <v>7</v>
      </c>
      <c r="H601" s="4" t="str" cm="1">
        <f t="array" ref="H601">INDEX(Sheet1!D:D,$G601)</f>
        <v>2001-cso-preferred-class-structure-mortality-tables.xls</v>
      </c>
      <c r="I601" s="4" t="str" cm="1">
        <f t="array" ref="I601">INDEX(Sheet1!E:E,$G601)</f>
        <v>A.1.a.iv</v>
      </c>
      <c r="J601" s="4" t="str" cm="1">
        <f t="array" ref="J601">INDEX(Sheet1!F:F,$G601)</f>
        <v>B8</v>
      </c>
      <c r="K601" s="4" cm="1">
        <f t="array" ref="K601">INDEX(Sheet1!H:H,$G601)</f>
        <v>1E-3</v>
      </c>
      <c r="L601" s="4">
        <f t="shared" si="36"/>
        <v>99</v>
      </c>
      <c r="M601" s="4">
        <f t="shared" si="39"/>
        <v>5</v>
      </c>
    </row>
    <row r="602" spans="1:13">
      <c r="A602" s="4" t="str" cm="1">
        <f t="array" ref="A602">INDEX(Sheet1!A:A,$F602)</f>
        <v>M</v>
      </c>
      <c r="B602" s="4" t="str" cm="1">
        <f t="array" ref="B602">INDEX(Sheet1!B:B,$F602)</f>
        <v>Non-Pref SM</v>
      </c>
      <c r="C602" s="4">
        <f t="shared" si="37"/>
        <v>0</v>
      </c>
      <c r="D602" s="5" cm="1">
        <f t="array" aca="1" ref="D602" ca="1">OFFSET(INDIRECT("'["&amp;$H602&amp;"]"&amp;$I602&amp;"'!"&amp;$J602),$L602,$M602)*$K602</f>
        <v>2.1000000000000001E-4</v>
      </c>
      <c r="F602" s="4">
        <f t="shared" si="38"/>
        <v>8</v>
      </c>
      <c r="G602" s="4" cm="1">
        <f t="array" ref="G602">IF($C602+$M602&lt;16,INDEX(Sheet1!C:C,$F602),$F602)</f>
        <v>10</v>
      </c>
      <c r="H602" s="4" t="str" cm="1">
        <f t="array" ref="H602">INDEX(Sheet1!D:D,$G602)</f>
        <v>t1136.xlsx</v>
      </c>
      <c r="I602" s="4" t="str" cm="1">
        <f t="array" ref="I602">INDEX(Sheet1!E:E,$G602)</f>
        <v>Sheet1</v>
      </c>
      <c r="J602" s="4" t="str" cm="1">
        <f t="array" ref="J602">INDEX(Sheet1!F:F,$G602)</f>
        <v>B25</v>
      </c>
      <c r="K602" s="4" cm="1">
        <f t="array" ref="K602">INDEX(Sheet1!H:H,$G602)</f>
        <v>1</v>
      </c>
      <c r="L602" s="4">
        <f t="shared" si="36"/>
        <v>0</v>
      </c>
      <c r="M602" s="4">
        <f t="shared" si="39"/>
        <v>5</v>
      </c>
    </row>
    <row r="603" spans="1:13">
      <c r="A603" s="4" t="str" cm="1">
        <f t="array" ref="A603">INDEX(Sheet1!A:A,$F603)</f>
        <v>M</v>
      </c>
      <c r="B603" s="4" t="str" cm="1">
        <f t="array" ref="B603">INDEX(Sheet1!B:B,$F603)</f>
        <v>Non-Pref SM</v>
      </c>
      <c r="C603" s="4">
        <f t="shared" si="37"/>
        <v>1</v>
      </c>
      <c r="D603" s="5" cm="1">
        <f t="array" aca="1" ref="D603" ca="1">OFFSET(INDIRECT("'["&amp;$H603&amp;"]"&amp;$I603&amp;"'!"&amp;$J603),$L603,$M603)*$K603</f>
        <v>2.1000000000000001E-4</v>
      </c>
      <c r="F603" s="4">
        <f t="shared" si="38"/>
        <v>8</v>
      </c>
      <c r="G603" s="4" cm="1">
        <f t="array" ref="G603">IF($C603+$M603&lt;16,INDEX(Sheet1!C:C,$F603),$F603)</f>
        <v>10</v>
      </c>
      <c r="H603" s="4" t="str" cm="1">
        <f t="array" ref="H603">INDEX(Sheet1!D:D,$G603)</f>
        <v>t1136.xlsx</v>
      </c>
      <c r="I603" s="4" t="str" cm="1">
        <f t="array" ref="I603">INDEX(Sheet1!E:E,$G603)</f>
        <v>Sheet1</v>
      </c>
      <c r="J603" s="4" t="str" cm="1">
        <f t="array" ref="J603">INDEX(Sheet1!F:F,$G603)</f>
        <v>B25</v>
      </c>
      <c r="K603" s="4" cm="1">
        <f t="array" ref="K603">INDEX(Sheet1!H:H,$G603)</f>
        <v>1</v>
      </c>
      <c r="L603" s="4">
        <f t="shared" si="36"/>
        <v>1</v>
      </c>
      <c r="M603" s="4">
        <f t="shared" si="39"/>
        <v>5</v>
      </c>
    </row>
    <row r="604" spans="1:13">
      <c r="A604" s="4" t="str" cm="1">
        <f t="array" ref="A604">INDEX(Sheet1!A:A,$F604)</f>
        <v>M</v>
      </c>
      <c r="B604" s="4" t="str" cm="1">
        <f t="array" ref="B604">INDEX(Sheet1!B:B,$F604)</f>
        <v>Non-Pref SM</v>
      </c>
      <c r="C604" s="4">
        <f t="shared" si="37"/>
        <v>2</v>
      </c>
      <c r="D604" s="5" cm="1">
        <f t="array" aca="1" ref="D604" ca="1">OFFSET(INDIRECT("'["&amp;$H604&amp;"]"&amp;$I604&amp;"'!"&amp;$J604),$L604,$M604)*$K604</f>
        <v>2.1000000000000001E-4</v>
      </c>
      <c r="F604" s="4">
        <f t="shared" si="38"/>
        <v>8</v>
      </c>
      <c r="G604" s="4" cm="1">
        <f t="array" ref="G604">IF($C604+$M604&lt;16,INDEX(Sheet1!C:C,$F604),$F604)</f>
        <v>10</v>
      </c>
      <c r="H604" s="4" t="str" cm="1">
        <f t="array" ref="H604">INDEX(Sheet1!D:D,$G604)</f>
        <v>t1136.xlsx</v>
      </c>
      <c r="I604" s="4" t="str" cm="1">
        <f t="array" ref="I604">INDEX(Sheet1!E:E,$G604)</f>
        <v>Sheet1</v>
      </c>
      <c r="J604" s="4" t="str" cm="1">
        <f t="array" ref="J604">INDEX(Sheet1!F:F,$G604)</f>
        <v>B25</v>
      </c>
      <c r="K604" s="4" cm="1">
        <f t="array" ref="K604">INDEX(Sheet1!H:H,$G604)</f>
        <v>1</v>
      </c>
      <c r="L604" s="4">
        <f t="shared" si="36"/>
        <v>2</v>
      </c>
      <c r="M604" s="4">
        <f t="shared" si="39"/>
        <v>5</v>
      </c>
    </row>
    <row r="605" spans="1:13">
      <c r="A605" s="4" t="str" cm="1">
        <f t="array" ref="A605">INDEX(Sheet1!A:A,$F605)</f>
        <v>M</v>
      </c>
      <c r="B605" s="4" t="str" cm="1">
        <f t="array" ref="B605">INDEX(Sheet1!B:B,$F605)</f>
        <v>Non-Pref SM</v>
      </c>
      <c r="C605" s="4">
        <f t="shared" si="37"/>
        <v>3</v>
      </c>
      <c r="D605" s="5" cm="1">
        <f t="array" aca="1" ref="D605" ca="1">OFFSET(INDIRECT("'["&amp;$H605&amp;"]"&amp;$I605&amp;"'!"&amp;$J605),$L605,$M605)*$K605</f>
        <v>2.1000000000000001E-4</v>
      </c>
      <c r="F605" s="4">
        <f t="shared" si="38"/>
        <v>8</v>
      </c>
      <c r="G605" s="4" cm="1">
        <f t="array" ref="G605">IF($C605+$M605&lt;16,INDEX(Sheet1!C:C,$F605),$F605)</f>
        <v>10</v>
      </c>
      <c r="H605" s="4" t="str" cm="1">
        <f t="array" ref="H605">INDEX(Sheet1!D:D,$G605)</f>
        <v>t1136.xlsx</v>
      </c>
      <c r="I605" s="4" t="str" cm="1">
        <f t="array" ref="I605">INDEX(Sheet1!E:E,$G605)</f>
        <v>Sheet1</v>
      </c>
      <c r="J605" s="4" t="str" cm="1">
        <f t="array" ref="J605">INDEX(Sheet1!F:F,$G605)</f>
        <v>B25</v>
      </c>
      <c r="K605" s="4" cm="1">
        <f t="array" ref="K605">INDEX(Sheet1!H:H,$G605)</f>
        <v>1</v>
      </c>
      <c r="L605" s="4">
        <f t="shared" si="36"/>
        <v>3</v>
      </c>
      <c r="M605" s="4">
        <f t="shared" si="39"/>
        <v>5</v>
      </c>
    </row>
    <row r="606" spans="1:13">
      <c r="A606" s="4" t="str" cm="1">
        <f t="array" ref="A606">INDEX(Sheet1!A:A,$F606)</f>
        <v>M</v>
      </c>
      <c r="B606" s="4" t="str" cm="1">
        <f t="array" ref="B606">INDEX(Sheet1!B:B,$F606)</f>
        <v>Non-Pref SM</v>
      </c>
      <c r="C606" s="4">
        <f t="shared" si="37"/>
        <v>4</v>
      </c>
      <c r="D606" s="5" cm="1">
        <f t="array" aca="1" ref="D606" ca="1">OFFSET(INDIRECT("'["&amp;$H606&amp;"]"&amp;$I606&amp;"'!"&amp;$J606),$L606,$M606)*$K606</f>
        <v>2.1000000000000001E-4</v>
      </c>
      <c r="F606" s="4">
        <f t="shared" si="38"/>
        <v>8</v>
      </c>
      <c r="G606" s="4" cm="1">
        <f t="array" ref="G606">IF($C606+$M606&lt;16,INDEX(Sheet1!C:C,$F606),$F606)</f>
        <v>10</v>
      </c>
      <c r="H606" s="4" t="str" cm="1">
        <f t="array" ref="H606">INDEX(Sheet1!D:D,$G606)</f>
        <v>t1136.xlsx</v>
      </c>
      <c r="I606" s="4" t="str" cm="1">
        <f t="array" ref="I606">INDEX(Sheet1!E:E,$G606)</f>
        <v>Sheet1</v>
      </c>
      <c r="J606" s="4" t="str" cm="1">
        <f t="array" ref="J606">INDEX(Sheet1!F:F,$G606)</f>
        <v>B25</v>
      </c>
      <c r="K606" s="4" cm="1">
        <f t="array" ref="K606">INDEX(Sheet1!H:H,$G606)</f>
        <v>1</v>
      </c>
      <c r="L606" s="4">
        <f t="shared" si="36"/>
        <v>4</v>
      </c>
      <c r="M606" s="4">
        <f t="shared" si="39"/>
        <v>5</v>
      </c>
    </row>
    <row r="607" spans="1:13">
      <c r="A607" s="4" t="str" cm="1">
        <f t="array" ref="A607">INDEX(Sheet1!A:A,$F607)</f>
        <v>M</v>
      </c>
      <c r="B607" s="4" t="str" cm="1">
        <f t="array" ref="B607">INDEX(Sheet1!B:B,$F607)</f>
        <v>Non-Pref SM</v>
      </c>
      <c r="C607" s="4">
        <f t="shared" si="37"/>
        <v>5</v>
      </c>
      <c r="D607" s="5" cm="1">
        <f t="array" aca="1" ref="D607" ca="1">OFFSET(INDIRECT("'["&amp;$H607&amp;"]"&amp;$I607&amp;"'!"&amp;$J607),$L607,$M607)*$K607</f>
        <v>2.1000000000000001E-4</v>
      </c>
      <c r="F607" s="4">
        <f t="shared" si="38"/>
        <v>8</v>
      </c>
      <c r="G607" s="4" cm="1">
        <f t="array" ref="G607">IF($C607+$M607&lt;16,INDEX(Sheet1!C:C,$F607),$F607)</f>
        <v>10</v>
      </c>
      <c r="H607" s="4" t="str" cm="1">
        <f t="array" ref="H607">INDEX(Sheet1!D:D,$G607)</f>
        <v>t1136.xlsx</v>
      </c>
      <c r="I607" s="4" t="str" cm="1">
        <f t="array" ref="I607">INDEX(Sheet1!E:E,$G607)</f>
        <v>Sheet1</v>
      </c>
      <c r="J607" s="4" t="str" cm="1">
        <f t="array" ref="J607">INDEX(Sheet1!F:F,$G607)</f>
        <v>B25</v>
      </c>
      <c r="K607" s="4" cm="1">
        <f t="array" ref="K607">INDEX(Sheet1!H:H,$G607)</f>
        <v>1</v>
      </c>
      <c r="L607" s="4">
        <f t="shared" si="36"/>
        <v>5</v>
      </c>
      <c r="M607" s="4">
        <f t="shared" si="39"/>
        <v>5</v>
      </c>
    </row>
    <row r="608" spans="1:13">
      <c r="A608" s="4" t="str" cm="1">
        <f t="array" ref="A608">INDEX(Sheet1!A:A,$F608)</f>
        <v>M</v>
      </c>
      <c r="B608" s="4" t="str" cm="1">
        <f t="array" ref="B608">INDEX(Sheet1!B:B,$F608)</f>
        <v>Non-Pref SM</v>
      </c>
      <c r="C608" s="4">
        <f t="shared" si="37"/>
        <v>6</v>
      </c>
      <c r="D608" s="5" cm="1">
        <f t="array" aca="1" ref="D608" ca="1">OFFSET(INDIRECT("'["&amp;$H608&amp;"]"&amp;$I608&amp;"'!"&amp;$J608),$L608,$M608)*$K608</f>
        <v>2.1000000000000001E-4</v>
      </c>
      <c r="F608" s="4">
        <f t="shared" si="38"/>
        <v>8</v>
      </c>
      <c r="G608" s="4" cm="1">
        <f t="array" ref="G608">IF($C608+$M608&lt;16,INDEX(Sheet1!C:C,$F608),$F608)</f>
        <v>10</v>
      </c>
      <c r="H608" s="4" t="str" cm="1">
        <f t="array" ref="H608">INDEX(Sheet1!D:D,$G608)</f>
        <v>t1136.xlsx</v>
      </c>
      <c r="I608" s="4" t="str" cm="1">
        <f t="array" ref="I608">INDEX(Sheet1!E:E,$G608)</f>
        <v>Sheet1</v>
      </c>
      <c r="J608" s="4" t="str" cm="1">
        <f t="array" ref="J608">INDEX(Sheet1!F:F,$G608)</f>
        <v>B25</v>
      </c>
      <c r="K608" s="4" cm="1">
        <f t="array" ref="K608">INDEX(Sheet1!H:H,$G608)</f>
        <v>1</v>
      </c>
      <c r="L608" s="4">
        <f t="shared" si="36"/>
        <v>6</v>
      </c>
      <c r="M608" s="4">
        <f t="shared" si="39"/>
        <v>5</v>
      </c>
    </row>
    <row r="609" spans="1:13">
      <c r="A609" s="4" t="str" cm="1">
        <f t="array" ref="A609">INDEX(Sheet1!A:A,$F609)</f>
        <v>M</v>
      </c>
      <c r="B609" s="4" t="str" cm="1">
        <f t="array" ref="B609">INDEX(Sheet1!B:B,$F609)</f>
        <v>Non-Pref SM</v>
      </c>
      <c r="C609" s="4">
        <f t="shared" si="37"/>
        <v>7</v>
      </c>
      <c r="D609" s="5" cm="1">
        <f t="array" aca="1" ref="D609" ca="1">OFFSET(INDIRECT("'["&amp;$H609&amp;"]"&amp;$I609&amp;"'!"&amp;$J609),$L609,$M609)*$K609</f>
        <v>2.4000000000000001E-4</v>
      </c>
      <c r="F609" s="4">
        <f t="shared" si="38"/>
        <v>8</v>
      </c>
      <c r="G609" s="4" cm="1">
        <f t="array" ref="G609">IF($C609+$M609&lt;16,INDEX(Sheet1!C:C,$F609),$F609)</f>
        <v>10</v>
      </c>
      <c r="H609" s="4" t="str" cm="1">
        <f t="array" ref="H609">INDEX(Sheet1!D:D,$G609)</f>
        <v>t1136.xlsx</v>
      </c>
      <c r="I609" s="4" t="str" cm="1">
        <f t="array" ref="I609">INDEX(Sheet1!E:E,$G609)</f>
        <v>Sheet1</v>
      </c>
      <c r="J609" s="4" t="str" cm="1">
        <f t="array" ref="J609">INDEX(Sheet1!F:F,$G609)</f>
        <v>B25</v>
      </c>
      <c r="K609" s="4" cm="1">
        <f t="array" ref="K609">INDEX(Sheet1!H:H,$G609)</f>
        <v>1</v>
      </c>
      <c r="L609" s="4">
        <f t="shared" si="36"/>
        <v>7</v>
      </c>
      <c r="M609" s="4">
        <f t="shared" si="39"/>
        <v>5</v>
      </c>
    </row>
    <row r="610" spans="1:13">
      <c r="A610" s="4" t="str" cm="1">
        <f t="array" ref="A610">INDEX(Sheet1!A:A,$F610)</f>
        <v>M</v>
      </c>
      <c r="B610" s="4" t="str" cm="1">
        <f t="array" ref="B610">INDEX(Sheet1!B:B,$F610)</f>
        <v>Non-Pref SM</v>
      </c>
      <c r="C610" s="4">
        <f t="shared" si="37"/>
        <v>8</v>
      </c>
      <c r="D610" s="5" cm="1">
        <f t="array" aca="1" ref="D610" ca="1">OFFSET(INDIRECT("'["&amp;$H610&amp;"]"&amp;$I610&amp;"'!"&amp;$J610),$L610,$M610)*$K610</f>
        <v>2.7999999999999998E-4</v>
      </c>
      <c r="F610" s="4">
        <f t="shared" si="38"/>
        <v>8</v>
      </c>
      <c r="G610" s="4" cm="1">
        <f t="array" ref="G610">IF($C610+$M610&lt;16,INDEX(Sheet1!C:C,$F610),$F610)</f>
        <v>10</v>
      </c>
      <c r="H610" s="4" t="str" cm="1">
        <f t="array" ref="H610">INDEX(Sheet1!D:D,$G610)</f>
        <v>t1136.xlsx</v>
      </c>
      <c r="I610" s="4" t="str" cm="1">
        <f t="array" ref="I610">INDEX(Sheet1!E:E,$G610)</f>
        <v>Sheet1</v>
      </c>
      <c r="J610" s="4" t="str" cm="1">
        <f t="array" ref="J610">INDEX(Sheet1!F:F,$G610)</f>
        <v>B25</v>
      </c>
      <c r="K610" s="4" cm="1">
        <f t="array" ref="K610">INDEX(Sheet1!H:H,$G610)</f>
        <v>1</v>
      </c>
      <c r="L610" s="4">
        <f t="shared" si="36"/>
        <v>8</v>
      </c>
      <c r="M610" s="4">
        <f t="shared" si="39"/>
        <v>5</v>
      </c>
    </row>
    <row r="611" spans="1:13">
      <c r="A611" s="4" t="str" cm="1">
        <f t="array" ref="A611">INDEX(Sheet1!A:A,$F611)</f>
        <v>M</v>
      </c>
      <c r="B611" s="4" t="str" cm="1">
        <f t="array" ref="B611">INDEX(Sheet1!B:B,$F611)</f>
        <v>Non-Pref SM</v>
      </c>
      <c r="C611" s="4">
        <f t="shared" si="37"/>
        <v>9</v>
      </c>
      <c r="D611" s="5" cm="1">
        <f t="array" aca="1" ref="D611" ca="1">OFFSET(INDIRECT("'["&amp;$H611&amp;"]"&amp;$I611&amp;"'!"&amp;$J611),$L611,$M611)*$K611</f>
        <v>3.3E-4</v>
      </c>
      <c r="F611" s="4">
        <f t="shared" si="38"/>
        <v>8</v>
      </c>
      <c r="G611" s="4" cm="1">
        <f t="array" ref="G611">IF($C611+$M611&lt;16,INDEX(Sheet1!C:C,$F611),$F611)</f>
        <v>10</v>
      </c>
      <c r="H611" s="4" t="str" cm="1">
        <f t="array" ref="H611">INDEX(Sheet1!D:D,$G611)</f>
        <v>t1136.xlsx</v>
      </c>
      <c r="I611" s="4" t="str" cm="1">
        <f t="array" ref="I611">INDEX(Sheet1!E:E,$G611)</f>
        <v>Sheet1</v>
      </c>
      <c r="J611" s="4" t="str" cm="1">
        <f t="array" ref="J611">INDEX(Sheet1!F:F,$G611)</f>
        <v>B25</v>
      </c>
      <c r="K611" s="4" cm="1">
        <f t="array" ref="K611">INDEX(Sheet1!H:H,$G611)</f>
        <v>1</v>
      </c>
      <c r="L611" s="4">
        <f t="shared" si="36"/>
        <v>9</v>
      </c>
      <c r="M611" s="4">
        <f t="shared" si="39"/>
        <v>5</v>
      </c>
    </row>
    <row r="612" spans="1:13">
      <c r="A612" s="4" t="str" cm="1">
        <f t="array" ref="A612">INDEX(Sheet1!A:A,$F612)</f>
        <v>M</v>
      </c>
      <c r="B612" s="4" t="str" cm="1">
        <f t="array" ref="B612">INDEX(Sheet1!B:B,$F612)</f>
        <v>Non-Pref SM</v>
      </c>
      <c r="C612" s="4">
        <f t="shared" si="37"/>
        <v>10</v>
      </c>
      <c r="D612" s="5" cm="1">
        <f t="array" aca="1" ref="D612" ca="1">OFFSET(INDIRECT("'["&amp;$H612&amp;"]"&amp;$I612&amp;"'!"&amp;$J612),$L612,$M612)*$K612</f>
        <v>4.2999999999999999E-4</v>
      </c>
      <c r="F612" s="4">
        <f t="shared" si="38"/>
        <v>8</v>
      </c>
      <c r="G612" s="4" cm="1">
        <f t="array" ref="G612">IF($C612+$M612&lt;16,INDEX(Sheet1!C:C,$F612),$F612)</f>
        <v>10</v>
      </c>
      <c r="H612" s="4" t="str" cm="1">
        <f t="array" ref="H612">INDEX(Sheet1!D:D,$G612)</f>
        <v>t1136.xlsx</v>
      </c>
      <c r="I612" s="4" t="str" cm="1">
        <f t="array" ref="I612">INDEX(Sheet1!E:E,$G612)</f>
        <v>Sheet1</v>
      </c>
      <c r="J612" s="4" t="str" cm="1">
        <f t="array" ref="J612">INDEX(Sheet1!F:F,$G612)</f>
        <v>B25</v>
      </c>
      <c r="K612" s="4" cm="1">
        <f t="array" ref="K612">INDEX(Sheet1!H:H,$G612)</f>
        <v>1</v>
      </c>
      <c r="L612" s="4">
        <f t="shared" si="36"/>
        <v>10</v>
      </c>
      <c r="M612" s="4">
        <f t="shared" si="39"/>
        <v>5</v>
      </c>
    </row>
    <row r="613" spans="1:13">
      <c r="A613" s="4" t="str" cm="1">
        <f t="array" ref="A613">INDEX(Sheet1!A:A,$F613)</f>
        <v>M</v>
      </c>
      <c r="B613" s="4" t="str" cm="1">
        <f t="array" ref="B613">INDEX(Sheet1!B:B,$F613)</f>
        <v>Non-Pref SM</v>
      </c>
      <c r="C613" s="4">
        <f t="shared" si="37"/>
        <v>11</v>
      </c>
      <c r="D613" s="5" cm="1">
        <f t="array" aca="1" ref="D613" ca="1">OFFSET(INDIRECT("'["&amp;$H613&amp;"]"&amp;$I613&amp;"'!"&amp;$J613),$L613,$M613)*$K613</f>
        <v>7.7000000000000007E-4</v>
      </c>
      <c r="F613" s="4">
        <f t="shared" si="38"/>
        <v>8</v>
      </c>
      <c r="G613" s="4" cm="1">
        <f t="array" ref="G613">IF($C613+$M613&lt;16,INDEX(Sheet1!C:C,$F613),$F613)</f>
        <v>8</v>
      </c>
      <c r="H613" s="4" t="str" cm="1">
        <f t="array" ref="H613">INDEX(Sheet1!D:D,$G613)</f>
        <v>2001-cso-preferred-class-structure-mortality-tables.xls</v>
      </c>
      <c r="I613" s="4" t="str" cm="1">
        <f t="array" ref="I613">INDEX(Sheet1!E:E,$G613)</f>
        <v>A.1.a.v</v>
      </c>
      <c r="J613" s="4" t="str" cm="1">
        <f t="array" ref="J613">INDEX(Sheet1!F:F,$G613)</f>
        <v>B8</v>
      </c>
      <c r="K613" s="4" cm="1">
        <f t="array" ref="K613">INDEX(Sheet1!H:H,$G613)</f>
        <v>1E-3</v>
      </c>
      <c r="L613" s="4">
        <f t="shared" si="36"/>
        <v>11</v>
      </c>
      <c r="M613" s="4">
        <f t="shared" si="39"/>
        <v>5</v>
      </c>
    </row>
    <row r="614" spans="1:13">
      <c r="A614" s="4" t="str" cm="1">
        <f t="array" ref="A614">INDEX(Sheet1!A:A,$F614)</f>
        <v>M</v>
      </c>
      <c r="B614" s="4" t="str" cm="1">
        <f t="array" ref="B614">INDEX(Sheet1!B:B,$F614)</f>
        <v>Non-Pref SM</v>
      </c>
      <c r="C614" s="4">
        <f t="shared" si="37"/>
        <v>12</v>
      </c>
      <c r="D614" s="5" cm="1">
        <f t="array" aca="1" ref="D614" ca="1">OFFSET(INDIRECT("'["&amp;$H614&amp;"]"&amp;$I614&amp;"'!"&amp;$J614),$L614,$M614)*$K614</f>
        <v>9.6000000000000002E-4</v>
      </c>
      <c r="F614" s="4">
        <f t="shared" si="38"/>
        <v>8</v>
      </c>
      <c r="G614" s="4" cm="1">
        <f t="array" ref="G614">IF($C614+$M614&lt;16,INDEX(Sheet1!C:C,$F614),$F614)</f>
        <v>8</v>
      </c>
      <c r="H614" s="4" t="str" cm="1">
        <f t="array" ref="H614">INDEX(Sheet1!D:D,$G614)</f>
        <v>2001-cso-preferred-class-structure-mortality-tables.xls</v>
      </c>
      <c r="I614" s="4" t="str" cm="1">
        <f t="array" ref="I614">INDEX(Sheet1!E:E,$G614)</f>
        <v>A.1.a.v</v>
      </c>
      <c r="J614" s="4" t="str" cm="1">
        <f t="array" ref="J614">INDEX(Sheet1!F:F,$G614)</f>
        <v>B8</v>
      </c>
      <c r="K614" s="4" cm="1">
        <f t="array" ref="K614">INDEX(Sheet1!H:H,$G614)</f>
        <v>1E-3</v>
      </c>
      <c r="L614" s="4">
        <f t="shared" si="36"/>
        <v>12</v>
      </c>
      <c r="M614" s="4">
        <f t="shared" si="39"/>
        <v>5</v>
      </c>
    </row>
    <row r="615" spans="1:13">
      <c r="A615" s="4" t="str" cm="1">
        <f t="array" ref="A615">INDEX(Sheet1!A:A,$F615)</f>
        <v>M</v>
      </c>
      <c r="B615" s="4" t="str" cm="1">
        <f t="array" ref="B615">INDEX(Sheet1!B:B,$F615)</f>
        <v>Non-Pref SM</v>
      </c>
      <c r="C615" s="4">
        <f t="shared" si="37"/>
        <v>13</v>
      </c>
      <c r="D615" s="5" cm="1">
        <f t="array" aca="1" ref="D615" ca="1">OFFSET(INDIRECT("'["&amp;$H615&amp;"]"&amp;$I615&amp;"'!"&amp;$J615),$L615,$M615)*$K615</f>
        <v>1.15E-3</v>
      </c>
      <c r="F615" s="4">
        <f t="shared" si="38"/>
        <v>8</v>
      </c>
      <c r="G615" s="4" cm="1">
        <f t="array" ref="G615">IF($C615+$M615&lt;16,INDEX(Sheet1!C:C,$F615),$F615)</f>
        <v>8</v>
      </c>
      <c r="H615" s="4" t="str" cm="1">
        <f t="array" ref="H615">INDEX(Sheet1!D:D,$G615)</f>
        <v>2001-cso-preferred-class-structure-mortality-tables.xls</v>
      </c>
      <c r="I615" s="4" t="str" cm="1">
        <f t="array" ref="I615">INDEX(Sheet1!E:E,$G615)</f>
        <v>A.1.a.v</v>
      </c>
      <c r="J615" s="4" t="str" cm="1">
        <f t="array" ref="J615">INDEX(Sheet1!F:F,$G615)</f>
        <v>B8</v>
      </c>
      <c r="K615" s="4" cm="1">
        <f t="array" ref="K615">INDEX(Sheet1!H:H,$G615)</f>
        <v>1E-3</v>
      </c>
      <c r="L615" s="4">
        <f t="shared" si="36"/>
        <v>13</v>
      </c>
      <c r="M615" s="4">
        <f t="shared" si="39"/>
        <v>5</v>
      </c>
    </row>
    <row r="616" spans="1:13">
      <c r="A616" s="4" t="str" cm="1">
        <f t="array" ref="A616">INDEX(Sheet1!A:A,$F616)</f>
        <v>M</v>
      </c>
      <c r="B616" s="4" t="str" cm="1">
        <f t="array" ref="B616">INDEX(Sheet1!B:B,$F616)</f>
        <v>Non-Pref SM</v>
      </c>
      <c r="C616" s="4">
        <f t="shared" si="37"/>
        <v>14</v>
      </c>
      <c r="D616" s="5" cm="1">
        <f t="array" aca="1" ref="D616" ca="1">OFFSET(INDIRECT("'["&amp;$H616&amp;"]"&amp;$I616&amp;"'!"&amp;$J616),$L616,$M616)*$K616</f>
        <v>1.25E-3</v>
      </c>
      <c r="F616" s="4">
        <f t="shared" si="38"/>
        <v>8</v>
      </c>
      <c r="G616" s="4" cm="1">
        <f t="array" ref="G616">IF($C616+$M616&lt;16,INDEX(Sheet1!C:C,$F616),$F616)</f>
        <v>8</v>
      </c>
      <c r="H616" s="4" t="str" cm="1">
        <f t="array" ref="H616">INDEX(Sheet1!D:D,$G616)</f>
        <v>2001-cso-preferred-class-structure-mortality-tables.xls</v>
      </c>
      <c r="I616" s="4" t="str" cm="1">
        <f t="array" ref="I616">INDEX(Sheet1!E:E,$G616)</f>
        <v>A.1.a.v</v>
      </c>
      <c r="J616" s="4" t="str" cm="1">
        <f t="array" ref="J616">INDEX(Sheet1!F:F,$G616)</f>
        <v>B8</v>
      </c>
      <c r="K616" s="4" cm="1">
        <f t="array" ref="K616">INDEX(Sheet1!H:H,$G616)</f>
        <v>1E-3</v>
      </c>
      <c r="L616" s="4">
        <f t="shared" si="36"/>
        <v>14</v>
      </c>
      <c r="M616" s="4">
        <f t="shared" si="39"/>
        <v>5</v>
      </c>
    </row>
    <row r="617" spans="1:13">
      <c r="A617" s="4" t="str" cm="1">
        <f t="array" ref="A617">INDEX(Sheet1!A:A,$F617)</f>
        <v>M</v>
      </c>
      <c r="B617" s="4" t="str" cm="1">
        <f t="array" ref="B617">INDEX(Sheet1!B:B,$F617)</f>
        <v>Non-Pref SM</v>
      </c>
      <c r="C617" s="4">
        <f t="shared" si="37"/>
        <v>15</v>
      </c>
      <c r="D617" s="5" cm="1">
        <f t="array" aca="1" ref="D617" ca="1">OFFSET(INDIRECT("'["&amp;$H617&amp;"]"&amp;$I617&amp;"'!"&amp;$J617),$L617,$M617)*$K617</f>
        <v>1.3000000000000002E-3</v>
      </c>
      <c r="F617" s="4">
        <f t="shared" si="38"/>
        <v>8</v>
      </c>
      <c r="G617" s="4" cm="1">
        <f t="array" ref="G617">IF($C617+$M617&lt;16,INDEX(Sheet1!C:C,$F617),$F617)</f>
        <v>8</v>
      </c>
      <c r="H617" s="4" t="str" cm="1">
        <f t="array" ref="H617">INDEX(Sheet1!D:D,$G617)</f>
        <v>2001-cso-preferred-class-structure-mortality-tables.xls</v>
      </c>
      <c r="I617" s="4" t="str" cm="1">
        <f t="array" ref="I617">INDEX(Sheet1!E:E,$G617)</f>
        <v>A.1.a.v</v>
      </c>
      <c r="J617" s="4" t="str" cm="1">
        <f t="array" ref="J617">INDEX(Sheet1!F:F,$G617)</f>
        <v>B8</v>
      </c>
      <c r="K617" s="4" cm="1">
        <f t="array" ref="K617">INDEX(Sheet1!H:H,$G617)</f>
        <v>1E-3</v>
      </c>
      <c r="L617" s="4">
        <f t="shared" si="36"/>
        <v>15</v>
      </c>
      <c r="M617" s="4">
        <f t="shared" si="39"/>
        <v>5</v>
      </c>
    </row>
    <row r="618" spans="1:13">
      <c r="A618" s="4" t="str" cm="1">
        <f t="array" ref="A618">INDEX(Sheet1!A:A,$F618)</f>
        <v>M</v>
      </c>
      <c r="B618" s="4" t="str" cm="1">
        <f t="array" ref="B618">INDEX(Sheet1!B:B,$F618)</f>
        <v>Non-Pref SM</v>
      </c>
      <c r="C618" s="4">
        <f t="shared" si="37"/>
        <v>16</v>
      </c>
      <c r="D618" s="5" cm="1">
        <f t="array" aca="1" ref="D618" ca="1">OFFSET(INDIRECT("'["&amp;$H618&amp;"]"&amp;$I618&amp;"'!"&amp;$J618),$L618,$M618)*$K618</f>
        <v>1.34E-3</v>
      </c>
      <c r="F618" s="4">
        <f t="shared" si="38"/>
        <v>8</v>
      </c>
      <c r="G618" s="4" cm="1">
        <f t="array" ref="G618">IF($C618+$M618&lt;16,INDEX(Sheet1!C:C,$F618),$F618)</f>
        <v>8</v>
      </c>
      <c r="H618" s="4" t="str" cm="1">
        <f t="array" ref="H618">INDEX(Sheet1!D:D,$G618)</f>
        <v>2001-cso-preferred-class-structure-mortality-tables.xls</v>
      </c>
      <c r="I618" s="4" t="str" cm="1">
        <f t="array" ref="I618">INDEX(Sheet1!E:E,$G618)</f>
        <v>A.1.a.v</v>
      </c>
      <c r="J618" s="4" t="str" cm="1">
        <f t="array" ref="J618">INDEX(Sheet1!F:F,$G618)</f>
        <v>B8</v>
      </c>
      <c r="K618" s="4" cm="1">
        <f t="array" ref="K618">INDEX(Sheet1!H:H,$G618)</f>
        <v>1E-3</v>
      </c>
      <c r="L618" s="4">
        <f t="shared" si="36"/>
        <v>16</v>
      </c>
      <c r="M618" s="4">
        <f t="shared" si="39"/>
        <v>5</v>
      </c>
    </row>
    <row r="619" spans="1:13">
      <c r="A619" s="4" t="str" cm="1">
        <f t="array" ref="A619">INDEX(Sheet1!A:A,$F619)</f>
        <v>M</v>
      </c>
      <c r="B619" s="4" t="str" cm="1">
        <f t="array" ref="B619">INDEX(Sheet1!B:B,$F619)</f>
        <v>Non-Pref SM</v>
      </c>
      <c r="C619" s="4">
        <f t="shared" si="37"/>
        <v>17</v>
      </c>
      <c r="D619" s="5" cm="1">
        <f t="array" aca="1" ref="D619" ca="1">OFFSET(INDIRECT("'["&amp;$H619&amp;"]"&amp;$I619&amp;"'!"&amp;$J619),$L619,$M619)*$K619</f>
        <v>1.41E-3</v>
      </c>
      <c r="F619" s="4">
        <f t="shared" si="38"/>
        <v>8</v>
      </c>
      <c r="G619" s="4" cm="1">
        <f t="array" ref="G619">IF($C619+$M619&lt;16,INDEX(Sheet1!C:C,$F619),$F619)</f>
        <v>8</v>
      </c>
      <c r="H619" s="4" t="str" cm="1">
        <f t="array" ref="H619">INDEX(Sheet1!D:D,$G619)</f>
        <v>2001-cso-preferred-class-structure-mortality-tables.xls</v>
      </c>
      <c r="I619" s="4" t="str" cm="1">
        <f t="array" ref="I619">INDEX(Sheet1!E:E,$G619)</f>
        <v>A.1.a.v</v>
      </c>
      <c r="J619" s="4" t="str" cm="1">
        <f t="array" ref="J619">INDEX(Sheet1!F:F,$G619)</f>
        <v>B8</v>
      </c>
      <c r="K619" s="4" cm="1">
        <f t="array" ref="K619">INDEX(Sheet1!H:H,$G619)</f>
        <v>1E-3</v>
      </c>
      <c r="L619" s="4">
        <f t="shared" si="36"/>
        <v>17</v>
      </c>
      <c r="M619" s="4">
        <f t="shared" si="39"/>
        <v>5</v>
      </c>
    </row>
    <row r="620" spans="1:13">
      <c r="A620" s="4" t="str" cm="1">
        <f t="array" ref="A620">INDEX(Sheet1!A:A,$F620)</f>
        <v>M</v>
      </c>
      <c r="B620" s="4" t="str" cm="1">
        <f t="array" ref="B620">INDEX(Sheet1!B:B,$F620)</f>
        <v>Non-Pref SM</v>
      </c>
      <c r="C620" s="4">
        <f t="shared" si="37"/>
        <v>18</v>
      </c>
      <c r="D620" s="5" cm="1">
        <f t="array" aca="1" ref="D620" ca="1">OFFSET(INDIRECT("'["&amp;$H620&amp;"]"&amp;$I620&amp;"'!"&amp;$J620),$L620,$M620)*$K620</f>
        <v>1.42E-3</v>
      </c>
      <c r="F620" s="4">
        <f t="shared" si="38"/>
        <v>8</v>
      </c>
      <c r="G620" s="4" cm="1">
        <f t="array" ref="G620">IF($C620+$M620&lt;16,INDEX(Sheet1!C:C,$F620),$F620)</f>
        <v>8</v>
      </c>
      <c r="H620" s="4" t="str" cm="1">
        <f t="array" ref="H620">INDEX(Sheet1!D:D,$G620)</f>
        <v>2001-cso-preferred-class-structure-mortality-tables.xls</v>
      </c>
      <c r="I620" s="4" t="str" cm="1">
        <f t="array" ref="I620">INDEX(Sheet1!E:E,$G620)</f>
        <v>A.1.a.v</v>
      </c>
      <c r="J620" s="4" t="str" cm="1">
        <f t="array" ref="J620">INDEX(Sheet1!F:F,$G620)</f>
        <v>B8</v>
      </c>
      <c r="K620" s="4" cm="1">
        <f t="array" ref="K620">INDEX(Sheet1!H:H,$G620)</f>
        <v>1E-3</v>
      </c>
      <c r="L620" s="4">
        <f t="shared" si="36"/>
        <v>18</v>
      </c>
      <c r="M620" s="4">
        <f t="shared" si="39"/>
        <v>5</v>
      </c>
    </row>
    <row r="621" spans="1:13">
      <c r="A621" s="4" t="str" cm="1">
        <f t="array" ref="A621">INDEX(Sheet1!A:A,$F621)</f>
        <v>M</v>
      </c>
      <c r="B621" s="4" t="str" cm="1">
        <f t="array" ref="B621">INDEX(Sheet1!B:B,$F621)</f>
        <v>Non-Pref SM</v>
      </c>
      <c r="C621" s="4">
        <f t="shared" si="37"/>
        <v>19</v>
      </c>
      <c r="D621" s="5" cm="1">
        <f t="array" aca="1" ref="D621" ca="1">OFFSET(INDIRECT("'["&amp;$H621&amp;"]"&amp;$I621&amp;"'!"&amp;$J621),$L621,$M621)*$K621</f>
        <v>1.4399999999999999E-3</v>
      </c>
      <c r="F621" s="4">
        <f t="shared" si="38"/>
        <v>8</v>
      </c>
      <c r="G621" s="4" cm="1">
        <f t="array" ref="G621">IF($C621+$M621&lt;16,INDEX(Sheet1!C:C,$F621),$F621)</f>
        <v>8</v>
      </c>
      <c r="H621" s="4" t="str" cm="1">
        <f t="array" ref="H621">INDEX(Sheet1!D:D,$G621)</f>
        <v>2001-cso-preferred-class-structure-mortality-tables.xls</v>
      </c>
      <c r="I621" s="4" t="str" cm="1">
        <f t="array" ref="I621">INDEX(Sheet1!E:E,$G621)</f>
        <v>A.1.a.v</v>
      </c>
      <c r="J621" s="4" t="str" cm="1">
        <f t="array" ref="J621">INDEX(Sheet1!F:F,$G621)</f>
        <v>B8</v>
      </c>
      <c r="K621" s="4" cm="1">
        <f t="array" ref="K621">INDEX(Sheet1!H:H,$G621)</f>
        <v>1E-3</v>
      </c>
      <c r="L621" s="4">
        <f t="shared" si="36"/>
        <v>19</v>
      </c>
      <c r="M621" s="4">
        <f t="shared" si="39"/>
        <v>5</v>
      </c>
    </row>
    <row r="622" spans="1:13">
      <c r="A622" s="4" t="str" cm="1">
        <f t="array" ref="A622">INDEX(Sheet1!A:A,$F622)</f>
        <v>M</v>
      </c>
      <c r="B622" s="4" t="str" cm="1">
        <f t="array" ref="B622">INDEX(Sheet1!B:B,$F622)</f>
        <v>Non-Pref SM</v>
      </c>
      <c r="C622" s="4">
        <f t="shared" si="37"/>
        <v>20</v>
      </c>
      <c r="D622" s="5" cm="1">
        <f t="array" aca="1" ref="D622" ca="1">OFFSET(INDIRECT("'["&amp;$H622&amp;"]"&amp;$I622&amp;"'!"&amp;$J622),$L622,$M622)*$K622</f>
        <v>1.4499999999999999E-3</v>
      </c>
      <c r="F622" s="4">
        <f t="shared" si="38"/>
        <v>8</v>
      </c>
      <c r="G622" s="4" cm="1">
        <f t="array" ref="G622">IF($C622+$M622&lt;16,INDEX(Sheet1!C:C,$F622),$F622)</f>
        <v>8</v>
      </c>
      <c r="H622" s="4" t="str" cm="1">
        <f t="array" ref="H622">INDEX(Sheet1!D:D,$G622)</f>
        <v>2001-cso-preferred-class-structure-mortality-tables.xls</v>
      </c>
      <c r="I622" s="4" t="str" cm="1">
        <f t="array" ref="I622">INDEX(Sheet1!E:E,$G622)</f>
        <v>A.1.a.v</v>
      </c>
      <c r="J622" s="4" t="str" cm="1">
        <f t="array" ref="J622">INDEX(Sheet1!F:F,$G622)</f>
        <v>B8</v>
      </c>
      <c r="K622" s="4" cm="1">
        <f t="array" ref="K622">INDEX(Sheet1!H:H,$G622)</f>
        <v>1E-3</v>
      </c>
      <c r="L622" s="4">
        <f t="shared" si="36"/>
        <v>20</v>
      </c>
      <c r="M622" s="4">
        <f t="shared" si="39"/>
        <v>5</v>
      </c>
    </row>
    <row r="623" spans="1:13">
      <c r="A623" s="4" t="str" cm="1">
        <f t="array" ref="A623">INDEX(Sheet1!A:A,$F623)</f>
        <v>M</v>
      </c>
      <c r="B623" s="4" t="str" cm="1">
        <f t="array" ref="B623">INDEX(Sheet1!B:B,$F623)</f>
        <v>Non-Pref SM</v>
      </c>
      <c r="C623" s="4">
        <f t="shared" si="37"/>
        <v>21</v>
      </c>
      <c r="D623" s="5" cm="1">
        <f t="array" aca="1" ref="D623" ca="1">OFFSET(INDIRECT("'["&amp;$H623&amp;"]"&amp;$I623&amp;"'!"&amp;$J623),$L623,$M623)*$K623</f>
        <v>1.3799999999999999E-3</v>
      </c>
      <c r="F623" s="4">
        <f t="shared" si="38"/>
        <v>8</v>
      </c>
      <c r="G623" s="4" cm="1">
        <f t="array" ref="G623">IF($C623+$M623&lt;16,INDEX(Sheet1!C:C,$F623),$F623)</f>
        <v>8</v>
      </c>
      <c r="H623" s="4" t="str" cm="1">
        <f t="array" ref="H623">INDEX(Sheet1!D:D,$G623)</f>
        <v>2001-cso-preferred-class-structure-mortality-tables.xls</v>
      </c>
      <c r="I623" s="4" t="str" cm="1">
        <f t="array" ref="I623">INDEX(Sheet1!E:E,$G623)</f>
        <v>A.1.a.v</v>
      </c>
      <c r="J623" s="4" t="str" cm="1">
        <f t="array" ref="J623">INDEX(Sheet1!F:F,$G623)</f>
        <v>B8</v>
      </c>
      <c r="K623" s="4" cm="1">
        <f t="array" ref="K623">INDEX(Sheet1!H:H,$G623)</f>
        <v>1E-3</v>
      </c>
      <c r="L623" s="4">
        <f t="shared" si="36"/>
        <v>21</v>
      </c>
      <c r="M623" s="4">
        <f t="shared" si="39"/>
        <v>5</v>
      </c>
    </row>
    <row r="624" spans="1:13">
      <c r="A624" s="4" t="str" cm="1">
        <f t="array" ref="A624">INDEX(Sheet1!A:A,$F624)</f>
        <v>M</v>
      </c>
      <c r="B624" s="4" t="str" cm="1">
        <f t="array" ref="B624">INDEX(Sheet1!B:B,$F624)</f>
        <v>Non-Pref SM</v>
      </c>
      <c r="C624" s="4">
        <f t="shared" si="37"/>
        <v>22</v>
      </c>
      <c r="D624" s="5" cm="1">
        <f t="array" aca="1" ref="D624" ca="1">OFFSET(INDIRECT("'["&amp;$H624&amp;"]"&amp;$I624&amp;"'!"&amp;$J624),$L624,$M624)*$K624</f>
        <v>1.32E-3</v>
      </c>
      <c r="F624" s="4">
        <f t="shared" si="38"/>
        <v>8</v>
      </c>
      <c r="G624" s="4" cm="1">
        <f t="array" ref="G624">IF($C624+$M624&lt;16,INDEX(Sheet1!C:C,$F624),$F624)</f>
        <v>8</v>
      </c>
      <c r="H624" s="4" t="str" cm="1">
        <f t="array" ref="H624">INDEX(Sheet1!D:D,$G624)</f>
        <v>2001-cso-preferred-class-structure-mortality-tables.xls</v>
      </c>
      <c r="I624" s="4" t="str" cm="1">
        <f t="array" ref="I624">INDEX(Sheet1!E:E,$G624)</f>
        <v>A.1.a.v</v>
      </c>
      <c r="J624" s="4" t="str" cm="1">
        <f t="array" ref="J624">INDEX(Sheet1!F:F,$G624)</f>
        <v>B8</v>
      </c>
      <c r="K624" s="4" cm="1">
        <f t="array" ref="K624">INDEX(Sheet1!H:H,$G624)</f>
        <v>1E-3</v>
      </c>
      <c r="L624" s="4">
        <f t="shared" si="36"/>
        <v>22</v>
      </c>
      <c r="M624" s="4">
        <f t="shared" si="39"/>
        <v>5</v>
      </c>
    </row>
    <row r="625" spans="1:13">
      <c r="A625" s="4" t="str" cm="1">
        <f t="array" ref="A625">INDEX(Sheet1!A:A,$F625)</f>
        <v>M</v>
      </c>
      <c r="B625" s="4" t="str" cm="1">
        <f t="array" ref="B625">INDEX(Sheet1!B:B,$F625)</f>
        <v>Non-Pref SM</v>
      </c>
      <c r="C625" s="4">
        <f t="shared" si="37"/>
        <v>23</v>
      </c>
      <c r="D625" s="5" cm="1">
        <f t="array" aca="1" ref="D625" ca="1">OFFSET(INDIRECT("'["&amp;$H625&amp;"]"&amp;$I625&amp;"'!"&amp;$J625),$L625,$M625)*$K625</f>
        <v>1.32E-3</v>
      </c>
      <c r="F625" s="4">
        <f t="shared" si="38"/>
        <v>8</v>
      </c>
      <c r="G625" s="4" cm="1">
        <f t="array" ref="G625">IF($C625+$M625&lt;16,INDEX(Sheet1!C:C,$F625),$F625)</f>
        <v>8</v>
      </c>
      <c r="H625" s="4" t="str" cm="1">
        <f t="array" ref="H625">INDEX(Sheet1!D:D,$G625)</f>
        <v>2001-cso-preferred-class-structure-mortality-tables.xls</v>
      </c>
      <c r="I625" s="4" t="str" cm="1">
        <f t="array" ref="I625">INDEX(Sheet1!E:E,$G625)</f>
        <v>A.1.a.v</v>
      </c>
      <c r="J625" s="4" t="str" cm="1">
        <f t="array" ref="J625">INDEX(Sheet1!F:F,$G625)</f>
        <v>B8</v>
      </c>
      <c r="K625" s="4" cm="1">
        <f t="array" ref="K625">INDEX(Sheet1!H:H,$G625)</f>
        <v>1E-3</v>
      </c>
      <c r="L625" s="4">
        <f t="shared" si="36"/>
        <v>23</v>
      </c>
      <c r="M625" s="4">
        <f t="shared" si="39"/>
        <v>5</v>
      </c>
    </row>
    <row r="626" spans="1:13">
      <c r="A626" s="4" t="str" cm="1">
        <f t="array" ref="A626">INDEX(Sheet1!A:A,$F626)</f>
        <v>M</v>
      </c>
      <c r="B626" s="4" t="str" cm="1">
        <f t="array" ref="B626">INDEX(Sheet1!B:B,$F626)</f>
        <v>Non-Pref SM</v>
      </c>
      <c r="C626" s="4">
        <f t="shared" si="37"/>
        <v>24</v>
      </c>
      <c r="D626" s="5" cm="1">
        <f t="array" aca="1" ref="D626" ca="1">OFFSET(INDIRECT("'["&amp;$H626&amp;"]"&amp;$I626&amp;"'!"&amp;$J626),$L626,$M626)*$K626</f>
        <v>1.32E-3</v>
      </c>
      <c r="F626" s="4">
        <f t="shared" si="38"/>
        <v>8</v>
      </c>
      <c r="G626" s="4" cm="1">
        <f t="array" ref="G626">IF($C626+$M626&lt;16,INDEX(Sheet1!C:C,$F626),$F626)</f>
        <v>8</v>
      </c>
      <c r="H626" s="4" t="str" cm="1">
        <f t="array" ref="H626">INDEX(Sheet1!D:D,$G626)</f>
        <v>2001-cso-preferred-class-structure-mortality-tables.xls</v>
      </c>
      <c r="I626" s="4" t="str" cm="1">
        <f t="array" ref="I626">INDEX(Sheet1!E:E,$G626)</f>
        <v>A.1.a.v</v>
      </c>
      <c r="J626" s="4" t="str" cm="1">
        <f t="array" ref="J626">INDEX(Sheet1!F:F,$G626)</f>
        <v>B8</v>
      </c>
      <c r="K626" s="4" cm="1">
        <f t="array" ref="K626">INDEX(Sheet1!H:H,$G626)</f>
        <v>1E-3</v>
      </c>
      <c r="L626" s="4">
        <f t="shared" si="36"/>
        <v>24</v>
      </c>
      <c r="M626" s="4">
        <f t="shared" si="39"/>
        <v>5</v>
      </c>
    </row>
    <row r="627" spans="1:13">
      <c r="A627" s="4" t="str" cm="1">
        <f t="array" ref="A627">INDEX(Sheet1!A:A,$F627)</f>
        <v>M</v>
      </c>
      <c r="B627" s="4" t="str" cm="1">
        <f t="array" ref="B627">INDEX(Sheet1!B:B,$F627)</f>
        <v>Non-Pref SM</v>
      </c>
      <c r="C627" s="4">
        <f t="shared" si="37"/>
        <v>25</v>
      </c>
      <c r="D627" s="5" cm="1">
        <f t="array" aca="1" ref="D627" ca="1">OFFSET(INDIRECT("'["&amp;$H627&amp;"]"&amp;$I627&amp;"'!"&amp;$J627),$L627,$M627)*$K627</f>
        <v>1.3500000000000001E-3</v>
      </c>
      <c r="F627" s="4">
        <f t="shared" si="38"/>
        <v>8</v>
      </c>
      <c r="G627" s="4" cm="1">
        <f t="array" ref="G627">IF($C627+$M627&lt;16,INDEX(Sheet1!C:C,$F627),$F627)</f>
        <v>8</v>
      </c>
      <c r="H627" s="4" t="str" cm="1">
        <f t="array" ref="H627">INDEX(Sheet1!D:D,$G627)</f>
        <v>2001-cso-preferred-class-structure-mortality-tables.xls</v>
      </c>
      <c r="I627" s="4" t="str" cm="1">
        <f t="array" ref="I627">INDEX(Sheet1!E:E,$G627)</f>
        <v>A.1.a.v</v>
      </c>
      <c r="J627" s="4" t="str" cm="1">
        <f t="array" ref="J627">INDEX(Sheet1!F:F,$G627)</f>
        <v>B8</v>
      </c>
      <c r="K627" s="4" cm="1">
        <f t="array" ref="K627">INDEX(Sheet1!H:H,$G627)</f>
        <v>1E-3</v>
      </c>
      <c r="L627" s="4">
        <f t="shared" si="36"/>
        <v>25</v>
      </c>
      <c r="M627" s="4">
        <f t="shared" si="39"/>
        <v>5</v>
      </c>
    </row>
    <row r="628" spans="1:13">
      <c r="A628" s="4" t="str" cm="1">
        <f t="array" ref="A628">INDEX(Sheet1!A:A,$F628)</f>
        <v>M</v>
      </c>
      <c r="B628" s="4" t="str" cm="1">
        <f t="array" ref="B628">INDEX(Sheet1!B:B,$F628)</f>
        <v>Non-Pref SM</v>
      </c>
      <c r="C628" s="4">
        <f t="shared" si="37"/>
        <v>26</v>
      </c>
      <c r="D628" s="5" cm="1">
        <f t="array" aca="1" ref="D628" ca="1">OFFSET(INDIRECT("'["&amp;$H628&amp;"]"&amp;$I628&amp;"'!"&amp;$J628),$L628,$M628)*$K628</f>
        <v>1.4E-3</v>
      </c>
      <c r="F628" s="4">
        <f t="shared" si="38"/>
        <v>8</v>
      </c>
      <c r="G628" s="4" cm="1">
        <f t="array" ref="G628">IF($C628+$M628&lt;16,INDEX(Sheet1!C:C,$F628),$F628)</f>
        <v>8</v>
      </c>
      <c r="H628" s="4" t="str" cm="1">
        <f t="array" ref="H628">INDEX(Sheet1!D:D,$G628)</f>
        <v>2001-cso-preferred-class-structure-mortality-tables.xls</v>
      </c>
      <c r="I628" s="4" t="str" cm="1">
        <f t="array" ref="I628">INDEX(Sheet1!E:E,$G628)</f>
        <v>A.1.a.v</v>
      </c>
      <c r="J628" s="4" t="str" cm="1">
        <f t="array" ref="J628">INDEX(Sheet1!F:F,$G628)</f>
        <v>B8</v>
      </c>
      <c r="K628" s="4" cm="1">
        <f t="array" ref="K628">INDEX(Sheet1!H:H,$G628)</f>
        <v>1E-3</v>
      </c>
      <c r="L628" s="4">
        <f t="shared" si="36"/>
        <v>26</v>
      </c>
      <c r="M628" s="4">
        <f t="shared" si="39"/>
        <v>5</v>
      </c>
    </row>
    <row r="629" spans="1:13">
      <c r="A629" s="4" t="str" cm="1">
        <f t="array" ref="A629">INDEX(Sheet1!A:A,$F629)</f>
        <v>M</v>
      </c>
      <c r="B629" s="4" t="str" cm="1">
        <f t="array" ref="B629">INDEX(Sheet1!B:B,$F629)</f>
        <v>Non-Pref SM</v>
      </c>
      <c r="C629" s="4">
        <f t="shared" si="37"/>
        <v>27</v>
      </c>
      <c r="D629" s="5" cm="1">
        <f t="array" aca="1" ref="D629" ca="1">OFFSET(INDIRECT("'["&amp;$H629&amp;"]"&amp;$I629&amp;"'!"&amp;$J629),$L629,$M629)*$K629</f>
        <v>1.4599999999999999E-3</v>
      </c>
      <c r="F629" s="4">
        <f t="shared" si="38"/>
        <v>8</v>
      </c>
      <c r="G629" s="4" cm="1">
        <f t="array" ref="G629">IF($C629+$M629&lt;16,INDEX(Sheet1!C:C,$F629),$F629)</f>
        <v>8</v>
      </c>
      <c r="H629" s="4" t="str" cm="1">
        <f t="array" ref="H629">INDEX(Sheet1!D:D,$G629)</f>
        <v>2001-cso-preferred-class-structure-mortality-tables.xls</v>
      </c>
      <c r="I629" s="4" t="str" cm="1">
        <f t="array" ref="I629">INDEX(Sheet1!E:E,$G629)</f>
        <v>A.1.a.v</v>
      </c>
      <c r="J629" s="4" t="str" cm="1">
        <f t="array" ref="J629">INDEX(Sheet1!F:F,$G629)</f>
        <v>B8</v>
      </c>
      <c r="K629" s="4" cm="1">
        <f t="array" ref="K629">INDEX(Sheet1!H:H,$G629)</f>
        <v>1E-3</v>
      </c>
      <c r="L629" s="4">
        <f t="shared" si="36"/>
        <v>27</v>
      </c>
      <c r="M629" s="4">
        <f t="shared" si="39"/>
        <v>5</v>
      </c>
    </row>
    <row r="630" spans="1:13">
      <c r="A630" s="4" t="str" cm="1">
        <f t="array" ref="A630">INDEX(Sheet1!A:A,$F630)</f>
        <v>M</v>
      </c>
      <c r="B630" s="4" t="str" cm="1">
        <f t="array" ref="B630">INDEX(Sheet1!B:B,$F630)</f>
        <v>Non-Pref SM</v>
      </c>
      <c r="C630" s="4">
        <f t="shared" si="37"/>
        <v>28</v>
      </c>
      <c r="D630" s="5" cm="1">
        <f t="array" aca="1" ref="D630" ca="1">OFFSET(INDIRECT("'["&amp;$H630&amp;"]"&amp;$I630&amp;"'!"&amp;$J630),$L630,$M630)*$K630</f>
        <v>1.5400000000000001E-3</v>
      </c>
      <c r="F630" s="4">
        <f t="shared" si="38"/>
        <v>8</v>
      </c>
      <c r="G630" s="4" cm="1">
        <f t="array" ref="G630">IF($C630+$M630&lt;16,INDEX(Sheet1!C:C,$F630),$F630)</f>
        <v>8</v>
      </c>
      <c r="H630" s="4" t="str" cm="1">
        <f t="array" ref="H630">INDEX(Sheet1!D:D,$G630)</f>
        <v>2001-cso-preferred-class-structure-mortality-tables.xls</v>
      </c>
      <c r="I630" s="4" t="str" cm="1">
        <f t="array" ref="I630">INDEX(Sheet1!E:E,$G630)</f>
        <v>A.1.a.v</v>
      </c>
      <c r="J630" s="4" t="str" cm="1">
        <f t="array" ref="J630">INDEX(Sheet1!F:F,$G630)</f>
        <v>B8</v>
      </c>
      <c r="K630" s="4" cm="1">
        <f t="array" ref="K630">INDEX(Sheet1!H:H,$G630)</f>
        <v>1E-3</v>
      </c>
      <c r="L630" s="4">
        <f t="shared" si="36"/>
        <v>28</v>
      </c>
      <c r="M630" s="4">
        <f t="shared" si="39"/>
        <v>5</v>
      </c>
    </row>
    <row r="631" spans="1:13">
      <c r="A631" s="4" t="str" cm="1">
        <f t="array" ref="A631">INDEX(Sheet1!A:A,$F631)</f>
        <v>M</v>
      </c>
      <c r="B631" s="4" t="str" cm="1">
        <f t="array" ref="B631">INDEX(Sheet1!B:B,$F631)</f>
        <v>Non-Pref SM</v>
      </c>
      <c r="C631" s="4">
        <f t="shared" si="37"/>
        <v>29</v>
      </c>
      <c r="D631" s="5" cm="1">
        <f t="array" aca="1" ref="D631" ca="1">OFFSET(INDIRECT("'["&amp;$H631&amp;"]"&amp;$I631&amp;"'!"&amp;$J631),$L631,$M631)*$K631</f>
        <v>1.65E-3</v>
      </c>
      <c r="F631" s="4">
        <f t="shared" si="38"/>
        <v>8</v>
      </c>
      <c r="G631" s="4" cm="1">
        <f t="array" ref="G631">IF($C631+$M631&lt;16,INDEX(Sheet1!C:C,$F631),$F631)</f>
        <v>8</v>
      </c>
      <c r="H631" s="4" t="str" cm="1">
        <f t="array" ref="H631">INDEX(Sheet1!D:D,$G631)</f>
        <v>2001-cso-preferred-class-structure-mortality-tables.xls</v>
      </c>
      <c r="I631" s="4" t="str" cm="1">
        <f t="array" ref="I631">INDEX(Sheet1!E:E,$G631)</f>
        <v>A.1.a.v</v>
      </c>
      <c r="J631" s="4" t="str" cm="1">
        <f t="array" ref="J631">INDEX(Sheet1!F:F,$G631)</f>
        <v>B8</v>
      </c>
      <c r="K631" s="4" cm="1">
        <f t="array" ref="K631">INDEX(Sheet1!H:H,$G631)</f>
        <v>1E-3</v>
      </c>
      <c r="L631" s="4">
        <f t="shared" si="36"/>
        <v>29</v>
      </c>
      <c r="M631" s="4">
        <f t="shared" si="39"/>
        <v>5</v>
      </c>
    </row>
    <row r="632" spans="1:13">
      <c r="A632" s="4" t="str" cm="1">
        <f t="array" ref="A632">INDEX(Sheet1!A:A,$F632)</f>
        <v>M</v>
      </c>
      <c r="B632" s="4" t="str" cm="1">
        <f t="array" ref="B632">INDEX(Sheet1!B:B,$F632)</f>
        <v>Non-Pref SM</v>
      </c>
      <c r="C632" s="4">
        <f t="shared" si="37"/>
        <v>30</v>
      </c>
      <c r="D632" s="5" cm="1">
        <f t="array" aca="1" ref="D632" ca="1">OFFSET(INDIRECT("'["&amp;$H632&amp;"]"&amp;$I632&amp;"'!"&amp;$J632),$L632,$M632)*$K632</f>
        <v>1.7700000000000001E-3</v>
      </c>
      <c r="F632" s="4">
        <f t="shared" si="38"/>
        <v>8</v>
      </c>
      <c r="G632" s="4" cm="1">
        <f t="array" ref="G632">IF($C632+$M632&lt;16,INDEX(Sheet1!C:C,$F632),$F632)</f>
        <v>8</v>
      </c>
      <c r="H632" s="4" t="str" cm="1">
        <f t="array" ref="H632">INDEX(Sheet1!D:D,$G632)</f>
        <v>2001-cso-preferred-class-structure-mortality-tables.xls</v>
      </c>
      <c r="I632" s="4" t="str" cm="1">
        <f t="array" ref="I632">INDEX(Sheet1!E:E,$G632)</f>
        <v>A.1.a.v</v>
      </c>
      <c r="J632" s="4" t="str" cm="1">
        <f t="array" ref="J632">INDEX(Sheet1!F:F,$G632)</f>
        <v>B8</v>
      </c>
      <c r="K632" s="4" cm="1">
        <f t="array" ref="K632">INDEX(Sheet1!H:H,$G632)</f>
        <v>1E-3</v>
      </c>
      <c r="L632" s="4">
        <f t="shared" si="36"/>
        <v>30</v>
      </c>
      <c r="M632" s="4">
        <f t="shared" si="39"/>
        <v>5</v>
      </c>
    </row>
    <row r="633" spans="1:13">
      <c r="A633" s="4" t="str" cm="1">
        <f t="array" ref="A633">INDEX(Sheet1!A:A,$F633)</f>
        <v>M</v>
      </c>
      <c r="B633" s="4" t="str" cm="1">
        <f t="array" ref="B633">INDEX(Sheet1!B:B,$F633)</f>
        <v>Non-Pref SM</v>
      </c>
      <c r="C633" s="4">
        <f t="shared" si="37"/>
        <v>31</v>
      </c>
      <c r="D633" s="5" cm="1">
        <f t="array" aca="1" ref="D633" ca="1">OFFSET(INDIRECT("'["&amp;$H633&amp;"]"&amp;$I633&amp;"'!"&amp;$J633),$L633,$M633)*$K633</f>
        <v>1.9E-3</v>
      </c>
      <c r="F633" s="4">
        <f t="shared" si="38"/>
        <v>8</v>
      </c>
      <c r="G633" s="4" cm="1">
        <f t="array" ref="G633">IF($C633+$M633&lt;16,INDEX(Sheet1!C:C,$F633),$F633)</f>
        <v>8</v>
      </c>
      <c r="H633" s="4" t="str" cm="1">
        <f t="array" ref="H633">INDEX(Sheet1!D:D,$G633)</f>
        <v>2001-cso-preferred-class-structure-mortality-tables.xls</v>
      </c>
      <c r="I633" s="4" t="str" cm="1">
        <f t="array" ref="I633">INDEX(Sheet1!E:E,$G633)</f>
        <v>A.1.a.v</v>
      </c>
      <c r="J633" s="4" t="str" cm="1">
        <f t="array" ref="J633">INDEX(Sheet1!F:F,$G633)</f>
        <v>B8</v>
      </c>
      <c r="K633" s="4" cm="1">
        <f t="array" ref="K633">INDEX(Sheet1!H:H,$G633)</f>
        <v>1E-3</v>
      </c>
      <c r="L633" s="4">
        <f t="shared" si="36"/>
        <v>31</v>
      </c>
      <c r="M633" s="4">
        <f t="shared" si="39"/>
        <v>5</v>
      </c>
    </row>
    <row r="634" spans="1:13">
      <c r="A634" s="4" t="str" cm="1">
        <f t="array" ref="A634">INDEX(Sheet1!A:A,$F634)</f>
        <v>M</v>
      </c>
      <c r="B634" s="4" t="str" cm="1">
        <f t="array" ref="B634">INDEX(Sheet1!B:B,$F634)</f>
        <v>Non-Pref SM</v>
      </c>
      <c r="C634" s="4">
        <f t="shared" si="37"/>
        <v>32</v>
      </c>
      <c r="D634" s="5" cm="1">
        <f t="array" aca="1" ref="D634" ca="1">OFFSET(INDIRECT("'["&amp;$H634&amp;"]"&amp;$I634&amp;"'!"&amp;$J634),$L634,$M634)*$K634</f>
        <v>1.9499999999999999E-3</v>
      </c>
      <c r="F634" s="4">
        <f t="shared" si="38"/>
        <v>8</v>
      </c>
      <c r="G634" s="4" cm="1">
        <f t="array" ref="G634">IF($C634+$M634&lt;16,INDEX(Sheet1!C:C,$F634),$F634)</f>
        <v>8</v>
      </c>
      <c r="H634" s="4" t="str" cm="1">
        <f t="array" ref="H634">INDEX(Sheet1!D:D,$G634)</f>
        <v>2001-cso-preferred-class-structure-mortality-tables.xls</v>
      </c>
      <c r="I634" s="4" t="str" cm="1">
        <f t="array" ref="I634">INDEX(Sheet1!E:E,$G634)</f>
        <v>A.1.a.v</v>
      </c>
      <c r="J634" s="4" t="str" cm="1">
        <f t="array" ref="J634">INDEX(Sheet1!F:F,$G634)</f>
        <v>B8</v>
      </c>
      <c r="K634" s="4" cm="1">
        <f t="array" ref="K634">INDEX(Sheet1!H:H,$G634)</f>
        <v>1E-3</v>
      </c>
      <c r="L634" s="4">
        <f t="shared" si="36"/>
        <v>32</v>
      </c>
      <c r="M634" s="4">
        <f t="shared" si="39"/>
        <v>5</v>
      </c>
    </row>
    <row r="635" spans="1:13">
      <c r="A635" s="4" t="str" cm="1">
        <f t="array" ref="A635">INDEX(Sheet1!A:A,$F635)</f>
        <v>M</v>
      </c>
      <c r="B635" s="4" t="str" cm="1">
        <f t="array" ref="B635">INDEX(Sheet1!B:B,$F635)</f>
        <v>Non-Pref SM</v>
      </c>
      <c r="C635" s="4">
        <f t="shared" si="37"/>
        <v>33</v>
      </c>
      <c r="D635" s="5" cm="1">
        <f t="array" aca="1" ref="D635" ca="1">OFFSET(INDIRECT("'["&amp;$H635&amp;"]"&amp;$I635&amp;"'!"&amp;$J635),$L635,$M635)*$K635</f>
        <v>2.0800000000000003E-3</v>
      </c>
      <c r="F635" s="4">
        <f t="shared" si="38"/>
        <v>8</v>
      </c>
      <c r="G635" s="4" cm="1">
        <f t="array" ref="G635">IF($C635+$M635&lt;16,INDEX(Sheet1!C:C,$F635),$F635)</f>
        <v>8</v>
      </c>
      <c r="H635" s="4" t="str" cm="1">
        <f t="array" ref="H635">INDEX(Sheet1!D:D,$G635)</f>
        <v>2001-cso-preferred-class-structure-mortality-tables.xls</v>
      </c>
      <c r="I635" s="4" t="str" cm="1">
        <f t="array" ref="I635">INDEX(Sheet1!E:E,$G635)</f>
        <v>A.1.a.v</v>
      </c>
      <c r="J635" s="4" t="str" cm="1">
        <f t="array" ref="J635">INDEX(Sheet1!F:F,$G635)</f>
        <v>B8</v>
      </c>
      <c r="K635" s="4" cm="1">
        <f t="array" ref="K635">INDEX(Sheet1!H:H,$G635)</f>
        <v>1E-3</v>
      </c>
      <c r="L635" s="4">
        <f t="shared" si="36"/>
        <v>33</v>
      </c>
      <c r="M635" s="4">
        <f t="shared" si="39"/>
        <v>5</v>
      </c>
    </row>
    <row r="636" spans="1:13">
      <c r="A636" s="4" t="str" cm="1">
        <f t="array" ref="A636">INDEX(Sheet1!A:A,$F636)</f>
        <v>M</v>
      </c>
      <c r="B636" s="4" t="str" cm="1">
        <f t="array" ref="B636">INDEX(Sheet1!B:B,$F636)</f>
        <v>Non-Pref SM</v>
      </c>
      <c r="C636" s="4">
        <f t="shared" si="37"/>
        <v>34</v>
      </c>
      <c r="D636" s="5" cm="1">
        <f t="array" aca="1" ref="D636" ca="1">OFFSET(INDIRECT("'["&amp;$H636&amp;"]"&amp;$I636&amp;"'!"&amp;$J636),$L636,$M636)*$K636</f>
        <v>2.2300000000000002E-3</v>
      </c>
      <c r="F636" s="4">
        <f t="shared" si="38"/>
        <v>8</v>
      </c>
      <c r="G636" s="4" cm="1">
        <f t="array" ref="G636">IF($C636+$M636&lt;16,INDEX(Sheet1!C:C,$F636),$F636)</f>
        <v>8</v>
      </c>
      <c r="H636" s="4" t="str" cm="1">
        <f t="array" ref="H636">INDEX(Sheet1!D:D,$G636)</f>
        <v>2001-cso-preferred-class-structure-mortality-tables.xls</v>
      </c>
      <c r="I636" s="4" t="str" cm="1">
        <f t="array" ref="I636">INDEX(Sheet1!E:E,$G636)</f>
        <v>A.1.a.v</v>
      </c>
      <c r="J636" s="4" t="str" cm="1">
        <f t="array" ref="J636">INDEX(Sheet1!F:F,$G636)</f>
        <v>B8</v>
      </c>
      <c r="K636" s="4" cm="1">
        <f t="array" ref="K636">INDEX(Sheet1!H:H,$G636)</f>
        <v>1E-3</v>
      </c>
      <c r="L636" s="4">
        <f t="shared" si="36"/>
        <v>34</v>
      </c>
      <c r="M636" s="4">
        <f t="shared" si="39"/>
        <v>5</v>
      </c>
    </row>
    <row r="637" spans="1:13">
      <c r="A637" s="4" t="str" cm="1">
        <f t="array" ref="A637">INDEX(Sheet1!A:A,$F637)</f>
        <v>M</v>
      </c>
      <c r="B637" s="4" t="str" cm="1">
        <f t="array" ref="B637">INDEX(Sheet1!B:B,$F637)</f>
        <v>Non-Pref SM</v>
      </c>
      <c r="C637" s="4">
        <f t="shared" si="37"/>
        <v>35</v>
      </c>
      <c r="D637" s="5" cm="1">
        <f t="array" aca="1" ref="D637" ca="1">OFFSET(INDIRECT("'["&amp;$H637&amp;"]"&amp;$I637&amp;"'!"&amp;$J637),$L637,$M637)*$K637</f>
        <v>2.3700000000000001E-3</v>
      </c>
      <c r="F637" s="4">
        <f t="shared" si="38"/>
        <v>8</v>
      </c>
      <c r="G637" s="4" cm="1">
        <f t="array" ref="G637">IF($C637+$M637&lt;16,INDEX(Sheet1!C:C,$F637),$F637)</f>
        <v>8</v>
      </c>
      <c r="H637" s="4" t="str" cm="1">
        <f t="array" ref="H637">INDEX(Sheet1!D:D,$G637)</f>
        <v>2001-cso-preferred-class-structure-mortality-tables.xls</v>
      </c>
      <c r="I637" s="4" t="str" cm="1">
        <f t="array" ref="I637">INDEX(Sheet1!E:E,$G637)</f>
        <v>A.1.a.v</v>
      </c>
      <c r="J637" s="4" t="str" cm="1">
        <f t="array" ref="J637">INDEX(Sheet1!F:F,$G637)</f>
        <v>B8</v>
      </c>
      <c r="K637" s="4" cm="1">
        <f t="array" ref="K637">INDEX(Sheet1!H:H,$G637)</f>
        <v>1E-3</v>
      </c>
      <c r="L637" s="4">
        <f t="shared" si="36"/>
        <v>35</v>
      </c>
      <c r="M637" s="4">
        <f t="shared" si="39"/>
        <v>5</v>
      </c>
    </row>
    <row r="638" spans="1:13">
      <c r="A638" s="4" t="str" cm="1">
        <f t="array" ref="A638">INDEX(Sheet1!A:A,$F638)</f>
        <v>M</v>
      </c>
      <c r="B638" s="4" t="str" cm="1">
        <f t="array" ref="B638">INDEX(Sheet1!B:B,$F638)</f>
        <v>Non-Pref SM</v>
      </c>
      <c r="C638" s="4">
        <f t="shared" si="37"/>
        <v>36</v>
      </c>
      <c r="D638" s="5" cm="1">
        <f t="array" aca="1" ref="D638" ca="1">OFFSET(INDIRECT("'["&amp;$H638&amp;"]"&amp;$I638&amp;"'!"&amp;$J638),$L638,$M638)*$K638</f>
        <v>2.4700000000000004E-3</v>
      </c>
      <c r="F638" s="4">
        <f t="shared" si="38"/>
        <v>8</v>
      </c>
      <c r="G638" s="4" cm="1">
        <f t="array" ref="G638">IF($C638+$M638&lt;16,INDEX(Sheet1!C:C,$F638),$F638)</f>
        <v>8</v>
      </c>
      <c r="H638" s="4" t="str" cm="1">
        <f t="array" ref="H638">INDEX(Sheet1!D:D,$G638)</f>
        <v>2001-cso-preferred-class-structure-mortality-tables.xls</v>
      </c>
      <c r="I638" s="4" t="str" cm="1">
        <f t="array" ref="I638">INDEX(Sheet1!E:E,$G638)</f>
        <v>A.1.a.v</v>
      </c>
      <c r="J638" s="4" t="str" cm="1">
        <f t="array" ref="J638">INDEX(Sheet1!F:F,$G638)</f>
        <v>B8</v>
      </c>
      <c r="K638" s="4" cm="1">
        <f t="array" ref="K638">INDEX(Sheet1!H:H,$G638)</f>
        <v>1E-3</v>
      </c>
      <c r="L638" s="4">
        <f t="shared" si="36"/>
        <v>36</v>
      </c>
      <c r="M638" s="4">
        <f t="shared" si="39"/>
        <v>5</v>
      </c>
    </row>
    <row r="639" spans="1:13">
      <c r="A639" s="4" t="str" cm="1">
        <f t="array" ref="A639">INDEX(Sheet1!A:A,$F639)</f>
        <v>M</v>
      </c>
      <c r="B639" s="4" t="str" cm="1">
        <f t="array" ref="B639">INDEX(Sheet1!B:B,$F639)</f>
        <v>Non-Pref SM</v>
      </c>
      <c r="C639" s="4">
        <f t="shared" si="37"/>
        <v>37</v>
      </c>
      <c r="D639" s="5" cm="1">
        <f t="array" aca="1" ref="D639" ca="1">OFFSET(INDIRECT("'["&amp;$H639&amp;"]"&amp;$I639&amp;"'!"&amp;$J639),$L639,$M639)*$K639</f>
        <v>2.6000000000000003E-3</v>
      </c>
      <c r="F639" s="4">
        <f t="shared" si="38"/>
        <v>8</v>
      </c>
      <c r="G639" s="4" cm="1">
        <f t="array" ref="G639">IF($C639+$M639&lt;16,INDEX(Sheet1!C:C,$F639),$F639)</f>
        <v>8</v>
      </c>
      <c r="H639" s="4" t="str" cm="1">
        <f t="array" ref="H639">INDEX(Sheet1!D:D,$G639)</f>
        <v>2001-cso-preferred-class-structure-mortality-tables.xls</v>
      </c>
      <c r="I639" s="4" t="str" cm="1">
        <f t="array" ref="I639">INDEX(Sheet1!E:E,$G639)</f>
        <v>A.1.a.v</v>
      </c>
      <c r="J639" s="4" t="str" cm="1">
        <f t="array" ref="J639">INDEX(Sheet1!F:F,$G639)</f>
        <v>B8</v>
      </c>
      <c r="K639" s="4" cm="1">
        <f t="array" ref="K639">INDEX(Sheet1!H:H,$G639)</f>
        <v>1E-3</v>
      </c>
      <c r="L639" s="4">
        <f t="shared" si="36"/>
        <v>37</v>
      </c>
      <c r="M639" s="4">
        <f t="shared" si="39"/>
        <v>5</v>
      </c>
    </row>
    <row r="640" spans="1:13">
      <c r="A640" s="4" t="str" cm="1">
        <f t="array" ref="A640">INDEX(Sheet1!A:A,$F640)</f>
        <v>M</v>
      </c>
      <c r="B640" s="4" t="str" cm="1">
        <f t="array" ref="B640">INDEX(Sheet1!B:B,$F640)</f>
        <v>Non-Pref SM</v>
      </c>
      <c r="C640" s="4">
        <f t="shared" si="37"/>
        <v>38</v>
      </c>
      <c r="D640" s="5" cm="1">
        <f t="array" aca="1" ref="D640" ca="1">OFFSET(INDIRECT("'["&amp;$H640&amp;"]"&amp;$I640&amp;"'!"&amp;$J640),$L640,$M640)*$K640</f>
        <v>2.81E-3</v>
      </c>
      <c r="F640" s="4">
        <f t="shared" si="38"/>
        <v>8</v>
      </c>
      <c r="G640" s="4" cm="1">
        <f t="array" ref="G640">IF($C640+$M640&lt;16,INDEX(Sheet1!C:C,$F640),$F640)</f>
        <v>8</v>
      </c>
      <c r="H640" s="4" t="str" cm="1">
        <f t="array" ref="H640">INDEX(Sheet1!D:D,$G640)</f>
        <v>2001-cso-preferred-class-structure-mortality-tables.xls</v>
      </c>
      <c r="I640" s="4" t="str" cm="1">
        <f t="array" ref="I640">INDEX(Sheet1!E:E,$G640)</f>
        <v>A.1.a.v</v>
      </c>
      <c r="J640" s="4" t="str" cm="1">
        <f t="array" ref="J640">INDEX(Sheet1!F:F,$G640)</f>
        <v>B8</v>
      </c>
      <c r="K640" s="4" cm="1">
        <f t="array" ref="K640">INDEX(Sheet1!H:H,$G640)</f>
        <v>1E-3</v>
      </c>
      <c r="L640" s="4">
        <f t="shared" si="36"/>
        <v>38</v>
      </c>
      <c r="M640" s="4">
        <f t="shared" si="39"/>
        <v>5</v>
      </c>
    </row>
    <row r="641" spans="1:13">
      <c r="A641" s="4" t="str" cm="1">
        <f t="array" ref="A641">INDEX(Sheet1!A:A,$F641)</f>
        <v>M</v>
      </c>
      <c r="B641" s="4" t="str" cm="1">
        <f t="array" ref="B641">INDEX(Sheet1!B:B,$F641)</f>
        <v>Non-Pref SM</v>
      </c>
      <c r="C641" s="4">
        <f t="shared" si="37"/>
        <v>39</v>
      </c>
      <c r="D641" s="5" cm="1">
        <f t="array" aca="1" ref="D641" ca="1">OFFSET(INDIRECT("'["&amp;$H641&amp;"]"&amp;$I641&amp;"'!"&amp;$J641),$L641,$M641)*$K641</f>
        <v>3.0899999999999999E-3</v>
      </c>
      <c r="F641" s="4">
        <f t="shared" si="38"/>
        <v>8</v>
      </c>
      <c r="G641" s="4" cm="1">
        <f t="array" ref="G641">IF($C641+$M641&lt;16,INDEX(Sheet1!C:C,$F641),$F641)</f>
        <v>8</v>
      </c>
      <c r="H641" s="4" t="str" cm="1">
        <f t="array" ref="H641">INDEX(Sheet1!D:D,$G641)</f>
        <v>2001-cso-preferred-class-structure-mortality-tables.xls</v>
      </c>
      <c r="I641" s="4" t="str" cm="1">
        <f t="array" ref="I641">INDEX(Sheet1!E:E,$G641)</f>
        <v>A.1.a.v</v>
      </c>
      <c r="J641" s="4" t="str" cm="1">
        <f t="array" ref="J641">INDEX(Sheet1!F:F,$G641)</f>
        <v>B8</v>
      </c>
      <c r="K641" s="4" cm="1">
        <f t="array" ref="K641">INDEX(Sheet1!H:H,$G641)</f>
        <v>1E-3</v>
      </c>
      <c r="L641" s="4">
        <f t="shared" si="36"/>
        <v>39</v>
      </c>
      <c r="M641" s="4">
        <f t="shared" si="39"/>
        <v>5</v>
      </c>
    </row>
    <row r="642" spans="1:13">
      <c r="A642" s="4" t="str" cm="1">
        <f t="array" ref="A642">INDEX(Sheet1!A:A,$F642)</f>
        <v>M</v>
      </c>
      <c r="B642" s="4" t="str" cm="1">
        <f t="array" ref="B642">INDEX(Sheet1!B:B,$F642)</f>
        <v>Non-Pref SM</v>
      </c>
      <c r="C642" s="4">
        <f t="shared" si="37"/>
        <v>40</v>
      </c>
      <c r="D642" s="5" cm="1">
        <f t="array" aca="1" ref="D642" ca="1">OFFSET(INDIRECT("'["&amp;$H642&amp;"]"&amp;$I642&amp;"'!"&amp;$J642),$L642,$M642)*$K642</f>
        <v>3.4700000000000004E-3</v>
      </c>
      <c r="F642" s="4">
        <f t="shared" si="38"/>
        <v>8</v>
      </c>
      <c r="G642" s="4" cm="1">
        <f t="array" ref="G642">IF($C642+$M642&lt;16,INDEX(Sheet1!C:C,$F642),$F642)</f>
        <v>8</v>
      </c>
      <c r="H642" s="4" t="str" cm="1">
        <f t="array" ref="H642">INDEX(Sheet1!D:D,$G642)</f>
        <v>2001-cso-preferred-class-structure-mortality-tables.xls</v>
      </c>
      <c r="I642" s="4" t="str" cm="1">
        <f t="array" ref="I642">INDEX(Sheet1!E:E,$G642)</f>
        <v>A.1.a.v</v>
      </c>
      <c r="J642" s="4" t="str" cm="1">
        <f t="array" ref="J642">INDEX(Sheet1!F:F,$G642)</f>
        <v>B8</v>
      </c>
      <c r="K642" s="4" cm="1">
        <f t="array" ref="K642">INDEX(Sheet1!H:H,$G642)</f>
        <v>1E-3</v>
      </c>
      <c r="L642" s="4">
        <f t="shared" si="36"/>
        <v>40</v>
      </c>
      <c r="M642" s="4">
        <f t="shared" si="39"/>
        <v>5</v>
      </c>
    </row>
    <row r="643" spans="1:13">
      <c r="A643" s="4" t="str" cm="1">
        <f t="array" ref="A643">INDEX(Sheet1!A:A,$F643)</f>
        <v>M</v>
      </c>
      <c r="B643" s="4" t="str" cm="1">
        <f t="array" ref="B643">INDEX(Sheet1!B:B,$F643)</f>
        <v>Non-Pref SM</v>
      </c>
      <c r="C643" s="4">
        <f t="shared" si="37"/>
        <v>41</v>
      </c>
      <c r="D643" s="5" cm="1">
        <f t="array" aca="1" ref="D643" ca="1">OFFSET(INDIRECT("'["&amp;$H643&amp;"]"&amp;$I643&amp;"'!"&amp;$J643),$L643,$M643)*$K643</f>
        <v>3.8900000000000002E-3</v>
      </c>
      <c r="F643" s="4">
        <f t="shared" si="38"/>
        <v>8</v>
      </c>
      <c r="G643" s="4" cm="1">
        <f t="array" ref="G643">IF($C643+$M643&lt;16,INDEX(Sheet1!C:C,$F643),$F643)</f>
        <v>8</v>
      </c>
      <c r="H643" s="4" t="str" cm="1">
        <f t="array" ref="H643">INDEX(Sheet1!D:D,$G643)</f>
        <v>2001-cso-preferred-class-structure-mortality-tables.xls</v>
      </c>
      <c r="I643" s="4" t="str" cm="1">
        <f t="array" ref="I643">INDEX(Sheet1!E:E,$G643)</f>
        <v>A.1.a.v</v>
      </c>
      <c r="J643" s="4" t="str" cm="1">
        <f t="array" ref="J643">INDEX(Sheet1!F:F,$G643)</f>
        <v>B8</v>
      </c>
      <c r="K643" s="4" cm="1">
        <f t="array" ref="K643">INDEX(Sheet1!H:H,$G643)</f>
        <v>1E-3</v>
      </c>
      <c r="L643" s="4">
        <f t="shared" ref="L643:L706" si="40">C643</f>
        <v>41</v>
      </c>
      <c r="M643" s="4">
        <f t="shared" si="39"/>
        <v>5</v>
      </c>
    </row>
    <row r="644" spans="1:13">
      <c r="A644" s="4" t="str" cm="1">
        <f t="array" ref="A644">INDEX(Sheet1!A:A,$F644)</f>
        <v>M</v>
      </c>
      <c r="B644" s="4" t="str" cm="1">
        <f t="array" ref="B644">INDEX(Sheet1!B:B,$F644)</f>
        <v>Non-Pref SM</v>
      </c>
      <c r="C644" s="4">
        <f t="shared" ref="C644:C707" si="41">IF(C643=99,0,C643+1)</f>
        <v>42</v>
      </c>
      <c r="D644" s="5" cm="1">
        <f t="array" aca="1" ref="D644" ca="1">OFFSET(INDIRECT("'["&amp;$H644&amp;"]"&amp;$I644&amp;"'!"&amp;$J644),$L644,$M644)*$K644</f>
        <v>4.28E-3</v>
      </c>
      <c r="F644" s="4">
        <f t="shared" ref="F644:F707" si="42">IF(C644=0,1,0)+F643</f>
        <v>8</v>
      </c>
      <c r="G644" s="4" cm="1">
        <f t="array" ref="G644">IF($C644+$M644&lt;16,INDEX(Sheet1!C:C,$F644),$F644)</f>
        <v>8</v>
      </c>
      <c r="H644" s="4" t="str" cm="1">
        <f t="array" ref="H644">INDEX(Sheet1!D:D,$G644)</f>
        <v>2001-cso-preferred-class-structure-mortality-tables.xls</v>
      </c>
      <c r="I644" s="4" t="str" cm="1">
        <f t="array" ref="I644">INDEX(Sheet1!E:E,$G644)</f>
        <v>A.1.a.v</v>
      </c>
      <c r="J644" s="4" t="str" cm="1">
        <f t="array" ref="J644">INDEX(Sheet1!F:F,$G644)</f>
        <v>B8</v>
      </c>
      <c r="K644" s="4" cm="1">
        <f t="array" ref="K644">INDEX(Sheet1!H:H,$G644)</f>
        <v>1E-3</v>
      </c>
      <c r="L644" s="4">
        <f t="shared" si="40"/>
        <v>42</v>
      </c>
      <c r="M644" s="4">
        <f t="shared" ref="L644:M707" si="43">M$2</f>
        <v>5</v>
      </c>
    </row>
    <row r="645" spans="1:13">
      <c r="A645" s="4" t="str" cm="1">
        <f t="array" ref="A645">INDEX(Sheet1!A:A,$F645)</f>
        <v>M</v>
      </c>
      <c r="B645" s="4" t="str" cm="1">
        <f t="array" ref="B645">INDEX(Sheet1!B:B,$F645)</f>
        <v>Non-Pref SM</v>
      </c>
      <c r="C645" s="4">
        <f t="shared" si="41"/>
        <v>43</v>
      </c>
      <c r="D645" s="5" cm="1">
        <f t="array" aca="1" ref="D645" ca="1">OFFSET(INDIRECT("'["&amp;$H645&amp;"]"&amp;$I645&amp;"'!"&amp;$J645),$L645,$M645)*$K645</f>
        <v>4.5599999999999998E-3</v>
      </c>
      <c r="F645" s="4">
        <f t="shared" si="42"/>
        <v>8</v>
      </c>
      <c r="G645" s="4" cm="1">
        <f t="array" ref="G645">IF($C645+$M645&lt;16,INDEX(Sheet1!C:C,$F645),$F645)</f>
        <v>8</v>
      </c>
      <c r="H645" s="4" t="str" cm="1">
        <f t="array" ref="H645">INDEX(Sheet1!D:D,$G645)</f>
        <v>2001-cso-preferred-class-structure-mortality-tables.xls</v>
      </c>
      <c r="I645" s="4" t="str" cm="1">
        <f t="array" ref="I645">INDEX(Sheet1!E:E,$G645)</f>
        <v>A.1.a.v</v>
      </c>
      <c r="J645" s="4" t="str" cm="1">
        <f t="array" ref="J645">INDEX(Sheet1!F:F,$G645)</f>
        <v>B8</v>
      </c>
      <c r="K645" s="4" cm="1">
        <f t="array" ref="K645">INDEX(Sheet1!H:H,$G645)</f>
        <v>1E-3</v>
      </c>
      <c r="L645" s="4">
        <f t="shared" si="40"/>
        <v>43</v>
      </c>
      <c r="M645" s="4">
        <f t="shared" si="43"/>
        <v>5</v>
      </c>
    </row>
    <row r="646" spans="1:13">
      <c r="A646" s="4" t="str" cm="1">
        <f t="array" ref="A646">INDEX(Sheet1!A:A,$F646)</f>
        <v>M</v>
      </c>
      <c r="B646" s="4" t="str" cm="1">
        <f t="array" ref="B646">INDEX(Sheet1!B:B,$F646)</f>
        <v>Non-Pref SM</v>
      </c>
      <c r="C646" s="4">
        <f t="shared" si="41"/>
        <v>44</v>
      </c>
      <c r="D646" s="5" cm="1">
        <f t="array" aca="1" ref="D646" ca="1">OFFSET(INDIRECT("'["&amp;$H646&amp;"]"&amp;$I646&amp;"'!"&amp;$J646),$L646,$M646)*$K646</f>
        <v>4.8500000000000001E-3</v>
      </c>
      <c r="F646" s="4">
        <f t="shared" si="42"/>
        <v>8</v>
      </c>
      <c r="G646" s="4" cm="1">
        <f t="array" ref="G646">IF($C646+$M646&lt;16,INDEX(Sheet1!C:C,$F646),$F646)</f>
        <v>8</v>
      </c>
      <c r="H646" s="4" t="str" cm="1">
        <f t="array" ref="H646">INDEX(Sheet1!D:D,$G646)</f>
        <v>2001-cso-preferred-class-structure-mortality-tables.xls</v>
      </c>
      <c r="I646" s="4" t="str" cm="1">
        <f t="array" ref="I646">INDEX(Sheet1!E:E,$G646)</f>
        <v>A.1.a.v</v>
      </c>
      <c r="J646" s="4" t="str" cm="1">
        <f t="array" ref="J646">INDEX(Sheet1!F:F,$G646)</f>
        <v>B8</v>
      </c>
      <c r="K646" s="4" cm="1">
        <f t="array" ref="K646">INDEX(Sheet1!H:H,$G646)</f>
        <v>1E-3</v>
      </c>
      <c r="L646" s="4">
        <f t="shared" si="40"/>
        <v>44</v>
      </c>
      <c r="M646" s="4">
        <f t="shared" si="43"/>
        <v>5</v>
      </c>
    </row>
    <row r="647" spans="1:13">
      <c r="A647" s="4" t="str" cm="1">
        <f t="array" ref="A647">INDEX(Sheet1!A:A,$F647)</f>
        <v>M</v>
      </c>
      <c r="B647" s="4" t="str" cm="1">
        <f t="array" ref="B647">INDEX(Sheet1!B:B,$F647)</f>
        <v>Non-Pref SM</v>
      </c>
      <c r="C647" s="4">
        <f t="shared" si="41"/>
        <v>45</v>
      </c>
      <c r="D647" s="5" cm="1">
        <f t="array" aca="1" ref="D647" ca="1">OFFSET(INDIRECT("'["&amp;$H647&amp;"]"&amp;$I647&amp;"'!"&amp;$J647),$L647,$M647)*$K647</f>
        <v>5.2300000000000003E-3</v>
      </c>
      <c r="F647" s="4">
        <f t="shared" si="42"/>
        <v>8</v>
      </c>
      <c r="G647" s="4" cm="1">
        <f t="array" ref="G647">IF($C647+$M647&lt;16,INDEX(Sheet1!C:C,$F647),$F647)</f>
        <v>8</v>
      </c>
      <c r="H647" s="4" t="str" cm="1">
        <f t="array" ref="H647">INDEX(Sheet1!D:D,$G647)</f>
        <v>2001-cso-preferred-class-structure-mortality-tables.xls</v>
      </c>
      <c r="I647" s="4" t="str" cm="1">
        <f t="array" ref="I647">INDEX(Sheet1!E:E,$G647)</f>
        <v>A.1.a.v</v>
      </c>
      <c r="J647" s="4" t="str" cm="1">
        <f t="array" ref="J647">INDEX(Sheet1!F:F,$G647)</f>
        <v>B8</v>
      </c>
      <c r="K647" s="4" cm="1">
        <f t="array" ref="K647">INDEX(Sheet1!H:H,$G647)</f>
        <v>1E-3</v>
      </c>
      <c r="L647" s="4">
        <f t="shared" si="40"/>
        <v>45</v>
      </c>
      <c r="M647" s="4">
        <f t="shared" si="43"/>
        <v>5</v>
      </c>
    </row>
    <row r="648" spans="1:13">
      <c r="A648" s="4" t="str" cm="1">
        <f t="array" ref="A648">INDEX(Sheet1!A:A,$F648)</f>
        <v>M</v>
      </c>
      <c r="B648" s="4" t="str" cm="1">
        <f t="array" ref="B648">INDEX(Sheet1!B:B,$F648)</f>
        <v>Non-Pref SM</v>
      </c>
      <c r="C648" s="4">
        <f t="shared" si="41"/>
        <v>46</v>
      </c>
      <c r="D648" s="5" cm="1">
        <f t="array" aca="1" ref="D648" ca="1">OFFSET(INDIRECT("'["&amp;$H648&amp;"]"&amp;$I648&amp;"'!"&amp;$J648),$L648,$M648)*$K648</f>
        <v>5.6900000000000006E-3</v>
      </c>
      <c r="F648" s="4">
        <f t="shared" si="42"/>
        <v>8</v>
      </c>
      <c r="G648" s="4" cm="1">
        <f t="array" ref="G648">IF($C648+$M648&lt;16,INDEX(Sheet1!C:C,$F648),$F648)</f>
        <v>8</v>
      </c>
      <c r="H648" s="4" t="str" cm="1">
        <f t="array" ref="H648">INDEX(Sheet1!D:D,$G648)</f>
        <v>2001-cso-preferred-class-structure-mortality-tables.xls</v>
      </c>
      <c r="I648" s="4" t="str" cm="1">
        <f t="array" ref="I648">INDEX(Sheet1!E:E,$G648)</f>
        <v>A.1.a.v</v>
      </c>
      <c r="J648" s="4" t="str" cm="1">
        <f t="array" ref="J648">INDEX(Sheet1!F:F,$G648)</f>
        <v>B8</v>
      </c>
      <c r="K648" s="4" cm="1">
        <f t="array" ref="K648">INDEX(Sheet1!H:H,$G648)</f>
        <v>1E-3</v>
      </c>
      <c r="L648" s="4">
        <f t="shared" si="40"/>
        <v>46</v>
      </c>
      <c r="M648" s="4">
        <f t="shared" si="43"/>
        <v>5</v>
      </c>
    </row>
    <row r="649" spans="1:13">
      <c r="A649" s="4" t="str" cm="1">
        <f t="array" ref="A649">INDEX(Sheet1!A:A,$F649)</f>
        <v>M</v>
      </c>
      <c r="B649" s="4" t="str" cm="1">
        <f t="array" ref="B649">INDEX(Sheet1!B:B,$F649)</f>
        <v>Non-Pref SM</v>
      </c>
      <c r="C649" s="4">
        <f t="shared" si="41"/>
        <v>47</v>
      </c>
      <c r="D649" s="5" cm="1">
        <f t="array" aca="1" ref="D649" ca="1">OFFSET(INDIRECT("'["&amp;$H649&amp;"]"&amp;$I649&amp;"'!"&amp;$J649),$L649,$M649)*$K649</f>
        <v>6.1799999999999997E-3</v>
      </c>
      <c r="F649" s="4">
        <f t="shared" si="42"/>
        <v>8</v>
      </c>
      <c r="G649" s="4" cm="1">
        <f t="array" ref="G649">IF($C649+$M649&lt;16,INDEX(Sheet1!C:C,$F649),$F649)</f>
        <v>8</v>
      </c>
      <c r="H649" s="4" t="str" cm="1">
        <f t="array" ref="H649">INDEX(Sheet1!D:D,$G649)</f>
        <v>2001-cso-preferred-class-structure-mortality-tables.xls</v>
      </c>
      <c r="I649" s="4" t="str" cm="1">
        <f t="array" ref="I649">INDEX(Sheet1!E:E,$G649)</f>
        <v>A.1.a.v</v>
      </c>
      <c r="J649" s="4" t="str" cm="1">
        <f t="array" ref="J649">INDEX(Sheet1!F:F,$G649)</f>
        <v>B8</v>
      </c>
      <c r="K649" s="4" cm="1">
        <f t="array" ref="K649">INDEX(Sheet1!H:H,$G649)</f>
        <v>1E-3</v>
      </c>
      <c r="L649" s="4">
        <f t="shared" si="40"/>
        <v>47</v>
      </c>
      <c r="M649" s="4">
        <f t="shared" si="43"/>
        <v>5</v>
      </c>
    </row>
    <row r="650" spans="1:13">
      <c r="A650" s="4" t="str" cm="1">
        <f t="array" ref="A650">INDEX(Sheet1!A:A,$F650)</f>
        <v>M</v>
      </c>
      <c r="B650" s="4" t="str" cm="1">
        <f t="array" ref="B650">INDEX(Sheet1!B:B,$F650)</f>
        <v>Non-Pref SM</v>
      </c>
      <c r="C650" s="4">
        <f t="shared" si="41"/>
        <v>48</v>
      </c>
      <c r="D650" s="5" cm="1">
        <f t="array" aca="1" ref="D650" ca="1">OFFSET(INDIRECT("'["&amp;$H650&amp;"]"&amp;$I650&amp;"'!"&amp;$J650),$L650,$M650)*$K650</f>
        <v>6.6500000000000005E-3</v>
      </c>
      <c r="F650" s="4">
        <f t="shared" si="42"/>
        <v>8</v>
      </c>
      <c r="G650" s="4" cm="1">
        <f t="array" ref="G650">IF($C650+$M650&lt;16,INDEX(Sheet1!C:C,$F650),$F650)</f>
        <v>8</v>
      </c>
      <c r="H650" s="4" t="str" cm="1">
        <f t="array" ref="H650">INDEX(Sheet1!D:D,$G650)</f>
        <v>2001-cso-preferred-class-structure-mortality-tables.xls</v>
      </c>
      <c r="I650" s="4" t="str" cm="1">
        <f t="array" ref="I650">INDEX(Sheet1!E:E,$G650)</f>
        <v>A.1.a.v</v>
      </c>
      <c r="J650" s="4" t="str" cm="1">
        <f t="array" ref="J650">INDEX(Sheet1!F:F,$G650)</f>
        <v>B8</v>
      </c>
      <c r="K650" s="4" cm="1">
        <f t="array" ref="K650">INDEX(Sheet1!H:H,$G650)</f>
        <v>1E-3</v>
      </c>
      <c r="L650" s="4">
        <f t="shared" si="40"/>
        <v>48</v>
      </c>
      <c r="M650" s="4">
        <f t="shared" si="43"/>
        <v>5</v>
      </c>
    </row>
    <row r="651" spans="1:13">
      <c r="A651" s="4" t="str" cm="1">
        <f t="array" ref="A651">INDEX(Sheet1!A:A,$F651)</f>
        <v>M</v>
      </c>
      <c r="B651" s="4" t="str" cm="1">
        <f t="array" ref="B651">INDEX(Sheet1!B:B,$F651)</f>
        <v>Non-Pref SM</v>
      </c>
      <c r="C651" s="4">
        <f t="shared" si="41"/>
        <v>49</v>
      </c>
      <c r="D651" s="5" cm="1">
        <f t="array" aca="1" ref="D651" ca="1">OFFSET(INDIRECT("'["&amp;$H651&amp;"]"&amp;$I651&amp;"'!"&amp;$J651),$L651,$M651)*$K651</f>
        <v>7.1700000000000002E-3</v>
      </c>
      <c r="F651" s="4">
        <f t="shared" si="42"/>
        <v>8</v>
      </c>
      <c r="G651" s="4" cm="1">
        <f t="array" ref="G651">IF($C651+$M651&lt;16,INDEX(Sheet1!C:C,$F651),$F651)</f>
        <v>8</v>
      </c>
      <c r="H651" s="4" t="str" cm="1">
        <f t="array" ref="H651">INDEX(Sheet1!D:D,$G651)</f>
        <v>2001-cso-preferred-class-structure-mortality-tables.xls</v>
      </c>
      <c r="I651" s="4" t="str" cm="1">
        <f t="array" ref="I651">INDEX(Sheet1!E:E,$G651)</f>
        <v>A.1.a.v</v>
      </c>
      <c r="J651" s="4" t="str" cm="1">
        <f t="array" ref="J651">INDEX(Sheet1!F:F,$G651)</f>
        <v>B8</v>
      </c>
      <c r="K651" s="4" cm="1">
        <f t="array" ref="K651">INDEX(Sheet1!H:H,$G651)</f>
        <v>1E-3</v>
      </c>
      <c r="L651" s="4">
        <f t="shared" si="40"/>
        <v>49</v>
      </c>
      <c r="M651" s="4">
        <f t="shared" si="43"/>
        <v>5</v>
      </c>
    </row>
    <row r="652" spans="1:13">
      <c r="A652" s="4" t="str" cm="1">
        <f t="array" ref="A652">INDEX(Sheet1!A:A,$F652)</f>
        <v>M</v>
      </c>
      <c r="B652" s="4" t="str" cm="1">
        <f t="array" ref="B652">INDEX(Sheet1!B:B,$F652)</f>
        <v>Non-Pref SM</v>
      </c>
      <c r="C652" s="4">
        <f t="shared" si="41"/>
        <v>50</v>
      </c>
      <c r="D652" s="5" cm="1">
        <f t="array" aca="1" ref="D652" ca="1">OFFSET(INDIRECT("'["&amp;$H652&amp;"]"&amp;$I652&amp;"'!"&amp;$J652),$L652,$M652)*$K652</f>
        <v>7.7099999999999998E-3</v>
      </c>
      <c r="F652" s="4">
        <f t="shared" si="42"/>
        <v>8</v>
      </c>
      <c r="G652" s="4" cm="1">
        <f t="array" ref="G652">IF($C652+$M652&lt;16,INDEX(Sheet1!C:C,$F652),$F652)</f>
        <v>8</v>
      </c>
      <c r="H652" s="4" t="str" cm="1">
        <f t="array" ref="H652">INDEX(Sheet1!D:D,$G652)</f>
        <v>2001-cso-preferred-class-structure-mortality-tables.xls</v>
      </c>
      <c r="I652" s="4" t="str" cm="1">
        <f t="array" ref="I652">INDEX(Sheet1!E:E,$G652)</f>
        <v>A.1.a.v</v>
      </c>
      <c r="J652" s="4" t="str" cm="1">
        <f t="array" ref="J652">INDEX(Sheet1!F:F,$G652)</f>
        <v>B8</v>
      </c>
      <c r="K652" s="4" cm="1">
        <f t="array" ref="K652">INDEX(Sheet1!H:H,$G652)</f>
        <v>1E-3</v>
      </c>
      <c r="L652" s="4">
        <f t="shared" si="40"/>
        <v>50</v>
      </c>
      <c r="M652" s="4">
        <f t="shared" si="43"/>
        <v>5</v>
      </c>
    </row>
    <row r="653" spans="1:13">
      <c r="A653" s="4" t="str" cm="1">
        <f t="array" ref="A653">INDEX(Sheet1!A:A,$F653)</f>
        <v>M</v>
      </c>
      <c r="B653" s="4" t="str" cm="1">
        <f t="array" ref="B653">INDEX(Sheet1!B:B,$F653)</f>
        <v>Non-Pref SM</v>
      </c>
      <c r="C653" s="4">
        <f t="shared" si="41"/>
        <v>51</v>
      </c>
      <c r="D653" s="5" cm="1">
        <f t="array" aca="1" ref="D653" ca="1">OFFSET(INDIRECT("'["&amp;$H653&amp;"]"&amp;$I653&amp;"'!"&amp;$J653),$L653,$M653)*$K653</f>
        <v>8.3499999999999998E-3</v>
      </c>
      <c r="F653" s="4">
        <f t="shared" si="42"/>
        <v>8</v>
      </c>
      <c r="G653" s="4" cm="1">
        <f t="array" ref="G653">IF($C653+$M653&lt;16,INDEX(Sheet1!C:C,$F653),$F653)</f>
        <v>8</v>
      </c>
      <c r="H653" s="4" t="str" cm="1">
        <f t="array" ref="H653">INDEX(Sheet1!D:D,$G653)</f>
        <v>2001-cso-preferred-class-structure-mortality-tables.xls</v>
      </c>
      <c r="I653" s="4" t="str" cm="1">
        <f t="array" ref="I653">INDEX(Sheet1!E:E,$G653)</f>
        <v>A.1.a.v</v>
      </c>
      <c r="J653" s="4" t="str" cm="1">
        <f t="array" ref="J653">INDEX(Sheet1!F:F,$G653)</f>
        <v>B8</v>
      </c>
      <c r="K653" s="4" cm="1">
        <f t="array" ref="K653">INDEX(Sheet1!H:H,$G653)</f>
        <v>1E-3</v>
      </c>
      <c r="L653" s="4">
        <f t="shared" si="40"/>
        <v>51</v>
      </c>
      <c r="M653" s="4">
        <f t="shared" si="43"/>
        <v>5</v>
      </c>
    </row>
    <row r="654" spans="1:13">
      <c r="A654" s="4" t="str" cm="1">
        <f t="array" ref="A654">INDEX(Sheet1!A:A,$F654)</f>
        <v>M</v>
      </c>
      <c r="B654" s="4" t="str" cm="1">
        <f t="array" ref="B654">INDEX(Sheet1!B:B,$F654)</f>
        <v>Non-Pref SM</v>
      </c>
      <c r="C654" s="4">
        <f t="shared" si="41"/>
        <v>52</v>
      </c>
      <c r="D654" s="5" cm="1">
        <f t="array" aca="1" ref="D654" ca="1">OFFSET(INDIRECT("'["&amp;$H654&amp;"]"&amp;$I654&amp;"'!"&amp;$J654),$L654,$M654)*$K654</f>
        <v>8.9700000000000005E-3</v>
      </c>
      <c r="F654" s="4">
        <f t="shared" si="42"/>
        <v>8</v>
      </c>
      <c r="G654" s="4" cm="1">
        <f t="array" ref="G654">IF($C654+$M654&lt;16,INDEX(Sheet1!C:C,$F654),$F654)</f>
        <v>8</v>
      </c>
      <c r="H654" s="4" t="str" cm="1">
        <f t="array" ref="H654">INDEX(Sheet1!D:D,$G654)</f>
        <v>2001-cso-preferred-class-structure-mortality-tables.xls</v>
      </c>
      <c r="I654" s="4" t="str" cm="1">
        <f t="array" ref="I654">INDEX(Sheet1!E:E,$G654)</f>
        <v>A.1.a.v</v>
      </c>
      <c r="J654" s="4" t="str" cm="1">
        <f t="array" ref="J654">INDEX(Sheet1!F:F,$G654)</f>
        <v>B8</v>
      </c>
      <c r="K654" s="4" cm="1">
        <f t="array" ref="K654">INDEX(Sheet1!H:H,$G654)</f>
        <v>1E-3</v>
      </c>
      <c r="L654" s="4">
        <f t="shared" si="40"/>
        <v>52</v>
      </c>
      <c r="M654" s="4">
        <f t="shared" si="43"/>
        <v>5</v>
      </c>
    </row>
    <row r="655" spans="1:13">
      <c r="A655" s="4" t="str" cm="1">
        <f t="array" ref="A655">INDEX(Sheet1!A:A,$F655)</f>
        <v>M</v>
      </c>
      <c r="B655" s="4" t="str" cm="1">
        <f t="array" ref="B655">INDEX(Sheet1!B:B,$F655)</f>
        <v>Non-Pref SM</v>
      </c>
      <c r="C655" s="4">
        <f t="shared" si="41"/>
        <v>53</v>
      </c>
      <c r="D655" s="5" cm="1">
        <f t="array" aca="1" ref="D655" ca="1">OFFSET(INDIRECT("'["&amp;$H655&amp;"]"&amp;$I655&amp;"'!"&amp;$J655),$L655,$M655)*$K655</f>
        <v>9.75E-3</v>
      </c>
      <c r="F655" s="4">
        <f t="shared" si="42"/>
        <v>8</v>
      </c>
      <c r="G655" s="4" cm="1">
        <f t="array" ref="G655">IF($C655+$M655&lt;16,INDEX(Sheet1!C:C,$F655),$F655)</f>
        <v>8</v>
      </c>
      <c r="H655" s="4" t="str" cm="1">
        <f t="array" ref="H655">INDEX(Sheet1!D:D,$G655)</f>
        <v>2001-cso-preferred-class-structure-mortality-tables.xls</v>
      </c>
      <c r="I655" s="4" t="str" cm="1">
        <f t="array" ref="I655">INDEX(Sheet1!E:E,$G655)</f>
        <v>A.1.a.v</v>
      </c>
      <c r="J655" s="4" t="str" cm="1">
        <f t="array" ref="J655">INDEX(Sheet1!F:F,$G655)</f>
        <v>B8</v>
      </c>
      <c r="K655" s="4" cm="1">
        <f t="array" ref="K655">INDEX(Sheet1!H:H,$G655)</f>
        <v>1E-3</v>
      </c>
      <c r="L655" s="4">
        <f t="shared" si="40"/>
        <v>53</v>
      </c>
      <c r="M655" s="4">
        <f t="shared" si="43"/>
        <v>5</v>
      </c>
    </row>
    <row r="656" spans="1:13">
      <c r="A656" s="4" t="str" cm="1">
        <f t="array" ref="A656">INDEX(Sheet1!A:A,$F656)</f>
        <v>M</v>
      </c>
      <c r="B656" s="4" t="str" cm="1">
        <f t="array" ref="B656">INDEX(Sheet1!B:B,$F656)</f>
        <v>Non-Pref SM</v>
      </c>
      <c r="C656" s="4">
        <f t="shared" si="41"/>
        <v>54</v>
      </c>
      <c r="D656" s="5" cm="1">
        <f t="array" aca="1" ref="D656" ca="1">OFFSET(INDIRECT("'["&amp;$H656&amp;"]"&amp;$I656&amp;"'!"&amp;$J656),$L656,$M656)*$K656</f>
        <v>1.0619999999999999E-2</v>
      </c>
      <c r="F656" s="4">
        <f t="shared" si="42"/>
        <v>8</v>
      </c>
      <c r="G656" s="4" cm="1">
        <f t="array" ref="G656">IF($C656+$M656&lt;16,INDEX(Sheet1!C:C,$F656),$F656)</f>
        <v>8</v>
      </c>
      <c r="H656" s="4" t="str" cm="1">
        <f t="array" ref="H656">INDEX(Sheet1!D:D,$G656)</f>
        <v>2001-cso-preferred-class-structure-mortality-tables.xls</v>
      </c>
      <c r="I656" s="4" t="str" cm="1">
        <f t="array" ref="I656">INDEX(Sheet1!E:E,$G656)</f>
        <v>A.1.a.v</v>
      </c>
      <c r="J656" s="4" t="str" cm="1">
        <f t="array" ref="J656">INDEX(Sheet1!F:F,$G656)</f>
        <v>B8</v>
      </c>
      <c r="K656" s="4" cm="1">
        <f t="array" ref="K656">INDEX(Sheet1!H:H,$G656)</f>
        <v>1E-3</v>
      </c>
      <c r="L656" s="4">
        <f t="shared" si="40"/>
        <v>54</v>
      </c>
      <c r="M656" s="4">
        <f t="shared" si="43"/>
        <v>5</v>
      </c>
    </row>
    <row r="657" spans="1:13">
      <c r="A657" s="4" t="str" cm="1">
        <f t="array" ref="A657">INDEX(Sheet1!A:A,$F657)</f>
        <v>M</v>
      </c>
      <c r="B657" s="4" t="str" cm="1">
        <f t="array" ref="B657">INDEX(Sheet1!B:B,$F657)</f>
        <v>Non-Pref SM</v>
      </c>
      <c r="C657" s="4">
        <f t="shared" si="41"/>
        <v>55</v>
      </c>
      <c r="D657" s="5" cm="1">
        <f t="array" aca="1" ref="D657" ca="1">OFFSET(INDIRECT("'["&amp;$H657&amp;"]"&amp;$I657&amp;"'!"&amp;$J657),$L657,$M657)*$K657</f>
        <v>1.167E-2</v>
      </c>
      <c r="F657" s="4">
        <f t="shared" si="42"/>
        <v>8</v>
      </c>
      <c r="G657" s="4" cm="1">
        <f t="array" ref="G657">IF($C657+$M657&lt;16,INDEX(Sheet1!C:C,$F657),$F657)</f>
        <v>8</v>
      </c>
      <c r="H657" s="4" t="str" cm="1">
        <f t="array" ref="H657">INDEX(Sheet1!D:D,$G657)</f>
        <v>2001-cso-preferred-class-structure-mortality-tables.xls</v>
      </c>
      <c r="I657" s="4" t="str" cm="1">
        <f t="array" ref="I657">INDEX(Sheet1!E:E,$G657)</f>
        <v>A.1.a.v</v>
      </c>
      <c r="J657" s="4" t="str" cm="1">
        <f t="array" ref="J657">INDEX(Sheet1!F:F,$G657)</f>
        <v>B8</v>
      </c>
      <c r="K657" s="4" cm="1">
        <f t="array" ref="K657">INDEX(Sheet1!H:H,$G657)</f>
        <v>1E-3</v>
      </c>
      <c r="L657" s="4">
        <f t="shared" si="40"/>
        <v>55</v>
      </c>
      <c r="M657" s="4">
        <f t="shared" si="43"/>
        <v>5</v>
      </c>
    </row>
    <row r="658" spans="1:13">
      <c r="A658" s="4" t="str" cm="1">
        <f t="array" ref="A658">INDEX(Sheet1!A:A,$F658)</f>
        <v>M</v>
      </c>
      <c r="B658" s="4" t="str" cm="1">
        <f t="array" ref="B658">INDEX(Sheet1!B:B,$F658)</f>
        <v>Non-Pref SM</v>
      </c>
      <c r="C658" s="4">
        <f t="shared" si="41"/>
        <v>56</v>
      </c>
      <c r="D658" s="5" cm="1">
        <f t="array" aca="1" ref="D658" ca="1">OFFSET(INDIRECT("'["&amp;$H658&amp;"]"&amp;$I658&amp;"'!"&amp;$J658),$L658,$M658)*$K658</f>
        <v>1.295E-2</v>
      </c>
      <c r="F658" s="4">
        <f t="shared" si="42"/>
        <v>8</v>
      </c>
      <c r="G658" s="4" cm="1">
        <f t="array" ref="G658">IF($C658+$M658&lt;16,INDEX(Sheet1!C:C,$F658),$F658)</f>
        <v>8</v>
      </c>
      <c r="H658" s="4" t="str" cm="1">
        <f t="array" ref="H658">INDEX(Sheet1!D:D,$G658)</f>
        <v>2001-cso-preferred-class-structure-mortality-tables.xls</v>
      </c>
      <c r="I658" s="4" t="str" cm="1">
        <f t="array" ref="I658">INDEX(Sheet1!E:E,$G658)</f>
        <v>A.1.a.v</v>
      </c>
      <c r="J658" s="4" t="str" cm="1">
        <f t="array" ref="J658">INDEX(Sheet1!F:F,$G658)</f>
        <v>B8</v>
      </c>
      <c r="K658" s="4" cm="1">
        <f t="array" ref="K658">INDEX(Sheet1!H:H,$G658)</f>
        <v>1E-3</v>
      </c>
      <c r="L658" s="4">
        <f t="shared" si="40"/>
        <v>56</v>
      </c>
      <c r="M658" s="4">
        <f t="shared" si="43"/>
        <v>5</v>
      </c>
    </row>
    <row r="659" spans="1:13">
      <c r="A659" s="4" t="str" cm="1">
        <f t="array" ref="A659">INDEX(Sheet1!A:A,$F659)</f>
        <v>M</v>
      </c>
      <c r="B659" s="4" t="str" cm="1">
        <f t="array" ref="B659">INDEX(Sheet1!B:B,$F659)</f>
        <v>Non-Pref SM</v>
      </c>
      <c r="C659" s="4">
        <f t="shared" si="41"/>
        <v>57</v>
      </c>
      <c r="D659" s="5" cm="1">
        <f t="array" aca="1" ref="D659" ca="1">OFFSET(INDIRECT("'["&amp;$H659&amp;"]"&amp;$I659&amp;"'!"&amp;$J659),$L659,$M659)*$K659</f>
        <v>1.447E-2</v>
      </c>
      <c r="F659" s="4">
        <f t="shared" si="42"/>
        <v>8</v>
      </c>
      <c r="G659" s="4" cm="1">
        <f t="array" ref="G659">IF($C659+$M659&lt;16,INDEX(Sheet1!C:C,$F659),$F659)</f>
        <v>8</v>
      </c>
      <c r="H659" s="4" t="str" cm="1">
        <f t="array" ref="H659">INDEX(Sheet1!D:D,$G659)</f>
        <v>2001-cso-preferred-class-structure-mortality-tables.xls</v>
      </c>
      <c r="I659" s="4" t="str" cm="1">
        <f t="array" ref="I659">INDEX(Sheet1!E:E,$G659)</f>
        <v>A.1.a.v</v>
      </c>
      <c r="J659" s="4" t="str" cm="1">
        <f t="array" ref="J659">INDEX(Sheet1!F:F,$G659)</f>
        <v>B8</v>
      </c>
      <c r="K659" s="4" cm="1">
        <f t="array" ref="K659">INDEX(Sheet1!H:H,$G659)</f>
        <v>1E-3</v>
      </c>
      <c r="L659" s="4">
        <f t="shared" si="40"/>
        <v>57</v>
      </c>
      <c r="M659" s="4">
        <f t="shared" si="43"/>
        <v>5</v>
      </c>
    </row>
    <row r="660" spans="1:13">
      <c r="A660" s="4" t="str" cm="1">
        <f t="array" ref="A660">INDEX(Sheet1!A:A,$F660)</f>
        <v>M</v>
      </c>
      <c r="B660" s="4" t="str" cm="1">
        <f t="array" ref="B660">INDEX(Sheet1!B:B,$F660)</f>
        <v>Non-Pref SM</v>
      </c>
      <c r="C660" s="4">
        <f t="shared" si="41"/>
        <v>58</v>
      </c>
      <c r="D660" s="5" cm="1">
        <f t="array" aca="1" ref="D660" ca="1">OFFSET(INDIRECT("'["&amp;$H660&amp;"]"&amp;$I660&amp;"'!"&amp;$J660),$L660,$M660)*$K660</f>
        <v>1.618E-2</v>
      </c>
      <c r="F660" s="4">
        <f t="shared" si="42"/>
        <v>8</v>
      </c>
      <c r="G660" s="4" cm="1">
        <f t="array" ref="G660">IF($C660+$M660&lt;16,INDEX(Sheet1!C:C,$F660),$F660)</f>
        <v>8</v>
      </c>
      <c r="H660" s="4" t="str" cm="1">
        <f t="array" ref="H660">INDEX(Sheet1!D:D,$G660)</f>
        <v>2001-cso-preferred-class-structure-mortality-tables.xls</v>
      </c>
      <c r="I660" s="4" t="str" cm="1">
        <f t="array" ref="I660">INDEX(Sheet1!E:E,$G660)</f>
        <v>A.1.a.v</v>
      </c>
      <c r="J660" s="4" t="str" cm="1">
        <f t="array" ref="J660">INDEX(Sheet1!F:F,$G660)</f>
        <v>B8</v>
      </c>
      <c r="K660" s="4" cm="1">
        <f t="array" ref="K660">INDEX(Sheet1!H:H,$G660)</f>
        <v>1E-3</v>
      </c>
      <c r="L660" s="4">
        <f t="shared" si="40"/>
        <v>58</v>
      </c>
      <c r="M660" s="4">
        <f t="shared" si="43"/>
        <v>5</v>
      </c>
    </row>
    <row r="661" spans="1:13">
      <c r="A661" s="4" t="str" cm="1">
        <f t="array" ref="A661">INDEX(Sheet1!A:A,$F661)</f>
        <v>M</v>
      </c>
      <c r="B661" s="4" t="str" cm="1">
        <f t="array" ref="B661">INDEX(Sheet1!B:B,$F661)</f>
        <v>Non-Pref SM</v>
      </c>
      <c r="C661" s="4">
        <f t="shared" si="41"/>
        <v>59</v>
      </c>
      <c r="D661" s="5" cm="1">
        <f t="array" aca="1" ref="D661" ca="1">OFFSET(INDIRECT("'["&amp;$H661&amp;"]"&amp;$I661&amp;"'!"&amp;$J661),$L661,$M661)*$K661</f>
        <v>1.7950000000000001E-2</v>
      </c>
      <c r="F661" s="4">
        <f t="shared" si="42"/>
        <v>8</v>
      </c>
      <c r="G661" s="4" cm="1">
        <f t="array" ref="G661">IF($C661+$M661&lt;16,INDEX(Sheet1!C:C,$F661),$F661)</f>
        <v>8</v>
      </c>
      <c r="H661" s="4" t="str" cm="1">
        <f t="array" ref="H661">INDEX(Sheet1!D:D,$G661)</f>
        <v>2001-cso-preferred-class-structure-mortality-tables.xls</v>
      </c>
      <c r="I661" s="4" t="str" cm="1">
        <f t="array" ref="I661">INDEX(Sheet1!E:E,$G661)</f>
        <v>A.1.a.v</v>
      </c>
      <c r="J661" s="4" t="str" cm="1">
        <f t="array" ref="J661">INDEX(Sheet1!F:F,$G661)</f>
        <v>B8</v>
      </c>
      <c r="K661" s="4" cm="1">
        <f t="array" ref="K661">INDEX(Sheet1!H:H,$G661)</f>
        <v>1E-3</v>
      </c>
      <c r="L661" s="4">
        <f t="shared" si="40"/>
        <v>59</v>
      </c>
      <c r="M661" s="4">
        <f t="shared" si="43"/>
        <v>5</v>
      </c>
    </row>
    <row r="662" spans="1:13">
      <c r="A662" s="4" t="str" cm="1">
        <f t="array" ref="A662">INDEX(Sheet1!A:A,$F662)</f>
        <v>M</v>
      </c>
      <c r="B662" s="4" t="str" cm="1">
        <f t="array" ref="B662">INDEX(Sheet1!B:B,$F662)</f>
        <v>Non-Pref SM</v>
      </c>
      <c r="C662" s="4">
        <f t="shared" si="41"/>
        <v>60</v>
      </c>
      <c r="D662" s="5" cm="1">
        <f t="array" aca="1" ref="D662" ca="1">OFFSET(INDIRECT("'["&amp;$H662&amp;"]"&amp;$I662&amp;"'!"&amp;$J662),$L662,$M662)*$K662</f>
        <v>1.9730000000000001E-2</v>
      </c>
      <c r="F662" s="4">
        <f t="shared" si="42"/>
        <v>8</v>
      </c>
      <c r="G662" s="4" cm="1">
        <f t="array" ref="G662">IF($C662+$M662&lt;16,INDEX(Sheet1!C:C,$F662),$F662)</f>
        <v>8</v>
      </c>
      <c r="H662" s="4" t="str" cm="1">
        <f t="array" ref="H662">INDEX(Sheet1!D:D,$G662)</f>
        <v>2001-cso-preferred-class-structure-mortality-tables.xls</v>
      </c>
      <c r="I662" s="4" t="str" cm="1">
        <f t="array" ref="I662">INDEX(Sheet1!E:E,$G662)</f>
        <v>A.1.a.v</v>
      </c>
      <c r="J662" s="4" t="str" cm="1">
        <f t="array" ref="J662">INDEX(Sheet1!F:F,$G662)</f>
        <v>B8</v>
      </c>
      <c r="K662" s="4" cm="1">
        <f t="array" ref="K662">INDEX(Sheet1!H:H,$G662)</f>
        <v>1E-3</v>
      </c>
      <c r="L662" s="4">
        <f t="shared" si="40"/>
        <v>60</v>
      </c>
      <c r="M662" s="4">
        <f t="shared" si="43"/>
        <v>5</v>
      </c>
    </row>
    <row r="663" spans="1:13">
      <c r="A663" s="4" t="str" cm="1">
        <f t="array" ref="A663">INDEX(Sheet1!A:A,$F663)</f>
        <v>M</v>
      </c>
      <c r="B663" s="4" t="str" cm="1">
        <f t="array" ref="B663">INDEX(Sheet1!B:B,$F663)</f>
        <v>Non-Pref SM</v>
      </c>
      <c r="C663" s="4">
        <f t="shared" si="41"/>
        <v>61</v>
      </c>
      <c r="D663" s="5" cm="1">
        <f t="array" aca="1" ref="D663" ca="1">OFFSET(INDIRECT("'["&amp;$H663&amp;"]"&amp;$I663&amp;"'!"&amp;$J663),$L663,$M663)*$K663</f>
        <v>2.1489999999999999E-2</v>
      </c>
      <c r="F663" s="4">
        <f t="shared" si="42"/>
        <v>8</v>
      </c>
      <c r="G663" s="4" cm="1">
        <f t="array" ref="G663">IF($C663+$M663&lt;16,INDEX(Sheet1!C:C,$F663),$F663)</f>
        <v>8</v>
      </c>
      <c r="H663" s="4" t="str" cm="1">
        <f t="array" ref="H663">INDEX(Sheet1!D:D,$G663)</f>
        <v>2001-cso-preferred-class-structure-mortality-tables.xls</v>
      </c>
      <c r="I663" s="4" t="str" cm="1">
        <f t="array" ref="I663">INDEX(Sheet1!E:E,$G663)</f>
        <v>A.1.a.v</v>
      </c>
      <c r="J663" s="4" t="str" cm="1">
        <f t="array" ref="J663">INDEX(Sheet1!F:F,$G663)</f>
        <v>B8</v>
      </c>
      <c r="K663" s="4" cm="1">
        <f t="array" ref="K663">INDEX(Sheet1!H:H,$G663)</f>
        <v>1E-3</v>
      </c>
      <c r="L663" s="4">
        <f t="shared" si="40"/>
        <v>61</v>
      </c>
      <c r="M663" s="4">
        <f t="shared" si="43"/>
        <v>5</v>
      </c>
    </row>
    <row r="664" spans="1:13">
      <c r="A664" s="4" t="str" cm="1">
        <f t="array" ref="A664">INDEX(Sheet1!A:A,$F664)</f>
        <v>M</v>
      </c>
      <c r="B664" s="4" t="str" cm="1">
        <f t="array" ref="B664">INDEX(Sheet1!B:B,$F664)</f>
        <v>Non-Pref SM</v>
      </c>
      <c r="C664" s="4">
        <f t="shared" si="41"/>
        <v>62</v>
      </c>
      <c r="D664" s="5" cm="1">
        <f t="array" aca="1" ref="D664" ca="1">OFFSET(INDIRECT("'["&amp;$H664&amp;"]"&amp;$I664&amp;"'!"&amp;$J664),$L664,$M664)*$K664</f>
        <v>2.3300000000000001E-2</v>
      </c>
      <c r="F664" s="4">
        <f t="shared" si="42"/>
        <v>8</v>
      </c>
      <c r="G664" s="4" cm="1">
        <f t="array" ref="G664">IF($C664+$M664&lt;16,INDEX(Sheet1!C:C,$F664),$F664)</f>
        <v>8</v>
      </c>
      <c r="H664" s="4" t="str" cm="1">
        <f t="array" ref="H664">INDEX(Sheet1!D:D,$G664)</f>
        <v>2001-cso-preferred-class-structure-mortality-tables.xls</v>
      </c>
      <c r="I664" s="4" t="str" cm="1">
        <f t="array" ref="I664">INDEX(Sheet1!E:E,$G664)</f>
        <v>A.1.a.v</v>
      </c>
      <c r="J664" s="4" t="str" cm="1">
        <f t="array" ref="J664">INDEX(Sheet1!F:F,$G664)</f>
        <v>B8</v>
      </c>
      <c r="K664" s="4" cm="1">
        <f t="array" ref="K664">INDEX(Sheet1!H:H,$G664)</f>
        <v>1E-3</v>
      </c>
      <c r="L664" s="4">
        <f t="shared" si="40"/>
        <v>62</v>
      </c>
      <c r="M664" s="4">
        <f t="shared" si="43"/>
        <v>5</v>
      </c>
    </row>
    <row r="665" spans="1:13">
      <c r="A665" s="4" t="str" cm="1">
        <f t="array" ref="A665">INDEX(Sheet1!A:A,$F665)</f>
        <v>M</v>
      </c>
      <c r="B665" s="4" t="str" cm="1">
        <f t="array" ref="B665">INDEX(Sheet1!B:B,$F665)</f>
        <v>Non-Pref SM</v>
      </c>
      <c r="C665" s="4">
        <f t="shared" si="41"/>
        <v>63</v>
      </c>
      <c r="D665" s="5" cm="1">
        <f t="array" aca="1" ref="D665" ca="1">OFFSET(INDIRECT("'["&amp;$H665&amp;"]"&amp;$I665&amp;"'!"&amp;$J665),$L665,$M665)*$K665</f>
        <v>2.5360000000000001E-2</v>
      </c>
      <c r="F665" s="4">
        <f t="shared" si="42"/>
        <v>8</v>
      </c>
      <c r="G665" s="4" cm="1">
        <f t="array" ref="G665">IF($C665+$M665&lt;16,INDEX(Sheet1!C:C,$F665),$F665)</f>
        <v>8</v>
      </c>
      <c r="H665" s="4" t="str" cm="1">
        <f t="array" ref="H665">INDEX(Sheet1!D:D,$G665)</f>
        <v>2001-cso-preferred-class-structure-mortality-tables.xls</v>
      </c>
      <c r="I665" s="4" t="str" cm="1">
        <f t="array" ref="I665">INDEX(Sheet1!E:E,$G665)</f>
        <v>A.1.a.v</v>
      </c>
      <c r="J665" s="4" t="str" cm="1">
        <f t="array" ref="J665">INDEX(Sheet1!F:F,$G665)</f>
        <v>B8</v>
      </c>
      <c r="K665" s="4" cm="1">
        <f t="array" ref="K665">INDEX(Sheet1!H:H,$G665)</f>
        <v>1E-3</v>
      </c>
      <c r="L665" s="4">
        <f t="shared" si="40"/>
        <v>63</v>
      </c>
      <c r="M665" s="4">
        <f t="shared" si="43"/>
        <v>5</v>
      </c>
    </row>
    <row r="666" spans="1:13">
      <c r="A666" s="4" t="str" cm="1">
        <f t="array" ref="A666">INDEX(Sheet1!A:A,$F666)</f>
        <v>M</v>
      </c>
      <c r="B666" s="4" t="str" cm="1">
        <f t="array" ref="B666">INDEX(Sheet1!B:B,$F666)</f>
        <v>Non-Pref SM</v>
      </c>
      <c r="C666" s="4">
        <f t="shared" si="41"/>
        <v>64</v>
      </c>
      <c r="D666" s="5" cm="1">
        <f t="array" aca="1" ref="D666" ca="1">OFFSET(INDIRECT("'["&amp;$H666&amp;"]"&amp;$I666&amp;"'!"&amp;$J666),$L666,$M666)*$K666</f>
        <v>2.768E-2</v>
      </c>
      <c r="F666" s="4">
        <f t="shared" si="42"/>
        <v>8</v>
      </c>
      <c r="G666" s="4" cm="1">
        <f t="array" ref="G666">IF($C666+$M666&lt;16,INDEX(Sheet1!C:C,$F666),$F666)</f>
        <v>8</v>
      </c>
      <c r="H666" s="4" t="str" cm="1">
        <f t="array" ref="H666">INDEX(Sheet1!D:D,$G666)</f>
        <v>2001-cso-preferred-class-structure-mortality-tables.xls</v>
      </c>
      <c r="I666" s="4" t="str" cm="1">
        <f t="array" ref="I666">INDEX(Sheet1!E:E,$G666)</f>
        <v>A.1.a.v</v>
      </c>
      <c r="J666" s="4" t="str" cm="1">
        <f t="array" ref="J666">INDEX(Sheet1!F:F,$G666)</f>
        <v>B8</v>
      </c>
      <c r="K666" s="4" cm="1">
        <f t="array" ref="K666">INDEX(Sheet1!H:H,$G666)</f>
        <v>1E-3</v>
      </c>
      <c r="L666" s="4">
        <f t="shared" si="40"/>
        <v>64</v>
      </c>
      <c r="M666" s="4">
        <f t="shared" si="43"/>
        <v>5</v>
      </c>
    </row>
    <row r="667" spans="1:13">
      <c r="A667" s="4" t="str" cm="1">
        <f t="array" ref="A667">INDEX(Sheet1!A:A,$F667)</f>
        <v>M</v>
      </c>
      <c r="B667" s="4" t="str" cm="1">
        <f t="array" ref="B667">INDEX(Sheet1!B:B,$F667)</f>
        <v>Non-Pref SM</v>
      </c>
      <c r="C667" s="4">
        <f t="shared" si="41"/>
        <v>65</v>
      </c>
      <c r="D667" s="5" cm="1">
        <f t="array" aca="1" ref="D667" ca="1">OFFSET(INDIRECT("'["&amp;$H667&amp;"]"&amp;$I667&amp;"'!"&amp;$J667),$L667,$M667)*$K667</f>
        <v>3.0290000000000001E-2</v>
      </c>
      <c r="F667" s="4">
        <f t="shared" si="42"/>
        <v>8</v>
      </c>
      <c r="G667" s="4" cm="1">
        <f t="array" ref="G667">IF($C667+$M667&lt;16,INDEX(Sheet1!C:C,$F667),$F667)</f>
        <v>8</v>
      </c>
      <c r="H667" s="4" t="str" cm="1">
        <f t="array" ref="H667">INDEX(Sheet1!D:D,$G667)</f>
        <v>2001-cso-preferred-class-structure-mortality-tables.xls</v>
      </c>
      <c r="I667" s="4" t="str" cm="1">
        <f t="array" ref="I667">INDEX(Sheet1!E:E,$G667)</f>
        <v>A.1.a.v</v>
      </c>
      <c r="J667" s="4" t="str" cm="1">
        <f t="array" ref="J667">INDEX(Sheet1!F:F,$G667)</f>
        <v>B8</v>
      </c>
      <c r="K667" s="4" cm="1">
        <f t="array" ref="K667">INDEX(Sheet1!H:H,$G667)</f>
        <v>1E-3</v>
      </c>
      <c r="L667" s="4">
        <f t="shared" si="40"/>
        <v>65</v>
      </c>
      <c r="M667" s="4">
        <f t="shared" si="43"/>
        <v>5</v>
      </c>
    </row>
    <row r="668" spans="1:13">
      <c r="A668" s="4" t="str" cm="1">
        <f t="array" ref="A668">INDEX(Sheet1!A:A,$F668)</f>
        <v>M</v>
      </c>
      <c r="B668" s="4" t="str" cm="1">
        <f t="array" ref="B668">INDEX(Sheet1!B:B,$F668)</f>
        <v>Non-Pref SM</v>
      </c>
      <c r="C668" s="4">
        <f t="shared" si="41"/>
        <v>66</v>
      </c>
      <c r="D668" s="5" cm="1">
        <f t="array" aca="1" ref="D668" ca="1">OFFSET(INDIRECT("'["&amp;$H668&amp;"]"&amp;$I668&amp;"'!"&amp;$J668),$L668,$M668)*$K668</f>
        <v>3.2850000000000004E-2</v>
      </c>
      <c r="F668" s="4">
        <f t="shared" si="42"/>
        <v>8</v>
      </c>
      <c r="G668" s="4" cm="1">
        <f t="array" ref="G668">IF($C668+$M668&lt;16,INDEX(Sheet1!C:C,$F668),$F668)</f>
        <v>8</v>
      </c>
      <c r="H668" s="4" t="str" cm="1">
        <f t="array" ref="H668">INDEX(Sheet1!D:D,$G668)</f>
        <v>2001-cso-preferred-class-structure-mortality-tables.xls</v>
      </c>
      <c r="I668" s="4" t="str" cm="1">
        <f t="array" ref="I668">INDEX(Sheet1!E:E,$G668)</f>
        <v>A.1.a.v</v>
      </c>
      <c r="J668" s="4" t="str" cm="1">
        <f t="array" ref="J668">INDEX(Sheet1!F:F,$G668)</f>
        <v>B8</v>
      </c>
      <c r="K668" s="4" cm="1">
        <f t="array" ref="K668">INDEX(Sheet1!H:H,$G668)</f>
        <v>1E-3</v>
      </c>
      <c r="L668" s="4">
        <f t="shared" si="40"/>
        <v>66</v>
      </c>
      <c r="M668" s="4">
        <f t="shared" si="43"/>
        <v>5</v>
      </c>
    </row>
    <row r="669" spans="1:13">
      <c r="A669" s="4" t="str" cm="1">
        <f t="array" ref="A669">INDEX(Sheet1!A:A,$F669)</f>
        <v>M</v>
      </c>
      <c r="B669" s="4" t="str" cm="1">
        <f t="array" ref="B669">INDEX(Sheet1!B:B,$F669)</f>
        <v>Non-Pref SM</v>
      </c>
      <c r="C669" s="4">
        <f t="shared" si="41"/>
        <v>67</v>
      </c>
      <c r="D669" s="5" cm="1">
        <f t="array" aca="1" ref="D669" ca="1">OFFSET(INDIRECT("'["&amp;$H669&amp;"]"&amp;$I669&amp;"'!"&amp;$J669),$L669,$M669)*$K669</f>
        <v>3.5590000000000004E-2</v>
      </c>
      <c r="F669" s="4">
        <f t="shared" si="42"/>
        <v>8</v>
      </c>
      <c r="G669" s="4" cm="1">
        <f t="array" ref="G669">IF($C669+$M669&lt;16,INDEX(Sheet1!C:C,$F669),$F669)</f>
        <v>8</v>
      </c>
      <c r="H669" s="4" t="str" cm="1">
        <f t="array" ref="H669">INDEX(Sheet1!D:D,$G669)</f>
        <v>2001-cso-preferred-class-structure-mortality-tables.xls</v>
      </c>
      <c r="I669" s="4" t="str" cm="1">
        <f t="array" ref="I669">INDEX(Sheet1!E:E,$G669)</f>
        <v>A.1.a.v</v>
      </c>
      <c r="J669" s="4" t="str" cm="1">
        <f t="array" ref="J669">INDEX(Sheet1!F:F,$G669)</f>
        <v>B8</v>
      </c>
      <c r="K669" s="4" cm="1">
        <f t="array" ref="K669">INDEX(Sheet1!H:H,$G669)</f>
        <v>1E-3</v>
      </c>
      <c r="L669" s="4">
        <f t="shared" si="40"/>
        <v>67</v>
      </c>
      <c r="M669" s="4">
        <f t="shared" si="43"/>
        <v>5</v>
      </c>
    </row>
    <row r="670" spans="1:13">
      <c r="A670" s="4" t="str" cm="1">
        <f t="array" ref="A670">INDEX(Sheet1!A:A,$F670)</f>
        <v>M</v>
      </c>
      <c r="B670" s="4" t="str" cm="1">
        <f t="array" ref="B670">INDEX(Sheet1!B:B,$F670)</f>
        <v>Non-Pref SM</v>
      </c>
      <c r="C670" s="4">
        <f t="shared" si="41"/>
        <v>68</v>
      </c>
      <c r="D670" s="5" cm="1">
        <f t="array" aca="1" ref="D670" ca="1">OFFSET(INDIRECT("'["&amp;$H670&amp;"]"&amp;$I670&amp;"'!"&amp;$J670),$L670,$M670)*$K670</f>
        <v>3.8700000000000005E-2</v>
      </c>
      <c r="F670" s="4">
        <f t="shared" si="42"/>
        <v>8</v>
      </c>
      <c r="G670" s="4" cm="1">
        <f t="array" ref="G670">IF($C670+$M670&lt;16,INDEX(Sheet1!C:C,$F670),$F670)</f>
        <v>8</v>
      </c>
      <c r="H670" s="4" t="str" cm="1">
        <f t="array" ref="H670">INDEX(Sheet1!D:D,$G670)</f>
        <v>2001-cso-preferred-class-structure-mortality-tables.xls</v>
      </c>
      <c r="I670" s="4" t="str" cm="1">
        <f t="array" ref="I670">INDEX(Sheet1!E:E,$G670)</f>
        <v>A.1.a.v</v>
      </c>
      <c r="J670" s="4" t="str" cm="1">
        <f t="array" ref="J670">INDEX(Sheet1!F:F,$G670)</f>
        <v>B8</v>
      </c>
      <c r="K670" s="4" cm="1">
        <f t="array" ref="K670">INDEX(Sheet1!H:H,$G670)</f>
        <v>1E-3</v>
      </c>
      <c r="L670" s="4">
        <f t="shared" si="40"/>
        <v>68</v>
      </c>
      <c r="M670" s="4">
        <f t="shared" si="43"/>
        <v>5</v>
      </c>
    </row>
    <row r="671" spans="1:13">
      <c r="A671" s="4" t="str" cm="1">
        <f t="array" ref="A671">INDEX(Sheet1!A:A,$F671)</f>
        <v>M</v>
      </c>
      <c r="B671" s="4" t="str" cm="1">
        <f t="array" ref="B671">INDEX(Sheet1!B:B,$F671)</f>
        <v>Non-Pref SM</v>
      </c>
      <c r="C671" s="4">
        <f t="shared" si="41"/>
        <v>69</v>
      </c>
      <c r="D671" s="5" cm="1">
        <f t="array" aca="1" ref="D671" ca="1">OFFSET(INDIRECT("'["&amp;$H671&amp;"]"&amp;$I671&amp;"'!"&amp;$J671),$L671,$M671)*$K671</f>
        <v>4.2210000000000004E-2</v>
      </c>
      <c r="F671" s="4">
        <f t="shared" si="42"/>
        <v>8</v>
      </c>
      <c r="G671" s="4" cm="1">
        <f t="array" ref="G671">IF($C671+$M671&lt;16,INDEX(Sheet1!C:C,$F671),$F671)</f>
        <v>8</v>
      </c>
      <c r="H671" s="4" t="str" cm="1">
        <f t="array" ref="H671">INDEX(Sheet1!D:D,$G671)</f>
        <v>2001-cso-preferred-class-structure-mortality-tables.xls</v>
      </c>
      <c r="I671" s="4" t="str" cm="1">
        <f t="array" ref="I671">INDEX(Sheet1!E:E,$G671)</f>
        <v>A.1.a.v</v>
      </c>
      <c r="J671" s="4" t="str" cm="1">
        <f t="array" ref="J671">INDEX(Sheet1!F:F,$G671)</f>
        <v>B8</v>
      </c>
      <c r="K671" s="4" cm="1">
        <f t="array" ref="K671">INDEX(Sheet1!H:H,$G671)</f>
        <v>1E-3</v>
      </c>
      <c r="L671" s="4">
        <f t="shared" si="40"/>
        <v>69</v>
      </c>
      <c r="M671" s="4">
        <f t="shared" si="43"/>
        <v>5</v>
      </c>
    </row>
    <row r="672" spans="1:13">
      <c r="A672" s="4" t="str" cm="1">
        <f t="array" ref="A672">INDEX(Sheet1!A:A,$F672)</f>
        <v>M</v>
      </c>
      <c r="B672" s="4" t="str" cm="1">
        <f t="array" ref="B672">INDEX(Sheet1!B:B,$F672)</f>
        <v>Non-Pref SM</v>
      </c>
      <c r="C672" s="4">
        <f t="shared" si="41"/>
        <v>70</v>
      </c>
      <c r="D672" s="5" cm="1">
        <f t="array" aca="1" ref="D672" ca="1">OFFSET(INDIRECT("'["&amp;$H672&amp;"]"&amp;$I672&amp;"'!"&amp;$J672),$L672,$M672)*$K672</f>
        <v>4.5749999999999999E-2</v>
      </c>
      <c r="F672" s="4">
        <f t="shared" si="42"/>
        <v>8</v>
      </c>
      <c r="G672" s="4" cm="1">
        <f t="array" ref="G672">IF($C672+$M672&lt;16,INDEX(Sheet1!C:C,$F672),$F672)</f>
        <v>8</v>
      </c>
      <c r="H672" s="4" t="str" cm="1">
        <f t="array" ref="H672">INDEX(Sheet1!D:D,$G672)</f>
        <v>2001-cso-preferred-class-structure-mortality-tables.xls</v>
      </c>
      <c r="I672" s="4" t="str" cm="1">
        <f t="array" ref="I672">INDEX(Sheet1!E:E,$G672)</f>
        <v>A.1.a.v</v>
      </c>
      <c r="J672" s="4" t="str" cm="1">
        <f t="array" ref="J672">INDEX(Sheet1!F:F,$G672)</f>
        <v>B8</v>
      </c>
      <c r="K672" s="4" cm="1">
        <f t="array" ref="K672">INDEX(Sheet1!H:H,$G672)</f>
        <v>1E-3</v>
      </c>
      <c r="L672" s="4">
        <f t="shared" si="40"/>
        <v>70</v>
      </c>
      <c r="M672" s="4">
        <f t="shared" si="43"/>
        <v>5</v>
      </c>
    </row>
    <row r="673" spans="1:13">
      <c r="A673" s="4" t="str" cm="1">
        <f t="array" ref="A673">INDEX(Sheet1!A:A,$F673)</f>
        <v>M</v>
      </c>
      <c r="B673" s="4" t="str" cm="1">
        <f t="array" ref="B673">INDEX(Sheet1!B:B,$F673)</f>
        <v>Non-Pref SM</v>
      </c>
      <c r="C673" s="4">
        <f t="shared" si="41"/>
        <v>71</v>
      </c>
      <c r="D673" s="5" cm="1">
        <f t="array" aca="1" ref="D673" ca="1">OFFSET(INDIRECT("'["&amp;$H673&amp;"]"&amp;$I673&amp;"'!"&amp;$J673),$L673,$M673)*$K673</f>
        <v>4.8600000000000004E-2</v>
      </c>
      <c r="F673" s="4">
        <f t="shared" si="42"/>
        <v>8</v>
      </c>
      <c r="G673" s="4" cm="1">
        <f t="array" ref="G673">IF($C673+$M673&lt;16,INDEX(Sheet1!C:C,$F673),$F673)</f>
        <v>8</v>
      </c>
      <c r="H673" s="4" t="str" cm="1">
        <f t="array" ref="H673">INDEX(Sheet1!D:D,$G673)</f>
        <v>2001-cso-preferred-class-structure-mortality-tables.xls</v>
      </c>
      <c r="I673" s="4" t="str" cm="1">
        <f t="array" ref="I673">INDEX(Sheet1!E:E,$G673)</f>
        <v>A.1.a.v</v>
      </c>
      <c r="J673" s="4" t="str" cm="1">
        <f t="array" ref="J673">INDEX(Sheet1!F:F,$G673)</f>
        <v>B8</v>
      </c>
      <c r="K673" s="4" cm="1">
        <f t="array" ref="K673">INDEX(Sheet1!H:H,$G673)</f>
        <v>1E-3</v>
      </c>
      <c r="L673" s="4">
        <f t="shared" si="40"/>
        <v>71</v>
      </c>
      <c r="M673" s="4">
        <f t="shared" si="43"/>
        <v>5</v>
      </c>
    </row>
    <row r="674" spans="1:13">
      <c r="A674" s="4" t="str" cm="1">
        <f t="array" ref="A674">INDEX(Sheet1!A:A,$F674)</f>
        <v>M</v>
      </c>
      <c r="B674" s="4" t="str" cm="1">
        <f t="array" ref="B674">INDEX(Sheet1!B:B,$F674)</f>
        <v>Non-Pref SM</v>
      </c>
      <c r="C674" s="4">
        <f t="shared" si="41"/>
        <v>72</v>
      </c>
      <c r="D674" s="5" cm="1">
        <f t="array" aca="1" ref="D674" ca="1">OFFSET(INDIRECT("'["&amp;$H674&amp;"]"&amp;$I674&amp;"'!"&amp;$J674),$L674,$M674)*$K674</f>
        <v>5.067E-2</v>
      </c>
      <c r="F674" s="4">
        <f t="shared" si="42"/>
        <v>8</v>
      </c>
      <c r="G674" s="4" cm="1">
        <f t="array" ref="G674">IF($C674+$M674&lt;16,INDEX(Sheet1!C:C,$F674),$F674)</f>
        <v>8</v>
      </c>
      <c r="H674" s="4" t="str" cm="1">
        <f t="array" ref="H674">INDEX(Sheet1!D:D,$G674)</f>
        <v>2001-cso-preferred-class-structure-mortality-tables.xls</v>
      </c>
      <c r="I674" s="4" t="str" cm="1">
        <f t="array" ref="I674">INDEX(Sheet1!E:E,$G674)</f>
        <v>A.1.a.v</v>
      </c>
      <c r="J674" s="4" t="str" cm="1">
        <f t="array" ref="J674">INDEX(Sheet1!F:F,$G674)</f>
        <v>B8</v>
      </c>
      <c r="K674" s="4" cm="1">
        <f t="array" ref="K674">INDEX(Sheet1!H:H,$G674)</f>
        <v>1E-3</v>
      </c>
      <c r="L674" s="4">
        <f t="shared" si="40"/>
        <v>72</v>
      </c>
      <c r="M674" s="4">
        <f t="shared" si="43"/>
        <v>5</v>
      </c>
    </row>
    <row r="675" spans="1:13">
      <c r="A675" s="4" t="str" cm="1">
        <f t="array" ref="A675">INDEX(Sheet1!A:A,$F675)</f>
        <v>M</v>
      </c>
      <c r="B675" s="4" t="str" cm="1">
        <f t="array" ref="B675">INDEX(Sheet1!B:B,$F675)</f>
        <v>Non-Pref SM</v>
      </c>
      <c r="C675" s="4">
        <f t="shared" si="41"/>
        <v>73</v>
      </c>
      <c r="D675" s="5" cm="1">
        <f t="array" aca="1" ref="D675" ca="1">OFFSET(INDIRECT("'["&amp;$H675&amp;"]"&amp;$I675&amp;"'!"&amp;$J675),$L675,$M675)*$K675</f>
        <v>5.28E-2</v>
      </c>
      <c r="F675" s="4">
        <f t="shared" si="42"/>
        <v>8</v>
      </c>
      <c r="G675" s="4" cm="1">
        <f t="array" ref="G675">IF($C675+$M675&lt;16,INDEX(Sheet1!C:C,$F675),$F675)</f>
        <v>8</v>
      </c>
      <c r="H675" s="4" t="str" cm="1">
        <f t="array" ref="H675">INDEX(Sheet1!D:D,$G675)</f>
        <v>2001-cso-preferred-class-structure-mortality-tables.xls</v>
      </c>
      <c r="I675" s="4" t="str" cm="1">
        <f t="array" ref="I675">INDEX(Sheet1!E:E,$G675)</f>
        <v>A.1.a.v</v>
      </c>
      <c r="J675" s="4" t="str" cm="1">
        <f t="array" ref="J675">INDEX(Sheet1!F:F,$G675)</f>
        <v>B8</v>
      </c>
      <c r="K675" s="4" cm="1">
        <f t="array" ref="K675">INDEX(Sheet1!H:H,$G675)</f>
        <v>1E-3</v>
      </c>
      <c r="L675" s="4">
        <f t="shared" si="40"/>
        <v>73</v>
      </c>
      <c r="M675" s="4">
        <f t="shared" si="43"/>
        <v>5</v>
      </c>
    </row>
    <row r="676" spans="1:13">
      <c r="A676" s="4" t="str" cm="1">
        <f t="array" ref="A676">INDEX(Sheet1!A:A,$F676)</f>
        <v>M</v>
      </c>
      <c r="B676" s="4" t="str" cm="1">
        <f t="array" ref="B676">INDEX(Sheet1!B:B,$F676)</f>
        <v>Non-Pref SM</v>
      </c>
      <c r="C676" s="4">
        <f t="shared" si="41"/>
        <v>74</v>
      </c>
      <c r="D676" s="5" cm="1">
        <f t="array" aca="1" ref="D676" ca="1">OFFSET(INDIRECT("'["&amp;$H676&amp;"]"&amp;$I676&amp;"'!"&amp;$J676),$L676,$M676)*$K676</f>
        <v>5.629E-2</v>
      </c>
      <c r="F676" s="4">
        <f t="shared" si="42"/>
        <v>8</v>
      </c>
      <c r="G676" s="4" cm="1">
        <f t="array" ref="G676">IF($C676+$M676&lt;16,INDEX(Sheet1!C:C,$F676),$F676)</f>
        <v>8</v>
      </c>
      <c r="H676" s="4" t="str" cm="1">
        <f t="array" ref="H676">INDEX(Sheet1!D:D,$G676)</f>
        <v>2001-cso-preferred-class-structure-mortality-tables.xls</v>
      </c>
      <c r="I676" s="4" t="str" cm="1">
        <f t="array" ref="I676">INDEX(Sheet1!E:E,$G676)</f>
        <v>A.1.a.v</v>
      </c>
      <c r="J676" s="4" t="str" cm="1">
        <f t="array" ref="J676">INDEX(Sheet1!F:F,$G676)</f>
        <v>B8</v>
      </c>
      <c r="K676" s="4" cm="1">
        <f t="array" ref="K676">INDEX(Sheet1!H:H,$G676)</f>
        <v>1E-3</v>
      </c>
      <c r="L676" s="4">
        <f t="shared" si="40"/>
        <v>74</v>
      </c>
      <c r="M676" s="4">
        <f t="shared" si="43"/>
        <v>5</v>
      </c>
    </row>
    <row r="677" spans="1:13">
      <c r="A677" s="4" t="str" cm="1">
        <f t="array" ref="A677">INDEX(Sheet1!A:A,$F677)</f>
        <v>M</v>
      </c>
      <c r="B677" s="4" t="str" cm="1">
        <f t="array" ref="B677">INDEX(Sheet1!B:B,$F677)</f>
        <v>Non-Pref SM</v>
      </c>
      <c r="C677" s="4">
        <f t="shared" si="41"/>
        <v>75</v>
      </c>
      <c r="D677" s="5" cm="1">
        <f t="array" aca="1" ref="D677" ca="1">OFFSET(INDIRECT("'["&amp;$H677&amp;"]"&amp;$I677&amp;"'!"&amp;$J677),$L677,$M677)*$K677</f>
        <v>6.3189999999999996E-2</v>
      </c>
      <c r="F677" s="4">
        <f t="shared" si="42"/>
        <v>8</v>
      </c>
      <c r="G677" s="4" cm="1">
        <f t="array" ref="G677">IF($C677+$M677&lt;16,INDEX(Sheet1!C:C,$F677),$F677)</f>
        <v>8</v>
      </c>
      <c r="H677" s="4" t="str" cm="1">
        <f t="array" ref="H677">INDEX(Sheet1!D:D,$G677)</f>
        <v>2001-cso-preferred-class-structure-mortality-tables.xls</v>
      </c>
      <c r="I677" s="4" t="str" cm="1">
        <f t="array" ref="I677">INDEX(Sheet1!E:E,$G677)</f>
        <v>A.1.a.v</v>
      </c>
      <c r="J677" s="4" t="str" cm="1">
        <f t="array" ref="J677">INDEX(Sheet1!F:F,$G677)</f>
        <v>B8</v>
      </c>
      <c r="K677" s="4" cm="1">
        <f t="array" ref="K677">INDEX(Sheet1!H:H,$G677)</f>
        <v>1E-3</v>
      </c>
      <c r="L677" s="4">
        <f t="shared" si="40"/>
        <v>75</v>
      </c>
      <c r="M677" s="4">
        <f t="shared" si="43"/>
        <v>5</v>
      </c>
    </row>
    <row r="678" spans="1:13">
      <c r="A678" s="4" t="str" cm="1">
        <f t="array" ref="A678">INDEX(Sheet1!A:A,$F678)</f>
        <v>M</v>
      </c>
      <c r="B678" s="4" t="str" cm="1">
        <f t="array" ref="B678">INDEX(Sheet1!B:B,$F678)</f>
        <v>Non-Pref SM</v>
      </c>
      <c r="C678" s="4">
        <f t="shared" si="41"/>
        <v>76</v>
      </c>
      <c r="D678" s="5" cm="1">
        <f t="array" aca="1" ref="D678" ca="1">OFFSET(INDIRECT("'["&amp;$H678&amp;"]"&amp;$I678&amp;"'!"&amp;$J678),$L678,$M678)*$K678</f>
        <v>6.8440000000000001E-2</v>
      </c>
      <c r="F678" s="4">
        <f t="shared" si="42"/>
        <v>8</v>
      </c>
      <c r="G678" s="4" cm="1">
        <f t="array" ref="G678">IF($C678+$M678&lt;16,INDEX(Sheet1!C:C,$F678),$F678)</f>
        <v>8</v>
      </c>
      <c r="H678" s="4" t="str" cm="1">
        <f t="array" ref="H678">INDEX(Sheet1!D:D,$G678)</f>
        <v>2001-cso-preferred-class-structure-mortality-tables.xls</v>
      </c>
      <c r="I678" s="4" t="str" cm="1">
        <f t="array" ref="I678">INDEX(Sheet1!E:E,$G678)</f>
        <v>A.1.a.v</v>
      </c>
      <c r="J678" s="4" t="str" cm="1">
        <f t="array" ref="J678">INDEX(Sheet1!F:F,$G678)</f>
        <v>B8</v>
      </c>
      <c r="K678" s="4" cm="1">
        <f t="array" ref="K678">INDEX(Sheet1!H:H,$G678)</f>
        <v>1E-3</v>
      </c>
      <c r="L678" s="4">
        <f t="shared" si="40"/>
        <v>76</v>
      </c>
      <c r="M678" s="4">
        <f t="shared" si="43"/>
        <v>5</v>
      </c>
    </row>
    <row r="679" spans="1:13">
      <c r="A679" s="4" t="str" cm="1">
        <f t="array" ref="A679">INDEX(Sheet1!A:A,$F679)</f>
        <v>M</v>
      </c>
      <c r="B679" s="4" t="str" cm="1">
        <f t="array" ref="B679">INDEX(Sheet1!B:B,$F679)</f>
        <v>Non-Pref SM</v>
      </c>
      <c r="C679" s="4">
        <f t="shared" si="41"/>
        <v>77</v>
      </c>
      <c r="D679" s="5" cm="1">
        <f t="array" aca="1" ref="D679" ca="1">OFFSET(INDIRECT("'["&amp;$H679&amp;"]"&amp;$I679&amp;"'!"&amp;$J679),$L679,$M679)*$K679</f>
        <v>7.467E-2</v>
      </c>
      <c r="F679" s="4">
        <f t="shared" si="42"/>
        <v>8</v>
      </c>
      <c r="G679" s="4" cm="1">
        <f t="array" ref="G679">IF($C679+$M679&lt;16,INDEX(Sheet1!C:C,$F679),$F679)</f>
        <v>8</v>
      </c>
      <c r="H679" s="4" t="str" cm="1">
        <f t="array" ref="H679">INDEX(Sheet1!D:D,$G679)</f>
        <v>2001-cso-preferred-class-structure-mortality-tables.xls</v>
      </c>
      <c r="I679" s="4" t="str" cm="1">
        <f t="array" ref="I679">INDEX(Sheet1!E:E,$G679)</f>
        <v>A.1.a.v</v>
      </c>
      <c r="J679" s="4" t="str" cm="1">
        <f t="array" ref="J679">INDEX(Sheet1!F:F,$G679)</f>
        <v>B8</v>
      </c>
      <c r="K679" s="4" cm="1">
        <f t="array" ref="K679">INDEX(Sheet1!H:H,$G679)</f>
        <v>1E-3</v>
      </c>
      <c r="L679" s="4">
        <f t="shared" si="40"/>
        <v>77</v>
      </c>
      <c r="M679" s="4">
        <f t="shared" si="43"/>
        <v>5</v>
      </c>
    </row>
    <row r="680" spans="1:13">
      <c r="A680" s="4" t="str" cm="1">
        <f t="array" ref="A680">INDEX(Sheet1!A:A,$F680)</f>
        <v>M</v>
      </c>
      <c r="B680" s="4" t="str" cm="1">
        <f t="array" ref="B680">INDEX(Sheet1!B:B,$F680)</f>
        <v>Non-Pref SM</v>
      </c>
      <c r="C680" s="4">
        <f t="shared" si="41"/>
        <v>78</v>
      </c>
      <c r="D680" s="5" cm="1">
        <f t="array" aca="1" ref="D680" ca="1">OFFSET(INDIRECT("'["&amp;$H680&amp;"]"&amp;$I680&amp;"'!"&amp;$J680),$L680,$M680)*$K680</f>
        <v>8.6110000000000006E-2</v>
      </c>
      <c r="F680" s="4">
        <f t="shared" si="42"/>
        <v>8</v>
      </c>
      <c r="G680" s="4" cm="1">
        <f t="array" ref="G680">IF($C680+$M680&lt;16,INDEX(Sheet1!C:C,$F680),$F680)</f>
        <v>8</v>
      </c>
      <c r="H680" s="4" t="str" cm="1">
        <f t="array" ref="H680">INDEX(Sheet1!D:D,$G680)</f>
        <v>2001-cso-preferred-class-structure-mortality-tables.xls</v>
      </c>
      <c r="I680" s="4" t="str" cm="1">
        <f t="array" ref="I680">INDEX(Sheet1!E:E,$G680)</f>
        <v>A.1.a.v</v>
      </c>
      <c r="J680" s="4" t="str" cm="1">
        <f t="array" ref="J680">INDEX(Sheet1!F:F,$G680)</f>
        <v>B8</v>
      </c>
      <c r="K680" s="4" cm="1">
        <f t="array" ref="K680">INDEX(Sheet1!H:H,$G680)</f>
        <v>1E-3</v>
      </c>
      <c r="L680" s="4">
        <f t="shared" si="40"/>
        <v>78</v>
      </c>
      <c r="M680" s="4">
        <f t="shared" si="43"/>
        <v>5</v>
      </c>
    </row>
    <row r="681" spans="1:13">
      <c r="A681" s="4" t="str" cm="1">
        <f t="array" ref="A681">INDEX(Sheet1!A:A,$F681)</f>
        <v>M</v>
      </c>
      <c r="B681" s="4" t="str" cm="1">
        <f t="array" ref="B681">INDEX(Sheet1!B:B,$F681)</f>
        <v>Non-Pref SM</v>
      </c>
      <c r="C681" s="4">
        <f t="shared" si="41"/>
        <v>79</v>
      </c>
      <c r="D681" s="5" cm="1">
        <f t="array" aca="1" ref="D681" ca="1">OFFSET(INDIRECT("'["&amp;$H681&amp;"]"&amp;$I681&amp;"'!"&amp;$J681),$L681,$M681)*$K681</f>
        <v>0.10349</v>
      </c>
      <c r="F681" s="4">
        <f t="shared" si="42"/>
        <v>8</v>
      </c>
      <c r="G681" s="4" cm="1">
        <f t="array" ref="G681">IF($C681+$M681&lt;16,INDEX(Sheet1!C:C,$F681),$F681)</f>
        <v>8</v>
      </c>
      <c r="H681" s="4" t="str" cm="1">
        <f t="array" ref="H681">INDEX(Sheet1!D:D,$G681)</f>
        <v>2001-cso-preferred-class-structure-mortality-tables.xls</v>
      </c>
      <c r="I681" s="4" t="str" cm="1">
        <f t="array" ref="I681">INDEX(Sheet1!E:E,$G681)</f>
        <v>A.1.a.v</v>
      </c>
      <c r="J681" s="4" t="str" cm="1">
        <f t="array" ref="J681">INDEX(Sheet1!F:F,$G681)</f>
        <v>B8</v>
      </c>
      <c r="K681" s="4" cm="1">
        <f t="array" ref="K681">INDEX(Sheet1!H:H,$G681)</f>
        <v>1E-3</v>
      </c>
      <c r="L681" s="4">
        <f t="shared" si="40"/>
        <v>79</v>
      </c>
      <c r="M681" s="4">
        <f t="shared" si="43"/>
        <v>5</v>
      </c>
    </row>
    <row r="682" spans="1:13">
      <c r="A682" s="4" t="str" cm="1">
        <f t="array" ref="A682">INDEX(Sheet1!A:A,$F682)</f>
        <v>M</v>
      </c>
      <c r="B682" s="4" t="str" cm="1">
        <f t="array" ref="B682">INDEX(Sheet1!B:B,$F682)</f>
        <v>Non-Pref SM</v>
      </c>
      <c r="C682" s="4">
        <f t="shared" si="41"/>
        <v>80</v>
      </c>
      <c r="D682" s="5" cm="1">
        <f t="array" aca="1" ref="D682" ca="1">OFFSET(INDIRECT("'["&amp;$H682&amp;"]"&amp;$I682&amp;"'!"&amp;$J682),$L682,$M682)*$K682</f>
        <v>0.11619</v>
      </c>
      <c r="F682" s="4">
        <f t="shared" si="42"/>
        <v>8</v>
      </c>
      <c r="G682" s="4" cm="1">
        <f t="array" ref="G682">IF($C682+$M682&lt;16,INDEX(Sheet1!C:C,$F682),$F682)</f>
        <v>8</v>
      </c>
      <c r="H682" s="4" t="str" cm="1">
        <f t="array" ref="H682">INDEX(Sheet1!D:D,$G682)</f>
        <v>2001-cso-preferred-class-structure-mortality-tables.xls</v>
      </c>
      <c r="I682" s="4" t="str" cm="1">
        <f t="array" ref="I682">INDEX(Sheet1!E:E,$G682)</f>
        <v>A.1.a.v</v>
      </c>
      <c r="J682" s="4" t="str" cm="1">
        <f t="array" ref="J682">INDEX(Sheet1!F:F,$G682)</f>
        <v>B8</v>
      </c>
      <c r="K682" s="4" cm="1">
        <f t="array" ref="K682">INDEX(Sheet1!H:H,$G682)</f>
        <v>1E-3</v>
      </c>
      <c r="L682" s="4">
        <f t="shared" si="40"/>
        <v>80</v>
      </c>
      <c r="M682" s="4">
        <f t="shared" si="43"/>
        <v>5</v>
      </c>
    </row>
    <row r="683" spans="1:13">
      <c r="A683" s="4" t="str" cm="1">
        <f t="array" ref="A683">INDEX(Sheet1!A:A,$F683)</f>
        <v>M</v>
      </c>
      <c r="B683" s="4" t="str" cm="1">
        <f t="array" ref="B683">INDEX(Sheet1!B:B,$F683)</f>
        <v>Non-Pref SM</v>
      </c>
      <c r="C683" s="4">
        <f t="shared" si="41"/>
        <v>81</v>
      </c>
      <c r="D683" s="5" cm="1">
        <f t="array" aca="1" ref="D683" ca="1">OFFSET(INDIRECT("'["&amp;$H683&amp;"]"&amp;$I683&amp;"'!"&amp;$J683),$L683,$M683)*$K683</f>
        <v>0.13187000000000001</v>
      </c>
      <c r="F683" s="4">
        <f t="shared" si="42"/>
        <v>8</v>
      </c>
      <c r="G683" s="4" cm="1">
        <f t="array" ref="G683">IF($C683+$M683&lt;16,INDEX(Sheet1!C:C,$F683),$F683)</f>
        <v>8</v>
      </c>
      <c r="H683" s="4" t="str" cm="1">
        <f t="array" ref="H683">INDEX(Sheet1!D:D,$G683)</f>
        <v>2001-cso-preferred-class-structure-mortality-tables.xls</v>
      </c>
      <c r="I683" s="4" t="str" cm="1">
        <f t="array" ref="I683">INDEX(Sheet1!E:E,$G683)</f>
        <v>A.1.a.v</v>
      </c>
      <c r="J683" s="4" t="str" cm="1">
        <f t="array" ref="J683">INDEX(Sheet1!F:F,$G683)</f>
        <v>B8</v>
      </c>
      <c r="K683" s="4" cm="1">
        <f t="array" ref="K683">INDEX(Sheet1!H:H,$G683)</f>
        <v>1E-3</v>
      </c>
      <c r="L683" s="4">
        <f t="shared" si="40"/>
        <v>81</v>
      </c>
      <c r="M683" s="4">
        <f t="shared" si="43"/>
        <v>5</v>
      </c>
    </row>
    <row r="684" spans="1:13">
      <c r="A684" s="4" t="str" cm="1">
        <f t="array" ref="A684">INDEX(Sheet1!A:A,$F684)</f>
        <v>M</v>
      </c>
      <c r="B684" s="4" t="str" cm="1">
        <f t="array" ref="B684">INDEX(Sheet1!B:B,$F684)</f>
        <v>Non-Pref SM</v>
      </c>
      <c r="C684" s="4">
        <f t="shared" si="41"/>
        <v>82</v>
      </c>
      <c r="D684" s="5" cm="1">
        <f t="array" aca="1" ref="D684" ca="1">OFFSET(INDIRECT("'["&amp;$H684&amp;"]"&amp;$I684&amp;"'!"&amp;$J684),$L684,$M684)*$K684</f>
        <v>0.14058000000000001</v>
      </c>
      <c r="F684" s="4">
        <f t="shared" si="42"/>
        <v>8</v>
      </c>
      <c r="G684" s="4" cm="1">
        <f t="array" ref="G684">IF($C684+$M684&lt;16,INDEX(Sheet1!C:C,$F684),$F684)</f>
        <v>8</v>
      </c>
      <c r="H684" s="4" t="str" cm="1">
        <f t="array" ref="H684">INDEX(Sheet1!D:D,$G684)</f>
        <v>2001-cso-preferred-class-structure-mortality-tables.xls</v>
      </c>
      <c r="I684" s="4" t="str" cm="1">
        <f t="array" ref="I684">INDEX(Sheet1!E:E,$G684)</f>
        <v>A.1.a.v</v>
      </c>
      <c r="J684" s="4" t="str" cm="1">
        <f t="array" ref="J684">INDEX(Sheet1!F:F,$G684)</f>
        <v>B8</v>
      </c>
      <c r="K684" s="4" cm="1">
        <f t="array" ref="K684">INDEX(Sheet1!H:H,$G684)</f>
        <v>1E-3</v>
      </c>
      <c r="L684" s="4">
        <f t="shared" si="40"/>
        <v>82</v>
      </c>
      <c r="M684" s="4">
        <f t="shared" si="43"/>
        <v>5</v>
      </c>
    </row>
    <row r="685" spans="1:13">
      <c r="A685" s="4" t="str" cm="1">
        <f t="array" ref="A685">INDEX(Sheet1!A:A,$F685)</f>
        <v>M</v>
      </c>
      <c r="B685" s="4" t="str" cm="1">
        <f t="array" ref="B685">INDEX(Sheet1!B:B,$F685)</f>
        <v>Non-Pref SM</v>
      </c>
      <c r="C685" s="4">
        <f t="shared" si="41"/>
        <v>83</v>
      </c>
      <c r="D685" s="5" cm="1">
        <f t="array" aca="1" ref="D685" ca="1">OFFSET(INDIRECT("'["&amp;$H685&amp;"]"&amp;$I685&amp;"'!"&amp;$J685),$L685,$M685)*$K685</f>
        <v>0.15534000000000001</v>
      </c>
      <c r="F685" s="4">
        <f t="shared" si="42"/>
        <v>8</v>
      </c>
      <c r="G685" s="4" cm="1">
        <f t="array" ref="G685">IF($C685+$M685&lt;16,INDEX(Sheet1!C:C,$F685),$F685)</f>
        <v>8</v>
      </c>
      <c r="H685" s="4" t="str" cm="1">
        <f t="array" ref="H685">INDEX(Sheet1!D:D,$G685)</f>
        <v>2001-cso-preferred-class-structure-mortality-tables.xls</v>
      </c>
      <c r="I685" s="4" t="str" cm="1">
        <f t="array" ref="I685">INDEX(Sheet1!E:E,$G685)</f>
        <v>A.1.a.v</v>
      </c>
      <c r="J685" s="4" t="str" cm="1">
        <f t="array" ref="J685">INDEX(Sheet1!F:F,$G685)</f>
        <v>B8</v>
      </c>
      <c r="K685" s="4" cm="1">
        <f t="array" ref="K685">INDEX(Sheet1!H:H,$G685)</f>
        <v>1E-3</v>
      </c>
      <c r="L685" s="4">
        <f t="shared" si="40"/>
        <v>83</v>
      </c>
      <c r="M685" s="4">
        <f t="shared" si="43"/>
        <v>5</v>
      </c>
    </row>
    <row r="686" spans="1:13">
      <c r="A686" s="4" t="str" cm="1">
        <f t="array" ref="A686">INDEX(Sheet1!A:A,$F686)</f>
        <v>M</v>
      </c>
      <c r="B686" s="4" t="str" cm="1">
        <f t="array" ref="B686">INDEX(Sheet1!B:B,$F686)</f>
        <v>Non-Pref SM</v>
      </c>
      <c r="C686" s="4">
        <f t="shared" si="41"/>
        <v>84</v>
      </c>
      <c r="D686" s="5" cm="1">
        <f t="array" aca="1" ref="D686" ca="1">OFFSET(INDIRECT("'["&amp;$H686&amp;"]"&amp;$I686&amp;"'!"&amp;$J686),$L686,$M686)*$K686</f>
        <v>0.17206000000000002</v>
      </c>
      <c r="F686" s="4">
        <f t="shared" si="42"/>
        <v>8</v>
      </c>
      <c r="G686" s="4" cm="1">
        <f t="array" ref="G686">IF($C686+$M686&lt;16,INDEX(Sheet1!C:C,$F686),$F686)</f>
        <v>8</v>
      </c>
      <c r="H686" s="4" t="str" cm="1">
        <f t="array" ref="H686">INDEX(Sheet1!D:D,$G686)</f>
        <v>2001-cso-preferred-class-structure-mortality-tables.xls</v>
      </c>
      <c r="I686" s="4" t="str" cm="1">
        <f t="array" ref="I686">INDEX(Sheet1!E:E,$G686)</f>
        <v>A.1.a.v</v>
      </c>
      <c r="J686" s="4" t="str" cm="1">
        <f t="array" ref="J686">INDEX(Sheet1!F:F,$G686)</f>
        <v>B8</v>
      </c>
      <c r="K686" s="4" cm="1">
        <f t="array" ref="K686">INDEX(Sheet1!H:H,$G686)</f>
        <v>1E-3</v>
      </c>
      <c r="L686" s="4">
        <f t="shared" si="40"/>
        <v>84</v>
      </c>
      <c r="M686" s="4">
        <f t="shared" si="43"/>
        <v>5</v>
      </c>
    </row>
    <row r="687" spans="1:13">
      <c r="A687" s="4" t="str" cm="1">
        <f t="array" ref="A687">INDEX(Sheet1!A:A,$F687)</f>
        <v>M</v>
      </c>
      <c r="B687" s="4" t="str" cm="1">
        <f t="array" ref="B687">INDEX(Sheet1!B:B,$F687)</f>
        <v>Non-Pref SM</v>
      </c>
      <c r="C687" s="4">
        <f t="shared" si="41"/>
        <v>85</v>
      </c>
      <c r="D687" s="5" cm="1">
        <f t="array" aca="1" ref="D687" ca="1">OFFSET(INDIRECT("'["&amp;$H687&amp;"]"&amp;$I687&amp;"'!"&amp;$J687),$L687,$M687)*$K687</f>
        <v>0.18412999999999999</v>
      </c>
      <c r="F687" s="4">
        <f t="shared" si="42"/>
        <v>8</v>
      </c>
      <c r="G687" s="4" cm="1">
        <f t="array" ref="G687">IF($C687+$M687&lt;16,INDEX(Sheet1!C:C,$F687),$F687)</f>
        <v>8</v>
      </c>
      <c r="H687" s="4" t="str" cm="1">
        <f t="array" ref="H687">INDEX(Sheet1!D:D,$G687)</f>
        <v>2001-cso-preferred-class-structure-mortality-tables.xls</v>
      </c>
      <c r="I687" s="4" t="str" cm="1">
        <f t="array" ref="I687">INDEX(Sheet1!E:E,$G687)</f>
        <v>A.1.a.v</v>
      </c>
      <c r="J687" s="4" t="str" cm="1">
        <f t="array" ref="J687">INDEX(Sheet1!F:F,$G687)</f>
        <v>B8</v>
      </c>
      <c r="K687" s="4" cm="1">
        <f t="array" ref="K687">INDEX(Sheet1!H:H,$G687)</f>
        <v>1E-3</v>
      </c>
      <c r="L687" s="4">
        <f t="shared" si="40"/>
        <v>85</v>
      </c>
      <c r="M687" s="4">
        <f t="shared" si="43"/>
        <v>5</v>
      </c>
    </row>
    <row r="688" spans="1:13">
      <c r="A688" s="4" t="str" cm="1">
        <f t="array" ref="A688">INDEX(Sheet1!A:A,$F688)</f>
        <v>M</v>
      </c>
      <c r="B688" s="4" t="str" cm="1">
        <f t="array" ref="B688">INDEX(Sheet1!B:B,$F688)</f>
        <v>Non-Pref SM</v>
      </c>
      <c r="C688" s="4">
        <f t="shared" si="41"/>
        <v>86</v>
      </c>
      <c r="D688" s="5" cm="1">
        <f t="array" aca="1" ref="D688" ca="1">OFFSET(INDIRECT("'["&amp;$H688&amp;"]"&amp;$I688&amp;"'!"&amp;$J688),$L688,$M688)*$K688</f>
        <v>0.21706999999999999</v>
      </c>
      <c r="F688" s="4">
        <f t="shared" si="42"/>
        <v>8</v>
      </c>
      <c r="G688" s="4" cm="1">
        <f t="array" ref="G688">IF($C688+$M688&lt;16,INDEX(Sheet1!C:C,$F688),$F688)</f>
        <v>8</v>
      </c>
      <c r="H688" s="4" t="str" cm="1">
        <f t="array" ref="H688">INDEX(Sheet1!D:D,$G688)</f>
        <v>2001-cso-preferred-class-structure-mortality-tables.xls</v>
      </c>
      <c r="I688" s="4" t="str" cm="1">
        <f t="array" ref="I688">INDEX(Sheet1!E:E,$G688)</f>
        <v>A.1.a.v</v>
      </c>
      <c r="J688" s="4" t="str" cm="1">
        <f t="array" ref="J688">INDEX(Sheet1!F:F,$G688)</f>
        <v>B8</v>
      </c>
      <c r="K688" s="4" cm="1">
        <f t="array" ref="K688">INDEX(Sheet1!H:H,$G688)</f>
        <v>1E-3</v>
      </c>
      <c r="L688" s="4">
        <f t="shared" si="40"/>
        <v>86</v>
      </c>
      <c r="M688" s="4">
        <f t="shared" si="43"/>
        <v>5</v>
      </c>
    </row>
    <row r="689" spans="1:13">
      <c r="A689" s="4" t="str" cm="1">
        <f t="array" ref="A689">INDEX(Sheet1!A:A,$F689)</f>
        <v>M</v>
      </c>
      <c r="B689" s="4" t="str" cm="1">
        <f t="array" ref="B689">INDEX(Sheet1!B:B,$F689)</f>
        <v>Non-Pref SM</v>
      </c>
      <c r="C689" s="4">
        <f t="shared" si="41"/>
        <v>87</v>
      </c>
      <c r="D689" s="5" cm="1">
        <f t="array" aca="1" ref="D689" ca="1">OFFSET(INDIRECT("'["&amp;$H689&amp;"]"&amp;$I689&amp;"'!"&amp;$J689),$L689,$M689)*$K689</f>
        <v>0.24601000000000001</v>
      </c>
      <c r="F689" s="4">
        <f t="shared" si="42"/>
        <v>8</v>
      </c>
      <c r="G689" s="4" cm="1">
        <f t="array" ref="G689">IF($C689+$M689&lt;16,INDEX(Sheet1!C:C,$F689),$F689)</f>
        <v>8</v>
      </c>
      <c r="H689" s="4" t="str" cm="1">
        <f t="array" ref="H689">INDEX(Sheet1!D:D,$G689)</f>
        <v>2001-cso-preferred-class-structure-mortality-tables.xls</v>
      </c>
      <c r="I689" s="4" t="str" cm="1">
        <f t="array" ref="I689">INDEX(Sheet1!E:E,$G689)</f>
        <v>A.1.a.v</v>
      </c>
      <c r="J689" s="4" t="str" cm="1">
        <f t="array" ref="J689">INDEX(Sheet1!F:F,$G689)</f>
        <v>B8</v>
      </c>
      <c r="K689" s="4" cm="1">
        <f t="array" ref="K689">INDEX(Sheet1!H:H,$G689)</f>
        <v>1E-3</v>
      </c>
      <c r="L689" s="4">
        <f t="shared" si="40"/>
        <v>87</v>
      </c>
      <c r="M689" s="4">
        <f t="shared" si="43"/>
        <v>5</v>
      </c>
    </row>
    <row r="690" spans="1:13">
      <c r="A690" s="4" t="str" cm="1">
        <f t="array" ref="A690">INDEX(Sheet1!A:A,$F690)</f>
        <v>M</v>
      </c>
      <c r="B690" s="4" t="str" cm="1">
        <f t="array" ref="B690">INDEX(Sheet1!B:B,$F690)</f>
        <v>Non-Pref SM</v>
      </c>
      <c r="C690" s="4">
        <f t="shared" si="41"/>
        <v>88</v>
      </c>
      <c r="D690" s="5" cm="1">
        <f t="array" aca="1" ref="D690" ca="1">OFFSET(INDIRECT("'["&amp;$H690&amp;"]"&amp;$I690&amp;"'!"&amp;$J690),$L690,$M690)*$K690</f>
        <v>0.26019999999999999</v>
      </c>
      <c r="F690" s="4">
        <f t="shared" si="42"/>
        <v>8</v>
      </c>
      <c r="G690" s="4" cm="1">
        <f t="array" ref="G690">IF($C690+$M690&lt;16,INDEX(Sheet1!C:C,$F690),$F690)</f>
        <v>8</v>
      </c>
      <c r="H690" s="4" t="str" cm="1">
        <f t="array" ref="H690">INDEX(Sheet1!D:D,$G690)</f>
        <v>2001-cso-preferred-class-structure-mortality-tables.xls</v>
      </c>
      <c r="I690" s="4" t="str" cm="1">
        <f t="array" ref="I690">INDEX(Sheet1!E:E,$G690)</f>
        <v>A.1.a.v</v>
      </c>
      <c r="J690" s="4" t="str" cm="1">
        <f t="array" ref="J690">INDEX(Sheet1!F:F,$G690)</f>
        <v>B8</v>
      </c>
      <c r="K690" s="4" cm="1">
        <f t="array" ref="K690">INDEX(Sheet1!H:H,$G690)</f>
        <v>1E-3</v>
      </c>
      <c r="L690" s="4">
        <f t="shared" si="40"/>
        <v>88</v>
      </c>
      <c r="M690" s="4">
        <f t="shared" si="43"/>
        <v>5</v>
      </c>
    </row>
    <row r="691" spans="1:13">
      <c r="A691" s="4" t="str" cm="1">
        <f t="array" ref="A691">INDEX(Sheet1!A:A,$F691)</f>
        <v>M</v>
      </c>
      <c r="B691" s="4" t="str" cm="1">
        <f t="array" ref="B691">INDEX(Sheet1!B:B,$F691)</f>
        <v>Non-Pref SM</v>
      </c>
      <c r="C691" s="4">
        <f t="shared" si="41"/>
        <v>89</v>
      </c>
      <c r="D691" s="5" cm="1">
        <f t="array" aca="1" ref="D691" ca="1">OFFSET(INDIRECT("'["&amp;$H691&amp;"]"&amp;$I691&amp;"'!"&amp;$J691),$L691,$M691)*$K691</f>
        <v>0.27485000000000004</v>
      </c>
      <c r="F691" s="4">
        <f t="shared" si="42"/>
        <v>8</v>
      </c>
      <c r="G691" s="4" cm="1">
        <f t="array" ref="G691">IF($C691+$M691&lt;16,INDEX(Sheet1!C:C,$F691),$F691)</f>
        <v>8</v>
      </c>
      <c r="H691" s="4" t="str" cm="1">
        <f t="array" ref="H691">INDEX(Sheet1!D:D,$G691)</f>
        <v>2001-cso-preferred-class-structure-mortality-tables.xls</v>
      </c>
      <c r="I691" s="4" t="str" cm="1">
        <f t="array" ref="I691">INDEX(Sheet1!E:E,$G691)</f>
        <v>A.1.a.v</v>
      </c>
      <c r="J691" s="4" t="str" cm="1">
        <f t="array" ref="J691">INDEX(Sheet1!F:F,$G691)</f>
        <v>B8</v>
      </c>
      <c r="K691" s="4" cm="1">
        <f t="array" ref="K691">INDEX(Sheet1!H:H,$G691)</f>
        <v>1E-3</v>
      </c>
      <c r="L691" s="4">
        <f t="shared" si="40"/>
        <v>89</v>
      </c>
      <c r="M691" s="4">
        <f t="shared" si="43"/>
        <v>5</v>
      </c>
    </row>
    <row r="692" spans="1:13">
      <c r="A692" s="4" t="str" cm="1">
        <f t="array" ref="A692">INDEX(Sheet1!A:A,$F692)</f>
        <v>M</v>
      </c>
      <c r="B692" s="4" t="str" cm="1">
        <f t="array" ref="B692">INDEX(Sheet1!B:B,$F692)</f>
        <v>Non-Pref SM</v>
      </c>
      <c r="C692" s="4">
        <f t="shared" si="41"/>
        <v>90</v>
      </c>
      <c r="D692" s="5" cm="1">
        <f t="array" aca="1" ref="D692" ca="1">OFFSET(INDIRECT("'["&amp;$H692&amp;"]"&amp;$I692&amp;"'!"&amp;$J692),$L692,$M692)*$K692</f>
        <v>0.29105000000000003</v>
      </c>
      <c r="F692" s="4">
        <f t="shared" si="42"/>
        <v>8</v>
      </c>
      <c r="G692" s="4" cm="1">
        <f t="array" ref="G692">IF($C692+$M692&lt;16,INDEX(Sheet1!C:C,$F692),$F692)</f>
        <v>8</v>
      </c>
      <c r="H692" s="4" t="str" cm="1">
        <f t="array" ref="H692">INDEX(Sheet1!D:D,$G692)</f>
        <v>2001-cso-preferred-class-structure-mortality-tables.xls</v>
      </c>
      <c r="I692" s="4" t="str" cm="1">
        <f t="array" ref="I692">INDEX(Sheet1!E:E,$G692)</f>
        <v>A.1.a.v</v>
      </c>
      <c r="J692" s="4" t="str" cm="1">
        <f t="array" ref="J692">INDEX(Sheet1!F:F,$G692)</f>
        <v>B8</v>
      </c>
      <c r="K692" s="4" cm="1">
        <f t="array" ref="K692">INDEX(Sheet1!H:H,$G692)</f>
        <v>1E-3</v>
      </c>
      <c r="L692" s="4">
        <f t="shared" si="40"/>
        <v>90</v>
      </c>
      <c r="M692" s="4">
        <f t="shared" si="43"/>
        <v>5</v>
      </c>
    </row>
    <row r="693" spans="1:13">
      <c r="A693" s="4" t="str" cm="1">
        <f t="array" ref="A693">INDEX(Sheet1!A:A,$F693)</f>
        <v>M</v>
      </c>
      <c r="B693" s="4" t="str" cm="1">
        <f t="array" ref="B693">INDEX(Sheet1!B:B,$F693)</f>
        <v>Non-Pref SM</v>
      </c>
      <c r="C693" s="4">
        <f t="shared" si="41"/>
        <v>91</v>
      </c>
      <c r="D693" s="5" cm="1">
        <f t="array" aca="1" ref="D693" ca="1">OFFSET(INDIRECT("'["&amp;$H693&amp;"]"&amp;$I693&amp;"'!"&amp;$J693),$L693,$M693)*$K693</f>
        <v>0.30632999999999999</v>
      </c>
      <c r="F693" s="4">
        <f t="shared" si="42"/>
        <v>8</v>
      </c>
      <c r="G693" s="4" cm="1">
        <f t="array" ref="G693">IF($C693+$M693&lt;16,INDEX(Sheet1!C:C,$F693),$F693)</f>
        <v>8</v>
      </c>
      <c r="H693" s="4" t="str" cm="1">
        <f t="array" ref="H693">INDEX(Sheet1!D:D,$G693)</f>
        <v>2001-cso-preferred-class-structure-mortality-tables.xls</v>
      </c>
      <c r="I693" s="4" t="str" cm="1">
        <f t="array" ref="I693">INDEX(Sheet1!E:E,$G693)</f>
        <v>A.1.a.v</v>
      </c>
      <c r="J693" s="4" t="str" cm="1">
        <f t="array" ref="J693">INDEX(Sheet1!F:F,$G693)</f>
        <v>B8</v>
      </c>
      <c r="K693" s="4" cm="1">
        <f t="array" ref="K693">INDEX(Sheet1!H:H,$G693)</f>
        <v>1E-3</v>
      </c>
      <c r="L693" s="4">
        <f t="shared" si="40"/>
        <v>91</v>
      </c>
      <c r="M693" s="4">
        <f t="shared" si="43"/>
        <v>5</v>
      </c>
    </row>
    <row r="694" spans="1:13">
      <c r="A694" s="4" t="str" cm="1">
        <f t="array" ref="A694">INDEX(Sheet1!A:A,$F694)</f>
        <v>M</v>
      </c>
      <c r="B694" s="4" t="str" cm="1">
        <f t="array" ref="B694">INDEX(Sheet1!B:B,$F694)</f>
        <v>Non-Pref SM</v>
      </c>
      <c r="C694" s="4">
        <f t="shared" si="41"/>
        <v>92</v>
      </c>
      <c r="D694" s="5" cm="1">
        <f t="array" aca="1" ref="D694" ca="1">OFFSET(INDIRECT("'["&amp;$H694&amp;"]"&amp;$I694&amp;"'!"&amp;$J694),$L694,$M694)*$K694</f>
        <v>0.32244</v>
      </c>
      <c r="F694" s="4">
        <f t="shared" si="42"/>
        <v>8</v>
      </c>
      <c r="G694" s="4" cm="1">
        <f t="array" ref="G694">IF($C694+$M694&lt;16,INDEX(Sheet1!C:C,$F694),$F694)</f>
        <v>8</v>
      </c>
      <c r="H694" s="4" t="str" cm="1">
        <f t="array" ref="H694">INDEX(Sheet1!D:D,$G694)</f>
        <v>2001-cso-preferred-class-structure-mortality-tables.xls</v>
      </c>
      <c r="I694" s="4" t="str" cm="1">
        <f t="array" ref="I694">INDEX(Sheet1!E:E,$G694)</f>
        <v>A.1.a.v</v>
      </c>
      <c r="J694" s="4" t="str" cm="1">
        <f t="array" ref="J694">INDEX(Sheet1!F:F,$G694)</f>
        <v>B8</v>
      </c>
      <c r="K694" s="4" cm="1">
        <f t="array" ref="K694">INDEX(Sheet1!H:H,$G694)</f>
        <v>1E-3</v>
      </c>
      <c r="L694" s="4">
        <f t="shared" si="40"/>
        <v>92</v>
      </c>
      <c r="M694" s="4">
        <f t="shared" si="43"/>
        <v>5</v>
      </c>
    </row>
    <row r="695" spans="1:13">
      <c r="A695" s="4" t="str" cm="1">
        <f t="array" ref="A695">INDEX(Sheet1!A:A,$F695)</f>
        <v>M</v>
      </c>
      <c r="B695" s="4" t="str" cm="1">
        <f t="array" ref="B695">INDEX(Sheet1!B:B,$F695)</f>
        <v>Non-Pref SM</v>
      </c>
      <c r="C695" s="4">
        <f t="shared" si="41"/>
        <v>93</v>
      </c>
      <c r="D695" s="5" cm="1">
        <f t="array" aca="1" ref="D695" ca="1">OFFSET(INDIRECT("'["&amp;$H695&amp;"]"&amp;$I695&amp;"'!"&amp;$J695),$L695,$M695)*$K695</f>
        <v>0.33944999999999997</v>
      </c>
      <c r="F695" s="4">
        <f t="shared" si="42"/>
        <v>8</v>
      </c>
      <c r="G695" s="4" cm="1">
        <f t="array" ref="G695">IF($C695+$M695&lt;16,INDEX(Sheet1!C:C,$F695),$F695)</f>
        <v>8</v>
      </c>
      <c r="H695" s="4" t="str" cm="1">
        <f t="array" ref="H695">INDEX(Sheet1!D:D,$G695)</f>
        <v>2001-cso-preferred-class-structure-mortality-tables.xls</v>
      </c>
      <c r="I695" s="4" t="str" cm="1">
        <f t="array" ref="I695">INDEX(Sheet1!E:E,$G695)</f>
        <v>A.1.a.v</v>
      </c>
      <c r="J695" s="4" t="str" cm="1">
        <f t="array" ref="J695">INDEX(Sheet1!F:F,$G695)</f>
        <v>B8</v>
      </c>
      <c r="K695" s="4" cm="1">
        <f t="array" ref="K695">INDEX(Sheet1!H:H,$G695)</f>
        <v>1E-3</v>
      </c>
      <c r="L695" s="4">
        <f t="shared" si="40"/>
        <v>93</v>
      </c>
      <c r="M695" s="4">
        <f t="shared" si="43"/>
        <v>5</v>
      </c>
    </row>
    <row r="696" spans="1:13">
      <c r="A696" s="4" t="str" cm="1">
        <f t="array" ref="A696">INDEX(Sheet1!A:A,$F696)</f>
        <v>M</v>
      </c>
      <c r="B696" s="4" t="str" cm="1">
        <f t="array" ref="B696">INDEX(Sheet1!B:B,$F696)</f>
        <v>Non-Pref SM</v>
      </c>
      <c r="C696" s="4">
        <f t="shared" si="41"/>
        <v>94</v>
      </c>
      <c r="D696" s="5" cm="1">
        <f t="array" aca="1" ref="D696" ca="1">OFFSET(INDIRECT("'["&amp;$H696&amp;"]"&amp;$I696&amp;"'!"&amp;$J696),$L696,$M696)*$K696</f>
        <v>0.35742000000000002</v>
      </c>
      <c r="F696" s="4">
        <f t="shared" si="42"/>
        <v>8</v>
      </c>
      <c r="G696" s="4" cm="1">
        <f t="array" ref="G696">IF($C696+$M696&lt;16,INDEX(Sheet1!C:C,$F696),$F696)</f>
        <v>8</v>
      </c>
      <c r="H696" s="4" t="str" cm="1">
        <f t="array" ref="H696">INDEX(Sheet1!D:D,$G696)</f>
        <v>2001-cso-preferred-class-structure-mortality-tables.xls</v>
      </c>
      <c r="I696" s="4" t="str" cm="1">
        <f t="array" ref="I696">INDEX(Sheet1!E:E,$G696)</f>
        <v>A.1.a.v</v>
      </c>
      <c r="J696" s="4" t="str" cm="1">
        <f t="array" ref="J696">INDEX(Sheet1!F:F,$G696)</f>
        <v>B8</v>
      </c>
      <c r="K696" s="4" cm="1">
        <f t="array" ref="K696">INDEX(Sheet1!H:H,$G696)</f>
        <v>1E-3</v>
      </c>
      <c r="L696" s="4">
        <f t="shared" si="40"/>
        <v>94</v>
      </c>
      <c r="M696" s="4">
        <f t="shared" si="43"/>
        <v>5</v>
      </c>
    </row>
    <row r="697" spans="1:13">
      <c r="A697" s="4" t="str" cm="1">
        <f t="array" ref="A697">INDEX(Sheet1!A:A,$F697)</f>
        <v>M</v>
      </c>
      <c r="B697" s="4" t="str" cm="1">
        <f t="array" ref="B697">INDEX(Sheet1!B:B,$F697)</f>
        <v>Non-Pref SM</v>
      </c>
      <c r="C697" s="4">
        <f t="shared" si="41"/>
        <v>95</v>
      </c>
      <c r="D697" s="5" cm="1">
        <f t="array" aca="1" ref="D697" ca="1">OFFSET(INDIRECT("'["&amp;$H697&amp;"]"&amp;$I697&amp;"'!"&amp;$J697),$L697,$M697)*$K697</f>
        <v>0.37640000000000001</v>
      </c>
      <c r="F697" s="4">
        <f t="shared" si="42"/>
        <v>8</v>
      </c>
      <c r="G697" s="4" cm="1">
        <f t="array" ref="G697">IF($C697+$M697&lt;16,INDEX(Sheet1!C:C,$F697),$F697)</f>
        <v>8</v>
      </c>
      <c r="H697" s="4" t="str" cm="1">
        <f t="array" ref="H697">INDEX(Sheet1!D:D,$G697)</f>
        <v>2001-cso-preferred-class-structure-mortality-tables.xls</v>
      </c>
      <c r="I697" s="4" t="str" cm="1">
        <f t="array" ref="I697">INDEX(Sheet1!E:E,$G697)</f>
        <v>A.1.a.v</v>
      </c>
      <c r="J697" s="4" t="str" cm="1">
        <f t="array" ref="J697">INDEX(Sheet1!F:F,$G697)</f>
        <v>B8</v>
      </c>
      <c r="K697" s="4" cm="1">
        <f t="array" ref="K697">INDEX(Sheet1!H:H,$G697)</f>
        <v>1E-3</v>
      </c>
      <c r="L697" s="4">
        <f t="shared" si="40"/>
        <v>95</v>
      </c>
      <c r="M697" s="4">
        <f t="shared" si="43"/>
        <v>5</v>
      </c>
    </row>
    <row r="698" spans="1:13">
      <c r="A698" s="4" t="str" cm="1">
        <f t="array" ref="A698">INDEX(Sheet1!A:A,$F698)</f>
        <v>M</v>
      </c>
      <c r="B698" s="4" t="str" cm="1">
        <f t="array" ref="B698">INDEX(Sheet1!B:B,$F698)</f>
        <v>Non-Pref SM</v>
      </c>
      <c r="C698" s="4">
        <f t="shared" si="41"/>
        <v>96</v>
      </c>
      <c r="D698" s="5" cm="1">
        <f t="array" aca="1" ref="D698" ca="1">OFFSET(INDIRECT("'["&amp;$H698&amp;"]"&amp;$I698&amp;"'!"&amp;$J698),$L698,$M698)*$K698</f>
        <v>0.39077999999999996</v>
      </c>
      <c r="F698" s="4">
        <f t="shared" si="42"/>
        <v>8</v>
      </c>
      <c r="G698" s="4" cm="1">
        <f t="array" ref="G698">IF($C698+$M698&lt;16,INDEX(Sheet1!C:C,$F698),$F698)</f>
        <v>8</v>
      </c>
      <c r="H698" s="4" t="str" cm="1">
        <f t="array" ref="H698">INDEX(Sheet1!D:D,$G698)</f>
        <v>2001-cso-preferred-class-structure-mortality-tables.xls</v>
      </c>
      <c r="I698" s="4" t="str" cm="1">
        <f t="array" ref="I698">INDEX(Sheet1!E:E,$G698)</f>
        <v>A.1.a.v</v>
      </c>
      <c r="J698" s="4" t="str" cm="1">
        <f t="array" ref="J698">INDEX(Sheet1!F:F,$G698)</f>
        <v>B8</v>
      </c>
      <c r="K698" s="4" cm="1">
        <f t="array" ref="K698">INDEX(Sheet1!H:H,$G698)</f>
        <v>1E-3</v>
      </c>
      <c r="L698" s="4">
        <f t="shared" si="40"/>
        <v>96</v>
      </c>
      <c r="M698" s="4">
        <f t="shared" si="43"/>
        <v>5</v>
      </c>
    </row>
    <row r="699" spans="1:13">
      <c r="A699" s="4" t="str" cm="1">
        <f t="array" ref="A699">INDEX(Sheet1!A:A,$F699)</f>
        <v>M</v>
      </c>
      <c r="B699" s="4" t="str" cm="1">
        <f t="array" ref="B699">INDEX(Sheet1!B:B,$F699)</f>
        <v>Non-Pref SM</v>
      </c>
      <c r="C699" s="4">
        <f t="shared" si="41"/>
        <v>97</v>
      </c>
      <c r="D699" s="5" cm="1">
        <f t="array" aca="1" ref="D699" ca="1">OFFSET(INDIRECT("'["&amp;$H699&amp;"]"&amp;$I699&amp;"'!"&amp;$J699),$L699,$M699)*$K699</f>
        <v>0.40592</v>
      </c>
      <c r="F699" s="4">
        <f t="shared" si="42"/>
        <v>8</v>
      </c>
      <c r="G699" s="4" cm="1">
        <f t="array" ref="G699">IF($C699+$M699&lt;16,INDEX(Sheet1!C:C,$F699),$F699)</f>
        <v>8</v>
      </c>
      <c r="H699" s="4" t="str" cm="1">
        <f t="array" ref="H699">INDEX(Sheet1!D:D,$G699)</f>
        <v>2001-cso-preferred-class-structure-mortality-tables.xls</v>
      </c>
      <c r="I699" s="4" t="str" cm="1">
        <f t="array" ref="I699">INDEX(Sheet1!E:E,$G699)</f>
        <v>A.1.a.v</v>
      </c>
      <c r="J699" s="4" t="str" cm="1">
        <f t="array" ref="J699">INDEX(Sheet1!F:F,$G699)</f>
        <v>B8</v>
      </c>
      <c r="K699" s="4" cm="1">
        <f t="array" ref="K699">INDEX(Sheet1!H:H,$G699)</f>
        <v>1E-3</v>
      </c>
      <c r="L699" s="4">
        <f t="shared" si="40"/>
        <v>97</v>
      </c>
      <c r="M699" s="4">
        <f t="shared" si="43"/>
        <v>5</v>
      </c>
    </row>
    <row r="700" spans="1:13">
      <c r="A700" s="4" t="str" cm="1">
        <f t="array" ref="A700">INDEX(Sheet1!A:A,$F700)</f>
        <v>M</v>
      </c>
      <c r="B700" s="4" t="str" cm="1">
        <f t="array" ref="B700">INDEX(Sheet1!B:B,$F700)</f>
        <v>Non-Pref SM</v>
      </c>
      <c r="C700" s="4">
        <f t="shared" si="41"/>
        <v>98</v>
      </c>
      <c r="D700" s="5" cm="1">
        <f t="array" aca="1" ref="D700" ca="1">OFFSET(INDIRECT("'["&amp;$H700&amp;"]"&amp;$I700&amp;"'!"&amp;$J700),$L700,$M700)*$K700</f>
        <v>0.42182999999999998</v>
      </c>
      <c r="F700" s="4">
        <f t="shared" si="42"/>
        <v>8</v>
      </c>
      <c r="G700" s="4" cm="1">
        <f t="array" ref="G700">IF($C700+$M700&lt;16,INDEX(Sheet1!C:C,$F700),$F700)</f>
        <v>8</v>
      </c>
      <c r="H700" s="4" t="str" cm="1">
        <f t="array" ref="H700">INDEX(Sheet1!D:D,$G700)</f>
        <v>2001-cso-preferred-class-structure-mortality-tables.xls</v>
      </c>
      <c r="I700" s="4" t="str" cm="1">
        <f t="array" ref="I700">INDEX(Sheet1!E:E,$G700)</f>
        <v>A.1.a.v</v>
      </c>
      <c r="J700" s="4" t="str" cm="1">
        <f t="array" ref="J700">INDEX(Sheet1!F:F,$G700)</f>
        <v>B8</v>
      </c>
      <c r="K700" s="4" cm="1">
        <f t="array" ref="K700">INDEX(Sheet1!H:H,$G700)</f>
        <v>1E-3</v>
      </c>
      <c r="L700" s="4">
        <f t="shared" si="40"/>
        <v>98</v>
      </c>
      <c r="M700" s="4">
        <f t="shared" si="43"/>
        <v>5</v>
      </c>
    </row>
    <row r="701" spans="1:13">
      <c r="A701" s="4" t="str" cm="1">
        <f t="array" ref="A701">INDEX(Sheet1!A:A,$F701)</f>
        <v>M</v>
      </c>
      <c r="B701" s="4" t="str" cm="1">
        <f t="array" ref="B701">INDEX(Sheet1!B:B,$F701)</f>
        <v>Non-Pref SM</v>
      </c>
      <c r="C701" s="4">
        <f t="shared" si="41"/>
        <v>99</v>
      </c>
      <c r="D701" s="5" cm="1">
        <f t="array" aca="1" ref="D701" ca="1">OFFSET(INDIRECT("'["&amp;$H701&amp;"]"&amp;$I701&amp;"'!"&amp;$J701),$L701,$M701)*$K701</f>
        <v>0.43857000000000002</v>
      </c>
      <c r="F701" s="4">
        <f t="shared" si="42"/>
        <v>8</v>
      </c>
      <c r="G701" s="4" cm="1">
        <f t="array" ref="G701">IF($C701+$M701&lt;16,INDEX(Sheet1!C:C,$F701),$F701)</f>
        <v>8</v>
      </c>
      <c r="H701" s="4" t="str" cm="1">
        <f t="array" ref="H701">INDEX(Sheet1!D:D,$G701)</f>
        <v>2001-cso-preferred-class-structure-mortality-tables.xls</v>
      </c>
      <c r="I701" s="4" t="str" cm="1">
        <f t="array" ref="I701">INDEX(Sheet1!E:E,$G701)</f>
        <v>A.1.a.v</v>
      </c>
      <c r="J701" s="4" t="str" cm="1">
        <f t="array" ref="J701">INDEX(Sheet1!F:F,$G701)</f>
        <v>B8</v>
      </c>
      <c r="K701" s="4" cm="1">
        <f t="array" ref="K701">INDEX(Sheet1!H:H,$G701)</f>
        <v>1E-3</v>
      </c>
      <c r="L701" s="4">
        <f t="shared" si="40"/>
        <v>99</v>
      </c>
      <c r="M701" s="4">
        <f t="shared" si="43"/>
        <v>5</v>
      </c>
    </row>
    <row r="702" spans="1:13">
      <c r="A702" s="4" t="str" cm="1">
        <f t="array" ref="A702">INDEX(Sheet1!A:A,$F702)</f>
        <v>M</v>
      </c>
      <c r="B702" s="4" t="str" cm="1">
        <f t="array" ref="B702">INDEX(Sheet1!B:B,$F702)</f>
        <v>Undiff SM</v>
      </c>
      <c r="C702" s="4">
        <f t="shared" si="41"/>
        <v>0</v>
      </c>
      <c r="D702" s="5" cm="1">
        <f t="array" aca="1" ref="D702" ca="1">OFFSET(INDIRECT("'["&amp;$H702&amp;"]"&amp;$I702&amp;"'!"&amp;$J702),$L702,$M702)*$K702</f>
        <v>2.1000000000000001E-4</v>
      </c>
      <c r="F702" s="4">
        <f t="shared" si="42"/>
        <v>9</v>
      </c>
      <c r="G702" s="4" cm="1">
        <f t="array" ref="G702">IF($C702+$M702&lt;16,INDEX(Sheet1!C:C,$F702),$F702)</f>
        <v>10</v>
      </c>
      <c r="H702" s="4" t="str" cm="1">
        <f t="array" ref="H702">INDEX(Sheet1!D:D,$G702)</f>
        <v>t1136.xlsx</v>
      </c>
      <c r="I702" s="4" t="str" cm="1">
        <f t="array" ref="I702">INDEX(Sheet1!E:E,$G702)</f>
        <v>Sheet1</v>
      </c>
      <c r="J702" s="4" t="str" cm="1">
        <f t="array" ref="J702">INDEX(Sheet1!F:F,$G702)</f>
        <v>B25</v>
      </c>
      <c r="K702" s="4" cm="1">
        <f t="array" ref="K702">INDEX(Sheet1!H:H,$G702)</f>
        <v>1</v>
      </c>
      <c r="L702" s="4">
        <f t="shared" si="40"/>
        <v>0</v>
      </c>
      <c r="M702" s="4">
        <f t="shared" si="43"/>
        <v>5</v>
      </c>
    </row>
    <row r="703" spans="1:13">
      <c r="A703" s="4" t="str" cm="1">
        <f t="array" ref="A703">INDEX(Sheet1!A:A,$F703)</f>
        <v>M</v>
      </c>
      <c r="B703" s="4" t="str" cm="1">
        <f t="array" ref="B703">INDEX(Sheet1!B:B,$F703)</f>
        <v>Undiff SM</v>
      </c>
      <c r="C703" s="4">
        <f t="shared" si="41"/>
        <v>1</v>
      </c>
      <c r="D703" s="5" cm="1">
        <f t="array" aca="1" ref="D703" ca="1">OFFSET(INDIRECT("'["&amp;$H703&amp;"]"&amp;$I703&amp;"'!"&amp;$J703),$L703,$M703)*$K703</f>
        <v>2.1000000000000001E-4</v>
      </c>
      <c r="F703" s="4">
        <f t="shared" si="42"/>
        <v>9</v>
      </c>
      <c r="G703" s="4" cm="1">
        <f t="array" ref="G703">IF($C703+$M703&lt;16,INDEX(Sheet1!C:C,$F703),$F703)</f>
        <v>10</v>
      </c>
      <c r="H703" s="4" t="str" cm="1">
        <f t="array" ref="H703">INDEX(Sheet1!D:D,$G703)</f>
        <v>t1136.xlsx</v>
      </c>
      <c r="I703" s="4" t="str" cm="1">
        <f t="array" ref="I703">INDEX(Sheet1!E:E,$G703)</f>
        <v>Sheet1</v>
      </c>
      <c r="J703" s="4" t="str" cm="1">
        <f t="array" ref="J703">INDEX(Sheet1!F:F,$G703)</f>
        <v>B25</v>
      </c>
      <c r="K703" s="4" cm="1">
        <f t="array" ref="K703">INDEX(Sheet1!H:H,$G703)</f>
        <v>1</v>
      </c>
      <c r="L703" s="4">
        <f t="shared" si="40"/>
        <v>1</v>
      </c>
      <c r="M703" s="4">
        <f t="shared" si="43"/>
        <v>5</v>
      </c>
    </row>
    <row r="704" spans="1:13">
      <c r="A704" s="4" t="str" cm="1">
        <f t="array" ref="A704">INDEX(Sheet1!A:A,$F704)</f>
        <v>M</v>
      </c>
      <c r="B704" s="4" t="str" cm="1">
        <f t="array" ref="B704">INDEX(Sheet1!B:B,$F704)</f>
        <v>Undiff SM</v>
      </c>
      <c r="C704" s="4">
        <f t="shared" si="41"/>
        <v>2</v>
      </c>
      <c r="D704" s="5" cm="1">
        <f t="array" aca="1" ref="D704" ca="1">OFFSET(INDIRECT("'["&amp;$H704&amp;"]"&amp;$I704&amp;"'!"&amp;$J704),$L704,$M704)*$K704</f>
        <v>2.1000000000000001E-4</v>
      </c>
      <c r="F704" s="4">
        <f t="shared" si="42"/>
        <v>9</v>
      </c>
      <c r="G704" s="4" cm="1">
        <f t="array" ref="G704">IF($C704+$M704&lt;16,INDEX(Sheet1!C:C,$F704),$F704)</f>
        <v>10</v>
      </c>
      <c r="H704" s="4" t="str" cm="1">
        <f t="array" ref="H704">INDEX(Sheet1!D:D,$G704)</f>
        <v>t1136.xlsx</v>
      </c>
      <c r="I704" s="4" t="str" cm="1">
        <f t="array" ref="I704">INDEX(Sheet1!E:E,$G704)</f>
        <v>Sheet1</v>
      </c>
      <c r="J704" s="4" t="str" cm="1">
        <f t="array" ref="J704">INDEX(Sheet1!F:F,$G704)</f>
        <v>B25</v>
      </c>
      <c r="K704" s="4" cm="1">
        <f t="array" ref="K704">INDEX(Sheet1!H:H,$G704)</f>
        <v>1</v>
      </c>
      <c r="L704" s="4">
        <f t="shared" si="40"/>
        <v>2</v>
      </c>
      <c r="M704" s="4">
        <f t="shared" si="43"/>
        <v>5</v>
      </c>
    </row>
    <row r="705" spans="1:13">
      <c r="A705" s="4" t="str" cm="1">
        <f t="array" ref="A705">INDEX(Sheet1!A:A,$F705)</f>
        <v>M</v>
      </c>
      <c r="B705" s="4" t="str" cm="1">
        <f t="array" ref="B705">INDEX(Sheet1!B:B,$F705)</f>
        <v>Undiff SM</v>
      </c>
      <c r="C705" s="4">
        <f t="shared" si="41"/>
        <v>3</v>
      </c>
      <c r="D705" s="5" cm="1">
        <f t="array" aca="1" ref="D705" ca="1">OFFSET(INDIRECT("'["&amp;$H705&amp;"]"&amp;$I705&amp;"'!"&amp;$J705),$L705,$M705)*$K705</f>
        <v>2.1000000000000001E-4</v>
      </c>
      <c r="F705" s="4">
        <f t="shared" si="42"/>
        <v>9</v>
      </c>
      <c r="G705" s="4" cm="1">
        <f t="array" ref="G705">IF($C705+$M705&lt;16,INDEX(Sheet1!C:C,$F705),$F705)</f>
        <v>10</v>
      </c>
      <c r="H705" s="4" t="str" cm="1">
        <f t="array" ref="H705">INDEX(Sheet1!D:D,$G705)</f>
        <v>t1136.xlsx</v>
      </c>
      <c r="I705" s="4" t="str" cm="1">
        <f t="array" ref="I705">INDEX(Sheet1!E:E,$G705)</f>
        <v>Sheet1</v>
      </c>
      <c r="J705" s="4" t="str" cm="1">
        <f t="array" ref="J705">INDEX(Sheet1!F:F,$G705)</f>
        <v>B25</v>
      </c>
      <c r="K705" s="4" cm="1">
        <f t="array" ref="K705">INDEX(Sheet1!H:H,$G705)</f>
        <v>1</v>
      </c>
      <c r="L705" s="4">
        <f t="shared" si="40"/>
        <v>3</v>
      </c>
      <c r="M705" s="4">
        <f t="shared" si="43"/>
        <v>5</v>
      </c>
    </row>
    <row r="706" spans="1:13">
      <c r="A706" s="4" t="str" cm="1">
        <f t="array" ref="A706">INDEX(Sheet1!A:A,$F706)</f>
        <v>M</v>
      </c>
      <c r="B706" s="4" t="str" cm="1">
        <f t="array" ref="B706">INDEX(Sheet1!B:B,$F706)</f>
        <v>Undiff SM</v>
      </c>
      <c r="C706" s="4">
        <f t="shared" si="41"/>
        <v>4</v>
      </c>
      <c r="D706" s="5" cm="1">
        <f t="array" aca="1" ref="D706" ca="1">OFFSET(INDIRECT("'["&amp;$H706&amp;"]"&amp;$I706&amp;"'!"&amp;$J706),$L706,$M706)*$K706</f>
        <v>2.1000000000000001E-4</v>
      </c>
      <c r="F706" s="4">
        <f t="shared" si="42"/>
        <v>9</v>
      </c>
      <c r="G706" s="4" cm="1">
        <f t="array" ref="G706">IF($C706+$M706&lt;16,INDEX(Sheet1!C:C,$F706),$F706)</f>
        <v>10</v>
      </c>
      <c r="H706" s="4" t="str" cm="1">
        <f t="array" ref="H706">INDEX(Sheet1!D:D,$G706)</f>
        <v>t1136.xlsx</v>
      </c>
      <c r="I706" s="4" t="str" cm="1">
        <f t="array" ref="I706">INDEX(Sheet1!E:E,$G706)</f>
        <v>Sheet1</v>
      </c>
      <c r="J706" s="4" t="str" cm="1">
        <f t="array" ref="J706">INDEX(Sheet1!F:F,$G706)</f>
        <v>B25</v>
      </c>
      <c r="K706" s="4" cm="1">
        <f t="array" ref="K706">INDEX(Sheet1!H:H,$G706)</f>
        <v>1</v>
      </c>
      <c r="L706" s="4">
        <f t="shared" si="40"/>
        <v>4</v>
      </c>
      <c r="M706" s="4">
        <f t="shared" si="43"/>
        <v>5</v>
      </c>
    </row>
    <row r="707" spans="1:13">
      <c r="A707" s="4" t="str" cm="1">
        <f t="array" ref="A707">INDEX(Sheet1!A:A,$F707)</f>
        <v>M</v>
      </c>
      <c r="B707" s="4" t="str" cm="1">
        <f t="array" ref="B707">INDEX(Sheet1!B:B,$F707)</f>
        <v>Undiff SM</v>
      </c>
      <c r="C707" s="4">
        <f t="shared" si="41"/>
        <v>5</v>
      </c>
      <c r="D707" s="5" cm="1">
        <f t="array" aca="1" ref="D707" ca="1">OFFSET(INDIRECT("'["&amp;$H707&amp;"]"&amp;$I707&amp;"'!"&amp;$J707),$L707,$M707)*$K707</f>
        <v>2.1000000000000001E-4</v>
      </c>
      <c r="F707" s="4">
        <f t="shared" si="42"/>
        <v>9</v>
      </c>
      <c r="G707" s="4" cm="1">
        <f t="array" ref="G707">IF($C707+$M707&lt;16,INDEX(Sheet1!C:C,$F707),$F707)</f>
        <v>10</v>
      </c>
      <c r="H707" s="4" t="str" cm="1">
        <f t="array" ref="H707">INDEX(Sheet1!D:D,$G707)</f>
        <v>t1136.xlsx</v>
      </c>
      <c r="I707" s="4" t="str" cm="1">
        <f t="array" ref="I707">INDEX(Sheet1!E:E,$G707)</f>
        <v>Sheet1</v>
      </c>
      <c r="J707" s="4" t="str" cm="1">
        <f t="array" ref="J707">INDEX(Sheet1!F:F,$G707)</f>
        <v>B25</v>
      </c>
      <c r="K707" s="4" cm="1">
        <f t="array" ref="K707">INDEX(Sheet1!H:H,$G707)</f>
        <v>1</v>
      </c>
      <c r="L707" s="4">
        <f t="shared" ref="L707:L770" si="44">C707</f>
        <v>5</v>
      </c>
      <c r="M707" s="4">
        <f t="shared" si="43"/>
        <v>5</v>
      </c>
    </row>
    <row r="708" spans="1:13">
      <c r="A708" s="4" t="str" cm="1">
        <f t="array" ref="A708">INDEX(Sheet1!A:A,$F708)</f>
        <v>M</v>
      </c>
      <c r="B708" s="4" t="str" cm="1">
        <f t="array" ref="B708">INDEX(Sheet1!B:B,$F708)</f>
        <v>Undiff SM</v>
      </c>
      <c r="C708" s="4">
        <f t="shared" ref="C708:C771" si="45">IF(C707=99,0,C707+1)</f>
        <v>6</v>
      </c>
      <c r="D708" s="5" cm="1">
        <f t="array" aca="1" ref="D708" ca="1">OFFSET(INDIRECT("'["&amp;$H708&amp;"]"&amp;$I708&amp;"'!"&amp;$J708),$L708,$M708)*$K708</f>
        <v>2.1000000000000001E-4</v>
      </c>
      <c r="F708" s="4">
        <f t="shared" ref="F708:F771" si="46">IF(C708=0,1,0)+F707</f>
        <v>9</v>
      </c>
      <c r="G708" s="4" cm="1">
        <f t="array" ref="G708">IF($C708+$M708&lt;16,INDEX(Sheet1!C:C,$F708),$F708)</f>
        <v>10</v>
      </c>
      <c r="H708" s="4" t="str" cm="1">
        <f t="array" ref="H708">INDEX(Sheet1!D:D,$G708)</f>
        <v>t1136.xlsx</v>
      </c>
      <c r="I708" s="4" t="str" cm="1">
        <f t="array" ref="I708">INDEX(Sheet1!E:E,$G708)</f>
        <v>Sheet1</v>
      </c>
      <c r="J708" s="4" t="str" cm="1">
        <f t="array" ref="J708">INDEX(Sheet1!F:F,$G708)</f>
        <v>B25</v>
      </c>
      <c r="K708" s="4" cm="1">
        <f t="array" ref="K708">INDEX(Sheet1!H:H,$G708)</f>
        <v>1</v>
      </c>
      <c r="L708" s="4">
        <f t="shared" si="44"/>
        <v>6</v>
      </c>
      <c r="M708" s="4">
        <f t="shared" ref="L708:M771" si="47">M$2</f>
        <v>5</v>
      </c>
    </row>
    <row r="709" spans="1:13">
      <c r="A709" s="4" t="str" cm="1">
        <f t="array" ref="A709">INDEX(Sheet1!A:A,$F709)</f>
        <v>M</v>
      </c>
      <c r="B709" s="4" t="str" cm="1">
        <f t="array" ref="B709">INDEX(Sheet1!B:B,$F709)</f>
        <v>Undiff SM</v>
      </c>
      <c r="C709" s="4">
        <f t="shared" si="45"/>
        <v>7</v>
      </c>
      <c r="D709" s="5" cm="1">
        <f t="array" aca="1" ref="D709" ca="1">OFFSET(INDIRECT("'["&amp;$H709&amp;"]"&amp;$I709&amp;"'!"&amp;$J709),$L709,$M709)*$K709</f>
        <v>2.4000000000000001E-4</v>
      </c>
      <c r="F709" s="4">
        <f t="shared" si="46"/>
        <v>9</v>
      </c>
      <c r="G709" s="4" cm="1">
        <f t="array" ref="G709">IF($C709+$M709&lt;16,INDEX(Sheet1!C:C,$F709),$F709)</f>
        <v>10</v>
      </c>
      <c r="H709" s="4" t="str" cm="1">
        <f t="array" ref="H709">INDEX(Sheet1!D:D,$G709)</f>
        <v>t1136.xlsx</v>
      </c>
      <c r="I709" s="4" t="str" cm="1">
        <f t="array" ref="I709">INDEX(Sheet1!E:E,$G709)</f>
        <v>Sheet1</v>
      </c>
      <c r="J709" s="4" t="str" cm="1">
        <f t="array" ref="J709">INDEX(Sheet1!F:F,$G709)</f>
        <v>B25</v>
      </c>
      <c r="K709" s="4" cm="1">
        <f t="array" ref="K709">INDEX(Sheet1!H:H,$G709)</f>
        <v>1</v>
      </c>
      <c r="L709" s="4">
        <f t="shared" si="44"/>
        <v>7</v>
      </c>
      <c r="M709" s="4">
        <f t="shared" si="47"/>
        <v>5</v>
      </c>
    </row>
    <row r="710" spans="1:13">
      <c r="A710" s="4" t="str" cm="1">
        <f t="array" ref="A710">INDEX(Sheet1!A:A,$F710)</f>
        <v>M</v>
      </c>
      <c r="B710" s="4" t="str" cm="1">
        <f t="array" ref="B710">INDEX(Sheet1!B:B,$F710)</f>
        <v>Undiff SM</v>
      </c>
      <c r="C710" s="4">
        <f t="shared" si="45"/>
        <v>8</v>
      </c>
      <c r="D710" s="5" cm="1">
        <f t="array" aca="1" ref="D710" ca="1">OFFSET(INDIRECT("'["&amp;$H710&amp;"]"&amp;$I710&amp;"'!"&amp;$J710),$L710,$M710)*$K710</f>
        <v>2.7999999999999998E-4</v>
      </c>
      <c r="F710" s="4">
        <f t="shared" si="46"/>
        <v>9</v>
      </c>
      <c r="G710" s="4" cm="1">
        <f t="array" ref="G710">IF($C710+$M710&lt;16,INDEX(Sheet1!C:C,$F710),$F710)</f>
        <v>10</v>
      </c>
      <c r="H710" s="4" t="str" cm="1">
        <f t="array" ref="H710">INDEX(Sheet1!D:D,$G710)</f>
        <v>t1136.xlsx</v>
      </c>
      <c r="I710" s="4" t="str" cm="1">
        <f t="array" ref="I710">INDEX(Sheet1!E:E,$G710)</f>
        <v>Sheet1</v>
      </c>
      <c r="J710" s="4" t="str" cm="1">
        <f t="array" ref="J710">INDEX(Sheet1!F:F,$G710)</f>
        <v>B25</v>
      </c>
      <c r="K710" s="4" cm="1">
        <f t="array" ref="K710">INDEX(Sheet1!H:H,$G710)</f>
        <v>1</v>
      </c>
      <c r="L710" s="4">
        <f t="shared" si="44"/>
        <v>8</v>
      </c>
      <c r="M710" s="4">
        <f t="shared" si="47"/>
        <v>5</v>
      </c>
    </row>
    <row r="711" spans="1:13">
      <c r="A711" s="4" t="str" cm="1">
        <f t="array" ref="A711">INDEX(Sheet1!A:A,$F711)</f>
        <v>M</v>
      </c>
      <c r="B711" s="4" t="str" cm="1">
        <f t="array" ref="B711">INDEX(Sheet1!B:B,$F711)</f>
        <v>Undiff SM</v>
      </c>
      <c r="C711" s="4">
        <f t="shared" si="45"/>
        <v>9</v>
      </c>
      <c r="D711" s="5" cm="1">
        <f t="array" aca="1" ref="D711" ca="1">OFFSET(INDIRECT("'["&amp;$H711&amp;"]"&amp;$I711&amp;"'!"&amp;$J711),$L711,$M711)*$K711</f>
        <v>3.3E-4</v>
      </c>
      <c r="F711" s="4">
        <f t="shared" si="46"/>
        <v>9</v>
      </c>
      <c r="G711" s="4" cm="1">
        <f t="array" ref="G711">IF($C711+$M711&lt;16,INDEX(Sheet1!C:C,$F711),$F711)</f>
        <v>10</v>
      </c>
      <c r="H711" s="4" t="str" cm="1">
        <f t="array" ref="H711">INDEX(Sheet1!D:D,$G711)</f>
        <v>t1136.xlsx</v>
      </c>
      <c r="I711" s="4" t="str" cm="1">
        <f t="array" ref="I711">INDEX(Sheet1!E:E,$G711)</f>
        <v>Sheet1</v>
      </c>
      <c r="J711" s="4" t="str" cm="1">
        <f t="array" ref="J711">INDEX(Sheet1!F:F,$G711)</f>
        <v>B25</v>
      </c>
      <c r="K711" s="4" cm="1">
        <f t="array" ref="K711">INDEX(Sheet1!H:H,$G711)</f>
        <v>1</v>
      </c>
      <c r="L711" s="4">
        <f t="shared" si="44"/>
        <v>9</v>
      </c>
      <c r="M711" s="4">
        <f t="shared" si="47"/>
        <v>5</v>
      </c>
    </row>
    <row r="712" spans="1:13">
      <c r="A712" s="4" t="str" cm="1">
        <f t="array" ref="A712">INDEX(Sheet1!A:A,$F712)</f>
        <v>M</v>
      </c>
      <c r="B712" s="4" t="str" cm="1">
        <f t="array" ref="B712">INDEX(Sheet1!B:B,$F712)</f>
        <v>Undiff SM</v>
      </c>
      <c r="C712" s="4">
        <f t="shared" si="45"/>
        <v>10</v>
      </c>
      <c r="D712" s="5" cm="1">
        <f t="array" aca="1" ref="D712" ca="1">OFFSET(INDIRECT("'["&amp;$H712&amp;"]"&amp;$I712&amp;"'!"&amp;$J712),$L712,$M712)*$K712</f>
        <v>4.2999999999999999E-4</v>
      </c>
      <c r="F712" s="4">
        <f t="shared" si="46"/>
        <v>9</v>
      </c>
      <c r="G712" s="4" cm="1">
        <f t="array" ref="G712">IF($C712+$M712&lt;16,INDEX(Sheet1!C:C,$F712),$F712)</f>
        <v>10</v>
      </c>
      <c r="H712" s="4" t="str" cm="1">
        <f t="array" ref="H712">INDEX(Sheet1!D:D,$G712)</f>
        <v>t1136.xlsx</v>
      </c>
      <c r="I712" s="4" t="str" cm="1">
        <f t="array" ref="I712">INDEX(Sheet1!E:E,$G712)</f>
        <v>Sheet1</v>
      </c>
      <c r="J712" s="4" t="str" cm="1">
        <f t="array" ref="J712">INDEX(Sheet1!F:F,$G712)</f>
        <v>B25</v>
      </c>
      <c r="K712" s="4" cm="1">
        <f t="array" ref="K712">INDEX(Sheet1!H:H,$G712)</f>
        <v>1</v>
      </c>
      <c r="L712" s="4">
        <f t="shared" si="44"/>
        <v>10</v>
      </c>
      <c r="M712" s="4">
        <f t="shared" si="47"/>
        <v>5</v>
      </c>
    </row>
    <row r="713" spans="1:13">
      <c r="A713" s="4" t="str" cm="1">
        <f t="array" ref="A713">INDEX(Sheet1!A:A,$F713)</f>
        <v>M</v>
      </c>
      <c r="B713" s="4" t="str" cm="1">
        <f t="array" ref="B713">INDEX(Sheet1!B:B,$F713)</f>
        <v>Undiff SM</v>
      </c>
      <c r="C713" s="4">
        <f t="shared" si="45"/>
        <v>11</v>
      </c>
      <c r="D713" s="5" cm="1">
        <f t="array" aca="1" ref="D713" ca="1">OFFSET(INDIRECT("'["&amp;$H713&amp;"]"&amp;$I713&amp;"'!"&amp;$J713),$L713,$M713)*$K713</f>
        <v>6.8999999999999997E-4</v>
      </c>
      <c r="F713" s="4">
        <f t="shared" si="46"/>
        <v>9</v>
      </c>
      <c r="G713" s="4" cm="1">
        <f t="array" ref="G713">IF($C713+$M713&lt;16,INDEX(Sheet1!C:C,$F713),$F713)</f>
        <v>9</v>
      </c>
      <c r="H713" s="4" t="str" cm="1">
        <f t="array" ref="H713">INDEX(Sheet1!D:D,$G713)</f>
        <v>t1138.xlsx</v>
      </c>
      <c r="I713" s="4" t="str" cm="1">
        <f t="array" ref="I713">INDEX(Sheet1!E:E,$G713)</f>
        <v>Sheet1</v>
      </c>
      <c r="J713" s="4" t="str" cm="1">
        <f t="array" ref="J713">INDEX(Sheet1!F:F,$G713)</f>
        <v>B25</v>
      </c>
      <c r="K713" s="4" cm="1">
        <f t="array" ref="K713">INDEX(Sheet1!H:H,$G713)</f>
        <v>1</v>
      </c>
      <c r="L713" s="4">
        <f t="shared" si="44"/>
        <v>11</v>
      </c>
      <c r="M713" s="4">
        <f t="shared" si="47"/>
        <v>5</v>
      </c>
    </row>
    <row r="714" spans="1:13">
      <c r="A714" s="4" t="str" cm="1">
        <f t="array" ref="A714">INDEX(Sheet1!A:A,$F714)</f>
        <v>M</v>
      </c>
      <c r="B714" s="4" t="str" cm="1">
        <f t="array" ref="B714">INDEX(Sheet1!B:B,$F714)</f>
        <v>Undiff SM</v>
      </c>
      <c r="C714" s="4">
        <f t="shared" si="45"/>
        <v>12</v>
      </c>
      <c r="D714" s="5" cm="1">
        <f t="array" aca="1" ref="D714" ca="1">OFFSET(INDIRECT("'["&amp;$H714&amp;"]"&amp;$I714&amp;"'!"&amp;$J714),$L714,$M714)*$K714</f>
        <v>8.5999999999999998E-4</v>
      </c>
      <c r="F714" s="4">
        <f t="shared" si="46"/>
        <v>9</v>
      </c>
      <c r="G714" s="4" cm="1">
        <f t="array" ref="G714">IF($C714+$M714&lt;16,INDEX(Sheet1!C:C,$F714),$F714)</f>
        <v>9</v>
      </c>
      <c r="H714" s="4" t="str" cm="1">
        <f t="array" ref="H714">INDEX(Sheet1!D:D,$G714)</f>
        <v>t1138.xlsx</v>
      </c>
      <c r="I714" s="4" t="str" cm="1">
        <f t="array" ref="I714">INDEX(Sheet1!E:E,$G714)</f>
        <v>Sheet1</v>
      </c>
      <c r="J714" s="4" t="str" cm="1">
        <f t="array" ref="J714">INDEX(Sheet1!F:F,$G714)</f>
        <v>B25</v>
      </c>
      <c r="K714" s="4" cm="1">
        <f t="array" ref="K714">INDEX(Sheet1!H:H,$G714)</f>
        <v>1</v>
      </c>
      <c r="L714" s="4">
        <f t="shared" si="44"/>
        <v>12</v>
      </c>
      <c r="M714" s="4">
        <f t="shared" si="47"/>
        <v>5</v>
      </c>
    </row>
    <row r="715" spans="1:13">
      <c r="A715" s="4" t="str" cm="1">
        <f t="array" ref="A715">INDEX(Sheet1!A:A,$F715)</f>
        <v>M</v>
      </c>
      <c r="B715" s="4" t="str" cm="1">
        <f t="array" ref="B715">INDEX(Sheet1!B:B,$F715)</f>
        <v>Undiff SM</v>
      </c>
      <c r="C715" s="4">
        <f t="shared" si="45"/>
        <v>13</v>
      </c>
      <c r="D715" s="5" cm="1">
        <f t="array" aca="1" ref="D715" ca="1">OFFSET(INDIRECT("'["&amp;$H715&amp;"]"&amp;$I715&amp;"'!"&amp;$J715),$L715,$M715)*$K715</f>
        <v>1.0300000000000001E-3</v>
      </c>
      <c r="F715" s="4">
        <f t="shared" si="46"/>
        <v>9</v>
      </c>
      <c r="G715" s="4" cm="1">
        <f t="array" ref="G715">IF($C715+$M715&lt;16,INDEX(Sheet1!C:C,$F715),$F715)</f>
        <v>9</v>
      </c>
      <c r="H715" s="4" t="str" cm="1">
        <f t="array" ref="H715">INDEX(Sheet1!D:D,$G715)</f>
        <v>t1138.xlsx</v>
      </c>
      <c r="I715" s="4" t="str" cm="1">
        <f t="array" ref="I715">INDEX(Sheet1!E:E,$G715)</f>
        <v>Sheet1</v>
      </c>
      <c r="J715" s="4" t="str" cm="1">
        <f t="array" ref="J715">INDEX(Sheet1!F:F,$G715)</f>
        <v>B25</v>
      </c>
      <c r="K715" s="4" cm="1">
        <f t="array" ref="K715">INDEX(Sheet1!H:H,$G715)</f>
        <v>1</v>
      </c>
      <c r="L715" s="4">
        <f t="shared" si="44"/>
        <v>13</v>
      </c>
      <c r="M715" s="4">
        <f t="shared" si="47"/>
        <v>5</v>
      </c>
    </row>
    <row r="716" spans="1:13">
      <c r="A716" s="4" t="str" cm="1">
        <f t="array" ref="A716">INDEX(Sheet1!A:A,$F716)</f>
        <v>M</v>
      </c>
      <c r="B716" s="4" t="str" cm="1">
        <f t="array" ref="B716">INDEX(Sheet1!B:B,$F716)</f>
        <v>Undiff SM</v>
      </c>
      <c r="C716" s="4">
        <f t="shared" si="45"/>
        <v>14</v>
      </c>
      <c r="D716" s="5" cm="1">
        <f t="array" aca="1" ref="D716" ca="1">OFFSET(INDIRECT("'["&amp;$H716&amp;"]"&amp;$I716&amp;"'!"&amp;$J716),$L716,$M716)*$K716</f>
        <v>1.1199999999999999E-3</v>
      </c>
      <c r="F716" s="4">
        <f t="shared" si="46"/>
        <v>9</v>
      </c>
      <c r="G716" s="4" cm="1">
        <f t="array" ref="G716">IF($C716+$M716&lt;16,INDEX(Sheet1!C:C,$F716),$F716)</f>
        <v>9</v>
      </c>
      <c r="H716" s="4" t="str" cm="1">
        <f t="array" ref="H716">INDEX(Sheet1!D:D,$G716)</f>
        <v>t1138.xlsx</v>
      </c>
      <c r="I716" s="4" t="str" cm="1">
        <f t="array" ref="I716">INDEX(Sheet1!E:E,$G716)</f>
        <v>Sheet1</v>
      </c>
      <c r="J716" s="4" t="str" cm="1">
        <f t="array" ref="J716">INDEX(Sheet1!F:F,$G716)</f>
        <v>B25</v>
      </c>
      <c r="K716" s="4" cm="1">
        <f t="array" ref="K716">INDEX(Sheet1!H:H,$G716)</f>
        <v>1</v>
      </c>
      <c r="L716" s="4">
        <f t="shared" si="44"/>
        <v>14</v>
      </c>
      <c r="M716" s="4">
        <f t="shared" si="47"/>
        <v>5</v>
      </c>
    </row>
    <row r="717" spans="1:13">
      <c r="A717" s="4" t="str" cm="1">
        <f t="array" ref="A717">INDEX(Sheet1!A:A,$F717)</f>
        <v>M</v>
      </c>
      <c r="B717" s="4" t="str" cm="1">
        <f t="array" ref="B717">INDEX(Sheet1!B:B,$F717)</f>
        <v>Undiff SM</v>
      </c>
      <c r="C717" s="4">
        <f t="shared" si="45"/>
        <v>15</v>
      </c>
      <c r="D717" s="5" cm="1">
        <f t="array" aca="1" ref="D717" ca="1">OFFSET(INDIRECT("'["&amp;$H717&amp;"]"&amp;$I717&amp;"'!"&amp;$J717),$L717,$M717)*$K717</f>
        <v>1.15E-3</v>
      </c>
      <c r="F717" s="4">
        <f t="shared" si="46"/>
        <v>9</v>
      </c>
      <c r="G717" s="4" cm="1">
        <f t="array" ref="G717">IF($C717+$M717&lt;16,INDEX(Sheet1!C:C,$F717),$F717)</f>
        <v>9</v>
      </c>
      <c r="H717" s="4" t="str" cm="1">
        <f t="array" ref="H717">INDEX(Sheet1!D:D,$G717)</f>
        <v>t1138.xlsx</v>
      </c>
      <c r="I717" s="4" t="str" cm="1">
        <f t="array" ref="I717">INDEX(Sheet1!E:E,$G717)</f>
        <v>Sheet1</v>
      </c>
      <c r="J717" s="4" t="str" cm="1">
        <f t="array" ref="J717">INDEX(Sheet1!F:F,$G717)</f>
        <v>B25</v>
      </c>
      <c r="K717" s="4" cm="1">
        <f t="array" ref="K717">INDEX(Sheet1!H:H,$G717)</f>
        <v>1</v>
      </c>
      <c r="L717" s="4">
        <f t="shared" si="44"/>
        <v>15</v>
      </c>
      <c r="M717" s="4">
        <f t="shared" si="47"/>
        <v>5</v>
      </c>
    </row>
    <row r="718" spans="1:13">
      <c r="A718" s="4" t="str" cm="1">
        <f t="array" ref="A718">INDEX(Sheet1!A:A,$F718)</f>
        <v>M</v>
      </c>
      <c r="B718" s="4" t="str" cm="1">
        <f t="array" ref="B718">INDEX(Sheet1!B:B,$F718)</f>
        <v>Undiff SM</v>
      </c>
      <c r="C718" s="4">
        <f t="shared" si="45"/>
        <v>16</v>
      </c>
      <c r="D718" s="5" cm="1">
        <f t="array" aca="1" ref="D718" ca="1">OFFSET(INDIRECT("'["&amp;$H718&amp;"]"&amp;$I718&amp;"'!"&amp;$J718),$L718,$M718)*$K718</f>
        <v>1.1999999999999999E-3</v>
      </c>
      <c r="F718" s="4">
        <f t="shared" si="46"/>
        <v>9</v>
      </c>
      <c r="G718" s="4" cm="1">
        <f t="array" ref="G718">IF($C718+$M718&lt;16,INDEX(Sheet1!C:C,$F718),$F718)</f>
        <v>9</v>
      </c>
      <c r="H718" s="4" t="str" cm="1">
        <f t="array" ref="H718">INDEX(Sheet1!D:D,$G718)</f>
        <v>t1138.xlsx</v>
      </c>
      <c r="I718" s="4" t="str" cm="1">
        <f t="array" ref="I718">INDEX(Sheet1!E:E,$G718)</f>
        <v>Sheet1</v>
      </c>
      <c r="J718" s="4" t="str" cm="1">
        <f t="array" ref="J718">INDEX(Sheet1!F:F,$G718)</f>
        <v>B25</v>
      </c>
      <c r="K718" s="4" cm="1">
        <f t="array" ref="K718">INDEX(Sheet1!H:H,$G718)</f>
        <v>1</v>
      </c>
      <c r="L718" s="4">
        <f t="shared" si="44"/>
        <v>16</v>
      </c>
      <c r="M718" s="4">
        <f t="shared" si="47"/>
        <v>5</v>
      </c>
    </row>
    <row r="719" spans="1:13">
      <c r="A719" s="4" t="str" cm="1">
        <f t="array" ref="A719">INDEX(Sheet1!A:A,$F719)</f>
        <v>M</v>
      </c>
      <c r="B719" s="4" t="str" cm="1">
        <f t="array" ref="B719">INDEX(Sheet1!B:B,$F719)</f>
        <v>Undiff SM</v>
      </c>
      <c r="C719" s="4">
        <f t="shared" si="45"/>
        <v>17</v>
      </c>
      <c r="D719" s="5" cm="1">
        <f t="array" aca="1" ref="D719" ca="1">OFFSET(INDIRECT("'["&amp;$H719&amp;"]"&amp;$I719&amp;"'!"&amp;$J719),$L719,$M719)*$K719</f>
        <v>1.2600000000000001E-3</v>
      </c>
      <c r="F719" s="4">
        <f t="shared" si="46"/>
        <v>9</v>
      </c>
      <c r="G719" s="4" cm="1">
        <f t="array" ref="G719">IF($C719+$M719&lt;16,INDEX(Sheet1!C:C,$F719),$F719)</f>
        <v>9</v>
      </c>
      <c r="H719" s="4" t="str" cm="1">
        <f t="array" ref="H719">INDEX(Sheet1!D:D,$G719)</f>
        <v>t1138.xlsx</v>
      </c>
      <c r="I719" s="4" t="str" cm="1">
        <f t="array" ref="I719">INDEX(Sheet1!E:E,$G719)</f>
        <v>Sheet1</v>
      </c>
      <c r="J719" s="4" t="str" cm="1">
        <f t="array" ref="J719">INDEX(Sheet1!F:F,$G719)</f>
        <v>B25</v>
      </c>
      <c r="K719" s="4" cm="1">
        <f t="array" ref="K719">INDEX(Sheet1!H:H,$G719)</f>
        <v>1</v>
      </c>
      <c r="L719" s="4">
        <f t="shared" si="44"/>
        <v>17</v>
      </c>
      <c r="M719" s="4">
        <f t="shared" si="47"/>
        <v>5</v>
      </c>
    </row>
    <row r="720" spans="1:13">
      <c r="A720" s="4" t="str" cm="1">
        <f t="array" ref="A720">INDEX(Sheet1!A:A,$F720)</f>
        <v>M</v>
      </c>
      <c r="B720" s="4" t="str" cm="1">
        <f t="array" ref="B720">INDEX(Sheet1!B:B,$F720)</f>
        <v>Undiff SM</v>
      </c>
      <c r="C720" s="4">
        <f t="shared" si="45"/>
        <v>18</v>
      </c>
      <c r="D720" s="5" cm="1">
        <f t="array" aca="1" ref="D720" ca="1">OFFSET(INDIRECT("'["&amp;$H720&amp;"]"&amp;$I720&amp;"'!"&amp;$J720),$L720,$M720)*$K720</f>
        <v>1.2700000000000001E-3</v>
      </c>
      <c r="F720" s="4">
        <f t="shared" si="46"/>
        <v>9</v>
      </c>
      <c r="G720" s="4" cm="1">
        <f t="array" ref="G720">IF($C720+$M720&lt;16,INDEX(Sheet1!C:C,$F720),$F720)</f>
        <v>9</v>
      </c>
      <c r="H720" s="4" t="str" cm="1">
        <f t="array" ref="H720">INDEX(Sheet1!D:D,$G720)</f>
        <v>t1138.xlsx</v>
      </c>
      <c r="I720" s="4" t="str" cm="1">
        <f t="array" ref="I720">INDEX(Sheet1!E:E,$G720)</f>
        <v>Sheet1</v>
      </c>
      <c r="J720" s="4" t="str" cm="1">
        <f t="array" ref="J720">INDEX(Sheet1!F:F,$G720)</f>
        <v>B25</v>
      </c>
      <c r="K720" s="4" cm="1">
        <f t="array" ref="K720">INDEX(Sheet1!H:H,$G720)</f>
        <v>1</v>
      </c>
      <c r="L720" s="4">
        <f t="shared" si="44"/>
        <v>18</v>
      </c>
      <c r="M720" s="4">
        <f t="shared" si="47"/>
        <v>5</v>
      </c>
    </row>
    <row r="721" spans="1:13">
      <c r="A721" s="4" t="str" cm="1">
        <f t="array" ref="A721">INDEX(Sheet1!A:A,$F721)</f>
        <v>M</v>
      </c>
      <c r="B721" s="4" t="str" cm="1">
        <f t="array" ref="B721">INDEX(Sheet1!B:B,$F721)</f>
        <v>Undiff SM</v>
      </c>
      <c r="C721" s="4">
        <f t="shared" si="45"/>
        <v>19</v>
      </c>
      <c r="D721" s="5" cm="1">
        <f t="array" aca="1" ref="D721" ca="1">OFFSET(INDIRECT("'["&amp;$H721&amp;"]"&amp;$I721&amp;"'!"&amp;$J721),$L721,$M721)*$K721</f>
        <v>1.2899999999999999E-3</v>
      </c>
      <c r="F721" s="4">
        <f t="shared" si="46"/>
        <v>9</v>
      </c>
      <c r="G721" s="4" cm="1">
        <f t="array" ref="G721">IF($C721+$M721&lt;16,INDEX(Sheet1!C:C,$F721),$F721)</f>
        <v>9</v>
      </c>
      <c r="H721" s="4" t="str" cm="1">
        <f t="array" ref="H721">INDEX(Sheet1!D:D,$G721)</f>
        <v>t1138.xlsx</v>
      </c>
      <c r="I721" s="4" t="str" cm="1">
        <f t="array" ref="I721">INDEX(Sheet1!E:E,$G721)</f>
        <v>Sheet1</v>
      </c>
      <c r="J721" s="4" t="str" cm="1">
        <f t="array" ref="J721">INDEX(Sheet1!F:F,$G721)</f>
        <v>B25</v>
      </c>
      <c r="K721" s="4" cm="1">
        <f t="array" ref="K721">INDEX(Sheet1!H:H,$G721)</f>
        <v>1</v>
      </c>
      <c r="L721" s="4">
        <f t="shared" si="44"/>
        <v>19</v>
      </c>
      <c r="M721" s="4">
        <f t="shared" si="47"/>
        <v>5</v>
      </c>
    </row>
    <row r="722" spans="1:13">
      <c r="A722" s="4" t="str" cm="1">
        <f t="array" ref="A722">INDEX(Sheet1!A:A,$F722)</f>
        <v>M</v>
      </c>
      <c r="B722" s="4" t="str" cm="1">
        <f t="array" ref="B722">INDEX(Sheet1!B:B,$F722)</f>
        <v>Undiff SM</v>
      </c>
      <c r="C722" s="4">
        <f t="shared" si="45"/>
        <v>20</v>
      </c>
      <c r="D722" s="5" cm="1">
        <f t="array" aca="1" ref="D722" ca="1">OFFSET(INDIRECT("'["&amp;$H722&amp;"]"&amp;$I722&amp;"'!"&amp;$J722),$L722,$M722)*$K722</f>
        <v>1.2999999999999999E-3</v>
      </c>
      <c r="F722" s="4">
        <f t="shared" si="46"/>
        <v>9</v>
      </c>
      <c r="G722" s="4" cm="1">
        <f t="array" ref="G722">IF($C722+$M722&lt;16,INDEX(Sheet1!C:C,$F722),$F722)</f>
        <v>9</v>
      </c>
      <c r="H722" s="4" t="str" cm="1">
        <f t="array" ref="H722">INDEX(Sheet1!D:D,$G722)</f>
        <v>t1138.xlsx</v>
      </c>
      <c r="I722" s="4" t="str" cm="1">
        <f t="array" ref="I722">INDEX(Sheet1!E:E,$G722)</f>
        <v>Sheet1</v>
      </c>
      <c r="J722" s="4" t="str" cm="1">
        <f t="array" ref="J722">INDEX(Sheet1!F:F,$G722)</f>
        <v>B25</v>
      </c>
      <c r="K722" s="4" cm="1">
        <f t="array" ref="K722">INDEX(Sheet1!H:H,$G722)</f>
        <v>1</v>
      </c>
      <c r="L722" s="4">
        <f t="shared" si="44"/>
        <v>20</v>
      </c>
      <c r="M722" s="4">
        <f t="shared" si="47"/>
        <v>5</v>
      </c>
    </row>
    <row r="723" spans="1:13">
      <c r="A723" s="4" t="str" cm="1">
        <f t="array" ref="A723">INDEX(Sheet1!A:A,$F723)</f>
        <v>M</v>
      </c>
      <c r="B723" s="4" t="str" cm="1">
        <f t="array" ref="B723">INDEX(Sheet1!B:B,$F723)</f>
        <v>Undiff SM</v>
      </c>
      <c r="C723" s="4">
        <f t="shared" si="45"/>
        <v>21</v>
      </c>
      <c r="D723" s="5" cm="1">
        <f t="array" aca="1" ref="D723" ca="1">OFFSET(INDIRECT("'["&amp;$H723&amp;"]"&amp;$I723&amp;"'!"&amp;$J723),$L723,$M723)*$K723</f>
        <v>1.23E-3</v>
      </c>
      <c r="F723" s="4">
        <f t="shared" si="46"/>
        <v>9</v>
      </c>
      <c r="G723" s="4" cm="1">
        <f t="array" ref="G723">IF($C723+$M723&lt;16,INDEX(Sheet1!C:C,$F723),$F723)</f>
        <v>9</v>
      </c>
      <c r="H723" s="4" t="str" cm="1">
        <f t="array" ref="H723">INDEX(Sheet1!D:D,$G723)</f>
        <v>t1138.xlsx</v>
      </c>
      <c r="I723" s="4" t="str" cm="1">
        <f t="array" ref="I723">INDEX(Sheet1!E:E,$G723)</f>
        <v>Sheet1</v>
      </c>
      <c r="J723" s="4" t="str" cm="1">
        <f t="array" ref="J723">INDEX(Sheet1!F:F,$G723)</f>
        <v>B25</v>
      </c>
      <c r="K723" s="4" cm="1">
        <f t="array" ref="K723">INDEX(Sheet1!H:H,$G723)</f>
        <v>1</v>
      </c>
      <c r="L723" s="4">
        <f t="shared" si="44"/>
        <v>21</v>
      </c>
      <c r="M723" s="4">
        <f t="shared" si="47"/>
        <v>5</v>
      </c>
    </row>
    <row r="724" spans="1:13">
      <c r="A724" s="4" t="str" cm="1">
        <f t="array" ref="A724">INDEX(Sheet1!A:A,$F724)</f>
        <v>M</v>
      </c>
      <c r="B724" s="4" t="str" cm="1">
        <f t="array" ref="B724">INDEX(Sheet1!B:B,$F724)</f>
        <v>Undiff SM</v>
      </c>
      <c r="C724" s="4">
        <f t="shared" si="45"/>
        <v>22</v>
      </c>
      <c r="D724" s="5" cm="1">
        <f t="array" aca="1" ref="D724" ca="1">OFFSET(INDIRECT("'["&amp;$H724&amp;"]"&amp;$I724&amp;"'!"&amp;$J724),$L724,$M724)*$K724</f>
        <v>1.1900000000000001E-3</v>
      </c>
      <c r="F724" s="4">
        <f t="shared" si="46"/>
        <v>9</v>
      </c>
      <c r="G724" s="4" cm="1">
        <f t="array" ref="G724">IF($C724+$M724&lt;16,INDEX(Sheet1!C:C,$F724),$F724)</f>
        <v>9</v>
      </c>
      <c r="H724" s="4" t="str" cm="1">
        <f t="array" ref="H724">INDEX(Sheet1!D:D,$G724)</f>
        <v>t1138.xlsx</v>
      </c>
      <c r="I724" s="4" t="str" cm="1">
        <f t="array" ref="I724">INDEX(Sheet1!E:E,$G724)</f>
        <v>Sheet1</v>
      </c>
      <c r="J724" s="4" t="str" cm="1">
        <f t="array" ref="J724">INDEX(Sheet1!F:F,$G724)</f>
        <v>B25</v>
      </c>
      <c r="K724" s="4" cm="1">
        <f t="array" ref="K724">INDEX(Sheet1!H:H,$G724)</f>
        <v>1</v>
      </c>
      <c r="L724" s="4">
        <f t="shared" si="44"/>
        <v>22</v>
      </c>
      <c r="M724" s="4">
        <f t="shared" si="47"/>
        <v>5</v>
      </c>
    </row>
    <row r="725" spans="1:13">
      <c r="A725" s="4" t="str" cm="1">
        <f t="array" ref="A725">INDEX(Sheet1!A:A,$F725)</f>
        <v>M</v>
      </c>
      <c r="B725" s="4" t="str" cm="1">
        <f t="array" ref="B725">INDEX(Sheet1!B:B,$F725)</f>
        <v>Undiff SM</v>
      </c>
      <c r="C725" s="4">
        <f t="shared" si="45"/>
        <v>23</v>
      </c>
      <c r="D725" s="5" cm="1">
        <f t="array" aca="1" ref="D725" ca="1">OFFSET(INDIRECT("'["&amp;$H725&amp;"]"&amp;$I725&amp;"'!"&amp;$J725),$L725,$M725)*$K725</f>
        <v>1.1900000000000001E-3</v>
      </c>
      <c r="F725" s="4">
        <f t="shared" si="46"/>
        <v>9</v>
      </c>
      <c r="G725" s="4" cm="1">
        <f t="array" ref="G725">IF($C725+$M725&lt;16,INDEX(Sheet1!C:C,$F725),$F725)</f>
        <v>9</v>
      </c>
      <c r="H725" s="4" t="str" cm="1">
        <f t="array" ref="H725">INDEX(Sheet1!D:D,$G725)</f>
        <v>t1138.xlsx</v>
      </c>
      <c r="I725" s="4" t="str" cm="1">
        <f t="array" ref="I725">INDEX(Sheet1!E:E,$G725)</f>
        <v>Sheet1</v>
      </c>
      <c r="J725" s="4" t="str" cm="1">
        <f t="array" ref="J725">INDEX(Sheet1!F:F,$G725)</f>
        <v>B25</v>
      </c>
      <c r="K725" s="4" cm="1">
        <f t="array" ref="K725">INDEX(Sheet1!H:H,$G725)</f>
        <v>1</v>
      </c>
      <c r="L725" s="4">
        <f t="shared" si="44"/>
        <v>23</v>
      </c>
      <c r="M725" s="4">
        <f t="shared" si="47"/>
        <v>5</v>
      </c>
    </row>
    <row r="726" spans="1:13">
      <c r="A726" s="4" t="str" cm="1">
        <f t="array" ref="A726">INDEX(Sheet1!A:A,$F726)</f>
        <v>M</v>
      </c>
      <c r="B726" s="4" t="str" cm="1">
        <f t="array" ref="B726">INDEX(Sheet1!B:B,$F726)</f>
        <v>Undiff SM</v>
      </c>
      <c r="C726" s="4">
        <f t="shared" si="45"/>
        <v>24</v>
      </c>
      <c r="D726" s="5" cm="1">
        <f t="array" aca="1" ref="D726" ca="1">OFFSET(INDIRECT("'["&amp;$H726&amp;"]"&amp;$I726&amp;"'!"&amp;$J726),$L726,$M726)*$K726</f>
        <v>1.1900000000000001E-3</v>
      </c>
      <c r="F726" s="4">
        <f t="shared" si="46"/>
        <v>9</v>
      </c>
      <c r="G726" s="4" cm="1">
        <f t="array" ref="G726">IF($C726+$M726&lt;16,INDEX(Sheet1!C:C,$F726),$F726)</f>
        <v>9</v>
      </c>
      <c r="H726" s="4" t="str" cm="1">
        <f t="array" ref="H726">INDEX(Sheet1!D:D,$G726)</f>
        <v>t1138.xlsx</v>
      </c>
      <c r="I726" s="4" t="str" cm="1">
        <f t="array" ref="I726">INDEX(Sheet1!E:E,$G726)</f>
        <v>Sheet1</v>
      </c>
      <c r="J726" s="4" t="str" cm="1">
        <f t="array" ref="J726">INDEX(Sheet1!F:F,$G726)</f>
        <v>B25</v>
      </c>
      <c r="K726" s="4" cm="1">
        <f t="array" ref="K726">INDEX(Sheet1!H:H,$G726)</f>
        <v>1</v>
      </c>
      <c r="L726" s="4">
        <f t="shared" si="44"/>
        <v>24</v>
      </c>
      <c r="M726" s="4">
        <f t="shared" si="47"/>
        <v>5</v>
      </c>
    </row>
    <row r="727" spans="1:13">
      <c r="A727" s="4" t="str" cm="1">
        <f t="array" ref="A727">INDEX(Sheet1!A:A,$F727)</f>
        <v>M</v>
      </c>
      <c r="B727" s="4" t="str" cm="1">
        <f t="array" ref="B727">INDEX(Sheet1!B:B,$F727)</f>
        <v>Undiff SM</v>
      </c>
      <c r="C727" s="4">
        <f t="shared" si="45"/>
        <v>25</v>
      </c>
      <c r="D727" s="5" cm="1">
        <f t="array" aca="1" ref="D727" ca="1">OFFSET(INDIRECT("'["&amp;$H727&amp;"]"&amp;$I727&amp;"'!"&amp;$J727),$L727,$M727)*$K727</f>
        <v>1.2199999999999999E-3</v>
      </c>
      <c r="F727" s="4">
        <f t="shared" si="46"/>
        <v>9</v>
      </c>
      <c r="G727" s="4" cm="1">
        <f t="array" ref="G727">IF($C727+$M727&lt;16,INDEX(Sheet1!C:C,$F727),$F727)</f>
        <v>9</v>
      </c>
      <c r="H727" s="4" t="str" cm="1">
        <f t="array" ref="H727">INDEX(Sheet1!D:D,$G727)</f>
        <v>t1138.xlsx</v>
      </c>
      <c r="I727" s="4" t="str" cm="1">
        <f t="array" ref="I727">INDEX(Sheet1!E:E,$G727)</f>
        <v>Sheet1</v>
      </c>
      <c r="J727" s="4" t="str" cm="1">
        <f t="array" ref="J727">INDEX(Sheet1!F:F,$G727)</f>
        <v>B25</v>
      </c>
      <c r="K727" s="4" cm="1">
        <f t="array" ref="K727">INDEX(Sheet1!H:H,$G727)</f>
        <v>1</v>
      </c>
      <c r="L727" s="4">
        <f t="shared" si="44"/>
        <v>25</v>
      </c>
      <c r="M727" s="4">
        <f t="shared" si="47"/>
        <v>5</v>
      </c>
    </row>
    <row r="728" spans="1:13">
      <c r="A728" s="4" t="str" cm="1">
        <f t="array" ref="A728">INDEX(Sheet1!A:A,$F728)</f>
        <v>M</v>
      </c>
      <c r="B728" s="4" t="str" cm="1">
        <f t="array" ref="B728">INDEX(Sheet1!B:B,$F728)</f>
        <v>Undiff SM</v>
      </c>
      <c r="C728" s="4">
        <f t="shared" si="45"/>
        <v>26</v>
      </c>
      <c r="D728" s="5" cm="1">
        <f t="array" aca="1" ref="D728" ca="1">OFFSET(INDIRECT("'["&amp;$H728&amp;"]"&amp;$I728&amp;"'!"&amp;$J728),$L728,$M728)*$K728</f>
        <v>1.25E-3</v>
      </c>
      <c r="F728" s="4">
        <f t="shared" si="46"/>
        <v>9</v>
      </c>
      <c r="G728" s="4" cm="1">
        <f t="array" ref="G728">IF($C728+$M728&lt;16,INDEX(Sheet1!C:C,$F728),$F728)</f>
        <v>9</v>
      </c>
      <c r="H728" s="4" t="str" cm="1">
        <f t="array" ref="H728">INDEX(Sheet1!D:D,$G728)</f>
        <v>t1138.xlsx</v>
      </c>
      <c r="I728" s="4" t="str" cm="1">
        <f t="array" ref="I728">INDEX(Sheet1!E:E,$G728)</f>
        <v>Sheet1</v>
      </c>
      <c r="J728" s="4" t="str" cm="1">
        <f t="array" ref="J728">INDEX(Sheet1!F:F,$G728)</f>
        <v>B25</v>
      </c>
      <c r="K728" s="4" cm="1">
        <f t="array" ref="K728">INDEX(Sheet1!H:H,$G728)</f>
        <v>1</v>
      </c>
      <c r="L728" s="4">
        <f t="shared" si="44"/>
        <v>26</v>
      </c>
      <c r="M728" s="4">
        <f t="shared" si="47"/>
        <v>5</v>
      </c>
    </row>
    <row r="729" spans="1:13">
      <c r="A729" s="4" t="str" cm="1">
        <f t="array" ref="A729">INDEX(Sheet1!A:A,$F729)</f>
        <v>M</v>
      </c>
      <c r="B729" s="4" t="str" cm="1">
        <f t="array" ref="B729">INDEX(Sheet1!B:B,$F729)</f>
        <v>Undiff SM</v>
      </c>
      <c r="C729" s="4">
        <f t="shared" si="45"/>
        <v>27</v>
      </c>
      <c r="D729" s="5" cm="1">
        <f t="array" aca="1" ref="D729" ca="1">OFFSET(INDIRECT("'["&amp;$H729&amp;"]"&amp;$I729&amp;"'!"&amp;$J729),$L729,$M729)*$K729</f>
        <v>1.31E-3</v>
      </c>
      <c r="F729" s="4">
        <f t="shared" si="46"/>
        <v>9</v>
      </c>
      <c r="G729" s="4" cm="1">
        <f t="array" ref="G729">IF($C729+$M729&lt;16,INDEX(Sheet1!C:C,$F729),$F729)</f>
        <v>9</v>
      </c>
      <c r="H729" s="4" t="str" cm="1">
        <f t="array" ref="H729">INDEX(Sheet1!D:D,$G729)</f>
        <v>t1138.xlsx</v>
      </c>
      <c r="I729" s="4" t="str" cm="1">
        <f t="array" ref="I729">INDEX(Sheet1!E:E,$G729)</f>
        <v>Sheet1</v>
      </c>
      <c r="J729" s="4" t="str" cm="1">
        <f t="array" ref="J729">INDEX(Sheet1!F:F,$G729)</f>
        <v>B25</v>
      </c>
      <c r="K729" s="4" cm="1">
        <f t="array" ref="K729">INDEX(Sheet1!H:H,$G729)</f>
        <v>1</v>
      </c>
      <c r="L729" s="4">
        <f t="shared" si="44"/>
        <v>27</v>
      </c>
      <c r="M729" s="4">
        <f t="shared" si="47"/>
        <v>5</v>
      </c>
    </row>
    <row r="730" spans="1:13">
      <c r="A730" s="4" t="str" cm="1">
        <f t="array" ref="A730">INDEX(Sheet1!A:A,$F730)</f>
        <v>M</v>
      </c>
      <c r="B730" s="4" t="str" cm="1">
        <f t="array" ref="B730">INDEX(Sheet1!B:B,$F730)</f>
        <v>Undiff SM</v>
      </c>
      <c r="C730" s="4">
        <f t="shared" si="45"/>
        <v>28</v>
      </c>
      <c r="D730" s="5" cm="1">
        <f t="array" aca="1" ref="D730" ca="1">OFFSET(INDIRECT("'["&amp;$H730&amp;"]"&amp;$I730&amp;"'!"&amp;$J730),$L730,$M730)*$K730</f>
        <v>1.39E-3</v>
      </c>
      <c r="F730" s="4">
        <f t="shared" si="46"/>
        <v>9</v>
      </c>
      <c r="G730" s="4" cm="1">
        <f t="array" ref="G730">IF($C730+$M730&lt;16,INDEX(Sheet1!C:C,$F730),$F730)</f>
        <v>9</v>
      </c>
      <c r="H730" s="4" t="str" cm="1">
        <f t="array" ref="H730">INDEX(Sheet1!D:D,$G730)</f>
        <v>t1138.xlsx</v>
      </c>
      <c r="I730" s="4" t="str" cm="1">
        <f t="array" ref="I730">INDEX(Sheet1!E:E,$G730)</f>
        <v>Sheet1</v>
      </c>
      <c r="J730" s="4" t="str" cm="1">
        <f t="array" ref="J730">INDEX(Sheet1!F:F,$G730)</f>
        <v>B25</v>
      </c>
      <c r="K730" s="4" cm="1">
        <f t="array" ref="K730">INDEX(Sheet1!H:H,$G730)</f>
        <v>1</v>
      </c>
      <c r="L730" s="4">
        <f t="shared" si="44"/>
        <v>28</v>
      </c>
      <c r="M730" s="4">
        <f t="shared" si="47"/>
        <v>5</v>
      </c>
    </row>
    <row r="731" spans="1:13">
      <c r="A731" s="4" t="str" cm="1">
        <f t="array" ref="A731">INDEX(Sheet1!A:A,$F731)</f>
        <v>M</v>
      </c>
      <c r="B731" s="4" t="str" cm="1">
        <f t="array" ref="B731">INDEX(Sheet1!B:B,$F731)</f>
        <v>Undiff SM</v>
      </c>
      <c r="C731" s="4">
        <f t="shared" si="45"/>
        <v>29</v>
      </c>
      <c r="D731" s="5" cm="1">
        <f t="array" aca="1" ref="D731" ca="1">OFFSET(INDIRECT("'["&amp;$H731&amp;"]"&amp;$I731&amp;"'!"&amp;$J731),$L731,$M731)*$K731</f>
        <v>1.48E-3</v>
      </c>
      <c r="F731" s="4">
        <f t="shared" si="46"/>
        <v>9</v>
      </c>
      <c r="G731" s="4" cm="1">
        <f t="array" ref="G731">IF($C731+$M731&lt;16,INDEX(Sheet1!C:C,$F731),$F731)</f>
        <v>9</v>
      </c>
      <c r="H731" s="4" t="str" cm="1">
        <f t="array" ref="H731">INDEX(Sheet1!D:D,$G731)</f>
        <v>t1138.xlsx</v>
      </c>
      <c r="I731" s="4" t="str" cm="1">
        <f t="array" ref="I731">INDEX(Sheet1!E:E,$G731)</f>
        <v>Sheet1</v>
      </c>
      <c r="J731" s="4" t="str" cm="1">
        <f t="array" ref="J731">INDEX(Sheet1!F:F,$G731)</f>
        <v>B25</v>
      </c>
      <c r="K731" s="4" cm="1">
        <f t="array" ref="K731">INDEX(Sheet1!H:H,$G731)</f>
        <v>1</v>
      </c>
      <c r="L731" s="4">
        <f t="shared" si="44"/>
        <v>29</v>
      </c>
      <c r="M731" s="4">
        <f t="shared" si="47"/>
        <v>5</v>
      </c>
    </row>
    <row r="732" spans="1:13">
      <c r="A732" s="4" t="str" cm="1">
        <f t="array" ref="A732">INDEX(Sheet1!A:A,$F732)</f>
        <v>M</v>
      </c>
      <c r="B732" s="4" t="str" cm="1">
        <f t="array" ref="B732">INDEX(Sheet1!B:B,$F732)</f>
        <v>Undiff SM</v>
      </c>
      <c r="C732" s="4">
        <f t="shared" si="45"/>
        <v>30</v>
      </c>
      <c r="D732" s="5" cm="1">
        <f t="array" aca="1" ref="D732" ca="1">OFFSET(INDIRECT("'["&amp;$H732&amp;"]"&amp;$I732&amp;"'!"&amp;$J732),$L732,$M732)*$K732</f>
        <v>1.6000000000000001E-3</v>
      </c>
      <c r="F732" s="4">
        <f t="shared" si="46"/>
        <v>9</v>
      </c>
      <c r="G732" s="4" cm="1">
        <f t="array" ref="G732">IF($C732+$M732&lt;16,INDEX(Sheet1!C:C,$F732),$F732)</f>
        <v>9</v>
      </c>
      <c r="H732" s="4" t="str" cm="1">
        <f t="array" ref="H732">INDEX(Sheet1!D:D,$G732)</f>
        <v>t1138.xlsx</v>
      </c>
      <c r="I732" s="4" t="str" cm="1">
        <f t="array" ref="I732">INDEX(Sheet1!E:E,$G732)</f>
        <v>Sheet1</v>
      </c>
      <c r="J732" s="4" t="str" cm="1">
        <f t="array" ref="J732">INDEX(Sheet1!F:F,$G732)</f>
        <v>B25</v>
      </c>
      <c r="K732" s="4" cm="1">
        <f t="array" ref="K732">INDEX(Sheet1!H:H,$G732)</f>
        <v>1</v>
      </c>
      <c r="L732" s="4">
        <f t="shared" si="44"/>
        <v>30</v>
      </c>
      <c r="M732" s="4">
        <f t="shared" si="47"/>
        <v>5</v>
      </c>
    </row>
    <row r="733" spans="1:13">
      <c r="A733" s="4" t="str" cm="1">
        <f t="array" ref="A733">INDEX(Sheet1!A:A,$F733)</f>
        <v>M</v>
      </c>
      <c r="B733" s="4" t="str" cm="1">
        <f t="array" ref="B733">INDEX(Sheet1!B:B,$F733)</f>
        <v>Undiff SM</v>
      </c>
      <c r="C733" s="4">
        <f t="shared" si="45"/>
        <v>31</v>
      </c>
      <c r="D733" s="5" cm="1">
        <f t="array" aca="1" ref="D733" ca="1">OFFSET(INDIRECT("'["&amp;$H733&amp;"]"&amp;$I733&amp;"'!"&amp;$J733),$L733,$M733)*$K733</f>
        <v>1.6999999999999999E-3</v>
      </c>
      <c r="F733" s="4">
        <f t="shared" si="46"/>
        <v>9</v>
      </c>
      <c r="G733" s="4" cm="1">
        <f t="array" ref="G733">IF($C733+$M733&lt;16,INDEX(Sheet1!C:C,$F733),$F733)</f>
        <v>9</v>
      </c>
      <c r="H733" s="4" t="str" cm="1">
        <f t="array" ref="H733">INDEX(Sheet1!D:D,$G733)</f>
        <v>t1138.xlsx</v>
      </c>
      <c r="I733" s="4" t="str" cm="1">
        <f t="array" ref="I733">INDEX(Sheet1!E:E,$G733)</f>
        <v>Sheet1</v>
      </c>
      <c r="J733" s="4" t="str" cm="1">
        <f t="array" ref="J733">INDEX(Sheet1!F:F,$G733)</f>
        <v>B25</v>
      </c>
      <c r="K733" s="4" cm="1">
        <f t="array" ref="K733">INDEX(Sheet1!H:H,$G733)</f>
        <v>1</v>
      </c>
      <c r="L733" s="4">
        <f t="shared" si="44"/>
        <v>31</v>
      </c>
      <c r="M733" s="4">
        <f t="shared" si="47"/>
        <v>5</v>
      </c>
    </row>
    <row r="734" spans="1:13">
      <c r="A734" s="4" t="str" cm="1">
        <f t="array" ref="A734">INDEX(Sheet1!A:A,$F734)</f>
        <v>M</v>
      </c>
      <c r="B734" s="4" t="str" cm="1">
        <f t="array" ref="B734">INDEX(Sheet1!B:B,$F734)</f>
        <v>Undiff SM</v>
      </c>
      <c r="C734" s="4">
        <f t="shared" si="45"/>
        <v>32</v>
      </c>
      <c r="D734" s="5" cm="1">
        <f t="array" aca="1" ref="D734" ca="1">OFFSET(INDIRECT("'["&amp;$H734&amp;"]"&amp;$I734&amp;"'!"&amp;$J734),$L734,$M734)*$K734</f>
        <v>1.75E-3</v>
      </c>
      <c r="F734" s="4">
        <f t="shared" si="46"/>
        <v>9</v>
      </c>
      <c r="G734" s="4" cm="1">
        <f t="array" ref="G734">IF($C734+$M734&lt;16,INDEX(Sheet1!C:C,$F734),$F734)</f>
        <v>9</v>
      </c>
      <c r="H734" s="4" t="str" cm="1">
        <f t="array" ref="H734">INDEX(Sheet1!D:D,$G734)</f>
        <v>t1138.xlsx</v>
      </c>
      <c r="I734" s="4" t="str" cm="1">
        <f t="array" ref="I734">INDEX(Sheet1!E:E,$G734)</f>
        <v>Sheet1</v>
      </c>
      <c r="J734" s="4" t="str" cm="1">
        <f t="array" ref="J734">INDEX(Sheet1!F:F,$G734)</f>
        <v>B25</v>
      </c>
      <c r="K734" s="4" cm="1">
        <f t="array" ref="K734">INDEX(Sheet1!H:H,$G734)</f>
        <v>1</v>
      </c>
      <c r="L734" s="4">
        <f t="shared" si="44"/>
        <v>32</v>
      </c>
      <c r="M734" s="4">
        <f t="shared" si="47"/>
        <v>5</v>
      </c>
    </row>
    <row r="735" spans="1:13">
      <c r="A735" s="4" t="str" cm="1">
        <f t="array" ref="A735">INDEX(Sheet1!A:A,$F735)</f>
        <v>M</v>
      </c>
      <c r="B735" s="4" t="str" cm="1">
        <f t="array" ref="B735">INDEX(Sheet1!B:B,$F735)</f>
        <v>Undiff SM</v>
      </c>
      <c r="C735" s="4">
        <f t="shared" si="45"/>
        <v>33</v>
      </c>
      <c r="D735" s="5" cm="1">
        <f t="array" aca="1" ref="D735" ca="1">OFFSET(INDIRECT("'["&amp;$H735&amp;"]"&amp;$I735&amp;"'!"&amp;$J735),$L735,$M735)*$K735</f>
        <v>1.8699999999999999E-3</v>
      </c>
      <c r="F735" s="4">
        <f t="shared" si="46"/>
        <v>9</v>
      </c>
      <c r="G735" s="4" cm="1">
        <f t="array" ref="G735">IF($C735+$M735&lt;16,INDEX(Sheet1!C:C,$F735),$F735)</f>
        <v>9</v>
      </c>
      <c r="H735" s="4" t="str" cm="1">
        <f t="array" ref="H735">INDEX(Sheet1!D:D,$G735)</f>
        <v>t1138.xlsx</v>
      </c>
      <c r="I735" s="4" t="str" cm="1">
        <f t="array" ref="I735">INDEX(Sheet1!E:E,$G735)</f>
        <v>Sheet1</v>
      </c>
      <c r="J735" s="4" t="str" cm="1">
        <f t="array" ref="J735">INDEX(Sheet1!F:F,$G735)</f>
        <v>B25</v>
      </c>
      <c r="K735" s="4" cm="1">
        <f t="array" ref="K735">INDEX(Sheet1!H:H,$G735)</f>
        <v>1</v>
      </c>
      <c r="L735" s="4">
        <f t="shared" si="44"/>
        <v>33</v>
      </c>
      <c r="M735" s="4">
        <f t="shared" si="47"/>
        <v>5</v>
      </c>
    </row>
    <row r="736" spans="1:13">
      <c r="A736" s="4" t="str" cm="1">
        <f t="array" ref="A736">INDEX(Sheet1!A:A,$F736)</f>
        <v>M</v>
      </c>
      <c r="B736" s="4" t="str" cm="1">
        <f t="array" ref="B736">INDEX(Sheet1!B:B,$F736)</f>
        <v>Undiff SM</v>
      </c>
      <c r="C736" s="4">
        <f t="shared" si="45"/>
        <v>34</v>
      </c>
      <c r="D736" s="5" cm="1">
        <f t="array" aca="1" ref="D736" ca="1">OFFSET(INDIRECT("'["&amp;$H736&amp;"]"&amp;$I736&amp;"'!"&amp;$J736),$L736,$M736)*$K736</f>
        <v>2E-3</v>
      </c>
      <c r="F736" s="4">
        <f t="shared" si="46"/>
        <v>9</v>
      </c>
      <c r="G736" s="4" cm="1">
        <f t="array" ref="G736">IF($C736+$M736&lt;16,INDEX(Sheet1!C:C,$F736),$F736)</f>
        <v>9</v>
      </c>
      <c r="H736" s="4" t="str" cm="1">
        <f t="array" ref="H736">INDEX(Sheet1!D:D,$G736)</f>
        <v>t1138.xlsx</v>
      </c>
      <c r="I736" s="4" t="str" cm="1">
        <f t="array" ref="I736">INDEX(Sheet1!E:E,$G736)</f>
        <v>Sheet1</v>
      </c>
      <c r="J736" s="4" t="str" cm="1">
        <f t="array" ref="J736">INDEX(Sheet1!F:F,$G736)</f>
        <v>B25</v>
      </c>
      <c r="K736" s="4" cm="1">
        <f t="array" ref="K736">INDEX(Sheet1!H:H,$G736)</f>
        <v>1</v>
      </c>
      <c r="L736" s="4">
        <f t="shared" si="44"/>
        <v>34</v>
      </c>
      <c r="M736" s="4">
        <f t="shared" si="47"/>
        <v>5</v>
      </c>
    </row>
    <row r="737" spans="1:13">
      <c r="A737" s="4" t="str" cm="1">
        <f t="array" ref="A737">INDEX(Sheet1!A:A,$F737)</f>
        <v>M</v>
      </c>
      <c r="B737" s="4" t="str" cm="1">
        <f t="array" ref="B737">INDEX(Sheet1!B:B,$F737)</f>
        <v>Undiff SM</v>
      </c>
      <c r="C737" s="4">
        <f t="shared" si="45"/>
        <v>35</v>
      </c>
      <c r="D737" s="5" cm="1">
        <f t="array" aca="1" ref="D737" ca="1">OFFSET(INDIRECT("'["&amp;$H737&amp;"]"&amp;$I737&amp;"'!"&amp;$J737),$L737,$M737)*$K737</f>
        <v>2.1299999999999999E-3</v>
      </c>
      <c r="F737" s="4">
        <f t="shared" si="46"/>
        <v>9</v>
      </c>
      <c r="G737" s="4" cm="1">
        <f t="array" ref="G737">IF($C737+$M737&lt;16,INDEX(Sheet1!C:C,$F737),$F737)</f>
        <v>9</v>
      </c>
      <c r="H737" s="4" t="str" cm="1">
        <f t="array" ref="H737">INDEX(Sheet1!D:D,$G737)</f>
        <v>t1138.xlsx</v>
      </c>
      <c r="I737" s="4" t="str" cm="1">
        <f t="array" ref="I737">INDEX(Sheet1!E:E,$G737)</f>
        <v>Sheet1</v>
      </c>
      <c r="J737" s="4" t="str" cm="1">
        <f t="array" ref="J737">INDEX(Sheet1!F:F,$G737)</f>
        <v>B25</v>
      </c>
      <c r="K737" s="4" cm="1">
        <f t="array" ref="K737">INDEX(Sheet1!H:H,$G737)</f>
        <v>1</v>
      </c>
      <c r="L737" s="4">
        <f t="shared" si="44"/>
        <v>35</v>
      </c>
      <c r="M737" s="4">
        <f t="shared" si="47"/>
        <v>5</v>
      </c>
    </row>
    <row r="738" spans="1:13">
      <c r="A738" s="4" t="str" cm="1">
        <f t="array" ref="A738">INDEX(Sheet1!A:A,$F738)</f>
        <v>M</v>
      </c>
      <c r="B738" s="4" t="str" cm="1">
        <f t="array" ref="B738">INDEX(Sheet1!B:B,$F738)</f>
        <v>Undiff SM</v>
      </c>
      <c r="C738" s="4">
        <f t="shared" si="45"/>
        <v>36</v>
      </c>
      <c r="D738" s="5" cm="1">
        <f t="array" aca="1" ref="D738" ca="1">OFFSET(INDIRECT("'["&amp;$H738&amp;"]"&amp;$I738&amp;"'!"&amp;$J738),$L738,$M738)*$K738</f>
        <v>2.2200000000000002E-3</v>
      </c>
      <c r="F738" s="4">
        <f t="shared" si="46"/>
        <v>9</v>
      </c>
      <c r="G738" s="4" cm="1">
        <f t="array" ref="G738">IF($C738+$M738&lt;16,INDEX(Sheet1!C:C,$F738),$F738)</f>
        <v>9</v>
      </c>
      <c r="H738" s="4" t="str" cm="1">
        <f t="array" ref="H738">INDEX(Sheet1!D:D,$G738)</f>
        <v>t1138.xlsx</v>
      </c>
      <c r="I738" s="4" t="str" cm="1">
        <f t="array" ref="I738">INDEX(Sheet1!E:E,$G738)</f>
        <v>Sheet1</v>
      </c>
      <c r="J738" s="4" t="str" cm="1">
        <f t="array" ref="J738">INDEX(Sheet1!F:F,$G738)</f>
        <v>B25</v>
      </c>
      <c r="K738" s="4" cm="1">
        <f t="array" ref="K738">INDEX(Sheet1!H:H,$G738)</f>
        <v>1</v>
      </c>
      <c r="L738" s="4">
        <f t="shared" si="44"/>
        <v>36</v>
      </c>
      <c r="M738" s="4">
        <f t="shared" si="47"/>
        <v>5</v>
      </c>
    </row>
    <row r="739" spans="1:13">
      <c r="A739" s="4" t="str" cm="1">
        <f t="array" ref="A739">INDEX(Sheet1!A:A,$F739)</f>
        <v>M</v>
      </c>
      <c r="B739" s="4" t="str" cm="1">
        <f t="array" ref="B739">INDEX(Sheet1!B:B,$F739)</f>
        <v>Undiff SM</v>
      </c>
      <c r="C739" s="4">
        <f t="shared" si="45"/>
        <v>37</v>
      </c>
      <c r="D739" s="5" cm="1">
        <f t="array" aca="1" ref="D739" ca="1">OFFSET(INDIRECT("'["&amp;$H739&amp;"]"&amp;$I739&amp;"'!"&amp;$J739),$L739,$M739)*$K739</f>
        <v>2.3400000000000001E-3</v>
      </c>
      <c r="F739" s="4">
        <f t="shared" si="46"/>
        <v>9</v>
      </c>
      <c r="G739" s="4" cm="1">
        <f t="array" ref="G739">IF($C739+$M739&lt;16,INDEX(Sheet1!C:C,$F739),$F739)</f>
        <v>9</v>
      </c>
      <c r="H739" s="4" t="str" cm="1">
        <f t="array" ref="H739">INDEX(Sheet1!D:D,$G739)</f>
        <v>t1138.xlsx</v>
      </c>
      <c r="I739" s="4" t="str" cm="1">
        <f t="array" ref="I739">INDEX(Sheet1!E:E,$G739)</f>
        <v>Sheet1</v>
      </c>
      <c r="J739" s="4" t="str" cm="1">
        <f t="array" ref="J739">INDEX(Sheet1!F:F,$G739)</f>
        <v>B25</v>
      </c>
      <c r="K739" s="4" cm="1">
        <f t="array" ref="K739">INDEX(Sheet1!H:H,$G739)</f>
        <v>1</v>
      </c>
      <c r="L739" s="4">
        <f t="shared" si="44"/>
        <v>37</v>
      </c>
      <c r="M739" s="4">
        <f t="shared" si="47"/>
        <v>5</v>
      </c>
    </row>
    <row r="740" spans="1:13">
      <c r="A740" s="4" t="str" cm="1">
        <f t="array" ref="A740">INDEX(Sheet1!A:A,$F740)</f>
        <v>M</v>
      </c>
      <c r="B740" s="4" t="str" cm="1">
        <f t="array" ref="B740">INDEX(Sheet1!B:B,$F740)</f>
        <v>Undiff SM</v>
      </c>
      <c r="C740" s="4">
        <f t="shared" si="45"/>
        <v>38</v>
      </c>
      <c r="D740" s="5" cm="1">
        <f t="array" aca="1" ref="D740" ca="1">OFFSET(INDIRECT("'["&amp;$H740&amp;"]"&amp;$I740&amp;"'!"&amp;$J740),$L740,$M740)*$K740</f>
        <v>2.5300000000000001E-3</v>
      </c>
      <c r="F740" s="4">
        <f t="shared" si="46"/>
        <v>9</v>
      </c>
      <c r="G740" s="4" cm="1">
        <f t="array" ref="G740">IF($C740+$M740&lt;16,INDEX(Sheet1!C:C,$F740),$F740)</f>
        <v>9</v>
      </c>
      <c r="H740" s="4" t="str" cm="1">
        <f t="array" ref="H740">INDEX(Sheet1!D:D,$G740)</f>
        <v>t1138.xlsx</v>
      </c>
      <c r="I740" s="4" t="str" cm="1">
        <f t="array" ref="I740">INDEX(Sheet1!E:E,$G740)</f>
        <v>Sheet1</v>
      </c>
      <c r="J740" s="4" t="str" cm="1">
        <f t="array" ref="J740">INDEX(Sheet1!F:F,$G740)</f>
        <v>B25</v>
      </c>
      <c r="K740" s="4" cm="1">
        <f t="array" ref="K740">INDEX(Sheet1!H:H,$G740)</f>
        <v>1</v>
      </c>
      <c r="L740" s="4">
        <f t="shared" si="44"/>
        <v>38</v>
      </c>
      <c r="M740" s="4">
        <f t="shared" si="47"/>
        <v>5</v>
      </c>
    </row>
    <row r="741" spans="1:13">
      <c r="A741" s="4" t="str" cm="1">
        <f t="array" ref="A741">INDEX(Sheet1!A:A,$F741)</f>
        <v>M</v>
      </c>
      <c r="B741" s="4" t="str" cm="1">
        <f t="array" ref="B741">INDEX(Sheet1!B:B,$F741)</f>
        <v>Undiff SM</v>
      </c>
      <c r="C741" s="4">
        <f t="shared" si="45"/>
        <v>39</v>
      </c>
      <c r="D741" s="5" cm="1">
        <f t="array" aca="1" ref="D741" ca="1">OFFSET(INDIRECT("'["&amp;$H741&amp;"]"&amp;$I741&amp;"'!"&amp;$J741),$L741,$M741)*$K741</f>
        <v>2.7799999999999999E-3</v>
      </c>
      <c r="F741" s="4">
        <f t="shared" si="46"/>
        <v>9</v>
      </c>
      <c r="G741" s="4" cm="1">
        <f t="array" ref="G741">IF($C741+$M741&lt;16,INDEX(Sheet1!C:C,$F741),$F741)</f>
        <v>9</v>
      </c>
      <c r="H741" s="4" t="str" cm="1">
        <f t="array" ref="H741">INDEX(Sheet1!D:D,$G741)</f>
        <v>t1138.xlsx</v>
      </c>
      <c r="I741" s="4" t="str" cm="1">
        <f t="array" ref="I741">INDEX(Sheet1!E:E,$G741)</f>
        <v>Sheet1</v>
      </c>
      <c r="J741" s="4" t="str" cm="1">
        <f t="array" ref="J741">INDEX(Sheet1!F:F,$G741)</f>
        <v>B25</v>
      </c>
      <c r="K741" s="4" cm="1">
        <f t="array" ref="K741">INDEX(Sheet1!H:H,$G741)</f>
        <v>1</v>
      </c>
      <c r="L741" s="4">
        <f t="shared" si="44"/>
        <v>39</v>
      </c>
      <c r="M741" s="4">
        <f t="shared" si="47"/>
        <v>5</v>
      </c>
    </row>
    <row r="742" spans="1:13">
      <c r="A742" s="4" t="str" cm="1">
        <f t="array" ref="A742">INDEX(Sheet1!A:A,$F742)</f>
        <v>M</v>
      </c>
      <c r="B742" s="4" t="str" cm="1">
        <f t="array" ref="B742">INDEX(Sheet1!B:B,$F742)</f>
        <v>Undiff SM</v>
      </c>
      <c r="C742" s="4">
        <f t="shared" si="45"/>
        <v>40</v>
      </c>
      <c r="D742" s="5" cm="1">
        <f t="array" aca="1" ref="D742" ca="1">OFFSET(INDIRECT("'["&amp;$H742&amp;"]"&amp;$I742&amp;"'!"&amp;$J742),$L742,$M742)*$K742</f>
        <v>3.1199999999999999E-3</v>
      </c>
      <c r="F742" s="4">
        <f t="shared" si="46"/>
        <v>9</v>
      </c>
      <c r="G742" s="4" cm="1">
        <f t="array" ref="G742">IF($C742+$M742&lt;16,INDEX(Sheet1!C:C,$F742),$F742)</f>
        <v>9</v>
      </c>
      <c r="H742" s="4" t="str" cm="1">
        <f t="array" ref="H742">INDEX(Sheet1!D:D,$G742)</f>
        <v>t1138.xlsx</v>
      </c>
      <c r="I742" s="4" t="str" cm="1">
        <f t="array" ref="I742">INDEX(Sheet1!E:E,$G742)</f>
        <v>Sheet1</v>
      </c>
      <c r="J742" s="4" t="str" cm="1">
        <f t="array" ref="J742">INDEX(Sheet1!F:F,$G742)</f>
        <v>B25</v>
      </c>
      <c r="K742" s="4" cm="1">
        <f t="array" ref="K742">INDEX(Sheet1!H:H,$G742)</f>
        <v>1</v>
      </c>
      <c r="L742" s="4">
        <f t="shared" si="44"/>
        <v>40</v>
      </c>
      <c r="M742" s="4">
        <f t="shared" si="47"/>
        <v>5</v>
      </c>
    </row>
    <row r="743" spans="1:13">
      <c r="A743" s="4" t="str" cm="1">
        <f t="array" ref="A743">INDEX(Sheet1!A:A,$F743)</f>
        <v>M</v>
      </c>
      <c r="B743" s="4" t="str" cm="1">
        <f t="array" ref="B743">INDEX(Sheet1!B:B,$F743)</f>
        <v>Undiff SM</v>
      </c>
      <c r="C743" s="4">
        <f t="shared" si="45"/>
        <v>41</v>
      </c>
      <c r="D743" s="5" cm="1">
        <f t="array" aca="1" ref="D743" ca="1">OFFSET(INDIRECT("'["&amp;$H743&amp;"]"&amp;$I743&amp;"'!"&amp;$J743),$L743,$M743)*$K743</f>
        <v>3.49E-3</v>
      </c>
      <c r="F743" s="4">
        <f t="shared" si="46"/>
        <v>9</v>
      </c>
      <c r="G743" s="4" cm="1">
        <f t="array" ref="G743">IF($C743+$M743&lt;16,INDEX(Sheet1!C:C,$F743),$F743)</f>
        <v>9</v>
      </c>
      <c r="H743" s="4" t="str" cm="1">
        <f t="array" ref="H743">INDEX(Sheet1!D:D,$G743)</f>
        <v>t1138.xlsx</v>
      </c>
      <c r="I743" s="4" t="str" cm="1">
        <f t="array" ref="I743">INDEX(Sheet1!E:E,$G743)</f>
        <v>Sheet1</v>
      </c>
      <c r="J743" s="4" t="str" cm="1">
        <f t="array" ref="J743">INDEX(Sheet1!F:F,$G743)</f>
        <v>B25</v>
      </c>
      <c r="K743" s="4" cm="1">
        <f t="array" ref="K743">INDEX(Sheet1!H:H,$G743)</f>
        <v>1</v>
      </c>
      <c r="L743" s="4">
        <f t="shared" si="44"/>
        <v>41</v>
      </c>
      <c r="M743" s="4">
        <f t="shared" si="47"/>
        <v>5</v>
      </c>
    </row>
    <row r="744" spans="1:13">
      <c r="A744" s="4" t="str" cm="1">
        <f t="array" ref="A744">INDEX(Sheet1!A:A,$F744)</f>
        <v>M</v>
      </c>
      <c r="B744" s="4" t="str" cm="1">
        <f t="array" ref="B744">INDEX(Sheet1!B:B,$F744)</f>
        <v>Undiff SM</v>
      </c>
      <c r="C744" s="4">
        <f t="shared" si="45"/>
        <v>42</v>
      </c>
      <c r="D744" s="5" cm="1">
        <f t="array" aca="1" ref="D744" ca="1">OFFSET(INDIRECT("'["&amp;$H744&amp;"]"&amp;$I744&amp;"'!"&amp;$J744),$L744,$M744)*$K744</f>
        <v>3.8400000000000001E-3</v>
      </c>
      <c r="F744" s="4">
        <f t="shared" si="46"/>
        <v>9</v>
      </c>
      <c r="G744" s="4" cm="1">
        <f t="array" ref="G744">IF($C744+$M744&lt;16,INDEX(Sheet1!C:C,$F744),$F744)</f>
        <v>9</v>
      </c>
      <c r="H744" s="4" t="str" cm="1">
        <f t="array" ref="H744">INDEX(Sheet1!D:D,$G744)</f>
        <v>t1138.xlsx</v>
      </c>
      <c r="I744" s="4" t="str" cm="1">
        <f t="array" ref="I744">INDEX(Sheet1!E:E,$G744)</f>
        <v>Sheet1</v>
      </c>
      <c r="J744" s="4" t="str" cm="1">
        <f t="array" ref="J744">INDEX(Sheet1!F:F,$G744)</f>
        <v>B25</v>
      </c>
      <c r="K744" s="4" cm="1">
        <f t="array" ref="K744">INDEX(Sheet1!H:H,$G744)</f>
        <v>1</v>
      </c>
      <c r="L744" s="4">
        <f t="shared" si="44"/>
        <v>42</v>
      </c>
      <c r="M744" s="4">
        <f t="shared" si="47"/>
        <v>5</v>
      </c>
    </row>
    <row r="745" spans="1:13">
      <c r="A745" s="4" t="str" cm="1">
        <f t="array" ref="A745">INDEX(Sheet1!A:A,$F745)</f>
        <v>M</v>
      </c>
      <c r="B745" s="4" t="str" cm="1">
        <f t="array" ref="B745">INDEX(Sheet1!B:B,$F745)</f>
        <v>Undiff SM</v>
      </c>
      <c r="C745" s="4">
        <f t="shared" si="45"/>
        <v>43</v>
      </c>
      <c r="D745" s="5" cm="1">
        <f t="array" aca="1" ref="D745" ca="1">OFFSET(INDIRECT("'["&amp;$H745&amp;"]"&amp;$I745&amp;"'!"&amp;$J745),$L745,$M745)*$K745</f>
        <v>4.0899999999999999E-3</v>
      </c>
      <c r="F745" s="4">
        <f t="shared" si="46"/>
        <v>9</v>
      </c>
      <c r="G745" s="4" cm="1">
        <f t="array" ref="G745">IF($C745+$M745&lt;16,INDEX(Sheet1!C:C,$F745),$F745)</f>
        <v>9</v>
      </c>
      <c r="H745" s="4" t="str" cm="1">
        <f t="array" ref="H745">INDEX(Sheet1!D:D,$G745)</f>
        <v>t1138.xlsx</v>
      </c>
      <c r="I745" s="4" t="str" cm="1">
        <f t="array" ref="I745">INDEX(Sheet1!E:E,$G745)</f>
        <v>Sheet1</v>
      </c>
      <c r="J745" s="4" t="str" cm="1">
        <f t="array" ref="J745">INDEX(Sheet1!F:F,$G745)</f>
        <v>B25</v>
      </c>
      <c r="K745" s="4" cm="1">
        <f t="array" ref="K745">INDEX(Sheet1!H:H,$G745)</f>
        <v>1</v>
      </c>
      <c r="L745" s="4">
        <f t="shared" si="44"/>
        <v>43</v>
      </c>
      <c r="M745" s="4">
        <f t="shared" si="47"/>
        <v>5</v>
      </c>
    </row>
    <row r="746" spans="1:13">
      <c r="A746" s="4" t="str" cm="1">
        <f t="array" ref="A746">INDEX(Sheet1!A:A,$F746)</f>
        <v>M</v>
      </c>
      <c r="B746" s="4" t="str" cm="1">
        <f t="array" ref="B746">INDEX(Sheet1!B:B,$F746)</f>
        <v>Undiff SM</v>
      </c>
      <c r="C746" s="4">
        <f t="shared" si="45"/>
        <v>44</v>
      </c>
      <c r="D746" s="5" cm="1">
        <f t="array" aca="1" ref="D746" ca="1">OFFSET(INDIRECT("'["&amp;$H746&amp;"]"&amp;$I746&amp;"'!"&amp;$J746),$L746,$M746)*$K746</f>
        <v>4.3499999999999997E-3</v>
      </c>
      <c r="F746" s="4">
        <f t="shared" si="46"/>
        <v>9</v>
      </c>
      <c r="G746" s="4" cm="1">
        <f t="array" ref="G746">IF($C746+$M746&lt;16,INDEX(Sheet1!C:C,$F746),$F746)</f>
        <v>9</v>
      </c>
      <c r="H746" s="4" t="str" cm="1">
        <f t="array" ref="H746">INDEX(Sheet1!D:D,$G746)</f>
        <v>t1138.xlsx</v>
      </c>
      <c r="I746" s="4" t="str" cm="1">
        <f t="array" ref="I746">INDEX(Sheet1!E:E,$G746)</f>
        <v>Sheet1</v>
      </c>
      <c r="J746" s="4" t="str" cm="1">
        <f t="array" ref="J746">INDEX(Sheet1!F:F,$G746)</f>
        <v>B25</v>
      </c>
      <c r="K746" s="4" cm="1">
        <f t="array" ref="K746">INDEX(Sheet1!H:H,$G746)</f>
        <v>1</v>
      </c>
      <c r="L746" s="4">
        <f t="shared" si="44"/>
        <v>44</v>
      </c>
      <c r="M746" s="4">
        <f t="shared" si="47"/>
        <v>5</v>
      </c>
    </row>
    <row r="747" spans="1:13">
      <c r="A747" s="4" t="str" cm="1">
        <f t="array" ref="A747">INDEX(Sheet1!A:A,$F747)</f>
        <v>M</v>
      </c>
      <c r="B747" s="4" t="str" cm="1">
        <f t="array" ref="B747">INDEX(Sheet1!B:B,$F747)</f>
        <v>Undiff SM</v>
      </c>
      <c r="C747" s="4">
        <f t="shared" si="45"/>
        <v>45</v>
      </c>
      <c r="D747" s="5" cm="1">
        <f t="array" aca="1" ref="D747" ca="1">OFFSET(INDIRECT("'["&amp;$H747&amp;"]"&amp;$I747&amp;"'!"&amp;$J747),$L747,$M747)*$K747</f>
        <v>4.6899999999999997E-3</v>
      </c>
      <c r="F747" s="4">
        <f t="shared" si="46"/>
        <v>9</v>
      </c>
      <c r="G747" s="4" cm="1">
        <f t="array" ref="G747">IF($C747+$M747&lt;16,INDEX(Sheet1!C:C,$F747),$F747)</f>
        <v>9</v>
      </c>
      <c r="H747" s="4" t="str" cm="1">
        <f t="array" ref="H747">INDEX(Sheet1!D:D,$G747)</f>
        <v>t1138.xlsx</v>
      </c>
      <c r="I747" s="4" t="str" cm="1">
        <f t="array" ref="I747">INDEX(Sheet1!E:E,$G747)</f>
        <v>Sheet1</v>
      </c>
      <c r="J747" s="4" t="str" cm="1">
        <f t="array" ref="J747">INDEX(Sheet1!F:F,$G747)</f>
        <v>B25</v>
      </c>
      <c r="K747" s="4" cm="1">
        <f t="array" ref="K747">INDEX(Sheet1!H:H,$G747)</f>
        <v>1</v>
      </c>
      <c r="L747" s="4">
        <f t="shared" si="44"/>
        <v>45</v>
      </c>
      <c r="M747" s="4">
        <f t="shared" si="47"/>
        <v>5</v>
      </c>
    </row>
    <row r="748" spans="1:13">
      <c r="A748" s="4" t="str" cm="1">
        <f t="array" ref="A748">INDEX(Sheet1!A:A,$F748)</f>
        <v>M</v>
      </c>
      <c r="B748" s="4" t="str" cm="1">
        <f t="array" ref="B748">INDEX(Sheet1!B:B,$F748)</f>
        <v>Undiff SM</v>
      </c>
      <c r="C748" s="4">
        <f t="shared" si="45"/>
        <v>46</v>
      </c>
      <c r="D748" s="5" cm="1">
        <f t="array" aca="1" ref="D748" ca="1">OFFSET(INDIRECT("'["&amp;$H748&amp;"]"&amp;$I748&amp;"'!"&amp;$J748),$L748,$M748)*$K748</f>
        <v>5.1000000000000004E-3</v>
      </c>
      <c r="F748" s="4">
        <f t="shared" si="46"/>
        <v>9</v>
      </c>
      <c r="G748" s="4" cm="1">
        <f t="array" ref="G748">IF($C748+$M748&lt;16,INDEX(Sheet1!C:C,$F748),$F748)</f>
        <v>9</v>
      </c>
      <c r="H748" s="4" t="str" cm="1">
        <f t="array" ref="H748">INDEX(Sheet1!D:D,$G748)</f>
        <v>t1138.xlsx</v>
      </c>
      <c r="I748" s="4" t="str" cm="1">
        <f t="array" ref="I748">INDEX(Sheet1!E:E,$G748)</f>
        <v>Sheet1</v>
      </c>
      <c r="J748" s="4" t="str" cm="1">
        <f t="array" ref="J748">INDEX(Sheet1!F:F,$G748)</f>
        <v>B25</v>
      </c>
      <c r="K748" s="4" cm="1">
        <f t="array" ref="K748">INDEX(Sheet1!H:H,$G748)</f>
        <v>1</v>
      </c>
      <c r="L748" s="4">
        <f t="shared" si="44"/>
        <v>46</v>
      </c>
      <c r="M748" s="4">
        <f t="shared" si="47"/>
        <v>5</v>
      </c>
    </row>
    <row r="749" spans="1:13">
      <c r="A749" s="4" t="str" cm="1">
        <f t="array" ref="A749">INDEX(Sheet1!A:A,$F749)</f>
        <v>M</v>
      </c>
      <c r="B749" s="4" t="str" cm="1">
        <f t="array" ref="B749">INDEX(Sheet1!B:B,$F749)</f>
        <v>Undiff SM</v>
      </c>
      <c r="C749" s="4">
        <f t="shared" si="45"/>
        <v>47</v>
      </c>
      <c r="D749" s="5" cm="1">
        <f t="array" aca="1" ref="D749" ca="1">OFFSET(INDIRECT("'["&amp;$H749&amp;"]"&amp;$I749&amp;"'!"&amp;$J749),$L749,$M749)*$K749</f>
        <v>5.5399999999999998E-3</v>
      </c>
      <c r="F749" s="4">
        <f t="shared" si="46"/>
        <v>9</v>
      </c>
      <c r="G749" s="4" cm="1">
        <f t="array" ref="G749">IF($C749+$M749&lt;16,INDEX(Sheet1!C:C,$F749),$F749)</f>
        <v>9</v>
      </c>
      <c r="H749" s="4" t="str" cm="1">
        <f t="array" ref="H749">INDEX(Sheet1!D:D,$G749)</f>
        <v>t1138.xlsx</v>
      </c>
      <c r="I749" s="4" t="str" cm="1">
        <f t="array" ref="I749">INDEX(Sheet1!E:E,$G749)</f>
        <v>Sheet1</v>
      </c>
      <c r="J749" s="4" t="str" cm="1">
        <f t="array" ref="J749">INDEX(Sheet1!F:F,$G749)</f>
        <v>B25</v>
      </c>
      <c r="K749" s="4" cm="1">
        <f t="array" ref="K749">INDEX(Sheet1!H:H,$G749)</f>
        <v>1</v>
      </c>
      <c r="L749" s="4">
        <f t="shared" si="44"/>
        <v>47</v>
      </c>
      <c r="M749" s="4">
        <f t="shared" si="47"/>
        <v>5</v>
      </c>
    </row>
    <row r="750" spans="1:13">
      <c r="A750" s="4" t="str" cm="1">
        <f t="array" ref="A750">INDEX(Sheet1!A:A,$F750)</f>
        <v>M</v>
      </c>
      <c r="B750" s="4" t="str" cm="1">
        <f t="array" ref="B750">INDEX(Sheet1!B:B,$F750)</f>
        <v>Undiff SM</v>
      </c>
      <c r="C750" s="4">
        <f t="shared" si="45"/>
        <v>48</v>
      </c>
      <c r="D750" s="5" cm="1">
        <f t="array" aca="1" ref="D750" ca="1">OFFSET(INDIRECT("'["&amp;$H750&amp;"]"&amp;$I750&amp;"'!"&amp;$J750),$L750,$M750)*$K750</f>
        <v>5.96E-3</v>
      </c>
      <c r="F750" s="4">
        <f t="shared" si="46"/>
        <v>9</v>
      </c>
      <c r="G750" s="4" cm="1">
        <f t="array" ref="G750">IF($C750+$M750&lt;16,INDEX(Sheet1!C:C,$F750),$F750)</f>
        <v>9</v>
      </c>
      <c r="H750" s="4" t="str" cm="1">
        <f t="array" ref="H750">INDEX(Sheet1!D:D,$G750)</f>
        <v>t1138.xlsx</v>
      </c>
      <c r="I750" s="4" t="str" cm="1">
        <f t="array" ref="I750">INDEX(Sheet1!E:E,$G750)</f>
        <v>Sheet1</v>
      </c>
      <c r="J750" s="4" t="str" cm="1">
        <f t="array" ref="J750">INDEX(Sheet1!F:F,$G750)</f>
        <v>B25</v>
      </c>
      <c r="K750" s="4" cm="1">
        <f t="array" ref="K750">INDEX(Sheet1!H:H,$G750)</f>
        <v>1</v>
      </c>
      <c r="L750" s="4">
        <f t="shared" si="44"/>
        <v>48</v>
      </c>
      <c r="M750" s="4">
        <f t="shared" si="47"/>
        <v>5</v>
      </c>
    </row>
    <row r="751" spans="1:13">
      <c r="A751" s="4" t="str" cm="1">
        <f t="array" ref="A751">INDEX(Sheet1!A:A,$F751)</f>
        <v>M</v>
      </c>
      <c r="B751" s="4" t="str" cm="1">
        <f t="array" ref="B751">INDEX(Sheet1!B:B,$F751)</f>
        <v>Undiff SM</v>
      </c>
      <c r="C751" s="4">
        <f t="shared" si="45"/>
        <v>49</v>
      </c>
      <c r="D751" s="5" cm="1">
        <f t="array" aca="1" ref="D751" ca="1">OFFSET(INDIRECT("'["&amp;$H751&amp;"]"&amp;$I751&amp;"'!"&amp;$J751),$L751,$M751)*$K751</f>
        <v>6.4200000000000004E-3</v>
      </c>
      <c r="F751" s="4">
        <f t="shared" si="46"/>
        <v>9</v>
      </c>
      <c r="G751" s="4" cm="1">
        <f t="array" ref="G751">IF($C751+$M751&lt;16,INDEX(Sheet1!C:C,$F751),$F751)</f>
        <v>9</v>
      </c>
      <c r="H751" s="4" t="str" cm="1">
        <f t="array" ref="H751">INDEX(Sheet1!D:D,$G751)</f>
        <v>t1138.xlsx</v>
      </c>
      <c r="I751" s="4" t="str" cm="1">
        <f t="array" ref="I751">INDEX(Sheet1!E:E,$G751)</f>
        <v>Sheet1</v>
      </c>
      <c r="J751" s="4" t="str" cm="1">
        <f t="array" ref="J751">INDEX(Sheet1!F:F,$G751)</f>
        <v>B25</v>
      </c>
      <c r="K751" s="4" cm="1">
        <f t="array" ref="K751">INDEX(Sheet1!H:H,$G751)</f>
        <v>1</v>
      </c>
      <c r="L751" s="4">
        <f t="shared" si="44"/>
        <v>49</v>
      </c>
      <c r="M751" s="4">
        <f t="shared" si="47"/>
        <v>5</v>
      </c>
    </row>
    <row r="752" spans="1:13">
      <c r="A752" s="4" t="str" cm="1">
        <f t="array" ref="A752">INDEX(Sheet1!A:A,$F752)</f>
        <v>M</v>
      </c>
      <c r="B752" s="4" t="str" cm="1">
        <f t="array" ref="B752">INDEX(Sheet1!B:B,$F752)</f>
        <v>Undiff SM</v>
      </c>
      <c r="C752" s="4">
        <f t="shared" si="45"/>
        <v>50</v>
      </c>
      <c r="D752" s="5" cm="1">
        <f t="array" aca="1" ref="D752" ca="1">OFFSET(INDIRECT("'["&amp;$H752&amp;"]"&amp;$I752&amp;"'!"&amp;$J752),$L752,$M752)*$K752</f>
        <v>6.9100000000000003E-3</v>
      </c>
      <c r="F752" s="4">
        <f t="shared" si="46"/>
        <v>9</v>
      </c>
      <c r="G752" s="4" cm="1">
        <f t="array" ref="G752">IF($C752+$M752&lt;16,INDEX(Sheet1!C:C,$F752),$F752)</f>
        <v>9</v>
      </c>
      <c r="H752" s="4" t="str" cm="1">
        <f t="array" ref="H752">INDEX(Sheet1!D:D,$G752)</f>
        <v>t1138.xlsx</v>
      </c>
      <c r="I752" s="4" t="str" cm="1">
        <f t="array" ref="I752">INDEX(Sheet1!E:E,$G752)</f>
        <v>Sheet1</v>
      </c>
      <c r="J752" s="4" t="str" cm="1">
        <f t="array" ref="J752">INDEX(Sheet1!F:F,$G752)</f>
        <v>B25</v>
      </c>
      <c r="K752" s="4" cm="1">
        <f t="array" ref="K752">INDEX(Sheet1!H:H,$G752)</f>
        <v>1</v>
      </c>
      <c r="L752" s="4">
        <f t="shared" si="44"/>
        <v>50</v>
      </c>
      <c r="M752" s="4">
        <f t="shared" si="47"/>
        <v>5</v>
      </c>
    </row>
    <row r="753" spans="1:13">
      <c r="A753" s="4" t="str" cm="1">
        <f t="array" ref="A753">INDEX(Sheet1!A:A,$F753)</f>
        <v>M</v>
      </c>
      <c r="B753" s="4" t="str" cm="1">
        <f t="array" ref="B753">INDEX(Sheet1!B:B,$F753)</f>
        <v>Undiff SM</v>
      </c>
      <c r="C753" s="4">
        <f t="shared" si="45"/>
        <v>51</v>
      </c>
      <c r="D753" s="5" cm="1">
        <f t="array" aca="1" ref="D753" ca="1">OFFSET(INDIRECT("'["&amp;$H753&amp;"]"&amp;$I753&amp;"'!"&amp;$J753),$L753,$M753)*$K753</f>
        <v>7.4799999999999997E-3</v>
      </c>
      <c r="F753" s="4">
        <f t="shared" si="46"/>
        <v>9</v>
      </c>
      <c r="G753" s="4" cm="1">
        <f t="array" ref="G753">IF($C753+$M753&lt;16,INDEX(Sheet1!C:C,$F753),$F753)</f>
        <v>9</v>
      </c>
      <c r="H753" s="4" t="str" cm="1">
        <f t="array" ref="H753">INDEX(Sheet1!D:D,$G753)</f>
        <v>t1138.xlsx</v>
      </c>
      <c r="I753" s="4" t="str" cm="1">
        <f t="array" ref="I753">INDEX(Sheet1!E:E,$G753)</f>
        <v>Sheet1</v>
      </c>
      <c r="J753" s="4" t="str" cm="1">
        <f t="array" ref="J753">INDEX(Sheet1!F:F,$G753)</f>
        <v>B25</v>
      </c>
      <c r="K753" s="4" cm="1">
        <f t="array" ref="K753">INDEX(Sheet1!H:H,$G753)</f>
        <v>1</v>
      </c>
      <c r="L753" s="4">
        <f t="shared" si="44"/>
        <v>51</v>
      </c>
      <c r="M753" s="4">
        <f t="shared" si="47"/>
        <v>5</v>
      </c>
    </row>
    <row r="754" spans="1:13">
      <c r="A754" s="4" t="str" cm="1">
        <f t="array" ref="A754">INDEX(Sheet1!A:A,$F754)</f>
        <v>M</v>
      </c>
      <c r="B754" s="4" t="str" cm="1">
        <f t="array" ref="B754">INDEX(Sheet1!B:B,$F754)</f>
        <v>Undiff SM</v>
      </c>
      <c r="C754" s="4">
        <f t="shared" si="45"/>
        <v>52</v>
      </c>
      <c r="D754" s="5" cm="1">
        <f t="array" aca="1" ref="D754" ca="1">OFFSET(INDIRECT("'["&amp;$H754&amp;"]"&amp;$I754&amp;"'!"&amp;$J754),$L754,$M754)*$K754</f>
        <v>8.0300000000000007E-3</v>
      </c>
      <c r="F754" s="4">
        <f t="shared" si="46"/>
        <v>9</v>
      </c>
      <c r="G754" s="4" cm="1">
        <f t="array" ref="G754">IF($C754+$M754&lt;16,INDEX(Sheet1!C:C,$F754),$F754)</f>
        <v>9</v>
      </c>
      <c r="H754" s="4" t="str" cm="1">
        <f t="array" ref="H754">INDEX(Sheet1!D:D,$G754)</f>
        <v>t1138.xlsx</v>
      </c>
      <c r="I754" s="4" t="str" cm="1">
        <f t="array" ref="I754">INDEX(Sheet1!E:E,$G754)</f>
        <v>Sheet1</v>
      </c>
      <c r="J754" s="4" t="str" cm="1">
        <f t="array" ref="J754">INDEX(Sheet1!F:F,$G754)</f>
        <v>B25</v>
      </c>
      <c r="K754" s="4" cm="1">
        <f t="array" ref="K754">INDEX(Sheet1!H:H,$G754)</f>
        <v>1</v>
      </c>
      <c r="L754" s="4">
        <f t="shared" si="44"/>
        <v>52</v>
      </c>
      <c r="M754" s="4">
        <f t="shared" si="47"/>
        <v>5</v>
      </c>
    </row>
    <row r="755" spans="1:13">
      <c r="A755" s="4" t="str" cm="1">
        <f t="array" ref="A755">INDEX(Sheet1!A:A,$F755)</f>
        <v>M</v>
      </c>
      <c r="B755" s="4" t="str" cm="1">
        <f t="array" ref="B755">INDEX(Sheet1!B:B,$F755)</f>
        <v>Undiff SM</v>
      </c>
      <c r="C755" s="4">
        <f t="shared" si="45"/>
        <v>53</v>
      </c>
      <c r="D755" s="5" cm="1">
        <f t="array" aca="1" ref="D755" ca="1">OFFSET(INDIRECT("'["&amp;$H755&amp;"]"&amp;$I755&amp;"'!"&amp;$J755),$L755,$M755)*$K755</f>
        <v>8.7299999999999999E-3</v>
      </c>
      <c r="F755" s="4">
        <f t="shared" si="46"/>
        <v>9</v>
      </c>
      <c r="G755" s="4" cm="1">
        <f t="array" ref="G755">IF($C755+$M755&lt;16,INDEX(Sheet1!C:C,$F755),$F755)</f>
        <v>9</v>
      </c>
      <c r="H755" s="4" t="str" cm="1">
        <f t="array" ref="H755">INDEX(Sheet1!D:D,$G755)</f>
        <v>t1138.xlsx</v>
      </c>
      <c r="I755" s="4" t="str" cm="1">
        <f t="array" ref="I755">INDEX(Sheet1!E:E,$G755)</f>
        <v>Sheet1</v>
      </c>
      <c r="J755" s="4" t="str" cm="1">
        <f t="array" ref="J755">INDEX(Sheet1!F:F,$G755)</f>
        <v>B25</v>
      </c>
      <c r="K755" s="4" cm="1">
        <f t="array" ref="K755">INDEX(Sheet1!H:H,$G755)</f>
        <v>1</v>
      </c>
      <c r="L755" s="4">
        <f t="shared" si="44"/>
        <v>53</v>
      </c>
      <c r="M755" s="4">
        <f t="shared" si="47"/>
        <v>5</v>
      </c>
    </row>
    <row r="756" spans="1:13">
      <c r="A756" s="4" t="str" cm="1">
        <f t="array" ref="A756">INDEX(Sheet1!A:A,$F756)</f>
        <v>M</v>
      </c>
      <c r="B756" s="4" t="str" cm="1">
        <f t="array" ref="B756">INDEX(Sheet1!B:B,$F756)</f>
        <v>Undiff SM</v>
      </c>
      <c r="C756" s="4">
        <f t="shared" si="45"/>
        <v>54</v>
      </c>
      <c r="D756" s="5" cm="1">
        <f t="array" aca="1" ref="D756" ca="1">OFFSET(INDIRECT("'["&amp;$H756&amp;"]"&amp;$I756&amp;"'!"&amp;$J756),$L756,$M756)*$K756</f>
        <v>9.5099999999999994E-3</v>
      </c>
      <c r="F756" s="4">
        <f t="shared" si="46"/>
        <v>9</v>
      </c>
      <c r="G756" s="4" cm="1">
        <f t="array" ref="G756">IF($C756+$M756&lt;16,INDEX(Sheet1!C:C,$F756),$F756)</f>
        <v>9</v>
      </c>
      <c r="H756" s="4" t="str" cm="1">
        <f t="array" ref="H756">INDEX(Sheet1!D:D,$G756)</f>
        <v>t1138.xlsx</v>
      </c>
      <c r="I756" s="4" t="str" cm="1">
        <f t="array" ref="I756">INDEX(Sheet1!E:E,$G756)</f>
        <v>Sheet1</v>
      </c>
      <c r="J756" s="4" t="str" cm="1">
        <f t="array" ref="J756">INDEX(Sheet1!F:F,$G756)</f>
        <v>B25</v>
      </c>
      <c r="K756" s="4" cm="1">
        <f t="array" ref="K756">INDEX(Sheet1!H:H,$G756)</f>
        <v>1</v>
      </c>
      <c r="L756" s="4">
        <f t="shared" si="44"/>
        <v>54</v>
      </c>
      <c r="M756" s="4">
        <f t="shared" si="47"/>
        <v>5</v>
      </c>
    </row>
    <row r="757" spans="1:13">
      <c r="A757" s="4" t="str" cm="1">
        <f t="array" ref="A757">INDEX(Sheet1!A:A,$F757)</f>
        <v>M</v>
      </c>
      <c r="B757" s="4" t="str" cm="1">
        <f t="array" ref="B757">INDEX(Sheet1!B:B,$F757)</f>
        <v>Undiff SM</v>
      </c>
      <c r="C757" s="4">
        <f t="shared" si="45"/>
        <v>55</v>
      </c>
      <c r="D757" s="5" cm="1">
        <f t="array" aca="1" ref="D757" ca="1">OFFSET(INDIRECT("'["&amp;$H757&amp;"]"&amp;$I757&amp;"'!"&amp;$J757),$L757,$M757)*$K757</f>
        <v>1.0449999999999999E-2</v>
      </c>
      <c r="F757" s="4">
        <f t="shared" si="46"/>
        <v>9</v>
      </c>
      <c r="G757" s="4" cm="1">
        <f t="array" ref="G757">IF($C757+$M757&lt;16,INDEX(Sheet1!C:C,$F757),$F757)</f>
        <v>9</v>
      </c>
      <c r="H757" s="4" t="str" cm="1">
        <f t="array" ref="H757">INDEX(Sheet1!D:D,$G757)</f>
        <v>t1138.xlsx</v>
      </c>
      <c r="I757" s="4" t="str" cm="1">
        <f t="array" ref="I757">INDEX(Sheet1!E:E,$G757)</f>
        <v>Sheet1</v>
      </c>
      <c r="J757" s="4" t="str" cm="1">
        <f t="array" ref="J757">INDEX(Sheet1!F:F,$G757)</f>
        <v>B25</v>
      </c>
      <c r="K757" s="4" cm="1">
        <f t="array" ref="K757">INDEX(Sheet1!H:H,$G757)</f>
        <v>1</v>
      </c>
      <c r="L757" s="4">
        <f t="shared" si="44"/>
        <v>55</v>
      </c>
      <c r="M757" s="4">
        <f t="shared" si="47"/>
        <v>5</v>
      </c>
    </row>
    <row r="758" spans="1:13">
      <c r="A758" s="4" t="str" cm="1">
        <f t="array" ref="A758">INDEX(Sheet1!A:A,$F758)</f>
        <v>M</v>
      </c>
      <c r="B758" s="4" t="str" cm="1">
        <f t="array" ref="B758">INDEX(Sheet1!B:B,$F758)</f>
        <v>Undiff SM</v>
      </c>
      <c r="C758" s="4">
        <f t="shared" si="45"/>
        <v>56</v>
      </c>
      <c r="D758" s="5" cm="1">
        <f t="array" aca="1" ref="D758" ca="1">OFFSET(INDIRECT("'["&amp;$H758&amp;"]"&amp;$I758&amp;"'!"&amp;$J758),$L758,$M758)*$K758</f>
        <v>1.159E-2</v>
      </c>
      <c r="F758" s="4">
        <f t="shared" si="46"/>
        <v>9</v>
      </c>
      <c r="G758" s="4" cm="1">
        <f t="array" ref="G758">IF($C758+$M758&lt;16,INDEX(Sheet1!C:C,$F758),$F758)</f>
        <v>9</v>
      </c>
      <c r="H758" s="4" t="str" cm="1">
        <f t="array" ref="H758">INDEX(Sheet1!D:D,$G758)</f>
        <v>t1138.xlsx</v>
      </c>
      <c r="I758" s="4" t="str" cm="1">
        <f t="array" ref="I758">INDEX(Sheet1!E:E,$G758)</f>
        <v>Sheet1</v>
      </c>
      <c r="J758" s="4" t="str" cm="1">
        <f t="array" ref="J758">INDEX(Sheet1!F:F,$G758)</f>
        <v>B25</v>
      </c>
      <c r="K758" s="4" cm="1">
        <f t="array" ref="K758">INDEX(Sheet1!H:H,$G758)</f>
        <v>1</v>
      </c>
      <c r="L758" s="4">
        <f t="shared" si="44"/>
        <v>56</v>
      </c>
      <c r="M758" s="4">
        <f t="shared" si="47"/>
        <v>5</v>
      </c>
    </row>
    <row r="759" spans="1:13">
      <c r="A759" s="4" t="str" cm="1">
        <f t="array" ref="A759">INDEX(Sheet1!A:A,$F759)</f>
        <v>M</v>
      </c>
      <c r="B759" s="4" t="str" cm="1">
        <f t="array" ref="B759">INDEX(Sheet1!B:B,$F759)</f>
        <v>Undiff SM</v>
      </c>
      <c r="C759" s="4">
        <f t="shared" si="45"/>
        <v>57</v>
      </c>
      <c r="D759" s="5" cm="1">
        <f t="array" aca="1" ref="D759" ca="1">OFFSET(INDIRECT("'["&amp;$H759&amp;"]"&amp;$I759&amp;"'!"&amp;$J759),$L759,$M759)*$K759</f>
        <v>1.294E-2</v>
      </c>
      <c r="F759" s="4">
        <f t="shared" si="46"/>
        <v>9</v>
      </c>
      <c r="G759" s="4" cm="1">
        <f t="array" ref="G759">IF($C759+$M759&lt;16,INDEX(Sheet1!C:C,$F759),$F759)</f>
        <v>9</v>
      </c>
      <c r="H759" s="4" t="str" cm="1">
        <f t="array" ref="H759">INDEX(Sheet1!D:D,$G759)</f>
        <v>t1138.xlsx</v>
      </c>
      <c r="I759" s="4" t="str" cm="1">
        <f t="array" ref="I759">INDEX(Sheet1!E:E,$G759)</f>
        <v>Sheet1</v>
      </c>
      <c r="J759" s="4" t="str" cm="1">
        <f t="array" ref="J759">INDEX(Sheet1!F:F,$G759)</f>
        <v>B25</v>
      </c>
      <c r="K759" s="4" cm="1">
        <f t="array" ref="K759">INDEX(Sheet1!H:H,$G759)</f>
        <v>1</v>
      </c>
      <c r="L759" s="4">
        <f t="shared" si="44"/>
        <v>57</v>
      </c>
      <c r="M759" s="4">
        <f t="shared" si="47"/>
        <v>5</v>
      </c>
    </row>
    <row r="760" spans="1:13">
      <c r="A760" s="4" t="str" cm="1">
        <f t="array" ref="A760">INDEX(Sheet1!A:A,$F760)</f>
        <v>M</v>
      </c>
      <c r="B760" s="4" t="str" cm="1">
        <f t="array" ref="B760">INDEX(Sheet1!B:B,$F760)</f>
        <v>Undiff SM</v>
      </c>
      <c r="C760" s="4">
        <f t="shared" si="45"/>
        <v>58</v>
      </c>
      <c r="D760" s="5" cm="1">
        <f t="array" aca="1" ref="D760" ca="1">OFFSET(INDIRECT("'["&amp;$H760&amp;"]"&amp;$I760&amp;"'!"&amp;$J760),$L760,$M760)*$K760</f>
        <v>1.4460000000000001E-2</v>
      </c>
      <c r="F760" s="4">
        <f t="shared" si="46"/>
        <v>9</v>
      </c>
      <c r="G760" s="4" cm="1">
        <f t="array" ref="G760">IF($C760+$M760&lt;16,INDEX(Sheet1!C:C,$F760),$F760)</f>
        <v>9</v>
      </c>
      <c r="H760" s="4" t="str" cm="1">
        <f t="array" ref="H760">INDEX(Sheet1!D:D,$G760)</f>
        <v>t1138.xlsx</v>
      </c>
      <c r="I760" s="4" t="str" cm="1">
        <f t="array" ref="I760">INDEX(Sheet1!E:E,$G760)</f>
        <v>Sheet1</v>
      </c>
      <c r="J760" s="4" t="str" cm="1">
        <f t="array" ref="J760">INDEX(Sheet1!F:F,$G760)</f>
        <v>B25</v>
      </c>
      <c r="K760" s="4" cm="1">
        <f t="array" ref="K760">INDEX(Sheet1!H:H,$G760)</f>
        <v>1</v>
      </c>
      <c r="L760" s="4">
        <f t="shared" si="44"/>
        <v>58</v>
      </c>
      <c r="M760" s="4">
        <f t="shared" si="47"/>
        <v>5</v>
      </c>
    </row>
    <row r="761" spans="1:13">
      <c r="A761" s="4" t="str" cm="1">
        <f t="array" ref="A761">INDEX(Sheet1!A:A,$F761)</f>
        <v>M</v>
      </c>
      <c r="B761" s="4" t="str" cm="1">
        <f t="array" ref="B761">INDEX(Sheet1!B:B,$F761)</f>
        <v>Undiff SM</v>
      </c>
      <c r="C761" s="4">
        <f t="shared" si="45"/>
        <v>59</v>
      </c>
      <c r="D761" s="5" cm="1">
        <f t="array" aca="1" ref="D761" ca="1">OFFSET(INDIRECT("'["&amp;$H761&amp;"]"&amp;$I761&amp;"'!"&amp;$J761),$L761,$M761)*$K761</f>
        <v>1.6049999999999998E-2</v>
      </c>
      <c r="F761" s="4">
        <f t="shared" si="46"/>
        <v>9</v>
      </c>
      <c r="G761" s="4" cm="1">
        <f t="array" ref="G761">IF($C761+$M761&lt;16,INDEX(Sheet1!C:C,$F761),$F761)</f>
        <v>9</v>
      </c>
      <c r="H761" s="4" t="str" cm="1">
        <f t="array" ref="H761">INDEX(Sheet1!D:D,$G761)</f>
        <v>t1138.xlsx</v>
      </c>
      <c r="I761" s="4" t="str" cm="1">
        <f t="array" ref="I761">INDEX(Sheet1!E:E,$G761)</f>
        <v>Sheet1</v>
      </c>
      <c r="J761" s="4" t="str" cm="1">
        <f t="array" ref="J761">INDEX(Sheet1!F:F,$G761)</f>
        <v>B25</v>
      </c>
      <c r="K761" s="4" cm="1">
        <f t="array" ref="K761">INDEX(Sheet1!H:H,$G761)</f>
        <v>1</v>
      </c>
      <c r="L761" s="4">
        <f t="shared" si="44"/>
        <v>59</v>
      </c>
      <c r="M761" s="4">
        <f t="shared" si="47"/>
        <v>5</v>
      </c>
    </row>
    <row r="762" spans="1:13">
      <c r="A762" s="4" t="str" cm="1">
        <f t="array" ref="A762">INDEX(Sheet1!A:A,$F762)</f>
        <v>M</v>
      </c>
      <c r="B762" s="4" t="str" cm="1">
        <f t="array" ref="B762">INDEX(Sheet1!B:B,$F762)</f>
        <v>Undiff SM</v>
      </c>
      <c r="C762" s="4">
        <f t="shared" si="45"/>
        <v>60</v>
      </c>
      <c r="D762" s="5" cm="1">
        <f t="array" aca="1" ref="D762" ca="1">OFFSET(INDIRECT("'["&amp;$H762&amp;"]"&amp;$I762&amp;"'!"&amp;$J762),$L762,$M762)*$K762</f>
        <v>1.763E-2</v>
      </c>
      <c r="F762" s="4">
        <f t="shared" si="46"/>
        <v>9</v>
      </c>
      <c r="G762" s="4" cm="1">
        <f t="array" ref="G762">IF($C762+$M762&lt;16,INDEX(Sheet1!C:C,$F762),$F762)</f>
        <v>9</v>
      </c>
      <c r="H762" s="4" t="str" cm="1">
        <f t="array" ref="H762">INDEX(Sheet1!D:D,$G762)</f>
        <v>t1138.xlsx</v>
      </c>
      <c r="I762" s="4" t="str" cm="1">
        <f t="array" ref="I762">INDEX(Sheet1!E:E,$G762)</f>
        <v>Sheet1</v>
      </c>
      <c r="J762" s="4" t="str" cm="1">
        <f t="array" ref="J762">INDEX(Sheet1!F:F,$G762)</f>
        <v>B25</v>
      </c>
      <c r="K762" s="4" cm="1">
        <f t="array" ref="K762">INDEX(Sheet1!H:H,$G762)</f>
        <v>1</v>
      </c>
      <c r="L762" s="4">
        <f t="shared" si="44"/>
        <v>60</v>
      </c>
      <c r="M762" s="4">
        <f t="shared" si="47"/>
        <v>5</v>
      </c>
    </row>
    <row r="763" spans="1:13">
      <c r="A763" s="4" t="str" cm="1">
        <f t="array" ref="A763">INDEX(Sheet1!A:A,$F763)</f>
        <v>M</v>
      </c>
      <c r="B763" s="4" t="str" cm="1">
        <f t="array" ref="B763">INDEX(Sheet1!B:B,$F763)</f>
        <v>Undiff SM</v>
      </c>
      <c r="C763" s="4">
        <f t="shared" si="45"/>
        <v>61</v>
      </c>
      <c r="D763" s="5" cm="1">
        <f t="array" aca="1" ref="D763" ca="1">OFFSET(INDIRECT("'["&amp;$H763&amp;"]"&amp;$I763&amp;"'!"&amp;$J763),$L763,$M763)*$K763</f>
        <v>1.9199999999999998E-2</v>
      </c>
      <c r="F763" s="4">
        <f t="shared" si="46"/>
        <v>9</v>
      </c>
      <c r="G763" s="4" cm="1">
        <f t="array" ref="G763">IF($C763+$M763&lt;16,INDEX(Sheet1!C:C,$F763),$F763)</f>
        <v>9</v>
      </c>
      <c r="H763" s="4" t="str" cm="1">
        <f t="array" ref="H763">INDEX(Sheet1!D:D,$G763)</f>
        <v>t1138.xlsx</v>
      </c>
      <c r="I763" s="4" t="str" cm="1">
        <f t="array" ref="I763">INDEX(Sheet1!E:E,$G763)</f>
        <v>Sheet1</v>
      </c>
      <c r="J763" s="4" t="str" cm="1">
        <f t="array" ref="J763">INDEX(Sheet1!F:F,$G763)</f>
        <v>B25</v>
      </c>
      <c r="K763" s="4" cm="1">
        <f t="array" ref="K763">INDEX(Sheet1!H:H,$G763)</f>
        <v>1</v>
      </c>
      <c r="L763" s="4">
        <f t="shared" si="44"/>
        <v>61</v>
      </c>
      <c r="M763" s="4">
        <f t="shared" si="47"/>
        <v>5</v>
      </c>
    </row>
    <row r="764" spans="1:13">
      <c r="A764" s="4" t="str" cm="1">
        <f t="array" ref="A764">INDEX(Sheet1!A:A,$F764)</f>
        <v>M</v>
      </c>
      <c r="B764" s="4" t="str" cm="1">
        <f t="array" ref="B764">INDEX(Sheet1!B:B,$F764)</f>
        <v>Undiff SM</v>
      </c>
      <c r="C764" s="4">
        <f t="shared" si="45"/>
        <v>62</v>
      </c>
      <c r="D764" s="5" cm="1">
        <f t="array" aca="1" ref="D764" ca="1">OFFSET(INDIRECT("'["&amp;$H764&amp;"]"&amp;$I764&amp;"'!"&amp;$J764),$L764,$M764)*$K764</f>
        <v>2.0820000000000002E-2</v>
      </c>
      <c r="F764" s="4">
        <f t="shared" si="46"/>
        <v>9</v>
      </c>
      <c r="G764" s="4" cm="1">
        <f t="array" ref="G764">IF($C764+$M764&lt;16,INDEX(Sheet1!C:C,$F764),$F764)</f>
        <v>9</v>
      </c>
      <c r="H764" s="4" t="str" cm="1">
        <f t="array" ref="H764">INDEX(Sheet1!D:D,$G764)</f>
        <v>t1138.xlsx</v>
      </c>
      <c r="I764" s="4" t="str" cm="1">
        <f t="array" ref="I764">INDEX(Sheet1!E:E,$G764)</f>
        <v>Sheet1</v>
      </c>
      <c r="J764" s="4" t="str" cm="1">
        <f t="array" ref="J764">INDEX(Sheet1!F:F,$G764)</f>
        <v>B25</v>
      </c>
      <c r="K764" s="4" cm="1">
        <f t="array" ref="K764">INDEX(Sheet1!H:H,$G764)</f>
        <v>1</v>
      </c>
      <c r="L764" s="4">
        <f t="shared" si="44"/>
        <v>62</v>
      </c>
      <c r="M764" s="4">
        <f t="shared" si="47"/>
        <v>5</v>
      </c>
    </row>
    <row r="765" spans="1:13">
      <c r="A765" s="4" t="str" cm="1">
        <f t="array" ref="A765">INDEX(Sheet1!A:A,$F765)</f>
        <v>M</v>
      </c>
      <c r="B765" s="4" t="str" cm="1">
        <f t="array" ref="B765">INDEX(Sheet1!B:B,$F765)</f>
        <v>Undiff SM</v>
      </c>
      <c r="C765" s="4">
        <f t="shared" si="45"/>
        <v>63</v>
      </c>
      <c r="D765" s="5" cm="1">
        <f t="array" aca="1" ref="D765" ca="1">OFFSET(INDIRECT("'["&amp;$H765&amp;"]"&amp;$I765&amp;"'!"&amp;$J765),$L765,$M765)*$K765</f>
        <v>2.265E-2</v>
      </c>
      <c r="F765" s="4">
        <f t="shared" si="46"/>
        <v>9</v>
      </c>
      <c r="G765" s="4" cm="1">
        <f t="array" ref="G765">IF($C765+$M765&lt;16,INDEX(Sheet1!C:C,$F765),$F765)</f>
        <v>9</v>
      </c>
      <c r="H765" s="4" t="str" cm="1">
        <f t="array" ref="H765">INDEX(Sheet1!D:D,$G765)</f>
        <v>t1138.xlsx</v>
      </c>
      <c r="I765" s="4" t="str" cm="1">
        <f t="array" ref="I765">INDEX(Sheet1!E:E,$G765)</f>
        <v>Sheet1</v>
      </c>
      <c r="J765" s="4" t="str" cm="1">
        <f t="array" ref="J765">INDEX(Sheet1!F:F,$G765)</f>
        <v>B25</v>
      </c>
      <c r="K765" s="4" cm="1">
        <f t="array" ref="K765">INDEX(Sheet1!H:H,$G765)</f>
        <v>1</v>
      </c>
      <c r="L765" s="4">
        <f t="shared" si="44"/>
        <v>63</v>
      </c>
      <c r="M765" s="4">
        <f t="shared" si="47"/>
        <v>5</v>
      </c>
    </row>
    <row r="766" spans="1:13">
      <c r="A766" s="4" t="str" cm="1">
        <f t="array" ref="A766">INDEX(Sheet1!A:A,$F766)</f>
        <v>M</v>
      </c>
      <c r="B766" s="4" t="str" cm="1">
        <f t="array" ref="B766">INDEX(Sheet1!B:B,$F766)</f>
        <v>Undiff SM</v>
      </c>
      <c r="C766" s="4">
        <f t="shared" si="45"/>
        <v>64</v>
      </c>
      <c r="D766" s="5" cm="1">
        <f t="array" aca="1" ref="D766" ca="1">OFFSET(INDIRECT("'["&amp;$H766&amp;"]"&amp;$I766&amp;"'!"&amp;$J766),$L766,$M766)*$K766</f>
        <v>2.4719999999999999E-2</v>
      </c>
      <c r="F766" s="4">
        <f t="shared" si="46"/>
        <v>9</v>
      </c>
      <c r="G766" s="4" cm="1">
        <f t="array" ref="G766">IF($C766+$M766&lt;16,INDEX(Sheet1!C:C,$F766),$F766)</f>
        <v>9</v>
      </c>
      <c r="H766" s="4" t="str" cm="1">
        <f t="array" ref="H766">INDEX(Sheet1!D:D,$G766)</f>
        <v>t1138.xlsx</v>
      </c>
      <c r="I766" s="4" t="str" cm="1">
        <f t="array" ref="I766">INDEX(Sheet1!E:E,$G766)</f>
        <v>Sheet1</v>
      </c>
      <c r="J766" s="4" t="str" cm="1">
        <f t="array" ref="J766">INDEX(Sheet1!F:F,$G766)</f>
        <v>B25</v>
      </c>
      <c r="K766" s="4" cm="1">
        <f t="array" ref="K766">INDEX(Sheet1!H:H,$G766)</f>
        <v>1</v>
      </c>
      <c r="L766" s="4">
        <f t="shared" si="44"/>
        <v>64</v>
      </c>
      <c r="M766" s="4">
        <f t="shared" si="47"/>
        <v>5</v>
      </c>
    </row>
    <row r="767" spans="1:13">
      <c r="A767" s="4" t="str" cm="1">
        <f t="array" ref="A767">INDEX(Sheet1!A:A,$F767)</f>
        <v>M</v>
      </c>
      <c r="B767" s="4" t="str" cm="1">
        <f t="array" ref="B767">INDEX(Sheet1!B:B,$F767)</f>
        <v>Undiff SM</v>
      </c>
      <c r="C767" s="4">
        <f t="shared" si="45"/>
        <v>65</v>
      </c>
      <c r="D767" s="5" cm="1">
        <f t="array" aca="1" ref="D767" ca="1">OFFSET(INDIRECT("'["&amp;$H767&amp;"]"&amp;$I767&amp;"'!"&amp;$J767),$L767,$M767)*$K767</f>
        <v>2.7040000000000002E-2</v>
      </c>
      <c r="F767" s="4">
        <f t="shared" si="46"/>
        <v>9</v>
      </c>
      <c r="G767" s="4" cm="1">
        <f t="array" ref="G767">IF($C767+$M767&lt;16,INDEX(Sheet1!C:C,$F767),$F767)</f>
        <v>9</v>
      </c>
      <c r="H767" s="4" t="str" cm="1">
        <f t="array" ref="H767">INDEX(Sheet1!D:D,$G767)</f>
        <v>t1138.xlsx</v>
      </c>
      <c r="I767" s="4" t="str" cm="1">
        <f t="array" ref="I767">INDEX(Sheet1!E:E,$G767)</f>
        <v>Sheet1</v>
      </c>
      <c r="J767" s="4" t="str" cm="1">
        <f t="array" ref="J767">INDEX(Sheet1!F:F,$G767)</f>
        <v>B25</v>
      </c>
      <c r="K767" s="4" cm="1">
        <f t="array" ref="K767">INDEX(Sheet1!H:H,$G767)</f>
        <v>1</v>
      </c>
      <c r="L767" s="4">
        <f t="shared" si="44"/>
        <v>65</v>
      </c>
      <c r="M767" s="4">
        <f t="shared" si="47"/>
        <v>5</v>
      </c>
    </row>
    <row r="768" spans="1:13">
      <c r="A768" s="4" t="str" cm="1">
        <f t="array" ref="A768">INDEX(Sheet1!A:A,$F768)</f>
        <v>M</v>
      </c>
      <c r="B768" s="4" t="str" cm="1">
        <f t="array" ref="B768">INDEX(Sheet1!B:B,$F768)</f>
        <v>Undiff SM</v>
      </c>
      <c r="C768" s="4">
        <f t="shared" si="45"/>
        <v>66</v>
      </c>
      <c r="D768" s="5" cm="1">
        <f t="array" aca="1" ref="D768" ca="1">OFFSET(INDIRECT("'["&amp;$H768&amp;"]"&amp;$I768&amp;"'!"&amp;$J768),$L768,$M768)*$K768</f>
        <v>2.9319999999999999E-2</v>
      </c>
      <c r="F768" s="4">
        <f t="shared" si="46"/>
        <v>9</v>
      </c>
      <c r="G768" s="4" cm="1">
        <f t="array" ref="G768">IF($C768+$M768&lt;16,INDEX(Sheet1!C:C,$F768),$F768)</f>
        <v>9</v>
      </c>
      <c r="H768" s="4" t="str" cm="1">
        <f t="array" ref="H768">INDEX(Sheet1!D:D,$G768)</f>
        <v>t1138.xlsx</v>
      </c>
      <c r="I768" s="4" t="str" cm="1">
        <f t="array" ref="I768">INDEX(Sheet1!E:E,$G768)</f>
        <v>Sheet1</v>
      </c>
      <c r="J768" s="4" t="str" cm="1">
        <f t="array" ref="J768">INDEX(Sheet1!F:F,$G768)</f>
        <v>B25</v>
      </c>
      <c r="K768" s="4" cm="1">
        <f t="array" ref="K768">INDEX(Sheet1!H:H,$G768)</f>
        <v>1</v>
      </c>
      <c r="L768" s="4">
        <f t="shared" si="44"/>
        <v>66</v>
      </c>
      <c r="M768" s="4">
        <f t="shared" si="47"/>
        <v>5</v>
      </c>
    </row>
    <row r="769" spans="1:13">
      <c r="A769" s="4" t="str" cm="1">
        <f t="array" ref="A769">INDEX(Sheet1!A:A,$F769)</f>
        <v>M</v>
      </c>
      <c r="B769" s="4" t="str" cm="1">
        <f t="array" ref="B769">INDEX(Sheet1!B:B,$F769)</f>
        <v>Undiff SM</v>
      </c>
      <c r="C769" s="4">
        <f t="shared" si="45"/>
        <v>67</v>
      </c>
      <c r="D769" s="5" cm="1">
        <f t="array" aca="1" ref="D769" ca="1">OFFSET(INDIRECT("'["&amp;$H769&amp;"]"&amp;$I769&amp;"'!"&amp;$J769),$L769,$M769)*$K769</f>
        <v>3.177E-2</v>
      </c>
      <c r="F769" s="4">
        <f t="shared" si="46"/>
        <v>9</v>
      </c>
      <c r="G769" s="4" cm="1">
        <f t="array" ref="G769">IF($C769+$M769&lt;16,INDEX(Sheet1!C:C,$F769),$F769)</f>
        <v>9</v>
      </c>
      <c r="H769" s="4" t="str" cm="1">
        <f t="array" ref="H769">INDEX(Sheet1!D:D,$G769)</f>
        <v>t1138.xlsx</v>
      </c>
      <c r="I769" s="4" t="str" cm="1">
        <f t="array" ref="I769">INDEX(Sheet1!E:E,$G769)</f>
        <v>Sheet1</v>
      </c>
      <c r="J769" s="4" t="str" cm="1">
        <f t="array" ref="J769">INDEX(Sheet1!F:F,$G769)</f>
        <v>B25</v>
      </c>
      <c r="K769" s="4" cm="1">
        <f t="array" ref="K769">INDEX(Sheet1!H:H,$G769)</f>
        <v>1</v>
      </c>
      <c r="L769" s="4">
        <f t="shared" si="44"/>
        <v>67</v>
      </c>
      <c r="M769" s="4">
        <f t="shared" si="47"/>
        <v>5</v>
      </c>
    </row>
    <row r="770" spans="1:13">
      <c r="A770" s="4" t="str" cm="1">
        <f t="array" ref="A770">INDEX(Sheet1!A:A,$F770)</f>
        <v>M</v>
      </c>
      <c r="B770" s="4" t="str" cm="1">
        <f t="array" ref="B770">INDEX(Sheet1!B:B,$F770)</f>
        <v>Undiff SM</v>
      </c>
      <c r="C770" s="4">
        <f t="shared" si="45"/>
        <v>68</v>
      </c>
      <c r="D770" s="5" cm="1">
        <f t="array" aca="1" ref="D770" ca="1">OFFSET(INDIRECT("'["&amp;$H770&amp;"]"&amp;$I770&amp;"'!"&amp;$J770),$L770,$M770)*$K770</f>
        <v>3.4529999999999998E-2</v>
      </c>
      <c r="F770" s="4">
        <f t="shared" si="46"/>
        <v>9</v>
      </c>
      <c r="G770" s="4" cm="1">
        <f t="array" ref="G770">IF($C770+$M770&lt;16,INDEX(Sheet1!C:C,$F770),$F770)</f>
        <v>9</v>
      </c>
      <c r="H770" s="4" t="str" cm="1">
        <f t="array" ref="H770">INDEX(Sheet1!D:D,$G770)</f>
        <v>t1138.xlsx</v>
      </c>
      <c r="I770" s="4" t="str" cm="1">
        <f t="array" ref="I770">INDEX(Sheet1!E:E,$G770)</f>
        <v>Sheet1</v>
      </c>
      <c r="J770" s="4" t="str" cm="1">
        <f t="array" ref="J770">INDEX(Sheet1!F:F,$G770)</f>
        <v>B25</v>
      </c>
      <c r="K770" s="4" cm="1">
        <f t="array" ref="K770">INDEX(Sheet1!H:H,$G770)</f>
        <v>1</v>
      </c>
      <c r="L770" s="4">
        <f t="shared" si="44"/>
        <v>68</v>
      </c>
      <c r="M770" s="4">
        <f t="shared" si="47"/>
        <v>5</v>
      </c>
    </row>
    <row r="771" spans="1:13">
      <c r="A771" s="4" t="str" cm="1">
        <f t="array" ref="A771">INDEX(Sheet1!A:A,$F771)</f>
        <v>M</v>
      </c>
      <c r="B771" s="4" t="str" cm="1">
        <f t="array" ref="B771">INDEX(Sheet1!B:B,$F771)</f>
        <v>Undiff SM</v>
      </c>
      <c r="C771" s="4">
        <f t="shared" si="45"/>
        <v>69</v>
      </c>
      <c r="D771" s="5" cm="1">
        <f t="array" aca="1" ref="D771" ca="1">OFFSET(INDIRECT("'["&amp;$H771&amp;"]"&amp;$I771&amp;"'!"&amp;$J771),$L771,$M771)*$K771</f>
        <v>3.7650000000000003E-2</v>
      </c>
      <c r="F771" s="4">
        <f t="shared" si="46"/>
        <v>9</v>
      </c>
      <c r="G771" s="4" cm="1">
        <f t="array" ref="G771">IF($C771+$M771&lt;16,INDEX(Sheet1!C:C,$F771),$F771)</f>
        <v>9</v>
      </c>
      <c r="H771" s="4" t="str" cm="1">
        <f t="array" ref="H771">INDEX(Sheet1!D:D,$G771)</f>
        <v>t1138.xlsx</v>
      </c>
      <c r="I771" s="4" t="str" cm="1">
        <f t="array" ref="I771">INDEX(Sheet1!E:E,$G771)</f>
        <v>Sheet1</v>
      </c>
      <c r="J771" s="4" t="str" cm="1">
        <f t="array" ref="J771">INDEX(Sheet1!F:F,$G771)</f>
        <v>B25</v>
      </c>
      <c r="K771" s="4" cm="1">
        <f t="array" ref="K771">INDEX(Sheet1!H:H,$G771)</f>
        <v>1</v>
      </c>
      <c r="L771" s="4">
        <f t="shared" ref="L771:L834" si="48">C771</f>
        <v>69</v>
      </c>
      <c r="M771" s="4">
        <f t="shared" si="47"/>
        <v>5</v>
      </c>
    </row>
    <row r="772" spans="1:13">
      <c r="A772" s="4" t="str" cm="1">
        <f t="array" ref="A772">INDEX(Sheet1!A:A,$F772)</f>
        <v>M</v>
      </c>
      <c r="B772" s="4" t="str" cm="1">
        <f t="array" ref="B772">INDEX(Sheet1!B:B,$F772)</f>
        <v>Undiff SM</v>
      </c>
      <c r="C772" s="4">
        <f t="shared" ref="C772:C835" si="49">IF(C771=99,0,C771+1)</f>
        <v>70</v>
      </c>
      <c r="D772" s="5" cm="1">
        <f t="array" aca="1" ref="D772" ca="1">OFFSET(INDIRECT("'["&amp;$H772&amp;"]"&amp;$I772&amp;"'!"&amp;$J772),$L772,$M772)*$K772</f>
        <v>4.0800000000000003E-2</v>
      </c>
      <c r="F772" s="4">
        <f t="shared" ref="F772:F835" si="50">IF(C772=0,1,0)+F771</f>
        <v>9</v>
      </c>
      <c r="G772" s="4" cm="1">
        <f t="array" ref="G772">IF($C772+$M772&lt;16,INDEX(Sheet1!C:C,$F772),$F772)</f>
        <v>9</v>
      </c>
      <c r="H772" s="4" t="str" cm="1">
        <f t="array" ref="H772">INDEX(Sheet1!D:D,$G772)</f>
        <v>t1138.xlsx</v>
      </c>
      <c r="I772" s="4" t="str" cm="1">
        <f t="array" ref="I772">INDEX(Sheet1!E:E,$G772)</f>
        <v>Sheet1</v>
      </c>
      <c r="J772" s="4" t="str" cm="1">
        <f t="array" ref="J772">INDEX(Sheet1!F:F,$G772)</f>
        <v>B25</v>
      </c>
      <c r="K772" s="4" cm="1">
        <f t="array" ref="K772">INDEX(Sheet1!H:H,$G772)</f>
        <v>1</v>
      </c>
      <c r="L772" s="4">
        <f t="shared" si="48"/>
        <v>70</v>
      </c>
      <c r="M772" s="4">
        <f t="shared" ref="L772:M835" si="51">M$2</f>
        <v>5</v>
      </c>
    </row>
    <row r="773" spans="1:13">
      <c r="A773" s="4" t="str" cm="1">
        <f t="array" ref="A773">INDEX(Sheet1!A:A,$F773)</f>
        <v>M</v>
      </c>
      <c r="B773" s="4" t="str" cm="1">
        <f t="array" ref="B773">INDEX(Sheet1!B:B,$F773)</f>
        <v>Undiff SM</v>
      </c>
      <c r="C773" s="4">
        <f t="shared" si="49"/>
        <v>71</v>
      </c>
      <c r="D773" s="5" cm="1">
        <f t="array" aca="1" ref="D773" ca="1">OFFSET(INDIRECT("'["&amp;$H773&amp;"]"&amp;$I773&amp;"'!"&amp;$J773),$L773,$M773)*$K773</f>
        <v>4.333E-2</v>
      </c>
      <c r="F773" s="4">
        <f t="shared" si="50"/>
        <v>9</v>
      </c>
      <c r="G773" s="4" cm="1">
        <f t="array" ref="G773">IF($C773+$M773&lt;16,INDEX(Sheet1!C:C,$F773),$F773)</f>
        <v>9</v>
      </c>
      <c r="H773" s="4" t="str" cm="1">
        <f t="array" ref="H773">INDEX(Sheet1!D:D,$G773)</f>
        <v>t1138.xlsx</v>
      </c>
      <c r="I773" s="4" t="str" cm="1">
        <f t="array" ref="I773">INDEX(Sheet1!E:E,$G773)</f>
        <v>Sheet1</v>
      </c>
      <c r="J773" s="4" t="str" cm="1">
        <f t="array" ref="J773">INDEX(Sheet1!F:F,$G773)</f>
        <v>B25</v>
      </c>
      <c r="K773" s="4" cm="1">
        <f t="array" ref="K773">INDEX(Sheet1!H:H,$G773)</f>
        <v>1</v>
      </c>
      <c r="L773" s="4">
        <f t="shared" si="48"/>
        <v>71</v>
      </c>
      <c r="M773" s="4">
        <f t="shared" si="51"/>
        <v>5</v>
      </c>
    </row>
    <row r="774" spans="1:13">
      <c r="A774" s="4" t="str" cm="1">
        <f t="array" ref="A774">INDEX(Sheet1!A:A,$F774)</f>
        <v>M</v>
      </c>
      <c r="B774" s="4" t="str" cm="1">
        <f t="array" ref="B774">INDEX(Sheet1!B:B,$F774)</f>
        <v>Undiff SM</v>
      </c>
      <c r="C774" s="4">
        <f t="shared" si="49"/>
        <v>72</v>
      </c>
      <c r="D774" s="5" cm="1">
        <f t="array" aca="1" ref="D774" ca="1">OFFSET(INDIRECT("'["&amp;$H774&amp;"]"&amp;$I774&amp;"'!"&amp;$J774),$L774,$M774)*$K774</f>
        <v>4.5150000000000003E-2</v>
      </c>
      <c r="F774" s="4">
        <f t="shared" si="50"/>
        <v>9</v>
      </c>
      <c r="G774" s="4" cm="1">
        <f t="array" ref="G774">IF($C774+$M774&lt;16,INDEX(Sheet1!C:C,$F774),$F774)</f>
        <v>9</v>
      </c>
      <c r="H774" s="4" t="str" cm="1">
        <f t="array" ref="H774">INDEX(Sheet1!D:D,$G774)</f>
        <v>t1138.xlsx</v>
      </c>
      <c r="I774" s="4" t="str" cm="1">
        <f t="array" ref="I774">INDEX(Sheet1!E:E,$G774)</f>
        <v>Sheet1</v>
      </c>
      <c r="J774" s="4" t="str" cm="1">
        <f t="array" ref="J774">INDEX(Sheet1!F:F,$G774)</f>
        <v>B25</v>
      </c>
      <c r="K774" s="4" cm="1">
        <f t="array" ref="K774">INDEX(Sheet1!H:H,$G774)</f>
        <v>1</v>
      </c>
      <c r="L774" s="4">
        <f t="shared" si="48"/>
        <v>72</v>
      </c>
      <c r="M774" s="4">
        <f t="shared" si="51"/>
        <v>5</v>
      </c>
    </row>
    <row r="775" spans="1:13">
      <c r="A775" s="4" t="str" cm="1">
        <f t="array" ref="A775">INDEX(Sheet1!A:A,$F775)</f>
        <v>M</v>
      </c>
      <c r="B775" s="4" t="str" cm="1">
        <f t="array" ref="B775">INDEX(Sheet1!B:B,$F775)</f>
        <v>Undiff SM</v>
      </c>
      <c r="C775" s="4">
        <f t="shared" si="49"/>
        <v>73</v>
      </c>
      <c r="D775" s="5" cm="1">
        <f t="array" aca="1" ref="D775" ca="1">OFFSET(INDIRECT("'["&amp;$H775&amp;"]"&amp;$I775&amp;"'!"&amp;$J775),$L775,$M775)*$K775</f>
        <v>4.7050000000000002E-2</v>
      </c>
      <c r="F775" s="4">
        <f t="shared" si="50"/>
        <v>9</v>
      </c>
      <c r="G775" s="4" cm="1">
        <f t="array" ref="G775">IF($C775+$M775&lt;16,INDEX(Sheet1!C:C,$F775),$F775)</f>
        <v>9</v>
      </c>
      <c r="H775" s="4" t="str" cm="1">
        <f t="array" ref="H775">INDEX(Sheet1!D:D,$G775)</f>
        <v>t1138.xlsx</v>
      </c>
      <c r="I775" s="4" t="str" cm="1">
        <f t="array" ref="I775">INDEX(Sheet1!E:E,$G775)</f>
        <v>Sheet1</v>
      </c>
      <c r="J775" s="4" t="str" cm="1">
        <f t="array" ref="J775">INDEX(Sheet1!F:F,$G775)</f>
        <v>B25</v>
      </c>
      <c r="K775" s="4" cm="1">
        <f t="array" ref="K775">INDEX(Sheet1!H:H,$G775)</f>
        <v>1</v>
      </c>
      <c r="L775" s="4">
        <f t="shared" si="48"/>
        <v>73</v>
      </c>
      <c r="M775" s="4">
        <f t="shared" si="51"/>
        <v>5</v>
      </c>
    </row>
    <row r="776" spans="1:13">
      <c r="A776" s="4" t="str" cm="1">
        <f t="array" ref="A776">INDEX(Sheet1!A:A,$F776)</f>
        <v>M</v>
      </c>
      <c r="B776" s="4" t="str" cm="1">
        <f t="array" ref="B776">INDEX(Sheet1!B:B,$F776)</f>
        <v>Undiff SM</v>
      </c>
      <c r="C776" s="4">
        <f t="shared" si="49"/>
        <v>74</v>
      </c>
      <c r="D776" s="5" cm="1">
        <f t="array" aca="1" ref="D776" ca="1">OFFSET(INDIRECT("'["&amp;$H776&amp;"]"&amp;$I776&amp;"'!"&amp;$J776),$L776,$M776)*$K776</f>
        <v>5.0169999999999999E-2</v>
      </c>
      <c r="F776" s="4">
        <f t="shared" si="50"/>
        <v>9</v>
      </c>
      <c r="G776" s="4" cm="1">
        <f t="array" ref="G776">IF($C776+$M776&lt;16,INDEX(Sheet1!C:C,$F776),$F776)</f>
        <v>9</v>
      </c>
      <c r="H776" s="4" t="str" cm="1">
        <f t="array" ref="H776">INDEX(Sheet1!D:D,$G776)</f>
        <v>t1138.xlsx</v>
      </c>
      <c r="I776" s="4" t="str" cm="1">
        <f t="array" ref="I776">INDEX(Sheet1!E:E,$G776)</f>
        <v>Sheet1</v>
      </c>
      <c r="J776" s="4" t="str" cm="1">
        <f t="array" ref="J776">INDEX(Sheet1!F:F,$G776)</f>
        <v>B25</v>
      </c>
      <c r="K776" s="4" cm="1">
        <f t="array" ref="K776">INDEX(Sheet1!H:H,$G776)</f>
        <v>1</v>
      </c>
      <c r="L776" s="4">
        <f t="shared" si="48"/>
        <v>74</v>
      </c>
      <c r="M776" s="4">
        <f t="shared" si="51"/>
        <v>5</v>
      </c>
    </row>
    <row r="777" spans="1:13">
      <c r="A777" s="4" t="str" cm="1">
        <f t="array" ref="A777">INDEX(Sheet1!A:A,$F777)</f>
        <v>M</v>
      </c>
      <c r="B777" s="4" t="str" cm="1">
        <f t="array" ref="B777">INDEX(Sheet1!B:B,$F777)</f>
        <v>Undiff SM</v>
      </c>
      <c r="C777" s="4">
        <f t="shared" si="49"/>
        <v>75</v>
      </c>
      <c r="D777" s="5" cm="1">
        <f t="array" aca="1" ref="D777" ca="1">OFFSET(INDIRECT("'["&amp;$H777&amp;"]"&amp;$I777&amp;"'!"&amp;$J777),$L777,$M777)*$K777</f>
        <v>5.6300000000000003E-2</v>
      </c>
      <c r="F777" s="4">
        <f t="shared" si="50"/>
        <v>9</v>
      </c>
      <c r="G777" s="4" cm="1">
        <f t="array" ref="G777">IF($C777+$M777&lt;16,INDEX(Sheet1!C:C,$F777),$F777)</f>
        <v>9</v>
      </c>
      <c r="H777" s="4" t="str" cm="1">
        <f t="array" ref="H777">INDEX(Sheet1!D:D,$G777)</f>
        <v>t1138.xlsx</v>
      </c>
      <c r="I777" s="4" t="str" cm="1">
        <f t="array" ref="I777">INDEX(Sheet1!E:E,$G777)</f>
        <v>Sheet1</v>
      </c>
      <c r="J777" s="4" t="str" cm="1">
        <f t="array" ref="J777">INDEX(Sheet1!F:F,$G777)</f>
        <v>B25</v>
      </c>
      <c r="K777" s="4" cm="1">
        <f t="array" ref="K777">INDEX(Sheet1!H:H,$G777)</f>
        <v>1</v>
      </c>
      <c r="L777" s="4">
        <f t="shared" si="48"/>
        <v>75</v>
      </c>
      <c r="M777" s="4">
        <f t="shared" si="51"/>
        <v>5</v>
      </c>
    </row>
    <row r="778" spans="1:13">
      <c r="A778" s="4" t="str" cm="1">
        <f t="array" ref="A778">INDEX(Sheet1!A:A,$F778)</f>
        <v>M</v>
      </c>
      <c r="B778" s="4" t="str" cm="1">
        <f t="array" ref="B778">INDEX(Sheet1!B:B,$F778)</f>
        <v>Undiff SM</v>
      </c>
      <c r="C778" s="4">
        <f t="shared" si="49"/>
        <v>76</v>
      </c>
      <c r="D778" s="5" cm="1">
        <f t="array" aca="1" ref="D778" ca="1">OFFSET(INDIRECT("'["&amp;$H778&amp;"]"&amp;$I778&amp;"'!"&amp;$J778),$L778,$M778)*$K778</f>
        <v>6.0990000000000003E-2</v>
      </c>
      <c r="F778" s="4">
        <f t="shared" si="50"/>
        <v>9</v>
      </c>
      <c r="G778" s="4" cm="1">
        <f t="array" ref="G778">IF($C778+$M778&lt;16,INDEX(Sheet1!C:C,$F778),$F778)</f>
        <v>9</v>
      </c>
      <c r="H778" s="4" t="str" cm="1">
        <f t="array" ref="H778">INDEX(Sheet1!D:D,$G778)</f>
        <v>t1138.xlsx</v>
      </c>
      <c r="I778" s="4" t="str" cm="1">
        <f t="array" ref="I778">INDEX(Sheet1!E:E,$G778)</f>
        <v>Sheet1</v>
      </c>
      <c r="J778" s="4" t="str" cm="1">
        <f t="array" ref="J778">INDEX(Sheet1!F:F,$G778)</f>
        <v>B25</v>
      </c>
      <c r="K778" s="4" cm="1">
        <f t="array" ref="K778">INDEX(Sheet1!H:H,$G778)</f>
        <v>1</v>
      </c>
      <c r="L778" s="4">
        <f t="shared" si="48"/>
        <v>76</v>
      </c>
      <c r="M778" s="4">
        <f t="shared" si="51"/>
        <v>5</v>
      </c>
    </row>
    <row r="779" spans="1:13">
      <c r="A779" s="4" t="str" cm="1">
        <f t="array" ref="A779">INDEX(Sheet1!A:A,$F779)</f>
        <v>M</v>
      </c>
      <c r="B779" s="4" t="str" cm="1">
        <f t="array" ref="B779">INDEX(Sheet1!B:B,$F779)</f>
        <v>Undiff SM</v>
      </c>
      <c r="C779" s="4">
        <f t="shared" si="49"/>
        <v>77</v>
      </c>
      <c r="D779" s="5" cm="1">
        <f t="array" aca="1" ref="D779" ca="1">OFFSET(INDIRECT("'["&amp;$H779&amp;"]"&amp;$I779&amp;"'!"&amp;$J779),$L779,$M779)*$K779</f>
        <v>6.6540000000000002E-2</v>
      </c>
      <c r="F779" s="4">
        <f t="shared" si="50"/>
        <v>9</v>
      </c>
      <c r="G779" s="4" cm="1">
        <f t="array" ref="G779">IF($C779+$M779&lt;16,INDEX(Sheet1!C:C,$F779),$F779)</f>
        <v>9</v>
      </c>
      <c r="H779" s="4" t="str" cm="1">
        <f t="array" ref="H779">INDEX(Sheet1!D:D,$G779)</f>
        <v>t1138.xlsx</v>
      </c>
      <c r="I779" s="4" t="str" cm="1">
        <f t="array" ref="I779">INDEX(Sheet1!E:E,$G779)</f>
        <v>Sheet1</v>
      </c>
      <c r="J779" s="4" t="str" cm="1">
        <f t="array" ref="J779">INDEX(Sheet1!F:F,$G779)</f>
        <v>B25</v>
      </c>
      <c r="K779" s="4" cm="1">
        <f t="array" ref="K779">INDEX(Sheet1!H:H,$G779)</f>
        <v>1</v>
      </c>
      <c r="L779" s="4">
        <f t="shared" si="48"/>
        <v>77</v>
      </c>
      <c r="M779" s="4">
        <f t="shared" si="51"/>
        <v>5</v>
      </c>
    </row>
    <row r="780" spans="1:13">
      <c r="A780" s="4" t="str" cm="1">
        <f t="array" ref="A780">INDEX(Sheet1!A:A,$F780)</f>
        <v>M</v>
      </c>
      <c r="B780" s="4" t="str" cm="1">
        <f t="array" ref="B780">INDEX(Sheet1!B:B,$F780)</f>
        <v>Undiff SM</v>
      </c>
      <c r="C780" s="4">
        <f t="shared" si="49"/>
        <v>78</v>
      </c>
      <c r="D780" s="5" cm="1">
        <f t="array" aca="1" ref="D780" ca="1">OFFSET(INDIRECT("'["&amp;$H780&amp;"]"&amp;$I780&amp;"'!"&amp;$J780),$L780,$M780)*$K780</f>
        <v>7.671E-2</v>
      </c>
      <c r="F780" s="4">
        <f t="shared" si="50"/>
        <v>9</v>
      </c>
      <c r="G780" s="4" cm="1">
        <f t="array" ref="G780">IF($C780+$M780&lt;16,INDEX(Sheet1!C:C,$F780),$F780)</f>
        <v>9</v>
      </c>
      <c r="H780" s="4" t="str" cm="1">
        <f t="array" ref="H780">INDEX(Sheet1!D:D,$G780)</f>
        <v>t1138.xlsx</v>
      </c>
      <c r="I780" s="4" t="str" cm="1">
        <f t="array" ref="I780">INDEX(Sheet1!E:E,$G780)</f>
        <v>Sheet1</v>
      </c>
      <c r="J780" s="4" t="str" cm="1">
        <f t="array" ref="J780">INDEX(Sheet1!F:F,$G780)</f>
        <v>B25</v>
      </c>
      <c r="K780" s="4" cm="1">
        <f t="array" ref="K780">INDEX(Sheet1!H:H,$G780)</f>
        <v>1</v>
      </c>
      <c r="L780" s="4">
        <f t="shared" si="48"/>
        <v>78</v>
      </c>
      <c r="M780" s="4">
        <f t="shared" si="51"/>
        <v>5</v>
      </c>
    </row>
    <row r="781" spans="1:13">
      <c r="A781" s="4" t="str" cm="1">
        <f t="array" ref="A781">INDEX(Sheet1!A:A,$F781)</f>
        <v>M</v>
      </c>
      <c r="B781" s="4" t="str" cm="1">
        <f t="array" ref="B781">INDEX(Sheet1!B:B,$F781)</f>
        <v>Undiff SM</v>
      </c>
      <c r="C781" s="4">
        <f t="shared" si="49"/>
        <v>79</v>
      </c>
      <c r="D781" s="5" cm="1">
        <f t="array" aca="1" ref="D781" ca="1">OFFSET(INDIRECT("'["&amp;$H781&amp;"]"&amp;$I781&amp;"'!"&amp;$J781),$L781,$M781)*$K781</f>
        <v>9.2160000000000006E-2</v>
      </c>
      <c r="F781" s="4">
        <f t="shared" si="50"/>
        <v>9</v>
      </c>
      <c r="G781" s="4" cm="1">
        <f t="array" ref="G781">IF($C781+$M781&lt;16,INDEX(Sheet1!C:C,$F781),$F781)</f>
        <v>9</v>
      </c>
      <c r="H781" s="4" t="str" cm="1">
        <f t="array" ref="H781">INDEX(Sheet1!D:D,$G781)</f>
        <v>t1138.xlsx</v>
      </c>
      <c r="I781" s="4" t="str" cm="1">
        <f t="array" ref="I781">INDEX(Sheet1!E:E,$G781)</f>
        <v>Sheet1</v>
      </c>
      <c r="J781" s="4" t="str" cm="1">
        <f t="array" ref="J781">INDEX(Sheet1!F:F,$G781)</f>
        <v>B25</v>
      </c>
      <c r="K781" s="4" cm="1">
        <f t="array" ref="K781">INDEX(Sheet1!H:H,$G781)</f>
        <v>1</v>
      </c>
      <c r="L781" s="4">
        <f t="shared" si="48"/>
        <v>79</v>
      </c>
      <c r="M781" s="4">
        <f t="shared" si="51"/>
        <v>5</v>
      </c>
    </row>
    <row r="782" spans="1:13">
      <c r="A782" s="4" t="str" cm="1">
        <f t="array" ref="A782">INDEX(Sheet1!A:A,$F782)</f>
        <v>M</v>
      </c>
      <c r="B782" s="4" t="str" cm="1">
        <f t="array" ref="B782">INDEX(Sheet1!B:B,$F782)</f>
        <v>Undiff SM</v>
      </c>
      <c r="C782" s="4">
        <f t="shared" si="49"/>
        <v>80</v>
      </c>
      <c r="D782" s="5" cm="1">
        <f t="array" aca="1" ref="D782" ca="1">OFFSET(INDIRECT("'["&amp;$H782&amp;"]"&amp;$I782&amp;"'!"&amp;$J782),$L782,$M782)*$K782</f>
        <v>0.10366</v>
      </c>
      <c r="F782" s="4">
        <f t="shared" si="50"/>
        <v>9</v>
      </c>
      <c r="G782" s="4" cm="1">
        <f t="array" ref="G782">IF($C782+$M782&lt;16,INDEX(Sheet1!C:C,$F782),$F782)</f>
        <v>9</v>
      </c>
      <c r="H782" s="4" t="str" cm="1">
        <f t="array" ref="H782">INDEX(Sheet1!D:D,$G782)</f>
        <v>t1138.xlsx</v>
      </c>
      <c r="I782" s="4" t="str" cm="1">
        <f t="array" ref="I782">INDEX(Sheet1!E:E,$G782)</f>
        <v>Sheet1</v>
      </c>
      <c r="J782" s="4" t="str" cm="1">
        <f t="array" ref="J782">INDEX(Sheet1!F:F,$G782)</f>
        <v>B25</v>
      </c>
      <c r="K782" s="4" cm="1">
        <f t="array" ref="K782">INDEX(Sheet1!H:H,$G782)</f>
        <v>1</v>
      </c>
      <c r="L782" s="4">
        <f t="shared" si="48"/>
        <v>80</v>
      </c>
      <c r="M782" s="4">
        <f t="shared" si="51"/>
        <v>5</v>
      </c>
    </row>
    <row r="783" spans="1:13">
      <c r="A783" s="4" t="str" cm="1">
        <f t="array" ref="A783">INDEX(Sheet1!A:A,$F783)</f>
        <v>M</v>
      </c>
      <c r="B783" s="4" t="str" cm="1">
        <f t="array" ref="B783">INDEX(Sheet1!B:B,$F783)</f>
        <v>Undiff SM</v>
      </c>
      <c r="C783" s="4">
        <f t="shared" si="49"/>
        <v>81</v>
      </c>
      <c r="D783" s="5" cm="1">
        <f t="array" aca="1" ref="D783" ca="1">OFFSET(INDIRECT("'["&amp;$H783&amp;"]"&amp;$I783&amp;"'!"&amp;$J783),$L783,$M783)*$K783</f>
        <v>0.11811000000000001</v>
      </c>
      <c r="F783" s="4">
        <f t="shared" si="50"/>
        <v>9</v>
      </c>
      <c r="G783" s="4" cm="1">
        <f t="array" ref="G783">IF($C783+$M783&lt;16,INDEX(Sheet1!C:C,$F783),$F783)</f>
        <v>9</v>
      </c>
      <c r="H783" s="4" t="str" cm="1">
        <f t="array" ref="H783">INDEX(Sheet1!D:D,$G783)</f>
        <v>t1138.xlsx</v>
      </c>
      <c r="I783" s="4" t="str" cm="1">
        <f t="array" ref="I783">INDEX(Sheet1!E:E,$G783)</f>
        <v>Sheet1</v>
      </c>
      <c r="J783" s="4" t="str" cm="1">
        <f t="array" ref="J783">INDEX(Sheet1!F:F,$G783)</f>
        <v>B25</v>
      </c>
      <c r="K783" s="4" cm="1">
        <f t="array" ref="K783">INDEX(Sheet1!H:H,$G783)</f>
        <v>1</v>
      </c>
      <c r="L783" s="4">
        <f t="shared" si="48"/>
        <v>81</v>
      </c>
      <c r="M783" s="4">
        <f t="shared" si="51"/>
        <v>5</v>
      </c>
    </row>
    <row r="784" spans="1:13">
      <c r="A784" s="4" t="str" cm="1">
        <f t="array" ref="A784">INDEX(Sheet1!A:A,$F784)</f>
        <v>M</v>
      </c>
      <c r="B784" s="4" t="str" cm="1">
        <f t="array" ref="B784">INDEX(Sheet1!B:B,$F784)</f>
        <v>Undiff SM</v>
      </c>
      <c r="C784" s="4">
        <f t="shared" si="49"/>
        <v>82</v>
      </c>
      <c r="D784" s="5" cm="1">
        <f t="array" aca="1" ref="D784" ca="1">OFFSET(INDIRECT("'["&amp;$H784&amp;"]"&amp;$I784&amp;"'!"&amp;$J784),$L784,$M784)*$K784</f>
        <v>0.12669</v>
      </c>
      <c r="F784" s="4">
        <f t="shared" si="50"/>
        <v>9</v>
      </c>
      <c r="G784" s="4" cm="1">
        <f t="array" ref="G784">IF($C784+$M784&lt;16,INDEX(Sheet1!C:C,$F784),$F784)</f>
        <v>9</v>
      </c>
      <c r="H784" s="4" t="str" cm="1">
        <f t="array" ref="H784">INDEX(Sheet1!D:D,$G784)</f>
        <v>t1138.xlsx</v>
      </c>
      <c r="I784" s="4" t="str" cm="1">
        <f t="array" ref="I784">INDEX(Sheet1!E:E,$G784)</f>
        <v>Sheet1</v>
      </c>
      <c r="J784" s="4" t="str" cm="1">
        <f t="array" ref="J784">INDEX(Sheet1!F:F,$G784)</f>
        <v>B25</v>
      </c>
      <c r="K784" s="4" cm="1">
        <f t="array" ref="K784">INDEX(Sheet1!H:H,$G784)</f>
        <v>1</v>
      </c>
      <c r="L784" s="4">
        <f t="shared" si="48"/>
        <v>82</v>
      </c>
      <c r="M784" s="4">
        <f t="shared" si="51"/>
        <v>5</v>
      </c>
    </row>
    <row r="785" spans="1:13">
      <c r="A785" s="4" t="str" cm="1">
        <f t="array" ref="A785">INDEX(Sheet1!A:A,$F785)</f>
        <v>M</v>
      </c>
      <c r="B785" s="4" t="str" cm="1">
        <f t="array" ref="B785">INDEX(Sheet1!B:B,$F785)</f>
        <v>Undiff SM</v>
      </c>
      <c r="C785" s="4">
        <f t="shared" si="49"/>
        <v>83</v>
      </c>
      <c r="D785" s="5" cm="1">
        <f t="array" aca="1" ref="D785" ca="1">OFFSET(INDIRECT("'["&amp;$H785&amp;"]"&amp;$I785&amp;"'!"&amp;$J785),$L785,$M785)*$K785</f>
        <v>0.14112</v>
      </c>
      <c r="F785" s="4">
        <f t="shared" si="50"/>
        <v>9</v>
      </c>
      <c r="G785" s="4" cm="1">
        <f t="array" ref="G785">IF($C785+$M785&lt;16,INDEX(Sheet1!C:C,$F785),$F785)</f>
        <v>9</v>
      </c>
      <c r="H785" s="4" t="str" cm="1">
        <f t="array" ref="H785">INDEX(Sheet1!D:D,$G785)</f>
        <v>t1138.xlsx</v>
      </c>
      <c r="I785" s="4" t="str" cm="1">
        <f t="array" ref="I785">INDEX(Sheet1!E:E,$G785)</f>
        <v>Sheet1</v>
      </c>
      <c r="J785" s="4" t="str" cm="1">
        <f t="array" ref="J785">INDEX(Sheet1!F:F,$G785)</f>
        <v>B25</v>
      </c>
      <c r="K785" s="4" cm="1">
        <f t="array" ref="K785">INDEX(Sheet1!H:H,$G785)</f>
        <v>1</v>
      </c>
      <c r="L785" s="4">
        <f t="shared" si="48"/>
        <v>83</v>
      </c>
      <c r="M785" s="4">
        <f t="shared" si="51"/>
        <v>5</v>
      </c>
    </row>
    <row r="786" spans="1:13">
      <c r="A786" s="4" t="str" cm="1">
        <f t="array" ref="A786">INDEX(Sheet1!A:A,$F786)</f>
        <v>M</v>
      </c>
      <c r="B786" s="4" t="str" cm="1">
        <f t="array" ref="B786">INDEX(Sheet1!B:B,$F786)</f>
        <v>Undiff SM</v>
      </c>
      <c r="C786" s="4">
        <f t="shared" si="49"/>
        <v>84</v>
      </c>
      <c r="D786" s="5" cm="1">
        <f t="array" aca="1" ref="D786" ca="1">OFFSET(INDIRECT("'["&amp;$H786&amp;"]"&amp;$I786&amp;"'!"&amp;$J786),$L786,$M786)*$K786</f>
        <v>0.15787999999999999</v>
      </c>
      <c r="F786" s="4">
        <f t="shared" si="50"/>
        <v>9</v>
      </c>
      <c r="G786" s="4" cm="1">
        <f t="array" ref="G786">IF($C786+$M786&lt;16,INDEX(Sheet1!C:C,$F786),$F786)</f>
        <v>9</v>
      </c>
      <c r="H786" s="4" t="str" cm="1">
        <f t="array" ref="H786">INDEX(Sheet1!D:D,$G786)</f>
        <v>t1138.xlsx</v>
      </c>
      <c r="I786" s="4" t="str" cm="1">
        <f t="array" ref="I786">INDEX(Sheet1!E:E,$G786)</f>
        <v>Sheet1</v>
      </c>
      <c r="J786" s="4" t="str" cm="1">
        <f t="array" ref="J786">INDEX(Sheet1!F:F,$G786)</f>
        <v>B25</v>
      </c>
      <c r="K786" s="4" cm="1">
        <f t="array" ref="K786">INDEX(Sheet1!H:H,$G786)</f>
        <v>1</v>
      </c>
      <c r="L786" s="4">
        <f t="shared" si="48"/>
        <v>84</v>
      </c>
      <c r="M786" s="4">
        <f t="shared" si="51"/>
        <v>5</v>
      </c>
    </row>
    <row r="787" spans="1:13">
      <c r="A787" s="4" t="str" cm="1">
        <f t="array" ref="A787">INDEX(Sheet1!A:A,$F787)</f>
        <v>M</v>
      </c>
      <c r="B787" s="4" t="str" cm="1">
        <f t="array" ref="B787">INDEX(Sheet1!B:B,$F787)</f>
        <v>Undiff SM</v>
      </c>
      <c r="C787" s="4">
        <f t="shared" si="49"/>
        <v>85</v>
      </c>
      <c r="D787" s="5" cm="1">
        <f t="array" aca="1" ref="D787" ca="1">OFFSET(INDIRECT("'["&amp;$H787&amp;"]"&amp;$I787&amp;"'!"&amp;$J787),$L787,$M787)*$K787</f>
        <v>0.17105999999999999</v>
      </c>
      <c r="F787" s="4">
        <f t="shared" si="50"/>
        <v>9</v>
      </c>
      <c r="G787" s="4" cm="1">
        <f t="array" ref="G787">IF($C787+$M787&lt;16,INDEX(Sheet1!C:C,$F787),$F787)</f>
        <v>9</v>
      </c>
      <c r="H787" s="4" t="str" cm="1">
        <f t="array" ref="H787">INDEX(Sheet1!D:D,$G787)</f>
        <v>t1138.xlsx</v>
      </c>
      <c r="I787" s="4" t="str" cm="1">
        <f t="array" ref="I787">INDEX(Sheet1!E:E,$G787)</f>
        <v>Sheet1</v>
      </c>
      <c r="J787" s="4" t="str" cm="1">
        <f t="array" ref="J787">INDEX(Sheet1!F:F,$G787)</f>
        <v>B25</v>
      </c>
      <c r="K787" s="4" cm="1">
        <f t="array" ref="K787">INDEX(Sheet1!H:H,$G787)</f>
        <v>1</v>
      </c>
      <c r="L787" s="4">
        <f t="shared" si="48"/>
        <v>85</v>
      </c>
      <c r="M787" s="4">
        <f t="shared" si="51"/>
        <v>5</v>
      </c>
    </row>
    <row r="788" spans="1:13">
      <c r="A788" s="4" t="str" cm="1">
        <f t="array" ref="A788">INDEX(Sheet1!A:A,$F788)</f>
        <v>M</v>
      </c>
      <c r="B788" s="4" t="str" cm="1">
        <f t="array" ref="B788">INDEX(Sheet1!B:B,$F788)</f>
        <v>Undiff SM</v>
      </c>
      <c r="C788" s="4">
        <f t="shared" si="49"/>
        <v>86</v>
      </c>
      <c r="D788" s="5" cm="1">
        <f t="array" aca="1" ref="D788" ca="1">OFFSET(INDIRECT("'["&amp;$H788&amp;"]"&amp;$I788&amp;"'!"&amp;$J788),$L788,$M788)*$K788</f>
        <v>0.20454</v>
      </c>
      <c r="F788" s="4">
        <f t="shared" si="50"/>
        <v>9</v>
      </c>
      <c r="G788" s="4" cm="1">
        <f t="array" ref="G788">IF($C788+$M788&lt;16,INDEX(Sheet1!C:C,$F788),$F788)</f>
        <v>9</v>
      </c>
      <c r="H788" s="4" t="str" cm="1">
        <f t="array" ref="H788">INDEX(Sheet1!D:D,$G788)</f>
        <v>t1138.xlsx</v>
      </c>
      <c r="I788" s="4" t="str" cm="1">
        <f t="array" ref="I788">INDEX(Sheet1!E:E,$G788)</f>
        <v>Sheet1</v>
      </c>
      <c r="J788" s="4" t="str" cm="1">
        <f t="array" ref="J788">INDEX(Sheet1!F:F,$G788)</f>
        <v>B25</v>
      </c>
      <c r="K788" s="4" cm="1">
        <f t="array" ref="K788">INDEX(Sheet1!H:H,$G788)</f>
        <v>1</v>
      </c>
      <c r="L788" s="4">
        <f t="shared" si="48"/>
        <v>86</v>
      </c>
      <c r="M788" s="4">
        <f t="shared" si="51"/>
        <v>5</v>
      </c>
    </row>
    <row r="789" spans="1:13">
      <c r="A789" s="4" t="str" cm="1">
        <f t="array" ref="A789">INDEX(Sheet1!A:A,$F789)</f>
        <v>M</v>
      </c>
      <c r="B789" s="4" t="str" cm="1">
        <f t="array" ref="B789">INDEX(Sheet1!B:B,$F789)</f>
        <v>Undiff SM</v>
      </c>
      <c r="C789" s="4">
        <f t="shared" si="49"/>
        <v>87</v>
      </c>
      <c r="D789" s="5" cm="1">
        <f t="array" aca="1" ref="D789" ca="1">OFFSET(INDIRECT("'["&amp;$H789&amp;"]"&amp;$I789&amp;"'!"&amp;$J789),$L789,$M789)*$K789</f>
        <v>0.24302000000000001</v>
      </c>
      <c r="F789" s="4">
        <f t="shared" si="50"/>
        <v>9</v>
      </c>
      <c r="G789" s="4" cm="1">
        <f t="array" ref="G789">IF($C789+$M789&lt;16,INDEX(Sheet1!C:C,$F789),$F789)</f>
        <v>9</v>
      </c>
      <c r="H789" s="4" t="str" cm="1">
        <f t="array" ref="H789">INDEX(Sheet1!D:D,$G789)</f>
        <v>t1138.xlsx</v>
      </c>
      <c r="I789" s="4" t="str" cm="1">
        <f t="array" ref="I789">INDEX(Sheet1!E:E,$G789)</f>
        <v>Sheet1</v>
      </c>
      <c r="J789" s="4" t="str" cm="1">
        <f t="array" ref="J789">INDEX(Sheet1!F:F,$G789)</f>
        <v>B25</v>
      </c>
      <c r="K789" s="4" cm="1">
        <f t="array" ref="K789">INDEX(Sheet1!H:H,$G789)</f>
        <v>1</v>
      </c>
      <c r="L789" s="4">
        <f t="shared" si="48"/>
        <v>87</v>
      </c>
      <c r="M789" s="4">
        <f t="shared" si="51"/>
        <v>5</v>
      </c>
    </row>
    <row r="790" spans="1:13">
      <c r="A790" s="4" t="str" cm="1">
        <f t="array" ref="A790">INDEX(Sheet1!A:A,$F790)</f>
        <v>M</v>
      </c>
      <c r="B790" s="4" t="str" cm="1">
        <f t="array" ref="B790">INDEX(Sheet1!B:B,$F790)</f>
        <v>Undiff SM</v>
      </c>
      <c r="C790" s="4">
        <f t="shared" si="49"/>
        <v>88</v>
      </c>
      <c r="D790" s="5" cm="1">
        <f t="array" aca="1" ref="D790" ca="1">OFFSET(INDIRECT("'["&amp;$H790&amp;"]"&amp;$I790&amp;"'!"&amp;$J790),$L790,$M790)*$K790</f>
        <v>0.2581</v>
      </c>
      <c r="F790" s="4">
        <f t="shared" si="50"/>
        <v>9</v>
      </c>
      <c r="G790" s="4" cm="1">
        <f t="array" ref="G790">IF($C790+$M790&lt;16,INDEX(Sheet1!C:C,$F790),$F790)</f>
        <v>9</v>
      </c>
      <c r="H790" s="4" t="str" cm="1">
        <f t="array" ref="H790">INDEX(Sheet1!D:D,$G790)</f>
        <v>t1138.xlsx</v>
      </c>
      <c r="I790" s="4" t="str" cm="1">
        <f t="array" ref="I790">INDEX(Sheet1!E:E,$G790)</f>
        <v>Sheet1</v>
      </c>
      <c r="J790" s="4" t="str" cm="1">
        <f t="array" ref="J790">INDEX(Sheet1!F:F,$G790)</f>
        <v>B25</v>
      </c>
      <c r="K790" s="4" cm="1">
        <f t="array" ref="K790">INDEX(Sheet1!H:H,$G790)</f>
        <v>1</v>
      </c>
      <c r="L790" s="4">
        <f t="shared" si="48"/>
        <v>88</v>
      </c>
      <c r="M790" s="4">
        <f t="shared" si="51"/>
        <v>5</v>
      </c>
    </row>
    <row r="791" spans="1:13">
      <c r="A791" s="4" t="str" cm="1">
        <f t="array" ref="A791">INDEX(Sheet1!A:A,$F791)</f>
        <v>M</v>
      </c>
      <c r="B791" s="4" t="str" cm="1">
        <f t="array" ref="B791">INDEX(Sheet1!B:B,$F791)</f>
        <v>Undiff SM</v>
      </c>
      <c r="C791" s="4">
        <f t="shared" si="49"/>
        <v>89</v>
      </c>
      <c r="D791" s="5" cm="1">
        <f t="array" aca="1" ref="D791" ca="1">OFFSET(INDIRECT("'["&amp;$H791&amp;"]"&amp;$I791&amp;"'!"&amp;$J791),$L791,$M791)*$K791</f>
        <v>0.27373999999999998</v>
      </c>
      <c r="F791" s="4">
        <f t="shared" si="50"/>
        <v>9</v>
      </c>
      <c r="G791" s="4" cm="1">
        <f t="array" ref="G791">IF($C791+$M791&lt;16,INDEX(Sheet1!C:C,$F791),$F791)</f>
        <v>9</v>
      </c>
      <c r="H791" s="4" t="str" cm="1">
        <f t="array" ref="H791">INDEX(Sheet1!D:D,$G791)</f>
        <v>t1138.xlsx</v>
      </c>
      <c r="I791" s="4" t="str" cm="1">
        <f t="array" ref="I791">INDEX(Sheet1!E:E,$G791)</f>
        <v>Sheet1</v>
      </c>
      <c r="J791" s="4" t="str" cm="1">
        <f t="array" ref="J791">INDEX(Sheet1!F:F,$G791)</f>
        <v>B25</v>
      </c>
      <c r="K791" s="4" cm="1">
        <f t="array" ref="K791">INDEX(Sheet1!H:H,$G791)</f>
        <v>1</v>
      </c>
      <c r="L791" s="4">
        <f t="shared" si="48"/>
        <v>89</v>
      </c>
      <c r="M791" s="4">
        <f t="shared" si="51"/>
        <v>5</v>
      </c>
    </row>
    <row r="792" spans="1:13">
      <c r="A792" s="4" t="str" cm="1">
        <f t="array" ref="A792">INDEX(Sheet1!A:A,$F792)</f>
        <v>M</v>
      </c>
      <c r="B792" s="4" t="str" cm="1">
        <f t="array" ref="B792">INDEX(Sheet1!B:B,$F792)</f>
        <v>Undiff SM</v>
      </c>
      <c r="C792" s="4">
        <f t="shared" si="49"/>
        <v>90</v>
      </c>
      <c r="D792" s="5" cm="1">
        <f t="array" aca="1" ref="D792" ca="1">OFFSET(INDIRECT("'["&amp;$H792&amp;"]"&amp;$I792&amp;"'!"&amp;$J792),$L792,$M792)*$K792</f>
        <v>0.29104999999999998</v>
      </c>
      <c r="F792" s="4">
        <f t="shared" si="50"/>
        <v>9</v>
      </c>
      <c r="G792" s="4" cm="1">
        <f t="array" ref="G792">IF($C792+$M792&lt;16,INDEX(Sheet1!C:C,$F792),$F792)</f>
        <v>9</v>
      </c>
      <c r="H792" s="4" t="str" cm="1">
        <f t="array" ref="H792">INDEX(Sheet1!D:D,$G792)</f>
        <v>t1138.xlsx</v>
      </c>
      <c r="I792" s="4" t="str" cm="1">
        <f t="array" ref="I792">INDEX(Sheet1!E:E,$G792)</f>
        <v>Sheet1</v>
      </c>
      <c r="J792" s="4" t="str" cm="1">
        <f t="array" ref="J792">INDEX(Sheet1!F:F,$G792)</f>
        <v>B25</v>
      </c>
      <c r="K792" s="4" cm="1">
        <f t="array" ref="K792">INDEX(Sheet1!H:H,$G792)</f>
        <v>1</v>
      </c>
      <c r="L792" s="4">
        <f t="shared" si="48"/>
        <v>90</v>
      </c>
      <c r="M792" s="4">
        <f t="shared" si="51"/>
        <v>5</v>
      </c>
    </row>
    <row r="793" spans="1:13">
      <c r="A793" s="4" t="str" cm="1">
        <f t="array" ref="A793">INDEX(Sheet1!A:A,$F793)</f>
        <v>M</v>
      </c>
      <c r="B793" s="4" t="str" cm="1">
        <f t="array" ref="B793">INDEX(Sheet1!B:B,$F793)</f>
        <v>Undiff SM</v>
      </c>
      <c r="C793" s="4">
        <f t="shared" si="49"/>
        <v>91</v>
      </c>
      <c r="D793" s="5" cm="1">
        <f t="array" aca="1" ref="D793" ca="1">OFFSET(INDIRECT("'["&amp;$H793&amp;"]"&amp;$I793&amp;"'!"&amp;$J793),$L793,$M793)*$K793</f>
        <v>0.30632999999999999</v>
      </c>
      <c r="F793" s="4">
        <f t="shared" si="50"/>
        <v>9</v>
      </c>
      <c r="G793" s="4" cm="1">
        <f t="array" ref="G793">IF($C793+$M793&lt;16,INDEX(Sheet1!C:C,$F793),$F793)</f>
        <v>9</v>
      </c>
      <c r="H793" s="4" t="str" cm="1">
        <f t="array" ref="H793">INDEX(Sheet1!D:D,$G793)</f>
        <v>t1138.xlsx</v>
      </c>
      <c r="I793" s="4" t="str" cm="1">
        <f t="array" ref="I793">INDEX(Sheet1!E:E,$G793)</f>
        <v>Sheet1</v>
      </c>
      <c r="J793" s="4" t="str" cm="1">
        <f t="array" ref="J793">INDEX(Sheet1!F:F,$G793)</f>
        <v>B25</v>
      </c>
      <c r="K793" s="4" cm="1">
        <f t="array" ref="K793">INDEX(Sheet1!H:H,$G793)</f>
        <v>1</v>
      </c>
      <c r="L793" s="4">
        <f t="shared" si="48"/>
        <v>91</v>
      </c>
      <c r="M793" s="4">
        <f t="shared" si="51"/>
        <v>5</v>
      </c>
    </row>
    <row r="794" spans="1:13">
      <c r="A794" s="4" t="str" cm="1">
        <f t="array" ref="A794">INDEX(Sheet1!A:A,$F794)</f>
        <v>M</v>
      </c>
      <c r="B794" s="4" t="str" cm="1">
        <f t="array" ref="B794">INDEX(Sheet1!B:B,$F794)</f>
        <v>Undiff SM</v>
      </c>
      <c r="C794" s="4">
        <f t="shared" si="49"/>
        <v>92</v>
      </c>
      <c r="D794" s="5" cm="1">
        <f t="array" aca="1" ref="D794" ca="1">OFFSET(INDIRECT("'["&amp;$H794&amp;"]"&amp;$I794&amp;"'!"&amp;$J794),$L794,$M794)*$K794</f>
        <v>0.32244</v>
      </c>
      <c r="F794" s="4">
        <f t="shared" si="50"/>
        <v>9</v>
      </c>
      <c r="G794" s="4" cm="1">
        <f t="array" ref="G794">IF($C794+$M794&lt;16,INDEX(Sheet1!C:C,$F794),$F794)</f>
        <v>9</v>
      </c>
      <c r="H794" s="4" t="str" cm="1">
        <f t="array" ref="H794">INDEX(Sheet1!D:D,$G794)</f>
        <v>t1138.xlsx</v>
      </c>
      <c r="I794" s="4" t="str" cm="1">
        <f t="array" ref="I794">INDEX(Sheet1!E:E,$G794)</f>
        <v>Sheet1</v>
      </c>
      <c r="J794" s="4" t="str" cm="1">
        <f t="array" ref="J794">INDEX(Sheet1!F:F,$G794)</f>
        <v>B25</v>
      </c>
      <c r="K794" s="4" cm="1">
        <f t="array" ref="K794">INDEX(Sheet1!H:H,$G794)</f>
        <v>1</v>
      </c>
      <c r="L794" s="4">
        <f t="shared" si="48"/>
        <v>92</v>
      </c>
      <c r="M794" s="4">
        <f t="shared" si="51"/>
        <v>5</v>
      </c>
    </row>
    <row r="795" spans="1:13">
      <c r="A795" s="4" t="str" cm="1">
        <f t="array" ref="A795">INDEX(Sheet1!A:A,$F795)</f>
        <v>M</v>
      </c>
      <c r="B795" s="4" t="str" cm="1">
        <f t="array" ref="B795">INDEX(Sheet1!B:B,$F795)</f>
        <v>Undiff SM</v>
      </c>
      <c r="C795" s="4">
        <f t="shared" si="49"/>
        <v>93</v>
      </c>
      <c r="D795" s="5" cm="1">
        <f t="array" aca="1" ref="D795" ca="1">OFFSET(INDIRECT("'["&amp;$H795&amp;"]"&amp;$I795&amp;"'!"&amp;$J795),$L795,$M795)*$K795</f>
        <v>0.33944999999999997</v>
      </c>
      <c r="F795" s="4">
        <f t="shared" si="50"/>
        <v>9</v>
      </c>
      <c r="G795" s="4" cm="1">
        <f t="array" ref="G795">IF($C795+$M795&lt;16,INDEX(Sheet1!C:C,$F795),$F795)</f>
        <v>9</v>
      </c>
      <c r="H795" s="4" t="str" cm="1">
        <f t="array" ref="H795">INDEX(Sheet1!D:D,$G795)</f>
        <v>t1138.xlsx</v>
      </c>
      <c r="I795" s="4" t="str" cm="1">
        <f t="array" ref="I795">INDEX(Sheet1!E:E,$G795)</f>
        <v>Sheet1</v>
      </c>
      <c r="J795" s="4" t="str" cm="1">
        <f t="array" ref="J795">INDEX(Sheet1!F:F,$G795)</f>
        <v>B25</v>
      </c>
      <c r="K795" s="4" cm="1">
        <f t="array" ref="K795">INDEX(Sheet1!H:H,$G795)</f>
        <v>1</v>
      </c>
      <c r="L795" s="4">
        <f t="shared" si="48"/>
        <v>93</v>
      </c>
      <c r="M795" s="4">
        <f t="shared" si="51"/>
        <v>5</v>
      </c>
    </row>
    <row r="796" spans="1:13">
      <c r="A796" s="4" t="str" cm="1">
        <f t="array" ref="A796">INDEX(Sheet1!A:A,$F796)</f>
        <v>M</v>
      </c>
      <c r="B796" s="4" t="str" cm="1">
        <f t="array" ref="B796">INDEX(Sheet1!B:B,$F796)</f>
        <v>Undiff SM</v>
      </c>
      <c r="C796" s="4">
        <f t="shared" si="49"/>
        <v>94</v>
      </c>
      <c r="D796" s="5" cm="1">
        <f t="array" aca="1" ref="D796" ca="1">OFFSET(INDIRECT("'["&amp;$H796&amp;"]"&amp;$I796&amp;"'!"&amp;$J796),$L796,$M796)*$K796</f>
        <v>0.35742000000000002</v>
      </c>
      <c r="F796" s="4">
        <f t="shared" si="50"/>
        <v>9</v>
      </c>
      <c r="G796" s="4" cm="1">
        <f t="array" ref="G796">IF($C796+$M796&lt;16,INDEX(Sheet1!C:C,$F796),$F796)</f>
        <v>9</v>
      </c>
      <c r="H796" s="4" t="str" cm="1">
        <f t="array" ref="H796">INDEX(Sheet1!D:D,$G796)</f>
        <v>t1138.xlsx</v>
      </c>
      <c r="I796" s="4" t="str" cm="1">
        <f t="array" ref="I796">INDEX(Sheet1!E:E,$G796)</f>
        <v>Sheet1</v>
      </c>
      <c r="J796" s="4" t="str" cm="1">
        <f t="array" ref="J796">INDEX(Sheet1!F:F,$G796)</f>
        <v>B25</v>
      </c>
      <c r="K796" s="4" cm="1">
        <f t="array" ref="K796">INDEX(Sheet1!H:H,$G796)</f>
        <v>1</v>
      </c>
      <c r="L796" s="4">
        <f t="shared" si="48"/>
        <v>94</v>
      </c>
      <c r="M796" s="4">
        <f t="shared" si="51"/>
        <v>5</v>
      </c>
    </row>
    <row r="797" spans="1:13">
      <c r="A797" s="4" t="str" cm="1">
        <f t="array" ref="A797">INDEX(Sheet1!A:A,$F797)</f>
        <v>M</v>
      </c>
      <c r="B797" s="4" t="str" cm="1">
        <f t="array" ref="B797">INDEX(Sheet1!B:B,$F797)</f>
        <v>Undiff SM</v>
      </c>
      <c r="C797" s="4">
        <f t="shared" si="49"/>
        <v>95</v>
      </c>
      <c r="D797" s="5" cm="1">
        <f t="array" aca="1" ref="D797" ca="1">OFFSET(INDIRECT("'["&amp;$H797&amp;"]"&amp;$I797&amp;"'!"&amp;$J797),$L797,$M797)*$K797</f>
        <v>0.37640000000000001</v>
      </c>
      <c r="F797" s="4">
        <f t="shared" si="50"/>
        <v>9</v>
      </c>
      <c r="G797" s="4" cm="1">
        <f t="array" ref="G797">IF($C797+$M797&lt;16,INDEX(Sheet1!C:C,$F797),$F797)</f>
        <v>9</v>
      </c>
      <c r="H797" s="4" t="str" cm="1">
        <f t="array" ref="H797">INDEX(Sheet1!D:D,$G797)</f>
        <v>t1138.xlsx</v>
      </c>
      <c r="I797" s="4" t="str" cm="1">
        <f t="array" ref="I797">INDEX(Sheet1!E:E,$G797)</f>
        <v>Sheet1</v>
      </c>
      <c r="J797" s="4" t="str" cm="1">
        <f t="array" ref="J797">INDEX(Sheet1!F:F,$G797)</f>
        <v>B25</v>
      </c>
      <c r="K797" s="4" cm="1">
        <f t="array" ref="K797">INDEX(Sheet1!H:H,$G797)</f>
        <v>1</v>
      </c>
      <c r="L797" s="4">
        <f t="shared" si="48"/>
        <v>95</v>
      </c>
      <c r="M797" s="4">
        <f t="shared" si="51"/>
        <v>5</v>
      </c>
    </row>
    <row r="798" spans="1:13">
      <c r="A798" s="4" t="str" cm="1">
        <f t="array" ref="A798">INDEX(Sheet1!A:A,$F798)</f>
        <v>M</v>
      </c>
      <c r="B798" s="4" t="str" cm="1">
        <f t="array" ref="B798">INDEX(Sheet1!B:B,$F798)</f>
        <v>Undiff SM</v>
      </c>
      <c r="C798" s="4">
        <f t="shared" si="49"/>
        <v>96</v>
      </c>
      <c r="D798" s="5" cm="1">
        <f t="array" aca="1" ref="D798" ca="1">OFFSET(INDIRECT("'["&amp;$H798&amp;"]"&amp;$I798&amp;"'!"&amp;$J798),$L798,$M798)*$K798</f>
        <v>0.39077000000000001</v>
      </c>
      <c r="F798" s="4">
        <f t="shared" si="50"/>
        <v>9</v>
      </c>
      <c r="G798" s="4" cm="1">
        <f t="array" ref="G798">IF($C798+$M798&lt;16,INDEX(Sheet1!C:C,$F798),$F798)</f>
        <v>9</v>
      </c>
      <c r="H798" s="4" t="str" cm="1">
        <f t="array" ref="H798">INDEX(Sheet1!D:D,$G798)</f>
        <v>t1138.xlsx</v>
      </c>
      <c r="I798" s="4" t="str" cm="1">
        <f t="array" ref="I798">INDEX(Sheet1!E:E,$G798)</f>
        <v>Sheet1</v>
      </c>
      <c r="J798" s="4" t="str" cm="1">
        <f t="array" ref="J798">INDEX(Sheet1!F:F,$G798)</f>
        <v>B25</v>
      </c>
      <c r="K798" s="4" cm="1">
        <f t="array" ref="K798">INDEX(Sheet1!H:H,$G798)</f>
        <v>1</v>
      </c>
      <c r="L798" s="4">
        <f t="shared" si="48"/>
        <v>96</v>
      </c>
      <c r="M798" s="4">
        <f t="shared" si="51"/>
        <v>5</v>
      </c>
    </row>
    <row r="799" spans="1:13">
      <c r="A799" s="4" t="str" cm="1">
        <f t="array" ref="A799">INDEX(Sheet1!A:A,$F799)</f>
        <v>M</v>
      </c>
      <c r="B799" s="4" t="str" cm="1">
        <f t="array" ref="B799">INDEX(Sheet1!B:B,$F799)</f>
        <v>Undiff SM</v>
      </c>
      <c r="C799" s="4">
        <f t="shared" si="49"/>
        <v>97</v>
      </c>
      <c r="D799" s="5" cm="1">
        <f t="array" aca="1" ref="D799" ca="1">OFFSET(INDIRECT("'["&amp;$H799&amp;"]"&amp;$I799&amp;"'!"&amp;$J799),$L799,$M799)*$K799</f>
        <v>0.40592</v>
      </c>
      <c r="F799" s="4">
        <f t="shared" si="50"/>
        <v>9</v>
      </c>
      <c r="G799" s="4" cm="1">
        <f t="array" ref="G799">IF($C799+$M799&lt;16,INDEX(Sheet1!C:C,$F799),$F799)</f>
        <v>9</v>
      </c>
      <c r="H799" s="4" t="str" cm="1">
        <f t="array" ref="H799">INDEX(Sheet1!D:D,$G799)</f>
        <v>t1138.xlsx</v>
      </c>
      <c r="I799" s="4" t="str" cm="1">
        <f t="array" ref="I799">INDEX(Sheet1!E:E,$G799)</f>
        <v>Sheet1</v>
      </c>
      <c r="J799" s="4" t="str" cm="1">
        <f t="array" ref="J799">INDEX(Sheet1!F:F,$G799)</f>
        <v>B25</v>
      </c>
      <c r="K799" s="4" cm="1">
        <f t="array" ref="K799">INDEX(Sheet1!H:H,$G799)</f>
        <v>1</v>
      </c>
      <c r="L799" s="4">
        <f t="shared" si="48"/>
        <v>97</v>
      </c>
      <c r="M799" s="4">
        <f t="shared" si="51"/>
        <v>5</v>
      </c>
    </row>
    <row r="800" spans="1:13">
      <c r="A800" s="4" t="str" cm="1">
        <f t="array" ref="A800">INDEX(Sheet1!A:A,$F800)</f>
        <v>M</v>
      </c>
      <c r="B800" s="4" t="str" cm="1">
        <f t="array" ref="B800">INDEX(Sheet1!B:B,$F800)</f>
        <v>Undiff SM</v>
      </c>
      <c r="C800" s="4">
        <f t="shared" si="49"/>
        <v>98</v>
      </c>
      <c r="D800" s="5" cm="1">
        <f t="array" aca="1" ref="D800" ca="1">OFFSET(INDIRECT("'["&amp;$H800&amp;"]"&amp;$I800&amp;"'!"&amp;$J800),$L800,$M800)*$K800</f>
        <v>0.42182999999999998</v>
      </c>
      <c r="F800" s="4">
        <f t="shared" si="50"/>
        <v>9</v>
      </c>
      <c r="G800" s="4" cm="1">
        <f t="array" ref="G800">IF($C800+$M800&lt;16,INDEX(Sheet1!C:C,$F800),$F800)</f>
        <v>9</v>
      </c>
      <c r="H800" s="4" t="str" cm="1">
        <f t="array" ref="H800">INDEX(Sheet1!D:D,$G800)</f>
        <v>t1138.xlsx</v>
      </c>
      <c r="I800" s="4" t="str" cm="1">
        <f t="array" ref="I800">INDEX(Sheet1!E:E,$G800)</f>
        <v>Sheet1</v>
      </c>
      <c r="J800" s="4" t="str" cm="1">
        <f t="array" ref="J800">INDEX(Sheet1!F:F,$G800)</f>
        <v>B25</v>
      </c>
      <c r="K800" s="4" cm="1">
        <f t="array" ref="K800">INDEX(Sheet1!H:H,$G800)</f>
        <v>1</v>
      </c>
      <c r="L800" s="4">
        <f t="shared" si="48"/>
        <v>98</v>
      </c>
      <c r="M800" s="4">
        <f t="shared" si="51"/>
        <v>5</v>
      </c>
    </row>
    <row r="801" spans="1:13">
      <c r="A801" s="4" t="str" cm="1">
        <f t="array" ref="A801">INDEX(Sheet1!A:A,$F801)</f>
        <v>M</v>
      </c>
      <c r="B801" s="4" t="str" cm="1">
        <f t="array" ref="B801">INDEX(Sheet1!B:B,$F801)</f>
        <v>Undiff SM</v>
      </c>
      <c r="C801" s="4">
        <f t="shared" si="49"/>
        <v>99</v>
      </c>
      <c r="D801" s="5" cm="1">
        <f t="array" aca="1" ref="D801" ca="1">OFFSET(INDIRECT("'["&amp;$H801&amp;"]"&amp;$I801&amp;"'!"&amp;$J801),$L801,$M801)*$K801</f>
        <v>0.43857000000000002</v>
      </c>
      <c r="F801" s="4">
        <f t="shared" si="50"/>
        <v>9</v>
      </c>
      <c r="G801" s="4" cm="1">
        <f t="array" ref="G801">IF($C801+$M801&lt;16,INDEX(Sheet1!C:C,$F801),$F801)</f>
        <v>9</v>
      </c>
      <c r="H801" s="4" t="str" cm="1">
        <f t="array" ref="H801">INDEX(Sheet1!D:D,$G801)</f>
        <v>t1138.xlsx</v>
      </c>
      <c r="I801" s="4" t="str" cm="1">
        <f t="array" ref="I801">INDEX(Sheet1!E:E,$G801)</f>
        <v>Sheet1</v>
      </c>
      <c r="J801" s="4" t="str" cm="1">
        <f t="array" ref="J801">INDEX(Sheet1!F:F,$G801)</f>
        <v>B25</v>
      </c>
      <c r="K801" s="4" cm="1">
        <f t="array" ref="K801">INDEX(Sheet1!H:H,$G801)</f>
        <v>1</v>
      </c>
      <c r="L801" s="4">
        <f t="shared" si="48"/>
        <v>99</v>
      </c>
      <c r="M801" s="4">
        <f t="shared" si="51"/>
        <v>5</v>
      </c>
    </row>
    <row r="802" spans="1:13">
      <c r="A802" s="4" t="str" cm="1">
        <f t="array" ref="A802">INDEX(Sheet1!A:A,$F802)</f>
        <v>M</v>
      </c>
      <c r="B802" s="4" t="str" cm="1">
        <f t="array" ref="B802">INDEX(Sheet1!B:B,$F802)</f>
        <v>Agg/Unknown</v>
      </c>
      <c r="C802" s="4">
        <f t="shared" si="49"/>
        <v>0</v>
      </c>
      <c r="D802" s="5" cm="1">
        <f t="array" aca="1" ref="D802" ca="1">OFFSET(INDIRECT("'["&amp;$H802&amp;"]"&amp;$I802&amp;"'!"&amp;$J802),$L802,$M802)*$K802</f>
        <v>2.1000000000000001E-4</v>
      </c>
      <c r="F802" s="4">
        <f t="shared" si="50"/>
        <v>10</v>
      </c>
      <c r="G802" s="4" cm="1">
        <f t="array" ref="G802">IF($C802+$M802&lt;16,INDEX(Sheet1!C:C,$F802),$F802)</f>
        <v>10</v>
      </c>
      <c r="H802" s="4" t="str" cm="1">
        <f t="array" ref="H802">INDEX(Sheet1!D:D,$G802)</f>
        <v>t1136.xlsx</v>
      </c>
      <c r="I802" s="4" t="str" cm="1">
        <f t="array" ref="I802">INDEX(Sheet1!E:E,$G802)</f>
        <v>Sheet1</v>
      </c>
      <c r="J802" s="4" t="str" cm="1">
        <f t="array" ref="J802">INDEX(Sheet1!F:F,$G802)</f>
        <v>B25</v>
      </c>
      <c r="K802" s="4" cm="1">
        <f t="array" ref="K802">INDEX(Sheet1!H:H,$G802)</f>
        <v>1</v>
      </c>
      <c r="L802" s="4">
        <f t="shared" si="48"/>
        <v>0</v>
      </c>
      <c r="M802" s="4">
        <f t="shared" si="51"/>
        <v>5</v>
      </c>
    </row>
    <row r="803" spans="1:13">
      <c r="A803" s="4" t="str" cm="1">
        <f t="array" ref="A803">INDEX(Sheet1!A:A,$F803)</f>
        <v>M</v>
      </c>
      <c r="B803" s="4" t="str" cm="1">
        <f t="array" ref="B803">INDEX(Sheet1!B:B,$F803)</f>
        <v>Agg/Unknown</v>
      </c>
      <c r="C803" s="4">
        <f t="shared" si="49"/>
        <v>1</v>
      </c>
      <c r="D803" s="5" cm="1">
        <f t="array" aca="1" ref="D803" ca="1">OFFSET(INDIRECT("'["&amp;$H803&amp;"]"&amp;$I803&amp;"'!"&amp;$J803),$L803,$M803)*$K803</f>
        <v>2.1000000000000001E-4</v>
      </c>
      <c r="F803" s="4">
        <f t="shared" si="50"/>
        <v>10</v>
      </c>
      <c r="G803" s="4" cm="1">
        <f t="array" ref="G803">IF($C803+$M803&lt;16,INDEX(Sheet1!C:C,$F803),$F803)</f>
        <v>10</v>
      </c>
      <c r="H803" s="4" t="str" cm="1">
        <f t="array" ref="H803">INDEX(Sheet1!D:D,$G803)</f>
        <v>t1136.xlsx</v>
      </c>
      <c r="I803" s="4" t="str" cm="1">
        <f t="array" ref="I803">INDEX(Sheet1!E:E,$G803)</f>
        <v>Sheet1</v>
      </c>
      <c r="J803" s="4" t="str" cm="1">
        <f t="array" ref="J803">INDEX(Sheet1!F:F,$G803)</f>
        <v>B25</v>
      </c>
      <c r="K803" s="4" cm="1">
        <f t="array" ref="K803">INDEX(Sheet1!H:H,$G803)</f>
        <v>1</v>
      </c>
      <c r="L803" s="4">
        <f t="shared" si="48"/>
        <v>1</v>
      </c>
      <c r="M803" s="4">
        <f t="shared" si="51"/>
        <v>5</v>
      </c>
    </row>
    <row r="804" spans="1:13">
      <c r="A804" s="4" t="str" cm="1">
        <f t="array" ref="A804">INDEX(Sheet1!A:A,$F804)</f>
        <v>M</v>
      </c>
      <c r="B804" s="4" t="str" cm="1">
        <f t="array" ref="B804">INDEX(Sheet1!B:B,$F804)</f>
        <v>Agg/Unknown</v>
      </c>
      <c r="C804" s="4">
        <f t="shared" si="49"/>
        <v>2</v>
      </c>
      <c r="D804" s="5" cm="1">
        <f t="array" aca="1" ref="D804" ca="1">OFFSET(INDIRECT("'["&amp;$H804&amp;"]"&amp;$I804&amp;"'!"&amp;$J804),$L804,$M804)*$K804</f>
        <v>2.1000000000000001E-4</v>
      </c>
      <c r="F804" s="4">
        <f t="shared" si="50"/>
        <v>10</v>
      </c>
      <c r="G804" s="4" cm="1">
        <f t="array" ref="G804">IF($C804+$M804&lt;16,INDEX(Sheet1!C:C,$F804),$F804)</f>
        <v>10</v>
      </c>
      <c r="H804" s="4" t="str" cm="1">
        <f t="array" ref="H804">INDEX(Sheet1!D:D,$G804)</f>
        <v>t1136.xlsx</v>
      </c>
      <c r="I804" s="4" t="str" cm="1">
        <f t="array" ref="I804">INDEX(Sheet1!E:E,$G804)</f>
        <v>Sheet1</v>
      </c>
      <c r="J804" s="4" t="str" cm="1">
        <f t="array" ref="J804">INDEX(Sheet1!F:F,$G804)</f>
        <v>B25</v>
      </c>
      <c r="K804" s="4" cm="1">
        <f t="array" ref="K804">INDEX(Sheet1!H:H,$G804)</f>
        <v>1</v>
      </c>
      <c r="L804" s="4">
        <f t="shared" si="48"/>
        <v>2</v>
      </c>
      <c r="M804" s="4">
        <f t="shared" si="51"/>
        <v>5</v>
      </c>
    </row>
    <row r="805" spans="1:13">
      <c r="A805" s="4" t="str" cm="1">
        <f t="array" ref="A805">INDEX(Sheet1!A:A,$F805)</f>
        <v>M</v>
      </c>
      <c r="B805" s="4" t="str" cm="1">
        <f t="array" ref="B805">INDEX(Sheet1!B:B,$F805)</f>
        <v>Agg/Unknown</v>
      </c>
      <c r="C805" s="4">
        <f t="shared" si="49"/>
        <v>3</v>
      </c>
      <c r="D805" s="5" cm="1">
        <f t="array" aca="1" ref="D805" ca="1">OFFSET(INDIRECT("'["&amp;$H805&amp;"]"&amp;$I805&amp;"'!"&amp;$J805),$L805,$M805)*$K805</f>
        <v>2.1000000000000001E-4</v>
      </c>
      <c r="F805" s="4">
        <f t="shared" si="50"/>
        <v>10</v>
      </c>
      <c r="G805" s="4" cm="1">
        <f t="array" ref="G805">IF($C805+$M805&lt;16,INDEX(Sheet1!C:C,$F805),$F805)</f>
        <v>10</v>
      </c>
      <c r="H805" s="4" t="str" cm="1">
        <f t="array" ref="H805">INDEX(Sheet1!D:D,$G805)</f>
        <v>t1136.xlsx</v>
      </c>
      <c r="I805" s="4" t="str" cm="1">
        <f t="array" ref="I805">INDEX(Sheet1!E:E,$G805)</f>
        <v>Sheet1</v>
      </c>
      <c r="J805" s="4" t="str" cm="1">
        <f t="array" ref="J805">INDEX(Sheet1!F:F,$G805)</f>
        <v>B25</v>
      </c>
      <c r="K805" s="4" cm="1">
        <f t="array" ref="K805">INDEX(Sheet1!H:H,$G805)</f>
        <v>1</v>
      </c>
      <c r="L805" s="4">
        <f t="shared" si="48"/>
        <v>3</v>
      </c>
      <c r="M805" s="4">
        <f t="shared" si="51"/>
        <v>5</v>
      </c>
    </row>
    <row r="806" spans="1:13">
      <c r="A806" s="4" t="str" cm="1">
        <f t="array" ref="A806">INDEX(Sheet1!A:A,$F806)</f>
        <v>M</v>
      </c>
      <c r="B806" s="4" t="str" cm="1">
        <f t="array" ref="B806">INDEX(Sheet1!B:B,$F806)</f>
        <v>Agg/Unknown</v>
      </c>
      <c r="C806" s="4">
        <f t="shared" si="49"/>
        <v>4</v>
      </c>
      <c r="D806" s="5" cm="1">
        <f t="array" aca="1" ref="D806" ca="1">OFFSET(INDIRECT("'["&amp;$H806&amp;"]"&amp;$I806&amp;"'!"&amp;$J806),$L806,$M806)*$K806</f>
        <v>2.1000000000000001E-4</v>
      </c>
      <c r="F806" s="4">
        <f t="shared" si="50"/>
        <v>10</v>
      </c>
      <c r="G806" s="4" cm="1">
        <f t="array" ref="G806">IF($C806+$M806&lt;16,INDEX(Sheet1!C:C,$F806),$F806)</f>
        <v>10</v>
      </c>
      <c r="H806" s="4" t="str" cm="1">
        <f t="array" ref="H806">INDEX(Sheet1!D:D,$G806)</f>
        <v>t1136.xlsx</v>
      </c>
      <c r="I806" s="4" t="str" cm="1">
        <f t="array" ref="I806">INDEX(Sheet1!E:E,$G806)</f>
        <v>Sheet1</v>
      </c>
      <c r="J806" s="4" t="str" cm="1">
        <f t="array" ref="J806">INDEX(Sheet1!F:F,$G806)</f>
        <v>B25</v>
      </c>
      <c r="K806" s="4" cm="1">
        <f t="array" ref="K806">INDEX(Sheet1!H:H,$G806)</f>
        <v>1</v>
      </c>
      <c r="L806" s="4">
        <f t="shared" si="48"/>
        <v>4</v>
      </c>
      <c r="M806" s="4">
        <f t="shared" si="51"/>
        <v>5</v>
      </c>
    </row>
    <row r="807" spans="1:13">
      <c r="A807" s="4" t="str" cm="1">
        <f t="array" ref="A807">INDEX(Sheet1!A:A,$F807)</f>
        <v>M</v>
      </c>
      <c r="B807" s="4" t="str" cm="1">
        <f t="array" ref="B807">INDEX(Sheet1!B:B,$F807)</f>
        <v>Agg/Unknown</v>
      </c>
      <c r="C807" s="4">
        <f t="shared" si="49"/>
        <v>5</v>
      </c>
      <c r="D807" s="5" cm="1">
        <f t="array" aca="1" ref="D807" ca="1">OFFSET(INDIRECT("'["&amp;$H807&amp;"]"&amp;$I807&amp;"'!"&amp;$J807),$L807,$M807)*$K807</f>
        <v>2.1000000000000001E-4</v>
      </c>
      <c r="F807" s="4">
        <f t="shared" si="50"/>
        <v>10</v>
      </c>
      <c r="G807" s="4" cm="1">
        <f t="array" ref="G807">IF($C807+$M807&lt;16,INDEX(Sheet1!C:C,$F807),$F807)</f>
        <v>10</v>
      </c>
      <c r="H807" s="4" t="str" cm="1">
        <f t="array" ref="H807">INDEX(Sheet1!D:D,$G807)</f>
        <v>t1136.xlsx</v>
      </c>
      <c r="I807" s="4" t="str" cm="1">
        <f t="array" ref="I807">INDEX(Sheet1!E:E,$G807)</f>
        <v>Sheet1</v>
      </c>
      <c r="J807" s="4" t="str" cm="1">
        <f t="array" ref="J807">INDEX(Sheet1!F:F,$G807)</f>
        <v>B25</v>
      </c>
      <c r="K807" s="4" cm="1">
        <f t="array" ref="K807">INDEX(Sheet1!H:H,$G807)</f>
        <v>1</v>
      </c>
      <c r="L807" s="4">
        <f t="shared" si="48"/>
        <v>5</v>
      </c>
      <c r="M807" s="4">
        <f t="shared" si="51"/>
        <v>5</v>
      </c>
    </row>
    <row r="808" spans="1:13">
      <c r="A808" s="4" t="str" cm="1">
        <f t="array" ref="A808">INDEX(Sheet1!A:A,$F808)</f>
        <v>M</v>
      </c>
      <c r="B808" s="4" t="str" cm="1">
        <f t="array" ref="B808">INDEX(Sheet1!B:B,$F808)</f>
        <v>Agg/Unknown</v>
      </c>
      <c r="C808" s="4">
        <f t="shared" si="49"/>
        <v>6</v>
      </c>
      <c r="D808" s="5" cm="1">
        <f t="array" aca="1" ref="D808" ca="1">OFFSET(INDIRECT("'["&amp;$H808&amp;"]"&amp;$I808&amp;"'!"&amp;$J808),$L808,$M808)*$K808</f>
        <v>2.1000000000000001E-4</v>
      </c>
      <c r="F808" s="4">
        <f t="shared" si="50"/>
        <v>10</v>
      </c>
      <c r="G808" s="4" cm="1">
        <f t="array" ref="G808">IF($C808+$M808&lt;16,INDEX(Sheet1!C:C,$F808),$F808)</f>
        <v>10</v>
      </c>
      <c r="H808" s="4" t="str" cm="1">
        <f t="array" ref="H808">INDEX(Sheet1!D:D,$G808)</f>
        <v>t1136.xlsx</v>
      </c>
      <c r="I808" s="4" t="str" cm="1">
        <f t="array" ref="I808">INDEX(Sheet1!E:E,$G808)</f>
        <v>Sheet1</v>
      </c>
      <c r="J808" s="4" t="str" cm="1">
        <f t="array" ref="J808">INDEX(Sheet1!F:F,$G808)</f>
        <v>B25</v>
      </c>
      <c r="K808" s="4" cm="1">
        <f t="array" ref="K808">INDEX(Sheet1!H:H,$G808)</f>
        <v>1</v>
      </c>
      <c r="L808" s="4">
        <f t="shared" si="48"/>
        <v>6</v>
      </c>
      <c r="M808" s="4">
        <f t="shared" si="51"/>
        <v>5</v>
      </c>
    </row>
    <row r="809" spans="1:13">
      <c r="A809" s="4" t="str" cm="1">
        <f t="array" ref="A809">INDEX(Sheet1!A:A,$F809)</f>
        <v>M</v>
      </c>
      <c r="B809" s="4" t="str" cm="1">
        <f t="array" ref="B809">INDEX(Sheet1!B:B,$F809)</f>
        <v>Agg/Unknown</v>
      </c>
      <c r="C809" s="4">
        <f t="shared" si="49"/>
        <v>7</v>
      </c>
      <c r="D809" s="5" cm="1">
        <f t="array" aca="1" ref="D809" ca="1">OFFSET(INDIRECT("'["&amp;$H809&amp;"]"&amp;$I809&amp;"'!"&amp;$J809),$L809,$M809)*$K809</f>
        <v>2.4000000000000001E-4</v>
      </c>
      <c r="F809" s="4">
        <f t="shared" si="50"/>
        <v>10</v>
      </c>
      <c r="G809" s="4" cm="1">
        <f t="array" ref="G809">IF($C809+$M809&lt;16,INDEX(Sheet1!C:C,$F809),$F809)</f>
        <v>10</v>
      </c>
      <c r="H809" s="4" t="str" cm="1">
        <f t="array" ref="H809">INDEX(Sheet1!D:D,$G809)</f>
        <v>t1136.xlsx</v>
      </c>
      <c r="I809" s="4" t="str" cm="1">
        <f t="array" ref="I809">INDEX(Sheet1!E:E,$G809)</f>
        <v>Sheet1</v>
      </c>
      <c r="J809" s="4" t="str" cm="1">
        <f t="array" ref="J809">INDEX(Sheet1!F:F,$G809)</f>
        <v>B25</v>
      </c>
      <c r="K809" s="4" cm="1">
        <f t="array" ref="K809">INDEX(Sheet1!H:H,$G809)</f>
        <v>1</v>
      </c>
      <c r="L809" s="4">
        <f t="shared" si="48"/>
        <v>7</v>
      </c>
      <c r="M809" s="4">
        <f t="shared" si="51"/>
        <v>5</v>
      </c>
    </row>
    <row r="810" spans="1:13">
      <c r="A810" s="4" t="str" cm="1">
        <f t="array" ref="A810">INDEX(Sheet1!A:A,$F810)</f>
        <v>M</v>
      </c>
      <c r="B810" s="4" t="str" cm="1">
        <f t="array" ref="B810">INDEX(Sheet1!B:B,$F810)</f>
        <v>Agg/Unknown</v>
      </c>
      <c r="C810" s="4">
        <f t="shared" si="49"/>
        <v>8</v>
      </c>
      <c r="D810" s="5" cm="1">
        <f t="array" aca="1" ref="D810" ca="1">OFFSET(INDIRECT("'["&amp;$H810&amp;"]"&amp;$I810&amp;"'!"&amp;$J810),$L810,$M810)*$K810</f>
        <v>2.7999999999999998E-4</v>
      </c>
      <c r="F810" s="4">
        <f t="shared" si="50"/>
        <v>10</v>
      </c>
      <c r="G810" s="4" cm="1">
        <f t="array" ref="G810">IF($C810+$M810&lt;16,INDEX(Sheet1!C:C,$F810),$F810)</f>
        <v>10</v>
      </c>
      <c r="H810" s="4" t="str" cm="1">
        <f t="array" ref="H810">INDEX(Sheet1!D:D,$G810)</f>
        <v>t1136.xlsx</v>
      </c>
      <c r="I810" s="4" t="str" cm="1">
        <f t="array" ref="I810">INDEX(Sheet1!E:E,$G810)</f>
        <v>Sheet1</v>
      </c>
      <c r="J810" s="4" t="str" cm="1">
        <f t="array" ref="J810">INDEX(Sheet1!F:F,$G810)</f>
        <v>B25</v>
      </c>
      <c r="K810" s="4" cm="1">
        <f t="array" ref="K810">INDEX(Sheet1!H:H,$G810)</f>
        <v>1</v>
      </c>
      <c r="L810" s="4">
        <f t="shared" si="48"/>
        <v>8</v>
      </c>
      <c r="M810" s="4">
        <f t="shared" si="51"/>
        <v>5</v>
      </c>
    </row>
    <row r="811" spans="1:13">
      <c r="A811" s="4" t="str" cm="1">
        <f t="array" ref="A811">INDEX(Sheet1!A:A,$F811)</f>
        <v>M</v>
      </c>
      <c r="B811" s="4" t="str" cm="1">
        <f t="array" ref="B811">INDEX(Sheet1!B:B,$F811)</f>
        <v>Agg/Unknown</v>
      </c>
      <c r="C811" s="4">
        <f t="shared" si="49"/>
        <v>9</v>
      </c>
      <c r="D811" s="5" cm="1">
        <f t="array" aca="1" ref="D811" ca="1">OFFSET(INDIRECT("'["&amp;$H811&amp;"]"&amp;$I811&amp;"'!"&amp;$J811),$L811,$M811)*$K811</f>
        <v>3.3E-4</v>
      </c>
      <c r="F811" s="4">
        <f t="shared" si="50"/>
        <v>10</v>
      </c>
      <c r="G811" s="4" cm="1">
        <f t="array" ref="G811">IF($C811+$M811&lt;16,INDEX(Sheet1!C:C,$F811),$F811)</f>
        <v>10</v>
      </c>
      <c r="H811" s="4" t="str" cm="1">
        <f t="array" ref="H811">INDEX(Sheet1!D:D,$G811)</f>
        <v>t1136.xlsx</v>
      </c>
      <c r="I811" s="4" t="str" cm="1">
        <f t="array" ref="I811">INDEX(Sheet1!E:E,$G811)</f>
        <v>Sheet1</v>
      </c>
      <c r="J811" s="4" t="str" cm="1">
        <f t="array" ref="J811">INDEX(Sheet1!F:F,$G811)</f>
        <v>B25</v>
      </c>
      <c r="K811" s="4" cm="1">
        <f t="array" ref="K811">INDEX(Sheet1!H:H,$G811)</f>
        <v>1</v>
      </c>
      <c r="L811" s="4">
        <f t="shared" si="48"/>
        <v>9</v>
      </c>
      <c r="M811" s="4">
        <f t="shared" si="51"/>
        <v>5</v>
      </c>
    </row>
    <row r="812" spans="1:13">
      <c r="A812" s="4" t="str" cm="1">
        <f t="array" ref="A812">INDEX(Sheet1!A:A,$F812)</f>
        <v>M</v>
      </c>
      <c r="B812" s="4" t="str" cm="1">
        <f t="array" ref="B812">INDEX(Sheet1!B:B,$F812)</f>
        <v>Agg/Unknown</v>
      </c>
      <c r="C812" s="4">
        <f t="shared" si="49"/>
        <v>10</v>
      </c>
      <c r="D812" s="5" cm="1">
        <f t="array" aca="1" ref="D812" ca="1">OFFSET(INDIRECT("'["&amp;$H812&amp;"]"&amp;$I812&amp;"'!"&amp;$J812),$L812,$M812)*$K812</f>
        <v>4.2999999999999999E-4</v>
      </c>
      <c r="F812" s="4">
        <f t="shared" si="50"/>
        <v>10</v>
      </c>
      <c r="G812" s="4" cm="1">
        <f t="array" ref="G812">IF($C812+$M812&lt;16,INDEX(Sheet1!C:C,$F812),$F812)</f>
        <v>10</v>
      </c>
      <c r="H812" s="4" t="str" cm="1">
        <f t="array" ref="H812">INDEX(Sheet1!D:D,$G812)</f>
        <v>t1136.xlsx</v>
      </c>
      <c r="I812" s="4" t="str" cm="1">
        <f t="array" ref="I812">INDEX(Sheet1!E:E,$G812)</f>
        <v>Sheet1</v>
      </c>
      <c r="J812" s="4" t="str" cm="1">
        <f t="array" ref="J812">INDEX(Sheet1!F:F,$G812)</f>
        <v>B25</v>
      </c>
      <c r="K812" s="4" cm="1">
        <f t="array" ref="K812">INDEX(Sheet1!H:H,$G812)</f>
        <v>1</v>
      </c>
      <c r="L812" s="4">
        <f t="shared" si="48"/>
        <v>10</v>
      </c>
      <c r="M812" s="4">
        <f t="shared" si="51"/>
        <v>5</v>
      </c>
    </row>
    <row r="813" spans="1:13">
      <c r="A813" s="4" t="str" cm="1">
        <f t="array" ref="A813">INDEX(Sheet1!A:A,$F813)</f>
        <v>M</v>
      </c>
      <c r="B813" s="4" t="str" cm="1">
        <f t="array" ref="B813">INDEX(Sheet1!B:B,$F813)</f>
        <v>Agg/Unknown</v>
      </c>
      <c r="C813" s="4">
        <f t="shared" si="49"/>
        <v>11</v>
      </c>
      <c r="D813" s="5" cm="1">
        <f t="array" aca="1" ref="D813" ca="1">OFFSET(INDIRECT("'["&amp;$H813&amp;"]"&amp;$I813&amp;"'!"&amp;$J813),$L813,$M813)*$K813</f>
        <v>6.4000000000000005E-4</v>
      </c>
      <c r="F813" s="4">
        <f t="shared" si="50"/>
        <v>10</v>
      </c>
      <c r="G813" s="4" cm="1">
        <f t="array" ref="G813">IF($C813+$M813&lt;16,INDEX(Sheet1!C:C,$F813),$F813)</f>
        <v>10</v>
      </c>
      <c r="H813" s="4" t="str" cm="1">
        <f t="array" ref="H813">INDEX(Sheet1!D:D,$G813)</f>
        <v>t1136.xlsx</v>
      </c>
      <c r="I813" s="4" t="str" cm="1">
        <f t="array" ref="I813">INDEX(Sheet1!E:E,$G813)</f>
        <v>Sheet1</v>
      </c>
      <c r="J813" s="4" t="str" cm="1">
        <f t="array" ref="J813">INDEX(Sheet1!F:F,$G813)</f>
        <v>B25</v>
      </c>
      <c r="K813" s="4" cm="1">
        <f t="array" ref="K813">INDEX(Sheet1!H:H,$G813)</f>
        <v>1</v>
      </c>
      <c r="L813" s="4">
        <f t="shared" si="48"/>
        <v>11</v>
      </c>
      <c r="M813" s="4">
        <f t="shared" si="51"/>
        <v>5</v>
      </c>
    </row>
    <row r="814" spans="1:13">
      <c r="A814" s="4" t="str" cm="1">
        <f t="array" ref="A814">INDEX(Sheet1!A:A,$F814)</f>
        <v>M</v>
      </c>
      <c r="B814" s="4" t="str" cm="1">
        <f t="array" ref="B814">INDEX(Sheet1!B:B,$F814)</f>
        <v>Agg/Unknown</v>
      </c>
      <c r="C814" s="4">
        <f t="shared" si="49"/>
        <v>12</v>
      </c>
      <c r="D814" s="5" cm="1">
        <f t="array" aca="1" ref="D814" ca="1">OFFSET(INDIRECT("'["&amp;$H814&amp;"]"&amp;$I814&amp;"'!"&amp;$J814),$L814,$M814)*$K814</f>
        <v>7.6999999999999996E-4</v>
      </c>
      <c r="F814" s="4">
        <f t="shared" si="50"/>
        <v>10</v>
      </c>
      <c r="G814" s="4" cm="1">
        <f t="array" ref="G814">IF($C814+$M814&lt;16,INDEX(Sheet1!C:C,$F814),$F814)</f>
        <v>10</v>
      </c>
      <c r="H814" s="4" t="str" cm="1">
        <f t="array" ref="H814">INDEX(Sheet1!D:D,$G814)</f>
        <v>t1136.xlsx</v>
      </c>
      <c r="I814" s="4" t="str" cm="1">
        <f t="array" ref="I814">INDEX(Sheet1!E:E,$G814)</f>
        <v>Sheet1</v>
      </c>
      <c r="J814" s="4" t="str" cm="1">
        <f t="array" ref="J814">INDEX(Sheet1!F:F,$G814)</f>
        <v>B25</v>
      </c>
      <c r="K814" s="4" cm="1">
        <f t="array" ref="K814">INDEX(Sheet1!H:H,$G814)</f>
        <v>1</v>
      </c>
      <c r="L814" s="4">
        <f t="shared" si="48"/>
        <v>12</v>
      </c>
      <c r="M814" s="4">
        <f t="shared" si="51"/>
        <v>5</v>
      </c>
    </row>
    <row r="815" spans="1:13">
      <c r="A815" s="4" t="str" cm="1">
        <f t="array" ref="A815">INDEX(Sheet1!A:A,$F815)</f>
        <v>M</v>
      </c>
      <c r="B815" s="4" t="str" cm="1">
        <f t="array" ref="B815">INDEX(Sheet1!B:B,$F815)</f>
        <v>Agg/Unknown</v>
      </c>
      <c r="C815" s="4">
        <f t="shared" si="49"/>
        <v>13</v>
      </c>
      <c r="D815" s="5" cm="1">
        <f t="array" aca="1" ref="D815" ca="1">OFFSET(INDIRECT("'["&amp;$H815&amp;"]"&amp;$I815&amp;"'!"&amp;$J815),$L815,$M815)*$K815</f>
        <v>8.7000000000000001E-4</v>
      </c>
      <c r="F815" s="4">
        <f t="shared" si="50"/>
        <v>10</v>
      </c>
      <c r="G815" s="4" cm="1">
        <f t="array" ref="G815">IF($C815+$M815&lt;16,INDEX(Sheet1!C:C,$F815),$F815)</f>
        <v>10</v>
      </c>
      <c r="H815" s="4" t="str" cm="1">
        <f t="array" ref="H815">INDEX(Sheet1!D:D,$G815)</f>
        <v>t1136.xlsx</v>
      </c>
      <c r="I815" s="4" t="str" cm="1">
        <f t="array" ref="I815">INDEX(Sheet1!E:E,$G815)</f>
        <v>Sheet1</v>
      </c>
      <c r="J815" s="4" t="str" cm="1">
        <f t="array" ref="J815">INDEX(Sheet1!F:F,$G815)</f>
        <v>B25</v>
      </c>
      <c r="K815" s="4" cm="1">
        <f t="array" ref="K815">INDEX(Sheet1!H:H,$G815)</f>
        <v>1</v>
      </c>
      <c r="L815" s="4">
        <f t="shared" si="48"/>
        <v>13</v>
      </c>
      <c r="M815" s="4">
        <f t="shared" si="51"/>
        <v>5</v>
      </c>
    </row>
    <row r="816" spans="1:13">
      <c r="A816" s="4" t="str" cm="1">
        <f t="array" ref="A816">INDEX(Sheet1!A:A,$F816)</f>
        <v>M</v>
      </c>
      <c r="B816" s="4" t="str" cm="1">
        <f t="array" ref="B816">INDEX(Sheet1!B:B,$F816)</f>
        <v>Agg/Unknown</v>
      </c>
      <c r="C816" s="4">
        <f t="shared" si="49"/>
        <v>14</v>
      </c>
      <c r="D816" s="5" cm="1">
        <f t="array" aca="1" ref="D816" ca="1">OFFSET(INDIRECT("'["&amp;$H816&amp;"]"&amp;$I816&amp;"'!"&amp;$J816),$L816,$M816)*$K816</f>
        <v>9.1E-4</v>
      </c>
      <c r="F816" s="4">
        <f t="shared" si="50"/>
        <v>10</v>
      </c>
      <c r="G816" s="4" cm="1">
        <f t="array" ref="G816">IF($C816+$M816&lt;16,INDEX(Sheet1!C:C,$F816),$F816)</f>
        <v>10</v>
      </c>
      <c r="H816" s="4" t="str" cm="1">
        <f t="array" ref="H816">INDEX(Sheet1!D:D,$G816)</f>
        <v>t1136.xlsx</v>
      </c>
      <c r="I816" s="4" t="str" cm="1">
        <f t="array" ref="I816">INDEX(Sheet1!E:E,$G816)</f>
        <v>Sheet1</v>
      </c>
      <c r="J816" s="4" t="str" cm="1">
        <f t="array" ref="J816">INDEX(Sheet1!F:F,$G816)</f>
        <v>B25</v>
      </c>
      <c r="K816" s="4" cm="1">
        <f t="array" ref="K816">INDEX(Sheet1!H:H,$G816)</f>
        <v>1</v>
      </c>
      <c r="L816" s="4">
        <f t="shared" si="48"/>
        <v>14</v>
      </c>
      <c r="M816" s="4">
        <f t="shared" si="51"/>
        <v>5</v>
      </c>
    </row>
    <row r="817" spans="1:13">
      <c r="A817" s="4" t="str" cm="1">
        <f t="array" ref="A817">INDEX(Sheet1!A:A,$F817)</f>
        <v>M</v>
      </c>
      <c r="B817" s="4" t="str" cm="1">
        <f t="array" ref="B817">INDEX(Sheet1!B:B,$F817)</f>
        <v>Agg/Unknown</v>
      </c>
      <c r="C817" s="4">
        <f t="shared" si="49"/>
        <v>15</v>
      </c>
      <c r="D817" s="5" cm="1">
        <f t="array" aca="1" ref="D817" ca="1">OFFSET(INDIRECT("'["&amp;$H817&amp;"]"&amp;$I817&amp;"'!"&amp;$J817),$L817,$M817)*$K817</f>
        <v>9.1E-4</v>
      </c>
      <c r="F817" s="4">
        <f t="shared" si="50"/>
        <v>10</v>
      </c>
      <c r="G817" s="4" cm="1">
        <f t="array" ref="G817">IF($C817+$M817&lt;16,INDEX(Sheet1!C:C,$F817),$F817)</f>
        <v>10</v>
      </c>
      <c r="H817" s="4" t="str" cm="1">
        <f t="array" ref="H817">INDEX(Sheet1!D:D,$G817)</f>
        <v>t1136.xlsx</v>
      </c>
      <c r="I817" s="4" t="str" cm="1">
        <f t="array" ref="I817">INDEX(Sheet1!E:E,$G817)</f>
        <v>Sheet1</v>
      </c>
      <c r="J817" s="4" t="str" cm="1">
        <f t="array" ref="J817">INDEX(Sheet1!F:F,$G817)</f>
        <v>B25</v>
      </c>
      <c r="K817" s="4" cm="1">
        <f t="array" ref="K817">INDEX(Sheet1!H:H,$G817)</f>
        <v>1</v>
      </c>
      <c r="L817" s="4">
        <f t="shared" si="48"/>
        <v>15</v>
      </c>
      <c r="M817" s="4">
        <f t="shared" si="51"/>
        <v>5</v>
      </c>
    </row>
    <row r="818" spans="1:13">
      <c r="A818" s="4" t="str" cm="1">
        <f t="array" ref="A818">INDEX(Sheet1!A:A,$F818)</f>
        <v>M</v>
      </c>
      <c r="B818" s="4" t="str" cm="1">
        <f t="array" ref="B818">INDEX(Sheet1!B:B,$F818)</f>
        <v>Agg/Unknown</v>
      </c>
      <c r="C818" s="4">
        <f t="shared" si="49"/>
        <v>16</v>
      </c>
      <c r="D818" s="5" cm="1">
        <f t="array" aca="1" ref="D818" ca="1">OFFSET(INDIRECT("'["&amp;$H818&amp;"]"&amp;$I818&amp;"'!"&amp;$J818),$L818,$M818)*$K818</f>
        <v>9.1E-4</v>
      </c>
      <c r="F818" s="4">
        <f t="shared" si="50"/>
        <v>10</v>
      </c>
      <c r="G818" s="4" cm="1">
        <f t="array" ref="G818">IF($C818+$M818&lt;16,INDEX(Sheet1!C:C,$F818),$F818)</f>
        <v>10</v>
      </c>
      <c r="H818" s="4" t="str" cm="1">
        <f t="array" ref="H818">INDEX(Sheet1!D:D,$G818)</f>
        <v>t1136.xlsx</v>
      </c>
      <c r="I818" s="4" t="str" cm="1">
        <f t="array" ref="I818">INDEX(Sheet1!E:E,$G818)</f>
        <v>Sheet1</v>
      </c>
      <c r="J818" s="4" t="str" cm="1">
        <f t="array" ref="J818">INDEX(Sheet1!F:F,$G818)</f>
        <v>B25</v>
      </c>
      <c r="K818" s="4" cm="1">
        <f t="array" ref="K818">INDEX(Sheet1!H:H,$G818)</f>
        <v>1</v>
      </c>
      <c r="L818" s="4">
        <f t="shared" si="48"/>
        <v>16</v>
      </c>
      <c r="M818" s="4">
        <f t="shared" si="51"/>
        <v>5</v>
      </c>
    </row>
    <row r="819" spans="1:13">
      <c r="A819" s="4" t="str" cm="1">
        <f t="array" ref="A819">INDEX(Sheet1!A:A,$F819)</f>
        <v>M</v>
      </c>
      <c r="B819" s="4" t="str" cm="1">
        <f t="array" ref="B819">INDEX(Sheet1!B:B,$F819)</f>
        <v>Agg/Unknown</v>
      </c>
      <c r="C819" s="4">
        <f t="shared" si="49"/>
        <v>17</v>
      </c>
      <c r="D819" s="5" cm="1">
        <f t="array" aca="1" ref="D819" ca="1">OFFSET(INDIRECT("'["&amp;$H819&amp;"]"&amp;$I819&amp;"'!"&amp;$J819),$L819,$M819)*$K819</f>
        <v>9.2000000000000003E-4</v>
      </c>
      <c r="F819" s="4">
        <f t="shared" si="50"/>
        <v>10</v>
      </c>
      <c r="G819" s="4" cm="1">
        <f t="array" ref="G819">IF($C819+$M819&lt;16,INDEX(Sheet1!C:C,$F819),$F819)</f>
        <v>10</v>
      </c>
      <c r="H819" s="4" t="str" cm="1">
        <f t="array" ref="H819">INDEX(Sheet1!D:D,$G819)</f>
        <v>t1136.xlsx</v>
      </c>
      <c r="I819" s="4" t="str" cm="1">
        <f t="array" ref="I819">INDEX(Sheet1!E:E,$G819)</f>
        <v>Sheet1</v>
      </c>
      <c r="J819" s="4" t="str" cm="1">
        <f t="array" ref="J819">INDEX(Sheet1!F:F,$G819)</f>
        <v>B25</v>
      </c>
      <c r="K819" s="4" cm="1">
        <f t="array" ref="K819">INDEX(Sheet1!H:H,$G819)</f>
        <v>1</v>
      </c>
      <c r="L819" s="4">
        <f t="shared" si="48"/>
        <v>17</v>
      </c>
      <c r="M819" s="4">
        <f t="shared" si="51"/>
        <v>5</v>
      </c>
    </row>
    <row r="820" spans="1:13">
      <c r="A820" s="4" t="str" cm="1">
        <f t="array" ref="A820">INDEX(Sheet1!A:A,$F820)</f>
        <v>M</v>
      </c>
      <c r="B820" s="4" t="str" cm="1">
        <f t="array" ref="B820">INDEX(Sheet1!B:B,$F820)</f>
        <v>Agg/Unknown</v>
      </c>
      <c r="C820" s="4">
        <f t="shared" si="49"/>
        <v>18</v>
      </c>
      <c r="D820" s="5" cm="1">
        <f t="array" aca="1" ref="D820" ca="1">OFFSET(INDIRECT("'["&amp;$H820&amp;"]"&amp;$I820&amp;"'!"&amp;$J820),$L820,$M820)*$K820</f>
        <v>8.9999999999999998E-4</v>
      </c>
      <c r="F820" s="4">
        <f t="shared" si="50"/>
        <v>10</v>
      </c>
      <c r="G820" s="4" cm="1">
        <f t="array" ref="G820">IF($C820+$M820&lt;16,INDEX(Sheet1!C:C,$F820),$F820)</f>
        <v>10</v>
      </c>
      <c r="H820" s="4" t="str" cm="1">
        <f t="array" ref="H820">INDEX(Sheet1!D:D,$G820)</f>
        <v>t1136.xlsx</v>
      </c>
      <c r="I820" s="4" t="str" cm="1">
        <f t="array" ref="I820">INDEX(Sheet1!E:E,$G820)</f>
        <v>Sheet1</v>
      </c>
      <c r="J820" s="4" t="str" cm="1">
        <f t="array" ref="J820">INDEX(Sheet1!F:F,$G820)</f>
        <v>B25</v>
      </c>
      <c r="K820" s="4" cm="1">
        <f t="array" ref="K820">INDEX(Sheet1!H:H,$G820)</f>
        <v>1</v>
      </c>
      <c r="L820" s="4">
        <f t="shared" si="48"/>
        <v>18</v>
      </c>
      <c r="M820" s="4">
        <f t="shared" si="51"/>
        <v>5</v>
      </c>
    </row>
    <row r="821" spans="1:13">
      <c r="A821" s="4" t="str" cm="1">
        <f t="array" ref="A821">INDEX(Sheet1!A:A,$F821)</f>
        <v>M</v>
      </c>
      <c r="B821" s="4" t="str" cm="1">
        <f t="array" ref="B821">INDEX(Sheet1!B:B,$F821)</f>
        <v>Agg/Unknown</v>
      </c>
      <c r="C821" s="4">
        <f t="shared" si="49"/>
        <v>19</v>
      </c>
      <c r="D821" s="5" cm="1">
        <f t="array" aca="1" ref="D821" ca="1">OFFSET(INDIRECT("'["&amp;$H821&amp;"]"&amp;$I821&amp;"'!"&amp;$J821),$L821,$M821)*$K821</f>
        <v>8.8999999999999995E-4</v>
      </c>
      <c r="F821" s="4">
        <f t="shared" si="50"/>
        <v>10</v>
      </c>
      <c r="G821" s="4" cm="1">
        <f t="array" ref="G821">IF($C821+$M821&lt;16,INDEX(Sheet1!C:C,$F821),$F821)</f>
        <v>10</v>
      </c>
      <c r="H821" s="4" t="str" cm="1">
        <f t="array" ref="H821">INDEX(Sheet1!D:D,$G821)</f>
        <v>t1136.xlsx</v>
      </c>
      <c r="I821" s="4" t="str" cm="1">
        <f t="array" ref="I821">INDEX(Sheet1!E:E,$G821)</f>
        <v>Sheet1</v>
      </c>
      <c r="J821" s="4" t="str" cm="1">
        <f t="array" ref="J821">INDEX(Sheet1!F:F,$G821)</f>
        <v>B25</v>
      </c>
      <c r="K821" s="4" cm="1">
        <f t="array" ref="K821">INDEX(Sheet1!H:H,$G821)</f>
        <v>1</v>
      </c>
      <c r="L821" s="4">
        <f t="shared" si="48"/>
        <v>19</v>
      </c>
      <c r="M821" s="4">
        <f t="shared" si="51"/>
        <v>5</v>
      </c>
    </row>
    <row r="822" spans="1:13">
      <c r="A822" s="4" t="str" cm="1">
        <f t="array" ref="A822">INDEX(Sheet1!A:A,$F822)</f>
        <v>M</v>
      </c>
      <c r="B822" s="4" t="str" cm="1">
        <f t="array" ref="B822">INDEX(Sheet1!B:B,$F822)</f>
        <v>Agg/Unknown</v>
      </c>
      <c r="C822" s="4">
        <f t="shared" si="49"/>
        <v>20</v>
      </c>
      <c r="D822" s="5" cm="1">
        <f t="array" aca="1" ref="D822" ca="1">OFFSET(INDIRECT("'["&amp;$H822&amp;"]"&amp;$I822&amp;"'!"&amp;$J822),$L822,$M822)*$K822</f>
        <v>8.5999999999999998E-4</v>
      </c>
      <c r="F822" s="4">
        <f t="shared" si="50"/>
        <v>10</v>
      </c>
      <c r="G822" s="4" cm="1">
        <f t="array" ref="G822">IF($C822+$M822&lt;16,INDEX(Sheet1!C:C,$F822),$F822)</f>
        <v>10</v>
      </c>
      <c r="H822" s="4" t="str" cm="1">
        <f t="array" ref="H822">INDEX(Sheet1!D:D,$G822)</f>
        <v>t1136.xlsx</v>
      </c>
      <c r="I822" s="4" t="str" cm="1">
        <f t="array" ref="I822">INDEX(Sheet1!E:E,$G822)</f>
        <v>Sheet1</v>
      </c>
      <c r="J822" s="4" t="str" cm="1">
        <f t="array" ref="J822">INDEX(Sheet1!F:F,$G822)</f>
        <v>B25</v>
      </c>
      <c r="K822" s="4" cm="1">
        <f t="array" ref="K822">INDEX(Sheet1!H:H,$G822)</f>
        <v>1</v>
      </c>
      <c r="L822" s="4">
        <f t="shared" si="48"/>
        <v>20</v>
      </c>
      <c r="M822" s="4">
        <f t="shared" si="51"/>
        <v>5</v>
      </c>
    </row>
    <row r="823" spans="1:13">
      <c r="A823" s="4" t="str" cm="1">
        <f t="array" ref="A823">INDEX(Sheet1!A:A,$F823)</f>
        <v>M</v>
      </c>
      <c r="B823" s="4" t="str" cm="1">
        <f t="array" ref="B823">INDEX(Sheet1!B:B,$F823)</f>
        <v>Agg/Unknown</v>
      </c>
      <c r="C823" s="4">
        <f t="shared" si="49"/>
        <v>21</v>
      </c>
      <c r="D823" s="5" cm="1">
        <f t="array" aca="1" ref="D823" ca="1">OFFSET(INDIRECT("'["&amp;$H823&amp;"]"&amp;$I823&amp;"'!"&amp;$J823),$L823,$M823)*$K823</f>
        <v>8.1999999999999998E-4</v>
      </c>
      <c r="F823" s="4">
        <f t="shared" si="50"/>
        <v>10</v>
      </c>
      <c r="G823" s="4" cm="1">
        <f t="array" ref="G823">IF($C823+$M823&lt;16,INDEX(Sheet1!C:C,$F823),$F823)</f>
        <v>10</v>
      </c>
      <c r="H823" s="4" t="str" cm="1">
        <f t="array" ref="H823">INDEX(Sheet1!D:D,$G823)</f>
        <v>t1136.xlsx</v>
      </c>
      <c r="I823" s="4" t="str" cm="1">
        <f t="array" ref="I823">INDEX(Sheet1!E:E,$G823)</f>
        <v>Sheet1</v>
      </c>
      <c r="J823" s="4" t="str" cm="1">
        <f t="array" ref="J823">INDEX(Sheet1!F:F,$G823)</f>
        <v>B25</v>
      </c>
      <c r="K823" s="4" cm="1">
        <f t="array" ref="K823">INDEX(Sheet1!H:H,$G823)</f>
        <v>1</v>
      </c>
      <c r="L823" s="4">
        <f t="shared" si="48"/>
        <v>21</v>
      </c>
      <c r="M823" s="4">
        <f t="shared" si="51"/>
        <v>5</v>
      </c>
    </row>
    <row r="824" spans="1:13">
      <c r="A824" s="4" t="str" cm="1">
        <f t="array" ref="A824">INDEX(Sheet1!A:A,$F824)</f>
        <v>M</v>
      </c>
      <c r="B824" s="4" t="str" cm="1">
        <f t="array" ref="B824">INDEX(Sheet1!B:B,$F824)</f>
        <v>Agg/Unknown</v>
      </c>
      <c r="C824" s="4">
        <f t="shared" si="49"/>
        <v>22</v>
      </c>
      <c r="D824" s="5" cm="1">
        <f t="array" aca="1" ref="D824" ca="1">OFFSET(INDIRECT("'["&amp;$H824&amp;"]"&amp;$I824&amp;"'!"&amp;$J824),$L824,$M824)*$K824</f>
        <v>7.9000000000000001E-4</v>
      </c>
      <c r="F824" s="4">
        <f t="shared" si="50"/>
        <v>10</v>
      </c>
      <c r="G824" s="4" cm="1">
        <f t="array" ref="G824">IF($C824+$M824&lt;16,INDEX(Sheet1!C:C,$F824),$F824)</f>
        <v>10</v>
      </c>
      <c r="H824" s="4" t="str" cm="1">
        <f t="array" ref="H824">INDEX(Sheet1!D:D,$G824)</f>
        <v>t1136.xlsx</v>
      </c>
      <c r="I824" s="4" t="str" cm="1">
        <f t="array" ref="I824">INDEX(Sheet1!E:E,$G824)</f>
        <v>Sheet1</v>
      </c>
      <c r="J824" s="4" t="str" cm="1">
        <f t="array" ref="J824">INDEX(Sheet1!F:F,$G824)</f>
        <v>B25</v>
      </c>
      <c r="K824" s="4" cm="1">
        <f t="array" ref="K824">INDEX(Sheet1!H:H,$G824)</f>
        <v>1</v>
      </c>
      <c r="L824" s="4">
        <f t="shared" si="48"/>
        <v>22</v>
      </c>
      <c r="M824" s="4">
        <f t="shared" si="51"/>
        <v>5</v>
      </c>
    </row>
    <row r="825" spans="1:13">
      <c r="A825" s="4" t="str" cm="1">
        <f t="array" ref="A825">INDEX(Sheet1!A:A,$F825)</f>
        <v>M</v>
      </c>
      <c r="B825" s="4" t="str" cm="1">
        <f t="array" ref="B825">INDEX(Sheet1!B:B,$F825)</f>
        <v>Agg/Unknown</v>
      </c>
      <c r="C825" s="4">
        <f t="shared" si="49"/>
        <v>23</v>
      </c>
      <c r="D825" s="5" cm="1">
        <f t="array" aca="1" ref="D825" ca="1">OFFSET(INDIRECT("'["&amp;$H825&amp;"]"&amp;$I825&amp;"'!"&amp;$J825),$L825,$M825)*$K825</f>
        <v>7.7999999999999999E-4</v>
      </c>
      <c r="F825" s="4">
        <f t="shared" si="50"/>
        <v>10</v>
      </c>
      <c r="G825" s="4" cm="1">
        <f t="array" ref="G825">IF($C825+$M825&lt;16,INDEX(Sheet1!C:C,$F825),$F825)</f>
        <v>10</v>
      </c>
      <c r="H825" s="4" t="str" cm="1">
        <f t="array" ref="H825">INDEX(Sheet1!D:D,$G825)</f>
        <v>t1136.xlsx</v>
      </c>
      <c r="I825" s="4" t="str" cm="1">
        <f t="array" ref="I825">INDEX(Sheet1!E:E,$G825)</f>
        <v>Sheet1</v>
      </c>
      <c r="J825" s="4" t="str" cm="1">
        <f t="array" ref="J825">INDEX(Sheet1!F:F,$G825)</f>
        <v>B25</v>
      </c>
      <c r="K825" s="4" cm="1">
        <f t="array" ref="K825">INDEX(Sheet1!H:H,$G825)</f>
        <v>1</v>
      </c>
      <c r="L825" s="4">
        <f t="shared" si="48"/>
        <v>23</v>
      </c>
      <c r="M825" s="4">
        <f t="shared" si="51"/>
        <v>5</v>
      </c>
    </row>
    <row r="826" spans="1:13">
      <c r="A826" s="4" t="str" cm="1">
        <f t="array" ref="A826">INDEX(Sheet1!A:A,$F826)</f>
        <v>M</v>
      </c>
      <c r="B826" s="4" t="str" cm="1">
        <f t="array" ref="B826">INDEX(Sheet1!B:B,$F826)</f>
        <v>Agg/Unknown</v>
      </c>
      <c r="C826" s="4">
        <f t="shared" si="49"/>
        <v>24</v>
      </c>
      <c r="D826" s="5" cm="1">
        <f t="array" aca="1" ref="D826" ca="1">OFFSET(INDIRECT("'["&amp;$H826&amp;"]"&amp;$I826&amp;"'!"&amp;$J826),$L826,$M826)*$K826</f>
        <v>7.7999999999999999E-4</v>
      </c>
      <c r="F826" s="4">
        <f t="shared" si="50"/>
        <v>10</v>
      </c>
      <c r="G826" s="4" cm="1">
        <f t="array" ref="G826">IF($C826+$M826&lt;16,INDEX(Sheet1!C:C,$F826),$F826)</f>
        <v>10</v>
      </c>
      <c r="H826" s="4" t="str" cm="1">
        <f t="array" ref="H826">INDEX(Sheet1!D:D,$G826)</f>
        <v>t1136.xlsx</v>
      </c>
      <c r="I826" s="4" t="str" cm="1">
        <f t="array" ref="I826">INDEX(Sheet1!E:E,$G826)</f>
        <v>Sheet1</v>
      </c>
      <c r="J826" s="4" t="str" cm="1">
        <f t="array" ref="J826">INDEX(Sheet1!F:F,$G826)</f>
        <v>B25</v>
      </c>
      <c r="K826" s="4" cm="1">
        <f t="array" ref="K826">INDEX(Sheet1!H:H,$G826)</f>
        <v>1</v>
      </c>
      <c r="L826" s="4">
        <f t="shared" si="48"/>
        <v>24</v>
      </c>
      <c r="M826" s="4">
        <f t="shared" si="51"/>
        <v>5</v>
      </c>
    </row>
    <row r="827" spans="1:13">
      <c r="A827" s="4" t="str" cm="1">
        <f t="array" ref="A827">INDEX(Sheet1!A:A,$F827)</f>
        <v>M</v>
      </c>
      <c r="B827" s="4" t="str" cm="1">
        <f t="array" ref="B827">INDEX(Sheet1!B:B,$F827)</f>
        <v>Agg/Unknown</v>
      </c>
      <c r="C827" s="4">
        <f t="shared" si="49"/>
        <v>25</v>
      </c>
      <c r="D827" s="5" cm="1">
        <f t="array" aca="1" ref="D827" ca="1">OFFSET(INDIRECT("'["&amp;$H827&amp;"]"&amp;$I827&amp;"'!"&amp;$J827),$L827,$M827)*$K827</f>
        <v>7.7999999999999999E-4</v>
      </c>
      <c r="F827" s="4">
        <f t="shared" si="50"/>
        <v>10</v>
      </c>
      <c r="G827" s="4" cm="1">
        <f t="array" ref="G827">IF($C827+$M827&lt;16,INDEX(Sheet1!C:C,$F827),$F827)</f>
        <v>10</v>
      </c>
      <c r="H827" s="4" t="str" cm="1">
        <f t="array" ref="H827">INDEX(Sheet1!D:D,$G827)</f>
        <v>t1136.xlsx</v>
      </c>
      <c r="I827" s="4" t="str" cm="1">
        <f t="array" ref="I827">INDEX(Sheet1!E:E,$G827)</f>
        <v>Sheet1</v>
      </c>
      <c r="J827" s="4" t="str" cm="1">
        <f t="array" ref="J827">INDEX(Sheet1!F:F,$G827)</f>
        <v>B25</v>
      </c>
      <c r="K827" s="4" cm="1">
        <f t="array" ref="K827">INDEX(Sheet1!H:H,$G827)</f>
        <v>1</v>
      </c>
      <c r="L827" s="4">
        <f t="shared" si="48"/>
        <v>25</v>
      </c>
      <c r="M827" s="4">
        <f t="shared" si="51"/>
        <v>5</v>
      </c>
    </row>
    <row r="828" spans="1:13">
      <c r="A828" s="4" t="str" cm="1">
        <f t="array" ref="A828">INDEX(Sheet1!A:A,$F828)</f>
        <v>M</v>
      </c>
      <c r="B828" s="4" t="str" cm="1">
        <f t="array" ref="B828">INDEX(Sheet1!B:B,$F828)</f>
        <v>Agg/Unknown</v>
      </c>
      <c r="C828" s="4">
        <f t="shared" si="49"/>
        <v>26</v>
      </c>
      <c r="D828" s="5" cm="1">
        <f t="array" aca="1" ref="D828" ca="1">OFFSET(INDIRECT("'["&amp;$H828&amp;"]"&amp;$I828&amp;"'!"&amp;$J828),$L828,$M828)*$K828</f>
        <v>8.0000000000000004E-4</v>
      </c>
      <c r="F828" s="4">
        <f t="shared" si="50"/>
        <v>10</v>
      </c>
      <c r="G828" s="4" cm="1">
        <f t="array" ref="G828">IF($C828+$M828&lt;16,INDEX(Sheet1!C:C,$F828),$F828)</f>
        <v>10</v>
      </c>
      <c r="H828" s="4" t="str" cm="1">
        <f t="array" ref="H828">INDEX(Sheet1!D:D,$G828)</f>
        <v>t1136.xlsx</v>
      </c>
      <c r="I828" s="4" t="str" cm="1">
        <f t="array" ref="I828">INDEX(Sheet1!E:E,$G828)</f>
        <v>Sheet1</v>
      </c>
      <c r="J828" s="4" t="str" cm="1">
        <f t="array" ref="J828">INDEX(Sheet1!F:F,$G828)</f>
        <v>B25</v>
      </c>
      <c r="K828" s="4" cm="1">
        <f t="array" ref="K828">INDEX(Sheet1!H:H,$G828)</f>
        <v>1</v>
      </c>
      <c r="L828" s="4">
        <f t="shared" si="48"/>
        <v>26</v>
      </c>
      <c r="M828" s="4">
        <f t="shared" si="51"/>
        <v>5</v>
      </c>
    </row>
    <row r="829" spans="1:13">
      <c r="A829" s="4" t="str" cm="1">
        <f t="array" ref="A829">INDEX(Sheet1!A:A,$F829)</f>
        <v>M</v>
      </c>
      <c r="B829" s="4" t="str" cm="1">
        <f t="array" ref="B829">INDEX(Sheet1!B:B,$F829)</f>
        <v>Agg/Unknown</v>
      </c>
      <c r="C829" s="4">
        <f t="shared" si="49"/>
        <v>27</v>
      </c>
      <c r="D829" s="5" cm="1">
        <f t="array" aca="1" ref="D829" ca="1">OFFSET(INDIRECT("'["&amp;$H829&amp;"]"&amp;$I829&amp;"'!"&amp;$J829),$L829,$M829)*$K829</f>
        <v>8.4000000000000003E-4</v>
      </c>
      <c r="F829" s="4">
        <f t="shared" si="50"/>
        <v>10</v>
      </c>
      <c r="G829" s="4" cm="1">
        <f t="array" ref="G829">IF($C829+$M829&lt;16,INDEX(Sheet1!C:C,$F829),$F829)</f>
        <v>10</v>
      </c>
      <c r="H829" s="4" t="str" cm="1">
        <f t="array" ref="H829">INDEX(Sheet1!D:D,$G829)</f>
        <v>t1136.xlsx</v>
      </c>
      <c r="I829" s="4" t="str" cm="1">
        <f t="array" ref="I829">INDEX(Sheet1!E:E,$G829)</f>
        <v>Sheet1</v>
      </c>
      <c r="J829" s="4" t="str" cm="1">
        <f t="array" ref="J829">INDEX(Sheet1!F:F,$G829)</f>
        <v>B25</v>
      </c>
      <c r="K829" s="4" cm="1">
        <f t="array" ref="K829">INDEX(Sheet1!H:H,$G829)</f>
        <v>1</v>
      </c>
      <c r="L829" s="4">
        <f t="shared" si="48"/>
        <v>27</v>
      </c>
      <c r="M829" s="4">
        <f t="shared" si="51"/>
        <v>5</v>
      </c>
    </row>
    <row r="830" spans="1:13">
      <c r="A830" s="4" t="str" cm="1">
        <f t="array" ref="A830">INDEX(Sheet1!A:A,$F830)</f>
        <v>M</v>
      </c>
      <c r="B830" s="4" t="str" cm="1">
        <f t="array" ref="B830">INDEX(Sheet1!B:B,$F830)</f>
        <v>Agg/Unknown</v>
      </c>
      <c r="C830" s="4">
        <f t="shared" si="49"/>
        <v>28</v>
      </c>
      <c r="D830" s="5" cm="1">
        <f t="array" aca="1" ref="D830" ca="1">OFFSET(INDIRECT("'["&amp;$H830&amp;"]"&amp;$I830&amp;"'!"&amp;$J830),$L830,$M830)*$K830</f>
        <v>8.8000000000000003E-4</v>
      </c>
      <c r="F830" s="4">
        <f t="shared" si="50"/>
        <v>10</v>
      </c>
      <c r="G830" s="4" cm="1">
        <f t="array" ref="G830">IF($C830+$M830&lt;16,INDEX(Sheet1!C:C,$F830),$F830)</f>
        <v>10</v>
      </c>
      <c r="H830" s="4" t="str" cm="1">
        <f t="array" ref="H830">INDEX(Sheet1!D:D,$G830)</f>
        <v>t1136.xlsx</v>
      </c>
      <c r="I830" s="4" t="str" cm="1">
        <f t="array" ref="I830">INDEX(Sheet1!E:E,$G830)</f>
        <v>Sheet1</v>
      </c>
      <c r="J830" s="4" t="str" cm="1">
        <f t="array" ref="J830">INDEX(Sheet1!F:F,$G830)</f>
        <v>B25</v>
      </c>
      <c r="K830" s="4" cm="1">
        <f t="array" ref="K830">INDEX(Sheet1!H:H,$G830)</f>
        <v>1</v>
      </c>
      <c r="L830" s="4">
        <f t="shared" si="48"/>
        <v>28</v>
      </c>
      <c r="M830" s="4">
        <f t="shared" si="51"/>
        <v>5</v>
      </c>
    </row>
    <row r="831" spans="1:13">
      <c r="A831" s="4" t="str" cm="1">
        <f t="array" ref="A831">INDEX(Sheet1!A:A,$F831)</f>
        <v>M</v>
      </c>
      <c r="B831" s="4" t="str" cm="1">
        <f t="array" ref="B831">INDEX(Sheet1!B:B,$F831)</f>
        <v>Agg/Unknown</v>
      </c>
      <c r="C831" s="4">
        <f t="shared" si="49"/>
        <v>29</v>
      </c>
      <c r="D831" s="5" cm="1">
        <f t="array" aca="1" ref="D831" ca="1">OFFSET(INDIRECT("'["&amp;$H831&amp;"]"&amp;$I831&amp;"'!"&amp;$J831),$L831,$M831)*$K831</f>
        <v>9.3000000000000005E-4</v>
      </c>
      <c r="F831" s="4">
        <f t="shared" si="50"/>
        <v>10</v>
      </c>
      <c r="G831" s="4" cm="1">
        <f t="array" ref="G831">IF($C831+$M831&lt;16,INDEX(Sheet1!C:C,$F831),$F831)</f>
        <v>10</v>
      </c>
      <c r="H831" s="4" t="str" cm="1">
        <f t="array" ref="H831">INDEX(Sheet1!D:D,$G831)</f>
        <v>t1136.xlsx</v>
      </c>
      <c r="I831" s="4" t="str" cm="1">
        <f t="array" ref="I831">INDEX(Sheet1!E:E,$G831)</f>
        <v>Sheet1</v>
      </c>
      <c r="J831" s="4" t="str" cm="1">
        <f t="array" ref="J831">INDEX(Sheet1!F:F,$G831)</f>
        <v>B25</v>
      </c>
      <c r="K831" s="4" cm="1">
        <f t="array" ref="K831">INDEX(Sheet1!H:H,$G831)</f>
        <v>1</v>
      </c>
      <c r="L831" s="4">
        <f t="shared" si="48"/>
        <v>29</v>
      </c>
      <c r="M831" s="4">
        <f t="shared" si="51"/>
        <v>5</v>
      </c>
    </row>
    <row r="832" spans="1:13">
      <c r="A832" s="4" t="str" cm="1">
        <f t="array" ref="A832">INDEX(Sheet1!A:A,$F832)</f>
        <v>M</v>
      </c>
      <c r="B832" s="4" t="str" cm="1">
        <f t="array" ref="B832">INDEX(Sheet1!B:B,$F832)</f>
        <v>Agg/Unknown</v>
      </c>
      <c r="C832" s="4">
        <f t="shared" si="49"/>
        <v>30</v>
      </c>
      <c r="D832" s="5" cm="1">
        <f t="array" aca="1" ref="D832" ca="1">OFFSET(INDIRECT("'["&amp;$H832&amp;"]"&amp;$I832&amp;"'!"&amp;$J832),$L832,$M832)*$K832</f>
        <v>9.8999999999999999E-4</v>
      </c>
      <c r="F832" s="4">
        <f t="shared" si="50"/>
        <v>10</v>
      </c>
      <c r="G832" s="4" cm="1">
        <f t="array" ref="G832">IF($C832+$M832&lt;16,INDEX(Sheet1!C:C,$F832),$F832)</f>
        <v>10</v>
      </c>
      <c r="H832" s="4" t="str" cm="1">
        <f t="array" ref="H832">INDEX(Sheet1!D:D,$G832)</f>
        <v>t1136.xlsx</v>
      </c>
      <c r="I832" s="4" t="str" cm="1">
        <f t="array" ref="I832">INDEX(Sheet1!E:E,$G832)</f>
        <v>Sheet1</v>
      </c>
      <c r="J832" s="4" t="str" cm="1">
        <f t="array" ref="J832">INDEX(Sheet1!F:F,$G832)</f>
        <v>B25</v>
      </c>
      <c r="K832" s="4" cm="1">
        <f t="array" ref="K832">INDEX(Sheet1!H:H,$G832)</f>
        <v>1</v>
      </c>
      <c r="L832" s="4">
        <f t="shared" si="48"/>
        <v>30</v>
      </c>
      <c r="M832" s="4">
        <f t="shared" si="51"/>
        <v>5</v>
      </c>
    </row>
    <row r="833" spans="1:13">
      <c r="A833" s="4" t="str" cm="1">
        <f t="array" ref="A833">INDEX(Sheet1!A:A,$F833)</f>
        <v>M</v>
      </c>
      <c r="B833" s="4" t="str" cm="1">
        <f t="array" ref="B833">INDEX(Sheet1!B:B,$F833)</f>
        <v>Agg/Unknown</v>
      </c>
      <c r="C833" s="4">
        <f t="shared" si="49"/>
        <v>31</v>
      </c>
      <c r="D833" s="5" cm="1">
        <f t="array" aca="1" ref="D833" ca="1">OFFSET(INDIRECT("'["&amp;$H833&amp;"]"&amp;$I833&amp;"'!"&amp;$J833),$L833,$M833)*$K833</f>
        <v>1.0499999999999999E-3</v>
      </c>
      <c r="F833" s="4">
        <f t="shared" si="50"/>
        <v>10</v>
      </c>
      <c r="G833" s="4" cm="1">
        <f t="array" ref="G833">IF($C833+$M833&lt;16,INDEX(Sheet1!C:C,$F833),$F833)</f>
        <v>10</v>
      </c>
      <c r="H833" s="4" t="str" cm="1">
        <f t="array" ref="H833">INDEX(Sheet1!D:D,$G833)</f>
        <v>t1136.xlsx</v>
      </c>
      <c r="I833" s="4" t="str" cm="1">
        <f t="array" ref="I833">INDEX(Sheet1!E:E,$G833)</f>
        <v>Sheet1</v>
      </c>
      <c r="J833" s="4" t="str" cm="1">
        <f t="array" ref="J833">INDEX(Sheet1!F:F,$G833)</f>
        <v>B25</v>
      </c>
      <c r="K833" s="4" cm="1">
        <f t="array" ref="K833">INDEX(Sheet1!H:H,$G833)</f>
        <v>1</v>
      </c>
      <c r="L833" s="4">
        <f t="shared" si="48"/>
        <v>31</v>
      </c>
      <c r="M833" s="4">
        <f t="shared" si="51"/>
        <v>5</v>
      </c>
    </row>
    <row r="834" spans="1:13">
      <c r="A834" s="4" t="str" cm="1">
        <f t="array" ref="A834">INDEX(Sheet1!A:A,$F834)</f>
        <v>M</v>
      </c>
      <c r="B834" s="4" t="str" cm="1">
        <f t="array" ref="B834">INDEX(Sheet1!B:B,$F834)</f>
        <v>Agg/Unknown</v>
      </c>
      <c r="C834" s="4">
        <f t="shared" si="49"/>
        <v>32</v>
      </c>
      <c r="D834" s="5" cm="1">
        <f t="array" aca="1" ref="D834" ca="1">OFFSET(INDIRECT("'["&amp;$H834&amp;"]"&amp;$I834&amp;"'!"&amp;$J834),$L834,$M834)*$K834</f>
        <v>1.07E-3</v>
      </c>
      <c r="F834" s="4">
        <f t="shared" si="50"/>
        <v>10</v>
      </c>
      <c r="G834" s="4" cm="1">
        <f t="array" ref="G834">IF($C834+$M834&lt;16,INDEX(Sheet1!C:C,$F834),$F834)</f>
        <v>10</v>
      </c>
      <c r="H834" s="4" t="str" cm="1">
        <f t="array" ref="H834">INDEX(Sheet1!D:D,$G834)</f>
        <v>t1136.xlsx</v>
      </c>
      <c r="I834" s="4" t="str" cm="1">
        <f t="array" ref="I834">INDEX(Sheet1!E:E,$G834)</f>
        <v>Sheet1</v>
      </c>
      <c r="J834" s="4" t="str" cm="1">
        <f t="array" ref="J834">INDEX(Sheet1!F:F,$G834)</f>
        <v>B25</v>
      </c>
      <c r="K834" s="4" cm="1">
        <f t="array" ref="K834">INDEX(Sheet1!H:H,$G834)</f>
        <v>1</v>
      </c>
      <c r="L834" s="4">
        <f t="shared" si="48"/>
        <v>32</v>
      </c>
      <c r="M834" s="4">
        <f t="shared" si="51"/>
        <v>5</v>
      </c>
    </row>
    <row r="835" spans="1:13">
      <c r="A835" s="4" t="str" cm="1">
        <f t="array" ref="A835">INDEX(Sheet1!A:A,$F835)</f>
        <v>M</v>
      </c>
      <c r="B835" s="4" t="str" cm="1">
        <f t="array" ref="B835">INDEX(Sheet1!B:B,$F835)</f>
        <v>Agg/Unknown</v>
      </c>
      <c r="C835" s="4">
        <f t="shared" si="49"/>
        <v>33</v>
      </c>
      <c r="D835" s="5" cm="1">
        <f t="array" aca="1" ref="D835" ca="1">OFFSET(INDIRECT("'["&amp;$H835&amp;"]"&amp;$I835&amp;"'!"&amp;$J835),$L835,$M835)*$K835</f>
        <v>1.14E-3</v>
      </c>
      <c r="F835" s="4">
        <f t="shared" si="50"/>
        <v>10</v>
      </c>
      <c r="G835" s="4" cm="1">
        <f t="array" ref="G835">IF($C835+$M835&lt;16,INDEX(Sheet1!C:C,$F835),$F835)</f>
        <v>10</v>
      </c>
      <c r="H835" s="4" t="str" cm="1">
        <f t="array" ref="H835">INDEX(Sheet1!D:D,$G835)</f>
        <v>t1136.xlsx</v>
      </c>
      <c r="I835" s="4" t="str" cm="1">
        <f t="array" ref="I835">INDEX(Sheet1!E:E,$G835)</f>
        <v>Sheet1</v>
      </c>
      <c r="J835" s="4" t="str" cm="1">
        <f t="array" ref="J835">INDEX(Sheet1!F:F,$G835)</f>
        <v>B25</v>
      </c>
      <c r="K835" s="4" cm="1">
        <f t="array" ref="K835">INDEX(Sheet1!H:H,$G835)</f>
        <v>1</v>
      </c>
      <c r="L835" s="4">
        <f t="shared" ref="L835:L898" si="52">C835</f>
        <v>33</v>
      </c>
      <c r="M835" s="4">
        <f t="shared" si="51"/>
        <v>5</v>
      </c>
    </row>
    <row r="836" spans="1:13">
      <c r="A836" s="4" t="str" cm="1">
        <f t="array" ref="A836">INDEX(Sheet1!A:A,$F836)</f>
        <v>M</v>
      </c>
      <c r="B836" s="4" t="str" cm="1">
        <f t="array" ref="B836">INDEX(Sheet1!B:B,$F836)</f>
        <v>Agg/Unknown</v>
      </c>
      <c r="C836" s="4">
        <f t="shared" ref="C836:C899" si="53">IF(C835=99,0,C835+1)</f>
        <v>34</v>
      </c>
      <c r="D836" s="5" cm="1">
        <f t="array" aca="1" ref="D836" ca="1">OFFSET(INDIRECT("'["&amp;$H836&amp;"]"&amp;$I836&amp;"'!"&amp;$J836),$L836,$M836)*$K836</f>
        <v>1.2099999999999999E-3</v>
      </c>
      <c r="F836" s="4">
        <f t="shared" ref="F836:F899" si="54">IF(C836=0,1,0)+F835</f>
        <v>10</v>
      </c>
      <c r="G836" s="4" cm="1">
        <f t="array" ref="G836">IF($C836+$M836&lt;16,INDEX(Sheet1!C:C,$F836),$F836)</f>
        <v>10</v>
      </c>
      <c r="H836" s="4" t="str" cm="1">
        <f t="array" ref="H836">INDEX(Sheet1!D:D,$G836)</f>
        <v>t1136.xlsx</v>
      </c>
      <c r="I836" s="4" t="str" cm="1">
        <f t="array" ref="I836">INDEX(Sheet1!E:E,$G836)</f>
        <v>Sheet1</v>
      </c>
      <c r="J836" s="4" t="str" cm="1">
        <f t="array" ref="J836">INDEX(Sheet1!F:F,$G836)</f>
        <v>B25</v>
      </c>
      <c r="K836" s="4" cm="1">
        <f t="array" ref="K836">INDEX(Sheet1!H:H,$G836)</f>
        <v>1</v>
      </c>
      <c r="L836" s="4">
        <f t="shared" si="52"/>
        <v>34</v>
      </c>
      <c r="M836" s="4">
        <f t="shared" ref="L836:M899" si="55">M$2</f>
        <v>5</v>
      </c>
    </row>
    <row r="837" spans="1:13">
      <c r="A837" s="4" t="str" cm="1">
        <f t="array" ref="A837">INDEX(Sheet1!A:A,$F837)</f>
        <v>M</v>
      </c>
      <c r="B837" s="4" t="str" cm="1">
        <f t="array" ref="B837">INDEX(Sheet1!B:B,$F837)</f>
        <v>Agg/Unknown</v>
      </c>
      <c r="C837" s="4">
        <f t="shared" si="53"/>
        <v>35</v>
      </c>
      <c r="D837" s="5" cm="1">
        <f t="array" aca="1" ref="D837" ca="1">OFFSET(INDIRECT("'["&amp;$H837&amp;"]"&amp;$I837&amp;"'!"&amp;$J837),$L837,$M837)*$K837</f>
        <v>1.2800000000000001E-3</v>
      </c>
      <c r="F837" s="4">
        <f t="shared" si="54"/>
        <v>10</v>
      </c>
      <c r="G837" s="4" cm="1">
        <f t="array" ref="G837">IF($C837+$M837&lt;16,INDEX(Sheet1!C:C,$F837),$F837)</f>
        <v>10</v>
      </c>
      <c r="H837" s="4" t="str" cm="1">
        <f t="array" ref="H837">INDEX(Sheet1!D:D,$G837)</f>
        <v>t1136.xlsx</v>
      </c>
      <c r="I837" s="4" t="str" cm="1">
        <f t="array" ref="I837">INDEX(Sheet1!E:E,$G837)</f>
        <v>Sheet1</v>
      </c>
      <c r="J837" s="4" t="str" cm="1">
        <f t="array" ref="J837">INDEX(Sheet1!F:F,$G837)</f>
        <v>B25</v>
      </c>
      <c r="K837" s="4" cm="1">
        <f t="array" ref="K837">INDEX(Sheet1!H:H,$G837)</f>
        <v>1</v>
      </c>
      <c r="L837" s="4">
        <f t="shared" si="52"/>
        <v>35</v>
      </c>
      <c r="M837" s="4">
        <f t="shared" si="55"/>
        <v>5</v>
      </c>
    </row>
    <row r="838" spans="1:13">
      <c r="A838" s="4" t="str" cm="1">
        <f t="array" ref="A838">INDEX(Sheet1!A:A,$F838)</f>
        <v>M</v>
      </c>
      <c r="B838" s="4" t="str" cm="1">
        <f t="array" ref="B838">INDEX(Sheet1!B:B,$F838)</f>
        <v>Agg/Unknown</v>
      </c>
      <c r="C838" s="4">
        <f t="shared" si="53"/>
        <v>36</v>
      </c>
      <c r="D838" s="5" cm="1">
        <f t="array" aca="1" ref="D838" ca="1">OFFSET(INDIRECT("'["&amp;$H838&amp;"]"&amp;$I838&amp;"'!"&amp;$J838),$L838,$M838)*$K838</f>
        <v>1.33E-3</v>
      </c>
      <c r="F838" s="4">
        <f t="shared" si="54"/>
        <v>10</v>
      </c>
      <c r="G838" s="4" cm="1">
        <f t="array" ref="G838">IF($C838+$M838&lt;16,INDEX(Sheet1!C:C,$F838),$F838)</f>
        <v>10</v>
      </c>
      <c r="H838" s="4" t="str" cm="1">
        <f t="array" ref="H838">INDEX(Sheet1!D:D,$G838)</f>
        <v>t1136.xlsx</v>
      </c>
      <c r="I838" s="4" t="str" cm="1">
        <f t="array" ref="I838">INDEX(Sheet1!E:E,$G838)</f>
        <v>Sheet1</v>
      </c>
      <c r="J838" s="4" t="str" cm="1">
        <f t="array" ref="J838">INDEX(Sheet1!F:F,$G838)</f>
        <v>B25</v>
      </c>
      <c r="K838" s="4" cm="1">
        <f t="array" ref="K838">INDEX(Sheet1!H:H,$G838)</f>
        <v>1</v>
      </c>
      <c r="L838" s="4">
        <f t="shared" si="52"/>
        <v>36</v>
      </c>
      <c r="M838" s="4">
        <f t="shared" si="55"/>
        <v>5</v>
      </c>
    </row>
    <row r="839" spans="1:13">
      <c r="A839" s="4" t="str" cm="1">
        <f t="array" ref="A839">INDEX(Sheet1!A:A,$F839)</f>
        <v>M</v>
      </c>
      <c r="B839" s="4" t="str" cm="1">
        <f t="array" ref="B839">INDEX(Sheet1!B:B,$F839)</f>
        <v>Agg/Unknown</v>
      </c>
      <c r="C839" s="4">
        <f t="shared" si="53"/>
        <v>37</v>
      </c>
      <c r="D839" s="5" cm="1">
        <f t="array" aca="1" ref="D839" ca="1">OFFSET(INDIRECT("'["&amp;$H839&amp;"]"&amp;$I839&amp;"'!"&amp;$J839),$L839,$M839)*$K839</f>
        <v>1.4E-3</v>
      </c>
      <c r="F839" s="4">
        <f t="shared" si="54"/>
        <v>10</v>
      </c>
      <c r="G839" s="4" cm="1">
        <f t="array" ref="G839">IF($C839+$M839&lt;16,INDEX(Sheet1!C:C,$F839),$F839)</f>
        <v>10</v>
      </c>
      <c r="H839" s="4" t="str" cm="1">
        <f t="array" ref="H839">INDEX(Sheet1!D:D,$G839)</f>
        <v>t1136.xlsx</v>
      </c>
      <c r="I839" s="4" t="str" cm="1">
        <f t="array" ref="I839">INDEX(Sheet1!E:E,$G839)</f>
        <v>Sheet1</v>
      </c>
      <c r="J839" s="4" t="str" cm="1">
        <f t="array" ref="J839">INDEX(Sheet1!F:F,$G839)</f>
        <v>B25</v>
      </c>
      <c r="K839" s="4" cm="1">
        <f t="array" ref="K839">INDEX(Sheet1!H:H,$G839)</f>
        <v>1</v>
      </c>
      <c r="L839" s="4">
        <f t="shared" si="52"/>
        <v>37</v>
      </c>
      <c r="M839" s="4">
        <f t="shared" si="55"/>
        <v>5</v>
      </c>
    </row>
    <row r="840" spans="1:13">
      <c r="A840" s="4" t="str" cm="1">
        <f t="array" ref="A840">INDEX(Sheet1!A:A,$F840)</f>
        <v>M</v>
      </c>
      <c r="B840" s="4" t="str" cm="1">
        <f t="array" ref="B840">INDEX(Sheet1!B:B,$F840)</f>
        <v>Agg/Unknown</v>
      </c>
      <c r="C840" s="4">
        <f t="shared" si="53"/>
        <v>38</v>
      </c>
      <c r="D840" s="5" cm="1">
        <f t="array" aca="1" ref="D840" ca="1">OFFSET(INDIRECT("'["&amp;$H840&amp;"]"&amp;$I840&amp;"'!"&amp;$J840),$L840,$M840)*$K840</f>
        <v>1.5E-3</v>
      </c>
      <c r="F840" s="4">
        <f t="shared" si="54"/>
        <v>10</v>
      </c>
      <c r="G840" s="4" cm="1">
        <f t="array" ref="G840">IF($C840+$M840&lt;16,INDEX(Sheet1!C:C,$F840),$F840)</f>
        <v>10</v>
      </c>
      <c r="H840" s="4" t="str" cm="1">
        <f t="array" ref="H840">INDEX(Sheet1!D:D,$G840)</f>
        <v>t1136.xlsx</v>
      </c>
      <c r="I840" s="4" t="str" cm="1">
        <f t="array" ref="I840">INDEX(Sheet1!E:E,$G840)</f>
        <v>Sheet1</v>
      </c>
      <c r="J840" s="4" t="str" cm="1">
        <f t="array" ref="J840">INDEX(Sheet1!F:F,$G840)</f>
        <v>B25</v>
      </c>
      <c r="K840" s="4" cm="1">
        <f t="array" ref="K840">INDEX(Sheet1!H:H,$G840)</f>
        <v>1</v>
      </c>
      <c r="L840" s="4">
        <f t="shared" si="52"/>
        <v>38</v>
      </c>
      <c r="M840" s="4">
        <f t="shared" si="55"/>
        <v>5</v>
      </c>
    </row>
    <row r="841" spans="1:13">
      <c r="A841" s="4" t="str" cm="1">
        <f t="array" ref="A841">INDEX(Sheet1!A:A,$F841)</f>
        <v>M</v>
      </c>
      <c r="B841" s="4" t="str" cm="1">
        <f t="array" ref="B841">INDEX(Sheet1!B:B,$F841)</f>
        <v>Agg/Unknown</v>
      </c>
      <c r="C841" s="4">
        <f t="shared" si="53"/>
        <v>39</v>
      </c>
      <c r="D841" s="5" cm="1">
        <f t="array" aca="1" ref="D841" ca="1">OFFSET(INDIRECT("'["&amp;$H841&amp;"]"&amp;$I841&amp;"'!"&amp;$J841),$L841,$M841)*$K841</f>
        <v>1.64E-3</v>
      </c>
      <c r="F841" s="4">
        <f t="shared" si="54"/>
        <v>10</v>
      </c>
      <c r="G841" s="4" cm="1">
        <f t="array" ref="G841">IF($C841+$M841&lt;16,INDEX(Sheet1!C:C,$F841),$F841)</f>
        <v>10</v>
      </c>
      <c r="H841" s="4" t="str" cm="1">
        <f t="array" ref="H841">INDEX(Sheet1!D:D,$G841)</f>
        <v>t1136.xlsx</v>
      </c>
      <c r="I841" s="4" t="str" cm="1">
        <f t="array" ref="I841">INDEX(Sheet1!E:E,$G841)</f>
        <v>Sheet1</v>
      </c>
      <c r="J841" s="4" t="str" cm="1">
        <f t="array" ref="J841">INDEX(Sheet1!F:F,$G841)</f>
        <v>B25</v>
      </c>
      <c r="K841" s="4" cm="1">
        <f t="array" ref="K841">INDEX(Sheet1!H:H,$G841)</f>
        <v>1</v>
      </c>
      <c r="L841" s="4">
        <f t="shared" si="52"/>
        <v>39</v>
      </c>
      <c r="M841" s="4">
        <f t="shared" si="55"/>
        <v>5</v>
      </c>
    </row>
    <row r="842" spans="1:13">
      <c r="A842" s="4" t="str" cm="1">
        <f t="array" ref="A842">INDEX(Sheet1!A:A,$F842)</f>
        <v>M</v>
      </c>
      <c r="B842" s="4" t="str" cm="1">
        <f t="array" ref="B842">INDEX(Sheet1!B:B,$F842)</f>
        <v>Agg/Unknown</v>
      </c>
      <c r="C842" s="4">
        <f t="shared" si="53"/>
        <v>40</v>
      </c>
      <c r="D842" s="5" cm="1">
        <f t="array" aca="1" ref="D842" ca="1">OFFSET(INDIRECT("'["&amp;$H842&amp;"]"&amp;$I842&amp;"'!"&amp;$J842),$L842,$M842)*$K842</f>
        <v>1.82E-3</v>
      </c>
      <c r="F842" s="4">
        <f t="shared" si="54"/>
        <v>10</v>
      </c>
      <c r="G842" s="4" cm="1">
        <f t="array" ref="G842">IF($C842+$M842&lt;16,INDEX(Sheet1!C:C,$F842),$F842)</f>
        <v>10</v>
      </c>
      <c r="H842" s="4" t="str" cm="1">
        <f t="array" ref="H842">INDEX(Sheet1!D:D,$G842)</f>
        <v>t1136.xlsx</v>
      </c>
      <c r="I842" s="4" t="str" cm="1">
        <f t="array" ref="I842">INDEX(Sheet1!E:E,$G842)</f>
        <v>Sheet1</v>
      </c>
      <c r="J842" s="4" t="str" cm="1">
        <f t="array" ref="J842">INDEX(Sheet1!F:F,$G842)</f>
        <v>B25</v>
      </c>
      <c r="K842" s="4" cm="1">
        <f t="array" ref="K842">INDEX(Sheet1!H:H,$G842)</f>
        <v>1</v>
      </c>
      <c r="L842" s="4">
        <f t="shared" si="52"/>
        <v>40</v>
      </c>
      <c r="M842" s="4">
        <f t="shared" si="55"/>
        <v>5</v>
      </c>
    </row>
    <row r="843" spans="1:13">
      <c r="A843" s="4" t="str" cm="1">
        <f t="array" ref="A843">INDEX(Sheet1!A:A,$F843)</f>
        <v>M</v>
      </c>
      <c r="B843" s="4" t="str" cm="1">
        <f t="array" ref="B843">INDEX(Sheet1!B:B,$F843)</f>
        <v>Agg/Unknown</v>
      </c>
      <c r="C843" s="4">
        <f t="shared" si="53"/>
        <v>41</v>
      </c>
      <c r="D843" s="5" cm="1">
        <f t="array" aca="1" ref="D843" ca="1">OFFSET(INDIRECT("'["&amp;$H843&amp;"]"&amp;$I843&amp;"'!"&amp;$J843),$L843,$M843)*$K843</f>
        <v>2.0200000000000001E-3</v>
      </c>
      <c r="F843" s="4">
        <f t="shared" si="54"/>
        <v>10</v>
      </c>
      <c r="G843" s="4" cm="1">
        <f t="array" ref="G843">IF($C843+$M843&lt;16,INDEX(Sheet1!C:C,$F843),$F843)</f>
        <v>10</v>
      </c>
      <c r="H843" s="4" t="str" cm="1">
        <f t="array" ref="H843">INDEX(Sheet1!D:D,$G843)</f>
        <v>t1136.xlsx</v>
      </c>
      <c r="I843" s="4" t="str" cm="1">
        <f t="array" ref="I843">INDEX(Sheet1!E:E,$G843)</f>
        <v>Sheet1</v>
      </c>
      <c r="J843" s="4" t="str" cm="1">
        <f t="array" ref="J843">INDEX(Sheet1!F:F,$G843)</f>
        <v>B25</v>
      </c>
      <c r="K843" s="4" cm="1">
        <f t="array" ref="K843">INDEX(Sheet1!H:H,$G843)</f>
        <v>1</v>
      </c>
      <c r="L843" s="4">
        <f t="shared" si="52"/>
        <v>41</v>
      </c>
      <c r="M843" s="4">
        <f t="shared" si="55"/>
        <v>5</v>
      </c>
    </row>
    <row r="844" spans="1:13">
      <c r="A844" s="4" t="str" cm="1">
        <f t="array" ref="A844">INDEX(Sheet1!A:A,$F844)</f>
        <v>M</v>
      </c>
      <c r="B844" s="4" t="str" cm="1">
        <f t="array" ref="B844">INDEX(Sheet1!B:B,$F844)</f>
        <v>Agg/Unknown</v>
      </c>
      <c r="C844" s="4">
        <f t="shared" si="53"/>
        <v>42</v>
      </c>
      <c r="D844" s="5" cm="1">
        <f t="array" aca="1" ref="D844" ca="1">OFFSET(INDIRECT("'["&amp;$H844&amp;"]"&amp;$I844&amp;"'!"&amp;$J844),$L844,$M844)*$K844</f>
        <v>2.2100000000000002E-3</v>
      </c>
      <c r="F844" s="4">
        <f t="shared" si="54"/>
        <v>10</v>
      </c>
      <c r="G844" s="4" cm="1">
        <f t="array" ref="G844">IF($C844+$M844&lt;16,INDEX(Sheet1!C:C,$F844),$F844)</f>
        <v>10</v>
      </c>
      <c r="H844" s="4" t="str" cm="1">
        <f t="array" ref="H844">INDEX(Sheet1!D:D,$G844)</f>
        <v>t1136.xlsx</v>
      </c>
      <c r="I844" s="4" t="str" cm="1">
        <f t="array" ref="I844">INDEX(Sheet1!E:E,$G844)</f>
        <v>Sheet1</v>
      </c>
      <c r="J844" s="4" t="str" cm="1">
        <f t="array" ref="J844">INDEX(Sheet1!F:F,$G844)</f>
        <v>B25</v>
      </c>
      <c r="K844" s="4" cm="1">
        <f t="array" ref="K844">INDEX(Sheet1!H:H,$G844)</f>
        <v>1</v>
      </c>
      <c r="L844" s="4">
        <f t="shared" si="52"/>
        <v>42</v>
      </c>
      <c r="M844" s="4">
        <f t="shared" si="55"/>
        <v>5</v>
      </c>
    </row>
    <row r="845" spans="1:13">
      <c r="A845" s="4" t="str" cm="1">
        <f t="array" ref="A845">INDEX(Sheet1!A:A,$F845)</f>
        <v>M</v>
      </c>
      <c r="B845" s="4" t="str" cm="1">
        <f t="array" ref="B845">INDEX(Sheet1!B:B,$F845)</f>
        <v>Agg/Unknown</v>
      </c>
      <c r="C845" s="4">
        <f t="shared" si="53"/>
        <v>43</v>
      </c>
      <c r="D845" s="5" cm="1">
        <f t="array" aca="1" ref="D845" ca="1">OFFSET(INDIRECT("'["&amp;$H845&amp;"]"&amp;$I845&amp;"'!"&amp;$J845),$L845,$M845)*$K845</f>
        <v>2.3400000000000001E-3</v>
      </c>
      <c r="F845" s="4">
        <f t="shared" si="54"/>
        <v>10</v>
      </c>
      <c r="G845" s="4" cm="1">
        <f t="array" ref="G845">IF($C845+$M845&lt;16,INDEX(Sheet1!C:C,$F845),$F845)</f>
        <v>10</v>
      </c>
      <c r="H845" s="4" t="str" cm="1">
        <f t="array" ref="H845">INDEX(Sheet1!D:D,$G845)</f>
        <v>t1136.xlsx</v>
      </c>
      <c r="I845" s="4" t="str" cm="1">
        <f t="array" ref="I845">INDEX(Sheet1!E:E,$G845)</f>
        <v>Sheet1</v>
      </c>
      <c r="J845" s="4" t="str" cm="1">
        <f t="array" ref="J845">INDEX(Sheet1!F:F,$G845)</f>
        <v>B25</v>
      </c>
      <c r="K845" s="4" cm="1">
        <f t="array" ref="K845">INDEX(Sheet1!H:H,$G845)</f>
        <v>1</v>
      </c>
      <c r="L845" s="4">
        <f t="shared" si="52"/>
        <v>43</v>
      </c>
      <c r="M845" s="4">
        <f t="shared" si="55"/>
        <v>5</v>
      </c>
    </row>
    <row r="846" spans="1:13">
      <c r="A846" s="4" t="str" cm="1">
        <f t="array" ref="A846">INDEX(Sheet1!A:A,$F846)</f>
        <v>M</v>
      </c>
      <c r="B846" s="4" t="str" cm="1">
        <f t="array" ref="B846">INDEX(Sheet1!B:B,$F846)</f>
        <v>Agg/Unknown</v>
      </c>
      <c r="C846" s="4">
        <f t="shared" si="53"/>
        <v>44</v>
      </c>
      <c r="D846" s="5" cm="1">
        <f t="array" aca="1" ref="D846" ca="1">OFFSET(INDIRECT("'["&amp;$H846&amp;"]"&amp;$I846&amp;"'!"&amp;$J846),$L846,$M846)*$K846</f>
        <v>2.49E-3</v>
      </c>
      <c r="F846" s="4">
        <f t="shared" si="54"/>
        <v>10</v>
      </c>
      <c r="G846" s="4" cm="1">
        <f t="array" ref="G846">IF($C846+$M846&lt;16,INDEX(Sheet1!C:C,$F846),$F846)</f>
        <v>10</v>
      </c>
      <c r="H846" s="4" t="str" cm="1">
        <f t="array" ref="H846">INDEX(Sheet1!D:D,$G846)</f>
        <v>t1136.xlsx</v>
      </c>
      <c r="I846" s="4" t="str" cm="1">
        <f t="array" ref="I846">INDEX(Sheet1!E:E,$G846)</f>
        <v>Sheet1</v>
      </c>
      <c r="J846" s="4" t="str" cm="1">
        <f t="array" ref="J846">INDEX(Sheet1!F:F,$G846)</f>
        <v>B25</v>
      </c>
      <c r="K846" s="4" cm="1">
        <f t="array" ref="K846">INDEX(Sheet1!H:H,$G846)</f>
        <v>1</v>
      </c>
      <c r="L846" s="4">
        <f t="shared" si="52"/>
        <v>44</v>
      </c>
      <c r="M846" s="4">
        <f t="shared" si="55"/>
        <v>5</v>
      </c>
    </row>
    <row r="847" spans="1:13">
      <c r="A847" s="4" t="str" cm="1">
        <f t="array" ref="A847">INDEX(Sheet1!A:A,$F847)</f>
        <v>M</v>
      </c>
      <c r="B847" s="4" t="str" cm="1">
        <f t="array" ref="B847">INDEX(Sheet1!B:B,$F847)</f>
        <v>Agg/Unknown</v>
      </c>
      <c r="C847" s="4">
        <f t="shared" si="53"/>
        <v>45</v>
      </c>
      <c r="D847" s="5" cm="1">
        <f t="array" aca="1" ref="D847" ca="1">OFFSET(INDIRECT("'["&amp;$H847&amp;"]"&amp;$I847&amp;"'!"&amp;$J847),$L847,$M847)*$K847</f>
        <v>2.6700000000000001E-3</v>
      </c>
      <c r="F847" s="4">
        <f t="shared" si="54"/>
        <v>10</v>
      </c>
      <c r="G847" s="4" cm="1">
        <f t="array" ref="G847">IF($C847+$M847&lt;16,INDEX(Sheet1!C:C,$F847),$F847)</f>
        <v>10</v>
      </c>
      <c r="H847" s="4" t="str" cm="1">
        <f t="array" ref="H847">INDEX(Sheet1!D:D,$G847)</f>
        <v>t1136.xlsx</v>
      </c>
      <c r="I847" s="4" t="str" cm="1">
        <f t="array" ref="I847">INDEX(Sheet1!E:E,$G847)</f>
        <v>Sheet1</v>
      </c>
      <c r="J847" s="4" t="str" cm="1">
        <f t="array" ref="J847">INDEX(Sheet1!F:F,$G847)</f>
        <v>B25</v>
      </c>
      <c r="K847" s="4" cm="1">
        <f t="array" ref="K847">INDEX(Sheet1!H:H,$G847)</f>
        <v>1</v>
      </c>
      <c r="L847" s="4">
        <f t="shared" si="52"/>
        <v>45</v>
      </c>
      <c r="M847" s="4">
        <f t="shared" si="55"/>
        <v>5</v>
      </c>
    </row>
    <row r="848" spans="1:13">
      <c r="A848" s="4" t="str" cm="1">
        <f t="array" ref="A848">INDEX(Sheet1!A:A,$F848)</f>
        <v>M</v>
      </c>
      <c r="B848" s="4" t="str" cm="1">
        <f t="array" ref="B848">INDEX(Sheet1!B:B,$F848)</f>
        <v>Agg/Unknown</v>
      </c>
      <c r="C848" s="4">
        <f t="shared" si="53"/>
        <v>46</v>
      </c>
      <c r="D848" s="5" cm="1">
        <f t="array" aca="1" ref="D848" ca="1">OFFSET(INDIRECT("'["&amp;$H848&amp;"]"&amp;$I848&amp;"'!"&amp;$J848),$L848,$M848)*$K848</f>
        <v>2.8999999999999998E-3</v>
      </c>
      <c r="F848" s="4">
        <f t="shared" si="54"/>
        <v>10</v>
      </c>
      <c r="G848" s="4" cm="1">
        <f t="array" ref="G848">IF($C848+$M848&lt;16,INDEX(Sheet1!C:C,$F848),$F848)</f>
        <v>10</v>
      </c>
      <c r="H848" s="4" t="str" cm="1">
        <f t="array" ref="H848">INDEX(Sheet1!D:D,$G848)</f>
        <v>t1136.xlsx</v>
      </c>
      <c r="I848" s="4" t="str" cm="1">
        <f t="array" ref="I848">INDEX(Sheet1!E:E,$G848)</f>
        <v>Sheet1</v>
      </c>
      <c r="J848" s="4" t="str" cm="1">
        <f t="array" ref="J848">INDEX(Sheet1!F:F,$G848)</f>
        <v>B25</v>
      </c>
      <c r="K848" s="4" cm="1">
        <f t="array" ref="K848">INDEX(Sheet1!H:H,$G848)</f>
        <v>1</v>
      </c>
      <c r="L848" s="4">
        <f t="shared" si="52"/>
        <v>46</v>
      </c>
      <c r="M848" s="4">
        <f t="shared" si="55"/>
        <v>5</v>
      </c>
    </row>
    <row r="849" spans="1:13">
      <c r="A849" s="4" t="str" cm="1">
        <f t="array" ref="A849">INDEX(Sheet1!A:A,$F849)</f>
        <v>M</v>
      </c>
      <c r="B849" s="4" t="str" cm="1">
        <f t="array" ref="B849">INDEX(Sheet1!B:B,$F849)</f>
        <v>Agg/Unknown</v>
      </c>
      <c r="C849" s="4">
        <f t="shared" si="53"/>
        <v>47</v>
      </c>
      <c r="D849" s="5" cm="1">
        <f t="array" aca="1" ref="D849" ca="1">OFFSET(INDIRECT("'["&amp;$H849&amp;"]"&amp;$I849&amp;"'!"&amp;$J849),$L849,$M849)*$K849</f>
        <v>3.14E-3</v>
      </c>
      <c r="F849" s="4">
        <f t="shared" si="54"/>
        <v>10</v>
      </c>
      <c r="G849" s="4" cm="1">
        <f t="array" ref="G849">IF($C849+$M849&lt;16,INDEX(Sheet1!C:C,$F849),$F849)</f>
        <v>10</v>
      </c>
      <c r="H849" s="4" t="str" cm="1">
        <f t="array" ref="H849">INDEX(Sheet1!D:D,$G849)</f>
        <v>t1136.xlsx</v>
      </c>
      <c r="I849" s="4" t="str" cm="1">
        <f t="array" ref="I849">INDEX(Sheet1!E:E,$G849)</f>
        <v>Sheet1</v>
      </c>
      <c r="J849" s="4" t="str" cm="1">
        <f t="array" ref="J849">INDEX(Sheet1!F:F,$G849)</f>
        <v>B25</v>
      </c>
      <c r="K849" s="4" cm="1">
        <f t="array" ref="K849">INDEX(Sheet1!H:H,$G849)</f>
        <v>1</v>
      </c>
      <c r="L849" s="4">
        <f t="shared" si="52"/>
        <v>47</v>
      </c>
      <c r="M849" s="4">
        <f t="shared" si="55"/>
        <v>5</v>
      </c>
    </row>
    <row r="850" spans="1:13">
      <c r="A850" s="4" t="str" cm="1">
        <f t="array" ref="A850">INDEX(Sheet1!A:A,$F850)</f>
        <v>M</v>
      </c>
      <c r="B850" s="4" t="str" cm="1">
        <f t="array" ref="B850">INDEX(Sheet1!B:B,$F850)</f>
        <v>Agg/Unknown</v>
      </c>
      <c r="C850" s="4">
        <f t="shared" si="53"/>
        <v>48</v>
      </c>
      <c r="D850" s="5" cm="1">
        <f t="array" aca="1" ref="D850" ca="1">OFFSET(INDIRECT("'["&amp;$H850&amp;"]"&amp;$I850&amp;"'!"&amp;$J850),$L850,$M850)*$K850</f>
        <v>3.3700000000000002E-3</v>
      </c>
      <c r="F850" s="4">
        <f t="shared" si="54"/>
        <v>10</v>
      </c>
      <c r="G850" s="4" cm="1">
        <f t="array" ref="G850">IF($C850+$M850&lt;16,INDEX(Sheet1!C:C,$F850),$F850)</f>
        <v>10</v>
      </c>
      <c r="H850" s="4" t="str" cm="1">
        <f t="array" ref="H850">INDEX(Sheet1!D:D,$G850)</f>
        <v>t1136.xlsx</v>
      </c>
      <c r="I850" s="4" t="str" cm="1">
        <f t="array" ref="I850">INDEX(Sheet1!E:E,$G850)</f>
        <v>Sheet1</v>
      </c>
      <c r="J850" s="4" t="str" cm="1">
        <f t="array" ref="J850">INDEX(Sheet1!F:F,$G850)</f>
        <v>B25</v>
      </c>
      <c r="K850" s="4" cm="1">
        <f t="array" ref="K850">INDEX(Sheet1!H:H,$G850)</f>
        <v>1</v>
      </c>
      <c r="L850" s="4">
        <f t="shared" si="52"/>
        <v>48</v>
      </c>
      <c r="M850" s="4">
        <f t="shared" si="55"/>
        <v>5</v>
      </c>
    </row>
    <row r="851" spans="1:13">
      <c r="A851" s="4" t="str" cm="1">
        <f t="array" ref="A851">INDEX(Sheet1!A:A,$F851)</f>
        <v>M</v>
      </c>
      <c r="B851" s="4" t="str" cm="1">
        <f t="array" ref="B851">INDEX(Sheet1!B:B,$F851)</f>
        <v>Agg/Unknown</v>
      </c>
      <c r="C851" s="4">
        <f t="shared" si="53"/>
        <v>49</v>
      </c>
      <c r="D851" s="5" cm="1">
        <f t="array" aca="1" ref="D851" ca="1">OFFSET(INDIRECT("'["&amp;$H851&amp;"]"&amp;$I851&amp;"'!"&amp;$J851),$L851,$M851)*$K851</f>
        <v>3.63E-3</v>
      </c>
      <c r="F851" s="4">
        <f t="shared" si="54"/>
        <v>10</v>
      </c>
      <c r="G851" s="4" cm="1">
        <f t="array" ref="G851">IF($C851+$M851&lt;16,INDEX(Sheet1!C:C,$F851),$F851)</f>
        <v>10</v>
      </c>
      <c r="H851" s="4" t="str" cm="1">
        <f t="array" ref="H851">INDEX(Sheet1!D:D,$G851)</f>
        <v>t1136.xlsx</v>
      </c>
      <c r="I851" s="4" t="str" cm="1">
        <f t="array" ref="I851">INDEX(Sheet1!E:E,$G851)</f>
        <v>Sheet1</v>
      </c>
      <c r="J851" s="4" t="str" cm="1">
        <f t="array" ref="J851">INDEX(Sheet1!F:F,$G851)</f>
        <v>B25</v>
      </c>
      <c r="K851" s="4" cm="1">
        <f t="array" ref="K851">INDEX(Sheet1!H:H,$G851)</f>
        <v>1</v>
      </c>
      <c r="L851" s="4">
        <f t="shared" si="52"/>
        <v>49</v>
      </c>
      <c r="M851" s="4">
        <f t="shared" si="55"/>
        <v>5</v>
      </c>
    </row>
    <row r="852" spans="1:13">
      <c r="A852" s="4" t="str" cm="1">
        <f t="array" ref="A852">INDEX(Sheet1!A:A,$F852)</f>
        <v>M</v>
      </c>
      <c r="B852" s="4" t="str" cm="1">
        <f t="array" ref="B852">INDEX(Sheet1!B:B,$F852)</f>
        <v>Agg/Unknown</v>
      </c>
      <c r="C852" s="4">
        <f t="shared" si="53"/>
        <v>50</v>
      </c>
      <c r="D852" s="5" cm="1">
        <f t="array" aca="1" ref="D852" ca="1">OFFSET(INDIRECT("'["&amp;$H852&amp;"]"&amp;$I852&amp;"'!"&amp;$J852),$L852,$M852)*$K852</f>
        <v>3.8999999999999998E-3</v>
      </c>
      <c r="F852" s="4">
        <f t="shared" si="54"/>
        <v>10</v>
      </c>
      <c r="G852" s="4" cm="1">
        <f t="array" ref="G852">IF($C852+$M852&lt;16,INDEX(Sheet1!C:C,$F852),$F852)</f>
        <v>10</v>
      </c>
      <c r="H852" s="4" t="str" cm="1">
        <f t="array" ref="H852">INDEX(Sheet1!D:D,$G852)</f>
        <v>t1136.xlsx</v>
      </c>
      <c r="I852" s="4" t="str" cm="1">
        <f t="array" ref="I852">INDEX(Sheet1!E:E,$G852)</f>
        <v>Sheet1</v>
      </c>
      <c r="J852" s="4" t="str" cm="1">
        <f t="array" ref="J852">INDEX(Sheet1!F:F,$G852)</f>
        <v>B25</v>
      </c>
      <c r="K852" s="4" cm="1">
        <f t="array" ref="K852">INDEX(Sheet1!H:H,$G852)</f>
        <v>1</v>
      </c>
      <c r="L852" s="4">
        <f t="shared" si="52"/>
        <v>50</v>
      </c>
      <c r="M852" s="4">
        <f t="shared" si="55"/>
        <v>5</v>
      </c>
    </row>
    <row r="853" spans="1:13">
      <c r="A853" s="4" t="str" cm="1">
        <f t="array" ref="A853">INDEX(Sheet1!A:A,$F853)</f>
        <v>M</v>
      </c>
      <c r="B853" s="4" t="str" cm="1">
        <f t="array" ref="B853">INDEX(Sheet1!B:B,$F853)</f>
        <v>Agg/Unknown</v>
      </c>
      <c r="C853" s="4">
        <f t="shared" si="53"/>
        <v>51</v>
      </c>
      <c r="D853" s="5" cm="1">
        <f t="array" aca="1" ref="D853" ca="1">OFFSET(INDIRECT("'["&amp;$H853&amp;"]"&amp;$I853&amp;"'!"&amp;$J853),$L853,$M853)*$K853</f>
        <v>4.2199999999999998E-3</v>
      </c>
      <c r="F853" s="4">
        <f t="shared" si="54"/>
        <v>10</v>
      </c>
      <c r="G853" s="4" cm="1">
        <f t="array" ref="G853">IF($C853+$M853&lt;16,INDEX(Sheet1!C:C,$F853),$F853)</f>
        <v>10</v>
      </c>
      <c r="H853" s="4" t="str" cm="1">
        <f t="array" ref="H853">INDEX(Sheet1!D:D,$G853)</f>
        <v>t1136.xlsx</v>
      </c>
      <c r="I853" s="4" t="str" cm="1">
        <f t="array" ref="I853">INDEX(Sheet1!E:E,$G853)</f>
        <v>Sheet1</v>
      </c>
      <c r="J853" s="4" t="str" cm="1">
        <f t="array" ref="J853">INDEX(Sheet1!F:F,$G853)</f>
        <v>B25</v>
      </c>
      <c r="K853" s="4" cm="1">
        <f t="array" ref="K853">INDEX(Sheet1!H:H,$G853)</f>
        <v>1</v>
      </c>
      <c r="L853" s="4">
        <f t="shared" si="52"/>
        <v>51</v>
      </c>
      <c r="M853" s="4">
        <f t="shared" si="55"/>
        <v>5</v>
      </c>
    </row>
    <row r="854" spans="1:13">
      <c r="A854" s="4" t="str" cm="1">
        <f t="array" ref="A854">INDEX(Sheet1!A:A,$F854)</f>
        <v>M</v>
      </c>
      <c r="B854" s="4" t="str" cm="1">
        <f t="array" ref="B854">INDEX(Sheet1!B:B,$F854)</f>
        <v>Agg/Unknown</v>
      </c>
      <c r="C854" s="4">
        <f t="shared" si="53"/>
        <v>52</v>
      </c>
      <c r="D854" s="5" cm="1">
        <f t="array" aca="1" ref="D854" ca="1">OFFSET(INDIRECT("'["&amp;$H854&amp;"]"&amp;$I854&amp;"'!"&amp;$J854),$L854,$M854)*$K854</f>
        <v>4.5300000000000002E-3</v>
      </c>
      <c r="F854" s="4">
        <f t="shared" si="54"/>
        <v>10</v>
      </c>
      <c r="G854" s="4" cm="1">
        <f t="array" ref="G854">IF($C854+$M854&lt;16,INDEX(Sheet1!C:C,$F854),$F854)</f>
        <v>10</v>
      </c>
      <c r="H854" s="4" t="str" cm="1">
        <f t="array" ref="H854">INDEX(Sheet1!D:D,$G854)</f>
        <v>t1136.xlsx</v>
      </c>
      <c r="I854" s="4" t="str" cm="1">
        <f t="array" ref="I854">INDEX(Sheet1!E:E,$G854)</f>
        <v>Sheet1</v>
      </c>
      <c r="J854" s="4" t="str" cm="1">
        <f t="array" ref="J854">INDEX(Sheet1!F:F,$G854)</f>
        <v>B25</v>
      </c>
      <c r="K854" s="4" cm="1">
        <f t="array" ref="K854">INDEX(Sheet1!H:H,$G854)</f>
        <v>1</v>
      </c>
      <c r="L854" s="4">
        <f t="shared" si="52"/>
        <v>52</v>
      </c>
      <c r="M854" s="4">
        <f t="shared" si="55"/>
        <v>5</v>
      </c>
    </row>
    <row r="855" spans="1:13">
      <c r="A855" s="4" t="str" cm="1">
        <f t="array" ref="A855">INDEX(Sheet1!A:A,$F855)</f>
        <v>M</v>
      </c>
      <c r="B855" s="4" t="str" cm="1">
        <f t="array" ref="B855">INDEX(Sheet1!B:B,$F855)</f>
        <v>Agg/Unknown</v>
      </c>
      <c r="C855" s="4">
        <f t="shared" si="53"/>
        <v>53</v>
      </c>
      <c r="D855" s="5" cm="1">
        <f t="array" aca="1" ref="D855" ca="1">OFFSET(INDIRECT("'["&amp;$H855&amp;"]"&amp;$I855&amp;"'!"&amp;$J855),$L855,$M855)*$K855</f>
        <v>4.9199999999999999E-3</v>
      </c>
      <c r="F855" s="4">
        <f t="shared" si="54"/>
        <v>10</v>
      </c>
      <c r="G855" s="4" cm="1">
        <f t="array" ref="G855">IF($C855+$M855&lt;16,INDEX(Sheet1!C:C,$F855),$F855)</f>
        <v>10</v>
      </c>
      <c r="H855" s="4" t="str" cm="1">
        <f t="array" ref="H855">INDEX(Sheet1!D:D,$G855)</f>
        <v>t1136.xlsx</v>
      </c>
      <c r="I855" s="4" t="str" cm="1">
        <f t="array" ref="I855">INDEX(Sheet1!E:E,$G855)</f>
        <v>Sheet1</v>
      </c>
      <c r="J855" s="4" t="str" cm="1">
        <f t="array" ref="J855">INDEX(Sheet1!F:F,$G855)</f>
        <v>B25</v>
      </c>
      <c r="K855" s="4" cm="1">
        <f t="array" ref="K855">INDEX(Sheet1!H:H,$G855)</f>
        <v>1</v>
      </c>
      <c r="L855" s="4">
        <f t="shared" si="52"/>
        <v>53</v>
      </c>
      <c r="M855" s="4">
        <f t="shared" si="55"/>
        <v>5</v>
      </c>
    </row>
    <row r="856" spans="1:13">
      <c r="A856" s="4" t="str" cm="1">
        <f t="array" ref="A856">INDEX(Sheet1!A:A,$F856)</f>
        <v>M</v>
      </c>
      <c r="B856" s="4" t="str" cm="1">
        <f t="array" ref="B856">INDEX(Sheet1!B:B,$F856)</f>
        <v>Agg/Unknown</v>
      </c>
      <c r="C856" s="4">
        <f t="shared" si="53"/>
        <v>54</v>
      </c>
      <c r="D856" s="5" cm="1">
        <f t="array" aca="1" ref="D856" ca="1">OFFSET(INDIRECT("'["&amp;$H856&amp;"]"&amp;$I856&amp;"'!"&amp;$J856),$L856,$M856)*$K856</f>
        <v>5.3499999999999997E-3</v>
      </c>
      <c r="F856" s="4">
        <f t="shared" si="54"/>
        <v>10</v>
      </c>
      <c r="G856" s="4" cm="1">
        <f t="array" ref="G856">IF($C856+$M856&lt;16,INDEX(Sheet1!C:C,$F856),$F856)</f>
        <v>10</v>
      </c>
      <c r="H856" s="4" t="str" cm="1">
        <f t="array" ref="H856">INDEX(Sheet1!D:D,$G856)</f>
        <v>t1136.xlsx</v>
      </c>
      <c r="I856" s="4" t="str" cm="1">
        <f t="array" ref="I856">INDEX(Sheet1!E:E,$G856)</f>
        <v>Sheet1</v>
      </c>
      <c r="J856" s="4" t="str" cm="1">
        <f t="array" ref="J856">INDEX(Sheet1!F:F,$G856)</f>
        <v>B25</v>
      </c>
      <c r="K856" s="4" cm="1">
        <f t="array" ref="K856">INDEX(Sheet1!H:H,$G856)</f>
        <v>1</v>
      </c>
      <c r="L856" s="4">
        <f t="shared" si="52"/>
        <v>54</v>
      </c>
      <c r="M856" s="4">
        <f t="shared" si="55"/>
        <v>5</v>
      </c>
    </row>
    <row r="857" spans="1:13">
      <c r="A857" s="4" t="str" cm="1">
        <f t="array" ref="A857">INDEX(Sheet1!A:A,$F857)</f>
        <v>M</v>
      </c>
      <c r="B857" s="4" t="str" cm="1">
        <f t="array" ref="B857">INDEX(Sheet1!B:B,$F857)</f>
        <v>Agg/Unknown</v>
      </c>
      <c r="C857" s="4">
        <f t="shared" si="53"/>
        <v>55</v>
      </c>
      <c r="D857" s="5" cm="1">
        <f t="array" aca="1" ref="D857" ca="1">OFFSET(INDIRECT("'["&amp;$H857&amp;"]"&amp;$I857&amp;"'!"&amp;$J857),$L857,$M857)*$K857</f>
        <v>5.8599999999999998E-3</v>
      </c>
      <c r="F857" s="4">
        <f t="shared" si="54"/>
        <v>10</v>
      </c>
      <c r="G857" s="4" cm="1">
        <f t="array" ref="G857">IF($C857+$M857&lt;16,INDEX(Sheet1!C:C,$F857),$F857)</f>
        <v>10</v>
      </c>
      <c r="H857" s="4" t="str" cm="1">
        <f t="array" ref="H857">INDEX(Sheet1!D:D,$G857)</f>
        <v>t1136.xlsx</v>
      </c>
      <c r="I857" s="4" t="str" cm="1">
        <f t="array" ref="I857">INDEX(Sheet1!E:E,$G857)</f>
        <v>Sheet1</v>
      </c>
      <c r="J857" s="4" t="str" cm="1">
        <f t="array" ref="J857">INDEX(Sheet1!F:F,$G857)</f>
        <v>B25</v>
      </c>
      <c r="K857" s="4" cm="1">
        <f t="array" ref="K857">INDEX(Sheet1!H:H,$G857)</f>
        <v>1</v>
      </c>
      <c r="L857" s="4">
        <f t="shared" si="52"/>
        <v>55</v>
      </c>
      <c r="M857" s="4">
        <f t="shared" si="55"/>
        <v>5</v>
      </c>
    </row>
    <row r="858" spans="1:13">
      <c r="A858" s="4" t="str" cm="1">
        <f t="array" ref="A858">INDEX(Sheet1!A:A,$F858)</f>
        <v>M</v>
      </c>
      <c r="B858" s="4" t="str" cm="1">
        <f t="array" ref="B858">INDEX(Sheet1!B:B,$F858)</f>
        <v>Agg/Unknown</v>
      </c>
      <c r="C858" s="4">
        <f t="shared" si="53"/>
        <v>56</v>
      </c>
      <c r="D858" s="5" cm="1">
        <f t="array" aca="1" ref="D858" ca="1">OFFSET(INDIRECT("'["&amp;$H858&amp;"]"&amp;$I858&amp;"'!"&amp;$J858),$L858,$M858)*$K858</f>
        <v>6.4900000000000001E-3</v>
      </c>
      <c r="F858" s="4">
        <f t="shared" si="54"/>
        <v>10</v>
      </c>
      <c r="G858" s="4" cm="1">
        <f t="array" ref="G858">IF($C858+$M858&lt;16,INDEX(Sheet1!C:C,$F858),$F858)</f>
        <v>10</v>
      </c>
      <c r="H858" s="4" t="str" cm="1">
        <f t="array" ref="H858">INDEX(Sheet1!D:D,$G858)</f>
        <v>t1136.xlsx</v>
      </c>
      <c r="I858" s="4" t="str" cm="1">
        <f t="array" ref="I858">INDEX(Sheet1!E:E,$G858)</f>
        <v>Sheet1</v>
      </c>
      <c r="J858" s="4" t="str" cm="1">
        <f t="array" ref="J858">INDEX(Sheet1!F:F,$G858)</f>
        <v>B25</v>
      </c>
      <c r="K858" s="4" cm="1">
        <f t="array" ref="K858">INDEX(Sheet1!H:H,$G858)</f>
        <v>1</v>
      </c>
      <c r="L858" s="4">
        <f t="shared" si="52"/>
        <v>56</v>
      </c>
      <c r="M858" s="4">
        <f t="shared" si="55"/>
        <v>5</v>
      </c>
    </row>
    <row r="859" spans="1:13">
      <c r="A859" s="4" t="str" cm="1">
        <f t="array" ref="A859">INDEX(Sheet1!A:A,$F859)</f>
        <v>M</v>
      </c>
      <c r="B859" s="4" t="str" cm="1">
        <f t="array" ref="B859">INDEX(Sheet1!B:B,$F859)</f>
        <v>Agg/Unknown</v>
      </c>
      <c r="C859" s="4">
        <f t="shared" si="53"/>
        <v>57</v>
      </c>
      <c r="D859" s="5" cm="1">
        <f t="array" aca="1" ref="D859" ca="1">OFFSET(INDIRECT("'["&amp;$H859&amp;"]"&amp;$I859&amp;"'!"&amp;$J859),$L859,$M859)*$K859</f>
        <v>7.2399999999999999E-3</v>
      </c>
      <c r="F859" s="4">
        <f t="shared" si="54"/>
        <v>10</v>
      </c>
      <c r="G859" s="4" cm="1">
        <f t="array" ref="G859">IF($C859+$M859&lt;16,INDEX(Sheet1!C:C,$F859),$F859)</f>
        <v>10</v>
      </c>
      <c r="H859" s="4" t="str" cm="1">
        <f t="array" ref="H859">INDEX(Sheet1!D:D,$G859)</f>
        <v>t1136.xlsx</v>
      </c>
      <c r="I859" s="4" t="str" cm="1">
        <f t="array" ref="I859">INDEX(Sheet1!E:E,$G859)</f>
        <v>Sheet1</v>
      </c>
      <c r="J859" s="4" t="str" cm="1">
        <f t="array" ref="J859">INDEX(Sheet1!F:F,$G859)</f>
        <v>B25</v>
      </c>
      <c r="K859" s="4" cm="1">
        <f t="array" ref="K859">INDEX(Sheet1!H:H,$G859)</f>
        <v>1</v>
      </c>
      <c r="L859" s="4">
        <f t="shared" si="52"/>
        <v>57</v>
      </c>
      <c r="M859" s="4">
        <f t="shared" si="55"/>
        <v>5</v>
      </c>
    </row>
    <row r="860" spans="1:13">
      <c r="A860" s="4" t="str" cm="1">
        <f t="array" ref="A860">INDEX(Sheet1!A:A,$F860)</f>
        <v>M</v>
      </c>
      <c r="B860" s="4" t="str" cm="1">
        <f t="array" ref="B860">INDEX(Sheet1!B:B,$F860)</f>
        <v>Agg/Unknown</v>
      </c>
      <c r="C860" s="4">
        <f t="shared" si="53"/>
        <v>58</v>
      </c>
      <c r="D860" s="5" cm="1">
        <f t="array" aca="1" ref="D860" ca="1">OFFSET(INDIRECT("'["&amp;$H860&amp;"]"&amp;$I860&amp;"'!"&amp;$J860),$L860,$M860)*$K860</f>
        <v>8.09E-3</v>
      </c>
      <c r="F860" s="4">
        <f t="shared" si="54"/>
        <v>10</v>
      </c>
      <c r="G860" s="4" cm="1">
        <f t="array" ref="G860">IF($C860+$M860&lt;16,INDEX(Sheet1!C:C,$F860),$F860)</f>
        <v>10</v>
      </c>
      <c r="H860" s="4" t="str" cm="1">
        <f t="array" ref="H860">INDEX(Sheet1!D:D,$G860)</f>
        <v>t1136.xlsx</v>
      </c>
      <c r="I860" s="4" t="str" cm="1">
        <f t="array" ref="I860">INDEX(Sheet1!E:E,$G860)</f>
        <v>Sheet1</v>
      </c>
      <c r="J860" s="4" t="str" cm="1">
        <f t="array" ref="J860">INDEX(Sheet1!F:F,$G860)</f>
        <v>B25</v>
      </c>
      <c r="K860" s="4" cm="1">
        <f t="array" ref="K860">INDEX(Sheet1!H:H,$G860)</f>
        <v>1</v>
      </c>
      <c r="L860" s="4">
        <f t="shared" si="52"/>
        <v>58</v>
      </c>
      <c r="M860" s="4">
        <f t="shared" si="55"/>
        <v>5</v>
      </c>
    </row>
    <row r="861" spans="1:13">
      <c r="A861" s="4" t="str" cm="1">
        <f t="array" ref="A861">INDEX(Sheet1!A:A,$F861)</f>
        <v>M</v>
      </c>
      <c r="B861" s="4" t="str" cm="1">
        <f t="array" ref="B861">INDEX(Sheet1!B:B,$F861)</f>
        <v>Agg/Unknown</v>
      </c>
      <c r="C861" s="4">
        <f t="shared" si="53"/>
        <v>59</v>
      </c>
      <c r="D861" s="5" cm="1">
        <f t="array" aca="1" ref="D861" ca="1">OFFSET(INDIRECT("'["&amp;$H861&amp;"]"&amp;$I861&amp;"'!"&amp;$J861),$L861,$M861)*$K861</f>
        <v>8.9700000000000005E-3</v>
      </c>
      <c r="F861" s="4">
        <f t="shared" si="54"/>
        <v>10</v>
      </c>
      <c r="G861" s="4" cm="1">
        <f t="array" ref="G861">IF($C861+$M861&lt;16,INDEX(Sheet1!C:C,$F861),$F861)</f>
        <v>10</v>
      </c>
      <c r="H861" s="4" t="str" cm="1">
        <f t="array" ref="H861">INDEX(Sheet1!D:D,$G861)</f>
        <v>t1136.xlsx</v>
      </c>
      <c r="I861" s="4" t="str" cm="1">
        <f t="array" ref="I861">INDEX(Sheet1!E:E,$G861)</f>
        <v>Sheet1</v>
      </c>
      <c r="J861" s="4" t="str" cm="1">
        <f t="array" ref="J861">INDEX(Sheet1!F:F,$G861)</f>
        <v>B25</v>
      </c>
      <c r="K861" s="4" cm="1">
        <f t="array" ref="K861">INDEX(Sheet1!H:H,$G861)</f>
        <v>1</v>
      </c>
      <c r="L861" s="4">
        <f t="shared" si="52"/>
        <v>59</v>
      </c>
      <c r="M861" s="4">
        <f t="shared" si="55"/>
        <v>5</v>
      </c>
    </row>
    <row r="862" spans="1:13">
      <c r="A862" s="4" t="str" cm="1">
        <f t="array" ref="A862">INDEX(Sheet1!A:A,$F862)</f>
        <v>M</v>
      </c>
      <c r="B862" s="4" t="str" cm="1">
        <f t="array" ref="B862">INDEX(Sheet1!B:B,$F862)</f>
        <v>Agg/Unknown</v>
      </c>
      <c r="C862" s="4">
        <f t="shared" si="53"/>
        <v>60</v>
      </c>
      <c r="D862" s="5" cm="1">
        <f t="array" aca="1" ref="D862" ca="1">OFFSET(INDIRECT("'["&amp;$H862&amp;"]"&amp;$I862&amp;"'!"&amp;$J862),$L862,$M862)*$K862</f>
        <v>9.8600000000000007E-3</v>
      </c>
      <c r="F862" s="4">
        <f t="shared" si="54"/>
        <v>10</v>
      </c>
      <c r="G862" s="4" cm="1">
        <f t="array" ref="G862">IF($C862+$M862&lt;16,INDEX(Sheet1!C:C,$F862),$F862)</f>
        <v>10</v>
      </c>
      <c r="H862" s="4" t="str" cm="1">
        <f t="array" ref="H862">INDEX(Sheet1!D:D,$G862)</f>
        <v>t1136.xlsx</v>
      </c>
      <c r="I862" s="4" t="str" cm="1">
        <f t="array" ref="I862">INDEX(Sheet1!E:E,$G862)</f>
        <v>Sheet1</v>
      </c>
      <c r="J862" s="4" t="str" cm="1">
        <f t="array" ref="J862">INDEX(Sheet1!F:F,$G862)</f>
        <v>B25</v>
      </c>
      <c r="K862" s="4" cm="1">
        <f t="array" ref="K862">INDEX(Sheet1!H:H,$G862)</f>
        <v>1</v>
      </c>
      <c r="L862" s="4">
        <f t="shared" si="52"/>
        <v>60</v>
      </c>
      <c r="M862" s="4">
        <f t="shared" si="55"/>
        <v>5</v>
      </c>
    </row>
    <row r="863" spans="1:13">
      <c r="A863" s="4" t="str" cm="1">
        <f t="array" ref="A863">INDEX(Sheet1!A:A,$F863)</f>
        <v>M</v>
      </c>
      <c r="B863" s="4" t="str" cm="1">
        <f t="array" ref="B863">INDEX(Sheet1!B:B,$F863)</f>
        <v>Agg/Unknown</v>
      </c>
      <c r="C863" s="4">
        <f t="shared" si="53"/>
        <v>61</v>
      </c>
      <c r="D863" s="5" cm="1">
        <f t="array" aca="1" ref="D863" ca="1">OFFSET(INDIRECT("'["&amp;$H863&amp;"]"&amp;$I863&amp;"'!"&amp;$J863),$L863,$M863)*$K863</f>
        <v>1.074E-2</v>
      </c>
      <c r="F863" s="4">
        <f t="shared" si="54"/>
        <v>10</v>
      </c>
      <c r="G863" s="4" cm="1">
        <f t="array" ref="G863">IF($C863+$M863&lt;16,INDEX(Sheet1!C:C,$F863),$F863)</f>
        <v>10</v>
      </c>
      <c r="H863" s="4" t="str" cm="1">
        <f t="array" ref="H863">INDEX(Sheet1!D:D,$G863)</f>
        <v>t1136.xlsx</v>
      </c>
      <c r="I863" s="4" t="str" cm="1">
        <f t="array" ref="I863">INDEX(Sheet1!E:E,$G863)</f>
        <v>Sheet1</v>
      </c>
      <c r="J863" s="4" t="str" cm="1">
        <f t="array" ref="J863">INDEX(Sheet1!F:F,$G863)</f>
        <v>B25</v>
      </c>
      <c r="K863" s="4" cm="1">
        <f t="array" ref="K863">INDEX(Sheet1!H:H,$G863)</f>
        <v>1</v>
      </c>
      <c r="L863" s="4">
        <f t="shared" si="52"/>
        <v>61</v>
      </c>
      <c r="M863" s="4">
        <f t="shared" si="55"/>
        <v>5</v>
      </c>
    </row>
    <row r="864" spans="1:13">
      <c r="A864" s="4" t="str" cm="1">
        <f t="array" ref="A864">INDEX(Sheet1!A:A,$F864)</f>
        <v>M</v>
      </c>
      <c r="B864" s="4" t="str" cm="1">
        <f t="array" ref="B864">INDEX(Sheet1!B:B,$F864)</f>
        <v>Agg/Unknown</v>
      </c>
      <c r="C864" s="4">
        <f t="shared" si="53"/>
        <v>62</v>
      </c>
      <c r="D864" s="5" cm="1">
        <f t="array" aca="1" ref="D864" ca="1">OFFSET(INDIRECT("'["&amp;$H864&amp;"]"&amp;$I864&amp;"'!"&amp;$J864),$L864,$M864)*$K864</f>
        <v>1.166E-2</v>
      </c>
      <c r="F864" s="4">
        <f t="shared" si="54"/>
        <v>10</v>
      </c>
      <c r="G864" s="4" cm="1">
        <f t="array" ref="G864">IF($C864+$M864&lt;16,INDEX(Sheet1!C:C,$F864),$F864)</f>
        <v>10</v>
      </c>
      <c r="H864" s="4" t="str" cm="1">
        <f t="array" ref="H864">INDEX(Sheet1!D:D,$G864)</f>
        <v>t1136.xlsx</v>
      </c>
      <c r="I864" s="4" t="str" cm="1">
        <f t="array" ref="I864">INDEX(Sheet1!E:E,$G864)</f>
        <v>Sheet1</v>
      </c>
      <c r="J864" s="4" t="str" cm="1">
        <f t="array" ref="J864">INDEX(Sheet1!F:F,$G864)</f>
        <v>B25</v>
      </c>
      <c r="K864" s="4" cm="1">
        <f t="array" ref="K864">INDEX(Sheet1!H:H,$G864)</f>
        <v>1</v>
      </c>
      <c r="L864" s="4">
        <f t="shared" si="52"/>
        <v>62</v>
      </c>
      <c r="M864" s="4">
        <f t="shared" si="55"/>
        <v>5</v>
      </c>
    </row>
    <row r="865" spans="1:13">
      <c r="A865" s="4" t="str" cm="1">
        <f t="array" ref="A865">INDEX(Sheet1!A:A,$F865)</f>
        <v>M</v>
      </c>
      <c r="B865" s="4" t="str" cm="1">
        <f t="array" ref="B865">INDEX(Sheet1!B:B,$F865)</f>
        <v>Agg/Unknown</v>
      </c>
      <c r="C865" s="4">
        <f t="shared" si="53"/>
        <v>63</v>
      </c>
      <c r="D865" s="5" cm="1">
        <f t="array" aca="1" ref="D865" ca="1">OFFSET(INDIRECT("'["&amp;$H865&amp;"]"&amp;$I865&amp;"'!"&amp;$J865),$L865,$M865)*$K865</f>
        <v>1.2699999999999999E-2</v>
      </c>
      <c r="F865" s="4">
        <f t="shared" si="54"/>
        <v>10</v>
      </c>
      <c r="G865" s="4" cm="1">
        <f t="array" ref="G865">IF($C865+$M865&lt;16,INDEX(Sheet1!C:C,$F865),$F865)</f>
        <v>10</v>
      </c>
      <c r="H865" s="4" t="str" cm="1">
        <f t="array" ref="H865">INDEX(Sheet1!D:D,$G865)</f>
        <v>t1136.xlsx</v>
      </c>
      <c r="I865" s="4" t="str" cm="1">
        <f t="array" ref="I865">INDEX(Sheet1!E:E,$G865)</f>
        <v>Sheet1</v>
      </c>
      <c r="J865" s="4" t="str" cm="1">
        <f t="array" ref="J865">INDEX(Sheet1!F:F,$G865)</f>
        <v>B25</v>
      </c>
      <c r="K865" s="4" cm="1">
        <f t="array" ref="K865">INDEX(Sheet1!H:H,$G865)</f>
        <v>1</v>
      </c>
      <c r="L865" s="4">
        <f t="shared" si="52"/>
        <v>63</v>
      </c>
      <c r="M865" s="4">
        <f t="shared" si="55"/>
        <v>5</v>
      </c>
    </row>
    <row r="866" spans="1:13">
      <c r="A866" s="4" t="str" cm="1">
        <f t="array" ref="A866">INDEX(Sheet1!A:A,$F866)</f>
        <v>M</v>
      </c>
      <c r="B866" s="4" t="str" cm="1">
        <f t="array" ref="B866">INDEX(Sheet1!B:B,$F866)</f>
        <v>Agg/Unknown</v>
      </c>
      <c r="C866" s="4">
        <f t="shared" si="53"/>
        <v>64</v>
      </c>
      <c r="D866" s="5" cm="1">
        <f t="array" aca="1" ref="D866" ca="1">OFFSET(INDIRECT("'["&amp;$H866&amp;"]"&amp;$I866&amp;"'!"&amp;$J866),$L866,$M866)*$K866</f>
        <v>1.387E-2</v>
      </c>
      <c r="F866" s="4">
        <f t="shared" si="54"/>
        <v>10</v>
      </c>
      <c r="G866" s="4" cm="1">
        <f t="array" ref="G866">IF($C866+$M866&lt;16,INDEX(Sheet1!C:C,$F866),$F866)</f>
        <v>10</v>
      </c>
      <c r="H866" s="4" t="str" cm="1">
        <f t="array" ref="H866">INDEX(Sheet1!D:D,$G866)</f>
        <v>t1136.xlsx</v>
      </c>
      <c r="I866" s="4" t="str" cm="1">
        <f t="array" ref="I866">INDEX(Sheet1!E:E,$G866)</f>
        <v>Sheet1</v>
      </c>
      <c r="J866" s="4" t="str" cm="1">
        <f t="array" ref="J866">INDEX(Sheet1!F:F,$G866)</f>
        <v>B25</v>
      </c>
      <c r="K866" s="4" cm="1">
        <f t="array" ref="K866">INDEX(Sheet1!H:H,$G866)</f>
        <v>1</v>
      </c>
      <c r="L866" s="4">
        <f t="shared" si="52"/>
        <v>64</v>
      </c>
      <c r="M866" s="4">
        <f t="shared" si="55"/>
        <v>5</v>
      </c>
    </row>
    <row r="867" spans="1:13">
      <c r="A867" s="4" t="str" cm="1">
        <f t="array" ref="A867">INDEX(Sheet1!A:A,$F867)</f>
        <v>M</v>
      </c>
      <c r="B867" s="4" t="str" cm="1">
        <f t="array" ref="B867">INDEX(Sheet1!B:B,$F867)</f>
        <v>Agg/Unknown</v>
      </c>
      <c r="C867" s="4">
        <f t="shared" si="53"/>
        <v>65</v>
      </c>
      <c r="D867" s="5" cm="1">
        <f t="array" aca="1" ref="D867" ca="1">OFFSET(INDIRECT("'["&amp;$H867&amp;"]"&amp;$I867&amp;"'!"&amp;$J867),$L867,$M867)*$K867</f>
        <v>1.519E-2</v>
      </c>
      <c r="F867" s="4">
        <f t="shared" si="54"/>
        <v>10</v>
      </c>
      <c r="G867" s="4" cm="1">
        <f t="array" ref="G867">IF($C867+$M867&lt;16,INDEX(Sheet1!C:C,$F867),$F867)</f>
        <v>10</v>
      </c>
      <c r="H867" s="4" t="str" cm="1">
        <f t="array" ref="H867">INDEX(Sheet1!D:D,$G867)</f>
        <v>t1136.xlsx</v>
      </c>
      <c r="I867" s="4" t="str" cm="1">
        <f t="array" ref="I867">INDEX(Sheet1!E:E,$G867)</f>
        <v>Sheet1</v>
      </c>
      <c r="J867" s="4" t="str" cm="1">
        <f t="array" ref="J867">INDEX(Sheet1!F:F,$G867)</f>
        <v>B25</v>
      </c>
      <c r="K867" s="4" cm="1">
        <f t="array" ref="K867">INDEX(Sheet1!H:H,$G867)</f>
        <v>1</v>
      </c>
      <c r="L867" s="4">
        <f t="shared" si="52"/>
        <v>65</v>
      </c>
      <c r="M867" s="4">
        <f t="shared" si="55"/>
        <v>5</v>
      </c>
    </row>
    <row r="868" spans="1:13">
      <c r="A868" s="4" t="str" cm="1">
        <f t="array" ref="A868">INDEX(Sheet1!A:A,$F868)</f>
        <v>M</v>
      </c>
      <c r="B868" s="4" t="str" cm="1">
        <f t="array" ref="B868">INDEX(Sheet1!B:B,$F868)</f>
        <v>Agg/Unknown</v>
      </c>
      <c r="C868" s="4">
        <f t="shared" si="53"/>
        <v>66</v>
      </c>
      <c r="D868" s="5" cm="1">
        <f t="array" aca="1" ref="D868" ca="1">OFFSET(INDIRECT("'["&amp;$H868&amp;"]"&amp;$I868&amp;"'!"&amp;$J868),$L868,$M868)*$K868</f>
        <v>1.6670000000000001E-2</v>
      </c>
      <c r="F868" s="4">
        <f t="shared" si="54"/>
        <v>10</v>
      </c>
      <c r="G868" s="4" cm="1">
        <f t="array" ref="G868">IF($C868+$M868&lt;16,INDEX(Sheet1!C:C,$F868),$F868)</f>
        <v>10</v>
      </c>
      <c r="H868" s="4" t="str" cm="1">
        <f t="array" ref="H868">INDEX(Sheet1!D:D,$G868)</f>
        <v>t1136.xlsx</v>
      </c>
      <c r="I868" s="4" t="str" cm="1">
        <f t="array" ref="I868">INDEX(Sheet1!E:E,$G868)</f>
        <v>Sheet1</v>
      </c>
      <c r="J868" s="4" t="str" cm="1">
        <f t="array" ref="J868">INDEX(Sheet1!F:F,$G868)</f>
        <v>B25</v>
      </c>
      <c r="K868" s="4" cm="1">
        <f t="array" ref="K868">INDEX(Sheet1!H:H,$G868)</f>
        <v>1</v>
      </c>
      <c r="L868" s="4">
        <f t="shared" si="52"/>
        <v>66</v>
      </c>
      <c r="M868" s="4">
        <f t="shared" si="55"/>
        <v>5</v>
      </c>
    </row>
    <row r="869" spans="1:13">
      <c r="A869" s="4" t="str" cm="1">
        <f t="array" ref="A869">INDEX(Sheet1!A:A,$F869)</f>
        <v>M</v>
      </c>
      <c r="B869" s="4" t="str" cm="1">
        <f t="array" ref="B869">INDEX(Sheet1!B:B,$F869)</f>
        <v>Agg/Unknown</v>
      </c>
      <c r="C869" s="4">
        <f t="shared" si="53"/>
        <v>67</v>
      </c>
      <c r="D869" s="5" cm="1">
        <f t="array" aca="1" ref="D869" ca="1">OFFSET(INDIRECT("'["&amp;$H869&amp;"]"&amp;$I869&amp;"'!"&amp;$J869),$L869,$M869)*$K869</f>
        <v>1.8290000000000001E-2</v>
      </c>
      <c r="F869" s="4">
        <f t="shared" si="54"/>
        <v>10</v>
      </c>
      <c r="G869" s="4" cm="1">
        <f t="array" ref="G869">IF($C869+$M869&lt;16,INDEX(Sheet1!C:C,$F869),$F869)</f>
        <v>10</v>
      </c>
      <c r="H869" s="4" t="str" cm="1">
        <f t="array" ref="H869">INDEX(Sheet1!D:D,$G869)</f>
        <v>t1136.xlsx</v>
      </c>
      <c r="I869" s="4" t="str" cm="1">
        <f t="array" ref="I869">INDEX(Sheet1!E:E,$G869)</f>
        <v>Sheet1</v>
      </c>
      <c r="J869" s="4" t="str" cm="1">
        <f t="array" ref="J869">INDEX(Sheet1!F:F,$G869)</f>
        <v>B25</v>
      </c>
      <c r="K869" s="4" cm="1">
        <f t="array" ref="K869">INDEX(Sheet1!H:H,$G869)</f>
        <v>1</v>
      </c>
      <c r="L869" s="4">
        <f t="shared" si="52"/>
        <v>67</v>
      </c>
      <c r="M869" s="4">
        <f t="shared" si="55"/>
        <v>5</v>
      </c>
    </row>
    <row r="870" spans="1:13">
      <c r="A870" s="4" t="str" cm="1">
        <f t="array" ref="A870">INDEX(Sheet1!A:A,$F870)</f>
        <v>M</v>
      </c>
      <c r="B870" s="4" t="str" cm="1">
        <f t="array" ref="B870">INDEX(Sheet1!B:B,$F870)</f>
        <v>Agg/Unknown</v>
      </c>
      <c r="C870" s="4">
        <f t="shared" si="53"/>
        <v>68</v>
      </c>
      <c r="D870" s="5" cm="1">
        <f t="array" aca="1" ref="D870" ca="1">OFFSET(INDIRECT("'["&amp;$H870&amp;"]"&amp;$I870&amp;"'!"&amp;$J870),$L870,$M870)*$K870</f>
        <v>2.0150000000000001E-2</v>
      </c>
      <c r="F870" s="4">
        <f t="shared" si="54"/>
        <v>10</v>
      </c>
      <c r="G870" s="4" cm="1">
        <f t="array" ref="G870">IF($C870+$M870&lt;16,INDEX(Sheet1!C:C,$F870),$F870)</f>
        <v>10</v>
      </c>
      <c r="H870" s="4" t="str" cm="1">
        <f t="array" ref="H870">INDEX(Sheet1!D:D,$G870)</f>
        <v>t1136.xlsx</v>
      </c>
      <c r="I870" s="4" t="str" cm="1">
        <f t="array" ref="I870">INDEX(Sheet1!E:E,$G870)</f>
        <v>Sheet1</v>
      </c>
      <c r="J870" s="4" t="str" cm="1">
        <f t="array" ref="J870">INDEX(Sheet1!F:F,$G870)</f>
        <v>B25</v>
      </c>
      <c r="K870" s="4" cm="1">
        <f t="array" ref="K870">INDEX(Sheet1!H:H,$G870)</f>
        <v>1</v>
      </c>
      <c r="L870" s="4">
        <f t="shared" si="52"/>
        <v>68</v>
      </c>
      <c r="M870" s="4">
        <f t="shared" si="55"/>
        <v>5</v>
      </c>
    </row>
    <row r="871" spans="1:13">
      <c r="A871" s="4" t="str" cm="1">
        <f t="array" ref="A871">INDEX(Sheet1!A:A,$F871)</f>
        <v>M</v>
      </c>
      <c r="B871" s="4" t="str" cm="1">
        <f t="array" ref="B871">INDEX(Sheet1!B:B,$F871)</f>
        <v>Agg/Unknown</v>
      </c>
      <c r="C871" s="4">
        <f t="shared" si="53"/>
        <v>69</v>
      </c>
      <c r="D871" s="5" cm="1">
        <f t="array" aca="1" ref="D871" ca="1">OFFSET(INDIRECT("'["&amp;$H871&amp;"]"&amp;$I871&amp;"'!"&amp;$J871),$L871,$M871)*$K871</f>
        <v>2.2270000000000002E-2</v>
      </c>
      <c r="F871" s="4">
        <f t="shared" si="54"/>
        <v>10</v>
      </c>
      <c r="G871" s="4" cm="1">
        <f t="array" ref="G871">IF($C871+$M871&lt;16,INDEX(Sheet1!C:C,$F871),$F871)</f>
        <v>10</v>
      </c>
      <c r="H871" s="4" t="str" cm="1">
        <f t="array" ref="H871">INDEX(Sheet1!D:D,$G871)</f>
        <v>t1136.xlsx</v>
      </c>
      <c r="I871" s="4" t="str" cm="1">
        <f t="array" ref="I871">INDEX(Sheet1!E:E,$G871)</f>
        <v>Sheet1</v>
      </c>
      <c r="J871" s="4" t="str" cm="1">
        <f t="array" ref="J871">INDEX(Sheet1!F:F,$G871)</f>
        <v>B25</v>
      </c>
      <c r="K871" s="4" cm="1">
        <f t="array" ref="K871">INDEX(Sheet1!H:H,$G871)</f>
        <v>1</v>
      </c>
      <c r="L871" s="4">
        <f t="shared" si="52"/>
        <v>69</v>
      </c>
      <c r="M871" s="4">
        <f t="shared" si="55"/>
        <v>5</v>
      </c>
    </row>
    <row r="872" spans="1:13">
      <c r="A872" s="4" t="str" cm="1">
        <f t="array" ref="A872">INDEX(Sheet1!A:A,$F872)</f>
        <v>M</v>
      </c>
      <c r="B872" s="4" t="str" cm="1">
        <f t="array" ref="B872">INDEX(Sheet1!B:B,$F872)</f>
        <v>Agg/Unknown</v>
      </c>
      <c r="C872" s="4">
        <f t="shared" si="53"/>
        <v>70</v>
      </c>
      <c r="D872" s="5" cm="1">
        <f t="array" aca="1" ref="D872" ca="1">OFFSET(INDIRECT("'["&amp;$H872&amp;"]"&amp;$I872&amp;"'!"&amp;$J872),$L872,$M872)*$K872</f>
        <v>2.4500000000000001E-2</v>
      </c>
      <c r="F872" s="4">
        <f t="shared" si="54"/>
        <v>10</v>
      </c>
      <c r="G872" s="4" cm="1">
        <f t="array" ref="G872">IF($C872+$M872&lt;16,INDEX(Sheet1!C:C,$F872),$F872)</f>
        <v>10</v>
      </c>
      <c r="H872" s="4" t="str" cm="1">
        <f t="array" ref="H872">INDEX(Sheet1!D:D,$G872)</f>
        <v>t1136.xlsx</v>
      </c>
      <c r="I872" s="4" t="str" cm="1">
        <f t="array" ref="I872">INDEX(Sheet1!E:E,$G872)</f>
        <v>Sheet1</v>
      </c>
      <c r="J872" s="4" t="str" cm="1">
        <f t="array" ref="J872">INDEX(Sheet1!F:F,$G872)</f>
        <v>B25</v>
      </c>
      <c r="K872" s="4" cm="1">
        <f t="array" ref="K872">INDEX(Sheet1!H:H,$G872)</f>
        <v>1</v>
      </c>
      <c r="L872" s="4">
        <f t="shared" si="52"/>
        <v>70</v>
      </c>
      <c r="M872" s="4">
        <f t="shared" si="55"/>
        <v>5</v>
      </c>
    </row>
    <row r="873" spans="1:13">
      <c r="A873" s="4" t="str" cm="1">
        <f t="array" ref="A873">INDEX(Sheet1!A:A,$F873)</f>
        <v>M</v>
      </c>
      <c r="B873" s="4" t="str" cm="1">
        <f t="array" ref="B873">INDEX(Sheet1!B:B,$F873)</f>
        <v>Agg/Unknown</v>
      </c>
      <c r="C873" s="4">
        <f t="shared" si="53"/>
        <v>71</v>
      </c>
      <c r="D873" s="5" cm="1">
        <f t="array" aca="1" ref="D873" ca="1">OFFSET(INDIRECT("'["&amp;$H873&amp;"]"&amp;$I873&amp;"'!"&amp;$J873),$L873,$M873)*$K873</f>
        <v>2.6450000000000001E-2</v>
      </c>
      <c r="F873" s="4">
        <f t="shared" si="54"/>
        <v>10</v>
      </c>
      <c r="G873" s="4" cm="1">
        <f t="array" ref="G873">IF($C873+$M873&lt;16,INDEX(Sheet1!C:C,$F873),$F873)</f>
        <v>10</v>
      </c>
      <c r="H873" s="4" t="str" cm="1">
        <f t="array" ref="H873">INDEX(Sheet1!D:D,$G873)</f>
        <v>t1136.xlsx</v>
      </c>
      <c r="I873" s="4" t="str" cm="1">
        <f t="array" ref="I873">INDEX(Sheet1!E:E,$G873)</f>
        <v>Sheet1</v>
      </c>
      <c r="J873" s="4" t="str" cm="1">
        <f t="array" ref="J873">INDEX(Sheet1!F:F,$G873)</f>
        <v>B25</v>
      </c>
      <c r="K873" s="4" cm="1">
        <f t="array" ref="K873">INDEX(Sheet1!H:H,$G873)</f>
        <v>1</v>
      </c>
      <c r="L873" s="4">
        <f t="shared" si="52"/>
        <v>71</v>
      </c>
      <c r="M873" s="4">
        <f t="shared" si="55"/>
        <v>5</v>
      </c>
    </row>
    <row r="874" spans="1:13">
      <c r="A874" s="4" t="str" cm="1">
        <f t="array" ref="A874">INDEX(Sheet1!A:A,$F874)</f>
        <v>M</v>
      </c>
      <c r="B874" s="4" t="str" cm="1">
        <f t="array" ref="B874">INDEX(Sheet1!B:B,$F874)</f>
        <v>Agg/Unknown</v>
      </c>
      <c r="C874" s="4">
        <f t="shared" si="53"/>
        <v>72</v>
      </c>
      <c r="D874" s="5" cm="1">
        <f t="array" aca="1" ref="D874" ca="1">OFFSET(INDIRECT("'["&amp;$H874&amp;"]"&amp;$I874&amp;"'!"&amp;$J874),$L874,$M874)*$K874</f>
        <v>2.8029999999999999E-2</v>
      </c>
      <c r="F874" s="4">
        <f t="shared" si="54"/>
        <v>10</v>
      </c>
      <c r="G874" s="4" cm="1">
        <f t="array" ref="G874">IF($C874+$M874&lt;16,INDEX(Sheet1!C:C,$F874),$F874)</f>
        <v>10</v>
      </c>
      <c r="H874" s="4" t="str" cm="1">
        <f t="array" ref="H874">INDEX(Sheet1!D:D,$G874)</f>
        <v>t1136.xlsx</v>
      </c>
      <c r="I874" s="4" t="str" cm="1">
        <f t="array" ref="I874">INDEX(Sheet1!E:E,$G874)</f>
        <v>Sheet1</v>
      </c>
      <c r="J874" s="4" t="str" cm="1">
        <f t="array" ref="J874">INDEX(Sheet1!F:F,$G874)</f>
        <v>B25</v>
      </c>
      <c r="K874" s="4" cm="1">
        <f t="array" ref="K874">INDEX(Sheet1!H:H,$G874)</f>
        <v>1</v>
      </c>
      <c r="L874" s="4">
        <f t="shared" si="52"/>
        <v>72</v>
      </c>
      <c r="M874" s="4">
        <f t="shared" si="55"/>
        <v>5</v>
      </c>
    </row>
    <row r="875" spans="1:13">
      <c r="A875" s="4" t="str" cm="1">
        <f t="array" ref="A875">INDEX(Sheet1!A:A,$F875)</f>
        <v>M</v>
      </c>
      <c r="B875" s="4" t="str" cm="1">
        <f t="array" ref="B875">INDEX(Sheet1!B:B,$F875)</f>
        <v>Agg/Unknown</v>
      </c>
      <c r="C875" s="4">
        <f t="shared" si="53"/>
        <v>73</v>
      </c>
      <c r="D875" s="5" cm="1">
        <f t="array" aca="1" ref="D875" ca="1">OFFSET(INDIRECT("'["&amp;$H875&amp;"]"&amp;$I875&amp;"'!"&amp;$J875),$L875,$M875)*$K875</f>
        <v>2.9729999999999999E-2</v>
      </c>
      <c r="F875" s="4">
        <f t="shared" si="54"/>
        <v>10</v>
      </c>
      <c r="G875" s="4" cm="1">
        <f t="array" ref="G875">IF($C875+$M875&lt;16,INDEX(Sheet1!C:C,$F875),$F875)</f>
        <v>10</v>
      </c>
      <c r="H875" s="4" t="str" cm="1">
        <f t="array" ref="H875">INDEX(Sheet1!D:D,$G875)</f>
        <v>t1136.xlsx</v>
      </c>
      <c r="I875" s="4" t="str" cm="1">
        <f t="array" ref="I875">INDEX(Sheet1!E:E,$G875)</f>
        <v>Sheet1</v>
      </c>
      <c r="J875" s="4" t="str" cm="1">
        <f t="array" ref="J875">INDEX(Sheet1!F:F,$G875)</f>
        <v>B25</v>
      </c>
      <c r="K875" s="4" cm="1">
        <f t="array" ref="K875">INDEX(Sheet1!H:H,$G875)</f>
        <v>1</v>
      </c>
      <c r="L875" s="4">
        <f t="shared" si="52"/>
        <v>73</v>
      </c>
      <c r="M875" s="4">
        <f t="shared" si="55"/>
        <v>5</v>
      </c>
    </row>
    <row r="876" spans="1:13">
      <c r="A876" s="4" t="str" cm="1">
        <f t="array" ref="A876">INDEX(Sheet1!A:A,$F876)</f>
        <v>M</v>
      </c>
      <c r="B876" s="4" t="str" cm="1">
        <f t="array" ref="B876">INDEX(Sheet1!B:B,$F876)</f>
        <v>Agg/Unknown</v>
      </c>
      <c r="C876" s="4">
        <f t="shared" si="53"/>
        <v>74</v>
      </c>
      <c r="D876" s="5" cm="1">
        <f t="array" aca="1" ref="D876" ca="1">OFFSET(INDIRECT("'["&amp;$H876&amp;"]"&amp;$I876&amp;"'!"&amp;$J876),$L876,$M876)*$K876</f>
        <v>3.2230000000000002E-2</v>
      </c>
      <c r="F876" s="4">
        <f t="shared" si="54"/>
        <v>10</v>
      </c>
      <c r="G876" s="4" cm="1">
        <f t="array" ref="G876">IF($C876+$M876&lt;16,INDEX(Sheet1!C:C,$F876),$F876)</f>
        <v>10</v>
      </c>
      <c r="H876" s="4" t="str" cm="1">
        <f t="array" ref="H876">INDEX(Sheet1!D:D,$G876)</f>
        <v>t1136.xlsx</v>
      </c>
      <c r="I876" s="4" t="str" cm="1">
        <f t="array" ref="I876">INDEX(Sheet1!E:E,$G876)</f>
        <v>Sheet1</v>
      </c>
      <c r="J876" s="4" t="str" cm="1">
        <f t="array" ref="J876">INDEX(Sheet1!F:F,$G876)</f>
        <v>B25</v>
      </c>
      <c r="K876" s="4" cm="1">
        <f t="array" ref="K876">INDEX(Sheet1!H:H,$G876)</f>
        <v>1</v>
      </c>
      <c r="L876" s="4">
        <f t="shared" si="52"/>
        <v>74</v>
      </c>
      <c r="M876" s="4">
        <f t="shared" si="55"/>
        <v>5</v>
      </c>
    </row>
    <row r="877" spans="1:13">
      <c r="A877" s="4" t="str" cm="1">
        <f t="array" ref="A877">INDEX(Sheet1!A:A,$F877)</f>
        <v>M</v>
      </c>
      <c r="B877" s="4" t="str" cm="1">
        <f t="array" ref="B877">INDEX(Sheet1!B:B,$F877)</f>
        <v>Agg/Unknown</v>
      </c>
      <c r="C877" s="4">
        <f t="shared" si="53"/>
        <v>75</v>
      </c>
      <c r="D877" s="5" cm="1">
        <f t="array" aca="1" ref="D877" ca="1">OFFSET(INDIRECT("'["&amp;$H877&amp;"]"&amp;$I877&amp;"'!"&amp;$J877),$L877,$M877)*$K877</f>
        <v>3.6790000000000003E-2</v>
      </c>
      <c r="F877" s="4">
        <f t="shared" si="54"/>
        <v>10</v>
      </c>
      <c r="G877" s="4" cm="1">
        <f t="array" ref="G877">IF($C877+$M877&lt;16,INDEX(Sheet1!C:C,$F877),$F877)</f>
        <v>10</v>
      </c>
      <c r="H877" s="4" t="str" cm="1">
        <f t="array" ref="H877">INDEX(Sheet1!D:D,$G877)</f>
        <v>t1136.xlsx</v>
      </c>
      <c r="I877" s="4" t="str" cm="1">
        <f t="array" ref="I877">INDEX(Sheet1!E:E,$G877)</f>
        <v>Sheet1</v>
      </c>
      <c r="J877" s="4" t="str" cm="1">
        <f t="array" ref="J877">INDEX(Sheet1!F:F,$G877)</f>
        <v>B25</v>
      </c>
      <c r="K877" s="4" cm="1">
        <f t="array" ref="K877">INDEX(Sheet1!H:H,$G877)</f>
        <v>1</v>
      </c>
      <c r="L877" s="4">
        <f t="shared" si="52"/>
        <v>75</v>
      </c>
      <c r="M877" s="4">
        <f t="shared" si="55"/>
        <v>5</v>
      </c>
    </row>
    <row r="878" spans="1:13">
      <c r="A878" s="4" t="str" cm="1">
        <f t="array" ref="A878">INDEX(Sheet1!A:A,$F878)</f>
        <v>M</v>
      </c>
      <c r="B878" s="4" t="str" cm="1">
        <f t="array" ref="B878">INDEX(Sheet1!B:B,$F878)</f>
        <v>Agg/Unknown</v>
      </c>
      <c r="C878" s="4">
        <f t="shared" si="53"/>
        <v>76</v>
      </c>
      <c r="D878" s="5" cm="1">
        <f t="array" aca="1" ref="D878" ca="1">OFFSET(INDIRECT("'["&amp;$H878&amp;"]"&amp;$I878&amp;"'!"&amp;$J878),$L878,$M878)*$K878</f>
        <v>4.036E-2</v>
      </c>
      <c r="F878" s="4">
        <f t="shared" si="54"/>
        <v>10</v>
      </c>
      <c r="G878" s="4" cm="1">
        <f t="array" ref="G878">IF($C878+$M878&lt;16,INDEX(Sheet1!C:C,$F878),$F878)</f>
        <v>10</v>
      </c>
      <c r="H878" s="4" t="str" cm="1">
        <f t="array" ref="H878">INDEX(Sheet1!D:D,$G878)</f>
        <v>t1136.xlsx</v>
      </c>
      <c r="I878" s="4" t="str" cm="1">
        <f t="array" ref="I878">INDEX(Sheet1!E:E,$G878)</f>
        <v>Sheet1</v>
      </c>
      <c r="J878" s="4" t="str" cm="1">
        <f t="array" ref="J878">INDEX(Sheet1!F:F,$G878)</f>
        <v>B25</v>
      </c>
      <c r="K878" s="4" cm="1">
        <f t="array" ref="K878">INDEX(Sheet1!H:H,$G878)</f>
        <v>1</v>
      </c>
      <c r="L878" s="4">
        <f t="shared" si="52"/>
        <v>76</v>
      </c>
      <c r="M878" s="4">
        <f t="shared" si="55"/>
        <v>5</v>
      </c>
    </row>
    <row r="879" spans="1:13">
      <c r="A879" s="4" t="str" cm="1">
        <f t="array" ref="A879">INDEX(Sheet1!A:A,$F879)</f>
        <v>M</v>
      </c>
      <c r="B879" s="4" t="str" cm="1">
        <f t="array" ref="B879">INDEX(Sheet1!B:B,$F879)</f>
        <v>Agg/Unknown</v>
      </c>
      <c r="C879" s="4">
        <f t="shared" si="53"/>
        <v>77</v>
      </c>
      <c r="D879" s="5" cm="1">
        <f t="array" aca="1" ref="D879" ca="1">OFFSET(INDIRECT("'["&amp;$H879&amp;"]"&amp;$I879&amp;"'!"&amp;$J879),$L879,$M879)*$K879</f>
        <v>4.4720000000000003E-2</v>
      </c>
      <c r="F879" s="4">
        <f t="shared" si="54"/>
        <v>10</v>
      </c>
      <c r="G879" s="4" cm="1">
        <f t="array" ref="G879">IF($C879+$M879&lt;16,INDEX(Sheet1!C:C,$F879),$F879)</f>
        <v>10</v>
      </c>
      <c r="H879" s="4" t="str" cm="1">
        <f t="array" ref="H879">INDEX(Sheet1!D:D,$G879)</f>
        <v>t1136.xlsx</v>
      </c>
      <c r="I879" s="4" t="str" cm="1">
        <f t="array" ref="I879">INDEX(Sheet1!E:E,$G879)</f>
        <v>Sheet1</v>
      </c>
      <c r="J879" s="4" t="str" cm="1">
        <f t="array" ref="J879">INDEX(Sheet1!F:F,$G879)</f>
        <v>B25</v>
      </c>
      <c r="K879" s="4" cm="1">
        <f t="array" ref="K879">INDEX(Sheet1!H:H,$G879)</f>
        <v>1</v>
      </c>
      <c r="L879" s="4">
        <f t="shared" si="52"/>
        <v>77</v>
      </c>
      <c r="M879" s="4">
        <f t="shared" si="55"/>
        <v>5</v>
      </c>
    </row>
    <row r="880" spans="1:13">
      <c r="A880" s="4" t="str" cm="1">
        <f t="array" ref="A880">INDEX(Sheet1!A:A,$F880)</f>
        <v>M</v>
      </c>
      <c r="B880" s="4" t="str" cm="1">
        <f t="array" ref="B880">INDEX(Sheet1!B:B,$F880)</f>
        <v>Agg/Unknown</v>
      </c>
      <c r="C880" s="4">
        <f t="shared" si="53"/>
        <v>78</v>
      </c>
      <c r="D880" s="5" cm="1">
        <f t="array" aca="1" ref="D880" ca="1">OFFSET(INDIRECT("'["&amp;$H880&amp;"]"&amp;$I880&amp;"'!"&amp;$J880),$L880,$M880)*$K880</f>
        <v>5.2019999999999997E-2</v>
      </c>
      <c r="F880" s="4">
        <f t="shared" si="54"/>
        <v>10</v>
      </c>
      <c r="G880" s="4" cm="1">
        <f t="array" ref="G880">IF($C880+$M880&lt;16,INDEX(Sheet1!C:C,$F880),$F880)</f>
        <v>10</v>
      </c>
      <c r="H880" s="4" t="str" cm="1">
        <f t="array" ref="H880">INDEX(Sheet1!D:D,$G880)</f>
        <v>t1136.xlsx</v>
      </c>
      <c r="I880" s="4" t="str" cm="1">
        <f t="array" ref="I880">INDEX(Sheet1!E:E,$G880)</f>
        <v>Sheet1</v>
      </c>
      <c r="J880" s="4" t="str" cm="1">
        <f t="array" ref="J880">INDEX(Sheet1!F:F,$G880)</f>
        <v>B25</v>
      </c>
      <c r="K880" s="4" cm="1">
        <f t="array" ref="K880">INDEX(Sheet1!H:H,$G880)</f>
        <v>1</v>
      </c>
      <c r="L880" s="4">
        <f t="shared" si="52"/>
        <v>78</v>
      </c>
      <c r="M880" s="4">
        <f t="shared" si="55"/>
        <v>5</v>
      </c>
    </row>
    <row r="881" spans="1:13">
      <c r="A881" s="4" t="str" cm="1">
        <f t="array" ref="A881">INDEX(Sheet1!A:A,$F881)</f>
        <v>M</v>
      </c>
      <c r="B881" s="4" t="str" cm="1">
        <f t="array" ref="B881">INDEX(Sheet1!B:B,$F881)</f>
        <v>Agg/Unknown</v>
      </c>
      <c r="C881" s="4">
        <f t="shared" si="53"/>
        <v>79</v>
      </c>
      <c r="D881" s="5" cm="1">
        <f t="array" aca="1" ref="D881" ca="1">OFFSET(INDIRECT("'["&amp;$H881&amp;"]"&amp;$I881&amp;"'!"&amp;$J881),$L881,$M881)*$K881</f>
        <v>6.2689999999999996E-2</v>
      </c>
      <c r="F881" s="4">
        <f t="shared" si="54"/>
        <v>10</v>
      </c>
      <c r="G881" s="4" cm="1">
        <f t="array" ref="G881">IF($C881+$M881&lt;16,INDEX(Sheet1!C:C,$F881),$F881)</f>
        <v>10</v>
      </c>
      <c r="H881" s="4" t="str" cm="1">
        <f t="array" ref="H881">INDEX(Sheet1!D:D,$G881)</f>
        <v>t1136.xlsx</v>
      </c>
      <c r="I881" s="4" t="str" cm="1">
        <f t="array" ref="I881">INDEX(Sheet1!E:E,$G881)</f>
        <v>Sheet1</v>
      </c>
      <c r="J881" s="4" t="str" cm="1">
        <f t="array" ref="J881">INDEX(Sheet1!F:F,$G881)</f>
        <v>B25</v>
      </c>
      <c r="K881" s="4" cm="1">
        <f t="array" ref="K881">INDEX(Sheet1!H:H,$G881)</f>
        <v>1</v>
      </c>
      <c r="L881" s="4">
        <f t="shared" si="52"/>
        <v>79</v>
      </c>
      <c r="M881" s="4">
        <f t="shared" si="55"/>
        <v>5</v>
      </c>
    </row>
    <row r="882" spans="1:13">
      <c r="A882" s="4" t="str" cm="1">
        <f t="array" ref="A882">INDEX(Sheet1!A:A,$F882)</f>
        <v>M</v>
      </c>
      <c r="B882" s="4" t="str" cm="1">
        <f t="array" ref="B882">INDEX(Sheet1!B:B,$F882)</f>
        <v>Agg/Unknown</v>
      </c>
      <c r="C882" s="4">
        <f t="shared" si="53"/>
        <v>80</v>
      </c>
      <c r="D882" s="5" cm="1">
        <f t="array" aca="1" ref="D882" ca="1">OFFSET(INDIRECT("'["&amp;$H882&amp;"]"&amp;$I882&amp;"'!"&amp;$J882),$L882,$M882)*$K882</f>
        <v>7.1379999999999999E-2</v>
      </c>
      <c r="F882" s="4">
        <f t="shared" si="54"/>
        <v>10</v>
      </c>
      <c r="G882" s="4" cm="1">
        <f t="array" ref="G882">IF($C882+$M882&lt;16,INDEX(Sheet1!C:C,$F882),$F882)</f>
        <v>10</v>
      </c>
      <c r="H882" s="4" t="str" cm="1">
        <f t="array" ref="H882">INDEX(Sheet1!D:D,$G882)</f>
        <v>t1136.xlsx</v>
      </c>
      <c r="I882" s="4" t="str" cm="1">
        <f t="array" ref="I882">INDEX(Sheet1!E:E,$G882)</f>
        <v>Sheet1</v>
      </c>
      <c r="J882" s="4" t="str" cm="1">
        <f t="array" ref="J882">INDEX(Sheet1!F:F,$G882)</f>
        <v>B25</v>
      </c>
      <c r="K882" s="4" cm="1">
        <f t="array" ref="K882">INDEX(Sheet1!H:H,$G882)</f>
        <v>1</v>
      </c>
      <c r="L882" s="4">
        <f t="shared" si="52"/>
        <v>80</v>
      </c>
      <c r="M882" s="4">
        <f t="shared" si="55"/>
        <v>5</v>
      </c>
    </row>
    <row r="883" spans="1:13">
      <c r="A883" s="4" t="str" cm="1">
        <f t="array" ref="A883">INDEX(Sheet1!A:A,$F883)</f>
        <v>M</v>
      </c>
      <c r="B883" s="4" t="str" cm="1">
        <f t="array" ref="B883">INDEX(Sheet1!B:B,$F883)</f>
        <v>Agg/Unknown</v>
      </c>
      <c r="C883" s="4">
        <f t="shared" si="53"/>
        <v>81</v>
      </c>
      <c r="D883" s="5" cm="1">
        <f t="array" aca="1" ref="D883" ca="1">OFFSET(INDIRECT("'["&amp;$H883&amp;"]"&amp;$I883&amp;"'!"&amp;$J883),$L883,$M883)*$K883</f>
        <v>8.6800000000000002E-2</v>
      </c>
      <c r="F883" s="4">
        <f t="shared" si="54"/>
        <v>10</v>
      </c>
      <c r="G883" s="4" cm="1">
        <f t="array" ref="G883">IF($C883+$M883&lt;16,INDEX(Sheet1!C:C,$F883),$F883)</f>
        <v>10</v>
      </c>
      <c r="H883" s="4" t="str" cm="1">
        <f t="array" ref="H883">INDEX(Sheet1!D:D,$G883)</f>
        <v>t1136.xlsx</v>
      </c>
      <c r="I883" s="4" t="str" cm="1">
        <f t="array" ref="I883">INDEX(Sheet1!E:E,$G883)</f>
        <v>Sheet1</v>
      </c>
      <c r="J883" s="4" t="str" cm="1">
        <f t="array" ref="J883">INDEX(Sheet1!F:F,$G883)</f>
        <v>B25</v>
      </c>
      <c r="K883" s="4" cm="1">
        <f t="array" ref="K883">INDEX(Sheet1!H:H,$G883)</f>
        <v>1</v>
      </c>
      <c r="L883" s="4">
        <f t="shared" si="52"/>
        <v>81</v>
      </c>
      <c r="M883" s="4">
        <f t="shared" si="55"/>
        <v>5</v>
      </c>
    </row>
    <row r="884" spans="1:13">
      <c r="A884" s="4" t="str" cm="1">
        <f t="array" ref="A884">INDEX(Sheet1!A:A,$F884)</f>
        <v>M</v>
      </c>
      <c r="B884" s="4" t="str" cm="1">
        <f t="array" ref="B884">INDEX(Sheet1!B:B,$F884)</f>
        <v>Agg/Unknown</v>
      </c>
      <c r="C884" s="4">
        <f t="shared" si="53"/>
        <v>82</v>
      </c>
      <c r="D884" s="5" cm="1">
        <f t="array" aca="1" ref="D884" ca="1">OFFSET(INDIRECT("'["&amp;$H884&amp;"]"&amp;$I884&amp;"'!"&amp;$J884),$L884,$M884)*$K884</f>
        <v>9.4579999999999997E-2</v>
      </c>
      <c r="F884" s="4">
        <f t="shared" si="54"/>
        <v>10</v>
      </c>
      <c r="G884" s="4" cm="1">
        <f t="array" ref="G884">IF($C884+$M884&lt;16,INDEX(Sheet1!C:C,$F884),$F884)</f>
        <v>10</v>
      </c>
      <c r="H884" s="4" t="str" cm="1">
        <f t="array" ref="H884">INDEX(Sheet1!D:D,$G884)</f>
        <v>t1136.xlsx</v>
      </c>
      <c r="I884" s="4" t="str" cm="1">
        <f t="array" ref="I884">INDEX(Sheet1!E:E,$G884)</f>
        <v>Sheet1</v>
      </c>
      <c r="J884" s="4" t="str" cm="1">
        <f t="array" ref="J884">INDEX(Sheet1!F:F,$G884)</f>
        <v>B25</v>
      </c>
      <c r="K884" s="4" cm="1">
        <f t="array" ref="K884">INDEX(Sheet1!H:H,$G884)</f>
        <v>1</v>
      </c>
      <c r="L884" s="4">
        <f t="shared" si="52"/>
        <v>82</v>
      </c>
      <c r="M884" s="4">
        <f t="shared" si="55"/>
        <v>5</v>
      </c>
    </row>
    <row r="885" spans="1:13">
      <c r="A885" s="4" t="str" cm="1">
        <f t="array" ref="A885">INDEX(Sheet1!A:A,$F885)</f>
        <v>M</v>
      </c>
      <c r="B885" s="4" t="str" cm="1">
        <f t="array" ref="B885">INDEX(Sheet1!B:B,$F885)</f>
        <v>Agg/Unknown</v>
      </c>
      <c r="C885" s="4">
        <f t="shared" si="53"/>
        <v>83</v>
      </c>
      <c r="D885" s="5" cm="1">
        <f t="array" aca="1" ref="D885" ca="1">OFFSET(INDIRECT("'["&amp;$H885&amp;"]"&amp;$I885&amp;"'!"&amp;$J885),$L885,$M885)*$K885</f>
        <v>0.10807</v>
      </c>
      <c r="F885" s="4">
        <f t="shared" si="54"/>
        <v>10</v>
      </c>
      <c r="G885" s="4" cm="1">
        <f t="array" ref="G885">IF($C885+$M885&lt;16,INDEX(Sheet1!C:C,$F885),$F885)</f>
        <v>10</v>
      </c>
      <c r="H885" s="4" t="str" cm="1">
        <f t="array" ref="H885">INDEX(Sheet1!D:D,$G885)</f>
        <v>t1136.xlsx</v>
      </c>
      <c r="I885" s="4" t="str" cm="1">
        <f t="array" ref="I885">INDEX(Sheet1!E:E,$G885)</f>
        <v>Sheet1</v>
      </c>
      <c r="J885" s="4" t="str" cm="1">
        <f t="array" ref="J885">INDEX(Sheet1!F:F,$G885)</f>
        <v>B25</v>
      </c>
      <c r="K885" s="4" cm="1">
        <f t="array" ref="K885">INDEX(Sheet1!H:H,$G885)</f>
        <v>1</v>
      </c>
      <c r="L885" s="4">
        <f t="shared" si="52"/>
        <v>83</v>
      </c>
      <c r="M885" s="4">
        <f t="shared" si="55"/>
        <v>5</v>
      </c>
    </row>
    <row r="886" spans="1:13">
      <c r="A886" s="4" t="str" cm="1">
        <f t="array" ref="A886">INDEX(Sheet1!A:A,$F886)</f>
        <v>M</v>
      </c>
      <c r="B886" s="4" t="str" cm="1">
        <f t="array" ref="B886">INDEX(Sheet1!B:B,$F886)</f>
        <v>Agg/Unknown</v>
      </c>
      <c r="C886" s="4">
        <f t="shared" si="53"/>
        <v>84</v>
      </c>
      <c r="D886" s="5" cm="1">
        <f t="array" aca="1" ref="D886" ca="1">OFFSET(INDIRECT("'["&amp;$H886&amp;"]"&amp;$I886&amp;"'!"&amp;$J886),$L886,$M886)*$K886</f>
        <v>0.12257999999999999</v>
      </c>
      <c r="F886" s="4">
        <f t="shared" si="54"/>
        <v>10</v>
      </c>
      <c r="G886" s="4" cm="1">
        <f t="array" ref="G886">IF($C886+$M886&lt;16,INDEX(Sheet1!C:C,$F886),$F886)</f>
        <v>10</v>
      </c>
      <c r="H886" s="4" t="str" cm="1">
        <f t="array" ref="H886">INDEX(Sheet1!D:D,$G886)</f>
        <v>t1136.xlsx</v>
      </c>
      <c r="I886" s="4" t="str" cm="1">
        <f t="array" ref="I886">INDEX(Sheet1!E:E,$G886)</f>
        <v>Sheet1</v>
      </c>
      <c r="J886" s="4" t="str" cm="1">
        <f t="array" ref="J886">INDEX(Sheet1!F:F,$G886)</f>
        <v>B25</v>
      </c>
      <c r="K886" s="4" cm="1">
        <f t="array" ref="K886">INDEX(Sheet1!H:H,$G886)</f>
        <v>1</v>
      </c>
      <c r="L886" s="4">
        <f t="shared" si="52"/>
        <v>84</v>
      </c>
      <c r="M886" s="4">
        <f t="shared" si="55"/>
        <v>5</v>
      </c>
    </row>
    <row r="887" spans="1:13">
      <c r="A887" s="4" t="str" cm="1">
        <f t="array" ref="A887">INDEX(Sheet1!A:A,$F887)</f>
        <v>M</v>
      </c>
      <c r="B887" s="4" t="str" cm="1">
        <f t="array" ref="B887">INDEX(Sheet1!B:B,$F887)</f>
        <v>Agg/Unknown</v>
      </c>
      <c r="C887" s="4">
        <f t="shared" si="53"/>
        <v>85</v>
      </c>
      <c r="D887" s="5" cm="1">
        <f t="array" aca="1" ref="D887" ca="1">OFFSET(INDIRECT("'["&amp;$H887&amp;"]"&amp;$I887&amp;"'!"&amp;$J887),$L887,$M887)*$K887</f>
        <v>0.13056999999999999</v>
      </c>
      <c r="F887" s="4">
        <f t="shared" si="54"/>
        <v>10</v>
      </c>
      <c r="G887" s="4" cm="1">
        <f t="array" ref="G887">IF($C887+$M887&lt;16,INDEX(Sheet1!C:C,$F887),$F887)</f>
        <v>10</v>
      </c>
      <c r="H887" s="4" t="str" cm="1">
        <f t="array" ref="H887">INDEX(Sheet1!D:D,$G887)</f>
        <v>t1136.xlsx</v>
      </c>
      <c r="I887" s="4" t="str" cm="1">
        <f t="array" ref="I887">INDEX(Sheet1!E:E,$G887)</f>
        <v>Sheet1</v>
      </c>
      <c r="J887" s="4" t="str" cm="1">
        <f t="array" ref="J887">INDEX(Sheet1!F:F,$G887)</f>
        <v>B25</v>
      </c>
      <c r="K887" s="4" cm="1">
        <f t="array" ref="K887">INDEX(Sheet1!H:H,$G887)</f>
        <v>1</v>
      </c>
      <c r="L887" s="4">
        <f t="shared" si="52"/>
        <v>85</v>
      </c>
      <c r="M887" s="4">
        <f t="shared" si="55"/>
        <v>5</v>
      </c>
    </row>
    <row r="888" spans="1:13">
      <c r="A888" s="4" t="str" cm="1">
        <f t="array" ref="A888">INDEX(Sheet1!A:A,$F888)</f>
        <v>M</v>
      </c>
      <c r="B888" s="4" t="str" cm="1">
        <f t="array" ref="B888">INDEX(Sheet1!B:B,$F888)</f>
        <v>Agg/Unknown</v>
      </c>
      <c r="C888" s="4">
        <f t="shared" si="53"/>
        <v>86</v>
      </c>
      <c r="D888" s="5" cm="1">
        <f t="array" aca="1" ref="D888" ca="1">OFFSET(INDIRECT("'["&amp;$H888&amp;"]"&amp;$I888&amp;"'!"&amp;$J888),$L888,$M888)*$K888</f>
        <v>0.16496</v>
      </c>
      <c r="F888" s="4">
        <f t="shared" si="54"/>
        <v>10</v>
      </c>
      <c r="G888" s="4" cm="1">
        <f t="array" ref="G888">IF($C888+$M888&lt;16,INDEX(Sheet1!C:C,$F888),$F888)</f>
        <v>10</v>
      </c>
      <c r="H888" s="4" t="str" cm="1">
        <f t="array" ref="H888">INDEX(Sheet1!D:D,$G888)</f>
        <v>t1136.xlsx</v>
      </c>
      <c r="I888" s="4" t="str" cm="1">
        <f t="array" ref="I888">INDEX(Sheet1!E:E,$G888)</f>
        <v>Sheet1</v>
      </c>
      <c r="J888" s="4" t="str" cm="1">
        <f t="array" ref="J888">INDEX(Sheet1!F:F,$G888)</f>
        <v>B25</v>
      </c>
      <c r="K888" s="4" cm="1">
        <f t="array" ref="K888">INDEX(Sheet1!H:H,$G888)</f>
        <v>1</v>
      </c>
      <c r="L888" s="4">
        <f t="shared" si="52"/>
        <v>86</v>
      </c>
      <c r="M888" s="4">
        <f t="shared" si="55"/>
        <v>5</v>
      </c>
    </row>
    <row r="889" spans="1:13">
      <c r="A889" s="4" t="str" cm="1">
        <f t="array" ref="A889">INDEX(Sheet1!A:A,$F889)</f>
        <v>M</v>
      </c>
      <c r="B889" s="4" t="str" cm="1">
        <f t="array" ref="B889">INDEX(Sheet1!B:B,$F889)</f>
        <v>Agg/Unknown</v>
      </c>
      <c r="C889" s="4">
        <f t="shared" si="53"/>
        <v>87</v>
      </c>
      <c r="D889" s="5" cm="1">
        <f t="array" aca="1" ref="D889" ca="1">OFFSET(INDIRECT("'["&amp;$H889&amp;"]"&amp;$I889&amp;"'!"&amp;$J889),$L889,$M889)*$K889</f>
        <v>0.19372</v>
      </c>
      <c r="F889" s="4">
        <f t="shared" si="54"/>
        <v>10</v>
      </c>
      <c r="G889" s="4" cm="1">
        <f t="array" ref="G889">IF($C889+$M889&lt;16,INDEX(Sheet1!C:C,$F889),$F889)</f>
        <v>10</v>
      </c>
      <c r="H889" s="4" t="str" cm="1">
        <f t="array" ref="H889">INDEX(Sheet1!D:D,$G889)</f>
        <v>t1136.xlsx</v>
      </c>
      <c r="I889" s="4" t="str" cm="1">
        <f t="array" ref="I889">INDEX(Sheet1!E:E,$G889)</f>
        <v>Sheet1</v>
      </c>
      <c r="J889" s="4" t="str" cm="1">
        <f t="array" ref="J889">INDEX(Sheet1!F:F,$G889)</f>
        <v>B25</v>
      </c>
      <c r="K889" s="4" cm="1">
        <f t="array" ref="K889">INDEX(Sheet1!H:H,$G889)</f>
        <v>1</v>
      </c>
      <c r="L889" s="4">
        <f t="shared" si="52"/>
        <v>87</v>
      </c>
      <c r="M889" s="4">
        <f t="shared" si="55"/>
        <v>5</v>
      </c>
    </row>
    <row r="890" spans="1:13">
      <c r="A890" s="4" t="str" cm="1">
        <f t="array" ref="A890">INDEX(Sheet1!A:A,$F890)</f>
        <v>M</v>
      </c>
      <c r="B890" s="4" t="str" cm="1">
        <f t="array" ref="B890">INDEX(Sheet1!B:B,$F890)</f>
        <v>Agg/Unknown</v>
      </c>
      <c r="C890" s="4">
        <f t="shared" si="53"/>
        <v>88</v>
      </c>
      <c r="D890" s="5" cm="1">
        <f t="array" aca="1" ref="D890" ca="1">OFFSET(INDIRECT("'["&amp;$H890&amp;"]"&amp;$I890&amp;"'!"&amp;$J890),$L890,$M890)*$K890</f>
        <v>0.23404</v>
      </c>
      <c r="F890" s="4">
        <f t="shared" si="54"/>
        <v>10</v>
      </c>
      <c r="G890" s="4" cm="1">
        <f t="array" ref="G890">IF($C890+$M890&lt;16,INDEX(Sheet1!C:C,$F890),$F890)</f>
        <v>10</v>
      </c>
      <c r="H890" s="4" t="str" cm="1">
        <f t="array" ref="H890">INDEX(Sheet1!D:D,$G890)</f>
        <v>t1136.xlsx</v>
      </c>
      <c r="I890" s="4" t="str" cm="1">
        <f t="array" ref="I890">INDEX(Sheet1!E:E,$G890)</f>
        <v>Sheet1</v>
      </c>
      <c r="J890" s="4" t="str" cm="1">
        <f t="array" ref="J890">INDEX(Sheet1!F:F,$G890)</f>
        <v>B25</v>
      </c>
      <c r="K890" s="4" cm="1">
        <f t="array" ref="K890">INDEX(Sheet1!H:H,$G890)</f>
        <v>1</v>
      </c>
      <c r="L890" s="4">
        <f t="shared" si="52"/>
        <v>88</v>
      </c>
      <c r="M890" s="4">
        <f t="shared" si="55"/>
        <v>5</v>
      </c>
    </row>
    <row r="891" spans="1:13">
      <c r="A891" s="4" t="str" cm="1">
        <f t="array" ref="A891">INDEX(Sheet1!A:A,$F891)</f>
        <v>M</v>
      </c>
      <c r="B891" s="4" t="str" cm="1">
        <f t="array" ref="B891">INDEX(Sheet1!B:B,$F891)</f>
        <v>Agg/Unknown</v>
      </c>
      <c r="C891" s="4">
        <f t="shared" si="53"/>
        <v>89</v>
      </c>
      <c r="D891" s="5" cm="1">
        <f t="array" aca="1" ref="D891" ca="1">OFFSET(INDIRECT("'["&amp;$H891&amp;"]"&amp;$I891&amp;"'!"&amp;$J891),$L891,$M891)*$K891</f>
        <v>0.25113999999999997</v>
      </c>
      <c r="F891" s="4">
        <f t="shared" si="54"/>
        <v>10</v>
      </c>
      <c r="G891" s="4" cm="1">
        <f t="array" ref="G891">IF($C891+$M891&lt;16,INDEX(Sheet1!C:C,$F891),$F891)</f>
        <v>10</v>
      </c>
      <c r="H891" s="4" t="str" cm="1">
        <f t="array" ref="H891">INDEX(Sheet1!D:D,$G891)</f>
        <v>t1136.xlsx</v>
      </c>
      <c r="I891" s="4" t="str" cm="1">
        <f t="array" ref="I891">INDEX(Sheet1!E:E,$G891)</f>
        <v>Sheet1</v>
      </c>
      <c r="J891" s="4" t="str" cm="1">
        <f t="array" ref="J891">INDEX(Sheet1!F:F,$G891)</f>
        <v>B25</v>
      </c>
      <c r="K891" s="4" cm="1">
        <f t="array" ref="K891">INDEX(Sheet1!H:H,$G891)</f>
        <v>1</v>
      </c>
      <c r="L891" s="4">
        <f t="shared" si="52"/>
        <v>89</v>
      </c>
      <c r="M891" s="4">
        <f t="shared" si="55"/>
        <v>5</v>
      </c>
    </row>
    <row r="892" spans="1:13">
      <c r="A892" s="4" t="str" cm="1">
        <f t="array" ref="A892">INDEX(Sheet1!A:A,$F892)</f>
        <v>M</v>
      </c>
      <c r="B892" s="4" t="str" cm="1">
        <f t="array" ref="B892">INDEX(Sheet1!B:B,$F892)</f>
        <v>Agg/Unknown</v>
      </c>
      <c r="C892" s="4">
        <f t="shared" si="53"/>
        <v>90</v>
      </c>
      <c r="D892" s="5" cm="1">
        <f t="array" aca="1" ref="D892" ca="1">OFFSET(INDIRECT("'["&amp;$H892&amp;"]"&amp;$I892&amp;"'!"&amp;$J892),$L892,$M892)*$K892</f>
        <v>0.26917000000000002</v>
      </c>
      <c r="F892" s="4">
        <f t="shared" si="54"/>
        <v>10</v>
      </c>
      <c r="G892" s="4" cm="1">
        <f t="array" ref="G892">IF($C892+$M892&lt;16,INDEX(Sheet1!C:C,$F892),$F892)</f>
        <v>10</v>
      </c>
      <c r="H892" s="4" t="str" cm="1">
        <f t="array" ref="H892">INDEX(Sheet1!D:D,$G892)</f>
        <v>t1136.xlsx</v>
      </c>
      <c r="I892" s="4" t="str" cm="1">
        <f t="array" ref="I892">INDEX(Sheet1!E:E,$G892)</f>
        <v>Sheet1</v>
      </c>
      <c r="J892" s="4" t="str" cm="1">
        <f t="array" ref="J892">INDEX(Sheet1!F:F,$G892)</f>
        <v>B25</v>
      </c>
      <c r="K892" s="4" cm="1">
        <f t="array" ref="K892">INDEX(Sheet1!H:H,$G892)</f>
        <v>1</v>
      </c>
      <c r="L892" s="4">
        <f t="shared" si="52"/>
        <v>90</v>
      </c>
      <c r="M892" s="4">
        <f t="shared" si="55"/>
        <v>5</v>
      </c>
    </row>
    <row r="893" spans="1:13">
      <c r="A893" s="4" t="str" cm="1">
        <f t="array" ref="A893">INDEX(Sheet1!A:A,$F893)</f>
        <v>M</v>
      </c>
      <c r="B893" s="4" t="str" cm="1">
        <f t="array" ref="B893">INDEX(Sheet1!B:B,$F893)</f>
        <v>Agg/Unknown</v>
      </c>
      <c r="C893" s="4">
        <f t="shared" si="53"/>
        <v>91</v>
      </c>
      <c r="D893" s="5" cm="1">
        <f t="array" aca="1" ref="D893" ca="1">OFFSET(INDIRECT("'["&amp;$H893&amp;"]"&amp;$I893&amp;"'!"&amp;$J893),$L893,$M893)*$K893</f>
        <v>0.28564000000000001</v>
      </c>
      <c r="F893" s="4">
        <f t="shared" si="54"/>
        <v>10</v>
      </c>
      <c r="G893" s="4" cm="1">
        <f t="array" ref="G893">IF($C893+$M893&lt;16,INDEX(Sheet1!C:C,$F893),$F893)</f>
        <v>10</v>
      </c>
      <c r="H893" s="4" t="str" cm="1">
        <f t="array" ref="H893">INDEX(Sheet1!D:D,$G893)</f>
        <v>t1136.xlsx</v>
      </c>
      <c r="I893" s="4" t="str" cm="1">
        <f t="array" ref="I893">INDEX(Sheet1!E:E,$G893)</f>
        <v>Sheet1</v>
      </c>
      <c r="J893" s="4" t="str" cm="1">
        <f t="array" ref="J893">INDEX(Sheet1!F:F,$G893)</f>
        <v>B25</v>
      </c>
      <c r="K893" s="4" cm="1">
        <f t="array" ref="K893">INDEX(Sheet1!H:H,$G893)</f>
        <v>1</v>
      </c>
      <c r="L893" s="4">
        <f t="shared" si="52"/>
        <v>91</v>
      </c>
      <c r="M893" s="4">
        <f t="shared" si="55"/>
        <v>5</v>
      </c>
    </row>
    <row r="894" spans="1:13">
      <c r="A894" s="4" t="str" cm="1">
        <f t="array" ref="A894">INDEX(Sheet1!A:A,$F894)</f>
        <v>M</v>
      </c>
      <c r="B894" s="4" t="str" cm="1">
        <f t="array" ref="B894">INDEX(Sheet1!B:B,$F894)</f>
        <v>Agg/Unknown</v>
      </c>
      <c r="C894" s="4">
        <f t="shared" si="53"/>
        <v>92</v>
      </c>
      <c r="D894" s="5" cm="1">
        <f t="array" aca="1" ref="D894" ca="1">OFFSET(INDIRECT("'["&amp;$H894&amp;"]"&amp;$I894&amp;"'!"&amp;$J894),$L894,$M894)*$K894</f>
        <v>0.30318000000000001</v>
      </c>
      <c r="F894" s="4">
        <f t="shared" si="54"/>
        <v>10</v>
      </c>
      <c r="G894" s="4" cm="1">
        <f t="array" ref="G894">IF($C894+$M894&lt;16,INDEX(Sheet1!C:C,$F894),$F894)</f>
        <v>10</v>
      </c>
      <c r="H894" s="4" t="str" cm="1">
        <f t="array" ref="H894">INDEX(Sheet1!D:D,$G894)</f>
        <v>t1136.xlsx</v>
      </c>
      <c r="I894" s="4" t="str" cm="1">
        <f t="array" ref="I894">INDEX(Sheet1!E:E,$G894)</f>
        <v>Sheet1</v>
      </c>
      <c r="J894" s="4" t="str" cm="1">
        <f t="array" ref="J894">INDEX(Sheet1!F:F,$G894)</f>
        <v>B25</v>
      </c>
      <c r="K894" s="4" cm="1">
        <f t="array" ref="K894">INDEX(Sheet1!H:H,$G894)</f>
        <v>1</v>
      </c>
      <c r="L894" s="4">
        <f t="shared" si="52"/>
        <v>92</v>
      </c>
      <c r="M894" s="4">
        <f t="shared" si="55"/>
        <v>5</v>
      </c>
    </row>
    <row r="895" spans="1:13">
      <c r="A895" s="4" t="str" cm="1">
        <f t="array" ref="A895">INDEX(Sheet1!A:A,$F895)</f>
        <v>M</v>
      </c>
      <c r="B895" s="4" t="str" cm="1">
        <f t="array" ref="B895">INDEX(Sheet1!B:B,$F895)</f>
        <v>Agg/Unknown</v>
      </c>
      <c r="C895" s="4">
        <f t="shared" si="53"/>
        <v>93</v>
      </c>
      <c r="D895" s="5" cm="1">
        <f t="array" aca="1" ref="D895" ca="1">OFFSET(INDIRECT("'["&amp;$H895&amp;"]"&amp;$I895&amp;"'!"&amp;$J895),$L895,$M895)*$K895</f>
        <v>0.32188</v>
      </c>
      <c r="F895" s="4">
        <f t="shared" si="54"/>
        <v>10</v>
      </c>
      <c r="G895" s="4" cm="1">
        <f t="array" ref="G895">IF($C895+$M895&lt;16,INDEX(Sheet1!C:C,$F895),$F895)</f>
        <v>10</v>
      </c>
      <c r="H895" s="4" t="str" cm="1">
        <f t="array" ref="H895">INDEX(Sheet1!D:D,$G895)</f>
        <v>t1136.xlsx</v>
      </c>
      <c r="I895" s="4" t="str" cm="1">
        <f t="array" ref="I895">INDEX(Sheet1!E:E,$G895)</f>
        <v>Sheet1</v>
      </c>
      <c r="J895" s="4" t="str" cm="1">
        <f t="array" ref="J895">INDEX(Sheet1!F:F,$G895)</f>
        <v>B25</v>
      </c>
      <c r="K895" s="4" cm="1">
        <f t="array" ref="K895">INDEX(Sheet1!H:H,$G895)</f>
        <v>1</v>
      </c>
      <c r="L895" s="4">
        <f t="shared" si="52"/>
        <v>93</v>
      </c>
      <c r="M895" s="4">
        <f t="shared" si="55"/>
        <v>5</v>
      </c>
    </row>
    <row r="896" spans="1:13">
      <c r="A896" s="4" t="str" cm="1">
        <f t="array" ref="A896">INDEX(Sheet1!A:A,$F896)</f>
        <v>M</v>
      </c>
      <c r="B896" s="4" t="str" cm="1">
        <f t="array" ref="B896">INDEX(Sheet1!B:B,$F896)</f>
        <v>Agg/Unknown</v>
      </c>
      <c r="C896" s="4">
        <f t="shared" si="53"/>
        <v>94</v>
      </c>
      <c r="D896" s="5" cm="1">
        <f t="array" aca="1" ref="D896" ca="1">OFFSET(INDIRECT("'["&amp;$H896&amp;"]"&amp;$I896&amp;"'!"&amp;$J896),$L896,$M896)*$K896</f>
        <v>0.34184999999999999</v>
      </c>
      <c r="F896" s="4">
        <f t="shared" si="54"/>
        <v>10</v>
      </c>
      <c r="G896" s="4" cm="1">
        <f t="array" ref="G896">IF($C896+$M896&lt;16,INDEX(Sheet1!C:C,$F896),$F896)</f>
        <v>10</v>
      </c>
      <c r="H896" s="4" t="str" cm="1">
        <f t="array" ref="H896">INDEX(Sheet1!D:D,$G896)</f>
        <v>t1136.xlsx</v>
      </c>
      <c r="I896" s="4" t="str" cm="1">
        <f t="array" ref="I896">INDEX(Sheet1!E:E,$G896)</f>
        <v>Sheet1</v>
      </c>
      <c r="J896" s="4" t="str" cm="1">
        <f t="array" ref="J896">INDEX(Sheet1!F:F,$G896)</f>
        <v>B25</v>
      </c>
      <c r="K896" s="4" cm="1">
        <f t="array" ref="K896">INDEX(Sheet1!H:H,$G896)</f>
        <v>1</v>
      </c>
      <c r="L896" s="4">
        <f t="shared" si="52"/>
        <v>94</v>
      </c>
      <c r="M896" s="4">
        <f t="shared" si="55"/>
        <v>5</v>
      </c>
    </row>
    <row r="897" spans="1:13">
      <c r="A897" s="4" t="str" cm="1">
        <f t="array" ref="A897">INDEX(Sheet1!A:A,$F897)</f>
        <v>M</v>
      </c>
      <c r="B897" s="4" t="str" cm="1">
        <f t="array" ref="B897">INDEX(Sheet1!B:B,$F897)</f>
        <v>Agg/Unknown</v>
      </c>
      <c r="C897" s="4">
        <f t="shared" si="53"/>
        <v>95</v>
      </c>
      <c r="D897" s="5" cm="1">
        <f t="array" aca="1" ref="D897" ca="1">OFFSET(INDIRECT("'["&amp;$H897&amp;"]"&amp;$I897&amp;"'!"&amp;$J897),$L897,$M897)*$K897</f>
        <v>0.36319000000000001</v>
      </c>
      <c r="F897" s="4">
        <f t="shared" si="54"/>
        <v>10</v>
      </c>
      <c r="G897" s="4" cm="1">
        <f t="array" ref="G897">IF($C897+$M897&lt;16,INDEX(Sheet1!C:C,$F897),$F897)</f>
        <v>10</v>
      </c>
      <c r="H897" s="4" t="str" cm="1">
        <f t="array" ref="H897">INDEX(Sheet1!D:D,$G897)</f>
        <v>t1136.xlsx</v>
      </c>
      <c r="I897" s="4" t="str" cm="1">
        <f t="array" ref="I897">INDEX(Sheet1!E:E,$G897)</f>
        <v>Sheet1</v>
      </c>
      <c r="J897" s="4" t="str" cm="1">
        <f t="array" ref="J897">INDEX(Sheet1!F:F,$G897)</f>
        <v>B25</v>
      </c>
      <c r="K897" s="4" cm="1">
        <f t="array" ref="K897">INDEX(Sheet1!H:H,$G897)</f>
        <v>1</v>
      </c>
      <c r="L897" s="4">
        <f t="shared" si="52"/>
        <v>95</v>
      </c>
      <c r="M897" s="4">
        <f t="shared" si="55"/>
        <v>5</v>
      </c>
    </row>
    <row r="898" spans="1:13">
      <c r="A898" s="4" t="str" cm="1">
        <f t="array" ref="A898">INDEX(Sheet1!A:A,$F898)</f>
        <v>M</v>
      </c>
      <c r="B898" s="4" t="str" cm="1">
        <f t="array" ref="B898">INDEX(Sheet1!B:B,$F898)</f>
        <v>Agg/Unknown</v>
      </c>
      <c r="C898" s="4">
        <f t="shared" si="53"/>
        <v>96</v>
      </c>
      <c r="D898" s="5" cm="1">
        <f t="array" aca="1" ref="D898" ca="1">OFFSET(INDIRECT("'["&amp;$H898&amp;"]"&amp;$I898&amp;"'!"&amp;$J898),$L898,$M898)*$K898</f>
        <v>0.38007999999999997</v>
      </c>
      <c r="F898" s="4">
        <f t="shared" si="54"/>
        <v>10</v>
      </c>
      <c r="G898" s="4" cm="1">
        <f t="array" ref="G898">IF($C898+$M898&lt;16,INDEX(Sheet1!C:C,$F898),$F898)</f>
        <v>10</v>
      </c>
      <c r="H898" s="4" t="str" cm="1">
        <f t="array" ref="H898">INDEX(Sheet1!D:D,$G898)</f>
        <v>t1136.xlsx</v>
      </c>
      <c r="I898" s="4" t="str" cm="1">
        <f t="array" ref="I898">INDEX(Sheet1!E:E,$G898)</f>
        <v>Sheet1</v>
      </c>
      <c r="J898" s="4" t="str" cm="1">
        <f t="array" ref="J898">INDEX(Sheet1!F:F,$G898)</f>
        <v>B25</v>
      </c>
      <c r="K898" s="4" cm="1">
        <f t="array" ref="K898">INDEX(Sheet1!H:H,$G898)</f>
        <v>1</v>
      </c>
      <c r="L898" s="4">
        <f t="shared" si="52"/>
        <v>96</v>
      </c>
      <c r="M898" s="4">
        <f t="shared" si="55"/>
        <v>5</v>
      </c>
    </row>
    <row r="899" spans="1:13">
      <c r="A899" s="4" t="str" cm="1">
        <f t="array" ref="A899">INDEX(Sheet1!A:A,$F899)</f>
        <v>M</v>
      </c>
      <c r="B899" s="4" t="str" cm="1">
        <f t="array" ref="B899">INDEX(Sheet1!B:B,$F899)</f>
        <v>Agg/Unknown</v>
      </c>
      <c r="C899" s="4">
        <f t="shared" si="53"/>
        <v>97</v>
      </c>
      <c r="D899" s="5" cm="1">
        <f t="array" aca="1" ref="D899" ca="1">OFFSET(INDIRECT("'["&amp;$H899&amp;"]"&amp;$I899&amp;"'!"&amp;$J899),$L899,$M899)*$K899</f>
        <v>0.39806000000000002</v>
      </c>
      <c r="F899" s="4">
        <f t="shared" si="54"/>
        <v>10</v>
      </c>
      <c r="G899" s="4" cm="1">
        <f t="array" ref="G899">IF($C899+$M899&lt;16,INDEX(Sheet1!C:C,$F899),$F899)</f>
        <v>10</v>
      </c>
      <c r="H899" s="4" t="str" cm="1">
        <f t="array" ref="H899">INDEX(Sheet1!D:D,$G899)</f>
        <v>t1136.xlsx</v>
      </c>
      <c r="I899" s="4" t="str" cm="1">
        <f t="array" ref="I899">INDEX(Sheet1!E:E,$G899)</f>
        <v>Sheet1</v>
      </c>
      <c r="J899" s="4" t="str" cm="1">
        <f t="array" ref="J899">INDEX(Sheet1!F:F,$G899)</f>
        <v>B25</v>
      </c>
      <c r="K899" s="4" cm="1">
        <f t="array" ref="K899">INDEX(Sheet1!H:H,$G899)</f>
        <v>1</v>
      </c>
      <c r="L899" s="4">
        <f t="shared" ref="L899:L962" si="56">C899</f>
        <v>97</v>
      </c>
      <c r="M899" s="4">
        <f t="shared" si="55"/>
        <v>5</v>
      </c>
    </row>
    <row r="900" spans="1:13">
      <c r="A900" s="4" t="str" cm="1">
        <f t="array" ref="A900">INDEX(Sheet1!A:A,$F900)</f>
        <v>M</v>
      </c>
      <c r="B900" s="4" t="str" cm="1">
        <f t="array" ref="B900">INDEX(Sheet1!B:B,$F900)</f>
        <v>Agg/Unknown</v>
      </c>
      <c r="C900" s="4">
        <f t="shared" ref="C900:C963" si="57">IF(C899=99,0,C899+1)</f>
        <v>98</v>
      </c>
      <c r="D900" s="5" cm="1">
        <f t="array" aca="1" ref="D900" ca="1">OFFSET(INDIRECT("'["&amp;$H900&amp;"]"&amp;$I900&amp;"'!"&amp;$J900),$L900,$M900)*$K900</f>
        <v>0.41720000000000002</v>
      </c>
      <c r="F900" s="4">
        <f t="shared" ref="F900:F963" si="58">IF(C900=0,1,0)+F899</f>
        <v>10</v>
      </c>
      <c r="G900" s="4" cm="1">
        <f t="array" ref="G900">IF($C900+$M900&lt;16,INDEX(Sheet1!C:C,$F900),$F900)</f>
        <v>10</v>
      </c>
      <c r="H900" s="4" t="str" cm="1">
        <f t="array" ref="H900">INDEX(Sheet1!D:D,$G900)</f>
        <v>t1136.xlsx</v>
      </c>
      <c r="I900" s="4" t="str" cm="1">
        <f t="array" ref="I900">INDEX(Sheet1!E:E,$G900)</f>
        <v>Sheet1</v>
      </c>
      <c r="J900" s="4" t="str" cm="1">
        <f t="array" ref="J900">INDEX(Sheet1!F:F,$G900)</f>
        <v>B25</v>
      </c>
      <c r="K900" s="4" cm="1">
        <f t="array" ref="K900">INDEX(Sheet1!H:H,$G900)</f>
        <v>1</v>
      </c>
      <c r="L900" s="4">
        <f t="shared" si="56"/>
        <v>98</v>
      </c>
      <c r="M900" s="4">
        <f t="shared" ref="L900:M963" si="59">M$2</f>
        <v>5</v>
      </c>
    </row>
    <row r="901" spans="1:13">
      <c r="A901" s="4" t="str" cm="1">
        <f t="array" ref="A901">INDEX(Sheet1!A:A,$F901)</f>
        <v>M</v>
      </c>
      <c r="B901" s="4" t="str" cm="1">
        <f t="array" ref="B901">INDEX(Sheet1!B:B,$F901)</f>
        <v>Agg/Unknown</v>
      </c>
      <c r="C901" s="4">
        <f t="shared" si="57"/>
        <v>99</v>
      </c>
      <c r="D901" s="5" cm="1">
        <f t="array" aca="1" ref="D901" ca="1">OFFSET(INDIRECT("'["&amp;$H901&amp;"]"&amp;$I901&amp;"'!"&amp;$J901),$L901,$M901)*$K901</f>
        <v>0.43756</v>
      </c>
      <c r="F901" s="4">
        <f t="shared" si="58"/>
        <v>10</v>
      </c>
      <c r="G901" s="4" cm="1">
        <f t="array" ref="G901">IF($C901+$M901&lt;16,INDEX(Sheet1!C:C,$F901),$F901)</f>
        <v>10</v>
      </c>
      <c r="H901" s="4" t="str" cm="1">
        <f t="array" ref="H901">INDEX(Sheet1!D:D,$G901)</f>
        <v>t1136.xlsx</v>
      </c>
      <c r="I901" s="4" t="str" cm="1">
        <f t="array" ref="I901">INDEX(Sheet1!E:E,$G901)</f>
        <v>Sheet1</v>
      </c>
      <c r="J901" s="4" t="str" cm="1">
        <f t="array" ref="J901">INDEX(Sheet1!F:F,$G901)</f>
        <v>B25</v>
      </c>
      <c r="K901" s="4" cm="1">
        <f t="array" ref="K901">INDEX(Sheet1!H:H,$G901)</f>
        <v>1</v>
      </c>
      <c r="L901" s="4">
        <f t="shared" si="56"/>
        <v>99</v>
      </c>
      <c r="M901" s="4">
        <f t="shared" si="59"/>
        <v>5</v>
      </c>
    </row>
    <row r="902" spans="1:13">
      <c r="A902" s="4" t="str" cm="1">
        <f t="array" ref="A902">INDEX(Sheet1!A:A,$F902)</f>
        <v>F</v>
      </c>
      <c r="B902" s="4" t="str" cm="1">
        <f t="array" ref="B902">INDEX(Sheet1!B:B,$F902)</f>
        <v>Super-Pref NS</v>
      </c>
      <c r="C902" s="4">
        <f t="shared" si="57"/>
        <v>0</v>
      </c>
      <c r="D902" s="5" cm="1">
        <f t="array" aca="1" ref="D902" ca="1">OFFSET(INDIRECT("'["&amp;$H902&amp;"]"&amp;$I902&amp;"'!"&amp;$J902),$L902,$M902)*$K902</f>
        <v>1.8000000000000001E-4</v>
      </c>
      <c r="F902" s="4">
        <f t="shared" si="58"/>
        <v>11</v>
      </c>
      <c r="G902" s="4" cm="1">
        <f t="array" ref="G902">IF($C902+$M902&lt;16,INDEX(Sheet1!C:C,$F902),$F902)</f>
        <v>19</v>
      </c>
      <c r="H902" s="4" t="str" cm="1">
        <f t="array" ref="H902">INDEX(Sheet1!D:D,$G902)</f>
        <v>t1139.xlsx</v>
      </c>
      <c r="I902" s="4" t="str" cm="1">
        <f t="array" ref="I902">INDEX(Sheet1!E:E,$G902)</f>
        <v>Sheet1</v>
      </c>
      <c r="J902" s="4" t="str" cm="1">
        <f t="array" ref="J902">INDEX(Sheet1!F:F,$G902)</f>
        <v>B25</v>
      </c>
      <c r="K902" s="4" cm="1">
        <f t="array" ref="K902">INDEX(Sheet1!H:H,$G902)</f>
        <v>1</v>
      </c>
      <c r="L902" s="4">
        <f t="shared" si="56"/>
        <v>0</v>
      </c>
      <c r="M902" s="4">
        <f t="shared" si="59"/>
        <v>5</v>
      </c>
    </row>
    <row r="903" spans="1:13">
      <c r="A903" s="4" t="str" cm="1">
        <f t="array" ref="A903">INDEX(Sheet1!A:A,$F903)</f>
        <v>F</v>
      </c>
      <c r="B903" s="4" t="str" cm="1">
        <f t="array" ref="B903">INDEX(Sheet1!B:B,$F903)</f>
        <v>Super-Pref NS</v>
      </c>
      <c r="C903" s="4">
        <f t="shared" si="57"/>
        <v>1</v>
      </c>
      <c r="D903" s="5" cm="1">
        <f t="array" aca="1" ref="D903" ca="1">OFFSET(INDIRECT("'["&amp;$H903&amp;"]"&amp;$I903&amp;"'!"&amp;$J903),$L903,$M903)*$K903</f>
        <v>1.8000000000000001E-4</v>
      </c>
      <c r="F903" s="4">
        <f t="shared" si="58"/>
        <v>11</v>
      </c>
      <c r="G903" s="4" cm="1">
        <f t="array" ref="G903">IF($C903+$M903&lt;16,INDEX(Sheet1!C:C,$F903),$F903)</f>
        <v>19</v>
      </c>
      <c r="H903" s="4" t="str" cm="1">
        <f t="array" ref="H903">INDEX(Sheet1!D:D,$G903)</f>
        <v>t1139.xlsx</v>
      </c>
      <c r="I903" s="4" t="str" cm="1">
        <f t="array" ref="I903">INDEX(Sheet1!E:E,$G903)</f>
        <v>Sheet1</v>
      </c>
      <c r="J903" s="4" t="str" cm="1">
        <f t="array" ref="J903">INDEX(Sheet1!F:F,$G903)</f>
        <v>B25</v>
      </c>
      <c r="K903" s="4" cm="1">
        <f t="array" ref="K903">INDEX(Sheet1!H:H,$G903)</f>
        <v>1</v>
      </c>
      <c r="L903" s="4">
        <f t="shared" si="56"/>
        <v>1</v>
      </c>
      <c r="M903" s="4">
        <f t="shared" si="59"/>
        <v>5</v>
      </c>
    </row>
    <row r="904" spans="1:13">
      <c r="A904" s="4" t="str" cm="1">
        <f t="array" ref="A904">INDEX(Sheet1!A:A,$F904)</f>
        <v>F</v>
      </c>
      <c r="B904" s="4" t="str" cm="1">
        <f t="array" ref="B904">INDEX(Sheet1!B:B,$F904)</f>
        <v>Super-Pref NS</v>
      </c>
      <c r="C904" s="4">
        <f t="shared" si="57"/>
        <v>2</v>
      </c>
      <c r="D904" s="5" cm="1">
        <f t="array" aca="1" ref="D904" ca="1">OFFSET(INDIRECT("'["&amp;$H904&amp;"]"&amp;$I904&amp;"'!"&amp;$J904),$L904,$M904)*$K904</f>
        <v>1.8000000000000001E-4</v>
      </c>
      <c r="F904" s="4">
        <f t="shared" si="58"/>
        <v>11</v>
      </c>
      <c r="G904" s="4" cm="1">
        <f t="array" ref="G904">IF($C904+$M904&lt;16,INDEX(Sheet1!C:C,$F904),$F904)</f>
        <v>19</v>
      </c>
      <c r="H904" s="4" t="str" cm="1">
        <f t="array" ref="H904">INDEX(Sheet1!D:D,$G904)</f>
        <v>t1139.xlsx</v>
      </c>
      <c r="I904" s="4" t="str" cm="1">
        <f t="array" ref="I904">INDEX(Sheet1!E:E,$G904)</f>
        <v>Sheet1</v>
      </c>
      <c r="J904" s="4" t="str" cm="1">
        <f t="array" ref="J904">INDEX(Sheet1!F:F,$G904)</f>
        <v>B25</v>
      </c>
      <c r="K904" s="4" cm="1">
        <f t="array" ref="K904">INDEX(Sheet1!H:H,$G904)</f>
        <v>1</v>
      </c>
      <c r="L904" s="4">
        <f t="shared" si="56"/>
        <v>2</v>
      </c>
      <c r="M904" s="4">
        <f t="shared" si="59"/>
        <v>5</v>
      </c>
    </row>
    <row r="905" spans="1:13">
      <c r="A905" s="4" t="str" cm="1">
        <f t="array" ref="A905">INDEX(Sheet1!A:A,$F905)</f>
        <v>F</v>
      </c>
      <c r="B905" s="4" t="str" cm="1">
        <f t="array" ref="B905">INDEX(Sheet1!B:B,$F905)</f>
        <v>Super-Pref NS</v>
      </c>
      <c r="C905" s="4">
        <f t="shared" si="57"/>
        <v>3</v>
      </c>
      <c r="D905" s="5" cm="1">
        <f t="array" aca="1" ref="D905" ca="1">OFFSET(INDIRECT("'["&amp;$H905&amp;"]"&amp;$I905&amp;"'!"&amp;$J905),$L905,$M905)*$K905</f>
        <v>1.9000000000000001E-4</v>
      </c>
      <c r="F905" s="4">
        <f t="shared" si="58"/>
        <v>11</v>
      </c>
      <c r="G905" s="4" cm="1">
        <f t="array" ref="G905">IF($C905+$M905&lt;16,INDEX(Sheet1!C:C,$F905),$F905)</f>
        <v>19</v>
      </c>
      <c r="H905" s="4" t="str" cm="1">
        <f t="array" ref="H905">INDEX(Sheet1!D:D,$G905)</f>
        <v>t1139.xlsx</v>
      </c>
      <c r="I905" s="4" t="str" cm="1">
        <f t="array" ref="I905">INDEX(Sheet1!E:E,$G905)</f>
        <v>Sheet1</v>
      </c>
      <c r="J905" s="4" t="str" cm="1">
        <f t="array" ref="J905">INDEX(Sheet1!F:F,$G905)</f>
        <v>B25</v>
      </c>
      <c r="K905" s="4" cm="1">
        <f t="array" ref="K905">INDEX(Sheet1!H:H,$G905)</f>
        <v>1</v>
      </c>
      <c r="L905" s="4">
        <f t="shared" si="56"/>
        <v>3</v>
      </c>
      <c r="M905" s="4">
        <f t="shared" si="59"/>
        <v>5</v>
      </c>
    </row>
    <row r="906" spans="1:13">
      <c r="A906" s="4" t="str" cm="1">
        <f t="array" ref="A906">INDEX(Sheet1!A:A,$F906)</f>
        <v>F</v>
      </c>
      <c r="B906" s="4" t="str" cm="1">
        <f t="array" ref="B906">INDEX(Sheet1!B:B,$F906)</f>
        <v>Super-Pref NS</v>
      </c>
      <c r="C906" s="4">
        <f t="shared" si="57"/>
        <v>4</v>
      </c>
      <c r="D906" s="5" cm="1">
        <f t="array" aca="1" ref="D906" ca="1">OFFSET(INDIRECT("'["&amp;$H906&amp;"]"&amp;$I906&amp;"'!"&amp;$J906),$L906,$M906)*$K906</f>
        <v>1.9000000000000001E-4</v>
      </c>
      <c r="F906" s="4">
        <f t="shared" si="58"/>
        <v>11</v>
      </c>
      <c r="G906" s="4" cm="1">
        <f t="array" ref="G906">IF($C906+$M906&lt;16,INDEX(Sheet1!C:C,$F906),$F906)</f>
        <v>19</v>
      </c>
      <c r="H906" s="4" t="str" cm="1">
        <f t="array" ref="H906">INDEX(Sheet1!D:D,$G906)</f>
        <v>t1139.xlsx</v>
      </c>
      <c r="I906" s="4" t="str" cm="1">
        <f t="array" ref="I906">INDEX(Sheet1!E:E,$G906)</f>
        <v>Sheet1</v>
      </c>
      <c r="J906" s="4" t="str" cm="1">
        <f t="array" ref="J906">INDEX(Sheet1!F:F,$G906)</f>
        <v>B25</v>
      </c>
      <c r="K906" s="4" cm="1">
        <f t="array" ref="K906">INDEX(Sheet1!H:H,$G906)</f>
        <v>1</v>
      </c>
      <c r="L906" s="4">
        <f t="shared" si="56"/>
        <v>4</v>
      </c>
      <c r="M906" s="4">
        <f t="shared" si="59"/>
        <v>5</v>
      </c>
    </row>
    <row r="907" spans="1:13">
      <c r="A907" s="4" t="str" cm="1">
        <f t="array" ref="A907">INDEX(Sheet1!A:A,$F907)</f>
        <v>F</v>
      </c>
      <c r="B907" s="4" t="str" cm="1">
        <f t="array" ref="B907">INDEX(Sheet1!B:B,$F907)</f>
        <v>Super-Pref NS</v>
      </c>
      <c r="C907" s="4">
        <f t="shared" si="57"/>
        <v>5</v>
      </c>
      <c r="D907" s="5" cm="1">
        <f t="array" aca="1" ref="D907" ca="1">OFFSET(INDIRECT("'["&amp;$H907&amp;"]"&amp;$I907&amp;"'!"&amp;$J907),$L907,$M907)*$K907</f>
        <v>1.9000000000000001E-4</v>
      </c>
      <c r="F907" s="4">
        <f t="shared" si="58"/>
        <v>11</v>
      </c>
      <c r="G907" s="4" cm="1">
        <f t="array" ref="G907">IF($C907+$M907&lt;16,INDEX(Sheet1!C:C,$F907),$F907)</f>
        <v>19</v>
      </c>
      <c r="H907" s="4" t="str" cm="1">
        <f t="array" ref="H907">INDEX(Sheet1!D:D,$G907)</f>
        <v>t1139.xlsx</v>
      </c>
      <c r="I907" s="4" t="str" cm="1">
        <f t="array" ref="I907">INDEX(Sheet1!E:E,$G907)</f>
        <v>Sheet1</v>
      </c>
      <c r="J907" s="4" t="str" cm="1">
        <f t="array" ref="J907">INDEX(Sheet1!F:F,$G907)</f>
        <v>B25</v>
      </c>
      <c r="K907" s="4" cm="1">
        <f t="array" ref="K907">INDEX(Sheet1!H:H,$G907)</f>
        <v>1</v>
      </c>
      <c r="L907" s="4">
        <f t="shared" si="56"/>
        <v>5</v>
      </c>
      <c r="M907" s="4">
        <f t="shared" si="59"/>
        <v>5</v>
      </c>
    </row>
    <row r="908" spans="1:13">
      <c r="A908" s="4" t="str" cm="1">
        <f t="array" ref="A908">INDEX(Sheet1!A:A,$F908)</f>
        <v>F</v>
      </c>
      <c r="B908" s="4" t="str" cm="1">
        <f t="array" ref="B908">INDEX(Sheet1!B:B,$F908)</f>
        <v>Super-Pref NS</v>
      </c>
      <c r="C908" s="4">
        <f t="shared" si="57"/>
        <v>6</v>
      </c>
      <c r="D908" s="5" cm="1">
        <f t="array" aca="1" ref="D908" ca="1">OFFSET(INDIRECT("'["&amp;$H908&amp;"]"&amp;$I908&amp;"'!"&amp;$J908),$L908,$M908)*$K908</f>
        <v>2.0000000000000001E-4</v>
      </c>
      <c r="F908" s="4">
        <f t="shared" si="58"/>
        <v>11</v>
      </c>
      <c r="G908" s="4" cm="1">
        <f t="array" ref="G908">IF($C908+$M908&lt;16,INDEX(Sheet1!C:C,$F908),$F908)</f>
        <v>19</v>
      </c>
      <c r="H908" s="4" t="str" cm="1">
        <f t="array" ref="H908">INDEX(Sheet1!D:D,$G908)</f>
        <v>t1139.xlsx</v>
      </c>
      <c r="I908" s="4" t="str" cm="1">
        <f t="array" ref="I908">INDEX(Sheet1!E:E,$G908)</f>
        <v>Sheet1</v>
      </c>
      <c r="J908" s="4" t="str" cm="1">
        <f t="array" ref="J908">INDEX(Sheet1!F:F,$G908)</f>
        <v>B25</v>
      </c>
      <c r="K908" s="4" cm="1">
        <f t="array" ref="K908">INDEX(Sheet1!H:H,$G908)</f>
        <v>1</v>
      </c>
      <c r="L908" s="4">
        <f t="shared" si="56"/>
        <v>6</v>
      </c>
      <c r="M908" s="4">
        <f t="shared" si="59"/>
        <v>5</v>
      </c>
    </row>
    <row r="909" spans="1:13">
      <c r="A909" s="4" t="str" cm="1">
        <f t="array" ref="A909">INDEX(Sheet1!A:A,$F909)</f>
        <v>F</v>
      </c>
      <c r="B909" s="4" t="str" cm="1">
        <f t="array" ref="B909">INDEX(Sheet1!B:B,$F909)</f>
        <v>Super-Pref NS</v>
      </c>
      <c r="C909" s="4">
        <f t="shared" si="57"/>
        <v>7</v>
      </c>
      <c r="D909" s="5" cm="1">
        <f t="array" aca="1" ref="D909" ca="1">OFFSET(INDIRECT("'["&amp;$H909&amp;"]"&amp;$I909&amp;"'!"&amp;$J909),$L909,$M909)*$K909</f>
        <v>2.2000000000000001E-4</v>
      </c>
      <c r="F909" s="4">
        <f t="shared" si="58"/>
        <v>11</v>
      </c>
      <c r="G909" s="4" cm="1">
        <f t="array" ref="G909">IF($C909+$M909&lt;16,INDEX(Sheet1!C:C,$F909),$F909)</f>
        <v>19</v>
      </c>
      <c r="H909" s="4" t="str" cm="1">
        <f t="array" ref="H909">INDEX(Sheet1!D:D,$G909)</f>
        <v>t1139.xlsx</v>
      </c>
      <c r="I909" s="4" t="str" cm="1">
        <f t="array" ref="I909">INDEX(Sheet1!E:E,$G909)</f>
        <v>Sheet1</v>
      </c>
      <c r="J909" s="4" t="str" cm="1">
        <f t="array" ref="J909">INDEX(Sheet1!F:F,$G909)</f>
        <v>B25</v>
      </c>
      <c r="K909" s="4" cm="1">
        <f t="array" ref="K909">INDEX(Sheet1!H:H,$G909)</f>
        <v>1</v>
      </c>
      <c r="L909" s="4">
        <f t="shared" si="56"/>
        <v>7</v>
      </c>
      <c r="M909" s="4">
        <f t="shared" si="59"/>
        <v>5</v>
      </c>
    </row>
    <row r="910" spans="1:13">
      <c r="A910" s="4" t="str" cm="1">
        <f t="array" ref="A910">INDEX(Sheet1!A:A,$F910)</f>
        <v>F</v>
      </c>
      <c r="B910" s="4" t="str" cm="1">
        <f t="array" ref="B910">INDEX(Sheet1!B:B,$F910)</f>
        <v>Super-Pref NS</v>
      </c>
      <c r="C910" s="4">
        <f t="shared" si="57"/>
        <v>8</v>
      </c>
      <c r="D910" s="5" cm="1">
        <f t="array" aca="1" ref="D910" ca="1">OFFSET(INDIRECT("'["&amp;$H910&amp;"]"&amp;$I910&amp;"'!"&amp;$J910),$L910,$M910)*$K910</f>
        <v>2.4000000000000001E-4</v>
      </c>
      <c r="F910" s="4">
        <f t="shared" si="58"/>
        <v>11</v>
      </c>
      <c r="G910" s="4" cm="1">
        <f t="array" ref="G910">IF($C910+$M910&lt;16,INDEX(Sheet1!C:C,$F910),$F910)</f>
        <v>19</v>
      </c>
      <c r="H910" s="4" t="str" cm="1">
        <f t="array" ref="H910">INDEX(Sheet1!D:D,$G910)</f>
        <v>t1139.xlsx</v>
      </c>
      <c r="I910" s="4" t="str" cm="1">
        <f t="array" ref="I910">INDEX(Sheet1!E:E,$G910)</f>
        <v>Sheet1</v>
      </c>
      <c r="J910" s="4" t="str" cm="1">
        <f t="array" ref="J910">INDEX(Sheet1!F:F,$G910)</f>
        <v>B25</v>
      </c>
      <c r="K910" s="4" cm="1">
        <f t="array" ref="K910">INDEX(Sheet1!H:H,$G910)</f>
        <v>1</v>
      </c>
      <c r="L910" s="4">
        <f t="shared" si="56"/>
        <v>8</v>
      </c>
      <c r="M910" s="4">
        <f t="shared" si="59"/>
        <v>5</v>
      </c>
    </row>
    <row r="911" spans="1:13">
      <c r="A911" s="4" t="str" cm="1">
        <f t="array" ref="A911">INDEX(Sheet1!A:A,$F911)</f>
        <v>F</v>
      </c>
      <c r="B911" s="4" t="str" cm="1">
        <f t="array" ref="B911">INDEX(Sheet1!B:B,$F911)</f>
        <v>Super-Pref NS</v>
      </c>
      <c r="C911" s="4">
        <f t="shared" si="57"/>
        <v>9</v>
      </c>
      <c r="D911" s="5" cm="1">
        <f t="array" aca="1" ref="D911" ca="1">OFFSET(INDIRECT("'["&amp;$H911&amp;"]"&amp;$I911&amp;"'!"&amp;$J911),$L911,$M911)*$K911</f>
        <v>2.7E-4</v>
      </c>
      <c r="F911" s="4">
        <f t="shared" si="58"/>
        <v>11</v>
      </c>
      <c r="G911" s="4" cm="1">
        <f t="array" ref="G911">IF($C911+$M911&lt;16,INDEX(Sheet1!C:C,$F911),$F911)</f>
        <v>19</v>
      </c>
      <c r="H911" s="4" t="str" cm="1">
        <f t="array" ref="H911">INDEX(Sheet1!D:D,$G911)</f>
        <v>t1139.xlsx</v>
      </c>
      <c r="I911" s="4" t="str" cm="1">
        <f t="array" ref="I911">INDEX(Sheet1!E:E,$G911)</f>
        <v>Sheet1</v>
      </c>
      <c r="J911" s="4" t="str" cm="1">
        <f t="array" ref="J911">INDEX(Sheet1!F:F,$G911)</f>
        <v>B25</v>
      </c>
      <c r="K911" s="4" cm="1">
        <f t="array" ref="K911">INDEX(Sheet1!H:H,$G911)</f>
        <v>1</v>
      </c>
      <c r="L911" s="4">
        <f t="shared" si="56"/>
        <v>9</v>
      </c>
      <c r="M911" s="4">
        <f t="shared" si="59"/>
        <v>5</v>
      </c>
    </row>
    <row r="912" spans="1:13">
      <c r="A912" s="4" t="str" cm="1">
        <f t="array" ref="A912">INDEX(Sheet1!A:A,$F912)</f>
        <v>F</v>
      </c>
      <c r="B912" s="4" t="str" cm="1">
        <f t="array" ref="B912">INDEX(Sheet1!B:B,$F912)</f>
        <v>Super-Pref NS</v>
      </c>
      <c r="C912" s="4">
        <f t="shared" si="57"/>
        <v>10</v>
      </c>
      <c r="D912" s="5" cm="1">
        <f t="array" aca="1" ref="D912" ca="1">OFFSET(INDIRECT("'["&amp;$H912&amp;"]"&amp;$I912&amp;"'!"&amp;$J912),$L912,$M912)*$K912</f>
        <v>3.1E-4</v>
      </c>
      <c r="F912" s="4">
        <f t="shared" si="58"/>
        <v>11</v>
      </c>
      <c r="G912" s="4" cm="1">
        <f t="array" ref="G912">IF($C912+$M912&lt;16,INDEX(Sheet1!C:C,$F912),$F912)</f>
        <v>19</v>
      </c>
      <c r="H912" s="4" t="str" cm="1">
        <f t="array" ref="H912">INDEX(Sheet1!D:D,$G912)</f>
        <v>t1139.xlsx</v>
      </c>
      <c r="I912" s="4" t="str" cm="1">
        <f t="array" ref="I912">INDEX(Sheet1!E:E,$G912)</f>
        <v>Sheet1</v>
      </c>
      <c r="J912" s="4" t="str" cm="1">
        <f t="array" ref="J912">INDEX(Sheet1!F:F,$G912)</f>
        <v>B25</v>
      </c>
      <c r="K912" s="4" cm="1">
        <f t="array" ref="K912">INDEX(Sheet1!H:H,$G912)</f>
        <v>1</v>
      </c>
      <c r="L912" s="4">
        <f t="shared" si="56"/>
        <v>10</v>
      </c>
      <c r="M912" s="4">
        <f t="shared" si="59"/>
        <v>5</v>
      </c>
    </row>
    <row r="913" spans="1:13">
      <c r="A913" s="4" t="str" cm="1">
        <f t="array" ref="A913">INDEX(Sheet1!A:A,$F913)</f>
        <v>F</v>
      </c>
      <c r="B913" s="4" t="str" cm="1">
        <f t="array" ref="B913">INDEX(Sheet1!B:B,$F913)</f>
        <v>Super-Pref NS</v>
      </c>
      <c r="C913" s="4">
        <f t="shared" si="57"/>
        <v>11</v>
      </c>
      <c r="D913" s="5" cm="1">
        <f t="array" aca="1" ref="D913" ca="1">OFFSET(INDIRECT("'["&amp;$H913&amp;"]"&amp;$I913&amp;"'!"&amp;$J913),$L913,$M913)*$K913</f>
        <v>2.0000000000000001E-4</v>
      </c>
      <c r="F913" s="4">
        <f t="shared" si="58"/>
        <v>11</v>
      </c>
      <c r="G913" s="4" cm="1">
        <f t="array" ref="G913">IF($C913+$M913&lt;16,INDEX(Sheet1!C:C,$F913),$F913)</f>
        <v>11</v>
      </c>
      <c r="H913" s="4" t="str" cm="1">
        <f t="array" ref="H913">INDEX(Sheet1!D:D,$G913)</f>
        <v>2001-cso-preferred-class-structure-mortality-tables.xls</v>
      </c>
      <c r="I913" s="4" t="str" cm="1">
        <f t="array" ref="I913">INDEX(Sheet1!E:E,$G913)</f>
        <v>A.1.b.i</v>
      </c>
      <c r="J913" s="4" t="str" cm="1">
        <f t="array" ref="J913">INDEX(Sheet1!F:F,$G913)</f>
        <v>B8</v>
      </c>
      <c r="K913" s="4" cm="1">
        <f t="array" ref="K913">INDEX(Sheet1!H:H,$G913)</f>
        <v>1E-3</v>
      </c>
      <c r="L913" s="4">
        <f t="shared" si="56"/>
        <v>11</v>
      </c>
      <c r="M913" s="4">
        <f t="shared" si="59"/>
        <v>5</v>
      </c>
    </row>
    <row r="914" spans="1:13">
      <c r="A914" s="4" t="str" cm="1">
        <f t="array" ref="A914">INDEX(Sheet1!A:A,$F914)</f>
        <v>F</v>
      </c>
      <c r="B914" s="4" t="str" cm="1">
        <f t="array" ref="B914">INDEX(Sheet1!B:B,$F914)</f>
        <v>Super-Pref NS</v>
      </c>
      <c r="C914" s="4">
        <f t="shared" si="57"/>
        <v>12</v>
      </c>
      <c r="D914" s="5" cm="1">
        <f t="array" aca="1" ref="D914" ca="1">OFFSET(INDIRECT("'["&amp;$H914&amp;"]"&amp;$I914&amp;"'!"&amp;$J914),$L914,$M914)*$K914</f>
        <v>2.1000000000000001E-4</v>
      </c>
      <c r="F914" s="4">
        <f t="shared" si="58"/>
        <v>11</v>
      </c>
      <c r="G914" s="4" cm="1">
        <f t="array" ref="G914">IF($C914+$M914&lt;16,INDEX(Sheet1!C:C,$F914),$F914)</f>
        <v>11</v>
      </c>
      <c r="H914" s="4" t="str" cm="1">
        <f t="array" ref="H914">INDEX(Sheet1!D:D,$G914)</f>
        <v>2001-cso-preferred-class-structure-mortality-tables.xls</v>
      </c>
      <c r="I914" s="4" t="str" cm="1">
        <f t="array" ref="I914">INDEX(Sheet1!E:E,$G914)</f>
        <v>A.1.b.i</v>
      </c>
      <c r="J914" s="4" t="str" cm="1">
        <f t="array" ref="J914">INDEX(Sheet1!F:F,$G914)</f>
        <v>B8</v>
      </c>
      <c r="K914" s="4" cm="1">
        <f t="array" ref="K914">INDEX(Sheet1!H:H,$G914)</f>
        <v>1E-3</v>
      </c>
      <c r="L914" s="4">
        <f t="shared" si="56"/>
        <v>12</v>
      </c>
      <c r="M914" s="4">
        <f t="shared" si="59"/>
        <v>5</v>
      </c>
    </row>
    <row r="915" spans="1:13">
      <c r="A915" s="4" t="str" cm="1">
        <f t="array" ref="A915">INDEX(Sheet1!A:A,$F915)</f>
        <v>F</v>
      </c>
      <c r="B915" s="4" t="str" cm="1">
        <f t="array" ref="B915">INDEX(Sheet1!B:B,$F915)</f>
        <v>Super-Pref NS</v>
      </c>
      <c r="C915" s="4">
        <f t="shared" si="57"/>
        <v>13</v>
      </c>
      <c r="D915" s="5" cm="1">
        <f t="array" aca="1" ref="D915" ca="1">OFFSET(INDIRECT("'["&amp;$H915&amp;"]"&amp;$I915&amp;"'!"&amp;$J915),$L915,$M915)*$K915</f>
        <v>2.1000000000000001E-4</v>
      </c>
      <c r="F915" s="4">
        <f t="shared" si="58"/>
        <v>11</v>
      </c>
      <c r="G915" s="4" cm="1">
        <f t="array" ref="G915">IF($C915+$M915&lt;16,INDEX(Sheet1!C:C,$F915),$F915)</f>
        <v>11</v>
      </c>
      <c r="H915" s="4" t="str" cm="1">
        <f t="array" ref="H915">INDEX(Sheet1!D:D,$G915)</f>
        <v>2001-cso-preferred-class-structure-mortality-tables.xls</v>
      </c>
      <c r="I915" s="4" t="str" cm="1">
        <f t="array" ref="I915">INDEX(Sheet1!E:E,$G915)</f>
        <v>A.1.b.i</v>
      </c>
      <c r="J915" s="4" t="str" cm="1">
        <f t="array" ref="J915">INDEX(Sheet1!F:F,$G915)</f>
        <v>B8</v>
      </c>
      <c r="K915" s="4" cm="1">
        <f t="array" ref="K915">INDEX(Sheet1!H:H,$G915)</f>
        <v>1E-3</v>
      </c>
      <c r="L915" s="4">
        <f t="shared" si="56"/>
        <v>13</v>
      </c>
      <c r="M915" s="4">
        <f t="shared" si="59"/>
        <v>5</v>
      </c>
    </row>
    <row r="916" spans="1:13">
      <c r="A916" s="4" t="str" cm="1">
        <f t="array" ref="A916">INDEX(Sheet1!A:A,$F916)</f>
        <v>F</v>
      </c>
      <c r="B916" s="4" t="str" cm="1">
        <f t="array" ref="B916">INDEX(Sheet1!B:B,$F916)</f>
        <v>Super-Pref NS</v>
      </c>
      <c r="C916" s="4">
        <f t="shared" si="57"/>
        <v>14</v>
      </c>
      <c r="D916" s="5" cm="1">
        <f t="array" aca="1" ref="D916" ca="1">OFFSET(INDIRECT("'["&amp;$H916&amp;"]"&amp;$I916&amp;"'!"&amp;$J916),$L916,$M916)*$K916</f>
        <v>2.1000000000000001E-4</v>
      </c>
      <c r="F916" s="4">
        <f t="shared" si="58"/>
        <v>11</v>
      </c>
      <c r="G916" s="4" cm="1">
        <f t="array" ref="G916">IF($C916+$M916&lt;16,INDEX(Sheet1!C:C,$F916),$F916)</f>
        <v>11</v>
      </c>
      <c r="H916" s="4" t="str" cm="1">
        <f t="array" ref="H916">INDEX(Sheet1!D:D,$G916)</f>
        <v>2001-cso-preferred-class-structure-mortality-tables.xls</v>
      </c>
      <c r="I916" s="4" t="str" cm="1">
        <f t="array" ref="I916">INDEX(Sheet1!E:E,$G916)</f>
        <v>A.1.b.i</v>
      </c>
      <c r="J916" s="4" t="str" cm="1">
        <f t="array" ref="J916">INDEX(Sheet1!F:F,$G916)</f>
        <v>B8</v>
      </c>
      <c r="K916" s="4" cm="1">
        <f t="array" ref="K916">INDEX(Sheet1!H:H,$G916)</f>
        <v>1E-3</v>
      </c>
      <c r="L916" s="4">
        <f t="shared" si="56"/>
        <v>14</v>
      </c>
      <c r="M916" s="4">
        <f t="shared" si="59"/>
        <v>5</v>
      </c>
    </row>
    <row r="917" spans="1:13">
      <c r="A917" s="4" t="str" cm="1">
        <f t="array" ref="A917">INDEX(Sheet1!A:A,$F917)</f>
        <v>F</v>
      </c>
      <c r="B917" s="4" t="str" cm="1">
        <f t="array" ref="B917">INDEX(Sheet1!B:B,$F917)</f>
        <v>Super-Pref NS</v>
      </c>
      <c r="C917" s="4">
        <f t="shared" si="57"/>
        <v>15</v>
      </c>
      <c r="D917" s="5" cm="1">
        <f t="array" aca="1" ref="D917" ca="1">OFFSET(INDIRECT("'["&amp;$H917&amp;"]"&amp;$I917&amp;"'!"&amp;$J917),$L917,$M917)*$K917</f>
        <v>2.3000000000000001E-4</v>
      </c>
      <c r="F917" s="4">
        <f t="shared" si="58"/>
        <v>11</v>
      </c>
      <c r="G917" s="4" cm="1">
        <f t="array" ref="G917">IF($C917+$M917&lt;16,INDEX(Sheet1!C:C,$F917),$F917)</f>
        <v>11</v>
      </c>
      <c r="H917" s="4" t="str" cm="1">
        <f t="array" ref="H917">INDEX(Sheet1!D:D,$G917)</f>
        <v>2001-cso-preferred-class-structure-mortality-tables.xls</v>
      </c>
      <c r="I917" s="4" t="str" cm="1">
        <f t="array" ref="I917">INDEX(Sheet1!E:E,$G917)</f>
        <v>A.1.b.i</v>
      </c>
      <c r="J917" s="4" t="str" cm="1">
        <f t="array" ref="J917">INDEX(Sheet1!F:F,$G917)</f>
        <v>B8</v>
      </c>
      <c r="K917" s="4" cm="1">
        <f t="array" ref="K917">INDEX(Sheet1!H:H,$G917)</f>
        <v>1E-3</v>
      </c>
      <c r="L917" s="4">
        <f t="shared" si="56"/>
        <v>15</v>
      </c>
      <c r="M917" s="4">
        <f t="shared" si="59"/>
        <v>5</v>
      </c>
    </row>
    <row r="918" spans="1:13">
      <c r="A918" s="4" t="str" cm="1">
        <f t="array" ref="A918">INDEX(Sheet1!A:A,$F918)</f>
        <v>F</v>
      </c>
      <c r="B918" s="4" t="str" cm="1">
        <f t="array" ref="B918">INDEX(Sheet1!B:B,$F918)</f>
        <v>Super-Pref NS</v>
      </c>
      <c r="C918" s="4">
        <f t="shared" si="57"/>
        <v>16</v>
      </c>
      <c r="D918" s="5" cm="1">
        <f t="array" aca="1" ref="D918" ca="1">OFFSET(INDIRECT("'["&amp;$H918&amp;"]"&amp;$I918&amp;"'!"&amp;$J918),$L918,$M918)*$K918</f>
        <v>2.3000000000000001E-4</v>
      </c>
      <c r="F918" s="4">
        <f t="shared" si="58"/>
        <v>11</v>
      </c>
      <c r="G918" s="4" cm="1">
        <f t="array" ref="G918">IF($C918+$M918&lt;16,INDEX(Sheet1!C:C,$F918),$F918)</f>
        <v>11</v>
      </c>
      <c r="H918" s="4" t="str" cm="1">
        <f t="array" ref="H918">INDEX(Sheet1!D:D,$G918)</f>
        <v>2001-cso-preferred-class-structure-mortality-tables.xls</v>
      </c>
      <c r="I918" s="4" t="str" cm="1">
        <f t="array" ref="I918">INDEX(Sheet1!E:E,$G918)</f>
        <v>A.1.b.i</v>
      </c>
      <c r="J918" s="4" t="str" cm="1">
        <f t="array" ref="J918">INDEX(Sheet1!F:F,$G918)</f>
        <v>B8</v>
      </c>
      <c r="K918" s="4" cm="1">
        <f t="array" ref="K918">INDEX(Sheet1!H:H,$G918)</f>
        <v>1E-3</v>
      </c>
      <c r="L918" s="4">
        <f t="shared" si="56"/>
        <v>16</v>
      </c>
      <c r="M918" s="4">
        <f t="shared" si="59"/>
        <v>5</v>
      </c>
    </row>
    <row r="919" spans="1:13">
      <c r="A919" s="4" t="str" cm="1">
        <f t="array" ref="A919">INDEX(Sheet1!A:A,$F919)</f>
        <v>F</v>
      </c>
      <c r="B919" s="4" t="str" cm="1">
        <f t="array" ref="B919">INDEX(Sheet1!B:B,$F919)</f>
        <v>Super-Pref NS</v>
      </c>
      <c r="C919" s="4">
        <f t="shared" si="57"/>
        <v>17</v>
      </c>
      <c r="D919" s="5" cm="1">
        <f t="array" aca="1" ref="D919" ca="1">OFFSET(INDIRECT("'["&amp;$H919&amp;"]"&amp;$I919&amp;"'!"&amp;$J919),$L919,$M919)*$K919</f>
        <v>2.3000000000000001E-4</v>
      </c>
      <c r="F919" s="4">
        <f t="shared" si="58"/>
        <v>11</v>
      </c>
      <c r="G919" s="4" cm="1">
        <f t="array" ref="G919">IF($C919+$M919&lt;16,INDEX(Sheet1!C:C,$F919),$F919)</f>
        <v>11</v>
      </c>
      <c r="H919" s="4" t="str" cm="1">
        <f t="array" ref="H919">INDEX(Sheet1!D:D,$G919)</f>
        <v>2001-cso-preferred-class-structure-mortality-tables.xls</v>
      </c>
      <c r="I919" s="4" t="str" cm="1">
        <f t="array" ref="I919">INDEX(Sheet1!E:E,$G919)</f>
        <v>A.1.b.i</v>
      </c>
      <c r="J919" s="4" t="str" cm="1">
        <f t="array" ref="J919">INDEX(Sheet1!F:F,$G919)</f>
        <v>B8</v>
      </c>
      <c r="K919" s="4" cm="1">
        <f t="array" ref="K919">INDEX(Sheet1!H:H,$G919)</f>
        <v>1E-3</v>
      </c>
      <c r="L919" s="4">
        <f t="shared" si="56"/>
        <v>17</v>
      </c>
      <c r="M919" s="4">
        <f t="shared" si="59"/>
        <v>5</v>
      </c>
    </row>
    <row r="920" spans="1:13">
      <c r="A920" s="4" t="str" cm="1">
        <f t="array" ref="A920">INDEX(Sheet1!A:A,$F920)</f>
        <v>F</v>
      </c>
      <c r="B920" s="4" t="str" cm="1">
        <f t="array" ref="B920">INDEX(Sheet1!B:B,$F920)</f>
        <v>Super-Pref NS</v>
      </c>
      <c r="C920" s="4">
        <f t="shared" si="57"/>
        <v>18</v>
      </c>
      <c r="D920" s="5" cm="1">
        <f t="array" aca="1" ref="D920" ca="1">OFFSET(INDIRECT("'["&amp;$H920&amp;"]"&amp;$I920&amp;"'!"&amp;$J920),$L920,$M920)*$K920</f>
        <v>2.4000000000000001E-4</v>
      </c>
      <c r="F920" s="4">
        <f t="shared" si="58"/>
        <v>11</v>
      </c>
      <c r="G920" s="4" cm="1">
        <f t="array" ref="G920">IF($C920+$M920&lt;16,INDEX(Sheet1!C:C,$F920),$F920)</f>
        <v>11</v>
      </c>
      <c r="H920" s="4" t="str" cm="1">
        <f t="array" ref="H920">INDEX(Sheet1!D:D,$G920)</f>
        <v>2001-cso-preferred-class-structure-mortality-tables.xls</v>
      </c>
      <c r="I920" s="4" t="str" cm="1">
        <f t="array" ref="I920">INDEX(Sheet1!E:E,$G920)</f>
        <v>A.1.b.i</v>
      </c>
      <c r="J920" s="4" t="str" cm="1">
        <f t="array" ref="J920">INDEX(Sheet1!F:F,$G920)</f>
        <v>B8</v>
      </c>
      <c r="K920" s="4" cm="1">
        <f t="array" ref="K920">INDEX(Sheet1!H:H,$G920)</f>
        <v>1E-3</v>
      </c>
      <c r="L920" s="4">
        <f t="shared" si="56"/>
        <v>18</v>
      </c>
      <c r="M920" s="4">
        <f t="shared" si="59"/>
        <v>5</v>
      </c>
    </row>
    <row r="921" spans="1:13">
      <c r="A921" s="4" t="str" cm="1">
        <f t="array" ref="A921">INDEX(Sheet1!A:A,$F921)</f>
        <v>F</v>
      </c>
      <c r="B921" s="4" t="str" cm="1">
        <f t="array" ref="B921">INDEX(Sheet1!B:B,$F921)</f>
        <v>Super-Pref NS</v>
      </c>
      <c r="C921" s="4">
        <f t="shared" si="57"/>
        <v>19</v>
      </c>
      <c r="D921" s="5" cm="1">
        <f t="array" aca="1" ref="D921" ca="1">OFFSET(INDIRECT("'["&amp;$H921&amp;"]"&amp;$I921&amp;"'!"&amp;$J921),$L921,$M921)*$K921</f>
        <v>2.4000000000000001E-4</v>
      </c>
      <c r="F921" s="4">
        <f t="shared" si="58"/>
        <v>11</v>
      </c>
      <c r="G921" s="4" cm="1">
        <f t="array" ref="G921">IF($C921+$M921&lt;16,INDEX(Sheet1!C:C,$F921),$F921)</f>
        <v>11</v>
      </c>
      <c r="H921" s="4" t="str" cm="1">
        <f t="array" ref="H921">INDEX(Sheet1!D:D,$G921)</f>
        <v>2001-cso-preferred-class-structure-mortality-tables.xls</v>
      </c>
      <c r="I921" s="4" t="str" cm="1">
        <f t="array" ref="I921">INDEX(Sheet1!E:E,$G921)</f>
        <v>A.1.b.i</v>
      </c>
      <c r="J921" s="4" t="str" cm="1">
        <f t="array" ref="J921">INDEX(Sheet1!F:F,$G921)</f>
        <v>B8</v>
      </c>
      <c r="K921" s="4" cm="1">
        <f t="array" ref="K921">INDEX(Sheet1!H:H,$G921)</f>
        <v>1E-3</v>
      </c>
      <c r="L921" s="4">
        <f t="shared" si="56"/>
        <v>19</v>
      </c>
      <c r="M921" s="4">
        <f t="shared" si="59"/>
        <v>5</v>
      </c>
    </row>
    <row r="922" spans="1:13">
      <c r="A922" s="4" t="str" cm="1">
        <f t="array" ref="A922">INDEX(Sheet1!A:A,$F922)</f>
        <v>F</v>
      </c>
      <c r="B922" s="4" t="str" cm="1">
        <f t="array" ref="B922">INDEX(Sheet1!B:B,$F922)</f>
        <v>Super-Pref NS</v>
      </c>
      <c r="C922" s="4">
        <f t="shared" si="57"/>
        <v>20</v>
      </c>
      <c r="D922" s="5" cm="1">
        <f t="array" aca="1" ref="D922" ca="1">OFFSET(INDIRECT("'["&amp;$H922&amp;"]"&amp;$I922&amp;"'!"&amp;$J922),$L922,$M922)*$K922</f>
        <v>2.5000000000000001E-4</v>
      </c>
      <c r="F922" s="4">
        <f t="shared" si="58"/>
        <v>11</v>
      </c>
      <c r="G922" s="4" cm="1">
        <f t="array" ref="G922">IF($C922+$M922&lt;16,INDEX(Sheet1!C:C,$F922),$F922)</f>
        <v>11</v>
      </c>
      <c r="H922" s="4" t="str" cm="1">
        <f t="array" ref="H922">INDEX(Sheet1!D:D,$G922)</f>
        <v>2001-cso-preferred-class-structure-mortality-tables.xls</v>
      </c>
      <c r="I922" s="4" t="str" cm="1">
        <f t="array" ref="I922">INDEX(Sheet1!E:E,$G922)</f>
        <v>A.1.b.i</v>
      </c>
      <c r="J922" s="4" t="str" cm="1">
        <f t="array" ref="J922">INDEX(Sheet1!F:F,$G922)</f>
        <v>B8</v>
      </c>
      <c r="K922" s="4" cm="1">
        <f t="array" ref="K922">INDEX(Sheet1!H:H,$G922)</f>
        <v>1E-3</v>
      </c>
      <c r="L922" s="4">
        <f t="shared" si="56"/>
        <v>20</v>
      </c>
      <c r="M922" s="4">
        <f t="shared" si="59"/>
        <v>5</v>
      </c>
    </row>
    <row r="923" spans="1:13">
      <c r="A923" s="4" t="str" cm="1">
        <f t="array" ref="A923">INDEX(Sheet1!A:A,$F923)</f>
        <v>F</v>
      </c>
      <c r="B923" s="4" t="str" cm="1">
        <f t="array" ref="B923">INDEX(Sheet1!B:B,$F923)</f>
        <v>Super-Pref NS</v>
      </c>
      <c r="C923" s="4">
        <f t="shared" si="57"/>
        <v>21</v>
      </c>
      <c r="D923" s="5" cm="1">
        <f t="array" aca="1" ref="D923" ca="1">OFFSET(INDIRECT("'["&amp;$H923&amp;"]"&amp;$I923&amp;"'!"&amp;$J923),$L923,$M923)*$K923</f>
        <v>2.6000000000000003E-4</v>
      </c>
      <c r="F923" s="4">
        <f t="shared" si="58"/>
        <v>11</v>
      </c>
      <c r="G923" s="4" cm="1">
        <f t="array" ref="G923">IF($C923+$M923&lt;16,INDEX(Sheet1!C:C,$F923),$F923)</f>
        <v>11</v>
      </c>
      <c r="H923" s="4" t="str" cm="1">
        <f t="array" ref="H923">INDEX(Sheet1!D:D,$G923)</f>
        <v>2001-cso-preferred-class-structure-mortality-tables.xls</v>
      </c>
      <c r="I923" s="4" t="str" cm="1">
        <f t="array" ref="I923">INDEX(Sheet1!E:E,$G923)</f>
        <v>A.1.b.i</v>
      </c>
      <c r="J923" s="4" t="str" cm="1">
        <f t="array" ref="J923">INDEX(Sheet1!F:F,$G923)</f>
        <v>B8</v>
      </c>
      <c r="K923" s="4" cm="1">
        <f t="array" ref="K923">INDEX(Sheet1!H:H,$G923)</f>
        <v>1E-3</v>
      </c>
      <c r="L923" s="4">
        <f t="shared" si="56"/>
        <v>21</v>
      </c>
      <c r="M923" s="4">
        <f t="shared" si="59"/>
        <v>5</v>
      </c>
    </row>
    <row r="924" spans="1:13">
      <c r="A924" s="4" t="str" cm="1">
        <f t="array" ref="A924">INDEX(Sheet1!A:A,$F924)</f>
        <v>F</v>
      </c>
      <c r="B924" s="4" t="str" cm="1">
        <f t="array" ref="B924">INDEX(Sheet1!B:B,$F924)</f>
        <v>Super-Pref NS</v>
      </c>
      <c r="C924" s="4">
        <f t="shared" si="57"/>
        <v>22</v>
      </c>
      <c r="D924" s="5" cm="1">
        <f t="array" aca="1" ref="D924" ca="1">OFFSET(INDIRECT("'["&amp;$H924&amp;"]"&amp;$I924&amp;"'!"&amp;$J924),$L924,$M924)*$K924</f>
        <v>2.8000000000000003E-4</v>
      </c>
      <c r="F924" s="4">
        <f t="shared" si="58"/>
        <v>11</v>
      </c>
      <c r="G924" s="4" cm="1">
        <f t="array" ref="G924">IF($C924+$M924&lt;16,INDEX(Sheet1!C:C,$F924),$F924)</f>
        <v>11</v>
      </c>
      <c r="H924" s="4" t="str" cm="1">
        <f t="array" ref="H924">INDEX(Sheet1!D:D,$G924)</f>
        <v>2001-cso-preferred-class-structure-mortality-tables.xls</v>
      </c>
      <c r="I924" s="4" t="str" cm="1">
        <f t="array" ref="I924">INDEX(Sheet1!E:E,$G924)</f>
        <v>A.1.b.i</v>
      </c>
      <c r="J924" s="4" t="str" cm="1">
        <f t="array" ref="J924">INDEX(Sheet1!F:F,$G924)</f>
        <v>B8</v>
      </c>
      <c r="K924" s="4" cm="1">
        <f t="array" ref="K924">INDEX(Sheet1!H:H,$G924)</f>
        <v>1E-3</v>
      </c>
      <c r="L924" s="4">
        <f t="shared" si="56"/>
        <v>22</v>
      </c>
      <c r="M924" s="4">
        <f t="shared" si="59"/>
        <v>5</v>
      </c>
    </row>
    <row r="925" spans="1:13">
      <c r="A925" s="4" t="str" cm="1">
        <f t="array" ref="A925">INDEX(Sheet1!A:A,$F925)</f>
        <v>F</v>
      </c>
      <c r="B925" s="4" t="str" cm="1">
        <f t="array" ref="B925">INDEX(Sheet1!B:B,$F925)</f>
        <v>Super-Pref NS</v>
      </c>
      <c r="C925" s="4">
        <f t="shared" si="57"/>
        <v>23</v>
      </c>
      <c r="D925" s="5" cm="1">
        <f t="array" aca="1" ref="D925" ca="1">OFFSET(INDIRECT("'["&amp;$H925&amp;"]"&amp;$I925&amp;"'!"&amp;$J925),$L925,$M925)*$K925</f>
        <v>2.9E-4</v>
      </c>
      <c r="F925" s="4">
        <f t="shared" si="58"/>
        <v>11</v>
      </c>
      <c r="G925" s="4" cm="1">
        <f t="array" ref="G925">IF($C925+$M925&lt;16,INDEX(Sheet1!C:C,$F925),$F925)</f>
        <v>11</v>
      </c>
      <c r="H925" s="4" t="str" cm="1">
        <f t="array" ref="H925">INDEX(Sheet1!D:D,$G925)</f>
        <v>2001-cso-preferred-class-structure-mortality-tables.xls</v>
      </c>
      <c r="I925" s="4" t="str" cm="1">
        <f t="array" ref="I925">INDEX(Sheet1!E:E,$G925)</f>
        <v>A.1.b.i</v>
      </c>
      <c r="J925" s="4" t="str" cm="1">
        <f t="array" ref="J925">INDEX(Sheet1!F:F,$G925)</f>
        <v>B8</v>
      </c>
      <c r="K925" s="4" cm="1">
        <f t="array" ref="K925">INDEX(Sheet1!H:H,$G925)</f>
        <v>1E-3</v>
      </c>
      <c r="L925" s="4">
        <f t="shared" si="56"/>
        <v>23</v>
      </c>
      <c r="M925" s="4">
        <f t="shared" si="59"/>
        <v>5</v>
      </c>
    </row>
    <row r="926" spans="1:13">
      <c r="A926" s="4" t="str" cm="1">
        <f t="array" ref="A926">INDEX(Sheet1!A:A,$F926)</f>
        <v>F</v>
      </c>
      <c r="B926" s="4" t="str" cm="1">
        <f t="array" ref="B926">INDEX(Sheet1!B:B,$F926)</f>
        <v>Super-Pref NS</v>
      </c>
      <c r="C926" s="4">
        <f t="shared" si="57"/>
        <v>24</v>
      </c>
      <c r="D926" s="5" cm="1">
        <f t="array" aca="1" ref="D926" ca="1">OFFSET(INDIRECT("'["&amp;$H926&amp;"]"&amp;$I926&amp;"'!"&amp;$J926),$L926,$M926)*$K926</f>
        <v>3.1E-4</v>
      </c>
      <c r="F926" s="4">
        <f t="shared" si="58"/>
        <v>11</v>
      </c>
      <c r="G926" s="4" cm="1">
        <f t="array" ref="G926">IF($C926+$M926&lt;16,INDEX(Sheet1!C:C,$F926),$F926)</f>
        <v>11</v>
      </c>
      <c r="H926" s="4" t="str" cm="1">
        <f t="array" ref="H926">INDEX(Sheet1!D:D,$G926)</f>
        <v>2001-cso-preferred-class-structure-mortality-tables.xls</v>
      </c>
      <c r="I926" s="4" t="str" cm="1">
        <f t="array" ref="I926">INDEX(Sheet1!E:E,$G926)</f>
        <v>A.1.b.i</v>
      </c>
      <c r="J926" s="4" t="str" cm="1">
        <f t="array" ref="J926">INDEX(Sheet1!F:F,$G926)</f>
        <v>B8</v>
      </c>
      <c r="K926" s="4" cm="1">
        <f t="array" ref="K926">INDEX(Sheet1!H:H,$G926)</f>
        <v>1E-3</v>
      </c>
      <c r="L926" s="4">
        <f t="shared" si="56"/>
        <v>24</v>
      </c>
      <c r="M926" s="4">
        <f t="shared" si="59"/>
        <v>5</v>
      </c>
    </row>
    <row r="927" spans="1:13">
      <c r="A927" s="4" t="str" cm="1">
        <f t="array" ref="A927">INDEX(Sheet1!A:A,$F927)</f>
        <v>F</v>
      </c>
      <c r="B927" s="4" t="str" cm="1">
        <f t="array" ref="B927">INDEX(Sheet1!B:B,$F927)</f>
        <v>Super-Pref NS</v>
      </c>
      <c r="C927" s="4">
        <f t="shared" si="57"/>
        <v>25</v>
      </c>
      <c r="D927" s="5" cm="1">
        <f t="array" aca="1" ref="D927" ca="1">OFFSET(INDIRECT("'["&amp;$H927&amp;"]"&amp;$I927&amp;"'!"&amp;$J927),$L927,$M927)*$K927</f>
        <v>3.2000000000000003E-4</v>
      </c>
      <c r="F927" s="4">
        <f t="shared" si="58"/>
        <v>11</v>
      </c>
      <c r="G927" s="4" cm="1">
        <f t="array" ref="G927">IF($C927+$M927&lt;16,INDEX(Sheet1!C:C,$F927),$F927)</f>
        <v>11</v>
      </c>
      <c r="H927" s="4" t="str" cm="1">
        <f t="array" ref="H927">INDEX(Sheet1!D:D,$G927)</f>
        <v>2001-cso-preferred-class-structure-mortality-tables.xls</v>
      </c>
      <c r="I927" s="4" t="str" cm="1">
        <f t="array" ref="I927">INDEX(Sheet1!E:E,$G927)</f>
        <v>A.1.b.i</v>
      </c>
      <c r="J927" s="4" t="str" cm="1">
        <f t="array" ref="J927">INDEX(Sheet1!F:F,$G927)</f>
        <v>B8</v>
      </c>
      <c r="K927" s="4" cm="1">
        <f t="array" ref="K927">INDEX(Sheet1!H:H,$G927)</f>
        <v>1E-3</v>
      </c>
      <c r="L927" s="4">
        <f t="shared" si="56"/>
        <v>25</v>
      </c>
      <c r="M927" s="4">
        <f t="shared" si="59"/>
        <v>5</v>
      </c>
    </row>
    <row r="928" spans="1:13">
      <c r="A928" s="4" t="str" cm="1">
        <f t="array" ref="A928">INDEX(Sheet1!A:A,$F928)</f>
        <v>F</v>
      </c>
      <c r="B928" s="4" t="str" cm="1">
        <f t="array" ref="B928">INDEX(Sheet1!B:B,$F928)</f>
        <v>Super-Pref NS</v>
      </c>
      <c r="C928" s="4">
        <f t="shared" si="57"/>
        <v>26</v>
      </c>
      <c r="D928" s="5" cm="1">
        <f t="array" aca="1" ref="D928" ca="1">OFFSET(INDIRECT("'["&amp;$H928&amp;"]"&amp;$I928&amp;"'!"&amp;$J928),$L928,$M928)*$K928</f>
        <v>3.4000000000000002E-4</v>
      </c>
      <c r="F928" s="4">
        <f t="shared" si="58"/>
        <v>11</v>
      </c>
      <c r="G928" s="4" cm="1">
        <f t="array" ref="G928">IF($C928+$M928&lt;16,INDEX(Sheet1!C:C,$F928),$F928)</f>
        <v>11</v>
      </c>
      <c r="H928" s="4" t="str" cm="1">
        <f t="array" ref="H928">INDEX(Sheet1!D:D,$G928)</f>
        <v>2001-cso-preferred-class-structure-mortality-tables.xls</v>
      </c>
      <c r="I928" s="4" t="str" cm="1">
        <f t="array" ref="I928">INDEX(Sheet1!E:E,$G928)</f>
        <v>A.1.b.i</v>
      </c>
      <c r="J928" s="4" t="str" cm="1">
        <f t="array" ref="J928">INDEX(Sheet1!F:F,$G928)</f>
        <v>B8</v>
      </c>
      <c r="K928" s="4" cm="1">
        <f t="array" ref="K928">INDEX(Sheet1!H:H,$G928)</f>
        <v>1E-3</v>
      </c>
      <c r="L928" s="4">
        <f t="shared" si="56"/>
        <v>26</v>
      </c>
      <c r="M928" s="4">
        <f t="shared" si="59"/>
        <v>5</v>
      </c>
    </row>
    <row r="929" spans="1:13">
      <c r="A929" s="4" t="str" cm="1">
        <f t="array" ref="A929">INDEX(Sheet1!A:A,$F929)</f>
        <v>F</v>
      </c>
      <c r="B929" s="4" t="str" cm="1">
        <f t="array" ref="B929">INDEX(Sheet1!B:B,$F929)</f>
        <v>Super-Pref NS</v>
      </c>
      <c r="C929" s="4">
        <f t="shared" si="57"/>
        <v>27</v>
      </c>
      <c r="D929" s="5" cm="1">
        <f t="array" aca="1" ref="D929" ca="1">OFFSET(INDIRECT("'["&amp;$H929&amp;"]"&amp;$I929&amp;"'!"&amp;$J929),$L929,$M929)*$K929</f>
        <v>3.5E-4</v>
      </c>
      <c r="F929" s="4">
        <f t="shared" si="58"/>
        <v>11</v>
      </c>
      <c r="G929" s="4" cm="1">
        <f t="array" ref="G929">IF($C929+$M929&lt;16,INDEX(Sheet1!C:C,$F929),$F929)</f>
        <v>11</v>
      </c>
      <c r="H929" s="4" t="str" cm="1">
        <f t="array" ref="H929">INDEX(Sheet1!D:D,$G929)</f>
        <v>2001-cso-preferred-class-structure-mortality-tables.xls</v>
      </c>
      <c r="I929" s="4" t="str" cm="1">
        <f t="array" ref="I929">INDEX(Sheet1!E:E,$G929)</f>
        <v>A.1.b.i</v>
      </c>
      <c r="J929" s="4" t="str" cm="1">
        <f t="array" ref="J929">INDEX(Sheet1!F:F,$G929)</f>
        <v>B8</v>
      </c>
      <c r="K929" s="4" cm="1">
        <f t="array" ref="K929">INDEX(Sheet1!H:H,$G929)</f>
        <v>1E-3</v>
      </c>
      <c r="L929" s="4">
        <f t="shared" si="56"/>
        <v>27</v>
      </c>
      <c r="M929" s="4">
        <f t="shared" si="59"/>
        <v>5</v>
      </c>
    </row>
    <row r="930" spans="1:13">
      <c r="A930" s="4" t="str" cm="1">
        <f t="array" ref="A930">INDEX(Sheet1!A:A,$F930)</f>
        <v>F</v>
      </c>
      <c r="B930" s="4" t="str" cm="1">
        <f t="array" ref="B930">INDEX(Sheet1!B:B,$F930)</f>
        <v>Super-Pref NS</v>
      </c>
      <c r="C930" s="4">
        <f t="shared" si="57"/>
        <v>28</v>
      </c>
      <c r="D930" s="5" cm="1">
        <f t="array" aca="1" ref="D930" ca="1">OFFSET(INDIRECT("'["&amp;$H930&amp;"]"&amp;$I930&amp;"'!"&amp;$J930),$L930,$M930)*$K930</f>
        <v>3.6999999999999999E-4</v>
      </c>
      <c r="F930" s="4">
        <f t="shared" si="58"/>
        <v>11</v>
      </c>
      <c r="G930" s="4" cm="1">
        <f t="array" ref="G930">IF($C930+$M930&lt;16,INDEX(Sheet1!C:C,$F930),$F930)</f>
        <v>11</v>
      </c>
      <c r="H930" s="4" t="str" cm="1">
        <f t="array" ref="H930">INDEX(Sheet1!D:D,$G930)</f>
        <v>2001-cso-preferred-class-structure-mortality-tables.xls</v>
      </c>
      <c r="I930" s="4" t="str" cm="1">
        <f t="array" ref="I930">INDEX(Sheet1!E:E,$G930)</f>
        <v>A.1.b.i</v>
      </c>
      <c r="J930" s="4" t="str" cm="1">
        <f t="array" ref="J930">INDEX(Sheet1!F:F,$G930)</f>
        <v>B8</v>
      </c>
      <c r="K930" s="4" cm="1">
        <f t="array" ref="K930">INDEX(Sheet1!H:H,$G930)</f>
        <v>1E-3</v>
      </c>
      <c r="L930" s="4">
        <f t="shared" si="56"/>
        <v>28</v>
      </c>
      <c r="M930" s="4">
        <f t="shared" si="59"/>
        <v>5</v>
      </c>
    </row>
    <row r="931" spans="1:13">
      <c r="A931" s="4" t="str" cm="1">
        <f t="array" ref="A931">INDEX(Sheet1!A:A,$F931)</f>
        <v>F</v>
      </c>
      <c r="B931" s="4" t="str" cm="1">
        <f t="array" ref="B931">INDEX(Sheet1!B:B,$F931)</f>
        <v>Super-Pref NS</v>
      </c>
      <c r="C931" s="4">
        <f t="shared" si="57"/>
        <v>29</v>
      </c>
      <c r="D931" s="5" cm="1">
        <f t="array" aca="1" ref="D931" ca="1">OFFSET(INDIRECT("'["&amp;$H931&amp;"]"&amp;$I931&amp;"'!"&amp;$J931),$L931,$M931)*$K931</f>
        <v>3.9000000000000005E-4</v>
      </c>
      <c r="F931" s="4">
        <f t="shared" si="58"/>
        <v>11</v>
      </c>
      <c r="G931" s="4" cm="1">
        <f t="array" ref="G931">IF($C931+$M931&lt;16,INDEX(Sheet1!C:C,$F931),$F931)</f>
        <v>11</v>
      </c>
      <c r="H931" s="4" t="str" cm="1">
        <f t="array" ref="H931">INDEX(Sheet1!D:D,$G931)</f>
        <v>2001-cso-preferred-class-structure-mortality-tables.xls</v>
      </c>
      <c r="I931" s="4" t="str" cm="1">
        <f t="array" ref="I931">INDEX(Sheet1!E:E,$G931)</f>
        <v>A.1.b.i</v>
      </c>
      <c r="J931" s="4" t="str" cm="1">
        <f t="array" ref="J931">INDEX(Sheet1!F:F,$G931)</f>
        <v>B8</v>
      </c>
      <c r="K931" s="4" cm="1">
        <f t="array" ref="K931">INDEX(Sheet1!H:H,$G931)</f>
        <v>1E-3</v>
      </c>
      <c r="L931" s="4">
        <f t="shared" si="56"/>
        <v>29</v>
      </c>
      <c r="M931" s="4">
        <f t="shared" si="59"/>
        <v>5</v>
      </c>
    </row>
    <row r="932" spans="1:13">
      <c r="A932" s="4" t="str" cm="1">
        <f t="array" ref="A932">INDEX(Sheet1!A:A,$F932)</f>
        <v>F</v>
      </c>
      <c r="B932" s="4" t="str" cm="1">
        <f t="array" ref="B932">INDEX(Sheet1!B:B,$F932)</f>
        <v>Super-Pref NS</v>
      </c>
      <c r="C932" s="4">
        <f t="shared" si="57"/>
        <v>30</v>
      </c>
      <c r="D932" s="5" cm="1">
        <f t="array" aca="1" ref="D932" ca="1">OFFSET(INDIRECT("'["&amp;$H932&amp;"]"&amp;$I932&amp;"'!"&amp;$J932),$L932,$M932)*$K932</f>
        <v>4.0000000000000002E-4</v>
      </c>
      <c r="F932" s="4">
        <f t="shared" si="58"/>
        <v>11</v>
      </c>
      <c r="G932" s="4" cm="1">
        <f t="array" ref="G932">IF($C932+$M932&lt;16,INDEX(Sheet1!C:C,$F932),$F932)</f>
        <v>11</v>
      </c>
      <c r="H932" s="4" t="str" cm="1">
        <f t="array" ref="H932">INDEX(Sheet1!D:D,$G932)</f>
        <v>2001-cso-preferred-class-structure-mortality-tables.xls</v>
      </c>
      <c r="I932" s="4" t="str" cm="1">
        <f t="array" ref="I932">INDEX(Sheet1!E:E,$G932)</f>
        <v>A.1.b.i</v>
      </c>
      <c r="J932" s="4" t="str" cm="1">
        <f t="array" ref="J932">INDEX(Sheet1!F:F,$G932)</f>
        <v>B8</v>
      </c>
      <c r="K932" s="4" cm="1">
        <f t="array" ref="K932">INDEX(Sheet1!H:H,$G932)</f>
        <v>1E-3</v>
      </c>
      <c r="L932" s="4">
        <f t="shared" si="56"/>
        <v>30</v>
      </c>
      <c r="M932" s="4">
        <f t="shared" si="59"/>
        <v>5</v>
      </c>
    </row>
    <row r="933" spans="1:13">
      <c r="A933" s="4" t="str" cm="1">
        <f t="array" ref="A933">INDEX(Sheet1!A:A,$F933)</f>
        <v>F</v>
      </c>
      <c r="B933" s="4" t="str" cm="1">
        <f t="array" ref="B933">INDEX(Sheet1!B:B,$F933)</f>
        <v>Super-Pref NS</v>
      </c>
      <c r="C933" s="4">
        <f t="shared" si="57"/>
        <v>31</v>
      </c>
      <c r="D933" s="5" cm="1">
        <f t="array" aca="1" ref="D933" ca="1">OFFSET(INDIRECT("'["&amp;$H933&amp;"]"&amp;$I933&amp;"'!"&amp;$J933),$L933,$M933)*$K933</f>
        <v>4.2000000000000002E-4</v>
      </c>
      <c r="F933" s="4">
        <f t="shared" si="58"/>
        <v>11</v>
      </c>
      <c r="G933" s="4" cm="1">
        <f t="array" ref="G933">IF($C933+$M933&lt;16,INDEX(Sheet1!C:C,$F933),$F933)</f>
        <v>11</v>
      </c>
      <c r="H933" s="4" t="str" cm="1">
        <f t="array" ref="H933">INDEX(Sheet1!D:D,$G933)</f>
        <v>2001-cso-preferred-class-structure-mortality-tables.xls</v>
      </c>
      <c r="I933" s="4" t="str" cm="1">
        <f t="array" ref="I933">INDEX(Sheet1!E:E,$G933)</f>
        <v>A.1.b.i</v>
      </c>
      <c r="J933" s="4" t="str" cm="1">
        <f t="array" ref="J933">INDEX(Sheet1!F:F,$G933)</f>
        <v>B8</v>
      </c>
      <c r="K933" s="4" cm="1">
        <f t="array" ref="K933">INDEX(Sheet1!H:H,$G933)</f>
        <v>1E-3</v>
      </c>
      <c r="L933" s="4">
        <f t="shared" si="56"/>
        <v>31</v>
      </c>
      <c r="M933" s="4">
        <f t="shared" si="59"/>
        <v>5</v>
      </c>
    </row>
    <row r="934" spans="1:13">
      <c r="A934" s="4" t="str" cm="1">
        <f t="array" ref="A934">INDEX(Sheet1!A:A,$F934)</f>
        <v>F</v>
      </c>
      <c r="B934" s="4" t="str" cm="1">
        <f t="array" ref="B934">INDEX(Sheet1!B:B,$F934)</f>
        <v>Super-Pref NS</v>
      </c>
      <c r="C934" s="4">
        <f t="shared" si="57"/>
        <v>32</v>
      </c>
      <c r="D934" s="5" cm="1">
        <f t="array" aca="1" ref="D934" ca="1">OFFSET(INDIRECT("'["&amp;$H934&amp;"]"&amp;$I934&amp;"'!"&amp;$J934),$L934,$M934)*$K934</f>
        <v>4.5000000000000004E-4</v>
      </c>
      <c r="F934" s="4">
        <f t="shared" si="58"/>
        <v>11</v>
      </c>
      <c r="G934" s="4" cm="1">
        <f t="array" ref="G934">IF($C934+$M934&lt;16,INDEX(Sheet1!C:C,$F934),$F934)</f>
        <v>11</v>
      </c>
      <c r="H934" s="4" t="str" cm="1">
        <f t="array" ref="H934">INDEX(Sheet1!D:D,$G934)</f>
        <v>2001-cso-preferred-class-structure-mortality-tables.xls</v>
      </c>
      <c r="I934" s="4" t="str" cm="1">
        <f t="array" ref="I934">INDEX(Sheet1!E:E,$G934)</f>
        <v>A.1.b.i</v>
      </c>
      <c r="J934" s="4" t="str" cm="1">
        <f t="array" ref="J934">INDEX(Sheet1!F:F,$G934)</f>
        <v>B8</v>
      </c>
      <c r="K934" s="4" cm="1">
        <f t="array" ref="K934">INDEX(Sheet1!H:H,$G934)</f>
        <v>1E-3</v>
      </c>
      <c r="L934" s="4">
        <f t="shared" si="56"/>
        <v>32</v>
      </c>
      <c r="M934" s="4">
        <f t="shared" si="59"/>
        <v>5</v>
      </c>
    </row>
    <row r="935" spans="1:13">
      <c r="A935" s="4" t="str" cm="1">
        <f t="array" ref="A935">INDEX(Sheet1!A:A,$F935)</f>
        <v>F</v>
      </c>
      <c r="B935" s="4" t="str" cm="1">
        <f t="array" ref="B935">INDEX(Sheet1!B:B,$F935)</f>
        <v>Super-Pref NS</v>
      </c>
      <c r="C935" s="4">
        <f t="shared" si="57"/>
        <v>33</v>
      </c>
      <c r="D935" s="5" cm="1">
        <f t="array" aca="1" ref="D935" ca="1">OFFSET(INDIRECT("'["&amp;$H935&amp;"]"&amp;$I935&amp;"'!"&amp;$J935),$L935,$M935)*$K935</f>
        <v>4.6999999999999999E-4</v>
      </c>
      <c r="F935" s="4">
        <f t="shared" si="58"/>
        <v>11</v>
      </c>
      <c r="G935" s="4" cm="1">
        <f t="array" ref="G935">IF($C935+$M935&lt;16,INDEX(Sheet1!C:C,$F935),$F935)</f>
        <v>11</v>
      </c>
      <c r="H935" s="4" t="str" cm="1">
        <f t="array" ref="H935">INDEX(Sheet1!D:D,$G935)</f>
        <v>2001-cso-preferred-class-structure-mortality-tables.xls</v>
      </c>
      <c r="I935" s="4" t="str" cm="1">
        <f t="array" ref="I935">INDEX(Sheet1!E:E,$G935)</f>
        <v>A.1.b.i</v>
      </c>
      <c r="J935" s="4" t="str" cm="1">
        <f t="array" ref="J935">INDEX(Sheet1!F:F,$G935)</f>
        <v>B8</v>
      </c>
      <c r="K935" s="4" cm="1">
        <f t="array" ref="K935">INDEX(Sheet1!H:H,$G935)</f>
        <v>1E-3</v>
      </c>
      <c r="L935" s="4">
        <f t="shared" si="56"/>
        <v>33</v>
      </c>
      <c r="M935" s="4">
        <f t="shared" si="59"/>
        <v>5</v>
      </c>
    </row>
    <row r="936" spans="1:13">
      <c r="A936" s="4" t="str" cm="1">
        <f t="array" ref="A936">INDEX(Sheet1!A:A,$F936)</f>
        <v>F</v>
      </c>
      <c r="B936" s="4" t="str" cm="1">
        <f t="array" ref="B936">INDEX(Sheet1!B:B,$F936)</f>
        <v>Super-Pref NS</v>
      </c>
      <c r="C936" s="4">
        <f t="shared" si="57"/>
        <v>34</v>
      </c>
      <c r="D936" s="5" cm="1">
        <f t="array" aca="1" ref="D936" ca="1">OFFSET(INDIRECT("'["&amp;$H936&amp;"]"&amp;$I936&amp;"'!"&amp;$J936),$L936,$M936)*$K936</f>
        <v>4.8999999999999998E-4</v>
      </c>
      <c r="F936" s="4">
        <f t="shared" si="58"/>
        <v>11</v>
      </c>
      <c r="G936" s="4" cm="1">
        <f t="array" ref="G936">IF($C936+$M936&lt;16,INDEX(Sheet1!C:C,$F936),$F936)</f>
        <v>11</v>
      </c>
      <c r="H936" s="4" t="str" cm="1">
        <f t="array" ref="H936">INDEX(Sheet1!D:D,$G936)</f>
        <v>2001-cso-preferred-class-structure-mortality-tables.xls</v>
      </c>
      <c r="I936" s="4" t="str" cm="1">
        <f t="array" ref="I936">INDEX(Sheet1!E:E,$G936)</f>
        <v>A.1.b.i</v>
      </c>
      <c r="J936" s="4" t="str" cm="1">
        <f t="array" ref="J936">INDEX(Sheet1!F:F,$G936)</f>
        <v>B8</v>
      </c>
      <c r="K936" s="4" cm="1">
        <f t="array" ref="K936">INDEX(Sheet1!H:H,$G936)</f>
        <v>1E-3</v>
      </c>
      <c r="L936" s="4">
        <f t="shared" si="56"/>
        <v>34</v>
      </c>
      <c r="M936" s="4">
        <f t="shared" si="59"/>
        <v>5</v>
      </c>
    </row>
    <row r="937" spans="1:13">
      <c r="A937" s="4" t="str" cm="1">
        <f t="array" ref="A937">INDEX(Sheet1!A:A,$F937)</f>
        <v>F</v>
      </c>
      <c r="B937" s="4" t="str" cm="1">
        <f t="array" ref="B937">INDEX(Sheet1!B:B,$F937)</f>
        <v>Super-Pref NS</v>
      </c>
      <c r="C937" s="4">
        <f t="shared" si="57"/>
        <v>35</v>
      </c>
      <c r="D937" s="5" cm="1">
        <f t="array" aca="1" ref="D937" ca="1">OFFSET(INDIRECT("'["&amp;$H937&amp;"]"&amp;$I937&amp;"'!"&amp;$J937),$L937,$M937)*$K937</f>
        <v>5.3000000000000009E-4</v>
      </c>
      <c r="F937" s="4">
        <f t="shared" si="58"/>
        <v>11</v>
      </c>
      <c r="G937" s="4" cm="1">
        <f t="array" ref="G937">IF($C937+$M937&lt;16,INDEX(Sheet1!C:C,$F937),$F937)</f>
        <v>11</v>
      </c>
      <c r="H937" s="4" t="str" cm="1">
        <f t="array" ref="H937">INDEX(Sheet1!D:D,$G937)</f>
        <v>2001-cso-preferred-class-structure-mortality-tables.xls</v>
      </c>
      <c r="I937" s="4" t="str" cm="1">
        <f t="array" ref="I937">INDEX(Sheet1!E:E,$G937)</f>
        <v>A.1.b.i</v>
      </c>
      <c r="J937" s="4" t="str" cm="1">
        <f t="array" ref="J937">INDEX(Sheet1!F:F,$G937)</f>
        <v>B8</v>
      </c>
      <c r="K937" s="4" cm="1">
        <f t="array" ref="K937">INDEX(Sheet1!H:H,$G937)</f>
        <v>1E-3</v>
      </c>
      <c r="L937" s="4">
        <f t="shared" si="56"/>
        <v>35</v>
      </c>
      <c r="M937" s="4">
        <f t="shared" si="59"/>
        <v>5</v>
      </c>
    </row>
    <row r="938" spans="1:13">
      <c r="A938" s="4" t="str" cm="1">
        <f t="array" ref="A938">INDEX(Sheet1!A:A,$F938)</f>
        <v>F</v>
      </c>
      <c r="B938" s="4" t="str" cm="1">
        <f t="array" ref="B938">INDEX(Sheet1!B:B,$F938)</f>
        <v>Super-Pref NS</v>
      </c>
      <c r="C938" s="4">
        <f t="shared" si="57"/>
        <v>36</v>
      </c>
      <c r="D938" s="5" cm="1">
        <f t="array" aca="1" ref="D938" ca="1">OFFSET(INDIRECT("'["&amp;$H938&amp;"]"&amp;$I938&amp;"'!"&amp;$J938),$L938,$M938)*$K938</f>
        <v>5.8E-4</v>
      </c>
      <c r="F938" s="4">
        <f t="shared" si="58"/>
        <v>11</v>
      </c>
      <c r="G938" s="4" cm="1">
        <f t="array" ref="G938">IF($C938+$M938&lt;16,INDEX(Sheet1!C:C,$F938),$F938)</f>
        <v>11</v>
      </c>
      <c r="H938" s="4" t="str" cm="1">
        <f t="array" ref="H938">INDEX(Sheet1!D:D,$G938)</f>
        <v>2001-cso-preferred-class-structure-mortality-tables.xls</v>
      </c>
      <c r="I938" s="4" t="str" cm="1">
        <f t="array" ref="I938">INDEX(Sheet1!E:E,$G938)</f>
        <v>A.1.b.i</v>
      </c>
      <c r="J938" s="4" t="str" cm="1">
        <f t="array" ref="J938">INDEX(Sheet1!F:F,$G938)</f>
        <v>B8</v>
      </c>
      <c r="K938" s="4" cm="1">
        <f t="array" ref="K938">INDEX(Sheet1!H:H,$G938)</f>
        <v>1E-3</v>
      </c>
      <c r="L938" s="4">
        <f t="shared" si="56"/>
        <v>36</v>
      </c>
      <c r="M938" s="4">
        <f t="shared" si="59"/>
        <v>5</v>
      </c>
    </row>
    <row r="939" spans="1:13">
      <c r="A939" s="4" t="str" cm="1">
        <f t="array" ref="A939">INDEX(Sheet1!A:A,$F939)</f>
        <v>F</v>
      </c>
      <c r="B939" s="4" t="str" cm="1">
        <f t="array" ref="B939">INDEX(Sheet1!B:B,$F939)</f>
        <v>Super-Pref NS</v>
      </c>
      <c r="C939" s="4">
        <f t="shared" si="57"/>
        <v>37</v>
      </c>
      <c r="D939" s="5" cm="1">
        <f t="array" aca="1" ref="D939" ca="1">OFFSET(INDIRECT("'["&amp;$H939&amp;"]"&amp;$I939&amp;"'!"&amp;$J939),$L939,$M939)*$K939</f>
        <v>6.2E-4</v>
      </c>
      <c r="F939" s="4">
        <f t="shared" si="58"/>
        <v>11</v>
      </c>
      <c r="G939" s="4" cm="1">
        <f t="array" ref="G939">IF($C939+$M939&lt;16,INDEX(Sheet1!C:C,$F939),$F939)</f>
        <v>11</v>
      </c>
      <c r="H939" s="4" t="str" cm="1">
        <f t="array" ref="H939">INDEX(Sheet1!D:D,$G939)</f>
        <v>2001-cso-preferred-class-structure-mortality-tables.xls</v>
      </c>
      <c r="I939" s="4" t="str" cm="1">
        <f t="array" ref="I939">INDEX(Sheet1!E:E,$G939)</f>
        <v>A.1.b.i</v>
      </c>
      <c r="J939" s="4" t="str" cm="1">
        <f t="array" ref="J939">INDEX(Sheet1!F:F,$G939)</f>
        <v>B8</v>
      </c>
      <c r="K939" s="4" cm="1">
        <f t="array" ref="K939">INDEX(Sheet1!H:H,$G939)</f>
        <v>1E-3</v>
      </c>
      <c r="L939" s="4">
        <f t="shared" si="56"/>
        <v>37</v>
      </c>
      <c r="M939" s="4">
        <f t="shared" si="59"/>
        <v>5</v>
      </c>
    </row>
    <row r="940" spans="1:13">
      <c r="A940" s="4" t="str" cm="1">
        <f t="array" ref="A940">INDEX(Sheet1!A:A,$F940)</f>
        <v>F</v>
      </c>
      <c r="B940" s="4" t="str" cm="1">
        <f t="array" ref="B940">INDEX(Sheet1!B:B,$F940)</f>
        <v>Super-Pref NS</v>
      </c>
      <c r="C940" s="4">
        <f t="shared" si="57"/>
        <v>38</v>
      </c>
      <c r="D940" s="5" cm="1">
        <f t="array" aca="1" ref="D940" ca="1">OFFSET(INDIRECT("'["&amp;$H940&amp;"]"&amp;$I940&amp;"'!"&amp;$J940),$L940,$M940)*$K940</f>
        <v>6.6E-4</v>
      </c>
      <c r="F940" s="4">
        <f t="shared" si="58"/>
        <v>11</v>
      </c>
      <c r="G940" s="4" cm="1">
        <f t="array" ref="G940">IF($C940+$M940&lt;16,INDEX(Sheet1!C:C,$F940),$F940)</f>
        <v>11</v>
      </c>
      <c r="H940" s="4" t="str" cm="1">
        <f t="array" ref="H940">INDEX(Sheet1!D:D,$G940)</f>
        <v>2001-cso-preferred-class-structure-mortality-tables.xls</v>
      </c>
      <c r="I940" s="4" t="str" cm="1">
        <f t="array" ref="I940">INDEX(Sheet1!E:E,$G940)</f>
        <v>A.1.b.i</v>
      </c>
      <c r="J940" s="4" t="str" cm="1">
        <f t="array" ref="J940">INDEX(Sheet1!F:F,$G940)</f>
        <v>B8</v>
      </c>
      <c r="K940" s="4" cm="1">
        <f t="array" ref="K940">INDEX(Sheet1!H:H,$G940)</f>
        <v>1E-3</v>
      </c>
      <c r="L940" s="4">
        <f t="shared" si="56"/>
        <v>38</v>
      </c>
      <c r="M940" s="4">
        <f t="shared" si="59"/>
        <v>5</v>
      </c>
    </row>
    <row r="941" spans="1:13">
      <c r="A941" s="4" t="str" cm="1">
        <f t="array" ref="A941">INDEX(Sheet1!A:A,$F941)</f>
        <v>F</v>
      </c>
      <c r="B941" s="4" t="str" cm="1">
        <f t="array" ref="B941">INDEX(Sheet1!B:B,$F941)</f>
        <v>Super-Pref NS</v>
      </c>
      <c r="C941" s="4">
        <f t="shared" si="57"/>
        <v>39</v>
      </c>
      <c r="D941" s="5" cm="1">
        <f t="array" aca="1" ref="D941" ca="1">OFFSET(INDIRECT("'["&amp;$H941&amp;"]"&amp;$I941&amp;"'!"&amp;$J941),$L941,$M941)*$K941</f>
        <v>7.1999999999999994E-4</v>
      </c>
      <c r="F941" s="4">
        <f t="shared" si="58"/>
        <v>11</v>
      </c>
      <c r="G941" s="4" cm="1">
        <f t="array" ref="G941">IF($C941+$M941&lt;16,INDEX(Sheet1!C:C,$F941),$F941)</f>
        <v>11</v>
      </c>
      <c r="H941" s="4" t="str" cm="1">
        <f t="array" ref="H941">INDEX(Sheet1!D:D,$G941)</f>
        <v>2001-cso-preferred-class-structure-mortality-tables.xls</v>
      </c>
      <c r="I941" s="4" t="str" cm="1">
        <f t="array" ref="I941">INDEX(Sheet1!E:E,$G941)</f>
        <v>A.1.b.i</v>
      </c>
      <c r="J941" s="4" t="str" cm="1">
        <f t="array" ref="J941">INDEX(Sheet1!F:F,$G941)</f>
        <v>B8</v>
      </c>
      <c r="K941" s="4" cm="1">
        <f t="array" ref="K941">INDEX(Sheet1!H:H,$G941)</f>
        <v>1E-3</v>
      </c>
      <c r="L941" s="4">
        <f t="shared" si="56"/>
        <v>39</v>
      </c>
      <c r="M941" s="4">
        <f t="shared" si="59"/>
        <v>5</v>
      </c>
    </row>
    <row r="942" spans="1:13">
      <c r="A942" s="4" t="str" cm="1">
        <f t="array" ref="A942">INDEX(Sheet1!A:A,$F942)</f>
        <v>F</v>
      </c>
      <c r="B942" s="4" t="str" cm="1">
        <f t="array" ref="B942">INDEX(Sheet1!B:B,$F942)</f>
        <v>Super-Pref NS</v>
      </c>
      <c r="C942" s="4">
        <f t="shared" si="57"/>
        <v>40</v>
      </c>
      <c r="D942" s="5" cm="1">
        <f t="array" aca="1" ref="D942" ca="1">OFFSET(INDIRECT("'["&amp;$H942&amp;"]"&amp;$I942&amp;"'!"&amp;$J942),$L942,$M942)*$K942</f>
        <v>7.8000000000000009E-4</v>
      </c>
      <c r="F942" s="4">
        <f t="shared" si="58"/>
        <v>11</v>
      </c>
      <c r="G942" s="4" cm="1">
        <f t="array" ref="G942">IF($C942+$M942&lt;16,INDEX(Sheet1!C:C,$F942),$F942)</f>
        <v>11</v>
      </c>
      <c r="H942" s="4" t="str" cm="1">
        <f t="array" ref="H942">INDEX(Sheet1!D:D,$G942)</f>
        <v>2001-cso-preferred-class-structure-mortality-tables.xls</v>
      </c>
      <c r="I942" s="4" t="str" cm="1">
        <f t="array" ref="I942">INDEX(Sheet1!E:E,$G942)</f>
        <v>A.1.b.i</v>
      </c>
      <c r="J942" s="4" t="str" cm="1">
        <f t="array" ref="J942">INDEX(Sheet1!F:F,$G942)</f>
        <v>B8</v>
      </c>
      <c r="K942" s="4" cm="1">
        <f t="array" ref="K942">INDEX(Sheet1!H:H,$G942)</f>
        <v>1E-3</v>
      </c>
      <c r="L942" s="4">
        <f t="shared" si="56"/>
        <v>40</v>
      </c>
      <c r="M942" s="4">
        <f t="shared" si="59"/>
        <v>5</v>
      </c>
    </row>
    <row r="943" spans="1:13">
      <c r="A943" s="4" t="str" cm="1">
        <f t="array" ref="A943">INDEX(Sheet1!A:A,$F943)</f>
        <v>F</v>
      </c>
      <c r="B943" s="4" t="str" cm="1">
        <f t="array" ref="B943">INDEX(Sheet1!B:B,$F943)</f>
        <v>Super-Pref NS</v>
      </c>
      <c r="C943" s="4">
        <f t="shared" si="57"/>
        <v>41</v>
      </c>
      <c r="D943" s="5" cm="1">
        <f t="array" aca="1" ref="D943" ca="1">OFFSET(INDIRECT("'["&amp;$H943&amp;"]"&amp;$I943&amp;"'!"&amp;$J943),$L943,$M943)*$K943</f>
        <v>8.5999999999999998E-4</v>
      </c>
      <c r="F943" s="4">
        <f t="shared" si="58"/>
        <v>11</v>
      </c>
      <c r="G943" s="4" cm="1">
        <f t="array" ref="G943">IF($C943+$M943&lt;16,INDEX(Sheet1!C:C,$F943),$F943)</f>
        <v>11</v>
      </c>
      <c r="H943" s="4" t="str" cm="1">
        <f t="array" ref="H943">INDEX(Sheet1!D:D,$G943)</f>
        <v>2001-cso-preferred-class-structure-mortality-tables.xls</v>
      </c>
      <c r="I943" s="4" t="str" cm="1">
        <f t="array" ref="I943">INDEX(Sheet1!E:E,$G943)</f>
        <v>A.1.b.i</v>
      </c>
      <c r="J943" s="4" t="str" cm="1">
        <f t="array" ref="J943">INDEX(Sheet1!F:F,$G943)</f>
        <v>B8</v>
      </c>
      <c r="K943" s="4" cm="1">
        <f t="array" ref="K943">INDEX(Sheet1!H:H,$G943)</f>
        <v>1E-3</v>
      </c>
      <c r="L943" s="4">
        <f t="shared" si="56"/>
        <v>41</v>
      </c>
      <c r="M943" s="4">
        <f t="shared" si="59"/>
        <v>5</v>
      </c>
    </row>
    <row r="944" spans="1:13">
      <c r="A944" s="4" t="str" cm="1">
        <f t="array" ref="A944">INDEX(Sheet1!A:A,$F944)</f>
        <v>F</v>
      </c>
      <c r="B944" s="4" t="str" cm="1">
        <f t="array" ref="B944">INDEX(Sheet1!B:B,$F944)</f>
        <v>Super-Pref NS</v>
      </c>
      <c r="C944" s="4">
        <f t="shared" si="57"/>
        <v>42</v>
      </c>
      <c r="D944" s="5" cm="1">
        <f t="array" aca="1" ref="D944" ca="1">OFFSET(INDIRECT("'["&amp;$H944&amp;"]"&amp;$I944&amp;"'!"&amp;$J944),$L944,$M944)*$K944</f>
        <v>9.3999999999999997E-4</v>
      </c>
      <c r="F944" s="4">
        <f t="shared" si="58"/>
        <v>11</v>
      </c>
      <c r="G944" s="4" cm="1">
        <f t="array" ref="G944">IF($C944+$M944&lt;16,INDEX(Sheet1!C:C,$F944),$F944)</f>
        <v>11</v>
      </c>
      <c r="H944" s="4" t="str" cm="1">
        <f t="array" ref="H944">INDEX(Sheet1!D:D,$G944)</f>
        <v>2001-cso-preferred-class-structure-mortality-tables.xls</v>
      </c>
      <c r="I944" s="4" t="str" cm="1">
        <f t="array" ref="I944">INDEX(Sheet1!E:E,$G944)</f>
        <v>A.1.b.i</v>
      </c>
      <c r="J944" s="4" t="str" cm="1">
        <f t="array" ref="J944">INDEX(Sheet1!F:F,$G944)</f>
        <v>B8</v>
      </c>
      <c r="K944" s="4" cm="1">
        <f t="array" ref="K944">INDEX(Sheet1!H:H,$G944)</f>
        <v>1E-3</v>
      </c>
      <c r="L944" s="4">
        <f t="shared" si="56"/>
        <v>42</v>
      </c>
      <c r="M944" s="4">
        <f t="shared" si="59"/>
        <v>5</v>
      </c>
    </row>
    <row r="945" spans="1:13">
      <c r="A945" s="4" t="str" cm="1">
        <f t="array" ref="A945">INDEX(Sheet1!A:A,$F945)</f>
        <v>F</v>
      </c>
      <c r="B945" s="4" t="str" cm="1">
        <f t="array" ref="B945">INDEX(Sheet1!B:B,$F945)</f>
        <v>Super-Pref NS</v>
      </c>
      <c r="C945" s="4">
        <f t="shared" si="57"/>
        <v>43</v>
      </c>
      <c r="D945" s="5" cm="1">
        <f t="array" aca="1" ref="D945" ca="1">OFFSET(INDIRECT("'["&amp;$H945&amp;"]"&amp;$I945&amp;"'!"&amp;$J945),$L945,$M945)*$K945</f>
        <v>1.0300000000000001E-3</v>
      </c>
      <c r="F945" s="4">
        <f t="shared" si="58"/>
        <v>11</v>
      </c>
      <c r="G945" s="4" cm="1">
        <f t="array" ref="G945">IF($C945+$M945&lt;16,INDEX(Sheet1!C:C,$F945),$F945)</f>
        <v>11</v>
      </c>
      <c r="H945" s="4" t="str" cm="1">
        <f t="array" ref="H945">INDEX(Sheet1!D:D,$G945)</f>
        <v>2001-cso-preferred-class-structure-mortality-tables.xls</v>
      </c>
      <c r="I945" s="4" t="str" cm="1">
        <f t="array" ref="I945">INDEX(Sheet1!E:E,$G945)</f>
        <v>A.1.b.i</v>
      </c>
      <c r="J945" s="4" t="str" cm="1">
        <f t="array" ref="J945">INDEX(Sheet1!F:F,$G945)</f>
        <v>B8</v>
      </c>
      <c r="K945" s="4" cm="1">
        <f t="array" ref="K945">INDEX(Sheet1!H:H,$G945)</f>
        <v>1E-3</v>
      </c>
      <c r="L945" s="4">
        <f t="shared" si="56"/>
        <v>43</v>
      </c>
      <c r="M945" s="4">
        <f t="shared" si="59"/>
        <v>5</v>
      </c>
    </row>
    <row r="946" spans="1:13">
      <c r="A946" s="4" t="str" cm="1">
        <f t="array" ref="A946">INDEX(Sheet1!A:A,$F946)</f>
        <v>F</v>
      </c>
      <c r="B946" s="4" t="str" cm="1">
        <f t="array" ref="B946">INDEX(Sheet1!B:B,$F946)</f>
        <v>Super-Pref NS</v>
      </c>
      <c r="C946" s="4">
        <f t="shared" si="57"/>
        <v>44</v>
      </c>
      <c r="D946" s="5" cm="1">
        <f t="array" aca="1" ref="D946" ca="1">OFFSET(INDIRECT("'["&amp;$H946&amp;"]"&amp;$I946&amp;"'!"&amp;$J946),$L946,$M946)*$K946</f>
        <v>1.1299999999999999E-3</v>
      </c>
      <c r="F946" s="4">
        <f t="shared" si="58"/>
        <v>11</v>
      </c>
      <c r="G946" s="4" cm="1">
        <f t="array" ref="G946">IF($C946+$M946&lt;16,INDEX(Sheet1!C:C,$F946),$F946)</f>
        <v>11</v>
      </c>
      <c r="H946" s="4" t="str" cm="1">
        <f t="array" ref="H946">INDEX(Sheet1!D:D,$G946)</f>
        <v>2001-cso-preferred-class-structure-mortality-tables.xls</v>
      </c>
      <c r="I946" s="4" t="str" cm="1">
        <f t="array" ref="I946">INDEX(Sheet1!E:E,$G946)</f>
        <v>A.1.b.i</v>
      </c>
      <c r="J946" s="4" t="str" cm="1">
        <f t="array" ref="J946">INDEX(Sheet1!F:F,$G946)</f>
        <v>B8</v>
      </c>
      <c r="K946" s="4" cm="1">
        <f t="array" ref="K946">INDEX(Sheet1!H:H,$G946)</f>
        <v>1E-3</v>
      </c>
      <c r="L946" s="4">
        <f t="shared" si="56"/>
        <v>44</v>
      </c>
      <c r="M946" s="4">
        <f t="shared" si="59"/>
        <v>5</v>
      </c>
    </row>
    <row r="947" spans="1:13">
      <c r="A947" s="4" t="str" cm="1">
        <f t="array" ref="A947">INDEX(Sheet1!A:A,$F947)</f>
        <v>F</v>
      </c>
      <c r="B947" s="4" t="str" cm="1">
        <f t="array" ref="B947">INDEX(Sheet1!B:B,$F947)</f>
        <v>Super-Pref NS</v>
      </c>
      <c r="C947" s="4">
        <f t="shared" si="57"/>
        <v>45</v>
      </c>
      <c r="D947" s="5" cm="1">
        <f t="array" aca="1" ref="D947" ca="1">OFFSET(INDIRECT("'["&amp;$H947&amp;"]"&amp;$I947&amp;"'!"&amp;$J947),$L947,$M947)*$K947</f>
        <v>1.24E-3</v>
      </c>
      <c r="F947" s="4">
        <f t="shared" si="58"/>
        <v>11</v>
      </c>
      <c r="G947" s="4" cm="1">
        <f t="array" ref="G947">IF($C947+$M947&lt;16,INDEX(Sheet1!C:C,$F947),$F947)</f>
        <v>11</v>
      </c>
      <c r="H947" s="4" t="str" cm="1">
        <f t="array" ref="H947">INDEX(Sheet1!D:D,$G947)</f>
        <v>2001-cso-preferred-class-structure-mortality-tables.xls</v>
      </c>
      <c r="I947" s="4" t="str" cm="1">
        <f t="array" ref="I947">INDEX(Sheet1!E:E,$G947)</f>
        <v>A.1.b.i</v>
      </c>
      <c r="J947" s="4" t="str" cm="1">
        <f t="array" ref="J947">INDEX(Sheet1!F:F,$G947)</f>
        <v>B8</v>
      </c>
      <c r="K947" s="4" cm="1">
        <f t="array" ref="K947">INDEX(Sheet1!H:H,$G947)</f>
        <v>1E-3</v>
      </c>
      <c r="L947" s="4">
        <f t="shared" si="56"/>
        <v>45</v>
      </c>
      <c r="M947" s="4">
        <f t="shared" si="59"/>
        <v>5</v>
      </c>
    </row>
    <row r="948" spans="1:13">
      <c r="A948" s="4" t="str" cm="1">
        <f t="array" ref="A948">INDEX(Sheet1!A:A,$F948)</f>
        <v>F</v>
      </c>
      <c r="B948" s="4" t="str" cm="1">
        <f t="array" ref="B948">INDEX(Sheet1!B:B,$F948)</f>
        <v>Super-Pref NS</v>
      </c>
      <c r="C948" s="4">
        <f t="shared" si="57"/>
        <v>46</v>
      </c>
      <c r="D948" s="5" cm="1">
        <f t="array" aca="1" ref="D948" ca="1">OFFSET(INDIRECT("'["&amp;$H948&amp;"]"&amp;$I948&amp;"'!"&amp;$J948),$L948,$M948)*$K948</f>
        <v>1.3600000000000001E-3</v>
      </c>
      <c r="F948" s="4">
        <f t="shared" si="58"/>
        <v>11</v>
      </c>
      <c r="G948" s="4" cm="1">
        <f t="array" ref="G948">IF($C948+$M948&lt;16,INDEX(Sheet1!C:C,$F948),$F948)</f>
        <v>11</v>
      </c>
      <c r="H948" s="4" t="str" cm="1">
        <f t="array" ref="H948">INDEX(Sheet1!D:D,$G948)</f>
        <v>2001-cso-preferred-class-structure-mortality-tables.xls</v>
      </c>
      <c r="I948" s="4" t="str" cm="1">
        <f t="array" ref="I948">INDEX(Sheet1!E:E,$G948)</f>
        <v>A.1.b.i</v>
      </c>
      <c r="J948" s="4" t="str" cm="1">
        <f t="array" ref="J948">INDEX(Sheet1!F:F,$G948)</f>
        <v>B8</v>
      </c>
      <c r="K948" s="4" cm="1">
        <f t="array" ref="K948">INDEX(Sheet1!H:H,$G948)</f>
        <v>1E-3</v>
      </c>
      <c r="L948" s="4">
        <f t="shared" si="56"/>
        <v>46</v>
      </c>
      <c r="M948" s="4">
        <f t="shared" si="59"/>
        <v>5</v>
      </c>
    </row>
    <row r="949" spans="1:13">
      <c r="A949" s="4" t="str" cm="1">
        <f t="array" ref="A949">INDEX(Sheet1!A:A,$F949)</f>
        <v>F</v>
      </c>
      <c r="B949" s="4" t="str" cm="1">
        <f t="array" ref="B949">INDEX(Sheet1!B:B,$F949)</f>
        <v>Super-Pref NS</v>
      </c>
      <c r="C949" s="4">
        <f t="shared" si="57"/>
        <v>47</v>
      </c>
      <c r="D949" s="5" cm="1">
        <f t="array" aca="1" ref="D949" ca="1">OFFSET(INDIRECT("'["&amp;$H949&amp;"]"&amp;$I949&amp;"'!"&amp;$J949),$L949,$M949)*$K949</f>
        <v>1.47E-3</v>
      </c>
      <c r="F949" s="4">
        <f t="shared" si="58"/>
        <v>11</v>
      </c>
      <c r="G949" s="4" cm="1">
        <f t="array" ref="G949">IF($C949+$M949&lt;16,INDEX(Sheet1!C:C,$F949),$F949)</f>
        <v>11</v>
      </c>
      <c r="H949" s="4" t="str" cm="1">
        <f t="array" ref="H949">INDEX(Sheet1!D:D,$G949)</f>
        <v>2001-cso-preferred-class-structure-mortality-tables.xls</v>
      </c>
      <c r="I949" s="4" t="str" cm="1">
        <f t="array" ref="I949">INDEX(Sheet1!E:E,$G949)</f>
        <v>A.1.b.i</v>
      </c>
      <c r="J949" s="4" t="str" cm="1">
        <f t="array" ref="J949">INDEX(Sheet1!F:F,$G949)</f>
        <v>B8</v>
      </c>
      <c r="K949" s="4" cm="1">
        <f t="array" ref="K949">INDEX(Sheet1!H:H,$G949)</f>
        <v>1E-3</v>
      </c>
      <c r="L949" s="4">
        <f t="shared" si="56"/>
        <v>47</v>
      </c>
      <c r="M949" s="4">
        <f t="shared" si="59"/>
        <v>5</v>
      </c>
    </row>
    <row r="950" spans="1:13">
      <c r="A950" s="4" t="str" cm="1">
        <f t="array" ref="A950">INDEX(Sheet1!A:A,$F950)</f>
        <v>F</v>
      </c>
      <c r="B950" s="4" t="str" cm="1">
        <f t="array" ref="B950">INDEX(Sheet1!B:B,$F950)</f>
        <v>Super-Pref NS</v>
      </c>
      <c r="C950" s="4">
        <f t="shared" si="57"/>
        <v>48</v>
      </c>
      <c r="D950" s="5" cm="1">
        <f t="array" aca="1" ref="D950" ca="1">OFFSET(INDIRECT("'["&amp;$H950&amp;"]"&amp;$I950&amp;"'!"&amp;$J950),$L950,$M950)*$K950</f>
        <v>1.6000000000000001E-3</v>
      </c>
      <c r="F950" s="4">
        <f t="shared" si="58"/>
        <v>11</v>
      </c>
      <c r="G950" s="4" cm="1">
        <f t="array" ref="G950">IF($C950+$M950&lt;16,INDEX(Sheet1!C:C,$F950),$F950)</f>
        <v>11</v>
      </c>
      <c r="H950" s="4" t="str" cm="1">
        <f t="array" ref="H950">INDEX(Sheet1!D:D,$G950)</f>
        <v>2001-cso-preferred-class-structure-mortality-tables.xls</v>
      </c>
      <c r="I950" s="4" t="str" cm="1">
        <f t="array" ref="I950">INDEX(Sheet1!E:E,$G950)</f>
        <v>A.1.b.i</v>
      </c>
      <c r="J950" s="4" t="str" cm="1">
        <f t="array" ref="J950">INDEX(Sheet1!F:F,$G950)</f>
        <v>B8</v>
      </c>
      <c r="K950" s="4" cm="1">
        <f t="array" ref="K950">INDEX(Sheet1!H:H,$G950)</f>
        <v>1E-3</v>
      </c>
      <c r="L950" s="4">
        <f t="shared" si="56"/>
        <v>48</v>
      </c>
      <c r="M950" s="4">
        <f t="shared" si="59"/>
        <v>5</v>
      </c>
    </row>
    <row r="951" spans="1:13">
      <c r="A951" s="4" t="str" cm="1">
        <f t="array" ref="A951">INDEX(Sheet1!A:A,$F951)</f>
        <v>F</v>
      </c>
      <c r="B951" s="4" t="str" cm="1">
        <f t="array" ref="B951">INDEX(Sheet1!B:B,$F951)</f>
        <v>Super-Pref NS</v>
      </c>
      <c r="C951" s="4">
        <f t="shared" si="57"/>
        <v>49</v>
      </c>
      <c r="D951" s="5" cm="1">
        <f t="array" aca="1" ref="D951" ca="1">OFFSET(INDIRECT("'["&amp;$H951&amp;"]"&amp;$I951&amp;"'!"&amp;$J951),$L951,$M951)*$K951</f>
        <v>1.7099999999999999E-3</v>
      </c>
      <c r="F951" s="4">
        <f t="shared" si="58"/>
        <v>11</v>
      </c>
      <c r="G951" s="4" cm="1">
        <f t="array" ref="G951">IF($C951+$M951&lt;16,INDEX(Sheet1!C:C,$F951),$F951)</f>
        <v>11</v>
      </c>
      <c r="H951" s="4" t="str" cm="1">
        <f t="array" ref="H951">INDEX(Sheet1!D:D,$G951)</f>
        <v>2001-cso-preferred-class-structure-mortality-tables.xls</v>
      </c>
      <c r="I951" s="4" t="str" cm="1">
        <f t="array" ref="I951">INDEX(Sheet1!E:E,$G951)</f>
        <v>A.1.b.i</v>
      </c>
      <c r="J951" s="4" t="str" cm="1">
        <f t="array" ref="J951">INDEX(Sheet1!F:F,$G951)</f>
        <v>B8</v>
      </c>
      <c r="K951" s="4" cm="1">
        <f t="array" ref="K951">INDEX(Sheet1!H:H,$G951)</f>
        <v>1E-3</v>
      </c>
      <c r="L951" s="4">
        <f t="shared" si="56"/>
        <v>49</v>
      </c>
      <c r="M951" s="4">
        <f t="shared" si="59"/>
        <v>5</v>
      </c>
    </row>
    <row r="952" spans="1:13">
      <c r="A952" s="4" t="str" cm="1">
        <f t="array" ref="A952">INDEX(Sheet1!A:A,$F952)</f>
        <v>F</v>
      </c>
      <c r="B952" s="4" t="str" cm="1">
        <f t="array" ref="B952">INDEX(Sheet1!B:B,$F952)</f>
        <v>Super-Pref NS</v>
      </c>
      <c r="C952" s="4">
        <f t="shared" si="57"/>
        <v>50</v>
      </c>
      <c r="D952" s="5" cm="1">
        <f t="array" aca="1" ref="D952" ca="1">OFFSET(INDIRECT("'["&amp;$H952&amp;"]"&amp;$I952&amp;"'!"&amp;$J952),$L952,$M952)*$K952</f>
        <v>1.83E-3</v>
      </c>
      <c r="F952" s="4">
        <f t="shared" si="58"/>
        <v>11</v>
      </c>
      <c r="G952" s="4" cm="1">
        <f t="array" ref="G952">IF($C952+$M952&lt;16,INDEX(Sheet1!C:C,$F952),$F952)</f>
        <v>11</v>
      </c>
      <c r="H952" s="4" t="str" cm="1">
        <f t="array" ref="H952">INDEX(Sheet1!D:D,$G952)</f>
        <v>2001-cso-preferred-class-structure-mortality-tables.xls</v>
      </c>
      <c r="I952" s="4" t="str" cm="1">
        <f t="array" ref="I952">INDEX(Sheet1!E:E,$G952)</f>
        <v>A.1.b.i</v>
      </c>
      <c r="J952" s="4" t="str" cm="1">
        <f t="array" ref="J952">INDEX(Sheet1!F:F,$G952)</f>
        <v>B8</v>
      </c>
      <c r="K952" s="4" cm="1">
        <f t="array" ref="K952">INDEX(Sheet1!H:H,$G952)</f>
        <v>1E-3</v>
      </c>
      <c r="L952" s="4">
        <f t="shared" si="56"/>
        <v>50</v>
      </c>
      <c r="M952" s="4">
        <f t="shared" si="59"/>
        <v>5</v>
      </c>
    </row>
    <row r="953" spans="1:13">
      <c r="A953" s="4" t="str" cm="1">
        <f t="array" ref="A953">INDEX(Sheet1!A:A,$F953)</f>
        <v>F</v>
      </c>
      <c r="B953" s="4" t="str" cm="1">
        <f t="array" ref="B953">INDEX(Sheet1!B:B,$F953)</f>
        <v>Super-Pref NS</v>
      </c>
      <c r="C953" s="4">
        <f t="shared" si="57"/>
        <v>51</v>
      </c>
      <c r="D953" s="5" cm="1">
        <f t="array" aca="1" ref="D953" ca="1">OFFSET(INDIRECT("'["&amp;$H953&amp;"]"&amp;$I953&amp;"'!"&amp;$J953),$L953,$M953)*$K953</f>
        <v>1.9499999999999999E-3</v>
      </c>
      <c r="F953" s="4">
        <f t="shared" si="58"/>
        <v>11</v>
      </c>
      <c r="G953" s="4" cm="1">
        <f t="array" ref="G953">IF($C953+$M953&lt;16,INDEX(Sheet1!C:C,$F953),$F953)</f>
        <v>11</v>
      </c>
      <c r="H953" s="4" t="str" cm="1">
        <f t="array" ref="H953">INDEX(Sheet1!D:D,$G953)</f>
        <v>2001-cso-preferred-class-structure-mortality-tables.xls</v>
      </c>
      <c r="I953" s="4" t="str" cm="1">
        <f t="array" ref="I953">INDEX(Sheet1!E:E,$G953)</f>
        <v>A.1.b.i</v>
      </c>
      <c r="J953" s="4" t="str" cm="1">
        <f t="array" ref="J953">INDEX(Sheet1!F:F,$G953)</f>
        <v>B8</v>
      </c>
      <c r="K953" s="4" cm="1">
        <f t="array" ref="K953">INDEX(Sheet1!H:H,$G953)</f>
        <v>1E-3</v>
      </c>
      <c r="L953" s="4">
        <f t="shared" si="56"/>
        <v>51</v>
      </c>
      <c r="M953" s="4">
        <f t="shared" si="59"/>
        <v>5</v>
      </c>
    </row>
    <row r="954" spans="1:13">
      <c r="A954" s="4" t="str" cm="1">
        <f t="array" ref="A954">INDEX(Sheet1!A:A,$F954)</f>
        <v>F</v>
      </c>
      <c r="B954" s="4" t="str" cm="1">
        <f t="array" ref="B954">INDEX(Sheet1!B:B,$F954)</f>
        <v>Super-Pref NS</v>
      </c>
      <c r="C954" s="4">
        <f t="shared" si="57"/>
        <v>52</v>
      </c>
      <c r="D954" s="5" cm="1">
        <f t="array" aca="1" ref="D954" ca="1">OFFSET(INDIRECT("'["&amp;$H954&amp;"]"&amp;$I954&amp;"'!"&amp;$J954),$L954,$M954)*$K954</f>
        <v>2.0699999999999998E-3</v>
      </c>
      <c r="F954" s="4">
        <f t="shared" si="58"/>
        <v>11</v>
      </c>
      <c r="G954" s="4" cm="1">
        <f t="array" ref="G954">IF($C954+$M954&lt;16,INDEX(Sheet1!C:C,$F954),$F954)</f>
        <v>11</v>
      </c>
      <c r="H954" s="4" t="str" cm="1">
        <f t="array" ref="H954">INDEX(Sheet1!D:D,$G954)</f>
        <v>2001-cso-preferred-class-structure-mortality-tables.xls</v>
      </c>
      <c r="I954" s="4" t="str" cm="1">
        <f t="array" ref="I954">INDEX(Sheet1!E:E,$G954)</f>
        <v>A.1.b.i</v>
      </c>
      <c r="J954" s="4" t="str" cm="1">
        <f t="array" ref="J954">INDEX(Sheet1!F:F,$G954)</f>
        <v>B8</v>
      </c>
      <c r="K954" s="4" cm="1">
        <f t="array" ref="K954">INDEX(Sheet1!H:H,$G954)</f>
        <v>1E-3</v>
      </c>
      <c r="L954" s="4">
        <f t="shared" si="56"/>
        <v>52</v>
      </c>
      <c r="M954" s="4">
        <f t="shared" si="59"/>
        <v>5</v>
      </c>
    </row>
    <row r="955" spans="1:13">
      <c r="A955" s="4" t="str" cm="1">
        <f t="array" ref="A955">INDEX(Sheet1!A:A,$F955)</f>
        <v>F</v>
      </c>
      <c r="B955" s="4" t="str" cm="1">
        <f t="array" ref="B955">INDEX(Sheet1!B:B,$F955)</f>
        <v>Super-Pref NS</v>
      </c>
      <c r="C955" s="4">
        <f t="shared" si="57"/>
        <v>53</v>
      </c>
      <c r="D955" s="5" cm="1">
        <f t="array" aca="1" ref="D955" ca="1">OFFSET(INDIRECT("'["&amp;$H955&amp;"]"&amp;$I955&amp;"'!"&amp;$J955),$L955,$M955)*$K955</f>
        <v>2.1900000000000001E-3</v>
      </c>
      <c r="F955" s="4">
        <f t="shared" si="58"/>
        <v>11</v>
      </c>
      <c r="G955" s="4" cm="1">
        <f t="array" ref="G955">IF($C955+$M955&lt;16,INDEX(Sheet1!C:C,$F955),$F955)</f>
        <v>11</v>
      </c>
      <c r="H955" s="4" t="str" cm="1">
        <f t="array" ref="H955">INDEX(Sheet1!D:D,$G955)</f>
        <v>2001-cso-preferred-class-structure-mortality-tables.xls</v>
      </c>
      <c r="I955" s="4" t="str" cm="1">
        <f t="array" ref="I955">INDEX(Sheet1!E:E,$G955)</f>
        <v>A.1.b.i</v>
      </c>
      <c r="J955" s="4" t="str" cm="1">
        <f t="array" ref="J955">INDEX(Sheet1!F:F,$G955)</f>
        <v>B8</v>
      </c>
      <c r="K955" s="4" cm="1">
        <f t="array" ref="K955">INDEX(Sheet1!H:H,$G955)</f>
        <v>1E-3</v>
      </c>
      <c r="L955" s="4">
        <f t="shared" si="56"/>
        <v>53</v>
      </c>
      <c r="M955" s="4">
        <f t="shared" si="59"/>
        <v>5</v>
      </c>
    </row>
    <row r="956" spans="1:13">
      <c r="A956" s="4" t="str" cm="1">
        <f t="array" ref="A956">INDEX(Sheet1!A:A,$F956)</f>
        <v>F</v>
      </c>
      <c r="B956" s="4" t="str" cm="1">
        <f t="array" ref="B956">INDEX(Sheet1!B:B,$F956)</f>
        <v>Super-Pref NS</v>
      </c>
      <c r="C956" s="4">
        <f t="shared" si="57"/>
        <v>54</v>
      </c>
      <c r="D956" s="5" cm="1">
        <f t="array" aca="1" ref="D956" ca="1">OFFSET(INDIRECT("'["&amp;$H956&amp;"]"&amp;$I956&amp;"'!"&amp;$J956),$L956,$M956)*$K956</f>
        <v>2.32E-3</v>
      </c>
      <c r="F956" s="4">
        <f t="shared" si="58"/>
        <v>11</v>
      </c>
      <c r="G956" s="4" cm="1">
        <f t="array" ref="G956">IF($C956+$M956&lt;16,INDEX(Sheet1!C:C,$F956),$F956)</f>
        <v>11</v>
      </c>
      <c r="H956" s="4" t="str" cm="1">
        <f t="array" ref="H956">INDEX(Sheet1!D:D,$G956)</f>
        <v>2001-cso-preferred-class-structure-mortality-tables.xls</v>
      </c>
      <c r="I956" s="4" t="str" cm="1">
        <f t="array" ref="I956">INDEX(Sheet1!E:E,$G956)</f>
        <v>A.1.b.i</v>
      </c>
      <c r="J956" s="4" t="str" cm="1">
        <f t="array" ref="J956">INDEX(Sheet1!F:F,$G956)</f>
        <v>B8</v>
      </c>
      <c r="K956" s="4" cm="1">
        <f t="array" ref="K956">INDEX(Sheet1!H:H,$G956)</f>
        <v>1E-3</v>
      </c>
      <c r="L956" s="4">
        <f t="shared" si="56"/>
        <v>54</v>
      </c>
      <c r="M956" s="4">
        <f t="shared" si="59"/>
        <v>5</v>
      </c>
    </row>
    <row r="957" spans="1:13">
      <c r="A957" s="4" t="str" cm="1">
        <f t="array" ref="A957">INDEX(Sheet1!A:A,$F957)</f>
        <v>F</v>
      </c>
      <c r="B957" s="4" t="str" cm="1">
        <f t="array" ref="B957">INDEX(Sheet1!B:B,$F957)</f>
        <v>Super-Pref NS</v>
      </c>
      <c r="C957" s="4">
        <f t="shared" si="57"/>
        <v>55</v>
      </c>
      <c r="D957" s="5" cm="1">
        <f t="array" aca="1" ref="D957" ca="1">OFFSET(INDIRECT("'["&amp;$H957&amp;"]"&amp;$I957&amp;"'!"&amp;$J957),$L957,$M957)*$K957</f>
        <v>2.4700000000000004E-3</v>
      </c>
      <c r="F957" s="4">
        <f t="shared" si="58"/>
        <v>11</v>
      </c>
      <c r="G957" s="4" cm="1">
        <f t="array" ref="G957">IF($C957+$M957&lt;16,INDEX(Sheet1!C:C,$F957),$F957)</f>
        <v>11</v>
      </c>
      <c r="H957" s="4" t="str" cm="1">
        <f t="array" ref="H957">INDEX(Sheet1!D:D,$G957)</f>
        <v>2001-cso-preferred-class-structure-mortality-tables.xls</v>
      </c>
      <c r="I957" s="4" t="str" cm="1">
        <f t="array" ref="I957">INDEX(Sheet1!E:E,$G957)</f>
        <v>A.1.b.i</v>
      </c>
      <c r="J957" s="4" t="str" cm="1">
        <f t="array" ref="J957">INDEX(Sheet1!F:F,$G957)</f>
        <v>B8</v>
      </c>
      <c r="K957" s="4" cm="1">
        <f t="array" ref="K957">INDEX(Sheet1!H:H,$G957)</f>
        <v>1E-3</v>
      </c>
      <c r="L957" s="4">
        <f t="shared" si="56"/>
        <v>55</v>
      </c>
      <c r="M957" s="4">
        <f t="shared" si="59"/>
        <v>5</v>
      </c>
    </row>
    <row r="958" spans="1:13">
      <c r="A958" s="4" t="str" cm="1">
        <f t="array" ref="A958">INDEX(Sheet1!A:A,$F958)</f>
        <v>F</v>
      </c>
      <c r="B958" s="4" t="str" cm="1">
        <f t="array" ref="B958">INDEX(Sheet1!B:B,$F958)</f>
        <v>Super-Pref NS</v>
      </c>
      <c r="C958" s="4">
        <f t="shared" si="57"/>
        <v>56</v>
      </c>
      <c r="D958" s="5" cm="1">
        <f t="array" aca="1" ref="D958" ca="1">OFFSET(INDIRECT("'["&amp;$H958&amp;"]"&amp;$I958&amp;"'!"&amp;$J958),$L958,$M958)*$K958</f>
        <v>2.63E-3</v>
      </c>
      <c r="F958" s="4">
        <f t="shared" si="58"/>
        <v>11</v>
      </c>
      <c r="G958" s="4" cm="1">
        <f t="array" ref="G958">IF($C958+$M958&lt;16,INDEX(Sheet1!C:C,$F958),$F958)</f>
        <v>11</v>
      </c>
      <c r="H958" s="4" t="str" cm="1">
        <f t="array" ref="H958">INDEX(Sheet1!D:D,$G958)</f>
        <v>2001-cso-preferred-class-structure-mortality-tables.xls</v>
      </c>
      <c r="I958" s="4" t="str" cm="1">
        <f t="array" ref="I958">INDEX(Sheet1!E:E,$G958)</f>
        <v>A.1.b.i</v>
      </c>
      <c r="J958" s="4" t="str" cm="1">
        <f t="array" ref="J958">INDEX(Sheet1!F:F,$G958)</f>
        <v>B8</v>
      </c>
      <c r="K958" s="4" cm="1">
        <f t="array" ref="K958">INDEX(Sheet1!H:H,$G958)</f>
        <v>1E-3</v>
      </c>
      <c r="L958" s="4">
        <f t="shared" si="56"/>
        <v>56</v>
      </c>
      <c r="M958" s="4">
        <f t="shared" si="59"/>
        <v>5</v>
      </c>
    </row>
    <row r="959" spans="1:13">
      <c r="A959" s="4" t="str" cm="1">
        <f t="array" ref="A959">INDEX(Sheet1!A:A,$F959)</f>
        <v>F</v>
      </c>
      <c r="B959" s="4" t="str" cm="1">
        <f t="array" ref="B959">INDEX(Sheet1!B:B,$F959)</f>
        <v>Super-Pref NS</v>
      </c>
      <c r="C959" s="4">
        <f t="shared" si="57"/>
        <v>57</v>
      </c>
      <c r="D959" s="5" cm="1">
        <f t="array" aca="1" ref="D959" ca="1">OFFSET(INDIRECT("'["&amp;$H959&amp;"]"&amp;$I959&amp;"'!"&amp;$J959),$L959,$M959)*$K959</f>
        <v>2.8400000000000001E-3</v>
      </c>
      <c r="F959" s="4">
        <f t="shared" si="58"/>
        <v>11</v>
      </c>
      <c r="G959" s="4" cm="1">
        <f t="array" ref="G959">IF($C959+$M959&lt;16,INDEX(Sheet1!C:C,$F959),$F959)</f>
        <v>11</v>
      </c>
      <c r="H959" s="4" t="str" cm="1">
        <f t="array" ref="H959">INDEX(Sheet1!D:D,$G959)</f>
        <v>2001-cso-preferred-class-structure-mortality-tables.xls</v>
      </c>
      <c r="I959" s="4" t="str" cm="1">
        <f t="array" ref="I959">INDEX(Sheet1!E:E,$G959)</f>
        <v>A.1.b.i</v>
      </c>
      <c r="J959" s="4" t="str" cm="1">
        <f t="array" ref="J959">INDEX(Sheet1!F:F,$G959)</f>
        <v>B8</v>
      </c>
      <c r="K959" s="4" cm="1">
        <f t="array" ref="K959">INDEX(Sheet1!H:H,$G959)</f>
        <v>1E-3</v>
      </c>
      <c r="L959" s="4">
        <f t="shared" si="56"/>
        <v>57</v>
      </c>
      <c r="M959" s="4">
        <f t="shared" si="59"/>
        <v>5</v>
      </c>
    </row>
    <row r="960" spans="1:13">
      <c r="A960" s="4" t="str" cm="1">
        <f t="array" ref="A960">INDEX(Sheet1!A:A,$F960)</f>
        <v>F</v>
      </c>
      <c r="B960" s="4" t="str" cm="1">
        <f t="array" ref="B960">INDEX(Sheet1!B:B,$F960)</f>
        <v>Super-Pref NS</v>
      </c>
      <c r="C960" s="4">
        <f t="shared" si="57"/>
        <v>58</v>
      </c>
      <c r="D960" s="5" cm="1">
        <f t="array" aca="1" ref="D960" ca="1">OFFSET(INDIRECT("'["&amp;$H960&amp;"]"&amp;$I960&amp;"'!"&amp;$J960),$L960,$M960)*$K960</f>
        <v>3.0600000000000002E-3</v>
      </c>
      <c r="F960" s="4">
        <f t="shared" si="58"/>
        <v>11</v>
      </c>
      <c r="G960" s="4" cm="1">
        <f t="array" ref="G960">IF($C960+$M960&lt;16,INDEX(Sheet1!C:C,$F960),$F960)</f>
        <v>11</v>
      </c>
      <c r="H960" s="4" t="str" cm="1">
        <f t="array" ref="H960">INDEX(Sheet1!D:D,$G960)</f>
        <v>2001-cso-preferred-class-structure-mortality-tables.xls</v>
      </c>
      <c r="I960" s="4" t="str" cm="1">
        <f t="array" ref="I960">INDEX(Sheet1!E:E,$G960)</f>
        <v>A.1.b.i</v>
      </c>
      <c r="J960" s="4" t="str" cm="1">
        <f t="array" ref="J960">INDEX(Sheet1!F:F,$G960)</f>
        <v>B8</v>
      </c>
      <c r="K960" s="4" cm="1">
        <f t="array" ref="K960">INDEX(Sheet1!H:H,$G960)</f>
        <v>1E-3</v>
      </c>
      <c r="L960" s="4">
        <f t="shared" si="56"/>
        <v>58</v>
      </c>
      <c r="M960" s="4">
        <f t="shared" si="59"/>
        <v>5</v>
      </c>
    </row>
    <row r="961" spans="1:13">
      <c r="A961" s="4" t="str" cm="1">
        <f t="array" ref="A961">INDEX(Sheet1!A:A,$F961)</f>
        <v>F</v>
      </c>
      <c r="B961" s="4" t="str" cm="1">
        <f t="array" ref="B961">INDEX(Sheet1!B:B,$F961)</f>
        <v>Super-Pref NS</v>
      </c>
      <c r="C961" s="4">
        <f t="shared" si="57"/>
        <v>59</v>
      </c>
      <c r="D961" s="5" cm="1">
        <f t="array" aca="1" ref="D961" ca="1">OFFSET(INDIRECT("'["&amp;$H961&amp;"]"&amp;$I961&amp;"'!"&amp;$J961),$L961,$M961)*$K961</f>
        <v>3.29E-3</v>
      </c>
      <c r="F961" s="4">
        <f t="shared" si="58"/>
        <v>11</v>
      </c>
      <c r="G961" s="4" cm="1">
        <f t="array" ref="G961">IF($C961+$M961&lt;16,INDEX(Sheet1!C:C,$F961),$F961)</f>
        <v>11</v>
      </c>
      <c r="H961" s="4" t="str" cm="1">
        <f t="array" ref="H961">INDEX(Sheet1!D:D,$G961)</f>
        <v>2001-cso-preferred-class-structure-mortality-tables.xls</v>
      </c>
      <c r="I961" s="4" t="str" cm="1">
        <f t="array" ref="I961">INDEX(Sheet1!E:E,$G961)</f>
        <v>A.1.b.i</v>
      </c>
      <c r="J961" s="4" t="str" cm="1">
        <f t="array" ref="J961">INDEX(Sheet1!F:F,$G961)</f>
        <v>B8</v>
      </c>
      <c r="K961" s="4" cm="1">
        <f t="array" ref="K961">INDEX(Sheet1!H:H,$G961)</f>
        <v>1E-3</v>
      </c>
      <c r="L961" s="4">
        <f t="shared" si="56"/>
        <v>59</v>
      </c>
      <c r="M961" s="4">
        <f t="shared" si="59"/>
        <v>5</v>
      </c>
    </row>
    <row r="962" spans="1:13">
      <c r="A962" s="4" t="str" cm="1">
        <f t="array" ref="A962">INDEX(Sheet1!A:A,$F962)</f>
        <v>F</v>
      </c>
      <c r="B962" s="4" t="str" cm="1">
        <f t="array" ref="B962">INDEX(Sheet1!B:B,$F962)</f>
        <v>Super-Pref NS</v>
      </c>
      <c r="C962" s="4">
        <f t="shared" si="57"/>
        <v>60</v>
      </c>
      <c r="D962" s="5" cm="1">
        <f t="array" aca="1" ref="D962" ca="1">OFFSET(INDIRECT("'["&amp;$H962&amp;"]"&amp;$I962&amp;"'!"&amp;$J962),$L962,$M962)*$K962</f>
        <v>3.5499999999999998E-3</v>
      </c>
      <c r="F962" s="4">
        <f t="shared" si="58"/>
        <v>11</v>
      </c>
      <c r="G962" s="4" cm="1">
        <f t="array" ref="G962">IF($C962+$M962&lt;16,INDEX(Sheet1!C:C,$F962),$F962)</f>
        <v>11</v>
      </c>
      <c r="H962" s="4" t="str" cm="1">
        <f t="array" ref="H962">INDEX(Sheet1!D:D,$G962)</f>
        <v>2001-cso-preferred-class-structure-mortality-tables.xls</v>
      </c>
      <c r="I962" s="4" t="str" cm="1">
        <f t="array" ref="I962">INDEX(Sheet1!E:E,$G962)</f>
        <v>A.1.b.i</v>
      </c>
      <c r="J962" s="4" t="str" cm="1">
        <f t="array" ref="J962">INDEX(Sheet1!F:F,$G962)</f>
        <v>B8</v>
      </c>
      <c r="K962" s="4" cm="1">
        <f t="array" ref="K962">INDEX(Sheet1!H:H,$G962)</f>
        <v>1E-3</v>
      </c>
      <c r="L962" s="4">
        <f t="shared" si="56"/>
        <v>60</v>
      </c>
      <c r="M962" s="4">
        <f t="shared" si="59"/>
        <v>5</v>
      </c>
    </row>
    <row r="963" spans="1:13">
      <c r="A963" s="4" t="str" cm="1">
        <f t="array" ref="A963">INDEX(Sheet1!A:A,$F963)</f>
        <v>F</v>
      </c>
      <c r="B963" s="4" t="str" cm="1">
        <f t="array" ref="B963">INDEX(Sheet1!B:B,$F963)</f>
        <v>Super-Pref NS</v>
      </c>
      <c r="C963" s="4">
        <f t="shared" si="57"/>
        <v>61</v>
      </c>
      <c r="D963" s="5" cm="1">
        <f t="array" aca="1" ref="D963" ca="1">OFFSET(INDIRECT("'["&amp;$H963&amp;"]"&amp;$I963&amp;"'!"&amp;$J963),$L963,$M963)*$K963</f>
        <v>3.8300000000000001E-3</v>
      </c>
      <c r="F963" s="4">
        <f t="shared" si="58"/>
        <v>11</v>
      </c>
      <c r="G963" s="4" cm="1">
        <f t="array" ref="G963">IF($C963+$M963&lt;16,INDEX(Sheet1!C:C,$F963),$F963)</f>
        <v>11</v>
      </c>
      <c r="H963" s="4" t="str" cm="1">
        <f t="array" ref="H963">INDEX(Sheet1!D:D,$G963)</f>
        <v>2001-cso-preferred-class-structure-mortality-tables.xls</v>
      </c>
      <c r="I963" s="4" t="str" cm="1">
        <f t="array" ref="I963">INDEX(Sheet1!E:E,$G963)</f>
        <v>A.1.b.i</v>
      </c>
      <c r="J963" s="4" t="str" cm="1">
        <f t="array" ref="J963">INDEX(Sheet1!F:F,$G963)</f>
        <v>B8</v>
      </c>
      <c r="K963" s="4" cm="1">
        <f t="array" ref="K963">INDEX(Sheet1!H:H,$G963)</f>
        <v>1E-3</v>
      </c>
      <c r="L963" s="4">
        <f t="shared" ref="L963:L1026" si="60">C963</f>
        <v>61</v>
      </c>
      <c r="M963" s="4">
        <f t="shared" si="59"/>
        <v>5</v>
      </c>
    </row>
    <row r="964" spans="1:13">
      <c r="A964" s="4" t="str" cm="1">
        <f t="array" ref="A964">INDEX(Sheet1!A:A,$F964)</f>
        <v>F</v>
      </c>
      <c r="B964" s="4" t="str" cm="1">
        <f t="array" ref="B964">INDEX(Sheet1!B:B,$F964)</f>
        <v>Super-Pref NS</v>
      </c>
      <c r="C964" s="4">
        <f t="shared" ref="C964:C1027" si="61">IF(C963=99,0,C963+1)</f>
        <v>62</v>
      </c>
      <c r="D964" s="5" cm="1">
        <f t="array" aca="1" ref="D964" ca="1">OFFSET(INDIRECT("'["&amp;$H964&amp;"]"&amp;$I964&amp;"'!"&amp;$J964),$L964,$M964)*$K964</f>
        <v>4.1100000000000008E-3</v>
      </c>
      <c r="F964" s="4">
        <f t="shared" ref="F964:F1027" si="62">IF(C964=0,1,0)+F963</f>
        <v>11</v>
      </c>
      <c r="G964" s="4" cm="1">
        <f t="array" ref="G964">IF($C964+$M964&lt;16,INDEX(Sheet1!C:C,$F964),$F964)</f>
        <v>11</v>
      </c>
      <c r="H964" s="4" t="str" cm="1">
        <f t="array" ref="H964">INDEX(Sheet1!D:D,$G964)</f>
        <v>2001-cso-preferred-class-structure-mortality-tables.xls</v>
      </c>
      <c r="I964" s="4" t="str" cm="1">
        <f t="array" ref="I964">INDEX(Sheet1!E:E,$G964)</f>
        <v>A.1.b.i</v>
      </c>
      <c r="J964" s="4" t="str" cm="1">
        <f t="array" ref="J964">INDEX(Sheet1!F:F,$G964)</f>
        <v>B8</v>
      </c>
      <c r="K964" s="4" cm="1">
        <f t="array" ref="K964">INDEX(Sheet1!H:H,$G964)</f>
        <v>1E-3</v>
      </c>
      <c r="L964" s="4">
        <f t="shared" si="60"/>
        <v>62</v>
      </c>
      <c r="M964" s="4">
        <f t="shared" ref="L964:M1027" si="63">M$2</f>
        <v>5</v>
      </c>
    </row>
    <row r="965" spans="1:13">
      <c r="A965" s="4" t="str" cm="1">
        <f t="array" ref="A965">INDEX(Sheet1!A:A,$F965)</f>
        <v>F</v>
      </c>
      <c r="B965" s="4" t="str" cm="1">
        <f t="array" ref="B965">INDEX(Sheet1!B:B,$F965)</f>
        <v>Super-Pref NS</v>
      </c>
      <c r="C965" s="4">
        <f t="shared" si="61"/>
        <v>63</v>
      </c>
      <c r="D965" s="5" cm="1">
        <f t="array" aca="1" ref="D965" ca="1">OFFSET(INDIRECT("'["&amp;$H965&amp;"]"&amp;$I965&amp;"'!"&amp;$J965),$L965,$M965)*$K965</f>
        <v>4.3899999999999998E-3</v>
      </c>
      <c r="F965" s="4">
        <f t="shared" si="62"/>
        <v>11</v>
      </c>
      <c r="G965" s="4" cm="1">
        <f t="array" ref="G965">IF($C965+$M965&lt;16,INDEX(Sheet1!C:C,$F965),$F965)</f>
        <v>11</v>
      </c>
      <c r="H965" s="4" t="str" cm="1">
        <f t="array" ref="H965">INDEX(Sheet1!D:D,$G965)</f>
        <v>2001-cso-preferred-class-structure-mortality-tables.xls</v>
      </c>
      <c r="I965" s="4" t="str" cm="1">
        <f t="array" ref="I965">INDEX(Sheet1!E:E,$G965)</f>
        <v>A.1.b.i</v>
      </c>
      <c r="J965" s="4" t="str" cm="1">
        <f t="array" ref="J965">INDEX(Sheet1!F:F,$G965)</f>
        <v>B8</v>
      </c>
      <c r="K965" s="4" cm="1">
        <f t="array" ref="K965">INDEX(Sheet1!H:H,$G965)</f>
        <v>1E-3</v>
      </c>
      <c r="L965" s="4">
        <f t="shared" si="60"/>
        <v>63</v>
      </c>
      <c r="M965" s="4">
        <f t="shared" si="63"/>
        <v>5</v>
      </c>
    </row>
    <row r="966" spans="1:13">
      <c r="A966" s="4" t="str" cm="1">
        <f t="array" ref="A966">INDEX(Sheet1!A:A,$F966)</f>
        <v>F</v>
      </c>
      <c r="B966" s="4" t="str" cm="1">
        <f t="array" ref="B966">INDEX(Sheet1!B:B,$F966)</f>
        <v>Super-Pref NS</v>
      </c>
      <c r="C966" s="4">
        <f t="shared" si="61"/>
        <v>64</v>
      </c>
      <c r="D966" s="5" cm="1">
        <f t="array" aca="1" ref="D966" ca="1">OFFSET(INDIRECT("'["&amp;$H966&amp;"]"&amp;$I966&amp;"'!"&amp;$J966),$L966,$M966)*$K966</f>
        <v>4.6900000000000006E-3</v>
      </c>
      <c r="F966" s="4">
        <f t="shared" si="62"/>
        <v>11</v>
      </c>
      <c r="G966" s="4" cm="1">
        <f t="array" ref="G966">IF($C966+$M966&lt;16,INDEX(Sheet1!C:C,$F966),$F966)</f>
        <v>11</v>
      </c>
      <c r="H966" s="4" t="str" cm="1">
        <f t="array" ref="H966">INDEX(Sheet1!D:D,$G966)</f>
        <v>2001-cso-preferred-class-structure-mortality-tables.xls</v>
      </c>
      <c r="I966" s="4" t="str" cm="1">
        <f t="array" ref="I966">INDEX(Sheet1!E:E,$G966)</f>
        <v>A.1.b.i</v>
      </c>
      <c r="J966" s="4" t="str" cm="1">
        <f t="array" ref="J966">INDEX(Sheet1!F:F,$G966)</f>
        <v>B8</v>
      </c>
      <c r="K966" s="4" cm="1">
        <f t="array" ref="K966">INDEX(Sheet1!H:H,$G966)</f>
        <v>1E-3</v>
      </c>
      <c r="L966" s="4">
        <f t="shared" si="60"/>
        <v>64</v>
      </c>
      <c r="M966" s="4">
        <f t="shared" si="63"/>
        <v>5</v>
      </c>
    </row>
    <row r="967" spans="1:13">
      <c r="A967" s="4" t="str" cm="1">
        <f t="array" ref="A967">INDEX(Sheet1!A:A,$F967)</f>
        <v>F</v>
      </c>
      <c r="B967" s="4" t="str" cm="1">
        <f t="array" ref="B967">INDEX(Sheet1!B:B,$F967)</f>
        <v>Super-Pref NS</v>
      </c>
      <c r="C967" s="4">
        <f t="shared" si="61"/>
        <v>65</v>
      </c>
      <c r="D967" s="5" cm="1">
        <f t="array" aca="1" ref="D967" ca="1">OFFSET(INDIRECT("'["&amp;$H967&amp;"]"&amp;$I967&amp;"'!"&amp;$J967),$L967,$M967)*$K967</f>
        <v>5.0000000000000001E-3</v>
      </c>
      <c r="F967" s="4">
        <f t="shared" si="62"/>
        <v>11</v>
      </c>
      <c r="G967" s="4" cm="1">
        <f t="array" ref="G967">IF($C967+$M967&lt;16,INDEX(Sheet1!C:C,$F967),$F967)</f>
        <v>11</v>
      </c>
      <c r="H967" s="4" t="str" cm="1">
        <f t="array" ref="H967">INDEX(Sheet1!D:D,$G967)</f>
        <v>2001-cso-preferred-class-structure-mortality-tables.xls</v>
      </c>
      <c r="I967" s="4" t="str" cm="1">
        <f t="array" ref="I967">INDEX(Sheet1!E:E,$G967)</f>
        <v>A.1.b.i</v>
      </c>
      <c r="J967" s="4" t="str" cm="1">
        <f t="array" ref="J967">INDEX(Sheet1!F:F,$G967)</f>
        <v>B8</v>
      </c>
      <c r="K967" s="4" cm="1">
        <f t="array" ref="K967">INDEX(Sheet1!H:H,$G967)</f>
        <v>1E-3</v>
      </c>
      <c r="L967" s="4">
        <f t="shared" si="60"/>
        <v>65</v>
      </c>
      <c r="M967" s="4">
        <f t="shared" si="63"/>
        <v>5</v>
      </c>
    </row>
    <row r="968" spans="1:13">
      <c r="A968" s="4" t="str" cm="1">
        <f t="array" ref="A968">INDEX(Sheet1!A:A,$F968)</f>
        <v>F</v>
      </c>
      <c r="B968" s="4" t="str" cm="1">
        <f t="array" ref="B968">INDEX(Sheet1!B:B,$F968)</f>
        <v>Super-Pref NS</v>
      </c>
      <c r="C968" s="4">
        <f t="shared" si="61"/>
        <v>66</v>
      </c>
      <c r="D968" s="5" cm="1">
        <f t="array" aca="1" ref="D968" ca="1">OFFSET(INDIRECT("'["&amp;$H968&amp;"]"&amp;$I968&amp;"'!"&amp;$J968),$L968,$M968)*$K968</f>
        <v>5.3700000000000006E-3</v>
      </c>
      <c r="F968" s="4">
        <f t="shared" si="62"/>
        <v>11</v>
      </c>
      <c r="G968" s="4" cm="1">
        <f t="array" ref="G968">IF($C968+$M968&lt;16,INDEX(Sheet1!C:C,$F968),$F968)</f>
        <v>11</v>
      </c>
      <c r="H968" s="4" t="str" cm="1">
        <f t="array" ref="H968">INDEX(Sheet1!D:D,$G968)</f>
        <v>2001-cso-preferred-class-structure-mortality-tables.xls</v>
      </c>
      <c r="I968" s="4" t="str" cm="1">
        <f t="array" ref="I968">INDEX(Sheet1!E:E,$G968)</f>
        <v>A.1.b.i</v>
      </c>
      <c r="J968" s="4" t="str" cm="1">
        <f t="array" ref="J968">INDEX(Sheet1!F:F,$G968)</f>
        <v>B8</v>
      </c>
      <c r="K968" s="4" cm="1">
        <f t="array" ref="K968">INDEX(Sheet1!H:H,$G968)</f>
        <v>1E-3</v>
      </c>
      <c r="L968" s="4">
        <f t="shared" si="60"/>
        <v>66</v>
      </c>
      <c r="M968" s="4">
        <f t="shared" si="63"/>
        <v>5</v>
      </c>
    </row>
    <row r="969" spans="1:13">
      <c r="A969" s="4" t="str" cm="1">
        <f t="array" ref="A969">INDEX(Sheet1!A:A,$F969)</f>
        <v>F</v>
      </c>
      <c r="B969" s="4" t="str" cm="1">
        <f t="array" ref="B969">INDEX(Sheet1!B:B,$F969)</f>
        <v>Super-Pref NS</v>
      </c>
      <c r="C969" s="4">
        <f t="shared" si="61"/>
        <v>67</v>
      </c>
      <c r="D969" s="5" cm="1">
        <f t="array" aca="1" ref="D969" ca="1">OFFSET(INDIRECT("'["&amp;$H969&amp;"]"&amp;$I969&amp;"'!"&amp;$J969),$L969,$M969)*$K969</f>
        <v>5.7999999999999996E-3</v>
      </c>
      <c r="F969" s="4">
        <f t="shared" si="62"/>
        <v>11</v>
      </c>
      <c r="G969" s="4" cm="1">
        <f t="array" ref="G969">IF($C969+$M969&lt;16,INDEX(Sheet1!C:C,$F969),$F969)</f>
        <v>11</v>
      </c>
      <c r="H969" s="4" t="str" cm="1">
        <f t="array" ref="H969">INDEX(Sheet1!D:D,$G969)</f>
        <v>2001-cso-preferred-class-structure-mortality-tables.xls</v>
      </c>
      <c r="I969" s="4" t="str" cm="1">
        <f t="array" ref="I969">INDEX(Sheet1!E:E,$G969)</f>
        <v>A.1.b.i</v>
      </c>
      <c r="J969" s="4" t="str" cm="1">
        <f t="array" ref="J969">INDEX(Sheet1!F:F,$G969)</f>
        <v>B8</v>
      </c>
      <c r="K969" s="4" cm="1">
        <f t="array" ref="K969">INDEX(Sheet1!H:H,$G969)</f>
        <v>1E-3</v>
      </c>
      <c r="L969" s="4">
        <f t="shared" si="60"/>
        <v>67</v>
      </c>
      <c r="M969" s="4">
        <f t="shared" si="63"/>
        <v>5</v>
      </c>
    </row>
    <row r="970" spans="1:13">
      <c r="A970" s="4" t="str" cm="1">
        <f t="array" ref="A970">INDEX(Sheet1!A:A,$F970)</f>
        <v>F</v>
      </c>
      <c r="B970" s="4" t="str" cm="1">
        <f t="array" ref="B970">INDEX(Sheet1!B:B,$F970)</f>
        <v>Super-Pref NS</v>
      </c>
      <c r="C970" s="4">
        <f t="shared" si="61"/>
        <v>68</v>
      </c>
      <c r="D970" s="5" cm="1">
        <f t="array" aca="1" ref="D970" ca="1">OFFSET(INDIRECT("'["&amp;$H970&amp;"]"&amp;$I970&amp;"'!"&amp;$J970),$L970,$M970)*$K970</f>
        <v>6.3E-3</v>
      </c>
      <c r="F970" s="4">
        <f t="shared" si="62"/>
        <v>11</v>
      </c>
      <c r="G970" s="4" cm="1">
        <f t="array" ref="G970">IF($C970+$M970&lt;16,INDEX(Sheet1!C:C,$F970),$F970)</f>
        <v>11</v>
      </c>
      <c r="H970" s="4" t="str" cm="1">
        <f t="array" ref="H970">INDEX(Sheet1!D:D,$G970)</f>
        <v>2001-cso-preferred-class-structure-mortality-tables.xls</v>
      </c>
      <c r="I970" s="4" t="str" cm="1">
        <f t="array" ref="I970">INDEX(Sheet1!E:E,$G970)</f>
        <v>A.1.b.i</v>
      </c>
      <c r="J970" s="4" t="str" cm="1">
        <f t="array" ref="J970">INDEX(Sheet1!F:F,$G970)</f>
        <v>B8</v>
      </c>
      <c r="K970" s="4" cm="1">
        <f t="array" ref="K970">INDEX(Sheet1!H:H,$G970)</f>
        <v>1E-3</v>
      </c>
      <c r="L970" s="4">
        <f t="shared" si="60"/>
        <v>68</v>
      </c>
      <c r="M970" s="4">
        <f t="shared" si="63"/>
        <v>5</v>
      </c>
    </row>
    <row r="971" spans="1:13">
      <c r="A971" s="4" t="str" cm="1">
        <f t="array" ref="A971">INDEX(Sheet1!A:A,$F971)</f>
        <v>F</v>
      </c>
      <c r="B971" s="4" t="str" cm="1">
        <f t="array" ref="B971">INDEX(Sheet1!B:B,$F971)</f>
        <v>Super-Pref NS</v>
      </c>
      <c r="C971" s="4">
        <f t="shared" si="61"/>
        <v>69</v>
      </c>
      <c r="D971" s="5" cm="1">
        <f t="array" aca="1" ref="D971" ca="1">OFFSET(INDIRECT("'["&amp;$H971&amp;"]"&amp;$I971&amp;"'!"&amp;$J971),$L971,$M971)*$K971</f>
        <v>6.9000000000000008E-3</v>
      </c>
      <c r="F971" s="4">
        <f t="shared" si="62"/>
        <v>11</v>
      </c>
      <c r="G971" s="4" cm="1">
        <f t="array" ref="G971">IF($C971+$M971&lt;16,INDEX(Sheet1!C:C,$F971),$F971)</f>
        <v>11</v>
      </c>
      <c r="H971" s="4" t="str" cm="1">
        <f t="array" ref="H971">INDEX(Sheet1!D:D,$G971)</f>
        <v>2001-cso-preferred-class-structure-mortality-tables.xls</v>
      </c>
      <c r="I971" s="4" t="str" cm="1">
        <f t="array" ref="I971">INDEX(Sheet1!E:E,$G971)</f>
        <v>A.1.b.i</v>
      </c>
      <c r="J971" s="4" t="str" cm="1">
        <f t="array" ref="J971">INDEX(Sheet1!F:F,$G971)</f>
        <v>B8</v>
      </c>
      <c r="K971" s="4" cm="1">
        <f t="array" ref="K971">INDEX(Sheet1!H:H,$G971)</f>
        <v>1E-3</v>
      </c>
      <c r="L971" s="4">
        <f t="shared" si="60"/>
        <v>69</v>
      </c>
      <c r="M971" s="4">
        <f t="shared" si="63"/>
        <v>5</v>
      </c>
    </row>
    <row r="972" spans="1:13">
      <c r="A972" s="4" t="str" cm="1">
        <f t="array" ref="A972">INDEX(Sheet1!A:A,$F972)</f>
        <v>F</v>
      </c>
      <c r="B972" s="4" t="str" cm="1">
        <f t="array" ref="B972">INDEX(Sheet1!B:B,$F972)</f>
        <v>Super-Pref NS</v>
      </c>
      <c r="C972" s="4">
        <f t="shared" si="61"/>
        <v>70</v>
      </c>
      <c r="D972" s="5" cm="1">
        <f t="array" aca="1" ref="D972" ca="1">OFFSET(INDIRECT("'["&amp;$H972&amp;"]"&amp;$I972&amp;"'!"&amp;$J972),$L972,$M972)*$K972</f>
        <v>7.6100000000000004E-3</v>
      </c>
      <c r="F972" s="4">
        <f t="shared" si="62"/>
        <v>11</v>
      </c>
      <c r="G972" s="4" cm="1">
        <f t="array" ref="G972">IF($C972+$M972&lt;16,INDEX(Sheet1!C:C,$F972),$F972)</f>
        <v>11</v>
      </c>
      <c r="H972" s="4" t="str" cm="1">
        <f t="array" ref="H972">INDEX(Sheet1!D:D,$G972)</f>
        <v>2001-cso-preferred-class-structure-mortality-tables.xls</v>
      </c>
      <c r="I972" s="4" t="str" cm="1">
        <f t="array" ref="I972">INDEX(Sheet1!E:E,$G972)</f>
        <v>A.1.b.i</v>
      </c>
      <c r="J972" s="4" t="str" cm="1">
        <f t="array" ref="J972">INDEX(Sheet1!F:F,$G972)</f>
        <v>B8</v>
      </c>
      <c r="K972" s="4" cm="1">
        <f t="array" ref="K972">INDEX(Sheet1!H:H,$G972)</f>
        <v>1E-3</v>
      </c>
      <c r="L972" s="4">
        <f t="shared" si="60"/>
        <v>70</v>
      </c>
      <c r="M972" s="4">
        <f t="shared" si="63"/>
        <v>5</v>
      </c>
    </row>
    <row r="973" spans="1:13">
      <c r="A973" s="4" t="str" cm="1">
        <f t="array" ref="A973">INDEX(Sheet1!A:A,$F973)</f>
        <v>F</v>
      </c>
      <c r="B973" s="4" t="str" cm="1">
        <f t="array" ref="B973">INDEX(Sheet1!B:B,$F973)</f>
        <v>Super-Pref NS</v>
      </c>
      <c r="C973" s="4">
        <f t="shared" si="61"/>
        <v>71</v>
      </c>
      <c r="D973" s="5" cm="1">
        <f t="array" aca="1" ref="D973" ca="1">OFFSET(INDIRECT("'["&amp;$H973&amp;"]"&amp;$I973&amp;"'!"&amp;$J973),$L973,$M973)*$K973</f>
        <v>8.4499999999999992E-3</v>
      </c>
      <c r="F973" s="4">
        <f t="shared" si="62"/>
        <v>11</v>
      </c>
      <c r="G973" s="4" cm="1">
        <f t="array" ref="G973">IF($C973+$M973&lt;16,INDEX(Sheet1!C:C,$F973),$F973)</f>
        <v>11</v>
      </c>
      <c r="H973" s="4" t="str" cm="1">
        <f t="array" ref="H973">INDEX(Sheet1!D:D,$G973)</f>
        <v>2001-cso-preferred-class-structure-mortality-tables.xls</v>
      </c>
      <c r="I973" s="4" t="str" cm="1">
        <f t="array" ref="I973">INDEX(Sheet1!E:E,$G973)</f>
        <v>A.1.b.i</v>
      </c>
      <c r="J973" s="4" t="str" cm="1">
        <f t="array" ref="J973">INDEX(Sheet1!F:F,$G973)</f>
        <v>B8</v>
      </c>
      <c r="K973" s="4" cm="1">
        <f t="array" ref="K973">INDEX(Sheet1!H:H,$G973)</f>
        <v>1E-3</v>
      </c>
      <c r="L973" s="4">
        <f t="shared" si="60"/>
        <v>71</v>
      </c>
      <c r="M973" s="4">
        <f t="shared" si="63"/>
        <v>5</v>
      </c>
    </row>
    <row r="974" spans="1:13">
      <c r="A974" s="4" t="str" cm="1">
        <f t="array" ref="A974">INDEX(Sheet1!A:A,$F974)</f>
        <v>F</v>
      </c>
      <c r="B974" s="4" t="str" cm="1">
        <f t="array" ref="B974">INDEX(Sheet1!B:B,$F974)</f>
        <v>Super-Pref NS</v>
      </c>
      <c r="C974" s="4">
        <f t="shared" si="61"/>
        <v>72</v>
      </c>
      <c r="D974" s="5" cm="1">
        <f t="array" aca="1" ref="D974" ca="1">OFFSET(INDIRECT("'["&amp;$H974&amp;"]"&amp;$I974&amp;"'!"&amp;$J974),$L974,$M974)*$K974</f>
        <v>9.4299999999999991E-3</v>
      </c>
      <c r="F974" s="4">
        <f t="shared" si="62"/>
        <v>11</v>
      </c>
      <c r="G974" s="4" cm="1">
        <f t="array" ref="G974">IF($C974+$M974&lt;16,INDEX(Sheet1!C:C,$F974),$F974)</f>
        <v>11</v>
      </c>
      <c r="H974" s="4" t="str" cm="1">
        <f t="array" ref="H974">INDEX(Sheet1!D:D,$G974)</f>
        <v>2001-cso-preferred-class-structure-mortality-tables.xls</v>
      </c>
      <c r="I974" s="4" t="str" cm="1">
        <f t="array" ref="I974">INDEX(Sheet1!E:E,$G974)</f>
        <v>A.1.b.i</v>
      </c>
      <c r="J974" s="4" t="str" cm="1">
        <f t="array" ref="J974">INDEX(Sheet1!F:F,$G974)</f>
        <v>B8</v>
      </c>
      <c r="K974" s="4" cm="1">
        <f t="array" ref="K974">INDEX(Sheet1!H:H,$G974)</f>
        <v>1E-3</v>
      </c>
      <c r="L974" s="4">
        <f t="shared" si="60"/>
        <v>72</v>
      </c>
      <c r="M974" s="4">
        <f t="shared" si="63"/>
        <v>5</v>
      </c>
    </row>
    <row r="975" spans="1:13">
      <c r="A975" s="4" t="str" cm="1">
        <f t="array" ref="A975">INDEX(Sheet1!A:A,$F975)</f>
        <v>F</v>
      </c>
      <c r="B975" s="4" t="str" cm="1">
        <f t="array" ref="B975">INDEX(Sheet1!B:B,$F975)</f>
        <v>Super-Pref NS</v>
      </c>
      <c r="C975" s="4">
        <f t="shared" si="61"/>
        <v>73</v>
      </c>
      <c r="D975" s="5" cm="1">
        <f t="array" aca="1" ref="D975" ca="1">OFFSET(INDIRECT("'["&amp;$H975&amp;"]"&amp;$I975&amp;"'!"&amp;$J975),$L975,$M975)*$K975</f>
        <v>1.0570000000000001E-2</v>
      </c>
      <c r="F975" s="4">
        <f t="shared" si="62"/>
        <v>11</v>
      </c>
      <c r="G975" s="4" cm="1">
        <f t="array" ref="G975">IF($C975+$M975&lt;16,INDEX(Sheet1!C:C,$F975),$F975)</f>
        <v>11</v>
      </c>
      <c r="H975" s="4" t="str" cm="1">
        <f t="array" ref="H975">INDEX(Sheet1!D:D,$G975)</f>
        <v>2001-cso-preferred-class-structure-mortality-tables.xls</v>
      </c>
      <c r="I975" s="4" t="str" cm="1">
        <f t="array" ref="I975">INDEX(Sheet1!E:E,$G975)</f>
        <v>A.1.b.i</v>
      </c>
      <c r="J975" s="4" t="str" cm="1">
        <f t="array" ref="J975">INDEX(Sheet1!F:F,$G975)</f>
        <v>B8</v>
      </c>
      <c r="K975" s="4" cm="1">
        <f t="array" ref="K975">INDEX(Sheet1!H:H,$G975)</f>
        <v>1E-3</v>
      </c>
      <c r="L975" s="4">
        <f t="shared" si="60"/>
        <v>73</v>
      </c>
      <c r="M975" s="4">
        <f t="shared" si="63"/>
        <v>5</v>
      </c>
    </row>
    <row r="976" spans="1:13">
      <c r="A976" s="4" t="str" cm="1">
        <f t="array" ref="A976">INDEX(Sheet1!A:A,$F976)</f>
        <v>F</v>
      </c>
      <c r="B976" s="4" t="str" cm="1">
        <f t="array" ref="B976">INDEX(Sheet1!B:B,$F976)</f>
        <v>Super-Pref NS</v>
      </c>
      <c r="C976" s="4">
        <f t="shared" si="61"/>
        <v>74</v>
      </c>
      <c r="D976" s="5" cm="1">
        <f t="array" aca="1" ref="D976" ca="1">OFFSET(INDIRECT("'["&amp;$H976&amp;"]"&amp;$I976&amp;"'!"&amp;$J976),$L976,$M976)*$K976</f>
        <v>1.191E-2</v>
      </c>
      <c r="F976" s="4">
        <f t="shared" si="62"/>
        <v>11</v>
      </c>
      <c r="G976" s="4" cm="1">
        <f t="array" ref="G976">IF($C976+$M976&lt;16,INDEX(Sheet1!C:C,$F976),$F976)</f>
        <v>11</v>
      </c>
      <c r="H976" s="4" t="str" cm="1">
        <f t="array" ref="H976">INDEX(Sheet1!D:D,$G976)</f>
        <v>2001-cso-preferred-class-structure-mortality-tables.xls</v>
      </c>
      <c r="I976" s="4" t="str" cm="1">
        <f t="array" ref="I976">INDEX(Sheet1!E:E,$G976)</f>
        <v>A.1.b.i</v>
      </c>
      <c r="J976" s="4" t="str" cm="1">
        <f t="array" ref="J976">INDEX(Sheet1!F:F,$G976)</f>
        <v>B8</v>
      </c>
      <c r="K976" s="4" cm="1">
        <f t="array" ref="K976">INDEX(Sheet1!H:H,$G976)</f>
        <v>1E-3</v>
      </c>
      <c r="L976" s="4">
        <f t="shared" si="60"/>
        <v>74</v>
      </c>
      <c r="M976" s="4">
        <f t="shared" si="63"/>
        <v>5</v>
      </c>
    </row>
    <row r="977" spans="1:13">
      <c r="A977" s="4" t="str" cm="1">
        <f t="array" ref="A977">INDEX(Sheet1!A:A,$F977)</f>
        <v>F</v>
      </c>
      <c r="B977" s="4" t="str" cm="1">
        <f t="array" ref="B977">INDEX(Sheet1!B:B,$F977)</f>
        <v>Super-Pref NS</v>
      </c>
      <c r="C977" s="4">
        <f t="shared" si="61"/>
        <v>75</v>
      </c>
      <c r="D977" s="5" cm="1">
        <f t="array" aca="1" ref="D977" ca="1">OFFSET(INDIRECT("'["&amp;$H977&amp;"]"&amp;$I977&amp;"'!"&amp;$J977),$L977,$M977)*$K977</f>
        <v>1.3460000000000001E-2</v>
      </c>
      <c r="F977" s="4">
        <f t="shared" si="62"/>
        <v>11</v>
      </c>
      <c r="G977" s="4" cm="1">
        <f t="array" ref="G977">IF($C977+$M977&lt;16,INDEX(Sheet1!C:C,$F977),$F977)</f>
        <v>11</v>
      </c>
      <c r="H977" s="4" t="str" cm="1">
        <f t="array" ref="H977">INDEX(Sheet1!D:D,$G977)</f>
        <v>2001-cso-preferred-class-structure-mortality-tables.xls</v>
      </c>
      <c r="I977" s="4" t="str" cm="1">
        <f t="array" ref="I977">INDEX(Sheet1!E:E,$G977)</f>
        <v>A.1.b.i</v>
      </c>
      <c r="J977" s="4" t="str" cm="1">
        <f t="array" ref="J977">INDEX(Sheet1!F:F,$G977)</f>
        <v>B8</v>
      </c>
      <c r="K977" s="4" cm="1">
        <f t="array" ref="K977">INDEX(Sheet1!H:H,$G977)</f>
        <v>1E-3</v>
      </c>
      <c r="L977" s="4">
        <f t="shared" si="60"/>
        <v>75</v>
      </c>
      <c r="M977" s="4">
        <f t="shared" si="63"/>
        <v>5</v>
      </c>
    </row>
    <row r="978" spans="1:13">
      <c r="A978" s="4" t="str" cm="1">
        <f t="array" ref="A978">INDEX(Sheet1!A:A,$F978)</f>
        <v>F</v>
      </c>
      <c r="B978" s="4" t="str" cm="1">
        <f t="array" ref="B978">INDEX(Sheet1!B:B,$F978)</f>
        <v>Super-Pref NS</v>
      </c>
      <c r="C978" s="4">
        <f t="shared" si="61"/>
        <v>76</v>
      </c>
      <c r="D978" s="5" cm="1">
        <f t="array" aca="1" ref="D978" ca="1">OFFSET(INDIRECT("'["&amp;$H978&amp;"]"&amp;$I978&amp;"'!"&amp;$J978),$L978,$M978)*$K978</f>
        <v>1.52E-2</v>
      </c>
      <c r="F978" s="4">
        <f t="shared" si="62"/>
        <v>11</v>
      </c>
      <c r="G978" s="4" cm="1">
        <f t="array" ref="G978">IF($C978+$M978&lt;16,INDEX(Sheet1!C:C,$F978),$F978)</f>
        <v>11</v>
      </c>
      <c r="H978" s="4" t="str" cm="1">
        <f t="array" ref="H978">INDEX(Sheet1!D:D,$G978)</f>
        <v>2001-cso-preferred-class-structure-mortality-tables.xls</v>
      </c>
      <c r="I978" s="4" t="str" cm="1">
        <f t="array" ref="I978">INDEX(Sheet1!E:E,$G978)</f>
        <v>A.1.b.i</v>
      </c>
      <c r="J978" s="4" t="str" cm="1">
        <f t="array" ref="J978">INDEX(Sheet1!F:F,$G978)</f>
        <v>B8</v>
      </c>
      <c r="K978" s="4" cm="1">
        <f t="array" ref="K978">INDEX(Sheet1!H:H,$G978)</f>
        <v>1E-3</v>
      </c>
      <c r="L978" s="4">
        <f t="shared" si="60"/>
        <v>76</v>
      </c>
      <c r="M978" s="4">
        <f t="shared" si="63"/>
        <v>5</v>
      </c>
    </row>
    <row r="979" spans="1:13">
      <c r="A979" s="4" t="str" cm="1">
        <f t="array" ref="A979">INDEX(Sheet1!A:A,$F979)</f>
        <v>F</v>
      </c>
      <c r="B979" s="4" t="str" cm="1">
        <f t="array" ref="B979">INDEX(Sheet1!B:B,$F979)</f>
        <v>Super-Pref NS</v>
      </c>
      <c r="C979" s="4">
        <f t="shared" si="61"/>
        <v>77</v>
      </c>
      <c r="D979" s="5" cm="1">
        <f t="array" aca="1" ref="D979" ca="1">OFFSET(INDIRECT("'["&amp;$H979&amp;"]"&amp;$I979&amp;"'!"&amp;$J979),$L979,$M979)*$K979</f>
        <v>1.719E-2</v>
      </c>
      <c r="F979" s="4">
        <f t="shared" si="62"/>
        <v>11</v>
      </c>
      <c r="G979" s="4" cm="1">
        <f t="array" ref="G979">IF($C979+$M979&lt;16,INDEX(Sheet1!C:C,$F979),$F979)</f>
        <v>11</v>
      </c>
      <c r="H979" s="4" t="str" cm="1">
        <f t="array" ref="H979">INDEX(Sheet1!D:D,$G979)</f>
        <v>2001-cso-preferred-class-structure-mortality-tables.xls</v>
      </c>
      <c r="I979" s="4" t="str" cm="1">
        <f t="array" ref="I979">INDEX(Sheet1!E:E,$G979)</f>
        <v>A.1.b.i</v>
      </c>
      <c r="J979" s="4" t="str" cm="1">
        <f t="array" ref="J979">INDEX(Sheet1!F:F,$G979)</f>
        <v>B8</v>
      </c>
      <c r="K979" s="4" cm="1">
        <f t="array" ref="K979">INDEX(Sheet1!H:H,$G979)</f>
        <v>1E-3</v>
      </c>
      <c r="L979" s="4">
        <f t="shared" si="60"/>
        <v>77</v>
      </c>
      <c r="M979" s="4">
        <f t="shared" si="63"/>
        <v>5</v>
      </c>
    </row>
    <row r="980" spans="1:13">
      <c r="A980" s="4" t="str" cm="1">
        <f t="array" ref="A980">INDEX(Sheet1!A:A,$F980)</f>
        <v>F</v>
      </c>
      <c r="B980" s="4" t="str" cm="1">
        <f t="array" ref="B980">INDEX(Sheet1!B:B,$F980)</f>
        <v>Super-Pref NS</v>
      </c>
      <c r="C980" s="4">
        <f t="shared" si="61"/>
        <v>78</v>
      </c>
      <c r="D980" s="5" cm="1">
        <f t="array" aca="1" ref="D980" ca="1">OFFSET(INDIRECT("'["&amp;$H980&amp;"]"&amp;$I980&amp;"'!"&amp;$J980),$L980,$M980)*$K980</f>
        <v>1.9460000000000002E-2</v>
      </c>
      <c r="F980" s="4">
        <f t="shared" si="62"/>
        <v>11</v>
      </c>
      <c r="G980" s="4" cm="1">
        <f t="array" ref="G980">IF($C980+$M980&lt;16,INDEX(Sheet1!C:C,$F980),$F980)</f>
        <v>11</v>
      </c>
      <c r="H980" s="4" t="str" cm="1">
        <f t="array" ref="H980">INDEX(Sheet1!D:D,$G980)</f>
        <v>2001-cso-preferred-class-structure-mortality-tables.xls</v>
      </c>
      <c r="I980" s="4" t="str" cm="1">
        <f t="array" ref="I980">INDEX(Sheet1!E:E,$G980)</f>
        <v>A.1.b.i</v>
      </c>
      <c r="J980" s="4" t="str" cm="1">
        <f t="array" ref="J980">INDEX(Sheet1!F:F,$G980)</f>
        <v>B8</v>
      </c>
      <c r="K980" s="4" cm="1">
        <f t="array" ref="K980">INDEX(Sheet1!H:H,$G980)</f>
        <v>1E-3</v>
      </c>
      <c r="L980" s="4">
        <f t="shared" si="60"/>
        <v>78</v>
      </c>
      <c r="M980" s="4">
        <f t="shared" si="63"/>
        <v>5</v>
      </c>
    </row>
    <row r="981" spans="1:13">
      <c r="A981" s="4" t="str" cm="1">
        <f t="array" ref="A981">INDEX(Sheet1!A:A,$F981)</f>
        <v>F</v>
      </c>
      <c r="B981" s="4" t="str" cm="1">
        <f t="array" ref="B981">INDEX(Sheet1!B:B,$F981)</f>
        <v>Super-Pref NS</v>
      </c>
      <c r="C981" s="4">
        <f t="shared" si="61"/>
        <v>79</v>
      </c>
      <c r="D981" s="5" cm="1">
        <f t="array" aca="1" ref="D981" ca="1">OFFSET(INDIRECT("'["&amp;$H981&amp;"]"&amp;$I981&amp;"'!"&amp;$J981),$L981,$M981)*$K981</f>
        <v>2.2069999999999999E-2</v>
      </c>
      <c r="F981" s="4">
        <f t="shared" si="62"/>
        <v>11</v>
      </c>
      <c r="G981" s="4" cm="1">
        <f t="array" ref="G981">IF($C981+$M981&lt;16,INDEX(Sheet1!C:C,$F981),$F981)</f>
        <v>11</v>
      </c>
      <c r="H981" s="4" t="str" cm="1">
        <f t="array" ref="H981">INDEX(Sheet1!D:D,$G981)</f>
        <v>2001-cso-preferred-class-structure-mortality-tables.xls</v>
      </c>
      <c r="I981" s="4" t="str" cm="1">
        <f t="array" ref="I981">INDEX(Sheet1!E:E,$G981)</f>
        <v>A.1.b.i</v>
      </c>
      <c r="J981" s="4" t="str" cm="1">
        <f t="array" ref="J981">INDEX(Sheet1!F:F,$G981)</f>
        <v>B8</v>
      </c>
      <c r="K981" s="4" cm="1">
        <f t="array" ref="K981">INDEX(Sheet1!H:H,$G981)</f>
        <v>1E-3</v>
      </c>
      <c r="L981" s="4">
        <f t="shared" si="60"/>
        <v>79</v>
      </c>
      <c r="M981" s="4">
        <f t="shared" si="63"/>
        <v>5</v>
      </c>
    </row>
    <row r="982" spans="1:13">
      <c r="A982" s="4" t="str" cm="1">
        <f t="array" ref="A982">INDEX(Sheet1!A:A,$F982)</f>
        <v>F</v>
      </c>
      <c r="B982" s="4" t="str" cm="1">
        <f t="array" ref="B982">INDEX(Sheet1!B:B,$F982)</f>
        <v>Super-Pref NS</v>
      </c>
      <c r="C982" s="4">
        <f t="shared" si="61"/>
        <v>80</v>
      </c>
      <c r="D982" s="5" cm="1">
        <f t="array" aca="1" ref="D982" ca="1">OFFSET(INDIRECT("'["&amp;$H982&amp;"]"&amp;$I982&amp;"'!"&amp;$J982),$L982,$M982)*$K982</f>
        <v>2.537E-2</v>
      </c>
      <c r="F982" s="4">
        <f t="shared" si="62"/>
        <v>11</v>
      </c>
      <c r="G982" s="4" cm="1">
        <f t="array" ref="G982">IF($C982+$M982&lt;16,INDEX(Sheet1!C:C,$F982),$F982)</f>
        <v>11</v>
      </c>
      <c r="H982" s="4" t="str" cm="1">
        <f t="array" ref="H982">INDEX(Sheet1!D:D,$G982)</f>
        <v>2001-cso-preferred-class-structure-mortality-tables.xls</v>
      </c>
      <c r="I982" s="4" t="str" cm="1">
        <f t="array" ref="I982">INDEX(Sheet1!E:E,$G982)</f>
        <v>A.1.b.i</v>
      </c>
      <c r="J982" s="4" t="str" cm="1">
        <f t="array" ref="J982">INDEX(Sheet1!F:F,$G982)</f>
        <v>B8</v>
      </c>
      <c r="K982" s="4" cm="1">
        <f t="array" ref="K982">INDEX(Sheet1!H:H,$G982)</f>
        <v>1E-3</v>
      </c>
      <c r="L982" s="4">
        <f t="shared" si="60"/>
        <v>80</v>
      </c>
      <c r="M982" s="4">
        <f t="shared" si="63"/>
        <v>5</v>
      </c>
    </row>
    <row r="983" spans="1:13">
      <c r="A983" s="4" t="str" cm="1">
        <f t="array" ref="A983">INDEX(Sheet1!A:A,$F983)</f>
        <v>F</v>
      </c>
      <c r="B983" s="4" t="str" cm="1">
        <f t="array" ref="B983">INDEX(Sheet1!B:B,$F983)</f>
        <v>Super-Pref NS</v>
      </c>
      <c r="C983" s="4">
        <f t="shared" si="61"/>
        <v>81</v>
      </c>
      <c r="D983" s="5" cm="1">
        <f t="array" aca="1" ref="D983" ca="1">OFFSET(INDIRECT("'["&amp;$H983&amp;"]"&amp;$I983&amp;"'!"&amp;$J983),$L983,$M983)*$K983</f>
        <v>2.9579999999999999E-2</v>
      </c>
      <c r="F983" s="4">
        <f t="shared" si="62"/>
        <v>11</v>
      </c>
      <c r="G983" s="4" cm="1">
        <f t="array" ref="G983">IF($C983+$M983&lt;16,INDEX(Sheet1!C:C,$F983),$F983)</f>
        <v>11</v>
      </c>
      <c r="H983" s="4" t="str" cm="1">
        <f t="array" ref="H983">INDEX(Sheet1!D:D,$G983)</f>
        <v>2001-cso-preferred-class-structure-mortality-tables.xls</v>
      </c>
      <c r="I983" s="4" t="str" cm="1">
        <f t="array" ref="I983">INDEX(Sheet1!E:E,$G983)</f>
        <v>A.1.b.i</v>
      </c>
      <c r="J983" s="4" t="str" cm="1">
        <f t="array" ref="J983">INDEX(Sheet1!F:F,$G983)</f>
        <v>B8</v>
      </c>
      <c r="K983" s="4" cm="1">
        <f t="array" ref="K983">INDEX(Sheet1!H:H,$G983)</f>
        <v>1E-3</v>
      </c>
      <c r="L983" s="4">
        <f t="shared" si="60"/>
        <v>81</v>
      </c>
      <c r="M983" s="4">
        <f t="shared" si="63"/>
        <v>5</v>
      </c>
    </row>
    <row r="984" spans="1:13">
      <c r="A984" s="4" t="str" cm="1">
        <f t="array" ref="A984">INDEX(Sheet1!A:A,$F984)</f>
        <v>F</v>
      </c>
      <c r="B984" s="4" t="str" cm="1">
        <f t="array" ref="B984">INDEX(Sheet1!B:B,$F984)</f>
        <v>Super-Pref NS</v>
      </c>
      <c r="C984" s="4">
        <f t="shared" si="61"/>
        <v>82</v>
      </c>
      <c r="D984" s="5" cm="1">
        <f t="array" aca="1" ref="D984" ca="1">OFFSET(INDIRECT("'["&amp;$H984&amp;"]"&amp;$I984&amp;"'!"&amp;$J984),$L984,$M984)*$K984</f>
        <v>3.4860000000000002E-2</v>
      </c>
      <c r="F984" s="4">
        <f t="shared" si="62"/>
        <v>11</v>
      </c>
      <c r="G984" s="4" cm="1">
        <f t="array" ref="G984">IF($C984+$M984&lt;16,INDEX(Sheet1!C:C,$F984),$F984)</f>
        <v>11</v>
      </c>
      <c r="H984" s="4" t="str" cm="1">
        <f t="array" ref="H984">INDEX(Sheet1!D:D,$G984)</f>
        <v>2001-cso-preferred-class-structure-mortality-tables.xls</v>
      </c>
      <c r="I984" s="4" t="str" cm="1">
        <f t="array" ref="I984">INDEX(Sheet1!E:E,$G984)</f>
        <v>A.1.b.i</v>
      </c>
      <c r="J984" s="4" t="str" cm="1">
        <f t="array" ref="J984">INDEX(Sheet1!F:F,$G984)</f>
        <v>B8</v>
      </c>
      <c r="K984" s="4" cm="1">
        <f t="array" ref="K984">INDEX(Sheet1!H:H,$G984)</f>
        <v>1E-3</v>
      </c>
      <c r="L984" s="4">
        <f t="shared" si="60"/>
        <v>82</v>
      </c>
      <c r="M984" s="4">
        <f t="shared" si="63"/>
        <v>5</v>
      </c>
    </row>
    <row r="985" spans="1:13">
      <c r="A985" s="4" t="str" cm="1">
        <f t="array" ref="A985">INDEX(Sheet1!A:A,$F985)</f>
        <v>F</v>
      </c>
      <c r="B985" s="4" t="str" cm="1">
        <f t="array" ref="B985">INDEX(Sheet1!B:B,$F985)</f>
        <v>Super-Pref NS</v>
      </c>
      <c r="C985" s="4">
        <f t="shared" si="61"/>
        <v>83</v>
      </c>
      <c r="D985" s="5" cm="1">
        <f t="array" aca="1" ref="D985" ca="1">OFFSET(INDIRECT("'["&amp;$H985&amp;"]"&amp;$I985&amp;"'!"&amp;$J985),$L985,$M985)*$K985</f>
        <v>4.1549999999999997E-2</v>
      </c>
      <c r="F985" s="4">
        <f t="shared" si="62"/>
        <v>11</v>
      </c>
      <c r="G985" s="4" cm="1">
        <f t="array" ref="G985">IF($C985+$M985&lt;16,INDEX(Sheet1!C:C,$F985),$F985)</f>
        <v>11</v>
      </c>
      <c r="H985" s="4" t="str" cm="1">
        <f t="array" ref="H985">INDEX(Sheet1!D:D,$G985)</f>
        <v>2001-cso-preferred-class-structure-mortality-tables.xls</v>
      </c>
      <c r="I985" s="4" t="str" cm="1">
        <f t="array" ref="I985">INDEX(Sheet1!E:E,$G985)</f>
        <v>A.1.b.i</v>
      </c>
      <c r="J985" s="4" t="str" cm="1">
        <f t="array" ref="J985">INDEX(Sheet1!F:F,$G985)</f>
        <v>B8</v>
      </c>
      <c r="K985" s="4" cm="1">
        <f t="array" ref="K985">INDEX(Sheet1!H:H,$G985)</f>
        <v>1E-3</v>
      </c>
      <c r="L985" s="4">
        <f t="shared" si="60"/>
        <v>83</v>
      </c>
      <c r="M985" s="4">
        <f t="shared" si="63"/>
        <v>5</v>
      </c>
    </row>
    <row r="986" spans="1:13">
      <c r="A986" s="4" t="str" cm="1">
        <f t="array" ref="A986">INDEX(Sheet1!A:A,$F986)</f>
        <v>F</v>
      </c>
      <c r="B986" s="4" t="str" cm="1">
        <f t="array" ref="B986">INDEX(Sheet1!B:B,$F986)</f>
        <v>Super-Pref NS</v>
      </c>
      <c r="C986" s="4">
        <f t="shared" si="61"/>
        <v>84</v>
      </c>
      <c r="D986" s="5" cm="1">
        <f t="array" aca="1" ref="D986" ca="1">OFFSET(INDIRECT("'["&amp;$H986&amp;"]"&amp;$I986&amp;"'!"&amp;$J986),$L986,$M986)*$K986</f>
        <v>4.9840000000000002E-2</v>
      </c>
      <c r="F986" s="4">
        <f t="shared" si="62"/>
        <v>11</v>
      </c>
      <c r="G986" s="4" cm="1">
        <f t="array" ref="G986">IF($C986+$M986&lt;16,INDEX(Sheet1!C:C,$F986),$F986)</f>
        <v>11</v>
      </c>
      <c r="H986" s="4" t="str" cm="1">
        <f t="array" ref="H986">INDEX(Sheet1!D:D,$G986)</f>
        <v>2001-cso-preferred-class-structure-mortality-tables.xls</v>
      </c>
      <c r="I986" s="4" t="str" cm="1">
        <f t="array" ref="I986">INDEX(Sheet1!E:E,$G986)</f>
        <v>A.1.b.i</v>
      </c>
      <c r="J986" s="4" t="str" cm="1">
        <f t="array" ref="J986">INDEX(Sheet1!F:F,$G986)</f>
        <v>B8</v>
      </c>
      <c r="K986" s="4" cm="1">
        <f t="array" ref="K986">INDEX(Sheet1!H:H,$G986)</f>
        <v>1E-3</v>
      </c>
      <c r="L986" s="4">
        <f t="shared" si="60"/>
        <v>84</v>
      </c>
      <c r="M986" s="4">
        <f t="shared" si="63"/>
        <v>5</v>
      </c>
    </row>
    <row r="987" spans="1:13">
      <c r="A987" s="4" t="str" cm="1">
        <f t="array" ref="A987">INDEX(Sheet1!A:A,$F987)</f>
        <v>F</v>
      </c>
      <c r="B987" s="4" t="str" cm="1">
        <f t="array" ref="B987">INDEX(Sheet1!B:B,$F987)</f>
        <v>Super-Pref NS</v>
      </c>
      <c r="C987" s="4">
        <f t="shared" si="61"/>
        <v>85</v>
      </c>
      <c r="D987" s="5" cm="1">
        <f t="array" aca="1" ref="D987" ca="1">OFFSET(INDIRECT("'["&amp;$H987&amp;"]"&amp;$I987&amp;"'!"&amp;$J987),$L987,$M987)*$K987</f>
        <v>6.012E-2</v>
      </c>
      <c r="F987" s="4">
        <f t="shared" si="62"/>
        <v>11</v>
      </c>
      <c r="G987" s="4" cm="1">
        <f t="array" ref="G987">IF($C987+$M987&lt;16,INDEX(Sheet1!C:C,$F987),$F987)</f>
        <v>11</v>
      </c>
      <c r="H987" s="4" t="str" cm="1">
        <f t="array" ref="H987">INDEX(Sheet1!D:D,$G987)</f>
        <v>2001-cso-preferred-class-structure-mortality-tables.xls</v>
      </c>
      <c r="I987" s="4" t="str" cm="1">
        <f t="array" ref="I987">INDEX(Sheet1!E:E,$G987)</f>
        <v>A.1.b.i</v>
      </c>
      <c r="J987" s="4" t="str" cm="1">
        <f t="array" ref="J987">INDEX(Sheet1!F:F,$G987)</f>
        <v>B8</v>
      </c>
      <c r="K987" s="4" cm="1">
        <f t="array" ref="K987">INDEX(Sheet1!H:H,$G987)</f>
        <v>1E-3</v>
      </c>
      <c r="L987" s="4">
        <f t="shared" si="60"/>
        <v>85</v>
      </c>
      <c r="M987" s="4">
        <f t="shared" si="63"/>
        <v>5</v>
      </c>
    </row>
    <row r="988" spans="1:13">
      <c r="A988" s="4" t="str" cm="1">
        <f t="array" ref="A988">INDEX(Sheet1!A:A,$F988)</f>
        <v>F</v>
      </c>
      <c r="B988" s="4" t="str" cm="1">
        <f t="array" ref="B988">INDEX(Sheet1!B:B,$F988)</f>
        <v>Super-Pref NS</v>
      </c>
      <c r="C988" s="4">
        <f t="shared" si="61"/>
        <v>86</v>
      </c>
      <c r="D988" s="5" cm="1">
        <f t="array" aca="1" ref="D988" ca="1">OFFSET(INDIRECT("'["&amp;$H988&amp;"]"&amp;$I988&amp;"'!"&amp;$J988),$L988,$M988)*$K988</f>
        <v>7.2819999999999996E-2</v>
      </c>
      <c r="F988" s="4">
        <f t="shared" si="62"/>
        <v>11</v>
      </c>
      <c r="G988" s="4" cm="1">
        <f t="array" ref="G988">IF($C988+$M988&lt;16,INDEX(Sheet1!C:C,$F988),$F988)</f>
        <v>11</v>
      </c>
      <c r="H988" s="4" t="str" cm="1">
        <f t="array" ref="H988">INDEX(Sheet1!D:D,$G988)</f>
        <v>2001-cso-preferred-class-structure-mortality-tables.xls</v>
      </c>
      <c r="I988" s="4" t="str" cm="1">
        <f t="array" ref="I988">INDEX(Sheet1!E:E,$G988)</f>
        <v>A.1.b.i</v>
      </c>
      <c r="J988" s="4" t="str" cm="1">
        <f t="array" ref="J988">INDEX(Sheet1!F:F,$G988)</f>
        <v>B8</v>
      </c>
      <c r="K988" s="4" cm="1">
        <f t="array" ref="K988">INDEX(Sheet1!H:H,$G988)</f>
        <v>1E-3</v>
      </c>
      <c r="L988" s="4">
        <f t="shared" si="60"/>
        <v>86</v>
      </c>
      <c r="M988" s="4">
        <f t="shared" si="63"/>
        <v>5</v>
      </c>
    </row>
    <row r="989" spans="1:13">
      <c r="A989" s="4" t="str" cm="1">
        <f t="array" ref="A989">INDEX(Sheet1!A:A,$F989)</f>
        <v>F</v>
      </c>
      <c r="B989" s="4" t="str" cm="1">
        <f t="array" ref="B989">INDEX(Sheet1!B:B,$F989)</f>
        <v>Super-Pref NS</v>
      </c>
      <c r="C989" s="4">
        <f t="shared" si="61"/>
        <v>87</v>
      </c>
      <c r="D989" s="5" cm="1">
        <f t="array" aca="1" ref="D989" ca="1">OFFSET(INDIRECT("'["&amp;$H989&amp;"]"&amp;$I989&amp;"'!"&amp;$J989),$L989,$M989)*$K989</f>
        <v>8.8209999999999997E-2</v>
      </c>
      <c r="F989" s="4">
        <f t="shared" si="62"/>
        <v>11</v>
      </c>
      <c r="G989" s="4" cm="1">
        <f t="array" ref="G989">IF($C989+$M989&lt;16,INDEX(Sheet1!C:C,$F989),$F989)</f>
        <v>11</v>
      </c>
      <c r="H989" s="4" t="str" cm="1">
        <f t="array" ref="H989">INDEX(Sheet1!D:D,$G989)</f>
        <v>2001-cso-preferred-class-structure-mortality-tables.xls</v>
      </c>
      <c r="I989" s="4" t="str" cm="1">
        <f t="array" ref="I989">INDEX(Sheet1!E:E,$G989)</f>
        <v>A.1.b.i</v>
      </c>
      <c r="J989" s="4" t="str" cm="1">
        <f t="array" ref="J989">INDEX(Sheet1!F:F,$G989)</f>
        <v>B8</v>
      </c>
      <c r="K989" s="4" cm="1">
        <f t="array" ref="K989">INDEX(Sheet1!H:H,$G989)</f>
        <v>1E-3</v>
      </c>
      <c r="L989" s="4">
        <f t="shared" si="60"/>
        <v>87</v>
      </c>
      <c r="M989" s="4">
        <f t="shared" si="63"/>
        <v>5</v>
      </c>
    </row>
    <row r="990" spans="1:13">
      <c r="A990" s="4" t="str" cm="1">
        <f t="array" ref="A990">INDEX(Sheet1!A:A,$F990)</f>
        <v>F</v>
      </c>
      <c r="B990" s="4" t="str" cm="1">
        <f t="array" ref="B990">INDEX(Sheet1!B:B,$F990)</f>
        <v>Super-Pref NS</v>
      </c>
      <c r="C990" s="4">
        <f t="shared" si="61"/>
        <v>88</v>
      </c>
      <c r="D990" s="5" cm="1">
        <f t="array" aca="1" ref="D990" ca="1">OFFSET(INDIRECT("'["&amp;$H990&amp;"]"&amp;$I990&amp;"'!"&amp;$J990),$L990,$M990)*$K990</f>
        <v>0.10689</v>
      </c>
      <c r="F990" s="4">
        <f t="shared" si="62"/>
        <v>11</v>
      </c>
      <c r="G990" s="4" cm="1">
        <f t="array" ref="G990">IF($C990+$M990&lt;16,INDEX(Sheet1!C:C,$F990),$F990)</f>
        <v>11</v>
      </c>
      <c r="H990" s="4" t="str" cm="1">
        <f t="array" ref="H990">INDEX(Sheet1!D:D,$G990)</f>
        <v>2001-cso-preferred-class-structure-mortality-tables.xls</v>
      </c>
      <c r="I990" s="4" t="str" cm="1">
        <f t="array" ref="I990">INDEX(Sheet1!E:E,$G990)</f>
        <v>A.1.b.i</v>
      </c>
      <c r="J990" s="4" t="str" cm="1">
        <f t="array" ref="J990">INDEX(Sheet1!F:F,$G990)</f>
        <v>B8</v>
      </c>
      <c r="K990" s="4" cm="1">
        <f t="array" ref="K990">INDEX(Sheet1!H:H,$G990)</f>
        <v>1E-3</v>
      </c>
      <c r="L990" s="4">
        <f t="shared" si="60"/>
        <v>88</v>
      </c>
      <c r="M990" s="4">
        <f t="shared" si="63"/>
        <v>5</v>
      </c>
    </row>
    <row r="991" spans="1:13">
      <c r="A991" s="4" t="str" cm="1">
        <f t="array" ref="A991">INDEX(Sheet1!A:A,$F991)</f>
        <v>F</v>
      </c>
      <c r="B991" s="4" t="str" cm="1">
        <f t="array" ref="B991">INDEX(Sheet1!B:B,$F991)</f>
        <v>Super-Pref NS</v>
      </c>
      <c r="C991" s="4">
        <f t="shared" si="61"/>
        <v>89</v>
      </c>
      <c r="D991" s="5" cm="1">
        <f t="array" aca="1" ref="D991" ca="1">OFFSET(INDIRECT("'["&amp;$H991&amp;"]"&amp;$I991&amp;"'!"&amp;$J991),$L991,$M991)*$K991</f>
        <v>0.12916999999999998</v>
      </c>
      <c r="F991" s="4">
        <f t="shared" si="62"/>
        <v>11</v>
      </c>
      <c r="G991" s="4" cm="1">
        <f t="array" ref="G991">IF($C991+$M991&lt;16,INDEX(Sheet1!C:C,$F991),$F991)</f>
        <v>11</v>
      </c>
      <c r="H991" s="4" t="str" cm="1">
        <f t="array" ref="H991">INDEX(Sheet1!D:D,$G991)</f>
        <v>2001-cso-preferred-class-structure-mortality-tables.xls</v>
      </c>
      <c r="I991" s="4" t="str" cm="1">
        <f t="array" ref="I991">INDEX(Sheet1!E:E,$G991)</f>
        <v>A.1.b.i</v>
      </c>
      <c r="J991" s="4" t="str" cm="1">
        <f t="array" ref="J991">INDEX(Sheet1!F:F,$G991)</f>
        <v>B8</v>
      </c>
      <c r="K991" s="4" cm="1">
        <f t="array" ref="K991">INDEX(Sheet1!H:H,$G991)</f>
        <v>1E-3</v>
      </c>
      <c r="L991" s="4">
        <f t="shared" si="60"/>
        <v>89</v>
      </c>
      <c r="M991" s="4">
        <f t="shared" si="63"/>
        <v>5</v>
      </c>
    </row>
    <row r="992" spans="1:13">
      <c r="A992" s="4" t="str" cm="1">
        <f t="array" ref="A992">INDEX(Sheet1!A:A,$F992)</f>
        <v>F</v>
      </c>
      <c r="B992" s="4" t="str" cm="1">
        <f t="array" ref="B992">INDEX(Sheet1!B:B,$F992)</f>
        <v>Super-Pref NS</v>
      </c>
      <c r="C992" s="4">
        <f t="shared" si="61"/>
        <v>90</v>
      </c>
      <c r="D992" s="5" cm="1">
        <f t="array" aca="1" ref="D992" ca="1">OFFSET(INDIRECT("'["&amp;$H992&amp;"]"&amp;$I992&amp;"'!"&amp;$J992),$L992,$M992)*$K992</f>
        <v>0.14529</v>
      </c>
      <c r="F992" s="4">
        <f t="shared" si="62"/>
        <v>11</v>
      </c>
      <c r="G992" s="4" cm="1">
        <f t="array" ref="G992">IF($C992+$M992&lt;16,INDEX(Sheet1!C:C,$F992),$F992)</f>
        <v>11</v>
      </c>
      <c r="H992" s="4" t="str" cm="1">
        <f t="array" ref="H992">INDEX(Sheet1!D:D,$G992)</f>
        <v>2001-cso-preferred-class-structure-mortality-tables.xls</v>
      </c>
      <c r="I992" s="4" t="str" cm="1">
        <f t="array" ref="I992">INDEX(Sheet1!E:E,$G992)</f>
        <v>A.1.b.i</v>
      </c>
      <c r="J992" s="4" t="str" cm="1">
        <f t="array" ref="J992">INDEX(Sheet1!F:F,$G992)</f>
        <v>B8</v>
      </c>
      <c r="K992" s="4" cm="1">
        <f t="array" ref="K992">INDEX(Sheet1!H:H,$G992)</f>
        <v>1E-3</v>
      </c>
      <c r="L992" s="4">
        <f t="shared" si="60"/>
        <v>90</v>
      </c>
      <c r="M992" s="4">
        <f t="shared" si="63"/>
        <v>5</v>
      </c>
    </row>
    <row r="993" spans="1:13">
      <c r="A993" s="4" t="str" cm="1">
        <f t="array" ref="A993">INDEX(Sheet1!A:A,$F993)</f>
        <v>F</v>
      </c>
      <c r="B993" s="4" t="str" cm="1">
        <f t="array" ref="B993">INDEX(Sheet1!B:B,$F993)</f>
        <v>Super-Pref NS</v>
      </c>
      <c r="C993" s="4">
        <f t="shared" si="61"/>
        <v>91</v>
      </c>
      <c r="D993" s="5" cm="1">
        <f t="array" aca="1" ref="D993" ca="1">OFFSET(INDIRECT("'["&amp;$H993&amp;"]"&amp;$I993&amp;"'!"&amp;$J993),$L993,$M993)*$K993</f>
        <v>0.16028000000000001</v>
      </c>
      <c r="F993" s="4">
        <f t="shared" si="62"/>
        <v>11</v>
      </c>
      <c r="G993" s="4" cm="1">
        <f t="array" ref="G993">IF($C993+$M993&lt;16,INDEX(Sheet1!C:C,$F993),$F993)</f>
        <v>11</v>
      </c>
      <c r="H993" s="4" t="str" cm="1">
        <f t="array" ref="H993">INDEX(Sheet1!D:D,$G993)</f>
        <v>2001-cso-preferred-class-structure-mortality-tables.xls</v>
      </c>
      <c r="I993" s="4" t="str" cm="1">
        <f t="array" ref="I993">INDEX(Sheet1!E:E,$G993)</f>
        <v>A.1.b.i</v>
      </c>
      <c r="J993" s="4" t="str" cm="1">
        <f t="array" ref="J993">INDEX(Sheet1!F:F,$G993)</f>
        <v>B8</v>
      </c>
      <c r="K993" s="4" cm="1">
        <f t="array" ref="K993">INDEX(Sheet1!H:H,$G993)</f>
        <v>1E-3</v>
      </c>
      <c r="L993" s="4">
        <f t="shared" si="60"/>
        <v>91</v>
      </c>
      <c r="M993" s="4">
        <f t="shared" si="63"/>
        <v>5</v>
      </c>
    </row>
    <row r="994" spans="1:13">
      <c r="A994" s="4" t="str" cm="1">
        <f t="array" ref="A994">INDEX(Sheet1!A:A,$F994)</f>
        <v>F</v>
      </c>
      <c r="B994" s="4" t="str" cm="1">
        <f t="array" ref="B994">INDEX(Sheet1!B:B,$F994)</f>
        <v>Super-Pref NS</v>
      </c>
      <c r="C994" s="4">
        <f t="shared" si="61"/>
        <v>92</v>
      </c>
      <c r="D994" s="5" cm="1">
        <f t="array" aca="1" ref="D994" ca="1">OFFSET(INDIRECT("'["&amp;$H994&amp;"]"&amp;$I994&amp;"'!"&amp;$J994),$L994,$M994)*$K994</f>
        <v>0.17630000000000001</v>
      </c>
      <c r="F994" s="4">
        <f t="shared" si="62"/>
        <v>11</v>
      </c>
      <c r="G994" s="4" cm="1">
        <f t="array" ref="G994">IF($C994+$M994&lt;16,INDEX(Sheet1!C:C,$F994),$F994)</f>
        <v>11</v>
      </c>
      <c r="H994" s="4" t="str" cm="1">
        <f t="array" ref="H994">INDEX(Sheet1!D:D,$G994)</f>
        <v>2001-cso-preferred-class-structure-mortality-tables.xls</v>
      </c>
      <c r="I994" s="4" t="str" cm="1">
        <f t="array" ref="I994">INDEX(Sheet1!E:E,$G994)</f>
        <v>A.1.b.i</v>
      </c>
      <c r="J994" s="4" t="str" cm="1">
        <f t="array" ref="J994">INDEX(Sheet1!F:F,$G994)</f>
        <v>B8</v>
      </c>
      <c r="K994" s="4" cm="1">
        <f t="array" ref="K994">INDEX(Sheet1!H:H,$G994)</f>
        <v>1E-3</v>
      </c>
      <c r="L994" s="4">
        <f t="shared" si="60"/>
        <v>92</v>
      </c>
      <c r="M994" s="4">
        <f t="shared" si="63"/>
        <v>5</v>
      </c>
    </row>
    <row r="995" spans="1:13">
      <c r="A995" s="4" t="str" cm="1">
        <f t="array" ref="A995">INDEX(Sheet1!A:A,$F995)</f>
        <v>F</v>
      </c>
      <c r="B995" s="4" t="str" cm="1">
        <f t="array" ref="B995">INDEX(Sheet1!B:B,$F995)</f>
        <v>Super-Pref NS</v>
      </c>
      <c r="C995" s="4">
        <f t="shared" si="61"/>
        <v>93</v>
      </c>
      <c r="D995" s="5" cm="1">
        <f t="array" aca="1" ref="D995" ca="1">OFFSET(INDIRECT("'["&amp;$H995&amp;"]"&amp;$I995&amp;"'!"&amp;$J995),$L995,$M995)*$K995</f>
        <v>0.19334000000000001</v>
      </c>
      <c r="F995" s="4">
        <f t="shared" si="62"/>
        <v>11</v>
      </c>
      <c r="G995" s="4" cm="1">
        <f t="array" ref="G995">IF($C995+$M995&lt;16,INDEX(Sheet1!C:C,$F995),$F995)</f>
        <v>11</v>
      </c>
      <c r="H995" s="4" t="str" cm="1">
        <f t="array" ref="H995">INDEX(Sheet1!D:D,$G995)</f>
        <v>2001-cso-preferred-class-structure-mortality-tables.xls</v>
      </c>
      <c r="I995" s="4" t="str" cm="1">
        <f t="array" ref="I995">INDEX(Sheet1!E:E,$G995)</f>
        <v>A.1.b.i</v>
      </c>
      <c r="J995" s="4" t="str" cm="1">
        <f t="array" ref="J995">INDEX(Sheet1!F:F,$G995)</f>
        <v>B8</v>
      </c>
      <c r="K995" s="4" cm="1">
        <f t="array" ref="K995">INDEX(Sheet1!H:H,$G995)</f>
        <v>1E-3</v>
      </c>
      <c r="L995" s="4">
        <f t="shared" si="60"/>
        <v>93</v>
      </c>
      <c r="M995" s="4">
        <f t="shared" si="63"/>
        <v>5</v>
      </c>
    </row>
    <row r="996" spans="1:13">
      <c r="A996" s="4" t="str" cm="1">
        <f t="array" ref="A996">INDEX(Sheet1!A:A,$F996)</f>
        <v>F</v>
      </c>
      <c r="B996" s="4" t="str" cm="1">
        <f t="array" ref="B996">INDEX(Sheet1!B:B,$F996)</f>
        <v>Super-Pref NS</v>
      </c>
      <c r="C996" s="4">
        <f t="shared" si="61"/>
        <v>94</v>
      </c>
      <c r="D996" s="5" cm="1">
        <f t="array" aca="1" ref="D996" ca="1">OFFSET(INDIRECT("'["&amp;$H996&amp;"]"&amp;$I996&amp;"'!"&amp;$J996),$L996,$M996)*$K996</f>
        <v>0.21146000000000001</v>
      </c>
      <c r="F996" s="4">
        <f t="shared" si="62"/>
        <v>11</v>
      </c>
      <c r="G996" s="4" cm="1">
        <f t="array" ref="G996">IF($C996+$M996&lt;16,INDEX(Sheet1!C:C,$F996),$F996)</f>
        <v>11</v>
      </c>
      <c r="H996" s="4" t="str" cm="1">
        <f t="array" ref="H996">INDEX(Sheet1!D:D,$G996)</f>
        <v>2001-cso-preferred-class-structure-mortality-tables.xls</v>
      </c>
      <c r="I996" s="4" t="str" cm="1">
        <f t="array" ref="I996">INDEX(Sheet1!E:E,$G996)</f>
        <v>A.1.b.i</v>
      </c>
      <c r="J996" s="4" t="str" cm="1">
        <f t="array" ref="J996">INDEX(Sheet1!F:F,$G996)</f>
        <v>B8</v>
      </c>
      <c r="K996" s="4" cm="1">
        <f t="array" ref="K996">INDEX(Sheet1!H:H,$G996)</f>
        <v>1E-3</v>
      </c>
      <c r="L996" s="4">
        <f t="shared" si="60"/>
        <v>94</v>
      </c>
      <c r="M996" s="4">
        <f t="shared" si="63"/>
        <v>5</v>
      </c>
    </row>
    <row r="997" spans="1:13">
      <c r="A997" s="4" t="str" cm="1">
        <f t="array" ref="A997">INDEX(Sheet1!A:A,$F997)</f>
        <v>F</v>
      </c>
      <c r="B997" s="4" t="str" cm="1">
        <f t="array" ref="B997">INDEX(Sheet1!B:B,$F997)</f>
        <v>Super-Pref NS</v>
      </c>
      <c r="C997" s="4">
        <f t="shared" si="61"/>
        <v>95</v>
      </c>
      <c r="D997" s="5" cm="1">
        <f t="array" aca="1" ref="D997" ca="1">OFFSET(INDIRECT("'["&amp;$H997&amp;"]"&amp;$I997&amp;"'!"&amp;$J997),$L997,$M997)*$K997</f>
        <v>0.23053000000000001</v>
      </c>
      <c r="F997" s="4">
        <f t="shared" si="62"/>
        <v>11</v>
      </c>
      <c r="G997" s="4" cm="1">
        <f t="array" ref="G997">IF($C997+$M997&lt;16,INDEX(Sheet1!C:C,$F997),$F997)</f>
        <v>11</v>
      </c>
      <c r="H997" s="4" t="str" cm="1">
        <f t="array" ref="H997">INDEX(Sheet1!D:D,$G997)</f>
        <v>2001-cso-preferred-class-structure-mortality-tables.xls</v>
      </c>
      <c r="I997" s="4" t="str" cm="1">
        <f t="array" ref="I997">INDEX(Sheet1!E:E,$G997)</f>
        <v>A.1.b.i</v>
      </c>
      <c r="J997" s="4" t="str" cm="1">
        <f t="array" ref="J997">INDEX(Sheet1!F:F,$G997)</f>
        <v>B8</v>
      </c>
      <c r="K997" s="4" cm="1">
        <f t="array" ref="K997">INDEX(Sheet1!H:H,$G997)</f>
        <v>1E-3</v>
      </c>
      <c r="L997" s="4">
        <f t="shared" si="60"/>
        <v>95</v>
      </c>
      <c r="M997" s="4">
        <f t="shared" si="63"/>
        <v>5</v>
      </c>
    </row>
    <row r="998" spans="1:13">
      <c r="A998" s="4" t="str" cm="1">
        <f t="array" ref="A998">INDEX(Sheet1!A:A,$F998)</f>
        <v>F</v>
      </c>
      <c r="B998" s="4" t="str" cm="1">
        <f t="array" ref="B998">INDEX(Sheet1!B:B,$F998)</f>
        <v>Super-Pref NS</v>
      </c>
      <c r="C998" s="4">
        <f t="shared" si="61"/>
        <v>96</v>
      </c>
      <c r="D998" s="5" cm="1">
        <f t="array" aca="1" ref="D998" ca="1">OFFSET(INDIRECT("'["&amp;$H998&amp;"]"&amp;$I998&amp;"'!"&amp;$J998),$L998,$M998)*$K998</f>
        <v>0.25178</v>
      </c>
      <c r="F998" s="4">
        <f t="shared" si="62"/>
        <v>11</v>
      </c>
      <c r="G998" s="4" cm="1">
        <f t="array" ref="G998">IF($C998+$M998&lt;16,INDEX(Sheet1!C:C,$F998),$F998)</f>
        <v>11</v>
      </c>
      <c r="H998" s="4" t="str" cm="1">
        <f t="array" ref="H998">INDEX(Sheet1!D:D,$G998)</f>
        <v>2001-cso-preferred-class-structure-mortality-tables.xls</v>
      </c>
      <c r="I998" s="4" t="str" cm="1">
        <f t="array" ref="I998">INDEX(Sheet1!E:E,$G998)</f>
        <v>A.1.b.i</v>
      </c>
      <c r="J998" s="4" t="str" cm="1">
        <f t="array" ref="J998">INDEX(Sheet1!F:F,$G998)</f>
        <v>B8</v>
      </c>
      <c r="K998" s="4" cm="1">
        <f t="array" ref="K998">INDEX(Sheet1!H:H,$G998)</f>
        <v>1E-3</v>
      </c>
      <c r="L998" s="4">
        <f t="shared" si="60"/>
        <v>96</v>
      </c>
      <c r="M998" s="4">
        <f t="shared" si="63"/>
        <v>5</v>
      </c>
    </row>
    <row r="999" spans="1:13">
      <c r="A999" s="4" t="str" cm="1">
        <f t="array" ref="A999">INDEX(Sheet1!A:A,$F999)</f>
        <v>F</v>
      </c>
      <c r="B999" s="4" t="str" cm="1">
        <f t="array" ref="B999">INDEX(Sheet1!B:B,$F999)</f>
        <v>Super-Pref NS</v>
      </c>
      <c r="C999" s="4">
        <f t="shared" si="61"/>
        <v>97</v>
      </c>
      <c r="D999" s="5" cm="1">
        <f t="array" aca="1" ref="D999" ca="1">OFFSET(INDIRECT("'["&amp;$H999&amp;"]"&amp;$I999&amp;"'!"&amp;$J999),$L999,$M999)*$K999</f>
        <v>0.26830000000000004</v>
      </c>
      <c r="F999" s="4">
        <f t="shared" si="62"/>
        <v>11</v>
      </c>
      <c r="G999" s="4" cm="1">
        <f t="array" ref="G999">IF($C999+$M999&lt;16,INDEX(Sheet1!C:C,$F999),$F999)</f>
        <v>11</v>
      </c>
      <c r="H999" s="4" t="str" cm="1">
        <f t="array" ref="H999">INDEX(Sheet1!D:D,$G999)</f>
        <v>2001-cso-preferred-class-structure-mortality-tables.xls</v>
      </c>
      <c r="I999" s="4" t="str" cm="1">
        <f t="array" ref="I999">INDEX(Sheet1!E:E,$G999)</f>
        <v>A.1.b.i</v>
      </c>
      <c r="J999" s="4" t="str" cm="1">
        <f t="array" ref="J999">INDEX(Sheet1!F:F,$G999)</f>
        <v>B8</v>
      </c>
      <c r="K999" s="4" cm="1">
        <f t="array" ref="K999">INDEX(Sheet1!H:H,$G999)</f>
        <v>1E-3</v>
      </c>
      <c r="L999" s="4">
        <f t="shared" si="60"/>
        <v>97</v>
      </c>
      <c r="M999" s="4">
        <f t="shared" si="63"/>
        <v>5</v>
      </c>
    </row>
    <row r="1000" spans="1:13">
      <c r="A1000" s="4" t="str" cm="1">
        <f t="array" ref="A1000">INDEX(Sheet1!A:A,$F1000)</f>
        <v>F</v>
      </c>
      <c r="B1000" s="4" t="str" cm="1">
        <f t="array" ref="B1000">INDEX(Sheet1!B:B,$F1000)</f>
        <v>Super-Pref NS</v>
      </c>
      <c r="C1000" s="4">
        <f t="shared" si="61"/>
        <v>98</v>
      </c>
      <c r="D1000" s="5" cm="1">
        <f t="array" aca="1" ref="D1000" ca="1">OFFSET(INDIRECT("'["&amp;$H1000&amp;"]"&amp;$I1000&amp;"'!"&amp;$J1000),$L1000,$M1000)*$K1000</f>
        <v>0.28563</v>
      </c>
      <c r="F1000" s="4">
        <f t="shared" si="62"/>
        <v>11</v>
      </c>
      <c r="G1000" s="4" cm="1">
        <f t="array" ref="G1000">IF($C1000+$M1000&lt;16,INDEX(Sheet1!C:C,$F1000),$F1000)</f>
        <v>11</v>
      </c>
      <c r="H1000" s="4" t="str" cm="1">
        <f t="array" ref="H1000">INDEX(Sheet1!D:D,$G1000)</f>
        <v>2001-cso-preferred-class-structure-mortality-tables.xls</v>
      </c>
      <c r="I1000" s="4" t="str" cm="1">
        <f t="array" ref="I1000">INDEX(Sheet1!E:E,$G1000)</f>
        <v>A.1.b.i</v>
      </c>
      <c r="J1000" s="4" t="str" cm="1">
        <f t="array" ref="J1000">INDEX(Sheet1!F:F,$G1000)</f>
        <v>B8</v>
      </c>
      <c r="K1000" s="4" cm="1">
        <f t="array" ref="K1000">INDEX(Sheet1!H:H,$G1000)</f>
        <v>1E-3</v>
      </c>
      <c r="L1000" s="4">
        <f t="shared" si="60"/>
        <v>98</v>
      </c>
      <c r="M1000" s="4">
        <f t="shared" si="63"/>
        <v>5</v>
      </c>
    </row>
    <row r="1001" spans="1:13">
      <c r="A1001" s="4" t="str" cm="1">
        <f t="array" ref="A1001">INDEX(Sheet1!A:A,$F1001)</f>
        <v>F</v>
      </c>
      <c r="B1001" s="4" t="str" cm="1">
        <f t="array" ref="B1001">INDEX(Sheet1!B:B,$F1001)</f>
        <v>Super-Pref NS</v>
      </c>
      <c r="C1001" s="4">
        <f t="shared" si="61"/>
        <v>99</v>
      </c>
      <c r="D1001" s="5" cm="1">
        <f t="array" aca="1" ref="D1001" ca="1">OFFSET(INDIRECT("'["&amp;$H1001&amp;"]"&amp;$I1001&amp;"'!"&amp;$J1001),$L1001,$M1001)*$K1001</f>
        <v>0.30377999999999999</v>
      </c>
      <c r="F1001" s="4">
        <f t="shared" si="62"/>
        <v>11</v>
      </c>
      <c r="G1001" s="4" cm="1">
        <f t="array" ref="G1001">IF($C1001+$M1001&lt;16,INDEX(Sheet1!C:C,$F1001),$F1001)</f>
        <v>11</v>
      </c>
      <c r="H1001" s="4" t="str" cm="1">
        <f t="array" ref="H1001">INDEX(Sheet1!D:D,$G1001)</f>
        <v>2001-cso-preferred-class-structure-mortality-tables.xls</v>
      </c>
      <c r="I1001" s="4" t="str" cm="1">
        <f t="array" ref="I1001">INDEX(Sheet1!E:E,$G1001)</f>
        <v>A.1.b.i</v>
      </c>
      <c r="J1001" s="4" t="str" cm="1">
        <f t="array" ref="J1001">INDEX(Sheet1!F:F,$G1001)</f>
        <v>B8</v>
      </c>
      <c r="K1001" s="4" cm="1">
        <f t="array" ref="K1001">INDEX(Sheet1!H:H,$G1001)</f>
        <v>1E-3</v>
      </c>
      <c r="L1001" s="4">
        <f t="shared" si="60"/>
        <v>99</v>
      </c>
      <c r="M1001" s="4">
        <f t="shared" si="63"/>
        <v>5</v>
      </c>
    </row>
    <row r="1002" spans="1:13">
      <c r="A1002" s="4" t="str" cm="1">
        <f t="array" ref="A1002">INDEX(Sheet1!A:A,$F1002)</f>
        <v>F</v>
      </c>
      <c r="B1002" s="4" t="str" cm="1">
        <f t="array" ref="B1002">INDEX(Sheet1!B:B,$F1002)</f>
        <v>Pref Best NS</v>
      </c>
      <c r="C1002" s="4">
        <f t="shared" si="61"/>
        <v>0</v>
      </c>
      <c r="D1002" s="5" cm="1">
        <f t="array" aca="1" ref="D1002" ca="1">OFFSET(INDIRECT("'["&amp;$H1002&amp;"]"&amp;$I1002&amp;"'!"&amp;$J1002),$L1002,$M1002)*$K1002</f>
        <v>1.8000000000000001E-4</v>
      </c>
      <c r="F1002" s="4">
        <f t="shared" si="62"/>
        <v>12</v>
      </c>
      <c r="G1002" s="4" cm="1">
        <f t="array" ref="G1002">IF($C1002+$M1002&lt;16,INDEX(Sheet1!C:C,$F1002),$F1002)</f>
        <v>19</v>
      </c>
      <c r="H1002" s="4" t="str" cm="1">
        <f t="array" ref="H1002">INDEX(Sheet1!D:D,$G1002)</f>
        <v>t1139.xlsx</v>
      </c>
      <c r="I1002" s="4" t="str" cm="1">
        <f t="array" ref="I1002">INDEX(Sheet1!E:E,$G1002)</f>
        <v>Sheet1</v>
      </c>
      <c r="J1002" s="4" t="str" cm="1">
        <f t="array" ref="J1002">INDEX(Sheet1!F:F,$G1002)</f>
        <v>B25</v>
      </c>
      <c r="K1002" s="4" cm="1">
        <f t="array" ref="K1002">INDEX(Sheet1!H:H,$G1002)</f>
        <v>1</v>
      </c>
      <c r="L1002" s="4">
        <f t="shared" si="60"/>
        <v>0</v>
      </c>
      <c r="M1002" s="4">
        <f t="shared" si="63"/>
        <v>5</v>
      </c>
    </row>
    <row r="1003" spans="1:13">
      <c r="A1003" s="4" t="str" cm="1">
        <f t="array" ref="A1003">INDEX(Sheet1!A:A,$F1003)</f>
        <v>F</v>
      </c>
      <c r="B1003" s="4" t="str" cm="1">
        <f t="array" ref="B1003">INDEX(Sheet1!B:B,$F1003)</f>
        <v>Pref Best NS</v>
      </c>
      <c r="C1003" s="4">
        <f t="shared" si="61"/>
        <v>1</v>
      </c>
      <c r="D1003" s="5" cm="1">
        <f t="array" aca="1" ref="D1003" ca="1">OFFSET(INDIRECT("'["&amp;$H1003&amp;"]"&amp;$I1003&amp;"'!"&amp;$J1003),$L1003,$M1003)*$K1003</f>
        <v>1.8000000000000001E-4</v>
      </c>
      <c r="F1003" s="4">
        <f t="shared" si="62"/>
        <v>12</v>
      </c>
      <c r="G1003" s="4" cm="1">
        <f t="array" ref="G1003">IF($C1003+$M1003&lt;16,INDEX(Sheet1!C:C,$F1003),$F1003)</f>
        <v>19</v>
      </c>
      <c r="H1003" s="4" t="str" cm="1">
        <f t="array" ref="H1003">INDEX(Sheet1!D:D,$G1003)</f>
        <v>t1139.xlsx</v>
      </c>
      <c r="I1003" s="4" t="str" cm="1">
        <f t="array" ref="I1003">INDEX(Sheet1!E:E,$G1003)</f>
        <v>Sheet1</v>
      </c>
      <c r="J1003" s="4" t="str" cm="1">
        <f t="array" ref="J1003">INDEX(Sheet1!F:F,$G1003)</f>
        <v>B25</v>
      </c>
      <c r="K1003" s="4" cm="1">
        <f t="array" ref="K1003">INDEX(Sheet1!H:H,$G1003)</f>
        <v>1</v>
      </c>
      <c r="L1003" s="4">
        <f t="shared" si="60"/>
        <v>1</v>
      </c>
      <c r="M1003" s="4">
        <f t="shared" si="63"/>
        <v>5</v>
      </c>
    </row>
    <row r="1004" spans="1:13">
      <c r="A1004" s="4" t="str" cm="1">
        <f t="array" ref="A1004">INDEX(Sheet1!A:A,$F1004)</f>
        <v>F</v>
      </c>
      <c r="B1004" s="4" t="str" cm="1">
        <f t="array" ref="B1004">INDEX(Sheet1!B:B,$F1004)</f>
        <v>Pref Best NS</v>
      </c>
      <c r="C1004" s="4">
        <f t="shared" si="61"/>
        <v>2</v>
      </c>
      <c r="D1004" s="5" cm="1">
        <f t="array" aca="1" ref="D1004" ca="1">OFFSET(INDIRECT("'["&amp;$H1004&amp;"]"&amp;$I1004&amp;"'!"&amp;$J1004),$L1004,$M1004)*$K1004</f>
        <v>1.8000000000000001E-4</v>
      </c>
      <c r="F1004" s="4">
        <f t="shared" si="62"/>
        <v>12</v>
      </c>
      <c r="G1004" s="4" cm="1">
        <f t="array" ref="G1004">IF($C1004+$M1004&lt;16,INDEX(Sheet1!C:C,$F1004),$F1004)</f>
        <v>19</v>
      </c>
      <c r="H1004" s="4" t="str" cm="1">
        <f t="array" ref="H1004">INDEX(Sheet1!D:D,$G1004)</f>
        <v>t1139.xlsx</v>
      </c>
      <c r="I1004" s="4" t="str" cm="1">
        <f t="array" ref="I1004">INDEX(Sheet1!E:E,$G1004)</f>
        <v>Sheet1</v>
      </c>
      <c r="J1004" s="4" t="str" cm="1">
        <f t="array" ref="J1004">INDEX(Sheet1!F:F,$G1004)</f>
        <v>B25</v>
      </c>
      <c r="K1004" s="4" cm="1">
        <f t="array" ref="K1004">INDEX(Sheet1!H:H,$G1004)</f>
        <v>1</v>
      </c>
      <c r="L1004" s="4">
        <f t="shared" si="60"/>
        <v>2</v>
      </c>
      <c r="M1004" s="4">
        <f t="shared" si="63"/>
        <v>5</v>
      </c>
    </row>
    <row r="1005" spans="1:13">
      <c r="A1005" s="4" t="str" cm="1">
        <f t="array" ref="A1005">INDEX(Sheet1!A:A,$F1005)</f>
        <v>F</v>
      </c>
      <c r="B1005" s="4" t="str" cm="1">
        <f t="array" ref="B1005">INDEX(Sheet1!B:B,$F1005)</f>
        <v>Pref Best NS</v>
      </c>
      <c r="C1005" s="4">
        <f t="shared" si="61"/>
        <v>3</v>
      </c>
      <c r="D1005" s="5" cm="1">
        <f t="array" aca="1" ref="D1005" ca="1">OFFSET(INDIRECT("'["&amp;$H1005&amp;"]"&amp;$I1005&amp;"'!"&amp;$J1005),$L1005,$M1005)*$K1005</f>
        <v>1.9000000000000001E-4</v>
      </c>
      <c r="F1005" s="4">
        <f t="shared" si="62"/>
        <v>12</v>
      </c>
      <c r="G1005" s="4" cm="1">
        <f t="array" ref="G1005">IF($C1005+$M1005&lt;16,INDEX(Sheet1!C:C,$F1005),$F1005)</f>
        <v>19</v>
      </c>
      <c r="H1005" s="4" t="str" cm="1">
        <f t="array" ref="H1005">INDEX(Sheet1!D:D,$G1005)</f>
        <v>t1139.xlsx</v>
      </c>
      <c r="I1005" s="4" t="str" cm="1">
        <f t="array" ref="I1005">INDEX(Sheet1!E:E,$G1005)</f>
        <v>Sheet1</v>
      </c>
      <c r="J1005" s="4" t="str" cm="1">
        <f t="array" ref="J1005">INDEX(Sheet1!F:F,$G1005)</f>
        <v>B25</v>
      </c>
      <c r="K1005" s="4" cm="1">
        <f t="array" ref="K1005">INDEX(Sheet1!H:H,$G1005)</f>
        <v>1</v>
      </c>
      <c r="L1005" s="4">
        <f t="shared" si="60"/>
        <v>3</v>
      </c>
      <c r="M1005" s="4">
        <f t="shared" si="63"/>
        <v>5</v>
      </c>
    </row>
    <row r="1006" spans="1:13">
      <c r="A1006" s="4" t="str" cm="1">
        <f t="array" ref="A1006">INDEX(Sheet1!A:A,$F1006)</f>
        <v>F</v>
      </c>
      <c r="B1006" s="4" t="str" cm="1">
        <f t="array" ref="B1006">INDEX(Sheet1!B:B,$F1006)</f>
        <v>Pref Best NS</v>
      </c>
      <c r="C1006" s="4">
        <f t="shared" si="61"/>
        <v>4</v>
      </c>
      <c r="D1006" s="5" cm="1">
        <f t="array" aca="1" ref="D1006" ca="1">OFFSET(INDIRECT("'["&amp;$H1006&amp;"]"&amp;$I1006&amp;"'!"&amp;$J1006),$L1006,$M1006)*$K1006</f>
        <v>1.9000000000000001E-4</v>
      </c>
      <c r="F1006" s="4">
        <f t="shared" si="62"/>
        <v>12</v>
      </c>
      <c r="G1006" s="4" cm="1">
        <f t="array" ref="G1006">IF($C1006+$M1006&lt;16,INDEX(Sheet1!C:C,$F1006),$F1006)</f>
        <v>19</v>
      </c>
      <c r="H1006" s="4" t="str" cm="1">
        <f t="array" ref="H1006">INDEX(Sheet1!D:D,$G1006)</f>
        <v>t1139.xlsx</v>
      </c>
      <c r="I1006" s="4" t="str" cm="1">
        <f t="array" ref="I1006">INDEX(Sheet1!E:E,$G1006)</f>
        <v>Sheet1</v>
      </c>
      <c r="J1006" s="4" t="str" cm="1">
        <f t="array" ref="J1006">INDEX(Sheet1!F:F,$G1006)</f>
        <v>B25</v>
      </c>
      <c r="K1006" s="4" cm="1">
        <f t="array" ref="K1006">INDEX(Sheet1!H:H,$G1006)</f>
        <v>1</v>
      </c>
      <c r="L1006" s="4">
        <f t="shared" si="60"/>
        <v>4</v>
      </c>
      <c r="M1006" s="4">
        <f t="shared" si="63"/>
        <v>5</v>
      </c>
    </row>
    <row r="1007" spans="1:13">
      <c r="A1007" s="4" t="str" cm="1">
        <f t="array" ref="A1007">INDEX(Sheet1!A:A,$F1007)</f>
        <v>F</v>
      </c>
      <c r="B1007" s="4" t="str" cm="1">
        <f t="array" ref="B1007">INDEX(Sheet1!B:B,$F1007)</f>
        <v>Pref Best NS</v>
      </c>
      <c r="C1007" s="4">
        <f t="shared" si="61"/>
        <v>5</v>
      </c>
      <c r="D1007" s="5" cm="1">
        <f t="array" aca="1" ref="D1007" ca="1">OFFSET(INDIRECT("'["&amp;$H1007&amp;"]"&amp;$I1007&amp;"'!"&amp;$J1007),$L1007,$M1007)*$K1007</f>
        <v>1.9000000000000001E-4</v>
      </c>
      <c r="F1007" s="4">
        <f t="shared" si="62"/>
        <v>12</v>
      </c>
      <c r="G1007" s="4" cm="1">
        <f t="array" ref="G1007">IF($C1007+$M1007&lt;16,INDEX(Sheet1!C:C,$F1007),$F1007)</f>
        <v>19</v>
      </c>
      <c r="H1007" s="4" t="str" cm="1">
        <f t="array" ref="H1007">INDEX(Sheet1!D:D,$G1007)</f>
        <v>t1139.xlsx</v>
      </c>
      <c r="I1007" s="4" t="str" cm="1">
        <f t="array" ref="I1007">INDEX(Sheet1!E:E,$G1007)</f>
        <v>Sheet1</v>
      </c>
      <c r="J1007" s="4" t="str" cm="1">
        <f t="array" ref="J1007">INDEX(Sheet1!F:F,$G1007)</f>
        <v>B25</v>
      </c>
      <c r="K1007" s="4" cm="1">
        <f t="array" ref="K1007">INDEX(Sheet1!H:H,$G1007)</f>
        <v>1</v>
      </c>
      <c r="L1007" s="4">
        <f t="shared" si="60"/>
        <v>5</v>
      </c>
      <c r="M1007" s="4">
        <f t="shared" si="63"/>
        <v>5</v>
      </c>
    </row>
    <row r="1008" spans="1:13">
      <c r="A1008" s="4" t="str" cm="1">
        <f t="array" ref="A1008">INDEX(Sheet1!A:A,$F1008)</f>
        <v>F</v>
      </c>
      <c r="B1008" s="4" t="str" cm="1">
        <f t="array" ref="B1008">INDEX(Sheet1!B:B,$F1008)</f>
        <v>Pref Best NS</v>
      </c>
      <c r="C1008" s="4">
        <f t="shared" si="61"/>
        <v>6</v>
      </c>
      <c r="D1008" s="5" cm="1">
        <f t="array" aca="1" ref="D1008" ca="1">OFFSET(INDIRECT("'["&amp;$H1008&amp;"]"&amp;$I1008&amp;"'!"&amp;$J1008),$L1008,$M1008)*$K1008</f>
        <v>2.0000000000000001E-4</v>
      </c>
      <c r="F1008" s="4">
        <f t="shared" si="62"/>
        <v>12</v>
      </c>
      <c r="G1008" s="4" cm="1">
        <f t="array" ref="G1008">IF($C1008+$M1008&lt;16,INDEX(Sheet1!C:C,$F1008),$F1008)</f>
        <v>19</v>
      </c>
      <c r="H1008" s="4" t="str" cm="1">
        <f t="array" ref="H1008">INDEX(Sheet1!D:D,$G1008)</f>
        <v>t1139.xlsx</v>
      </c>
      <c r="I1008" s="4" t="str" cm="1">
        <f t="array" ref="I1008">INDEX(Sheet1!E:E,$G1008)</f>
        <v>Sheet1</v>
      </c>
      <c r="J1008" s="4" t="str" cm="1">
        <f t="array" ref="J1008">INDEX(Sheet1!F:F,$G1008)</f>
        <v>B25</v>
      </c>
      <c r="K1008" s="4" cm="1">
        <f t="array" ref="K1008">INDEX(Sheet1!H:H,$G1008)</f>
        <v>1</v>
      </c>
      <c r="L1008" s="4">
        <f t="shared" si="60"/>
        <v>6</v>
      </c>
      <c r="M1008" s="4">
        <f t="shared" si="63"/>
        <v>5</v>
      </c>
    </row>
    <row r="1009" spans="1:13">
      <c r="A1009" s="4" t="str" cm="1">
        <f t="array" ref="A1009">INDEX(Sheet1!A:A,$F1009)</f>
        <v>F</v>
      </c>
      <c r="B1009" s="4" t="str" cm="1">
        <f t="array" ref="B1009">INDEX(Sheet1!B:B,$F1009)</f>
        <v>Pref Best NS</v>
      </c>
      <c r="C1009" s="4">
        <f t="shared" si="61"/>
        <v>7</v>
      </c>
      <c r="D1009" s="5" cm="1">
        <f t="array" aca="1" ref="D1009" ca="1">OFFSET(INDIRECT("'["&amp;$H1009&amp;"]"&amp;$I1009&amp;"'!"&amp;$J1009),$L1009,$M1009)*$K1009</f>
        <v>2.2000000000000001E-4</v>
      </c>
      <c r="F1009" s="4">
        <f t="shared" si="62"/>
        <v>12</v>
      </c>
      <c r="G1009" s="4" cm="1">
        <f t="array" ref="G1009">IF($C1009+$M1009&lt;16,INDEX(Sheet1!C:C,$F1009),$F1009)</f>
        <v>19</v>
      </c>
      <c r="H1009" s="4" t="str" cm="1">
        <f t="array" ref="H1009">INDEX(Sheet1!D:D,$G1009)</f>
        <v>t1139.xlsx</v>
      </c>
      <c r="I1009" s="4" t="str" cm="1">
        <f t="array" ref="I1009">INDEX(Sheet1!E:E,$G1009)</f>
        <v>Sheet1</v>
      </c>
      <c r="J1009" s="4" t="str" cm="1">
        <f t="array" ref="J1009">INDEX(Sheet1!F:F,$G1009)</f>
        <v>B25</v>
      </c>
      <c r="K1009" s="4" cm="1">
        <f t="array" ref="K1009">INDEX(Sheet1!H:H,$G1009)</f>
        <v>1</v>
      </c>
      <c r="L1009" s="4">
        <f t="shared" si="60"/>
        <v>7</v>
      </c>
      <c r="M1009" s="4">
        <f t="shared" si="63"/>
        <v>5</v>
      </c>
    </row>
    <row r="1010" spans="1:13">
      <c r="A1010" s="4" t="str" cm="1">
        <f t="array" ref="A1010">INDEX(Sheet1!A:A,$F1010)</f>
        <v>F</v>
      </c>
      <c r="B1010" s="4" t="str" cm="1">
        <f t="array" ref="B1010">INDEX(Sheet1!B:B,$F1010)</f>
        <v>Pref Best NS</v>
      </c>
      <c r="C1010" s="4">
        <f t="shared" si="61"/>
        <v>8</v>
      </c>
      <c r="D1010" s="5" cm="1">
        <f t="array" aca="1" ref="D1010" ca="1">OFFSET(INDIRECT("'["&amp;$H1010&amp;"]"&amp;$I1010&amp;"'!"&amp;$J1010),$L1010,$M1010)*$K1010</f>
        <v>2.4000000000000001E-4</v>
      </c>
      <c r="F1010" s="4">
        <f t="shared" si="62"/>
        <v>12</v>
      </c>
      <c r="G1010" s="4" cm="1">
        <f t="array" ref="G1010">IF($C1010+$M1010&lt;16,INDEX(Sheet1!C:C,$F1010),$F1010)</f>
        <v>19</v>
      </c>
      <c r="H1010" s="4" t="str" cm="1">
        <f t="array" ref="H1010">INDEX(Sheet1!D:D,$G1010)</f>
        <v>t1139.xlsx</v>
      </c>
      <c r="I1010" s="4" t="str" cm="1">
        <f t="array" ref="I1010">INDEX(Sheet1!E:E,$G1010)</f>
        <v>Sheet1</v>
      </c>
      <c r="J1010" s="4" t="str" cm="1">
        <f t="array" ref="J1010">INDEX(Sheet1!F:F,$G1010)</f>
        <v>B25</v>
      </c>
      <c r="K1010" s="4" cm="1">
        <f t="array" ref="K1010">INDEX(Sheet1!H:H,$G1010)</f>
        <v>1</v>
      </c>
      <c r="L1010" s="4">
        <f t="shared" si="60"/>
        <v>8</v>
      </c>
      <c r="M1010" s="4">
        <f t="shared" si="63"/>
        <v>5</v>
      </c>
    </row>
    <row r="1011" spans="1:13">
      <c r="A1011" s="4" t="str" cm="1">
        <f t="array" ref="A1011">INDEX(Sheet1!A:A,$F1011)</f>
        <v>F</v>
      </c>
      <c r="B1011" s="4" t="str" cm="1">
        <f t="array" ref="B1011">INDEX(Sheet1!B:B,$F1011)</f>
        <v>Pref Best NS</v>
      </c>
      <c r="C1011" s="4">
        <f t="shared" si="61"/>
        <v>9</v>
      </c>
      <c r="D1011" s="5" cm="1">
        <f t="array" aca="1" ref="D1011" ca="1">OFFSET(INDIRECT("'["&amp;$H1011&amp;"]"&amp;$I1011&amp;"'!"&amp;$J1011),$L1011,$M1011)*$K1011</f>
        <v>2.7E-4</v>
      </c>
      <c r="F1011" s="4">
        <f t="shared" si="62"/>
        <v>12</v>
      </c>
      <c r="G1011" s="4" cm="1">
        <f t="array" ref="G1011">IF($C1011+$M1011&lt;16,INDEX(Sheet1!C:C,$F1011),$F1011)</f>
        <v>19</v>
      </c>
      <c r="H1011" s="4" t="str" cm="1">
        <f t="array" ref="H1011">INDEX(Sheet1!D:D,$G1011)</f>
        <v>t1139.xlsx</v>
      </c>
      <c r="I1011" s="4" t="str" cm="1">
        <f t="array" ref="I1011">INDEX(Sheet1!E:E,$G1011)</f>
        <v>Sheet1</v>
      </c>
      <c r="J1011" s="4" t="str" cm="1">
        <f t="array" ref="J1011">INDEX(Sheet1!F:F,$G1011)</f>
        <v>B25</v>
      </c>
      <c r="K1011" s="4" cm="1">
        <f t="array" ref="K1011">INDEX(Sheet1!H:H,$G1011)</f>
        <v>1</v>
      </c>
      <c r="L1011" s="4">
        <f t="shared" si="60"/>
        <v>9</v>
      </c>
      <c r="M1011" s="4">
        <f t="shared" si="63"/>
        <v>5</v>
      </c>
    </row>
    <row r="1012" spans="1:13">
      <c r="A1012" s="4" t="str" cm="1">
        <f t="array" ref="A1012">INDEX(Sheet1!A:A,$F1012)</f>
        <v>F</v>
      </c>
      <c r="B1012" s="4" t="str" cm="1">
        <f t="array" ref="B1012">INDEX(Sheet1!B:B,$F1012)</f>
        <v>Pref Best NS</v>
      </c>
      <c r="C1012" s="4">
        <f t="shared" si="61"/>
        <v>10</v>
      </c>
      <c r="D1012" s="5" cm="1">
        <f t="array" aca="1" ref="D1012" ca="1">OFFSET(INDIRECT("'["&amp;$H1012&amp;"]"&amp;$I1012&amp;"'!"&amp;$J1012),$L1012,$M1012)*$K1012</f>
        <v>3.1E-4</v>
      </c>
      <c r="F1012" s="4">
        <f t="shared" si="62"/>
        <v>12</v>
      </c>
      <c r="G1012" s="4" cm="1">
        <f t="array" ref="G1012">IF($C1012+$M1012&lt;16,INDEX(Sheet1!C:C,$F1012),$F1012)</f>
        <v>19</v>
      </c>
      <c r="H1012" s="4" t="str" cm="1">
        <f t="array" ref="H1012">INDEX(Sheet1!D:D,$G1012)</f>
        <v>t1139.xlsx</v>
      </c>
      <c r="I1012" s="4" t="str" cm="1">
        <f t="array" ref="I1012">INDEX(Sheet1!E:E,$G1012)</f>
        <v>Sheet1</v>
      </c>
      <c r="J1012" s="4" t="str" cm="1">
        <f t="array" ref="J1012">INDEX(Sheet1!F:F,$G1012)</f>
        <v>B25</v>
      </c>
      <c r="K1012" s="4" cm="1">
        <f t="array" ref="K1012">INDEX(Sheet1!H:H,$G1012)</f>
        <v>1</v>
      </c>
      <c r="L1012" s="4">
        <f t="shared" si="60"/>
        <v>10</v>
      </c>
      <c r="M1012" s="4">
        <f t="shared" si="63"/>
        <v>5</v>
      </c>
    </row>
    <row r="1013" spans="1:13">
      <c r="A1013" s="4" t="str" cm="1">
        <f t="array" ref="A1013">INDEX(Sheet1!A:A,$F1013)</f>
        <v>F</v>
      </c>
      <c r="B1013" s="4" t="str" cm="1">
        <f t="array" ref="B1013">INDEX(Sheet1!B:B,$F1013)</f>
        <v>Pref Best NS</v>
      </c>
      <c r="C1013" s="4">
        <f t="shared" si="61"/>
        <v>11</v>
      </c>
      <c r="D1013" s="5" cm="1">
        <f t="array" aca="1" ref="D1013" ca="1">OFFSET(INDIRECT("'["&amp;$H1013&amp;"]"&amp;$I1013&amp;"'!"&amp;$J1013),$L1013,$M1013)*$K1013</f>
        <v>2.5000000000000001E-4</v>
      </c>
      <c r="F1013" s="4">
        <f t="shared" si="62"/>
        <v>12</v>
      </c>
      <c r="G1013" s="4" cm="1">
        <f t="array" ref="G1013">IF($C1013+$M1013&lt;16,INDEX(Sheet1!C:C,$F1013),$F1013)</f>
        <v>12</v>
      </c>
      <c r="H1013" s="4" t="str" cm="1">
        <f t="array" ref="H1013">INDEX(Sheet1!D:D,$G1013)</f>
        <v>2001-cso-preferred-class-structure-mortality-tables.xls</v>
      </c>
      <c r="I1013" s="4" t="str" cm="1">
        <f t="array" ref="I1013">INDEX(Sheet1!E:E,$G1013)</f>
        <v>A.1.b.ii</v>
      </c>
      <c r="J1013" s="4" t="str" cm="1">
        <f t="array" ref="J1013">INDEX(Sheet1!F:F,$G1013)</f>
        <v>B8</v>
      </c>
      <c r="K1013" s="4" cm="1">
        <f t="array" ref="K1013">INDEX(Sheet1!H:H,$G1013)</f>
        <v>1E-3</v>
      </c>
      <c r="L1013" s="4">
        <f t="shared" si="60"/>
        <v>11</v>
      </c>
      <c r="M1013" s="4">
        <f t="shared" si="63"/>
        <v>5</v>
      </c>
    </row>
    <row r="1014" spans="1:13">
      <c r="A1014" s="4" t="str" cm="1">
        <f t="array" ref="A1014">INDEX(Sheet1!A:A,$F1014)</f>
        <v>F</v>
      </c>
      <c r="B1014" s="4" t="str" cm="1">
        <f t="array" ref="B1014">INDEX(Sheet1!B:B,$F1014)</f>
        <v>Pref Best NS</v>
      </c>
      <c r="C1014" s="4">
        <f t="shared" si="61"/>
        <v>12</v>
      </c>
      <c r="D1014" s="5" cm="1">
        <f t="array" aca="1" ref="D1014" ca="1">OFFSET(INDIRECT("'["&amp;$H1014&amp;"]"&amp;$I1014&amp;"'!"&amp;$J1014),$L1014,$M1014)*$K1014</f>
        <v>2.6000000000000003E-4</v>
      </c>
      <c r="F1014" s="4">
        <f t="shared" si="62"/>
        <v>12</v>
      </c>
      <c r="G1014" s="4" cm="1">
        <f t="array" ref="G1014">IF($C1014+$M1014&lt;16,INDEX(Sheet1!C:C,$F1014),$F1014)</f>
        <v>12</v>
      </c>
      <c r="H1014" s="4" t="str" cm="1">
        <f t="array" ref="H1014">INDEX(Sheet1!D:D,$G1014)</f>
        <v>2001-cso-preferred-class-structure-mortality-tables.xls</v>
      </c>
      <c r="I1014" s="4" t="str" cm="1">
        <f t="array" ref="I1014">INDEX(Sheet1!E:E,$G1014)</f>
        <v>A.1.b.ii</v>
      </c>
      <c r="J1014" s="4" t="str" cm="1">
        <f t="array" ref="J1014">INDEX(Sheet1!F:F,$G1014)</f>
        <v>B8</v>
      </c>
      <c r="K1014" s="4" cm="1">
        <f t="array" ref="K1014">INDEX(Sheet1!H:H,$G1014)</f>
        <v>1E-3</v>
      </c>
      <c r="L1014" s="4">
        <f t="shared" si="60"/>
        <v>12</v>
      </c>
      <c r="M1014" s="4">
        <f t="shared" si="63"/>
        <v>5</v>
      </c>
    </row>
    <row r="1015" spans="1:13">
      <c r="A1015" s="4" t="str" cm="1">
        <f t="array" ref="A1015">INDEX(Sheet1!A:A,$F1015)</f>
        <v>F</v>
      </c>
      <c r="B1015" s="4" t="str" cm="1">
        <f t="array" ref="B1015">INDEX(Sheet1!B:B,$F1015)</f>
        <v>Pref Best NS</v>
      </c>
      <c r="C1015" s="4">
        <f t="shared" si="61"/>
        <v>13</v>
      </c>
      <c r="D1015" s="5" cm="1">
        <f t="array" aca="1" ref="D1015" ca="1">OFFSET(INDIRECT("'["&amp;$H1015&amp;"]"&amp;$I1015&amp;"'!"&amp;$J1015),$L1015,$M1015)*$K1015</f>
        <v>2.6000000000000003E-4</v>
      </c>
      <c r="F1015" s="4">
        <f t="shared" si="62"/>
        <v>12</v>
      </c>
      <c r="G1015" s="4" cm="1">
        <f t="array" ref="G1015">IF($C1015+$M1015&lt;16,INDEX(Sheet1!C:C,$F1015),$F1015)</f>
        <v>12</v>
      </c>
      <c r="H1015" s="4" t="str" cm="1">
        <f t="array" ref="H1015">INDEX(Sheet1!D:D,$G1015)</f>
        <v>2001-cso-preferred-class-structure-mortality-tables.xls</v>
      </c>
      <c r="I1015" s="4" t="str" cm="1">
        <f t="array" ref="I1015">INDEX(Sheet1!E:E,$G1015)</f>
        <v>A.1.b.ii</v>
      </c>
      <c r="J1015" s="4" t="str" cm="1">
        <f t="array" ref="J1015">INDEX(Sheet1!F:F,$G1015)</f>
        <v>B8</v>
      </c>
      <c r="K1015" s="4" cm="1">
        <f t="array" ref="K1015">INDEX(Sheet1!H:H,$G1015)</f>
        <v>1E-3</v>
      </c>
      <c r="L1015" s="4">
        <f t="shared" si="60"/>
        <v>13</v>
      </c>
      <c r="M1015" s="4">
        <f t="shared" si="63"/>
        <v>5</v>
      </c>
    </row>
    <row r="1016" spans="1:13">
      <c r="A1016" s="4" t="str" cm="1">
        <f t="array" ref="A1016">INDEX(Sheet1!A:A,$F1016)</f>
        <v>F</v>
      </c>
      <c r="B1016" s="4" t="str" cm="1">
        <f t="array" ref="B1016">INDEX(Sheet1!B:B,$F1016)</f>
        <v>Pref Best NS</v>
      </c>
      <c r="C1016" s="4">
        <f t="shared" si="61"/>
        <v>14</v>
      </c>
      <c r="D1016" s="5" cm="1">
        <f t="array" aca="1" ref="D1016" ca="1">OFFSET(INDIRECT("'["&amp;$H1016&amp;"]"&amp;$I1016&amp;"'!"&amp;$J1016),$L1016,$M1016)*$K1016</f>
        <v>2.6000000000000003E-4</v>
      </c>
      <c r="F1016" s="4">
        <f t="shared" si="62"/>
        <v>12</v>
      </c>
      <c r="G1016" s="4" cm="1">
        <f t="array" ref="G1016">IF($C1016+$M1016&lt;16,INDEX(Sheet1!C:C,$F1016),$F1016)</f>
        <v>12</v>
      </c>
      <c r="H1016" s="4" t="str" cm="1">
        <f t="array" ref="H1016">INDEX(Sheet1!D:D,$G1016)</f>
        <v>2001-cso-preferred-class-structure-mortality-tables.xls</v>
      </c>
      <c r="I1016" s="4" t="str" cm="1">
        <f t="array" ref="I1016">INDEX(Sheet1!E:E,$G1016)</f>
        <v>A.1.b.ii</v>
      </c>
      <c r="J1016" s="4" t="str" cm="1">
        <f t="array" ref="J1016">INDEX(Sheet1!F:F,$G1016)</f>
        <v>B8</v>
      </c>
      <c r="K1016" s="4" cm="1">
        <f t="array" ref="K1016">INDEX(Sheet1!H:H,$G1016)</f>
        <v>1E-3</v>
      </c>
      <c r="L1016" s="4">
        <f t="shared" si="60"/>
        <v>14</v>
      </c>
      <c r="M1016" s="4">
        <f t="shared" si="63"/>
        <v>5</v>
      </c>
    </row>
    <row r="1017" spans="1:13">
      <c r="A1017" s="4" t="str" cm="1">
        <f t="array" ref="A1017">INDEX(Sheet1!A:A,$F1017)</f>
        <v>F</v>
      </c>
      <c r="B1017" s="4" t="str" cm="1">
        <f t="array" ref="B1017">INDEX(Sheet1!B:B,$F1017)</f>
        <v>Pref Best NS</v>
      </c>
      <c r="C1017" s="4">
        <f t="shared" si="61"/>
        <v>15</v>
      </c>
      <c r="D1017" s="5" cm="1">
        <f t="array" aca="1" ref="D1017" ca="1">OFFSET(INDIRECT("'["&amp;$H1017&amp;"]"&amp;$I1017&amp;"'!"&amp;$J1017),$L1017,$M1017)*$K1017</f>
        <v>2.8000000000000003E-4</v>
      </c>
      <c r="F1017" s="4">
        <f t="shared" si="62"/>
        <v>12</v>
      </c>
      <c r="G1017" s="4" cm="1">
        <f t="array" ref="G1017">IF($C1017+$M1017&lt;16,INDEX(Sheet1!C:C,$F1017),$F1017)</f>
        <v>12</v>
      </c>
      <c r="H1017" s="4" t="str" cm="1">
        <f t="array" ref="H1017">INDEX(Sheet1!D:D,$G1017)</f>
        <v>2001-cso-preferred-class-structure-mortality-tables.xls</v>
      </c>
      <c r="I1017" s="4" t="str" cm="1">
        <f t="array" ref="I1017">INDEX(Sheet1!E:E,$G1017)</f>
        <v>A.1.b.ii</v>
      </c>
      <c r="J1017" s="4" t="str" cm="1">
        <f t="array" ref="J1017">INDEX(Sheet1!F:F,$G1017)</f>
        <v>B8</v>
      </c>
      <c r="K1017" s="4" cm="1">
        <f t="array" ref="K1017">INDEX(Sheet1!H:H,$G1017)</f>
        <v>1E-3</v>
      </c>
      <c r="L1017" s="4">
        <f t="shared" si="60"/>
        <v>15</v>
      </c>
      <c r="M1017" s="4">
        <f t="shared" si="63"/>
        <v>5</v>
      </c>
    </row>
    <row r="1018" spans="1:13">
      <c r="A1018" s="4" t="str" cm="1">
        <f t="array" ref="A1018">INDEX(Sheet1!A:A,$F1018)</f>
        <v>F</v>
      </c>
      <c r="B1018" s="4" t="str" cm="1">
        <f t="array" ref="B1018">INDEX(Sheet1!B:B,$F1018)</f>
        <v>Pref Best NS</v>
      </c>
      <c r="C1018" s="4">
        <f t="shared" si="61"/>
        <v>16</v>
      </c>
      <c r="D1018" s="5" cm="1">
        <f t="array" aca="1" ref="D1018" ca="1">OFFSET(INDIRECT("'["&amp;$H1018&amp;"]"&amp;$I1018&amp;"'!"&amp;$J1018),$L1018,$M1018)*$K1018</f>
        <v>2.8000000000000003E-4</v>
      </c>
      <c r="F1018" s="4">
        <f t="shared" si="62"/>
        <v>12</v>
      </c>
      <c r="G1018" s="4" cm="1">
        <f t="array" ref="G1018">IF($C1018+$M1018&lt;16,INDEX(Sheet1!C:C,$F1018),$F1018)</f>
        <v>12</v>
      </c>
      <c r="H1018" s="4" t="str" cm="1">
        <f t="array" ref="H1018">INDEX(Sheet1!D:D,$G1018)</f>
        <v>2001-cso-preferred-class-structure-mortality-tables.xls</v>
      </c>
      <c r="I1018" s="4" t="str" cm="1">
        <f t="array" ref="I1018">INDEX(Sheet1!E:E,$G1018)</f>
        <v>A.1.b.ii</v>
      </c>
      <c r="J1018" s="4" t="str" cm="1">
        <f t="array" ref="J1018">INDEX(Sheet1!F:F,$G1018)</f>
        <v>B8</v>
      </c>
      <c r="K1018" s="4" cm="1">
        <f t="array" ref="K1018">INDEX(Sheet1!H:H,$G1018)</f>
        <v>1E-3</v>
      </c>
      <c r="L1018" s="4">
        <f t="shared" si="60"/>
        <v>16</v>
      </c>
      <c r="M1018" s="4">
        <f t="shared" si="63"/>
        <v>5</v>
      </c>
    </row>
    <row r="1019" spans="1:13">
      <c r="A1019" s="4" t="str" cm="1">
        <f t="array" ref="A1019">INDEX(Sheet1!A:A,$F1019)</f>
        <v>F</v>
      </c>
      <c r="B1019" s="4" t="str" cm="1">
        <f t="array" ref="B1019">INDEX(Sheet1!B:B,$F1019)</f>
        <v>Pref Best NS</v>
      </c>
      <c r="C1019" s="4">
        <f t="shared" si="61"/>
        <v>17</v>
      </c>
      <c r="D1019" s="5" cm="1">
        <f t="array" aca="1" ref="D1019" ca="1">OFFSET(INDIRECT("'["&amp;$H1019&amp;"]"&amp;$I1019&amp;"'!"&amp;$J1019),$L1019,$M1019)*$K1019</f>
        <v>2.9E-4</v>
      </c>
      <c r="F1019" s="4">
        <f t="shared" si="62"/>
        <v>12</v>
      </c>
      <c r="G1019" s="4" cm="1">
        <f t="array" ref="G1019">IF($C1019+$M1019&lt;16,INDEX(Sheet1!C:C,$F1019),$F1019)</f>
        <v>12</v>
      </c>
      <c r="H1019" s="4" t="str" cm="1">
        <f t="array" ref="H1019">INDEX(Sheet1!D:D,$G1019)</f>
        <v>2001-cso-preferred-class-structure-mortality-tables.xls</v>
      </c>
      <c r="I1019" s="4" t="str" cm="1">
        <f t="array" ref="I1019">INDEX(Sheet1!E:E,$G1019)</f>
        <v>A.1.b.ii</v>
      </c>
      <c r="J1019" s="4" t="str" cm="1">
        <f t="array" ref="J1019">INDEX(Sheet1!F:F,$G1019)</f>
        <v>B8</v>
      </c>
      <c r="K1019" s="4" cm="1">
        <f t="array" ref="K1019">INDEX(Sheet1!H:H,$G1019)</f>
        <v>1E-3</v>
      </c>
      <c r="L1019" s="4">
        <f t="shared" si="60"/>
        <v>17</v>
      </c>
      <c r="M1019" s="4">
        <f t="shared" si="63"/>
        <v>5</v>
      </c>
    </row>
    <row r="1020" spans="1:13">
      <c r="A1020" s="4" t="str" cm="1">
        <f t="array" ref="A1020">INDEX(Sheet1!A:A,$F1020)</f>
        <v>F</v>
      </c>
      <c r="B1020" s="4" t="str" cm="1">
        <f t="array" ref="B1020">INDEX(Sheet1!B:B,$F1020)</f>
        <v>Pref Best NS</v>
      </c>
      <c r="C1020" s="4">
        <f t="shared" si="61"/>
        <v>18</v>
      </c>
      <c r="D1020" s="5" cm="1">
        <f t="array" aca="1" ref="D1020" ca="1">OFFSET(INDIRECT("'["&amp;$H1020&amp;"]"&amp;$I1020&amp;"'!"&amp;$J1020),$L1020,$M1020)*$K1020</f>
        <v>2.9E-4</v>
      </c>
      <c r="F1020" s="4">
        <f t="shared" si="62"/>
        <v>12</v>
      </c>
      <c r="G1020" s="4" cm="1">
        <f t="array" ref="G1020">IF($C1020+$M1020&lt;16,INDEX(Sheet1!C:C,$F1020),$F1020)</f>
        <v>12</v>
      </c>
      <c r="H1020" s="4" t="str" cm="1">
        <f t="array" ref="H1020">INDEX(Sheet1!D:D,$G1020)</f>
        <v>2001-cso-preferred-class-structure-mortality-tables.xls</v>
      </c>
      <c r="I1020" s="4" t="str" cm="1">
        <f t="array" ref="I1020">INDEX(Sheet1!E:E,$G1020)</f>
        <v>A.1.b.ii</v>
      </c>
      <c r="J1020" s="4" t="str" cm="1">
        <f t="array" ref="J1020">INDEX(Sheet1!F:F,$G1020)</f>
        <v>B8</v>
      </c>
      <c r="K1020" s="4" cm="1">
        <f t="array" ref="K1020">INDEX(Sheet1!H:H,$G1020)</f>
        <v>1E-3</v>
      </c>
      <c r="L1020" s="4">
        <f t="shared" si="60"/>
        <v>18</v>
      </c>
      <c r="M1020" s="4">
        <f t="shared" si="63"/>
        <v>5</v>
      </c>
    </row>
    <row r="1021" spans="1:13">
      <c r="A1021" s="4" t="str" cm="1">
        <f t="array" ref="A1021">INDEX(Sheet1!A:A,$F1021)</f>
        <v>F</v>
      </c>
      <c r="B1021" s="4" t="str" cm="1">
        <f t="array" ref="B1021">INDEX(Sheet1!B:B,$F1021)</f>
        <v>Pref Best NS</v>
      </c>
      <c r="C1021" s="4">
        <f t="shared" si="61"/>
        <v>19</v>
      </c>
      <c r="D1021" s="5" cm="1">
        <f t="array" aca="1" ref="D1021" ca="1">OFFSET(INDIRECT("'["&amp;$H1021&amp;"]"&amp;$I1021&amp;"'!"&amp;$J1021),$L1021,$M1021)*$K1021</f>
        <v>2.9999999999999997E-4</v>
      </c>
      <c r="F1021" s="4">
        <f t="shared" si="62"/>
        <v>12</v>
      </c>
      <c r="G1021" s="4" cm="1">
        <f t="array" ref="G1021">IF($C1021+$M1021&lt;16,INDEX(Sheet1!C:C,$F1021),$F1021)</f>
        <v>12</v>
      </c>
      <c r="H1021" s="4" t="str" cm="1">
        <f t="array" ref="H1021">INDEX(Sheet1!D:D,$G1021)</f>
        <v>2001-cso-preferred-class-structure-mortality-tables.xls</v>
      </c>
      <c r="I1021" s="4" t="str" cm="1">
        <f t="array" ref="I1021">INDEX(Sheet1!E:E,$G1021)</f>
        <v>A.1.b.ii</v>
      </c>
      <c r="J1021" s="4" t="str" cm="1">
        <f t="array" ref="J1021">INDEX(Sheet1!F:F,$G1021)</f>
        <v>B8</v>
      </c>
      <c r="K1021" s="4" cm="1">
        <f t="array" ref="K1021">INDEX(Sheet1!H:H,$G1021)</f>
        <v>1E-3</v>
      </c>
      <c r="L1021" s="4">
        <f t="shared" si="60"/>
        <v>19</v>
      </c>
      <c r="M1021" s="4">
        <f t="shared" si="63"/>
        <v>5</v>
      </c>
    </row>
    <row r="1022" spans="1:13">
      <c r="A1022" s="4" t="str" cm="1">
        <f t="array" ref="A1022">INDEX(Sheet1!A:A,$F1022)</f>
        <v>F</v>
      </c>
      <c r="B1022" s="4" t="str" cm="1">
        <f t="array" ref="B1022">INDEX(Sheet1!B:B,$F1022)</f>
        <v>Pref Best NS</v>
      </c>
      <c r="C1022" s="4">
        <f t="shared" si="61"/>
        <v>20</v>
      </c>
      <c r="D1022" s="5" cm="1">
        <f t="array" aca="1" ref="D1022" ca="1">OFFSET(INDIRECT("'["&amp;$H1022&amp;"]"&amp;$I1022&amp;"'!"&amp;$J1022),$L1022,$M1022)*$K1022</f>
        <v>3.1E-4</v>
      </c>
      <c r="F1022" s="4">
        <f t="shared" si="62"/>
        <v>12</v>
      </c>
      <c r="G1022" s="4" cm="1">
        <f t="array" ref="G1022">IF($C1022+$M1022&lt;16,INDEX(Sheet1!C:C,$F1022),$F1022)</f>
        <v>12</v>
      </c>
      <c r="H1022" s="4" t="str" cm="1">
        <f t="array" ref="H1022">INDEX(Sheet1!D:D,$G1022)</f>
        <v>2001-cso-preferred-class-structure-mortality-tables.xls</v>
      </c>
      <c r="I1022" s="4" t="str" cm="1">
        <f t="array" ref="I1022">INDEX(Sheet1!E:E,$G1022)</f>
        <v>A.1.b.ii</v>
      </c>
      <c r="J1022" s="4" t="str" cm="1">
        <f t="array" ref="J1022">INDEX(Sheet1!F:F,$G1022)</f>
        <v>B8</v>
      </c>
      <c r="K1022" s="4" cm="1">
        <f t="array" ref="K1022">INDEX(Sheet1!H:H,$G1022)</f>
        <v>1E-3</v>
      </c>
      <c r="L1022" s="4">
        <f t="shared" si="60"/>
        <v>20</v>
      </c>
      <c r="M1022" s="4">
        <f t="shared" si="63"/>
        <v>5</v>
      </c>
    </row>
    <row r="1023" spans="1:13">
      <c r="A1023" s="4" t="str" cm="1">
        <f t="array" ref="A1023">INDEX(Sheet1!A:A,$F1023)</f>
        <v>F</v>
      </c>
      <c r="B1023" s="4" t="str" cm="1">
        <f t="array" ref="B1023">INDEX(Sheet1!B:B,$F1023)</f>
        <v>Pref Best NS</v>
      </c>
      <c r="C1023" s="4">
        <f t="shared" si="61"/>
        <v>21</v>
      </c>
      <c r="D1023" s="5" cm="1">
        <f t="array" aca="1" ref="D1023" ca="1">OFFSET(INDIRECT("'["&amp;$H1023&amp;"]"&amp;$I1023&amp;"'!"&amp;$J1023),$L1023,$M1023)*$K1023</f>
        <v>3.2000000000000003E-4</v>
      </c>
      <c r="F1023" s="4">
        <f t="shared" si="62"/>
        <v>12</v>
      </c>
      <c r="G1023" s="4" cm="1">
        <f t="array" ref="G1023">IF($C1023+$M1023&lt;16,INDEX(Sheet1!C:C,$F1023),$F1023)</f>
        <v>12</v>
      </c>
      <c r="H1023" s="4" t="str" cm="1">
        <f t="array" ref="H1023">INDEX(Sheet1!D:D,$G1023)</f>
        <v>2001-cso-preferred-class-structure-mortality-tables.xls</v>
      </c>
      <c r="I1023" s="4" t="str" cm="1">
        <f t="array" ref="I1023">INDEX(Sheet1!E:E,$G1023)</f>
        <v>A.1.b.ii</v>
      </c>
      <c r="J1023" s="4" t="str" cm="1">
        <f t="array" ref="J1023">INDEX(Sheet1!F:F,$G1023)</f>
        <v>B8</v>
      </c>
      <c r="K1023" s="4" cm="1">
        <f t="array" ref="K1023">INDEX(Sheet1!H:H,$G1023)</f>
        <v>1E-3</v>
      </c>
      <c r="L1023" s="4">
        <f t="shared" si="60"/>
        <v>21</v>
      </c>
      <c r="M1023" s="4">
        <f t="shared" si="63"/>
        <v>5</v>
      </c>
    </row>
    <row r="1024" spans="1:13">
      <c r="A1024" s="4" t="str" cm="1">
        <f t="array" ref="A1024">INDEX(Sheet1!A:A,$F1024)</f>
        <v>F</v>
      </c>
      <c r="B1024" s="4" t="str" cm="1">
        <f t="array" ref="B1024">INDEX(Sheet1!B:B,$F1024)</f>
        <v>Pref Best NS</v>
      </c>
      <c r="C1024" s="4">
        <f t="shared" si="61"/>
        <v>22</v>
      </c>
      <c r="D1024" s="5" cm="1">
        <f t="array" aca="1" ref="D1024" ca="1">OFFSET(INDIRECT("'["&amp;$H1024&amp;"]"&amp;$I1024&amp;"'!"&amp;$J1024),$L1024,$M1024)*$K1024</f>
        <v>3.4000000000000002E-4</v>
      </c>
      <c r="F1024" s="4">
        <f t="shared" si="62"/>
        <v>12</v>
      </c>
      <c r="G1024" s="4" cm="1">
        <f t="array" ref="G1024">IF($C1024+$M1024&lt;16,INDEX(Sheet1!C:C,$F1024),$F1024)</f>
        <v>12</v>
      </c>
      <c r="H1024" s="4" t="str" cm="1">
        <f t="array" ref="H1024">INDEX(Sheet1!D:D,$G1024)</f>
        <v>2001-cso-preferred-class-structure-mortality-tables.xls</v>
      </c>
      <c r="I1024" s="4" t="str" cm="1">
        <f t="array" ref="I1024">INDEX(Sheet1!E:E,$G1024)</f>
        <v>A.1.b.ii</v>
      </c>
      <c r="J1024" s="4" t="str" cm="1">
        <f t="array" ref="J1024">INDEX(Sheet1!F:F,$G1024)</f>
        <v>B8</v>
      </c>
      <c r="K1024" s="4" cm="1">
        <f t="array" ref="K1024">INDEX(Sheet1!H:H,$G1024)</f>
        <v>1E-3</v>
      </c>
      <c r="L1024" s="4">
        <f t="shared" si="60"/>
        <v>22</v>
      </c>
      <c r="M1024" s="4">
        <f t="shared" si="63"/>
        <v>5</v>
      </c>
    </row>
    <row r="1025" spans="1:13">
      <c r="A1025" s="4" t="str" cm="1">
        <f t="array" ref="A1025">INDEX(Sheet1!A:A,$F1025)</f>
        <v>F</v>
      </c>
      <c r="B1025" s="4" t="str" cm="1">
        <f t="array" ref="B1025">INDEX(Sheet1!B:B,$F1025)</f>
        <v>Pref Best NS</v>
      </c>
      <c r="C1025" s="4">
        <f t="shared" si="61"/>
        <v>23</v>
      </c>
      <c r="D1025" s="5" cm="1">
        <f t="array" aca="1" ref="D1025" ca="1">OFFSET(INDIRECT("'["&amp;$H1025&amp;"]"&amp;$I1025&amp;"'!"&amp;$J1025),$L1025,$M1025)*$K1025</f>
        <v>3.5E-4</v>
      </c>
      <c r="F1025" s="4">
        <f t="shared" si="62"/>
        <v>12</v>
      </c>
      <c r="G1025" s="4" cm="1">
        <f t="array" ref="G1025">IF($C1025+$M1025&lt;16,INDEX(Sheet1!C:C,$F1025),$F1025)</f>
        <v>12</v>
      </c>
      <c r="H1025" s="4" t="str" cm="1">
        <f t="array" ref="H1025">INDEX(Sheet1!D:D,$G1025)</f>
        <v>2001-cso-preferred-class-structure-mortality-tables.xls</v>
      </c>
      <c r="I1025" s="4" t="str" cm="1">
        <f t="array" ref="I1025">INDEX(Sheet1!E:E,$G1025)</f>
        <v>A.1.b.ii</v>
      </c>
      <c r="J1025" s="4" t="str" cm="1">
        <f t="array" ref="J1025">INDEX(Sheet1!F:F,$G1025)</f>
        <v>B8</v>
      </c>
      <c r="K1025" s="4" cm="1">
        <f t="array" ref="K1025">INDEX(Sheet1!H:H,$G1025)</f>
        <v>1E-3</v>
      </c>
      <c r="L1025" s="4">
        <f t="shared" si="60"/>
        <v>23</v>
      </c>
      <c r="M1025" s="4">
        <f t="shared" si="63"/>
        <v>5</v>
      </c>
    </row>
    <row r="1026" spans="1:13">
      <c r="A1026" s="4" t="str" cm="1">
        <f t="array" ref="A1026">INDEX(Sheet1!A:A,$F1026)</f>
        <v>F</v>
      </c>
      <c r="B1026" s="4" t="str" cm="1">
        <f t="array" ref="B1026">INDEX(Sheet1!B:B,$F1026)</f>
        <v>Pref Best NS</v>
      </c>
      <c r="C1026" s="4">
        <f t="shared" si="61"/>
        <v>24</v>
      </c>
      <c r="D1026" s="5" cm="1">
        <f t="array" aca="1" ref="D1026" ca="1">OFFSET(INDIRECT("'["&amp;$H1026&amp;"]"&amp;$I1026&amp;"'!"&amp;$J1026),$L1026,$M1026)*$K1026</f>
        <v>3.6999999999999999E-4</v>
      </c>
      <c r="F1026" s="4">
        <f t="shared" si="62"/>
        <v>12</v>
      </c>
      <c r="G1026" s="4" cm="1">
        <f t="array" ref="G1026">IF($C1026+$M1026&lt;16,INDEX(Sheet1!C:C,$F1026),$F1026)</f>
        <v>12</v>
      </c>
      <c r="H1026" s="4" t="str" cm="1">
        <f t="array" ref="H1026">INDEX(Sheet1!D:D,$G1026)</f>
        <v>2001-cso-preferred-class-structure-mortality-tables.xls</v>
      </c>
      <c r="I1026" s="4" t="str" cm="1">
        <f t="array" ref="I1026">INDEX(Sheet1!E:E,$G1026)</f>
        <v>A.1.b.ii</v>
      </c>
      <c r="J1026" s="4" t="str" cm="1">
        <f t="array" ref="J1026">INDEX(Sheet1!F:F,$G1026)</f>
        <v>B8</v>
      </c>
      <c r="K1026" s="4" cm="1">
        <f t="array" ref="K1026">INDEX(Sheet1!H:H,$G1026)</f>
        <v>1E-3</v>
      </c>
      <c r="L1026" s="4">
        <f t="shared" si="60"/>
        <v>24</v>
      </c>
      <c r="M1026" s="4">
        <f t="shared" si="63"/>
        <v>5</v>
      </c>
    </row>
    <row r="1027" spans="1:13">
      <c r="A1027" s="4" t="str" cm="1">
        <f t="array" ref="A1027">INDEX(Sheet1!A:A,$F1027)</f>
        <v>F</v>
      </c>
      <c r="B1027" s="4" t="str" cm="1">
        <f t="array" ref="B1027">INDEX(Sheet1!B:B,$F1027)</f>
        <v>Pref Best NS</v>
      </c>
      <c r="C1027" s="4">
        <f t="shared" si="61"/>
        <v>25</v>
      </c>
      <c r="D1027" s="5" cm="1">
        <f t="array" aca="1" ref="D1027" ca="1">OFFSET(INDIRECT("'["&amp;$H1027&amp;"]"&amp;$I1027&amp;"'!"&amp;$J1027),$L1027,$M1027)*$K1027</f>
        <v>4.0000000000000002E-4</v>
      </c>
      <c r="F1027" s="4">
        <f t="shared" si="62"/>
        <v>12</v>
      </c>
      <c r="G1027" s="4" cm="1">
        <f t="array" ref="G1027">IF($C1027+$M1027&lt;16,INDEX(Sheet1!C:C,$F1027),$F1027)</f>
        <v>12</v>
      </c>
      <c r="H1027" s="4" t="str" cm="1">
        <f t="array" ref="H1027">INDEX(Sheet1!D:D,$G1027)</f>
        <v>2001-cso-preferred-class-structure-mortality-tables.xls</v>
      </c>
      <c r="I1027" s="4" t="str" cm="1">
        <f t="array" ref="I1027">INDEX(Sheet1!E:E,$G1027)</f>
        <v>A.1.b.ii</v>
      </c>
      <c r="J1027" s="4" t="str" cm="1">
        <f t="array" ref="J1027">INDEX(Sheet1!F:F,$G1027)</f>
        <v>B8</v>
      </c>
      <c r="K1027" s="4" cm="1">
        <f t="array" ref="K1027">INDEX(Sheet1!H:H,$G1027)</f>
        <v>1E-3</v>
      </c>
      <c r="L1027" s="4">
        <f t="shared" ref="L1027:L1090" si="64">C1027</f>
        <v>25</v>
      </c>
      <c r="M1027" s="4">
        <f t="shared" si="63"/>
        <v>5</v>
      </c>
    </row>
    <row r="1028" spans="1:13">
      <c r="A1028" s="4" t="str" cm="1">
        <f t="array" ref="A1028">INDEX(Sheet1!A:A,$F1028)</f>
        <v>F</v>
      </c>
      <c r="B1028" s="4" t="str" cm="1">
        <f t="array" ref="B1028">INDEX(Sheet1!B:B,$F1028)</f>
        <v>Pref Best NS</v>
      </c>
      <c r="C1028" s="4">
        <f t="shared" ref="C1028:C1091" si="65">IF(C1027=99,0,C1027+1)</f>
        <v>26</v>
      </c>
      <c r="D1028" s="5" cm="1">
        <f t="array" aca="1" ref="D1028" ca="1">OFFSET(INDIRECT("'["&amp;$H1028&amp;"]"&amp;$I1028&amp;"'!"&amp;$J1028),$L1028,$M1028)*$K1028</f>
        <v>4.0999999999999999E-4</v>
      </c>
      <c r="F1028" s="4">
        <f t="shared" ref="F1028:F1091" si="66">IF(C1028=0,1,0)+F1027</f>
        <v>12</v>
      </c>
      <c r="G1028" s="4" cm="1">
        <f t="array" ref="G1028">IF($C1028+$M1028&lt;16,INDEX(Sheet1!C:C,$F1028),$F1028)</f>
        <v>12</v>
      </c>
      <c r="H1028" s="4" t="str" cm="1">
        <f t="array" ref="H1028">INDEX(Sheet1!D:D,$G1028)</f>
        <v>2001-cso-preferred-class-structure-mortality-tables.xls</v>
      </c>
      <c r="I1028" s="4" t="str" cm="1">
        <f t="array" ref="I1028">INDEX(Sheet1!E:E,$G1028)</f>
        <v>A.1.b.ii</v>
      </c>
      <c r="J1028" s="4" t="str" cm="1">
        <f t="array" ref="J1028">INDEX(Sheet1!F:F,$G1028)</f>
        <v>B8</v>
      </c>
      <c r="K1028" s="4" cm="1">
        <f t="array" ref="K1028">INDEX(Sheet1!H:H,$G1028)</f>
        <v>1E-3</v>
      </c>
      <c r="L1028" s="4">
        <f t="shared" si="64"/>
        <v>26</v>
      </c>
      <c r="M1028" s="4">
        <f t="shared" ref="L1028:M1091" si="67">M$2</f>
        <v>5</v>
      </c>
    </row>
    <row r="1029" spans="1:13">
      <c r="A1029" s="4" t="str" cm="1">
        <f t="array" ref="A1029">INDEX(Sheet1!A:A,$F1029)</f>
        <v>F</v>
      </c>
      <c r="B1029" s="4" t="str" cm="1">
        <f t="array" ref="B1029">INDEX(Sheet1!B:B,$F1029)</f>
        <v>Pref Best NS</v>
      </c>
      <c r="C1029" s="4">
        <f t="shared" si="65"/>
        <v>27</v>
      </c>
      <c r="D1029" s="5" cm="1">
        <f t="array" aca="1" ref="D1029" ca="1">OFFSET(INDIRECT("'["&amp;$H1029&amp;"]"&amp;$I1029&amp;"'!"&amp;$J1029),$L1029,$M1029)*$K1029</f>
        <v>4.2999999999999999E-4</v>
      </c>
      <c r="F1029" s="4">
        <f t="shared" si="66"/>
        <v>12</v>
      </c>
      <c r="G1029" s="4" cm="1">
        <f t="array" ref="G1029">IF($C1029+$M1029&lt;16,INDEX(Sheet1!C:C,$F1029),$F1029)</f>
        <v>12</v>
      </c>
      <c r="H1029" s="4" t="str" cm="1">
        <f t="array" ref="H1029">INDEX(Sheet1!D:D,$G1029)</f>
        <v>2001-cso-preferred-class-structure-mortality-tables.xls</v>
      </c>
      <c r="I1029" s="4" t="str" cm="1">
        <f t="array" ref="I1029">INDEX(Sheet1!E:E,$G1029)</f>
        <v>A.1.b.ii</v>
      </c>
      <c r="J1029" s="4" t="str" cm="1">
        <f t="array" ref="J1029">INDEX(Sheet1!F:F,$G1029)</f>
        <v>B8</v>
      </c>
      <c r="K1029" s="4" cm="1">
        <f t="array" ref="K1029">INDEX(Sheet1!H:H,$G1029)</f>
        <v>1E-3</v>
      </c>
      <c r="L1029" s="4">
        <f t="shared" si="64"/>
        <v>27</v>
      </c>
      <c r="M1029" s="4">
        <f t="shared" si="67"/>
        <v>5</v>
      </c>
    </row>
    <row r="1030" spans="1:13">
      <c r="A1030" s="4" t="str" cm="1">
        <f t="array" ref="A1030">INDEX(Sheet1!A:A,$F1030)</f>
        <v>F</v>
      </c>
      <c r="B1030" s="4" t="str" cm="1">
        <f t="array" ref="B1030">INDEX(Sheet1!B:B,$F1030)</f>
        <v>Pref Best NS</v>
      </c>
      <c r="C1030" s="4">
        <f t="shared" si="65"/>
        <v>28</v>
      </c>
      <c r="D1030" s="5" cm="1">
        <f t="array" aca="1" ref="D1030" ca="1">OFFSET(INDIRECT("'["&amp;$H1030&amp;"]"&amp;$I1030&amp;"'!"&amp;$J1030),$L1030,$M1030)*$K1030</f>
        <v>4.4000000000000002E-4</v>
      </c>
      <c r="F1030" s="4">
        <f t="shared" si="66"/>
        <v>12</v>
      </c>
      <c r="G1030" s="4" cm="1">
        <f t="array" ref="G1030">IF($C1030+$M1030&lt;16,INDEX(Sheet1!C:C,$F1030),$F1030)</f>
        <v>12</v>
      </c>
      <c r="H1030" s="4" t="str" cm="1">
        <f t="array" ref="H1030">INDEX(Sheet1!D:D,$G1030)</f>
        <v>2001-cso-preferred-class-structure-mortality-tables.xls</v>
      </c>
      <c r="I1030" s="4" t="str" cm="1">
        <f t="array" ref="I1030">INDEX(Sheet1!E:E,$G1030)</f>
        <v>A.1.b.ii</v>
      </c>
      <c r="J1030" s="4" t="str" cm="1">
        <f t="array" ref="J1030">INDEX(Sheet1!F:F,$G1030)</f>
        <v>B8</v>
      </c>
      <c r="K1030" s="4" cm="1">
        <f t="array" ref="K1030">INDEX(Sheet1!H:H,$G1030)</f>
        <v>1E-3</v>
      </c>
      <c r="L1030" s="4">
        <f t="shared" si="64"/>
        <v>28</v>
      </c>
      <c r="M1030" s="4">
        <f t="shared" si="67"/>
        <v>5</v>
      </c>
    </row>
    <row r="1031" spans="1:13">
      <c r="A1031" s="4" t="str" cm="1">
        <f t="array" ref="A1031">INDEX(Sheet1!A:A,$F1031)</f>
        <v>F</v>
      </c>
      <c r="B1031" s="4" t="str" cm="1">
        <f t="array" ref="B1031">INDEX(Sheet1!B:B,$F1031)</f>
        <v>Pref Best NS</v>
      </c>
      <c r="C1031" s="4">
        <f t="shared" si="65"/>
        <v>29</v>
      </c>
      <c r="D1031" s="5" cm="1">
        <f t="array" aca="1" ref="D1031" ca="1">OFFSET(INDIRECT("'["&amp;$H1031&amp;"]"&amp;$I1031&amp;"'!"&amp;$J1031),$L1031,$M1031)*$K1031</f>
        <v>4.8000000000000001E-4</v>
      </c>
      <c r="F1031" s="4">
        <f t="shared" si="66"/>
        <v>12</v>
      </c>
      <c r="G1031" s="4" cm="1">
        <f t="array" ref="G1031">IF($C1031+$M1031&lt;16,INDEX(Sheet1!C:C,$F1031),$F1031)</f>
        <v>12</v>
      </c>
      <c r="H1031" s="4" t="str" cm="1">
        <f t="array" ref="H1031">INDEX(Sheet1!D:D,$G1031)</f>
        <v>2001-cso-preferred-class-structure-mortality-tables.xls</v>
      </c>
      <c r="I1031" s="4" t="str" cm="1">
        <f t="array" ref="I1031">INDEX(Sheet1!E:E,$G1031)</f>
        <v>A.1.b.ii</v>
      </c>
      <c r="J1031" s="4" t="str" cm="1">
        <f t="array" ref="J1031">INDEX(Sheet1!F:F,$G1031)</f>
        <v>B8</v>
      </c>
      <c r="K1031" s="4" cm="1">
        <f t="array" ref="K1031">INDEX(Sheet1!H:H,$G1031)</f>
        <v>1E-3</v>
      </c>
      <c r="L1031" s="4">
        <f t="shared" si="64"/>
        <v>29</v>
      </c>
      <c r="M1031" s="4">
        <f t="shared" si="67"/>
        <v>5</v>
      </c>
    </row>
    <row r="1032" spans="1:13">
      <c r="A1032" s="4" t="str" cm="1">
        <f t="array" ref="A1032">INDEX(Sheet1!A:A,$F1032)</f>
        <v>F</v>
      </c>
      <c r="B1032" s="4" t="str" cm="1">
        <f t="array" ref="B1032">INDEX(Sheet1!B:B,$F1032)</f>
        <v>Pref Best NS</v>
      </c>
      <c r="C1032" s="4">
        <f t="shared" si="65"/>
        <v>30</v>
      </c>
      <c r="D1032" s="5" cm="1">
        <f t="array" aca="1" ref="D1032" ca="1">OFFSET(INDIRECT("'["&amp;$H1032&amp;"]"&amp;$I1032&amp;"'!"&amp;$J1032),$L1032,$M1032)*$K1032</f>
        <v>4.8999999999999998E-4</v>
      </c>
      <c r="F1032" s="4">
        <f t="shared" si="66"/>
        <v>12</v>
      </c>
      <c r="G1032" s="4" cm="1">
        <f t="array" ref="G1032">IF($C1032+$M1032&lt;16,INDEX(Sheet1!C:C,$F1032),$F1032)</f>
        <v>12</v>
      </c>
      <c r="H1032" s="4" t="str" cm="1">
        <f t="array" ref="H1032">INDEX(Sheet1!D:D,$G1032)</f>
        <v>2001-cso-preferred-class-structure-mortality-tables.xls</v>
      </c>
      <c r="I1032" s="4" t="str" cm="1">
        <f t="array" ref="I1032">INDEX(Sheet1!E:E,$G1032)</f>
        <v>A.1.b.ii</v>
      </c>
      <c r="J1032" s="4" t="str" cm="1">
        <f t="array" ref="J1032">INDEX(Sheet1!F:F,$G1032)</f>
        <v>B8</v>
      </c>
      <c r="K1032" s="4" cm="1">
        <f t="array" ref="K1032">INDEX(Sheet1!H:H,$G1032)</f>
        <v>1E-3</v>
      </c>
      <c r="L1032" s="4">
        <f t="shared" si="64"/>
        <v>30</v>
      </c>
      <c r="M1032" s="4">
        <f t="shared" si="67"/>
        <v>5</v>
      </c>
    </row>
    <row r="1033" spans="1:13">
      <c r="A1033" s="4" t="str" cm="1">
        <f t="array" ref="A1033">INDEX(Sheet1!A:A,$F1033)</f>
        <v>F</v>
      </c>
      <c r="B1033" s="4" t="str" cm="1">
        <f t="array" ref="B1033">INDEX(Sheet1!B:B,$F1033)</f>
        <v>Pref Best NS</v>
      </c>
      <c r="C1033" s="4">
        <f t="shared" si="65"/>
        <v>31</v>
      </c>
      <c r="D1033" s="5" cm="1">
        <f t="array" aca="1" ref="D1033" ca="1">OFFSET(INDIRECT("'["&amp;$H1033&amp;"]"&amp;$I1033&amp;"'!"&amp;$J1033),$L1033,$M1033)*$K1033</f>
        <v>5.1000000000000004E-4</v>
      </c>
      <c r="F1033" s="4">
        <f t="shared" si="66"/>
        <v>12</v>
      </c>
      <c r="G1033" s="4" cm="1">
        <f t="array" ref="G1033">IF($C1033+$M1033&lt;16,INDEX(Sheet1!C:C,$F1033),$F1033)</f>
        <v>12</v>
      </c>
      <c r="H1033" s="4" t="str" cm="1">
        <f t="array" ref="H1033">INDEX(Sheet1!D:D,$G1033)</f>
        <v>2001-cso-preferred-class-structure-mortality-tables.xls</v>
      </c>
      <c r="I1033" s="4" t="str" cm="1">
        <f t="array" ref="I1033">INDEX(Sheet1!E:E,$G1033)</f>
        <v>A.1.b.ii</v>
      </c>
      <c r="J1033" s="4" t="str" cm="1">
        <f t="array" ref="J1033">INDEX(Sheet1!F:F,$G1033)</f>
        <v>B8</v>
      </c>
      <c r="K1033" s="4" cm="1">
        <f t="array" ref="K1033">INDEX(Sheet1!H:H,$G1033)</f>
        <v>1E-3</v>
      </c>
      <c r="L1033" s="4">
        <f t="shared" si="64"/>
        <v>31</v>
      </c>
      <c r="M1033" s="4">
        <f t="shared" si="67"/>
        <v>5</v>
      </c>
    </row>
    <row r="1034" spans="1:13">
      <c r="A1034" s="4" t="str" cm="1">
        <f t="array" ref="A1034">INDEX(Sheet1!A:A,$F1034)</f>
        <v>F</v>
      </c>
      <c r="B1034" s="4" t="str" cm="1">
        <f t="array" ref="B1034">INDEX(Sheet1!B:B,$F1034)</f>
        <v>Pref Best NS</v>
      </c>
      <c r="C1034" s="4">
        <f t="shared" si="65"/>
        <v>32</v>
      </c>
      <c r="D1034" s="5" cm="1">
        <f t="array" aca="1" ref="D1034" ca="1">OFFSET(INDIRECT("'["&amp;$H1034&amp;"]"&amp;$I1034&amp;"'!"&amp;$J1034),$L1034,$M1034)*$K1034</f>
        <v>5.4000000000000001E-4</v>
      </c>
      <c r="F1034" s="4">
        <f t="shared" si="66"/>
        <v>12</v>
      </c>
      <c r="G1034" s="4" cm="1">
        <f t="array" ref="G1034">IF($C1034+$M1034&lt;16,INDEX(Sheet1!C:C,$F1034),$F1034)</f>
        <v>12</v>
      </c>
      <c r="H1034" s="4" t="str" cm="1">
        <f t="array" ref="H1034">INDEX(Sheet1!D:D,$G1034)</f>
        <v>2001-cso-preferred-class-structure-mortality-tables.xls</v>
      </c>
      <c r="I1034" s="4" t="str" cm="1">
        <f t="array" ref="I1034">INDEX(Sheet1!E:E,$G1034)</f>
        <v>A.1.b.ii</v>
      </c>
      <c r="J1034" s="4" t="str" cm="1">
        <f t="array" ref="J1034">INDEX(Sheet1!F:F,$G1034)</f>
        <v>B8</v>
      </c>
      <c r="K1034" s="4" cm="1">
        <f t="array" ref="K1034">INDEX(Sheet1!H:H,$G1034)</f>
        <v>1E-3</v>
      </c>
      <c r="L1034" s="4">
        <f t="shared" si="64"/>
        <v>32</v>
      </c>
      <c r="M1034" s="4">
        <f t="shared" si="67"/>
        <v>5</v>
      </c>
    </row>
    <row r="1035" spans="1:13">
      <c r="A1035" s="4" t="str" cm="1">
        <f t="array" ref="A1035">INDEX(Sheet1!A:A,$F1035)</f>
        <v>F</v>
      </c>
      <c r="B1035" s="4" t="str" cm="1">
        <f t="array" ref="B1035">INDEX(Sheet1!B:B,$F1035)</f>
        <v>Pref Best NS</v>
      </c>
      <c r="C1035" s="4">
        <f t="shared" si="65"/>
        <v>33</v>
      </c>
      <c r="D1035" s="5" cm="1">
        <f t="array" aca="1" ref="D1035" ca="1">OFFSET(INDIRECT("'["&amp;$H1035&amp;"]"&amp;$I1035&amp;"'!"&amp;$J1035),$L1035,$M1035)*$K1035</f>
        <v>5.8E-4</v>
      </c>
      <c r="F1035" s="4">
        <f t="shared" si="66"/>
        <v>12</v>
      </c>
      <c r="G1035" s="4" cm="1">
        <f t="array" ref="G1035">IF($C1035+$M1035&lt;16,INDEX(Sheet1!C:C,$F1035),$F1035)</f>
        <v>12</v>
      </c>
      <c r="H1035" s="4" t="str" cm="1">
        <f t="array" ref="H1035">INDEX(Sheet1!D:D,$G1035)</f>
        <v>2001-cso-preferred-class-structure-mortality-tables.xls</v>
      </c>
      <c r="I1035" s="4" t="str" cm="1">
        <f t="array" ref="I1035">INDEX(Sheet1!E:E,$G1035)</f>
        <v>A.1.b.ii</v>
      </c>
      <c r="J1035" s="4" t="str" cm="1">
        <f t="array" ref="J1035">INDEX(Sheet1!F:F,$G1035)</f>
        <v>B8</v>
      </c>
      <c r="K1035" s="4" cm="1">
        <f t="array" ref="K1035">INDEX(Sheet1!H:H,$G1035)</f>
        <v>1E-3</v>
      </c>
      <c r="L1035" s="4">
        <f t="shared" si="64"/>
        <v>33</v>
      </c>
      <c r="M1035" s="4">
        <f t="shared" si="67"/>
        <v>5</v>
      </c>
    </row>
    <row r="1036" spans="1:13">
      <c r="A1036" s="4" t="str" cm="1">
        <f t="array" ref="A1036">INDEX(Sheet1!A:A,$F1036)</f>
        <v>F</v>
      </c>
      <c r="B1036" s="4" t="str" cm="1">
        <f t="array" ref="B1036">INDEX(Sheet1!B:B,$F1036)</f>
        <v>Pref Best NS</v>
      </c>
      <c r="C1036" s="4">
        <f t="shared" si="65"/>
        <v>34</v>
      </c>
      <c r="D1036" s="5" cm="1">
        <f t="array" aca="1" ref="D1036" ca="1">OFFSET(INDIRECT("'["&amp;$H1036&amp;"]"&amp;$I1036&amp;"'!"&amp;$J1036),$L1036,$M1036)*$K1036</f>
        <v>5.9999999999999995E-4</v>
      </c>
      <c r="F1036" s="4">
        <f t="shared" si="66"/>
        <v>12</v>
      </c>
      <c r="G1036" s="4" cm="1">
        <f t="array" ref="G1036">IF($C1036+$M1036&lt;16,INDEX(Sheet1!C:C,$F1036),$F1036)</f>
        <v>12</v>
      </c>
      <c r="H1036" s="4" t="str" cm="1">
        <f t="array" ref="H1036">INDEX(Sheet1!D:D,$G1036)</f>
        <v>2001-cso-preferred-class-structure-mortality-tables.xls</v>
      </c>
      <c r="I1036" s="4" t="str" cm="1">
        <f t="array" ref="I1036">INDEX(Sheet1!E:E,$G1036)</f>
        <v>A.1.b.ii</v>
      </c>
      <c r="J1036" s="4" t="str" cm="1">
        <f t="array" ref="J1036">INDEX(Sheet1!F:F,$G1036)</f>
        <v>B8</v>
      </c>
      <c r="K1036" s="4" cm="1">
        <f t="array" ref="K1036">INDEX(Sheet1!H:H,$G1036)</f>
        <v>1E-3</v>
      </c>
      <c r="L1036" s="4">
        <f t="shared" si="64"/>
        <v>34</v>
      </c>
      <c r="M1036" s="4">
        <f t="shared" si="67"/>
        <v>5</v>
      </c>
    </row>
    <row r="1037" spans="1:13">
      <c r="A1037" s="4" t="str" cm="1">
        <f t="array" ref="A1037">INDEX(Sheet1!A:A,$F1037)</f>
        <v>F</v>
      </c>
      <c r="B1037" s="4" t="str" cm="1">
        <f t="array" ref="B1037">INDEX(Sheet1!B:B,$F1037)</f>
        <v>Pref Best NS</v>
      </c>
      <c r="C1037" s="4">
        <f t="shared" si="65"/>
        <v>35</v>
      </c>
      <c r="D1037" s="5" cm="1">
        <f t="array" aca="1" ref="D1037" ca="1">OFFSET(INDIRECT("'["&amp;$H1037&amp;"]"&amp;$I1037&amp;"'!"&amp;$J1037),$L1037,$M1037)*$K1037</f>
        <v>6.5000000000000008E-4</v>
      </c>
      <c r="F1037" s="4">
        <f t="shared" si="66"/>
        <v>12</v>
      </c>
      <c r="G1037" s="4" cm="1">
        <f t="array" ref="G1037">IF($C1037+$M1037&lt;16,INDEX(Sheet1!C:C,$F1037),$F1037)</f>
        <v>12</v>
      </c>
      <c r="H1037" s="4" t="str" cm="1">
        <f t="array" ref="H1037">INDEX(Sheet1!D:D,$G1037)</f>
        <v>2001-cso-preferred-class-structure-mortality-tables.xls</v>
      </c>
      <c r="I1037" s="4" t="str" cm="1">
        <f t="array" ref="I1037">INDEX(Sheet1!E:E,$G1037)</f>
        <v>A.1.b.ii</v>
      </c>
      <c r="J1037" s="4" t="str" cm="1">
        <f t="array" ref="J1037">INDEX(Sheet1!F:F,$G1037)</f>
        <v>B8</v>
      </c>
      <c r="K1037" s="4" cm="1">
        <f t="array" ref="K1037">INDEX(Sheet1!H:H,$G1037)</f>
        <v>1E-3</v>
      </c>
      <c r="L1037" s="4">
        <f t="shared" si="64"/>
        <v>35</v>
      </c>
      <c r="M1037" s="4">
        <f t="shared" si="67"/>
        <v>5</v>
      </c>
    </row>
    <row r="1038" spans="1:13">
      <c r="A1038" s="4" t="str" cm="1">
        <f t="array" ref="A1038">INDEX(Sheet1!A:A,$F1038)</f>
        <v>F</v>
      </c>
      <c r="B1038" s="4" t="str" cm="1">
        <f t="array" ref="B1038">INDEX(Sheet1!B:B,$F1038)</f>
        <v>Pref Best NS</v>
      </c>
      <c r="C1038" s="4">
        <f t="shared" si="65"/>
        <v>36</v>
      </c>
      <c r="D1038" s="5" cm="1">
        <f t="array" aca="1" ref="D1038" ca="1">OFFSET(INDIRECT("'["&amp;$H1038&amp;"]"&amp;$I1038&amp;"'!"&amp;$J1038),$L1038,$M1038)*$K1038</f>
        <v>6.8999999999999997E-4</v>
      </c>
      <c r="F1038" s="4">
        <f t="shared" si="66"/>
        <v>12</v>
      </c>
      <c r="G1038" s="4" cm="1">
        <f t="array" ref="G1038">IF($C1038+$M1038&lt;16,INDEX(Sheet1!C:C,$F1038),$F1038)</f>
        <v>12</v>
      </c>
      <c r="H1038" s="4" t="str" cm="1">
        <f t="array" ref="H1038">INDEX(Sheet1!D:D,$G1038)</f>
        <v>2001-cso-preferred-class-structure-mortality-tables.xls</v>
      </c>
      <c r="I1038" s="4" t="str" cm="1">
        <f t="array" ref="I1038">INDEX(Sheet1!E:E,$G1038)</f>
        <v>A.1.b.ii</v>
      </c>
      <c r="J1038" s="4" t="str" cm="1">
        <f t="array" ref="J1038">INDEX(Sheet1!F:F,$G1038)</f>
        <v>B8</v>
      </c>
      <c r="K1038" s="4" cm="1">
        <f t="array" ref="K1038">INDEX(Sheet1!H:H,$G1038)</f>
        <v>1E-3</v>
      </c>
      <c r="L1038" s="4">
        <f t="shared" si="64"/>
        <v>36</v>
      </c>
      <c r="M1038" s="4">
        <f t="shared" si="67"/>
        <v>5</v>
      </c>
    </row>
    <row r="1039" spans="1:13">
      <c r="A1039" s="4" t="str" cm="1">
        <f t="array" ref="A1039">INDEX(Sheet1!A:A,$F1039)</f>
        <v>F</v>
      </c>
      <c r="B1039" s="4" t="str" cm="1">
        <f t="array" ref="B1039">INDEX(Sheet1!B:B,$F1039)</f>
        <v>Pref Best NS</v>
      </c>
      <c r="C1039" s="4">
        <f t="shared" si="65"/>
        <v>37</v>
      </c>
      <c r="D1039" s="5" cm="1">
        <f t="array" aca="1" ref="D1039" ca="1">OFFSET(INDIRECT("'["&amp;$H1039&amp;"]"&amp;$I1039&amp;"'!"&amp;$J1039),$L1039,$M1039)*$K1039</f>
        <v>7.6000000000000004E-4</v>
      </c>
      <c r="F1039" s="4">
        <f t="shared" si="66"/>
        <v>12</v>
      </c>
      <c r="G1039" s="4" cm="1">
        <f t="array" ref="G1039">IF($C1039+$M1039&lt;16,INDEX(Sheet1!C:C,$F1039),$F1039)</f>
        <v>12</v>
      </c>
      <c r="H1039" s="4" t="str" cm="1">
        <f t="array" ref="H1039">INDEX(Sheet1!D:D,$G1039)</f>
        <v>2001-cso-preferred-class-structure-mortality-tables.xls</v>
      </c>
      <c r="I1039" s="4" t="str" cm="1">
        <f t="array" ref="I1039">INDEX(Sheet1!E:E,$G1039)</f>
        <v>A.1.b.ii</v>
      </c>
      <c r="J1039" s="4" t="str" cm="1">
        <f t="array" ref="J1039">INDEX(Sheet1!F:F,$G1039)</f>
        <v>B8</v>
      </c>
      <c r="K1039" s="4" cm="1">
        <f t="array" ref="K1039">INDEX(Sheet1!H:H,$G1039)</f>
        <v>1E-3</v>
      </c>
      <c r="L1039" s="4">
        <f t="shared" si="64"/>
        <v>37</v>
      </c>
      <c r="M1039" s="4">
        <f t="shared" si="67"/>
        <v>5</v>
      </c>
    </row>
    <row r="1040" spans="1:13">
      <c r="A1040" s="4" t="str" cm="1">
        <f t="array" ref="A1040">INDEX(Sheet1!A:A,$F1040)</f>
        <v>F</v>
      </c>
      <c r="B1040" s="4" t="str" cm="1">
        <f t="array" ref="B1040">INDEX(Sheet1!B:B,$F1040)</f>
        <v>Pref Best NS</v>
      </c>
      <c r="C1040" s="4">
        <f t="shared" si="65"/>
        <v>38</v>
      </c>
      <c r="D1040" s="5" cm="1">
        <f t="array" aca="1" ref="D1040" ca="1">OFFSET(INDIRECT("'["&amp;$H1040&amp;"]"&amp;$I1040&amp;"'!"&amp;$J1040),$L1040,$M1040)*$K1040</f>
        <v>8.1000000000000006E-4</v>
      </c>
      <c r="F1040" s="4">
        <f t="shared" si="66"/>
        <v>12</v>
      </c>
      <c r="G1040" s="4" cm="1">
        <f t="array" ref="G1040">IF($C1040+$M1040&lt;16,INDEX(Sheet1!C:C,$F1040),$F1040)</f>
        <v>12</v>
      </c>
      <c r="H1040" s="4" t="str" cm="1">
        <f t="array" ref="H1040">INDEX(Sheet1!D:D,$G1040)</f>
        <v>2001-cso-preferred-class-structure-mortality-tables.xls</v>
      </c>
      <c r="I1040" s="4" t="str" cm="1">
        <f t="array" ref="I1040">INDEX(Sheet1!E:E,$G1040)</f>
        <v>A.1.b.ii</v>
      </c>
      <c r="J1040" s="4" t="str" cm="1">
        <f t="array" ref="J1040">INDEX(Sheet1!F:F,$G1040)</f>
        <v>B8</v>
      </c>
      <c r="K1040" s="4" cm="1">
        <f t="array" ref="K1040">INDEX(Sheet1!H:H,$G1040)</f>
        <v>1E-3</v>
      </c>
      <c r="L1040" s="4">
        <f t="shared" si="64"/>
        <v>38</v>
      </c>
      <c r="M1040" s="4">
        <f t="shared" si="67"/>
        <v>5</v>
      </c>
    </row>
    <row r="1041" spans="1:13">
      <c r="A1041" s="4" t="str" cm="1">
        <f t="array" ref="A1041">INDEX(Sheet1!A:A,$F1041)</f>
        <v>F</v>
      </c>
      <c r="B1041" s="4" t="str" cm="1">
        <f t="array" ref="B1041">INDEX(Sheet1!B:B,$F1041)</f>
        <v>Pref Best NS</v>
      </c>
      <c r="C1041" s="4">
        <f t="shared" si="65"/>
        <v>39</v>
      </c>
      <c r="D1041" s="5" cm="1">
        <f t="array" aca="1" ref="D1041" ca="1">OFFSET(INDIRECT("'["&amp;$H1041&amp;"]"&amp;$I1041&amp;"'!"&amp;$J1041),$L1041,$M1041)*$K1041</f>
        <v>8.9000000000000006E-4</v>
      </c>
      <c r="F1041" s="4">
        <f t="shared" si="66"/>
        <v>12</v>
      </c>
      <c r="G1041" s="4" cm="1">
        <f t="array" ref="G1041">IF($C1041+$M1041&lt;16,INDEX(Sheet1!C:C,$F1041),$F1041)</f>
        <v>12</v>
      </c>
      <c r="H1041" s="4" t="str" cm="1">
        <f t="array" ref="H1041">INDEX(Sheet1!D:D,$G1041)</f>
        <v>2001-cso-preferred-class-structure-mortality-tables.xls</v>
      </c>
      <c r="I1041" s="4" t="str" cm="1">
        <f t="array" ref="I1041">INDEX(Sheet1!E:E,$G1041)</f>
        <v>A.1.b.ii</v>
      </c>
      <c r="J1041" s="4" t="str" cm="1">
        <f t="array" ref="J1041">INDEX(Sheet1!F:F,$G1041)</f>
        <v>B8</v>
      </c>
      <c r="K1041" s="4" cm="1">
        <f t="array" ref="K1041">INDEX(Sheet1!H:H,$G1041)</f>
        <v>1E-3</v>
      </c>
      <c r="L1041" s="4">
        <f t="shared" si="64"/>
        <v>39</v>
      </c>
      <c r="M1041" s="4">
        <f t="shared" si="67"/>
        <v>5</v>
      </c>
    </row>
    <row r="1042" spans="1:13">
      <c r="A1042" s="4" t="str" cm="1">
        <f t="array" ref="A1042">INDEX(Sheet1!A:A,$F1042)</f>
        <v>F</v>
      </c>
      <c r="B1042" s="4" t="str" cm="1">
        <f t="array" ref="B1042">INDEX(Sheet1!B:B,$F1042)</f>
        <v>Pref Best NS</v>
      </c>
      <c r="C1042" s="4">
        <f t="shared" si="65"/>
        <v>40</v>
      </c>
      <c r="D1042" s="5" cm="1">
        <f t="array" aca="1" ref="D1042" ca="1">OFFSET(INDIRECT("'["&amp;$H1042&amp;"]"&amp;$I1042&amp;"'!"&amp;$J1042),$L1042,$M1042)*$K1042</f>
        <v>9.6000000000000002E-4</v>
      </c>
      <c r="F1042" s="4">
        <f t="shared" si="66"/>
        <v>12</v>
      </c>
      <c r="G1042" s="4" cm="1">
        <f t="array" ref="G1042">IF($C1042+$M1042&lt;16,INDEX(Sheet1!C:C,$F1042),$F1042)</f>
        <v>12</v>
      </c>
      <c r="H1042" s="4" t="str" cm="1">
        <f t="array" ref="H1042">INDEX(Sheet1!D:D,$G1042)</f>
        <v>2001-cso-preferred-class-structure-mortality-tables.xls</v>
      </c>
      <c r="I1042" s="4" t="str" cm="1">
        <f t="array" ref="I1042">INDEX(Sheet1!E:E,$G1042)</f>
        <v>A.1.b.ii</v>
      </c>
      <c r="J1042" s="4" t="str" cm="1">
        <f t="array" ref="J1042">INDEX(Sheet1!F:F,$G1042)</f>
        <v>B8</v>
      </c>
      <c r="K1042" s="4" cm="1">
        <f t="array" ref="K1042">INDEX(Sheet1!H:H,$G1042)</f>
        <v>1E-3</v>
      </c>
      <c r="L1042" s="4">
        <f t="shared" si="64"/>
        <v>40</v>
      </c>
      <c r="M1042" s="4">
        <f t="shared" si="67"/>
        <v>5</v>
      </c>
    </row>
    <row r="1043" spans="1:13">
      <c r="A1043" s="4" t="str" cm="1">
        <f t="array" ref="A1043">INDEX(Sheet1!A:A,$F1043)</f>
        <v>F</v>
      </c>
      <c r="B1043" s="4" t="str" cm="1">
        <f t="array" ref="B1043">INDEX(Sheet1!B:B,$F1043)</f>
        <v>Pref Best NS</v>
      </c>
      <c r="C1043" s="4">
        <f t="shared" si="65"/>
        <v>41</v>
      </c>
      <c r="D1043" s="5" cm="1">
        <f t="array" aca="1" ref="D1043" ca="1">OFFSET(INDIRECT("'["&amp;$H1043&amp;"]"&amp;$I1043&amp;"'!"&amp;$J1043),$L1043,$M1043)*$K1043</f>
        <v>1.07E-3</v>
      </c>
      <c r="F1043" s="4">
        <f t="shared" si="66"/>
        <v>12</v>
      </c>
      <c r="G1043" s="4" cm="1">
        <f t="array" ref="G1043">IF($C1043+$M1043&lt;16,INDEX(Sheet1!C:C,$F1043),$F1043)</f>
        <v>12</v>
      </c>
      <c r="H1043" s="4" t="str" cm="1">
        <f t="array" ref="H1043">INDEX(Sheet1!D:D,$G1043)</f>
        <v>2001-cso-preferred-class-structure-mortality-tables.xls</v>
      </c>
      <c r="I1043" s="4" t="str" cm="1">
        <f t="array" ref="I1043">INDEX(Sheet1!E:E,$G1043)</f>
        <v>A.1.b.ii</v>
      </c>
      <c r="J1043" s="4" t="str" cm="1">
        <f t="array" ref="J1043">INDEX(Sheet1!F:F,$G1043)</f>
        <v>B8</v>
      </c>
      <c r="K1043" s="4" cm="1">
        <f t="array" ref="K1043">INDEX(Sheet1!H:H,$G1043)</f>
        <v>1E-3</v>
      </c>
      <c r="L1043" s="4">
        <f t="shared" si="64"/>
        <v>41</v>
      </c>
      <c r="M1043" s="4">
        <f t="shared" si="67"/>
        <v>5</v>
      </c>
    </row>
    <row r="1044" spans="1:13">
      <c r="A1044" s="4" t="str" cm="1">
        <f t="array" ref="A1044">INDEX(Sheet1!A:A,$F1044)</f>
        <v>F</v>
      </c>
      <c r="B1044" s="4" t="str" cm="1">
        <f t="array" ref="B1044">INDEX(Sheet1!B:B,$F1044)</f>
        <v>Pref Best NS</v>
      </c>
      <c r="C1044" s="4">
        <f t="shared" si="65"/>
        <v>42</v>
      </c>
      <c r="D1044" s="5" cm="1">
        <f t="array" aca="1" ref="D1044" ca="1">OFFSET(INDIRECT("'["&amp;$H1044&amp;"]"&amp;$I1044&amp;"'!"&amp;$J1044),$L1044,$M1044)*$K1044</f>
        <v>1.16E-3</v>
      </c>
      <c r="F1044" s="4">
        <f t="shared" si="66"/>
        <v>12</v>
      </c>
      <c r="G1044" s="4" cm="1">
        <f t="array" ref="G1044">IF($C1044+$M1044&lt;16,INDEX(Sheet1!C:C,$F1044),$F1044)</f>
        <v>12</v>
      </c>
      <c r="H1044" s="4" t="str" cm="1">
        <f t="array" ref="H1044">INDEX(Sheet1!D:D,$G1044)</f>
        <v>2001-cso-preferred-class-structure-mortality-tables.xls</v>
      </c>
      <c r="I1044" s="4" t="str" cm="1">
        <f t="array" ref="I1044">INDEX(Sheet1!E:E,$G1044)</f>
        <v>A.1.b.ii</v>
      </c>
      <c r="J1044" s="4" t="str" cm="1">
        <f t="array" ref="J1044">INDEX(Sheet1!F:F,$G1044)</f>
        <v>B8</v>
      </c>
      <c r="K1044" s="4" cm="1">
        <f t="array" ref="K1044">INDEX(Sheet1!H:H,$G1044)</f>
        <v>1E-3</v>
      </c>
      <c r="L1044" s="4">
        <f t="shared" si="64"/>
        <v>42</v>
      </c>
      <c r="M1044" s="4">
        <f t="shared" si="67"/>
        <v>5</v>
      </c>
    </row>
    <row r="1045" spans="1:13">
      <c r="A1045" s="4" t="str" cm="1">
        <f t="array" ref="A1045">INDEX(Sheet1!A:A,$F1045)</f>
        <v>F</v>
      </c>
      <c r="B1045" s="4" t="str" cm="1">
        <f t="array" ref="B1045">INDEX(Sheet1!B:B,$F1045)</f>
        <v>Pref Best NS</v>
      </c>
      <c r="C1045" s="4">
        <f t="shared" si="65"/>
        <v>43</v>
      </c>
      <c r="D1045" s="5" cm="1">
        <f t="array" aca="1" ref="D1045" ca="1">OFFSET(INDIRECT("'["&amp;$H1045&amp;"]"&amp;$I1045&amp;"'!"&amp;$J1045),$L1045,$M1045)*$K1045</f>
        <v>1.2900000000000001E-3</v>
      </c>
      <c r="F1045" s="4">
        <f t="shared" si="66"/>
        <v>12</v>
      </c>
      <c r="G1045" s="4" cm="1">
        <f t="array" ref="G1045">IF($C1045+$M1045&lt;16,INDEX(Sheet1!C:C,$F1045),$F1045)</f>
        <v>12</v>
      </c>
      <c r="H1045" s="4" t="str" cm="1">
        <f t="array" ref="H1045">INDEX(Sheet1!D:D,$G1045)</f>
        <v>2001-cso-preferred-class-structure-mortality-tables.xls</v>
      </c>
      <c r="I1045" s="4" t="str" cm="1">
        <f t="array" ref="I1045">INDEX(Sheet1!E:E,$G1045)</f>
        <v>A.1.b.ii</v>
      </c>
      <c r="J1045" s="4" t="str" cm="1">
        <f t="array" ref="J1045">INDEX(Sheet1!F:F,$G1045)</f>
        <v>B8</v>
      </c>
      <c r="K1045" s="4" cm="1">
        <f t="array" ref="K1045">INDEX(Sheet1!H:H,$G1045)</f>
        <v>1E-3</v>
      </c>
      <c r="L1045" s="4">
        <f t="shared" si="64"/>
        <v>43</v>
      </c>
      <c r="M1045" s="4">
        <f t="shared" si="67"/>
        <v>5</v>
      </c>
    </row>
    <row r="1046" spans="1:13">
      <c r="A1046" s="4" t="str" cm="1">
        <f t="array" ref="A1046">INDEX(Sheet1!A:A,$F1046)</f>
        <v>F</v>
      </c>
      <c r="B1046" s="4" t="str" cm="1">
        <f t="array" ref="B1046">INDEX(Sheet1!B:B,$F1046)</f>
        <v>Pref Best NS</v>
      </c>
      <c r="C1046" s="4">
        <f t="shared" si="65"/>
        <v>44</v>
      </c>
      <c r="D1046" s="5" cm="1">
        <f t="array" aca="1" ref="D1046" ca="1">OFFSET(INDIRECT("'["&amp;$H1046&amp;"]"&amp;$I1046&amp;"'!"&amp;$J1046),$L1046,$M1046)*$K1046</f>
        <v>1.41E-3</v>
      </c>
      <c r="F1046" s="4">
        <f t="shared" si="66"/>
        <v>12</v>
      </c>
      <c r="G1046" s="4" cm="1">
        <f t="array" ref="G1046">IF($C1046+$M1046&lt;16,INDEX(Sheet1!C:C,$F1046),$F1046)</f>
        <v>12</v>
      </c>
      <c r="H1046" s="4" t="str" cm="1">
        <f t="array" ref="H1046">INDEX(Sheet1!D:D,$G1046)</f>
        <v>2001-cso-preferred-class-structure-mortality-tables.xls</v>
      </c>
      <c r="I1046" s="4" t="str" cm="1">
        <f t="array" ref="I1046">INDEX(Sheet1!E:E,$G1046)</f>
        <v>A.1.b.ii</v>
      </c>
      <c r="J1046" s="4" t="str" cm="1">
        <f t="array" ref="J1046">INDEX(Sheet1!F:F,$G1046)</f>
        <v>B8</v>
      </c>
      <c r="K1046" s="4" cm="1">
        <f t="array" ref="K1046">INDEX(Sheet1!H:H,$G1046)</f>
        <v>1E-3</v>
      </c>
      <c r="L1046" s="4">
        <f t="shared" si="64"/>
        <v>44</v>
      </c>
      <c r="M1046" s="4">
        <f t="shared" si="67"/>
        <v>5</v>
      </c>
    </row>
    <row r="1047" spans="1:13">
      <c r="A1047" s="4" t="str" cm="1">
        <f t="array" ref="A1047">INDEX(Sheet1!A:A,$F1047)</f>
        <v>F</v>
      </c>
      <c r="B1047" s="4" t="str" cm="1">
        <f t="array" ref="B1047">INDEX(Sheet1!B:B,$F1047)</f>
        <v>Pref Best NS</v>
      </c>
      <c r="C1047" s="4">
        <f t="shared" si="65"/>
        <v>45</v>
      </c>
      <c r="D1047" s="5" cm="1">
        <f t="array" aca="1" ref="D1047" ca="1">OFFSET(INDIRECT("'["&amp;$H1047&amp;"]"&amp;$I1047&amp;"'!"&amp;$J1047),$L1047,$M1047)*$K1047</f>
        <v>1.5500000000000002E-3</v>
      </c>
      <c r="F1047" s="4">
        <f t="shared" si="66"/>
        <v>12</v>
      </c>
      <c r="G1047" s="4" cm="1">
        <f t="array" ref="G1047">IF($C1047+$M1047&lt;16,INDEX(Sheet1!C:C,$F1047),$F1047)</f>
        <v>12</v>
      </c>
      <c r="H1047" s="4" t="str" cm="1">
        <f t="array" ref="H1047">INDEX(Sheet1!D:D,$G1047)</f>
        <v>2001-cso-preferred-class-structure-mortality-tables.xls</v>
      </c>
      <c r="I1047" s="4" t="str" cm="1">
        <f t="array" ref="I1047">INDEX(Sheet1!E:E,$G1047)</f>
        <v>A.1.b.ii</v>
      </c>
      <c r="J1047" s="4" t="str" cm="1">
        <f t="array" ref="J1047">INDEX(Sheet1!F:F,$G1047)</f>
        <v>B8</v>
      </c>
      <c r="K1047" s="4" cm="1">
        <f t="array" ref="K1047">INDEX(Sheet1!H:H,$G1047)</f>
        <v>1E-3</v>
      </c>
      <c r="L1047" s="4">
        <f t="shared" si="64"/>
        <v>45</v>
      </c>
      <c r="M1047" s="4">
        <f t="shared" si="67"/>
        <v>5</v>
      </c>
    </row>
    <row r="1048" spans="1:13">
      <c r="A1048" s="4" t="str" cm="1">
        <f t="array" ref="A1048">INDEX(Sheet1!A:A,$F1048)</f>
        <v>F</v>
      </c>
      <c r="B1048" s="4" t="str" cm="1">
        <f t="array" ref="B1048">INDEX(Sheet1!B:B,$F1048)</f>
        <v>Pref Best NS</v>
      </c>
      <c r="C1048" s="4">
        <f t="shared" si="65"/>
        <v>46</v>
      </c>
      <c r="D1048" s="5" cm="1">
        <f t="array" aca="1" ref="D1048" ca="1">OFFSET(INDIRECT("'["&amp;$H1048&amp;"]"&amp;$I1048&amp;"'!"&amp;$J1048),$L1048,$M1048)*$K1048</f>
        <v>1.7099999999999999E-3</v>
      </c>
      <c r="F1048" s="4">
        <f t="shared" si="66"/>
        <v>12</v>
      </c>
      <c r="G1048" s="4" cm="1">
        <f t="array" ref="G1048">IF($C1048+$M1048&lt;16,INDEX(Sheet1!C:C,$F1048),$F1048)</f>
        <v>12</v>
      </c>
      <c r="H1048" s="4" t="str" cm="1">
        <f t="array" ref="H1048">INDEX(Sheet1!D:D,$G1048)</f>
        <v>2001-cso-preferred-class-structure-mortality-tables.xls</v>
      </c>
      <c r="I1048" s="4" t="str" cm="1">
        <f t="array" ref="I1048">INDEX(Sheet1!E:E,$G1048)</f>
        <v>A.1.b.ii</v>
      </c>
      <c r="J1048" s="4" t="str" cm="1">
        <f t="array" ref="J1048">INDEX(Sheet1!F:F,$G1048)</f>
        <v>B8</v>
      </c>
      <c r="K1048" s="4" cm="1">
        <f t="array" ref="K1048">INDEX(Sheet1!H:H,$G1048)</f>
        <v>1E-3</v>
      </c>
      <c r="L1048" s="4">
        <f t="shared" si="64"/>
        <v>46</v>
      </c>
      <c r="M1048" s="4">
        <f t="shared" si="67"/>
        <v>5</v>
      </c>
    </row>
    <row r="1049" spans="1:13">
      <c r="A1049" s="4" t="str" cm="1">
        <f t="array" ref="A1049">INDEX(Sheet1!A:A,$F1049)</f>
        <v>F</v>
      </c>
      <c r="B1049" s="4" t="str" cm="1">
        <f t="array" ref="B1049">INDEX(Sheet1!B:B,$F1049)</f>
        <v>Pref Best NS</v>
      </c>
      <c r="C1049" s="4">
        <f t="shared" si="65"/>
        <v>47</v>
      </c>
      <c r="D1049" s="5" cm="1">
        <f t="array" aca="1" ref="D1049" ca="1">OFFSET(INDIRECT("'["&amp;$H1049&amp;"]"&amp;$I1049&amp;"'!"&amp;$J1049),$L1049,$M1049)*$K1049</f>
        <v>1.8600000000000001E-3</v>
      </c>
      <c r="F1049" s="4">
        <f t="shared" si="66"/>
        <v>12</v>
      </c>
      <c r="G1049" s="4" cm="1">
        <f t="array" ref="G1049">IF($C1049+$M1049&lt;16,INDEX(Sheet1!C:C,$F1049),$F1049)</f>
        <v>12</v>
      </c>
      <c r="H1049" s="4" t="str" cm="1">
        <f t="array" ref="H1049">INDEX(Sheet1!D:D,$G1049)</f>
        <v>2001-cso-preferred-class-structure-mortality-tables.xls</v>
      </c>
      <c r="I1049" s="4" t="str" cm="1">
        <f t="array" ref="I1049">INDEX(Sheet1!E:E,$G1049)</f>
        <v>A.1.b.ii</v>
      </c>
      <c r="J1049" s="4" t="str" cm="1">
        <f t="array" ref="J1049">INDEX(Sheet1!F:F,$G1049)</f>
        <v>B8</v>
      </c>
      <c r="K1049" s="4" cm="1">
        <f t="array" ref="K1049">INDEX(Sheet1!H:H,$G1049)</f>
        <v>1E-3</v>
      </c>
      <c r="L1049" s="4">
        <f t="shared" si="64"/>
        <v>47</v>
      </c>
      <c r="M1049" s="4">
        <f t="shared" si="67"/>
        <v>5</v>
      </c>
    </row>
    <row r="1050" spans="1:13">
      <c r="A1050" s="4" t="str" cm="1">
        <f t="array" ref="A1050">INDEX(Sheet1!A:A,$F1050)</f>
        <v>F</v>
      </c>
      <c r="B1050" s="4" t="str" cm="1">
        <f t="array" ref="B1050">INDEX(Sheet1!B:B,$F1050)</f>
        <v>Pref Best NS</v>
      </c>
      <c r="C1050" s="4">
        <f t="shared" si="65"/>
        <v>48</v>
      </c>
      <c r="D1050" s="5" cm="1">
        <f t="array" aca="1" ref="D1050" ca="1">OFFSET(INDIRECT("'["&amp;$H1050&amp;"]"&amp;$I1050&amp;"'!"&amp;$J1050),$L1050,$M1050)*$K1050</f>
        <v>2.0200000000000001E-3</v>
      </c>
      <c r="F1050" s="4">
        <f t="shared" si="66"/>
        <v>12</v>
      </c>
      <c r="G1050" s="4" cm="1">
        <f t="array" ref="G1050">IF($C1050+$M1050&lt;16,INDEX(Sheet1!C:C,$F1050),$F1050)</f>
        <v>12</v>
      </c>
      <c r="H1050" s="4" t="str" cm="1">
        <f t="array" ref="H1050">INDEX(Sheet1!D:D,$G1050)</f>
        <v>2001-cso-preferred-class-structure-mortality-tables.xls</v>
      </c>
      <c r="I1050" s="4" t="str" cm="1">
        <f t="array" ref="I1050">INDEX(Sheet1!E:E,$G1050)</f>
        <v>A.1.b.ii</v>
      </c>
      <c r="J1050" s="4" t="str" cm="1">
        <f t="array" ref="J1050">INDEX(Sheet1!F:F,$G1050)</f>
        <v>B8</v>
      </c>
      <c r="K1050" s="4" cm="1">
        <f t="array" ref="K1050">INDEX(Sheet1!H:H,$G1050)</f>
        <v>1E-3</v>
      </c>
      <c r="L1050" s="4">
        <f t="shared" si="64"/>
        <v>48</v>
      </c>
      <c r="M1050" s="4">
        <f t="shared" si="67"/>
        <v>5</v>
      </c>
    </row>
    <row r="1051" spans="1:13">
      <c r="A1051" s="4" t="str" cm="1">
        <f t="array" ref="A1051">INDEX(Sheet1!A:A,$F1051)</f>
        <v>F</v>
      </c>
      <c r="B1051" s="4" t="str" cm="1">
        <f t="array" ref="B1051">INDEX(Sheet1!B:B,$F1051)</f>
        <v>Pref Best NS</v>
      </c>
      <c r="C1051" s="4">
        <f t="shared" si="65"/>
        <v>49</v>
      </c>
      <c r="D1051" s="5" cm="1">
        <f t="array" aca="1" ref="D1051" ca="1">OFFSET(INDIRECT("'["&amp;$H1051&amp;"]"&amp;$I1051&amp;"'!"&amp;$J1051),$L1051,$M1051)*$K1051</f>
        <v>2.1700000000000001E-3</v>
      </c>
      <c r="F1051" s="4">
        <f t="shared" si="66"/>
        <v>12</v>
      </c>
      <c r="G1051" s="4" cm="1">
        <f t="array" ref="G1051">IF($C1051+$M1051&lt;16,INDEX(Sheet1!C:C,$F1051),$F1051)</f>
        <v>12</v>
      </c>
      <c r="H1051" s="4" t="str" cm="1">
        <f t="array" ref="H1051">INDEX(Sheet1!D:D,$G1051)</f>
        <v>2001-cso-preferred-class-structure-mortality-tables.xls</v>
      </c>
      <c r="I1051" s="4" t="str" cm="1">
        <f t="array" ref="I1051">INDEX(Sheet1!E:E,$G1051)</f>
        <v>A.1.b.ii</v>
      </c>
      <c r="J1051" s="4" t="str" cm="1">
        <f t="array" ref="J1051">INDEX(Sheet1!F:F,$G1051)</f>
        <v>B8</v>
      </c>
      <c r="K1051" s="4" cm="1">
        <f t="array" ref="K1051">INDEX(Sheet1!H:H,$G1051)</f>
        <v>1E-3</v>
      </c>
      <c r="L1051" s="4">
        <f t="shared" si="64"/>
        <v>49</v>
      </c>
      <c r="M1051" s="4">
        <f t="shared" si="67"/>
        <v>5</v>
      </c>
    </row>
    <row r="1052" spans="1:13">
      <c r="A1052" s="4" t="str" cm="1">
        <f t="array" ref="A1052">INDEX(Sheet1!A:A,$F1052)</f>
        <v>F</v>
      </c>
      <c r="B1052" s="4" t="str" cm="1">
        <f t="array" ref="B1052">INDEX(Sheet1!B:B,$F1052)</f>
        <v>Pref Best NS</v>
      </c>
      <c r="C1052" s="4">
        <f t="shared" si="65"/>
        <v>50</v>
      </c>
      <c r="D1052" s="5" cm="1">
        <f t="array" aca="1" ref="D1052" ca="1">OFFSET(INDIRECT("'["&amp;$H1052&amp;"]"&amp;$I1052&amp;"'!"&amp;$J1052),$L1052,$M1052)*$K1052</f>
        <v>2.32E-3</v>
      </c>
      <c r="F1052" s="4">
        <f t="shared" si="66"/>
        <v>12</v>
      </c>
      <c r="G1052" s="4" cm="1">
        <f t="array" ref="G1052">IF($C1052+$M1052&lt;16,INDEX(Sheet1!C:C,$F1052),$F1052)</f>
        <v>12</v>
      </c>
      <c r="H1052" s="4" t="str" cm="1">
        <f t="array" ref="H1052">INDEX(Sheet1!D:D,$G1052)</f>
        <v>2001-cso-preferred-class-structure-mortality-tables.xls</v>
      </c>
      <c r="I1052" s="4" t="str" cm="1">
        <f t="array" ref="I1052">INDEX(Sheet1!E:E,$G1052)</f>
        <v>A.1.b.ii</v>
      </c>
      <c r="J1052" s="4" t="str" cm="1">
        <f t="array" ref="J1052">INDEX(Sheet1!F:F,$G1052)</f>
        <v>B8</v>
      </c>
      <c r="K1052" s="4" cm="1">
        <f t="array" ref="K1052">INDEX(Sheet1!H:H,$G1052)</f>
        <v>1E-3</v>
      </c>
      <c r="L1052" s="4">
        <f t="shared" si="64"/>
        <v>50</v>
      </c>
      <c r="M1052" s="4">
        <f t="shared" si="67"/>
        <v>5</v>
      </c>
    </row>
    <row r="1053" spans="1:13">
      <c r="A1053" s="4" t="str" cm="1">
        <f t="array" ref="A1053">INDEX(Sheet1!A:A,$F1053)</f>
        <v>F</v>
      </c>
      <c r="B1053" s="4" t="str" cm="1">
        <f t="array" ref="B1053">INDEX(Sheet1!B:B,$F1053)</f>
        <v>Pref Best NS</v>
      </c>
      <c r="C1053" s="4">
        <f t="shared" si="65"/>
        <v>51</v>
      </c>
      <c r="D1053" s="5" cm="1">
        <f t="array" aca="1" ref="D1053" ca="1">OFFSET(INDIRECT("'["&amp;$H1053&amp;"]"&amp;$I1053&amp;"'!"&amp;$J1053),$L1053,$M1053)*$K1053</f>
        <v>2.48E-3</v>
      </c>
      <c r="F1053" s="4">
        <f t="shared" si="66"/>
        <v>12</v>
      </c>
      <c r="G1053" s="4" cm="1">
        <f t="array" ref="G1053">IF($C1053+$M1053&lt;16,INDEX(Sheet1!C:C,$F1053),$F1053)</f>
        <v>12</v>
      </c>
      <c r="H1053" s="4" t="str" cm="1">
        <f t="array" ref="H1053">INDEX(Sheet1!D:D,$G1053)</f>
        <v>2001-cso-preferred-class-structure-mortality-tables.xls</v>
      </c>
      <c r="I1053" s="4" t="str" cm="1">
        <f t="array" ref="I1053">INDEX(Sheet1!E:E,$G1053)</f>
        <v>A.1.b.ii</v>
      </c>
      <c r="J1053" s="4" t="str" cm="1">
        <f t="array" ref="J1053">INDEX(Sheet1!F:F,$G1053)</f>
        <v>B8</v>
      </c>
      <c r="K1053" s="4" cm="1">
        <f t="array" ref="K1053">INDEX(Sheet1!H:H,$G1053)</f>
        <v>1E-3</v>
      </c>
      <c r="L1053" s="4">
        <f t="shared" si="64"/>
        <v>51</v>
      </c>
      <c r="M1053" s="4">
        <f t="shared" si="67"/>
        <v>5</v>
      </c>
    </row>
    <row r="1054" spans="1:13">
      <c r="A1054" s="4" t="str" cm="1">
        <f t="array" ref="A1054">INDEX(Sheet1!A:A,$F1054)</f>
        <v>F</v>
      </c>
      <c r="B1054" s="4" t="str" cm="1">
        <f t="array" ref="B1054">INDEX(Sheet1!B:B,$F1054)</f>
        <v>Pref Best NS</v>
      </c>
      <c r="C1054" s="4">
        <f t="shared" si="65"/>
        <v>52</v>
      </c>
      <c r="D1054" s="5" cm="1">
        <f t="array" aca="1" ref="D1054" ca="1">OFFSET(INDIRECT("'["&amp;$H1054&amp;"]"&amp;$I1054&amp;"'!"&amp;$J1054),$L1054,$M1054)*$K1054</f>
        <v>2.6200000000000004E-3</v>
      </c>
      <c r="F1054" s="4">
        <f t="shared" si="66"/>
        <v>12</v>
      </c>
      <c r="G1054" s="4" cm="1">
        <f t="array" ref="G1054">IF($C1054+$M1054&lt;16,INDEX(Sheet1!C:C,$F1054),$F1054)</f>
        <v>12</v>
      </c>
      <c r="H1054" s="4" t="str" cm="1">
        <f t="array" ref="H1054">INDEX(Sheet1!D:D,$G1054)</f>
        <v>2001-cso-preferred-class-structure-mortality-tables.xls</v>
      </c>
      <c r="I1054" s="4" t="str" cm="1">
        <f t="array" ref="I1054">INDEX(Sheet1!E:E,$G1054)</f>
        <v>A.1.b.ii</v>
      </c>
      <c r="J1054" s="4" t="str" cm="1">
        <f t="array" ref="J1054">INDEX(Sheet1!F:F,$G1054)</f>
        <v>B8</v>
      </c>
      <c r="K1054" s="4" cm="1">
        <f t="array" ref="K1054">INDEX(Sheet1!H:H,$G1054)</f>
        <v>1E-3</v>
      </c>
      <c r="L1054" s="4">
        <f t="shared" si="64"/>
        <v>52</v>
      </c>
      <c r="M1054" s="4">
        <f t="shared" si="67"/>
        <v>5</v>
      </c>
    </row>
    <row r="1055" spans="1:13">
      <c r="A1055" s="4" t="str" cm="1">
        <f t="array" ref="A1055">INDEX(Sheet1!A:A,$F1055)</f>
        <v>F</v>
      </c>
      <c r="B1055" s="4" t="str" cm="1">
        <f t="array" ref="B1055">INDEX(Sheet1!B:B,$F1055)</f>
        <v>Pref Best NS</v>
      </c>
      <c r="C1055" s="4">
        <f t="shared" si="65"/>
        <v>53</v>
      </c>
      <c r="D1055" s="5" cm="1">
        <f t="array" aca="1" ref="D1055" ca="1">OFFSET(INDIRECT("'["&amp;$H1055&amp;"]"&amp;$I1055&amp;"'!"&amp;$J1055),$L1055,$M1055)*$K1055</f>
        <v>2.7799999999999999E-3</v>
      </c>
      <c r="F1055" s="4">
        <f t="shared" si="66"/>
        <v>12</v>
      </c>
      <c r="G1055" s="4" cm="1">
        <f t="array" ref="G1055">IF($C1055+$M1055&lt;16,INDEX(Sheet1!C:C,$F1055),$F1055)</f>
        <v>12</v>
      </c>
      <c r="H1055" s="4" t="str" cm="1">
        <f t="array" ref="H1055">INDEX(Sheet1!D:D,$G1055)</f>
        <v>2001-cso-preferred-class-structure-mortality-tables.xls</v>
      </c>
      <c r="I1055" s="4" t="str" cm="1">
        <f t="array" ref="I1055">INDEX(Sheet1!E:E,$G1055)</f>
        <v>A.1.b.ii</v>
      </c>
      <c r="J1055" s="4" t="str" cm="1">
        <f t="array" ref="J1055">INDEX(Sheet1!F:F,$G1055)</f>
        <v>B8</v>
      </c>
      <c r="K1055" s="4" cm="1">
        <f t="array" ref="K1055">INDEX(Sheet1!H:H,$G1055)</f>
        <v>1E-3</v>
      </c>
      <c r="L1055" s="4">
        <f t="shared" si="64"/>
        <v>53</v>
      </c>
      <c r="M1055" s="4">
        <f t="shared" si="67"/>
        <v>5</v>
      </c>
    </row>
    <row r="1056" spans="1:13">
      <c r="A1056" s="4" t="str" cm="1">
        <f t="array" ref="A1056">INDEX(Sheet1!A:A,$F1056)</f>
        <v>F</v>
      </c>
      <c r="B1056" s="4" t="str" cm="1">
        <f t="array" ref="B1056">INDEX(Sheet1!B:B,$F1056)</f>
        <v>Pref Best NS</v>
      </c>
      <c r="C1056" s="4">
        <f t="shared" si="65"/>
        <v>54</v>
      </c>
      <c r="D1056" s="5" cm="1">
        <f t="array" aca="1" ref="D1056" ca="1">OFFSET(INDIRECT("'["&amp;$H1056&amp;"]"&amp;$I1056&amp;"'!"&amp;$J1056),$L1056,$M1056)*$K1056</f>
        <v>2.9399999999999999E-3</v>
      </c>
      <c r="F1056" s="4">
        <f t="shared" si="66"/>
        <v>12</v>
      </c>
      <c r="G1056" s="4" cm="1">
        <f t="array" ref="G1056">IF($C1056+$M1056&lt;16,INDEX(Sheet1!C:C,$F1056),$F1056)</f>
        <v>12</v>
      </c>
      <c r="H1056" s="4" t="str" cm="1">
        <f t="array" ref="H1056">INDEX(Sheet1!D:D,$G1056)</f>
        <v>2001-cso-preferred-class-structure-mortality-tables.xls</v>
      </c>
      <c r="I1056" s="4" t="str" cm="1">
        <f t="array" ref="I1056">INDEX(Sheet1!E:E,$G1056)</f>
        <v>A.1.b.ii</v>
      </c>
      <c r="J1056" s="4" t="str" cm="1">
        <f t="array" ref="J1056">INDEX(Sheet1!F:F,$G1056)</f>
        <v>B8</v>
      </c>
      <c r="K1056" s="4" cm="1">
        <f t="array" ref="K1056">INDEX(Sheet1!H:H,$G1056)</f>
        <v>1E-3</v>
      </c>
      <c r="L1056" s="4">
        <f t="shared" si="64"/>
        <v>54</v>
      </c>
      <c r="M1056" s="4">
        <f t="shared" si="67"/>
        <v>5</v>
      </c>
    </row>
    <row r="1057" spans="1:13">
      <c r="A1057" s="4" t="str" cm="1">
        <f t="array" ref="A1057">INDEX(Sheet1!A:A,$F1057)</f>
        <v>F</v>
      </c>
      <c r="B1057" s="4" t="str" cm="1">
        <f t="array" ref="B1057">INDEX(Sheet1!B:B,$F1057)</f>
        <v>Pref Best NS</v>
      </c>
      <c r="C1057" s="4">
        <f t="shared" si="65"/>
        <v>55</v>
      </c>
      <c r="D1057" s="5" cm="1">
        <f t="array" aca="1" ref="D1057" ca="1">OFFSET(INDIRECT("'["&amp;$H1057&amp;"]"&amp;$I1057&amp;"'!"&amp;$J1057),$L1057,$M1057)*$K1057</f>
        <v>3.13E-3</v>
      </c>
      <c r="F1057" s="4">
        <f t="shared" si="66"/>
        <v>12</v>
      </c>
      <c r="G1057" s="4" cm="1">
        <f t="array" ref="G1057">IF($C1057+$M1057&lt;16,INDEX(Sheet1!C:C,$F1057),$F1057)</f>
        <v>12</v>
      </c>
      <c r="H1057" s="4" t="str" cm="1">
        <f t="array" ref="H1057">INDEX(Sheet1!D:D,$G1057)</f>
        <v>2001-cso-preferred-class-structure-mortality-tables.xls</v>
      </c>
      <c r="I1057" s="4" t="str" cm="1">
        <f t="array" ref="I1057">INDEX(Sheet1!E:E,$G1057)</f>
        <v>A.1.b.ii</v>
      </c>
      <c r="J1057" s="4" t="str" cm="1">
        <f t="array" ref="J1057">INDEX(Sheet1!F:F,$G1057)</f>
        <v>B8</v>
      </c>
      <c r="K1057" s="4" cm="1">
        <f t="array" ref="K1057">INDEX(Sheet1!H:H,$G1057)</f>
        <v>1E-3</v>
      </c>
      <c r="L1057" s="4">
        <f t="shared" si="64"/>
        <v>55</v>
      </c>
      <c r="M1057" s="4">
        <f t="shared" si="67"/>
        <v>5</v>
      </c>
    </row>
    <row r="1058" spans="1:13">
      <c r="A1058" s="4" t="str" cm="1">
        <f t="array" ref="A1058">INDEX(Sheet1!A:A,$F1058)</f>
        <v>F</v>
      </c>
      <c r="B1058" s="4" t="str" cm="1">
        <f t="array" ref="B1058">INDEX(Sheet1!B:B,$F1058)</f>
        <v>Pref Best NS</v>
      </c>
      <c r="C1058" s="4">
        <f t="shared" si="65"/>
        <v>56</v>
      </c>
      <c r="D1058" s="5" cm="1">
        <f t="array" aca="1" ref="D1058" ca="1">OFFSET(INDIRECT("'["&amp;$H1058&amp;"]"&amp;$I1058&amp;"'!"&amp;$J1058),$L1058,$M1058)*$K1058</f>
        <v>3.3500000000000001E-3</v>
      </c>
      <c r="F1058" s="4">
        <f t="shared" si="66"/>
        <v>12</v>
      </c>
      <c r="G1058" s="4" cm="1">
        <f t="array" ref="G1058">IF($C1058+$M1058&lt;16,INDEX(Sheet1!C:C,$F1058),$F1058)</f>
        <v>12</v>
      </c>
      <c r="H1058" s="4" t="str" cm="1">
        <f t="array" ref="H1058">INDEX(Sheet1!D:D,$G1058)</f>
        <v>2001-cso-preferred-class-structure-mortality-tables.xls</v>
      </c>
      <c r="I1058" s="4" t="str" cm="1">
        <f t="array" ref="I1058">INDEX(Sheet1!E:E,$G1058)</f>
        <v>A.1.b.ii</v>
      </c>
      <c r="J1058" s="4" t="str" cm="1">
        <f t="array" ref="J1058">INDEX(Sheet1!F:F,$G1058)</f>
        <v>B8</v>
      </c>
      <c r="K1058" s="4" cm="1">
        <f t="array" ref="K1058">INDEX(Sheet1!H:H,$G1058)</f>
        <v>1E-3</v>
      </c>
      <c r="L1058" s="4">
        <f t="shared" si="64"/>
        <v>56</v>
      </c>
      <c r="M1058" s="4">
        <f t="shared" si="67"/>
        <v>5</v>
      </c>
    </row>
    <row r="1059" spans="1:13">
      <c r="A1059" s="4" t="str" cm="1">
        <f t="array" ref="A1059">INDEX(Sheet1!A:A,$F1059)</f>
        <v>F</v>
      </c>
      <c r="B1059" s="4" t="str" cm="1">
        <f t="array" ref="B1059">INDEX(Sheet1!B:B,$F1059)</f>
        <v>Pref Best NS</v>
      </c>
      <c r="C1059" s="4">
        <f t="shared" si="65"/>
        <v>57</v>
      </c>
      <c r="D1059" s="5" cm="1">
        <f t="array" aca="1" ref="D1059" ca="1">OFFSET(INDIRECT("'["&amp;$H1059&amp;"]"&amp;$I1059&amp;"'!"&amp;$J1059),$L1059,$M1059)*$K1059</f>
        <v>3.6000000000000003E-3</v>
      </c>
      <c r="F1059" s="4">
        <f t="shared" si="66"/>
        <v>12</v>
      </c>
      <c r="G1059" s="4" cm="1">
        <f t="array" ref="G1059">IF($C1059+$M1059&lt;16,INDEX(Sheet1!C:C,$F1059),$F1059)</f>
        <v>12</v>
      </c>
      <c r="H1059" s="4" t="str" cm="1">
        <f t="array" ref="H1059">INDEX(Sheet1!D:D,$G1059)</f>
        <v>2001-cso-preferred-class-structure-mortality-tables.xls</v>
      </c>
      <c r="I1059" s="4" t="str" cm="1">
        <f t="array" ref="I1059">INDEX(Sheet1!E:E,$G1059)</f>
        <v>A.1.b.ii</v>
      </c>
      <c r="J1059" s="4" t="str" cm="1">
        <f t="array" ref="J1059">INDEX(Sheet1!F:F,$G1059)</f>
        <v>B8</v>
      </c>
      <c r="K1059" s="4" cm="1">
        <f t="array" ref="K1059">INDEX(Sheet1!H:H,$G1059)</f>
        <v>1E-3</v>
      </c>
      <c r="L1059" s="4">
        <f t="shared" si="64"/>
        <v>57</v>
      </c>
      <c r="M1059" s="4">
        <f t="shared" si="67"/>
        <v>5</v>
      </c>
    </row>
    <row r="1060" spans="1:13">
      <c r="A1060" s="4" t="str" cm="1">
        <f t="array" ref="A1060">INDEX(Sheet1!A:A,$F1060)</f>
        <v>F</v>
      </c>
      <c r="B1060" s="4" t="str" cm="1">
        <f t="array" ref="B1060">INDEX(Sheet1!B:B,$F1060)</f>
        <v>Pref Best NS</v>
      </c>
      <c r="C1060" s="4">
        <f t="shared" si="65"/>
        <v>58</v>
      </c>
      <c r="D1060" s="5" cm="1">
        <f t="array" aca="1" ref="D1060" ca="1">OFFSET(INDIRECT("'["&amp;$H1060&amp;"]"&amp;$I1060&amp;"'!"&amp;$J1060),$L1060,$M1060)*$K1060</f>
        <v>3.8900000000000002E-3</v>
      </c>
      <c r="F1060" s="4">
        <f t="shared" si="66"/>
        <v>12</v>
      </c>
      <c r="G1060" s="4" cm="1">
        <f t="array" ref="G1060">IF($C1060+$M1060&lt;16,INDEX(Sheet1!C:C,$F1060),$F1060)</f>
        <v>12</v>
      </c>
      <c r="H1060" s="4" t="str" cm="1">
        <f t="array" ref="H1060">INDEX(Sheet1!D:D,$G1060)</f>
        <v>2001-cso-preferred-class-structure-mortality-tables.xls</v>
      </c>
      <c r="I1060" s="4" t="str" cm="1">
        <f t="array" ref="I1060">INDEX(Sheet1!E:E,$G1060)</f>
        <v>A.1.b.ii</v>
      </c>
      <c r="J1060" s="4" t="str" cm="1">
        <f t="array" ref="J1060">INDEX(Sheet1!F:F,$G1060)</f>
        <v>B8</v>
      </c>
      <c r="K1060" s="4" cm="1">
        <f t="array" ref="K1060">INDEX(Sheet1!H:H,$G1060)</f>
        <v>1E-3</v>
      </c>
      <c r="L1060" s="4">
        <f t="shared" si="64"/>
        <v>58</v>
      </c>
      <c r="M1060" s="4">
        <f t="shared" si="67"/>
        <v>5</v>
      </c>
    </row>
    <row r="1061" spans="1:13">
      <c r="A1061" s="4" t="str" cm="1">
        <f t="array" ref="A1061">INDEX(Sheet1!A:A,$F1061)</f>
        <v>F</v>
      </c>
      <c r="B1061" s="4" t="str" cm="1">
        <f t="array" ref="B1061">INDEX(Sheet1!B:B,$F1061)</f>
        <v>Pref Best NS</v>
      </c>
      <c r="C1061" s="4">
        <f t="shared" si="65"/>
        <v>59</v>
      </c>
      <c r="D1061" s="5" cm="1">
        <f t="array" aca="1" ref="D1061" ca="1">OFFSET(INDIRECT("'["&amp;$H1061&amp;"]"&amp;$I1061&amp;"'!"&amp;$J1061),$L1061,$M1061)*$K1061</f>
        <v>4.2000000000000006E-3</v>
      </c>
      <c r="F1061" s="4">
        <f t="shared" si="66"/>
        <v>12</v>
      </c>
      <c r="G1061" s="4" cm="1">
        <f t="array" ref="G1061">IF($C1061+$M1061&lt;16,INDEX(Sheet1!C:C,$F1061),$F1061)</f>
        <v>12</v>
      </c>
      <c r="H1061" s="4" t="str" cm="1">
        <f t="array" ref="H1061">INDEX(Sheet1!D:D,$G1061)</f>
        <v>2001-cso-preferred-class-structure-mortality-tables.xls</v>
      </c>
      <c r="I1061" s="4" t="str" cm="1">
        <f t="array" ref="I1061">INDEX(Sheet1!E:E,$G1061)</f>
        <v>A.1.b.ii</v>
      </c>
      <c r="J1061" s="4" t="str" cm="1">
        <f t="array" ref="J1061">INDEX(Sheet1!F:F,$G1061)</f>
        <v>B8</v>
      </c>
      <c r="K1061" s="4" cm="1">
        <f t="array" ref="K1061">INDEX(Sheet1!H:H,$G1061)</f>
        <v>1E-3</v>
      </c>
      <c r="L1061" s="4">
        <f t="shared" si="64"/>
        <v>59</v>
      </c>
      <c r="M1061" s="4">
        <f t="shared" si="67"/>
        <v>5</v>
      </c>
    </row>
    <row r="1062" spans="1:13">
      <c r="A1062" s="4" t="str" cm="1">
        <f t="array" ref="A1062">INDEX(Sheet1!A:A,$F1062)</f>
        <v>F</v>
      </c>
      <c r="B1062" s="4" t="str" cm="1">
        <f t="array" ref="B1062">INDEX(Sheet1!B:B,$F1062)</f>
        <v>Pref Best NS</v>
      </c>
      <c r="C1062" s="4">
        <f t="shared" si="65"/>
        <v>60</v>
      </c>
      <c r="D1062" s="5" cm="1">
        <f t="array" aca="1" ref="D1062" ca="1">OFFSET(INDIRECT("'["&amp;$H1062&amp;"]"&amp;$I1062&amp;"'!"&amp;$J1062),$L1062,$M1062)*$K1062</f>
        <v>4.5500000000000002E-3</v>
      </c>
      <c r="F1062" s="4">
        <f t="shared" si="66"/>
        <v>12</v>
      </c>
      <c r="G1062" s="4" cm="1">
        <f t="array" ref="G1062">IF($C1062+$M1062&lt;16,INDEX(Sheet1!C:C,$F1062),$F1062)</f>
        <v>12</v>
      </c>
      <c r="H1062" s="4" t="str" cm="1">
        <f t="array" ref="H1062">INDEX(Sheet1!D:D,$G1062)</f>
        <v>2001-cso-preferred-class-structure-mortality-tables.xls</v>
      </c>
      <c r="I1062" s="4" t="str" cm="1">
        <f t="array" ref="I1062">INDEX(Sheet1!E:E,$G1062)</f>
        <v>A.1.b.ii</v>
      </c>
      <c r="J1062" s="4" t="str" cm="1">
        <f t="array" ref="J1062">INDEX(Sheet1!F:F,$G1062)</f>
        <v>B8</v>
      </c>
      <c r="K1062" s="4" cm="1">
        <f t="array" ref="K1062">INDEX(Sheet1!H:H,$G1062)</f>
        <v>1E-3</v>
      </c>
      <c r="L1062" s="4">
        <f t="shared" si="64"/>
        <v>60</v>
      </c>
      <c r="M1062" s="4">
        <f t="shared" si="67"/>
        <v>5</v>
      </c>
    </row>
    <row r="1063" spans="1:13">
      <c r="A1063" s="4" t="str" cm="1">
        <f t="array" ref="A1063">INDEX(Sheet1!A:A,$F1063)</f>
        <v>F</v>
      </c>
      <c r="B1063" s="4" t="str" cm="1">
        <f t="array" ref="B1063">INDEX(Sheet1!B:B,$F1063)</f>
        <v>Pref Best NS</v>
      </c>
      <c r="C1063" s="4">
        <f t="shared" si="65"/>
        <v>61</v>
      </c>
      <c r="D1063" s="5" cm="1">
        <f t="array" aca="1" ref="D1063" ca="1">OFFSET(INDIRECT("'["&amp;$H1063&amp;"]"&amp;$I1063&amp;"'!"&amp;$J1063),$L1063,$M1063)*$K1063</f>
        <v>4.9000000000000007E-3</v>
      </c>
      <c r="F1063" s="4">
        <f t="shared" si="66"/>
        <v>12</v>
      </c>
      <c r="G1063" s="4" cm="1">
        <f t="array" ref="G1063">IF($C1063+$M1063&lt;16,INDEX(Sheet1!C:C,$F1063),$F1063)</f>
        <v>12</v>
      </c>
      <c r="H1063" s="4" t="str" cm="1">
        <f t="array" ref="H1063">INDEX(Sheet1!D:D,$G1063)</f>
        <v>2001-cso-preferred-class-structure-mortality-tables.xls</v>
      </c>
      <c r="I1063" s="4" t="str" cm="1">
        <f t="array" ref="I1063">INDEX(Sheet1!E:E,$G1063)</f>
        <v>A.1.b.ii</v>
      </c>
      <c r="J1063" s="4" t="str" cm="1">
        <f t="array" ref="J1063">INDEX(Sheet1!F:F,$G1063)</f>
        <v>B8</v>
      </c>
      <c r="K1063" s="4" cm="1">
        <f t="array" ref="K1063">INDEX(Sheet1!H:H,$G1063)</f>
        <v>1E-3</v>
      </c>
      <c r="L1063" s="4">
        <f t="shared" si="64"/>
        <v>61</v>
      </c>
      <c r="M1063" s="4">
        <f t="shared" si="67"/>
        <v>5</v>
      </c>
    </row>
    <row r="1064" spans="1:13">
      <c r="A1064" s="4" t="str" cm="1">
        <f t="array" ref="A1064">INDEX(Sheet1!A:A,$F1064)</f>
        <v>F</v>
      </c>
      <c r="B1064" s="4" t="str" cm="1">
        <f t="array" ref="B1064">INDEX(Sheet1!B:B,$F1064)</f>
        <v>Pref Best NS</v>
      </c>
      <c r="C1064" s="4">
        <f t="shared" si="65"/>
        <v>62</v>
      </c>
      <c r="D1064" s="5" cm="1">
        <f t="array" aca="1" ref="D1064" ca="1">OFFSET(INDIRECT("'["&amp;$H1064&amp;"]"&amp;$I1064&amp;"'!"&amp;$J1064),$L1064,$M1064)*$K1064</f>
        <v>5.2699999999999995E-3</v>
      </c>
      <c r="F1064" s="4">
        <f t="shared" si="66"/>
        <v>12</v>
      </c>
      <c r="G1064" s="4" cm="1">
        <f t="array" ref="G1064">IF($C1064+$M1064&lt;16,INDEX(Sheet1!C:C,$F1064),$F1064)</f>
        <v>12</v>
      </c>
      <c r="H1064" s="4" t="str" cm="1">
        <f t="array" ref="H1064">INDEX(Sheet1!D:D,$G1064)</f>
        <v>2001-cso-preferred-class-structure-mortality-tables.xls</v>
      </c>
      <c r="I1064" s="4" t="str" cm="1">
        <f t="array" ref="I1064">INDEX(Sheet1!E:E,$G1064)</f>
        <v>A.1.b.ii</v>
      </c>
      <c r="J1064" s="4" t="str" cm="1">
        <f t="array" ref="J1064">INDEX(Sheet1!F:F,$G1064)</f>
        <v>B8</v>
      </c>
      <c r="K1064" s="4" cm="1">
        <f t="array" ref="K1064">INDEX(Sheet1!H:H,$G1064)</f>
        <v>1E-3</v>
      </c>
      <c r="L1064" s="4">
        <f t="shared" si="64"/>
        <v>62</v>
      </c>
      <c r="M1064" s="4">
        <f t="shared" si="67"/>
        <v>5</v>
      </c>
    </row>
    <row r="1065" spans="1:13">
      <c r="A1065" s="4" t="str" cm="1">
        <f t="array" ref="A1065">INDEX(Sheet1!A:A,$F1065)</f>
        <v>F</v>
      </c>
      <c r="B1065" s="4" t="str" cm="1">
        <f t="array" ref="B1065">INDEX(Sheet1!B:B,$F1065)</f>
        <v>Pref Best NS</v>
      </c>
      <c r="C1065" s="4">
        <f t="shared" si="65"/>
        <v>63</v>
      </c>
      <c r="D1065" s="5" cm="1">
        <f t="array" aca="1" ref="D1065" ca="1">OFFSET(INDIRECT("'["&amp;$H1065&amp;"]"&amp;$I1065&amp;"'!"&amp;$J1065),$L1065,$M1065)*$K1065</f>
        <v>5.64E-3</v>
      </c>
      <c r="F1065" s="4">
        <f t="shared" si="66"/>
        <v>12</v>
      </c>
      <c r="G1065" s="4" cm="1">
        <f t="array" ref="G1065">IF($C1065+$M1065&lt;16,INDEX(Sheet1!C:C,$F1065),$F1065)</f>
        <v>12</v>
      </c>
      <c r="H1065" s="4" t="str" cm="1">
        <f t="array" ref="H1065">INDEX(Sheet1!D:D,$G1065)</f>
        <v>2001-cso-preferred-class-structure-mortality-tables.xls</v>
      </c>
      <c r="I1065" s="4" t="str" cm="1">
        <f t="array" ref="I1065">INDEX(Sheet1!E:E,$G1065)</f>
        <v>A.1.b.ii</v>
      </c>
      <c r="J1065" s="4" t="str" cm="1">
        <f t="array" ref="J1065">INDEX(Sheet1!F:F,$G1065)</f>
        <v>B8</v>
      </c>
      <c r="K1065" s="4" cm="1">
        <f t="array" ref="K1065">INDEX(Sheet1!H:H,$G1065)</f>
        <v>1E-3</v>
      </c>
      <c r="L1065" s="4">
        <f t="shared" si="64"/>
        <v>63</v>
      </c>
      <c r="M1065" s="4">
        <f t="shared" si="67"/>
        <v>5</v>
      </c>
    </row>
    <row r="1066" spans="1:13">
      <c r="A1066" s="4" t="str" cm="1">
        <f t="array" ref="A1066">INDEX(Sheet1!A:A,$F1066)</f>
        <v>F</v>
      </c>
      <c r="B1066" s="4" t="str" cm="1">
        <f t="array" ref="B1066">INDEX(Sheet1!B:B,$F1066)</f>
        <v>Pref Best NS</v>
      </c>
      <c r="C1066" s="4">
        <f t="shared" si="65"/>
        <v>64</v>
      </c>
      <c r="D1066" s="5" cm="1">
        <f t="array" aca="1" ref="D1066" ca="1">OFFSET(INDIRECT("'["&amp;$H1066&amp;"]"&amp;$I1066&amp;"'!"&amp;$J1066),$L1066,$M1066)*$K1066</f>
        <v>6.0300000000000006E-3</v>
      </c>
      <c r="F1066" s="4">
        <f t="shared" si="66"/>
        <v>12</v>
      </c>
      <c r="G1066" s="4" cm="1">
        <f t="array" ref="G1066">IF($C1066+$M1066&lt;16,INDEX(Sheet1!C:C,$F1066),$F1066)</f>
        <v>12</v>
      </c>
      <c r="H1066" s="4" t="str" cm="1">
        <f t="array" ref="H1066">INDEX(Sheet1!D:D,$G1066)</f>
        <v>2001-cso-preferred-class-structure-mortality-tables.xls</v>
      </c>
      <c r="I1066" s="4" t="str" cm="1">
        <f t="array" ref="I1066">INDEX(Sheet1!E:E,$G1066)</f>
        <v>A.1.b.ii</v>
      </c>
      <c r="J1066" s="4" t="str" cm="1">
        <f t="array" ref="J1066">INDEX(Sheet1!F:F,$G1066)</f>
        <v>B8</v>
      </c>
      <c r="K1066" s="4" cm="1">
        <f t="array" ref="K1066">INDEX(Sheet1!H:H,$G1066)</f>
        <v>1E-3</v>
      </c>
      <c r="L1066" s="4">
        <f t="shared" si="64"/>
        <v>64</v>
      </c>
      <c r="M1066" s="4">
        <f t="shared" si="67"/>
        <v>5</v>
      </c>
    </row>
    <row r="1067" spans="1:13">
      <c r="A1067" s="4" t="str" cm="1">
        <f t="array" ref="A1067">INDEX(Sheet1!A:A,$F1067)</f>
        <v>F</v>
      </c>
      <c r="B1067" s="4" t="str" cm="1">
        <f t="array" ref="B1067">INDEX(Sheet1!B:B,$F1067)</f>
        <v>Pref Best NS</v>
      </c>
      <c r="C1067" s="4">
        <f t="shared" si="65"/>
        <v>65</v>
      </c>
      <c r="D1067" s="5" cm="1">
        <f t="array" aca="1" ref="D1067" ca="1">OFFSET(INDIRECT("'["&amp;$H1067&amp;"]"&amp;$I1067&amp;"'!"&amp;$J1067),$L1067,$M1067)*$K1067</f>
        <v>6.45E-3</v>
      </c>
      <c r="F1067" s="4">
        <f t="shared" si="66"/>
        <v>12</v>
      </c>
      <c r="G1067" s="4" cm="1">
        <f t="array" ref="G1067">IF($C1067+$M1067&lt;16,INDEX(Sheet1!C:C,$F1067),$F1067)</f>
        <v>12</v>
      </c>
      <c r="H1067" s="4" t="str" cm="1">
        <f t="array" ref="H1067">INDEX(Sheet1!D:D,$G1067)</f>
        <v>2001-cso-preferred-class-structure-mortality-tables.xls</v>
      </c>
      <c r="I1067" s="4" t="str" cm="1">
        <f t="array" ref="I1067">INDEX(Sheet1!E:E,$G1067)</f>
        <v>A.1.b.ii</v>
      </c>
      <c r="J1067" s="4" t="str" cm="1">
        <f t="array" ref="J1067">INDEX(Sheet1!F:F,$G1067)</f>
        <v>B8</v>
      </c>
      <c r="K1067" s="4" cm="1">
        <f t="array" ref="K1067">INDEX(Sheet1!H:H,$G1067)</f>
        <v>1E-3</v>
      </c>
      <c r="L1067" s="4">
        <f t="shared" si="64"/>
        <v>65</v>
      </c>
      <c r="M1067" s="4">
        <f t="shared" si="67"/>
        <v>5</v>
      </c>
    </row>
    <row r="1068" spans="1:13">
      <c r="A1068" s="4" t="str" cm="1">
        <f t="array" ref="A1068">INDEX(Sheet1!A:A,$F1068)</f>
        <v>F</v>
      </c>
      <c r="B1068" s="4" t="str" cm="1">
        <f t="array" ref="B1068">INDEX(Sheet1!B:B,$F1068)</f>
        <v>Pref Best NS</v>
      </c>
      <c r="C1068" s="4">
        <f t="shared" si="65"/>
        <v>66</v>
      </c>
      <c r="D1068" s="5" cm="1">
        <f t="array" aca="1" ref="D1068" ca="1">OFFSET(INDIRECT("'["&amp;$H1068&amp;"]"&amp;$I1068&amp;"'!"&amp;$J1068),$L1068,$M1068)*$K1068</f>
        <v>6.9299999999999995E-3</v>
      </c>
      <c r="F1068" s="4">
        <f t="shared" si="66"/>
        <v>12</v>
      </c>
      <c r="G1068" s="4" cm="1">
        <f t="array" ref="G1068">IF($C1068+$M1068&lt;16,INDEX(Sheet1!C:C,$F1068),$F1068)</f>
        <v>12</v>
      </c>
      <c r="H1068" s="4" t="str" cm="1">
        <f t="array" ref="H1068">INDEX(Sheet1!D:D,$G1068)</f>
        <v>2001-cso-preferred-class-structure-mortality-tables.xls</v>
      </c>
      <c r="I1068" s="4" t="str" cm="1">
        <f t="array" ref="I1068">INDEX(Sheet1!E:E,$G1068)</f>
        <v>A.1.b.ii</v>
      </c>
      <c r="J1068" s="4" t="str" cm="1">
        <f t="array" ref="J1068">INDEX(Sheet1!F:F,$G1068)</f>
        <v>B8</v>
      </c>
      <c r="K1068" s="4" cm="1">
        <f t="array" ref="K1068">INDEX(Sheet1!H:H,$G1068)</f>
        <v>1E-3</v>
      </c>
      <c r="L1068" s="4">
        <f t="shared" si="64"/>
        <v>66</v>
      </c>
      <c r="M1068" s="4">
        <f t="shared" si="67"/>
        <v>5</v>
      </c>
    </row>
    <row r="1069" spans="1:13">
      <c r="A1069" s="4" t="str" cm="1">
        <f t="array" ref="A1069">INDEX(Sheet1!A:A,$F1069)</f>
        <v>F</v>
      </c>
      <c r="B1069" s="4" t="str" cm="1">
        <f t="array" ref="B1069">INDEX(Sheet1!B:B,$F1069)</f>
        <v>Pref Best NS</v>
      </c>
      <c r="C1069" s="4">
        <f t="shared" si="65"/>
        <v>67</v>
      </c>
      <c r="D1069" s="5" cm="1">
        <f t="array" aca="1" ref="D1069" ca="1">OFFSET(INDIRECT("'["&amp;$H1069&amp;"]"&amp;$I1069&amp;"'!"&amp;$J1069),$L1069,$M1069)*$K1069</f>
        <v>7.4999999999999997E-3</v>
      </c>
      <c r="F1069" s="4">
        <f t="shared" si="66"/>
        <v>12</v>
      </c>
      <c r="G1069" s="4" cm="1">
        <f t="array" ref="G1069">IF($C1069+$M1069&lt;16,INDEX(Sheet1!C:C,$F1069),$F1069)</f>
        <v>12</v>
      </c>
      <c r="H1069" s="4" t="str" cm="1">
        <f t="array" ref="H1069">INDEX(Sheet1!D:D,$G1069)</f>
        <v>2001-cso-preferred-class-structure-mortality-tables.xls</v>
      </c>
      <c r="I1069" s="4" t="str" cm="1">
        <f t="array" ref="I1069">INDEX(Sheet1!E:E,$G1069)</f>
        <v>A.1.b.ii</v>
      </c>
      <c r="J1069" s="4" t="str" cm="1">
        <f t="array" ref="J1069">INDEX(Sheet1!F:F,$G1069)</f>
        <v>B8</v>
      </c>
      <c r="K1069" s="4" cm="1">
        <f t="array" ref="K1069">INDEX(Sheet1!H:H,$G1069)</f>
        <v>1E-3</v>
      </c>
      <c r="L1069" s="4">
        <f t="shared" si="64"/>
        <v>67</v>
      </c>
      <c r="M1069" s="4">
        <f t="shared" si="67"/>
        <v>5</v>
      </c>
    </row>
    <row r="1070" spans="1:13">
      <c r="A1070" s="4" t="str" cm="1">
        <f t="array" ref="A1070">INDEX(Sheet1!A:A,$F1070)</f>
        <v>F</v>
      </c>
      <c r="B1070" s="4" t="str" cm="1">
        <f t="array" ref="B1070">INDEX(Sheet1!B:B,$F1070)</f>
        <v>Pref Best NS</v>
      </c>
      <c r="C1070" s="4">
        <f t="shared" si="65"/>
        <v>68</v>
      </c>
      <c r="D1070" s="5" cm="1">
        <f t="array" aca="1" ref="D1070" ca="1">OFFSET(INDIRECT("'["&amp;$H1070&amp;"]"&amp;$I1070&amp;"'!"&amp;$J1070),$L1070,$M1070)*$K1070</f>
        <v>8.1700000000000002E-3</v>
      </c>
      <c r="F1070" s="4">
        <f t="shared" si="66"/>
        <v>12</v>
      </c>
      <c r="G1070" s="4" cm="1">
        <f t="array" ref="G1070">IF($C1070+$M1070&lt;16,INDEX(Sheet1!C:C,$F1070),$F1070)</f>
        <v>12</v>
      </c>
      <c r="H1070" s="4" t="str" cm="1">
        <f t="array" ref="H1070">INDEX(Sheet1!D:D,$G1070)</f>
        <v>2001-cso-preferred-class-structure-mortality-tables.xls</v>
      </c>
      <c r="I1070" s="4" t="str" cm="1">
        <f t="array" ref="I1070">INDEX(Sheet1!E:E,$G1070)</f>
        <v>A.1.b.ii</v>
      </c>
      <c r="J1070" s="4" t="str" cm="1">
        <f t="array" ref="J1070">INDEX(Sheet1!F:F,$G1070)</f>
        <v>B8</v>
      </c>
      <c r="K1070" s="4" cm="1">
        <f t="array" ref="K1070">INDEX(Sheet1!H:H,$G1070)</f>
        <v>1E-3</v>
      </c>
      <c r="L1070" s="4">
        <f t="shared" si="64"/>
        <v>68</v>
      </c>
      <c r="M1070" s="4">
        <f t="shared" si="67"/>
        <v>5</v>
      </c>
    </row>
    <row r="1071" spans="1:13">
      <c r="A1071" s="4" t="str" cm="1">
        <f t="array" ref="A1071">INDEX(Sheet1!A:A,$F1071)</f>
        <v>F</v>
      </c>
      <c r="B1071" s="4" t="str" cm="1">
        <f t="array" ref="B1071">INDEX(Sheet1!B:B,$F1071)</f>
        <v>Pref Best NS</v>
      </c>
      <c r="C1071" s="4">
        <f t="shared" si="65"/>
        <v>69</v>
      </c>
      <c r="D1071" s="5" cm="1">
        <f t="array" aca="1" ref="D1071" ca="1">OFFSET(INDIRECT("'["&amp;$H1071&amp;"]"&amp;$I1071&amp;"'!"&amp;$J1071),$L1071,$M1071)*$K1071</f>
        <v>8.9700000000000005E-3</v>
      </c>
      <c r="F1071" s="4">
        <f t="shared" si="66"/>
        <v>12</v>
      </c>
      <c r="G1071" s="4" cm="1">
        <f t="array" ref="G1071">IF($C1071+$M1071&lt;16,INDEX(Sheet1!C:C,$F1071),$F1071)</f>
        <v>12</v>
      </c>
      <c r="H1071" s="4" t="str" cm="1">
        <f t="array" ref="H1071">INDEX(Sheet1!D:D,$G1071)</f>
        <v>2001-cso-preferred-class-structure-mortality-tables.xls</v>
      </c>
      <c r="I1071" s="4" t="str" cm="1">
        <f t="array" ref="I1071">INDEX(Sheet1!E:E,$G1071)</f>
        <v>A.1.b.ii</v>
      </c>
      <c r="J1071" s="4" t="str" cm="1">
        <f t="array" ref="J1071">INDEX(Sheet1!F:F,$G1071)</f>
        <v>B8</v>
      </c>
      <c r="K1071" s="4" cm="1">
        <f t="array" ref="K1071">INDEX(Sheet1!H:H,$G1071)</f>
        <v>1E-3</v>
      </c>
      <c r="L1071" s="4">
        <f t="shared" si="64"/>
        <v>69</v>
      </c>
      <c r="M1071" s="4">
        <f t="shared" si="67"/>
        <v>5</v>
      </c>
    </row>
    <row r="1072" spans="1:13">
      <c r="A1072" s="4" t="str" cm="1">
        <f t="array" ref="A1072">INDEX(Sheet1!A:A,$F1072)</f>
        <v>F</v>
      </c>
      <c r="B1072" s="4" t="str" cm="1">
        <f t="array" ref="B1072">INDEX(Sheet1!B:B,$F1072)</f>
        <v>Pref Best NS</v>
      </c>
      <c r="C1072" s="4">
        <f t="shared" si="65"/>
        <v>70</v>
      </c>
      <c r="D1072" s="5" cm="1">
        <f t="array" aca="1" ref="D1072" ca="1">OFFSET(INDIRECT("'["&amp;$H1072&amp;"]"&amp;$I1072&amp;"'!"&amp;$J1072),$L1072,$M1072)*$K1072</f>
        <v>9.92E-3</v>
      </c>
      <c r="F1072" s="4">
        <f t="shared" si="66"/>
        <v>12</v>
      </c>
      <c r="G1072" s="4" cm="1">
        <f t="array" ref="G1072">IF($C1072+$M1072&lt;16,INDEX(Sheet1!C:C,$F1072),$F1072)</f>
        <v>12</v>
      </c>
      <c r="H1072" s="4" t="str" cm="1">
        <f t="array" ref="H1072">INDEX(Sheet1!D:D,$G1072)</f>
        <v>2001-cso-preferred-class-structure-mortality-tables.xls</v>
      </c>
      <c r="I1072" s="4" t="str" cm="1">
        <f t="array" ref="I1072">INDEX(Sheet1!E:E,$G1072)</f>
        <v>A.1.b.ii</v>
      </c>
      <c r="J1072" s="4" t="str" cm="1">
        <f t="array" ref="J1072">INDEX(Sheet1!F:F,$G1072)</f>
        <v>B8</v>
      </c>
      <c r="K1072" s="4" cm="1">
        <f t="array" ref="K1072">INDEX(Sheet1!H:H,$G1072)</f>
        <v>1E-3</v>
      </c>
      <c r="L1072" s="4">
        <f t="shared" si="64"/>
        <v>70</v>
      </c>
      <c r="M1072" s="4">
        <f t="shared" si="67"/>
        <v>5</v>
      </c>
    </row>
    <row r="1073" spans="1:13">
      <c r="A1073" s="4" t="str" cm="1">
        <f t="array" ref="A1073">INDEX(Sheet1!A:A,$F1073)</f>
        <v>F</v>
      </c>
      <c r="B1073" s="4" t="str" cm="1">
        <f t="array" ref="B1073">INDEX(Sheet1!B:B,$F1073)</f>
        <v>Pref Best NS</v>
      </c>
      <c r="C1073" s="4">
        <f t="shared" si="65"/>
        <v>71</v>
      </c>
      <c r="D1073" s="5" cm="1">
        <f t="array" aca="1" ref="D1073" ca="1">OFFSET(INDIRECT("'["&amp;$H1073&amp;"]"&amp;$I1073&amp;"'!"&amp;$J1073),$L1073,$M1073)*$K1073</f>
        <v>1.1039999999999999E-2</v>
      </c>
      <c r="F1073" s="4">
        <f t="shared" si="66"/>
        <v>12</v>
      </c>
      <c r="G1073" s="4" cm="1">
        <f t="array" ref="G1073">IF($C1073+$M1073&lt;16,INDEX(Sheet1!C:C,$F1073),$F1073)</f>
        <v>12</v>
      </c>
      <c r="H1073" s="4" t="str" cm="1">
        <f t="array" ref="H1073">INDEX(Sheet1!D:D,$G1073)</f>
        <v>2001-cso-preferred-class-structure-mortality-tables.xls</v>
      </c>
      <c r="I1073" s="4" t="str" cm="1">
        <f t="array" ref="I1073">INDEX(Sheet1!E:E,$G1073)</f>
        <v>A.1.b.ii</v>
      </c>
      <c r="J1073" s="4" t="str" cm="1">
        <f t="array" ref="J1073">INDEX(Sheet1!F:F,$G1073)</f>
        <v>B8</v>
      </c>
      <c r="K1073" s="4" cm="1">
        <f t="array" ref="K1073">INDEX(Sheet1!H:H,$G1073)</f>
        <v>1E-3</v>
      </c>
      <c r="L1073" s="4">
        <f t="shared" si="64"/>
        <v>71</v>
      </c>
      <c r="M1073" s="4">
        <f t="shared" si="67"/>
        <v>5</v>
      </c>
    </row>
    <row r="1074" spans="1:13">
      <c r="A1074" s="4" t="str" cm="1">
        <f t="array" ref="A1074">INDEX(Sheet1!A:A,$F1074)</f>
        <v>F</v>
      </c>
      <c r="B1074" s="4" t="str" cm="1">
        <f t="array" ref="B1074">INDEX(Sheet1!B:B,$F1074)</f>
        <v>Pref Best NS</v>
      </c>
      <c r="C1074" s="4">
        <f t="shared" si="65"/>
        <v>72</v>
      </c>
      <c r="D1074" s="5" cm="1">
        <f t="array" aca="1" ref="D1074" ca="1">OFFSET(INDIRECT("'["&amp;$H1074&amp;"]"&amp;$I1074&amp;"'!"&amp;$J1074),$L1074,$M1074)*$K1074</f>
        <v>1.2359999999999999E-2</v>
      </c>
      <c r="F1074" s="4">
        <f t="shared" si="66"/>
        <v>12</v>
      </c>
      <c r="G1074" s="4" cm="1">
        <f t="array" ref="G1074">IF($C1074+$M1074&lt;16,INDEX(Sheet1!C:C,$F1074),$F1074)</f>
        <v>12</v>
      </c>
      <c r="H1074" s="4" t="str" cm="1">
        <f t="array" ref="H1074">INDEX(Sheet1!D:D,$G1074)</f>
        <v>2001-cso-preferred-class-structure-mortality-tables.xls</v>
      </c>
      <c r="I1074" s="4" t="str" cm="1">
        <f t="array" ref="I1074">INDEX(Sheet1!E:E,$G1074)</f>
        <v>A.1.b.ii</v>
      </c>
      <c r="J1074" s="4" t="str" cm="1">
        <f t="array" ref="J1074">INDEX(Sheet1!F:F,$G1074)</f>
        <v>B8</v>
      </c>
      <c r="K1074" s="4" cm="1">
        <f t="array" ref="K1074">INDEX(Sheet1!H:H,$G1074)</f>
        <v>1E-3</v>
      </c>
      <c r="L1074" s="4">
        <f t="shared" si="64"/>
        <v>72</v>
      </c>
      <c r="M1074" s="4">
        <f t="shared" si="67"/>
        <v>5</v>
      </c>
    </row>
    <row r="1075" spans="1:13">
      <c r="A1075" s="4" t="str" cm="1">
        <f t="array" ref="A1075">INDEX(Sheet1!A:A,$F1075)</f>
        <v>F</v>
      </c>
      <c r="B1075" s="4" t="str" cm="1">
        <f t="array" ref="B1075">INDEX(Sheet1!B:B,$F1075)</f>
        <v>Pref Best NS</v>
      </c>
      <c r="C1075" s="4">
        <f t="shared" si="65"/>
        <v>73</v>
      </c>
      <c r="D1075" s="5" cm="1">
        <f t="array" aca="1" ref="D1075" ca="1">OFFSET(INDIRECT("'["&amp;$H1075&amp;"]"&amp;$I1075&amp;"'!"&amp;$J1075),$L1075,$M1075)*$K1075</f>
        <v>1.3900000000000001E-2</v>
      </c>
      <c r="F1075" s="4">
        <f t="shared" si="66"/>
        <v>12</v>
      </c>
      <c r="G1075" s="4" cm="1">
        <f t="array" ref="G1075">IF($C1075+$M1075&lt;16,INDEX(Sheet1!C:C,$F1075),$F1075)</f>
        <v>12</v>
      </c>
      <c r="H1075" s="4" t="str" cm="1">
        <f t="array" ref="H1075">INDEX(Sheet1!D:D,$G1075)</f>
        <v>2001-cso-preferred-class-structure-mortality-tables.xls</v>
      </c>
      <c r="I1075" s="4" t="str" cm="1">
        <f t="array" ref="I1075">INDEX(Sheet1!E:E,$G1075)</f>
        <v>A.1.b.ii</v>
      </c>
      <c r="J1075" s="4" t="str" cm="1">
        <f t="array" ref="J1075">INDEX(Sheet1!F:F,$G1075)</f>
        <v>B8</v>
      </c>
      <c r="K1075" s="4" cm="1">
        <f t="array" ref="K1075">INDEX(Sheet1!H:H,$G1075)</f>
        <v>1E-3</v>
      </c>
      <c r="L1075" s="4">
        <f t="shared" si="64"/>
        <v>73</v>
      </c>
      <c r="M1075" s="4">
        <f t="shared" si="67"/>
        <v>5</v>
      </c>
    </row>
    <row r="1076" spans="1:13">
      <c r="A1076" s="4" t="str" cm="1">
        <f t="array" ref="A1076">INDEX(Sheet1!A:A,$F1076)</f>
        <v>F</v>
      </c>
      <c r="B1076" s="4" t="str" cm="1">
        <f t="array" ref="B1076">INDEX(Sheet1!B:B,$F1076)</f>
        <v>Pref Best NS</v>
      </c>
      <c r="C1076" s="4">
        <f t="shared" si="65"/>
        <v>74</v>
      </c>
      <c r="D1076" s="5" cm="1">
        <f t="array" aca="1" ref="D1076" ca="1">OFFSET(INDIRECT("'["&amp;$H1076&amp;"]"&amp;$I1076&amp;"'!"&amp;$J1076),$L1076,$M1076)*$K1076</f>
        <v>1.5679999999999999E-2</v>
      </c>
      <c r="F1076" s="4">
        <f t="shared" si="66"/>
        <v>12</v>
      </c>
      <c r="G1076" s="4" cm="1">
        <f t="array" ref="G1076">IF($C1076+$M1076&lt;16,INDEX(Sheet1!C:C,$F1076),$F1076)</f>
        <v>12</v>
      </c>
      <c r="H1076" s="4" t="str" cm="1">
        <f t="array" ref="H1076">INDEX(Sheet1!D:D,$G1076)</f>
        <v>2001-cso-preferred-class-structure-mortality-tables.xls</v>
      </c>
      <c r="I1076" s="4" t="str" cm="1">
        <f t="array" ref="I1076">INDEX(Sheet1!E:E,$G1076)</f>
        <v>A.1.b.ii</v>
      </c>
      <c r="J1076" s="4" t="str" cm="1">
        <f t="array" ref="J1076">INDEX(Sheet1!F:F,$G1076)</f>
        <v>B8</v>
      </c>
      <c r="K1076" s="4" cm="1">
        <f t="array" ref="K1076">INDEX(Sheet1!H:H,$G1076)</f>
        <v>1E-3</v>
      </c>
      <c r="L1076" s="4">
        <f t="shared" si="64"/>
        <v>74</v>
      </c>
      <c r="M1076" s="4">
        <f t="shared" si="67"/>
        <v>5</v>
      </c>
    </row>
    <row r="1077" spans="1:13">
      <c r="A1077" s="4" t="str" cm="1">
        <f t="array" ref="A1077">INDEX(Sheet1!A:A,$F1077)</f>
        <v>F</v>
      </c>
      <c r="B1077" s="4" t="str" cm="1">
        <f t="array" ref="B1077">INDEX(Sheet1!B:B,$F1077)</f>
        <v>Pref Best NS</v>
      </c>
      <c r="C1077" s="4">
        <f t="shared" si="65"/>
        <v>75</v>
      </c>
      <c r="D1077" s="5" cm="1">
        <f t="array" aca="1" ref="D1077" ca="1">OFFSET(INDIRECT("'["&amp;$H1077&amp;"]"&amp;$I1077&amp;"'!"&amp;$J1077),$L1077,$M1077)*$K1077</f>
        <v>1.7770000000000001E-2</v>
      </c>
      <c r="F1077" s="4">
        <f t="shared" si="66"/>
        <v>12</v>
      </c>
      <c r="G1077" s="4" cm="1">
        <f t="array" ref="G1077">IF($C1077+$M1077&lt;16,INDEX(Sheet1!C:C,$F1077),$F1077)</f>
        <v>12</v>
      </c>
      <c r="H1077" s="4" t="str" cm="1">
        <f t="array" ref="H1077">INDEX(Sheet1!D:D,$G1077)</f>
        <v>2001-cso-preferred-class-structure-mortality-tables.xls</v>
      </c>
      <c r="I1077" s="4" t="str" cm="1">
        <f t="array" ref="I1077">INDEX(Sheet1!E:E,$G1077)</f>
        <v>A.1.b.ii</v>
      </c>
      <c r="J1077" s="4" t="str" cm="1">
        <f t="array" ref="J1077">INDEX(Sheet1!F:F,$G1077)</f>
        <v>B8</v>
      </c>
      <c r="K1077" s="4" cm="1">
        <f t="array" ref="K1077">INDEX(Sheet1!H:H,$G1077)</f>
        <v>1E-3</v>
      </c>
      <c r="L1077" s="4">
        <f t="shared" si="64"/>
        <v>75</v>
      </c>
      <c r="M1077" s="4">
        <f t="shared" si="67"/>
        <v>5</v>
      </c>
    </row>
    <row r="1078" spans="1:13">
      <c r="A1078" s="4" t="str" cm="1">
        <f t="array" ref="A1078">INDEX(Sheet1!A:A,$F1078)</f>
        <v>F</v>
      </c>
      <c r="B1078" s="4" t="str" cm="1">
        <f t="array" ref="B1078">INDEX(Sheet1!B:B,$F1078)</f>
        <v>Pref Best NS</v>
      </c>
      <c r="C1078" s="4">
        <f t="shared" si="65"/>
        <v>76</v>
      </c>
      <c r="D1078" s="5" cm="1">
        <f t="array" aca="1" ref="D1078" ca="1">OFFSET(INDIRECT("'["&amp;$H1078&amp;"]"&amp;$I1078&amp;"'!"&amp;$J1078),$L1078,$M1078)*$K1078</f>
        <v>2.0109999999999999E-2</v>
      </c>
      <c r="F1078" s="4">
        <f t="shared" si="66"/>
        <v>12</v>
      </c>
      <c r="G1078" s="4" cm="1">
        <f t="array" ref="G1078">IF($C1078+$M1078&lt;16,INDEX(Sheet1!C:C,$F1078),$F1078)</f>
        <v>12</v>
      </c>
      <c r="H1078" s="4" t="str" cm="1">
        <f t="array" ref="H1078">INDEX(Sheet1!D:D,$G1078)</f>
        <v>2001-cso-preferred-class-structure-mortality-tables.xls</v>
      </c>
      <c r="I1078" s="4" t="str" cm="1">
        <f t="array" ref="I1078">INDEX(Sheet1!E:E,$G1078)</f>
        <v>A.1.b.ii</v>
      </c>
      <c r="J1078" s="4" t="str" cm="1">
        <f t="array" ref="J1078">INDEX(Sheet1!F:F,$G1078)</f>
        <v>B8</v>
      </c>
      <c r="K1078" s="4" cm="1">
        <f t="array" ref="K1078">INDEX(Sheet1!H:H,$G1078)</f>
        <v>1E-3</v>
      </c>
      <c r="L1078" s="4">
        <f t="shared" si="64"/>
        <v>76</v>
      </c>
      <c r="M1078" s="4">
        <f t="shared" si="67"/>
        <v>5</v>
      </c>
    </row>
    <row r="1079" spans="1:13">
      <c r="A1079" s="4" t="str" cm="1">
        <f t="array" ref="A1079">INDEX(Sheet1!A:A,$F1079)</f>
        <v>F</v>
      </c>
      <c r="B1079" s="4" t="str" cm="1">
        <f t="array" ref="B1079">INDEX(Sheet1!B:B,$F1079)</f>
        <v>Pref Best NS</v>
      </c>
      <c r="C1079" s="4">
        <f t="shared" si="65"/>
        <v>77</v>
      </c>
      <c r="D1079" s="5" cm="1">
        <f t="array" aca="1" ref="D1079" ca="1">OFFSET(INDIRECT("'["&amp;$H1079&amp;"]"&amp;$I1079&amp;"'!"&amp;$J1079),$L1079,$M1079)*$K1079</f>
        <v>2.2780000000000002E-2</v>
      </c>
      <c r="F1079" s="4">
        <f t="shared" si="66"/>
        <v>12</v>
      </c>
      <c r="G1079" s="4" cm="1">
        <f t="array" ref="G1079">IF($C1079+$M1079&lt;16,INDEX(Sheet1!C:C,$F1079),$F1079)</f>
        <v>12</v>
      </c>
      <c r="H1079" s="4" t="str" cm="1">
        <f t="array" ref="H1079">INDEX(Sheet1!D:D,$G1079)</f>
        <v>2001-cso-preferred-class-structure-mortality-tables.xls</v>
      </c>
      <c r="I1079" s="4" t="str" cm="1">
        <f t="array" ref="I1079">INDEX(Sheet1!E:E,$G1079)</f>
        <v>A.1.b.ii</v>
      </c>
      <c r="J1079" s="4" t="str" cm="1">
        <f t="array" ref="J1079">INDEX(Sheet1!F:F,$G1079)</f>
        <v>B8</v>
      </c>
      <c r="K1079" s="4" cm="1">
        <f t="array" ref="K1079">INDEX(Sheet1!H:H,$G1079)</f>
        <v>1E-3</v>
      </c>
      <c r="L1079" s="4">
        <f t="shared" si="64"/>
        <v>77</v>
      </c>
      <c r="M1079" s="4">
        <f t="shared" si="67"/>
        <v>5</v>
      </c>
    </row>
    <row r="1080" spans="1:13">
      <c r="A1080" s="4" t="str" cm="1">
        <f t="array" ref="A1080">INDEX(Sheet1!A:A,$F1080)</f>
        <v>F</v>
      </c>
      <c r="B1080" s="4" t="str" cm="1">
        <f t="array" ref="B1080">INDEX(Sheet1!B:B,$F1080)</f>
        <v>Pref Best NS</v>
      </c>
      <c r="C1080" s="4">
        <f t="shared" si="65"/>
        <v>78</v>
      </c>
      <c r="D1080" s="5" cm="1">
        <f t="array" aca="1" ref="D1080" ca="1">OFFSET(INDIRECT("'["&amp;$H1080&amp;"]"&amp;$I1080&amp;"'!"&amp;$J1080),$L1080,$M1080)*$K1080</f>
        <v>2.5840000000000002E-2</v>
      </c>
      <c r="F1080" s="4">
        <f t="shared" si="66"/>
        <v>12</v>
      </c>
      <c r="G1080" s="4" cm="1">
        <f t="array" ref="G1080">IF($C1080+$M1080&lt;16,INDEX(Sheet1!C:C,$F1080),$F1080)</f>
        <v>12</v>
      </c>
      <c r="H1080" s="4" t="str" cm="1">
        <f t="array" ref="H1080">INDEX(Sheet1!D:D,$G1080)</f>
        <v>2001-cso-preferred-class-structure-mortality-tables.xls</v>
      </c>
      <c r="I1080" s="4" t="str" cm="1">
        <f t="array" ref="I1080">INDEX(Sheet1!E:E,$G1080)</f>
        <v>A.1.b.ii</v>
      </c>
      <c r="J1080" s="4" t="str" cm="1">
        <f t="array" ref="J1080">INDEX(Sheet1!F:F,$G1080)</f>
        <v>B8</v>
      </c>
      <c r="K1080" s="4" cm="1">
        <f t="array" ref="K1080">INDEX(Sheet1!H:H,$G1080)</f>
        <v>1E-3</v>
      </c>
      <c r="L1080" s="4">
        <f t="shared" si="64"/>
        <v>78</v>
      </c>
      <c r="M1080" s="4">
        <f t="shared" si="67"/>
        <v>5</v>
      </c>
    </row>
    <row r="1081" spans="1:13">
      <c r="A1081" s="4" t="str" cm="1">
        <f t="array" ref="A1081">INDEX(Sheet1!A:A,$F1081)</f>
        <v>F</v>
      </c>
      <c r="B1081" s="4" t="str" cm="1">
        <f t="array" ref="B1081">INDEX(Sheet1!B:B,$F1081)</f>
        <v>Pref Best NS</v>
      </c>
      <c r="C1081" s="4">
        <f t="shared" si="65"/>
        <v>79</v>
      </c>
      <c r="D1081" s="5" cm="1">
        <f t="array" aca="1" ref="D1081" ca="1">OFFSET(INDIRECT("'["&amp;$H1081&amp;"]"&amp;$I1081&amp;"'!"&amp;$J1081),$L1081,$M1081)*$K1081</f>
        <v>2.9340000000000001E-2</v>
      </c>
      <c r="F1081" s="4">
        <f t="shared" si="66"/>
        <v>12</v>
      </c>
      <c r="G1081" s="4" cm="1">
        <f t="array" ref="G1081">IF($C1081+$M1081&lt;16,INDEX(Sheet1!C:C,$F1081),$F1081)</f>
        <v>12</v>
      </c>
      <c r="H1081" s="4" t="str" cm="1">
        <f t="array" ref="H1081">INDEX(Sheet1!D:D,$G1081)</f>
        <v>2001-cso-preferred-class-structure-mortality-tables.xls</v>
      </c>
      <c r="I1081" s="4" t="str" cm="1">
        <f t="array" ref="I1081">INDEX(Sheet1!E:E,$G1081)</f>
        <v>A.1.b.ii</v>
      </c>
      <c r="J1081" s="4" t="str" cm="1">
        <f t="array" ref="J1081">INDEX(Sheet1!F:F,$G1081)</f>
        <v>B8</v>
      </c>
      <c r="K1081" s="4" cm="1">
        <f t="array" ref="K1081">INDEX(Sheet1!H:H,$G1081)</f>
        <v>1E-3</v>
      </c>
      <c r="L1081" s="4">
        <f t="shared" si="64"/>
        <v>79</v>
      </c>
      <c r="M1081" s="4">
        <f t="shared" si="67"/>
        <v>5</v>
      </c>
    </row>
    <row r="1082" spans="1:13">
      <c r="A1082" s="4" t="str" cm="1">
        <f t="array" ref="A1082">INDEX(Sheet1!A:A,$F1082)</f>
        <v>F</v>
      </c>
      <c r="B1082" s="4" t="str" cm="1">
        <f t="array" ref="B1082">INDEX(Sheet1!B:B,$F1082)</f>
        <v>Pref Best NS</v>
      </c>
      <c r="C1082" s="4">
        <f t="shared" si="65"/>
        <v>80</v>
      </c>
      <c r="D1082" s="5" cm="1">
        <f t="array" aca="1" ref="D1082" ca="1">OFFSET(INDIRECT("'["&amp;$H1082&amp;"]"&amp;$I1082&amp;"'!"&amp;$J1082),$L1082,$M1082)*$K1082</f>
        <v>3.3500000000000002E-2</v>
      </c>
      <c r="F1082" s="4">
        <f t="shared" si="66"/>
        <v>12</v>
      </c>
      <c r="G1082" s="4" cm="1">
        <f t="array" ref="G1082">IF($C1082+$M1082&lt;16,INDEX(Sheet1!C:C,$F1082),$F1082)</f>
        <v>12</v>
      </c>
      <c r="H1082" s="4" t="str" cm="1">
        <f t="array" ref="H1082">INDEX(Sheet1!D:D,$G1082)</f>
        <v>2001-cso-preferred-class-structure-mortality-tables.xls</v>
      </c>
      <c r="I1082" s="4" t="str" cm="1">
        <f t="array" ref="I1082">INDEX(Sheet1!E:E,$G1082)</f>
        <v>A.1.b.ii</v>
      </c>
      <c r="J1082" s="4" t="str" cm="1">
        <f t="array" ref="J1082">INDEX(Sheet1!F:F,$G1082)</f>
        <v>B8</v>
      </c>
      <c r="K1082" s="4" cm="1">
        <f t="array" ref="K1082">INDEX(Sheet1!H:H,$G1082)</f>
        <v>1E-3</v>
      </c>
      <c r="L1082" s="4">
        <f t="shared" si="64"/>
        <v>80</v>
      </c>
      <c r="M1082" s="4">
        <f t="shared" si="67"/>
        <v>5</v>
      </c>
    </row>
    <row r="1083" spans="1:13">
      <c r="A1083" s="4" t="str" cm="1">
        <f t="array" ref="A1083">INDEX(Sheet1!A:A,$F1083)</f>
        <v>F</v>
      </c>
      <c r="B1083" s="4" t="str" cm="1">
        <f t="array" ref="B1083">INDEX(Sheet1!B:B,$F1083)</f>
        <v>Pref Best NS</v>
      </c>
      <c r="C1083" s="4">
        <f t="shared" si="65"/>
        <v>81</v>
      </c>
      <c r="D1083" s="5" cm="1">
        <f t="array" aca="1" ref="D1083" ca="1">OFFSET(INDIRECT("'["&amp;$H1083&amp;"]"&amp;$I1083&amp;"'!"&amp;$J1083),$L1083,$M1083)*$K1083</f>
        <v>3.85E-2</v>
      </c>
      <c r="F1083" s="4">
        <f t="shared" si="66"/>
        <v>12</v>
      </c>
      <c r="G1083" s="4" cm="1">
        <f t="array" ref="G1083">IF($C1083+$M1083&lt;16,INDEX(Sheet1!C:C,$F1083),$F1083)</f>
        <v>12</v>
      </c>
      <c r="H1083" s="4" t="str" cm="1">
        <f t="array" ref="H1083">INDEX(Sheet1!D:D,$G1083)</f>
        <v>2001-cso-preferred-class-structure-mortality-tables.xls</v>
      </c>
      <c r="I1083" s="4" t="str" cm="1">
        <f t="array" ref="I1083">INDEX(Sheet1!E:E,$G1083)</f>
        <v>A.1.b.ii</v>
      </c>
      <c r="J1083" s="4" t="str" cm="1">
        <f t="array" ref="J1083">INDEX(Sheet1!F:F,$G1083)</f>
        <v>B8</v>
      </c>
      <c r="K1083" s="4" cm="1">
        <f t="array" ref="K1083">INDEX(Sheet1!H:H,$G1083)</f>
        <v>1E-3</v>
      </c>
      <c r="L1083" s="4">
        <f t="shared" si="64"/>
        <v>81</v>
      </c>
      <c r="M1083" s="4">
        <f t="shared" si="67"/>
        <v>5</v>
      </c>
    </row>
    <row r="1084" spans="1:13">
      <c r="A1084" s="4" t="str" cm="1">
        <f t="array" ref="A1084">INDEX(Sheet1!A:A,$F1084)</f>
        <v>F</v>
      </c>
      <c r="B1084" s="4" t="str" cm="1">
        <f t="array" ref="B1084">INDEX(Sheet1!B:B,$F1084)</f>
        <v>Pref Best NS</v>
      </c>
      <c r="C1084" s="4">
        <f t="shared" si="65"/>
        <v>82</v>
      </c>
      <c r="D1084" s="5" cm="1">
        <f t="array" aca="1" ref="D1084" ca="1">OFFSET(INDIRECT("'["&amp;$H1084&amp;"]"&amp;$I1084&amp;"'!"&amp;$J1084),$L1084,$M1084)*$K1084</f>
        <v>4.4429999999999997E-2</v>
      </c>
      <c r="F1084" s="4">
        <f t="shared" si="66"/>
        <v>12</v>
      </c>
      <c r="G1084" s="4" cm="1">
        <f t="array" ref="G1084">IF($C1084+$M1084&lt;16,INDEX(Sheet1!C:C,$F1084),$F1084)</f>
        <v>12</v>
      </c>
      <c r="H1084" s="4" t="str" cm="1">
        <f t="array" ref="H1084">INDEX(Sheet1!D:D,$G1084)</f>
        <v>2001-cso-preferred-class-structure-mortality-tables.xls</v>
      </c>
      <c r="I1084" s="4" t="str" cm="1">
        <f t="array" ref="I1084">INDEX(Sheet1!E:E,$G1084)</f>
        <v>A.1.b.ii</v>
      </c>
      <c r="J1084" s="4" t="str" cm="1">
        <f t="array" ref="J1084">INDEX(Sheet1!F:F,$G1084)</f>
        <v>B8</v>
      </c>
      <c r="K1084" s="4" cm="1">
        <f t="array" ref="K1084">INDEX(Sheet1!H:H,$G1084)</f>
        <v>1E-3</v>
      </c>
      <c r="L1084" s="4">
        <f t="shared" si="64"/>
        <v>82</v>
      </c>
      <c r="M1084" s="4">
        <f t="shared" si="67"/>
        <v>5</v>
      </c>
    </row>
    <row r="1085" spans="1:13">
      <c r="A1085" s="4" t="str" cm="1">
        <f t="array" ref="A1085">INDEX(Sheet1!A:A,$F1085)</f>
        <v>F</v>
      </c>
      <c r="B1085" s="4" t="str" cm="1">
        <f t="array" ref="B1085">INDEX(Sheet1!B:B,$F1085)</f>
        <v>Pref Best NS</v>
      </c>
      <c r="C1085" s="4">
        <f t="shared" si="65"/>
        <v>83</v>
      </c>
      <c r="D1085" s="5" cm="1">
        <f t="array" aca="1" ref="D1085" ca="1">OFFSET(INDIRECT("'["&amp;$H1085&amp;"]"&amp;$I1085&amp;"'!"&amp;$J1085),$L1085,$M1085)*$K1085</f>
        <v>5.1540000000000002E-2</v>
      </c>
      <c r="F1085" s="4">
        <f t="shared" si="66"/>
        <v>12</v>
      </c>
      <c r="G1085" s="4" cm="1">
        <f t="array" ref="G1085">IF($C1085+$M1085&lt;16,INDEX(Sheet1!C:C,$F1085),$F1085)</f>
        <v>12</v>
      </c>
      <c r="H1085" s="4" t="str" cm="1">
        <f t="array" ref="H1085">INDEX(Sheet1!D:D,$G1085)</f>
        <v>2001-cso-preferred-class-structure-mortality-tables.xls</v>
      </c>
      <c r="I1085" s="4" t="str" cm="1">
        <f t="array" ref="I1085">INDEX(Sheet1!E:E,$G1085)</f>
        <v>A.1.b.ii</v>
      </c>
      <c r="J1085" s="4" t="str" cm="1">
        <f t="array" ref="J1085">INDEX(Sheet1!F:F,$G1085)</f>
        <v>B8</v>
      </c>
      <c r="K1085" s="4" cm="1">
        <f t="array" ref="K1085">INDEX(Sheet1!H:H,$G1085)</f>
        <v>1E-3</v>
      </c>
      <c r="L1085" s="4">
        <f t="shared" si="64"/>
        <v>83</v>
      </c>
      <c r="M1085" s="4">
        <f t="shared" si="67"/>
        <v>5</v>
      </c>
    </row>
    <row r="1086" spans="1:13">
      <c r="A1086" s="4" t="str" cm="1">
        <f t="array" ref="A1086">INDEX(Sheet1!A:A,$F1086)</f>
        <v>F</v>
      </c>
      <c r="B1086" s="4" t="str" cm="1">
        <f t="array" ref="B1086">INDEX(Sheet1!B:B,$F1086)</f>
        <v>Pref Best NS</v>
      </c>
      <c r="C1086" s="4">
        <f t="shared" si="65"/>
        <v>84</v>
      </c>
      <c r="D1086" s="5" cm="1">
        <f t="array" aca="1" ref="D1086" ca="1">OFFSET(INDIRECT("'["&amp;$H1086&amp;"]"&amp;$I1086&amp;"'!"&amp;$J1086),$L1086,$M1086)*$K1086</f>
        <v>5.9930000000000004E-2</v>
      </c>
      <c r="F1086" s="4">
        <f t="shared" si="66"/>
        <v>12</v>
      </c>
      <c r="G1086" s="4" cm="1">
        <f t="array" ref="G1086">IF($C1086+$M1086&lt;16,INDEX(Sheet1!C:C,$F1086),$F1086)</f>
        <v>12</v>
      </c>
      <c r="H1086" s="4" t="str" cm="1">
        <f t="array" ref="H1086">INDEX(Sheet1!D:D,$G1086)</f>
        <v>2001-cso-preferred-class-structure-mortality-tables.xls</v>
      </c>
      <c r="I1086" s="4" t="str" cm="1">
        <f t="array" ref="I1086">INDEX(Sheet1!E:E,$G1086)</f>
        <v>A.1.b.ii</v>
      </c>
      <c r="J1086" s="4" t="str" cm="1">
        <f t="array" ref="J1086">INDEX(Sheet1!F:F,$G1086)</f>
        <v>B8</v>
      </c>
      <c r="K1086" s="4" cm="1">
        <f t="array" ref="K1086">INDEX(Sheet1!H:H,$G1086)</f>
        <v>1E-3</v>
      </c>
      <c r="L1086" s="4">
        <f t="shared" si="64"/>
        <v>84</v>
      </c>
      <c r="M1086" s="4">
        <f t="shared" si="67"/>
        <v>5</v>
      </c>
    </row>
    <row r="1087" spans="1:13">
      <c r="A1087" s="4" t="str" cm="1">
        <f t="array" ref="A1087">INDEX(Sheet1!A:A,$F1087)</f>
        <v>F</v>
      </c>
      <c r="B1087" s="4" t="str" cm="1">
        <f t="array" ref="B1087">INDEX(Sheet1!B:B,$F1087)</f>
        <v>Pref Best NS</v>
      </c>
      <c r="C1087" s="4">
        <f t="shared" si="65"/>
        <v>85</v>
      </c>
      <c r="D1087" s="5" cm="1">
        <f t="array" aca="1" ref="D1087" ca="1">OFFSET(INDIRECT("'["&amp;$H1087&amp;"]"&amp;$I1087&amp;"'!"&amp;$J1087),$L1087,$M1087)*$K1087</f>
        <v>6.9839999999999999E-2</v>
      </c>
      <c r="F1087" s="4">
        <f t="shared" si="66"/>
        <v>12</v>
      </c>
      <c r="G1087" s="4" cm="1">
        <f t="array" ref="G1087">IF($C1087+$M1087&lt;16,INDEX(Sheet1!C:C,$F1087),$F1087)</f>
        <v>12</v>
      </c>
      <c r="H1087" s="4" t="str" cm="1">
        <f t="array" ref="H1087">INDEX(Sheet1!D:D,$G1087)</f>
        <v>2001-cso-preferred-class-structure-mortality-tables.xls</v>
      </c>
      <c r="I1087" s="4" t="str" cm="1">
        <f t="array" ref="I1087">INDEX(Sheet1!E:E,$G1087)</f>
        <v>A.1.b.ii</v>
      </c>
      <c r="J1087" s="4" t="str" cm="1">
        <f t="array" ref="J1087">INDEX(Sheet1!F:F,$G1087)</f>
        <v>B8</v>
      </c>
      <c r="K1087" s="4" cm="1">
        <f t="array" ref="K1087">INDEX(Sheet1!H:H,$G1087)</f>
        <v>1E-3</v>
      </c>
      <c r="L1087" s="4">
        <f t="shared" si="64"/>
        <v>85</v>
      </c>
      <c r="M1087" s="4">
        <f t="shared" si="67"/>
        <v>5</v>
      </c>
    </row>
    <row r="1088" spans="1:13">
      <c r="A1088" s="4" t="str" cm="1">
        <f t="array" ref="A1088">INDEX(Sheet1!A:A,$F1088)</f>
        <v>F</v>
      </c>
      <c r="B1088" s="4" t="str" cm="1">
        <f t="array" ref="B1088">INDEX(Sheet1!B:B,$F1088)</f>
        <v>Pref Best NS</v>
      </c>
      <c r="C1088" s="4">
        <f t="shared" si="65"/>
        <v>86</v>
      </c>
      <c r="D1088" s="5" cm="1">
        <f t="array" aca="1" ref="D1088" ca="1">OFFSET(INDIRECT("'["&amp;$H1088&amp;"]"&amp;$I1088&amp;"'!"&amp;$J1088),$L1088,$M1088)*$K1088</f>
        <v>8.159000000000001E-2</v>
      </c>
      <c r="F1088" s="4">
        <f t="shared" si="66"/>
        <v>12</v>
      </c>
      <c r="G1088" s="4" cm="1">
        <f t="array" ref="G1088">IF($C1088+$M1088&lt;16,INDEX(Sheet1!C:C,$F1088),$F1088)</f>
        <v>12</v>
      </c>
      <c r="H1088" s="4" t="str" cm="1">
        <f t="array" ref="H1088">INDEX(Sheet1!D:D,$G1088)</f>
        <v>2001-cso-preferred-class-structure-mortality-tables.xls</v>
      </c>
      <c r="I1088" s="4" t="str" cm="1">
        <f t="array" ref="I1088">INDEX(Sheet1!E:E,$G1088)</f>
        <v>A.1.b.ii</v>
      </c>
      <c r="J1088" s="4" t="str" cm="1">
        <f t="array" ref="J1088">INDEX(Sheet1!F:F,$G1088)</f>
        <v>B8</v>
      </c>
      <c r="K1088" s="4" cm="1">
        <f t="array" ref="K1088">INDEX(Sheet1!H:H,$G1088)</f>
        <v>1E-3</v>
      </c>
      <c r="L1088" s="4">
        <f t="shared" si="64"/>
        <v>86</v>
      </c>
      <c r="M1088" s="4">
        <f t="shared" si="67"/>
        <v>5</v>
      </c>
    </row>
    <row r="1089" spans="1:13">
      <c r="A1089" s="4" t="str" cm="1">
        <f t="array" ref="A1089">INDEX(Sheet1!A:A,$F1089)</f>
        <v>F</v>
      </c>
      <c r="B1089" s="4" t="str" cm="1">
        <f t="array" ref="B1089">INDEX(Sheet1!B:B,$F1089)</f>
        <v>Pref Best NS</v>
      </c>
      <c r="C1089" s="4">
        <f t="shared" si="65"/>
        <v>87</v>
      </c>
      <c r="D1089" s="5" cm="1">
        <f t="array" aca="1" ref="D1089" ca="1">OFFSET(INDIRECT("'["&amp;$H1089&amp;"]"&amp;$I1089&amp;"'!"&amp;$J1089),$L1089,$M1089)*$K1089</f>
        <v>9.5310000000000006E-2</v>
      </c>
      <c r="F1089" s="4">
        <f t="shared" si="66"/>
        <v>12</v>
      </c>
      <c r="G1089" s="4" cm="1">
        <f t="array" ref="G1089">IF($C1089+$M1089&lt;16,INDEX(Sheet1!C:C,$F1089),$F1089)</f>
        <v>12</v>
      </c>
      <c r="H1089" s="4" t="str" cm="1">
        <f t="array" ref="H1089">INDEX(Sheet1!D:D,$G1089)</f>
        <v>2001-cso-preferred-class-structure-mortality-tables.xls</v>
      </c>
      <c r="I1089" s="4" t="str" cm="1">
        <f t="array" ref="I1089">INDEX(Sheet1!E:E,$G1089)</f>
        <v>A.1.b.ii</v>
      </c>
      <c r="J1089" s="4" t="str" cm="1">
        <f t="array" ref="J1089">INDEX(Sheet1!F:F,$G1089)</f>
        <v>B8</v>
      </c>
      <c r="K1089" s="4" cm="1">
        <f t="array" ref="K1089">INDEX(Sheet1!H:H,$G1089)</f>
        <v>1E-3</v>
      </c>
      <c r="L1089" s="4">
        <f t="shared" si="64"/>
        <v>87</v>
      </c>
      <c r="M1089" s="4">
        <f t="shared" si="67"/>
        <v>5</v>
      </c>
    </row>
    <row r="1090" spans="1:13">
      <c r="A1090" s="4" t="str" cm="1">
        <f t="array" ref="A1090">INDEX(Sheet1!A:A,$F1090)</f>
        <v>F</v>
      </c>
      <c r="B1090" s="4" t="str" cm="1">
        <f t="array" ref="B1090">INDEX(Sheet1!B:B,$F1090)</f>
        <v>Pref Best NS</v>
      </c>
      <c r="C1090" s="4">
        <f t="shared" si="65"/>
        <v>88</v>
      </c>
      <c r="D1090" s="5" cm="1">
        <f t="array" aca="1" ref="D1090" ca="1">OFFSET(INDIRECT("'["&amp;$H1090&amp;"]"&amp;$I1090&amp;"'!"&amp;$J1090),$L1090,$M1090)*$K1090</f>
        <v>0.11137999999999999</v>
      </c>
      <c r="F1090" s="4">
        <f t="shared" si="66"/>
        <v>12</v>
      </c>
      <c r="G1090" s="4" cm="1">
        <f t="array" ref="G1090">IF($C1090+$M1090&lt;16,INDEX(Sheet1!C:C,$F1090),$F1090)</f>
        <v>12</v>
      </c>
      <c r="H1090" s="4" t="str" cm="1">
        <f t="array" ref="H1090">INDEX(Sheet1!D:D,$G1090)</f>
        <v>2001-cso-preferred-class-structure-mortality-tables.xls</v>
      </c>
      <c r="I1090" s="4" t="str" cm="1">
        <f t="array" ref="I1090">INDEX(Sheet1!E:E,$G1090)</f>
        <v>A.1.b.ii</v>
      </c>
      <c r="J1090" s="4" t="str" cm="1">
        <f t="array" ref="J1090">INDEX(Sheet1!F:F,$G1090)</f>
        <v>B8</v>
      </c>
      <c r="K1090" s="4" cm="1">
        <f t="array" ref="K1090">INDEX(Sheet1!H:H,$G1090)</f>
        <v>1E-3</v>
      </c>
      <c r="L1090" s="4">
        <f t="shared" si="64"/>
        <v>88</v>
      </c>
      <c r="M1090" s="4">
        <f t="shared" si="67"/>
        <v>5</v>
      </c>
    </row>
    <row r="1091" spans="1:13">
      <c r="A1091" s="4" t="str" cm="1">
        <f t="array" ref="A1091">INDEX(Sheet1!A:A,$F1091)</f>
        <v>F</v>
      </c>
      <c r="B1091" s="4" t="str" cm="1">
        <f t="array" ref="B1091">INDEX(Sheet1!B:B,$F1091)</f>
        <v>Pref Best NS</v>
      </c>
      <c r="C1091" s="4">
        <f t="shared" si="65"/>
        <v>89</v>
      </c>
      <c r="D1091" s="5" cm="1">
        <f t="array" aca="1" ref="D1091" ca="1">OFFSET(INDIRECT("'["&amp;$H1091&amp;"]"&amp;$I1091&amp;"'!"&amp;$J1091),$L1091,$M1091)*$K1091</f>
        <v>0.12996000000000002</v>
      </c>
      <c r="F1091" s="4">
        <f t="shared" si="66"/>
        <v>12</v>
      </c>
      <c r="G1091" s="4" cm="1">
        <f t="array" ref="G1091">IF($C1091+$M1091&lt;16,INDEX(Sheet1!C:C,$F1091),$F1091)</f>
        <v>12</v>
      </c>
      <c r="H1091" s="4" t="str" cm="1">
        <f t="array" ref="H1091">INDEX(Sheet1!D:D,$G1091)</f>
        <v>2001-cso-preferred-class-structure-mortality-tables.xls</v>
      </c>
      <c r="I1091" s="4" t="str" cm="1">
        <f t="array" ref="I1091">INDEX(Sheet1!E:E,$G1091)</f>
        <v>A.1.b.ii</v>
      </c>
      <c r="J1091" s="4" t="str" cm="1">
        <f t="array" ref="J1091">INDEX(Sheet1!F:F,$G1091)</f>
        <v>B8</v>
      </c>
      <c r="K1091" s="4" cm="1">
        <f t="array" ref="K1091">INDEX(Sheet1!H:H,$G1091)</f>
        <v>1E-3</v>
      </c>
      <c r="L1091" s="4">
        <f t="shared" ref="L1091:L1154" si="68">C1091</f>
        <v>89</v>
      </c>
      <c r="M1091" s="4">
        <f t="shared" si="67"/>
        <v>5</v>
      </c>
    </row>
    <row r="1092" spans="1:13">
      <c r="A1092" s="4" t="str" cm="1">
        <f t="array" ref="A1092">INDEX(Sheet1!A:A,$F1092)</f>
        <v>F</v>
      </c>
      <c r="B1092" s="4" t="str" cm="1">
        <f t="array" ref="B1092">INDEX(Sheet1!B:B,$F1092)</f>
        <v>Pref Best NS</v>
      </c>
      <c r="C1092" s="4">
        <f t="shared" ref="C1092:C1155" si="69">IF(C1091=99,0,C1091+1)</f>
        <v>90</v>
      </c>
      <c r="D1092" s="5" cm="1">
        <f t="array" aca="1" ref="D1092" ca="1">OFFSET(INDIRECT("'["&amp;$H1092&amp;"]"&amp;$I1092&amp;"'!"&amp;$J1092),$L1092,$M1092)*$K1092</f>
        <v>0.14529</v>
      </c>
      <c r="F1092" s="4">
        <f t="shared" ref="F1092:F1155" si="70">IF(C1092=0,1,0)+F1091</f>
        <v>12</v>
      </c>
      <c r="G1092" s="4" cm="1">
        <f t="array" ref="G1092">IF($C1092+$M1092&lt;16,INDEX(Sheet1!C:C,$F1092),$F1092)</f>
        <v>12</v>
      </c>
      <c r="H1092" s="4" t="str" cm="1">
        <f t="array" ref="H1092">INDEX(Sheet1!D:D,$G1092)</f>
        <v>2001-cso-preferred-class-structure-mortality-tables.xls</v>
      </c>
      <c r="I1092" s="4" t="str" cm="1">
        <f t="array" ref="I1092">INDEX(Sheet1!E:E,$G1092)</f>
        <v>A.1.b.ii</v>
      </c>
      <c r="J1092" s="4" t="str" cm="1">
        <f t="array" ref="J1092">INDEX(Sheet1!F:F,$G1092)</f>
        <v>B8</v>
      </c>
      <c r="K1092" s="4" cm="1">
        <f t="array" ref="K1092">INDEX(Sheet1!H:H,$G1092)</f>
        <v>1E-3</v>
      </c>
      <c r="L1092" s="4">
        <f t="shared" si="68"/>
        <v>90</v>
      </c>
      <c r="M1092" s="4">
        <f t="shared" ref="L1092:M1155" si="71">M$2</f>
        <v>5</v>
      </c>
    </row>
    <row r="1093" spans="1:13">
      <c r="A1093" s="4" t="str" cm="1">
        <f t="array" ref="A1093">INDEX(Sheet1!A:A,$F1093)</f>
        <v>F</v>
      </c>
      <c r="B1093" s="4" t="str" cm="1">
        <f t="array" ref="B1093">INDEX(Sheet1!B:B,$F1093)</f>
        <v>Pref Best NS</v>
      </c>
      <c r="C1093" s="4">
        <f t="shared" si="69"/>
        <v>91</v>
      </c>
      <c r="D1093" s="5" cm="1">
        <f t="array" aca="1" ref="D1093" ca="1">OFFSET(INDIRECT("'["&amp;$H1093&amp;"]"&amp;$I1093&amp;"'!"&amp;$J1093),$L1093,$M1093)*$K1093</f>
        <v>0.16028000000000001</v>
      </c>
      <c r="F1093" s="4">
        <f t="shared" si="70"/>
        <v>12</v>
      </c>
      <c r="G1093" s="4" cm="1">
        <f t="array" ref="G1093">IF($C1093+$M1093&lt;16,INDEX(Sheet1!C:C,$F1093),$F1093)</f>
        <v>12</v>
      </c>
      <c r="H1093" s="4" t="str" cm="1">
        <f t="array" ref="H1093">INDEX(Sheet1!D:D,$G1093)</f>
        <v>2001-cso-preferred-class-structure-mortality-tables.xls</v>
      </c>
      <c r="I1093" s="4" t="str" cm="1">
        <f t="array" ref="I1093">INDEX(Sheet1!E:E,$G1093)</f>
        <v>A.1.b.ii</v>
      </c>
      <c r="J1093" s="4" t="str" cm="1">
        <f t="array" ref="J1093">INDEX(Sheet1!F:F,$G1093)</f>
        <v>B8</v>
      </c>
      <c r="K1093" s="4" cm="1">
        <f t="array" ref="K1093">INDEX(Sheet1!H:H,$G1093)</f>
        <v>1E-3</v>
      </c>
      <c r="L1093" s="4">
        <f t="shared" si="68"/>
        <v>91</v>
      </c>
      <c r="M1093" s="4">
        <f t="shared" si="71"/>
        <v>5</v>
      </c>
    </row>
    <row r="1094" spans="1:13">
      <c r="A1094" s="4" t="str" cm="1">
        <f t="array" ref="A1094">INDEX(Sheet1!A:A,$F1094)</f>
        <v>F</v>
      </c>
      <c r="B1094" s="4" t="str" cm="1">
        <f t="array" ref="B1094">INDEX(Sheet1!B:B,$F1094)</f>
        <v>Pref Best NS</v>
      </c>
      <c r="C1094" s="4">
        <f t="shared" si="69"/>
        <v>92</v>
      </c>
      <c r="D1094" s="5" cm="1">
        <f t="array" aca="1" ref="D1094" ca="1">OFFSET(INDIRECT("'["&amp;$H1094&amp;"]"&amp;$I1094&amp;"'!"&amp;$J1094),$L1094,$M1094)*$K1094</f>
        <v>0.17630000000000001</v>
      </c>
      <c r="F1094" s="4">
        <f t="shared" si="70"/>
        <v>12</v>
      </c>
      <c r="G1094" s="4" cm="1">
        <f t="array" ref="G1094">IF($C1094+$M1094&lt;16,INDEX(Sheet1!C:C,$F1094),$F1094)</f>
        <v>12</v>
      </c>
      <c r="H1094" s="4" t="str" cm="1">
        <f t="array" ref="H1094">INDEX(Sheet1!D:D,$G1094)</f>
        <v>2001-cso-preferred-class-structure-mortality-tables.xls</v>
      </c>
      <c r="I1094" s="4" t="str" cm="1">
        <f t="array" ref="I1094">INDEX(Sheet1!E:E,$G1094)</f>
        <v>A.1.b.ii</v>
      </c>
      <c r="J1094" s="4" t="str" cm="1">
        <f t="array" ref="J1094">INDEX(Sheet1!F:F,$G1094)</f>
        <v>B8</v>
      </c>
      <c r="K1094" s="4" cm="1">
        <f t="array" ref="K1094">INDEX(Sheet1!H:H,$G1094)</f>
        <v>1E-3</v>
      </c>
      <c r="L1094" s="4">
        <f t="shared" si="68"/>
        <v>92</v>
      </c>
      <c r="M1094" s="4">
        <f t="shared" si="71"/>
        <v>5</v>
      </c>
    </row>
    <row r="1095" spans="1:13">
      <c r="A1095" s="4" t="str" cm="1">
        <f t="array" ref="A1095">INDEX(Sheet1!A:A,$F1095)</f>
        <v>F</v>
      </c>
      <c r="B1095" s="4" t="str" cm="1">
        <f t="array" ref="B1095">INDEX(Sheet1!B:B,$F1095)</f>
        <v>Pref Best NS</v>
      </c>
      <c r="C1095" s="4">
        <f t="shared" si="69"/>
        <v>93</v>
      </c>
      <c r="D1095" s="5" cm="1">
        <f t="array" aca="1" ref="D1095" ca="1">OFFSET(INDIRECT("'["&amp;$H1095&amp;"]"&amp;$I1095&amp;"'!"&amp;$J1095),$L1095,$M1095)*$K1095</f>
        <v>0.19334000000000001</v>
      </c>
      <c r="F1095" s="4">
        <f t="shared" si="70"/>
        <v>12</v>
      </c>
      <c r="G1095" s="4" cm="1">
        <f t="array" ref="G1095">IF($C1095+$M1095&lt;16,INDEX(Sheet1!C:C,$F1095),$F1095)</f>
        <v>12</v>
      </c>
      <c r="H1095" s="4" t="str" cm="1">
        <f t="array" ref="H1095">INDEX(Sheet1!D:D,$G1095)</f>
        <v>2001-cso-preferred-class-structure-mortality-tables.xls</v>
      </c>
      <c r="I1095" s="4" t="str" cm="1">
        <f t="array" ref="I1095">INDEX(Sheet1!E:E,$G1095)</f>
        <v>A.1.b.ii</v>
      </c>
      <c r="J1095" s="4" t="str" cm="1">
        <f t="array" ref="J1095">INDEX(Sheet1!F:F,$G1095)</f>
        <v>B8</v>
      </c>
      <c r="K1095" s="4" cm="1">
        <f t="array" ref="K1095">INDEX(Sheet1!H:H,$G1095)</f>
        <v>1E-3</v>
      </c>
      <c r="L1095" s="4">
        <f t="shared" si="68"/>
        <v>93</v>
      </c>
      <c r="M1095" s="4">
        <f t="shared" si="71"/>
        <v>5</v>
      </c>
    </row>
    <row r="1096" spans="1:13">
      <c r="A1096" s="4" t="str" cm="1">
        <f t="array" ref="A1096">INDEX(Sheet1!A:A,$F1096)</f>
        <v>F</v>
      </c>
      <c r="B1096" s="4" t="str" cm="1">
        <f t="array" ref="B1096">INDEX(Sheet1!B:B,$F1096)</f>
        <v>Pref Best NS</v>
      </c>
      <c r="C1096" s="4">
        <f t="shared" si="69"/>
        <v>94</v>
      </c>
      <c r="D1096" s="5" cm="1">
        <f t="array" aca="1" ref="D1096" ca="1">OFFSET(INDIRECT("'["&amp;$H1096&amp;"]"&amp;$I1096&amp;"'!"&amp;$J1096),$L1096,$M1096)*$K1096</f>
        <v>0.21146000000000001</v>
      </c>
      <c r="F1096" s="4">
        <f t="shared" si="70"/>
        <v>12</v>
      </c>
      <c r="G1096" s="4" cm="1">
        <f t="array" ref="G1096">IF($C1096+$M1096&lt;16,INDEX(Sheet1!C:C,$F1096),$F1096)</f>
        <v>12</v>
      </c>
      <c r="H1096" s="4" t="str" cm="1">
        <f t="array" ref="H1096">INDEX(Sheet1!D:D,$G1096)</f>
        <v>2001-cso-preferred-class-structure-mortality-tables.xls</v>
      </c>
      <c r="I1096" s="4" t="str" cm="1">
        <f t="array" ref="I1096">INDEX(Sheet1!E:E,$G1096)</f>
        <v>A.1.b.ii</v>
      </c>
      <c r="J1096" s="4" t="str" cm="1">
        <f t="array" ref="J1096">INDEX(Sheet1!F:F,$G1096)</f>
        <v>B8</v>
      </c>
      <c r="K1096" s="4" cm="1">
        <f t="array" ref="K1096">INDEX(Sheet1!H:H,$G1096)</f>
        <v>1E-3</v>
      </c>
      <c r="L1096" s="4">
        <f t="shared" si="68"/>
        <v>94</v>
      </c>
      <c r="M1096" s="4">
        <f t="shared" si="71"/>
        <v>5</v>
      </c>
    </row>
    <row r="1097" spans="1:13">
      <c r="A1097" s="4" t="str" cm="1">
        <f t="array" ref="A1097">INDEX(Sheet1!A:A,$F1097)</f>
        <v>F</v>
      </c>
      <c r="B1097" s="4" t="str" cm="1">
        <f t="array" ref="B1097">INDEX(Sheet1!B:B,$F1097)</f>
        <v>Pref Best NS</v>
      </c>
      <c r="C1097" s="4">
        <f t="shared" si="69"/>
        <v>95</v>
      </c>
      <c r="D1097" s="5" cm="1">
        <f t="array" aca="1" ref="D1097" ca="1">OFFSET(INDIRECT("'["&amp;$H1097&amp;"]"&amp;$I1097&amp;"'!"&amp;$J1097),$L1097,$M1097)*$K1097</f>
        <v>0.23053000000000001</v>
      </c>
      <c r="F1097" s="4">
        <f t="shared" si="70"/>
        <v>12</v>
      </c>
      <c r="G1097" s="4" cm="1">
        <f t="array" ref="G1097">IF($C1097+$M1097&lt;16,INDEX(Sheet1!C:C,$F1097),$F1097)</f>
        <v>12</v>
      </c>
      <c r="H1097" s="4" t="str" cm="1">
        <f t="array" ref="H1097">INDEX(Sheet1!D:D,$G1097)</f>
        <v>2001-cso-preferred-class-structure-mortality-tables.xls</v>
      </c>
      <c r="I1097" s="4" t="str" cm="1">
        <f t="array" ref="I1097">INDEX(Sheet1!E:E,$G1097)</f>
        <v>A.1.b.ii</v>
      </c>
      <c r="J1097" s="4" t="str" cm="1">
        <f t="array" ref="J1097">INDEX(Sheet1!F:F,$G1097)</f>
        <v>B8</v>
      </c>
      <c r="K1097" s="4" cm="1">
        <f t="array" ref="K1097">INDEX(Sheet1!H:H,$G1097)</f>
        <v>1E-3</v>
      </c>
      <c r="L1097" s="4">
        <f t="shared" si="68"/>
        <v>95</v>
      </c>
      <c r="M1097" s="4">
        <f t="shared" si="71"/>
        <v>5</v>
      </c>
    </row>
    <row r="1098" spans="1:13">
      <c r="A1098" s="4" t="str" cm="1">
        <f t="array" ref="A1098">INDEX(Sheet1!A:A,$F1098)</f>
        <v>F</v>
      </c>
      <c r="B1098" s="4" t="str" cm="1">
        <f t="array" ref="B1098">INDEX(Sheet1!B:B,$F1098)</f>
        <v>Pref Best NS</v>
      </c>
      <c r="C1098" s="4">
        <f t="shared" si="69"/>
        <v>96</v>
      </c>
      <c r="D1098" s="5" cm="1">
        <f t="array" aca="1" ref="D1098" ca="1">OFFSET(INDIRECT("'["&amp;$H1098&amp;"]"&amp;$I1098&amp;"'!"&amp;$J1098),$L1098,$M1098)*$K1098</f>
        <v>0.25178</v>
      </c>
      <c r="F1098" s="4">
        <f t="shared" si="70"/>
        <v>12</v>
      </c>
      <c r="G1098" s="4" cm="1">
        <f t="array" ref="G1098">IF($C1098+$M1098&lt;16,INDEX(Sheet1!C:C,$F1098),$F1098)</f>
        <v>12</v>
      </c>
      <c r="H1098" s="4" t="str" cm="1">
        <f t="array" ref="H1098">INDEX(Sheet1!D:D,$G1098)</f>
        <v>2001-cso-preferred-class-structure-mortality-tables.xls</v>
      </c>
      <c r="I1098" s="4" t="str" cm="1">
        <f t="array" ref="I1098">INDEX(Sheet1!E:E,$G1098)</f>
        <v>A.1.b.ii</v>
      </c>
      <c r="J1098" s="4" t="str" cm="1">
        <f t="array" ref="J1098">INDEX(Sheet1!F:F,$G1098)</f>
        <v>B8</v>
      </c>
      <c r="K1098" s="4" cm="1">
        <f t="array" ref="K1098">INDEX(Sheet1!H:H,$G1098)</f>
        <v>1E-3</v>
      </c>
      <c r="L1098" s="4">
        <f t="shared" si="68"/>
        <v>96</v>
      </c>
      <c r="M1098" s="4">
        <f t="shared" si="71"/>
        <v>5</v>
      </c>
    </row>
    <row r="1099" spans="1:13">
      <c r="A1099" s="4" t="str" cm="1">
        <f t="array" ref="A1099">INDEX(Sheet1!A:A,$F1099)</f>
        <v>F</v>
      </c>
      <c r="B1099" s="4" t="str" cm="1">
        <f t="array" ref="B1099">INDEX(Sheet1!B:B,$F1099)</f>
        <v>Pref Best NS</v>
      </c>
      <c r="C1099" s="4">
        <f t="shared" si="69"/>
        <v>97</v>
      </c>
      <c r="D1099" s="5" cm="1">
        <f t="array" aca="1" ref="D1099" ca="1">OFFSET(INDIRECT("'["&amp;$H1099&amp;"]"&amp;$I1099&amp;"'!"&amp;$J1099),$L1099,$M1099)*$K1099</f>
        <v>0.26830000000000004</v>
      </c>
      <c r="F1099" s="4">
        <f t="shared" si="70"/>
        <v>12</v>
      </c>
      <c r="G1099" s="4" cm="1">
        <f t="array" ref="G1099">IF($C1099+$M1099&lt;16,INDEX(Sheet1!C:C,$F1099),$F1099)</f>
        <v>12</v>
      </c>
      <c r="H1099" s="4" t="str" cm="1">
        <f t="array" ref="H1099">INDEX(Sheet1!D:D,$G1099)</f>
        <v>2001-cso-preferred-class-structure-mortality-tables.xls</v>
      </c>
      <c r="I1099" s="4" t="str" cm="1">
        <f t="array" ref="I1099">INDEX(Sheet1!E:E,$G1099)</f>
        <v>A.1.b.ii</v>
      </c>
      <c r="J1099" s="4" t="str" cm="1">
        <f t="array" ref="J1099">INDEX(Sheet1!F:F,$G1099)</f>
        <v>B8</v>
      </c>
      <c r="K1099" s="4" cm="1">
        <f t="array" ref="K1099">INDEX(Sheet1!H:H,$G1099)</f>
        <v>1E-3</v>
      </c>
      <c r="L1099" s="4">
        <f t="shared" si="68"/>
        <v>97</v>
      </c>
      <c r="M1099" s="4">
        <f t="shared" si="71"/>
        <v>5</v>
      </c>
    </row>
    <row r="1100" spans="1:13">
      <c r="A1100" s="4" t="str" cm="1">
        <f t="array" ref="A1100">INDEX(Sheet1!A:A,$F1100)</f>
        <v>F</v>
      </c>
      <c r="B1100" s="4" t="str" cm="1">
        <f t="array" ref="B1100">INDEX(Sheet1!B:B,$F1100)</f>
        <v>Pref Best NS</v>
      </c>
      <c r="C1100" s="4">
        <f t="shared" si="69"/>
        <v>98</v>
      </c>
      <c r="D1100" s="5" cm="1">
        <f t="array" aca="1" ref="D1100" ca="1">OFFSET(INDIRECT("'["&amp;$H1100&amp;"]"&amp;$I1100&amp;"'!"&amp;$J1100),$L1100,$M1100)*$K1100</f>
        <v>0.28563</v>
      </c>
      <c r="F1100" s="4">
        <f t="shared" si="70"/>
        <v>12</v>
      </c>
      <c r="G1100" s="4" cm="1">
        <f t="array" ref="G1100">IF($C1100+$M1100&lt;16,INDEX(Sheet1!C:C,$F1100),$F1100)</f>
        <v>12</v>
      </c>
      <c r="H1100" s="4" t="str" cm="1">
        <f t="array" ref="H1100">INDEX(Sheet1!D:D,$G1100)</f>
        <v>2001-cso-preferred-class-structure-mortality-tables.xls</v>
      </c>
      <c r="I1100" s="4" t="str" cm="1">
        <f t="array" ref="I1100">INDEX(Sheet1!E:E,$G1100)</f>
        <v>A.1.b.ii</v>
      </c>
      <c r="J1100" s="4" t="str" cm="1">
        <f t="array" ref="J1100">INDEX(Sheet1!F:F,$G1100)</f>
        <v>B8</v>
      </c>
      <c r="K1100" s="4" cm="1">
        <f t="array" ref="K1100">INDEX(Sheet1!H:H,$G1100)</f>
        <v>1E-3</v>
      </c>
      <c r="L1100" s="4">
        <f t="shared" si="68"/>
        <v>98</v>
      </c>
      <c r="M1100" s="4">
        <f t="shared" si="71"/>
        <v>5</v>
      </c>
    </row>
    <row r="1101" spans="1:13">
      <c r="A1101" s="4" t="str" cm="1">
        <f t="array" ref="A1101">INDEX(Sheet1!A:A,$F1101)</f>
        <v>F</v>
      </c>
      <c r="B1101" s="4" t="str" cm="1">
        <f t="array" ref="B1101">INDEX(Sheet1!B:B,$F1101)</f>
        <v>Pref Best NS</v>
      </c>
      <c r="C1101" s="4">
        <f t="shared" si="69"/>
        <v>99</v>
      </c>
      <c r="D1101" s="5" cm="1">
        <f t="array" aca="1" ref="D1101" ca="1">OFFSET(INDIRECT("'["&amp;$H1101&amp;"]"&amp;$I1101&amp;"'!"&amp;$J1101),$L1101,$M1101)*$K1101</f>
        <v>0.30377999999999999</v>
      </c>
      <c r="F1101" s="4">
        <f t="shared" si="70"/>
        <v>12</v>
      </c>
      <c r="G1101" s="4" cm="1">
        <f t="array" ref="G1101">IF($C1101+$M1101&lt;16,INDEX(Sheet1!C:C,$F1101),$F1101)</f>
        <v>12</v>
      </c>
      <c r="H1101" s="4" t="str" cm="1">
        <f t="array" ref="H1101">INDEX(Sheet1!D:D,$G1101)</f>
        <v>2001-cso-preferred-class-structure-mortality-tables.xls</v>
      </c>
      <c r="I1101" s="4" t="str" cm="1">
        <f t="array" ref="I1101">INDEX(Sheet1!E:E,$G1101)</f>
        <v>A.1.b.ii</v>
      </c>
      <c r="J1101" s="4" t="str" cm="1">
        <f t="array" ref="J1101">INDEX(Sheet1!F:F,$G1101)</f>
        <v>B8</v>
      </c>
      <c r="K1101" s="4" cm="1">
        <f t="array" ref="K1101">INDEX(Sheet1!H:H,$G1101)</f>
        <v>1E-3</v>
      </c>
      <c r="L1101" s="4">
        <f t="shared" si="68"/>
        <v>99</v>
      </c>
      <c r="M1101" s="4">
        <f t="shared" si="71"/>
        <v>5</v>
      </c>
    </row>
    <row r="1102" spans="1:13">
      <c r="A1102" s="4" t="str" cm="1">
        <f t="array" ref="A1102">INDEX(Sheet1!A:A,$F1102)</f>
        <v>F</v>
      </c>
      <c r="B1102" s="4" t="str" cm="1">
        <f t="array" ref="B1102">INDEX(Sheet1!B:B,$F1102)</f>
        <v>Pref Resid NS</v>
      </c>
      <c r="C1102" s="4">
        <f t="shared" si="69"/>
        <v>0</v>
      </c>
      <c r="D1102" s="5" cm="1">
        <f t="array" aca="1" ref="D1102" ca="1">OFFSET(INDIRECT("'["&amp;$H1102&amp;"]"&amp;$I1102&amp;"'!"&amp;$J1102),$L1102,$M1102)*$K1102</f>
        <v>1.8000000000000001E-4</v>
      </c>
      <c r="F1102" s="4">
        <f t="shared" si="70"/>
        <v>13</v>
      </c>
      <c r="G1102" s="4" cm="1">
        <f t="array" ref="G1102">IF($C1102+$M1102&lt;16,INDEX(Sheet1!C:C,$F1102),$F1102)</f>
        <v>19</v>
      </c>
      <c r="H1102" s="4" t="str" cm="1">
        <f t="array" ref="H1102">INDEX(Sheet1!D:D,$G1102)</f>
        <v>t1139.xlsx</v>
      </c>
      <c r="I1102" s="4" t="str" cm="1">
        <f t="array" ref="I1102">INDEX(Sheet1!E:E,$G1102)</f>
        <v>Sheet1</v>
      </c>
      <c r="J1102" s="4" t="str" cm="1">
        <f t="array" ref="J1102">INDEX(Sheet1!F:F,$G1102)</f>
        <v>B25</v>
      </c>
      <c r="K1102" s="4" cm="1">
        <f t="array" ref="K1102">INDEX(Sheet1!H:H,$G1102)</f>
        <v>1</v>
      </c>
      <c r="L1102" s="4">
        <f t="shared" si="68"/>
        <v>0</v>
      </c>
      <c r="M1102" s="4">
        <f t="shared" si="71"/>
        <v>5</v>
      </c>
    </row>
    <row r="1103" spans="1:13">
      <c r="A1103" s="4" t="str" cm="1">
        <f t="array" ref="A1103">INDEX(Sheet1!A:A,$F1103)</f>
        <v>F</v>
      </c>
      <c r="B1103" s="4" t="str" cm="1">
        <f t="array" ref="B1103">INDEX(Sheet1!B:B,$F1103)</f>
        <v>Pref Resid NS</v>
      </c>
      <c r="C1103" s="4">
        <f t="shared" si="69"/>
        <v>1</v>
      </c>
      <c r="D1103" s="5" cm="1">
        <f t="array" aca="1" ref="D1103" ca="1">OFFSET(INDIRECT("'["&amp;$H1103&amp;"]"&amp;$I1103&amp;"'!"&amp;$J1103),$L1103,$M1103)*$K1103</f>
        <v>1.8000000000000001E-4</v>
      </c>
      <c r="F1103" s="4">
        <f t="shared" si="70"/>
        <v>13</v>
      </c>
      <c r="G1103" s="4" cm="1">
        <f t="array" ref="G1103">IF($C1103+$M1103&lt;16,INDEX(Sheet1!C:C,$F1103),$F1103)</f>
        <v>19</v>
      </c>
      <c r="H1103" s="4" t="str" cm="1">
        <f t="array" ref="H1103">INDEX(Sheet1!D:D,$G1103)</f>
        <v>t1139.xlsx</v>
      </c>
      <c r="I1103" s="4" t="str" cm="1">
        <f t="array" ref="I1103">INDEX(Sheet1!E:E,$G1103)</f>
        <v>Sheet1</v>
      </c>
      <c r="J1103" s="4" t="str" cm="1">
        <f t="array" ref="J1103">INDEX(Sheet1!F:F,$G1103)</f>
        <v>B25</v>
      </c>
      <c r="K1103" s="4" cm="1">
        <f t="array" ref="K1103">INDEX(Sheet1!H:H,$G1103)</f>
        <v>1</v>
      </c>
      <c r="L1103" s="4">
        <f t="shared" si="68"/>
        <v>1</v>
      </c>
      <c r="M1103" s="4">
        <f t="shared" si="71"/>
        <v>5</v>
      </c>
    </row>
    <row r="1104" spans="1:13">
      <c r="A1104" s="4" t="str" cm="1">
        <f t="array" ref="A1104">INDEX(Sheet1!A:A,$F1104)</f>
        <v>F</v>
      </c>
      <c r="B1104" s="4" t="str" cm="1">
        <f t="array" ref="B1104">INDEX(Sheet1!B:B,$F1104)</f>
        <v>Pref Resid NS</v>
      </c>
      <c r="C1104" s="4">
        <f t="shared" si="69"/>
        <v>2</v>
      </c>
      <c r="D1104" s="5" cm="1">
        <f t="array" aca="1" ref="D1104" ca="1">OFFSET(INDIRECT("'["&amp;$H1104&amp;"]"&amp;$I1104&amp;"'!"&amp;$J1104),$L1104,$M1104)*$K1104</f>
        <v>1.8000000000000001E-4</v>
      </c>
      <c r="F1104" s="4">
        <f t="shared" si="70"/>
        <v>13</v>
      </c>
      <c r="G1104" s="4" cm="1">
        <f t="array" ref="G1104">IF($C1104+$M1104&lt;16,INDEX(Sheet1!C:C,$F1104),$F1104)</f>
        <v>19</v>
      </c>
      <c r="H1104" s="4" t="str" cm="1">
        <f t="array" ref="H1104">INDEX(Sheet1!D:D,$G1104)</f>
        <v>t1139.xlsx</v>
      </c>
      <c r="I1104" s="4" t="str" cm="1">
        <f t="array" ref="I1104">INDEX(Sheet1!E:E,$G1104)</f>
        <v>Sheet1</v>
      </c>
      <c r="J1104" s="4" t="str" cm="1">
        <f t="array" ref="J1104">INDEX(Sheet1!F:F,$G1104)</f>
        <v>B25</v>
      </c>
      <c r="K1104" s="4" cm="1">
        <f t="array" ref="K1104">INDEX(Sheet1!H:H,$G1104)</f>
        <v>1</v>
      </c>
      <c r="L1104" s="4">
        <f t="shared" si="68"/>
        <v>2</v>
      </c>
      <c r="M1104" s="4">
        <f t="shared" si="71"/>
        <v>5</v>
      </c>
    </row>
    <row r="1105" spans="1:13">
      <c r="A1105" s="4" t="str" cm="1">
        <f t="array" ref="A1105">INDEX(Sheet1!A:A,$F1105)</f>
        <v>F</v>
      </c>
      <c r="B1105" s="4" t="str" cm="1">
        <f t="array" ref="B1105">INDEX(Sheet1!B:B,$F1105)</f>
        <v>Pref Resid NS</v>
      </c>
      <c r="C1105" s="4">
        <f t="shared" si="69"/>
        <v>3</v>
      </c>
      <c r="D1105" s="5" cm="1">
        <f t="array" aca="1" ref="D1105" ca="1">OFFSET(INDIRECT("'["&amp;$H1105&amp;"]"&amp;$I1105&amp;"'!"&amp;$J1105),$L1105,$M1105)*$K1105</f>
        <v>1.9000000000000001E-4</v>
      </c>
      <c r="F1105" s="4">
        <f t="shared" si="70"/>
        <v>13</v>
      </c>
      <c r="G1105" s="4" cm="1">
        <f t="array" ref="G1105">IF($C1105+$M1105&lt;16,INDEX(Sheet1!C:C,$F1105),$F1105)</f>
        <v>19</v>
      </c>
      <c r="H1105" s="4" t="str" cm="1">
        <f t="array" ref="H1105">INDEX(Sheet1!D:D,$G1105)</f>
        <v>t1139.xlsx</v>
      </c>
      <c r="I1105" s="4" t="str" cm="1">
        <f t="array" ref="I1105">INDEX(Sheet1!E:E,$G1105)</f>
        <v>Sheet1</v>
      </c>
      <c r="J1105" s="4" t="str" cm="1">
        <f t="array" ref="J1105">INDEX(Sheet1!F:F,$G1105)</f>
        <v>B25</v>
      </c>
      <c r="K1105" s="4" cm="1">
        <f t="array" ref="K1105">INDEX(Sheet1!H:H,$G1105)</f>
        <v>1</v>
      </c>
      <c r="L1105" s="4">
        <f t="shared" si="68"/>
        <v>3</v>
      </c>
      <c r="M1105" s="4">
        <f t="shared" si="71"/>
        <v>5</v>
      </c>
    </row>
    <row r="1106" spans="1:13">
      <c r="A1106" s="4" t="str" cm="1">
        <f t="array" ref="A1106">INDEX(Sheet1!A:A,$F1106)</f>
        <v>F</v>
      </c>
      <c r="B1106" s="4" t="str" cm="1">
        <f t="array" ref="B1106">INDEX(Sheet1!B:B,$F1106)</f>
        <v>Pref Resid NS</v>
      </c>
      <c r="C1106" s="4">
        <f t="shared" si="69"/>
        <v>4</v>
      </c>
      <c r="D1106" s="5" cm="1">
        <f t="array" aca="1" ref="D1106" ca="1">OFFSET(INDIRECT("'["&amp;$H1106&amp;"]"&amp;$I1106&amp;"'!"&amp;$J1106),$L1106,$M1106)*$K1106</f>
        <v>1.9000000000000001E-4</v>
      </c>
      <c r="F1106" s="4">
        <f t="shared" si="70"/>
        <v>13</v>
      </c>
      <c r="G1106" s="4" cm="1">
        <f t="array" ref="G1106">IF($C1106+$M1106&lt;16,INDEX(Sheet1!C:C,$F1106),$F1106)</f>
        <v>19</v>
      </c>
      <c r="H1106" s="4" t="str" cm="1">
        <f t="array" ref="H1106">INDEX(Sheet1!D:D,$G1106)</f>
        <v>t1139.xlsx</v>
      </c>
      <c r="I1106" s="4" t="str" cm="1">
        <f t="array" ref="I1106">INDEX(Sheet1!E:E,$G1106)</f>
        <v>Sheet1</v>
      </c>
      <c r="J1106" s="4" t="str" cm="1">
        <f t="array" ref="J1106">INDEX(Sheet1!F:F,$G1106)</f>
        <v>B25</v>
      </c>
      <c r="K1106" s="4" cm="1">
        <f t="array" ref="K1106">INDEX(Sheet1!H:H,$G1106)</f>
        <v>1</v>
      </c>
      <c r="L1106" s="4">
        <f t="shared" si="68"/>
        <v>4</v>
      </c>
      <c r="M1106" s="4">
        <f t="shared" si="71"/>
        <v>5</v>
      </c>
    </row>
    <row r="1107" spans="1:13">
      <c r="A1107" s="4" t="str" cm="1">
        <f t="array" ref="A1107">INDEX(Sheet1!A:A,$F1107)</f>
        <v>F</v>
      </c>
      <c r="B1107" s="4" t="str" cm="1">
        <f t="array" ref="B1107">INDEX(Sheet1!B:B,$F1107)</f>
        <v>Pref Resid NS</v>
      </c>
      <c r="C1107" s="4">
        <f t="shared" si="69"/>
        <v>5</v>
      </c>
      <c r="D1107" s="5" cm="1">
        <f t="array" aca="1" ref="D1107" ca="1">OFFSET(INDIRECT("'["&amp;$H1107&amp;"]"&amp;$I1107&amp;"'!"&amp;$J1107),$L1107,$M1107)*$K1107</f>
        <v>1.9000000000000001E-4</v>
      </c>
      <c r="F1107" s="4">
        <f t="shared" si="70"/>
        <v>13</v>
      </c>
      <c r="G1107" s="4" cm="1">
        <f t="array" ref="G1107">IF($C1107+$M1107&lt;16,INDEX(Sheet1!C:C,$F1107),$F1107)</f>
        <v>19</v>
      </c>
      <c r="H1107" s="4" t="str" cm="1">
        <f t="array" ref="H1107">INDEX(Sheet1!D:D,$G1107)</f>
        <v>t1139.xlsx</v>
      </c>
      <c r="I1107" s="4" t="str" cm="1">
        <f t="array" ref="I1107">INDEX(Sheet1!E:E,$G1107)</f>
        <v>Sheet1</v>
      </c>
      <c r="J1107" s="4" t="str" cm="1">
        <f t="array" ref="J1107">INDEX(Sheet1!F:F,$G1107)</f>
        <v>B25</v>
      </c>
      <c r="K1107" s="4" cm="1">
        <f t="array" ref="K1107">INDEX(Sheet1!H:H,$G1107)</f>
        <v>1</v>
      </c>
      <c r="L1107" s="4">
        <f t="shared" si="68"/>
        <v>5</v>
      </c>
      <c r="M1107" s="4">
        <f t="shared" si="71"/>
        <v>5</v>
      </c>
    </row>
    <row r="1108" spans="1:13">
      <c r="A1108" s="4" t="str" cm="1">
        <f t="array" ref="A1108">INDEX(Sheet1!A:A,$F1108)</f>
        <v>F</v>
      </c>
      <c r="B1108" s="4" t="str" cm="1">
        <f t="array" ref="B1108">INDEX(Sheet1!B:B,$F1108)</f>
        <v>Pref Resid NS</v>
      </c>
      <c r="C1108" s="4">
        <f t="shared" si="69"/>
        <v>6</v>
      </c>
      <c r="D1108" s="5" cm="1">
        <f t="array" aca="1" ref="D1108" ca="1">OFFSET(INDIRECT("'["&amp;$H1108&amp;"]"&amp;$I1108&amp;"'!"&amp;$J1108),$L1108,$M1108)*$K1108</f>
        <v>2.0000000000000001E-4</v>
      </c>
      <c r="F1108" s="4">
        <f t="shared" si="70"/>
        <v>13</v>
      </c>
      <c r="G1108" s="4" cm="1">
        <f t="array" ref="G1108">IF($C1108+$M1108&lt;16,INDEX(Sheet1!C:C,$F1108),$F1108)</f>
        <v>19</v>
      </c>
      <c r="H1108" s="4" t="str" cm="1">
        <f t="array" ref="H1108">INDEX(Sheet1!D:D,$G1108)</f>
        <v>t1139.xlsx</v>
      </c>
      <c r="I1108" s="4" t="str" cm="1">
        <f t="array" ref="I1108">INDEX(Sheet1!E:E,$G1108)</f>
        <v>Sheet1</v>
      </c>
      <c r="J1108" s="4" t="str" cm="1">
        <f t="array" ref="J1108">INDEX(Sheet1!F:F,$G1108)</f>
        <v>B25</v>
      </c>
      <c r="K1108" s="4" cm="1">
        <f t="array" ref="K1108">INDEX(Sheet1!H:H,$G1108)</f>
        <v>1</v>
      </c>
      <c r="L1108" s="4">
        <f t="shared" si="68"/>
        <v>6</v>
      </c>
      <c r="M1108" s="4">
        <f t="shared" si="71"/>
        <v>5</v>
      </c>
    </row>
    <row r="1109" spans="1:13">
      <c r="A1109" s="4" t="str" cm="1">
        <f t="array" ref="A1109">INDEX(Sheet1!A:A,$F1109)</f>
        <v>F</v>
      </c>
      <c r="B1109" s="4" t="str" cm="1">
        <f t="array" ref="B1109">INDEX(Sheet1!B:B,$F1109)</f>
        <v>Pref Resid NS</v>
      </c>
      <c r="C1109" s="4">
        <f t="shared" si="69"/>
        <v>7</v>
      </c>
      <c r="D1109" s="5" cm="1">
        <f t="array" aca="1" ref="D1109" ca="1">OFFSET(INDIRECT("'["&amp;$H1109&amp;"]"&amp;$I1109&amp;"'!"&amp;$J1109),$L1109,$M1109)*$K1109</f>
        <v>2.2000000000000001E-4</v>
      </c>
      <c r="F1109" s="4">
        <f t="shared" si="70"/>
        <v>13</v>
      </c>
      <c r="G1109" s="4" cm="1">
        <f t="array" ref="G1109">IF($C1109+$M1109&lt;16,INDEX(Sheet1!C:C,$F1109),$F1109)</f>
        <v>19</v>
      </c>
      <c r="H1109" s="4" t="str" cm="1">
        <f t="array" ref="H1109">INDEX(Sheet1!D:D,$G1109)</f>
        <v>t1139.xlsx</v>
      </c>
      <c r="I1109" s="4" t="str" cm="1">
        <f t="array" ref="I1109">INDEX(Sheet1!E:E,$G1109)</f>
        <v>Sheet1</v>
      </c>
      <c r="J1109" s="4" t="str" cm="1">
        <f t="array" ref="J1109">INDEX(Sheet1!F:F,$G1109)</f>
        <v>B25</v>
      </c>
      <c r="K1109" s="4" cm="1">
        <f t="array" ref="K1109">INDEX(Sheet1!H:H,$G1109)</f>
        <v>1</v>
      </c>
      <c r="L1109" s="4">
        <f t="shared" si="68"/>
        <v>7</v>
      </c>
      <c r="M1109" s="4">
        <f t="shared" si="71"/>
        <v>5</v>
      </c>
    </row>
    <row r="1110" spans="1:13">
      <c r="A1110" s="4" t="str" cm="1">
        <f t="array" ref="A1110">INDEX(Sheet1!A:A,$F1110)</f>
        <v>F</v>
      </c>
      <c r="B1110" s="4" t="str" cm="1">
        <f t="array" ref="B1110">INDEX(Sheet1!B:B,$F1110)</f>
        <v>Pref Resid NS</v>
      </c>
      <c r="C1110" s="4">
        <f t="shared" si="69"/>
        <v>8</v>
      </c>
      <c r="D1110" s="5" cm="1">
        <f t="array" aca="1" ref="D1110" ca="1">OFFSET(INDIRECT("'["&amp;$H1110&amp;"]"&amp;$I1110&amp;"'!"&amp;$J1110),$L1110,$M1110)*$K1110</f>
        <v>2.4000000000000001E-4</v>
      </c>
      <c r="F1110" s="4">
        <f t="shared" si="70"/>
        <v>13</v>
      </c>
      <c r="G1110" s="4" cm="1">
        <f t="array" ref="G1110">IF($C1110+$M1110&lt;16,INDEX(Sheet1!C:C,$F1110),$F1110)</f>
        <v>19</v>
      </c>
      <c r="H1110" s="4" t="str" cm="1">
        <f t="array" ref="H1110">INDEX(Sheet1!D:D,$G1110)</f>
        <v>t1139.xlsx</v>
      </c>
      <c r="I1110" s="4" t="str" cm="1">
        <f t="array" ref="I1110">INDEX(Sheet1!E:E,$G1110)</f>
        <v>Sheet1</v>
      </c>
      <c r="J1110" s="4" t="str" cm="1">
        <f t="array" ref="J1110">INDEX(Sheet1!F:F,$G1110)</f>
        <v>B25</v>
      </c>
      <c r="K1110" s="4" cm="1">
        <f t="array" ref="K1110">INDEX(Sheet1!H:H,$G1110)</f>
        <v>1</v>
      </c>
      <c r="L1110" s="4">
        <f t="shared" si="68"/>
        <v>8</v>
      </c>
      <c r="M1110" s="4">
        <f t="shared" si="71"/>
        <v>5</v>
      </c>
    </row>
    <row r="1111" spans="1:13">
      <c r="A1111" s="4" t="str" cm="1">
        <f t="array" ref="A1111">INDEX(Sheet1!A:A,$F1111)</f>
        <v>F</v>
      </c>
      <c r="B1111" s="4" t="str" cm="1">
        <f t="array" ref="B1111">INDEX(Sheet1!B:B,$F1111)</f>
        <v>Pref Resid NS</v>
      </c>
      <c r="C1111" s="4">
        <f t="shared" si="69"/>
        <v>9</v>
      </c>
      <c r="D1111" s="5" cm="1">
        <f t="array" aca="1" ref="D1111" ca="1">OFFSET(INDIRECT("'["&amp;$H1111&amp;"]"&amp;$I1111&amp;"'!"&amp;$J1111),$L1111,$M1111)*$K1111</f>
        <v>2.7E-4</v>
      </c>
      <c r="F1111" s="4">
        <f t="shared" si="70"/>
        <v>13</v>
      </c>
      <c r="G1111" s="4" cm="1">
        <f t="array" ref="G1111">IF($C1111+$M1111&lt;16,INDEX(Sheet1!C:C,$F1111),$F1111)</f>
        <v>19</v>
      </c>
      <c r="H1111" s="4" t="str" cm="1">
        <f t="array" ref="H1111">INDEX(Sheet1!D:D,$G1111)</f>
        <v>t1139.xlsx</v>
      </c>
      <c r="I1111" s="4" t="str" cm="1">
        <f t="array" ref="I1111">INDEX(Sheet1!E:E,$G1111)</f>
        <v>Sheet1</v>
      </c>
      <c r="J1111" s="4" t="str" cm="1">
        <f t="array" ref="J1111">INDEX(Sheet1!F:F,$G1111)</f>
        <v>B25</v>
      </c>
      <c r="K1111" s="4" cm="1">
        <f t="array" ref="K1111">INDEX(Sheet1!H:H,$G1111)</f>
        <v>1</v>
      </c>
      <c r="L1111" s="4">
        <f t="shared" si="68"/>
        <v>9</v>
      </c>
      <c r="M1111" s="4">
        <f t="shared" si="71"/>
        <v>5</v>
      </c>
    </row>
    <row r="1112" spans="1:13">
      <c r="A1112" s="4" t="str" cm="1">
        <f t="array" ref="A1112">INDEX(Sheet1!A:A,$F1112)</f>
        <v>F</v>
      </c>
      <c r="B1112" s="4" t="str" cm="1">
        <f t="array" ref="B1112">INDEX(Sheet1!B:B,$F1112)</f>
        <v>Pref Resid NS</v>
      </c>
      <c r="C1112" s="4">
        <f t="shared" si="69"/>
        <v>10</v>
      </c>
      <c r="D1112" s="5" cm="1">
        <f t="array" aca="1" ref="D1112" ca="1">OFFSET(INDIRECT("'["&amp;$H1112&amp;"]"&amp;$I1112&amp;"'!"&amp;$J1112),$L1112,$M1112)*$K1112</f>
        <v>3.1E-4</v>
      </c>
      <c r="F1112" s="4">
        <f t="shared" si="70"/>
        <v>13</v>
      </c>
      <c r="G1112" s="4" cm="1">
        <f t="array" ref="G1112">IF($C1112+$M1112&lt;16,INDEX(Sheet1!C:C,$F1112),$F1112)</f>
        <v>19</v>
      </c>
      <c r="H1112" s="4" t="str" cm="1">
        <f t="array" ref="H1112">INDEX(Sheet1!D:D,$G1112)</f>
        <v>t1139.xlsx</v>
      </c>
      <c r="I1112" s="4" t="str" cm="1">
        <f t="array" ref="I1112">INDEX(Sheet1!E:E,$G1112)</f>
        <v>Sheet1</v>
      </c>
      <c r="J1112" s="4" t="str" cm="1">
        <f t="array" ref="J1112">INDEX(Sheet1!F:F,$G1112)</f>
        <v>B25</v>
      </c>
      <c r="K1112" s="4" cm="1">
        <f t="array" ref="K1112">INDEX(Sheet1!H:H,$G1112)</f>
        <v>1</v>
      </c>
      <c r="L1112" s="4">
        <f t="shared" si="68"/>
        <v>10</v>
      </c>
      <c r="M1112" s="4">
        <f t="shared" si="71"/>
        <v>5</v>
      </c>
    </row>
    <row r="1113" spans="1:13">
      <c r="A1113" s="4" t="str" cm="1">
        <f t="array" ref="A1113">INDEX(Sheet1!A:A,$F1113)</f>
        <v>F</v>
      </c>
      <c r="B1113" s="4" t="str" cm="1">
        <f t="array" ref="B1113">INDEX(Sheet1!B:B,$F1113)</f>
        <v>Pref Resid NS</v>
      </c>
      <c r="C1113" s="4">
        <f t="shared" si="69"/>
        <v>11</v>
      </c>
      <c r="D1113" s="5" cm="1">
        <f t="array" aca="1" ref="D1113" ca="1">OFFSET(INDIRECT("'["&amp;$H1113&amp;"]"&amp;$I1113&amp;"'!"&amp;$J1113),$L1113,$M1113)*$K1113</f>
        <v>2.5000000000000001E-4</v>
      </c>
      <c r="F1113" s="4">
        <f t="shared" si="70"/>
        <v>13</v>
      </c>
      <c r="G1113" s="4" cm="1">
        <f t="array" ref="G1113">IF($C1113+$M1113&lt;16,INDEX(Sheet1!C:C,$F1113),$F1113)</f>
        <v>13</v>
      </c>
      <c r="H1113" s="4" t="str" cm="1">
        <f t="array" ref="H1113">INDEX(Sheet1!D:D,$G1113)</f>
        <v>2001-cso-preferred-class-structure-mortality-tables.xls</v>
      </c>
      <c r="I1113" s="4" t="str" cm="1">
        <f t="array" ref="I1113">INDEX(Sheet1!E:E,$G1113)</f>
        <v>A.1.b.ii</v>
      </c>
      <c r="J1113" s="4" t="str" cm="1">
        <f t="array" ref="J1113">INDEX(Sheet1!F:F,$G1113)</f>
        <v>B8</v>
      </c>
      <c r="K1113" s="4" cm="1">
        <f t="array" ref="K1113">INDEX(Sheet1!H:H,$G1113)</f>
        <v>1E-3</v>
      </c>
      <c r="L1113" s="4">
        <f t="shared" si="68"/>
        <v>11</v>
      </c>
      <c r="M1113" s="4">
        <f t="shared" si="71"/>
        <v>5</v>
      </c>
    </row>
    <row r="1114" spans="1:13">
      <c r="A1114" s="4" t="str" cm="1">
        <f t="array" ref="A1114">INDEX(Sheet1!A:A,$F1114)</f>
        <v>F</v>
      </c>
      <c r="B1114" s="4" t="str" cm="1">
        <f t="array" ref="B1114">INDEX(Sheet1!B:B,$F1114)</f>
        <v>Pref Resid NS</v>
      </c>
      <c r="C1114" s="4">
        <f t="shared" si="69"/>
        <v>12</v>
      </c>
      <c r="D1114" s="5" cm="1">
        <f t="array" aca="1" ref="D1114" ca="1">OFFSET(INDIRECT("'["&amp;$H1114&amp;"]"&amp;$I1114&amp;"'!"&amp;$J1114),$L1114,$M1114)*$K1114</f>
        <v>2.6000000000000003E-4</v>
      </c>
      <c r="F1114" s="4">
        <f t="shared" si="70"/>
        <v>13</v>
      </c>
      <c r="G1114" s="4" cm="1">
        <f t="array" ref="G1114">IF($C1114+$M1114&lt;16,INDEX(Sheet1!C:C,$F1114),$F1114)</f>
        <v>13</v>
      </c>
      <c r="H1114" s="4" t="str" cm="1">
        <f t="array" ref="H1114">INDEX(Sheet1!D:D,$G1114)</f>
        <v>2001-cso-preferred-class-structure-mortality-tables.xls</v>
      </c>
      <c r="I1114" s="4" t="str" cm="1">
        <f t="array" ref="I1114">INDEX(Sheet1!E:E,$G1114)</f>
        <v>A.1.b.ii</v>
      </c>
      <c r="J1114" s="4" t="str" cm="1">
        <f t="array" ref="J1114">INDEX(Sheet1!F:F,$G1114)</f>
        <v>B8</v>
      </c>
      <c r="K1114" s="4" cm="1">
        <f t="array" ref="K1114">INDEX(Sheet1!H:H,$G1114)</f>
        <v>1E-3</v>
      </c>
      <c r="L1114" s="4">
        <f t="shared" si="68"/>
        <v>12</v>
      </c>
      <c r="M1114" s="4">
        <f t="shared" si="71"/>
        <v>5</v>
      </c>
    </row>
    <row r="1115" spans="1:13">
      <c r="A1115" s="4" t="str" cm="1">
        <f t="array" ref="A1115">INDEX(Sheet1!A:A,$F1115)</f>
        <v>F</v>
      </c>
      <c r="B1115" s="4" t="str" cm="1">
        <f t="array" ref="B1115">INDEX(Sheet1!B:B,$F1115)</f>
        <v>Pref Resid NS</v>
      </c>
      <c r="C1115" s="4">
        <f t="shared" si="69"/>
        <v>13</v>
      </c>
      <c r="D1115" s="5" cm="1">
        <f t="array" aca="1" ref="D1115" ca="1">OFFSET(INDIRECT("'["&amp;$H1115&amp;"]"&amp;$I1115&amp;"'!"&amp;$J1115),$L1115,$M1115)*$K1115</f>
        <v>2.6000000000000003E-4</v>
      </c>
      <c r="F1115" s="4">
        <f t="shared" si="70"/>
        <v>13</v>
      </c>
      <c r="G1115" s="4" cm="1">
        <f t="array" ref="G1115">IF($C1115+$M1115&lt;16,INDEX(Sheet1!C:C,$F1115),$F1115)</f>
        <v>13</v>
      </c>
      <c r="H1115" s="4" t="str" cm="1">
        <f t="array" ref="H1115">INDEX(Sheet1!D:D,$G1115)</f>
        <v>2001-cso-preferred-class-structure-mortality-tables.xls</v>
      </c>
      <c r="I1115" s="4" t="str" cm="1">
        <f t="array" ref="I1115">INDEX(Sheet1!E:E,$G1115)</f>
        <v>A.1.b.ii</v>
      </c>
      <c r="J1115" s="4" t="str" cm="1">
        <f t="array" ref="J1115">INDEX(Sheet1!F:F,$G1115)</f>
        <v>B8</v>
      </c>
      <c r="K1115" s="4" cm="1">
        <f t="array" ref="K1115">INDEX(Sheet1!H:H,$G1115)</f>
        <v>1E-3</v>
      </c>
      <c r="L1115" s="4">
        <f t="shared" si="68"/>
        <v>13</v>
      </c>
      <c r="M1115" s="4">
        <f t="shared" si="71"/>
        <v>5</v>
      </c>
    </row>
    <row r="1116" spans="1:13">
      <c r="A1116" s="4" t="str" cm="1">
        <f t="array" ref="A1116">INDEX(Sheet1!A:A,$F1116)</f>
        <v>F</v>
      </c>
      <c r="B1116" s="4" t="str" cm="1">
        <f t="array" ref="B1116">INDEX(Sheet1!B:B,$F1116)</f>
        <v>Pref Resid NS</v>
      </c>
      <c r="C1116" s="4">
        <f t="shared" si="69"/>
        <v>14</v>
      </c>
      <c r="D1116" s="5" cm="1">
        <f t="array" aca="1" ref="D1116" ca="1">OFFSET(INDIRECT("'["&amp;$H1116&amp;"]"&amp;$I1116&amp;"'!"&amp;$J1116),$L1116,$M1116)*$K1116</f>
        <v>2.6000000000000003E-4</v>
      </c>
      <c r="F1116" s="4">
        <f t="shared" si="70"/>
        <v>13</v>
      </c>
      <c r="G1116" s="4" cm="1">
        <f t="array" ref="G1116">IF($C1116+$M1116&lt;16,INDEX(Sheet1!C:C,$F1116),$F1116)</f>
        <v>13</v>
      </c>
      <c r="H1116" s="4" t="str" cm="1">
        <f t="array" ref="H1116">INDEX(Sheet1!D:D,$G1116)</f>
        <v>2001-cso-preferred-class-structure-mortality-tables.xls</v>
      </c>
      <c r="I1116" s="4" t="str" cm="1">
        <f t="array" ref="I1116">INDEX(Sheet1!E:E,$G1116)</f>
        <v>A.1.b.ii</v>
      </c>
      <c r="J1116" s="4" t="str" cm="1">
        <f t="array" ref="J1116">INDEX(Sheet1!F:F,$G1116)</f>
        <v>B8</v>
      </c>
      <c r="K1116" s="4" cm="1">
        <f t="array" ref="K1116">INDEX(Sheet1!H:H,$G1116)</f>
        <v>1E-3</v>
      </c>
      <c r="L1116" s="4">
        <f t="shared" si="68"/>
        <v>14</v>
      </c>
      <c r="M1116" s="4">
        <f t="shared" si="71"/>
        <v>5</v>
      </c>
    </row>
    <row r="1117" spans="1:13">
      <c r="A1117" s="4" t="str" cm="1">
        <f t="array" ref="A1117">INDEX(Sheet1!A:A,$F1117)</f>
        <v>F</v>
      </c>
      <c r="B1117" s="4" t="str" cm="1">
        <f t="array" ref="B1117">INDEX(Sheet1!B:B,$F1117)</f>
        <v>Pref Resid NS</v>
      </c>
      <c r="C1117" s="4">
        <f t="shared" si="69"/>
        <v>15</v>
      </c>
      <c r="D1117" s="5" cm="1">
        <f t="array" aca="1" ref="D1117" ca="1">OFFSET(INDIRECT("'["&amp;$H1117&amp;"]"&amp;$I1117&amp;"'!"&amp;$J1117),$L1117,$M1117)*$K1117</f>
        <v>2.8000000000000003E-4</v>
      </c>
      <c r="F1117" s="4">
        <f t="shared" si="70"/>
        <v>13</v>
      </c>
      <c r="G1117" s="4" cm="1">
        <f t="array" ref="G1117">IF($C1117+$M1117&lt;16,INDEX(Sheet1!C:C,$F1117),$F1117)</f>
        <v>13</v>
      </c>
      <c r="H1117" s="4" t="str" cm="1">
        <f t="array" ref="H1117">INDEX(Sheet1!D:D,$G1117)</f>
        <v>2001-cso-preferred-class-structure-mortality-tables.xls</v>
      </c>
      <c r="I1117" s="4" t="str" cm="1">
        <f t="array" ref="I1117">INDEX(Sheet1!E:E,$G1117)</f>
        <v>A.1.b.ii</v>
      </c>
      <c r="J1117" s="4" t="str" cm="1">
        <f t="array" ref="J1117">INDEX(Sheet1!F:F,$G1117)</f>
        <v>B8</v>
      </c>
      <c r="K1117" s="4" cm="1">
        <f t="array" ref="K1117">INDEX(Sheet1!H:H,$G1117)</f>
        <v>1E-3</v>
      </c>
      <c r="L1117" s="4">
        <f t="shared" si="68"/>
        <v>15</v>
      </c>
      <c r="M1117" s="4">
        <f t="shared" si="71"/>
        <v>5</v>
      </c>
    </row>
    <row r="1118" spans="1:13">
      <c r="A1118" s="4" t="str" cm="1">
        <f t="array" ref="A1118">INDEX(Sheet1!A:A,$F1118)</f>
        <v>F</v>
      </c>
      <c r="B1118" s="4" t="str" cm="1">
        <f t="array" ref="B1118">INDEX(Sheet1!B:B,$F1118)</f>
        <v>Pref Resid NS</v>
      </c>
      <c r="C1118" s="4">
        <f t="shared" si="69"/>
        <v>16</v>
      </c>
      <c r="D1118" s="5" cm="1">
        <f t="array" aca="1" ref="D1118" ca="1">OFFSET(INDIRECT("'["&amp;$H1118&amp;"]"&amp;$I1118&amp;"'!"&amp;$J1118),$L1118,$M1118)*$K1118</f>
        <v>2.8000000000000003E-4</v>
      </c>
      <c r="F1118" s="4">
        <f t="shared" si="70"/>
        <v>13</v>
      </c>
      <c r="G1118" s="4" cm="1">
        <f t="array" ref="G1118">IF($C1118+$M1118&lt;16,INDEX(Sheet1!C:C,$F1118),$F1118)</f>
        <v>13</v>
      </c>
      <c r="H1118" s="4" t="str" cm="1">
        <f t="array" ref="H1118">INDEX(Sheet1!D:D,$G1118)</f>
        <v>2001-cso-preferred-class-structure-mortality-tables.xls</v>
      </c>
      <c r="I1118" s="4" t="str" cm="1">
        <f t="array" ref="I1118">INDEX(Sheet1!E:E,$G1118)</f>
        <v>A.1.b.ii</v>
      </c>
      <c r="J1118" s="4" t="str" cm="1">
        <f t="array" ref="J1118">INDEX(Sheet1!F:F,$G1118)</f>
        <v>B8</v>
      </c>
      <c r="K1118" s="4" cm="1">
        <f t="array" ref="K1118">INDEX(Sheet1!H:H,$G1118)</f>
        <v>1E-3</v>
      </c>
      <c r="L1118" s="4">
        <f t="shared" si="68"/>
        <v>16</v>
      </c>
      <c r="M1118" s="4">
        <f t="shared" si="71"/>
        <v>5</v>
      </c>
    </row>
    <row r="1119" spans="1:13">
      <c r="A1119" s="4" t="str" cm="1">
        <f t="array" ref="A1119">INDEX(Sheet1!A:A,$F1119)</f>
        <v>F</v>
      </c>
      <c r="B1119" s="4" t="str" cm="1">
        <f t="array" ref="B1119">INDEX(Sheet1!B:B,$F1119)</f>
        <v>Pref Resid NS</v>
      </c>
      <c r="C1119" s="4">
        <f t="shared" si="69"/>
        <v>17</v>
      </c>
      <c r="D1119" s="5" cm="1">
        <f t="array" aca="1" ref="D1119" ca="1">OFFSET(INDIRECT("'["&amp;$H1119&amp;"]"&amp;$I1119&amp;"'!"&amp;$J1119),$L1119,$M1119)*$K1119</f>
        <v>2.9E-4</v>
      </c>
      <c r="F1119" s="4">
        <f t="shared" si="70"/>
        <v>13</v>
      </c>
      <c r="G1119" s="4" cm="1">
        <f t="array" ref="G1119">IF($C1119+$M1119&lt;16,INDEX(Sheet1!C:C,$F1119),$F1119)</f>
        <v>13</v>
      </c>
      <c r="H1119" s="4" t="str" cm="1">
        <f t="array" ref="H1119">INDEX(Sheet1!D:D,$G1119)</f>
        <v>2001-cso-preferred-class-structure-mortality-tables.xls</v>
      </c>
      <c r="I1119" s="4" t="str" cm="1">
        <f t="array" ref="I1119">INDEX(Sheet1!E:E,$G1119)</f>
        <v>A.1.b.ii</v>
      </c>
      <c r="J1119" s="4" t="str" cm="1">
        <f t="array" ref="J1119">INDEX(Sheet1!F:F,$G1119)</f>
        <v>B8</v>
      </c>
      <c r="K1119" s="4" cm="1">
        <f t="array" ref="K1119">INDEX(Sheet1!H:H,$G1119)</f>
        <v>1E-3</v>
      </c>
      <c r="L1119" s="4">
        <f t="shared" si="68"/>
        <v>17</v>
      </c>
      <c r="M1119" s="4">
        <f t="shared" si="71"/>
        <v>5</v>
      </c>
    </row>
    <row r="1120" spans="1:13">
      <c r="A1120" s="4" t="str" cm="1">
        <f t="array" ref="A1120">INDEX(Sheet1!A:A,$F1120)</f>
        <v>F</v>
      </c>
      <c r="B1120" s="4" t="str" cm="1">
        <f t="array" ref="B1120">INDEX(Sheet1!B:B,$F1120)</f>
        <v>Pref Resid NS</v>
      </c>
      <c r="C1120" s="4">
        <f t="shared" si="69"/>
        <v>18</v>
      </c>
      <c r="D1120" s="5" cm="1">
        <f t="array" aca="1" ref="D1120" ca="1">OFFSET(INDIRECT("'["&amp;$H1120&amp;"]"&amp;$I1120&amp;"'!"&amp;$J1120),$L1120,$M1120)*$K1120</f>
        <v>2.9E-4</v>
      </c>
      <c r="F1120" s="4">
        <f t="shared" si="70"/>
        <v>13</v>
      </c>
      <c r="G1120" s="4" cm="1">
        <f t="array" ref="G1120">IF($C1120+$M1120&lt;16,INDEX(Sheet1!C:C,$F1120),$F1120)</f>
        <v>13</v>
      </c>
      <c r="H1120" s="4" t="str" cm="1">
        <f t="array" ref="H1120">INDEX(Sheet1!D:D,$G1120)</f>
        <v>2001-cso-preferred-class-structure-mortality-tables.xls</v>
      </c>
      <c r="I1120" s="4" t="str" cm="1">
        <f t="array" ref="I1120">INDEX(Sheet1!E:E,$G1120)</f>
        <v>A.1.b.ii</v>
      </c>
      <c r="J1120" s="4" t="str" cm="1">
        <f t="array" ref="J1120">INDEX(Sheet1!F:F,$G1120)</f>
        <v>B8</v>
      </c>
      <c r="K1120" s="4" cm="1">
        <f t="array" ref="K1120">INDEX(Sheet1!H:H,$G1120)</f>
        <v>1E-3</v>
      </c>
      <c r="L1120" s="4">
        <f t="shared" si="68"/>
        <v>18</v>
      </c>
      <c r="M1120" s="4">
        <f t="shared" si="71"/>
        <v>5</v>
      </c>
    </row>
    <row r="1121" spans="1:13">
      <c r="A1121" s="4" t="str" cm="1">
        <f t="array" ref="A1121">INDEX(Sheet1!A:A,$F1121)</f>
        <v>F</v>
      </c>
      <c r="B1121" s="4" t="str" cm="1">
        <f t="array" ref="B1121">INDEX(Sheet1!B:B,$F1121)</f>
        <v>Pref Resid NS</v>
      </c>
      <c r="C1121" s="4">
        <f t="shared" si="69"/>
        <v>19</v>
      </c>
      <c r="D1121" s="5" cm="1">
        <f t="array" aca="1" ref="D1121" ca="1">OFFSET(INDIRECT("'["&amp;$H1121&amp;"]"&amp;$I1121&amp;"'!"&amp;$J1121),$L1121,$M1121)*$K1121</f>
        <v>2.9999999999999997E-4</v>
      </c>
      <c r="F1121" s="4">
        <f t="shared" si="70"/>
        <v>13</v>
      </c>
      <c r="G1121" s="4" cm="1">
        <f t="array" ref="G1121">IF($C1121+$M1121&lt;16,INDEX(Sheet1!C:C,$F1121),$F1121)</f>
        <v>13</v>
      </c>
      <c r="H1121" s="4" t="str" cm="1">
        <f t="array" ref="H1121">INDEX(Sheet1!D:D,$G1121)</f>
        <v>2001-cso-preferred-class-structure-mortality-tables.xls</v>
      </c>
      <c r="I1121" s="4" t="str" cm="1">
        <f t="array" ref="I1121">INDEX(Sheet1!E:E,$G1121)</f>
        <v>A.1.b.ii</v>
      </c>
      <c r="J1121" s="4" t="str" cm="1">
        <f t="array" ref="J1121">INDEX(Sheet1!F:F,$G1121)</f>
        <v>B8</v>
      </c>
      <c r="K1121" s="4" cm="1">
        <f t="array" ref="K1121">INDEX(Sheet1!H:H,$G1121)</f>
        <v>1E-3</v>
      </c>
      <c r="L1121" s="4">
        <f t="shared" si="68"/>
        <v>19</v>
      </c>
      <c r="M1121" s="4">
        <f t="shared" si="71"/>
        <v>5</v>
      </c>
    </row>
    <row r="1122" spans="1:13">
      <c r="A1122" s="4" t="str" cm="1">
        <f t="array" ref="A1122">INDEX(Sheet1!A:A,$F1122)</f>
        <v>F</v>
      </c>
      <c r="B1122" s="4" t="str" cm="1">
        <f t="array" ref="B1122">INDEX(Sheet1!B:B,$F1122)</f>
        <v>Pref Resid NS</v>
      </c>
      <c r="C1122" s="4">
        <f t="shared" si="69"/>
        <v>20</v>
      </c>
      <c r="D1122" s="5" cm="1">
        <f t="array" aca="1" ref="D1122" ca="1">OFFSET(INDIRECT("'["&amp;$H1122&amp;"]"&amp;$I1122&amp;"'!"&amp;$J1122),$L1122,$M1122)*$K1122</f>
        <v>3.1E-4</v>
      </c>
      <c r="F1122" s="4">
        <f t="shared" si="70"/>
        <v>13</v>
      </c>
      <c r="G1122" s="4" cm="1">
        <f t="array" ref="G1122">IF($C1122+$M1122&lt;16,INDEX(Sheet1!C:C,$F1122),$F1122)</f>
        <v>13</v>
      </c>
      <c r="H1122" s="4" t="str" cm="1">
        <f t="array" ref="H1122">INDEX(Sheet1!D:D,$G1122)</f>
        <v>2001-cso-preferred-class-structure-mortality-tables.xls</v>
      </c>
      <c r="I1122" s="4" t="str" cm="1">
        <f t="array" ref="I1122">INDEX(Sheet1!E:E,$G1122)</f>
        <v>A.1.b.ii</v>
      </c>
      <c r="J1122" s="4" t="str" cm="1">
        <f t="array" ref="J1122">INDEX(Sheet1!F:F,$G1122)</f>
        <v>B8</v>
      </c>
      <c r="K1122" s="4" cm="1">
        <f t="array" ref="K1122">INDEX(Sheet1!H:H,$G1122)</f>
        <v>1E-3</v>
      </c>
      <c r="L1122" s="4">
        <f t="shared" si="68"/>
        <v>20</v>
      </c>
      <c r="M1122" s="4">
        <f t="shared" si="71"/>
        <v>5</v>
      </c>
    </row>
    <row r="1123" spans="1:13">
      <c r="A1123" s="4" t="str" cm="1">
        <f t="array" ref="A1123">INDEX(Sheet1!A:A,$F1123)</f>
        <v>F</v>
      </c>
      <c r="B1123" s="4" t="str" cm="1">
        <f t="array" ref="B1123">INDEX(Sheet1!B:B,$F1123)</f>
        <v>Pref Resid NS</v>
      </c>
      <c r="C1123" s="4">
        <f t="shared" si="69"/>
        <v>21</v>
      </c>
      <c r="D1123" s="5" cm="1">
        <f t="array" aca="1" ref="D1123" ca="1">OFFSET(INDIRECT("'["&amp;$H1123&amp;"]"&amp;$I1123&amp;"'!"&amp;$J1123),$L1123,$M1123)*$K1123</f>
        <v>3.2000000000000003E-4</v>
      </c>
      <c r="F1123" s="4">
        <f t="shared" si="70"/>
        <v>13</v>
      </c>
      <c r="G1123" s="4" cm="1">
        <f t="array" ref="G1123">IF($C1123+$M1123&lt;16,INDEX(Sheet1!C:C,$F1123),$F1123)</f>
        <v>13</v>
      </c>
      <c r="H1123" s="4" t="str" cm="1">
        <f t="array" ref="H1123">INDEX(Sheet1!D:D,$G1123)</f>
        <v>2001-cso-preferred-class-structure-mortality-tables.xls</v>
      </c>
      <c r="I1123" s="4" t="str" cm="1">
        <f t="array" ref="I1123">INDEX(Sheet1!E:E,$G1123)</f>
        <v>A.1.b.ii</v>
      </c>
      <c r="J1123" s="4" t="str" cm="1">
        <f t="array" ref="J1123">INDEX(Sheet1!F:F,$G1123)</f>
        <v>B8</v>
      </c>
      <c r="K1123" s="4" cm="1">
        <f t="array" ref="K1123">INDEX(Sheet1!H:H,$G1123)</f>
        <v>1E-3</v>
      </c>
      <c r="L1123" s="4">
        <f t="shared" si="68"/>
        <v>21</v>
      </c>
      <c r="M1123" s="4">
        <f t="shared" si="71"/>
        <v>5</v>
      </c>
    </row>
    <row r="1124" spans="1:13">
      <c r="A1124" s="4" t="str" cm="1">
        <f t="array" ref="A1124">INDEX(Sheet1!A:A,$F1124)</f>
        <v>F</v>
      </c>
      <c r="B1124" s="4" t="str" cm="1">
        <f t="array" ref="B1124">INDEX(Sheet1!B:B,$F1124)</f>
        <v>Pref Resid NS</v>
      </c>
      <c r="C1124" s="4">
        <f t="shared" si="69"/>
        <v>22</v>
      </c>
      <c r="D1124" s="5" cm="1">
        <f t="array" aca="1" ref="D1124" ca="1">OFFSET(INDIRECT("'["&amp;$H1124&amp;"]"&amp;$I1124&amp;"'!"&amp;$J1124),$L1124,$M1124)*$K1124</f>
        <v>3.4000000000000002E-4</v>
      </c>
      <c r="F1124" s="4">
        <f t="shared" si="70"/>
        <v>13</v>
      </c>
      <c r="G1124" s="4" cm="1">
        <f t="array" ref="G1124">IF($C1124+$M1124&lt;16,INDEX(Sheet1!C:C,$F1124),$F1124)</f>
        <v>13</v>
      </c>
      <c r="H1124" s="4" t="str" cm="1">
        <f t="array" ref="H1124">INDEX(Sheet1!D:D,$G1124)</f>
        <v>2001-cso-preferred-class-structure-mortality-tables.xls</v>
      </c>
      <c r="I1124" s="4" t="str" cm="1">
        <f t="array" ref="I1124">INDEX(Sheet1!E:E,$G1124)</f>
        <v>A.1.b.ii</v>
      </c>
      <c r="J1124" s="4" t="str" cm="1">
        <f t="array" ref="J1124">INDEX(Sheet1!F:F,$G1124)</f>
        <v>B8</v>
      </c>
      <c r="K1124" s="4" cm="1">
        <f t="array" ref="K1124">INDEX(Sheet1!H:H,$G1124)</f>
        <v>1E-3</v>
      </c>
      <c r="L1124" s="4">
        <f t="shared" si="68"/>
        <v>22</v>
      </c>
      <c r="M1124" s="4">
        <f t="shared" si="71"/>
        <v>5</v>
      </c>
    </row>
    <row r="1125" spans="1:13">
      <c r="A1125" s="4" t="str" cm="1">
        <f t="array" ref="A1125">INDEX(Sheet1!A:A,$F1125)</f>
        <v>F</v>
      </c>
      <c r="B1125" s="4" t="str" cm="1">
        <f t="array" ref="B1125">INDEX(Sheet1!B:B,$F1125)</f>
        <v>Pref Resid NS</v>
      </c>
      <c r="C1125" s="4">
        <f t="shared" si="69"/>
        <v>23</v>
      </c>
      <c r="D1125" s="5" cm="1">
        <f t="array" aca="1" ref="D1125" ca="1">OFFSET(INDIRECT("'["&amp;$H1125&amp;"]"&amp;$I1125&amp;"'!"&amp;$J1125),$L1125,$M1125)*$K1125</f>
        <v>3.5E-4</v>
      </c>
      <c r="F1125" s="4">
        <f t="shared" si="70"/>
        <v>13</v>
      </c>
      <c r="G1125" s="4" cm="1">
        <f t="array" ref="G1125">IF($C1125+$M1125&lt;16,INDEX(Sheet1!C:C,$F1125),$F1125)</f>
        <v>13</v>
      </c>
      <c r="H1125" s="4" t="str" cm="1">
        <f t="array" ref="H1125">INDEX(Sheet1!D:D,$G1125)</f>
        <v>2001-cso-preferred-class-structure-mortality-tables.xls</v>
      </c>
      <c r="I1125" s="4" t="str" cm="1">
        <f t="array" ref="I1125">INDEX(Sheet1!E:E,$G1125)</f>
        <v>A.1.b.ii</v>
      </c>
      <c r="J1125" s="4" t="str" cm="1">
        <f t="array" ref="J1125">INDEX(Sheet1!F:F,$G1125)</f>
        <v>B8</v>
      </c>
      <c r="K1125" s="4" cm="1">
        <f t="array" ref="K1125">INDEX(Sheet1!H:H,$G1125)</f>
        <v>1E-3</v>
      </c>
      <c r="L1125" s="4">
        <f t="shared" si="68"/>
        <v>23</v>
      </c>
      <c r="M1125" s="4">
        <f t="shared" si="71"/>
        <v>5</v>
      </c>
    </row>
    <row r="1126" spans="1:13">
      <c r="A1126" s="4" t="str" cm="1">
        <f t="array" ref="A1126">INDEX(Sheet1!A:A,$F1126)</f>
        <v>F</v>
      </c>
      <c r="B1126" s="4" t="str" cm="1">
        <f t="array" ref="B1126">INDEX(Sheet1!B:B,$F1126)</f>
        <v>Pref Resid NS</v>
      </c>
      <c r="C1126" s="4">
        <f t="shared" si="69"/>
        <v>24</v>
      </c>
      <c r="D1126" s="5" cm="1">
        <f t="array" aca="1" ref="D1126" ca="1">OFFSET(INDIRECT("'["&amp;$H1126&amp;"]"&amp;$I1126&amp;"'!"&amp;$J1126),$L1126,$M1126)*$K1126</f>
        <v>3.6999999999999999E-4</v>
      </c>
      <c r="F1126" s="4">
        <f t="shared" si="70"/>
        <v>13</v>
      </c>
      <c r="G1126" s="4" cm="1">
        <f t="array" ref="G1126">IF($C1126+$M1126&lt;16,INDEX(Sheet1!C:C,$F1126),$F1126)</f>
        <v>13</v>
      </c>
      <c r="H1126" s="4" t="str" cm="1">
        <f t="array" ref="H1126">INDEX(Sheet1!D:D,$G1126)</f>
        <v>2001-cso-preferred-class-structure-mortality-tables.xls</v>
      </c>
      <c r="I1126" s="4" t="str" cm="1">
        <f t="array" ref="I1126">INDEX(Sheet1!E:E,$G1126)</f>
        <v>A.1.b.ii</v>
      </c>
      <c r="J1126" s="4" t="str" cm="1">
        <f t="array" ref="J1126">INDEX(Sheet1!F:F,$G1126)</f>
        <v>B8</v>
      </c>
      <c r="K1126" s="4" cm="1">
        <f t="array" ref="K1126">INDEX(Sheet1!H:H,$G1126)</f>
        <v>1E-3</v>
      </c>
      <c r="L1126" s="4">
        <f t="shared" si="68"/>
        <v>24</v>
      </c>
      <c r="M1126" s="4">
        <f t="shared" si="71"/>
        <v>5</v>
      </c>
    </row>
    <row r="1127" spans="1:13">
      <c r="A1127" s="4" t="str" cm="1">
        <f t="array" ref="A1127">INDEX(Sheet1!A:A,$F1127)</f>
        <v>F</v>
      </c>
      <c r="B1127" s="4" t="str" cm="1">
        <f t="array" ref="B1127">INDEX(Sheet1!B:B,$F1127)</f>
        <v>Pref Resid NS</v>
      </c>
      <c r="C1127" s="4">
        <f t="shared" si="69"/>
        <v>25</v>
      </c>
      <c r="D1127" s="5" cm="1">
        <f t="array" aca="1" ref="D1127" ca="1">OFFSET(INDIRECT("'["&amp;$H1127&amp;"]"&amp;$I1127&amp;"'!"&amp;$J1127),$L1127,$M1127)*$K1127</f>
        <v>4.0000000000000002E-4</v>
      </c>
      <c r="F1127" s="4">
        <f t="shared" si="70"/>
        <v>13</v>
      </c>
      <c r="G1127" s="4" cm="1">
        <f t="array" ref="G1127">IF($C1127+$M1127&lt;16,INDEX(Sheet1!C:C,$F1127),$F1127)</f>
        <v>13</v>
      </c>
      <c r="H1127" s="4" t="str" cm="1">
        <f t="array" ref="H1127">INDEX(Sheet1!D:D,$G1127)</f>
        <v>2001-cso-preferred-class-structure-mortality-tables.xls</v>
      </c>
      <c r="I1127" s="4" t="str" cm="1">
        <f t="array" ref="I1127">INDEX(Sheet1!E:E,$G1127)</f>
        <v>A.1.b.ii</v>
      </c>
      <c r="J1127" s="4" t="str" cm="1">
        <f t="array" ref="J1127">INDEX(Sheet1!F:F,$G1127)</f>
        <v>B8</v>
      </c>
      <c r="K1127" s="4" cm="1">
        <f t="array" ref="K1127">INDEX(Sheet1!H:H,$G1127)</f>
        <v>1E-3</v>
      </c>
      <c r="L1127" s="4">
        <f t="shared" si="68"/>
        <v>25</v>
      </c>
      <c r="M1127" s="4">
        <f t="shared" si="71"/>
        <v>5</v>
      </c>
    </row>
    <row r="1128" spans="1:13">
      <c r="A1128" s="4" t="str" cm="1">
        <f t="array" ref="A1128">INDEX(Sheet1!A:A,$F1128)</f>
        <v>F</v>
      </c>
      <c r="B1128" s="4" t="str" cm="1">
        <f t="array" ref="B1128">INDEX(Sheet1!B:B,$F1128)</f>
        <v>Pref Resid NS</v>
      </c>
      <c r="C1128" s="4">
        <f t="shared" si="69"/>
        <v>26</v>
      </c>
      <c r="D1128" s="5" cm="1">
        <f t="array" aca="1" ref="D1128" ca="1">OFFSET(INDIRECT("'["&amp;$H1128&amp;"]"&amp;$I1128&amp;"'!"&amp;$J1128),$L1128,$M1128)*$K1128</f>
        <v>4.0999999999999999E-4</v>
      </c>
      <c r="F1128" s="4">
        <f t="shared" si="70"/>
        <v>13</v>
      </c>
      <c r="G1128" s="4" cm="1">
        <f t="array" ref="G1128">IF($C1128+$M1128&lt;16,INDEX(Sheet1!C:C,$F1128),$F1128)</f>
        <v>13</v>
      </c>
      <c r="H1128" s="4" t="str" cm="1">
        <f t="array" ref="H1128">INDEX(Sheet1!D:D,$G1128)</f>
        <v>2001-cso-preferred-class-structure-mortality-tables.xls</v>
      </c>
      <c r="I1128" s="4" t="str" cm="1">
        <f t="array" ref="I1128">INDEX(Sheet1!E:E,$G1128)</f>
        <v>A.1.b.ii</v>
      </c>
      <c r="J1128" s="4" t="str" cm="1">
        <f t="array" ref="J1128">INDEX(Sheet1!F:F,$G1128)</f>
        <v>B8</v>
      </c>
      <c r="K1128" s="4" cm="1">
        <f t="array" ref="K1128">INDEX(Sheet1!H:H,$G1128)</f>
        <v>1E-3</v>
      </c>
      <c r="L1128" s="4">
        <f t="shared" si="68"/>
        <v>26</v>
      </c>
      <c r="M1128" s="4">
        <f t="shared" si="71"/>
        <v>5</v>
      </c>
    </row>
    <row r="1129" spans="1:13">
      <c r="A1129" s="4" t="str" cm="1">
        <f t="array" ref="A1129">INDEX(Sheet1!A:A,$F1129)</f>
        <v>F</v>
      </c>
      <c r="B1129" s="4" t="str" cm="1">
        <f t="array" ref="B1129">INDEX(Sheet1!B:B,$F1129)</f>
        <v>Pref Resid NS</v>
      </c>
      <c r="C1129" s="4">
        <f t="shared" si="69"/>
        <v>27</v>
      </c>
      <c r="D1129" s="5" cm="1">
        <f t="array" aca="1" ref="D1129" ca="1">OFFSET(INDIRECT("'["&amp;$H1129&amp;"]"&amp;$I1129&amp;"'!"&amp;$J1129),$L1129,$M1129)*$K1129</f>
        <v>4.2999999999999999E-4</v>
      </c>
      <c r="F1129" s="4">
        <f t="shared" si="70"/>
        <v>13</v>
      </c>
      <c r="G1129" s="4" cm="1">
        <f t="array" ref="G1129">IF($C1129+$M1129&lt;16,INDEX(Sheet1!C:C,$F1129),$F1129)</f>
        <v>13</v>
      </c>
      <c r="H1129" s="4" t="str" cm="1">
        <f t="array" ref="H1129">INDEX(Sheet1!D:D,$G1129)</f>
        <v>2001-cso-preferred-class-structure-mortality-tables.xls</v>
      </c>
      <c r="I1129" s="4" t="str" cm="1">
        <f t="array" ref="I1129">INDEX(Sheet1!E:E,$G1129)</f>
        <v>A.1.b.ii</v>
      </c>
      <c r="J1129" s="4" t="str" cm="1">
        <f t="array" ref="J1129">INDEX(Sheet1!F:F,$G1129)</f>
        <v>B8</v>
      </c>
      <c r="K1129" s="4" cm="1">
        <f t="array" ref="K1129">INDEX(Sheet1!H:H,$G1129)</f>
        <v>1E-3</v>
      </c>
      <c r="L1129" s="4">
        <f t="shared" si="68"/>
        <v>27</v>
      </c>
      <c r="M1129" s="4">
        <f t="shared" si="71"/>
        <v>5</v>
      </c>
    </row>
    <row r="1130" spans="1:13">
      <c r="A1130" s="4" t="str" cm="1">
        <f t="array" ref="A1130">INDEX(Sheet1!A:A,$F1130)</f>
        <v>F</v>
      </c>
      <c r="B1130" s="4" t="str" cm="1">
        <f t="array" ref="B1130">INDEX(Sheet1!B:B,$F1130)</f>
        <v>Pref Resid NS</v>
      </c>
      <c r="C1130" s="4">
        <f t="shared" si="69"/>
        <v>28</v>
      </c>
      <c r="D1130" s="5" cm="1">
        <f t="array" aca="1" ref="D1130" ca="1">OFFSET(INDIRECT("'["&amp;$H1130&amp;"]"&amp;$I1130&amp;"'!"&amp;$J1130),$L1130,$M1130)*$K1130</f>
        <v>4.4000000000000002E-4</v>
      </c>
      <c r="F1130" s="4">
        <f t="shared" si="70"/>
        <v>13</v>
      </c>
      <c r="G1130" s="4" cm="1">
        <f t="array" ref="G1130">IF($C1130+$M1130&lt;16,INDEX(Sheet1!C:C,$F1130),$F1130)</f>
        <v>13</v>
      </c>
      <c r="H1130" s="4" t="str" cm="1">
        <f t="array" ref="H1130">INDEX(Sheet1!D:D,$G1130)</f>
        <v>2001-cso-preferred-class-structure-mortality-tables.xls</v>
      </c>
      <c r="I1130" s="4" t="str" cm="1">
        <f t="array" ref="I1130">INDEX(Sheet1!E:E,$G1130)</f>
        <v>A.1.b.ii</v>
      </c>
      <c r="J1130" s="4" t="str" cm="1">
        <f t="array" ref="J1130">INDEX(Sheet1!F:F,$G1130)</f>
        <v>B8</v>
      </c>
      <c r="K1130" s="4" cm="1">
        <f t="array" ref="K1130">INDEX(Sheet1!H:H,$G1130)</f>
        <v>1E-3</v>
      </c>
      <c r="L1130" s="4">
        <f t="shared" si="68"/>
        <v>28</v>
      </c>
      <c r="M1130" s="4">
        <f t="shared" si="71"/>
        <v>5</v>
      </c>
    </row>
    <row r="1131" spans="1:13">
      <c r="A1131" s="4" t="str" cm="1">
        <f t="array" ref="A1131">INDEX(Sheet1!A:A,$F1131)</f>
        <v>F</v>
      </c>
      <c r="B1131" s="4" t="str" cm="1">
        <f t="array" ref="B1131">INDEX(Sheet1!B:B,$F1131)</f>
        <v>Pref Resid NS</v>
      </c>
      <c r="C1131" s="4">
        <f t="shared" si="69"/>
        <v>29</v>
      </c>
      <c r="D1131" s="5" cm="1">
        <f t="array" aca="1" ref="D1131" ca="1">OFFSET(INDIRECT("'["&amp;$H1131&amp;"]"&amp;$I1131&amp;"'!"&amp;$J1131),$L1131,$M1131)*$K1131</f>
        <v>4.8000000000000001E-4</v>
      </c>
      <c r="F1131" s="4">
        <f t="shared" si="70"/>
        <v>13</v>
      </c>
      <c r="G1131" s="4" cm="1">
        <f t="array" ref="G1131">IF($C1131+$M1131&lt;16,INDEX(Sheet1!C:C,$F1131),$F1131)</f>
        <v>13</v>
      </c>
      <c r="H1131" s="4" t="str" cm="1">
        <f t="array" ref="H1131">INDEX(Sheet1!D:D,$G1131)</f>
        <v>2001-cso-preferred-class-structure-mortality-tables.xls</v>
      </c>
      <c r="I1131" s="4" t="str" cm="1">
        <f t="array" ref="I1131">INDEX(Sheet1!E:E,$G1131)</f>
        <v>A.1.b.ii</v>
      </c>
      <c r="J1131" s="4" t="str" cm="1">
        <f t="array" ref="J1131">INDEX(Sheet1!F:F,$G1131)</f>
        <v>B8</v>
      </c>
      <c r="K1131" s="4" cm="1">
        <f t="array" ref="K1131">INDEX(Sheet1!H:H,$G1131)</f>
        <v>1E-3</v>
      </c>
      <c r="L1131" s="4">
        <f t="shared" si="68"/>
        <v>29</v>
      </c>
      <c r="M1131" s="4">
        <f t="shared" si="71"/>
        <v>5</v>
      </c>
    </row>
    <row r="1132" spans="1:13">
      <c r="A1132" s="4" t="str" cm="1">
        <f t="array" ref="A1132">INDEX(Sheet1!A:A,$F1132)</f>
        <v>F</v>
      </c>
      <c r="B1132" s="4" t="str" cm="1">
        <f t="array" ref="B1132">INDEX(Sheet1!B:B,$F1132)</f>
        <v>Pref Resid NS</v>
      </c>
      <c r="C1132" s="4">
        <f t="shared" si="69"/>
        <v>30</v>
      </c>
      <c r="D1132" s="5" cm="1">
        <f t="array" aca="1" ref="D1132" ca="1">OFFSET(INDIRECT("'["&amp;$H1132&amp;"]"&amp;$I1132&amp;"'!"&amp;$J1132),$L1132,$M1132)*$K1132</f>
        <v>4.8999999999999998E-4</v>
      </c>
      <c r="F1132" s="4">
        <f t="shared" si="70"/>
        <v>13</v>
      </c>
      <c r="G1132" s="4" cm="1">
        <f t="array" ref="G1132">IF($C1132+$M1132&lt;16,INDEX(Sheet1!C:C,$F1132),$F1132)</f>
        <v>13</v>
      </c>
      <c r="H1132" s="4" t="str" cm="1">
        <f t="array" ref="H1132">INDEX(Sheet1!D:D,$G1132)</f>
        <v>2001-cso-preferred-class-structure-mortality-tables.xls</v>
      </c>
      <c r="I1132" s="4" t="str" cm="1">
        <f t="array" ref="I1132">INDEX(Sheet1!E:E,$G1132)</f>
        <v>A.1.b.ii</v>
      </c>
      <c r="J1132" s="4" t="str" cm="1">
        <f t="array" ref="J1132">INDEX(Sheet1!F:F,$G1132)</f>
        <v>B8</v>
      </c>
      <c r="K1132" s="4" cm="1">
        <f t="array" ref="K1132">INDEX(Sheet1!H:H,$G1132)</f>
        <v>1E-3</v>
      </c>
      <c r="L1132" s="4">
        <f t="shared" si="68"/>
        <v>30</v>
      </c>
      <c r="M1132" s="4">
        <f t="shared" si="71"/>
        <v>5</v>
      </c>
    </row>
    <row r="1133" spans="1:13">
      <c r="A1133" s="4" t="str" cm="1">
        <f t="array" ref="A1133">INDEX(Sheet1!A:A,$F1133)</f>
        <v>F</v>
      </c>
      <c r="B1133" s="4" t="str" cm="1">
        <f t="array" ref="B1133">INDEX(Sheet1!B:B,$F1133)</f>
        <v>Pref Resid NS</v>
      </c>
      <c r="C1133" s="4">
        <f t="shared" si="69"/>
        <v>31</v>
      </c>
      <c r="D1133" s="5" cm="1">
        <f t="array" aca="1" ref="D1133" ca="1">OFFSET(INDIRECT("'["&amp;$H1133&amp;"]"&amp;$I1133&amp;"'!"&amp;$J1133),$L1133,$M1133)*$K1133</f>
        <v>5.1000000000000004E-4</v>
      </c>
      <c r="F1133" s="4">
        <f t="shared" si="70"/>
        <v>13</v>
      </c>
      <c r="G1133" s="4" cm="1">
        <f t="array" ref="G1133">IF($C1133+$M1133&lt;16,INDEX(Sheet1!C:C,$F1133),$F1133)</f>
        <v>13</v>
      </c>
      <c r="H1133" s="4" t="str" cm="1">
        <f t="array" ref="H1133">INDEX(Sheet1!D:D,$G1133)</f>
        <v>2001-cso-preferred-class-structure-mortality-tables.xls</v>
      </c>
      <c r="I1133" s="4" t="str" cm="1">
        <f t="array" ref="I1133">INDEX(Sheet1!E:E,$G1133)</f>
        <v>A.1.b.ii</v>
      </c>
      <c r="J1133" s="4" t="str" cm="1">
        <f t="array" ref="J1133">INDEX(Sheet1!F:F,$G1133)</f>
        <v>B8</v>
      </c>
      <c r="K1133" s="4" cm="1">
        <f t="array" ref="K1133">INDEX(Sheet1!H:H,$G1133)</f>
        <v>1E-3</v>
      </c>
      <c r="L1133" s="4">
        <f t="shared" si="68"/>
        <v>31</v>
      </c>
      <c r="M1133" s="4">
        <f t="shared" si="71"/>
        <v>5</v>
      </c>
    </row>
    <row r="1134" spans="1:13">
      <c r="A1134" s="4" t="str" cm="1">
        <f t="array" ref="A1134">INDEX(Sheet1!A:A,$F1134)</f>
        <v>F</v>
      </c>
      <c r="B1134" s="4" t="str" cm="1">
        <f t="array" ref="B1134">INDEX(Sheet1!B:B,$F1134)</f>
        <v>Pref Resid NS</v>
      </c>
      <c r="C1134" s="4">
        <f t="shared" si="69"/>
        <v>32</v>
      </c>
      <c r="D1134" s="5" cm="1">
        <f t="array" aca="1" ref="D1134" ca="1">OFFSET(INDIRECT("'["&amp;$H1134&amp;"]"&amp;$I1134&amp;"'!"&amp;$J1134),$L1134,$M1134)*$K1134</f>
        <v>5.4000000000000001E-4</v>
      </c>
      <c r="F1134" s="4">
        <f t="shared" si="70"/>
        <v>13</v>
      </c>
      <c r="G1134" s="4" cm="1">
        <f t="array" ref="G1134">IF($C1134+$M1134&lt;16,INDEX(Sheet1!C:C,$F1134),$F1134)</f>
        <v>13</v>
      </c>
      <c r="H1134" s="4" t="str" cm="1">
        <f t="array" ref="H1134">INDEX(Sheet1!D:D,$G1134)</f>
        <v>2001-cso-preferred-class-structure-mortality-tables.xls</v>
      </c>
      <c r="I1134" s="4" t="str" cm="1">
        <f t="array" ref="I1134">INDEX(Sheet1!E:E,$G1134)</f>
        <v>A.1.b.ii</v>
      </c>
      <c r="J1134" s="4" t="str" cm="1">
        <f t="array" ref="J1134">INDEX(Sheet1!F:F,$G1134)</f>
        <v>B8</v>
      </c>
      <c r="K1134" s="4" cm="1">
        <f t="array" ref="K1134">INDEX(Sheet1!H:H,$G1134)</f>
        <v>1E-3</v>
      </c>
      <c r="L1134" s="4">
        <f t="shared" si="68"/>
        <v>32</v>
      </c>
      <c r="M1134" s="4">
        <f t="shared" si="71"/>
        <v>5</v>
      </c>
    </row>
    <row r="1135" spans="1:13">
      <c r="A1135" s="4" t="str" cm="1">
        <f t="array" ref="A1135">INDEX(Sheet1!A:A,$F1135)</f>
        <v>F</v>
      </c>
      <c r="B1135" s="4" t="str" cm="1">
        <f t="array" ref="B1135">INDEX(Sheet1!B:B,$F1135)</f>
        <v>Pref Resid NS</v>
      </c>
      <c r="C1135" s="4">
        <f t="shared" si="69"/>
        <v>33</v>
      </c>
      <c r="D1135" s="5" cm="1">
        <f t="array" aca="1" ref="D1135" ca="1">OFFSET(INDIRECT("'["&amp;$H1135&amp;"]"&amp;$I1135&amp;"'!"&amp;$J1135),$L1135,$M1135)*$K1135</f>
        <v>5.8E-4</v>
      </c>
      <c r="F1135" s="4">
        <f t="shared" si="70"/>
        <v>13</v>
      </c>
      <c r="G1135" s="4" cm="1">
        <f t="array" ref="G1135">IF($C1135+$M1135&lt;16,INDEX(Sheet1!C:C,$F1135),$F1135)</f>
        <v>13</v>
      </c>
      <c r="H1135" s="4" t="str" cm="1">
        <f t="array" ref="H1135">INDEX(Sheet1!D:D,$G1135)</f>
        <v>2001-cso-preferred-class-structure-mortality-tables.xls</v>
      </c>
      <c r="I1135" s="4" t="str" cm="1">
        <f t="array" ref="I1135">INDEX(Sheet1!E:E,$G1135)</f>
        <v>A.1.b.ii</v>
      </c>
      <c r="J1135" s="4" t="str" cm="1">
        <f t="array" ref="J1135">INDEX(Sheet1!F:F,$G1135)</f>
        <v>B8</v>
      </c>
      <c r="K1135" s="4" cm="1">
        <f t="array" ref="K1135">INDEX(Sheet1!H:H,$G1135)</f>
        <v>1E-3</v>
      </c>
      <c r="L1135" s="4">
        <f t="shared" si="68"/>
        <v>33</v>
      </c>
      <c r="M1135" s="4">
        <f t="shared" si="71"/>
        <v>5</v>
      </c>
    </row>
    <row r="1136" spans="1:13">
      <c r="A1136" s="4" t="str" cm="1">
        <f t="array" ref="A1136">INDEX(Sheet1!A:A,$F1136)</f>
        <v>F</v>
      </c>
      <c r="B1136" s="4" t="str" cm="1">
        <f t="array" ref="B1136">INDEX(Sheet1!B:B,$F1136)</f>
        <v>Pref Resid NS</v>
      </c>
      <c r="C1136" s="4">
        <f t="shared" si="69"/>
        <v>34</v>
      </c>
      <c r="D1136" s="5" cm="1">
        <f t="array" aca="1" ref="D1136" ca="1">OFFSET(INDIRECT("'["&amp;$H1136&amp;"]"&amp;$I1136&amp;"'!"&amp;$J1136),$L1136,$M1136)*$K1136</f>
        <v>5.9999999999999995E-4</v>
      </c>
      <c r="F1136" s="4">
        <f t="shared" si="70"/>
        <v>13</v>
      </c>
      <c r="G1136" s="4" cm="1">
        <f t="array" ref="G1136">IF($C1136+$M1136&lt;16,INDEX(Sheet1!C:C,$F1136),$F1136)</f>
        <v>13</v>
      </c>
      <c r="H1136" s="4" t="str" cm="1">
        <f t="array" ref="H1136">INDEX(Sheet1!D:D,$G1136)</f>
        <v>2001-cso-preferred-class-structure-mortality-tables.xls</v>
      </c>
      <c r="I1136" s="4" t="str" cm="1">
        <f t="array" ref="I1136">INDEX(Sheet1!E:E,$G1136)</f>
        <v>A.1.b.ii</v>
      </c>
      <c r="J1136" s="4" t="str" cm="1">
        <f t="array" ref="J1136">INDEX(Sheet1!F:F,$G1136)</f>
        <v>B8</v>
      </c>
      <c r="K1136" s="4" cm="1">
        <f t="array" ref="K1136">INDEX(Sheet1!H:H,$G1136)</f>
        <v>1E-3</v>
      </c>
      <c r="L1136" s="4">
        <f t="shared" si="68"/>
        <v>34</v>
      </c>
      <c r="M1136" s="4">
        <f t="shared" si="71"/>
        <v>5</v>
      </c>
    </row>
    <row r="1137" spans="1:13">
      <c r="A1137" s="4" t="str" cm="1">
        <f t="array" ref="A1137">INDEX(Sheet1!A:A,$F1137)</f>
        <v>F</v>
      </c>
      <c r="B1137" s="4" t="str" cm="1">
        <f t="array" ref="B1137">INDEX(Sheet1!B:B,$F1137)</f>
        <v>Pref Resid NS</v>
      </c>
      <c r="C1137" s="4">
        <f t="shared" si="69"/>
        <v>35</v>
      </c>
      <c r="D1137" s="5" cm="1">
        <f t="array" aca="1" ref="D1137" ca="1">OFFSET(INDIRECT("'["&amp;$H1137&amp;"]"&amp;$I1137&amp;"'!"&amp;$J1137),$L1137,$M1137)*$K1137</f>
        <v>6.5000000000000008E-4</v>
      </c>
      <c r="F1137" s="4">
        <f t="shared" si="70"/>
        <v>13</v>
      </c>
      <c r="G1137" s="4" cm="1">
        <f t="array" ref="G1137">IF($C1137+$M1137&lt;16,INDEX(Sheet1!C:C,$F1137),$F1137)</f>
        <v>13</v>
      </c>
      <c r="H1137" s="4" t="str" cm="1">
        <f t="array" ref="H1137">INDEX(Sheet1!D:D,$G1137)</f>
        <v>2001-cso-preferred-class-structure-mortality-tables.xls</v>
      </c>
      <c r="I1137" s="4" t="str" cm="1">
        <f t="array" ref="I1137">INDEX(Sheet1!E:E,$G1137)</f>
        <v>A.1.b.ii</v>
      </c>
      <c r="J1137" s="4" t="str" cm="1">
        <f t="array" ref="J1137">INDEX(Sheet1!F:F,$G1137)</f>
        <v>B8</v>
      </c>
      <c r="K1137" s="4" cm="1">
        <f t="array" ref="K1137">INDEX(Sheet1!H:H,$G1137)</f>
        <v>1E-3</v>
      </c>
      <c r="L1137" s="4">
        <f t="shared" si="68"/>
        <v>35</v>
      </c>
      <c r="M1137" s="4">
        <f t="shared" si="71"/>
        <v>5</v>
      </c>
    </row>
    <row r="1138" spans="1:13">
      <c r="A1138" s="4" t="str" cm="1">
        <f t="array" ref="A1138">INDEX(Sheet1!A:A,$F1138)</f>
        <v>F</v>
      </c>
      <c r="B1138" s="4" t="str" cm="1">
        <f t="array" ref="B1138">INDEX(Sheet1!B:B,$F1138)</f>
        <v>Pref Resid NS</v>
      </c>
      <c r="C1138" s="4">
        <f t="shared" si="69"/>
        <v>36</v>
      </c>
      <c r="D1138" s="5" cm="1">
        <f t="array" aca="1" ref="D1138" ca="1">OFFSET(INDIRECT("'["&amp;$H1138&amp;"]"&amp;$I1138&amp;"'!"&amp;$J1138),$L1138,$M1138)*$K1138</f>
        <v>6.8999999999999997E-4</v>
      </c>
      <c r="F1138" s="4">
        <f t="shared" si="70"/>
        <v>13</v>
      </c>
      <c r="G1138" s="4" cm="1">
        <f t="array" ref="G1138">IF($C1138+$M1138&lt;16,INDEX(Sheet1!C:C,$F1138),$F1138)</f>
        <v>13</v>
      </c>
      <c r="H1138" s="4" t="str" cm="1">
        <f t="array" ref="H1138">INDEX(Sheet1!D:D,$G1138)</f>
        <v>2001-cso-preferred-class-structure-mortality-tables.xls</v>
      </c>
      <c r="I1138" s="4" t="str" cm="1">
        <f t="array" ref="I1138">INDEX(Sheet1!E:E,$G1138)</f>
        <v>A.1.b.ii</v>
      </c>
      <c r="J1138" s="4" t="str" cm="1">
        <f t="array" ref="J1138">INDEX(Sheet1!F:F,$G1138)</f>
        <v>B8</v>
      </c>
      <c r="K1138" s="4" cm="1">
        <f t="array" ref="K1138">INDEX(Sheet1!H:H,$G1138)</f>
        <v>1E-3</v>
      </c>
      <c r="L1138" s="4">
        <f t="shared" si="68"/>
        <v>36</v>
      </c>
      <c r="M1138" s="4">
        <f t="shared" si="71"/>
        <v>5</v>
      </c>
    </row>
    <row r="1139" spans="1:13">
      <c r="A1139" s="4" t="str" cm="1">
        <f t="array" ref="A1139">INDEX(Sheet1!A:A,$F1139)</f>
        <v>F</v>
      </c>
      <c r="B1139" s="4" t="str" cm="1">
        <f t="array" ref="B1139">INDEX(Sheet1!B:B,$F1139)</f>
        <v>Pref Resid NS</v>
      </c>
      <c r="C1139" s="4">
        <f t="shared" si="69"/>
        <v>37</v>
      </c>
      <c r="D1139" s="5" cm="1">
        <f t="array" aca="1" ref="D1139" ca="1">OFFSET(INDIRECT("'["&amp;$H1139&amp;"]"&amp;$I1139&amp;"'!"&amp;$J1139),$L1139,$M1139)*$K1139</f>
        <v>7.6000000000000004E-4</v>
      </c>
      <c r="F1139" s="4">
        <f t="shared" si="70"/>
        <v>13</v>
      </c>
      <c r="G1139" s="4" cm="1">
        <f t="array" ref="G1139">IF($C1139+$M1139&lt;16,INDEX(Sheet1!C:C,$F1139),$F1139)</f>
        <v>13</v>
      </c>
      <c r="H1139" s="4" t="str" cm="1">
        <f t="array" ref="H1139">INDEX(Sheet1!D:D,$G1139)</f>
        <v>2001-cso-preferred-class-structure-mortality-tables.xls</v>
      </c>
      <c r="I1139" s="4" t="str" cm="1">
        <f t="array" ref="I1139">INDEX(Sheet1!E:E,$G1139)</f>
        <v>A.1.b.ii</v>
      </c>
      <c r="J1139" s="4" t="str" cm="1">
        <f t="array" ref="J1139">INDEX(Sheet1!F:F,$G1139)</f>
        <v>B8</v>
      </c>
      <c r="K1139" s="4" cm="1">
        <f t="array" ref="K1139">INDEX(Sheet1!H:H,$G1139)</f>
        <v>1E-3</v>
      </c>
      <c r="L1139" s="4">
        <f t="shared" si="68"/>
        <v>37</v>
      </c>
      <c r="M1139" s="4">
        <f t="shared" si="71"/>
        <v>5</v>
      </c>
    </row>
    <row r="1140" spans="1:13">
      <c r="A1140" s="4" t="str" cm="1">
        <f t="array" ref="A1140">INDEX(Sheet1!A:A,$F1140)</f>
        <v>F</v>
      </c>
      <c r="B1140" s="4" t="str" cm="1">
        <f t="array" ref="B1140">INDEX(Sheet1!B:B,$F1140)</f>
        <v>Pref Resid NS</v>
      </c>
      <c r="C1140" s="4">
        <f t="shared" si="69"/>
        <v>38</v>
      </c>
      <c r="D1140" s="5" cm="1">
        <f t="array" aca="1" ref="D1140" ca="1">OFFSET(INDIRECT("'["&amp;$H1140&amp;"]"&amp;$I1140&amp;"'!"&amp;$J1140),$L1140,$M1140)*$K1140</f>
        <v>8.1000000000000006E-4</v>
      </c>
      <c r="F1140" s="4">
        <f t="shared" si="70"/>
        <v>13</v>
      </c>
      <c r="G1140" s="4" cm="1">
        <f t="array" ref="G1140">IF($C1140+$M1140&lt;16,INDEX(Sheet1!C:C,$F1140),$F1140)</f>
        <v>13</v>
      </c>
      <c r="H1140" s="4" t="str" cm="1">
        <f t="array" ref="H1140">INDEX(Sheet1!D:D,$G1140)</f>
        <v>2001-cso-preferred-class-structure-mortality-tables.xls</v>
      </c>
      <c r="I1140" s="4" t="str" cm="1">
        <f t="array" ref="I1140">INDEX(Sheet1!E:E,$G1140)</f>
        <v>A.1.b.ii</v>
      </c>
      <c r="J1140" s="4" t="str" cm="1">
        <f t="array" ref="J1140">INDEX(Sheet1!F:F,$G1140)</f>
        <v>B8</v>
      </c>
      <c r="K1140" s="4" cm="1">
        <f t="array" ref="K1140">INDEX(Sheet1!H:H,$G1140)</f>
        <v>1E-3</v>
      </c>
      <c r="L1140" s="4">
        <f t="shared" si="68"/>
        <v>38</v>
      </c>
      <c r="M1140" s="4">
        <f t="shared" si="71"/>
        <v>5</v>
      </c>
    </row>
    <row r="1141" spans="1:13">
      <c r="A1141" s="4" t="str" cm="1">
        <f t="array" ref="A1141">INDEX(Sheet1!A:A,$F1141)</f>
        <v>F</v>
      </c>
      <c r="B1141" s="4" t="str" cm="1">
        <f t="array" ref="B1141">INDEX(Sheet1!B:B,$F1141)</f>
        <v>Pref Resid NS</v>
      </c>
      <c r="C1141" s="4">
        <f t="shared" si="69"/>
        <v>39</v>
      </c>
      <c r="D1141" s="5" cm="1">
        <f t="array" aca="1" ref="D1141" ca="1">OFFSET(INDIRECT("'["&amp;$H1141&amp;"]"&amp;$I1141&amp;"'!"&amp;$J1141),$L1141,$M1141)*$K1141</f>
        <v>8.9000000000000006E-4</v>
      </c>
      <c r="F1141" s="4">
        <f t="shared" si="70"/>
        <v>13</v>
      </c>
      <c r="G1141" s="4" cm="1">
        <f t="array" ref="G1141">IF($C1141+$M1141&lt;16,INDEX(Sheet1!C:C,$F1141),$F1141)</f>
        <v>13</v>
      </c>
      <c r="H1141" s="4" t="str" cm="1">
        <f t="array" ref="H1141">INDEX(Sheet1!D:D,$G1141)</f>
        <v>2001-cso-preferred-class-structure-mortality-tables.xls</v>
      </c>
      <c r="I1141" s="4" t="str" cm="1">
        <f t="array" ref="I1141">INDEX(Sheet1!E:E,$G1141)</f>
        <v>A.1.b.ii</v>
      </c>
      <c r="J1141" s="4" t="str" cm="1">
        <f t="array" ref="J1141">INDEX(Sheet1!F:F,$G1141)</f>
        <v>B8</v>
      </c>
      <c r="K1141" s="4" cm="1">
        <f t="array" ref="K1141">INDEX(Sheet1!H:H,$G1141)</f>
        <v>1E-3</v>
      </c>
      <c r="L1141" s="4">
        <f t="shared" si="68"/>
        <v>39</v>
      </c>
      <c r="M1141" s="4">
        <f t="shared" si="71"/>
        <v>5</v>
      </c>
    </row>
    <row r="1142" spans="1:13">
      <c r="A1142" s="4" t="str" cm="1">
        <f t="array" ref="A1142">INDEX(Sheet1!A:A,$F1142)</f>
        <v>F</v>
      </c>
      <c r="B1142" s="4" t="str" cm="1">
        <f t="array" ref="B1142">INDEX(Sheet1!B:B,$F1142)</f>
        <v>Pref Resid NS</v>
      </c>
      <c r="C1142" s="4">
        <f t="shared" si="69"/>
        <v>40</v>
      </c>
      <c r="D1142" s="5" cm="1">
        <f t="array" aca="1" ref="D1142" ca="1">OFFSET(INDIRECT("'["&amp;$H1142&amp;"]"&amp;$I1142&amp;"'!"&amp;$J1142),$L1142,$M1142)*$K1142</f>
        <v>9.6000000000000002E-4</v>
      </c>
      <c r="F1142" s="4">
        <f t="shared" si="70"/>
        <v>13</v>
      </c>
      <c r="G1142" s="4" cm="1">
        <f t="array" ref="G1142">IF($C1142+$M1142&lt;16,INDEX(Sheet1!C:C,$F1142),$F1142)</f>
        <v>13</v>
      </c>
      <c r="H1142" s="4" t="str" cm="1">
        <f t="array" ref="H1142">INDEX(Sheet1!D:D,$G1142)</f>
        <v>2001-cso-preferred-class-structure-mortality-tables.xls</v>
      </c>
      <c r="I1142" s="4" t="str" cm="1">
        <f t="array" ref="I1142">INDEX(Sheet1!E:E,$G1142)</f>
        <v>A.1.b.ii</v>
      </c>
      <c r="J1142" s="4" t="str" cm="1">
        <f t="array" ref="J1142">INDEX(Sheet1!F:F,$G1142)</f>
        <v>B8</v>
      </c>
      <c r="K1142" s="4" cm="1">
        <f t="array" ref="K1142">INDEX(Sheet1!H:H,$G1142)</f>
        <v>1E-3</v>
      </c>
      <c r="L1142" s="4">
        <f t="shared" si="68"/>
        <v>40</v>
      </c>
      <c r="M1142" s="4">
        <f t="shared" si="71"/>
        <v>5</v>
      </c>
    </row>
    <row r="1143" spans="1:13">
      <c r="A1143" s="4" t="str" cm="1">
        <f t="array" ref="A1143">INDEX(Sheet1!A:A,$F1143)</f>
        <v>F</v>
      </c>
      <c r="B1143" s="4" t="str" cm="1">
        <f t="array" ref="B1143">INDEX(Sheet1!B:B,$F1143)</f>
        <v>Pref Resid NS</v>
      </c>
      <c r="C1143" s="4">
        <f t="shared" si="69"/>
        <v>41</v>
      </c>
      <c r="D1143" s="5" cm="1">
        <f t="array" aca="1" ref="D1143" ca="1">OFFSET(INDIRECT("'["&amp;$H1143&amp;"]"&amp;$I1143&amp;"'!"&amp;$J1143),$L1143,$M1143)*$K1143</f>
        <v>1.07E-3</v>
      </c>
      <c r="F1143" s="4">
        <f t="shared" si="70"/>
        <v>13</v>
      </c>
      <c r="G1143" s="4" cm="1">
        <f t="array" ref="G1143">IF($C1143+$M1143&lt;16,INDEX(Sheet1!C:C,$F1143),$F1143)</f>
        <v>13</v>
      </c>
      <c r="H1143" s="4" t="str" cm="1">
        <f t="array" ref="H1143">INDEX(Sheet1!D:D,$G1143)</f>
        <v>2001-cso-preferred-class-structure-mortality-tables.xls</v>
      </c>
      <c r="I1143" s="4" t="str" cm="1">
        <f t="array" ref="I1143">INDEX(Sheet1!E:E,$G1143)</f>
        <v>A.1.b.ii</v>
      </c>
      <c r="J1143" s="4" t="str" cm="1">
        <f t="array" ref="J1143">INDEX(Sheet1!F:F,$G1143)</f>
        <v>B8</v>
      </c>
      <c r="K1143" s="4" cm="1">
        <f t="array" ref="K1143">INDEX(Sheet1!H:H,$G1143)</f>
        <v>1E-3</v>
      </c>
      <c r="L1143" s="4">
        <f t="shared" si="68"/>
        <v>41</v>
      </c>
      <c r="M1143" s="4">
        <f t="shared" si="71"/>
        <v>5</v>
      </c>
    </row>
    <row r="1144" spans="1:13">
      <c r="A1144" s="4" t="str" cm="1">
        <f t="array" ref="A1144">INDEX(Sheet1!A:A,$F1144)</f>
        <v>F</v>
      </c>
      <c r="B1144" s="4" t="str" cm="1">
        <f t="array" ref="B1144">INDEX(Sheet1!B:B,$F1144)</f>
        <v>Pref Resid NS</v>
      </c>
      <c r="C1144" s="4">
        <f t="shared" si="69"/>
        <v>42</v>
      </c>
      <c r="D1144" s="5" cm="1">
        <f t="array" aca="1" ref="D1144" ca="1">OFFSET(INDIRECT("'["&amp;$H1144&amp;"]"&amp;$I1144&amp;"'!"&amp;$J1144),$L1144,$M1144)*$K1144</f>
        <v>1.16E-3</v>
      </c>
      <c r="F1144" s="4">
        <f t="shared" si="70"/>
        <v>13</v>
      </c>
      <c r="G1144" s="4" cm="1">
        <f t="array" ref="G1144">IF($C1144+$M1144&lt;16,INDEX(Sheet1!C:C,$F1144),$F1144)</f>
        <v>13</v>
      </c>
      <c r="H1144" s="4" t="str" cm="1">
        <f t="array" ref="H1144">INDEX(Sheet1!D:D,$G1144)</f>
        <v>2001-cso-preferred-class-structure-mortality-tables.xls</v>
      </c>
      <c r="I1144" s="4" t="str" cm="1">
        <f t="array" ref="I1144">INDEX(Sheet1!E:E,$G1144)</f>
        <v>A.1.b.ii</v>
      </c>
      <c r="J1144" s="4" t="str" cm="1">
        <f t="array" ref="J1144">INDEX(Sheet1!F:F,$G1144)</f>
        <v>B8</v>
      </c>
      <c r="K1144" s="4" cm="1">
        <f t="array" ref="K1144">INDEX(Sheet1!H:H,$G1144)</f>
        <v>1E-3</v>
      </c>
      <c r="L1144" s="4">
        <f t="shared" si="68"/>
        <v>42</v>
      </c>
      <c r="M1144" s="4">
        <f t="shared" si="71"/>
        <v>5</v>
      </c>
    </row>
    <row r="1145" spans="1:13">
      <c r="A1145" s="4" t="str" cm="1">
        <f t="array" ref="A1145">INDEX(Sheet1!A:A,$F1145)</f>
        <v>F</v>
      </c>
      <c r="B1145" s="4" t="str" cm="1">
        <f t="array" ref="B1145">INDEX(Sheet1!B:B,$F1145)</f>
        <v>Pref Resid NS</v>
      </c>
      <c r="C1145" s="4">
        <f t="shared" si="69"/>
        <v>43</v>
      </c>
      <c r="D1145" s="5" cm="1">
        <f t="array" aca="1" ref="D1145" ca="1">OFFSET(INDIRECT("'["&amp;$H1145&amp;"]"&amp;$I1145&amp;"'!"&amp;$J1145),$L1145,$M1145)*$K1145</f>
        <v>1.2900000000000001E-3</v>
      </c>
      <c r="F1145" s="4">
        <f t="shared" si="70"/>
        <v>13</v>
      </c>
      <c r="G1145" s="4" cm="1">
        <f t="array" ref="G1145">IF($C1145+$M1145&lt;16,INDEX(Sheet1!C:C,$F1145),$F1145)</f>
        <v>13</v>
      </c>
      <c r="H1145" s="4" t="str" cm="1">
        <f t="array" ref="H1145">INDEX(Sheet1!D:D,$G1145)</f>
        <v>2001-cso-preferred-class-structure-mortality-tables.xls</v>
      </c>
      <c r="I1145" s="4" t="str" cm="1">
        <f t="array" ref="I1145">INDEX(Sheet1!E:E,$G1145)</f>
        <v>A.1.b.ii</v>
      </c>
      <c r="J1145" s="4" t="str" cm="1">
        <f t="array" ref="J1145">INDEX(Sheet1!F:F,$G1145)</f>
        <v>B8</v>
      </c>
      <c r="K1145" s="4" cm="1">
        <f t="array" ref="K1145">INDEX(Sheet1!H:H,$G1145)</f>
        <v>1E-3</v>
      </c>
      <c r="L1145" s="4">
        <f t="shared" si="68"/>
        <v>43</v>
      </c>
      <c r="M1145" s="4">
        <f t="shared" si="71"/>
        <v>5</v>
      </c>
    </row>
    <row r="1146" spans="1:13">
      <c r="A1146" s="4" t="str" cm="1">
        <f t="array" ref="A1146">INDEX(Sheet1!A:A,$F1146)</f>
        <v>F</v>
      </c>
      <c r="B1146" s="4" t="str" cm="1">
        <f t="array" ref="B1146">INDEX(Sheet1!B:B,$F1146)</f>
        <v>Pref Resid NS</v>
      </c>
      <c r="C1146" s="4">
        <f t="shared" si="69"/>
        <v>44</v>
      </c>
      <c r="D1146" s="5" cm="1">
        <f t="array" aca="1" ref="D1146" ca="1">OFFSET(INDIRECT("'["&amp;$H1146&amp;"]"&amp;$I1146&amp;"'!"&amp;$J1146),$L1146,$M1146)*$K1146</f>
        <v>1.41E-3</v>
      </c>
      <c r="F1146" s="4">
        <f t="shared" si="70"/>
        <v>13</v>
      </c>
      <c r="G1146" s="4" cm="1">
        <f t="array" ref="G1146">IF($C1146+$M1146&lt;16,INDEX(Sheet1!C:C,$F1146),$F1146)</f>
        <v>13</v>
      </c>
      <c r="H1146" s="4" t="str" cm="1">
        <f t="array" ref="H1146">INDEX(Sheet1!D:D,$G1146)</f>
        <v>2001-cso-preferred-class-structure-mortality-tables.xls</v>
      </c>
      <c r="I1146" s="4" t="str" cm="1">
        <f t="array" ref="I1146">INDEX(Sheet1!E:E,$G1146)</f>
        <v>A.1.b.ii</v>
      </c>
      <c r="J1146" s="4" t="str" cm="1">
        <f t="array" ref="J1146">INDEX(Sheet1!F:F,$G1146)</f>
        <v>B8</v>
      </c>
      <c r="K1146" s="4" cm="1">
        <f t="array" ref="K1146">INDEX(Sheet1!H:H,$G1146)</f>
        <v>1E-3</v>
      </c>
      <c r="L1146" s="4">
        <f t="shared" si="68"/>
        <v>44</v>
      </c>
      <c r="M1146" s="4">
        <f t="shared" si="71"/>
        <v>5</v>
      </c>
    </row>
    <row r="1147" spans="1:13">
      <c r="A1147" s="4" t="str" cm="1">
        <f t="array" ref="A1147">INDEX(Sheet1!A:A,$F1147)</f>
        <v>F</v>
      </c>
      <c r="B1147" s="4" t="str" cm="1">
        <f t="array" ref="B1147">INDEX(Sheet1!B:B,$F1147)</f>
        <v>Pref Resid NS</v>
      </c>
      <c r="C1147" s="4">
        <f t="shared" si="69"/>
        <v>45</v>
      </c>
      <c r="D1147" s="5" cm="1">
        <f t="array" aca="1" ref="D1147" ca="1">OFFSET(INDIRECT("'["&amp;$H1147&amp;"]"&amp;$I1147&amp;"'!"&amp;$J1147),$L1147,$M1147)*$K1147</f>
        <v>1.5500000000000002E-3</v>
      </c>
      <c r="F1147" s="4">
        <f t="shared" si="70"/>
        <v>13</v>
      </c>
      <c r="G1147" s="4" cm="1">
        <f t="array" ref="G1147">IF($C1147+$M1147&lt;16,INDEX(Sheet1!C:C,$F1147),$F1147)</f>
        <v>13</v>
      </c>
      <c r="H1147" s="4" t="str" cm="1">
        <f t="array" ref="H1147">INDEX(Sheet1!D:D,$G1147)</f>
        <v>2001-cso-preferred-class-structure-mortality-tables.xls</v>
      </c>
      <c r="I1147" s="4" t="str" cm="1">
        <f t="array" ref="I1147">INDEX(Sheet1!E:E,$G1147)</f>
        <v>A.1.b.ii</v>
      </c>
      <c r="J1147" s="4" t="str" cm="1">
        <f t="array" ref="J1147">INDEX(Sheet1!F:F,$G1147)</f>
        <v>B8</v>
      </c>
      <c r="K1147" s="4" cm="1">
        <f t="array" ref="K1147">INDEX(Sheet1!H:H,$G1147)</f>
        <v>1E-3</v>
      </c>
      <c r="L1147" s="4">
        <f t="shared" si="68"/>
        <v>45</v>
      </c>
      <c r="M1147" s="4">
        <f t="shared" si="71"/>
        <v>5</v>
      </c>
    </row>
    <row r="1148" spans="1:13">
      <c r="A1148" s="4" t="str" cm="1">
        <f t="array" ref="A1148">INDEX(Sheet1!A:A,$F1148)</f>
        <v>F</v>
      </c>
      <c r="B1148" s="4" t="str" cm="1">
        <f t="array" ref="B1148">INDEX(Sheet1!B:B,$F1148)</f>
        <v>Pref Resid NS</v>
      </c>
      <c r="C1148" s="4">
        <f t="shared" si="69"/>
        <v>46</v>
      </c>
      <c r="D1148" s="5" cm="1">
        <f t="array" aca="1" ref="D1148" ca="1">OFFSET(INDIRECT("'["&amp;$H1148&amp;"]"&amp;$I1148&amp;"'!"&amp;$J1148),$L1148,$M1148)*$K1148</f>
        <v>1.7099999999999999E-3</v>
      </c>
      <c r="F1148" s="4">
        <f t="shared" si="70"/>
        <v>13</v>
      </c>
      <c r="G1148" s="4" cm="1">
        <f t="array" ref="G1148">IF($C1148+$M1148&lt;16,INDEX(Sheet1!C:C,$F1148),$F1148)</f>
        <v>13</v>
      </c>
      <c r="H1148" s="4" t="str" cm="1">
        <f t="array" ref="H1148">INDEX(Sheet1!D:D,$G1148)</f>
        <v>2001-cso-preferred-class-structure-mortality-tables.xls</v>
      </c>
      <c r="I1148" s="4" t="str" cm="1">
        <f t="array" ref="I1148">INDEX(Sheet1!E:E,$G1148)</f>
        <v>A.1.b.ii</v>
      </c>
      <c r="J1148" s="4" t="str" cm="1">
        <f t="array" ref="J1148">INDEX(Sheet1!F:F,$G1148)</f>
        <v>B8</v>
      </c>
      <c r="K1148" s="4" cm="1">
        <f t="array" ref="K1148">INDEX(Sheet1!H:H,$G1148)</f>
        <v>1E-3</v>
      </c>
      <c r="L1148" s="4">
        <f t="shared" si="68"/>
        <v>46</v>
      </c>
      <c r="M1148" s="4">
        <f t="shared" si="71"/>
        <v>5</v>
      </c>
    </row>
    <row r="1149" spans="1:13">
      <c r="A1149" s="4" t="str" cm="1">
        <f t="array" ref="A1149">INDEX(Sheet1!A:A,$F1149)</f>
        <v>F</v>
      </c>
      <c r="B1149" s="4" t="str" cm="1">
        <f t="array" ref="B1149">INDEX(Sheet1!B:B,$F1149)</f>
        <v>Pref Resid NS</v>
      </c>
      <c r="C1149" s="4">
        <f t="shared" si="69"/>
        <v>47</v>
      </c>
      <c r="D1149" s="5" cm="1">
        <f t="array" aca="1" ref="D1149" ca="1">OFFSET(INDIRECT("'["&amp;$H1149&amp;"]"&amp;$I1149&amp;"'!"&amp;$J1149),$L1149,$M1149)*$K1149</f>
        <v>1.8600000000000001E-3</v>
      </c>
      <c r="F1149" s="4">
        <f t="shared" si="70"/>
        <v>13</v>
      </c>
      <c r="G1149" s="4" cm="1">
        <f t="array" ref="G1149">IF($C1149+$M1149&lt;16,INDEX(Sheet1!C:C,$F1149),$F1149)</f>
        <v>13</v>
      </c>
      <c r="H1149" s="4" t="str" cm="1">
        <f t="array" ref="H1149">INDEX(Sheet1!D:D,$G1149)</f>
        <v>2001-cso-preferred-class-structure-mortality-tables.xls</v>
      </c>
      <c r="I1149" s="4" t="str" cm="1">
        <f t="array" ref="I1149">INDEX(Sheet1!E:E,$G1149)</f>
        <v>A.1.b.ii</v>
      </c>
      <c r="J1149" s="4" t="str" cm="1">
        <f t="array" ref="J1149">INDEX(Sheet1!F:F,$G1149)</f>
        <v>B8</v>
      </c>
      <c r="K1149" s="4" cm="1">
        <f t="array" ref="K1149">INDEX(Sheet1!H:H,$G1149)</f>
        <v>1E-3</v>
      </c>
      <c r="L1149" s="4">
        <f t="shared" si="68"/>
        <v>47</v>
      </c>
      <c r="M1149" s="4">
        <f t="shared" si="71"/>
        <v>5</v>
      </c>
    </row>
    <row r="1150" spans="1:13">
      <c r="A1150" s="4" t="str" cm="1">
        <f t="array" ref="A1150">INDEX(Sheet1!A:A,$F1150)</f>
        <v>F</v>
      </c>
      <c r="B1150" s="4" t="str" cm="1">
        <f t="array" ref="B1150">INDEX(Sheet1!B:B,$F1150)</f>
        <v>Pref Resid NS</v>
      </c>
      <c r="C1150" s="4">
        <f t="shared" si="69"/>
        <v>48</v>
      </c>
      <c r="D1150" s="5" cm="1">
        <f t="array" aca="1" ref="D1150" ca="1">OFFSET(INDIRECT("'["&amp;$H1150&amp;"]"&amp;$I1150&amp;"'!"&amp;$J1150),$L1150,$M1150)*$K1150</f>
        <v>2.0200000000000001E-3</v>
      </c>
      <c r="F1150" s="4">
        <f t="shared" si="70"/>
        <v>13</v>
      </c>
      <c r="G1150" s="4" cm="1">
        <f t="array" ref="G1150">IF($C1150+$M1150&lt;16,INDEX(Sheet1!C:C,$F1150),$F1150)</f>
        <v>13</v>
      </c>
      <c r="H1150" s="4" t="str" cm="1">
        <f t="array" ref="H1150">INDEX(Sheet1!D:D,$G1150)</f>
        <v>2001-cso-preferred-class-structure-mortality-tables.xls</v>
      </c>
      <c r="I1150" s="4" t="str" cm="1">
        <f t="array" ref="I1150">INDEX(Sheet1!E:E,$G1150)</f>
        <v>A.1.b.ii</v>
      </c>
      <c r="J1150" s="4" t="str" cm="1">
        <f t="array" ref="J1150">INDEX(Sheet1!F:F,$G1150)</f>
        <v>B8</v>
      </c>
      <c r="K1150" s="4" cm="1">
        <f t="array" ref="K1150">INDEX(Sheet1!H:H,$G1150)</f>
        <v>1E-3</v>
      </c>
      <c r="L1150" s="4">
        <f t="shared" si="68"/>
        <v>48</v>
      </c>
      <c r="M1150" s="4">
        <f t="shared" si="71"/>
        <v>5</v>
      </c>
    </row>
    <row r="1151" spans="1:13">
      <c r="A1151" s="4" t="str" cm="1">
        <f t="array" ref="A1151">INDEX(Sheet1!A:A,$F1151)</f>
        <v>F</v>
      </c>
      <c r="B1151" s="4" t="str" cm="1">
        <f t="array" ref="B1151">INDEX(Sheet1!B:B,$F1151)</f>
        <v>Pref Resid NS</v>
      </c>
      <c r="C1151" s="4">
        <f t="shared" si="69"/>
        <v>49</v>
      </c>
      <c r="D1151" s="5" cm="1">
        <f t="array" aca="1" ref="D1151" ca="1">OFFSET(INDIRECT("'["&amp;$H1151&amp;"]"&amp;$I1151&amp;"'!"&amp;$J1151),$L1151,$M1151)*$K1151</f>
        <v>2.1700000000000001E-3</v>
      </c>
      <c r="F1151" s="4">
        <f t="shared" si="70"/>
        <v>13</v>
      </c>
      <c r="G1151" s="4" cm="1">
        <f t="array" ref="G1151">IF($C1151+$M1151&lt;16,INDEX(Sheet1!C:C,$F1151),$F1151)</f>
        <v>13</v>
      </c>
      <c r="H1151" s="4" t="str" cm="1">
        <f t="array" ref="H1151">INDEX(Sheet1!D:D,$G1151)</f>
        <v>2001-cso-preferred-class-structure-mortality-tables.xls</v>
      </c>
      <c r="I1151" s="4" t="str" cm="1">
        <f t="array" ref="I1151">INDEX(Sheet1!E:E,$G1151)</f>
        <v>A.1.b.ii</v>
      </c>
      <c r="J1151" s="4" t="str" cm="1">
        <f t="array" ref="J1151">INDEX(Sheet1!F:F,$G1151)</f>
        <v>B8</v>
      </c>
      <c r="K1151" s="4" cm="1">
        <f t="array" ref="K1151">INDEX(Sheet1!H:H,$G1151)</f>
        <v>1E-3</v>
      </c>
      <c r="L1151" s="4">
        <f t="shared" si="68"/>
        <v>49</v>
      </c>
      <c r="M1151" s="4">
        <f t="shared" si="71"/>
        <v>5</v>
      </c>
    </row>
    <row r="1152" spans="1:13">
      <c r="A1152" s="4" t="str" cm="1">
        <f t="array" ref="A1152">INDEX(Sheet1!A:A,$F1152)</f>
        <v>F</v>
      </c>
      <c r="B1152" s="4" t="str" cm="1">
        <f t="array" ref="B1152">INDEX(Sheet1!B:B,$F1152)</f>
        <v>Pref Resid NS</v>
      </c>
      <c r="C1152" s="4">
        <f t="shared" si="69"/>
        <v>50</v>
      </c>
      <c r="D1152" s="5" cm="1">
        <f t="array" aca="1" ref="D1152" ca="1">OFFSET(INDIRECT("'["&amp;$H1152&amp;"]"&amp;$I1152&amp;"'!"&amp;$J1152),$L1152,$M1152)*$K1152</f>
        <v>2.32E-3</v>
      </c>
      <c r="F1152" s="4">
        <f t="shared" si="70"/>
        <v>13</v>
      </c>
      <c r="G1152" s="4" cm="1">
        <f t="array" ref="G1152">IF($C1152+$M1152&lt;16,INDEX(Sheet1!C:C,$F1152),$F1152)</f>
        <v>13</v>
      </c>
      <c r="H1152" s="4" t="str" cm="1">
        <f t="array" ref="H1152">INDEX(Sheet1!D:D,$G1152)</f>
        <v>2001-cso-preferred-class-structure-mortality-tables.xls</v>
      </c>
      <c r="I1152" s="4" t="str" cm="1">
        <f t="array" ref="I1152">INDEX(Sheet1!E:E,$G1152)</f>
        <v>A.1.b.ii</v>
      </c>
      <c r="J1152" s="4" t="str" cm="1">
        <f t="array" ref="J1152">INDEX(Sheet1!F:F,$G1152)</f>
        <v>B8</v>
      </c>
      <c r="K1152" s="4" cm="1">
        <f t="array" ref="K1152">INDEX(Sheet1!H:H,$G1152)</f>
        <v>1E-3</v>
      </c>
      <c r="L1152" s="4">
        <f t="shared" si="68"/>
        <v>50</v>
      </c>
      <c r="M1152" s="4">
        <f t="shared" si="71"/>
        <v>5</v>
      </c>
    </row>
    <row r="1153" spans="1:13">
      <c r="A1153" s="4" t="str" cm="1">
        <f t="array" ref="A1153">INDEX(Sheet1!A:A,$F1153)</f>
        <v>F</v>
      </c>
      <c r="B1153" s="4" t="str" cm="1">
        <f t="array" ref="B1153">INDEX(Sheet1!B:B,$F1153)</f>
        <v>Pref Resid NS</v>
      </c>
      <c r="C1153" s="4">
        <f t="shared" si="69"/>
        <v>51</v>
      </c>
      <c r="D1153" s="5" cm="1">
        <f t="array" aca="1" ref="D1153" ca="1">OFFSET(INDIRECT("'["&amp;$H1153&amp;"]"&amp;$I1153&amp;"'!"&amp;$J1153),$L1153,$M1153)*$K1153</f>
        <v>2.48E-3</v>
      </c>
      <c r="F1153" s="4">
        <f t="shared" si="70"/>
        <v>13</v>
      </c>
      <c r="G1153" s="4" cm="1">
        <f t="array" ref="G1153">IF($C1153+$M1153&lt;16,INDEX(Sheet1!C:C,$F1153),$F1153)</f>
        <v>13</v>
      </c>
      <c r="H1153" s="4" t="str" cm="1">
        <f t="array" ref="H1153">INDEX(Sheet1!D:D,$G1153)</f>
        <v>2001-cso-preferred-class-structure-mortality-tables.xls</v>
      </c>
      <c r="I1153" s="4" t="str" cm="1">
        <f t="array" ref="I1153">INDEX(Sheet1!E:E,$G1153)</f>
        <v>A.1.b.ii</v>
      </c>
      <c r="J1153" s="4" t="str" cm="1">
        <f t="array" ref="J1153">INDEX(Sheet1!F:F,$G1153)</f>
        <v>B8</v>
      </c>
      <c r="K1153" s="4" cm="1">
        <f t="array" ref="K1153">INDEX(Sheet1!H:H,$G1153)</f>
        <v>1E-3</v>
      </c>
      <c r="L1153" s="4">
        <f t="shared" si="68"/>
        <v>51</v>
      </c>
      <c r="M1153" s="4">
        <f t="shared" si="71"/>
        <v>5</v>
      </c>
    </row>
    <row r="1154" spans="1:13">
      <c r="A1154" s="4" t="str" cm="1">
        <f t="array" ref="A1154">INDEX(Sheet1!A:A,$F1154)</f>
        <v>F</v>
      </c>
      <c r="B1154" s="4" t="str" cm="1">
        <f t="array" ref="B1154">INDEX(Sheet1!B:B,$F1154)</f>
        <v>Pref Resid NS</v>
      </c>
      <c r="C1154" s="4">
        <f t="shared" si="69"/>
        <v>52</v>
      </c>
      <c r="D1154" s="5" cm="1">
        <f t="array" aca="1" ref="D1154" ca="1">OFFSET(INDIRECT("'["&amp;$H1154&amp;"]"&amp;$I1154&amp;"'!"&amp;$J1154),$L1154,$M1154)*$K1154</f>
        <v>2.6200000000000004E-3</v>
      </c>
      <c r="F1154" s="4">
        <f t="shared" si="70"/>
        <v>13</v>
      </c>
      <c r="G1154" s="4" cm="1">
        <f t="array" ref="G1154">IF($C1154+$M1154&lt;16,INDEX(Sheet1!C:C,$F1154),$F1154)</f>
        <v>13</v>
      </c>
      <c r="H1154" s="4" t="str" cm="1">
        <f t="array" ref="H1154">INDEX(Sheet1!D:D,$G1154)</f>
        <v>2001-cso-preferred-class-structure-mortality-tables.xls</v>
      </c>
      <c r="I1154" s="4" t="str" cm="1">
        <f t="array" ref="I1154">INDEX(Sheet1!E:E,$G1154)</f>
        <v>A.1.b.ii</v>
      </c>
      <c r="J1154" s="4" t="str" cm="1">
        <f t="array" ref="J1154">INDEX(Sheet1!F:F,$G1154)</f>
        <v>B8</v>
      </c>
      <c r="K1154" s="4" cm="1">
        <f t="array" ref="K1154">INDEX(Sheet1!H:H,$G1154)</f>
        <v>1E-3</v>
      </c>
      <c r="L1154" s="4">
        <f t="shared" si="68"/>
        <v>52</v>
      </c>
      <c r="M1154" s="4">
        <f t="shared" si="71"/>
        <v>5</v>
      </c>
    </row>
    <row r="1155" spans="1:13">
      <c r="A1155" s="4" t="str" cm="1">
        <f t="array" ref="A1155">INDEX(Sheet1!A:A,$F1155)</f>
        <v>F</v>
      </c>
      <c r="B1155" s="4" t="str" cm="1">
        <f t="array" ref="B1155">INDEX(Sheet1!B:B,$F1155)</f>
        <v>Pref Resid NS</v>
      </c>
      <c r="C1155" s="4">
        <f t="shared" si="69"/>
        <v>53</v>
      </c>
      <c r="D1155" s="5" cm="1">
        <f t="array" aca="1" ref="D1155" ca="1">OFFSET(INDIRECT("'["&amp;$H1155&amp;"]"&amp;$I1155&amp;"'!"&amp;$J1155),$L1155,$M1155)*$K1155</f>
        <v>2.7799999999999999E-3</v>
      </c>
      <c r="F1155" s="4">
        <f t="shared" si="70"/>
        <v>13</v>
      </c>
      <c r="G1155" s="4" cm="1">
        <f t="array" ref="G1155">IF($C1155+$M1155&lt;16,INDEX(Sheet1!C:C,$F1155),$F1155)</f>
        <v>13</v>
      </c>
      <c r="H1155" s="4" t="str" cm="1">
        <f t="array" ref="H1155">INDEX(Sheet1!D:D,$G1155)</f>
        <v>2001-cso-preferred-class-structure-mortality-tables.xls</v>
      </c>
      <c r="I1155" s="4" t="str" cm="1">
        <f t="array" ref="I1155">INDEX(Sheet1!E:E,$G1155)</f>
        <v>A.1.b.ii</v>
      </c>
      <c r="J1155" s="4" t="str" cm="1">
        <f t="array" ref="J1155">INDEX(Sheet1!F:F,$G1155)</f>
        <v>B8</v>
      </c>
      <c r="K1155" s="4" cm="1">
        <f t="array" ref="K1155">INDEX(Sheet1!H:H,$G1155)</f>
        <v>1E-3</v>
      </c>
      <c r="L1155" s="4">
        <f t="shared" ref="L1155:L1218" si="72">C1155</f>
        <v>53</v>
      </c>
      <c r="M1155" s="4">
        <f t="shared" si="71"/>
        <v>5</v>
      </c>
    </row>
    <row r="1156" spans="1:13">
      <c r="A1156" s="4" t="str" cm="1">
        <f t="array" ref="A1156">INDEX(Sheet1!A:A,$F1156)</f>
        <v>F</v>
      </c>
      <c r="B1156" s="4" t="str" cm="1">
        <f t="array" ref="B1156">INDEX(Sheet1!B:B,$F1156)</f>
        <v>Pref Resid NS</v>
      </c>
      <c r="C1156" s="4">
        <f t="shared" ref="C1156:C1219" si="73">IF(C1155=99,0,C1155+1)</f>
        <v>54</v>
      </c>
      <c r="D1156" s="5" cm="1">
        <f t="array" aca="1" ref="D1156" ca="1">OFFSET(INDIRECT("'["&amp;$H1156&amp;"]"&amp;$I1156&amp;"'!"&amp;$J1156),$L1156,$M1156)*$K1156</f>
        <v>2.9399999999999999E-3</v>
      </c>
      <c r="F1156" s="4">
        <f t="shared" ref="F1156:F1219" si="74">IF(C1156=0,1,0)+F1155</f>
        <v>13</v>
      </c>
      <c r="G1156" s="4" cm="1">
        <f t="array" ref="G1156">IF($C1156+$M1156&lt;16,INDEX(Sheet1!C:C,$F1156),$F1156)</f>
        <v>13</v>
      </c>
      <c r="H1156" s="4" t="str" cm="1">
        <f t="array" ref="H1156">INDEX(Sheet1!D:D,$G1156)</f>
        <v>2001-cso-preferred-class-structure-mortality-tables.xls</v>
      </c>
      <c r="I1156" s="4" t="str" cm="1">
        <f t="array" ref="I1156">INDEX(Sheet1!E:E,$G1156)</f>
        <v>A.1.b.ii</v>
      </c>
      <c r="J1156" s="4" t="str" cm="1">
        <f t="array" ref="J1156">INDEX(Sheet1!F:F,$G1156)</f>
        <v>B8</v>
      </c>
      <c r="K1156" s="4" cm="1">
        <f t="array" ref="K1156">INDEX(Sheet1!H:H,$G1156)</f>
        <v>1E-3</v>
      </c>
      <c r="L1156" s="4">
        <f t="shared" si="72"/>
        <v>54</v>
      </c>
      <c r="M1156" s="4">
        <f t="shared" ref="L1156:M1219" si="75">M$2</f>
        <v>5</v>
      </c>
    </row>
    <row r="1157" spans="1:13">
      <c r="A1157" s="4" t="str" cm="1">
        <f t="array" ref="A1157">INDEX(Sheet1!A:A,$F1157)</f>
        <v>F</v>
      </c>
      <c r="B1157" s="4" t="str" cm="1">
        <f t="array" ref="B1157">INDEX(Sheet1!B:B,$F1157)</f>
        <v>Pref Resid NS</v>
      </c>
      <c r="C1157" s="4">
        <f t="shared" si="73"/>
        <v>55</v>
      </c>
      <c r="D1157" s="5" cm="1">
        <f t="array" aca="1" ref="D1157" ca="1">OFFSET(INDIRECT("'["&amp;$H1157&amp;"]"&amp;$I1157&amp;"'!"&amp;$J1157),$L1157,$M1157)*$K1157</f>
        <v>3.13E-3</v>
      </c>
      <c r="F1157" s="4">
        <f t="shared" si="74"/>
        <v>13</v>
      </c>
      <c r="G1157" s="4" cm="1">
        <f t="array" ref="G1157">IF($C1157+$M1157&lt;16,INDEX(Sheet1!C:C,$F1157),$F1157)</f>
        <v>13</v>
      </c>
      <c r="H1157" s="4" t="str" cm="1">
        <f t="array" ref="H1157">INDEX(Sheet1!D:D,$G1157)</f>
        <v>2001-cso-preferred-class-structure-mortality-tables.xls</v>
      </c>
      <c r="I1157" s="4" t="str" cm="1">
        <f t="array" ref="I1157">INDEX(Sheet1!E:E,$G1157)</f>
        <v>A.1.b.ii</v>
      </c>
      <c r="J1157" s="4" t="str" cm="1">
        <f t="array" ref="J1157">INDEX(Sheet1!F:F,$G1157)</f>
        <v>B8</v>
      </c>
      <c r="K1157" s="4" cm="1">
        <f t="array" ref="K1157">INDEX(Sheet1!H:H,$G1157)</f>
        <v>1E-3</v>
      </c>
      <c r="L1157" s="4">
        <f t="shared" si="72"/>
        <v>55</v>
      </c>
      <c r="M1157" s="4">
        <f t="shared" si="75"/>
        <v>5</v>
      </c>
    </row>
    <row r="1158" spans="1:13">
      <c r="A1158" s="4" t="str" cm="1">
        <f t="array" ref="A1158">INDEX(Sheet1!A:A,$F1158)</f>
        <v>F</v>
      </c>
      <c r="B1158" s="4" t="str" cm="1">
        <f t="array" ref="B1158">INDEX(Sheet1!B:B,$F1158)</f>
        <v>Pref Resid NS</v>
      </c>
      <c r="C1158" s="4">
        <f t="shared" si="73"/>
        <v>56</v>
      </c>
      <c r="D1158" s="5" cm="1">
        <f t="array" aca="1" ref="D1158" ca="1">OFFSET(INDIRECT("'["&amp;$H1158&amp;"]"&amp;$I1158&amp;"'!"&amp;$J1158),$L1158,$M1158)*$K1158</f>
        <v>3.3500000000000001E-3</v>
      </c>
      <c r="F1158" s="4">
        <f t="shared" si="74"/>
        <v>13</v>
      </c>
      <c r="G1158" s="4" cm="1">
        <f t="array" ref="G1158">IF($C1158+$M1158&lt;16,INDEX(Sheet1!C:C,$F1158),$F1158)</f>
        <v>13</v>
      </c>
      <c r="H1158" s="4" t="str" cm="1">
        <f t="array" ref="H1158">INDEX(Sheet1!D:D,$G1158)</f>
        <v>2001-cso-preferred-class-structure-mortality-tables.xls</v>
      </c>
      <c r="I1158" s="4" t="str" cm="1">
        <f t="array" ref="I1158">INDEX(Sheet1!E:E,$G1158)</f>
        <v>A.1.b.ii</v>
      </c>
      <c r="J1158" s="4" t="str" cm="1">
        <f t="array" ref="J1158">INDEX(Sheet1!F:F,$G1158)</f>
        <v>B8</v>
      </c>
      <c r="K1158" s="4" cm="1">
        <f t="array" ref="K1158">INDEX(Sheet1!H:H,$G1158)</f>
        <v>1E-3</v>
      </c>
      <c r="L1158" s="4">
        <f t="shared" si="72"/>
        <v>56</v>
      </c>
      <c r="M1158" s="4">
        <f t="shared" si="75"/>
        <v>5</v>
      </c>
    </row>
    <row r="1159" spans="1:13">
      <c r="A1159" s="4" t="str" cm="1">
        <f t="array" ref="A1159">INDEX(Sheet1!A:A,$F1159)</f>
        <v>F</v>
      </c>
      <c r="B1159" s="4" t="str" cm="1">
        <f t="array" ref="B1159">INDEX(Sheet1!B:B,$F1159)</f>
        <v>Pref Resid NS</v>
      </c>
      <c r="C1159" s="4">
        <f t="shared" si="73"/>
        <v>57</v>
      </c>
      <c r="D1159" s="5" cm="1">
        <f t="array" aca="1" ref="D1159" ca="1">OFFSET(INDIRECT("'["&amp;$H1159&amp;"]"&amp;$I1159&amp;"'!"&amp;$J1159),$L1159,$M1159)*$K1159</f>
        <v>3.6000000000000003E-3</v>
      </c>
      <c r="F1159" s="4">
        <f t="shared" si="74"/>
        <v>13</v>
      </c>
      <c r="G1159" s="4" cm="1">
        <f t="array" ref="G1159">IF($C1159+$M1159&lt;16,INDEX(Sheet1!C:C,$F1159),$F1159)</f>
        <v>13</v>
      </c>
      <c r="H1159" s="4" t="str" cm="1">
        <f t="array" ref="H1159">INDEX(Sheet1!D:D,$G1159)</f>
        <v>2001-cso-preferred-class-structure-mortality-tables.xls</v>
      </c>
      <c r="I1159" s="4" t="str" cm="1">
        <f t="array" ref="I1159">INDEX(Sheet1!E:E,$G1159)</f>
        <v>A.1.b.ii</v>
      </c>
      <c r="J1159" s="4" t="str" cm="1">
        <f t="array" ref="J1159">INDEX(Sheet1!F:F,$G1159)</f>
        <v>B8</v>
      </c>
      <c r="K1159" s="4" cm="1">
        <f t="array" ref="K1159">INDEX(Sheet1!H:H,$G1159)</f>
        <v>1E-3</v>
      </c>
      <c r="L1159" s="4">
        <f t="shared" si="72"/>
        <v>57</v>
      </c>
      <c r="M1159" s="4">
        <f t="shared" si="75"/>
        <v>5</v>
      </c>
    </row>
    <row r="1160" spans="1:13">
      <c r="A1160" s="4" t="str" cm="1">
        <f t="array" ref="A1160">INDEX(Sheet1!A:A,$F1160)</f>
        <v>F</v>
      </c>
      <c r="B1160" s="4" t="str" cm="1">
        <f t="array" ref="B1160">INDEX(Sheet1!B:B,$F1160)</f>
        <v>Pref Resid NS</v>
      </c>
      <c r="C1160" s="4">
        <f t="shared" si="73"/>
        <v>58</v>
      </c>
      <c r="D1160" s="5" cm="1">
        <f t="array" aca="1" ref="D1160" ca="1">OFFSET(INDIRECT("'["&amp;$H1160&amp;"]"&amp;$I1160&amp;"'!"&amp;$J1160),$L1160,$M1160)*$K1160</f>
        <v>3.8900000000000002E-3</v>
      </c>
      <c r="F1160" s="4">
        <f t="shared" si="74"/>
        <v>13</v>
      </c>
      <c r="G1160" s="4" cm="1">
        <f t="array" ref="G1160">IF($C1160+$M1160&lt;16,INDEX(Sheet1!C:C,$F1160),$F1160)</f>
        <v>13</v>
      </c>
      <c r="H1160" s="4" t="str" cm="1">
        <f t="array" ref="H1160">INDEX(Sheet1!D:D,$G1160)</f>
        <v>2001-cso-preferred-class-structure-mortality-tables.xls</v>
      </c>
      <c r="I1160" s="4" t="str" cm="1">
        <f t="array" ref="I1160">INDEX(Sheet1!E:E,$G1160)</f>
        <v>A.1.b.ii</v>
      </c>
      <c r="J1160" s="4" t="str" cm="1">
        <f t="array" ref="J1160">INDEX(Sheet1!F:F,$G1160)</f>
        <v>B8</v>
      </c>
      <c r="K1160" s="4" cm="1">
        <f t="array" ref="K1160">INDEX(Sheet1!H:H,$G1160)</f>
        <v>1E-3</v>
      </c>
      <c r="L1160" s="4">
        <f t="shared" si="72"/>
        <v>58</v>
      </c>
      <c r="M1160" s="4">
        <f t="shared" si="75"/>
        <v>5</v>
      </c>
    </row>
    <row r="1161" spans="1:13">
      <c r="A1161" s="4" t="str" cm="1">
        <f t="array" ref="A1161">INDEX(Sheet1!A:A,$F1161)</f>
        <v>F</v>
      </c>
      <c r="B1161" s="4" t="str" cm="1">
        <f t="array" ref="B1161">INDEX(Sheet1!B:B,$F1161)</f>
        <v>Pref Resid NS</v>
      </c>
      <c r="C1161" s="4">
        <f t="shared" si="73"/>
        <v>59</v>
      </c>
      <c r="D1161" s="5" cm="1">
        <f t="array" aca="1" ref="D1161" ca="1">OFFSET(INDIRECT("'["&amp;$H1161&amp;"]"&amp;$I1161&amp;"'!"&amp;$J1161),$L1161,$M1161)*$K1161</f>
        <v>4.2000000000000006E-3</v>
      </c>
      <c r="F1161" s="4">
        <f t="shared" si="74"/>
        <v>13</v>
      </c>
      <c r="G1161" s="4" cm="1">
        <f t="array" ref="G1161">IF($C1161+$M1161&lt;16,INDEX(Sheet1!C:C,$F1161),$F1161)</f>
        <v>13</v>
      </c>
      <c r="H1161" s="4" t="str" cm="1">
        <f t="array" ref="H1161">INDEX(Sheet1!D:D,$G1161)</f>
        <v>2001-cso-preferred-class-structure-mortality-tables.xls</v>
      </c>
      <c r="I1161" s="4" t="str" cm="1">
        <f t="array" ref="I1161">INDEX(Sheet1!E:E,$G1161)</f>
        <v>A.1.b.ii</v>
      </c>
      <c r="J1161" s="4" t="str" cm="1">
        <f t="array" ref="J1161">INDEX(Sheet1!F:F,$G1161)</f>
        <v>B8</v>
      </c>
      <c r="K1161" s="4" cm="1">
        <f t="array" ref="K1161">INDEX(Sheet1!H:H,$G1161)</f>
        <v>1E-3</v>
      </c>
      <c r="L1161" s="4">
        <f t="shared" si="72"/>
        <v>59</v>
      </c>
      <c r="M1161" s="4">
        <f t="shared" si="75"/>
        <v>5</v>
      </c>
    </row>
    <row r="1162" spans="1:13">
      <c r="A1162" s="4" t="str" cm="1">
        <f t="array" ref="A1162">INDEX(Sheet1!A:A,$F1162)</f>
        <v>F</v>
      </c>
      <c r="B1162" s="4" t="str" cm="1">
        <f t="array" ref="B1162">INDEX(Sheet1!B:B,$F1162)</f>
        <v>Pref Resid NS</v>
      </c>
      <c r="C1162" s="4">
        <f t="shared" si="73"/>
        <v>60</v>
      </c>
      <c r="D1162" s="5" cm="1">
        <f t="array" aca="1" ref="D1162" ca="1">OFFSET(INDIRECT("'["&amp;$H1162&amp;"]"&amp;$I1162&amp;"'!"&amp;$J1162),$L1162,$M1162)*$K1162</f>
        <v>4.5500000000000002E-3</v>
      </c>
      <c r="F1162" s="4">
        <f t="shared" si="74"/>
        <v>13</v>
      </c>
      <c r="G1162" s="4" cm="1">
        <f t="array" ref="G1162">IF($C1162+$M1162&lt;16,INDEX(Sheet1!C:C,$F1162),$F1162)</f>
        <v>13</v>
      </c>
      <c r="H1162" s="4" t="str" cm="1">
        <f t="array" ref="H1162">INDEX(Sheet1!D:D,$G1162)</f>
        <v>2001-cso-preferred-class-structure-mortality-tables.xls</v>
      </c>
      <c r="I1162" s="4" t="str" cm="1">
        <f t="array" ref="I1162">INDEX(Sheet1!E:E,$G1162)</f>
        <v>A.1.b.ii</v>
      </c>
      <c r="J1162" s="4" t="str" cm="1">
        <f t="array" ref="J1162">INDEX(Sheet1!F:F,$G1162)</f>
        <v>B8</v>
      </c>
      <c r="K1162" s="4" cm="1">
        <f t="array" ref="K1162">INDEX(Sheet1!H:H,$G1162)</f>
        <v>1E-3</v>
      </c>
      <c r="L1162" s="4">
        <f t="shared" si="72"/>
        <v>60</v>
      </c>
      <c r="M1162" s="4">
        <f t="shared" si="75"/>
        <v>5</v>
      </c>
    </row>
    <row r="1163" spans="1:13">
      <c r="A1163" s="4" t="str" cm="1">
        <f t="array" ref="A1163">INDEX(Sheet1!A:A,$F1163)</f>
        <v>F</v>
      </c>
      <c r="B1163" s="4" t="str" cm="1">
        <f t="array" ref="B1163">INDEX(Sheet1!B:B,$F1163)</f>
        <v>Pref Resid NS</v>
      </c>
      <c r="C1163" s="4">
        <f t="shared" si="73"/>
        <v>61</v>
      </c>
      <c r="D1163" s="5" cm="1">
        <f t="array" aca="1" ref="D1163" ca="1">OFFSET(INDIRECT("'["&amp;$H1163&amp;"]"&amp;$I1163&amp;"'!"&amp;$J1163),$L1163,$M1163)*$K1163</f>
        <v>4.9000000000000007E-3</v>
      </c>
      <c r="F1163" s="4">
        <f t="shared" si="74"/>
        <v>13</v>
      </c>
      <c r="G1163" s="4" cm="1">
        <f t="array" ref="G1163">IF($C1163+$M1163&lt;16,INDEX(Sheet1!C:C,$F1163),$F1163)</f>
        <v>13</v>
      </c>
      <c r="H1163" s="4" t="str" cm="1">
        <f t="array" ref="H1163">INDEX(Sheet1!D:D,$G1163)</f>
        <v>2001-cso-preferred-class-structure-mortality-tables.xls</v>
      </c>
      <c r="I1163" s="4" t="str" cm="1">
        <f t="array" ref="I1163">INDEX(Sheet1!E:E,$G1163)</f>
        <v>A.1.b.ii</v>
      </c>
      <c r="J1163" s="4" t="str" cm="1">
        <f t="array" ref="J1163">INDEX(Sheet1!F:F,$G1163)</f>
        <v>B8</v>
      </c>
      <c r="K1163" s="4" cm="1">
        <f t="array" ref="K1163">INDEX(Sheet1!H:H,$G1163)</f>
        <v>1E-3</v>
      </c>
      <c r="L1163" s="4">
        <f t="shared" si="72"/>
        <v>61</v>
      </c>
      <c r="M1163" s="4">
        <f t="shared" si="75"/>
        <v>5</v>
      </c>
    </row>
    <row r="1164" spans="1:13">
      <c r="A1164" s="4" t="str" cm="1">
        <f t="array" ref="A1164">INDEX(Sheet1!A:A,$F1164)</f>
        <v>F</v>
      </c>
      <c r="B1164" s="4" t="str" cm="1">
        <f t="array" ref="B1164">INDEX(Sheet1!B:B,$F1164)</f>
        <v>Pref Resid NS</v>
      </c>
      <c r="C1164" s="4">
        <f t="shared" si="73"/>
        <v>62</v>
      </c>
      <c r="D1164" s="5" cm="1">
        <f t="array" aca="1" ref="D1164" ca="1">OFFSET(INDIRECT("'["&amp;$H1164&amp;"]"&amp;$I1164&amp;"'!"&amp;$J1164),$L1164,$M1164)*$K1164</f>
        <v>5.2699999999999995E-3</v>
      </c>
      <c r="F1164" s="4">
        <f t="shared" si="74"/>
        <v>13</v>
      </c>
      <c r="G1164" s="4" cm="1">
        <f t="array" ref="G1164">IF($C1164+$M1164&lt;16,INDEX(Sheet1!C:C,$F1164),$F1164)</f>
        <v>13</v>
      </c>
      <c r="H1164" s="4" t="str" cm="1">
        <f t="array" ref="H1164">INDEX(Sheet1!D:D,$G1164)</f>
        <v>2001-cso-preferred-class-structure-mortality-tables.xls</v>
      </c>
      <c r="I1164" s="4" t="str" cm="1">
        <f t="array" ref="I1164">INDEX(Sheet1!E:E,$G1164)</f>
        <v>A.1.b.ii</v>
      </c>
      <c r="J1164" s="4" t="str" cm="1">
        <f t="array" ref="J1164">INDEX(Sheet1!F:F,$G1164)</f>
        <v>B8</v>
      </c>
      <c r="K1164" s="4" cm="1">
        <f t="array" ref="K1164">INDEX(Sheet1!H:H,$G1164)</f>
        <v>1E-3</v>
      </c>
      <c r="L1164" s="4">
        <f t="shared" si="72"/>
        <v>62</v>
      </c>
      <c r="M1164" s="4">
        <f t="shared" si="75"/>
        <v>5</v>
      </c>
    </row>
    <row r="1165" spans="1:13">
      <c r="A1165" s="4" t="str" cm="1">
        <f t="array" ref="A1165">INDEX(Sheet1!A:A,$F1165)</f>
        <v>F</v>
      </c>
      <c r="B1165" s="4" t="str" cm="1">
        <f t="array" ref="B1165">INDEX(Sheet1!B:B,$F1165)</f>
        <v>Pref Resid NS</v>
      </c>
      <c r="C1165" s="4">
        <f t="shared" si="73"/>
        <v>63</v>
      </c>
      <c r="D1165" s="5" cm="1">
        <f t="array" aca="1" ref="D1165" ca="1">OFFSET(INDIRECT("'["&amp;$H1165&amp;"]"&amp;$I1165&amp;"'!"&amp;$J1165),$L1165,$M1165)*$K1165</f>
        <v>5.64E-3</v>
      </c>
      <c r="F1165" s="4">
        <f t="shared" si="74"/>
        <v>13</v>
      </c>
      <c r="G1165" s="4" cm="1">
        <f t="array" ref="G1165">IF($C1165+$M1165&lt;16,INDEX(Sheet1!C:C,$F1165),$F1165)</f>
        <v>13</v>
      </c>
      <c r="H1165" s="4" t="str" cm="1">
        <f t="array" ref="H1165">INDEX(Sheet1!D:D,$G1165)</f>
        <v>2001-cso-preferred-class-structure-mortality-tables.xls</v>
      </c>
      <c r="I1165" s="4" t="str" cm="1">
        <f t="array" ref="I1165">INDEX(Sheet1!E:E,$G1165)</f>
        <v>A.1.b.ii</v>
      </c>
      <c r="J1165" s="4" t="str" cm="1">
        <f t="array" ref="J1165">INDEX(Sheet1!F:F,$G1165)</f>
        <v>B8</v>
      </c>
      <c r="K1165" s="4" cm="1">
        <f t="array" ref="K1165">INDEX(Sheet1!H:H,$G1165)</f>
        <v>1E-3</v>
      </c>
      <c r="L1165" s="4">
        <f t="shared" si="72"/>
        <v>63</v>
      </c>
      <c r="M1165" s="4">
        <f t="shared" si="75"/>
        <v>5</v>
      </c>
    </row>
    <row r="1166" spans="1:13">
      <c r="A1166" s="4" t="str" cm="1">
        <f t="array" ref="A1166">INDEX(Sheet1!A:A,$F1166)</f>
        <v>F</v>
      </c>
      <c r="B1166" s="4" t="str" cm="1">
        <f t="array" ref="B1166">INDEX(Sheet1!B:B,$F1166)</f>
        <v>Pref Resid NS</v>
      </c>
      <c r="C1166" s="4">
        <f t="shared" si="73"/>
        <v>64</v>
      </c>
      <c r="D1166" s="5" cm="1">
        <f t="array" aca="1" ref="D1166" ca="1">OFFSET(INDIRECT("'["&amp;$H1166&amp;"]"&amp;$I1166&amp;"'!"&amp;$J1166),$L1166,$M1166)*$K1166</f>
        <v>6.0300000000000006E-3</v>
      </c>
      <c r="F1166" s="4">
        <f t="shared" si="74"/>
        <v>13</v>
      </c>
      <c r="G1166" s="4" cm="1">
        <f t="array" ref="G1166">IF($C1166+$M1166&lt;16,INDEX(Sheet1!C:C,$F1166),$F1166)</f>
        <v>13</v>
      </c>
      <c r="H1166" s="4" t="str" cm="1">
        <f t="array" ref="H1166">INDEX(Sheet1!D:D,$G1166)</f>
        <v>2001-cso-preferred-class-structure-mortality-tables.xls</v>
      </c>
      <c r="I1166" s="4" t="str" cm="1">
        <f t="array" ref="I1166">INDEX(Sheet1!E:E,$G1166)</f>
        <v>A.1.b.ii</v>
      </c>
      <c r="J1166" s="4" t="str" cm="1">
        <f t="array" ref="J1166">INDEX(Sheet1!F:F,$G1166)</f>
        <v>B8</v>
      </c>
      <c r="K1166" s="4" cm="1">
        <f t="array" ref="K1166">INDEX(Sheet1!H:H,$G1166)</f>
        <v>1E-3</v>
      </c>
      <c r="L1166" s="4">
        <f t="shared" si="72"/>
        <v>64</v>
      </c>
      <c r="M1166" s="4">
        <f t="shared" si="75"/>
        <v>5</v>
      </c>
    </row>
    <row r="1167" spans="1:13">
      <c r="A1167" s="4" t="str" cm="1">
        <f t="array" ref="A1167">INDEX(Sheet1!A:A,$F1167)</f>
        <v>F</v>
      </c>
      <c r="B1167" s="4" t="str" cm="1">
        <f t="array" ref="B1167">INDEX(Sheet1!B:B,$F1167)</f>
        <v>Pref Resid NS</v>
      </c>
      <c r="C1167" s="4">
        <f t="shared" si="73"/>
        <v>65</v>
      </c>
      <c r="D1167" s="5" cm="1">
        <f t="array" aca="1" ref="D1167" ca="1">OFFSET(INDIRECT("'["&amp;$H1167&amp;"]"&amp;$I1167&amp;"'!"&amp;$J1167),$L1167,$M1167)*$K1167</f>
        <v>6.45E-3</v>
      </c>
      <c r="F1167" s="4">
        <f t="shared" si="74"/>
        <v>13</v>
      </c>
      <c r="G1167" s="4" cm="1">
        <f t="array" ref="G1167">IF($C1167+$M1167&lt;16,INDEX(Sheet1!C:C,$F1167),$F1167)</f>
        <v>13</v>
      </c>
      <c r="H1167" s="4" t="str" cm="1">
        <f t="array" ref="H1167">INDEX(Sheet1!D:D,$G1167)</f>
        <v>2001-cso-preferred-class-structure-mortality-tables.xls</v>
      </c>
      <c r="I1167" s="4" t="str" cm="1">
        <f t="array" ref="I1167">INDEX(Sheet1!E:E,$G1167)</f>
        <v>A.1.b.ii</v>
      </c>
      <c r="J1167" s="4" t="str" cm="1">
        <f t="array" ref="J1167">INDEX(Sheet1!F:F,$G1167)</f>
        <v>B8</v>
      </c>
      <c r="K1167" s="4" cm="1">
        <f t="array" ref="K1167">INDEX(Sheet1!H:H,$G1167)</f>
        <v>1E-3</v>
      </c>
      <c r="L1167" s="4">
        <f t="shared" si="72"/>
        <v>65</v>
      </c>
      <c r="M1167" s="4">
        <f t="shared" si="75"/>
        <v>5</v>
      </c>
    </row>
    <row r="1168" spans="1:13">
      <c r="A1168" s="4" t="str" cm="1">
        <f t="array" ref="A1168">INDEX(Sheet1!A:A,$F1168)</f>
        <v>F</v>
      </c>
      <c r="B1168" s="4" t="str" cm="1">
        <f t="array" ref="B1168">INDEX(Sheet1!B:B,$F1168)</f>
        <v>Pref Resid NS</v>
      </c>
      <c r="C1168" s="4">
        <f t="shared" si="73"/>
        <v>66</v>
      </c>
      <c r="D1168" s="5" cm="1">
        <f t="array" aca="1" ref="D1168" ca="1">OFFSET(INDIRECT("'["&amp;$H1168&amp;"]"&amp;$I1168&amp;"'!"&amp;$J1168),$L1168,$M1168)*$K1168</f>
        <v>6.9299999999999995E-3</v>
      </c>
      <c r="F1168" s="4">
        <f t="shared" si="74"/>
        <v>13</v>
      </c>
      <c r="G1168" s="4" cm="1">
        <f t="array" ref="G1168">IF($C1168+$M1168&lt;16,INDEX(Sheet1!C:C,$F1168),$F1168)</f>
        <v>13</v>
      </c>
      <c r="H1168" s="4" t="str" cm="1">
        <f t="array" ref="H1168">INDEX(Sheet1!D:D,$G1168)</f>
        <v>2001-cso-preferred-class-structure-mortality-tables.xls</v>
      </c>
      <c r="I1168" s="4" t="str" cm="1">
        <f t="array" ref="I1168">INDEX(Sheet1!E:E,$G1168)</f>
        <v>A.1.b.ii</v>
      </c>
      <c r="J1168" s="4" t="str" cm="1">
        <f t="array" ref="J1168">INDEX(Sheet1!F:F,$G1168)</f>
        <v>B8</v>
      </c>
      <c r="K1168" s="4" cm="1">
        <f t="array" ref="K1168">INDEX(Sheet1!H:H,$G1168)</f>
        <v>1E-3</v>
      </c>
      <c r="L1168" s="4">
        <f t="shared" si="72"/>
        <v>66</v>
      </c>
      <c r="M1168" s="4">
        <f t="shared" si="75"/>
        <v>5</v>
      </c>
    </row>
    <row r="1169" spans="1:13">
      <c r="A1169" s="4" t="str" cm="1">
        <f t="array" ref="A1169">INDEX(Sheet1!A:A,$F1169)</f>
        <v>F</v>
      </c>
      <c r="B1169" s="4" t="str" cm="1">
        <f t="array" ref="B1169">INDEX(Sheet1!B:B,$F1169)</f>
        <v>Pref Resid NS</v>
      </c>
      <c r="C1169" s="4">
        <f t="shared" si="73"/>
        <v>67</v>
      </c>
      <c r="D1169" s="5" cm="1">
        <f t="array" aca="1" ref="D1169" ca="1">OFFSET(INDIRECT("'["&amp;$H1169&amp;"]"&amp;$I1169&amp;"'!"&amp;$J1169),$L1169,$M1169)*$K1169</f>
        <v>7.4999999999999997E-3</v>
      </c>
      <c r="F1169" s="4">
        <f t="shared" si="74"/>
        <v>13</v>
      </c>
      <c r="G1169" s="4" cm="1">
        <f t="array" ref="G1169">IF($C1169+$M1169&lt;16,INDEX(Sheet1!C:C,$F1169),$F1169)</f>
        <v>13</v>
      </c>
      <c r="H1169" s="4" t="str" cm="1">
        <f t="array" ref="H1169">INDEX(Sheet1!D:D,$G1169)</f>
        <v>2001-cso-preferred-class-structure-mortality-tables.xls</v>
      </c>
      <c r="I1169" s="4" t="str" cm="1">
        <f t="array" ref="I1169">INDEX(Sheet1!E:E,$G1169)</f>
        <v>A.1.b.ii</v>
      </c>
      <c r="J1169" s="4" t="str" cm="1">
        <f t="array" ref="J1169">INDEX(Sheet1!F:F,$G1169)</f>
        <v>B8</v>
      </c>
      <c r="K1169" s="4" cm="1">
        <f t="array" ref="K1169">INDEX(Sheet1!H:H,$G1169)</f>
        <v>1E-3</v>
      </c>
      <c r="L1169" s="4">
        <f t="shared" si="72"/>
        <v>67</v>
      </c>
      <c r="M1169" s="4">
        <f t="shared" si="75"/>
        <v>5</v>
      </c>
    </row>
    <row r="1170" spans="1:13">
      <c r="A1170" s="4" t="str" cm="1">
        <f t="array" ref="A1170">INDEX(Sheet1!A:A,$F1170)</f>
        <v>F</v>
      </c>
      <c r="B1170" s="4" t="str" cm="1">
        <f t="array" ref="B1170">INDEX(Sheet1!B:B,$F1170)</f>
        <v>Pref Resid NS</v>
      </c>
      <c r="C1170" s="4">
        <f t="shared" si="73"/>
        <v>68</v>
      </c>
      <c r="D1170" s="5" cm="1">
        <f t="array" aca="1" ref="D1170" ca="1">OFFSET(INDIRECT("'["&amp;$H1170&amp;"]"&amp;$I1170&amp;"'!"&amp;$J1170),$L1170,$M1170)*$K1170</f>
        <v>8.1700000000000002E-3</v>
      </c>
      <c r="F1170" s="4">
        <f t="shared" si="74"/>
        <v>13</v>
      </c>
      <c r="G1170" s="4" cm="1">
        <f t="array" ref="G1170">IF($C1170+$M1170&lt;16,INDEX(Sheet1!C:C,$F1170),$F1170)</f>
        <v>13</v>
      </c>
      <c r="H1170" s="4" t="str" cm="1">
        <f t="array" ref="H1170">INDEX(Sheet1!D:D,$G1170)</f>
        <v>2001-cso-preferred-class-structure-mortality-tables.xls</v>
      </c>
      <c r="I1170" s="4" t="str" cm="1">
        <f t="array" ref="I1170">INDEX(Sheet1!E:E,$G1170)</f>
        <v>A.1.b.ii</v>
      </c>
      <c r="J1170" s="4" t="str" cm="1">
        <f t="array" ref="J1170">INDEX(Sheet1!F:F,$G1170)</f>
        <v>B8</v>
      </c>
      <c r="K1170" s="4" cm="1">
        <f t="array" ref="K1170">INDEX(Sheet1!H:H,$G1170)</f>
        <v>1E-3</v>
      </c>
      <c r="L1170" s="4">
        <f t="shared" si="72"/>
        <v>68</v>
      </c>
      <c r="M1170" s="4">
        <f t="shared" si="75"/>
        <v>5</v>
      </c>
    </row>
    <row r="1171" spans="1:13">
      <c r="A1171" s="4" t="str" cm="1">
        <f t="array" ref="A1171">INDEX(Sheet1!A:A,$F1171)</f>
        <v>F</v>
      </c>
      <c r="B1171" s="4" t="str" cm="1">
        <f t="array" ref="B1171">INDEX(Sheet1!B:B,$F1171)</f>
        <v>Pref Resid NS</v>
      </c>
      <c r="C1171" s="4">
        <f t="shared" si="73"/>
        <v>69</v>
      </c>
      <c r="D1171" s="5" cm="1">
        <f t="array" aca="1" ref="D1171" ca="1">OFFSET(INDIRECT("'["&amp;$H1171&amp;"]"&amp;$I1171&amp;"'!"&amp;$J1171),$L1171,$M1171)*$K1171</f>
        <v>8.9700000000000005E-3</v>
      </c>
      <c r="F1171" s="4">
        <f t="shared" si="74"/>
        <v>13</v>
      </c>
      <c r="G1171" s="4" cm="1">
        <f t="array" ref="G1171">IF($C1171+$M1171&lt;16,INDEX(Sheet1!C:C,$F1171),$F1171)</f>
        <v>13</v>
      </c>
      <c r="H1171" s="4" t="str" cm="1">
        <f t="array" ref="H1171">INDEX(Sheet1!D:D,$G1171)</f>
        <v>2001-cso-preferred-class-structure-mortality-tables.xls</v>
      </c>
      <c r="I1171" s="4" t="str" cm="1">
        <f t="array" ref="I1171">INDEX(Sheet1!E:E,$G1171)</f>
        <v>A.1.b.ii</v>
      </c>
      <c r="J1171" s="4" t="str" cm="1">
        <f t="array" ref="J1171">INDEX(Sheet1!F:F,$G1171)</f>
        <v>B8</v>
      </c>
      <c r="K1171" s="4" cm="1">
        <f t="array" ref="K1171">INDEX(Sheet1!H:H,$G1171)</f>
        <v>1E-3</v>
      </c>
      <c r="L1171" s="4">
        <f t="shared" si="72"/>
        <v>69</v>
      </c>
      <c r="M1171" s="4">
        <f t="shared" si="75"/>
        <v>5</v>
      </c>
    </row>
    <row r="1172" spans="1:13">
      <c r="A1172" s="4" t="str" cm="1">
        <f t="array" ref="A1172">INDEX(Sheet1!A:A,$F1172)</f>
        <v>F</v>
      </c>
      <c r="B1172" s="4" t="str" cm="1">
        <f t="array" ref="B1172">INDEX(Sheet1!B:B,$F1172)</f>
        <v>Pref Resid NS</v>
      </c>
      <c r="C1172" s="4">
        <f t="shared" si="73"/>
        <v>70</v>
      </c>
      <c r="D1172" s="5" cm="1">
        <f t="array" aca="1" ref="D1172" ca="1">OFFSET(INDIRECT("'["&amp;$H1172&amp;"]"&amp;$I1172&amp;"'!"&amp;$J1172),$L1172,$M1172)*$K1172</f>
        <v>9.92E-3</v>
      </c>
      <c r="F1172" s="4">
        <f t="shared" si="74"/>
        <v>13</v>
      </c>
      <c r="G1172" s="4" cm="1">
        <f t="array" ref="G1172">IF($C1172+$M1172&lt;16,INDEX(Sheet1!C:C,$F1172),$F1172)</f>
        <v>13</v>
      </c>
      <c r="H1172" s="4" t="str" cm="1">
        <f t="array" ref="H1172">INDEX(Sheet1!D:D,$G1172)</f>
        <v>2001-cso-preferred-class-structure-mortality-tables.xls</v>
      </c>
      <c r="I1172" s="4" t="str" cm="1">
        <f t="array" ref="I1172">INDEX(Sheet1!E:E,$G1172)</f>
        <v>A.1.b.ii</v>
      </c>
      <c r="J1172" s="4" t="str" cm="1">
        <f t="array" ref="J1172">INDEX(Sheet1!F:F,$G1172)</f>
        <v>B8</v>
      </c>
      <c r="K1172" s="4" cm="1">
        <f t="array" ref="K1172">INDEX(Sheet1!H:H,$G1172)</f>
        <v>1E-3</v>
      </c>
      <c r="L1172" s="4">
        <f t="shared" si="72"/>
        <v>70</v>
      </c>
      <c r="M1172" s="4">
        <f t="shared" si="75"/>
        <v>5</v>
      </c>
    </row>
    <row r="1173" spans="1:13">
      <c r="A1173" s="4" t="str" cm="1">
        <f t="array" ref="A1173">INDEX(Sheet1!A:A,$F1173)</f>
        <v>F</v>
      </c>
      <c r="B1173" s="4" t="str" cm="1">
        <f t="array" ref="B1173">INDEX(Sheet1!B:B,$F1173)</f>
        <v>Pref Resid NS</v>
      </c>
      <c r="C1173" s="4">
        <f t="shared" si="73"/>
        <v>71</v>
      </c>
      <c r="D1173" s="5" cm="1">
        <f t="array" aca="1" ref="D1173" ca="1">OFFSET(INDIRECT("'["&amp;$H1173&amp;"]"&amp;$I1173&amp;"'!"&amp;$J1173),$L1173,$M1173)*$K1173</f>
        <v>1.1039999999999999E-2</v>
      </c>
      <c r="F1173" s="4">
        <f t="shared" si="74"/>
        <v>13</v>
      </c>
      <c r="G1173" s="4" cm="1">
        <f t="array" ref="G1173">IF($C1173+$M1173&lt;16,INDEX(Sheet1!C:C,$F1173),$F1173)</f>
        <v>13</v>
      </c>
      <c r="H1173" s="4" t="str" cm="1">
        <f t="array" ref="H1173">INDEX(Sheet1!D:D,$G1173)</f>
        <v>2001-cso-preferred-class-structure-mortality-tables.xls</v>
      </c>
      <c r="I1173" s="4" t="str" cm="1">
        <f t="array" ref="I1173">INDEX(Sheet1!E:E,$G1173)</f>
        <v>A.1.b.ii</v>
      </c>
      <c r="J1173" s="4" t="str" cm="1">
        <f t="array" ref="J1173">INDEX(Sheet1!F:F,$G1173)</f>
        <v>B8</v>
      </c>
      <c r="K1173" s="4" cm="1">
        <f t="array" ref="K1173">INDEX(Sheet1!H:H,$G1173)</f>
        <v>1E-3</v>
      </c>
      <c r="L1173" s="4">
        <f t="shared" si="72"/>
        <v>71</v>
      </c>
      <c r="M1173" s="4">
        <f t="shared" si="75"/>
        <v>5</v>
      </c>
    </row>
    <row r="1174" spans="1:13">
      <c r="A1174" s="4" t="str" cm="1">
        <f t="array" ref="A1174">INDEX(Sheet1!A:A,$F1174)</f>
        <v>F</v>
      </c>
      <c r="B1174" s="4" t="str" cm="1">
        <f t="array" ref="B1174">INDEX(Sheet1!B:B,$F1174)</f>
        <v>Pref Resid NS</v>
      </c>
      <c r="C1174" s="4">
        <f t="shared" si="73"/>
        <v>72</v>
      </c>
      <c r="D1174" s="5" cm="1">
        <f t="array" aca="1" ref="D1174" ca="1">OFFSET(INDIRECT("'["&amp;$H1174&amp;"]"&amp;$I1174&amp;"'!"&amp;$J1174),$L1174,$M1174)*$K1174</f>
        <v>1.2359999999999999E-2</v>
      </c>
      <c r="F1174" s="4">
        <f t="shared" si="74"/>
        <v>13</v>
      </c>
      <c r="G1174" s="4" cm="1">
        <f t="array" ref="G1174">IF($C1174+$M1174&lt;16,INDEX(Sheet1!C:C,$F1174),$F1174)</f>
        <v>13</v>
      </c>
      <c r="H1174" s="4" t="str" cm="1">
        <f t="array" ref="H1174">INDEX(Sheet1!D:D,$G1174)</f>
        <v>2001-cso-preferred-class-structure-mortality-tables.xls</v>
      </c>
      <c r="I1174" s="4" t="str" cm="1">
        <f t="array" ref="I1174">INDEX(Sheet1!E:E,$G1174)</f>
        <v>A.1.b.ii</v>
      </c>
      <c r="J1174" s="4" t="str" cm="1">
        <f t="array" ref="J1174">INDEX(Sheet1!F:F,$G1174)</f>
        <v>B8</v>
      </c>
      <c r="K1174" s="4" cm="1">
        <f t="array" ref="K1174">INDEX(Sheet1!H:H,$G1174)</f>
        <v>1E-3</v>
      </c>
      <c r="L1174" s="4">
        <f t="shared" si="72"/>
        <v>72</v>
      </c>
      <c r="M1174" s="4">
        <f t="shared" si="75"/>
        <v>5</v>
      </c>
    </row>
    <row r="1175" spans="1:13">
      <c r="A1175" s="4" t="str" cm="1">
        <f t="array" ref="A1175">INDEX(Sheet1!A:A,$F1175)</f>
        <v>F</v>
      </c>
      <c r="B1175" s="4" t="str" cm="1">
        <f t="array" ref="B1175">INDEX(Sheet1!B:B,$F1175)</f>
        <v>Pref Resid NS</v>
      </c>
      <c r="C1175" s="4">
        <f t="shared" si="73"/>
        <v>73</v>
      </c>
      <c r="D1175" s="5" cm="1">
        <f t="array" aca="1" ref="D1175" ca="1">OFFSET(INDIRECT("'["&amp;$H1175&amp;"]"&amp;$I1175&amp;"'!"&amp;$J1175),$L1175,$M1175)*$K1175</f>
        <v>1.3900000000000001E-2</v>
      </c>
      <c r="F1175" s="4">
        <f t="shared" si="74"/>
        <v>13</v>
      </c>
      <c r="G1175" s="4" cm="1">
        <f t="array" ref="G1175">IF($C1175+$M1175&lt;16,INDEX(Sheet1!C:C,$F1175),$F1175)</f>
        <v>13</v>
      </c>
      <c r="H1175" s="4" t="str" cm="1">
        <f t="array" ref="H1175">INDEX(Sheet1!D:D,$G1175)</f>
        <v>2001-cso-preferred-class-structure-mortality-tables.xls</v>
      </c>
      <c r="I1175" s="4" t="str" cm="1">
        <f t="array" ref="I1175">INDEX(Sheet1!E:E,$G1175)</f>
        <v>A.1.b.ii</v>
      </c>
      <c r="J1175" s="4" t="str" cm="1">
        <f t="array" ref="J1175">INDEX(Sheet1!F:F,$G1175)</f>
        <v>B8</v>
      </c>
      <c r="K1175" s="4" cm="1">
        <f t="array" ref="K1175">INDEX(Sheet1!H:H,$G1175)</f>
        <v>1E-3</v>
      </c>
      <c r="L1175" s="4">
        <f t="shared" si="72"/>
        <v>73</v>
      </c>
      <c r="M1175" s="4">
        <f t="shared" si="75"/>
        <v>5</v>
      </c>
    </row>
    <row r="1176" spans="1:13">
      <c r="A1176" s="4" t="str" cm="1">
        <f t="array" ref="A1176">INDEX(Sheet1!A:A,$F1176)</f>
        <v>F</v>
      </c>
      <c r="B1176" s="4" t="str" cm="1">
        <f t="array" ref="B1176">INDEX(Sheet1!B:B,$F1176)</f>
        <v>Pref Resid NS</v>
      </c>
      <c r="C1176" s="4">
        <f t="shared" si="73"/>
        <v>74</v>
      </c>
      <c r="D1176" s="5" cm="1">
        <f t="array" aca="1" ref="D1176" ca="1">OFFSET(INDIRECT("'["&amp;$H1176&amp;"]"&amp;$I1176&amp;"'!"&amp;$J1176),$L1176,$M1176)*$K1176</f>
        <v>1.5679999999999999E-2</v>
      </c>
      <c r="F1176" s="4">
        <f t="shared" si="74"/>
        <v>13</v>
      </c>
      <c r="G1176" s="4" cm="1">
        <f t="array" ref="G1176">IF($C1176+$M1176&lt;16,INDEX(Sheet1!C:C,$F1176),$F1176)</f>
        <v>13</v>
      </c>
      <c r="H1176" s="4" t="str" cm="1">
        <f t="array" ref="H1176">INDEX(Sheet1!D:D,$G1176)</f>
        <v>2001-cso-preferred-class-structure-mortality-tables.xls</v>
      </c>
      <c r="I1176" s="4" t="str" cm="1">
        <f t="array" ref="I1176">INDEX(Sheet1!E:E,$G1176)</f>
        <v>A.1.b.ii</v>
      </c>
      <c r="J1176" s="4" t="str" cm="1">
        <f t="array" ref="J1176">INDEX(Sheet1!F:F,$G1176)</f>
        <v>B8</v>
      </c>
      <c r="K1176" s="4" cm="1">
        <f t="array" ref="K1176">INDEX(Sheet1!H:H,$G1176)</f>
        <v>1E-3</v>
      </c>
      <c r="L1176" s="4">
        <f t="shared" si="72"/>
        <v>74</v>
      </c>
      <c r="M1176" s="4">
        <f t="shared" si="75"/>
        <v>5</v>
      </c>
    </row>
    <row r="1177" spans="1:13">
      <c r="A1177" s="4" t="str" cm="1">
        <f t="array" ref="A1177">INDEX(Sheet1!A:A,$F1177)</f>
        <v>F</v>
      </c>
      <c r="B1177" s="4" t="str" cm="1">
        <f t="array" ref="B1177">INDEX(Sheet1!B:B,$F1177)</f>
        <v>Pref Resid NS</v>
      </c>
      <c r="C1177" s="4">
        <f t="shared" si="73"/>
        <v>75</v>
      </c>
      <c r="D1177" s="5" cm="1">
        <f t="array" aca="1" ref="D1177" ca="1">OFFSET(INDIRECT("'["&amp;$H1177&amp;"]"&amp;$I1177&amp;"'!"&amp;$J1177),$L1177,$M1177)*$K1177</f>
        <v>1.7770000000000001E-2</v>
      </c>
      <c r="F1177" s="4">
        <f t="shared" si="74"/>
        <v>13</v>
      </c>
      <c r="G1177" s="4" cm="1">
        <f t="array" ref="G1177">IF($C1177+$M1177&lt;16,INDEX(Sheet1!C:C,$F1177),$F1177)</f>
        <v>13</v>
      </c>
      <c r="H1177" s="4" t="str" cm="1">
        <f t="array" ref="H1177">INDEX(Sheet1!D:D,$G1177)</f>
        <v>2001-cso-preferred-class-structure-mortality-tables.xls</v>
      </c>
      <c r="I1177" s="4" t="str" cm="1">
        <f t="array" ref="I1177">INDEX(Sheet1!E:E,$G1177)</f>
        <v>A.1.b.ii</v>
      </c>
      <c r="J1177" s="4" t="str" cm="1">
        <f t="array" ref="J1177">INDEX(Sheet1!F:F,$G1177)</f>
        <v>B8</v>
      </c>
      <c r="K1177" s="4" cm="1">
        <f t="array" ref="K1177">INDEX(Sheet1!H:H,$G1177)</f>
        <v>1E-3</v>
      </c>
      <c r="L1177" s="4">
        <f t="shared" si="72"/>
        <v>75</v>
      </c>
      <c r="M1177" s="4">
        <f t="shared" si="75"/>
        <v>5</v>
      </c>
    </row>
    <row r="1178" spans="1:13">
      <c r="A1178" s="4" t="str" cm="1">
        <f t="array" ref="A1178">INDEX(Sheet1!A:A,$F1178)</f>
        <v>F</v>
      </c>
      <c r="B1178" s="4" t="str" cm="1">
        <f t="array" ref="B1178">INDEX(Sheet1!B:B,$F1178)</f>
        <v>Pref Resid NS</v>
      </c>
      <c r="C1178" s="4">
        <f t="shared" si="73"/>
        <v>76</v>
      </c>
      <c r="D1178" s="5" cm="1">
        <f t="array" aca="1" ref="D1178" ca="1">OFFSET(INDIRECT("'["&amp;$H1178&amp;"]"&amp;$I1178&amp;"'!"&amp;$J1178),$L1178,$M1178)*$K1178</f>
        <v>2.0109999999999999E-2</v>
      </c>
      <c r="F1178" s="4">
        <f t="shared" si="74"/>
        <v>13</v>
      </c>
      <c r="G1178" s="4" cm="1">
        <f t="array" ref="G1178">IF($C1178+$M1178&lt;16,INDEX(Sheet1!C:C,$F1178),$F1178)</f>
        <v>13</v>
      </c>
      <c r="H1178" s="4" t="str" cm="1">
        <f t="array" ref="H1178">INDEX(Sheet1!D:D,$G1178)</f>
        <v>2001-cso-preferred-class-structure-mortality-tables.xls</v>
      </c>
      <c r="I1178" s="4" t="str" cm="1">
        <f t="array" ref="I1178">INDEX(Sheet1!E:E,$G1178)</f>
        <v>A.1.b.ii</v>
      </c>
      <c r="J1178" s="4" t="str" cm="1">
        <f t="array" ref="J1178">INDEX(Sheet1!F:F,$G1178)</f>
        <v>B8</v>
      </c>
      <c r="K1178" s="4" cm="1">
        <f t="array" ref="K1178">INDEX(Sheet1!H:H,$G1178)</f>
        <v>1E-3</v>
      </c>
      <c r="L1178" s="4">
        <f t="shared" si="72"/>
        <v>76</v>
      </c>
      <c r="M1178" s="4">
        <f t="shared" si="75"/>
        <v>5</v>
      </c>
    </row>
    <row r="1179" spans="1:13">
      <c r="A1179" s="4" t="str" cm="1">
        <f t="array" ref="A1179">INDEX(Sheet1!A:A,$F1179)</f>
        <v>F</v>
      </c>
      <c r="B1179" s="4" t="str" cm="1">
        <f t="array" ref="B1179">INDEX(Sheet1!B:B,$F1179)</f>
        <v>Pref Resid NS</v>
      </c>
      <c r="C1179" s="4">
        <f t="shared" si="73"/>
        <v>77</v>
      </c>
      <c r="D1179" s="5" cm="1">
        <f t="array" aca="1" ref="D1179" ca="1">OFFSET(INDIRECT("'["&amp;$H1179&amp;"]"&amp;$I1179&amp;"'!"&amp;$J1179),$L1179,$M1179)*$K1179</f>
        <v>2.2780000000000002E-2</v>
      </c>
      <c r="F1179" s="4">
        <f t="shared" si="74"/>
        <v>13</v>
      </c>
      <c r="G1179" s="4" cm="1">
        <f t="array" ref="G1179">IF($C1179+$M1179&lt;16,INDEX(Sheet1!C:C,$F1179),$F1179)</f>
        <v>13</v>
      </c>
      <c r="H1179" s="4" t="str" cm="1">
        <f t="array" ref="H1179">INDEX(Sheet1!D:D,$G1179)</f>
        <v>2001-cso-preferred-class-structure-mortality-tables.xls</v>
      </c>
      <c r="I1179" s="4" t="str" cm="1">
        <f t="array" ref="I1179">INDEX(Sheet1!E:E,$G1179)</f>
        <v>A.1.b.ii</v>
      </c>
      <c r="J1179" s="4" t="str" cm="1">
        <f t="array" ref="J1179">INDEX(Sheet1!F:F,$G1179)</f>
        <v>B8</v>
      </c>
      <c r="K1179" s="4" cm="1">
        <f t="array" ref="K1179">INDEX(Sheet1!H:H,$G1179)</f>
        <v>1E-3</v>
      </c>
      <c r="L1179" s="4">
        <f t="shared" si="72"/>
        <v>77</v>
      </c>
      <c r="M1179" s="4">
        <f t="shared" si="75"/>
        <v>5</v>
      </c>
    </row>
    <row r="1180" spans="1:13">
      <c r="A1180" s="4" t="str" cm="1">
        <f t="array" ref="A1180">INDEX(Sheet1!A:A,$F1180)</f>
        <v>F</v>
      </c>
      <c r="B1180" s="4" t="str" cm="1">
        <f t="array" ref="B1180">INDEX(Sheet1!B:B,$F1180)</f>
        <v>Pref Resid NS</v>
      </c>
      <c r="C1180" s="4">
        <f t="shared" si="73"/>
        <v>78</v>
      </c>
      <c r="D1180" s="5" cm="1">
        <f t="array" aca="1" ref="D1180" ca="1">OFFSET(INDIRECT("'["&amp;$H1180&amp;"]"&amp;$I1180&amp;"'!"&amp;$J1180),$L1180,$M1180)*$K1180</f>
        <v>2.5840000000000002E-2</v>
      </c>
      <c r="F1180" s="4">
        <f t="shared" si="74"/>
        <v>13</v>
      </c>
      <c r="G1180" s="4" cm="1">
        <f t="array" ref="G1180">IF($C1180+$M1180&lt;16,INDEX(Sheet1!C:C,$F1180),$F1180)</f>
        <v>13</v>
      </c>
      <c r="H1180" s="4" t="str" cm="1">
        <f t="array" ref="H1180">INDEX(Sheet1!D:D,$G1180)</f>
        <v>2001-cso-preferred-class-structure-mortality-tables.xls</v>
      </c>
      <c r="I1180" s="4" t="str" cm="1">
        <f t="array" ref="I1180">INDEX(Sheet1!E:E,$G1180)</f>
        <v>A.1.b.ii</v>
      </c>
      <c r="J1180" s="4" t="str" cm="1">
        <f t="array" ref="J1180">INDEX(Sheet1!F:F,$G1180)</f>
        <v>B8</v>
      </c>
      <c r="K1180" s="4" cm="1">
        <f t="array" ref="K1180">INDEX(Sheet1!H:H,$G1180)</f>
        <v>1E-3</v>
      </c>
      <c r="L1180" s="4">
        <f t="shared" si="72"/>
        <v>78</v>
      </c>
      <c r="M1180" s="4">
        <f t="shared" si="75"/>
        <v>5</v>
      </c>
    </row>
    <row r="1181" spans="1:13">
      <c r="A1181" s="4" t="str" cm="1">
        <f t="array" ref="A1181">INDEX(Sheet1!A:A,$F1181)</f>
        <v>F</v>
      </c>
      <c r="B1181" s="4" t="str" cm="1">
        <f t="array" ref="B1181">INDEX(Sheet1!B:B,$F1181)</f>
        <v>Pref Resid NS</v>
      </c>
      <c r="C1181" s="4">
        <f t="shared" si="73"/>
        <v>79</v>
      </c>
      <c r="D1181" s="5" cm="1">
        <f t="array" aca="1" ref="D1181" ca="1">OFFSET(INDIRECT("'["&amp;$H1181&amp;"]"&amp;$I1181&amp;"'!"&amp;$J1181),$L1181,$M1181)*$K1181</f>
        <v>2.9340000000000001E-2</v>
      </c>
      <c r="F1181" s="4">
        <f t="shared" si="74"/>
        <v>13</v>
      </c>
      <c r="G1181" s="4" cm="1">
        <f t="array" ref="G1181">IF($C1181+$M1181&lt;16,INDEX(Sheet1!C:C,$F1181),$F1181)</f>
        <v>13</v>
      </c>
      <c r="H1181" s="4" t="str" cm="1">
        <f t="array" ref="H1181">INDEX(Sheet1!D:D,$G1181)</f>
        <v>2001-cso-preferred-class-structure-mortality-tables.xls</v>
      </c>
      <c r="I1181" s="4" t="str" cm="1">
        <f t="array" ref="I1181">INDEX(Sheet1!E:E,$G1181)</f>
        <v>A.1.b.ii</v>
      </c>
      <c r="J1181" s="4" t="str" cm="1">
        <f t="array" ref="J1181">INDEX(Sheet1!F:F,$G1181)</f>
        <v>B8</v>
      </c>
      <c r="K1181" s="4" cm="1">
        <f t="array" ref="K1181">INDEX(Sheet1!H:H,$G1181)</f>
        <v>1E-3</v>
      </c>
      <c r="L1181" s="4">
        <f t="shared" si="72"/>
        <v>79</v>
      </c>
      <c r="M1181" s="4">
        <f t="shared" si="75"/>
        <v>5</v>
      </c>
    </row>
    <row r="1182" spans="1:13">
      <c r="A1182" s="4" t="str" cm="1">
        <f t="array" ref="A1182">INDEX(Sheet1!A:A,$F1182)</f>
        <v>F</v>
      </c>
      <c r="B1182" s="4" t="str" cm="1">
        <f t="array" ref="B1182">INDEX(Sheet1!B:B,$F1182)</f>
        <v>Pref Resid NS</v>
      </c>
      <c r="C1182" s="4">
        <f t="shared" si="73"/>
        <v>80</v>
      </c>
      <c r="D1182" s="5" cm="1">
        <f t="array" aca="1" ref="D1182" ca="1">OFFSET(INDIRECT("'["&amp;$H1182&amp;"]"&amp;$I1182&amp;"'!"&amp;$J1182),$L1182,$M1182)*$K1182</f>
        <v>3.3500000000000002E-2</v>
      </c>
      <c r="F1182" s="4">
        <f t="shared" si="74"/>
        <v>13</v>
      </c>
      <c r="G1182" s="4" cm="1">
        <f t="array" ref="G1182">IF($C1182+$M1182&lt;16,INDEX(Sheet1!C:C,$F1182),$F1182)</f>
        <v>13</v>
      </c>
      <c r="H1182" s="4" t="str" cm="1">
        <f t="array" ref="H1182">INDEX(Sheet1!D:D,$G1182)</f>
        <v>2001-cso-preferred-class-structure-mortality-tables.xls</v>
      </c>
      <c r="I1182" s="4" t="str" cm="1">
        <f t="array" ref="I1182">INDEX(Sheet1!E:E,$G1182)</f>
        <v>A.1.b.ii</v>
      </c>
      <c r="J1182" s="4" t="str" cm="1">
        <f t="array" ref="J1182">INDEX(Sheet1!F:F,$G1182)</f>
        <v>B8</v>
      </c>
      <c r="K1182" s="4" cm="1">
        <f t="array" ref="K1182">INDEX(Sheet1!H:H,$G1182)</f>
        <v>1E-3</v>
      </c>
      <c r="L1182" s="4">
        <f t="shared" si="72"/>
        <v>80</v>
      </c>
      <c r="M1182" s="4">
        <f t="shared" si="75"/>
        <v>5</v>
      </c>
    </row>
    <row r="1183" spans="1:13">
      <c r="A1183" s="4" t="str" cm="1">
        <f t="array" ref="A1183">INDEX(Sheet1!A:A,$F1183)</f>
        <v>F</v>
      </c>
      <c r="B1183" s="4" t="str" cm="1">
        <f t="array" ref="B1183">INDEX(Sheet1!B:B,$F1183)</f>
        <v>Pref Resid NS</v>
      </c>
      <c r="C1183" s="4">
        <f t="shared" si="73"/>
        <v>81</v>
      </c>
      <c r="D1183" s="5" cm="1">
        <f t="array" aca="1" ref="D1183" ca="1">OFFSET(INDIRECT("'["&amp;$H1183&amp;"]"&amp;$I1183&amp;"'!"&amp;$J1183),$L1183,$M1183)*$K1183</f>
        <v>3.85E-2</v>
      </c>
      <c r="F1183" s="4">
        <f t="shared" si="74"/>
        <v>13</v>
      </c>
      <c r="G1183" s="4" cm="1">
        <f t="array" ref="G1183">IF($C1183+$M1183&lt;16,INDEX(Sheet1!C:C,$F1183),$F1183)</f>
        <v>13</v>
      </c>
      <c r="H1183" s="4" t="str" cm="1">
        <f t="array" ref="H1183">INDEX(Sheet1!D:D,$G1183)</f>
        <v>2001-cso-preferred-class-structure-mortality-tables.xls</v>
      </c>
      <c r="I1183" s="4" t="str" cm="1">
        <f t="array" ref="I1183">INDEX(Sheet1!E:E,$G1183)</f>
        <v>A.1.b.ii</v>
      </c>
      <c r="J1183" s="4" t="str" cm="1">
        <f t="array" ref="J1183">INDEX(Sheet1!F:F,$G1183)</f>
        <v>B8</v>
      </c>
      <c r="K1183" s="4" cm="1">
        <f t="array" ref="K1183">INDEX(Sheet1!H:H,$G1183)</f>
        <v>1E-3</v>
      </c>
      <c r="L1183" s="4">
        <f t="shared" si="72"/>
        <v>81</v>
      </c>
      <c r="M1183" s="4">
        <f t="shared" si="75"/>
        <v>5</v>
      </c>
    </row>
    <row r="1184" spans="1:13">
      <c r="A1184" s="4" t="str" cm="1">
        <f t="array" ref="A1184">INDEX(Sheet1!A:A,$F1184)</f>
        <v>F</v>
      </c>
      <c r="B1184" s="4" t="str" cm="1">
        <f t="array" ref="B1184">INDEX(Sheet1!B:B,$F1184)</f>
        <v>Pref Resid NS</v>
      </c>
      <c r="C1184" s="4">
        <f t="shared" si="73"/>
        <v>82</v>
      </c>
      <c r="D1184" s="5" cm="1">
        <f t="array" aca="1" ref="D1184" ca="1">OFFSET(INDIRECT("'["&amp;$H1184&amp;"]"&amp;$I1184&amp;"'!"&amp;$J1184),$L1184,$M1184)*$K1184</f>
        <v>4.4429999999999997E-2</v>
      </c>
      <c r="F1184" s="4">
        <f t="shared" si="74"/>
        <v>13</v>
      </c>
      <c r="G1184" s="4" cm="1">
        <f t="array" ref="G1184">IF($C1184+$M1184&lt;16,INDEX(Sheet1!C:C,$F1184),$F1184)</f>
        <v>13</v>
      </c>
      <c r="H1184" s="4" t="str" cm="1">
        <f t="array" ref="H1184">INDEX(Sheet1!D:D,$G1184)</f>
        <v>2001-cso-preferred-class-structure-mortality-tables.xls</v>
      </c>
      <c r="I1184" s="4" t="str" cm="1">
        <f t="array" ref="I1184">INDEX(Sheet1!E:E,$G1184)</f>
        <v>A.1.b.ii</v>
      </c>
      <c r="J1184" s="4" t="str" cm="1">
        <f t="array" ref="J1184">INDEX(Sheet1!F:F,$G1184)</f>
        <v>B8</v>
      </c>
      <c r="K1184" s="4" cm="1">
        <f t="array" ref="K1184">INDEX(Sheet1!H:H,$G1184)</f>
        <v>1E-3</v>
      </c>
      <c r="L1184" s="4">
        <f t="shared" si="72"/>
        <v>82</v>
      </c>
      <c r="M1184" s="4">
        <f t="shared" si="75"/>
        <v>5</v>
      </c>
    </row>
    <row r="1185" spans="1:13">
      <c r="A1185" s="4" t="str" cm="1">
        <f t="array" ref="A1185">INDEX(Sheet1!A:A,$F1185)</f>
        <v>F</v>
      </c>
      <c r="B1185" s="4" t="str" cm="1">
        <f t="array" ref="B1185">INDEX(Sheet1!B:B,$F1185)</f>
        <v>Pref Resid NS</v>
      </c>
      <c r="C1185" s="4">
        <f t="shared" si="73"/>
        <v>83</v>
      </c>
      <c r="D1185" s="5" cm="1">
        <f t="array" aca="1" ref="D1185" ca="1">OFFSET(INDIRECT("'["&amp;$H1185&amp;"]"&amp;$I1185&amp;"'!"&amp;$J1185),$L1185,$M1185)*$K1185</f>
        <v>5.1540000000000002E-2</v>
      </c>
      <c r="F1185" s="4">
        <f t="shared" si="74"/>
        <v>13</v>
      </c>
      <c r="G1185" s="4" cm="1">
        <f t="array" ref="G1185">IF($C1185+$M1185&lt;16,INDEX(Sheet1!C:C,$F1185),$F1185)</f>
        <v>13</v>
      </c>
      <c r="H1185" s="4" t="str" cm="1">
        <f t="array" ref="H1185">INDEX(Sheet1!D:D,$G1185)</f>
        <v>2001-cso-preferred-class-structure-mortality-tables.xls</v>
      </c>
      <c r="I1185" s="4" t="str" cm="1">
        <f t="array" ref="I1185">INDEX(Sheet1!E:E,$G1185)</f>
        <v>A.1.b.ii</v>
      </c>
      <c r="J1185" s="4" t="str" cm="1">
        <f t="array" ref="J1185">INDEX(Sheet1!F:F,$G1185)</f>
        <v>B8</v>
      </c>
      <c r="K1185" s="4" cm="1">
        <f t="array" ref="K1185">INDEX(Sheet1!H:H,$G1185)</f>
        <v>1E-3</v>
      </c>
      <c r="L1185" s="4">
        <f t="shared" si="72"/>
        <v>83</v>
      </c>
      <c r="M1185" s="4">
        <f t="shared" si="75"/>
        <v>5</v>
      </c>
    </row>
    <row r="1186" spans="1:13">
      <c r="A1186" s="4" t="str" cm="1">
        <f t="array" ref="A1186">INDEX(Sheet1!A:A,$F1186)</f>
        <v>F</v>
      </c>
      <c r="B1186" s="4" t="str" cm="1">
        <f t="array" ref="B1186">INDEX(Sheet1!B:B,$F1186)</f>
        <v>Pref Resid NS</v>
      </c>
      <c r="C1186" s="4">
        <f t="shared" si="73"/>
        <v>84</v>
      </c>
      <c r="D1186" s="5" cm="1">
        <f t="array" aca="1" ref="D1186" ca="1">OFFSET(INDIRECT("'["&amp;$H1186&amp;"]"&amp;$I1186&amp;"'!"&amp;$J1186),$L1186,$M1186)*$K1186</f>
        <v>5.9930000000000004E-2</v>
      </c>
      <c r="F1186" s="4">
        <f t="shared" si="74"/>
        <v>13</v>
      </c>
      <c r="G1186" s="4" cm="1">
        <f t="array" ref="G1186">IF($C1186+$M1186&lt;16,INDEX(Sheet1!C:C,$F1186),$F1186)</f>
        <v>13</v>
      </c>
      <c r="H1186" s="4" t="str" cm="1">
        <f t="array" ref="H1186">INDEX(Sheet1!D:D,$G1186)</f>
        <v>2001-cso-preferred-class-structure-mortality-tables.xls</v>
      </c>
      <c r="I1186" s="4" t="str" cm="1">
        <f t="array" ref="I1186">INDEX(Sheet1!E:E,$G1186)</f>
        <v>A.1.b.ii</v>
      </c>
      <c r="J1186" s="4" t="str" cm="1">
        <f t="array" ref="J1186">INDEX(Sheet1!F:F,$G1186)</f>
        <v>B8</v>
      </c>
      <c r="K1186" s="4" cm="1">
        <f t="array" ref="K1186">INDEX(Sheet1!H:H,$G1186)</f>
        <v>1E-3</v>
      </c>
      <c r="L1186" s="4">
        <f t="shared" si="72"/>
        <v>84</v>
      </c>
      <c r="M1186" s="4">
        <f t="shared" si="75"/>
        <v>5</v>
      </c>
    </row>
    <row r="1187" spans="1:13">
      <c r="A1187" s="4" t="str" cm="1">
        <f t="array" ref="A1187">INDEX(Sheet1!A:A,$F1187)</f>
        <v>F</v>
      </c>
      <c r="B1187" s="4" t="str" cm="1">
        <f t="array" ref="B1187">INDEX(Sheet1!B:B,$F1187)</f>
        <v>Pref Resid NS</v>
      </c>
      <c r="C1187" s="4">
        <f t="shared" si="73"/>
        <v>85</v>
      </c>
      <c r="D1187" s="5" cm="1">
        <f t="array" aca="1" ref="D1187" ca="1">OFFSET(INDIRECT("'["&amp;$H1187&amp;"]"&amp;$I1187&amp;"'!"&amp;$J1187),$L1187,$M1187)*$K1187</f>
        <v>6.9839999999999999E-2</v>
      </c>
      <c r="F1187" s="4">
        <f t="shared" si="74"/>
        <v>13</v>
      </c>
      <c r="G1187" s="4" cm="1">
        <f t="array" ref="G1187">IF($C1187+$M1187&lt;16,INDEX(Sheet1!C:C,$F1187),$F1187)</f>
        <v>13</v>
      </c>
      <c r="H1187" s="4" t="str" cm="1">
        <f t="array" ref="H1187">INDEX(Sheet1!D:D,$G1187)</f>
        <v>2001-cso-preferred-class-structure-mortality-tables.xls</v>
      </c>
      <c r="I1187" s="4" t="str" cm="1">
        <f t="array" ref="I1187">INDEX(Sheet1!E:E,$G1187)</f>
        <v>A.1.b.ii</v>
      </c>
      <c r="J1187" s="4" t="str" cm="1">
        <f t="array" ref="J1187">INDEX(Sheet1!F:F,$G1187)</f>
        <v>B8</v>
      </c>
      <c r="K1187" s="4" cm="1">
        <f t="array" ref="K1187">INDEX(Sheet1!H:H,$G1187)</f>
        <v>1E-3</v>
      </c>
      <c r="L1187" s="4">
        <f t="shared" si="72"/>
        <v>85</v>
      </c>
      <c r="M1187" s="4">
        <f t="shared" si="75"/>
        <v>5</v>
      </c>
    </row>
    <row r="1188" spans="1:13">
      <c r="A1188" s="4" t="str" cm="1">
        <f t="array" ref="A1188">INDEX(Sheet1!A:A,$F1188)</f>
        <v>F</v>
      </c>
      <c r="B1188" s="4" t="str" cm="1">
        <f t="array" ref="B1188">INDEX(Sheet1!B:B,$F1188)</f>
        <v>Pref Resid NS</v>
      </c>
      <c r="C1188" s="4">
        <f t="shared" si="73"/>
        <v>86</v>
      </c>
      <c r="D1188" s="5" cm="1">
        <f t="array" aca="1" ref="D1188" ca="1">OFFSET(INDIRECT("'["&amp;$H1188&amp;"]"&amp;$I1188&amp;"'!"&amp;$J1188),$L1188,$M1188)*$K1188</f>
        <v>8.159000000000001E-2</v>
      </c>
      <c r="F1188" s="4">
        <f t="shared" si="74"/>
        <v>13</v>
      </c>
      <c r="G1188" s="4" cm="1">
        <f t="array" ref="G1188">IF($C1188+$M1188&lt;16,INDEX(Sheet1!C:C,$F1188),$F1188)</f>
        <v>13</v>
      </c>
      <c r="H1188" s="4" t="str" cm="1">
        <f t="array" ref="H1188">INDEX(Sheet1!D:D,$G1188)</f>
        <v>2001-cso-preferred-class-structure-mortality-tables.xls</v>
      </c>
      <c r="I1188" s="4" t="str" cm="1">
        <f t="array" ref="I1188">INDEX(Sheet1!E:E,$G1188)</f>
        <v>A.1.b.ii</v>
      </c>
      <c r="J1188" s="4" t="str" cm="1">
        <f t="array" ref="J1188">INDEX(Sheet1!F:F,$G1188)</f>
        <v>B8</v>
      </c>
      <c r="K1188" s="4" cm="1">
        <f t="array" ref="K1188">INDEX(Sheet1!H:H,$G1188)</f>
        <v>1E-3</v>
      </c>
      <c r="L1188" s="4">
        <f t="shared" si="72"/>
        <v>86</v>
      </c>
      <c r="M1188" s="4">
        <f t="shared" si="75"/>
        <v>5</v>
      </c>
    </row>
    <row r="1189" spans="1:13">
      <c r="A1189" s="4" t="str" cm="1">
        <f t="array" ref="A1189">INDEX(Sheet1!A:A,$F1189)</f>
        <v>F</v>
      </c>
      <c r="B1189" s="4" t="str" cm="1">
        <f t="array" ref="B1189">INDEX(Sheet1!B:B,$F1189)</f>
        <v>Pref Resid NS</v>
      </c>
      <c r="C1189" s="4">
        <f t="shared" si="73"/>
        <v>87</v>
      </c>
      <c r="D1189" s="5" cm="1">
        <f t="array" aca="1" ref="D1189" ca="1">OFFSET(INDIRECT("'["&amp;$H1189&amp;"]"&amp;$I1189&amp;"'!"&amp;$J1189),$L1189,$M1189)*$K1189</f>
        <v>9.5310000000000006E-2</v>
      </c>
      <c r="F1189" s="4">
        <f t="shared" si="74"/>
        <v>13</v>
      </c>
      <c r="G1189" s="4" cm="1">
        <f t="array" ref="G1189">IF($C1189+$M1189&lt;16,INDEX(Sheet1!C:C,$F1189),$F1189)</f>
        <v>13</v>
      </c>
      <c r="H1189" s="4" t="str" cm="1">
        <f t="array" ref="H1189">INDEX(Sheet1!D:D,$G1189)</f>
        <v>2001-cso-preferred-class-structure-mortality-tables.xls</v>
      </c>
      <c r="I1189" s="4" t="str" cm="1">
        <f t="array" ref="I1189">INDEX(Sheet1!E:E,$G1189)</f>
        <v>A.1.b.ii</v>
      </c>
      <c r="J1189" s="4" t="str" cm="1">
        <f t="array" ref="J1189">INDEX(Sheet1!F:F,$G1189)</f>
        <v>B8</v>
      </c>
      <c r="K1189" s="4" cm="1">
        <f t="array" ref="K1189">INDEX(Sheet1!H:H,$G1189)</f>
        <v>1E-3</v>
      </c>
      <c r="L1189" s="4">
        <f t="shared" si="72"/>
        <v>87</v>
      </c>
      <c r="M1189" s="4">
        <f t="shared" si="75"/>
        <v>5</v>
      </c>
    </row>
    <row r="1190" spans="1:13">
      <c r="A1190" s="4" t="str" cm="1">
        <f t="array" ref="A1190">INDEX(Sheet1!A:A,$F1190)</f>
        <v>F</v>
      </c>
      <c r="B1190" s="4" t="str" cm="1">
        <f t="array" ref="B1190">INDEX(Sheet1!B:B,$F1190)</f>
        <v>Pref Resid NS</v>
      </c>
      <c r="C1190" s="4">
        <f t="shared" si="73"/>
        <v>88</v>
      </c>
      <c r="D1190" s="5" cm="1">
        <f t="array" aca="1" ref="D1190" ca="1">OFFSET(INDIRECT("'["&amp;$H1190&amp;"]"&amp;$I1190&amp;"'!"&amp;$J1190),$L1190,$M1190)*$K1190</f>
        <v>0.11137999999999999</v>
      </c>
      <c r="F1190" s="4">
        <f t="shared" si="74"/>
        <v>13</v>
      </c>
      <c r="G1190" s="4" cm="1">
        <f t="array" ref="G1190">IF($C1190+$M1190&lt;16,INDEX(Sheet1!C:C,$F1190),$F1190)</f>
        <v>13</v>
      </c>
      <c r="H1190" s="4" t="str" cm="1">
        <f t="array" ref="H1190">INDEX(Sheet1!D:D,$G1190)</f>
        <v>2001-cso-preferred-class-structure-mortality-tables.xls</v>
      </c>
      <c r="I1190" s="4" t="str" cm="1">
        <f t="array" ref="I1190">INDEX(Sheet1!E:E,$G1190)</f>
        <v>A.1.b.ii</v>
      </c>
      <c r="J1190" s="4" t="str" cm="1">
        <f t="array" ref="J1190">INDEX(Sheet1!F:F,$G1190)</f>
        <v>B8</v>
      </c>
      <c r="K1190" s="4" cm="1">
        <f t="array" ref="K1190">INDEX(Sheet1!H:H,$G1190)</f>
        <v>1E-3</v>
      </c>
      <c r="L1190" s="4">
        <f t="shared" si="72"/>
        <v>88</v>
      </c>
      <c r="M1190" s="4">
        <f t="shared" si="75"/>
        <v>5</v>
      </c>
    </row>
    <row r="1191" spans="1:13">
      <c r="A1191" s="4" t="str" cm="1">
        <f t="array" ref="A1191">INDEX(Sheet1!A:A,$F1191)</f>
        <v>F</v>
      </c>
      <c r="B1191" s="4" t="str" cm="1">
        <f t="array" ref="B1191">INDEX(Sheet1!B:B,$F1191)</f>
        <v>Pref Resid NS</v>
      </c>
      <c r="C1191" s="4">
        <f t="shared" si="73"/>
        <v>89</v>
      </c>
      <c r="D1191" s="5" cm="1">
        <f t="array" aca="1" ref="D1191" ca="1">OFFSET(INDIRECT("'["&amp;$H1191&amp;"]"&amp;$I1191&amp;"'!"&amp;$J1191),$L1191,$M1191)*$K1191</f>
        <v>0.12996000000000002</v>
      </c>
      <c r="F1191" s="4">
        <f t="shared" si="74"/>
        <v>13</v>
      </c>
      <c r="G1191" s="4" cm="1">
        <f t="array" ref="G1191">IF($C1191+$M1191&lt;16,INDEX(Sheet1!C:C,$F1191),$F1191)</f>
        <v>13</v>
      </c>
      <c r="H1191" s="4" t="str" cm="1">
        <f t="array" ref="H1191">INDEX(Sheet1!D:D,$G1191)</f>
        <v>2001-cso-preferred-class-structure-mortality-tables.xls</v>
      </c>
      <c r="I1191" s="4" t="str" cm="1">
        <f t="array" ref="I1191">INDEX(Sheet1!E:E,$G1191)</f>
        <v>A.1.b.ii</v>
      </c>
      <c r="J1191" s="4" t="str" cm="1">
        <f t="array" ref="J1191">INDEX(Sheet1!F:F,$G1191)</f>
        <v>B8</v>
      </c>
      <c r="K1191" s="4" cm="1">
        <f t="array" ref="K1191">INDEX(Sheet1!H:H,$G1191)</f>
        <v>1E-3</v>
      </c>
      <c r="L1191" s="4">
        <f t="shared" si="72"/>
        <v>89</v>
      </c>
      <c r="M1191" s="4">
        <f t="shared" si="75"/>
        <v>5</v>
      </c>
    </row>
    <row r="1192" spans="1:13">
      <c r="A1192" s="4" t="str" cm="1">
        <f t="array" ref="A1192">INDEX(Sheet1!A:A,$F1192)</f>
        <v>F</v>
      </c>
      <c r="B1192" s="4" t="str" cm="1">
        <f t="array" ref="B1192">INDEX(Sheet1!B:B,$F1192)</f>
        <v>Pref Resid NS</v>
      </c>
      <c r="C1192" s="4">
        <f t="shared" si="73"/>
        <v>90</v>
      </c>
      <c r="D1192" s="5" cm="1">
        <f t="array" aca="1" ref="D1192" ca="1">OFFSET(INDIRECT("'["&amp;$H1192&amp;"]"&amp;$I1192&amp;"'!"&amp;$J1192),$L1192,$M1192)*$K1192</f>
        <v>0.14529</v>
      </c>
      <c r="F1192" s="4">
        <f t="shared" si="74"/>
        <v>13</v>
      </c>
      <c r="G1192" s="4" cm="1">
        <f t="array" ref="G1192">IF($C1192+$M1192&lt;16,INDEX(Sheet1!C:C,$F1192),$F1192)</f>
        <v>13</v>
      </c>
      <c r="H1192" s="4" t="str" cm="1">
        <f t="array" ref="H1192">INDEX(Sheet1!D:D,$G1192)</f>
        <v>2001-cso-preferred-class-structure-mortality-tables.xls</v>
      </c>
      <c r="I1192" s="4" t="str" cm="1">
        <f t="array" ref="I1192">INDEX(Sheet1!E:E,$G1192)</f>
        <v>A.1.b.ii</v>
      </c>
      <c r="J1192" s="4" t="str" cm="1">
        <f t="array" ref="J1192">INDEX(Sheet1!F:F,$G1192)</f>
        <v>B8</v>
      </c>
      <c r="K1192" s="4" cm="1">
        <f t="array" ref="K1192">INDEX(Sheet1!H:H,$G1192)</f>
        <v>1E-3</v>
      </c>
      <c r="L1192" s="4">
        <f t="shared" si="72"/>
        <v>90</v>
      </c>
      <c r="M1192" s="4">
        <f t="shared" si="75"/>
        <v>5</v>
      </c>
    </row>
    <row r="1193" spans="1:13">
      <c r="A1193" s="4" t="str" cm="1">
        <f t="array" ref="A1193">INDEX(Sheet1!A:A,$F1193)</f>
        <v>F</v>
      </c>
      <c r="B1193" s="4" t="str" cm="1">
        <f t="array" ref="B1193">INDEX(Sheet1!B:B,$F1193)</f>
        <v>Pref Resid NS</v>
      </c>
      <c r="C1193" s="4">
        <f t="shared" si="73"/>
        <v>91</v>
      </c>
      <c r="D1193" s="5" cm="1">
        <f t="array" aca="1" ref="D1193" ca="1">OFFSET(INDIRECT("'["&amp;$H1193&amp;"]"&amp;$I1193&amp;"'!"&amp;$J1193),$L1193,$M1193)*$K1193</f>
        <v>0.16028000000000001</v>
      </c>
      <c r="F1193" s="4">
        <f t="shared" si="74"/>
        <v>13</v>
      </c>
      <c r="G1193" s="4" cm="1">
        <f t="array" ref="G1193">IF($C1193+$M1193&lt;16,INDEX(Sheet1!C:C,$F1193),$F1193)</f>
        <v>13</v>
      </c>
      <c r="H1193" s="4" t="str" cm="1">
        <f t="array" ref="H1193">INDEX(Sheet1!D:D,$G1193)</f>
        <v>2001-cso-preferred-class-structure-mortality-tables.xls</v>
      </c>
      <c r="I1193" s="4" t="str" cm="1">
        <f t="array" ref="I1193">INDEX(Sheet1!E:E,$G1193)</f>
        <v>A.1.b.ii</v>
      </c>
      <c r="J1193" s="4" t="str" cm="1">
        <f t="array" ref="J1193">INDEX(Sheet1!F:F,$G1193)</f>
        <v>B8</v>
      </c>
      <c r="K1193" s="4" cm="1">
        <f t="array" ref="K1193">INDEX(Sheet1!H:H,$G1193)</f>
        <v>1E-3</v>
      </c>
      <c r="L1193" s="4">
        <f t="shared" si="72"/>
        <v>91</v>
      </c>
      <c r="M1193" s="4">
        <f t="shared" si="75"/>
        <v>5</v>
      </c>
    </row>
    <row r="1194" spans="1:13">
      <c r="A1194" s="4" t="str" cm="1">
        <f t="array" ref="A1194">INDEX(Sheet1!A:A,$F1194)</f>
        <v>F</v>
      </c>
      <c r="B1194" s="4" t="str" cm="1">
        <f t="array" ref="B1194">INDEX(Sheet1!B:B,$F1194)</f>
        <v>Pref Resid NS</v>
      </c>
      <c r="C1194" s="4">
        <f t="shared" si="73"/>
        <v>92</v>
      </c>
      <c r="D1194" s="5" cm="1">
        <f t="array" aca="1" ref="D1194" ca="1">OFFSET(INDIRECT("'["&amp;$H1194&amp;"]"&amp;$I1194&amp;"'!"&amp;$J1194),$L1194,$M1194)*$K1194</f>
        <v>0.17630000000000001</v>
      </c>
      <c r="F1194" s="4">
        <f t="shared" si="74"/>
        <v>13</v>
      </c>
      <c r="G1194" s="4" cm="1">
        <f t="array" ref="G1194">IF($C1194+$M1194&lt;16,INDEX(Sheet1!C:C,$F1194),$F1194)</f>
        <v>13</v>
      </c>
      <c r="H1194" s="4" t="str" cm="1">
        <f t="array" ref="H1194">INDEX(Sheet1!D:D,$G1194)</f>
        <v>2001-cso-preferred-class-structure-mortality-tables.xls</v>
      </c>
      <c r="I1194" s="4" t="str" cm="1">
        <f t="array" ref="I1194">INDEX(Sheet1!E:E,$G1194)</f>
        <v>A.1.b.ii</v>
      </c>
      <c r="J1194" s="4" t="str" cm="1">
        <f t="array" ref="J1194">INDEX(Sheet1!F:F,$G1194)</f>
        <v>B8</v>
      </c>
      <c r="K1194" s="4" cm="1">
        <f t="array" ref="K1194">INDEX(Sheet1!H:H,$G1194)</f>
        <v>1E-3</v>
      </c>
      <c r="L1194" s="4">
        <f t="shared" si="72"/>
        <v>92</v>
      </c>
      <c r="M1194" s="4">
        <f t="shared" si="75"/>
        <v>5</v>
      </c>
    </row>
    <row r="1195" spans="1:13">
      <c r="A1195" s="4" t="str" cm="1">
        <f t="array" ref="A1195">INDEX(Sheet1!A:A,$F1195)</f>
        <v>F</v>
      </c>
      <c r="B1195" s="4" t="str" cm="1">
        <f t="array" ref="B1195">INDEX(Sheet1!B:B,$F1195)</f>
        <v>Pref Resid NS</v>
      </c>
      <c r="C1195" s="4">
        <f t="shared" si="73"/>
        <v>93</v>
      </c>
      <c r="D1195" s="5" cm="1">
        <f t="array" aca="1" ref="D1195" ca="1">OFFSET(INDIRECT("'["&amp;$H1195&amp;"]"&amp;$I1195&amp;"'!"&amp;$J1195),$L1195,$M1195)*$K1195</f>
        <v>0.19334000000000001</v>
      </c>
      <c r="F1195" s="4">
        <f t="shared" si="74"/>
        <v>13</v>
      </c>
      <c r="G1195" s="4" cm="1">
        <f t="array" ref="G1195">IF($C1195+$M1195&lt;16,INDEX(Sheet1!C:C,$F1195),$F1195)</f>
        <v>13</v>
      </c>
      <c r="H1195" s="4" t="str" cm="1">
        <f t="array" ref="H1195">INDEX(Sheet1!D:D,$G1195)</f>
        <v>2001-cso-preferred-class-structure-mortality-tables.xls</v>
      </c>
      <c r="I1195" s="4" t="str" cm="1">
        <f t="array" ref="I1195">INDEX(Sheet1!E:E,$G1195)</f>
        <v>A.1.b.ii</v>
      </c>
      <c r="J1195" s="4" t="str" cm="1">
        <f t="array" ref="J1195">INDEX(Sheet1!F:F,$G1195)</f>
        <v>B8</v>
      </c>
      <c r="K1195" s="4" cm="1">
        <f t="array" ref="K1195">INDEX(Sheet1!H:H,$G1195)</f>
        <v>1E-3</v>
      </c>
      <c r="L1195" s="4">
        <f t="shared" si="72"/>
        <v>93</v>
      </c>
      <c r="M1195" s="4">
        <f t="shared" si="75"/>
        <v>5</v>
      </c>
    </row>
    <row r="1196" spans="1:13">
      <c r="A1196" s="4" t="str" cm="1">
        <f t="array" ref="A1196">INDEX(Sheet1!A:A,$F1196)</f>
        <v>F</v>
      </c>
      <c r="B1196" s="4" t="str" cm="1">
        <f t="array" ref="B1196">INDEX(Sheet1!B:B,$F1196)</f>
        <v>Pref Resid NS</v>
      </c>
      <c r="C1196" s="4">
        <f t="shared" si="73"/>
        <v>94</v>
      </c>
      <c r="D1196" s="5" cm="1">
        <f t="array" aca="1" ref="D1196" ca="1">OFFSET(INDIRECT("'["&amp;$H1196&amp;"]"&amp;$I1196&amp;"'!"&amp;$J1196),$L1196,$M1196)*$K1196</f>
        <v>0.21146000000000001</v>
      </c>
      <c r="F1196" s="4">
        <f t="shared" si="74"/>
        <v>13</v>
      </c>
      <c r="G1196" s="4" cm="1">
        <f t="array" ref="G1196">IF($C1196+$M1196&lt;16,INDEX(Sheet1!C:C,$F1196),$F1196)</f>
        <v>13</v>
      </c>
      <c r="H1196" s="4" t="str" cm="1">
        <f t="array" ref="H1196">INDEX(Sheet1!D:D,$G1196)</f>
        <v>2001-cso-preferred-class-structure-mortality-tables.xls</v>
      </c>
      <c r="I1196" s="4" t="str" cm="1">
        <f t="array" ref="I1196">INDEX(Sheet1!E:E,$G1196)</f>
        <v>A.1.b.ii</v>
      </c>
      <c r="J1196" s="4" t="str" cm="1">
        <f t="array" ref="J1196">INDEX(Sheet1!F:F,$G1196)</f>
        <v>B8</v>
      </c>
      <c r="K1196" s="4" cm="1">
        <f t="array" ref="K1196">INDEX(Sheet1!H:H,$G1196)</f>
        <v>1E-3</v>
      </c>
      <c r="L1196" s="4">
        <f t="shared" si="72"/>
        <v>94</v>
      </c>
      <c r="M1196" s="4">
        <f t="shared" si="75"/>
        <v>5</v>
      </c>
    </row>
    <row r="1197" spans="1:13">
      <c r="A1197" s="4" t="str" cm="1">
        <f t="array" ref="A1197">INDEX(Sheet1!A:A,$F1197)</f>
        <v>F</v>
      </c>
      <c r="B1197" s="4" t="str" cm="1">
        <f t="array" ref="B1197">INDEX(Sheet1!B:B,$F1197)</f>
        <v>Pref Resid NS</v>
      </c>
      <c r="C1197" s="4">
        <f t="shared" si="73"/>
        <v>95</v>
      </c>
      <c r="D1197" s="5" cm="1">
        <f t="array" aca="1" ref="D1197" ca="1">OFFSET(INDIRECT("'["&amp;$H1197&amp;"]"&amp;$I1197&amp;"'!"&amp;$J1197),$L1197,$M1197)*$K1197</f>
        <v>0.23053000000000001</v>
      </c>
      <c r="F1197" s="4">
        <f t="shared" si="74"/>
        <v>13</v>
      </c>
      <c r="G1197" s="4" cm="1">
        <f t="array" ref="G1197">IF($C1197+$M1197&lt;16,INDEX(Sheet1!C:C,$F1197),$F1197)</f>
        <v>13</v>
      </c>
      <c r="H1197" s="4" t="str" cm="1">
        <f t="array" ref="H1197">INDEX(Sheet1!D:D,$G1197)</f>
        <v>2001-cso-preferred-class-structure-mortality-tables.xls</v>
      </c>
      <c r="I1197" s="4" t="str" cm="1">
        <f t="array" ref="I1197">INDEX(Sheet1!E:E,$G1197)</f>
        <v>A.1.b.ii</v>
      </c>
      <c r="J1197" s="4" t="str" cm="1">
        <f t="array" ref="J1197">INDEX(Sheet1!F:F,$G1197)</f>
        <v>B8</v>
      </c>
      <c r="K1197" s="4" cm="1">
        <f t="array" ref="K1197">INDEX(Sheet1!H:H,$G1197)</f>
        <v>1E-3</v>
      </c>
      <c r="L1197" s="4">
        <f t="shared" si="72"/>
        <v>95</v>
      </c>
      <c r="M1197" s="4">
        <f t="shared" si="75"/>
        <v>5</v>
      </c>
    </row>
    <row r="1198" spans="1:13">
      <c r="A1198" s="4" t="str" cm="1">
        <f t="array" ref="A1198">INDEX(Sheet1!A:A,$F1198)</f>
        <v>F</v>
      </c>
      <c r="B1198" s="4" t="str" cm="1">
        <f t="array" ref="B1198">INDEX(Sheet1!B:B,$F1198)</f>
        <v>Pref Resid NS</v>
      </c>
      <c r="C1198" s="4">
        <f t="shared" si="73"/>
        <v>96</v>
      </c>
      <c r="D1198" s="5" cm="1">
        <f t="array" aca="1" ref="D1198" ca="1">OFFSET(INDIRECT("'["&amp;$H1198&amp;"]"&amp;$I1198&amp;"'!"&amp;$J1198),$L1198,$M1198)*$K1198</f>
        <v>0.25178</v>
      </c>
      <c r="F1198" s="4">
        <f t="shared" si="74"/>
        <v>13</v>
      </c>
      <c r="G1198" s="4" cm="1">
        <f t="array" ref="G1198">IF($C1198+$M1198&lt;16,INDEX(Sheet1!C:C,$F1198),$F1198)</f>
        <v>13</v>
      </c>
      <c r="H1198" s="4" t="str" cm="1">
        <f t="array" ref="H1198">INDEX(Sheet1!D:D,$G1198)</f>
        <v>2001-cso-preferred-class-structure-mortality-tables.xls</v>
      </c>
      <c r="I1198" s="4" t="str" cm="1">
        <f t="array" ref="I1198">INDEX(Sheet1!E:E,$G1198)</f>
        <v>A.1.b.ii</v>
      </c>
      <c r="J1198" s="4" t="str" cm="1">
        <f t="array" ref="J1198">INDEX(Sheet1!F:F,$G1198)</f>
        <v>B8</v>
      </c>
      <c r="K1198" s="4" cm="1">
        <f t="array" ref="K1198">INDEX(Sheet1!H:H,$G1198)</f>
        <v>1E-3</v>
      </c>
      <c r="L1198" s="4">
        <f t="shared" si="72"/>
        <v>96</v>
      </c>
      <c r="M1198" s="4">
        <f t="shared" si="75"/>
        <v>5</v>
      </c>
    </row>
    <row r="1199" spans="1:13">
      <c r="A1199" s="4" t="str" cm="1">
        <f t="array" ref="A1199">INDEX(Sheet1!A:A,$F1199)</f>
        <v>F</v>
      </c>
      <c r="B1199" s="4" t="str" cm="1">
        <f t="array" ref="B1199">INDEX(Sheet1!B:B,$F1199)</f>
        <v>Pref Resid NS</v>
      </c>
      <c r="C1199" s="4">
        <f t="shared" si="73"/>
        <v>97</v>
      </c>
      <c r="D1199" s="5" cm="1">
        <f t="array" aca="1" ref="D1199" ca="1">OFFSET(INDIRECT("'["&amp;$H1199&amp;"]"&amp;$I1199&amp;"'!"&amp;$J1199),$L1199,$M1199)*$K1199</f>
        <v>0.26830000000000004</v>
      </c>
      <c r="F1199" s="4">
        <f t="shared" si="74"/>
        <v>13</v>
      </c>
      <c r="G1199" s="4" cm="1">
        <f t="array" ref="G1199">IF($C1199+$M1199&lt;16,INDEX(Sheet1!C:C,$F1199),$F1199)</f>
        <v>13</v>
      </c>
      <c r="H1199" s="4" t="str" cm="1">
        <f t="array" ref="H1199">INDEX(Sheet1!D:D,$G1199)</f>
        <v>2001-cso-preferred-class-structure-mortality-tables.xls</v>
      </c>
      <c r="I1199" s="4" t="str" cm="1">
        <f t="array" ref="I1199">INDEX(Sheet1!E:E,$G1199)</f>
        <v>A.1.b.ii</v>
      </c>
      <c r="J1199" s="4" t="str" cm="1">
        <f t="array" ref="J1199">INDEX(Sheet1!F:F,$G1199)</f>
        <v>B8</v>
      </c>
      <c r="K1199" s="4" cm="1">
        <f t="array" ref="K1199">INDEX(Sheet1!H:H,$G1199)</f>
        <v>1E-3</v>
      </c>
      <c r="L1199" s="4">
        <f t="shared" si="72"/>
        <v>97</v>
      </c>
      <c r="M1199" s="4">
        <f t="shared" si="75"/>
        <v>5</v>
      </c>
    </row>
    <row r="1200" spans="1:13">
      <c r="A1200" s="4" t="str" cm="1">
        <f t="array" ref="A1200">INDEX(Sheet1!A:A,$F1200)</f>
        <v>F</v>
      </c>
      <c r="B1200" s="4" t="str" cm="1">
        <f t="array" ref="B1200">INDEX(Sheet1!B:B,$F1200)</f>
        <v>Pref Resid NS</v>
      </c>
      <c r="C1200" s="4">
        <f t="shared" si="73"/>
        <v>98</v>
      </c>
      <c r="D1200" s="5" cm="1">
        <f t="array" aca="1" ref="D1200" ca="1">OFFSET(INDIRECT("'["&amp;$H1200&amp;"]"&amp;$I1200&amp;"'!"&amp;$J1200),$L1200,$M1200)*$K1200</f>
        <v>0.28563</v>
      </c>
      <c r="F1200" s="4">
        <f t="shared" si="74"/>
        <v>13</v>
      </c>
      <c r="G1200" s="4" cm="1">
        <f t="array" ref="G1200">IF($C1200+$M1200&lt;16,INDEX(Sheet1!C:C,$F1200),$F1200)</f>
        <v>13</v>
      </c>
      <c r="H1200" s="4" t="str" cm="1">
        <f t="array" ref="H1200">INDEX(Sheet1!D:D,$G1200)</f>
        <v>2001-cso-preferred-class-structure-mortality-tables.xls</v>
      </c>
      <c r="I1200" s="4" t="str" cm="1">
        <f t="array" ref="I1200">INDEX(Sheet1!E:E,$G1200)</f>
        <v>A.1.b.ii</v>
      </c>
      <c r="J1200" s="4" t="str" cm="1">
        <f t="array" ref="J1200">INDEX(Sheet1!F:F,$G1200)</f>
        <v>B8</v>
      </c>
      <c r="K1200" s="4" cm="1">
        <f t="array" ref="K1200">INDEX(Sheet1!H:H,$G1200)</f>
        <v>1E-3</v>
      </c>
      <c r="L1200" s="4">
        <f t="shared" si="72"/>
        <v>98</v>
      </c>
      <c r="M1200" s="4">
        <f t="shared" si="75"/>
        <v>5</v>
      </c>
    </row>
    <row r="1201" spans="1:13">
      <c r="A1201" s="4" t="str" cm="1">
        <f t="array" ref="A1201">INDEX(Sheet1!A:A,$F1201)</f>
        <v>F</v>
      </c>
      <c r="B1201" s="4" t="str" cm="1">
        <f t="array" ref="B1201">INDEX(Sheet1!B:B,$F1201)</f>
        <v>Pref Resid NS</v>
      </c>
      <c r="C1201" s="4">
        <f t="shared" si="73"/>
        <v>99</v>
      </c>
      <c r="D1201" s="5" cm="1">
        <f t="array" aca="1" ref="D1201" ca="1">OFFSET(INDIRECT("'["&amp;$H1201&amp;"]"&amp;$I1201&amp;"'!"&amp;$J1201),$L1201,$M1201)*$K1201</f>
        <v>0.30377999999999999</v>
      </c>
      <c r="F1201" s="4">
        <f t="shared" si="74"/>
        <v>13</v>
      </c>
      <c r="G1201" s="4" cm="1">
        <f t="array" ref="G1201">IF($C1201+$M1201&lt;16,INDEX(Sheet1!C:C,$F1201),$F1201)</f>
        <v>13</v>
      </c>
      <c r="H1201" s="4" t="str" cm="1">
        <f t="array" ref="H1201">INDEX(Sheet1!D:D,$G1201)</f>
        <v>2001-cso-preferred-class-structure-mortality-tables.xls</v>
      </c>
      <c r="I1201" s="4" t="str" cm="1">
        <f t="array" ref="I1201">INDEX(Sheet1!E:E,$G1201)</f>
        <v>A.1.b.ii</v>
      </c>
      <c r="J1201" s="4" t="str" cm="1">
        <f t="array" ref="J1201">INDEX(Sheet1!F:F,$G1201)</f>
        <v>B8</v>
      </c>
      <c r="K1201" s="4" cm="1">
        <f t="array" ref="K1201">INDEX(Sheet1!H:H,$G1201)</f>
        <v>1E-3</v>
      </c>
      <c r="L1201" s="4">
        <f t="shared" si="72"/>
        <v>99</v>
      </c>
      <c r="M1201" s="4">
        <f t="shared" si="75"/>
        <v>5</v>
      </c>
    </row>
    <row r="1202" spans="1:13">
      <c r="A1202" s="4" t="str" cm="1">
        <f t="array" ref="A1202">INDEX(Sheet1!A:A,$F1202)</f>
        <v>F</v>
      </c>
      <c r="B1202" s="4" t="str" cm="1">
        <f t="array" ref="B1202">INDEX(Sheet1!B:B,$F1202)</f>
        <v>Non-Pref NS</v>
      </c>
      <c r="C1202" s="4">
        <f t="shared" si="73"/>
        <v>0</v>
      </c>
      <c r="D1202" s="5" cm="1">
        <f t="array" aca="1" ref="D1202" ca="1">OFFSET(INDIRECT("'["&amp;$H1202&amp;"]"&amp;$I1202&amp;"'!"&amp;$J1202),$L1202,$M1202)*$K1202</f>
        <v>1.8000000000000001E-4</v>
      </c>
      <c r="F1202" s="4">
        <f t="shared" si="74"/>
        <v>14</v>
      </c>
      <c r="G1202" s="4" cm="1">
        <f t="array" ref="G1202">IF($C1202+$M1202&lt;16,INDEX(Sheet1!C:C,$F1202),$F1202)</f>
        <v>19</v>
      </c>
      <c r="H1202" s="4" t="str" cm="1">
        <f t="array" ref="H1202">INDEX(Sheet1!D:D,$G1202)</f>
        <v>t1139.xlsx</v>
      </c>
      <c r="I1202" s="4" t="str" cm="1">
        <f t="array" ref="I1202">INDEX(Sheet1!E:E,$G1202)</f>
        <v>Sheet1</v>
      </c>
      <c r="J1202" s="4" t="str" cm="1">
        <f t="array" ref="J1202">INDEX(Sheet1!F:F,$G1202)</f>
        <v>B25</v>
      </c>
      <c r="K1202" s="4" cm="1">
        <f t="array" ref="K1202">INDEX(Sheet1!H:H,$G1202)</f>
        <v>1</v>
      </c>
      <c r="L1202" s="4">
        <f t="shared" si="72"/>
        <v>0</v>
      </c>
      <c r="M1202" s="4">
        <f t="shared" si="75"/>
        <v>5</v>
      </c>
    </row>
    <row r="1203" spans="1:13">
      <c r="A1203" s="4" t="str" cm="1">
        <f t="array" ref="A1203">INDEX(Sheet1!A:A,$F1203)</f>
        <v>F</v>
      </c>
      <c r="B1203" s="4" t="str" cm="1">
        <f t="array" ref="B1203">INDEX(Sheet1!B:B,$F1203)</f>
        <v>Non-Pref NS</v>
      </c>
      <c r="C1203" s="4">
        <f t="shared" si="73"/>
        <v>1</v>
      </c>
      <c r="D1203" s="5" cm="1">
        <f t="array" aca="1" ref="D1203" ca="1">OFFSET(INDIRECT("'["&amp;$H1203&amp;"]"&amp;$I1203&amp;"'!"&amp;$J1203),$L1203,$M1203)*$K1203</f>
        <v>1.8000000000000001E-4</v>
      </c>
      <c r="F1203" s="4">
        <f t="shared" si="74"/>
        <v>14</v>
      </c>
      <c r="G1203" s="4" cm="1">
        <f t="array" ref="G1203">IF($C1203+$M1203&lt;16,INDEX(Sheet1!C:C,$F1203),$F1203)</f>
        <v>19</v>
      </c>
      <c r="H1203" s="4" t="str" cm="1">
        <f t="array" ref="H1203">INDEX(Sheet1!D:D,$G1203)</f>
        <v>t1139.xlsx</v>
      </c>
      <c r="I1203" s="4" t="str" cm="1">
        <f t="array" ref="I1203">INDEX(Sheet1!E:E,$G1203)</f>
        <v>Sheet1</v>
      </c>
      <c r="J1203" s="4" t="str" cm="1">
        <f t="array" ref="J1203">INDEX(Sheet1!F:F,$G1203)</f>
        <v>B25</v>
      </c>
      <c r="K1203" s="4" cm="1">
        <f t="array" ref="K1203">INDEX(Sheet1!H:H,$G1203)</f>
        <v>1</v>
      </c>
      <c r="L1203" s="4">
        <f t="shared" si="72"/>
        <v>1</v>
      </c>
      <c r="M1203" s="4">
        <f t="shared" si="75"/>
        <v>5</v>
      </c>
    </row>
    <row r="1204" spans="1:13">
      <c r="A1204" s="4" t="str" cm="1">
        <f t="array" ref="A1204">INDEX(Sheet1!A:A,$F1204)</f>
        <v>F</v>
      </c>
      <c r="B1204" s="4" t="str" cm="1">
        <f t="array" ref="B1204">INDEX(Sheet1!B:B,$F1204)</f>
        <v>Non-Pref NS</v>
      </c>
      <c r="C1204" s="4">
        <f t="shared" si="73"/>
        <v>2</v>
      </c>
      <c r="D1204" s="5" cm="1">
        <f t="array" aca="1" ref="D1204" ca="1">OFFSET(INDIRECT("'["&amp;$H1204&amp;"]"&amp;$I1204&amp;"'!"&amp;$J1204),$L1204,$M1204)*$K1204</f>
        <v>1.8000000000000001E-4</v>
      </c>
      <c r="F1204" s="4">
        <f t="shared" si="74"/>
        <v>14</v>
      </c>
      <c r="G1204" s="4" cm="1">
        <f t="array" ref="G1204">IF($C1204+$M1204&lt;16,INDEX(Sheet1!C:C,$F1204),$F1204)</f>
        <v>19</v>
      </c>
      <c r="H1204" s="4" t="str" cm="1">
        <f t="array" ref="H1204">INDEX(Sheet1!D:D,$G1204)</f>
        <v>t1139.xlsx</v>
      </c>
      <c r="I1204" s="4" t="str" cm="1">
        <f t="array" ref="I1204">INDEX(Sheet1!E:E,$G1204)</f>
        <v>Sheet1</v>
      </c>
      <c r="J1204" s="4" t="str" cm="1">
        <f t="array" ref="J1204">INDEX(Sheet1!F:F,$G1204)</f>
        <v>B25</v>
      </c>
      <c r="K1204" s="4" cm="1">
        <f t="array" ref="K1204">INDEX(Sheet1!H:H,$G1204)</f>
        <v>1</v>
      </c>
      <c r="L1204" s="4">
        <f t="shared" si="72"/>
        <v>2</v>
      </c>
      <c r="M1204" s="4">
        <f t="shared" si="75"/>
        <v>5</v>
      </c>
    </row>
    <row r="1205" spans="1:13">
      <c r="A1205" s="4" t="str" cm="1">
        <f t="array" ref="A1205">INDEX(Sheet1!A:A,$F1205)</f>
        <v>F</v>
      </c>
      <c r="B1205" s="4" t="str" cm="1">
        <f t="array" ref="B1205">INDEX(Sheet1!B:B,$F1205)</f>
        <v>Non-Pref NS</v>
      </c>
      <c r="C1205" s="4">
        <f t="shared" si="73"/>
        <v>3</v>
      </c>
      <c r="D1205" s="5" cm="1">
        <f t="array" aca="1" ref="D1205" ca="1">OFFSET(INDIRECT("'["&amp;$H1205&amp;"]"&amp;$I1205&amp;"'!"&amp;$J1205),$L1205,$M1205)*$K1205</f>
        <v>1.9000000000000001E-4</v>
      </c>
      <c r="F1205" s="4">
        <f t="shared" si="74"/>
        <v>14</v>
      </c>
      <c r="G1205" s="4" cm="1">
        <f t="array" ref="G1205">IF($C1205+$M1205&lt;16,INDEX(Sheet1!C:C,$F1205),$F1205)</f>
        <v>19</v>
      </c>
      <c r="H1205" s="4" t="str" cm="1">
        <f t="array" ref="H1205">INDEX(Sheet1!D:D,$G1205)</f>
        <v>t1139.xlsx</v>
      </c>
      <c r="I1205" s="4" t="str" cm="1">
        <f t="array" ref="I1205">INDEX(Sheet1!E:E,$G1205)</f>
        <v>Sheet1</v>
      </c>
      <c r="J1205" s="4" t="str" cm="1">
        <f t="array" ref="J1205">INDEX(Sheet1!F:F,$G1205)</f>
        <v>B25</v>
      </c>
      <c r="K1205" s="4" cm="1">
        <f t="array" ref="K1205">INDEX(Sheet1!H:H,$G1205)</f>
        <v>1</v>
      </c>
      <c r="L1205" s="4">
        <f t="shared" si="72"/>
        <v>3</v>
      </c>
      <c r="M1205" s="4">
        <f t="shared" si="75"/>
        <v>5</v>
      </c>
    </row>
    <row r="1206" spans="1:13">
      <c r="A1206" s="4" t="str" cm="1">
        <f t="array" ref="A1206">INDEX(Sheet1!A:A,$F1206)</f>
        <v>F</v>
      </c>
      <c r="B1206" s="4" t="str" cm="1">
        <f t="array" ref="B1206">INDEX(Sheet1!B:B,$F1206)</f>
        <v>Non-Pref NS</v>
      </c>
      <c r="C1206" s="4">
        <f t="shared" si="73"/>
        <v>4</v>
      </c>
      <c r="D1206" s="5" cm="1">
        <f t="array" aca="1" ref="D1206" ca="1">OFFSET(INDIRECT("'["&amp;$H1206&amp;"]"&amp;$I1206&amp;"'!"&amp;$J1206),$L1206,$M1206)*$K1206</f>
        <v>1.9000000000000001E-4</v>
      </c>
      <c r="F1206" s="4">
        <f t="shared" si="74"/>
        <v>14</v>
      </c>
      <c r="G1206" s="4" cm="1">
        <f t="array" ref="G1206">IF($C1206+$M1206&lt;16,INDEX(Sheet1!C:C,$F1206),$F1206)</f>
        <v>19</v>
      </c>
      <c r="H1206" s="4" t="str" cm="1">
        <f t="array" ref="H1206">INDEX(Sheet1!D:D,$G1206)</f>
        <v>t1139.xlsx</v>
      </c>
      <c r="I1206" s="4" t="str" cm="1">
        <f t="array" ref="I1206">INDEX(Sheet1!E:E,$G1206)</f>
        <v>Sheet1</v>
      </c>
      <c r="J1206" s="4" t="str" cm="1">
        <f t="array" ref="J1206">INDEX(Sheet1!F:F,$G1206)</f>
        <v>B25</v>
      </c>
      <c r="K1206" s="4" cm="1">
        <f t="array" ref="K1206">INDEX(Sheet1!H:H,$G1206)</f>
        <v>1</v>
      </c>
      <c r="L1206" s="4">
        <f t="shared" si="72"/>
        <v>4</v>
      </c>
      <c r="M1206" s="4">
        <f t="shared" si="75"/>
        <v>5</v>
      </c>
    </row>
    <row r="1207" spans="1:13">
      <c r="A1207" s="4" t="str" cm="1">
        <f t="array" ref="A1207">INDEX(Sheet1!A:A,$F1207)</f>
        <v>F</v>
      </c>
      <c r="B1207" s="4" t="str" cm="1">
        <f t="array" ref="B1207">INDEX(Sheet1!B:B,$F1207)</f>
        <v>Non-Pref NS</v>
      </c>
      <c r="C1207" s="4">
        <f t="shared" si="73"/>
        <v>5</v>
      </c>
      <c r="D1207" s="5" cm="1">
        <f t="array" aca="1" ref="D1207" ca="1">OFFSET(INDIRECT("'["&amp;$H1207&amp;"]"&amp;$I1207&amp;"'!"&amp;$J1207),$L1207,$M1207)*$K1207</f>
        <v>1.9000000000000001E-4</v>
      </c>
      <c r="F1207" s="4">
        <f t="shared" si="74"/>
        <v>14</v>
      </c>
      <c r="G1207" s="4" cm="1">
        <f t="array" ref="G1207">IF($C1207+$M1207&lt;16,INDEX(Sheet1!C:C,$F1207),$F1207)</f>
        <v>19</v>
      </c>
      <c r="H1207" s="4" t="str" cm="1">
        <f t="array" ref="H1207">INDEX(Sheet1!D:D,$G1207)</f>
        <v>t1139.xlsx</v>
      </c>
      <c r="I1207" s="4" t="str" cm="1">
        <f t="array" ref="I1207">INDEX(Sheet1!E:E,$G1207)</f>
        <v>Sheet1</v>
      </c>
      <c r="J1207" s="4" t="str" cm="1">
        <f t="array" ref="J1207">INDEX(Sheet1!F:F,$G1207)</f>
        <v>B25</v>
      </c>
      <c r="K1207" s="4" cm="1">
        <f t="array" ref="K1207">INDEX(Sheet1!H:H,$G1207)</f>
        <v>1</v>
      </c>
      <c r="L1207" s="4">
        <f t="shared" si="72"/>
        <v>5</v>
      </c>
      <c r="M1207" s="4">
        <f t="shared" si="75"/>
        <v>5</v>
      </c>
    </row>
    <row r="1208" spans="1:13">
      <c r="A1208" s="4" t="str" cm="1">
        <f t="array" ref="A1208">INDEX(Sheet1!A:A,$F1208)</f>
        <v>F</v>
      </c>
      <c r="B1208" s="4" t="str" cm="1">
        <f t="array" ref="B1208">INDEX(Sheet1!B:B,$F1208)</f>
        <v>Non-Pref NS</v>
      </c>
      <c r="C1208" s="4">
        <f t="shared" si="73"/>
        <v>6</v>
      </c>
      <c r="D1208" s="5" cm="1">
        <f t="array" aca="1" ref="D1208" ca="1">OFFSET(INDIRECT("'["&amp;$H1208&amp;"]"&amp;$I1208&amp;"'!"&amp;$J1208),$L1208,$M1208)*$K1208</f>
        <v>2.0000000000000001E-4</v>
      </c>
      <c r="F1208" s="4">
        <f t="shared" si="74"/>
        <v>14</v>
      </c>
      <c r="G1208" s="4" cm="1">
        <f t="array" ref="G1208">IF($C1208+$M1208&lt;16,INDEX(Sheet1!C:C,$F1208),$F1208)</f>
        <v>19</v>
      </c>
      <c r="H1208" s="4" t="str" cm="1">
        <f t="array" ref="H1208">INDEX(Sheet1!D:D,$G1208)</f>
        <v>t1139.xlsx</v>
      </c>
      <c r="I1208" s="4" t="str" cm="1">
        <f t="array" ref="I1208">INDEX(Sheet1!E:E,$G1208)</f>
        <v>Sheet1</v>
      </c>
      <c r="J1208" s="4" t="str" cm="1">
        <f t="array" ref="J1208">INDEX(Sheet1!F:F,$G1208)</f>
        <v>B25</v>
      </c>
      <c r="K1208" s="4" cm="1">
        <f t="array" ref="K1208">INDEX(Sheet1!H:H,$G1208)</f>
        <v>1</v>
      </c>
      <c r="L1208" s="4">
        <f t="shared" si="72"/>
        <v>6</v>
      </c>
      <c r="M1208" s="4">
        <f t="shared" si="75"/>
        <v>5</v>
      </c>
    </row>
    <row r="1209" spans="1:13">
      <c r="A1209" s="4" t="str" cm="1">
        <f t="array" ref="A1209">INDEX(Sheet1!A:A,$F1209)</f>
        <v>F</v>
      </c>
      <c r="B1209" s="4" t="str" cm="1">
        <f t="array" ref="B1209">INDEX(Sheet1!B:B,$F1209)</f>
        <v>Non-Pref NS</v>
      </c>
      <c r="C1209" s="4">
        <f t="shared" si="73"/>
        <v>7</v>
      </c>
      <c r="D1209" s="5" cm="1">
        <f t="array" aca="1" ref="D1209" ca="1">OFFSET(INDIRECT("'["&amp;$H1209&amp;"]"&amp;$I1209&amp;"'!"&amp;$J1209),$L1209,$M1209)*$K1209</f>
        <v>2.2000000000000001E-4</v>
      </c>
      <c r="F1209" s="4">
        <f t="shared" si="74"/>
        <v>14</v>
      </c>
      <c r="G1209" s="4" cm="1">
        <f t="array" ref="G1209">IF($C1209+$M1209&lt;16,INDEX(Sheet1!C:C,$F1209),$F1209)</f>
        <v>19</v>
      </c>
      <c r="H1209" s="4" t="str" cm="1">
        <f t="array" ref="H1209">INDEX(Sheet1!D:D,$G1209)</f>
        <v>t1139.xlsx</v>
      </c>
      <c r="I1209" s="4" t="str" cm="1">
        <f t="array" ref="I1209">INDEX(Sheet1!E:E,$G1209)</f>
        <v>Sheet1</v>
      </c>
      <c r="J1209" s="4" t="str" cm="1">
        <f t="array" ref="J1209">INDEX(Sheet1!F:F,$G1209)</f>
        <v>B25</v>
      </c>
      <c r="K1209" s="4" cm="1">
        <f t="array" ref="K1209">INDEX(Sheet1!H:H,$G1209)</f>
        <v>1</v>
      </c>
      <c r="L1209" s="4">
        <f t="shared" si="72"/>
        <v>7</v>
      </c>
      <c r="M1209" s="4">
        <f t="shared" si="75"/>
        <v>5</v>
      </c>
    </row>
    <row r="1210" spans="1:13">
      <c r="A1210" s="4" t="str" cm="1">
        <f t="array" ref="A1210">INDEX(Sheet1!A:A,$F1210)</f>
        <v>F</v>
      </c>
      <c r="B1210" s="4" t="str" cm="1">
        <f t="array" ref="B1210">INDEX(Sheet1!B:B,$F1210)</f>
        <v>Non-Pref NS</v>
      </c>
      <c r="C1210" s="4">
        <f t="shared" si="73"/>
        <v>8</v>
      </c>
      <c r="D1210" s="5" cm="1">
        <f t="array" aca="1" ref="D1210" ca="1">OFFSET(INDIRECT("'["&amp;$H1210&amp;"]"&amp;$I1210&amp;"'!"&amp;$J1210),$L1210,$M1210)*$K1210</f>
        <v>2.4000000000000001E-4</v>
      </c>
      <c r="F1210" s="4">
        <f t="shared" si="74"/>
        <v>14</v>
      </c>
      <c r="G1210" s="4" cm="1">
        <f t="array" ref="G1210">IF($C1210+$M1210&lt;16,INDEX(Sheet1!C:C,$F1210),$F1210)</f>
        <v>19</v>
      </c>
      <c r="H1210" s="4" t="str" cm="1">
        <f t="array" ref="H1210">INDEX(Sheet1!D:D,$G1210)</f>
        <v>t1139.xlsx</v>
      </c>
      <c r="I1210" s="4" t="str" cm="1">
        <f t="array" ref="I1210">INDEX(Sheet1!E:E,$G1210)</f>
        <v>Sheet1</v>
      </c>
      <c r="J1210" s="4" t="str" cm="1">
        <f t="array" ref="J1210">INDEX(Sheet1!F:F,$G1210)</f>
        <v>B25</v>
      </c>
      <c r="K1210" s="4" cm="1">
        <f t="array" ref="K1210">INDEX(Sheet1!H:H,$G1210)</f>
        <v>1</v>
      </c>
      <c r="L1210" s="4">
        <f t="shared" si="72"/>
        <v>8</v>
      </c>
      <c r="M1210" s="4">
        <f t="shared" si="75"/>
        <v>5</v>
      </c>
    </row>
    <row r="1211" spans="1:13">
      <c r="A1211" s="4" t="str" cm="1">
        <f t="array" ref="A1211">INDEX(Sheet1!A:A,$F1211)</f>
        <v>F</v>
      </c>
      <c r="B1211" s="4" t="str" cm="1">
        <f t="array" ref="B1211">INDEX(Sheet1!B:B,$F1211)</f>
        <v>Non-Pref NS</v>
      </c>
      <c r="C1211" s="4">
        <f t="shared" si="73"/>
        <v>9</v>
      </c>
      <c r="D1211" s="5" cm="1">
        <f t="array" aca="1" ref="D1211" ca="1">OFFSET(INDIRECT("'["&amp;$H1211&amp;"]"&amp;$I1211&amp;"'!"&amp;$J1211),$L1211,$M1211)*$K1211</f>
        <v>2.7E-4</v>
      </c>
      <c r="F1211" s="4">
        <f t="shared" si="74"/>
        <v>14</v>
      </c>
      <c r="G1211" s="4" cm="1">
        <f t="array" ref="G1211">IF($C1211+$M1211&lt;16,INDEX(Sheet1!C:C,$F1211),$F1211)</f>
        <v>19</v>
      </c>
      <c r="H1211" s="4" t="str" cm="1">
        <f t="array" ref="H1211">INDEX(Sheet1!D:D,$G1211)</f>
        <v>t1139.xlsx</v>
      </c>
      <c r="I1211" s="4" t="str" cm="1">
        <f t="array" ref="I1211">INDEX(Sheet1!E:E,$G1211)</f>
        <v>Sheet1</v>
      </c>
      <c r="J1211" s="4" t="str" cm="1">
        <f t="array" ref="J1211">INDEX(Sheet1!F:F,$G1211)</f>
        <v>B25</v>
      </c>
      <c r="K1211" s="4" cm="1">
        <f t="array" ref="K1211">INDEX(Sheet1!H:H,$G1211)</f>
        <v>1</v>
      </c>
      <c r="L1211" s="4">
        <f t="shared" si="72"/>
        <v>9</v>
      </c>
      <c r="M1211" s="4">
        <f t="shared" si="75"/>
        <v>5</v>
      </c>
    </row>
    <row r="1212" spans="1:13">
      <c r="A1212" s="4" t="str" cm="1">
        <f t="array" ref="A1212">INDEX(Sheet1!A:A,$F1212)</f>
        <v>F</v>
      </c>
      <c r="B1212" s="4" t="str" cm="1">
        <f t="array" ref="B1212">INDEX(Sheet1!B:B,$F1212)</f>
        <v>Non-Pref NS</v>
      </c>
      <c r="C1212" s="4">
        <f t="shared" si="73"/>
        <v>10</v>
      </c>
      <c r="D1212" s="5" cm="1">
        <f t="array" aca="1" ref="D1212" ca="1">OFFSET(INDIRECT("'["&amp;$H1212&amp;"]"&amp;$I1212&amp;"'!"&amp;$J1212),$L1212,$M1212)*$K1212</f>
        <v>3.1E-4</v>
      </c>
      <c r="F1212" s="4">
        <f t="shared" si="74"/>
        <v>14</v>
      </c>
      <c r="G1212" s="4" cm="1">
        <f t="array" ref="G1212">IF($C1212+$M1212&lt;16,INDEX(Sheet1!C:C,$F1212),$F1212)</f>
        <v>19</v>
      </c>
      <c r="H1212" s="4" t="str" cm="1">
        <f t="array" ref="H1212">INDEX(Sheet1!D:D,$G1212)</f>
        <v>t1139.xlsx</v>
      </c>
      <c r="I1212" s="4" t="str" cm="1">
        <f t="array" ref="I1212">INDEX(Sheet1!E:E,$G1212)</f>
        <v>Sheet1</v>
      </c>
      <c r="J1212" s="4" t="str" cm="1">
        <f t="array" ref="J1212">INDEX(Sheet1!F:F,$G1212)</f>
        <v>B25</v>
      </c>
      <c r="K1212" s="4" cm="1">
        <f t="array" ref="K1212">INDEX(Sheet1!H:H,$G1212)</f>
        <v>1</v>
      </c>
      <c r="L1212" s="4">
        <f t="shared" si="72"/>
        <v>10</v>
      </c>
      <c r="M1212" s="4">
        <f t="shared" si="75"/>
        <v>5</v>
      </c>
    </row>
    <row r="1213" spans="1:13">
      <c r="A1213" s="4" t="str" cm="1">
        <f t="array" ref="A1213">INDEX(Sheet1!A:A,$F1213)</f>
        <v>F</v>
      </c>
      <c r="B1213" s="4" t="str" cm="1">
        <f t="array" ref="B1213">INDEX(Sheet1!B:B,$F1213)</f>
        <v>Non-Pref NS</v>
      </c>
      <c r="C1213" s="4">
        <f t="shared" si="73"/>
        <v>11</v>
      </c>
      <c r="D1213" s="5" cm="1">
        <f t="array" aca="1" ref="D1213" ca="1">OFFSET(INDIRECT("'["&amp;$H1213&amp;"]"&amp;$I1213&amp;"'!"&amp;$J1213),$L1213,$M1213)*$K1213</f>
        <v>3.6999999999999999E-4</v>
      </c>
      <c r="F1213" s="4">
        <f t="shared" si="74"/>
        <v>14</v>
      </c>
      <c r="G1213" s="4" cm="1">
        <f t="array" ref="G1213">IF($C1213+$M1213&lt;16,INDEX(Sheet1!C:C,$F1213),$F1213)</f>
        <v>14</v>
      </c>
      <c r="H1213" s="4" t="str" cm="1">
        <f t="array" ref="H1213">INDEX(Sheet1!D:D,$G1213)</f>
        <v>2001-cso-preferred-class-structure-mortality-tables.xls</v>
      </c>
      <c r="I1213" s="4" t="str" cm="1">
        <f t="array" ref="I1213">INDEX(Sheet1!E:E,$G1213)</f>
        <v>A.1.b.iii</v>
      </c>
      <c r="J1213" s="4" t="str" cm="1">
        <f t="array" ref="J1213">INDEX(Sheet1!F:F,$G1213)</f>
        <v>B8</v>
      </c>
      <c r="K1213" s="4" cm="1">
        <f t="array" ref="K1213">INDEX(Sheet1!H:H,$G1213)</f>
        <v>1E-3</v>
      </c>
      <c r="L1213" s="4">
        <f t="shared" si="72"/>
        <v>11</v>
      </c>
      <c r="M1213" s="4">
        <f t="shared" si="75"/>
        <v>5</v>
      </c>
    </row>
    <row r="1214" spans="1:13">
      <c r="A1214" s="4" t="str" cm="1">
        <f t="array" ref="A1214">INDEX(Sheet1!A:A,$F1214)</f>
        <v>F</v>
      </c>
      <c r="B1214" s="4" t="str" cm="1">
        <f t="array" ref="B1214">INDEX(Sheet1!B:B,$F1214)</f>
        <v>Non-Pref NS</v>
      </c>
      <c r="C1214" s="4">
        <f t="shared" si="73"/>
        <v>12</v>
      </c>
      <c r="D1214" s="5" cm="1">
        <f t="array" aca="1" ref="D1214" ca="1">OFFSET(INDIRECT("'["&amp;$H1214&amp;"]"&amp;$I1214&amp;"'!"&amp;$J1214),$L1214,$M1214)*$K1214</f>
        <v>3.8000000000000002E-4</v>
      </c>
      <c r="F1214" s="4">
        <f t="shared" si="74"/>
        <v>14</v>
      </c>
      <c r="G1214" s="4" cm="1">
        <f t="array" ref="G1214">IF($C1214+$M1214&lt;16,INDEX(Sheet1!C:C,$F1214),$F1214)</f>
        <v>14</v>
      </c>
      <c r="H1214" s="4" t="str" cm="1">
        <f t="array" ref="H1214">INDEX(Sheet1!D:D,$G1214)</f>
        <v>2001-cso-preferred-class-structure-mortality-tables.xls</v>
      </c>
      <c r="I1214" s="4" t="str" cm="1">
        <f t="array" ref="I1214">INDEX(Sheet1!E:E,$G1214)</f>
        <v>A.1.b.iii</v>
      </c>
      <c r="J1214" s="4" t="str" cm="1">
        <f t="array" ref="J1214">INDEX(Sheet1!F:F,$G1214)</f>
        <v>B8</v>
      </c>
      <c r="K1214" s="4" cm="1">
        <f t="array" ref="K1214">INDEX(Sheet1!H:H,$G1214)</f>
        <v>1E-3</v>
      </c>
      <c r="L1214" s="4">
        <f t="shared" si="72"/>
        <v>12</v>
      </c>
      <c r="M1214" s="4">
        <f t="shared" si="75"/>
        <v>5</v>
      </c>
    </row>
    <row r="1215" spans="1:13">
      <c r="A1215" s="4" t="str" cm="1">
        <f t="array" ref="A1215">INDEX(Sheet1!A:A,$F1215)</f>
        <v>F</v>
      </c>
      <c r="B1215" s="4" t="str" cm="1">
        <f t="array" ref="B1215">INDEX(Sheet1!B:B,$F1215)</f>
        <v>Non-Pref NS</v>
      </c>
      <c r="C1215" s="4">
        <f t="shared" si="73"/>
        <v>13</v>
      </c>
      <c r="D1215" s="5" cm="1">
        <f t="array" aca="1" ref="D1215" ca="1">OFFSET(INDIRECT("'["&amp;$H1215&amp;"]"&amp;$I1215&amp;"'!"&amp;$J1215),$L1215,$M1215)*$K1215</f>
        <v>3.8000000000000002E-4</v>
      </c>
      <c r="F1215" s="4">
        <f t="shared" si="74"/>
        <v>14</v>
      </c>
      <c r="G1215" s="4" cm="1">
        <f t="array" ref="G1215">IF($C1215+$M1215&lt;16,INDEX(Sheet1!C:C,$F1215),$F1215)</f>
        <v>14</v>
      </c>
      <c r="H1215" s="4" t="str" cm="1">
        <f t="array" ref="H1215">INDEX(Sheet1!D:D,$G1215)</f>
        <v>2001-cso-preferred-class-structure-mortality-tables.xls</v>
      </c>
      <c r="I1215" s="4" t="str" cm="1">
        <f t="array" ref="I1215">INDEX(Sheet1!E:E,$G1215)</f>
        <v>A.1.b.iii</v>
      </c>
      <c r="J1215" s="4" t="str" cm="1">
        <f t="array" ref="J1215">INDEX(Sheet1!F:F,$G1215)</f>
        <v>B8</v>
      </c>
      <c r="K1215" s="4" cm="1">
        <f t="array" ref="K1215">INDEX(Sheet1!H:H,$G1215)</f>
        <v>1E-3</v>
      </c>
      <c r="L1215" s="4">
        <f t="shared" si="72"/>
        <v>13</v>
      </c>
      <c r="M1215" s="4">
        <f t="shared" si="75"/>
        <v>5</v>
      </c>
    </row>
    <row r="1216" spans="1:13">
      <c r="A1216" s="4" t="str" cm="1">
        <f t="array" ref="A1216">INDEX(Sheet1!A:A,$F1216)</f>
        <v>F</v>
      </c>
      <c r="B1216" s="4" t="str" cm="1">
        <f t="array" ref="B1216">INDEX(Sheet1!B:B,$F1216)</f>
        <v>Non-Pref NS</v>
      </c>
      <c r="C1216" s="4">
        <f t="shared" si="73"/>
        <v>14</v>
      </c>
      <c r="D1216" s="5" cm="1">
        <f t="array" aca="1" ref="D1216" ca="1">OFFSET(INDIRECT("'["&amp;$H1216&amp;"]"&amp;$I1216&amp;"'!"&amp;$J1216),$L1216,$M1216)*$K1216</f>
        <v>3.9000000000000005E-4</v>
      </c>
      <c r="F1216" s="4">
        <f t="shared" si="74"/>
        <v>14</v>
      </c>
      <c r="G1216" s="4" cm="1">
        <f t="array" ref="G1216">IF($C1216+$M1216&lt;16,INDEX(Sheet1!C:C,$F1216),$F1216)</f>
        <v>14</v>
      </c>
      <c r="H1216" s="4" t="str" cm="1">
        <f t="array" ref="H1216">INDEX(Sheet1!D:D,$G1216)</f>
        <v>2001-cso-preferred-class-structure-mortality-tables.xls</v>
      </c>
      <c r="I1216" s="4" t="str" cm="1">
        <f t="array" ref="I1216">INDEX(Sheet1!E:E,$G1216)</f>
        <v>A.1.b.iii</v>
      </c>
      <c r="J1216" s="4" t="str" cm="1">
        <f t="array" ref="J1216">INDEX(Sheet1!F:F,$G1216)</f>
        <v>B8</v>
      </c>
      <c r="K1216" s="4" cm="1">
        <f t="array" ref="K1216">INDEX(Sheet1!H:H,$G1216)</f>
        <v>1E-3</v>
      </c>
      <c r="L1216" s="4">
        <f t="shared" si="72"/>
        <v>14</v>
      </c>
      <c r="M1216" s="4">
        <f t="shared" si="75"/>
        <v>5</v>
      </c>
    </row>
    <row r="1217" spans="1:13">
      <c r="A1217" s="4" t="str" cm="1">
        <f t="array" ref="A1217">INDEX(Sheet1!A:A,$F1217)</f>
        <v>F</v>
      </c>
      <c r="B1217" s="4" t="str" cm="1">
        <f t="array" ref="B1217">INDEX(Sheet1!B:B,$F1217)</f>
        <v>Non-Pref NS</v>
      </c>
      <c r="C1217" s="4">
        <f t="shared" si="73"/>
        <v>15</v>
      </c>
      <c r="D1217" s="5" cm="1">
        <f t="array" aca="1" ref="D1217" ca="1">OFFSET(INDIRECT("'["&amp;$H1217&amp;"]"&amp;$I1217&amp;"'!"&amp;$J1217),$L1217,$M1217)*$K1217</f>
        <v>4.0999999999999999E-4</v>
      </c>
      <c r="F1217" s="4">
        <f t="shared" si="74"/>
        <v>14</v>
      </c>
      <c r="G1217" s="4" cm="1">
        <f t="array" ref="G1217">IF($C1217+$M1217&lt;16,INDEX(Sheet1!C:C,$F1217),$F1217)</f>
        <v>14</v>
      </c>
      <c r="H1217" s="4" t="str" cm="1">
        <f t="array" ref="H1217">INDEX(Sheet1!D:D,$G1217)</f>
        <v>2001-cso-preferred-class-structure-mortality-tables.xls</v>
      </c>
      <c r="I1217" s="4" t="str" cm="1">
        <f t="array" ref="I1217">INDEX(Sheet1!E:E,$G1217)</f>
        <v>A.1.b.iii</v>
      </c>
      <c r="J1217" s="4" t="str" cm="1">
        <f t="array" ref="J1217">INDEX(Sheet1!F:F,$G1217)</f>
        <v>B8</v>
      </c>
      <c r="K1217" s="4" cm="1">
        <f t="array" ref="K1217">INDEX(Sheet1!H:H,$G1217)</f>
        <v>1E-3</v>
      </c>
      <c r="L1217" s="4">
        <f t="shared" si="72"/>
        <v>15</v>
      </c>
      <c r="M1217" s="4">
        <f t="shared" si="75"/>
        <v>5</v>
      </c>
    </row>
    <row r="1218" spans="1:13">
      <c r="A1218" s="4" t="str" cm="1">
        <f t="array" ref="A1218">INDEX(Sheet1!A:A,$F1218)</f>
        <v>F</v>
      </c>
      <c r="B1218" s="4" t="str" cm="1">
        <f t="array" ref="B1218">INDEX(Sheet1!B:B,$F1218)</f>
        <v>Non-Pref NS</v>
      </c>
      <c r="C1218" s="4">
        <f t="shared" si="73"/>
        <v>16</v>
      </c>
      <c r="D1218" s="5" cm="1">
        <f t="array" aca="1" ref="D1218" ca="1">OFFSET(INDIRECT("'["&amp;$H1218&amp;"]"&amp;$I1218&amp;"'!"&amp;$J1218),$L1218,$M1218)*$K1218</f>
        <v>4.0999999999999999E-4</v>
      </c>
      <c r="F1218" s="4">
        <f t="shared" si="74"/>
        <v>14</v>
      </c>
      <c r="G1218" s="4" cm="1">
        <f t="array" ref="G1218">IF($C1218+$M1218&lt;16,INDEX(Sheet1!C:C,$F1218),$F1218)</f>
        <v>14</v>
      </c>
      <c r="H1218" s="4" t="str" cm="1">
        <f t="array" ref="H1218">INDEX(Sheet1!D:D,$G1218)</f>
        <v>2001-cso-preferred-class-structure-mortality-tables.xls</v>
      </c>
      <c r="I1218" s="4" t="str" cm="1">
        <f t="array" ref="I1218">INDEX(Sheet1!E:E,$G1218)</f>
        <v>A.1.b.iii</v>
      </c>
      <c r="J1218" s="4" t="str" cm="1">
        <f t="array" ref="J1218">INDEX(Sheet1!F:F,$G1218)</f>
        <v>B8</v>
      </c>
      <c r="K1218" s="4" cm="1">
        <f t="array" ref="K1218">INDEX(Sheet1!H:H,$G1218)</f>
        <v>1E-3</v>
      </c>
      <c r="L1218" s="4">
        <f t="shared" si="72"/>
        <v>16</v>
      </c>
      <c r="M1218" s="4">
        <f t="shared" si="75"/>
        <v>5</v>
      </c>
    </row>
    <row r="1219" spans="1:13">
      <c r="A1219" s="4" t="str" cm="1">
        <f t="array" ref="A1219">INDEX(Sheet1!A:A,$F1219)</f>
        <v>F</v>
      </c>
      <c r="B1219" s="4" t="str" cm="1">
        <f t="array" ref="B1219">INDEX(Sheet1!B:B,$F1219)</f>
        <v>Non-Pref NS</v>
      </c>
      <c r="C1219" s="4">
        <f t="shared" si="73"/>
        <v>17</v>
      </c>
      <c r="D1219" s="5" cm="1">
        <f t="array" aca="1" ref="D1219" ca="1">OFFSET(INDIRECT("'["&amp;$H1219&amp;"]"&amp;$I1219&amp;"'!"&amp;$J1219),$L1219,$M1219)*$K1219</f>
        <v>4.2000000000000002E-4</v>
      </c>
      <c r="F1219" s="4">
        <f t="shared" si="74"/>
        <v>14</v>
      </c>
      <c r="G1219" s="4" cm="1">
        <f t="array" ref="G1219">IF($C1219+$M1219&lt;16,INDEX(Sheet1!C:C,$F1219),$F1219)</f>
        <v>14</v>
      </c>
      <c r="H1219" s="4" t="str" cm="1">
        <f t="array" ref="H1219">INDEX(Sheet1!D:D,$G1219)</f>
        <v>2001-cso-preferred-class-structure-mortality-tables.xls</v>
      </c>
      <c r="I1219" s="4" t="str" cm="1">
        <f t="array" ref="I1219">INDEX(Sheet1!E:E,$G1219)</f>
        <v>A.1.b.iii</v>
      </c>
      <c r="J1219" s="4" t="str" cm="1">
        <f t="array" ref="J1219">INDEX(Sheet1!F:F,$G1219)</f>
        <v>B8</v>
      </c>
      <c r="K1219" s="4" cm="1">
        <f t="array" ref="K1219">INDEX(Sheet1!H:H,$G1219)</f>
        <v>1E-3</v>
      </c>
      <c r="L1219" s="4">
        <f t="shared" ref="L1219:L1282" si="76">C1219</f>
        <v>17</v>
      </c>
      <c r="M1219" s="4">
        <f t="shared" si="75"/>
        <v>5</v>
      </c>
    </row>
    <row r="1220" spans="1:13">
      <c r="A1220" s="4" t="str" cm="1">
        <f t="array" ref="A1220">INDEX(Sheet1!A:A,$F1220)</f>
        <v>F</v>
      </c>
      <c r="B1220" s="4" t="str" cm="1">
        <f t="array" ref="B1220">INDEX(Sheet1!B:B,$F1220)</f>
        <v>Non-Pref NS</v>
      </c>
      <c r="C1220" s="4">
        <f t="shared" ref="C1220:C1283" si="77">IF(C1219=99,0,C1219+1)</f>
        <v>18</v>
      </c>
      <c r="D1220" s="5" cm="1">
        <f t="array" aca="1" ref="D1220" ca="1">OFFSET(INDIRECT("'["&amp;$H1220&amp;"]"&amp;$I1220&amp;"'!"&amp;$J1220),$L1220,$M1220)*$K1220</f>
        <v>4.2000000000000002E-4</v>
      </c>
      <c r="F1220" s="4">
        <f t="shared" ref="F1220:F1283" si="78">IF(C1220=0,1,0)+F1219</f>
        <v>14</v>
      </c>
      <c r="G1220" s="4" cm="1">
        <f t="array" ref="G1220">IF($C1220+$M1220&lt;16,INDEX(Sheet1!C:C,$F1220),$F1220)</f>
        <v>14</v>
      </c>
      <c r="H1220" s="4" t="str" cm="1">
        <f t="array" ref="H1220">INDEX(Sheet1!D:D,$G1220)</f>
        <v>2001-cso-preferred-class-structure-mortality-tables.xls</v>
      </c>
      <c r="I1220" s="4" t="str" cm="1">
        <f t="array" ref="I1220">INDEX(Sheet1!E:E,$G1220)</f>
        <v>A.1.b.iii</v>
      </c>
      <c r="J1220" s="4" t="str" cm="1">
        <f t="array" ref="J1220">INDEX(Sheet1!F:F,$G1220)</f>
        <v>B8</v>
      </c>
      <c r="K1220" s="4" cm="1">
        <f t="array" ref="K1220">INDEX(Sheet1!H:H,$G1220)</f>
        <v>1E-3</v>
      </c>
      <c r="L1220" s="4">
        <f t="shared" si="76"/>
        <v>18</v>
      </c>
      <c r="M1220" s="4">
        <f t="shared" ref="L1220:M1283" si="79">M$2</f>
        <v>5</v>
      </c>
    </row>
    <row r="1221" spans="1:13">
      <c r="A1221" s="4" t="str" cm="1">
        <f t="array" ref="A1221">INDEX(Sheet1!A:A,$F1221)</f>
        <v>F</v>
      </c>
      <c r="B1221" s="4" t="str" cm="1">
        <f t="array" ref="B1221">INDEX(Sheet1!B:B,$F1221)</f>
        <v>Non-Pref NS</v>
      </c>
      <c r="C1221" s="4">
        <f t="shared" si="77"/>
        <v>19</v>
      </c>
      <c r="D1221" s="5" cm="1">
        <f t="array" aca="1" ref="D1221" ca="1">OFFSET(INDIRECT("'["&amp;$H1221&amp;"]"&amp;$I1221&amp;"'!"&amp;$J1221),$L1221,$M1221)*$K1221</f>
        <v>4.2999999999999999E-4</v>
      </c>
      <c r="F1221" s="4">
        <f t="shared" si="78"/>
        <v>14</v>
      </c>
      <c r="G1221" s="4" cm="1">
        <f t="array" ref="G1221">IF($C1221+$M1221&lt;16,INDEX(Sheet1!C:C,$F1221),$F1221)</f>
        <v>14</v>
      </c>
      <c r="H1221" s="4" t="str" cm="1">
        <f t="array" ref="H1221">INDEX(Sheet1!D:D,$G1221)</f>
        <v>2001-cso-preferred-class-structure-mortality-tables.xls</v>
      </c>
      <c r="I1221" s="4" t="str" cm="1">
        <f t="array" ref="I1221">INDEX(Sheet1!E:E,$G1221)</f>
        <v>A.1.b.iii</v>
      </c>
      <c r="J1221" s="4" t="str" cm="1">
        <f t="array" ref="J1221">INDEX(Sheet1!F:F,$G1221)</f>
        <v>B8</v>
      </c>
      <c r="K1221" s="4" cm="1">
        <f t="array" ref="K1221">INDEX(Sheet1!H:H,$G1221)</f>
        <v>1E-3</v>
      </c>
      <c r="L1221" s="4">
        <f t="shared" si="76"/>
        <v>19</v>
      </c>
      <c r="M1221" s="4">
        <f t="shared" si="79"/>
        <v>5</v>
      </c>
    </row>
    <row r="1222" spans="1:13">
      <c r="A1222" s="4" t="str" cm="1">
        <f t="array" ref="A1222">INDEX(Sheet1!A:A,$F1222)</f>
        <v>F</v>
      </c>
      <c r="B1222" s="4" t="str" cm="1">
        <f t="array" ref="B1222">INDEX(Sheet1!B:B,$F1222)</f>
        <v>Non-Pref NS</v>
      </c>
      <c r="C1222" s="4">
        <f t="shared" si="77"/>
        <v>20</v>
      </c>
      <c r="D1222" s="5" cm="1">
        <f t="array" aca="1" ref="D1222" ca="1">OFFSET(INDIRECT("'["&amp;$H1222&amp;"]"&amp;$I1222&amp;"'!"&amp;$J1222),$L1222,$M1222)*$K1222</f>
        <v>4.5000000000000004E-4</v>
      </c>
      <c r="F1222" s="4">
        <f t="shared" si="78"/>
        <v>14</v>
      </c>
      <c r="G1222" s="4" cm="1">
        <f t="array" ref="G1222">IF($C1222+$M1222&lt;16,INDEX(Sheet1!C:C,$F1222),$F1222)</f>
        <v>14</v>
      </c>
      <c r="H1222" s="4" t="str" cm="1">
        <f t="array" ref="H1222">INDEX(Sheet1!D:D,$G1222)</f>
        <v>2001-cso-preferred-class-structure-mortality-tables.xls</v>
      </c>
      <c r="I1222" s="4" t="str" cm="1">
        <f t="array" ref="I1222">INDEX(Sheet1!E:E,$G1222)</f>
        <v>A.1.b.iii</v>
      </c>
      <c r="J1222" s="4" t="str" cm="1">
        <f t="array" ref="J1222">INDEX(Sheet1!F:F,$G1222)</f>
        <v>B8</v>
      </c>
      <c r="K1222" s="4" cm="1">
        <f t="array" ref="K1222">INDEX(Sheet1!H:H,$G1222)</f>
        <v>1E-3</v>
      </c>
      <c r="L1222" s="4">
        <f t="shared" si="76"/>
        <v>20</v>
      </c>
      <c r="M1222" s="4">
        <f t="shared" si="79"/>
        <v>5</v>
      </c>
    </row>
    <row r="1223" spans="1:13">
      <c r="A1223" s="4" t="str" cm="1">
        <f t="array" ref="A1223">INDEX(Sheet1!A:A,$F1223)</f>
        <v>F</v>
      </c>
      <c r="B1223" s="4" t="str" cm="1">
        <f t="array" ref="B1223">INDEX(Sheet1!B:B,$F1223)</f>
        <v>Non-Pref NS</v>
      </c>
      <c r="C1223" s="4">
        <f t="shared" si="77"/>
        <v>21</v>
      </c>
      <c r="D1223" s="5" cm="1">
        <f t="array" aca="1" ref="D1223" ca="1">OFFSET(INDIRECT("'["&amp;$H1223&amp;"]"&amp;$I1223&amp;"'!"&amp;$J1223),$L1223,$M1223)*$K1223</f>
        <v>4.6000000000000001E-4</v>
      </c>
      <c r="F1223" s="4">
        <f t="shared" si="78"/>
        <v>14</v>
      </c>
      <c r="G1223" s="4" cm="1">
        <f t="array" ref="G1223">IF($C1223+$M1223&lt;16,INDEX(Sheet1!C:C,$F1223),$F1223)</f>
        <v>14</v>
      </c>
      <c r="H1223" s="4" t="str" cm="1">
        <f t="array" ref="H1223">INDEX(Sheet1!D:D,$G1223)</f>
        <v>2001-cso-preferred-class-structure-mortality-tables.xls</v>
      </c>
      <c r="I1223" s="4" t="str" cm="1">
        <f t="array" ref="I1223">INDEX(Sheet1!E:E,$G1223)</f>
        <v>A.1.b.iii</v>
      </c>
      <c r="J1223" s="4" t="str" cm="1">
        <f t="array" ref="J1223">INDEX(Sheet1!F:F,$G1223)</f>
        <v>B8</v>
      </c>
      <c r="K1223" s="4" cm="1">
        <f t="array" ref="K1223">INDEX(Sheet1!H:H,$G1223)</f>
        <v>1E-3</v>
      </c>
      <c r="L1223" s="4">
        <f t="shared" si="76"/>
        <v>21</v>
      </c>
      <c r="M1223" s="4">
        <f t="shared" si="79"/>
        <v>5</v>
      </c>
    </row>
    <row r="1224" spans="1:13">
      <c r="A1224" s="4" t="str" cm="1">
        <f t="array" ref="A1224">INDEX(Sheet1!A:A,$F1224)</f>
        <v>F</v>
      </c>
      <c r="B1224" s="4" t="str" cm="1">
        <f t="array" ref="B1224">INDEX(Sheet1!B:B,$F1224)</f>
        <v>Non-Pref NS</v>
      </c>
      <c r="C1224" s="4">
        <f t="shared" si="77"/>
        <v>22</v>
      </c>
      <c r="D1224" s="5" cm="1">
        <f t="array" aca="1" ref="D1224" ca="1">OFFSET(INDIRECT("'["&amp;$H1224&amp;"]"&amp;$I1224&amp;"'!"&amp;$J1224),$L1224,$M1224)*$K1224</f>
        <v>4.8999999999999998E-4</v>
      </c>
      <c r="F1224" s="4">
        <f t="shared" si="78"/>
        <v>14</v>
      </c>
      <c r="G1224" s="4" cm="1">
        <f t="array" ref="G1224">IF($C1224+$M1224&lt;16,INDEX(Sheet1!C:C,$F1224),$F1224)</f>
        <v>14</v>
      </c>
      <c r="H1224" s="4" t="str" cm="1">
        <f t="array" ref="H1224">INDEX(Sheet1!D:D,$G1224)</f>
        <v>2001-cso-preferred-class-structure-mortality-tables.xls</v>
      </c>
      <c r="I1224" s="4" t="str" cm="1">
        <f t="array" ref="I1224">INDEX(Sheet1!E:E,$G1224)</f>
        <v>A.1.b.iii</v>
      </c>
      <c r="J1224" s="4" t="str" cm="1">
        <f t="array" ref="J1224">INDEX(Sheet1!F:F,$G1224)</f>
        <v>B8</v>
      </c>
      <c r="K1224" s="4" cm="1">
        <f t="array" ref="K1224">INDEX(Sheet1!H:H,$G1224)</f>
        <v>1E-3</v>
      </c>
      <c r="L1224" s="4">
        <f t="shared" si="76"/>
        <v>22</v>
      </c>
      <c r="M1224" s="4">
        <f t="shared" si="79"/>
        <v>5</v>
      </c>
    </row>
    <row r="1225" spans="1:13">
      <c r="A1225" s="4" t="str" cm="1">
        <f t="array" ref="A1225">INDEX(Sheet1!A:A,$F1225)</f>
        <v>F</v>
      </c>
      <c r="B1225" s="4" t="str" cm="1">
        <f t="array" ref="B1225">INDEX(Sheet1!B:B,$F1225)</f>
        <v>Non-Pref NS</v>
      </c>
      <c r="C1225" s="4">
        <f t="shared" si="77"/>
        <v>23</v>
      </c>
      <c r="D1225" s="5" cm="1">
        <f t="array" aca="1" ref="D1225" ca="1">OFFSET(INDIRECT("'["&amp;$H1225&amp;"]"&amp;$I1225&amp;"'!"&amp;$J1225),$L1225,$M1225)*$K1225</f>
        <v>5.1000000000000004E-4</v>
      </c>
      <c r="F1225" s="4">
        <f t="shared" si="78"/>
        <v>14</v>
      </c>
      <c r="G1225" s="4" cm="1">
        <f t="array" ref="G1225">IF($C1225+$M1225&lt;16,INDEX(Sheet1!C:C,$F1225),$F1225)</f>
        <v>14</v>
      </c>
      <c r="H1225" s="4" t="str" cm="1">
        <f t="array" ref="H1225">INDEX(Sheet1!D:D,$G1225)</f>
        <v>2001-cso-preferred-class-structure-mortality-tables.xls</v>
      </c>
      <c r="I1225" s="4" t="str" cm="1">
        <f t="array" ref="I1225">INDEX(Sheet1!E:E,$G1225)</f>
        <v>A.1.b.iii</v>
      </c>
      <c r="J1225" s="4" t="str" cm="1">
        <f t="array" ref="J1225">INDEX(Sheet1!F:F,$G1225)</f>
        <v>B8</v>
      </c>
      <c r="K1225" s="4" cm="1">
        <f t="array" ref="K1225">INDEX(Sheet1!H:H,$G1225)</f>
        <v>1E-3</v>
      </c>
      <c r="L1225" s="4">
        <f t="shared" si="76"/>
        <v>23</v>
      </c>
      <c r="M1225" s="4">
        <f t="shared" si="79"/>
        <v>5</v>
      </c>
    </row>
    <row r="1226" spans="1:13">
      <c r="A1226" s="4" t="str" cm="1">
        <f t="array" ref="A1226">INDEX(Sheet1!A:A,$F1226)</f>
        <v>F</v>
      </c>
      <c r="B1226" s="4" t="str" cm="1">
        <f t="array" ref="B1226">INDEX(Sheet1!B:B,$F1226)</f>
        <v>Non-Pref NS</v>
      </c>
      <c r="C1226" s="4">
        <f t="shared" si="77"/>
        <v>24</v>
      </c>
      <c r="D1226" s="5" cm="1">
        <f t="array" aca="1" ref="D1226" ca="1">OFFSET(INDIRECT("'["&amp;$H1226&amp;"]"&amp;$I1226&amp;"'!"&amp;$J1226),$L1226,$M1226)*$K1226</f>
        <v>5.3000000000000009E-4</v>
      </c>
      <c r="F1226" s="4">
        <f t="shared" si="78"/>
        <v>14</v>
      </c>
      <c r="G1226" s="4" cm="1">
        <f t="array" ref="G1226">IF($C1226+$M1226&lt;16,INDEX(Sheet1!C:C,$F1226),$F1226)</f>
        <v>14</v>
      </c>
      <c r="H1226" s="4" t="str" cm="1">
        <f t="array" ref="H1226">INDEX(Sheet1!D:D,$G1226)</f>
        <v>2001-cso-preferred-class-structure-mortality-tables.xls</v>
      </c>
      <c r="I1226" s="4" t="str" cm="1">
        <f t="array" ref="I1226">INDEX(Sheet1!E:E,$G1226)</f>
        <v>A.1.b.iii</v>
      </c>
      <c r="J1226" s="4" t="str" cm="1">
        <f t="array" ref="J1226">INDEX(Sheet1!F:F,$G1226)</f>
        <v>B8</v>
      </c>
      <c r="K1226" s="4" cm="1">
        <f t="array" ref="K1226">INDEX(Sheet1!H:H,$G1226)</f>
        <v>1E-3</v>
      </c>
      <c r="L1226" s="4">
        <f t="shared" si="76"/>
        <v>24</v>
      </c>
      <c r="M1226" s="4">
        <f t="shared" si="79"/>
        <v>5</v>
      </c>
    </row>
    <row r="1227" spans="1:13">
      <c r="A1227" s="4" t="str" cm="1">
        <f t="array" ref="A1227">INDEX(Sheet1!A:A,$F1227)</f>
        <v>F</v>
      </c>
      <c r="B1227" s="4" t="str" cm="1">
        <f t="array" ref="B1227">INDEX(Sheet1!B:B,$F1227)</f>
        <v>Non-Pref NS</v>
      </c>
      <c r="C1227" s="4">
        <f t="shared" si="77"/>
        <v>25</v>
      </c>
      <c r="D1227" s="5" cm="1">
        <f t="array" aca="1" ref="D1227" ca="1">OFFSET(INDIRECT("'["&amp;$H1227&amp;"]"&amp;$I1227&amp;"'!"&amp;$J1227),$L1227,$M1227)*$K1227</f>
        <v>5.6000000000000006E-4</v>
      </c>
      <c r="F1227" s="4">
        <f t="shared" si="78"/>
        <v>14</v>
      </c>
      <c r="G1227" s="4" cm="1">
        <f t="array" ref="G1227">IF($C1227+$M1227&lt;16,INDEX(Sheet1!C:C,$F1227),$F1227)</f>
        <v>14</v>
      </c>
      <c r="H1227" s="4" t="str" cm="1">
        <f t="array" ref="H1227">INDEX(Sheet1!D:D,$G1227)</f>
        <v>2001-cso-preferred-class-structure-mortality-tables.xls</v>
      </c>
      <c r="I1227" s="4" t="str" cm="1">
        <f t="array" ref="I1227">INDEX(Sheet1!E:E,$G1227)</f>
        <v>A.1.b.iii</v>
      </c>
      <c r="J1227" s="4" t="str" cm="1">
        <f t="array" ref="J1227">INDEX(Sheet1!F:F,$G1227)</f>
        <v>B8</v>
      </c>
      <c r="K1227" s="4" cm="1">
        <f t="array" ref="K1227">INDEX(Sheet1!H:H,$G1227)</f>
        <v>1E-3</v>
      </c>
      <c r="L1227" s="4">
        <f t="shared" si="76"/>
        <v>25</v>
      </c>
      <c r="M1227" s="4">
        <f t="shared" si="79"/>
        <v>5</v>
      </c>
    </row>
    <row r="1228" spans="1:13">
      <c r="A1228" s="4" t="str" cm="1">
        <f t="array" ref="A1228">INDEX(Sheet1!A:A,$F1228)</f>
        <v>F</v>
      </c>
      <c r="B1228" s="4" t="str" cm="1">
        <f t="array" ref="B1228">INDEX(Sheet1!B:B,$F1228)</f>
        <v>Non-Pref NS</v>
      </c>
      <c r="C1228" s="4">
        <f t="shared" si="77"/>
        <v>26</v>
      </c>
      <c r="D1228" s="5" cm="1">
        <f t="array" aca="1" ref="D1228" ca="1">OFFSET(INDIRECT("'["&amp;$H1228&amp;"]"&amp;$I1228&amp;"'!"&amp;$J1228),$L1228,$M1228)*$K1228</f>
        <v>5.9000000000000003E-4</v>
      </c>
      <c r="F1228" s="4">
        <f t="shared" si="78"/>
        <v>14</v>
      </c>
      <c r="G1228" s="4" cm="1">
        <f t="array" ref="G1228">IF($C1228+$M1228&lt;16,INDEX(Sheet1!C:C,$F1228),$F1228)</f>
        <v>14</v>
      </c>
      <c r="H1228" s="4" t="str" cm="1">
        <f t="array" ref="H1228">INDEX(Sheet1!D:D,$G1228)</f>
        <v>2001-cso-preferred-class-structure-mortality-tables.xls</v>
      </c>
      <c r="I1228" s="4" t="str" cm="1">
        <f t="array" ref="I1228">INDEX(Sheet1!E:E,$G1228)</f>
        <v>A.1.b.iii</v>
      </c>
      <c r="J1228" s="4" t="str" cm="1">
        <f t="array" ref="J1228">INDEX(Sheet1!F:F,$G1228)</f>
        <v>B8</v>
      </c>
      <c r="K1228" s="4" cm="1">
        <f t="array" ref="K1228">INDEX(Sheet1!H:H,$G1228)</f>
        <v>1E-3</v>
      </c>
      <c r="L1228" s="4">
        <f t="shared" si="76"/>
        <v>26</v>
      </c>
      <c r="M1228" s="4">
        <f t="shared" si="79"/>
        <v>5</v>
      </c>
    </row>
    <row r="1229" spans="1:13">
      <c r="A1229" s="4" t="str" cm="1">
        <f t="array" ref="A1229">INDEX(Sheet1!A:A,$F1229)</f>
        <v>F</v>
      </c>
      <c r="B1229" s="4" t="str" cm="1">
        <f t="array" ref="B1229">INDEX(Sheet1!B:B,$F1229)</f>
        <v>Non-Pref NS</v>
      </c>
      <c r="C1229" s="4">
        <f t="shared" si="77"/>
        <v>27</v>
      </c>
      <c r="D1229" s="5" cm="1">
        <f t="array" aca="1" ref="D1229" ca="1">OFFSET(INDIRECT("'["&amp;$H1229&amp;"]"&amp;$I1229&amp;"'!"&amp;$J1229),$L1229,$M1229)*$K1229</f>
        <v>6.2E-4</v>
      </c>
      <c r="F1229" s="4">
        <f t="shared" si="78"/>
        <v>14</v>
      </c>
      <c r="G1229" s="4" cm="1">
        <f t="array" ref="G1229">IF($C1229+$M1229&lt;16,INDEX(Sheet1!C:C,$F1229),$F1229)</f>
        <v>14</v>
      </c>
      <c r="H1229" s="4" t="str" cm="1">
        <f t="array" ref="H1229">INDEX(Sheet1!D:D,$G1229)</f>
        <v>2001-cso-preferred-class-structure-mortality-tables.xls</v>
      </c>
      <c r="I1229" s="4" t="str" cm="1">
        <f t="array" ref="I1229">INDEX(Sheet1!E:E,$G1229)</f>
        <v>A.1.b.iii</v>
      </c>
      <c r="J1229" s="4" t="str" cm="1">
        <f t="array" ref="J1229">INDEX(Sheet1!F:F,$G1229)</f>
        <v>B8</v>
      </c>
      <c r="K1229" s="4" cm="1">
        <f t="array" ref="K1229">INDEX(Sheet1!H:H,$G1229)</f>
        <v>1E-3</v>
      </c>
      <c r="L1229" s="4">
        <f t="shared" si="76"/>
        <v>27</v>
      </c>
      <c r="M1229" s="4">
        <f t="shared" si="79"/>
        <v>5</v>
      </c>
    </row>
    <row r="1230" spans="1:13">
      <c r="A1230" s="4" t="str" cm="1">
        <f t="array" ref="A1230">INDEX(Sheet1!A:A,$F1230)</f>
        <v>F</v>
      </c>
      <c r="B1230" s="4" t="str" cm="1">
        <f t="array" ref="B1230">INDEX(Sheet1!B:B,$F1230)</f>
        <v>Non-Pref NS</v>
      </c>
      <c r="C1230" s="4">
        <f t="shared" si="77"/>
        <v>28</v>
      </c>
      <c r="D1230" s="5" cm="1">
        <f t="array" aca="1" ref="D1230" ca="1">OFFSET(INDIRECT("'["&amp;$H1230&amp;"]"&amp;$I1230&amp;"'!"&amp;$J1230),$L1230,$M1230)*$K1230</f>
        <v>6.4000000000000005E-4</v>
      </c>
      <c r="F1230" s="4">
        <f t="shared" si="78"/>
        <v>14</v>
      </c>
      <c r="G1230" s="4" cm="1">
        <f t="array" ref="G1230">IF($C1230+$M1230&lt;16,INDEX(Sheet1!C:C,$F1230),$F1230)</f>
        <v>14</v>
      </c>
      <c r="H1230" s="4" t="str" cm="1">
        <f t="array" ref="H1230">INDEX(Sheet1!D:D,$G1230)</f>
        <v>2001-cso-preferred-class-structure-mortality-tables.xls</v>
      </c>
      <c r="I1230" s="4" t="str" cm="1">
        <f t="array" ref="I1230">INDEX(Sheet1!E:E,$G1230)</f>
        <v>A.1.b.iii</v>
      </c>
      <c r="J1230" s="4" t="str" cm="1">
        <f t="array" ref="J1230">INDEX(Sheet1!F:F,$G1230)</f>
        <v>B8</v>
      </c>
      <c r="K1230" s="4" cm="1">
        <f t="array" ref="K1230">INDEX(Sheet1!H:H,$G1230)</f>
        <v>1E-3</v>
      </c>
      <c r="L1230" s="4">
        <f t="shared" si="76"/>
        <v>28</v>
      </c>
      <c r="M1230" s="4">
        <f t="shared" si="79"/>
        <v>5</v>
      </c>
    </row>
    <row r="1231" spans="1:13">
      <c r="A1231" s="4" t="str" cm="1">
        <f t="array" ref="A1231">INDEX(Sheet1!A:A,$F1231)</f>
        <v>F</v>
      </c>
      <c r="B1231" s="4" t="str" cm="1">
        <f t="array" ref="B1231">INDEX(Sheet1!B:B,$F1231)</f>
        <v>Non-Pref NS</v>
      </c>
      <c r="C1231" s="4">
        <f t="shared" si="77"/>
        <v>29</v>
      </c>
      <c r="D1231" s="5" cm="1">
        <f t="array" aca="1" ref="D1231" ca="1">OFFSET(INDIRECT("'["&amp;$H1231&amp;"]"&amp;$I1231&amp;"'!"&amp;$J1231),$L1231,$M1231)*$K1231</f>
        <v>6.7000000000000002E-4</v>
      </c>
      <c r="F1231" s="4">
        <f t="shared" si="78"/>
        <v>14</v>
      </c>
      <c r="G1231" s="4" cm="1">
        <f t="array" ref="G1231">IF($C1231+$M1231&lt;16,INDEX(Sheet1!C:C,$F1231),$F1231)</f>
        <v>14</v>
      </c>
      <c r="H1231" s="4" t="str" cm="1">
        <f t="array" ref="H1231">INDEX(Sheet1!D:D,$G1231)</f>
        <v>2001-cso-preferred-class-structure-mortality-tables.xls</v>
      </c>
      <c r="I1231" s="4" t="str" cm="1">
        <f t="array" ref="I1231">INDEX(Sheet1!E:E,$G1231)</f>
        <v>A.1.b.iii</v>
      </c>
      <c r="J1231" s="4" t="str" cm="1">
        <f t="array" ref="J1231">INDEX(Sheet1!F:F,$G1231)</f>
        <v>B8</v>
      </c>
      <c r="K1231" s="4" cm="1">
        <f t="array" ref="K1231">INDEX(Sheet1!H:H,$G1231)</f>
        <v>1E-3</v>
      </c>
      <c r="L1231" s="4">
        <f t="shared" si="76"/>
        <v>29</v>
      </c>
      <c r="M1231" s="4">
        <f t="shared" si="79"/>
        <v>5</v>
      </c>
    </row>
    <row r="1232" spans="1:13">
      <c r="A1232" s="4" t="str" cm="1">
        <f t="array" ref="A1232">INDEX(Sheet1!A:A,$F1232)</f>
        <v>F</v>
      </c>
      <c r="B1232" s="4" t="str" cm="1">
        <f t="array" ref="B1232">INDEX(Sheet1!B:B,$F1232)</f>
        <v>Non-Pref NS</v>
      </c>
      <c r="C1232" s="4">
        <f t="shared" si="77"/>
        <v>30</v>
      </c>
      <c r="D1232" s="5" cm="1">
        <f t="array" aca="1" ref="D1232" ca="1">OFFSET(INDIRECT("'["&amp;$H1232&amp;"]"&amp;$I1232&amp;"'!"&amp;$J1232),$L1232,$M1232)*$K1232</f>
        <v>6.9999999999999999E-4</v>
      </c>
      <c r="F1232" s="4">
        <f t="shared" si="78"/>
        <v>14</v>
      </c>
      <c r="G1232" s="4" cm="1">
        <f t="array" ref="G1232">IF($C1232+$M1232&lt;16,INDEX(Sheet1!C:C,$F1232),$F1232)</f>
        <v>14</v>
      </c>
      <c r="H1232" s="4" t="str" cm="1">
        <f t="array" ref="H1232">INDEX(Sheet1!D:D,$G1232)</f>
        <v>2001-cso-preferred-class-structure-mortality-tables.xls</v>
      </c>
      <c r="I1232" s="4" t="str" cm="1">
        <f t="array" ref="I1232">INDEX(Sheet1!E:E,$G1232)</f>
        <v>A.1.b.iii</v>
      </c>
      <c r="J1232" s="4" t="str" cm="1">
        <f t="array" ref="J1232">INDEX(Sheet1!F:F,$G1232)</f>
        <v>B8</v>
      </c>
      <c r="K1232" s="4" cm="1">
        <f t="array" ref="K1232">INDEX(Sheet1!H:H,$G1232)</f>
        <v>1E-3</v>
      </c>
      <c r="L1232" s="4">
        <f t="shared" si="76"/>
        <v>30</v>
      </c>
      <c r="M1232" s="4">
        <f t="shared" si="79"/>
        <v>5</v>
      </c>
    </row>
    <row r="1233" spans="1:13">
      <c r="A1233" s="4" t="str" cm="1">
        <f t="array" ref="A1233">INDEX(Sheet1!A:A,$F1233)</f>
        <v>F</v>
      </c>
      <c r="B1233" s="4" t="str" cm="1">
        <f t="array" ref="B1233">INDEX(Sheet1!B:B,$F1233)</f>
        <v>Non-Pref NS</v>
      </c>
      <c r="C1233" s="4">
        <f t="shared" si="77"/>
        <v>31</v>
      </c>
      <c r="D1233" s="5" cm="1">
        <f t="array" aca="1" ref="D1233" ca="1">OFFSET(INDIRECT("'["&amp;$H1233&amp;"]"&amp;$I1233&amp;"'!"&amp;$J1233),$L1233,$M1233)*$K1233</f>
        <v>7.1999999999999994E-4</v>
      </c>
      <c r="F1233" s="4">
        <f t="shared" si="78"/>
        <v>14</v>
      </c>
      <c r="G1233" s="4" cm="1">
        <f t="array" ref="G1233">IF($C1233+$M1233&lt;16,INDEX(Sheet1!C:C,$F1233),$F1233)</f>
        <v>14</v>
      </c>
      <c r="H1233" s="4" t="str" cm="1">
        <f t="array" ref="H1233">INDEX(Sheet1!D:D,$G1233)</f>
        <v>2001-cso-preferred-class-structure-mortality-tables.xls</v>
      </c>
      <c r="I1233" s="4" t="str" cm="1">
        <f t="array" ref="I1233">INDEX(Sheet1!E:E,$G1233)</f>
        <v>A.1.b.iii</v>
      </c>
      <c r="J1233" s="4" t="str" cm="1">
        <f t="array" ref="J1233">INDEX(Sheet1!F:F,$G1233)</f>
        <v>B8</v>
      </c>
      <c r="K1233" s="4" cm="1">
        <f t="array" ref="K1233">INDEX(Sheet1!H:H,$G1233)</f>
        <v>1E-3</v>
      </c>
      <c r="L1233" s="4">
        <f t="shared" si="76"/>
        <v>31</v>
      </c>
      <c r="M1233" s="4">
        <f t="shared" si="79"/>
        <v>5</v>
      </c>
    </row>
    <row r="1234" spans="1:13">
      <c r="A1234" s="4" t="str" cm="1">
        <f t="array" ref="A1234">INDEX(Sheet1!A:A,$F1234)</f>
        <v>F</v>
      </c>
      <c r="B1234" s="4" t="str" cm="1">
        <f t="array" ref="B1234">INDEX(Sheet1!B:B,$F1234)</f>
        <v>Non-Pref NS</v>
      </c>
      <c r="C1234" s="4">
        <f t="shared" si="77"/>
        <v>32</v>
      </c>
      <c r="D1234" s="5" cm="1">
        <f t="array" aca="1" ref="D1234" ca="1">OFFSET(INDIRECT("'["&amp;$H1234&amp;"]"&amp;$I1234&amp;"'!"&amp;$J1234),$L1234,$M1234)*$K1234</f>
        <v>7.6000000000000004E-4</v>
      </c>
      <c r="F1234" s="4">
        <f t="shared" si="78"/>
        <v>14</v>
      </c>
      <c r="G1234" s="4" cm="1">
        <f t="array" ref="G1234">IF($C1234+$M1234&lt;16,INDEX(Sheet1!C:C,$F1234),$F1234)</f>
        <v>14</v>
      </c>
      <c r="H1234" s="4" t="str" cm="1">
        <f t="array" ref="H1234">INDEX(Sheet1!D:D,$G1234)</f>
        <v>2001-cso-preferred-class-structure-mortality-tables.xls</v>
      </c>
      <c r="I1234" s="4" t="str" cm="1">
        <f t="array" ref="I1234">INDEX(Sheet1!E:E,$G1234)</f>
        <v>A.1.b.iii</v>
      </c>
      <c r="J1234" s="4" t="str" cm="1">
        <f t="array" ref="J1234">INDEX(Sheet1!F:F,$G1234)</f>
        <v>B8</v>
      </c>
      <c r="K1234" s="4" cm="1">
        <f t="array" ref="K1234">INDEX(Sheet1!H:H,$G1234)</f>
        <v>1E-3</v>
      </c>
      <c r="L1234" s="4">
        <f t="shared" si="76"/>
        <v>32</v>
      </c>
      <c r="M1234" s="4">
        <f t="shared" si="79"/>
        <v>5</v>
      </c>
    </row>
    <row r="1235" spans="1:13">
      <c r="A1235" s="4" t="str" cm="1">
        <f t="array" ref="A1235">INDEX(Sheet1!A:A,$F1235)</f>
        <v>F</v>
      </c>
      <c r="B1235" s="4" t="str" cm="1">
        <f t="array" ref="B1235">INDEX(Sheet1!B:B,$F1235)</f>
        <v>Non-Pref NS</v>
      </c>
      <c r="C1235" s="4">
        <f t="shared" si="77"/>
        <v>33</v>
      </c>
      <c r="D1235" s="5" cm="1">
        <f t="array" aca="1" ref="D1235" ca="1">OFFSET(INDIRECT("'["&amp;$H1235&amp;"]"&amp;$I1235&amp;"'!"&amp;$J1235),$L1235,$M1235)*$K1235</f>
        <v>8.1000000000000006E-4</v>
      </c>
      <c r="F1235" s="4">
        <f t="shared" si="78"/>
        <v>14</v>
      </c>
      <c r="G1235" s="4" cm="1">
        <f t="array" ref="G1235">IF($C1235+$M1235&lt;16,INDEX(Sheet1!C:C,$F1235),$F1235)</f>
        <v>14</v>
      </c>
      <c r="H1235" s="4" t="str" cm="1">
        <f t="array" ref="H1235">INDEX(Sheet1!D:D,$G1235)</f>
        <v>2001-cso-preferred-class-structure-mortality-tables.xls</v>
      </c>
      <c r="I1235" s="4" t="str" cm="1">
        <f t="array" ref="I1235">INDEX(Sheet1!E:E,$G1235)</f>
        <v>A.1.b.iii</v>
      </c>
      <c r="J1235" s="4" t="str" cm="1">
        <f t="array" ref="J1235">INDEX(Sheet1!F:F,$G1235)</f>
        <v>B8</v>
      </c>
      <c r="K1235" s="4" cm="1">
        <f t="array" ref="K1235">INDEX(Sheet1!H:H,$G1235)</f>
        <v>1E-3</v>
      </c>
      <c r="L1235" s="4">
        <f t="shared" si="76"/>
        <v>33</v>
      </c>
      <c r="M1235" s="4">
        <f t="shared" si="79"/>
        <v>5</v>
      </c>
    </row>
    <row r="1236" spans="1:13">
      <c r="A1236" s="4" t="str" cm="1">
        <f t="array" ref="A1236">INDEX(Sheet1!A:A,$F1236)</f>
        <v>F</v>
      </c>
      <c r="B1236" s="4" t="str" cm="1">
        <f t="array" ref="B1236">INDEX(Sheet1!B:B,$F1236)</f>
        <v>Non-Pref NS</v>
      </c>
      <c r="C1236" s="4">
        <f t="shared" si="77"/>
        <v>34</v>
      </c>
      <c r="D1236" s="5" cm="1">
        <f t="array" aca="1" ref="D1236" ca="1">OFFSET(INDIRECT("'["&amp;$H1236&amp;"]"&amp;$I1236&amp;"'!"&amp;$J1236),$L1236,$M1236)*$K1236</f>
        <v>8.5999999999999998E-4</v>
      </c>
      <c r="F1236" s="4">
        <f t="shared" si="78"/>
        <v>14</v>
      </c>
      <c r="G1236" s="4" cm="1">
        <f t="array" ref="G1236">IF($C1236+$M1236&lt;16,INDEX(Sheet1!C:C,$F1236),$F1236)</f>
        <v>14</v>
      </c>
      <c r="H1236" s="4" t="str" cm="1">
        <f t="array" ref="H1236">INDEX(Sheet1!D:D,$G1236)</f>
        <v>2001-cso-preferred-class-structure-mortality-tables.xls</v>
      </c>
      <c r="I1236" s="4" t="str" cm="1">
        <f t="array" ref="I1236">INDEX(Sheet1!E:E,$G1236)</f>
        <v>A.1.b.iii</v>
      </c>
      <c r="J1236" s="4" t="str" cm="1">
        <f t="array" ref="J1236">INDEX(Sheet1!F:F,$G1236)</f>
        <v>B8</v>
      </c>
      <c r="K1236" s="4" cm="1">
        <f t="array" ref="K1236">INDEX(Sheet1!H:H,$G1236)</f>
        <v>1E-3</v>
      </c>
      <c r="L1236" s="4">
        <f t="shared" si="76"/>
        <v>34</v>
      </c>
      <c r="M1236" s="4">
        <f t="shared" si="79"/>
        <v>5</v>
      </c>
    </row>
    <row r="1237" spans="1:13">
      <c r="A1237" s="4" t="str" cm="1">
        <f t="array" ref="A1237">INDEX(Sheet1!A:A,$F1237)</f>
        <v>F</v>
      </c>
      <c r="B1237" s="4" t="str" cm="1">
        <f t="array" ref="B1237">INDEX(Sheet1!B:B,$F1237)</f>
        <v>Non-Pref NS</v>
      </c>
      <c r="C1237" s="4">
        <f t="shared" si="77"/>
        <v>35</v>
      </c>
      <c r="D1237" s="5" cm="1">
        <f t="array" aca="1" ref="D1237" ca="1">OFFSET(INDIRECT("'["&amp;$H1237&amp;"]"&amp;$I1237&amp;"'!"&amp;$J1237),$L1237,$M1237)*$K1237</f>
        <v>9.1E-4</v>
      </c>
      <c r="F1237" s="4">
        <f t="shared" si="78"/>
        <v>14</v>
      </c>
      <c r="G1237" s="4" cm="1">
        <f t="array" ref="G1237">IF($C1237+$M1237&lt;16,INDEX(Sheet1!C:C,$F1237),$F1237)</f>
        <v>14</v>
      </c>
      <c r="H1237" s="4" t="str" cm="1">
        <f t="array" ref="H1237">INDEX(Sheet1!D:D,$G1237)</f>
        <v>2001-cso-preferred-class-structure-mortality-tables.xls</v>
      </c>
      <c r="I1237" s="4" t="str" cm="1">
        <f t="array" ref="I1237">INDEX(Sheet1!E:E,$G1237)</f>
        <v>A.1.b.iii</v>
      </c>
      <c r="J1237" s="4" t="str" cm="1">
        <f t="array" ref="J1237">INDEX(Sheet1!F:F,$G1237)</f>
        <v>B8</v>
      </c>
      <c r="K1237" s="4" cm="1">
        <f t="array" ref="K1237">INDEX(Sheet1!H:H,$G1237)</f>
        <v>1E-3</v>
      </c>
      <c r="L1237" s="4">
        <f t="shared" si="76"/>
        <v>35</v>
      </c>
      <c r="M1237" s="4">
        <f t="shared" si="79"/>
        <v>5</v>
      </c>
    </row>
    <row r="1238" spans="1:13">
      <c r="A1238" s="4" t="str" cm="1">
        <f t="array" ref="A1238">INDEX(Sheet1!A:A,$F1238)</f>
        <v>F</v>
      </c>
      <c r="B1238" s="4" t="str" cm="1">
        <f t="array" ref="B1238">INDEX(Sheet1!B:B,$F1238)</f>
        <v>Non-Pref NS</v>
      </c>
      <c r="C1238" s="4">
        <f t="shared" si="77"/>
        <v>36</v>
      </c>
      <c r="D1238" s="5" cm="1">
        <f t="array" aca="1" ref="D1238" ca="1">OFFSET(INDIRECT("'["&amp;$H1238&amp;"]"&amp;$I1238&amp;"'!"&amp;$J1238),$L1238,$M1238)*$K1238</f>
        <v>9.8999999999999999E-4</v>
      </c>
      <c r="F1238" s="4">
        <f t="shared" si="78"/>
        <v>14</v>
      </c>
      <c r="G1238" s="4" cm="1">
        <f t="array" ref="G1238">IF($C1238+$M1238&lt;16,INDEX(Sheet1!C:C,$F1238),$F1238)</f>
        <v>14</v>
      </c>
      <c r="H1238" s="4" t="str" cm="1">
        <f t="array" ref="H1238">INDEX(Sheet1!D:D,$G1238)</f>
        <v>2001-cso-preferred-class-structure-mortality-tables.xls</v>
      </c>
      <c r="I1238" s="4" t="str" cm="1">
        <f t="array" ref="I1238">INDEX(Sheet1!E:E,$G1238)</f>
        <v>A.1.b.iii</v>
      </c>
      <c r="J1238" s="4" t="str" cm="1">
        <f t="array" ref="J1238">INDEX(Sheet1!F:F,$G1238)</f>
        <v>B8</v>
      </c>
      <c r="K1238" s="4" cm="1">
        <f t="array" ref="K1238">INDEX(Sheet1!H:H,$G1238)</f>
        <v>1E-3</v>
      </c>
      <c r="L1238" s="4">
        <f t="shared" si="76"/>
        <v>36</v>
      </c>
      <c r="M1238" s="4">
        <f t="shared" si="79"/>
        <v>5</v>
      </c>
    </row>
    <row r="1239" spans="1:13">
      <c r="A1239" s="4" t="str" cm="1">
        <f t="array" ref="A1239">INDEX(Sheet1!A:A,$F1239)</f>
        <v>F</v>
      </c>
      <c r="B1239" s="4" t="str" cm="1">
        <f t="array" ref="B1239">INDEX(Sheet1!B:B,$F1239)</f>
        <v>Non-Pref NS</v>
      </c>
      <c r="C1239" s="4">
        <f t="shared" si="77"/>
        <v>37</v>
      </c>
      <c r="D1239" s="5" cm="1">
        <f t="array" aca="1" ref="D1239" ca="1">OFFSET(INDIRECT("'["&amp;$H1239&amp;"]"&amp;$I1239&amp;"'!"&amp;$J1239),$L1239,$M1239)*$K1239</f>
        <v>1.08E-3</v>
      </c>
      <c r="F1239" s="4">
        <f t="shared" si="78"/>
        <v>14</v>
      </c>
      <c r="G1239" s="4" cm="1">
        <f t="array" ref="G1239">IF($C1239+$M1239&lt;16,INDEX(Sheet1!C:C,$F1239),$F1239)</f>
        <v>14</v>
      </c>
      <c r="H1239" s="4" t="str" cm="1">
        <f t="array" ref="H1239">INDEX(Sheet1!D:D,$G1239)</f>
        <v>2001-cso-preferred-class-structure-mortality-tables.xls</v>
      </c>
      <c r="I1239" s="4" t="str" cm="1">
        <f t="array" ref="I1239">INDEX(Sheet1!E:E,$G1239)</f>
        <v>A.1.b.iii</v>
      </c>
      <c r="J1239" s="4" t="str" cm="1">
        <f t="array" ref="J1239">INDEX(Sheet1!F:F,$G1239)</f>
        <v>B8</v>
      </c>
      <c r="K1239" s="4" cm="1">
        <f t="array" ref="K1239">INDEX(Sheet1!H:H,$G1239)</f>
        <v>1E-3</v>
      </c>
      <c r="L1239" s="4">
        <f t="shared" si="76"/>
        <v>37</v>
      </c>
      <c r="M1239" s="4">
        <f t="shared" si="79"/>
        <v>5</v>
      </c>
    </row>
    <row r="1240" spans="1:13">
      <c r="A1240" s="4" t="str" cm="1">
        <f t="array" ref="A1240">INDEX(Sheet1!A:A,$F1240)</f>
        <v>F</v>
      </c>
      <c r="B1240" s="4" t="str" cm="1">
        <f t="array" ref="B1240">INDEX(Sheet1!B:B,$F1240)</f>
        <v>Non-Pref NS</v>
      </c>
      <c r="C1240" s="4">
        <f t="shared" si="77"/>
        <v>38</v>
      </c>
      <c r="D1240" s="5" cm="1">
        <f t="array" aca="1" ref="D1240" ca="1">OFFSET(INDIRECT("'["&amp;$H1240&amp;"]"&amp;$I1240&amp;"'!"&amp;$J1240),$L1240,$M1240)*$K1240</f>
        <v>1.16E-3</v>
      </c>
      <c r="F1240" s="4">
        <f t="shared" si="78"/>
        <v>14</v>
      </c>
      <c r="G1240" s="4" cm="1">
        <f t="array" ref="G1240">IF($C1240+$M1240&lt;16,INDEX(Sheet1!C:C,$F1240),$F1240)</f>
        <v>14</v>
      </c>
      <c r="H1240" s="4" t="str" cm="1">
        <f t="array" ref="H1240">INDEX(Sheet1!D:D,$G1240)</f>
        <v>2001-cso-preferred-class-structure-mortality-tables.xls</v>
      </c>
      <c r="I1240" s="4" t="str" cm="1">
        <f t="array" ref="I1240">INDEX(Sheet1!E:E,$G1240)</f>
        <v>A.1.b.iii</v>
      </c>
      <c r="J1240" s="4" t="str" cm="1">
        <f t="array" ref="J1240">INDEX(Sheet1!F:F,$G1240)</f>
        <v>B8</v>
      </c>
      <c r="K1240" s="4" cm="1">
        <f t="array" ref="K1240">INDEX(Sheet1!H:H,$G1240)</f>
        <v>1E-3</v>
      </c>
      <c r="L1240" s="4">
        <f t="shared" si="76"/>
        <v>38</v>
      </c>
      <c r="M1240" s="4">
        <f t="shared" si="79"/>
        <v>5</v>
      </c>
    </row>
    <row r="1241" spans="1:13">
      <c r="A1241" s="4" t="str" cm="1">
        <f t="array" ref="A1241">INDEX(Sheet1!A:A,$F1241)</f>
        <v>F</v>
      </c>
      <c r="B1241" s="4" t="str" cm="1">
        <f t="array" ref="B1241">INDEX(Sheet1!B:B,$F1241)</f>
        <v>Non-Pref NS</v>
      </c>
      <c r="C1241" s="4">
        <f t="shared" si="77"/>
        <v>39</v>
      </c>
      <c r="D1241" s="5" cm="1">
        <f t="array" aca="1" ref="D1241" ca="1">OFFSET(INDIRECT("'["&amp;$H1241&amp;"]"&amp;$I1241&amp;"'!"&amp;$J1241),$L1241,$M1241)*$K1241</f>
        <v>1.2700000000000001E-3</v>
      </c>
      <c r="F1241" s="4">
        <f t="shared" si="78"/>
        <v>14</v>
      </c>
      <c r="G1241" s="4" cm="1">
        <f t="array" ref="G1241">IF($C1241+$M1241&lt;16,INDEX(Sheet1!C:C,$F1241),$F1241)</f>
        <v>14</v>
      </c>
      <c r="H1241" s="4" t="str" cm="1">
        <f t="array" ref="H1241">INDEX(Sheet1!D:D,$G1241)</f>
        <v>2001-cso-preferred-class-structure-mortality-tables.xls</v>
      </c>
      <c r="I1241" s="4" t="str" cm="1">
        <f t="array" ref="I1241">INDEX(Sheet1!E:E,$G1241)</f>
        <v>A.1.b.iii</v>
      </c>
      <c r="J1241" s="4" t="str" cm="1">
        <f t="array" ref="J1241">INDEX(Sheet1!F:F,$G1241)</f>
        <v>B8</v>
      </c>
      <c r="K1241" s="4" cm="1">
        <f t="array" ref="K1241">INDEX(Sheet1!H:H,$G1241)</f>
        <v>1E-3</v>
      </c>
      <c r="L1241" s="4">
        <f t="shared" si="76"/>
        <v>39</v>
      </c>
      <c r="M1241" s="4">
        <f t="shared" si="79"/>
        <v>5</v>
      </c>
    </row>
    <row r="1242" spans="1:13">
      <c r="A1242" s="4" t="str" cm="1">
        <f t="array" ref="A1242">INDEX(Sheet1!A:A,$F1242)</f>
        <v>F</v>
      </c>
      <c r="B1242" s="4" t="str" cm="1">
        <f t="array" ref="B1242">INDEX(Sheet1!B:B,$F1242)</f>
        <v>Non-Pref NS</v>
      </c>
      <c r="C1242" s="4">
        <f t="shared" si="77"/>
        <v>40</v>
      </c>
      <c r="D1242" s="5" cm="1">
        <f t="array" aca="1" ref="D1242" ca="1">OFFSET(INDIRECT("'["&amp;$H1242&amp;"]"&amp;$I1242&amp;"'!"&amp;$J1242),$L1242,$M1242)*$K1242</f>
        <v>1.4E-3</v>
      </c>
      <c r="F1242" s="4">
        <f t="shared" si="78"/>
        <v>14</v>
      </c>
      <c r="G1242" s="4" cm="1">
        <f t="array" ref="G1242">IF($C1242+$M1242&lt;16,INDEX(Sheet1!C:C,$F1242),$F1242)</f>
        <v>14</v>
      </c>
      <c r="H1242" s="4" t="str" cm="1">
        <f t="array" ref="H1242">INDEX(Sheet1!D:D,$G1242)</f>
        <v>2001-cso-preferred-class-structure-mortality-tables.xls</v>
      </c>
      <c r="I1242" s="4" t="str" cm="1">
        <f t="array" ref="I1242">INDEX(Sheet1!E:E,$G1242)</f>
        <v>A.1.b.iii</v>
      </c>
      <c r="J1242" s="4" t="str" cm="1">
        <f t="array" ref="J1242">INDEX(Sheet1!F:F,$G1242)</f>
        <v>B8</v>
      </c>
      <c r="K1242" s="4" cm="1">
        <f t="array" ref="K1242">INDEX(Sheet1!H:H,$G1242)</f>
        <v>1E-3</v>
      </c>
      <c r="L1242" s="4">
        <f t="shared" si="76"/>
        <v>40</v>
      </c>
      <c r="M1242" s="4">
        <f t="shared" si="79"/>
        <v>5</v>
      </c>
    </row>
    <row r="1243" spans="1:13">
      <c r="A1243" s="4" t="str" cm="1">
        <f t="array" ref="A1243">INDEX(Sheet1!A:A,$F1243)</f>
        <v>F</v>
      </c>
      <c r="B1243" s="4" t="str" cm="1">
        <f t="array" ref="B1243">INDEX(Sheet1!B:B,$F1243)</f>
        <v>Non-Pref NS</v>
      </c>
      <c r="C1243" s="4">
        <f t="shared" si="77"/>
        <v>41</v>
      </c>
      <c r="D1243" s="5" cm="1">
        <f t="array" aca="1" ref="D1243" ca="1">OFFSET(INDIRECT("'["&amp;$H1243&amp;"]"&amp;$I1243&amp;"'!"&amp;$J1243),$L1243,$M1243)*$K1243</f>
        <v>1.5500000000000002E-3</v>
      </c>
      <c r="F1243" s="4">
        <f t="shared" si="78"/>
        <v>14</v>
      </c>
      <c r="G1243" s="4" cm="1">
        <f t="array" ref="G1243">IF($C1243+$M1243&lt;16,INDEX(Sheet1!C:C,$F1243),$F1243)</f>
        <v>14</v>
      </c>
      <c r="H1243" s="4" t="str" cm="1">
        <f t="array" ref="H1243">INDEX(Sheet1!D:D,$G1243)</f>
        <v>2001-cso-preferred-class-structure-mortality-tables.xls</v>
      </c>
      <c r="I1243" s="4" t="str" cm="1">
        <f t="array" ref="I1243">INDEX(Sheet1!E:E,$G1243)</f>
        <v>A.1.b.iii</v>
      </c>
      <c r="J1243" s="4" t="str" cm="1">
        <f t="array" ref="J1243">INDEX(Sheet1!F:F,$G1243)</f>
        <v>B8</v>
      </c>
      <c r="K1243" s="4" cm="1">
        <f t="array" ref="K1243">INDEX(Sheet1!H:H,$G1243)</f>
        <v>1E-3</v>
      </c>
      <c r="L1243" s="4">
        <f t="shared" si="76"/>
        <v>41</v>
      </c>
      <c r="M1243" s="4">
        <f t="shared" si="79"/>
        <v>5</v>
      </c>
    </row>
    <row r="1244" spans="1:13">
      <c r="A1244" s="4" t="str" cm="1">
        <f t="array" ref="A1244">INDEX(Sheet1!A:A,$F1244)</f>
        <v>F</v>
      </c>
      <c r="B1244" s="4" t="str" cm="1">
        <f t="array" ref="B1244">INDEX(Sheet1!B:B,$F1244)</f>
        <v>Non-Pref NS</v>
      </c>
      <c r="C1244" s="4">
        <f t="shared" si="77"/>
        <v>42</v>
      </c>
      <c r="D1244" s="5" cm="1">
        <f t="array" aca="1" ref="D1244" ca="1">OFFSET(INDIRECT("'["&amp;$H1244&amp;"]"&amp;$I1244&amp;"'!"&amp;$J1244),$L1244,$M1244)*$K1244</f>
        <v>1.6899999999999999E-3</v>
      </c>
      <c r="F1244" s="4">
        <f t="shared" si="78"/>
        <v>14</v>
      </c>
      <c r="G1244" s="4" cm="1">
        <f t="array" ref="G1244">IF($C1244+$M1244&lt;16,INDEX(Sheet1!C:C,$F1244),$F1244)</f>
        <v>14</v>
      </c>
      <c r="H1244" s="4" t="str" cm="1">
        <f t="array" ref="H1244">INDEX(Sheet1!D:D,$G1244)</f>
        <v>2001-cso-preferred-class-structure-mortality-tables.xls</v>
      </c>
      <c r="I1244" s="4" t="str" cm="1">
        <f t="array" ref="I1244">INDEX(Sheet1!E:E,$G1244)</f>
        <v>A.1.b.iii</v>
      </c>
      <c r="J1244" s="4" t="str" cm="1">
        <f t="array" ref="J1244">INDEX(Sheet1!F:F,$G1244)</f>
        <v>B8</v>
      </c>
      <c r="K1244" s="4" cm="1">
        <f t="array" ref="K1244">INDEX(Sheet1!H:H,$G1244)</f>
        <v>1E-3</v>
      </c>
      <c r="L1244" s="4">
        <f t="shared" si="76"/>
        <v>42</v>
      </c>
      <c r="M1244" s="4">
        <f t="shared" si="79"/>
        <v>5</v>
      </c>
    </row>
    <row r="1245" spans="1:13">
      <c r="A1245" s="4" t="str" cm="1">
        <f t="array" ref="A1245">INDEX(Sheet1!A:A,$F1245)</f>
        <v>F</v>
      </c>
      <c r="B1245" s="4" t="str" cm="1">
        <f t="array" ref="B1245">INDEX(Sheet1!B:B,$F1245)</f>
        <v>Non-Pref NS</v>
      </c>
      <c r="C1245" s="4">
        <f t="shared" si="77"/>
        <v>43</v>
      </c>
      <c r="D1245" s="5" cm="1">
        <f t="array" aca="1" ref="D1245" ca="1">OFFSET(INDIRECT("'["&amp;$H1245&amp;"]"&amp;$I1245&amp;"'!"&amp;$J1245),$L1245,$M1245)*$K1245</f>
        <v>1.89E-3</v>
      </c>
      <c r="F1245" s="4">
        <f t="shared" si="78"/>
        <v>14</v>
      </c>
      <c r="G1245" s="4" cm="1">
        <f t="array" ref="G1245">IF($C1245+$M1245&lt;16,INDEX(Sheet1!C:C,$F1245),$F1245)</f>
        <v>14</v>
      </c>
      <c r="H1245" s="4" t="str" cm="1">
        <f t="array" ref="H1245">INDEX(Sheet1!D:D,$G1245)</f>
        <v>2001-cso-preferred-class-structure-mortality-tables.xls</v>
      </c>
      <c r="I1245" s="4" t="str" cm="1">
        <f t="array" ref="I1245">INDEX(Sheet1!E:E,$G1245)</f>
        <v>A.1.b.iii</v>
      </c>
      <c r="J1245" s="4" t="str" cm="1">
        <f t="array" ref="J1245">INDEX(Sheet1!F:F,$G1245)</f>
        <v>B8</v>
      </c>
      <c r="K1245" s="4" cm="1">
        <f t="array" ref="K1245">INDEX(Sheet1!H:H,$G1245)</f>
        <v>1E-3</v>
      </c>
      <c r="L1245" s="4">
        <f t="shared" si="76"/>
        <v>43</v>
      </c>
      <c r="M1245" s="4">
        <f t="shared" si="79"/>
        <v>5</v>
      </c>
    </row>
    <row r="1246" spans="1:13">
      <c r="A1246" s="4" t="str" cm="1">
        <f t="array" ref="A1246">INDEX(Sheet1!A:A,$F1246)</f>
        <v>F</v>
      </c>
      <c r="B1246" s="4" t="str" cm="1">
        <f t="array" ref="B1246">INDEX(Sheet1!B:B,$F1246)</f>
        <v>Non-Pref NS</v>
      </c>
      <c r="C1246" s="4">
        <f t="shared" si="77"/>
        <v>44</v>
      </c>
      <c r="D1246" s="5" cm="1">
        <f t="array" aca="1" ref="D1246" ca="1">OFFSET(INDIRECT("'["&amp;$H1246&amp;"]"&amp;$I1246&amp;"'!"&amp;$J1246),$L1246,$M1246)*$K1246</f>
        <v>2.0899999999999998E-3</v>
      </c>
      <c r="F1246" s="4">
        <f t="shared" si="78"/>
        <v>14</v>
      </c>
      <c r="G1246" s="4" cm="1">
        <f t="array" ref="G1246">IF($C1246+$M1246&lt;16,INDEX(Sheet1!C:C,$F1246),$F1246)</f>
        <v>14</v>
      </c>
      <c r="H1246" s="4" t="str" cm="1">
        <f t="array" ref="H1246">INDEX(Sheet1!D:D,$G1246)</f>
        <v>2001-cso-preferred-class-structure-mortality-tables.xls</v>
      </c>
      <c r="I1246" s="4" t="str" cm="1">
        <f t="array" ref="I1246">INDEX(Sheet1!E:E,$G1246)</f>
        <v>A.1.b.iii</v>
      </c>
      <c r="J1246" s="4" t="str" cm="1">
        <f t="array" ref="J1246">INDEX(Sheet1!F:F,$G1246)</f>
        <v>B8</v>
      </c>
      <c r="K1246" s="4" cm="1">
        <f t="array" ref="K1246">INDEX(Sheet1!H:H,$G1246)</f>
        <v>1E-3</v>
      </c>
      <c r="L1246" s="4">
        <f t="shared" si="76"/>
        <v>44</v>
      </c>
      <c r="M1246" s="4">
        <f t="shared" si="79"/>
        <v>5</v>
      </c>
    </row>
    <row r="1247" spans="1:13">
      <c r="A1247" s="4" t="str" cm="1">
        <f t="array" ref="A1247">INDEX(Sheet1!A:A,$F1247)</f>
        <v>F</v>
      </c>
      <c r="B1247" s="4" t="str" cm="1">
        <f t="array" ref="B1247">INDEX(Sheet1!B:B,$F1247)</f>
        <v>Non-Pref NS</v>
      </c>
      <c r="C1247" s="4">
        <f t="shared" si="77"/>
        <v>45</v>
      </c>
      <c r="D1247" s="5" cm="1">
        <f t="array" aca="1" ref="D1247" ca="1">OFFSET(INDIRECT("'["&amp;$H1247&amp;"]"&amp;$I1247&amp;"'!"&amp;$J1247),$L1247,$M1247)*$K1247</f>
        <v>2.31E-3</v>
      </c>
      <c r="F1247" s="4">
        <f t="shared" si="78"/>
        <v>14</v>
      </c>
      <c r="G1247" s="4" cm="1">
        <f t="array" ref="G1247">IF($C1247+$M1247&lt;16,INDEX(Sheet1!C:C,$F1247),$F1247)</f>
        <v>14</v>
      </c>
      <c r="H1247" s="4" t="str" cm="1">
        <f t="array" ref="H1247">INDEX(Sheet1!D:D,$G1247)</f>
        <v>2001-cso-preferred-class-structure-mortality-tables.xls</v>
      </c>
      <c r="I1247" s="4" t="str" cm="1">
        <f t="array" ref="I1247">INDEX(Sheet1!E:E,$G1247)</f>
        <v>A.1.b.iii</v>
      </c>
      <c r="J1247" s="4" t="str" cm="1">
        <f t="array" ref="J1247">INDEX(Sheet1!F:F,$G1247)</f>
        <v>B8</v>
      </c>
      <c r="K1247" s="4" cm="1">
        <f t="array" ref="K1247">INDEX(Sheet1!H:H,$G1247)</f>
        <v>1E-3</v>
      </c>
      <c r="L1247" s="4">
        <f t="shared" si="76"/>
        <v>45</v>
      </c>
      <c r="M1247" s="4">
        <f t="shared" si="79"/>
        <v>5</v>
      </c>
    </row>
    <row r="1248" spans="1:13">
      <c r="A1248" s="4" t="str" cm="1">
        <f t="array" ref="A1248">INDEX(Sheet1!A:A,$F1248)</f>
        <v>F</v>
      </c>
      <c r="B1248" s="4" t="str" cm="1">
        <f t="array" ref="B1248">INDEX(Sheet1!B:B,$F1248)</f>
        <v>Non-Pref NS</v>
      </c>
      <c r="C1248" s="4">
        <f t="shared" si="77"/>
        <v>46</v>
      </c>
      <c r="D1248" s="5" cm="1">
        <f t="array" aca="1" ref="D1248" ca="1">OFFSET(INDIRECT("'["&amp;$H1248&amp;"]"&amp;$I1248&amp;"'!"&amp;$J1248),$L1248,$M1248)*$K1248</f>
        <v>2.5400000000000002E-3</v>
      </c>
      <c r="F1248" s="4">
        <f t="shared" si="78"/>
        <v>14</v>
      </c>
      <c r="G1248" s="4" cm="1">
        <f t="array" ref="G1248">IF($C1248+$M1248&lt;16,INDEX(Sheet1!C:C,$F1248),$F1248)</f>
        <v>14</v>
      </c>
      <c r="H1248" s="4" t="str" cm="1">
        <f t="array" ref="H1248">INDEX(Sheet1!D:D,$G1248)</f>
        <v>2001-cso-preferred-class-structure-mortality-tables.xls</v>
      </c>
      <c r="I1248" s="4" t="str" cm="1">
        <f t="array" ref="I1248">INDEX(Sheet1!E:E,$G1248)</f>
        <v>A.1.b.iii</v>
      </c>
      <c r="J1248" s="4" t="str" cm="1">
        <f t="array" ref="J1248">INDEX(Sheet1!F:F,$G1248)</f>
        <v>B8</v>
      </c>
      <c r="K1248" s="4" cm="1">
        <f t="array" ref="K1248">INDEX(Sheet1!H:H,$G1248)</f>
        <v>1E-3</v>
      </c>
      <c r="L1248" s="4">
        <f t="shared" si="76"/>
        <v>46</v>
      </c>
      <c r="M1248" s="4">
        <f t="shared" si="79"/>
        <v>5</v>
      </c>
    </row>
    <row r="1249" spans="1:13">
      <c r="A1249" s="4" t="str" cm="1">
        <f t="array" ref="A1249">INDEX(Sheet1!A:A,$F1249)</f>
        <v>F</v>
      </c>
      <c r="B1249" s="4" t="str" cm="1">
        <f t="array" ref="B1249">INDEX(Sheet1!B:B,$F1249)</f>
        <v>Non-Pref NS</v>
      </c>
      <c r="C1249" s="4">
        <f t="shared" si="77"/>
        <v>47</v>
      </c>
      <c r="D1249" s="5" cm="1">
        <f t="array" aca="1" ref="D1249" ca="1">OFFSET(INDIRECT("'["&amp;$H1249&amp;"]"&amp;$I1249&amp;"'!"&amp;$J1249),$L1249,$M1249)*$K1249</f>
        <v>2.7799999999999999E-3</v>
      </c>
      <c r="F1249" s="4">
        <f t="shared" si="78"/>
        <v>14</v>
      </c>
      <c r="G1249" s="4" cm="1">
        <f t="array" ref="G1249">IF($C1249+$M1249&lt;16,INDEX(Sheet1!C:C,$F1249),$F1249)</f>
        <v>14</v>
      </c>
      <c r="H1249" s="4" t="str" cm="1">
        <f t="array" ref="H1249">INDEX(Sheet1!D:D,$G1249)</f>
        <v>2001-cso-preferred-class-structure-mortality-tables.xls</v>
      </c>
      <c r="I1249" s="4" t="str" cm="1">
        <f t="array" ref="I1249">INDEX(Sheet1!E:E,$G1249)</f>
        <v>A.1.b.iii</v>
      </c>
      <c r="J1249" s="4" t="str" cm="1">
        <f t="array" ref="J1249">INDEX(Sheet1!F:F,$G1249)</f>
        <v>B8</v>
      </c>
      <c r="K1249" s="4" cm="1">
        <f t="array" ref="K1249">INDEX(Sheet1!H:H,$G1249)</f>
        <v>1E-3</v>
      </c>
      <c r="L1249" s="4">
        <f t="shared" si="76"/>
        <v>47</v>
      </c>
      <c r="M1249" s="4">
        <f t="shared" si="79"/>
        <v>5</v>
      </c>
    </row>
    <row r="1250" spans="1:13">
      <c r="A1250" s="4" t="str" cm="1">
        <f t="array" ref="A1250">INDEX(Sheet1!A:A,$F1250)</f>
        <v>F</v>
      </c>
      <c r="B1250" s="4" t="str" cm="1">
        <f t="array" ref="B1250">INDEX(Sheet1!B:B,$F1250)</f>
        <v>Non-Pref NS</v>
      </c>
      <c r="C1250" s="4">
        <f t="shared" si="77"/>
        <v>48</v>
      </c>
      <c r="D1250" s="5" cm="1">
        <f t="array" aca="1" ref="D1250" ca="1">OFFSET(INDIRECT("'["&amp;$H1250&amp;"]"&amp;$I1250&amp;"'!"&amp;$J1250),$L1250,$M1250)*$K1250</f>
        <v>3.0200000000000001E-3</v>
      </c>
      <c r="F1250" s="4">
        <f t="shared" si="78"/>
        <v>14</v>
      </c>
      <c r="G1250" s="4" cm="1">
        <f t="array" ref="G1250">IF($C1250+$M1250&lt;16,INDEX(Sheet1!C:C,$F1250),$F1250)</f>
        <v>14</v>
      </c>
      <c r="H1250" s="4" t="str" cm="1">
        <f t="array" ref="H1250">INDEX(Sheet1!D:D,$G1250)</f>
        <v>2001-cso-preferred-class-structure-mortality-tables.xls</v>
      </c>
      <c r="I1250" s="4" t="str" cm="1">
        <f t="array" ref="I1250">INDEX(Sheet1!E:E,$G1250)</f>
        <v>A.1.b.iii</v>
      </c>
      <c r="J1250" s="4" t="str" cm="1">
        <f t="array" ref="J1250">INDEX(Sheet1!F:F,$G1250)</f>
        <v>B8</v>
      </c>
      <c r="K1250" s="4" cm="1">
        <f t="array" ref="K1250">INDEX(Sheet1!H:H,$G1250)</f>
        <v>1E-3</v>
      </c>
      <c r="L1250" s="4">
        <f t="shared" si="76"/>
        <v>48</v>
      </c>
      <c r="M1250" s="4">
        <f t="shared" si="79"/>
        <v>5</v>
      </c>
    </row>
    <row r="1251" spans="1:13">
      <c r="A1251" s="4" t="str" cm="1">
        <f t="array" ref="A1251">INDEX(Sheet1!A:A,$F1251)</f>
        <v>F</v>
      </c>
      <c r="B1251" s="4" t="str" cm="1">
        <f t="array" ref="B1251">INDEX(Sheet1!B:B,$F1251)</f>
        <v>Non-Pref NS</v>
      </c>
      <c r="C1251" s="4">
        <f t="shared" si="77"/>
        <v>49</v>
      </c>
      <c r="D1251" s="5" cm="1">
        <f t="array" aca="1" ref="D1251" ca="1">OFFSET(INDIRECT("'["&amp;$H1251&amp;"]"&amp;$I1251&amp;"'!"&amp;$J1251),$L1251,$M1251)*$K1251</f>
        <v>3.2599999999999999E-3</v>
      </c>
      <c r="F1251" s="4">
        <f t="shared" si="78"/>
        <v>14</v>
      </c>
      <c r="G1251" s="4" cm="1">
        <f t="array" ref="G1251">IF($C1251+$M1251&lt;16,INDEX(Sheet1!C:C,$F1251),$F1251)</f>
        <v>14</v>
      </c>
      <c r="H1251" s="4" t="str" cm="1">
        <f t="array" ref="H1251">INDEX(Sheet1!D:D,$G1251)</f>
        <v>2001-cso-preferred-class-structure-mortality-tables.xls</v>
      </c>
      <c r="I1251" s="4" t="str" cm="1">
        <f t="array" ref="I1251">INDEX(Sheet1!E:E,$G1251)</f>
        <v>A.1.b.iii</v>
      </c>
      <c r="J1251" s="4" t="str" cm="1">
        <f t="array" ref="J1251">INDEX(Sheet1!F:F,$G1251)</f>
        <v>B8</v>
      </c>
      <c r="K1251" s="4" cm="1">
        <f t="array" ref="K1251">INDEX(Sheet1!H:H,$G1251)</f>
        <v>1E-3</v>
      </c>
      <c r="L1251" s="4">
        <f t="shared" si="76"/>
        <v>49</v>
      </c>
      <c r="M1251" s="4">
        <f t="shared" si="79"/>
        <v>5</v>
      </c>
    </row>
    <row r="1252" spans="1:13">
      <c r="A1252" s="4" t="str" cm="1">
        <f t="array" ref="A1252">INDEX(Sheet1!A:A,$F1252)</f>
        <v>F</v>
      </c>
      <c r="B1252" s="4" t="str" cm="1">
        <f t="array" ref="B1252">INDEX(Sheet1!B:B,$F1252)</f>
        <v>Non-Pref NS</v>
      </c>
      <c r="C1252" s="4">
        <f t="shared" si="77"/>
        <v>50</v>
      </c>
      <c r="D1252" s="5" cm="1">
        <f t="array" aca="1" ref="D1252" ca="1">OFFSET(INDIRECT("'["&amp;$H1252&amp;"]"&amp;$I1252&amp;"'!"&amp;$J1252),$L1252,$M1252)*$K1252</f>
        <v>3.48E-3</v>
      </c>
      <c r="F1252" s="4">
        <f t="shared" si="78"/>
        <v>14</v>
      </c>
      <c r="G1252" s="4" cm="1">
        <f t="array" ref="G1252">IF($C1252+$M1252&lt;16,INDEX(Sheet1!C:C,$F1252),$F1252)</f>
        <v>14</v>
      </c>
      <c r="H1252" s="4" t="str" cm="1">
        <f t="array" ref="H1252">INDEX(Sheet1!D:D,$G1252)</f>
        <v>2001-cso-preferred-class-structure-mortality-tables.xls</v>
      </c>
      <c r="I1252" s="4" t="str" cm="1">
        <f t="array" ref="I1252">INDEX(Sheet1!E:E,$G1252)</f>
        <v>A.1.b.iii</v>
      </c>
      <c r="J1252" s="4" t="str" cm="1">
        <f t="array" ref="J1252">INDEX(Sheet1!F:F,$G1252)</f>
        <v>B8</v>
      </c>
      <c r="K1252" s="4" cm="1">
        <f t="array" ref="K1252">INDEX(Sheet1!H:H,$G1252)</f>
        <v>1E-3</v>
      </c>
      <c r="L1252" s="4">
        <f t="shared" si="76"/>
        <v>50</v>
      </c>
      <c r="M1252" s="4">
        <f t="shared" si="79"/>
        <v>5</v>
      </c>
    </row>
    <row r="1253" spans="1:13">
      <c r="A1253" s="4" t="str" cm="1">
        <f t="array" ref="A1253">INDEX(Sheet1!A:A,$F1253)</f>
        <v>F</v>
      </c>
      <c r="B1253" s="4" t="str" cm="1">
        <f t="array" ref="B1253">INDEX(Sheet1!B:B,$F1253)</f>
        <v>Non-Pref NS</v>
      </c>
      <c r="C1253" s="4">
        <f t="shared" si="77"/>
        <v>51</v>
      </c>
      <c r="D1253" s="5" cm="1">
        <f t="array" aca="1" ref="D1253" ca="1">OFFSET(INDIRECT("'["&amp;$H1253&amp;"]"&amp;$I1253&amp;"'!"&amp;$J1253),$L1253,$M1253)*$K1253</f>
        <v>3.7100000000000002E-3</v>
      </c>
      <c r="F1253" s="4">
        <f t="shared" si="78"/>
        <v>14</v>
      </c>
      <c r="G1253" s="4" cm="1">
        <f t="array" ref="G1253">IF($C1253+$M1253&lt;16,INDEX(Sheet1!C:C,$F1253),$F1253)</f>
        <v>14</v>
      </c>
      <c r="H1253" s="4" t="str" cm="1">
        <f t="array" ref="H1253">INDEX(Sheet1!D:D,$G1253)</f>
        <v>2001-cso-preferred-class-structure-mortality-tables.xls</v>
      </c>
      <c r="I1253" s="4" t="str" cm="1">
        <f t="array" ref="I1253">INDEX(Sheet1!E:E,$G1253)</f>
        <v>A.1.b.iii</v>
      </c>
      <c r="J1253" s="4" t="str" cm="1">
        <f t="array" ref="J1253">INDEX(Sheet1!F:F,$G1253)</f>
        <v>B8</v>
      </c>
      <c r="K1253" s="4" cm="1">
        <f t="array" ref="K1253">INDEX(Sheet1!H:H,$G1253)</f>
        <v>1E-3</v>
      </c>
      <c r="L1253" s="4">
        <f t="shared" si="76"/>
        <v>51</v>
      </c>
      <c r="M1253" s="4">
        <f t="shared" si="79"/>
        <v>5</v>
      </c>
    </row>
    <row r="1254" spans="1:13">
      <c r="A1254" s="4" t="str" cm="1">
        <f t="array" ref="A1254">INDEX(Sheet1!A:A,$F1254)</f>
        <v>F</v>
      </c>
      <c r="B1254" s="4" t="str" cm="1">
        <f t="array" ref="B1254">INDEX(Sheet1!B:B,$F1254)</f>
        <v>Non-Pref NS</v>
      </c>
      <c r="C1254" s="4">
        <f t="shared" si="77"/>
        <v>52</v>
      </c>
      <c r="D1254" s="5" cm="1">
        <f t="array" aca="1" ref="D1254" ca="1">OFFSET(INDIRECT("'["&amp;$H1254&amp;"]"&amp;$I1254&amp;"'!"&amp;$J1254),$L1254,$M1254)*$K1254</f>
        <v>3.9500000000000004E-3</v>
      </c>
      <c r="F1254" s="4">
        <f t="shared" si="78"/>
        <v>14</v>
      </c>
      <c r="G1254" s="4" cm="1">
        <f t="array" ref="G1254">IF($C1254+$M1254&lt;16,INDEX(Sheet1!C:C,$F1254),$F1254)</f>
        <v>14</v>
      </c>
      <c r="H1254" s="4" t="str" cm="1">
        <f t="array" ref="H1254">INDEX(Sheet1!D:D,$G1254)</f>
        <v>2001-cso-preferred-class-structure-mortality-tables.xls</v>
      </c>
      <c r="I1254" s="4" t="str" cm="1">
        <f t="array" ref="I1254">INDEX(Sheet1!E:E,$G1254)</f>
        <v>A.1.b.iii</v>
      </c>
      <c r="J1254" s="4" t="str" cm="1">
        <f t="array" ref="J1254">INDEX(Sheet1!F:F,$G1254)</f>
        <v>B8</v>
      </c>
      <c r="K1254" s="4" cm="1">
        <f t="array" ref="K1254">INDEX(Sheet1!H:H,$G1254)</f>
        <v>1E-3</v>
      </c>
      <c r="L1254" s="4">
        <f t="shared" si="76"/>
        <v>52</v>
      </c>
      <c r="M1254" s="4">
        <f t="shared" si="79"/>
        <v>5</v>
      </c>
    </row>
    <row r="1255" spans="1:13">
      <c r="A1255" s="4" t="str" cm="1">
        <f t="array" ref="A1255">INDEX(Sheet1!A:A,$F1255)</f>
        <v>F</v>
      </c>
      <c r="B1255" s="4" t="str" cm="1">
        <f t="array" ref="B1255">INDEX(Sheet1!B:B,$F1255)</f>
        <v>Non-Pref NS</v>
      </c>
      <c r="C1255" s="4">
        <f t="shared" si="77"/>
        <v>53</v>
      </c>
      <c r="D1255" s="5" cm="1">
        <f t="array" aca="1" ref="D1255" ca="1">OFFSET(INDIRECT("'["&amp;$H1255&amp;"]"&amp;$I1255&amp;"'!"&amp;$J1255),$L1255,$M1255)*$K1255</f>
        <v>4.1700000000000001E-3</v>
      </c>
      <c r="F1255" s="4">
        <f t="shared" si="78"/>
        <v>14</v>
      </c>
      <c r="G1255" s="4" cm="1">
        <f t="array" ref="G1255">IF($C1255+$M1255&lt;16,INDEX(Sheet1!C:C,$F1255),$F1255)</f>
        <v>14</v>
      </c>
      <c r="H1255" s="4" t="str" cm="1">
        <f t="array" ref="H1255">INDEX(Sheet1!D:D,$G1255)</f>
        <v>2001-cso-preferred-class-structure-mortality-tables.xls</v>
      </c>
      <c r="I1255" s="4" t="str" cm="1">
        <f t="array" ref="I1255">INDEX(Sheet1!E:E,$G1255)</f>
        <v>A.1.b.iii</v>
      </c>
      <c r="J1255" s="4" t="str" cm="1">
        <f t="array" ref="J1255">INDEX(Sheet1!F:F,$G1255)</f>
        <v>B8</v>
      </c>
      <c r="K1255" s="4" cm="1">
        <f t="array" ref="K1255">INDEX(Sheet1!H:H,$G1255)</f>
        <v>1E-3</v>
      </c>
      <c r="L1255" s="4">
        <f t="shared" si="76"/>
        <v>53</v>
      </c>
      <c r="M1255" s="4">
        <f t="shared" si="79"/>
        <v>5</v>
      </c>
    </row>
    <row r="1256" spans="1:13">
      <c r="A1256" s="4" t="str" cm="1">
        <f t="array" ref="A1256">INDEX(Sheet1!A:A,$F1256)</f>
        <v>F</v>
      </c>
      <c r="B1256" s="4" t="str" cm="1">
        <f t="array" ref="B1256">INDEX(Sheet1!B:B,$F1256)</f>
        <v>Non-Pref NS</v>
      </c>
      <c r="C1256" s="4">
        <f t="shared" si="77"/>
        <v>54</v>
      </c>
      <c r="D1256" s="5" cm="1">
        <f t="array" aca="1" ref="D1256" ca="1">OFFSET(INDIRECT("'["&amp;$H1256&amp;"]"&amp;$I1256&amp;"'!"&amp;$J1256),$L1256,$M1256)*$K1256</f>
        <v>4.4200000000000003E-3</v>
      </c>
      <c r="F1256" s="4">
        <f t="shared" si="78"/>
        <v>14</v>
      </c>
      <c r="G1256" s="4" cm="1">
        <f t="array" ref="G1256">IF($C1256+$M1256&lt;16,INDEX(Sheet1!C:C,$F1256),$F1256)</f>
        <v>14</v>
      </c>
      <c r="H1256" s="4" t="str" cm="1">
        <f t="array" ref="H1256">INDEX(Sheet1!D:D,$G1256)</f>
        <v>2001-cso-preferred-class-structure-mortality-tables.xls</v>
      </c>
      <c r="I1256" s="4" t="str" cm="1">
        <f t="array" ref="I1256">INDEX(Sheet1!E:E,$G1256)</f>
        <v>A.1.b.iii</v>
      </c>
      <c r="J1256" s="4" t="str" cm="1">
        <f t="array" ref="J1256">INDEX(Sheet1!F:F,$G1256)</f>
        <v>B8</v>
      </c>
      <c r="K1256" s="4" cm="1">
        <f t="array" ref="K1256">INDEX(Sheet1!H:H,$G1256)</f>
        <v>1E-3</v>
      </c>
      <c r="L1256" s="4">
        <f t="shared" si="76"/>
        <v>54</v>
      </c>
      <c r="M1256" s="4">
        <f t="shared" si="79"/>
        <v>5</v>
      </c>
    </row>
    <row r="1257" spans="1:13">
      <c r="A1257" s="4" t="str" cm="1">
        <f t="array" ref="A1257">INDEX(Sheet1!A:A,$F1257)</f>
        <v>F</v>
      </c>
      <c r="B1257" s="4" t="str" cm="1">
        <f t="array" ref="B1257">INDEX(Sheet1!B:B,$F1257)</f>
        <v>Non-Pref NS</v>
      </c>
      <c r="C1257" s="4">
        <f t="shared" si="77"/>
        <v>55</v>
      </c>
      <c r="D1257" s="5" cm="1">
        <f t="array" aca="1" ref="D1257" ca="1">OFFSET(INDIRECT("'["&amp;$H1257&amp;"]"&amp;$I1257&amp;"'!"&amp;$J1257),$L1257,$M1257)*$K1257</f>
        <v>4.6900000000000006E-3</v>
      </c>
      <c r="F1257" s="4">
        <f t="shared" si="78"/>
        <v>14</v>
      </c>
      <c r="G1257" s="4" cm="1">
        <f t="array" ref="G1257">IF($C1257+$M1257&lt;16,INDEX(Sheet1!C:C,$F1257),$F1257)</f>
        <v>14</v>
      </c>
      <c r="H1257" s="4" t="str" cm="1">
        <f t="array" ref="H1257">INDEX(Sheet1!D:D,$G1257)</f>
        <v>2001-cso-preferred-class-structure-mortality-tables.xls</v>
      </c>
      <c r="I1257" s="4" t="str" cm="1">
        <f t="array" ref="I1257">INDEX(Sheet1!E:E,$G1257)</f>
        <v>A.1.b.iii</v>
      </c>
      <c r="J1257" s="4" t="str" cm="1">
        <f t="array" ref="J1257">INDEX(Sheet1!F:F,$G1257)</f>
        <v>B8</v>
      </c>
      <c r="K1257" s="4" cm="1">
        <f t="array" ref="K1257">INDEX(Sheet1!H:H,$G1257)</f>
        <v>1E-3</v>
      </c>
      <c r="L1257" s="4">
        <f t="shared" si="76"/>
        <v>55</v>
      </c>
      <c r="M1257" s="4">
        <f t="shared" si="79"/>
        <v>5</v>
      </c>
    </row>
    <row r="1258" spans="1:13">
      <c r="A1258" s="4" t="str" cm="1">
        <f t="array" ref="A1258">INDEX(Sheet1!A:A,$F1258)</f>
        <v>F</v>
      </c>
      <c r="B1258" s="4" t="str" cm="1">
        <f t="array" ref="B1258">INDEX(Sheet1!B:B,$F1258)</f>
        <v>Non-Pref NS</v>
      </c>
      <c r="C1258" s="4">
        <f t="shared" si="77"/>
        <v>56</v>
      </c>
      <c r="D1258" s="5" cm="1">
        <f t="array" aca="1" ref="D1258" ca="1">OFFSET(INDIRECT("'["&amp;$H1258&amp;"]"&amp;$I1258&amp;"'!"&amp;$J1258),$L1258,$M1258)*$K1258</f>
        <v>5.0300000000000006E-3</v>
      </c>
      <c r="F1258" s="4">
        <f t="shared" si="78"/>
        <v>14</v>
      </c>
      <c r="G1258" s="4" cm="1">
        <f t="array" ref="G1258">IF($C1258+$M1258&lt;16,INDEX(Sheet1!C:C,$F1258),$F1258)</f>
        <v>14</v>
      </c>
      <c r="H1258" s="4" t="str" cm="1">
        <f t="array" ref="H1258">INDEX(Sheet1!D:D,$G1258)</f>
        <v>2001-cso-preferred-class-structure-mortality-tables.xls</v>
      </c>
      <c r="I1258" s="4" t="str" cm="1">
        <f t="array" ref="I1258">INDEX(Sheet1!E:E,$G1258)</f>
        <v>A.1.b.iii</v>
      </c>
      <c r="J1258" s="4" t="str" cm="1">
        <f t="array" ref="J1258">INDEX(Sheet1!F:F,$G1258)</f>
        <v>B8</v>
      </c>
      <c r="K1258" s="4" cm="1">
        <f t="array" ref="K1258">INDEX(Sheet1!H:H,$G1258)</f>
        <v>1E-3</v>
      </c>
      <c r="L1258" s="4">
        <f t="shared" si="76"/>
        <v>56</v>
      </c>
      <c r="M1258" s="4">
        <f t="shared" si="79"/>
        <v>5</v>
      </c>
    </row>
    <row r="1259" spans="1:13">
      <c r="A1259" s="4" t="str" cm="1">
        <f t="array" ref="A1259">INDEX(Sheet1!A:A,$F1259)</f>
        <v>F</v>
      </c>
      <c r="B1259" s="4" t="str" cm="1">
        <f t="array" ref="B1259">INDEX(Sheet1!B:B,$F1259)</f>
        <v>Non-Pref NS</v>
      </c>
      <c r="C1259" s="4">
        <f t="shared" si="77"/>
        <v>57</v>
      </c>
      <c r="D1259" s="5" cm="1">
        <f t="array" aca="1" ref="D1259" ca="1">OFFSET(INDIRECT("'["&amp;$H1259&amp;"]"&amp;$I1259&amp;"'!"&amp;$J1259),$L1259,$M1259)*$K1259</f>
        <v>5.4200000000000003E-3</v>
      </c>
      <c r="F1259" s="4">
        <f t="shared" si="78"/>
        <v>14</v>
      </c>
      <c r="G1259" s="4" cm="1">
        <f t="array" ref="G1259">IF($C1259+$M1259&lt;16,INDEX(Sheet1!C:C,$F1259),$F1259)</f>
        <v>14</v>
      </c>
      <c r="H1259" s="4" t="str" cm="1">
        <f t="array" ref="H1259">INDEX(Sheet1!D:D,$G1259)</f>
        <v>2001-cso-preferred-class-structure-mortality-tables.xls</v>
      </c>
      <c r="I1259" s="4" t="str" cm="1">
        <f t="array" ref="I1259">INDEX(Sheet1!E:E,$G1259)</f>
        <v>A.1.b.iii</v>
      </c>
      <c r="J1259" s="4" t="str" cm="1">
        <f t="array" ref="J1259">INDEX(Sheet1!F:F,$G1259)</f>
        <v>B8</v>
      </c>
      <c r="K1259" s="4" cm="1">
        <f t="array" ref="K1259">INDEX(Sheet1!H:H,$G1259)</f>
        <v>1E-3</v>
      </c>
      <c r="L1259" s="4">
        <f t="shared" si="76"/>
        <v>57</v>
      </c>
      <c r="M1259" s="4">
        <f t="shared" si="79"/>
        <v>5</v>
      </c>
    </row>
    <row r="1260" spans="1:13">
      <c r="A1260" s="4" t="str" cm="1">
        <f t="array" ref="A1260">INDEX(Sheet1!A:A,$F1260)</f>
        <v>F</v>
      </c>
      <c r="B1260" s="4" t="str" cm="1">
        <f t="array" ref="B1260">INDEX(Sheet1!B:B,$F1260)</f>
        <v>Non-Pref NS</v>
      </c>
      <c r="C1260" s="4">
        <f t="shared" si="77"/>
        <v>58</v>
      </c>
      <c r="D1260" s="5" cm="1">
        <f t="array" aca="1" ref="D1260" ca="1">OFFSET(INDIRECT("'["&amp;$H1260&amp;"]"&amp;$I1260&amp;"'!"&amp;$J1260),$L1260,$M1260)*$K1260</f>
        <v>5.8600000000000006E-3</v>
      </c>
      <c r="F1260" s="4">
        <f t="shared" si="78"/>
        <v>14</v>
      </c>
      <c r="G1260" s="4" cm="1">
        <f t="array" ref="G1260">IF($C1260+$M1260&lt;16,INDEX(Sheet1!C:C,$F1260),$F1260)</f>
        <v>14</v>
      </c>
      <c r="H1260" s="4" t="str" cm="1">
        <f t="array" ref="H1260">INDEX(Sheet1!D:D,$G1260)</f>
        <v>2001-cso-preferred-class-structure-mortality-tables.xls</v>
      </c>
      <c r="I1260" s="4" t="str" cm="1">
        <f t="array" ref="I1260">INDEX(Sheet1!E:E,$G1260)</f>
        <v>A.1.b.iii</v>
      </c>
      <c r="J1260" s="4" t="str" cm="1">
        <f t="array" ref="J1260">INDEX(Sheet1!F:F,$G1260)</f>
        <v>B8</v>
      </c>
      <c r="K1260" s="4" cm="1">
        <f t="array" ref="K1260">INDEX(Sheet1!H:H,$G1260)</f>
        <v>1E-3</v>
      </c>
      <c r="L1260" s="4">
        <f t="shared" si="76"/>
        <v>58</v>
      </c>
      <c r="M1260" s="4">
        <f t="shared" si="79"/>
        <v>5</v>
      </c>
    </row>
    <row r="1261" spans="1:13">
      <c r="A1261" s="4" t="str" cm="1">
        <f t="array" ref="A1261">INDEX(Sheet1!A:A,$F1261)</f>
        <v>F</v>
      </c>
      <c r="B1261" s="4" t="str" cm="1">
        <f t="array" ref="B1261">INDEX(Sheet1!B:B,$F1261)</f>
        <v>Non-Pref NS</v>
      </c>
      <c r="C1261" s="4">
        <f t="shared" si="77"/>
        <v>59</v>
      </c>
      <c r="D1261" s="5" cm="1">
        <f t="array" aca="1" ref="D1261" ca="1">OFFSET(INDIRECT("'["&amp;$H1261&amp;"]"&amp;$I1261&amp;"'!"&amp;$J1261),$L1261,$M1261)*$K1261</f>
        <v>6.3600000000000002E-3</v>
      </c>
      <c r="F1261" s="4">
        <f t="shared" si="78"/>
        <v>14</v>
      </c>
      <c r="G1261" s="4" cm="1">
        <f t="array" ref="G1261">IF($C1261+$M1261&lt;16,INDEX(Sheet1!C:C,$F1261),$F1261)</f>
        <v>14</v>
      </c>
      <c r="H1261" s="4" t="str" cm="1">
        <f t="array" ref="H1261">INDEX(Sheet1!D:D,$G1261)</f>
        <v>2001-cso-preferred-class-structure-mortality-tables.xls</v>
      </c>
      <c r="I1261" s="4" t="str" cm="1">
        <f t="array" ref="I1261">INDEX(Sheet1!E:E,$G1261)</f>
        <v>A.1.b.iii</v>
      </c>
      <c r="J1261" s="4" t="str" cm="1">
        <f t="array" ref="J1261">INDEX(Sheet1!F:F,$G1261)</f>
        <v>B8</v>
      </c>
      <c r="K1261" s="4" cm="1">
        <f t="array" ref="K1261">INDEX(Sheet1!H:H,$G1261)</f>
        <v>1E-3</v>
      </c>
      <c r="L1261" s="4">
        <f t="shared" si="76"/>
        <v>59</v>
      </c>
      <c r="M1261" s="4">
        <f t="shared" si="79"/>
        <v>5</v>
      </c>
    </row>
    <row r="1262" spans="1:13">
      <c r="A1262" s="4" t="str" cm="1">
        <f t="array" ref="A1262">INDEX(Sheet1!A:A,$F1262)</f>
        <v>F</v>
      </c>
      <c r="B1262" s="4" t="str" cm="1">
        <f t="array" ref="B1262">INDEX(Sheet1!B:B,$F1262)</f>
        <v>Non-Pref NS</v>
      </c>
      <c r="C1262" s="4">
        <f t="shared" si="77"/>
        <v>60</v>
      </c>
      <c r="D1262" s="5" cm="1">
        <f t="array" aca="1" ref="D1262" ca="1">OFFSET(INDIRECT("'["&amp;$H1262&amp;"]"&amp;$I1262&amp;"'!"&amp;$J1262),$L1262,$M1262)*$K1262</f>
        <v>6.9000000000000008E-3</v>
      </c>
      <c r="F1262" s="4">
        <f t="shared" si="78"/>
        <v>14</v>
      </c>
      <c r="G1262" s="4" cm="1">
        <f t="array" ref="G1262">IF($C1262+$M1262&lt;16,INDEX(Sheet1!C:C,$F1262),$F1262)</f>
        <v>14</v>
      </c>
      <c r="H1262" s="4" t="str" cm="1">
        <f t="array" ref="H1262">INDEX(Sheet1!D:D,$G1262)</f>
        <v>2001-cso-preferred-class-structure-mortality-tables.xls</v>
      </c>
      <c r="I1262" s="4" t="str" cm="1">
        <f t="array" ref="I1262">INDEX(Sheet1!E:E,$G1262)</f>
        <v>A.1.b.iii</v>
      </c>
      <c r="J1262" s="4" t="str" cm="1">
        <f t="array" ref="J1262">INDEX(Sheet1!F:F,$G1262)</f>
        <v>B8</v>
      </c>
      <c r="K1262" s="4" cm="1">
        <f t="array" ref="K1262">INDEX(Sheet1!H:H,$G1262)</f>
        <v>1E-3</v>
      </c>
      <c r="L1262" s="4">
        <f t="shared" si="76"/>
        <v>60</v>
      </c>
      <c r="M1262" s="4">
        <f t="shared" si="79"/>
        <v>5</v>
      </c>
    </row>
    <row r="1263" spans="1:13">
      <c r="A1263" s="4" t="str" cm="1">
        <f t="array" ref="A1263">INDEX(Sheet1!A:A,$F1263)</f>
        <v>F</v>
      </c>
      <c r="B1263" s="4" t="str" cm="1">
        <f t="array" ref="B1263">INDEX(Sheet1!B:B,$F1263)</f>
        <v>Non-Pref NS</v>
      </c>
      <c r="C1263" s="4">
        <f t="shared" si="77"/>
        <v>61</v>
      </c>
      <c r="D1263" s="5" cm="1">
        <f t="array" aca="1" ref="D1263" ca="1">OFFSET(INDIRECT("'["&amp;$H1263&amp;"]"&amp;$I1263&amp;"'!"&amp;$J1263),$L1263,$M1263)*$K1263</f>
        <v>7.4400000000000004E-3</v>
      </c>
      <c r="F1263" s="4">
        <f t="shared" si="78"/>
        <v>14</v>
      </c>
      <c r="G1263" s="4" cm="1">
        <f t="array" ref="G1263">IF($C1263+$M1263&lt;16,INDEX(Sheet1!C:C,$F1263),$F1263)</f>
        <v>14</v>
      </c>
      <c r="H1263" s="4" t="str" cm="1">
        <f t="array" ref="H1263">INDEX(Sheet1!D:D,$G1263)</f>
        <v>2001-cso-preferred-class-structure-mortality-tables.xls</v>
      </c>
      <c r="I1263" s="4" t="str" cm="1">
        <f t="array" ref="I1263">INDEX(Sheet1!E:E,$G1263)</f>
        <v>A.1.b.iii</v>
      </c>
      <c r="J1263" s="4" t="str" cm="1">
        <f t="array" ref="J1263">INDEX(Sheet1!F:F,$G1263)</f>
        <v>B8</v>
      </c>
      <c r="K1263" s="4" cm="1">
        <f t="array" ref="K1263">INDEX(Sheet1!H:H,$G1263)</f>
        <v>1E-3</v>
      </c>
      <c r="L1263" s="4">
        <f t="shared" si="76"/>
        <v>61</v>
      </c>
      <c r="M1263" s="4">
        <f t="shared" si="79"/>
        <v>5</v>
      </c>
    </row>
    <row r="1264" spans="1:13">
      <c r="A1264" s="4" t="str" cm="1">
        <f t="array" ref="A1264">INDEX(Sheet1!A:A,$F1264)</f>
        <v>F</v>
      </c>
      <c r="B1264" s="4" t="str" cm="1">
        <f t="array" ref="B1264">INDEX(Sheet1!B:B,$F1264)</f>
        <v>Non-Pref NS</v>
      </c>
      <c r="C1264" s="4">
        <f t="shared" si="77"/>
        <v>62</v>
      </c>
      <c r="D1264" s="5" cm="1">
        <f t="array" aca="1" ref="D1264" ca="1">OFFSET(INDIRECT("'["&amp;$H1264&amp;"]"&amp;$I1264&amp;"'!"&amp;$J1264),$L1264,$M1264)*$K1264</f>
        <v>8.0199999999999994E-3</v>
      </c>
      <c r="F1264" s="4">
        <f t="shared" si="78"/>
        <v>14</v>
      </c>
      <c r="G1264" s="4" cm="1">
        <f t="array" ref="G1264">IF($C1264+$M1264&lt;16,INDEX(Sheet1!C:C,$F1264),$F1264)</f>
        <v>14</v>
      </c>
      <c r="H1264" s="4" t="str" cm="1">
        <f t="array" ref="H1264">INDEX(Sheet1!D:D,$G1264)</f>
        <v>2001-cso-preferred-class-structure-mortality-tables.xls</v>
      </c>
      <c r="I1264" s="4" t="str" cm="1">
        <f t="array" ref="I1264">INDEX(Sheet1!E:E,$G1264)</f>
        <v>A.1.b.iii</v>
      </c>
      <c r="J1264" s="4" t="str" cm="1">
        <f t="array" ref="J1264">INDEX(Sheet1!F:F,$G1264)</f>
        <v>B8</v>
      </c>
      <c r="K1264" s="4" cm="1">
        <f t="array" ref="K1264">INDEX(Sheet1!H:H,$G1264)</f>
        <v>1E-3</v>
      </c>
      <c r="L1264" s="4">
        <f t="shared" si="76"/>
        <v>62</v>
      </c>
      <c r="M1264" s="4">
        <f t="shared" si="79"/>
        <v>5</v>
      </c>
    </row>
    <row r="1265" spans="1:13">
      <c r="A1265" s="4" t="str" cm="1">
        <f t="array" ref="A1265">INDEX(Sheet1!A:A,$F1265)</f>
        <v>F</v>
      </c>
      <c r="B1265" s="4" t="str" cm="1">
        <f t="array" ref="B1265">INDEX(Sheet1!B:B,$F1265)</f>
        <v>Non-Pref NS</v>
      </c>
      <c r="C1265" s="4">
        <f t="shared" si="77"/>
        <v>63</v>
      </c>
      <c r="D1265" s="5" cm="1">
        <f t="array" aca="1" ref="D1265" ca="1">OFFSET(INDIRECT("'["&amp;$H1265&amp;"]"&amp;$I1265&amp;"'!"&amp;$J1265),$L1265,$M1265)*$K1265</f>
        <v>8.6E-3</v>
      </c>
      <c r="F1265" s="4">
        <f t="shared" si="78"/>
        <v>14</v>
      </c>
      <c r="G1265" s="4" cm="1">
        <f t="array" ref="G1265">IF($C1265+$M1265&lt;16,INDEX(Sheet1!C:C,$F1265),$F1265)</f>
        <v>14</v>
      </c>
      <c r="H1265" s="4" t="str" cm="1">
        <f t="array" ref="H1265">INDEX(Sheet1!D:D,$G1265)</f>
        <v>2001-cso-preferred-class-structure-mortality-tables.xls</v>
      </c>
      <c r="I1265" s="4" t="str" cm="1">
        <f t="array" ref="I1265">INDEX(Sheet1!E:E,$G1265)</f>
        <v>A.1.b.iii</v>
      </c>
      <c r="J1265" s="4" t="str" cm="1">
        <f t="array" ref="J1265">INDEX(Sheet1!F:F,$G1265)</f>
        <v>B8</v>
      </c>
      <c r="K1265" s="4" cm="1">
        <f t="array" ref="K1265">INDEX(Sheet1!H:H,$G1265)</f>
        <v>1E-3</v>
      </c>
      <c r="L1265" s="4">
        <f t="shared" si="76"/>
        <v>63</v>
      </c>
      <c r="M1265" s="4">
        <f t="shared" si="79"/>
        <v>5</v>
      </c>
    </row>
    <row r="1266" spans="1:13">
      <c r="A1266" s="4" t="str" cm="1">
        <f t="array" ref="A1266">INDEX(Sheet1!A:A,$F1266)</f>
        <v>F</v>
      </c>
      <c r="B1266" s="4" t="str" cm="1">
        <f t="array" ref="B1266">INDEX(Sheet1!B:B,$F1266)</f>
        <v>Non-Pref NS</v>
      </c>
      <c r="C1266" s="4">
        <f t="shared" si="77"/>
        <v>64</v>
      </c>
      <c r="D1266" s="5" cm="1">
        <f t="array" aca="1" ref="D1266" ca="1">OFFSET(INDIRECT("'["&amp;$H1266&amp;"]"&amp;$I1266&amp;"'!"&amp;$J1266),$L1266,$M1266)*$K1266</f>
        <v>9.2100000000000012E-3</v>
      </c>
      <c r="F1266" s="4">
        <f t="shared" si="78"/>
        <v>14</v>
      </c>
      <c r="G1266" s="4" cm="1">
        <f t="array" ref="G1266">IF($C1266+$M1266&lt;16,INDEX(Sheet1!C:C,$F1266),$F1266)</f>
        <v>14</v>
      </c>
      <c r="H1266" s="4" t="str" cm="1">
        <f t="array" ref="H1266">INDEX(Sheet1!D:D,$G1266)</f>
        <v>2001-cso-preferred-class-structure-mortality-tables.xls</v>
      </c>
      <c r="I1266" s="4" t="str" cm="1">
        <f t="array" ref="I1266">INDEX(Sheet1!E:E,$G1266)</f>
        <v>A.1.b.iii</v>
      </c>
      <c r="J1266" s="4" t="str" cm="1">
        <f t="array" ref="J1266">INDEX(Sheet1!F:F,$G1266)</f>
        <v>B8</v>
      </c>
      <c r="K1266" s="4" cm="1">
        <f t="array" ref="K1266">INDEX(Sheet1!H:H,$G1266)</f>
        <v>1E-3</v>
      </c>
      <c r="L1266" s="4">
        <f t="shared" si="76"/>
        <v>64</v>
      </c>
      <c r="M1266" s="4">
        <f t="shared" si="79"/>
        <v>5</v>
      </c>
    </row>
    <row r="1267" spans="1:13">
      <c r="A1267" s="4" t="str" cm="1">
        <f t="array" ref="A1267">INDEX(Sheet1!A:A,$F1267)</f>
        <v>F</v>
      </c>
      <c r="B1267" s="4" t="str" cm="1">
        <f t="array" ref="B1267">INDEX(Sheet1!B:B,$F1267)</f>
        <v>Non-Pref NS</v>
      </c>
      <c r="C1267" s="4">
        <f t="shared" si="77"/>
        <v>65</v>
      </c>
      <c r="D1267" s="5" cm="1">
        <f t="array" aca="1" ref="D1267" ca="1">OFFSET(INDIRECT("'["&amp;$H1267&amp;"]"&amp;$I1267&amp;"'!"&amp;$J1267),$L1267,$M1267)*$K1267</f>
        <v>9.8699999999999986E-3</v>
      </c>
      <c r="F1267" s="4">
        <f t="shared" si="78"/>
        <v>14</v>
      </c>
      <c r="G1267" s="4" cm="1">
        <f t="array" ref="G1267">IF($C1267+$M1267&lt;16,INDEX(Sheet1!C:C,$F1267),$F1267)</f>
        <v>14</v>
      </c>
      <c r="H1267" s="4" t="str" cm="1">
        <f t="array" ref="H1267">INDEX(Sheet1!D:D,$G1267)</f>
        <v>2001-cso-preferred-class-structure-mortality-tables.xls</v>
      </c>
      <c r="I1267" s="4" t="str" cm="1">
        <f t="array" ref="I1267">INDEX(Sheet1!E:E,$G1267)</f>
        <v>A.1.b.iii</v>
      </c>
      <c r="J1267" s="4" t="str" cm="1">
        <f t="array" ref="J1267">INDEX(Sheet1!F:F,$G1267)</f>
        <v>B8</v>
      </c>
      <c r="K1267" s="4" cm="1">
        <f t="array" ref="K1267">INDEX(Sheet1!H:H,$G1267)</f>
        <v>1E-3</v>
      </c>
      <c r="L1267" s="4">
        <f t="shared" si="76"/>
        <v>65</v>
      </c>
      <c r="M1267" s="4">
        <f t="shared" si="79"/>
        <v>5</v>
      </c>
    </row>
    <row r="1268" spans="1:13">
      <c r="A1268" s="4" t="str" cm="1">
        <f t="array" ref="A1268">INDEX(Sheet1!A:A,$F1268)</f>
        <v>F</v>
      </c>
      <c r="B1268" s="4" t="str" cm="1">
        <f t="array" ref="B1268">INDEX(Sheet1!B:B,$F1268)</f>
        <v>Non-Pref NS</v>
      </c>
      <c r="C1268" s="4">
        <f t="shared" si="77"/>
        <v>66</v>
      </c>
      <c r="D1268" s="5" cm="1">
        <f t="array" aca="1" ref="D1268" ca="1">OFFSET(INDIRECT("'["&amp;$H1268&amp;"]"&amp;$I1268&amp;"'!"&amp;$J1268),$L1268,$M1268)*$K1268</f>
        <v>1.0630000000000001E-2</v>
      </c>
      <c r="F1268" s="4">
        <f t="shared" si="78"/>
        <v>14</v>
      </c>
      <c r="G1268" s="4" cm="1">
        <f t="array" ref="G1268">IF($C1268+$M1268&lt;16,INDEX(Sheet1!C:C,$F1268),$F1268)</f>
        <v>14</v>
      </c>
      <c r="H1268" s="4" t="str" cm="1">
        <f t="array" ref="H1268">INDEX(Sheet1!D:D,$G1268)</f>
        <v>2001-cso-preferred-class-structure-mortality-tables.xls</v>
      </c>
      <c r="I1268" s="4" t="str" cm="1">
        <f t="array" ref="I1268">INDEX(Sheet1!E:E,$G1268)</f>
        <v>A.1.b.iii</v>
      </c>
      <c r="J1268" s="4" t="str" cm="1">
        <f t="array" ref="J1268">INDEX(Sheet1!F:F,$G1268)</f>
        <v>B8</v>
      </c>
      <c r="K1268" s="4" cm="1">
        <f t="array" ref="K1268">INDEX(Sheet1!H:H,$G1268)</f>
        <v>1E-3</v>
      </c>
      <c r="L1268" s="4">
        <f t="shared" si="76"/>
        <v>66</v>
      </c>
      <c r="M1268" s="4">
        <f t="shared" si="79"/>
        <v>5</v>
      </c>
    </row>
    <row r="1269" spans="1:13">
      <c r="A1269" s="4" t="str" cm="1">
        <f t="array" ref="A1269">INDEX(Sheet1!A:A,$F1269)</f>
        <v>F</v>
      </c>
      <c r="B1269" s="4" t="str" cm="1">
        <f t="array" ref="B1269">INDEX(Sheet1!B:B,$F1269)</f>
        <v>Non-Pref NS</v>
      </c>
      <c r="C1269" s="4">
        <f t="shared" si="77"/>
        <v>67</v>
      </c>
      <c r="D1269" s="5" cm="1">
        <f t="array" aca="1" ref="D1269" ca="1">OFFSET(INDIRECT("'["&amp;$H1269&amp;"]"&amp;$I1269&amp;"'!"&amp;$J1269),$L1269,$M1269)*$K1269</f>
        <v>1.154E-2</v>
      </c>
      <c r="F1269" s="4">
        <f t="shared" si="78"/>
        <v>14</v>
      </c>
      <c r="G1269" s="4" cm="1">
        <f t="array" ref="G1269">IF($C1269+$M1269&lt;16,INDEX(Sheet1!C:C,$F1269),$F1269)</f>
        <v>14</v>
      </c>
      <c r="H1269" s="4" t="str" cm="1">
        <f t="array" ref="H1269">INDEX(Sheet1!D:D,$G1269)</f>
        <v>2001-cso-preferred-class-structure-mortality-tables.xls</v>
      </c>
      <c r="I1269" s="4" t="str" cm="1">
        <f t="array" ref="I1269">INDEX(Sheet1!E:E,$G1269)</f>
        <v>A.1.b.iii</v>
      </c>
      <c r="J1269" s="4" t="str" cm="1">
        <f t="array" ref="J1269">INDEX(Sheet1!F:F,$G1269)</f>
        <v>B8</v>
      </c>
      <c r="K1269" s="4" cm="1">
        <f t="array" ref="K1269">INDEX(Sheet1!H:H,$G1269)</f>
        <v>1E-3</v>
      </c>
      <c r="L1269" s="4">
        <f t="shared" si="76"/>
        <v>67</v>
      </c>
      <c r="M1269" s="4">
        <f t="shared" si="79"/>
        <v>5</v>
      </c>
    </row>
    <row r="1270" spans="1:13">
      <c r="A1270" s="4" t="str" cm="1">
        <f t="array" ref="A1270">INDEX(Sheet1!A:A,$F1270)</f>
        <v>F</v>
      </c>
      <c r="B1270" s="4" t="str" cm="1">
        <f t="array" ref="B1270">INDEX(Sheet1!B:B,$F1270)</f>
        <v>Non-Pref NS</v>
      </c>
      <c r="C1270" s="4">
        <f t="shared" si="77"/>
        <v>68</v>
      </c>
      <c r="D1270" s="5" cm="1">
        <f t="array" aca="1" ref="D1270" ca="1">OFFSET(INDIRECT("'["&amp;$H1270&amp;"]"&amp;$I1270&amp;"'!"&amp;$J1270),$L1270,$M1270)*$K1270</f>
        <v>1.26E-2</v>
      </c>
      <c r="F1270" s="4">
        <f t="shared" si="78"/>
        <v>14</v>
      </c>
      <c r="G1270" s="4" cm="1">
        <f t="array" ref="G1270">IF($C1270+$M1270&lt;16,INDEX(Sheet1!C:C,$F1270),$F1270)</f>
        <v>14</v>
      </c>
      <c r="H1270" s="4" t="str" cm="1">
        <f t="array" ref="H1270">INDEX(Sheet1!D:D,$G1270)</f>
        <v>2001-cso-preferred-class-structure-mortality-tables.xls</v>
      </c>
      <c r="I1270" s="4" t="str" cm="1">
        <f t="array" ref="I1270">INDEX(Sheet1!E:E,$G1270)</f>
        <v>A.1.b.iii</v>
      </c>
      <c r="J1270" s="4" t="str" cm="1">
        <f t="array" ref="J1270">INDEX(Sheet1!F:F,$G1270)</f>
        <v>B8</v>
      </c>
      <c r="K1270" s="4" cm="1">
        <f t="array" ref="K1270">INDEX(Sheet1!H:H,$G1270)</f>
        <v>1E-3</v>
      </c>
      <c r="L1270" s="4">
        <f t="shared" si="76"/>
        <v>68</v>
      </c>
      <c r="M1270" s="4">
        <f t="shared" si="79"/>
        <v>5</v>
      </c>
    </row>
    <row r="1271" spans="1:13">
      <c r="A1271" s="4" t="str" cm="1">
        <f t="array" ref="A1271">INDEX(Sheet1!A:A,$F1271)</f>
        <v>F</v>
      </c>
      <c r="B1271" s="4" t="str" cm="1">
        <f t="array" ref="B1271">INDEX(Sheet1!B:B,$F1271)</f>
        <v>Non-Pref NS</v>
      </c>
      <c r="C1271" s="4">
        <f t="shared" si="77"/>
        <v>69</v>
      </c>
      <c r="D1271" s="5" cm="1">
        <f t="array" aca="1" ref="D1271" ca="1">OFFSET(INDIRECT("'["&amp;$H1271&amp;"]"&amp;$I1271&amp;"'!"&amp;$J1271),$L1271,$M1271)*$K1271</f>
        <v>1.3869999999999999E-2</v>
      </c>
      <c r="F1271" s="4">
        <f t="shared" si="78"/>
        <v>14</v>
      </c>
      <c r="G1271" s="4" cm="1">
        <f t="array" ref="G1271">IF($C1271+$M1271&lt;16,INDEX(Sheet1!C:C,$F1271),$F1271)</f>
        <v>14</v>
      </c>
      <c r="H1271" s="4" t="str" cm="1">
        <f t="array" ref="H1271">INDEX(Sheet1!D:D,$G1271)</f>
        <v>2001-cso-preferred-class-structure-mortality-tables.xls</v>
      </c>
      <c r="I1271" s="4" t="str" cm="1">
        <f t="array" ref="I1271">INDEX(Sheet1!E:E,$G1271)</f>
        <v>A.1.b.iii</v>
      </c>
      <c r="J1271" s="4" t="str" cm="1">
        <f t="array" ref="J1271">INDEX(Sheet1!F:F,$G1271)</f>
        <v>B8</v>
      </c>
      <c r="K1271" s="4" cm="1">
        <f t="array" ref="K1271">INDEX(Sheet1!H:H,$G1271)</f>
        <v>1E-3</v>
      </c>
      <c r="L1271" s="4">
        <f t="shared" si="76"/>
        <v>69</v>
      </c>
      <c r="M1271" s="4">
        <f t="shared" si="79"/>
        <v>5</v>
      </c>
    </row>
    <row r="1272" spans="1:13">
      <c r="A1272" s="4" t="str" cm="1">
        <f t="array" ref="A1272">INDEX(Sheet1!A:A,$F1272)</f>
        <v>F</v>
      </c>
      <c r="B1272" s="4" t="str" cm="1">
        <f t="array" ref="B1272">INDEX(Sheet1!B:B,$F1272)</f>
        <v>Non-Pref NS</v>
      </c>
      <c r="C1272" s="4">
        <f t="shared" si="77"/>
        <v>70</v>
      </c>
      <c r="D1272" s="5" cm="1">
        <f t="array" aca="1" ref="D1272" ca="1">OFFSET(INDIRECT("'["&amp;$H1272&amp;"]"&amp;$I1272&amp;"'!"&amp;$J1272),$L1272,$M1272)*$K1272</f>
        <v>1.5380000000000001E-2</v>
      </c>
      <c r="F1272" s="4">
        <f t="shared" si="78"/>
        <v>14</v>
      </c>
      <c r="G1272" s="4" cm="1">
        <f t="array" ref="G1272">IF($C1272+$M1272&lt;16,INDEX(Sheet1!C:C,$F1272),$F1272)</f>
        <v>14</v>
      </c>
      <c r="H1272" s="4" t="str" cm="1">
        <f t="array" ref="H1272">INDEX(Sheet1!D:D,$G1272)</f>
        <v>2001-cso-preferred-class-structure-mortality-tables.xls</v>
      </c>
      <c r="I1272" s="4" t="str" cm="1">
        <f t="array" ref="I1272">INDEX(Sheet1!E:E,$G1272)</f>
        <v>A.1.b.iii</v>
      </c>
      <c r="J1272" s="4" t="str" cm="1">
        <f t="array" ref="J1272">INDEX(Sheet1!F:F,$G1272)</f>
        <v>B8</v>
      </c>
      <c r="K1272" s="4" cm="1">
        <f t="array" ref="K1272">INDEX(Sheet1!H:H,$G1272)</f>
        <v>1E-3</v>
      </c>
      <c r="L1272" s="4">
        <f t="shared" si="76"/>
        <v>70</v>
      </c>
      <c r="M1272" s="4">
        <f t="shared" si="79"/>
        <v>5</v>
      </c>
    </row>
    <row r="1273" spans="1:13">
      <c r="A1273" s="4" t="str" cm="1">
        <f t="array" ref="A1273">INDEX(Sheet1!A:A,$F1273)</f>
        <v>F</v>
      </c>
      <c r="B1273" s="4" t="str" cm="1">
        <f t="array" ref="B1273">INDEX(Sheet1!B:B,$F1273)</f>
        <v>Non-Pref NS</v>
      </c>
      <c r="C1273" s="4">
        <f t="shared" si="77"/>
        <v>71</v>
      </c>
      <c r="D1273" s="5" cm="1">
        <f t="array" aca="1" ref="D1273" ca="1">OFFSET(INDIRECT("'["&amp;$H1273&amp;"]"&amp;$I1273&amp;"'!"&amp;$J1273),$L1273,$M1273)*$K1273</f>
        <v>1.7180000000000001E-2</v>
      </c>
      <c r="F1273" s="4">
        <f t="shared" si="78"/>
        <v>14</v>
      </c>
      <c r="G1273" s="4" cm="1">
        <f t="array" ref="G1273">IF($C1273+$M1273&lt;16,INDEX(Sheet1!C:C,$F1273),$F1273)</f>
        <v>14</v>
      </c>
      <c r="H1273" s="4" t="str" cm="1">
        <f t="array" ref="H1273">INDEX(Sheet1!D:D,$G1273)</f>
        <v>2001-cso-preferred-class-structure-mortality-tables.xls</v>
      </c>
      <c r="I1273" s="4" t="str" cm="1">
        <f t="array" ref="I1273">INDEX(Sheet1!E:E,$G1273)</f>
        <v>A.1.b.iii</v>
      </c>
      <c r="J1273" s="4" t="str" cm="1">
        <f t="array" ref="J1273">INDEX(Sheet1!F:F,$G1273)</f>
        <v>B8</v>
      </c>
      <c r="K1273" s="4" cm="1">
        <f t="array" ref="K1273">INDEX(Sheet1!H:H,$G1273)</f>
        <v>1E-3</v>
      </c>
      <c r="L1273" s="4">
        <f t="shared" si="76"/>
        <v>71</v>
      </c>
      <c r="M1273" s="4">
        <f t="shared" si="79"/>
        <v>5</v>
      </c>
    </row>
    <row r="1274" spans="1:13">
      <c r="A1274" s="4" t="str" cm="1">
        <f t="array" ref="A1274">INDEX(Sheet1!A:A,$F1274)</f>
        <v>F</v>
      </c>
      <c r="B1274" s="4" t="str" cm="1">
        <f t="array" ref="B1274">INDEX(Sheet1!B:B,$F1274)</f>
        <v>Non-Pref NS</v>
      </c>
      <c r="C1274" s="4">
        <f t="shared" si="77"/>
        <v>72</v>
      </c>
      <c r="D1274" s="5" cm="1">
        <f t="array" aca="1" ref="D1274" ca="1">OFFSET(INDIRECT("'["&amp;$H1274&amp;"]"&amp;$I1274&amp;"'!"&amp;$J1274),$L1274,$M1274)*$K1274</f>
        <v>1.9300000000000001E-2</v>
      </c>
      <c r="F1274" s="4">
        <f t="shared" si="78"/>
        <v>14</v>
      </c>
      <c r="G1274" s="4" cm="1">
        <f t="array" ref="G1274">IF($C1274+$M1274&lt;16,INDEX(Sheet1!C:C,$F1274),$F1274)</f>
        <v>14</v>
      </c>
      <c r="H1274" s="4" t="str" cm="1">
        <f t="array" ref="H1274">INDEX(Sheet1!D:D,$G1274)</f>
        <v>2001-cso-preferred-class-structure-mortality-tables.xls</v>
      </c>
      <c r="I1274" s="4" t="str" cm="1">
        <f t="array" ref="I1274">INDEX(Sheet1!E:E,$G1274)</f>
        <v>A.1.b.iii</v>
      </c>
      <c r="J1274" s="4" t="str" cm="1">
        <f t="array" ref="J1274">INDEX(Sheet1!F:F,$G1274)</f>
        <v>B8</v>
      </c>
      <c r="K1274" s="4" cm="1">
        <f t="array" ref="K1274">INDEX(Sheet1!H:H,$G1274)</f>
        <v>1E-3</v>
      </c>
      <c r="L1274" s="4">
        <f t="shared" si="76"/>
        <v>72</v>
      </c>
      <c r="M1274" s="4">
        <f t="shared" si="79"/>
        <v>5</v>
      </c>
    </row>
    <row r="1275" spans="1:13">
      <c r="A1275" s="4" t="str" cm="1">
        <f t="array" ref="A1275">INDEX(Sheet1!A:A,$F1275)</f>
        <v>F</v>
      </c>
      <c r="B1275" s="4" t="str" cm="1">
        <f t="array" ref="B1275">INDEX(Sheet1!B:B,$F1275)</f>
        <v>Non-Pref NS</v>
      </c>
      <c r="C1275" s="4">
        <f t="shared" si="77"/>
        <v>73</v>
      </c>
      <c r="D1275" s="5" cm="1">
        <f t="array" aca="1" ref="D1275" ca="1">OFFSET(INDIRECT("'["&amp;$H1275&amp;"]"&amp;$I1275&amp;"'!"&amp;$J1275),$L1275,$M1275)*$K1275</f>
        <v>2.1760000000000002E-2</v>
      </c>
      <c r="F1275" s="4">
        <f t="shared" si="78"/>
        <v>14</v>
      </c>
      <c r="G1275" s="4" cm="1">
        <f t="array" ref="G1275">IF($C1275+$M1275&lt;16,INDEX(Sheet1!C:C,$F1275),$F1275)</f>
        <v>14</v>
      </c>
      <c r="H1275" s="4" t="str" cm="1">
        <f t="array" ref="H1275">INDEX(Sheet1!D:D,$G1275)</f>
        <v>2001-cso-preferred-class-structure-mortality-tables.xls</v>
      </c>
      <c r="I1275" s="4" t="str" cm="1">
        <f t="array" ref="I1275">INDEX(Sheet1!E:E,$G1275)</f>
        <v>A.1.b.iii</v>
      </c>
      <c r="J1275" s="4" t="str" cm="1">
        <f t="array" ref="J1275">INDEX(Sheet1!F:F,$G1275)</f>
        <v>B8</v>
      </c>
      <c r="K1275" s="4" cm="1">
        <f t="array" ref="K1275">INDEX(Sheet1!H:H,$G1275)</f>
        <v>1E-3</v>
      </c>
      <c r="L1275" s="4">
        <f t="shared" si="76"/>
        <v>73</v>
      </c>
      <c r="M1275" s="4">
        <f t="shared" si="79"/>
        <v>5</v>
      </c>
    </row>
    <row r="1276" spans="1:13">
      <c r="A1276" s="4" t="str" cm="1">
        <f t="array" ref="A1276">INDEX(Sheet1!A:A,$F1276)</f>
        <v>F</v>
      </c>
      <c r="B1276" s="4" t="str" cm="1">
        <f t="array" ref="B1276">INDEX(Sheet1!B:B,$F1276)</f>
        <v>Non-Pref NS</v>
      </c>
      <c r="C1276" s="4">
        <f t="shared" si="77"/>
        <v>74</v>
      </c>
      <c r="D1276" s="5" cm="1">
        <f t="array" aca="1" ref="D1276" ca="1">OFFSET(INDIRECT("'["&amp;$H1276&amp;"]"&amp;$I1276&amp;"'!"&amp;$J1276),$L1276,$M1276)*$K1276</f>
        <v>2.4629999999999999E-2</v>
      </c>
      <c r="F1276" s="4">
        <f t="shared" si="78"/>
        <v>14</v>
      </c>
      <c r="G1276" s="4" cm="1">
        <f t="array" ref="G1276">IF($C1276+$M1276&lt;16,INDEX(Sheet1!C:C,$F1276),$F1276)</f>
        <v>14</v>
      </c>
      <c r="H1276" s="4" t="str" cm="1">
        <f t="array" ref="H1276">INDEX(Sheet1!D:D,$G1276)</f>
        <v>2001-cso-preferred-class-structure-mortality-tables.xls</v>
      </c>
      <c r="I1276" s="4" t="str" cm="1">
        <f t="array" ref="I1276">INDEX(Sheet1!E:E,$G1276)</f>
        <v>A.1.b.iii</v>
      </c>
      <c r="J1276" s="4" t="str" cm="1">
        <f t="array" ref="J1276">INDEX(Sheet1!F:F,$G1276)</f>
        <v>B8</v>
      </c>
      <c r="K1276" s="4" cm="1">
        <f t="array" ref="K1276">INDEX(Sheet1!H:H,$G1276)</f>
        <v>1E-3</v>
      </c>
      <c r="L1276" s="4">
        <f t="shared" si="76"/>
        <v>74</v>
      </c>
      <c r="M1276" s="4">
        <f t="shared" si="79"/>
        <v>5</v>
      </c>
    </row>
    <row r="1277" spans="1:13">
      <c r="A1277" s="4" t="str" cm="1">
        <f t="array" ref="A1277">INDEX(Sheet1!A:A,$F1277)</f>
        <v>F</v>
      </c>
      <c r="B1277" s="4" t="str" cm="1">
        <f t="array" ref="B1277">INDEX(Sheet1!B:B,$F1277)</f>
        <v>Non-Pref NS</v>
      </c>
      <c r="C1277" s="4">
        <f t="shared" si="77"/>
        <v>75</v>
      </c>
      <c r="D1277" s="5" cm="1">
        <f t="array" aca="1" ref="D1277" ca="1">OFFSET(INDIRECT("'["&amp;$H1277&amp;"]"&amp;$I1277&amp;"'!"&amp;$J1277),$L1277,$M1277)*$K1277</f>
        <v>2.7969999999999998E-2</v>
      </c>
      <c r="F1277" s="4">
        <f t="shared" si="78"/>
        <v>14</v>
      </c>
      <c r="G1277" s="4" cm="1">
        <f t="array" ref="G1277">IF($C1277+$M1277&lt;16,INDEX(Sheet1!C:C,$F1277),$F1277)</f>
        <v>14</v>
      </c>
      <c r="H1277" s="4" t="str" cm="1">
        <f t="array" ref="H1277">INDEX(Sheet1!D:D,$G1277)</f>
        <v>2001-cso-preferred-class-structure-mortality-tables.xls</v>
      </c>
      <c r="I1277" s="4" t="str" cm="1">
        <f t="array" ref="I1277">INDEX(Sheet1!E:E,$G1277)</f>
        <v>A.1.b.iii</v>
      </c>
      <c r="J1277" s="4" t="str" cm="1">
        <f t="array" ref="J1277">INDEX(Sheet1!F:F,$G1277)</f>
        <v>B8</v>
      </c>
      <c r="K1277" s="4" cm="1">
        <f t="array" ref="K1277">INDEX(Sheet1!H:H,$G1277)</f>
        <v>1E-3</v>
      </c>
      <c r="L1277" s="4">
        <f t="shared" si="76"/>
        <v>75</v>
      </c>
      <c r="M1277" s="4">
        <f t="shared" si="79"/>
        <v>5</v>
      </c>
    </row>
    <row r="1278" spans="1:13">
      <c r="A1278" s="4" t="str" cm="1">
        <f t="array" ref="A1278">INDEX(Sheet1!A:A,$F1278)</f>
        <v>F</v>
      </c>
      <c r="B1278" s="4" t="str" cm="1">
        <f t="array" ref="B1278">INDEX(Sheet1!B:B,$F1278)</f>
        <v>Non-Pref NS</v>
      </c>
      <c r="C1278" s="4">
        <f t="shared" si="77"/>
        <v>76</v>
      </c>
      <c r="D1278" s="5" cm="1">
        <f t="array" aca="1" ref="D1278" ca="1">OFFSET(INDIRECT("'["&amp;$H1278&amp;"]"&amp;$I1278&amp;"'!"&amp;$J1278),$L1278,$M1278)*$K1278</f>
        <v>3.1739999999999997E-2</v>
      </c>
      <c r="F1278" s="4">
        <f t="shared" si="78"/>
        <v>14</v>
      </c>
      <c r="G1278" s="4" cm="1">
        <f t="array" ref="G1278">IF($C1278+$M1278&lt;16,INDEX(Sheet1!C:C,$F1278),$F1278)</f>
        <v>14</v>
      </c>
      <c r="H1278" s="4" t="str" cm="1">
        <f t="array" ref="H1278">INDEX(Sheet1!D:D,$G1278)</f>
        <v>2001-cso-preferred-class-structure-mortality-tables.xls</v>
      </c>
      <c r="I1278" s="4" t="str" cm="1">
        <f t="array" ref="I1278">INDEX(Sheet1!E:E,$G1278)</f>
        <v>A.1.b.iii</v>
      </c>
      <c r="J1278" s="4" t="str" cm="1">
        <f t="array" ref="J1278">INDEX(Sheet1!F:F,$G1278)</f>
        <v>B8</v>
      </c>
      <c r="K1278" s="4" cm="1">
        <f t="array" ref="K1278">INDEX(Sheet1!H:H,$G1278)</f>
        <v>1E-3</v>
      </c>
      <c r="L1278" s="4">
        <f t="shared" si="76"/>
        <v>76</v>
      </c>
      <c r="M1278" s="4">
        <f t="shared" si="79"/>
        <v>5</v>
      </c>
    </row>
    <row r="1279" spans="1:13">
      <c r="A1279" s="4" t="str" cm="1">
        <f t="array" ref="A1279">INDEX(Sheet1!A:A,$F1279)</f>
        <v>F</v>
      </c>
      <c r="B1279" s="4" t="str" cm="1">
        <f t="array" ref="B1279">INDEX(Sheet1!B:B,$F1279)</f>
        <v>Non-Pref NS</v>
      </c>
      <c r="C1279" s="4">
        <f t="shared" si="77"/>
        <v>77</v>
      </c>
      <c r="D1279" s="5" cm="1">
        <f t="array" aca="1" ref="D1279" ca="1">OFFSET(INDIRECT("'["&amp;$H1279&amp;"]"&amp;$I1279&amp;"'!"&amp;$J1279),$L1279,$M1279)*$K1279</f>
        <v>3.6020000000000003E-2</v>
      </c>
      <c r="F1279" s="4">
        <f t="shared" si="78"/>
        <v>14</v>
      </c>
      <c r="G1279" s="4" cm="1">
        <f t="array" ref="G1279">IF($C1279+$M1279&lt;16,INDEX(Sheet1!C:C,$F1279),$F1279)</f>
        <v>14</v>
      </c>
      <c r="H1279" s="4" t="str" cm="1">
        <f t="array" ref="H1279">INDEX(Sheet1!D:D,$G1279)</f>
        <v>2001-cso-preferred-class-structure-mortality-tables.xls</v>
      </c>
      <c r="I1279" s="4" t="str" cm="1">
        <f t="array" ref="I1279">INDEX(Sheet1!E:E,$G1279)</f>
        <v>A.1.b.iii</v>
      </c>
      <c r="J1279" s="4" t="str" cm="1">
        <f t="array" ref="J1279">INDEX(Sheet1!F:F,$G1279)</f>
        <v>B8</v>
      </c>
      <c r="K1279" s="4" cm="1">
        <f t="array" ref="K1279">INDEX(Sheet1!H:H,$G1279)</f>
        <v>1E-3</v>
      </c>
      <c r="L1279" s="4">
        <f t="shared" si="76"/>
        <v>77</v>
      </c>
      <c r="M1279" s="4">
        <f t="shared" si="79"/>
        <v>5</v>
      </c>
    </row>
    <row r="1280" spans="1:13">
      <c r="A1280" s="4" t="str" cm="1">
        <f t="array" ref="A1280">INDEX(Sheet1!A:A,$F1280)</f>
        <v>F</v>
      </c>
      <c r="B1280" s="4" t="str" cm="1">
        <f t="array" ref="B1280">INDEX(Sheet1!B:B,$F1280)</f>
        <v>Non-Pref NS</v>
      </c>
      <c r="C1280" s="4">
        <f t="shared" si="77"/>
        <v>78</v>
      </c>
      <c r="D1280" s="5" cm="1">
        <f t="array" aca="1" ref="D1280" ca="1">OFFSET(INDIRECT("'["&amp;$H1280&amp;"]"&amp;$I1280&amp;"'!"&amp;$J1280),$L1280,$M1280)*$K1280</f>
        <v>4.0920000000000005E-2</v>
      </c>
      <c r="F1280" s="4">
        <f t="shared" si="78"/>
        <v>14</v>
      </c>
      <c r="G1280" s="4" cm="1">
        <f t="array" ref="G1280">IF($C1280+$M1280&lt;16,INDEX(Sheet1!C:C,$F1280),$F1280)</f>
        <v>14</v>
      </c>
      <c r="H1280" s="4" t="str" cm="1">
        <f t="array" ref="H1280">INDEX(Sheet1!D:D,$G1280)</f>
        <v>2001-cso-preferred-class-structure-mortality-tables.xls</v>
      </c>
      <c r="I1280" s="4" t="str" cm="1">
        <f t="array" ref="I1280">INDEX(Sheet1!E:E,$G1280)</f>
        <v>A.1.b.iii</v>
      </c>
      <c r="J1280" s="4" t="str" cm="1">
        <f t="array" ref="J1280">INDEX(Sheet1!F:F,$G1280)</f>
        <v>B8</v>
      </c>
      <c r="K1280" s="4" cm="1">
        <f t="array" ref="K1280">INDEX(Sheet1!H:H,$G1280)</f>
        <v>1E-3</v>
      </c>
      <c r="L1280" s="4">
        <f t="shared" si="76"/>
        <v>78</v>
      </c>
      <c r="M1280" s="4">
        <f t="shared" si="79"/>
        <v>5</v>
      </c>
    </row>
    <row r="1281" spans="1:13">
      <c r="A1281" s="4" t="str" cm="1">
        <f t="array" ref="A1281">INDEX(Sheet1!A:A,$F1281)</f>
        <v>F</v>
      </c>
      <c r="B1281" s="4" t="str" cm="1">
        <f t="array" ref="B1281">INDEX(Sheet1!B:B,$F1281)</f>
        <v>Non-Pref NS</v>
      </c>
      <c r="C1281" s="4">
        <f t="shared" si="77"/>
        <v>79</v>
      </c>
      <c r="D1281" s="5" cm="1">
        <f t="array" aca="1" ref="D1281" ca="1">OFFSET(INDIRECT("'["&amp;$H1281&amp;"]"&amp;$I1281&amp;"'!"&amp;$J1281),$L1281,$M1281)*$K1281</f>
        <v>4.6520000000000006E-2</v>
      </c>
      <c r="F1281" s="4">
        <f t="shared" si="78"/>
        <v>14</v>
      </c>
      <c r="G1281" s="4" cm="1">
        <f t="array" ref="G1281">IF($C1281+$M1281&lt;16,INDEX(Sheet1!C:C,$F1281),$F1281)</f>
        <v>14</v>
      </c>
      <c r="H1281" s="4" t="str" cm="1">
        <f t="array" ref="H1281">INDEX(Sheet1!D:D,$G1281)</f>
        <v>2001-cso-preferred-class-structure-mortality-tables.xls</v>
      </c>
      <c r="I1281" s="4" t="str" cm="1">
        <f t="array" ref="I1281">INDEX(Sheet1!E:E,$G1281)</f>
        <v>A.1.b.iii</v>
      </c>
      <c r="J1281" s="4" t="str" cm="1">
        <f t="array" ref="J1281">INDEX(Sheet1!F:F,$G1281)</f>
        <v>B8</v>
      </c>
      <c r="K1281" s="4" cm="1">
        <f t="array" ref="K1281">INDEX(Sheet1!H:H,$G1281)</f>
        <v>1E-3</v>
      </c>
      <c r="L1281" s="4">
        <f t="shared" si="76"/>
        <v>79</v>
      </c>
      <c r="M1281" s="4">
        <f t="shared" si="79"/>
        <v>5</v>
      </c>
    </row>
    <row r="1282" spans="1:13">
      <c r="A1282" s="4" t="str" cm="1">
        <f t="array" ref="A1282">INDEX(Sheet1!A:A,$F1282)</f>
        <v>F</v>
      </c>
      <c r="B1282" s="4" t="str" cm="1">
        <f t="array" ref="B1282">INDEX(Sheet1!B:B,$F1282)</f>
        <v>Non-Pref NS</v>
      </c>
      <c r="C1282" s="4">
        <f t="shared" si="77"/>
        <v>80</v>
      </c>
      <c r="D1282" s="5" cm="1">
        <f t="array" aca="1" ref="D1282" ca="1">OFFSET(INDIRECT("'["&amp;$H1282&amp;"]"&amp;$I1282&amp;"'!"&amp;$J1282),$L1282,$M1282)*$K1282</f>
        <v>5.271E-2</v>
      </c>
      <c r="F1282" s="4">
        <f t="shared" si="78"/>
        <v>14</v>
      </c>
      <c r="G1282" s="4" cm="1">
        <f t="array" ref="G1282">IF($C1282+$M1282&lt;16,INDEX(Sheet1!C:C,$F1282),$F1282)</f>
        <v>14</v>
      </c>
      <c r="H1282" s="4" t="str" cm="1">
        <f t="array" ref="H1282">INDEX(Sheet1!D:D,$G1282)</f>
        <v>2001-cso-preferred-class-structure-mortality-tables.xls</v>
      </c>
      <c r="I1282" s="4" t="str" cm="1">
        <f t="array" ref="I1282">INDEX(Sheet1!E:E,$G1282)</f>
        <v>A.1.b.iii</v>
      </c>
      <c r="J1282" s="4" t="str" cm="1">
        <f t="array" ref="J1282">INDEX(Sheet1!F:F,$G1282)</f>
        <v>B8</v>
      </c>
      <c r="K1282" s="4" cm="1">
        <f t="array" ref="K1282">INDEX(Sheet1!H:H,$G1282)</f>
        <v>1E-3</v>
      </c>
      <c r="L1282" s="4">
        <f t="shared" si="76"/>
        <v>80</v>
      </c>
      <c r="M1282" s="4">
        <f t="shared" si="79"/>
        <v>5</v>
      </c>
    </row>
    <row r="1283" spans="1:13">
      <c r="A1283" s="4" t="str" cm="1">
        <f t="array" ref="A1283">INDEX(Sheet1!A:A,$F1283)</f>
        <v>F</v>
      </c>
      <c r="B1283" s="4" t="str" cm="1">
        <f t="array" ref="B1283">INDEX(Sheet1!B:B,$F1283)</f>
        <v>Non-Pref NS</v>
      </c>
      <c r="C1283" s="4">
        <f t="shared" si="77"/>
        <v>81</v>
      </c>
      <c r="D1283" s="5" cm="1">
        <f t="array" aca="1" ref="D1283" ca="1">OFFSET(INDIRECT("'["&amp;$H1283&amp;"]"&amp;$I1283&amp;"'!"&amp;$J1283),$L1283,$M1283)*$K1283</f>
        <v>5.9580000000000001E-2</v>
      </c>
      <c r="F1283" s="4">
        <f t="shared" si="78"/>
        <v>14</v>
      </c>
      <c r="G1283" s="4" cm="1">
        <f t="array" ref="G1283">IF($C1283+$M1283&lt;16,INDEX(Sheet1!C:C,$F1283),$F1283)</f>
        <v>14</v>
      </c>
      <c r="H1283" s="4" t="str" cm="1">
        <f t="array" ref="H1283">INDEX(Sheet1!D:D,$G1283)</f>
        <v>2001-cso-preferred-class-structure-mortality-tables.xls</v>
      </c>
      <c r="I1283" s="4" t="str" cm="1">
        <f t="array" ref="I1283">INDEX(Sheet1!E:E,$G1283)</f>
        <v>A.1.b.iii</v>
      </c>
      <c r="J1283" s="4" t="str" cm="1">
        <f t="array" ref="J1283">INDEX(Sheet1!F:F,$G1283)</f>
        <v>B8</v>
      </c>
      <c r="K1283" s="4" cm="1">
        <f t="array" ref="K1283">INDEX(Sheet1!H:H,$G1283)</f>
        <v>1E-3</v>
      </c>
      <c r="L1283" s="4">
        <f t="shared" ref="L1283:L1346" si="80">C1283</f>
        <v>81</v>
      </c>
      <c r="M1283" s="4">
        <f t="shared" si="79"/>
        <v>5</v>
      </c>
    </row>
    <row r="1284" spans="1:13">
      <c r="A1284" s="4" t="str" cm="1">
        <f t="array" ref="A1284">INDEX(Sheet1!A:A,$F1284)</f>
        <v>F</v>
      </c>
      <c r="B1284" s="4" t="str" cm="1">
        <f t="array" ref="B1284">INDEX(Sheet1!B:B,$F1284)</f>
        <v>Non-Pref NS</v>
      </c>
      <c r="C1284" s="4">
        <f t="shared" ref="C1284:C1347" si="81">IF(C1283=99,0,C1283+1)</f>
        <v>82</v>
      </c>
      <c r="D1284" s="5" cm="1">
        <f t="array" aca="1" ref="D1284" ca="1">OFFSET(INDIRECT("'["&amp;$H1284&amp;"]"&amp;$I1284&amp;"'!"&amp;$J1284),$L1284,$M1284)*$K1284</f>
        <v>6.7030000000000006E-2</v>
      </c>
      <c r="F1284" s="4">
        <f t="shared" ref="F1284:F1347" si="82">IF(C1284=0,1,0)+F1283</f>
        <v>14</v>
      </c>
      <c r="G1284" s="4" cm="1">
        <f t="array" ref="G1284">IF($C1284+$M1284&lt;16,INDEX(Sheet1!C:C,$F1284),$F1284)</f>
        <v>14</v>
      </c>
      <c r="H1284" s="4" t="str" cm="1">
        <f t="array" ref="H1284">INDEX(Sheet1!D:D,$G1284)</f>
        <v>2001-cso-preferred-class-structure-mortality-tables.xls</v>
      </c>
      <c r="I1284" s="4" t="str" cm="1">
        <f t="array" ref="I1284">INDEX(Sheet1!E:E,$G1284)</f>
        <v>A.1.b.iii</v>
      </c>
      <c r="J1284" s="4" t="str" cm="1">
        <f t="array" ref="J1284">INDEX(Sheet1!F:F,$G1284)</f>
        <v>B8</v>
      </c>
      <c r="K1284" s="4" cm="1">
        <f t="array" ref="K1284">INDEX(Sheet1!H:H,$G1284)</f>
        <v>1E-3</v>
      </c>
      <c r="L1284" s="4">
        <f t="shared" si="80"/>
        <v>82</v>
      </c>
      <c r="M1284" s="4">
        <f t="shared" ref="L1284:M1347" si="83">M$2</f>
        <v>5</v>
      </c>
    </row>
    <row r="1285" spans="1:13">
      <c r="A1285" s="4" t="str" cm="1">
        <f t="array" ref="A1285">INDEX(Sheet1!A:A,$F1285)</f>
        <v>F</v>
      </c>
      <c r="B1285" s="4" t="str" cm="1">
        <f t="array" ref="B1285">INDEX(Sheet1!B:B,$F1285)</f>
        <v>Non-Pref NS</v>
      </c>
      <c r="C1285" s="4">
        <f t="shared" si="81"/>
        <v>83</v>
      </c>
      <c r="D1285" s="5" cm="1">
        <f t="array" aca="1" ref="D1285" ca="1">OFFSET(INDIRECT("'["&amp;$H1285&amp;"]"&amp;$I1285&amp;"'!"&amp;$J1285),$L1285,$M1285)*$K1285</f>
        <v>7.5139999999999998E-2</v>
      </c>
      <c r="F1285" s="4">
        <f t="shared" si="82"/>
        <v>14</v>
      </c>
      <c r="G1285" s="4" cm="1">
        <f t="array" ref="G1285">IF($C1285+$M1285&lt;16,INDEX(Sheet1!C:C,$F1285),$F1285)</f>
        <v>14</v>
      </c>
      <c r="H1285" s="4" t="str" cm="1">
        <f t="array" ref="H1285">INDEX(Sheet1!D:D,$G1285)</f>
        <v>2001-cso-preferred-class-structure-mortality-tables.xls</v>
      </c>
      <c r="I1285" s="4" t="str" cm="1">
        <f t="array" ref="I1285">INDEX(Sheet1!E:E,$G1285)</f>
        <v>A.1.b.iii</v>
      </c>
      <c r="J1285" s="4" t="str" cm="1">
        <f t="array" ref="J1285">INDEX(Sheet1!F:F,$G1285)</f>
        <v>B8</v>
      </c>
      <c r="K1285" s="4" cm="1">
        <f t="array" ref="K1285">INDEX(Sheet1!H:H,$G1285)</f>
        <v>1E-3</v>
      </c>
      <c r="L1285" s="4">
        <f t="shared" si="80"/>
        <v>83</v>
      </c>
      <c r="M1285" s="4">
        <f t="shared" si="83"/>
        <v>5</v>
      </c>
    </row>
    <row r="1286" spans="1:13">
      <c r="A1286" s="4" t="str" cm="1">
        <f t="array" ref="A1286">INDEX(Sheet1!A:A,$F1286)</f>
        <v>F</v>
      </c>
      <c r="B1286" s="4" t="str" cm="1">
        <f t="array" ref="B1286">INDEX(Sheet1!B:B,$F1286)</f>
        <v>Non-Pref NS</v>
      </c>
      <c r="C1286" s="4">
        <f t="shared" si="81"/>
        <v>84</v>
      </c>
      <c r="D1286" s="5" cm="1">
        <f t="array" aca="1" ref="D1286" ca="1">OFFSET(INDIRECT("'["&amp;$H1286&amp;"]"&amp;$I1286&amp;"'!"&amp;$J1286),$L1286,$M1286)*$K1286</f>
        <v>8.3720000000000003E-2</v>
      </c>
      <c r="F1286" s="4">
        <f t="shared" si="82"/>
        <v>14</v>
      </c>
      <c r="G1286" s="4" cm="1">
        <f t="array" ref="G1286">IF($C1286+$M1286&lt;16,INDEX(Sheet1!C:C,$F1286),$F1286)</f>
        <v>14</v>
      </c>
      <c r="H1286" s="4" t="str" cm="1">
        <f t="array" ref="H1286">INDEX(Sheet1!D:D,$G1286)</f>
        <v>2001-cso-preferred-class-structure-mortality-tables.xls</v>
      </c>
      <c r="I1286" s="4" t="str" cm="1">
        <f t="array" ref="I1286">INDEX(Sheet1!E:E,$G1286)</f>
        <v>A.1.b.iii</v>
      </c>
      <c r="J1286" s="4" t="str" cm="1">
        <f t="array" ref="J1286">INDEX(Sheet1!F:F,$G1286)</f>
        <v>B8</v>
      </c>
      <c r="K1286" s="4" cm="1">
        <f t="array" ref="K1286">INDEX(Sheet1!H:H,$G1286)</f>
        <v>1E-3</v>
      </c>
      <c r="L1286" s="4">
        <f t="shared" si="80"/>
        <v>84</v>
      </c>
      <c r="M1286" s="4">
        <f t="shared" si="83"/>
        <v>5</v>
      </c>
    </row>
    <row r="1287" spans="1:13">
      <c r="A1287" s="4" t="str" cm="1">
        <f t="array" ref="A1287">INDEX(Sheet1!A:A,$F1287)</f>
        <v>F</v>
      </c>
      <c r="B1287" s="4" t="str" cm="1">
        <f t="array" ref="B1287">INDEX(Sheet1!B:B,$F1287)</f>
        <v>Non-Pref NS</v>
      </c>
      <c r="C1287" s="4">
        <f t="shared" si="81"/>
        <v>85</v>
      </c>
      <c r="D1287" s="5" cm="1">
        <f t="array" aca="1" ref="D1287" ca="1">OFFSET(INDIRECT("'["&amp;$H1287&amp;"]"&amp;$I1287&amp;"'!"&amp;$J1287),$L1287,$M1287)*$K1287</f>
        <v>9.2780000000000001E-2</v>
      </c>
      <c r="F1287" s="4">
        <f t="shared" si="82"/>
        <v>14</v>
      </c>
      <c r="G1287" s="4" cm="1">
        <f t="array" ref="G1287">IF($C1287+$M1287&lt;16,INDEX(Sheet1!C:C,$F1287),$F1287)</f>
        <v>14</v>
      </c>
      <c r="H1287" s="4" t="str" cm="1">
        <f t="array" ref="H1287">INDEX(Sheet1!D:D,$G1287)</f>
        <v>2001-cso-preferred-class-structure-mortality-tables.xls</v>
      </c>
      <c r="I1287" s="4" t="str" cm="1">
        <f t="array" ref="I1287">INDEX(Sheet1!E:E,$G1287)</f>
        <v>A.1.b.iii</v>
      </c>
      <c r="J1287" s="4" t="str" cm="1">
        <f t="array" ref="J1287">INDEX(Sheet1!F:F,$G1287)</f>
        <v>B8</v>
      </c>
      <c r="K1287" s="4" cm="1">
        <f t="array" ref="K1287">INDEX(Sheet1!H:H,$G1287)</f>
        <v>1E-3</v>
      </c>
      <c r="L1287" s="4">
        <f t="shared" si="80"/>
        <v>85</v>
      </c>
      <c r="M1287" s="4">
        <f t="shared" si="83"/>
        <v>5</v>
      </c>
    </row>
    <row r="1288" spans="1:13">
      <c r="A1288" s="4" t="str" cm="1">
        <f t="array" ref="A1288">INDEX(Sheet1!A:A,$F1288)</f>
        <v>F</v>
      </c>
      <c r="B1288" s="4" t="str" cm="1">
        <f t="array" ref="B1288">INDEX(Sheet1!B:B,$F1288)</f>
        <v>Non-Pref NS</v>
      </c>
      <c r="C1288" s="4">
        <f t="shared" si="81"/>
        <v>86</v>
      </c>
      <c r="D1288" s="5" cm="1">
        <f t="array" aca="1" ref="D1288" ca="1">OFFSET(INDIRECT("'["&amp;$H1288&amp;"]"&amp;$I1288&amp;"'!"&amp;$J1288),$L1288,$M1288)*$K1288</f>
        <v>0.10231999999999999</v>
      </c>
      <c r="F1288" s="4">
        <f t="shared" si="82"/>
        <v>14</v>
      </c>
      <c r="G1288" s="4" cm="1">
        <f t="array" ref="G1288">IF($C1288+$M1288&lt;16,INDEX(Sheet1!C:C,$F1288),$F1288)</f>
        <v>14</v>
      </c>
      <c r="H1288" s="4" t="str" cm="1">
        <f t="array" ref="H1288">INDEX(Sheet1!D:D,$G1288)</f>
        <v>2001-cso-preferred-class-structure-mortality-tables.xls</v>
      </c>
      <c r="I1288" s="4" t="str" cm="1">
        <f t="array" ref="I1288">INDEX(Sheet1!E:E,$G1288)</f>
        <v>A.1.b.iii</v>
      </c>
      <c r="J1288" s="4" t="str" cm="1">
        <f t="array" ref="J1288">INDEX(Sheet1!F:F,$G1288)</f>
        <v>B8</v>
      </c>
      <c r="K1288" s="4" cm="1">
        <f t="array" ref="K1288">INDEX(Sheet1!H:H,$G1288)</f>
        <v>1E-3</v>
      </c>
      <c r="L1288" s="4">
        <f t="shared" si="80"/>
        <v>86</v>
      </c>
      <c r="M1288" s="4">
        <f t="shared" si="83"/>
        <v>5</v>
      </c>
    </row>
    <row r="1289" spans="1:13">
      <c r="A1289" s="4" t="str" cm="1">
        <f t="array" ref="A1289">INDEX(Sheet1!A:A,$F1289)</f>
        <v>F</v>
      </c>
      <c r="B1289" s="4" t="str" cm="1">
        <f t="array" ref="B1289">INDEX(Sheet1!B:B,$F1289)</f>
        <v>Non-Pref NS</v>
      </c>
      <c r="C1289" s="4">
        <f t="shared" si="81"/>
        <v>87</v>
      </c>
      <c r="D1289" s="5" cm="1">
        <f t="array" aca="1" ref="D1289" ca="1">OFFSET(INDIRECT("'["&amp;$H1289&amp;"]"&amp;$I1289&amp;"'!"&amp;$J1289),$L1289,$M1289)*$K1289</f>
        <v>0.11203</v>
      </c>
      <c r="F1289" s="4">
        <f t="shared" si="82"/>
        <v>14</v>
      </c>
      <c r="G1289" s="4" cm="1">
        <f t="array" ref="G1289">IF($C1289+$M1289&lt;16,INDEX(Sheet1!C:C,$F1289),$F1289)</f>
        <v>14</v>
      </c>
      <c r="H1289" s="4" t="str" cm="1">
        <f t="array" ref="H1289">INDEX(Sheet1!D:D,$G1289)</f>
        <v>2001-cso-preferred-class-structure-mortality-tables.xls</v>
      </c>
      <c r="I1289" s="4" t="str" cm="1">
        <f t="array" ref="I1289">INDEX(Sheet1!E:E,$G1289)</f>
        <v>A.1.b.iii</v>
      </c>
      <c r="J1289" s="4" t="str" cm="1">
        <f t="array" ref="J1289">INDEX(Sheet1!F:F,$G1289)</f>
        <v>B8</v>
      </c>
      <c r="K1289" s="4" cm="1">
        <f t="array" ref="K1289">INDEX(Sheet1!H:H,$G1289)</f>
        <v>1E-3</v>
      </c>
      <c r="L1289" s="4">
        <f t="shared" si="80"/>
        <v>87</v>
      </c>
      <c r="M1289" s="4">
        <f t="shared" si="83"/>
        <v>5</v>
      </c>
    </row>
    <row r="1290" spans="1:13">
      <c r="A1290" s="4" t="str" cm="1">
        <f t="array" ref="A1290">INDEX(Sheet1!A:A,$F1290)</f>
        <v>F</v>
      </c>
      <c r="B1290" s="4" t="str" cm="1">
        <f t="array" ref="B1290">INDEX(Sheet1!B:B,$F1290)</f>
        <v>Non-Pref NS</v>
      </c>
      <c r="C1290" s="4">
        <f t="shared" si="81"/>
        <v>88</v>
      </c>
      <c r="D1290" s="5" cm="1">
        <f t="array" aca="1" ref="D1290" ca="1">OFFSET(INDIRECT("'["&amp;$H1290&amp;"]"&amp;$I1290&amp;"'!"&amp;$J1290),$L1290,$M1290)*$K1290</f>
        <v>0.12197</v>
      </c>
      <c r="F1290" s="4">
        <f t="shared" si="82"/>
        <v>14</v>
      </c>
      <c r="G1290" s="4" cm="1">
        <f t="array" ref="G1290">IF($C1290+$M1290&lt;16,INDEX(Sheet1!C:C,$F1290),$F1290)</f>
        <v>14</v>
      </c>
      <c r="H1290" s="4" t="str" cm="1">
        <f t="array" ref="H1290">INDEX(Sheet1!D:D,$G1290)</f>
        <v>2001-cso-preferred-class-structure-mortality-tables.xls</v>
      </c>
      <c r="I1290" s="4" t="str" cm="1">
        <f t="array" ref="I1290">INDEX(Sheet1!E:E,$G1290)</f>
        <v>A.1.b.iii</v>
      </c>
      <c r="J1290" s="4" t="str" cm="1">
        <f t="array" ref="J1290">INDEX(Sheet1!F:F,$G1290)</f>
        <v>B8</v>
      </c>
      <c r="K1290" s="4" cm="1">
        <f t="array" ref="K1290">INDEX(Sheet1!H:H,$G1290)</f>
        <v>1E-3</v>
      </c>
      <c r="L1290" s="4">
        <f t="shared" si="80"/>
        <v>88</v>
      </c>
      <c r="M1290" s="4">
        <f t="shared" si="83"/>
        <v>5</v>
      </c>
    </row>
    <row r="1291" spans="1:13">
      <c r="A1291" s="4" t="str" cm="1">
        <f t="array" ref="A1291">INDEX(Sheet1!A:A,$F1291)</f>
        <v>F</v>
      </c>
      <c r="B1291" s="4" t="str" cm="1">
        <f t="array" ref="B1291">INDEX(Sheet1!B:B,$F1291)</f>
        <v>Non-Pref NS</v>
      </c>
      <c r="C1291" s="4">
        <f t="shared" si="81"/>
        <v>89</v>
      </c>
      <c r="D1291" s="5" cm="1">
        <f t="array" aca="1" ref="D1291" ca="1">OFFSET(INDIRECT("'["&amp;$H1291&amp;"]"&amp;$I1291&amp;"'!"&amp;$J1291),$L1291,$M1291)*$K1291</f>
        <v>0.13184000000000001</v>
      </c>
      <c r="F1291" s="4">
        <f t="shared" si="82"/>
        <v>14</v>
      </c>
      <c r="G1291" s="4" cm="1">
        <f t="array" ref="G1291">IF($C1291+$M1291&lt;16,INDEX(Sheet1!C:C,$F1291),$F1291)</f>
        <v>14</v>
      </c>
      <c r="H1291" s="4" t="str" cm="1">
        <f t="array" ref="H1291">INDEX(Sheet1!D:D,$G1291)</f>
        <v>2001-cso-preferred-class-structure-mortality-tables.xls</v>
      </c>
      <c r="I1291" s="4" t="str" cm="1">
        <f t="array" ref="I1291">INDEX(Sheet1!E:E,$G1291)</f>
        <v>A.1.b.iii</v>
      </c>
      <c r="J1291" s="4" t="str" cm="1">
        <f t="array" ref="J1291">INDEX(Sheet1!F:F,$G1291)</f>
        <v>B8</v>
      </c>
      <c r="K1291" s="4" cm="1">
        <f t="array" ref="K1291">INDEX(Sheet1!H:H,$G1291)</f>
        <v>1E-3</v>
      </c>
      <c r="L1291" s="4">
        <f t="shared" si="80"/>
        <v>89</v>
      </c>
      <c r="M1291" s="4">
        <f t="shared" si="83"/>
        <v>5</v>
      </c>
    </row>
    <row r="1292" spans="1:13">
      <c r="A1292" s="4" t="str" cm="1">
        <f t="array" ref="A1292">INDEX(Sheet1!A:A,$F1292)</f>
        <v>F</v>
      </c>
      <c r="B1292" s="4" t="str" cm="1">
        <f t="array" ref="B1292">INDEX(Sheet1!B:B,$F1292)</f>
        <v>Non-Pref NS</v>
      </c>
      <c r="C1292" s="4">
        <f t="shared" si="81"/>
        <v>90</v>
      </c>
      <c r="D1292" s="5" cm="1">
        <f t="array" aca="1" ref="D1292" ca="1">OFFSET(INDIRECT("'["&amp;$H1292&amp;"]"&amp;$I1292&amp;"'!"&amp;$J1292),$L1292,$M1292)*$K1292</f>
        <v>0.14529</v>
      </c>
      <c r="F1292" s="4">
        <f t="shared" si="82"/>
        <v>14</v>
      </c>
      <c r="G1292" s="4" cm="1">
        <f t="array" ref="G1292">IF($C1292+$M1292&lt;16,INDEX(Sheet1!C:C,$F1292),$F1292)</f>
        <v>14</v>
      </c>
      <c r="H1292" s="4" t="str" cm="1">
        <f t="array" ref="H1292">INDEX(Sheet1!D:D,$G1292)</f>
        <v>2001-cso-preferred-class-structure-mortality-tables.xls</v>
      </c>
      <c r="I1292" s="4" t="str" cm="1">
        <f t="array" ref="I1292">INDEX(Sheet1!E:E,$G1292)</f>
        <v>A.1.b.iii</v>
      </c>
      <c r="J1292" s="4" t="str" cm="1">
        <f t="array" ref="J1292">INDEX(Sheet1!F:F,$G1292)</f>
        <v>B8</v>
      </c>
      <c r="K1292" s="4" cm="1">
        <f t="array" ref="K1292">INDEX(Sheet1!H:H,$G1292)</f>
        <v>1E-3</v>
      </c>
      <c r="L1292" s="4">
        <f t="shared" si="80"/>
        <v>90</v>
      </c>
      <c r="M1292" s="4">
        <f t="shared" si="83"/>
        <v>5</v>
      </c>
    </row>
    <row r="1293" spans="1:13">
      <c r="A1293" s="4" t="str" cm="1">
        <f t="array" ref="A1293">INDEX(Sheet1!A:A,$F1293)</f>
        <v>F</v>
      </c>
      <c r="B1293" s="4" t="str" cm="1">
        <f t="array" ref="B1293">INDEX(Sheet1!B:B,$F1293)</f>
        <v>Non-Pref NS</v>
      </c>
      <c r="C1293" s="4">
        <f t="shared" si="81"/>
        <v>91</v>
      </c>
      <c r="D1293" s="5" cm="1">
        <f t="array" aca="1" ref="D1293" ca="1">OFFSET(INDIRECT("'["&amp;$H1293&amp;"]"&amp;$I1293&amp;"'!"&amp;$J1293),$L1293,$M1293)*$K1293</f>
        <v>0.16028000000000001</v>
      </c>
      <c r="F1293" s="4">
        <f t="shared" si="82"/>
        <v>14</v>
      </c>
      <c r="G1293" s="4" cm="1">
        <f t="array" ref="G1293">IF($C1293+$M1293&lt;16,INDEX(Sheet1!C:C,$F1293),$F1293)</f>
        <v>14</v>
      </c>
      <c r="H1293" s="4" t="str" cm="1">
        <f t="array" ref="H1293">INDEX(Sheet1!D:D,$G1293)</f>
        <v>2001-cso-preferred-class-structure-mortality-tables.xls</v>
      </c>
      <c r="I1293" s="4" t="str" cm="1">
        <f t="array" ref="I1293">INDEX(Sheet1!E:E,$G1293)</f>
        <v>A.1.b.iii</v>
      </c>
      <c r="J1293" s="4" t="str" cm="1">
        <f t="array" ref="J1293">INDEX(Sheet1!F:F,$G1293)</f>
        <v>B8</v>
      </c>
      <c r="K1293" s="4" cm="1">
        <f t="array" ref="K1293">INDEX(Sheet1!H:H,$G1293)</f>
        <v>1E-3</v>
      </c>
      <c r="L1293" s="4">
        <f t="shared" si="80"/>
        <v>91</v>
      </c>
      <c r="M1293" s="4">
        <f t="shared" si="83"/>
        <v>5</v>
      </c>
    </row>
    <row r="1294" spans="1:13">
      <c r="A1294" s="4" t="str" cm="1">
        <f t="array" ref="A1294">INDEX(Sheet1!A:A,$F1294)</f>
        <v>F</v>
      </c>
      <c r="B1294" s="4" t="str" cm="1">
        <f t="array" ref="B1294">INDEX(Sheet1!B:B,$F1294)</f>
        <v>Non-Pref NS</v>
      </c>
      <c r="C1294" s="4">
        <f t="shared" si="81"/>
        <v>92</v>
      </c>
      <c r="D1294" s="5" cm="1">
        <f t="array" aca="1" ref="D1294" ca="1">OFFSET(INDIRECT("'["&amp;$H1294&amp;"]"&amp;$I1294&amp;"'!"&amp;$J1294),$L1294,$M1294)*$K1294</f>
        <v>0.17630000000000001</v>
      </c>
      <c r="F1294" s="4">
        <f t="shared" si="82"/>
        <v>14</v>
      </c>
      <c r="G1294" s="4" cm="1">
        <f t="array" ref="G1294">IF($C1294+$M1294&lt;16,INDEX(Sheet1!C:C,$F1294),$F1294)</f>
        <v>14</v>
      </c>
      <c r="H1294" s="4" t="str" cm="1">
        <f t="array" ref="H1294">INDEX(Sheet1!D:D,$G1294)</f>
        <v>2001-cso-preferred-class-structure-mortality-tables.xls</v>
      </c>
      <c r="I1294" s="4" t="str" cm="1">
        <f t="array" ref="I1294">INDEX(Sheet1!E:E,$G1294)</f>
        <v>A.1.b.iii</v>
      </c>
      <c r="J1294" s="4" t="str" cm="1">
        <f t="array" ref="J1294">INDEX(Sheet1!F:F,$G1294)</f>
        <v>B8</v>
      </c>
      <c r="K1294" s="4" cm="1">
        <f t="array" ref="K1294">INDEX(Sheet1!H:H,$G1294)</f>
        <v>1E-3</v>
      </c>
      <c r="L1294" s="4">
        <f t="shared" si="80"/>
        <v>92</v>
      </c>
      <c r="M1294" s="4">
        <f t="shared" si="83"/>
        <v>5</v>
      </c>
    </row>
    <row r="1295" spans="1:13">
      <c r="A1295" s="4" t="str" cm="1">
        <f t="array" ref="A1295">INDEX(Sheet1!A:A,$F1295)</f>
        <v>F</v>
      </c>
      <c r="B1295" s="4" t="str" cm="1">
        <f t="array" ref="B1295">INDEX(Sheet1!B:B,$F1295)</f>
        <v>Non-Pref NS</v>
      </c>
      <c r="C1295" s="4">
        <f t="shared" si="81"/>
        <v>93</v>
      </c>
      <c r="D1295" s="5" cm="1">
        <f t="array" aca="1" ref="D1295" ca="1">OFFSET(INDIRECT("'["&amp;$H1295&amp;"]"&amp;$I1295&amp;"'!"&amp;$J1295),$L1295,$M1295)*$K1295</f>
        <v>0.19334000000000001</v>
      </c>
      <c r="F1295" s="4">
        <f t="shared" si="82"/>
        <v>14</v>
      </c>
      <c r="G1295" s="4" cm="1">
        <f t="array" ref="G1295">IF($C1295+$M1295&lt;16,INDEX(Sheet1!C:C,$F1295),$F1295)</f>
        <v>14</v>
      </c>
      <c r="H1295" s="4" t="str" cm="1">
        <f t="array" ref="H1295">INDEX(Sheet1!D:D,$G1295)</f>
        <v>2001-cso-preferred-class-structure-mortality-tables.xls</v>
      </c>
      <c r="I1295" s="4" t="str" cm="1">
        <f t="array" ref="I1295">INDEX(Sheet1!E:E,$G1295)</f>
        <v>A.1.b.iii</v>
      </c>
      <c r="J1295" s="4" t="str" cm="1">
        <f t="array" ref="J1295">INDEX(Sheet1!F:F,$G1295)</f>
        <v>B8</v>
      </c>
      <c r="K1295" s="4" cm="1">
        <f t="array" ref="K1295">INDEX(Sheet1!H:H,$G1295)</f>
        <v>1E-3</v>
      </c>
      <c r="L1295" s="4">
        <f t="shared" si="80"/>
        <v>93</v>
      </c>
      <c r="M1295" s="4">
        <f t="shared" si="83"/>
        <v>5</v>
      </c>
    </row>
    <row r="1296" spans="1:13">
      <c r="A1296" s="4" t="str" cm="1">
        <f t="array" ref="A1296">INDEX(Sheet1!A:A,$F1296)</f>
        <v>F</v>
      </c>
      <c r="B1296" s="4" t="str" cm="1">
        <f t="array" ref="B1296">INDEX(Sheet1!B:B,$F1296)</f>
        <v>Non-Pref NS</v>
      </c>
      <c r="C1296" s="4">
        <f t="shared" si="81"/>
        <v>94</v>
      </c>
      <c r="D1296" s="5" cm="1">
        <f t="array" aca="1" ref="D1296" ca="1">OFFSET(INDIRECT("'["&amp;$H1296&amp;"]"&amp;$I1296&amp;"'!"&amp;$J1296),$L1296,$M1296)*$K1296</f>
        <v>0.21146000000000001</v>
      </c>
      <c r="F1296" s="4">
        <f t="shared" si="82"/>
        <v>14</v>
      </c>
      <c r="G1296" s="4" cm="1">
        <f t="array" ref="G1296">IF($C1296+$M1296&lt;16,INDEX(Sheet1!C:C,$F1296),$F1296)</f>
        <v>14</v>
      </c>
      <c r="H1296" s="4" t="str" cm="1">
        <f t="array" ref="H1296">INDEX(Sheet1!D:D,$G1296)</f>
        <v>2001-cso-preferred-class-structure-mortality-tables.xls</v>
      </c>
      <c r="I1296" s="4" t="str" cm="1">
        <f t="array" ref="I1296">INDEX(Sheet1!E:E,$G1296)</f>
        <v>A.1.b.iii</v>
      </c>
      <c r="J1296" s="4" t="str" cm="1">
        <f t="array" ref="J1296">INDEX(Sheet1!F:F,$G1296)</f>
        <v>B8</v>
      </c>
      <c r="K1296" s="4" cm="1">
        <f t="array" ref="K1296">INDEX(Sheet1!H:H,$G1296)</f>
        <v>1E-3</v>
      </c>
      <c r="L1296" s="4">
        <f t="shared" si="80"/>
        <v>94</v>
      </c>
      <c r="M1296" s="4">
        <f t="shared" si="83"/>
        <v>5</v>
      </c>
    </row>
    <row r="1297" spans="1:13">
      <c r="A1297" s="4" t="str" cm="1">
        <f t="array" ref="A1297">INDEX(Sheet1!A:A,$F1297)</f>
        <v>F</v>
      </c>
      <c r="B1297" s="4" t="str" cm="1">
        <f t="array" ref="B1297">INDEX(Sheet1!B:B,$F1297)</f>
        <v>Non-Pref NS</v>
      </c>
      <c r="C1297" s="4">
        <f t="shared" si="81"/>
        <v>95</v>
      </c>
      <c r="D1297" s="5" cm="1">
        <f t="array" aca="1" ref="D1297" ca="1">OFFSET(INDIRECT("'["&amp;$H1297&amp;"]"&amp;$I1297&amp;"'!"&amp;$J1297),$L1297,$M1297)*$K1297</f>
        <v>0.23053000000000001</v>
      </c>
      <c r="F1297" s="4">
        <f t="shared" si="82"/>
        <v>14</v>
      </c>
      <c r="G1297" s="4" cm="1">
        <f t="array" ref="G1297">IF($C1297+$M1297&lt;16,INDEX(Sheet1!C:C,$F1297),$F1297)</f>
        <v>14</v>
      </c>
      <c r="H1297" s="4" t="str" cm="1">
        <f t="array" ref="H1297">INDEX(Sheet1!D:D,$G1297)</f>
        <v>2001-cso-preferred-class-structure-mortality-tables.xls</v>
      </c>
      <c r="I1297" s="4" t="str" cm="1">
        <f t="array" ref="I1297">INDEX(Sheet1!E:E,$G1297)</f>
        <v>A.1.b.iii</v>
      </c>
      <c r="J1297" s="4" t="str" cm="1">
        <f t="array" ref="J1297">INDEX(Sheet1!F:F,$G1297)</f>
        <v>B8</v>
      </c>
      <c r="K1297" s="4" cm="1">
        <f t="array" ref="K1297">INDEX(Sheet1!H:H,$G1297)</f>
        <v>1E-3</v>
      </c>
      <c r="L1297" s="4">
        <f t="shared" si="80"/>
        <v>95</v>
      </c>
      <c r="M1297" s="4">
        <f t="shared" si="83"/>
        <v>5</v>
      </c>
    </row>
    <row r="1298" spans="1:13">
      <c r="A1298" s="4" t="str" cm="1">
        <f t="array" ref="A1298">INDEX(Sheet1!A:A,$F1298)</f>
        <v>F</v>
      </c>
      <c r="B1298" s="4" t="str" cm="1">
        <f t="array" ref="B1298">INDEX(Sheet1!B:B,$F1298)</f>
        <v>Non-Pref NS</v>
      </c>
      <c r="C1298" s="4">
        <f t="shared" si="81"/>
        <v>96</v>
      </c>
      <c r="D1298" s="5" cm="1">
        <f t="array" aca="1" ref="D1298" ca="1">OFFSET(INDIRECT("'["&amp;$H1298&amp;"]"&amp;$I1298&amp;"'!"&amp;$J1298),$L1298,$M1298)*$K1298</f>
        <v>0.25178</v>
      </c>
      <c r="F1298" s="4">
        <f t="shared" si="82"/>
        <v>14</v>
      </c>
      <c r="G1298" s="4" cm="1">
        <f t="array" ref="G1298">IF($C1298+$M1298&lt;16,INDEX(Sheet1!C:C,$F1298),$F1298)</f>
        <v>14</v>
      </c>
      <c r="H1298" s="4" t="str" cm="1">
        <f t="array" ref="H1298">INDEX(Sheet1!D:D,$G1298)</f>
        <v>2001-cso-preferred-class-structure-mortality-tables.xls</v>
      </c>
      <c r="I1298" s="4" t="str" cm="1">
        <f t="array" ref="I1298">INDEX(Sheet1!E:E,$G1298)</f>
        <v>A.1.b.iii</v>
      </c>
      <c r="J1298" s="4" t="str" cm="1">
        <f t="array" ref="J1298">INDEX(Sheet1!F:F,$G1298)</f>
        <v>B8</v>
      </c>
      <c r="K1298" s="4" cm="1">
        <f t="array" ref="K1298">INDEX(Sheet1!H:H,$G1298)</f>
        <v>1E-3</v>
      </c>
      <c r="L1298" s="4">
        <f t="shared" si="80"/>
        <v>96</v>
      </c>
      <c r="M1298" s="4">
        <f t="shared" si="83"/>
        <v>5</v>
      </c>
    </row>
    <row r="1299" spans="1:13">
      <c r="A1299" s="4" t="str" cm="1">
        <f t="array" ref="A1299">INDEX(Sheet1!A:A,$F1299)</f>
        <v>F</v>
      </c>
      <c r="B1299" s="4" t="str" cm="1">
        <f t="array" ref="B1299">INDEX(Sheet1!B:B,$F1299)</f>
        <v>Non-Pref NS</v>
      </c>
      <c r="C1299" s="4">
        <f t="shared" si="81"/>
        <v>97</v>
      </c>
      <c r="D1299" s="5" cm="1">
        <f t="array" aca="1" ref="D1299" ca="1">OFFSET(INDIRECT("'["&amp;$H1299&amp;"]"&amp;$I1299&amp;"'!"&amp;$J1299),$L1299,$M1299)*$K1299</f>
        <v>0.26830000000000004</v>
      </c>
      <c r="F1299" s="4">
        <f t="shared" si="82"/>
        <v>14</v>
      </c>
      <c r="G1299" s="4" cm="1">
        <f t="array" ref="G1299">IF($C1299+$M1299&lt;16,INDEX(Sheet1!C:C,$F1299),$F1299)</f>
        <v>14</v>
      </c>
      <c r="H1299" s="4" t="str" cm="1">
        <f t="array" ref="H1299">INDEX(Sheet1!D:D,$G1299)</f>
        <v>2001-cso-preferred-class-structure-mortality-tables.xls</v>
      </c>
      <c r="I1299" s="4" t="str" cm="1">
        <f t="array" ref="I1299">INDEX(Sheet1!E:E,$G1299)</f>
        <v>A.1.b.iii</v>
      </c>
      <c r="J1299" s="4" t="str" cm="1">
        <f t="array" ref="J1299">INDEX(Sheet1!F:F,$G1299)</f>
        <v>B8</v>
      </c>
      <c r="K1299" s="4" cm="1">
        <f t="array" ref="K1299">INDEX(Sheet1!H:H,$G1299)</f>
        <v>1E-3</v>
      </c>
      <c r="L1299" s="4">
        <f t="shared" si="80"/>
        <v>97</v>
      </c>
      <c r="M1299" s="4">
        <f t="shared" si="83"/>
        <v>5</v>
      </c>
    </row>
    <row r="1300" spans="1:13">
      <c r="A1300" s="4" t="str" cm="1">
        <f t="array" ref="A1300">INDEX(Sheet1!A:A,$F1300)</f>
        <v>F</v>
      </c>
      <c r="B1300" s="4" t="str" cm="1">
        <f t="array" ref="B1300">INDEX(Sheet1!B:B,$F1300)</f>
        <v>Non-Pref NS</v>
      </c>
      <c r="C1300" s="4">
        <f t="shared" si="81"/>
        <v>98</v>
      </c>
      <c r="D1300" s="5" cm="1">
        <f t="array" aca="1" ref="D1300" ca="1">OFFSET(INDIRECT("'["&amp;$H1300&amp;"]"&amp;$I1300&amp;"'!"&amp;$J1300),$L1300,$M1300)*$K1300</f>
        <v>0.28563</v>
      </c>
      <c r="F1300" s="4">
        <f t="shared" si="82"/>
        <v>14</v>
      </c>
      <c r="G1300" s="4" cm="1">
        <f t="array" ref="G1300">IF($C1300+$M1300&lt;16,INDEX(Sheet1!C:C,$F1300),$F1300)</f>
        <v>14</v>
      </c>
      <c r="H1300" s="4" t="str" cm="1">
        <f t="array" ref="H1300">INDEX(Sheet1!D:D,$G1300)</f>
        <v>2001-cso-preferred-class-structure-mortality-tables.xls</v>
      </c>
      <c r="I1300" s="4" t="str" cm="1">
        <f t="array" ref="I1300">INDEX(Sheet1!E:E,$G1300)</f>
        <v>A.1.b.iii</v>
      </c>
      <c r="J1300" s="4" t="str" cm="1">
        <f t="array" ref="J1300">INDEX(Sheet1!F:F,$G1300)</f>
        <v>B8</v>
      </c>
      <c r="K1300" s="4" cm="1">
        <f t="array" ref="K1300">INDEX(Sheet1!H:H,$G1300)</f>
        <v>1E-3</v>
      </c>
      <c r="L1300" s="4">
        <f t="shared" si="80"/>
        <v>98</v>
      </c>
      <c r="M1300" s="4">
        <f t="shared" si="83"/>
        <v>5</v>
      </c>
    </row>
    <row r="1301" spans="1:13">
      <c r="A1301" s="4" t="str" cm="1">
        <f t="array" ref="A1301">INDEX(Sheet1!A:A,$F1301)</f>
        <v>F</v>
      </c>
      <c r="B1301" s="4" t="str" cm="1">
        <f t="array" ref="B1301">INDEX(Sheet1!B:B,$F1301)</f>
        <v>Non-Pref NS</v>
      </c>
      <c r="C1301" s="4">
        <f t="shared" si="81"/>
        <v>99</v>
      </c>
      <c r="D1301" s="5" cm="1">
        <f t="array" aca="1" ref="D1301" ca="1">OFFSET(INDIRECT("'["&amp;$H1301&amp;"]"&amp;$I1301&amp;"'!"&amp;$J1301),$L1301,$M1301)*$K1301</f>
        <v>0.30377999999999999</v>
      </c>
      <c r="F1301" s="4">
        <f t="shared" si="82"/>
        <v>14</v>
      </c>
      <c r="G1301" s="4" cm="1">
        <f t="array" ref="G1301">IF($C1301+$M1301&lt;16,INDEX(Sheet1!C:C,$F1301),$F1301)</f>
        <v>14</v>
      </c>
      <c r="H1301" s="4" t="str" cm="1">
        <f t="array" ref="H1301">INDEX(Sheet1!D:D,$G1301)</f>
        <v>2001-cso-preferred-class-structure-mortality-tables.xls</v>
      </c>
      <c r="I1301" s="4" t="str" cm="1">
        <f t="array" ref="I1301">INDEX(Sheet1!E:E,$G1301)</f>
        <v>A.1.b.iii</v>
      </c>
      <c r="J1301" s="4" t="str" cm="1">
        <f t="array" ref="J1301">INDEX(Sheet1!F:F,$G1301)</f>
        <v>B8</v>
      </c>
      <c r="K1301" s="4" cm="1">
        <f t="array" ref="K1301">INDEX(Sheet1!H:H,$G1301)</f>
        <v>1E-3</v>
      </c>
      <c r="L1301" s="4">
        <f t="shared" si="80"/>
        <v>99</v>
      </c>
      <c r="M1301" s="4">
        <f t="shared" si="83"/>
        <v>5</v>
      </c>
    </row>
    <row r="1302" spans="1:13">
      <c r="A1302" s="4" t="str" cm="1">
        <f t="array" ref="A1302">INDEX(Sheet1!A:A,$F1302)</f>
        <v>F</v>
      </c>
      <c r="B1302" s="4" t="str" cm="1">
        <f t="array" ref="B1302">INDEX(Sheet1!B:B,$F1302)</f>
        <v>Undiff NS</v>
      </c>
      <c r="C1302" s="4">
        <f t="shared" si="81"/>
        <v>0</v>
      </c>
      <c r="D1302" s="5" cm="1">
        <f t="array" aca="1" ref="D1302" ca="1">OFFSET(INDIRECT("'["&amp;$H1302&amp;"]"&amp;$I1302&amp;"'!"&amp;$J1302),$L1302,$M1302)*$K1302</f>
        <v>1.8000000000000001E-4</v>
      </c>
      <c r="F1302" s="4">
        <f t="shared" si="82"/>
        <v>15</v>
      </c>
      <c r="G1302" s="4" cm="1">
        <f t="array" ref="G1302">IF($C1302+$M1302&lt;16,INDEX(Sheet1!C:C,$F1302),$F1302)</f>
        <v>19</v>
      </c>
      <c r="H1302" s="4" t="str" cm="1">
        <f t="array" ref="H1302">INDEX(Sheet1!D:D,$G1302)</f>
        <v>t1139.xlsx</v>
      </c>
      <c r="I1302" s="4" t="str" cm="1">
        <f t="array" ref="I1302">INDEX(Sheet1!E:E,$G1302)</f>
        <v>Sheet1</v>
      </c>
      <c r="J1302" s="4" t="str" cm="1">
        <f t="array" ref="J1302">INDEX(Sheet1!F:F,$G1302)</f>
        <v>B25</v>
      </c>
      <c r="K1302" s="4" cm="1">
        <f t="array" ref="K1302">INDEX(Sheet1!H:H,$G1302)</f>
        <v>1</v>
      </c>
      <c r="L1302" s="4">
        <f t="shared" si="80"/>
        <v>0</v>
      </c>
      <c r="M1302" s="4">
        <f t="shared" si="83"/>
        <v>5</v>
      </c>
    </row>
    <row r="1303" spans="1:13">
      <c r="A1303" s="4" t="str" cm="1">
        <f t="array" ref="A1303">INDEX(Sheet1!A:A,$F1303)</f>
        <v>F</v>
      </c>
      <c r="B1303" s="4" t="str" cm="1">
        <f t="array" ref="B1303">INDEX(Sheet1!B:B,$F1303)</f>
        <v>Undiff NS</v>
      </c>
      <c r="C1303" s="4">
        <f t="shared" si="81"/>
        <v>1</v>
      </c>
      <c r="D1303" s="5" cm="1">
        <f t="array" aca="1" ref="D1303" ca="1">OFFSET(INDIRECT("'["&amp;$H1303&amp;"]"&amp;$I1303&amp;"'!"&amp;$J1303),$L1303,$M1303)*$K1303</f>
        <v>1.8000000000000001E-4</v>
      </c>
      <c r="F1303" s="4">
        <f t="shared" si="82"/>
        <v>15</v>
      </c>
      <c r="G1303" s="4" cm="1">
        <f t="array" ref="G1303">IF($C1303+$M1303&lt;16,INDEX(Sheet1!C:C,$F1303),$F1303)</f>
        <v>19</v>
      </c>
      <c r="H1303" s="4" t="str" cm="1">
        <f t="array" ref="H1303">INDEX(Sheet1!D:D,$G1303)</f>
        <v>t1139.xlsx</v>
      </c>
      <c r="I1303" s="4" t="str" cm="1">
        <f t="array" ref="I1303">INDEX(Sheet1!E:E,$G1303)</f>
        <v>Sheet1</v>
      </c>
      <c r="J1303" s="4" t="str" cm="1">
        <f t="array" ref="J1303">INDEX(Sheet1!F:F,$G1303)</f>
        <v>B25</v>
      </c>
      <c r="K1303" s="4" cm="1">
        <f t="array" ref="K1303">INDEX(Sheet1!H:H,$G1303)</f>
        <v>1</v>
      </c>
      <c r="L1303" s="4">
        <f t="shared" si="80"/>
        <v>1</v>
      </c>
      <c r="M1303" s="4">
        <f t="shared" si="83"/>
        <v>5</v>
      </c>
    </row>
    <row r="1304" spans="1:13">
      <c r="A1304" s="4" t="str" cm="1">
        <f t="array" ref="A1304">INDEX(Sheet1!A:A,$F1304)</f>
        <v>F</v>
      </c>
      <c r="B1304" s="4" t="str" cm="1">
        <f t="array" ref="B1304">INDEX(Sheet1!B:B,$F1304)</f>
        <v>Undiff NS</v>
      </c>
      <c r="C1304" s="4">
        <f t="shared" si="81"/>
        <v>2</v>
      </c>
      <c r="D1304" s="5" cm="1">
        <f t="array" aca="1" ref="D1304" ca="1">OFFSET(INDIRECT("'["&amp;$H1304&amp;"]"&amp;$I1304&amp;"'!"&amp;$J1304),$L1304,$M1304)*$K1304</f>
        <v>1.8000000000000001E-4</v>
      </c>
      <c r="F1304" s="4">
        <f t="shared" si="82"/>
        <v>15</v>
      </c>
      <c r="G1304" s="4" cm="1">
        <f t="array" ref="G1304">IF($C1304+$M1304&lt;16,INDEX(Sheet1!C:C,$F1304),$F1304)</f>
        <v>19</v>
      </c>
      <c r="H1304" s="4" t="str" cm="1">
        <f t="array" ref="H1304">INDEX(Sheet1!D:D,$G1304)</f>
        <v>t1139.xlsx</v>
      </c>
      <c r="I1304" s="4" t="str" cm="1">
        <f t="array" ref="I1304">INDEX(Sheet1!E:E,$G1304)</f>
        <v>Sheet1</v>
      </c>
      <c r="J1304" s="4" t="str" cm="1">
        <f t="array" ref="J1304">INDEX(Sheet1!F:F,$G1304)</f>
        <v>B25</v>
      </c>
      <c r="K1304" s="4" cm="1">
        <f t="array" ref="K1304">INDEX(Sheet1!H:H,$G1304)</f>
        <v>1</v>
      </c>
      <c r="L1304" s="4">
        <f t="shared" si="80"/>
        <v>2</v>
      </c>
      <c r="M1304" s="4">
        <f t="shared" si="83"/>
        <v>5</v>
      </c>
    </row>
    <row r="1305" spans="1:13">
      <c r="A1305" s="4" t="str" cm="1">
        <f t="array" ref="A1305">INDEX(Sheet1!A:A,$F1305)</f>
        <v>F</v>
      </c>
      <c r="B1305" s="4" t="str" cm="1">
        <f t="array" ref="B1305">INDEX(Sheet1!B:B,$F1305)</f>
        <v>Undiff NS</v>
      </c>
      <c r="C1305" s="4">
        <f t="shared" si="81"/>
        <v>3</v>
      </c>
      <c r="D1305" s="5" cm="1">
        <f t="array" aca="1" ref="D1305" ca="1">OFFSET(INDIRECT("'["&amp;$H1305&amp;"]"&amp;$I1305&amp;"'!"&amp;$J1305),$L1305,$M1305)*$K1305</f>
        <v>1.9000000000000001E-4</v>
      </c>
      <c r="F1305" s="4">
        <f t="shared" si="82"/>
        <v>15</v>
      </c>
      <c r="G1305" s="4" cm="1">
        <f t="array" ref="G1305">IF($C1305+$M1305&lt;16,INDEX(Sheet1!C:C,$F1305),$F1305)</f>
        <v>19</v>
      </c>
      <c r="H1305" s="4" t="str" cm="1">
        <f t="array" ref="H1305">INDEX(Sheet1!D:D,$G1305)</f>
        <v>t1139.xlsx</v>
      </c>
      <c r="I1305" s="4" t="str" cm="1">
        <f t="array" ref="I1305">INDEX(Sheet1!E:E,$G1305)</f>
        <v>Sheet1</v>
      </c>
      <c r="J1305" s="4" t="str" cm="1">
        <f t="array" ref="J1305">INDEX(Sheet1!F:F,$G1305)</f>
        <v>B25</v>
      </c>
      <c r="K1305" s="4" cm="1">
        <f t="array" ref="K1305">INDEX(Sheet1!H:H,$G1305)</f>
        <v>1</v>
      </c>
      <c r="L1305" s="4">
        <f t="shared" si="80"/>
        <v>3</v>
      </c>
      <c r="M1305" s="4">
        <f t="shared" si="83"/>
        <v>5</v>
      </c>
    </row>
    <row r="1306" spans="1:13">
      <c r="A1306" s="4" t="str" cm="1">
        <f t="array" ref="A1306">INDEX(Sheet1!A:A,$F1306)</f>
        <v>F</v>
      </c>
      <c r="B1306" s="4" t="str" cm="1">
        <f t="array" ref="B1306">INDEX(Sheet1!B:B,$F1306)</f>
        <v>Undiff NS</v>
      </c>
      <c r="C1306" s="4">
        <f t="shared" si="81"/>
        <v>4</v>
      </c>
      <c r="D1306" s="5" cm="1">
        <f t="array" aca="1" ref="D1306" ca="1">OFFSET(INDIRECT("'["&amp;$H1306&amp;"]"&amp;$I1306&amp;"'!"&amp;$J1306),$L1306,$M1306)*$K1306</f>
        <v>1.9000000000000001E-4</v>
      </c>
      <c r="F1306" s="4">
        <f t="shared" si="82"/>
        <v>15</v>
      </c>
      <c r="G1306" s="4" cm="1">
        <f t="array" ref="G1306">IF($C1306+$M1306&lt;16,INDEX(Sheet1!C:C,$F1306),$F1306)</f>
        <v>19</v>
      </c>
      <c r="H1306" s="4" t="str" cm="1">
        <f t="array" ref="H1306">INDEX(Sheet1!D:D,$G1306)</f>
        <v>t1139.xlsx</v>
      </c>
      <c r="I1306" s="4" t="str" cm="1">
        <f t="array" ref="I1306">INDEX(Sheet1!E:E,$G1306)</f>
        <v>Sheet1</v>
      </c>
      <c r="J1306" s="4" t="str" cm="1">
        <f t="array" ref="J1306">INDEX(Sheet1!F:F,$G1306)</f>
        <v>B25</v>
      </c>
      <c r="K1306" s="4" cm="1">
        <f t="array" ref="K1306">INDEX(Sheet1!H:H,$G1306)</f>
        <v>1</v>
      </c>
      <c r="L1306" s="4">
        <f t="shared" si="80"/>
        <v>4</v>
      </c>
      <c r="M1306" s="4">
        <f t="shared" si="83"/>
        <v>5</v>
      </c>
    </row>
    <row r="1307" spans="1:13">
      <c r="A1307" s="4" t="str" cm="1">
        <f t="array" ref="A1307">INDEX(Sheet1!A:A,$F1307)</f>
        <v>F</v>
      </c>
      <c r="B1307" s="4" t="str" cm="1">
        <f t="array" ref="B1307">INDEX(Sheet1!B:B,$F1307)</f>
        <v>Undiff NS</v>
      </c>
      <c r="C1307" s="4">
        <f t="shared" si="81"/>
        <v>5</v>
      </c>
      <c r="D1307" s="5" cm="1">
        <f t="array" aca="1" ref="D1307" ca="1">OFFSET(INDIRECT("'["&amp;$H1307&amp;"]"&amp;$I1307&amp;"'!"&amp;$J1307),$L1307,$M1307)*$K1307</f>
        <v>1.9000000000000001E-4</v>
      </c>
      <c r="F1307" s="4">
        <f t="shared" si="82"/>
        <v>15</v>
      </c>
      <c r="G1307" s="4" cm="1">
        <f t="array" ref="G1307">IF($C1307+$M1307&lt;16,INDEX(Sheet1!C:C,$F1307),$F1307)</f>
        <v>19</v>
      </c>
      <c r="H1307" s="4" t="str" cm="1">
        <f t="array" ref="H1307">INDEX(Sheet1!D:D,$G1307)</f>
        <v>t1139.xlsx</v>
      </c>
      <c r="I1307" s="4" t="str" cm="1">
        <f t="array" ref="I1307">INDEX(Sheet1!E:E,$G1307)</f>
        <v>Sheet1</v>
      </c>
      <c r="J1307" s="4" t="str" cm="1">
        <f t="array" ref="J1307">INDEX(Sheet1!F:F,$G1307)</f>
        <v>B25</v>
      </c>
      <c r="K1307" s="4" cm="1">
        <f t="array" ref="K1307">INDEX(Sheet1!H:H,$G1307)</f>
        <v>1</v>
      </c>
      <c r="L1307" s="4">
        <f t="shared" si="80"/>
        <v>5</v>
      </c>
      <c r="M1307" s="4">
        <f t="shared" si="83"/>
        <v>5</v>
      </c>
    </row>
    <row r="1308" spans="1:13">
      <c r="A1308" s="4" t="str" cm="1">
        <f t="array" ref="A1308">INDEX(Sheet1!A:A,$F1308)</f>
        <v>F</v>
      </c>
      <c r="B1308" s="4" t="str" cm="1">
        <f t="array" ref="B1308">INDEX(Sheet1!B:B,$F1308)</f>
        <v>Undiff NS</v>
      </c>
      <c r="C1308" s="4">
        <f t="shared" si="81"/>
        <v>6</v>
      </c>
      <c r="D1308" s="5" cm="1">
        <f t="array" aca="1" ref="D1308" ca="1">OFFSET(INDIRECT("'["&amp;$H1308&amp;"]"&amp;$I1308&amp;"'!"&amp;$J1308),$L1308,$M1308)*$K1308</f>
        <v>2.0000000000000001E-4</v>
      </c>
      <c r="F1308" s="4">
        <f t="shared" si="82"/>
        <v>15</v>
      </c>
      <c r="G1308" s="4" cm="1">
        <f t="array" ref="G1308">IF($C1308+$M1308&lt;16,INDEX(Sheet1!C:C,$F1308),$F1308)</f>
        <v>19</v>
      </c>
      <c r="H1308" s="4" t="str" cm="1">
        <f t="array" ref="H1308">INDEX(Sheet1!D:D,$G1308)</f>
        <v>t1139.xlsx</v>
      </c>
      <c r="I1308" s="4" t="str" cm="1">
        <f t="array" ref="I1308">INDEX(Sheet1!E:E,$G1308)</f>
        <v>Sheet1</v>
      </c>
      <c r="J1308" s="4" t="str" cm="1">
        <f t="array" ref="J1308">INDEX(Sheet1!F:F,$G1308)</f>
        <v>B25</v>
      </c>
      <c r="K1308" s="4" cm="1">
        <f t="array" ref="K1308">INDEX(Sheet1!H:H,$G1308)</f>
        <v>1</v>
      </c>
      <c r="L1308" s="4">
        <f t="shared" si="80"/>
        <v>6</v>
      </c>
      <c r="M1308" s="4">
        <f t="shared" si="83"/>
        <v>5</v>
      </c>
    </row>
    <row r="1309" spans="1:13">
      <c r="A1309" s="4" t="str" cm="1">
        <f t="array" ref="A1309">INDEX(Sheet1!A:A,$F1309)</f>
        <v>F</v>
      </c>
      <c r="B1309" s="4" t="str" cm="1">
        <f t="array" ref="B1309">INDEX(Sheet1!B:B,$F1309)</f>
        <v>Undiff NS</v>
      </c>
      <c r="C1309" s="4">
        <f t="shared" si="81"/>
        <v>7</v>
      </c>
      <c r="D1309" s="5" cm="1">
        <f t="array" aca="1" ref="D1309" ca="1">OFFSET(INDIRECT("'["&amp;$H1309&amp;"]"&amp;$I1309&amp;"'!"&amp;$J1309),$L1309,$M1309)*$K1309</f>
        <v>2.2000000000000001E-4</v>
      </c>
      <c r="F1309" s="4">
        <f t="shared" si="82"/>
        <v>15</v>
      </c>
      <c r="G1309" s="4" cm="1">
        <f t="array" ref="G1309">IF($C1309+$M1309&lt;16,INDEX(Sheet1!C:C,$F1309),$F1309)</f>
        <v>19</v>
      </c>
      <c r="H1309" s="4" t="str" cm="1">
        <f t="array" ref="H1309">INDEX(Sheet1!D:D,$G1309)</f>
        <v>t1139.xlsx</v>
      </c>
      <c r="I1309" s="4" t="str" cm="1">
        <f t="array" ref="I1309">INDEX(Sheet1!E:E,$G1309)</f>
        <v>Sheet1</v>
      </c>
      <c r="J1309" s="4" t="str" cm="1">
        <f t="array" ref="J1309">INDEX(Sheet1!F:F,$G1309)</f>
        <v>B25</v>
      </c>
      <c r="K1309" s="4" cm="1">
        <f t="array" ref="K1309">INDEX(Sheet1!H:H,$G1309)</f>
        <v>1</v>
      </c>
      <c r="L1309" s="4">
        <f t="shared" si="80"/>
        <v>7</v>
      </c>
      <c r="M1309" s="4">
        <f t="shared" si="83"/>
        <v>5</v>
      </c>
    </row>
    <row r="1310" spans="1:13">
      <c r="A1310" s="4" t="str" cm="1">
        <f t="array" ref="A1310">INDEX(Sheet1!A:A,$F1310)</f>
        <v>F</v>
      </c>
      <c r="B1310" s="4" t="str" cm="1">
        <f t="array" ref="B1310">INDEX(Sheet1!B:B,$F1310)</f>
        <v>Undiff NS</v>
      </c>
      <c r="C1310" s="4">
        <f t="shared" si="81"/>
        <v>8</v>
      </c>
      <c r="D1310" s="5" cm="1">
        <f t="array" aca="1" ref="D1310" ca="1">OFFSET(INDIRECT("'["&amp;$H1310&amp;"]"&amp;$I1310&amp;"'!"&amp;$J1310),$L1310,$M1310)*$K1310</f>
        <v>2.4000000000000001E-4</v>
      </c>
      <c r="F1310" s="4">
        <f t="shared" si="82"/>
        <v>15</v>
      </c>
      <c r="G1310" s="4" cm="1">
        <f t="array" ref="G1310">IF($C1310+$M1310&lt;16,INDEX(Sheet1!C:C,$F1310),$F1310)</f>
        <v>19</v>
      </c>
      <c r="H1310" s="4" t="str" cm="1">
        <f t="array" ref="H1310">INDEX(Sheet1!D:D,$G1310)</f>
        <v>t1139.xlsx</v>
      </c>
      <c r="I1310" s="4" t="str" cm="1">
        <f t="array" ref="I1310">INDEX(Sheet1!E:E,$G1310)</f>
        <v>Sheet1</v>
      </c>
      <c r="J1310" s="4" t="str" cm="1">
        <f t="array" ref="J1310">INDEX(Sheet1!F:F,$G1310)</f>
        <v>B25</v>
      </c>
      <c r="K1310" s="4" cm="1">
        <f t="array" ref="K1310">INDEX(Sheet1!H:H,$G1310)</f>
        <v>1</v>
      </c>
      <c r="L1310" s="4">
        <f t="shared" si="80"/>
        <v>8</v>
      </c>
      <c r="M1310" s="4">
        <f t="shared" si="83"/>
        <v>5</v>
      </c>
    </row>
    <row r="1311" spans="1:13">
      <c r="A1311" s="4" t="str" cm="1">
        <f t="array" ref="A1311">INDEX(Sheet1!A:A,$F1311)</f>
        <v>F</v>
      </c>
      <c r="B1311" s="4" t="str" cm="1">
        <f t="array" ref="B1311">INDEX(Sheet1!B:B,$F1311)</f>
        <v>Undiff NS</v>
      </c>
      <c r="C1311" s="4">
        <f t="shared" si="81"/>
        <v>9</v>
      </c>
      <c r="D1311" s="5" cm="1">
        <f t="array" aca="1" ref="D1311" ca="1">OFFSET(INDIRECT("'["&amp;$H1311&amp;"]"&amp;$I1311&amp;"'!"&amp;$J1311),$L1311,$M1311)*$K1311</f>
        <v>2.7E-4</v>
      </c>
      <c r="F1311" s="4">
        <f t="shared" si="82"/>
        <v>15</v>
      </c>
      <c r="G1311" s="4" cm="1">
        <f t="array" ref="G1311">IF($C1311+$M1311&lt;16,INDEX(Sheet1!C:C,$F1311),$F1311)</f>
        <v>19</v>
      </c>
      <c r="H1311" s="4" t="str" cm="1">
        <f t="array" ref="H1311">INDEX(Sheet1!D:D,$G1311)</f>
        <v>t1139.xlsx</v>
      </c>
      <c r="I1311" s="4" t="str" cm="1">
        <f t="array" ref="I1311">INDEX(Sheet1!E:E,$G1311)</f>
        <v>Sheet1</v>
      </c>
      <c r="J1311" s="4" t="str" cm="1">
        <f t="array" ref="J1311">INDEX(Sheet1!F:F,$G1311)</f>
        <v>B25</v>
      </c>
      <c r="K1311" s="4" cm="1">
        <f t="array" ref="K1311">INDEX(Sheet1!H:H,$G1311)</f>
        <v>1</v>
      </c>
      <c r="L1311" s="4">
        <f t="shared" si="80"/>
        <v>9</v>
      </c>
      <c r="M1311" s="4">
        <f t="shared" si="83"/>
        <v>5</v>
      </c>
    </row>
    <row r="1312" spans="1:13">
      <c r="A1312" s="4" t="str" cm="1">
        <f t="array" ref="A1312">INDEX(Sheet1!A:A,$F1312)</f>
        <v>F</v>
      </c>
      <c r="B1312" s="4" t="str" cm="1">
        <f t="array" ref="B1312">INDEX(Sheet1!B:B,$F1312)</f>
        <v>Undiff NS</v>
      </c>
      <c r="C1312" s="4">
        <f t="shared" si="81"/>
        <v>10</v>
      </c>
      <c r="D1312" s="5" cm="1">
        <f t="array" aca="1" ref="D1312" ca="1">OFFSET(INDIRECT("'["&amp;$H1312&amp;"]"&amp;$I1312&amp;"'!"&amp;$J1312),$L1312,$M1312)*$K1312</f>
        <v>3.1E-4</v>
      </c>
      <c r="F1312" s="4">
        <f t="shared" si="82"/>
        <v>15</v>
      </c>
      <c r="G1312" s="4" cm="1">
        <f t="array" ref="G1312">IF($C1312+$M1312&lt;16,INDEX(Sheet1!C:C,$F1312),$F1312)</f>
        <v>19</v>
      </c>
      <c r="H1312" s="4" t="str" cm="1">
        <f t="array" ref="H1312">INDEX(Sheet1!D:D,$G1312)</f>
        <v>t1139.xlsx</v>
      </c>
      <c r="I1312" s="4" t="str" cm="1">
        <f t="array" ref="I1312">INDEX(Sheet1!E:E,$G1312)</f>
        <v>Sheet1</v>
      </c>
      <c r="J1312" s="4" t="str" cm="1">
        <f t="array" ref="J1312">INDEX(Sheet1!F:F,$G1312)</f>
        <v>B25</v>
      </c>
      <c r="K1312" s="4" cm="1">
        <f t="array" ref="K1312">INDEX(Sheet1!H:H,$G1312)</f>
        <v>1</v>
      </c>
      <c r="L1312" s="4">
        <f t="shared" si="80"/>
        <v>10</v>
      </c>
      <c r="M1312" s="4">
        <f t="shared" si="83"/>
        <v>5</v>
      </c>
    </row>
    <row r="1313" spans="1:13">
      <c r="A1313" s="4" t="str" cm="1">
        <f t="array" ref="A1313">INDEX(Sheet1!A:A,$F1313)</f>
        <v>F</v>
      </c>
      <c r="B1313" s="4" t="str" cm="1">
        <f t="array" ref="B1313">INDEX(Sheet1!B:B,$F1313)</f>
        <v>Undiff NS</v>
      </c>
      <c r="C1313" s="4">
        <f t="shared" si="81"/>
        <v>11</v>
      </c>
      <c r="D1313" s="5" cm="1">
        <f t="array" aca="1" ref="D1313" ca="1">OFFSET(INDIRECT("'["&amp;$H1313&amp;"]"&amp;$I1313&amp;"'!"&amp;$J1313),$L1313,$M1313)*$K1313</f>
        <v>3.3E-4</v>
      </c>
      <c r="F1313" s="4">
        <f t="shared" si="82"/>
        <v>15</v>
      </c>
      <c r="G1313" s="4" cm="1">
        <f t="array" ref="G1313">IF($C1313+$M1313&lt;16,INDEX(Sheet1!C:C,$F1313),$F1313)</f>
        <v>15</v>
      </c>
      <c r="H1313" s="4" t="str" cm="1">
        <f t="array" ref="H1313">INDEX(Sheet1!D:D,$G1313)</f>
        <v>t1140.xlsx</v>
      </c>
      <c r="I1313" s="4" t="str" cm="1">
        <f t="array" ref="I1313">INDEX(Sheet1!E:E,$G1313)</f>
        <v>Sheet1</v>
      </c>
      <c r="J1313" s="4" t="str" cm="1">
        <f t="array" ref="J1313">INDEX(Sheet1!F:F,$G1313)</f>
        <v>B25</v>
      </c>
      <c r="K1313" s="4" cm="1">
        <f t="array" ref="K1313">INDEX(Sheet1!H:H,$G1313)</f>
        <v>1</v>
      </c>
      <c r="L1313" s="4">
        <f t="shared" si="80"/>
        <v>11</v>
      </c>
      <c r="M1313" s="4">
        <f t="shared" si="83"/>
        <v>5</v>
      </c>
    </row>
    <row r="1314" spans="1:13">
      <c r="A1314" s="4" t="str" cm="1">
        <f t="array" ref="A1314">INDEX(Sheet1!A:A,$F1314)</f>
        <v>F</v>
      </c>
      <c r="B1314" s="4" t="str" cm="1">
        <f t="array" ref="B1314">INDEX(Sheet1!B:B,$F1314)</f>
        <v>Undiff NS</v>
      </c>
      <c r="C1314" s="4">
        <f t="shared" si="81"/>
        <v>12</v>
      </c>
      <c r="D1314" s="5" cm="1">
        <f t="array" aca="1" ref="D1314" ca="1">OFFSET(INDIRECT("'["&amp;$H1314&amp;"]"&amp;$I1314&amp;"'!"&amp;$J1314),$L1314,$M1314)*$K1314</f>
        <v>3.4000000000000002E-4</v>
      </c>
      <c r="F1314" s="4">
        <f t="shared" si="82"/>
        <v>15</v>
      </c>
      <c r="G1314" s="4" cm="1">
        <f t="array" ref="G1314">IF($C1314+$M1314&lt;16,INDEX(Sheet1!C:C,$F1314),$F1314)</f>
        <v>15</v>
      </c>
      <c r="H1314" s="4" t="str" cm="1">
        <f t="array" ref="H1314">INDEX(Sheet1!D:D,$G1314)</f>
        <v>t1140.xlsx</v>
      </c>
      <c r="I1314" s="4" t="str" cm="1">
        <f t="array" ref="I1314">INDEX(Sheet1!E:E,$G1314)</f>
        <v>Sheet1</v>
      </c>
      <c r="J1314" s="4" t="str" cm="1">
        <f t="array" ref="J1314">INDEX(Sheet1!F:F,$G1314)</f>
        <v>B25</v>
      </c>
      <c r="K1314" s="4" cm="1">
        <f t="array" ref="K1314">INDEX(Sheet1!H:H,$G1314)</f>
        <v>1</v>
      </c>
      <c r="L1314" s="4">
        <f t="shared" si="80"/>
        <v>12</v>
      </c>
      <c r="M1314" s="4">
        <f t="shared" si="83"/>
        <v>5</v>
      </c>
    </row>
    <row r="1315" spans="1:13">
      <c r="A1315" s="4" t="str" cm="1">
        <f t="array" ref="A1315">INDEX(Sheet1!A:A,$F1315)</f>
        <v>F</v>
      </c>
      <c r="B1315" s="4" t="str" cm="1">
        <f t="array" ref="B1315">INDEX(Sheet1!B:B,$F1315)</f>
        <v>Undiff NS</v>
      </c>
      <c r="C1315" s="4">
        <f t="shared" si="81"/>
        <v>13</v>
      </c>
      <c r="D1315" s="5" cm="1">
        <f t="array" aca="1" ref="D1315" ca="1">OFFSET(INDIRECT("'["&amp;$H1315&amp;"]"&amp;$I1315&amp;"'!"&amp;$J1315),$L1315,$M1315)*$K1315</f>
        <v>3.4000000000000002E-4</v>
      </c>
      <c r="F1315" s="4">
        <f t="shared" si="82"/>
        <v>15</v>
      </c>
      <c r="G1315" s="4" cm="1">
        <f t="array" ref="G1315">IF($C1315+$M1315&lt;16,INDEX(Sheet1!C:C,$F1315),$F1315)</f>
        <v>15</v>
      </c>
      <c r="H1315" s="4" t="str" cm="1">
        <f t="array" ref="H1315">INDEX(Sheet1!D:D,$G1315)</f>
        <v>t1140.xlsx</v>
      </c>
      <c r="I1315" s="4" t="str" cm="1">
        <f t="array" ref="I1315">INDEX(Sheet1!E:E,$G1315)</f>
        <v>Sheet1</v>
      </c>
      <c r="J1315" s="4" t="str" cm="1">
        <f t="array" ref="J1315">INDEX(Sheet1!F:F,$G1315)</f>
        <v>B25</v>
      </c>
      <c r="K1315" s="4" cm="1">
        <f t="array" ref="K1315">INDEX(Sheet1!H:H,$G1315)</f>
        <v>1</v>
      </c>
      <c r="L1315" s="4">
        <f t="shared" si="80"/>
        <v>13</v>
      </c>
      <c r="M1315" s="4">
        <f t="shared" si="83"/>
        <v>5</v>
      </c>
    </row>
    <row r="1316" spans="1:13">
      <c r="A1316" s="4" t="str" cm="1">
        <f t="array" ref="A1316">INDEX(Sheet1!A:A,$F1316)</f>
        <v>F</v>
      </c>
      <c r="B1316" s="4" t="str" cm="1">
        <f t="array" ref="B1316">INDEX(Sheet1!B:B,$F1316)</f>
        <v>Undiff NS</v>
      </c>
      <c r="C1316" s="4">
        <f t="shared" si="81"/>
        <v>14</v>
      </c>
      <c r="D1316" s="5" cm="1">
        <f t="array" aca="1" ref="D1316" ca="1">OFFSET(INDIRECT("'["&amp;$H1316&amp;"]"&amp;$I1316&amp;"'!"&amp;$J1316),$L1316,$M1316)*$K1316</f>
        <v>3.5E-4</v>
      </c>
      <c r="F1316" s="4">
        <f t="shared" si="82"/>
        <v>15</v>
      </c>
      <c r="G1316" s="4" cm="1">
        <f t="array" ref="G1316">IF($C1316+$M1316&lt;16,INDEX(Sheet1!C:C,$F1316),$F1316)</f>
        <v>15</v>
      </c>
      <c r="H1316" s="4" t="str" cm="1">
        <f t="array" ref="H1316">INDEX(Sheet1!D:D,$G1316)</f>
        <v>t1140.xlsx</v>
      </c>
      <c r="I1316" s="4" t="str" cm="1">
        <f t="array" ref="I1316">INDEX(Sheet1!E:E,$G1316)</f>
        <v>Sheet1</v>
      </c>
      <c r="J1316" s="4" t="str" cm="1">
        <f t="array" ref="J1316">INDEX(Sheet1!F:F,$G1316)</f>
        <v>B25</v>
      </c>
      <c r="K1316" s="4" cm="1">
        <f t="array" ref="K1316">INDEX(Sheet1!H:H,$G1316)</f>
        <v>1</v>
      </c>
      <c r="L1316" s="4">
        <f t="shared" si="80"/>
        <v>14</v>
      </c>
      <c r="M1316" s="4">
        <f t="shared" si="83"/>
        <v>5</v>
      </c>
    </row>
    <row r="1317" spans="1:13">
      <c r="A1317" s="4" t="str" cm="1">
        <f t="array" ref="A1317">INDEX(Sheet1!A:A,$F1317)</f>
        <v>F</v>
      </c>
      <c r="B1317" s="4" t="str" cm="1">
        <f t="array" ref="B1317">INDEX(Sheet1!B:B,$F1317)</f>
        <v>Undiff NS</v>
      </c>
      <c r="C1317" s="4">
        <f t="shared" si="81"/>
        <v>15</v>
      </c>
      <c r="D1317" s="5" cm="1">
        <f t="array" aca="1" ref="D1317" ca="1">OFFSET(INDIRECT("'["&amp;$H1317&amp;"]"&amp;$I1317&amp;"'!"&amp;$J1317),$L1317,$M1317)*$K1317</f>
        <v>3.6000000000000002E-4</v>
      </c>
      <c r="F1317" s="4">
        <f t="shared" si="82"/>
        <v>15</v>
      </c>
      <c r="G1317" s="4" cm="1">
        <f t="array" ref="G1317">IF($C1317+$M1317&lt;16,INDEX(Sheet1!C:C,$F1317),$F1317)</f>
        <v>15</v>
      </c>
      <c r="H1317" s="4" t="str" cm="1">
        <f t="array" ref="H1317">INDEX(Sheet1!D:D,$G1317)</f>
        <v>t1140.xlsx</v>
      </c>
      <c r="I1317" s="4" t="str" cm="1">
        <f t="array" ref="I1317">INDEX(Sheet1!E:E,$G1317)</f>
        <v>Sheet1</v>
      </c>
      <c r="J1317" s="4" t="str" cm="1">
        <f t="array" ref="J1317">INDEX(Sheet1!F:F,$G1317)</f>
        <v>B25</v>
      </c>
      <c r="K1317" s="4" cm="1">
        <f t="array" ref="K1317">INDEX(Sheet1!H:H,$G1317)</f>
        <v>1</v>
      </c>
      <c r="L1317" s="4">
        <f t="shared" si="80"/>
        <v>15</v>
      </c>
      <c r="M1317" s="4">
        <f t="shared" si="83"/>
        <v>5</v>
      </c>
    </row>
    <row r="1318" spans="1:13">
      <c r="A1318" s="4" t="str" cm="1">
        <f t="array" ref="A1318">INDEX(Sheet1!A:A,$F1318)</f>
        <v>F</v>
      </c>
      <c r="B1318" s="4" t="str" cm="1">
        <f t="array" ref="B1318">INDEX(Sheet1!B:B,$F1318)</f>
        <v>Undiff NS</v>
      </c>
      <c r="C1318" s="4">
        <f t="shared" si="81"/>
        <v>16</v>
      </c>
      <c r="D1318" s="5" cm="1">
        <f t="array" aca="1" ref="D1318" ca="1">OFFSET(INDIRECT("'["&amp;$H1318&amp;"]"&amp;$I1318&amp;"'!"&amp;$J1318),$L1318,$M1318)*$K1318</f>
        <v>3.6000000000000002E-4</v>
      </c>
      <c r="F1318" s="4">
        <f t="shared" si="82"/>
        <v>15</v>
      </c>
      <c r="G1318" s="4" cm="1">
        <f t="array" ref="G1318">IF($C1318+$M1318&lt;16,INDEX(Sheet1!C:C,$F1318),$F1318)</f>
        <v>15</v>
      </c>
      <c r="H1318" s="4" t="str" cm="1">
        <f t="array" ref="H1318">INDEX(Sheet1!D:D,$G1318)</f>
        <v>t1140.xlsx</v>
      </c>
      <c r="I1318" s="4" t="str" cm="1">
        <f t="array" ref="I1318">INDEX(Sheet1!E:E,$G1318)</f>
        <v>Sheet1</v>
      </c>
      <c r="J1318" s="4" t="str" cm="1">
        <f t="array" ref="J1318">INDEX(Sheet1!F:F,$G1318)</f>
        <v>B25</v>
      </c>
      <c r="K1318" s="4" cm="1">
        <f t="array" ref="K1318">INDEX(Sheet1!H:H,$G1318)</f>
        <v>1</v>
      </c>
      <c r="L1318" s="4">
        <f t="shared" si="80"/>
        <v>16</v>
      </c>
      <c r="M1318" s="4">
        <f t="shared" si="83"/>
        <v>5</v>
      </c>
    </row>
    <row r="1319" spans="1:13">
      <c r="A1319" s="4" t="str" cm="1">
        <f t="array" ref="A1319">INDEX(Sheet1!A:A,$F1319)</f>
        <v>F</v>
      </c>
      <c r="B1319" s="4" t="str" cm="1">
        <f t="array" ref="B1319">INDEX(Sheet1!B:B,$F1319)</f>
        <v>Undiff NS</v>
      </c>
      <c r="C1319" s="4">
        <f t="shared" si="81"/>
        <v>17</v>
      </c>
      <c r="D1319" s="5" cm="1">
        <f t="array" aca="1" ref="D1319" ca="1">OFFSET(INDIRECT("'["&amp;$H1319&amp;"]"&amp;$I1319&amp;"'!"&amp;$J1319),$L1319,$M1319)*$K1319</f>
        <v>3.6999999999999999E-4</v>
      </c>
      <c r="F1319" s="4">
        <f t="shared" si="82"/>
        <v>15</v>
      </c>
      <c r="G1319" s="4" cm="1">
        <f t="array" ref="G1319">IF($C1319+$M1319&lt;16,INDEX(Sheet1!C:C,$F1319),$F1319)</f>
        <v>15</v>
      </c>
      <c r="H1319" s="4" t="str" cm="1">
        <f t="array" ref="H1319">INDEX(Sheet1!D:D,$G1319)</f>
        <v>t1140.xlsx</v>
      </c>
      <c r="I1319" s="4" t="str" cm="1">
        <f t="array" ref="I1319">INDEX(Sheet1!E:E,$G1319)</f>
        <v>Sheet1</v>
      </c>
      <c r="J1319" s="4" t="str" cm="1">
        <f t="array" ref="J1319">INDEX(Sheet1!F:F,$G1319)</f>
        <v>B25</v>
      </c>
      <c r="K1319" s="4" cm="1">
        <f t="array" ref="K1319">INDEX(Sheet1!H:H,$G1319)</f>
        <v>1</v>
      </c>
      <c r="L1319" s="4">
        <f t="shared" si="80"/>
        <v>17</v>
      </c>
      <c r="M1319" s="4">
        <f t="shared" si="83"/>
        <v>5</v>
      </c>
    </row>
    <row r="1320" spans="1:13">
      <c r="A1320" s="4" t="str" cm="1">
        <f t="array" ref="A1320">INDEX(Sheet1!A:A,$F1320)</f>
        <v>F</v>
      </c>
      <c r="B1320" s="4" t="str" cm="1">
        <f t="array" ref="B1320">INDEX(Sheet1!B:B,$F1320)</f>
        <v>Undiff NS</v>
      </c>
      <c r="C1320" s="4">
        <f t="shared" si="81"/>
        <v>18</v>
      </c>
      <c r="D1320" s="5" cm="1">
        <f t="array" aca="1" ref="D1320" ca="1">OFFSET(INDIRECT("'["&amp;$H1320&amp;"]"&amp;$I1320&amp;"'!"&amp;$J1320),$L1320,$M1320)*$K1320</f>
        <v>3.6999999999999999E-4</v>
      </c>
      <c r="F1320" s="4">
        <f t="shared" si="82"/>
        <v>15</v>
      </c>
      <c r="G1320" s="4" cm="1">
        <f t="array" ref="G1320">IF($C1320+$M1320&lt;16,INDEX(Sheet1!C:C,$F1320),$F1320)</f>
        <v>15</v>
      </c>
      <c r="H1320" s="4" t="str" cm="1">
        <f t="array" ref="H1320">INDEX(Sheet1!D:D,$G1320)</f>
        <v>t1140.xlsx</v>
      </c>
      <c r="I1320" s="4" t="str" cm="1">
        <f t="array" ref="I1320">INDEX(Sheet1!E:E,$G1320)</f>
        <v>Sheet1</v>
      </c>
      <c r="J1320" s="4" t="str" cm="1">
        <f t="array" ref="J1320">INDEX(Sheet1!F:F,$G1320)</f>
        <v>B25</v>
      </c>
      <c r="K1320" s="4" cm="1">
        <f t="array" ref="K1320">INDEX(Sheet1!H:H,$G1320)</f>
        <v>1</v>
      </c>
      <c r="L1320" s="4">
        <f t="shared" si="80"/>
        <v>18</v>
      </c>
      <c r="M1320" s="4">
        <f t="shared" si="83"/>
        <v>5</v>
      </c>
    </row>
    <row r="1321" spans="1:13">
      <c r="A1321" s="4" t="str" cm="1">
        <f t="array" ref="A1321">INDEX(Sheet1!A:A,$F1321)</f>
        <v>F</v>
      </c>
      <c r="B1321" s="4" t="str" cm="1">
        <f t="array" ref="B1321">INDEX(Sheet1!B:B,$F1321)</f>
        <v>Undiff NS</v>
      </c>
      <c r="C1321" s="4">
        <f t="shared" si="81"/>
        <v>19</v>
      </c>
      <c r="D1321" s="5" cm="1">
        <f t="array" aca="1" ref="D1321" ca="1">OFFSET(INDIRECT("'["&amp;$H1321&amp;"]"&amp;$I1321&amp;"'!"&amp;$J1321),$L1321,$M1321)*$K1321</f>
        <v>3.8000000000000002E-4</v>
      </c>
      <c r="F1321" s="4">
        <f t="shared" si="82"/>
        <v>15</v>
      </c>
      <c r="G1321" s="4" cm="1">
        <f t="array" ref="G1321">IF($C1321+$M1321&lt;16,INDEX(Sheet1!C:C,$F1321),$F1321)</f>
        <v>15</v>
      </c>
      <c r="H1321" s="4" t="str" cm="1">
        <f t="array" ref="H1321">INDEX(Sheet1!D:D,$G1321)</f>
        <v>t1140.xlsx</v>
      </c>
      <c r="I1321" s="4" t="str" cm="1">
        <f t="array" ref="I1321">INDEX(Sheet1!E:E,$G1321)</f>
        <v>Sheet1</v>
      </c>
      <c r="J1321" s="4" t="str" cm="1">
        <f t="array" ref="J1321">INDEX(Sheet1!F:F,$G1321)</f>
        <v>B25</v>
      </c>
      <c r="K1321" s="4" cm="1">
        <f t="array" ref="K1321">INDEX(Sheet1!H:H,$G1321)</f>
        <v>1</v>
      </c>
      <c r="L1321" s="4">
        <f t="shared" si="80"/>
        <v>19</v>
      </c>
      <c r="M1321" s="4">
        <f t="shared" si="83"/>
        <v>5</v>
      </c>
    </row>
    <row r="1322" spans="1:13">
      <c r="A1322" s="4" t="str" cm="1">
        <f t="array" ref="A1322">INDEX(Sheet1!A:A,$F1322)</f>
        <v>F</v>
      </c>
      <c r="B1322" s="4" t="str" cm="1">
        <f t="array" ref="B1322">INDEX(Sheet1!B:B,$F1322)</f>
        <v>Undiff NS</v>
      </c>
      <c r="C1322" s="4">
        <f t="shared" si="81"/>
        <v>20</v>
      </c>
      <c r="D1322" s="5" cm="1">
        <f t="array" aca="1" ref="D1322" ca="1">OFFSET(INDIRECT("'["&amp;$H1322&amp;"]"&amp;$I1322&amp;"'!"&amp;$J1322),$L1322,$M1322)*$K1322</f>
        <v>3.8999999999999999E-4</v>
      </c>
      <c r="F1322" s="4">
        <f t="shared" si="82"/>
        <v>15</v>
      </c>
      <c r="G1322" s="4" cm="1">
        <f t="array" ref="G1322">IF($C1322+$M1322&lt;16,INDEX(Sheet1!C:C,$F1322),$F1322)</f>
        <v>15</v>
      </c>
      <c r="H1322" s="4" t="str" cm="1">
        <f t="array" ref="H1322">INDEX(Sheet1!D:D,$G1322)</f>
        <v>t1140.xlsx</v>
      </c>
      <c r="I1322" s="4" t="str" cm="1">
        <f t="array" ref="I1322">INDEX(Sheet1!E:E,$G1322)</f>
        <v>Sheet1</v>
      </c>
      <c r="J1322" s="4" t="str" cm="1">
        <f t="array" ref="J1322">INDEX(Sheet1!F:F,$G1322)</f>
        <v>B25</v>
      </c>
      <c r="K1322" s="4" cm="1">
        <f t="array" ref="K1322">INDEX(Sheet1!H:H,$G1322)</f>
        <v>1</v>
      </c>
      <c r="L1322" s="4">
        <f t="shared" si="80"/>
        <v>20</v>
      </c>
      <c r="M1322" s="4">
        <f t="shared" si="83"/>
        <v>5</v>
      </c>
    </row>
    <row r="1323" spans="1:13">
      <c r="A1323" s="4" t="str" cm="1">
        <f t="array" ref="A1323">INDEX(Sheet1!A:A,$F1323)</f>
        <v>F</v>
      </c>
      <c r="B1323" s="4" t="str" cm="1">
        <f t="array" ref="B1323">INDEX(Sheet1!B:B,$F1323)</f>
        <v>Undiff NS</v>
      </c>
      <c r="C1323" s="4">
        <f t="shared" si="81"/>
        <v>21</v>
      </c>
      <c r="D1323" s="5" cm="1">
        <f t="array" aca="1" ref="D1323" ca="1">OFFSET(INDIRECT("'["&amp;$H1323&amp;"]"&amp;$I1323&amp;"'!"&amp;$J1323),$L1323,$M1323)*$K1323</f>
        <v>4.0999999999999999E-4</v>
      </c>
      <c r="F1323" s="4">
        <f t="shared" si="82"/>
        <v>15</v>
      </c>
      <c r="G1323" s="4" cm="1">
        <f t="array" ref="G1323">IF($C1323+$M1323&lt;16,INDEX(Sheet1!C:C,$F1323),$F1323)</f>
        <v>15</v>
      </c>
      <c r="H1323" s="4" t="str" cm="1">
        <f t="array" ref="H1323">INDEX(Sheet1!D:D,$G1323)</f>
        <v>t1140.xlsx</v>
      </c>
      <c r="I1323" s="4" t="str" cm="1">
        <f t="array" ref="I1323">INDEX(Sheet1!E:E,$G1323)</f>
        <v>Sheet1</v>
      </c>
      <c r="J1323" s="4" t="str" cm="1">
        <f t="array" ref="J1323">INDEX(Sheet1!F:F,$G1323)</f>
        <v>B25</v>
      </c>
      <c r="K1323" s="4" cm="1">
        <f t="array" ref="K1323">INDEX(Sheet1!H:H,$G1323)</f>
        <v>1</v>
      </c>
      <c r="L1323" s="4">
        <f t="shared" si="80"/>
        <v>21</v>
      </c>
      <c r="M1323" s="4">
        <f t="shared" si="83"/>
        <v>5</v>
      </c>
    </row>
    <row r="1324" spans="1:13">
      <c r="A1324" s="4" t="str" cm="1">
        <f t="array" ref="A1324">INDEX(Sheet1!A:A,$F1324)</f>
        <v>F</v>
      </c>
      <c r="B1324" s="4" t="str" cm="1">
        <f t="array" ref="B1324">INDEX(Sheet1!B:B,$F1324)</f>
        <v>Undiff NS</v>
      </c>
      <c r="C1324" s="4">
        <f t="shared" si="81"/>
        <v>22</v>
      </c>
      <c r="D1324" s="5" cm="1">
        <f t="array" aca="1" ref="D1324" ca="1">OFFSET(INDIRECT("'["&amp;$H1324&amp;"]"&amp;$I1324&amp;"'!"&amp;$J1324),$L1324,$M1324)*$K1324</f>
        <v>4.4000000000000002E-4</v>
      </c>
      <c r="F1324" s="4">
        <f t="shared" si="82"/>
        <v>15</v>
      </c>
      <c r="G1324" s="4" cm="1">
        <f t="array" ref="G1324">IF($C1324+$M1324&lt;16,INDEX(Sheet1!C:C,$F1324),$F1324)</f>
        <v>15</v>
      </c>
      <c r="H1324" s="4" t="str" cm="1">
        <f t="array" ref="H1324">INDEX(Sheet1!D:D,$G1324)</f>
        <v>t1140.xlsx</v>
      </c>
      <c r="I1324" s="4" t="str" cm="1">
        <f t="array" ref="I1324">INDEX(Sheet1!E:E,$G1324)</f>
        <v>Sheet1</v>
      </c>
      <c r="J1324" s="4" t="str" cm="1">
        <f t="array" ref="J1324">INDEX(Sheet1!F:F,$G1324)</f>
        <v>B25</v>
      </c>
      <c r="K1324" s="4" cm="1">
        <f t="array" ref="K1324">INDEX(Sheet1!H:H,$G1324)</f>
        <v>1</v>
      </c>
      <c r="L1324" s="4">
        <f t="shared" si="80"/>
        <v>22</v>
      </c>
      <c r="M1324" s="4">
        <f t="shared" si="83"/>
        <v>5</v>
      </c>
    </row>
    <row r="1325" spans="1:13">
      <c r="A1325" s="4" t="str" cm="1">
        <f t="array" ref="A1325">INDEX(Sheet1!A:A,$F1325)</f>
        <v>F</v>
      </c>
      <c r="B1325" s="4" t="str" cm="1">
        <f t="array" ref="B1325">INDEX(Sheet1!B:B,$F1325)</f>
        <v>Undiff NS</v>
      </c>
      <c r="C1325" s="4">
        <f t="shared" si="81"/>
        <v>23</v>
      </c>
      <c r="D1325" s="5" cm="1">
        <f t="array" aca="1" ref="D1325" ca="1">OFFSET(INDIRECT("'["&amp;$H1325&amp;"]"&amp;$I1325&amp;"'!"&amp;$J1325),$L1325,$M1325)*$K1325</f>
        <v>4.4999999999999999E-4</v>
      </c>
      <c r="F1325" s="4">
        <f t="shared" si="82"/>
        <v>15</v>
      </c>
      <c r="G1325" s="4" cm="1">
        <f t="array" ref="G1325">IF($C1325+$M1325&lt;16,INDEX(Sheet1!C:C,$F1325),$F1325)</f>
        <v>15</v>
      </c>
      <c r="H1325" s="4" t="str" cm="1">
        <f t="array" ref="H1325">INDEX(Sheet1!D:D,$G1325)</f>
        <v>t1140.xlsx</v>
      </c>
      <c r="I1325" s="4" t="str" cm="1">
        <f t="array" ref="I1325">INDEX(Sheet1!E:E,$G1325)</f>
        <v>Sheet1</v>
      </c>
      <c r="J1325" s="4" t="str" cm="1">
        <f t="array" ref="J1325">INDEX(Sheet1!F:F,$G1325)</f>
        <v>B25</v>
      </c>
      <c r="K1325" s="4" cm="1">
        <f t="array" ref="K1325">INDEX(Sheet1!H:H,$G1325)</f>
        <v>1</v>
      </c>
      <c r="L1325" s="4">
        <f t="shared" si="80"/>
        <v>23</v>
      </c>
      <c r="M1325" s="4">
        <f t="shared" si="83"/>
        <v>5</v>
      </c>
    </row>
    <row r="1326" spans="1:13">
      <c r="A1326" s="4" t="str" cm="1">
        <f t="array" ref="A1326">INDEX(Sheet1!A:A,$F1326)</f>
        <v>F</v>
      </c>
      <c r="B1326" s="4" t="str" cm="1">
        <f t="array" ref="B1326">INDEX(Sheet1!B:B,$F1326)</f>
        <v>Undiff NS</v>
      </c>
      <c r="C1326" s="4">
        <f t="shared" si="81"/>
        <v>24</v>
      </c>
      <c r="D1326" s="5" cm="1">
        <f t="array" aca="1" ref="D1326" ca="1">OFFSET(INDIRECT("'["&amp;$H1326&amp;"]"&amp;$I1326&amp;"'!"&amp;$J1326),$L1326,$M1326)*$K1326</f>
        <v>4.6999999999999999E-4</v>
      </c>
      <c r="F1326" s="4">
        <f t="shared" si="82"/>
        <v>15</v>
      </c>
      <c r="G1326" s="4" cm="1">
        <f t="array" ref="G1326">IF($C1326+$M1326&lt;16,INDEX(Sheet1!C:C,$F1326),$F1326)</f>
        <v>15</v>
      </c>
      <c r="H1326" s="4" t="str" cm="1">
        <f t="array" ref="H1326">INDEX(Sheet1!D:D,$G1326)</f>
        <v>t1140.xlsx</v>
      </c>
      <c r="I1326" s="4" t="str" cm="1">
        <f t="array" ref="I1326">INDEX(Sheet1!E:E,$G1326)</f>
        <v>Sheet1</v>
      </c>
      <c r="J1326" s="4" t="str" cm="1">
        <f t="array" ref="J1326">INDEX(Sheet1!F:F,$G1326)</f>
        <v>B25</v>
      </c>
      <c r="K1326" s="4" cm="1">
        <f t="array" ref="K1326">INDEX(Sheet1!H:H,$G1326)</f>
        <v>1</v>
      </c>
      <c r="L1326" s="4">
        <f t="shared" si="80"/>
        <v>24</v>
      </c>
      <c r="M1326" s="4">
        <f t="shared" si="83"/>
        <v>5</v>
      </c>
    </row>
    <row r="1327" spans="1:13">
      <c r="A1327" s="4" t="str" cm="1">
        <f t="array" ref="A1327">INDEX(Sheet1!A:A,$F1327)</f>
        <v>F</v>
      </c>
      <c r="B1327" s="4" t="str" cm="1">
        <f t="array" ref="B1327">INDEX(Sheet1!B:B,$F1327)</f>
        <v>Undiff NS</v>
      </c>
      <c r="C1327" s="4">
        <f t="shared" si="81"/>
        <v>25</v>
      </c>
      <c r="D1327" s="5" cm="1">
        <f t="array" aca="1" ref="D1327" ca="1">OFFSET(INDIRECT("'["&amp;$H1327&amp;"]"&amp;$I1327&amp;"'!"&amp;$J1327),$L1327,$M1327)*$K1327</f>
        <v>5.0000000000000001E-4</v>
      </c>
      <c r="F1327" s="4">
        <f t="shared" si="82"/>
        <v>15</v>
      </c>
      <c r="G1327" s="4" cm="1">
        <f t="array" ref="G1327">IF($C1327+$M1327&lt;16,INDEX(Sheet1!C:C,$F1327),$F1327)</f>
        <v>15</v>
      </c>
      <c r="H1327" s="4" t="str" cm="1">
        <f t="array" ref="H1327">INDEX(Sheet1!D:D,$G1327)</f>
        <v>t1140.xlsx</v>
      </c>
      <c r="I1327" s="4" t="str" cm="1">
        <f t="array" ref="I1327">INDEX(Sheet1!E:E,$G1327)</f>
        <v>Sheet1</v>
      </c>
      <c r="J1327" s="4" t="str" cm="1">
        <f t="array" ref="J1327">INDEX(Sheet1!F:F,$G1327)</f>
        <v>B25</v>
      </c>
      <c r="K1327" s="4" cm="1">
        <f t="array" ref="K1327">INDEX(Sheet1!H:H,$G1327)</f>
        <v>1</v>
      </c>
      <c r="L1327" s="4">
        <f t="shared" si="80"/>
        <v>25</v>
      </c>
      <c r="M1327" s="4">
        <f t="shared" si="83"/>
        <v>5</v>
      </c>
    </row>
    <row r="1328" spans="1:13">
      <c r="A1328" s="4" t="str" cm="1">
        <f t="array" ref="A1328">INDEX(Sheet1!A:A,$F1328)</f>
        <v>F</v>
      </c>
      <c r="B1328" s="4" t="str" cm="1">
        <f t="array" ref="B1328">INDEX(Sheet1!B:B,$F1328)</f>
        <v>Undiff NS</v>
      </c>
      <c r="C1328" s="4">
        <f t="shared" si="81"/>
        <v>26</v>
      </c>
      <c r="D1328" s="5" cm="1">
        <f t="array" aca="1" ref="D1328" ca="1">OFFSET(INDIRECT("'["&amp;$H1328&amp;"]"&amp;$I1328&amp;"'!"&amp;$J1328),$L1328,$M1328)*$K1328</f>
        <v>5.2999999999999998E-4</v>
      </c>
      <c r="F1328" s="4">
        <f t="shared" si="82"/>
        <v>15</v>
      </c>
      <c r="G1328" s="4" cm="1">
        <f t="array" ref="G1328">IF($C1328+$M1328&lt;16,INDEX(Sheet1!C:C,$F1328),$F1328)</f>
        <v>15</v>
      </c>
      <c r="H1328" s="4" t="str" cm="1">
        <f t="array" ref="H1328">INDEX(Sheet1!D:D,$G1328)</f>
        <v>t1140.xlsx</v>
      </c>
      <c r="I1328" s="4" t="str" cm="1">
        <f t="array" ref="I1328">INDEX(Sheet1!E:E,$G1328)</f>
        <v>Sheet1</v>
      </c>
      <c r="J1328" s="4" t="str" cm="1">
        <f t="array" ref="J1328">INDEX(Sheet1!F:F,$G1328)</f>
        <v>B25</v>
      </c>
      <c r="K1328" s="4" cm="1">
        <f t="array" ref="K1328">INDEX(Sheet1!H:H,$G1328)</f>
        <v>1</v>
      </c>
      <c r="L1328" s="4">
        <f t="shared" si="80"/>
        <v>26</v>
      </c>
      <c r="M1328" s="4">
        <f t="shared" si="83"/>
        <v>5</v>
      </c>
    </row>
    <row r="1329" spans="1:13">
      <c r="A1329" s="4" t="str" cm="1">
        <f t="array" ref="A1329">INDEX(Sheet1!A:A,$F1329)</f>
        <v>F</v>
      </c>
      <c r="B1329" s="4" t="str" cm="1">
        <f t="array" ref="B1329">INDEX(Sheet1!B:B,$F1329)</f>
        <v>Undiff NS</v>
      </c>
      <c r="C1329" s="4">
        <f t="shared" si="81"/>
        <v>27</v>
      </c>
      <c r="D1329" s="5" cm="1">
        <f t="array" aca="1" ref="D1329" ca="1">OFFSET(INDIRECT("'["&amp;$H1329&amp;"]"&amp;$I1329&amp;"'!"&amp;$J1329),$L1329,$M1329)*$K1329</f>
        <v>5.5000000000000003E-4</v>
      </c>
      <c r="F1329" s="4">
        <f t="shared" si="82"/>
        <v>15</v>
      </c>
      <c r="G1329" s="4" cm="1">
        <f t="array" ref="G1329">IF($C1329+$M1329&lt;16,INDEX(Sheet1!C:C,$F1329),$F1329)</f>
        <v>15</v>
      </c>
      <c r="H1329" s="4" t="str" cm="1">
        <f t="array" ref="H1329">INDEX(Sheet1!D:D,$G1329)</f>
        <v>t1140.xlsx</v>
      </c>
      <c r="I1329" s="4" t="str" cm="1">
        <f t="array" ref="I1329">INDEX(Sheet1!E:E,$G1329)</f>
        <v>Sheet1</v>
      </c>
      <c r="J1329" s="4" t="str" cm="1">
        <f t="array" ref="J1329">INDEX(Sheet1!F:F,$G1329)</f>
        <v>B25</v>
      </c>
      <c r="K1329" s="4" cm="1">
        <f t="array" ref="K1329">INDEX(Sheet1!H:H,$G1329)</f>
        <v>1</v>
      </c>
      <c r="L1329" s="4">
        <f t="shared" si="80"/>
        <v>27</v>
      </c>
      <c r="M1329" s="4">
        <f t="shared" si="83"/>
        <v>5</v>
      </c>
    </row>
    <row r="1330" spans="1:13">
      <c r="A1330" s="4" t="str" cm="1">
        <f t="array" ref="A1330">INDEX(Sheet1!A:A,$F1330)</f>
        <v>F</v>
      </c>
      <c r="B1330" s="4" t="str" cm="1">
        <f t="array" ref="B1330">INDEX(Sheet1!B:B,$F1330)</f>
        <v>Undiff NS</v>
      </c>
      <c r="C1330" s="4">
        <f t="shared" si="81"/>
        <v>28</v>
      </c>
      <c r="D1330" s="5" cm="1">
        <f t="array" aca="1" ref="D1330" ca="1">OFFSET(INDIRECT("'["&amp;$H1330&amp;"]"&amp;$I1330&amp;"'!"&amp;$J1330),$L1330,$M1330)*$K1330</f>
        <v>5.6999999999999998E-4</v>
      </c>
      <c r="F1330" s="4">
        <f t="shared" si="82"/>
        <v>15</v>
      </c>
      <c r="G1330" s="4" cm="1">
        <f t="array" ref="G1330">IF($C1330+$M1330&lt;16,INDEX(Sheet1!C:C,$F1330),$F1330)</f>
        <v>15</v>
      </c>
      <c r="H1330" s="4" t="str" cm="1">
        <f t="array" ref="H1330">INDEX(Sheet1!D:D,$G1330)</f>
        <v>t1140.xlsx</v>
      </c>
      <c r="I1330" s="4" t="str" cm="1">
        <f t="array" ref="I1330">INDEX(Sheet1!E:E,$G1330)</f>
        <v>Sheet1</v>
      </c>
      <c r="J1330" s="4" t="str" cm="1">
        <f t="array" ref="J1330">INDEX(Sheet1!F:F,$G1330)</f>
        <v>B25</v>
      </c>
      <c r="K1330" s="4" cm="1">
        <f t="array" ref="K1330">INDEX(Sheet1!H:H,$G1330)</f>
        <v>1</v>
      </c>
      <c r="L1330" s="4">
        <f t="shared" si="80"/>
        <v>28</v>
      </c>
      <c r="M1330" s="4">
        <f t="shared" si="83"/>
        <v>5</v>
      </c>
    </row>
    <row r="1331" spans="1:13">
      <c r="A1331" s="4" t="str" cm="1">
        <f t="array" ref="A1331">INDEX(Sheet1!A:A,$F1331)</f>
        <v>F</v>
      </c>
      <c r="B1331" s="4" t="str" cm="1">
        <f t="array" ref="B1331">INDEX(Sheet1!B:B,$F1331)</f>
        <v>Undiff NS</v>
      </c>
      <c r="C1331" s="4">
        <f t="shared" si="81"/>
        <v>29</v>
      </c>
      <c r="D1331" s="5" cm="1">
        <f t="array" aca="1" ref="D1331" ca="1">OFFSET(INDIRECT("'["&amp;$H1331&amp;"]"&amp;$I1331&amp;"'!"&amp;$J1331),$L1331,$M1331)*$K1331</f>
        <v>5.9999999999999995E-4</v>
      </c>
      <c r="F1331" s="4">
        <f t="shared" si="82"/>
        <v>15</v>
      </c>
      <c r="G1331" s="4" cm="1">
        <f t="array" ref="G1331">IF($C1331+$M1331&lt;16,INDEX(Sheet1!C:C,$F1331),$F1331)</f>
        <v>15</v>
      </c>
      <c r="H1331" s="4" t="str" cm="1">
        <f t="array" ref="H1331">INDEX(Sheet1!D:D,$G1331)</f>
        <v>t1140.xlsx</v>
      </c>
      <c r="I1331" s="4" t="str" cm="1">
        <f t="array" ref="I1331">INDEX(Sheet1!E:E,$G1331)</f>
        <v>Sheet1</v>
      </c>
      <c r="J1331" s="4" t="str" cm="1">
        <f t="array" ref="J1331">INDEX(Sheet1!F:F,$G1331)</f>
        <v>B25</v>
      </c>
      <c r="K1331" s="4" cm="1">
        <f t="array" ref="K1331">INDEX(Sheet1!H:H,$G1331)</f>
        <v>1</v>
      </c>
      <c r="L1331" s="4">
        <f t="shared" si="80"/>
        <v>29</v>
      </c>
      <c r="M1331" s="4">
        <f t="shared" si="83"/>
        <v>5</v>
      </c>
    </row>
    <row r="1332" spans="1:13">
      <c r="A1332" s="4" t="str" cm="1">
        <f t="array" ref="A1332">INDEX(Sheet1!A:A,$F1332)</f>
        <v>F</v>
      </c>
      <c r="B1332" s="4" t="str" cm="1">
        <f t="array" ref="B1332">INDEX(Sheet1!B:B,$F1332)</f>
        <v>Undiff NS</v>
      </c>
      <c r="C1332" s="4">
        <f t="shared" si="81"/>
        <v>30</v>
      </c>
      <c r="D1332" s="5" cm="1">
        <f t="array" aca="1" ref="D1332" ca="1">OFFSET(INDIRECT("'["&amp;$H1332&amp;"]"&amp;$I1332&amp;"'!"&amp;$J1332),$L1332,$M1332)*$K1332</f>
        <v>6.2E-4</v>
      </c>
      <c r="F1332" s="4">
        <f t="shared" si="82"/>
        <v>15</v>
      </c>
      <c r="G1332" s="4" cm="1">
        <f t="array" ref="G1332">IF($C1332+$M1332&lt;16,INDEX(Sheet1!C:C,$F1332),$F1332)</f>
        <v>15</v>
      </c>
      <c r="H1332" s="4" t="str" cm="1">
        <f t="array" ref="H1332">INDEX(Sheet1!D:D,$G1332)</f>
        <v>t1140.xlsx</v>
      </c>
      <c r="I1332" s="4" t="str" cm="1">
        <f t="array" ref="I1332">INDEX(Sheet1!E:E,$G1332)</f>
        <v>Sheet1</v>
      </c>
      <c r="J1332" s="4" t="str" cm="1">
        <f t="array" ref="J1332">INDEX(Sheet1!F:F,$G1332)</f>
        <v>B25</v>
      </c>
      <c r="K1332" s="4" cm="1">
        <f t="array" ref="K1332">INDEX(Sheet1!H:H,$G1332)</f>
        <v>1</v>
      </c>
      <c r="L1332" s="4">
        <f t="shared" si="80"/>
        <v>30</v>
      </c>
      <c r="M1332" s="4">
        <f t="shared" si="83"/>
        <v>5</v>
      </c>
    </row>
    <row r="1333" spans="1:13">
      <c r="A1333" s="4" t="str" cm="1">
        <f t="array" ref="A1333">INDEX(Sheet1!A:A,$F1333)</f>
        <v>F</v>
      </c>
      <c r="B1333" s="4" t="str" cm="1">
        <f t="array" ref="B1333">INDEX(Sheet1!B:B,$F1333)</f>
        <v>Undiff NS</v>
      </c>
      <c r="C1333" s="4">
        <f t="shared" si="81"/>
        <v>31</v>
      </c>
      <c r="D1333" s="5" cm="1">
        <f t="array" aca="1" ref="D1333" ca="1">OFFSET(INDIRECT("'["&amp;$H1333&amp;"]"&amp;$I1333&amp;"'!"&amp;$J1333),$L1333,$M1333)*$K1333</f>
        <v>6.4999999999999997E-4</v>
      </c>
      <c r="F1333" s="4">
        <f t="shared" si="82"/>
        <v>15</v>
      </c>
      <c r="G1333" s="4" cm="1">
        <f t="array" ref="G1333">IF($C1333+$M1333&lt;16,INDEX(Sheet1!C:C,$F1333),$F1333)</f>
        <v>15</v>
      </c>
      <c r="H1333" s="4" t="str" cm="1">
        <f t="array" ref="H1333">INDEX(Sheet1!D:D,$G1333)</f>
        <v>t1140.xlsx</v>
      </c>
      <c r="I1333" s="4" t="str" cm="1">
        <f t="array" ref="I1333">INDEX(Sheet1!E:E,$G1333)</f>
        <v>Sheet1</v>
      </c>
      <c r="J1333" s="4" t="str" cm="1">
        <f t="array" ref="J1333">INDEX(Sheet1!F:F,$G1333)</f>
        <v>B25</v>
      </c>
      <c r="K1333" s="4" cm="1">
        <f t="array" ref="K1333">INDEX(Sheet1!H:H,$G1333)</f>
        <v>1</v>
      </c>
      <c r="L1333" s="4">
        <f t="shared" si="80"/>
        <v>31</v>
      </c>
      <c r="M1333" s="4">
        <f t="shared" si="83"/>
        <v>5</v>
      </c>
    </row>
    <row r="1334" spans="1:13">
      <c r="A1334" s="4" t="str" cm="1">
        <f t="array" ref="A1334">INDEX(Sheet1!A:A,$F1334)</f>
        <v>F</v>
      </c>
      <c r="B1334" s="4" t="str" cm="1">
        <f t="array" ref="B1334">INDEX(Sheet1!B:B,$F1334)</f>
        <v>Undiff NS</v>
      </c>
      <c r="C1334" s="4">
        <f t="shared" si="81"/>
        <v>32</v>
      </c>
      <c r="D1334" s="5" cm="1">
        <f t="array" aca="1" ref="D1334" ca="1">OFFSET(INDIRECT("'["&amp;$H1334&amp;"]"&amp;$I1334&amp;"'!"&amp;$J1334),$L1334,$M1334)*$K1334</f>
        <v>6.8000000000000005E-4</v>
      </c>
      <c r="F1334" s="4">
        <f t="shared" si="82"/>
        <v>15</v>
      </c>
      <c r="G1334" s="4" cm="1">
        <f t="array" ref="G1334">IF($C1334+$M1334&lt;16,INDEX(Sheet1!C:C,$F1334),$F1334)</f>
        <v>15</v>
      </c>
      <c r="H1334" s="4" t="str" cm="1">
        <f t="array" ref="H1334">INDEX(Sheet1!D:D,$G1334)</f>
        <v>t1140.xlsx</v>
      </c>
      <c r="I1334" s="4" t="str" cm="1">
        <f t="array" ref="I1334">INDEX(Sheet1!E:E,$G1334)</f>
        <v>Sheet1</v>
      </c>
      <c r="J1334" s="4" t="str" cm="1">
        <f t="array" ref="J1334">INDEX(Sheet1!F:F,$G1334)</f>
        <v>B25</v>
      </c>
      <c r="K1334" s="4" cm="1">
        <f t="array" ref="K1334">INDEX(Sheet1!H:H,$G1334)</f>
        <v>1</v>
      </c>
      <c r="L1334" s="4">
        <f t="shared" si="80"/>
        <v>32</v>
      </c>
      <c r="M1334" s="4">
        <f t="shared" si="83"/>
        <v>5</v>
      </c>
    </row>
    <row r="1335" spans="1:13">
      <c r="A1335" s="4" t="str" cm="1">
        <f t="array" ref="A1335">INDEX(Sheet1!A:A,$F1335)</f>
        <v>F</v>
      </c>
      <c r="B1335" s="4" t="str" cm="1">
        <f t="array" ref="B1335">INDEX(Sheet1!B:B,$F1335)</f>
        <v>Undiff NS</v>
      </c>
      <c r="C1335" s="4">
        <f t="shared" si="81"/>
        <v>33</v>
      </c>
      <c r="D1335" s="5" cm="1">
        <f t="array" aca="1" ref="D1335" ca="1">OFFSET(INDIRECT("'["&amp;$H1335&amp;"]"&amp;$I1335&amp;"'!"&amp;$J1335),$L1335,$M1335)*$K1335</f>
        <v>7.2000000000000005E-4</v>
      </c>
      <c r="F1335" s="4">
        <f t="shared" si="82"/>
        <v>15</v>
      </c>
      <c r="G1335" s="4" cm="1">
        <f t="array" ref="G1335">IF($C1335+$M1335&lt;16,INDEX(Sheet1!C:C,$F1335),$F1335)</f>
        <v>15</v>
      </c>
      <c r="H1335" s="4" t="str" cm="1">
        <f t="array" ref="H1335">INDEX(Sheet1!D:D,$G1335)</f>
        <v>t1140.xlsx</v>
      </c>
      <c r="I1335" s="4" t="str" cm="1">
        <f t="array" ref="I1335">INDEX(Sheet1!E:E,$G1335)</f>
        <v>Sheet1</v>
      </c>
      <c r="J1335" s="4" t="str" cm="1">
        <f t="array" ref="J1335">INDEX(Sheet1!F:F,$G1335)</f>
        <v>B25</v>
      </c>
      <c r="K1335" s="4" cm="1">
        <f t="array" ref="K1335">INDEX(Sheet1!H:H,$G1335)</f>
        <v>1</v>
      </c>
      <c r="L1335" s="4">
        <f t="shared" si="80"/>
        <v>33</v>
      </c>
      <c r="M1335" s="4">
        <f t="shared" si="83"/>
        <v>5</v>
      </c>
    </row>
    <row r="1336" spans="1:13">
      <c r="A1336" s="4" t="str" cm="1">
        <f t="array" ref="A1336">INDEX(Sheet1!A:A,$F1336)</f>
        <v>F</v>
      </c>
      <c r="B1336" s="4" t="str" cm="1">
        <f t="array" ref="B1336">INDEX(Sheet1!B:B,$F1336)</f>
        <v>Undiff NS</v>
      </c>
      <c r="C1336" s="4">
        <f t="shared" si="81"/>
        <v>34</v>
      </c>
      <c r="D1336" s="5" cm="1">
        <f t="array" aca="1" ref="D1336" ca="1">OFFSET(INDIRECT("'["&amp;$H1336&amp;"]"&amp;$I1336&amp;"'!"&amp;$J1336),$L1336,$M1336)*$K1336</f>
        <v>7.6000000000000004E-4</v>
      </c>
      <c r="F1336" s="4">
        <f t="shared" si="82"/>
        <v>15</v>
      </c>
      <c r="G1336" s="4" cm="1">
        <f t="array" ref="G1336">IF($C1336+$M1336&lt;16,INDEX(Sheet1!C:C,$F1336),$F1336)</f>
        <v>15</v>
      </c>
      <c r="H1336" s="4" t="str" cm="1">
        <f t="array" ref="H1336">INDEX(Sheet1!D:D,$G1336)</f>
        <v>t1140.xlsx</v>
      </c>
      <c r="I1336" s="4" t="str" cm="1">
        <f t="array" ref="I1336">INDEX(Sheet1!E:E,$G1336)</f>
        <v>Sheet1</v>
      </c>
      <c r="J1336" s="4" t="str" cm="1">
        <f t="array" ref="J1336">INDEX(Sheet1!F:F,$G1336)</f>
        <v>B25</v>
      </c>
      <c r="K1336" s="4" cm="1">
        <f t="array" ref="K1336">INDEX(Sheet1!H:H,$G1336)</f>
        <v>1</v>
      </c>
      <c r="L1336" s="4">
        <f t="shared" si="80"/>
        <v>34</v>
      </c>
      <c r="M1336" s="4">
        <f t="shared" si="83"/>
        <v>5</v>
      </c>
    </row>
    <row r="1337" spans="1:13">
      <c r="A1337" s="4" t="str" cm="1">
        <f t="array" ref="A1337">INDEX(Sheet1!A:A,$F1337)</f>
        <v>F</v>
      </c>
      <c r="B1337" s="4" t="str" cm="1">
        <f t="array" ref="B1337">INDEX(Sheet1!B:B,$F1337)</f>
        <v>Undiff NS</v>
      </c>
      <c r="C1337" s="4">
        <f t="shared" si="81"/>
        <v>35</v>
      </c>
      <c r="D1337" s="5" cm="1">
        <f t="array" aca="1" ref="D1337" ca="1">OFFSET(INDIRECT("'["&amp;$H1337&amp;"]"&amp;$I1337&amp;"'!"&amp;$J1337),$L1337,$M1337)*$K1337</f>
        <v>8.1999999999999998E-4</v>
      </c>
      <c r="F1337" s="4">
        <f t="shared" si="82"/>
        <v>15</v>
      </c>
      <c r="G1337" s="4" cm="1">
        <f t="array" ref="G1337">IF($C1337+$M1337&lt;16,INDEX(Sheet1!C:C,$F1337),$F1337)</f>
        <v>15</v>
      </c>
      <c r="H1337" s="4" t="str" cm="1">
        <f t="array" ref="H1337">INDEX(Sheet1!D:D,$G1337)</f>
        <v>t1140.xlsx</v>
      </c>
      <c r="I1337" s="4" t="str" cm="1">
        <f t="array" ref="I1337">INDEX(Sheet1!E:E,$G1337)</f>
        <v>Sheet1</v>
      </c>
      <c r="J1337" s="4" t="str" cm="1">
        <f t="array" ref="J1337">INDEX(Sheet1!F:F,$G1337)</f>
        <v>B25</v>
      </c>
      <c r="K1337" s="4" cm="1">
        <f t="array" ref="K1337">INDEX(Sheet1!H:H,$G1337)</f>
        <v>1</v>
      </c>
      <c r="L1337" s="4">
        <f t="shared" si="80"/>
        <v>35</v>
      </c>
      <c r="M1337" s="4">
        <f t="shared" si="83"/>
        <v>5</v>
      </c>
    </row>
    <row r="1338" spans="1:13">
      <c r="A1338" s="4" t="str" cm="1">
        <f t="array" ref="A1338">INDEX(Sheet1!A:A,$F1338)</f>
        <v>F</v>
      </c>
      <c r="B1338" s="4" t="str" cm="1">
        <f t="array" ref="B1338">INDEX(Sheet1!B:B,$F1338)</f>
        <v>Undiff NS</v>
      </c>
      <c r="C1338" s="4">
        <f t="shared" si="81"/>
        <v>36</v>
      </c>
      <c r="D1338" s="5" cm="1">
        <f t="array" aca="1" ref="D1338" ca="1">OFFSET(INDIRECT("'["&amp;$H1338&amp;"]"&amp;$I1338&amp;"'!"&amp;$J1338),$L1338,$M1338)*$K1338</f>
        <v>8.8000000000000003E-4</v>
      </c>
      <c r="F1338" s="4">
        <f t="shared" si="82"/>
        <v>15</v>
      </c>
      <c r="G1338" s="4" cm="1">
        <f t="array" ref="G1338">IF($C1338+$M1338&lt;16,INDEX(Sheet1!C:C,$F1338),$F1338)</f>
        <v>15</v>
      </c>
      <c r="H1338" s="4" t="str" cm="1">
        <f t="array" ref="H1338">INDEX(Sheet1!D:D,$G1338)</f>
        <v>t1140.xlsx</v>
      </c>
      <c r="I1338" s="4" t="str" cm="1">
        <f t="array" ref="I1338">INDEX(Sheet1!E:E,$G1338)</f>
        <v>Sheet1</v>
      </c>
      <c r="J1338" s="4" t="str" cm="1">
        <f t="array" ref="J1338">INDEX(Sheet1!F:F,$G1338)</f>
        <v>B25</v>
      </c>
      <c r="K1338" s="4" cm="1">
        <f t="array" ref="K1338">INDEX(Sheet1!H:H,$G1338)</f>
        <v>1</v>
      </c>
      <c r="L1338" s="4">
        <f t="shared" si="80"/>
        <v>36</v>
      </c>
      <c r="M1338" s="4">
        <f t="shared" si="83"/>
        <v>5</v>
      </c>
    </row>
    <row r="1339" spans="1:13">
      <c r="A1339" s="4" t="str" cm="1">
        <f t="array" ref="A1339">INDEX(Sheet1!A:A,$F1339)</f>
        <v>F</v>
      </c>
      <c r="B1339" s="4" t="str" cm="1">
        <f t="array" ref="B1339">INDEX(Sheet1!B:B,$F1339)</f>
        <v>Undiff NS</v>
      </c>
      <c r="C1339" s="4">
        <f t="shared" si="81"/>
        <v>37</v>
      </c>
      <c r="D1339" s="5" cm="1">
        <f t="array" aca="1" ref="D1339" ca="1">OFFSET(INDIRECT("'["&amp;$H1339&amp;"]"&amp;$I1339&amp;"'!"&amp;$J1339),$L1339,$M1339)*$K1339</f>
        <v>9.6000000000000002E-4</v>
      </c>
      <c r="F1339" s="4">
        <f t="shared" si="82"/>
        <v>15</v>
      </c>
      <c r="G1339" s="4" cm="1">
        <f t="array" ref="G1339">IF($C1339+$M1339&lt;16,INDEX(Sheet1!C:C,$F1339),$F1339)</f>
        <v>15</v>
      </c>
      <c r="H1339" s="4" t="str" cm="1">
        <f t="array" ref="H1339">INDEX(Sheet1!D:D,$G1339)</f>
        <v>t1140.xlsx</v>
      </c>
      <c r="I1339" s="4" t="str" cm="1">
        <f t="array" ref="I1339">INDEX(Sheet1!E:E,$G1339)</f>
        <v>Sheet1</v>
      </c>
      <c r="J1339" s="4" t="str" cm="1">
        <f t="array" ref="J1339">INDEX(Sheet1!F:F,$G1339)</f>
        <v>B25</v>
      </c>
      <c r="K1339" s="4" cm="1">
        <f t="array" ref="K1339">INDEX(Sheet1!H:H,$G1339)</f>
        <v>1</v>
      </c>
      <c r="L1339" s="4">
        <f t="shared" si="80"/>
        <v>37</v>
      </c>
      <c r="M1339" s="4">
        <f t="shared" si="83"/>
        <v>5</v>
      </c>
    </row>
    <row r="1340" spans="1:13">
      <c r="A1340" s="4" t="str" cm="1">
        <f t="array" ref="A1340">INDEX(Sheet1!A:A,$F1340)</f>
        <v>F</v>
      </c>
      <c r="B1340" s="4" t="str" cm="1">
        <f t="array" ref="B1340">INDEX(Sheet1!B:B,$F1340)</f>
        <v>Undiff NS</v>
      </c>
      <c r="C1340" s="4">
        <f t="shared" si="81"/>
        <v>38</v>
      </c>
      <c r="D1340" s="5" cm="1">
        <f t="array" aca="1" ref="D1340" ca="1">OFFSET(INDIRECT("'["&amp;$H1340&amp;"]"&amp;$I1340&amp;"'!"&amp;$J1340),$L1340,$M1340)*$K1340</f>
        <v>1.0300000000000001E-3</v>
      </c>
      <c r="F1340" s="4">
        <f t="shared" si="82"/>
        <v>15</v>
      </c>
      <c r="G1340" s="4" cm="1">
        <f t="array" ref="G1340">IF($C1340+$M1340&lt;16,INDEX(Sheet1!C:C,$F1340),$F1340)</f>
        <v>15</v>
      </c>
      <c r="H1340" s="4" t="str" cm="1">
        <f t="array" ref="H1340">INDEX(Sheet1!D:D,$G1340)</f>
        <v>t1140.xlsx</v>
      </c>
      <c r="I1340" s="4" t="str" cm="1">
        <f t="array" ref="I1340">INDEX(Sheet1!E:E,$G1340)</f>
        <v>Sheet1</v>
      </c>
      <c r="J1340" s="4" t="str" cm="1">
        <f t="array" ref="J1340">INDEX(Sheet1!F:F,$G1340)</f>
        <v>B25</v>
      </c>
      <c r="K1340" s="4" cm="1">
        <f t="array" ref="K1340">INDEX(Sheet1!H:H,$G1340)</f>
        <v>1</v>
      </c>
      <c r="L1340" s="4">
        <f t="shared" si="80"/>
        <v>38</v>
      </c>
      <c r="M1340" s="4">
        <f t="shared" si="83"/>
        <v>5</v>
      </c>
    </row>
    <row r="1341" spans="1:13">
      <c r="A1341" s="4" t="str" cm="1">
        <f t="array" ref="A1341">INDEX(Sheet1!A:A,$F1341)</f>
        <v>F</v>
      </c>
      <c r="B1341" s="4" t="str" cm="1">
        <f t="array" ref="B1341">INDEX(Sheet1!B:B,$F1341)</f>
        <v>Undiff NS</v>
      </c>
      <c r="C1341" s="4">
        <f t="shared" si="81"/>
        <v>39</v>
      </c>
      <c r="D1341" s="5" cm="1">
        <f t="array" aca="1" ref="D1341" ca="1">OFFSET(INDIRECT("'["&amp;$H1341&amp;"]"&amp;$I1341&amp;"'!"&amp;$J1341),$L1341,$M1341)*$K1341</f>
        <v>1.1299999999999999E-3</v>
      </c>
      <c r="F1341" s="4">
        <f t="shared" si="82"/>
        <v>15</v>
      </c>
      <c r="G1341" s="4" cm="1">
        <f t="array" ref="G1341">IF($C1341+$M1341&lt;16,INDEX(Sheet1!C:C,$F1341),$F1341)</f>
        <v>15</v>
      </c>
      <c r="H1341" s="4" t="str" cm="1">
        <f t="array" ref="H1341">INDEX(Sheet1!D:D,$G1341)</f>
        <v>t1140.xlsx</v>
      </c>
      <c r="I1341" s="4" t="str" cm="1">
        <f t="array" ref="I1341">INDEX(Sheet1!E:E,$G1341)</f>
        <v>Sheet1</v>
      </c>
      <c r="J1341" s="4" t="str" cm="1">
        <f t="array" ref="J1341">INDEX(Sheet1!F:F,$G1341)</f>
        <v>B25</v>
      </c>
      <c r="K1341" s="4" cm="1">
        <f t="array" ref="K1341">INDEX(Sheet1!H:H,$G1341)</f>
        <v>1</v>
      </c>
      <c r="L1341" s="4">
        <f t="shared" si="80"/>
        <v>39</v>
      </c>
      <c r="M1341" s="4">
        <f t="shared" si="83"/>
        <v>5</v>
      </c>
    </row>
    <row r="1342" spans="1:13">
      <c r="A1342" s="4" t="str" cm="1">
        <f t="array" ref="A1342">INDEX(Sheet1!A:A,$F1342)</f>
        <v>F</v>
      </c>
      <c r="B1342" s="4" t="str" cm="1">
        <f t="array" ref="B1342">INDEX(Sheet1!B:B,$F1342)</f>
        <v>Undiff NS</v>
      </c>
      <c r="C1342" s="4">
        <f t="shared" si="81"/>
        <v>40</v>
      </c>
      <c r="D1342" s="5" cm="1">
        <f t="array" aca="1" ref="D1342" ca="1">OFFSET(INDIRECT("'["&amp;$H1342&amp;"]"&amp;$I1342&amp;"'!"&amp;$J1342),$L1342,$M1342)*$K1342</f>
        <v>1.24E-3</v>
      </c>
      <c r="F1342" s="4">
        <f t="shared" si="82"/>
        <v>15</v>
      </c>
      <c r="G1342" s="4" cm="1">
        <f t="array" ref="G1342">IF($C1342+$M1342&lt;16,INDEX(Sheet1!C:C,$F1342),$F1342)</f>
        <v>15</v>
      </c>
      <c r="H1342" s="4" t="str" cm="1">
        <f t="array" ref="H1342">INDEX(Sheet1!D:D,$G1342)</f>
        <v>t1140.xlsx</v>
      </c>
      <c r="I1342" s="4" t="str" cm="1">
        <f t="array" ref="I1342">INDEX(Sheet1!E:E,$G1342)</f>
        <v>Sheet1</v>
      </c>
      <c r="J1342" s="4" t="str" cm="1">
        <f t="array" ref="J1342">INDEX(Sheet1!F:F,$G1342)</f>
        <v>B25</v>
      </c>
      <c r="K1342" s="4" cm="1">
        <f t="array" ref="K1342">INDEX(Sheet1!H:H,$G1342)</f>
        <v>1</v>
      </c>
      <c r="L1342" s="4">
        <f t="shared" si="80"/>
        <v>40</v>
      </c>
      <c r="M1342" s="4">
        <f t="shared" si="83"/>
        <v>5</v>
      </c>
    </row>
    <row r="1343" spans="1:13">
      <c r="A1343" s="4" t="str" cm="1">
        <f t="array" ref="A1343">INDEX(Sheet1!A:A,$F1343)</f>
        <v>F</v>
      </c>
      <c r="B1343" s="4" t="str" cm="1">
        <f t="array" ref="B1343">INDEX(Sheet1!B:B,$F1343)</f>
        <v>Undiff NS</v>
      </c>
      <c r="C1343" s="4">
        <f t="shared" si="81"/>
        <v>41</v>
      </c>
      <c r="D1343" s="5" cm="1">
        <f t="array" aca="1" ref="D1343" ca="1">OFFSET(INDIRECT("'["&amp;$H1343&amp;"]"&amp;$I1343&amp;"'!"&amp;$J1343),$L1343,$M1343)*$K1343</f>
        <v>1.3699999999999999E-3</v>
      </c>
      <c r="F1343" s="4">
        <f t="shared" si="82"/>
        <v>15</v>
      </c>
      <c r="G1343" s="4" cm="1">
        <f t="array" ref="G1343">IF($C1343+$M1343&lt;16,INDEX(Sheet1!C:C,$F1343),$F1343)</f>
        <v>15</v>
      </c>
      <c r="H1343" s="4" t="str" cm="1">
        <f t="array" ref="H1343">INDEX(Sheet1!D:D,$G1343)</f>
        <v>t1140.xlsx</v>
      </c>
      <c r="I1343" s="4" t="str" cm="1">
        <f t="array" ref="I1343">INDEX(Sheet1!E:E,$G1343)</f>
        <v>Sheet1</v>
      </c>
      <c r="J1343" s="4" t="str" cm="1">
        <f t="array" ref="J1343">INDEX(Sheet1!F:F,$G1343)</f>
        <v>B25</v>
      </c>
      <c r="K1343" s="4" cm="1">
        <f t="array" ref="K1343">INDEX(Sheet1!H:H,$G1343)</f>
        <v>1</v>
      </c>
      <c r="L1343" s="4">
        <f t="shared" si="80"/>
        <v>41</v>
      </c>
      <c r="M1343" s="4">
        <f t="shared" si="83"/>
        <v>5</v>
      </c>
    </row>
    <row r="1344" spans="1:13">
      <c r="A1344" s="4" t="str" cm="1">
        <f t="array" ref="A1344">INDEX(Sheet1!A:A,$F1344)</f>
        <v>F</v>
      </c>
      <c r="B1344" s="4" t="str" cm="1">
        <f t="array" ref="B1344">INDEX(Sheet1!B:B,$F1344)</f>
        <v>Undiff NS</v>
      </c>
      <c r="C1344" s="4">
        <f t="shared" si="81"/>
        <v>42</v>
      </c>
      <c r="D1344" s="5" cm="1">
        <f t="array" aca="1" ref="D1344" ca="1">OFFSET(INDIRECT("'["&amp;$H1344&amp;"]"&amp;$I1344&amp;"'!"&amp;$J1344),$L1344,$M1344)*$K1344</f>
        <v>1.5E-3</v>
      </c>
      <c r="F1344" s="4">
        <f t="shared" si="82"/>
        <v>15</v>
      </c>
      <c r="G1344" s="4" cm="1">
        <f t="array" ref="G1344">IF($C1344+$M1344&lt;16,INDEX(Sheet1!C:C,$F1344),$F1344)</f>
        <v>15</v>
      </c>
      <c r="H1344" s="4" t="str" cm="1">
        <f t="array" ref="H1344">INDEX(Sheet1!D:D,$G1344)</f>
        <v>t1140.xlsx</v>
      </c>
      <c r="I1344" s="4" t="str" cm="1">
        <f t="array" ref="I1344">INDEX(Sheet1!E:E,$G1344)</f>
        <v>Sheet1</v>
      </c>
      <c r="J1344" s="4" t="str" cm="1">
        <f t="array" ref="J1344">INDEX(Sheet1!F:F,$G1344)</f>
        <v>B25</v>
      </c>
      <c r="K1344" s="4" cm="1">
        <f t="array" ref="K1344">INDEX(Sheet1!H:H,$G1344)</f>
        <v>1</v>
      </c>
      <c r="L1344" s="4">
        <f t="shared" si="80"/>
        <v>42</v>
      </c>
      <c r="M1344" s="4">
        <f t="shared" si="83"/>
        <v>5</v>
      </c>
    </row>
    <row r="1345" spans="1:13">
      <c r="A1345" s="4" t="str" cm="1">
        <f t="array" ref="A1345">INDEX(Sheet1!A:A,$F1345)</f>
        <v>F</v>
      </c>
      <c r="B1345" s="4" t="str" cm="1">
        <f t="array" ref="B1345">INDEX(Sheet1!B:B,$F1345)</f>
        <v>Undiff NS</v>
      </c>
      <c r="C1345" s="4">
        <f t="shared" si="81"/>
        <v>43</v>
      </c>
      <c r="D1345" s="5" cm="1">
        <f t="array" aca="1" ref="D1345" ca="1">OFFSET(INDIRECT("'["&amp;$H1345&amp;"]"&amp;$I1345&amp;"'!"&amp;$J1345),$L1345,$M1345)*$K1345</f>
        <v>1.67E-3</v>
      </c>
      <c r="F1345" s="4">
        <f t="shared" si="82"/>
        <v>15</v>
      </c>
      <c r="G1345" s="4" cm="1">
        <f t="array" ref="G1345">IF($C1345+$M1345&lt;16,INDEX(Sheet1!C:C,$F1345),$F1345)</f>
        <v>15</v>
      </c>
      <c r="H1345" s="4" t="str" cm="1">
        <f t="array" ref="H1345">INDEX(Sheet1!D:D,$G1345)</f>
        <v>t1140.xlsx</v>
      </c>
      <c r="I1345" s="4" t="str" cm="1">
        <f t="array" ref="I1345">INDEX(Sheet1!E:E,$G1345)</f>
        <v>Sheet1</v>
      </c>
      <c r="J1345" s="4" t="str" cm="1">
        <f t="array" ref="J1345">INDEX(Sheet1!F:F,$G1345)</f>
        <v>B25</v>
      </c>
      <c r="K1345" s="4" cm="1">
        <f t="array" ref="K1345">INDEX(Sheet1!H:H,$G1345)</f>
        <v>1</v>
      </c>
      <c r="L1345" s="4">
        <f t="shared" si="80"/>
        <v>43</v>
      </c>
      <c r="M1345" s="4">
        <f t="shared" si="83"/>
        <v>5</v>
      </c>
    </row>
    <row r="1346" spans="1:13">
      <c r="A1346" s="4" t="str" cm="1">
        <f t="array" ref="A1346">INDEX(Sheet1!A:A,$F1346)</f>
        <v>F</v>
      </c>
      <c r="B1346" s="4" t="str" cm="1">
        <f t="array" ref="B1346">INDEX(Sheet1!B:B,$F1346)</f>
        <v>Undiff NS</v>
      </c>
      <c r="C1346" s="4">
        <f t="shared" si="81"/>
        <v>44</v>
      </c>
      <c r="D1346" s="5" cm="1">
        <f t="array" aca="1" ref="D1346" ca="1">OFFSET(INDIRECT("'["&amp;$H1346&amp;"]"&amp;$I1346&amp;"'!"&amp;$J1346),$L1346,$M1346)*$K1346</f>
        <v>1.8500000000000001E-3</v>
      </c>
      <c r="F1346" s="4">
        <f t="shared" si="82"/>
        <v>15</v>
      </c>
      <c r="G1346" s="4" cm="1">
        <f t="array" ref="G1346">IF($C1346+$M1346&lt;16,INDEX(Sheet1!C:C,$F1346),$F1346)</f>
        <v>15</v>
      </c>
      <c r="H1346" s="4" t="str" cm="1">
        <f t="array" ref="H1346">INDEX(Sheet1!D:D,$G1346)</f>
        <v>t1140.xlsx</v>
      </c>
      <c r="I1346" s="4" t="str" cm="1">
        <f t="array" ref="I1346">INDEX(Sheet1!E:E,$G1346)</f>
        <v>Sheet1</v>
      </c>
      <c r="J1346" s="4" t="str" cm="1">
        <f t="array" ref="J1346">INDEX(Sheet1!F:F,$G1346)</f>
        <v>B25</v>
      </c>
      <c r="K1346" s="4" cm="1">
        <f t="array" ref="K1346">INDEX(Sheet1!H:H,$G1346)</f>
        <v>1</v>
      </c>
      <c r="L1346" s="4">
        <f t="shared" si="80"/>
        <v>44</v>
      </c>
      <c r="M1346" s="4">
        <f t="shared" si="83"/>
        <v>5</v>
      </c>
    </row>
    <row r="1347" spans="1:13">
      <c r="A1347" s="4" t="str" cm="1">
        <f t="array" ref="A1347">INDEX(Sheet1!A:A,$F1347)</f>
        <v>F</v>
      </c>
      <c r="B1347" s="4" t="str" cm="1">
        <f t="array" ref="B1347">INDEX(Sheet1!B:B,$F1347)</f>
        <v>Undiff NS</v>
      </c>
      <c r="C1347" s="4">
        <f t="shared" si="81"/>
        <v>45</v>
      </c>
      <c r="D1347" s="5" cm="1">
        <f t="array" aca="1" ref="D1347" ca="1">OFFSET(INDIRECT("'["&amp;$H1347&amp;"]"&amp;$I1347&amp;"'!"&amp;$J1347),$L1347,$M1347)*$K1347</f>
        <v>2.0400000000000001E-3</v>
      </c>
      <c r="F1347" s="4">
        <f t="shared" si="82"/>
        <v>15</v>
      </c>
      <c r="G1347" s="4" cm="1">
        <f t="array" ref="G1347">IF($C1347+$M1347&lt;16,INDEX(Sheet1!C:C,$F1347),$F1347)</f>
        <v>15</v>
      </c>
      <c r="H1347" s="4" t="str" cm="1">
        <f t="array" ref="H1347">INDEX(Sheet1!D:D,$G1347)</f>
        <v>t1140.xlsx</v>
      </c>
      <c r="I1347" s="4" t="str" cm="1">
        <f t="array" ref="I1347">INDEX(Sheet1!E:E,$G1347)</f>
        <v>Sheet1</v>
      </c>
      <c r="J1347" s="4" t="str" cm="1">
        <f t="array" ref="J1347">INDEX(Sheet1!F:F,$G1347)</f>
        <v>B25</v>
      </c>
      <c r="K1347" s="4" cm="1">
        <f t="array" ref="K1347">INDEX(Sheet1!H:H,$G1347)</f>
        <v>1</v>
      </c>
      <c r="L1347" s="4">
        <f t="shared" ref="L1347:L1410" si="84">C1347</f>
        <v>45</v>
      </c>
      <c r="M1347" s="4">
        <f t="shared" si="83"/>
        <v>5</v>
      </c>
    </row>
    <row r="1348" spans="1:13">
      <c r="A1348" s="4" t="str" cm="1">
        <f t="array" ref="A1348">INDEX(Sheet1!A:A,$F1348)</f>
        <v>F</v>
      </c>
      <c r="B1348" s="4" t="str" cm="1">
        <f t="array" ref="B1348">INDEX(Sheet1!B:B,$F1348)</f>
        <v>Undiff NS</v>
      </c>
      <c r="C1348" s="4">
        <f t="shared" ref="C1348:C1411" si="85">IF(C1347=99,0,C1347+1)</f>
        <v>46</v>
      </c>
      <c r="D1348" s="5" cm="1">
        <f t="array" aca="1" ref="D1348" ca="1">OFFSET(INDIRECT("'["&amp;$H1348&amp;"]"&amp;$I1348&amp;"'!"&amp;$J1348),$L1348,$M1348)*$K1348</f>
        <v>2.2399999999999998E-3</v>
      </c>
      <c r="F1348" s="4">
        <f t="shared" ref="F1348:F1411" si="86">IF(C1348=0,1,0)+F1347</f>
        <v>15</v>
      </c>
      <c r="G1348" s="4" cm="1">
        <f t="array" ref="G1348">IF($C1348+$M1348&lt;16,INDEX(Sheet1!C:C,$F1348),$F1348)</f>
        <v>15</v>
      </c>
      <c r="H1348" s="4" t="str" cm="1">
        <f t="array" ref="H1348">INDEX(Sheet1!D:D,$G1348)</f>
        <v>t1140.xlsx</v>
      </c>
      <c r="I1348" s="4" t="str" cm="1">
        <f t="array" ref="I1348">INDEX(Sheet1!E:E,$G1348)</f>
        <v>Sheet1</v>
      </c>
      <c r="J1348" s="4" t="str" cm="1">
        <f t="array" ref="J1348">INDEX(Sheet1!F:F,$G1348)</f>
        <v>B25</v>
      </c>
      <c r="K1348" s="4" cm="1">
        <f t="array" ref="K1348">INDEX(Sheet1!H:H,$G1348)</f>
        <v>1</v>
      </c>
      <c r="L1348" s="4">
        <f t="shared" si="84"/>
        <v>46</v>
      </c>
      <c r="M1348" s="4">
        <f t="shared" ref="L1348:M1411" si="87">M$2</f>
        <v>5</v>
      </c>
    </row>
    <row r="1349" spans="1:13">
      <c r="A1349" s="4" t="str" cm="1">
        <f t="array" ref="A1349">INDEX(Sheet1!A:A,$F1349)</f>
        <v>F</v>
      </c>
      <c r="B1349" s="4" t="str" cm="1">
        <f t="array" ref="B1349">INDEX(Sheet1!B:B,$F1349)</f>
        <v>Undiff NS</v>
      </c>
      <c r="C1349" s="4">
        <f t="shared" si="85"/>
        <v>47</v>
      </c>
      <c r="D1349" s="5" cm="1">
        <f t="array" aca="1" ref="D1349" ca="1">OFFSET(INDIRECT("'["&amp;$H1349&amp;"]"&amp;$I1349&amp;"'!"&amp;$J1349),$L1349,$M1349)*$K1349</f>
        <v>2.4499999999999999E-3</v>
      </c>
      <c r="F1349" s="4">
        <f t="shared" si="86"/>
        <v>15</v>
      </c>
      <c r="G1349" s="4" cm="1">
        <f t="array" ref="G1349">IF($C1349+$M1349&lt;16,INDEX(Sheet1!C:C,$F1349),$F1349)</f>
        <v>15</v>
      </c>
      <c r="H1349" s="4" t="str" cm="1">
        <f t="array" ref="H1349">INDEX(Sheet1!D:D,$G1349)</f>
        <v>t1140.xlsx</v>
      </c>
      <c r="I1349" s="4" t="str" cm="1">
        <f t="array" ref="I1349">INDEX(Sheet1!E:E,$G1349)</f>
        <v>Sheet1</v>
      </c>
      <c r="J1349" s="4" t="str" cm="1">
        <f t="array" ref="J1349">INDEX(Sheet1!F:F,$G1349)</f>
        <v>B25</v>
      </c>
      <c r="K1349" s="4" cm="1">
        <f t="array" ref="K1349">INDEX(Sheet1!H:H,$G1349)</f>
        <v>1</v>
      </c>
      <c r="L1349" s="4">
        <f t="shared" si="84"/>
        <v>47</v>
      </c>
      <c r="M1349" s="4">
        <f t="shared" si="87"/>
        <v>5</v>
      </c>
    </row>
    <row r="1350" spans="1:13">
      <c r="A1350" s="4" t="str" cm="1">
        <f t="array" ref="A1350">INDEX(Sheet1!A:A,$F1350)</f>
        <v>F</v>
      </c>
      <c r="B1350" s="4" t="str" cm="1">
        <f t="array" ref="B1350">INDEX(Sheet1!B:B,$F1350)</f>
        <v>Undiff NS</v>
      </c>
      <c r="C1350" s="4">
        <f t="shared" si="85"/>
        <v>48</v>
      </c>
      <c r="D1350" s="5" cm="1">
        <f t="array" aca="1" ref="D1350" ca="1">OFFSET(INDIRECT("'["&amp;$H1350&amp;"]"&amp;$I1350&amp;"'!"&amp;$J1350),$L1350,$M1350)*$K1350</f>
        <v>2.65E-3</v>
      </c>
      <c r="F1350" s="4">
        <f t="shared" si="86"/>
        <v>15</v>
      </c>
      <c r="G1350" s="4" cm="1">
        <f t="array" ref="G1350">IF($C1350+$M1350&lt;16,INDEX(Sheet1!C:C,$F1350),$F1350)</f>
        <v>15</v>
      </c>
      <c r="H1350" s="4" t="str" cm="1">
        <f t="array" ref="H1350">INDEX(Sheet1!D:D,$G1350)</f>
        <v>t1140.xlsx</v>
      </c>
      <c r="I1350" s="4" t="str" cm="1">
        <f t="array" ref="I1350">INDEX(Sheet1!E:E,$G1350)</f>
        <v>Sheet1</v>
      </c>
      <c r="J1350" s="4" t="str" cm="1">
        <f t="array" ref="J1350">INDEX(Sheet1!F:F,$G1350)</f>
        <v>B25</v>
      </c>
      <c r="K1350" s="4" cm="1">
        <f t="array" ref="K1350">INDEX(Sheet1!H:H,$G1350)</f>
        <v>1</v>
      </c>
      <c r="L1350" s="4">
        <f t="shared" si="84"/>
        <v>48</v>
      </c>
      <c r="M1350" s="4">
        <f t="shared" si="87"/>
        <v>5</v>
      </c>
    </row>
    <row r="1351" spans="1:13">
      <c r="A1351" s="4" t="str" cm="1">
        <f t="array" ref="A1351">INDEX(Sheet1!A:A,$F1351)</f>
        <v>F</v>
      </c>
      <c r="B1351" s="4" t="str" cm="1">
        <f t="array" ref="B1351">INDEX(Sheet1!B:B,$F1351)</f>
        <v>Undiff NS</v>
      </c>
      <c r="C1351" s="4">
        <f t="shared" si="85"/>
        <v>49</v>
      </c>
      <c r="D1351" s="5" cm="1">
        <f t="array" aca="1" ref="D1351" ca="1">OFFSET(INDIRECT("'["&amp;$H1351&amp;"]"&amp;$I1351&amp;"'!"&amp;$J1351),$L1351,$M1351)*$K1351</f>
        <v>2.8600000000000001E-3</v>
      </c>
      <c r="F1351" s="4">
        <f t="shared" si="86"/>
        <v>15</v>
      </c>
      <c r="G1351" s="4" cm="1">
        <f t="array" ref="G1351">IF($C1351+$M1351&lt;16,INDEX(Sheet1!C:C,$F1351),$F1351)</f>
        <v>15</v>
      </c>
      <c r="H1351" s="4" t="str" cm="1">
        <f t="array" ref="H1351">INDEX(Sheet1!D:D,$G1351)</f>
        <v>t1140.xlsx</v>
      </c>
      <c r="I1351" s="4" t="str" cm="1">
        <f t="array" ref="I1351">INDEX(Sheet1!E:E,$G1351)</f>
        <v>Sheet1</v>
      </c>
      <c r="J1351" s="4" t="str" cm="1">
        <f t="array" ref="J1351">INDEX(Sheet1!F:F,$G1351)</f>
        <v>B25</v>
      </c>
      <c r="K1351" s="4" cm="1">
        <f t="array" ref="K1351">INDEX(Sheet1!H:H,$G1351)</f>
        <v>1</v>
      </c>
      <c r="L1351" s="4">
        <f t="shared" si="84"/>
        <v>49</v>
      </c>
      <c r="M1351" s="4">
        <f t="shared" si="87"/>
        <v>5</v>
      </c>
    </row>
    <row r="1352" spans="1:13">
      <c r="A1352" s="4" t="str" cm="1">
        <f t="array" ref="A1352">INDEX(Sheet1!A:A,$F1352)</f>
        <v>F</v>
      </c>
      <c r="B1352" s="4" t="str" cm="1">
        <f t="array" ref="B1352">INDEX(Sheet1!B:B,$F1352)</f>
        <v>Undiff NS</v>
      </c>
      <c r="C1352" s="4">
        <f t="shared" si="85"/>
        <v>50</v>
      </c>
      <c r="D1352" s="5" cm="1">
        <f t="array" aca="1" ref="D1352" ca="1">OFFSET(INDIRECT("'["&amp;$H1352&amp;"]"&amp;$I1352&amp;"'!"&amp;$J1352),$L1352,$M1352)*$K1352</f>
        <v>3.0599999999999998E-3</v>
      </c>
      <c r="F1352" s="4">
        <f t="shared" si="86"/>
        <v>15</v>
      </c>
      <c r="G1352" s="4" cm="1">
        <f t="array" ref="G1352">IF($C1352+$M1352&lt;16,INDEX(Sheet1!C:C,$F1352),$F1352)</f>
        <v>15</v>
      </c>
      <c r="H1352" s="4" t="str" cm="1">
        <f t="array" ref="H1352">INDEX(Sheet1!D:D,$G1352)</f>
        <v>t1140.xlsx</v>
      </c>
      <c r="I1352" s="4" t="str" cm="1">
        <f t="array" ref="I1352">INDEX(Sheet1!E:E,$G1352)</f>
        <v>Sheet1</v>
      </c>
      <c r="J1352" s="4" t="str" cm="1">
        <f t="array" ref="J1352">INDEX(Sheet1!F:F,$G1352)</f>
        <v>B25</v>
      </c>
      <c r="K1352" s="4" cm="1">
        <f t="array" ref="K1352">INDEX(Sheet1!H:H,$G1352)</f>
        <v>1</v>
      </c>
      <c r="L1352" s="4">
        <f t="shared" si="84"/>
        <v>50</v>
      </c>
      <c r="M1352" s="4">
        <f t="shared" si="87"/>
        <v>5</v>
      </c>
    </row>
    <row r="1353" spans="1:13">
      <c r="A1353" s="4" t="str" cm="1">
        <f t="array" ref="A1353">INDEX(Sheet1!A:A,$F1353)</f>
        <v>F</v>
      </c>
      <c r="B1353" s="4" t="str" cm="1">
        <f t="array" ref="B1353">INDEX(Sheet1!B:B,$F1353)</f>
        <v>Undiff NS</v>
      </c>
      <c r="C1353" s="4">
        <f t="shared" si="85"/>
        <v>51</v>
      </c>
      <c r="D1353" s="5" cm="1">
        <f t="array" aca="1" ref="D1353" ca="1">OFFSET(INDIRECT("'["&amp;$H1353&amp;"]"&amp;$I1353&amp;"'!"&amp;$J1353),$L1353,$M1353)*$K1353</f>
        <v>3.2599999999999999E-3</v>
      </c>
      <c r="F1353" s="4">
        <f t="shared" si="86"/>
        <v>15</v>
      </c>
      <c r="G1353" s="4" cm="1">
        <f t="array" ref="G1353">IF($C1353+$M1353&lt;16,INDEX(Sheet1!C:C,$F1353),$F1353)</f>
        <v>15</v>
      </c>
      <c r="H1353" s="4" t="str" cm="1">
        <f t="array" ref="H1353">INDEX(Sheet1!D:D,$G1353)</f>
        <v>t1140.xlsx</v>
      </c>
      <c r="I1353" s="4" t="str" cm="1">
        <f t="array" ref="I1353">INDEX(Sheet1!E:E,$G1353)</f>
        <v>Sheet1</v>
      </c>
      <c r="J1353" s="4" t="str" cm="1">
        <f t="array" ref="J1353">INDEX(Sheet1!F:F,$G1353)</f>
        <v>B25</v>
      </c>
      <c r="K1353" s="4" cm="1">
        <f t="array" ref="K1353">INDEX(Sheet1!H:H,$G1353)</f>
        <v>1</v>
      </c>
      <c r="L1353" s="4">
        <f t="shared" si="84"/>
        <v>51</v>
      </c>
      <c r="M1353" s="4">
        <f t="shared" si="87"/>
        <v>5</v>
      </c>
    </row>
    <row r="1354" spans="1:13">
      <c r="A1354" s="4" t="str" cm="1">
        <f t="array" ref="A1354">INDEX(Sheet1!A:A,$F1354)</f>
        <v>F</v>
      </c>
      <c r="B1354" s="4" t="str" cm="1">
        <f t="array" ref="B1354">INDEX(Sheet1!B:B,$F1354)</f>
        <v>Undiff NS</v>
      </c>
      <c r="C1354" s="4">
        <f t="shared" si="85"/>
        <v>52</v>
      </c>
      <c r="D1354" s="5" cm="1">
        <f t="array" aca="1" ref="D1354" ca="1">OFFSET(INDIRECT("'["&amp;$H1354&amp;"]"&amp;$I1354&amp;"'!"&amp;$J1354),$L1354,$M1354)*$K1354</f>
        <v>3.46E-3</v>
      </c>
      <c r="F1354" s="4">
        <f t="shared" si="86"/>
        <v>15</v>
      </c>
      <c r="G1354" s="4" cm="1">
        <f t="array" ref="G1354">IF($C1354+$M1354&lt;16,INDEX(Sheet1!C:C,$F1354),$F1354)</f>
        <v>15</v>
      </c>
      <c r="H1354" s="4" t="str" cm="1">
        <f t="array" ref="H1354">INDEX(Sheet1!D:D,$G1354)</f>
        <v>t1140.xlsx</v>
      </c>
      <c r="I1354" s="4" t="str" cm="1">
        <f t="array" ref="I1354">INDEX(Sheet1!E:E,$G1354)</f>
        <v>Sheet1</v>
      </c>
      <c r="J1354" s="4" t="str" cm="1">
        <f t="array" ref="J1354">INDEX(Sheet1!F:F,$G1354)</f>
        <v>B25</v>
      </c>
      <c r="K1354" s="4" cm="1">
        <f t="array" ref="K1354">INDEX(Sheet1!H:H,$G1354)</f>
        <v>1</v>
      </c>
      <c r="L1354" s="4">
        <f t="shared" si="84"/>
        <v>52</v>
      </c>
      <c r="M1354" s="4">
        <f t="shared" si="87"/>
        <v>5</v>
      </c>
    </row>
    <row r="1355" spans="1:13">
      <c r="A1355" s="4" t="str" cm="1">
        <f t="array" ref="A1355">INDEX(Sheet1!A:A,$F1355)</f>
        <v>F</v>
      </c>
      <c r="B1355" s="4" t="str" cm="1">
        <f t="array" ref="B1355">INDEX(Sheet1!B:B,$F1355)</f>
        <v>Undiff NS</v>
      </c>
      <c r="C1355" s="4">
        <f t="shared" si="85"/>
        <v>53</v>
      </c>
      <c r="D1355" s="5" cm="1">
        <f t="array" aca="1" ref="D1355" ca="1">OFFSET(INDIRECT("'["&amp;$H1355&amp;"]"&amp;$I1355&amp;"'!"&amp;$J1355),$L1355,$M1355)*$K1355</f>
        <v>3.6600000000000001E-3</v>
      </c>
      <c r="F1355" s="4">
        <f t="shared" si="86"/>
        <v>15</v>
      </c>
      <c r="G1355" s="4" cm="1">
        <f t="array" ref="G1355">IF($C1355+$M1355&lt;16,INDEX(Sheet1!C:C,$F1355),$F1355)</f>
        <v>15</v>
      </c>
      <c r="H1355" s="4" t="str" cm="1">
        <f t="array" ref="H1355">INDEX(Sheet1!D:D,$G1355)</f>
        <v>t1140.xlsx</v>
      </c>
      <c r="I1355" s="4" t="str" cm="1">
        <f t="array" ref="I1355">INDEX(Sheet1!E:E,$G1355)</f>
        <v>Sheet1</v>
      </c>
      <c r="J1355" s="4" t="str" cm="1">
        <f t="array" ref="J1355">INDEX(Sheet1!F:F,$G1355)</f>
        <v>B25</v>
      </c>
      <c r="K1355" s="4" cm="1">
        <f t="array" ref="K1355">INDEX(Sheet1!H:H,$G1355)</f>
        <v>1</v>
      </c>
      <c r="L1355" s="4">
        <f t="shared" si="84"/>
        <v>53</v>
      </c>
      <c r="M1355" s="4">
        <f t="shared" si="87"/>
        <v>5</v>
      </c>
    </row>
    <row r="1356" spans="1:13">
      <c r="A1356" s="4" t="str" cm="1">
        <f t="array" ref="A1356">INDEX(Sheet1!A:A,$F1356)</f>
        <v>F</v>
      </c>
      <c r="B1356" s="4" t="str" cm="1">
        <f t="array" ref="B1356">INDEX(Sheet1!B:B,$F1356)</f>
        <v>Undiff NS</v>
      </c>
      <c r="C1356" s="4">
        <f t="shared" si="85"/>
        <v>54</v>
      </c>
      <c r="D1356" s="5" cm="1">
        <f t="array" aca="1" ref="D1356" ca="1">OFFSET(INDIRECT("'["&amp;$H1356&amp;"]"&amp;$I1356&amp;"'!"&amp;$J1356),$L1356,$M1356)*$K1356</f>
        <v>3.8800000000000002E-3</v>
      </c>
      <c r="F1356" s="4">
        <f t="shared" si="86"/>
        <v>15</v>
      </c>
      <c r="G1356" s="4" cm="1">
        <f t="array" ref="G1356">IF($C1356+$M1356&lt;16,INDEX(Sheet1!C:C,$F1356),$F1356)</f>
        <v>15</v>
      </c>
      <c r="H1356" s="4" t="str" cm="1">
        <f t="array" ref="H1356">INDEX(Sheet1!D:D,$G1356)</f>
        <v>t1140.xlsx</v>
      </c>
      <c r="I1356" s="4" t="str" cm="1">
        <f t="array" ref="I1356">INDEX(Sheet1!E:E,$G1356)</f>
        <v>Sheet1</v>
      </c>
      <c r="J1356" s="4" t="str" cm="1">
        <f t="array" ref="J1356">INDEX(Sheet1!F:F,$G1356)</f>
        <v>B25</v>
      </c>
      <c r="K1356" s="4" cm="1">
        <f t="array" ref="K1356">INDEX(Sheet1!H:H,$G1356)</f>
        <v>1</v>
      </c>
      <c r="L1356" s="4">
        <f t="shared" si="84"/>
        <v>54</v>
      </c>
      <c r="M1356" s="4">
        <f t="shared" si="87"/>
        <v>5</v>
      </c>
    </row>
    <row r="1357" spans="1:13">
      <c r="A1357" s="4" t="str" cm="1">
        <f t="array" ref="A1357">INDEX(Sheet1!A:A,$F1357)</f>
        <v>F</v>
      </c>
      <c r="B1357" s="4" t="str" cm="1">
        <f t="array" ref="B1357">INDEX(Sheet1!B:B,$F1357)</f>
        <v>Undiff NS</v>
      </c>
      <c r="C1357" s="4">
        <f t="shared" si="85"/>
        <v>55</v>
      </c>
      <c r="D1357" s="5" cm="1">
        <f t="array" aca="1" ref="D1357" ca="1">OFFSET(INDIRECT("'["&amp;$H1357&amp;"]"&amp;$I1357&amp;"'!"&amp;$J1357),$L1357,$M1357)*$K1357</f>
        <v>4.1200000000000004E-3</v>
      </c>
      <c r="F1357" s="4">
        <f t="shared" si="86"/>
        <v>15</v>
      </c>
      <c r="G1357" s="4" cm="1">
        <f t="array" ref="G1357">IF($C1357+$M1357&lt;16,INDEX(Sheet1!C:C,$F1357),$F1357)</f>
        <v>15</v>
      </c>
      <c r="H1357" s="4" t="str" cm="1">
        <f t="array" ref="H1357">INDEX(Sheet1!D:D,$G1357)</f>
        <v>t1140.xlsx</v>
      </c>
      <c r="I1357" s="4" t="str" cm="1">
        <f t="array" ref="I1357">INDEX(Sheet1!E:E,$G1357)</f>
        <v>Sheet1</v>
      </c>
      <c r="J1357" s="4" t="str" cm="1">
        <f t="array" ref="J1357">INDEX(Sheet1!F:F,$G1357)</f>
        <v>B25</v>
      </c>
      <c r="K1357" s="4" cm="1">
        <f t="array" ref="K1357">INDEX(Sheet1!H:H,$G1357)</f>
        <v>1</v>
      </c>
      <c r="L1357" s="4">
        <f t="shared" si="84"/>
        <v>55</v>
      </c>
      <c r="M1357" s="4">
        <f t="shared" si="87"/>
        <v>5</v>
      </c>
    </row>
    <row r="1358" spans="1:13">
      <c r="A1358" s="4" t="str" cm="1">
        <f t="array" ref="A1358">INDEX(Sheet1!A:A,$F1358)</f>
        <v>F</v>
      </c>
      <c r="B1358" s="4" t="str" cm="1">
        <f t="array" ref="B1358">INDEX(Sheet1!B:B,$F1358)</f>
        <v>Undiff NS</v>
      </c>
      <c r="C1358" s="4">
        <f t="shared" si="85"/>
        <v>56</v>
      </c>
      <c r="D1358" s="5" cm="1">
        <f t="array" aca="1" ref="D1358" ca="1">OFFSET(INDIRECT("'["&amp;$H1358&amp;"]"&amp;$I1358&amp;"'!"&amp;$J1358),$L1358,$M1358)*$K1358</f>
        <v>4.4099999999999999E-3</v>
      </c>
      <c r="F1358" s="4">
        <f t="shared" si="86"/>
        <v>15</v>
      </c>
      <c r="G1358" s="4" cm="1">
        <f t="array" ref="G1358">IF($C1358+$M1358&lt;16,INDEX(Sheet1!C:C,$F1358),$F1358)</f>
        <v>15</v>
      </c>
      <c r="H1358" s="4" t="str" cm="1">
        <f t="array" ref="H1358">INDEX(Sheet1!D:D,$G1358)</f>
        <v>t1140.xlsx</v>
      </c>
      <c r="I1358" s="4" t="str" cm="1">
        <f t="array" ref="I1358">INDEX(Sheet1!E:E,$G1358)</f>
        <v>Sheet1</v>
      </c>
      <c r="J1358" s="4" t="str" cm="1">
        <f t="array" ref="J1358">INDEX(Sheet1!F:F,$G1358)</f>
        <v>B25</v>
      </c>
      <c r="K1358" s="4" cm="1">
        <f t="array" ref="K1358">INDEX(Sheet1!H:H,$G1358)</f>
        <v>1</v>
      </c>
      <c r="L1358" s="4">
        <f t="shared" si="84"/>
        <v>56</v>
      </c>
      <c r="M1358" s="4">
        <f t="shared" si="87"/>
        <v>5</v>
      </c>
    </row>
    <row r="1359" spans="1:13">
      <c r="A1359" s="4" t="str" cm="1">
        <f t="array" ref="A1359">INDEX(Sheet1!A:A,$F1359)</f>
        <v>F</v>
      </c>
      <c r="B1359" s="4" t="str" cm="1">
        <f t="array" ref="B1359">INDEX(Sheet1!B:B,$F1359)</f>
        <v>Undiff NS</v>
      </c>
      <c r="C1359" s="4">
        <f t="shared" si="85"/>
        <v>57</v>
      </c>
      <c r="D1359" s="5" cm="1">
        <f t="array" aca="1" ref="D1359" ca="1">OFFSET(INDIRECT("'["&amp;$H1359&amp;"]"&amp;$I1359&amp;"'!"&amp;$J1359),$L1359,$M1359)*$K1359</f>
        <v>4.7499999999999999E-3</v>
      </c>
      <c r="F1359" s="4">
        <f t="shared" si="86"/>
        <v>15</v>
      </c>
      <c r="G1359" s="4" cm="1">
        <f t="array" ref="G1359">IF($C1359+$M1359&lt;16,INDEX(Sheet1!C:C,$F1359),$F1359)</f>
        <v>15</v>
      </c>
      <c r="H1359" s="4" t="str" cm="1">
        <f t="array" ref="H1359">INDEX(Sheet1!D:D,$G1359)</f>
        <v>t1140.xlsx</v>
      </c>
      <c r="I1359" s="4" t="str" cm="1">
        <f t="array" ref="I1359">INDEX(Sheet1!E:E,$G1359)</f>
        <v>Sheet1</v>
      </c>
      <c r="J1359" s="4" t="str" cm="1">
        <f t="array" ref="J1359">INDEX(Sheet1!F:F,$G1359)</f>
        <v>B25</v>
      </c>
      <c r="K1359" s="4" cm="1">
        <f t="array" ref="K1359">INDEX(Sheet1!H:H,$G1359)</f>
        <v>1</v>
      </c>
      <c r="L1359" s="4">
        <f t="shared" si="84"/>
        <v>57</v>
      </c>
      <c r="M1359" s="4">
        <f t="shared" si="87"/>
        <v>5</v>
      </c>
    </row>
    <row r="1360" spans="1:13">
      <c r="A1360" s="4" t="str" cm="1">
        <f t="array" ref="A1360">INDEX(Sheet1!A:A,$F1360)</f>
        <v>F</v>
      </c>
      <c r="B1360" s="4" t="str" cm="1">
        <f t="array" ref="B1360">INDEX(Sheet1!B:B,$F1360)</f>
        <v>Undiff NS</v>
      </c>
      <c r="C1360" s="4">
        <f t="shared" si="85"/>
        <v>58</v>
      </c>
      <c r="D1360" s="5" cm="1">
        <f t="array" aca="1" ref="D1360" ca="1">OFFSET(INDIRECT("'["&amp;$H1360&amp;"]"&amp;$I1360&amp;"'!"&amp;$J1360),$L1360,$M1360)*$K1360</f>
        <v>5.1500000000000001E-3</v>
      </c>
      <c r="F1360" s="4">
        <f t="shared" si="86"/>
        <v>15</v>
      </c>
      <c r="G1360" s="4" cm="1">
        <f t="array" ref="G1360">IF($C1360+$M1360&lt;16,INDEX(Sheet1!C:C,$F1360),$F1360)</f>
        <v>15</v>
      </c>
      <c r="H1360" s="4" t="str" cm="1">
        <f t="array" ref="H1360">INDEX(Sheet1!D:D,$G1360)</f>
        <v>t1140.xlsx</v>
      </c>
      <c r="I1360" s="4" t="str" cm="1">
        <f t="array" ref="I1360">INDEX(Sheet1!E:E,$G1360)</f>
        <v>Sheet1</v>
      </c>
      <c r="J1360" s="4" t="str" cm="1">
        <f t="array" ref="J1360">INDEX(Sheet1!F:F,$G1360)</f>
        <v>B25</v>
      </c>
      <c r="K1360" s="4" cm="1">
        <f t="array" ref="K1360">INDEX(Sheet1!H:H,$G1360)</f>
        <v>1</v>
      </c>
      <c r="L1360" s="4">
        <f t="shared" si="84"/>
        <v>58</v>
      </c>
      <c r="M1360" s="4">
        <f t="shared" si="87"/>
        <v>5</v>
      </c>
    </row>
    <row r="1361" spans="1:13">
      <c r="A1361" s="4" t="str" cm="1">
        <f t="array" ref="A1361">INDEX(Sheet1!A:A,$F1361)</f>
        <v>F</v>
      </c>
      <c r="B1361" s="4" t="str" cm="1">
        <f t="array" ref="B1361">INDEX(Sheet1!B:B,$F1361)</f>
        <v>Undiff NS</v>
      </c>
      <c r="C1361" s="4">
        <f t="shared" si="85"/>
        <v>59</v>
      </c>
      <c r="D1361" s="5" cm="1">
        <f t="array" aca="1" ref="D1361" ca="1">OFFSET(INDIRECT("'["&amp;$H1361&amp;"]"&amp;$I1361&amp;"'!"&amp;$J1361),$L1361,$M1361)*$K1361</f>
        <v>5.5799999999999999E-3</v>
      </c>
      <c r="F1361" s="4">
        <f t="shared" si="86"/>
        <v>15</v>
      </c>
      <c r="G1361" s="4" cm="1">
        <f t="array" ref="G1361">IF($C1361+$M1361&lt;16,INDEX(Sheet1!C:C,$F1361),$F1361)</f>
        <v>15</v>
      </c>
      <c r="H1361" s="4" t="str" cm="1">
        <f t="array" ref="H1361">INDEX(Sheet1!D:D,$G1361)</f>
        <v>t1140.xlsx</v>
      </c>
      <c r="I1361" s="4" t="str" cm="1">
        <f t="array" ref="I1361">INDEX(Sheet1!E:E,$G1361)</f>
        <v>Sheet1</v>
      </c>
      <c r="J1361" s="4" t="str" cm="1">
        <f t="array" ref="J1361">INDEX(Sheet1!F:F,$G1361)</f>
        <v>B25</v>
      </c>
      <c r="K1361" s="4" cm="1">
        <f t="array" ref="K1361">INDEX(Sheet1!H:H,$G1361)</f>
        <v>1</v>
      </c>
      <c r="L1361" s="4">
        <f t="shared" si="84"/>
        <v>59</v>
      </c>
      <c r="M1361" s="4">
        <f t="shared" si="87"/>
        <v>5</v>
      </c>
    </row>
    <row r="1362" spans="1:13">
      <c r="A1362" s="4" t="str" cm="1">
        <f t="array" ref="A1362">INDEX(Sheet1!A:A,$F1362)</f>
        <v>F</v>
      </c>
      <c r="B1362" s="4" t="str" cm="1">
        <f t="array" ref="B1362">INDEX(Sheet1!B:B,$F1362)</f>
        <v>Undiff NS</v>
      </c>
      <c r="C1362" s="4">
        <f t="shared" si="85"/>
        <v>60</v>
      </c>
      <c r="D1362" s="5" cm="1">
        <f t="array" aca="1" ref="D1362" ca="1">OFFSET(INDIRECT("'["&amp;$H1362&amp;"]"&amp;$I1362&amp;"'!"&amp;$J1362),$L1362,$M1362)*$K1362</f>
        <v>6.0400000000000002E-3</v>
      </c>
      <c r="F1362" s="4">
        <f t="shared" si="86"/>
        <v>15</v>
      </c>
      <c r="G1362" s="4" cm="1">
        <f t="array" ref="G1362">IF($C1362+$M1362&lt;16,INDEX(Sheet1!C:C,$F1362),$F1362)</f>
        <v>15</v>
      </c>
      <c r="H1362" s="4" t="str" cm="1">
        <f t="array" ref="H1362">INDEX(Sheet1!D:D,$G1362)</f>
        <v>t1140.xlsx</v>
      </c>
      <c r="I1362" s="4" t="str" cm="1">
        <f t="array" ref="I1362">INDEX(Sheet1!E:E,$G1362)</f>
        <v>Sheet1</v>
      </c>
      <c r="J1362" s="4" t="str" cm="1">
        <f t="array" ref="J1362">INDEX(Sheet1!F:F,$G1362)</f>
        <v>B25</v>
      </c>
      <c r="K1362" s="4" cm="1">
        <f t="array" ref="K1362">INDEX(Sheet1!H:H,$G1362)</f>
        <v>1</v>
      </c>
      <c r="L1362" s="4">
        <f t="shared" si="84"/>
        <v>60</v>
      </c>
      <c r="M1362" s="4">
        <f t="shared" si="87"/>
        <v>5</v>
      </c>
    </row>
    <row r="1363" spans="1:13">
      <c r="A1363" s="4" t="str" cm="1">
        <f t="array" ref="A1363">INDEX(Sheet1!A:A,$F1363)</f>
        <v>F</v>
      </c>
      <c r="B1363" s="4" t="str" cm="1">
        <f t="array" ref="B1363">INDEX(Sheet1!B:B,$F1363)</f>
        <v>Undiff NS</v>
      </c>
      <c r="C1363" s="4">
        <f t="shared" si="85"/>
        <v>61</v>
      </c>
      <c r="D1363" s="5" cm="1">
        <f t="array" aca="1" ref="D1363" ca="1">OFFSET(INDIRECT("'["&amp;$H1363&amp;"]"&amp;$I1363&amp;"'!"&amp;$J1363),$L1363,$M1363)*$K1363</f>
        <v>6.5199999999999998E-3</v>
      </c>
      <c r="F1363" s="4">
        <f t="shared" si="86"/>
        <v>15</v>
      </c>
      <c r="G1363" s="4" cm="1">
        <f t="array" ref="G1363">IF($C1363+$M1363&lt;16,INDEX(Sheet1!C:C,$F1363),$F1363)</f>
        <v>15</v>
      </c>
      <c r="H1363" s="4" t="str" cm="1">
        <f t="array" ref="H1363">INDEX(Sheet1!D:D,$G1363)</f>
        <v>t1140.xlsx</v>
      </c>
      <c r="I1363" s="4" t="str" cm="1">
        <f t="array" ref="I1363">INDEX(Sheet1!E:E,$G1363)</f>
        <v>Sheet1</v>
      </c>
      <c r="J1363" s="4" t="str" cm="1">
        <f t="array" ref="J1363">INDEX(Sheet1!F:F,$G1363)</f>
        <v>B25</v>
      </c>
      <c r="K1363" s="4" cm="1">
        <f t="array" ref="K1363">INDEX(Sheet1!H:H,$G1363)</f>
        <v>1</v>
      </c>
      <c r="L1363" s="4">
        <f t="shared" si="84"/>
        <v>61</v>
      </c>
      <c r="M1363" s="4">
        <f t="shared" si="87"/>
        <v>5</v>
      </c>
    </row>
    <row r="1364" spans="1:13">
      <c r="A1364" s="4" t="str" cm="1">
        <f t="array" ref="A1364">INDEX(Sheet1!A:A,$F1364)</f>
        <v>F</v>
      </c>
      <c r="B1364" s="4" t="str" cm="1">
        <f t="array" ref="B1364">INDEX(Sheet1!B:B,$F1364)</f>
        <v>Undiff NS</v>
      </c>
      <c r="C1364" s="4">
        <f t="shared" si="85"/>
        <v>62</v>
      </c>
      <c r="D1364" s="5" cm="1">
        <f t="array" aca="1" ref="D1364" ca="1">OFFSET(INDIRECT("'["&amp;$H1364&amp;"]"&amp;$I1364&amp;"'!"&amp;$J1364),$L1364,$M1364)*$K1364</f>
        <v>7.0200000000000002E-3</v>
      </c>
      <c r="F1364" s="4">
        <f t="shared" si="86"/>
        <v>15</v>
      </c>
      <c r="G1364" s="4" cm="1">
        <f t="array" ref="G1364">IF($C1364+$M1364&lt;16,INDEX(Sheet1!C:C,$F1364),$F1364)</f>
        <v>15</v>
      </c>
      <c r="H1364" s="4" t="str" cm="1">
        <f t="array" ref="H1364">INDEX(Sheet1!D:D,$G1364)</f>
        <v>t1140.xlsx</v>
      </c>
      <c r="I1364" s="4" t="str" cm="1">
        <f t="array" ref="I1364">INDEX(Sheet1!E:E,$G1364)</f>
        <v>Sheet1</v>
      </c>
      <c r="J1364" s="4" t="str" cm="1">
        <f t="array" ref="J1364">INDEX(Sheet1!F:F,$G1364)</f>
        <v>B25</v>
      </c>
      <c r="K1364" s="4" cm="1">
        <f t="array" ref="K1364">INDEX(Sheet1!H:H,$G1364)</f>
        <v>1</v>
      </c>
      <c r="L1364" s="4">
        <f t="shared" si="84"/>
        <v>62</v>
      </c>
      <c r="M1364" s="4">
        <f t="shared" si="87"/>
        <v>5</v>
      </c>
    </row>
    <row r="1365" spans="1:13">
      <c r="A1365" s="4" t="str" cm="1">
        <f t="array" ref="A1365">INDEX(Sheet1!A:A,$F1365)</f>
        <v>F</v>
      </c>
      <c r="B1365" s="4" t="str" cm="1">
        <f t="array" ref="B1365">INDEX(Sheet1!B:B,$F1365)</f>
        <v>Undiff NS</v>
      </c>
      <c r="C1365" s="4">
        <f t="shared" si="85"/>
        <v>63</v>
      </c>
      <c r="D1365" s="5" cm="1">
        <f t="array" aca="1" ref="D1365" ca="1">OFFSET(INDIRECT("'["&amp;$H1365&amp;"]"&amp;$I1365&amp;"'!"&amp;$J1365),$L1365,$M1365)*$K1365</f>
        <v>7.5199999999999998E-3</v>
      </c>
      <c r="F1365" s="4">
        <f t="shared" si="86"/>
        <v>15</v>
      </c>
      <c r="G1365" s="4" cm="1">
        <f t="array" ref="G1365">IF($C1365+$M1365&lt;16,INDEX(Sheet1!C:C,$F1365),$F1365)</f>
        <v>15</v>
      </c>
      <c r="H1365" s="4" t="str" cm="1">
        <f t="array" ref="H1365">INDEX(Sheet1!D:D,$G1365)</f>
        <v>t1140.xlsx</v>
      </c>
      <c r="I1365" s="4" t="str" cm="1">
        <f t="array" ref="I1365">INDEX(Sheet1!E:E,$G1365)</f>
        <v>Sheet1</v>
      </c>
      <c r="J1365" s="4" t="str" cm="1">
        <f t="array" ref="J1365">INDEX(Sheet1!F:F,$G1365)</f>
        <v>B25</v>
      </c>
      <c r="K1365" s="4" cm="1">
        <f t="array" ref="K1365">INDEX(Sheet1!H:H,$G1365)</f>
        <v>1</v>
      </c>
      <c r="L1365" s="4">
        <f t="shared" si="84"/>
        <v>63</v>
      </c>
      <c r="M1365" s="4">
        <f t="shared" si="87"/>
        <v>5</v>
      </c>
    </row>
    <row r="1366" spans="1:13">
      <c r="A1366" s="4" t="str" cm="1">
        <f t="array" ref="A1366">INDEX(Sheet1!A:A,$F1366)</f>
        <v>F</v>
      </c>
      <c r="B1366" s="4" t="str" cm="1">
        <f t="array" ref="B1366">INDEX(Sheet1!B:B,$F1366)</f>
        <v>Undiff NS</v>
      </c>
      <c r="C1366" s="4">
        <f t="shared" si="85"/>
        <v>64</v>
      </c>
      <c r="D1366" s="5" cm="1">
        <f t="array" aca="1" ref="D1366" ca="1">OFFSET(INDIRECT("'["&amp;$H1366&amp;"]"&amp;$I1366&amp;"'!"&amp;$J1366),$L1366,$M1366)*$K1366</f>
        <v>8.0599999999999995E-3</v>
      </c>
      <c r="F1366" s="4">
        <f t="shared" si="86"/>
        <v>15</v>
      </c>
      <c r="G1366" s="4" cm="1">
        <f t="array" ref="G1366">IF($C1366+$M1366&lt;16,INDEX(Sheet1!C:C,$F1366),$F1366)</f>
        <v>15</v>
      </c>
      <c r="H1366" s="4" t="str" cm="1">
        <f t="array" ref="H1366">INDEX(Sheet1!D:D,$G1366)</f>
        <v>t1140.xlsx</v>
      </c>
      <c r="I1366" s="4" t="str" cm="1">
        <f t="array" ref="I1366">INDEX(Sheet1!E:E,$G1366)</f>
        <v>Sheet1</v>
      </c>
      <c r="J1366" s="4" t="str" cm="1">
        <f t="array" ref="J1366">INDEX(Sheet1!F:F,$G1366)</f>
        <v>B25</v>
      </c>
      <c r="K1366" s="4" cm="1">
        <f t="array" ref="K1366">INDEX(Sheet1!H:H,$G1366)</f>
        <v>1</v>
      </c>
      <c r="L1366" s="4">
        <f t="shared" si="84"/>
        <v>64</v>
      </c>
      <c r="M1366" s="4">
        <f t="shared" si="87"/>
        <v>5</v>
      </c>
    </row>
    <row r="1367" spans="1:13">
      <c r="A1367" s="4" t="str" cm="1">
        <f t="array" ref="A1367">INDEX(Sheet1!A:A,$F1367)</f>
        <v>F</v>
      </c>
      <c r="B1367" s="4" t="str" cm="1">
        <f t="array" ref="B1367">INDEX(Sheet1!B:B,$F1367)</f>
        <v>Undiff NS</v>
      </c>
      <c r="C1367" s="4">
        <f t="shared" si="85"/>
        <v>65</v>
      </c>
      <c r="D1367" s="5" cm="1">
        <f t="array" aca="1" ref="D1367" ca="1">OFFSET(INDIRECT("'["&amp;$H1367&amp;"]"&amp;$I1367&amp;"'!"&amp;$J1367),$L1367,$M1367)*$K1367</f>
        <v>8.6300000000000005E-3</v>
      </c>
      <c r="F1367" s="4">
        <f t="shared" si="86"/>
        <v>15</v>
      </c>
      <c r="G1367" s="4" cm="1">
        <f t="array" ref="G1367">IF($C1367+$M1367&lt;16,INDEX(Sheet1!C:C,$F1367),$F1367)</f>
        <v>15</v>
      </c>
      <c r="H1367" s="4" t="str" cm="1">
        <f t="array" ref="H1367">INDEX(Sheet1!D:D,$G1367)</f>
        <v>t1140.xlsx</v>
      </c>
      <c r="I1367" s="4" t="str" cm="1">
        <f t="array" ref="I1367">INDEX(Sheet1!E:E,$G1367)</f>
        <v>Sheet1</v>
      </c>
      <c r="J1367" s="4" t="str" cm="1">
        <f t="array" ref="J1367">INDEX(Sheet1!F:F,$G1367)</f>
        <v>B25</v>
      </c>
      <c r="K1367" s="4" cm="1">
        <f t="array" ref="K1367">INDEX(Sheet1!H:H,$G1367)</f>
        <v>1</v>
      </c>
      <c r="L1367" s="4">
        <f t="shared" si="84"/>
        <v>65</v>
      </c>
      <c r="M1367" s="4">
        <f t="shared" si="87"/>
        <v>5</v>
      </c>
    </row>
    <row r="1368" spans="1:13">
      <c r="A1368" s="4" t="str" cm="1">
        <f t="array" ref="A1368">INDEX(Sheet1!A:A,$F1368)</f>
        <v>F</v>
      </c>
      <c r="B1368" s="4" t="str" cm="1">
        <f t="array" ref="B1368">INDEX(Sheet1!B:B,$F1368)</f>
        <v>Undiff NS</v>
      </c>
      <c r="C1368" s="4">
        <f t="shared" si="85"/>
        <v>66</v>
      </c>
      <c r="D1368" s="5" cm="1">
        <f t="array" aca="1" ref="D1368" ca="1">OFFSET(INDIRECT("'["&amp;$H1368&amp;"]"&amp;$I1368&amp;"'!"&amp;$J1368),$L1368,$M1368)*$K1368</f>
        <v>9.2899999999999996E-3</v>
      </c>
      <c r="F1368" s="4">
        <f t="shared" si="86"/>
        <v>15</v>
      </c>
      <c r="G1368" s="4" cm="1">
        <f t="array" ref="G1368">IF($C1368+$M1368&lt;16,INDEX(Sheet1!C:C,$F1368),$F1368)</f>
        <v>15</v>
      </c>
      <c r="H1368" s="4" t="str" cm="1">
        <f t="array" ref="H1368">INDEX(Sheet1!D:D,$G1368)</f>
        <v>t1140.xlsx</v>
      </c>
      <c r="I1368" s="4" t="str" cm="1">
        <f t="array" ref="I1368">INDEX(Sheet1!E:E,$G1368)</f>
        <v>Sheet1</v>
      </c>
      <c r="J1368" s="4" t="str" cm="1">
        <f t="array" ref="J1368">INDEX(Sheet1!F:F,$G1368)</f>
        <v>B25</v>
      </c>
      <c r="K1368" s="4" cm="1">
        <f t="array" ref="K1368">INDEX(Sheet1!H:H,$G1368)</f>
        <v>1</v>
      </c>
      <c r="L1368" s="4">
        <f t="shared" si="84"/>
        <v>66</v>
      </c>
      <c r="M1368" s="4">
        <f t="shared" si="87"/>
        <v>5</v>
      </c>
    </row>
    <row r="1369" spans="1:13">
      <c r="A1369" s="4" t="str" cm="1">
        <f t="array" ref="A1369">INDEX(Sheet1!A:A,$F1369)</f>
        <v>F</v>
      </c>
      <c r="B1369" s="4" t="str" cm="1">
        <f t="array" ref="B1369">INDEX(Sheet1!B:B,$F1369)</f>
        <v>Undiff NS</v>
      </c>
      <c r="C1369" s="4">
        <f t="shared" si="85"/>
        <v>67</v>
      </c>
      <c r="D1369" s="5" cm="1">
        <f t="array" aca="1" ref="D1369" ca="1">OFFSET(INDIRECT("'["&amp;$H1369&amp;"]"&amp;$I1369&amp;"'!"&amp;$J1369),$L1369,$M1369)*$K1369</f>
        <v>1.0070000000000001E-2</v>
      </c>
      <c r="F1369" s="4">
        <f t="shared" si="86"/>
        <v>15</v>
      </c>
      <c r="G1369" s="4" cm="1">
        <f t="array" ref="G1369">IF($C1369+$M1369&lt;16,INDEX(Sheet1!C:C,$F1369),$F1369)</f>
        <v>15</v>
      </c>
      <c r="H1369" s="4" t="str" cm="1">
        <f t="array" ref="H1369">INDEX(Sheet1!D:D,$G1369)</f>
        <v>t1140.xlsx</v>
      </c>
      <c r="I1369" s="4" t="str" cm="1">
        <f t="array" ref="I1369">INDEX(Sheet1!E:E,$G1369)</f>
        <v>Sheet1</v>
      </c>
      <c r="J1369" s="4" t="str" cm="1">
        <f t="array" ref="J1369">INDEX(Sheet1!F:F,$G1369)</f>
        <v>B25</v>
      </c>
      <c r="K1369" s="4" cm="1">
        <f t="array" ref="K1369">INDEX(Sheet1!H:H,$G1369)</f>
        <v>1</v>
      </c>
      <c r="L1369" s="4">
        <f t="shared" si="84"/>
        <v>67</v>
      </c>
      <c r="M1369" s="4">
        <f t="shared" si="87"/>
        <v>5</v>
      </c>
    </row>
    <row r="1370" spans="1:13">
      <c r="A1370" s="4" t="str" cm="1">
        <f t="array" ref="A1370">INDEX(Sheet1!A:A,$F1370)</f>
        <v>F</v>
      </c>
      <c r="B1370" s="4" t="str" cm="1">
        <f t="array" ref="B1370">INDEX(Sheet1!B:B,$F1370)</f>
        <v>Undiff NS</v>
      </c>
      <c r="C1370" s="4">
        <f t="shared" si="85"/>
        <v>68</v>
      </c>
      <c r="D1370" s="5" cm="1">
        <f t="array" aca="1" ref="D1370" ca="1">OFFSET(INDIRECT("'["&amp;$H1370&amp;"]"&amp;$I1370&amp;"'!"&amp;$J1370),$L1370,$M1370)*$K1370</f>
        <v>1.099E-2</v>
      </c>
      <c r="F1370" s="4">
        <f t="shared" si="86"/>
        <v>15</v>
      </c>
      <c r="G1370" s="4" cm="1">
        <f t="array" ref="G1370">IF($C1370+$M1370&lt;16,INDEX(Sheet1!C:C,$F1370),$F1370)</f>
        <v>15</v>
      </c>
      <c r="H1370" s="4" t="str" cm="1">
        <f t="array" ref="H1370">INDEX(Sheet1!D:D,$G1370)</f>
        <v>t1140.xlsx</v>
      </c>
      <c r="I1370" s="4" t="str" cm="1">
        <f t="array" ref="I1370">INDEX(Sheet1!E:E,$G1370)</f>
        <v>Sheet1</v>
      </c>
      <c r="J1370" s="4" t="str" cm="1">
        <f t="array" ref="J1370">INDEX(Sheet1!F:F,$G1370)</f>
        <v>B25</v>
      </c>
      <c r="K1370" s="4" cm="1">
        <f t="array" ref="K1370">INDEX(Sheet1!H:H,$G1370)</f>
        <v>1</v>
      </c>
      <c r="L1370" s="4">
        <f t="shared" si="84"/>
        <v>68</v>
      </c>
      <c r="M1370" s="4">
        <f t="shared" si="87"/>
        <v>5</v>
      </c>
    </row>
    <row r="1371" spans="1:13">
      <c r="A1371" s="4" t="str" cm="1">
        <f t="array" ref="A1371">INDEX(Sheet1!A:A,$F1371)</f>
        <v>F</v>
      </c>
      <c r="B1371" s="4" t="str" cm="1">
        <f t="array" ref="B1371">INDEX(Sheet1!B:B,$F1371)</f>
        <v>Undiff NS</v>
      </c>
      <c r="C1371" s="4">
        <f t="shared" si="85"/>
        <v>69</v>
      </c>
      <c r="D1371" s="5" cm="1">
        <f t="array" aca="1" ref="D1371" ca="1">OFFSET(INDIRECT("'["&amp;$H1371&amp;"]"&amp;$I1371&amp;"'!"&amp;$J1371),$L1371,$M1371)*$K1371</f>
        <v>1.209E-2</v>
      </c>
      <c r="F1371" s="4">
        <f t="shared" si="86"/>
        <v>15</v>
      </c>
      <c r="G1371" s="4" cm="1">
        <f t="array" ref="G1371">IF($C1371+$M1371&lt;16,INDEX(Sheet1!C:C,$F1371),$F1371)</f>
        <v>15</v>
      </c>
      <c r="H1371" s="4" t="str" cm="1">
        <f t="array" ref="H1371">INDEX(Sheet1!D:D,$G1371)</f>
        <v>t1140.xlsx</v>
      </c>
      <c r="I1371" s="4" t="str" cm="1">
        <f t="array" ref="I1371">INDEX(Sheet1!E:E,$G1371)</f>
        <v>Sheet1</v>
      </c>
      <c r="J1371" s="4" t="str" cm="1">
        <f t="array" ref="J1371">INDEX(Sheet1!F:F,$G1371)</f>
        <v>B25</v>
      </c>
      <c r="K1371" s="4" cm="1">
        <f t="array" ref="K1371">INDEX(Sheet1!H:H,$G1371)</f>
        <v>1</v>
      </c>
      <c r="L1371" s="4">
        <f t="shared" si="84"/>
        <v>69</v>
      </c>
      <c r="M1371" s="4">
        <f t="shared" si="87"/>
        <v>5</v>
      </c>
    </row>
    <row r="1372" spans="1:13">
      <c r="A1372" s="4" t="str" cm="1">
        <f t="array" ref="A1372">INDEX(Sheet1!A:A,$F1372)</f>
        <v>F</v>
      </c>
      <c r="B1372" s="4" t="str" cm="1">
        <f t="array" ref="B1372">INDEX(Sheet1!B:B,$F1372)</f>
        <v>Undiff NS</v>
      </c>
      <c r="C1372" s="4">
        <f t="shared" si="85"/>
        <v>70</v>
      </c>
      <c r="D1372" s="5" cm="1">
        <f t="array" aca="1" ref="D1372" ca="1">OFFSET(INDIRECT("'["&amp;$H1372&amp;"]"&amp;$I1372&amp;"'!"&amp;$J1372),$L1372,$M1372)*$K1372</f>
        <v>1.3390000000000001E-2</v>
      </c>
      <c r="F1372" s="4">
        <f t="shared" si="86"/>
        <v>15</v>
      </c>
      <c r="G1372" s="4" cm="1">
        <f t="array" ref="G1372">IF($C1372+$M1372&lt;16,INDEX(Sheet1!C:C,$F1372),$F1372)</f>
        <v>15</v>
      </c>
      <c r="H1372" s="4" t="str" cm="1">
        <f t="array" ref="H1372">INDEX(Sheet1!D:D,$G1372)</f>
        <v>t1140.xlsx</v>
      </c>
      <c r="I1372" s="4" t="str" cm="1">
        <f t="array" ref="I1372">INDEX(Sheet1!E:E,$G1372)</f>
        <v>Sheet1</v>
      </c>
      <c r="J1372" s="4" t="str" cm="1">
        <f t="array" ref="J1372">INDEX(Sheet1!F:F,$G1372)</f>
        <v>B25</v>
      </c>
      <c r="K1372" s="4" cm="1">
        <f t="array" ref="K1372">INDEX(Sheet1!H:H,$G1372)</f>
        <v>1</v>
      </c>
      <c r="L1372" s="4">
        <f t="shared" si="84"/>
        <v>70</v>
      </c>
      <c r="M1372" s="4">
        <f t="shared" si="87"/>
        <v>5</v>
      </c>
    </row>
    <row r="1373" spans="1:13">
      <c r="A1373" s="4" t="str" cm="1">
        <f t="array" ref="A1373">INDEX(Sheet1!A:A,$F1373)</f>
        <v>F</v>
      </c>
      <c r="B1373" s="4" t="str" cm="1">
        <f t="array" ref="B1373">INDEX(Sheet1!B:B,$F1373)</f>
        <v>Undiff NS</v>
      </c>
      <c r="C1373" s="4">
        <f t="shared" si="85"/>
        <v>71</v>
      </c>
      <c r="D1373" s="5" cm="1">
        <f t="array" aca="1" ref="D1373" ca="1">OFFSET(INDIRECT("'["&amp;$H1373&amp;"]"&amp;$I1373&amp;"'!"&amp;$J1373),$L1373,$M1373)*$K1373</f>
        <v>1.494E-2</v>
      </c>
      <c r="F1373" s="4">
        <f t="shared" si="86"/>
        <v>15</v>
      </c>
      <c r="G1373" s="4" cm="1">
        <f t="array" ref="G1373">IF($C1373+$M1373&lt;16,INDEX(Sheet1!C:C,$F1373),$F1373)</f>
        <v>15</v>
      </c>
      <c r="H1373" s="4" t="str" cm="1">
        <f t="array" ref="H1373">INDEX(Sheet1!D:D,$G1373)</f>
        <v>t1140.xlsx</v>
      </c>
      <c r="I1373" s="4" t="str" cm="1">
        <f t="array" ref="I1373">INDEX(Sheet1!E:E,$G1373)</f>
        <v>Sheet1</v>
      </c>
      <c r="J1373" s="4" t="str" cm="1">
        <f t="array" ref="J1373">INDEX(Sheet1!F:F,$G1373)</f>
        <v>B25</v>
      </c>
      <c r="K1373" s="4" cm="1">
        <f t="array" ref="K1373">INDEX(Sheet1!H:H,$G1373)</f>
        <v>1</v>
      </c>
      <c r="L1373" s="4">
        <f t="shared" si="84"/>
        <v>71</v>
      </c>
      <c r="M1373" s="4">
        <f t="shared" si="87"/>
        <v>5</v>
      </c>
    </row>
    <row r="1374" spans="1:13">
      <c r="A1374" s="4" t="str" cm="1">
        <f t="array" ref="A1374">INDEX(Sheet1!A:A,$F1374)</f>
        <v>F</v>
      </c>
      <c r="B1374" s="4" t="str" cm="1">
        <f t="array" ref="B1374">INDEX(Sheet1!B:B,$F1374)</f>
        <v>Undiff NS</v>
      </c>
      <c r="C1374" s="4">
        <f t="shared" si="85"/>
        <v>72</v>
      </c>
      <c r="D1374" s="5" cm="1">
        <f t="array" aca="1" ref="D1374" ca="1">OFFSET(INDIRECT("'["&amp;$H1374&amp;"]"&amp;$I1374&amp;"'!"&amp;$J1374),$L1374,$M1374)*$K1374</f>
        <v>1.677E-2</v>
      </c>
      <c r="F1374" s="4">
        <f t="shared" si="86"/>
        <v>15</v>
      </c>
      <c r="G1374" s="4" cm="1">
        <f t="array" ref="G1374">IF($C1374+$M1374&lt;16,INDEX(Sheet1!C:C,$F1374),$F1374)</f>
        <v>15</v>
      </c>
      <c r="H1374" s="4" t="str" cm="1">
        <f t="array" ref="H1374">INDEX(Sheet1!D:D,$G1374)</f>
        <v>t1140.xlsx</v>
      </c>
      <c r="I1374" s="4" t="str" cm="1">
        <f t="array" ref="I1374">INDEX(Sheet1!E:E,$G1374)</f>
        <v>Sheet1</v>
      </c>
      <c r="J1374" s="4" t="str" cm="1">
        <f t="array" ref="J1374">INDEX(Sheet1!F:F,$G1374)</f>
        <v>B25</v>
      </c>
      <c r="K1374" s="4" cm="1">
        <f t="array" ref="K1374">INDEX(Sheet1!H:H,$G1374)</f>
        <v>1</v>
      </c>
      <c r="L1374" s="4">
        <f t="shared" si="84"/>
        <v>72</v>
      </c>
      <c r="M1374" s="4">
        <f t="shared" si="87"/>
        <v>5</v>
      </c>
    </row>
    <row r="1375" spans="1:13">
      <c r="A1375" s="4" t="str" cm="1">
        <f t="array" ref="A1375">INDEX(Sheet1!A:A,$F1375)</f>
        <v>F</v>
      </c>
      <c r="B1375" s="4" t="str" cm="1">
        <f t="array" ref="B1375">INDEX(Sheet1!B:B,$F1375)</f>
        <v>Undiff NS</v>
      </c>
      <c r="C1375" s="4">
        <f t="shared" si="85"/>
        <v>73</v>
      </c>
      <c r="D1375" s="5" cm="1">
        <f t="array" aca="1" ref="D1375" ca="1">OFFSET(INDIRECT("'["&amp;$H1375&amp;"]"&amp;$I1375&amp;"'!"&amp;$J1375),$L1375,$M1375)*$K1375</f>
        <v>1.8890000000000001E-2</v>
      </c>
      <c r="F1375" s="4">
        <f t="shared" si="86"/>
        <v>15</v>
      </c>
      <c r="G1375" s="4" cm="1">
        <f t="array" ref="G1375">IF($C1375+$M1375&lt;16,INDEX(Sheet1!C:C,$F1375),$F1375)</f>
        <v>15</v>
      </c>
      <c r="H1375" s="4" t="str" cm="1">
        <f t="array" ref="H1375">INDEX(Sheet1!D:D,$G1375)</f>
        <v>t1140.xlsx</v>
      </c>
      <c r="I1375" s="4" t="str" cm="1">
        <f t="array" ref="I1375">INDEX(Sheet1!E:E,$G1375)</f>
        <v>Sheet1</v>
      </c>
      <c r="J1375" s="4" t="str" cm="1">
        <f t="array" ref="J1375">INDEX(Sheet1!F:F,$G1375)</f>
        <v>B25</v>
      </c>
      <c r="K1375" s="4" cm="1">
        <f t="array" ref="K1375">INDEX(Sheet1!H:H,$G1375)</f>
        <v>1</v>
      </c>
      <c r="L1375" s="4">
        <f t="shared" si="84"/>
        <v>73</v>
      </c>
      <c r="M1375" s="4">
        <f t="shared" si="87"/>
        <v>5</v>
      </c>
    </row>
    <row r="1376" spans="1:13">
      <c r="A1376" s="4" t="str" cm="1">
        <f t="array" ref="A1376">INDEX(Sheet1!A:A,$F1376)</f>
        <v>F</v>
      </c>
      <c r="B1376" s="4" t="str" cm="1">
        <f t="array" ref="B1376">INDEX(Sheet1!B:B,$F1376)</f>
        <v>Undiff NS</v>
      </c>
      <c r="C1376" s="4">
        <f t="shared" si="85"/>
        <v>74</v>
      </c>
      <c r="D1376" s="5" cm="1">
        <f t="array" aca="1" ref="D1376" ca="1">OFFSET(INDIRECT("'["&amp;$H1376&amp;"]"&amp;$I1376&amp;"'!"&amp;$J1376),$L1376,$M1376)*$K1376</f>
        <v>2.137E-2</v>
      </c>
      <c r="F1376" s="4">
        <f t="shared" si="86"/>
        <v>15</v>
      </c>
      <c r="G1376" s="4" cm="1">
        <f t="array" ref="G1376">IF($C1376+$M1376&lt;16,INDEX(Sheet1!C:C,$F1376),$F1376)</f>
        <v>15</v>
      </c>
      <c r="H1376" s="4" t="str" cm="1">
        <f t="array" ref="H1376">INDEX(Sheet1!D:D,$G1376)</f>
        <v>t1140.xlsx</v>
      </c>
      <c r="I1376" s="4" t="str" cm="1">
        <f t="array" ref="I1376">INDEX(Sheet1!E:E,$G1376)</f>
        <v>Sheet1</v>
      </c>
      <c r="J1376" s="4" t="str" cm="1">
        <f t="array" ref="J1376">INDEX(Sheet1!F:F,$G1376)</f>
        <v>B25</v>
      </c>
      <c r="K1376" s="4" cm="1">
        <f t="array" ref="K1376">INDEX(Sheet1!H:H,$G1376)</f>
        <v>1</v>
      </c>
      <c r="L1376" s="4">
        <f t="shared" si="84"/>
        <v>74</v>
      </c>
      <c r="M1376" s="4">
        <f t="shared" si="87"/>
        <v>5</v>
      </c>
    </row>
    <row r="1377" spans="1:13">
      <c r="A1377" s="4" t="str" cm="1">
        <f t="array" ref="A1377">INDEX(Sheet1!A:A,$F1377)</f>
        <v>F</v>
      </c>
      <c r="B1377" s="4" t="str" cm="1">
        <f t="array" ref="B1377">INDEX(Sheet1!B:B,$F1377)</f>
        <v>Undiff NS</v>
      </c>
      <c r="C1377" s="4">
        <f t="shared" si="85"/>
        <v>75</v>
      </c>
      <c r="D1377" s="5" cm="1">
        <f t="array" aca="1" ref="D1377" ca="1">OFFSET(INDIRECT("'["&amp;$H1377&amp;"]"&amp;$I1377&amp;"'!"&amp;$J1377),$L1377,$M1377)*$K1377</f>
        <v>2.426E-2</v>
      </c>
      <c r="F1377" s="4">
        <f t="shared" si="86"/>
        <v>15</v>
      </c>
      <c r="G1377" s="4" cm="1">
        <f t="array" ref="G1377">IF($C1377+$M1377&lt;16,INDEX(Sheet1!C:C,$F1377),$F1377)</f>
        <v>15</v>
      </c>
      <c r="H1377" s="4" t="str" cm="1">
        <f t="array" ref="H1377">INDEX(Sheet1!D:D,$G1377)</f>
        <v>t1140.xlsx</v>
      </c>
      <c r="I1377" s="4" t="str" cm="1">
        <f t="array" ref="I1377">INDEX(Sheet1!E:E,$G1377)</f>
        <v>Sheet1</v>
      </c>
      <c r="J1377" s="4" t="str" cm="1">
        <f t="array" ref="J1377">INDEX(Sheet1!F:F,$G1377)</f>
        <v>B25</v>
      </c>
      <c r="K1377" s="4" cm="1">
        <f t="array" ref="K1377">INDEX(Sheet1!H:H,$G1377)</f>
        <v>1</v>
      </c>
      <c r="L1377" s="4">
        <f t="shared" si="84"/>
        <v>75</v>
      </c>
      <c r="M1377" s="4">
        <f t="shared" si="87"/>
        <v>5</v>
      </c>
    </row>
    <row r="1378" spans="1:13">
      <c r="A1378" s="4" t="str" cm="1">
        <f t="array" ref="A1378">INDEX(Sheet1!A:A,$F1378)</f>
        <v>F</v>
      </c>
      <c r="B1378" s="4" t="str" cm="1">
        <f t="array" ref="B1378">INDEX(Sheet1!B:B,$F1378)</f>
        <v>Undiff NS</v>
      </c>
      <c r="C1378" s="4">
        <f t="shared" si="85"/>
        <v>76</v>
      </c>
      <c r="D1378" s="5" cm="1">
        <f t="array" aca="1" ref="D1378" ca="1">OFFSET(INDIRECT("'["&amp;$H1378&amp;"]"&amp;$I1378&amp;"'!"&amp;$J1378),$L1378,$M1378)*$K1378</f>
        <v>2.751E-2</v>
      </c>
      <c r="F1378" s="4">
        <f t="shared" si="86"/>
        <v>15</v>
      </c>
      <c r="G1378" s="4" cm="1">
        <f t="array" ref="G1378">IF($C1378+$M1378&lt;16,INDEX(Sheet1!C:C,$F1378),$F1378)</f>
        <v>15</v>
      </c>
      <c r="H1378" s="4" t="str" cm="1">
        <f t="array" ref="H1378">INDEX(Sheet1!D:D,$G1378)</f>
        <v>t1140.xlsx</v>
      </c>
      <c r="I1378" s="4" t="str" cm="1">
        <f t="array" ref="I1378">INDEX(Sheet1!E:E,$G1378)</f>
        <v>Sheet1</v>
      </c>
      <c r="J1378" s="4" t="str" cm="1">
        <f t="array" ref="J1378">INDEX(Sheet1!F:F,$G1378)</f>
        <v>B25</v>
      </c>
      <c r="K1378" s="4" cm="1">
        <f t="array" ref="K1378">INDEX(Sheet1!H:H,$G1378)</f>
        <v>1</v>
      </c>
      <c r="L1378" s="4">
        <f t="shared" si="84"/>
        <v>76</v>
      </c>
      <c r="M1378" s="4">
        <f t="shared" si="87"/>
        <v>5</v>
      </c>
    </row>
    <row r="1379" spans="1:13">
      <c r="A1379" s="4" t="str" cm="1">
        <f t="array" ref="A1379">INDEX(Sheet1!A:A,$F1379)</f>
        <v>F</v>
      </c>
      <c r="B1379" s="4" t="str" cm="1">
        <f t="array" ref="B1379">INDEX(Sheet1!B:B,$F1379)</f>
        <v>Undiff NS</v>
      </c>
      <c r="C1379" s="4">
        <f t="shared" si="85"/>
        <v>77</v>
      </c>
      <c r="D1379" s="5" cm="1">
        <f t="array" aca="1" ref="D1379" ca="1">OFFSET(INDIRECT("'["&amp;$H1379&amp;"]"&amp;$I1379&amp;"'!"&amp;$J1379),$L1379,$M1379)*$K1379</f>
        <v>3.1199999999999999E-2</v>
      </c>
      <c r="F1379" s="4">
        <f t="shared" si="86"/>
        <v>15</v>
      </c>
      <c r="G1379" s="4" cm="1">
        <f t="array" ref="G1379">IF($C1379+$M1379&lt;16,INDEX(Sheet1!C:C,$F1379),$F1379)</f>
        <v>15</v>
      </c>
      <c r="H1379" s="4" t="str" cm="1">
        <f t="array" ref="H1379">INDEX(Sheet1!D:D,$G1379)</f>
        <v>t1140.xlsx</v>
      </c>
      <c r="I1379" s="4" t="str" cm="1">
        <f t="array" ref="I1379">INDEX(Sheet1!E:E,$G1379)</f>
        <v>Sheet1</v>
      </c>
      <c r="J1379" s="4" t="str" cm="1">
        <f t="array" ref="J1379">INDEX(Sheet1!F:F,$G1379)</f>
        <v>B25</v>
      </c>
      <c r="K1379" s="4" cm="1">
        <f t="array" ref="K1379">INDEX(Sheet1!H:H,$G1379)</f>
        <v>1</v>
      </c>
      <c r="L1379" s="4">
        <f t="shared" si="84"/>
        <v>77</v>
      </c>
      <c r="M1379" s="4">
        <f t="shared" si="87"/>
        <v>5</v>
      </c>
    </row>
    <row r="1380" spans="1:13">
      <c r="A1380" s="4" t="str" cm="1">
        <f t="array" ref="A1380">INDEX(Sheet1!A:A,$F1380)</f>
        <v>F</v>
      </c>
      <c r="B1380" s="4" t="str" cm="1">
        <f t="array" ref="B1380">INDEX(Sheet1!B:B,$F1380)</f>
        <v>Undiff NS</v>
      </c>
      <c r="C1380" s="4">
        <f t="shared" si="85"/>
        <v>78</v>
      </c>
      <c r="D1380" s="5" cm="1">
        <f t="array" aca="1" ref="D1380" ca="1">OFFSET(INDIRECT("'["&amp;$H1380&amp;"]"&amp;$I1380&amp;"'!"&amp;$J1380),$L1380,$M1380)*$K1380</f>
        <v>3.542E-2</v>
      </c>
      <c r="F1380" s="4">
        <f t="shared" si="86"/>
        <v>15</v>
      </c>
      <c r="G1380" s="4" cm="1">
        <f t="array" ref="G1380">IF($C1380+$M1380&lt;16,INDEX(Sheet1!C:C,$F1380),$F1380)</f>
        <v>15</v>
      </c>
      <c r="H1380" s="4" t="str" cm="1">
        <f t="array" ref="H1380">INDEX(Sheet1!D:D,$G1380)</f>
        <v>t1140.xlsx</v>
      </c>
      <c r="I1380" s="4" t="str" cm="1">
        <f t="array" ref="I1380">INDEX(Sheet1!E:E,$G1380)</f>
        <v>Sheet1</v>
      </c>
      <c r="J1380" s="4" t="str" cm="1">
        <f t="array" ref="J1380">INDEX(Sheet1!F:F,$G1380)</f>
        <v>B25</v>
      </c>
      <c r="K1380" s="4" cm="1">
        <f t="array" ref="K1380">INDEX(Sheet1!H:H,$G1380)</f>
        <v>1</v>
      </c>
      <c r="L1380" s="4">
        <f t="shared" si="84"/>
        <v>78</v>
      </c>
      <c r="M1380" s="4">
        <f t="shared" si="87"/>
        <v>5</v>
      </c>
    </row>
    <row r="1381" spans="1:13">
      <c r="A1381" s="4" t="str" cm="1">
        <f t="array" ref="A1381">INDEX(Sheet1!A:A,$F1381)</f>
        <v>F</v>
      </c>
      <c r="B1381" s="4" t="str" cm="1">
        <f t="array" ref="B1381">INDEX(Sheet1!B:B,$F1381)</f>
        <v>Undiff NS</v>
      </c>
      <c r="C1381" s="4">
        <f t="shared" si="85"/>
        <v>79</v>
      </c>
      <c r="D1381" s="5" cm="1">
        <f t="array" aca="1" ref="D1381" ca="1">OFFSET(INDIRECT("'["&amp;$H1381&amp;"]"&amp;$I1381&amp;"'!"&amp;$J1381),$L1381,$M1381)*$K1381</f>
        <v>4.027E-2</v>
      </c>
      <c r="F1381" s="4">
        <f t="shared" si="86"/>
        <v>15</v>
      </c>
      <c r="G1381" s="4" cm="1">
        <f t="array" ref="G1381">IF($C1381+$M1381&lt;16,INDEX(Sheet1!C:C,$F1381),$F1381)</f>
        <v>15</v>
      </c>
      <c r="H1381" s="4" t="str" cm="1">
        <f t="array" ref="H1381">INDEX(Sheet1!D:D,$G1381)</f>
        <v>t1140.xlsx</v>
      </c>
      <c r="I1381" s="4" t="str" cm="1">
        <f t="array" ref="I1381">INDEX(Sheet1!E:E,$G1381)</f>
        <v>Sheet1</v>
      </c>
      <c r="J1381" s="4" t="str" cm="1">
        <f t="array" ref="J1381">INDEX(Sheet1!F:F,$G1381)</f>
        <v>B25</v>
      </c>
      <c r="K1381" s="4" cm="1">
        <f t="array" ref="K1381">INDEX(Sheet1!H:H,$G1381)</f>
        <v>1</v>
      </c>
      <c r="L1381" s="4">
        <f t="shared" si="84"/>
        <v>79</v>
      </c>
      <c r="M1381" s="4">
        <f t="shared" si="87"/>
        <v>5</v>
      </c>
    </row>
    <row r="1382" spans="1:13">
      <c r="A1382" s="4" t="str" cm="1">
        <f t="array" ref="A1382">INDEX(Sheet1!A:A,$F1382)</f>
        <v>F</v>
      </c>
      <c r="B1382" s="4" t="str" cm="1">
        <f t="array" ref="B1382">INDEX(Sheet1!B:B,$F1382)</f>
        <v>Undiff NS</v>
      </c>
      <c r="C1382" s="4">
        <f t="shared" si="85"/>
        <v>80</v>
      </c>
      <c r="D1382" s="5" cm="1">
        <f t="array" aca="1" ref="D1382" ca="1">OFFSET(INDIRECT("'["&amp;$H1382&amp;"]"&amp;$I1382&amp;"'!"&amp;$J1382),$L1382,$M1382)*$K1382</f>
        <v>4.5719999999999997E-2</v>
      </c>
      <c r="F1382" s="4">
        <f t="shared" si="86"/>
        <v>15</v>
      </c>
      <c r="G1382" s="4" cm="1">
        <f t="array" ref="G1382">IF($C1382+$M1382&lt;16,INDEX(Sheet1!C:C,$F1382),$F1382)</f>
        <v>15</v>
      </c>
      <c r="H1382" s="4" t="str" cm="1">
        <f t="array" ref="H1382">INDEX(Sheet1!D:D,$G1382)</f>
        <v>t1140.xlsx</v>
      </c>
      <c r="I1382" s="4" t="str" cm="1">
        <f t="array" ref="I1382">INDEX(Sheet1!E:E,$G1382)</f>
        <v>Sheet1</v>
      </c>
      <c r="J1382" s="4" t="str" cm="1">
        <f t="array" ref="J1382">INDEX(Sheet1!F:F,$G1382)</f>
        <v>B25</v>
      </c>
      <c r="K1382" s="4" cm="1">
        <f t="array" ref="K1382">INDEX(Sheet1!H:H,$G1382)</f>
        <v>1</v>
      </c>
      <c r="L1382" s="4">
        <f t="shared" si="84"/>
        <v>80</v>
      </c>
      <c r="M1382" s="4">
        <f t="shared" si="87"/>
        <v>5</v>
      </c>
    </row>
    <row r="1383" spans="1:13">
      <c r="A1383" s="4" t="str" cm="1">
        <f t="array" ref="A1383">INDEX(Sheet1!A:A,$F1383)</f>
        <v>F</v>
      </c>
      <c r="B1383" s="4" t="str" cm="1">
        <f t="array" ref="B1383">INDEX(Sheet1!B:B,$F1383)</f>
        <v>Undiff NS</v>
      </c>
      <c r="C1383" s="4">
        <f t="shared" si="85"/>
        <v>81</v>
      </c>
      <c r="D1383" s="5" cm="1">
        <f t="array" aca="1" ref="D1383" ca="1">OFFSET(INDIRECT("'["&amp;$H1383&amp;"]"&amp;$I1383&amp;"'!"&amp;$J1383),$L1383,$M1383)*$K1383</f>
        <v>5.1900000000000002E-2</v>
      </c>
      <c r="F1383" s="4">
        <f t="shared" si="86"/>
        <v>15</v>
      </c>
      <c r="G1383" s="4" cm="1">
        <f t="array" ref="G1383">IF($C1383+$M1383&lt;16,INDEX(Sheet1!C:C,$F1383),$F1383)</f>
        <v>15</v>
      </c>
      <c r="H1383" s="4" t="str" cm="1">
        <f t="array" ref="H1383">INDEX(Sheet1!D:D,$G1383)</f>
        <v>t1140.xlsx</v>
      </c>
      <c r="I1383" s="4" t="str" cm="1">
        <f t="array" ref="I1383">INDEX(Sheet1!E:E,$G1383)</f>
        <v>Sheet1</v>
      </c>
      <c r="J1383" s="4" t="str" cm="1">
        <f t="array" ref="J1383">INDEX(Sheet1!F:F,$G1383)</f>
        <v>B25</v>
      </c>
      <c r="K1383" s="4" cm="1">
        <f t="array" ref="K1383">INDEX(Sheet1!H:H,$G1383)</f>
        <v>1</v>
      </c>
      <c r="L1383" s="4">
        <f t="shared" si="84"/>
        <v>81</v>
      </c>
      <c r="M1383" s="4">
        <f t="shared" si="87"/>
        <v>5</v>
      </c>
    </row>
    <row r="1384" spans="1:13">
      <c r="A1384" s="4" t="str" cm="1">
        <f t="array" ref="A1384">INDEX(Sheet1!A:A,$F1384)</f>
        <v>F</v>
      </c>
      <c r="B1384" s="4" t="str" cm="1">
        <f t="array" ref="B1384">INDEX(Sheet1!B:B,$F1384)</f>
        <v>Undiff NS</v>
      </c>
      <c r="C1384" s="4">
        <f t="shared" si="85"/>
        <v>82</v>
      </c>
      <c r="D1384" s="5" cm="1">
        <f t="array" aca="1" ref="D1384" ca="1">OFFSET(INDIRECT("'["&amp;$H1384&amp;"]"&amp;$I1384&amp;"'!"&amp;$J1384),$L1384,$M1384)*$K1384</f>
        <v>5.8799999999999998E-2</v>
      </c>
      <c r="F1384" s="4">
        <f t="shared" si="86"/>
        <v>15</v>
      </c>
      <c r="G1384" s="4" cm="1">
        <f t="array" ref="G1384">IF($C1384+$M1384&lt;16,INDEX(Sheet1!C:C,$F1384),$F1384)</f>
        <v>15</v>
      </c>
      <c r="H1384" s="4" t="str" cm="1">
        <f t="array" ref="H1384">INDEX(Sheet1!D:D,$G1384)</f>
        <v>t1140.xlsx</v>
      </c>
      <c r="I1384" s="4" t="str" cm="1">
        <f t="array" ref="I1384">INDEX(Sheet1!E:E,$G1384)</f>
        <v>Sheet1</v>
      </c>
      <c r="J1384" s="4" t="str" cm="1">
        <f t="array" ref="J1384">INDEX(Sheet1!F:F,$G1384)</f>
        <v>B25</v>
      </c>
      <c r="K1384" s="4" cm="1">
        <f t="array" ref="K1384">INDEX(Sheet1!H:H,$G1384)</f>
        <v>1</v>
      </c>
      <c r="L1384" s="4">
        <f t="shared" si="84"/>
        <v>82</v>
      </c>
      <c r="M1384" s="4">
        <f t="shared" si="87"/>
        <v>5</v>
      </c>
    </row>
    <row r="1385" spans="1:13">
      <c r="A1385" s="4" t="str" cm="1">
        <f t="array" ref="A1385">INDEX(Sheet1!A:A,$F1385)</f>
        <v>F</v>
      </c>
      <c r="B1385" s="4" t="str" cm="1">
        <f t="array" ref="B1385">INDEX(Sheet1!B:B,$F1385)</f>
        <v>Undiff NS</v>
      </c>
      <c r="C1385" s="4">
        <f t="shared" si="85"/>
        <v>83</v>
      </c>
      <c r="D1385" s="5" cm="1">
        <f t="array" aca="1" ref="D1385" ca="1">OFFSET(INDIRECT("'["&amp;$H1385&amp;"]"&amp;$I1385&amp;"'!"&amp;$J1385),$L1385,$M1385)*$K1385</f>
        <v>6.6549999999999998E-2</v>
      </c>
      <c r="F1385" s="4">
        <f t="shared" si="86"/>
        <v>15</v>
      </c>
      <c r="G1385" s="4" cm="1">
        <f t="array" ref="G1385">IF($C1385+$M1385&lt;16,INDEX(Sheet1!C:C,$F1385),$F1385)</f>
        <v>15</v>
      </c>
      <c r="H1385" s="4" t="str" cm="1">
        <f t="array" ref="H1385">INDEX(Sheet1!D:D,$G1385)</f>
        <v>t1140.xlsx</v>
      </c>
      <c r="I1385" s="4" t="str" cm="1">
        <f t="array" ref="I1385">INDEX(Sheet1!E:E,$G1385)</f>
        <v>Sheet1</v>
      </c>
      <c r="J1385" s="4" t="str" cm="1">
        <f t="array" ref="J1385">INDEX(Sheet1!F:F,$G1385)</f>
        <v>B25</v>
      </c>
      <c r="K1385" s="4" cm="1">
        <f t="array" ref="K1385">INDEX(Sheet1!H:H,$G1385)</f>
        <v>1</v>
      </c>
      <c r="L1385" s="4">
        <f t="shared" si="84"/>
        <v>83</v>
      </c>
      <c r="M1385" s="4">
        <f t="shared" si="87"/>
        <v>5</v>
      </c>
    </row>
    <row r="1386" spans="1:13">
      <c r="A1386" s="4" t="str" cm="1">
        <f t="array" ref="A1386">INDEX(Sheet1!A:A,$F1386)</f>
        <v>F</v>
      </c>
      <c r="B1386" s="4" t="str" cm="1">
        <f t="array" ref="B1386">INDEX(Sheet1!B:B,$F1386)</f>
        <v>Undiff NS</v>
      </c>
      <c r="C1386" s="4">
        <f t="shared" si="85"/>
        <v>84</v>
      </c>
      <c r="D1386" s="5" cm="1">
        <f t="array" aca="1" ref="D1386" ca="1">OFFSET(INDIRECT("'["&amp;$H1386&amp;"]"&amp;$I1386&amp;"'!"&amp;$J1386),$L1386,$M1386)*$K1386</f>
        <v>7.5060000000000002E-2</v>
      </c>
      <c r="F1386" s="4">
        <f t="shared" si="86"/>
        <v>15</v>
      </c>
      <c r="G1386" s="4" cm="1">
        <f t="array" ref="G1386">IF($C1386+$M1386&lt;16,INDEX(Sheet1!C:C,$F1386),$F1386)</f>
        <v>15</v>
      </c>
      <c r="H1386" s="4" t="str" cm="1">
        <f t="array" ref="H1386">INDEX(Sheet1!D:D,$G1386)</f>
        <v>t1140.xlsx</v>
      </c>
      <c r="I1386" s="4" t="str" cm="1">
        <f t="array" ref="I1386">INDEX(Sheet1!E:E,$G1386)</f>
        <v>Sheet1</v>
      </c>
      <c r="J1386" s="4" t="str" cm="1">
        <f t="array" ref="J1386">INDEX(Sheet1!F:F,$G1386)</f>
        <v>B25</v>
      </c>
      <c r="K1386" s="4" cm="1">
        <f t="array" ref="K1386">INDEX(Sheet1!H:H,$G1386)</f>
        <v>1</v>
      </c>
      <c r="L1386" s="4">
        <f t="shared" si="84"/>
        <v>84</v>
      </c>
      <c r="M1386" s="4">
        <f t="shared" si="87"/>
        <v>5</v>
      </c>
    </row>
    <row r="1387" spans="1:13">
      <c r="A1387" s="4" t="str" cm="1">
        <f t="array" ref="A1387">INDEX(Sheet1!A:A,$F1387)</f>
        <v>F</v>
      </c>
      <c r="B1387" s="4" t="str" cm="1">
        <f t="array" ref="B1387">INDEX(Sheet1!B:B,$F1387)</f>
        <v>Undiff NS</v>
      </c>
      <c r="C1387" s="4">
        <f t="shared" si="85"/>
        <v>85</v>
      </c>
      <c r="D1387" s="5" cm="1">
        <f t="array" aca="1" ref="D1387" ca="1">OFFSET(INDIRECT("'["&amp;$H1387&amp;"]"&amp;$I1387&amp;"'!"&amp;$J1387),$L1387,$M1387)*$K1387</f>
        <v>8.4430000000000005E-2</v>
      </c>
      <c r="F1387" s="4">
        <f t="shared" si="86"/>
        <v>15</v>
      </c>
      <c r="G1387" s="4" cm="1">
        <f t="array" ref="G1387">IF($C1387+$M1387&lt;16,INDEX(Sheet1!C:C,$F1387),$F1387)</f>
        <v>15</v>
      </c>
      <c r="H1387" s="4" t="str" cm="1">
        <f t="array" ref="H1387">INDEX(Sheet1!D:D,$G1387)</f>
        <v>t1140.xlsx</v>
      </c>
      <c r="I1387" s="4" t="str" cm="1">
        <f t="array" ref="I1387">INDEX(Sheet1!E:E,$G1387)</f>
        <v>Sheet1</v>
      </c>
      <c r="J1387" s="4" t="str" cm="1">
        <f t="array" ref="J1387">INDEX(Sheet1!F:F,$G1387)</f>
        <v>B25</v>
      </c>
      <c r="K1387" s="4" cm="1">
        <f t="array" ref="K1387">INDEX(Sheet1!H:H,$G1387)</f>
        <v>1</v>
      </c>
      <c r="L1387" s="4">
        <f t="shared" si="84"/>
        <v>85</v>
      </c>
      <c r="M1387" s="4">
        <f t="shared" si="87"/>
        <v>5</v>
      </c>
    </row>
    <row r="1388" spans="1:13">
      <c r="A1388" s="4" t="str" cm="1">
        <f t="array" ref="A1388">INDEX(Sheet1!A:A,$F1388)</f>
        <v>F</v>
      </c>
      <c r="B1388" s="4" t="str" cm="1">
        <f t="array" ref="B1388">INDEX(Sheet1!B:B,$F1388)</f>
        <v>Undiff NS</v>
      </c>
      <c r="C1388" s="4">
        <f t="shared" si="85"/>
        <v>86</v>
      </c>
      <c r="D1388" s="5" cm="1">
        <f t="array" aca="1" ref="D1388" ca="1">OFFSET(INDIRECT("'["&amp;$H1388&amp;"]"&amp;$I1388&amp;"'!"&amp;$J1388),$L1388,$M1388)*$K1388</f>
        <v>9.4780000000000003E-2</v>
      </c>
      <c r="F1388" s="4">
        <f t="shared" si="86"/>
        <v>15</v>
      </c>
      <c r="G1388" s="4" cm="1">
        <f t="array" ref="G1388">IF($C1388+$M1388&lt;16,INDEX(Sheet1!C:C,$F1388),$F1388)</f>
        <v>15</v>
      </c>
      <c r="H1388" s="4" t="str" cm="1">
        <f t="array" ref="H1388">INDEX(Sheet1!D:D,$G1388)</f>
        <v>t1140.xlsx</v>
      </c>
      <c r="I1388" s="4" t="str" cm="1">
        <f t="array" ref="I1388">INDEX(Sheet1!E:E,$G1388)</f>
        <v>Sheet1</v>
      </c>
      <c r="J1388" s="4" t="str" cm="1">
        <f t="array" ref="J1388">INDEX(Sheet1!F:F,$G1388)</f>
        <v>B25</v>
      </c>
      <c r="K1388" s="4" cm="1">
        <f t="array" ref="K1388">INDEX(Sheet1!H:H,$G1388)</f>
        <v>1</v>
      </c>
      <c r="L1388" s="4">
        <f t="shared" si="84"/>
        <v>86</v>
      </c>
      <c r="M1388" s="4">
        <f t="shared" si="87"/>
        <v>5</v>
      </c>
    </row>
    <row r="1389" spans="1:13">
      <c r="A1389" s="4" t="str" cm="1">
        <f t="array" ref="A1389">INDEX(Sheet1!A:A,$F1389)</f>
        <v>F</v>
      </c>
      <c r="B1389" s="4" t="str" cm="1">
        <f t="array" ref="B1389">INDEX(Sheet1!B:B,$F1389)</f>
        <v>Undiff NS</v>
      </c>
      <c r="C1389" s="4">
        <f t="shared" si="85"/>
        <v>87</v>
      </c>
      <c r="D1389" s="5" cm="1">
        <f t="array" aca="1" ref="D1389" ca="1">OFFSET(INDIRECT("'["&amp;$H1389&amp;"]"&amp;$I1389&amp;"'!"&amp;$J1389),$L1389,$M1389)*$K1389</f>
        <v>0.10595</v>
      </c>
      <c r="F1389" s="4">
        <f t="shared" si="86"/>
        <v>15</v>
      </c>
      <c r="G1389" s="4" cm="1">
        <f t="array" ref="G1389">IF($C1389+$M1389&lt;16,INDEX(Sheet1!C:C,$F1389),$F1389)</f>
        <v>15</v>
      </c>
      <c r="H1389" s="4" t="str" cm="1">
        <f t="array" ref="H1389">INDEX(Sheet1!D:D,$G1389)</f>
        <v>t1140.xlsx</v>
      </c>
      <c r="I1389" s="4" t="str" cm="1">
        <f t="array" ref="I1389">INDEX(Sheet1!E:E,$G1389)</f>
        <v>Sheet1</v>
      </c>
      <c r="J1389" s="4" t="str" cm="1">
        <f t="array" ref="J1389">INDEX(Sheet1!F:F,$G1389)</f>
        <v>B25</v>
      </c>
      <c r="K1389" s="4" cm="1">
        <f t="array" ref="K1389">INDEX(Sheet1!H:H,$G1389)</f>
        <v>1</v>
      </c>
      <c r="L1389" s="4">
        <f t="shared" si="84"/>
        <v>87</v>
      </c>
      <c r="M1389" s="4">
        <f t="shared" si="87"/>
        <v>5</v>
      </c>
    </row>
    <row r="1390" spans="1:13">
      <c r="A1390" s="4" t="str" cm="1">
        <f t="array" ref="A1390">INDEX(Sheet1!A:A,$F1390)</f>
        <v>F</v>
      </c>
      <c r="B1390" s="4" t="str" cm="1">
        <f t="array" ref="B1390">INDEX(Sheet1!B:B,$F1390)</f>
        <v>Undiff NS</v>
      </c>
      <c r="C1390" s="4">
        <f t="shared" si="85"/>
        <v>88</v>
      </c>
      <c r="D1390" s="5" cm="1">
        <f t="array" aca="1" ref="D1390" ca="1">OFFSET(INDIRECT("'["&amp;$H1390&amp;"]"&amp;$I1390&amp;"'!"&amp;$J1390),$L1390,$M1390)*$K1390</f>
        <v>0.11812</v>
      </c>
      <c r="F1390" s="4">
        <f t="shared" si="86"/>
        <v>15</v>
      </c>
      <c r="G1390" s="4" cm="1">
        <f t="array" ref="G1390">IF($C1390+$M1390&lt;16,INDEX(Sheet1!C:C,$F1390),$F1390)</f>
        <v>15</v>
      </c>
      <c r="H1390" s="4" t="str" cm="1">
        <f t="array" ref="H1390">INDEX(Sheet1!D:D,$G1390)</f>
        <v>t1140.xlsx</v>
      </c>
      <c r="I1390" s="4" t="str" cm="1">
        <f t="array" ref="I1390">INDEX(Sheet1!E:E,$G1390)</f>
        <v>Sheet1</v>
      </c>
      <c r="J1390" s="4" t="str" cm="1">
        <f t="array" ref="J1390">INDEX(Sheet1!F:F,$G1390)</f>
        <v>B25</v>
      </c>
      <c r="K1390" s="4" cm="1">
        <f t="array" ref="K1390">INDEX(Sheet1!H:H,$G1390)</f>
        <v>1</v>
      </c>
      <c r="L1390" s="4">
        <f t="shared" si="84"/>
        <v>88</v>
      </c>
      <c r="M1390" s="4">
        <f t="shared" si="87"/>
        <v>5</v>
      </c>
    </row>
    <row r="1391" spans="1:13">
      <c r="A1391" s="4" t="str" cm="1">
        <f t="array" ref="A1391">INDEX(Sheet1!A:A,$F1391)</f>
        <v>F</v>
      </c>
      <c r="B1391" s="4" t="str" cm="1">
        <f t="array" ref="B1391">INDEX(Sheet1!B:B,$F1391)</f>
        <v>Undiff NS</v>
      </c>
      <c r="C1391" s="4">
        <f t="shared" si="85"/>
        <v>89</v>
      </c>
      <c r="D1391" s="5" cm="1">
        <f t="array" aca="1" ref="D1391" ca="1">OFFSET(INDIRECT("'["&amp;$H1391&amp;"]"&amp;$I1391&amp;"'!"&amp;$J1391),$L1391,$M1391)*$K1391</f>
        <v>0.13116</v>
      </c>
      <c r="F1391" s="4">
        <f t="shared" si="86"/>
        <v>15</v>
      </c>
      <c r="G1391" s="4" cm="1">
        <f t="array" ref="G1391">IF($C1391+$M1391&lt;16,INDEX(Sheet1!C:C,$F1391),$F1391)</f>
        <v>15</v>
      </c>
      <c r="H1391" s="4" t="str" cm="1">
        <f t="array" ref="H1391">INDEX(Sheet1!D:D,$G1391)</f>
        <v>t1140.xlsx</v>
      </c>
      <c r="I1391" s="4" t="str" cm="1">
        <f t="array" ref="I1391">INDEX(Sheet1!E:E,$G1391)</f>
        <v>Sheet1</v>
      </c>
      <c r="J1391" s="4" t="str" cm="1">
        <f t="array" ref="J1391">INDEX(Sheet1!F:F,$G1391)</f>
        <v>B25</v>
      </c>
      <c r="K1391" s="4" cm="1">
        <f t="array" ref="K1391">INDEX(Sheet1!H:H,$G1391)</f>
        <v>1</v>
      </c>
      <c r="L1391" s="4">
        <f t="shared" si="84"/>
        <v>89</v>
      </c>
      <c r="M1391" s="4">
        <f t="shared" si="87"/>
        <v>5</v>
      </c>
    </row>
    <row r="1392" spans="1:13">
      <c r="A1392" s="4" t="str" cm="1">
        <f t="array" ref="A1392">INDEX(Sheet1!A:A,$F1392)</f>
        <v>F</v>
      </c>
      <c r="B1392" s="4" t="str" cm="1">
        <f t="array" ref="B1392">INDEX(Sheet1!B:B,$F1392)</f>
        <v>Undiff NS</v>
      </c>
      <c r="C1392" s="4">
        <f t="shared" si="85"/>
        <v>90</v>
      </c>
      <c r="D1392" s="5" cm="1">
        <f t="array" aca="1" ref="D1392" ca="1">OFFSET(INDIRECT("'["&amp;$H1392&amp;"]"&amp;$I1392&amp;"'!"&amp;$J1392),$L1392,$M1392)*$K1392</f>
        <v>0.14529</v>
      </c>
      <c r="F1392" s="4">
        <f t="shared" si="86"/>
        <v>15</v>
      </c>
      <c r="G1392" s="4" cm="1">
        <f t="array" ref="G1392">IF($C1392+$M1392&lt;16,INDEX(Sheet1!C:C,$F1392),$F1392)</f>
        <v>15</v>
      </c>
      <c r="H1392" s="4" t="str" cm="1">
        <f t="array" ref="H1392">INDEX(Sheet1!D:D,$G1392)</f>
        <v>t1140.xlsx</v>
      </c>
      <c r="I1392" s="4" t="str" cm="1">
        <f t="array" ref="I1392">INDEX(Sheet1!E:E,$G1392)</f>
        <v>Sheet1</v>
      </c>
      <c r="J1392" s="4" t="str" cm="1">
        <f t="array" ref="J1392">INDEX(Sheet1!F:F,$G1392)</f>
        <v>B25</v>
      </c>
      <c r="K1392" s="4" cm="1">
        <f t="array" ref="K1392">INDEX(Sheet1!H:H,$G1392)</f>
        <v>1</v>
      </c>
      <c r="L1392" s="4">
        <f t="shared" si="84"/>
        <v>90</v>
      </c>
      <c r="M1392" s="4">
        <f t="shared" si="87"/>
        <v>5</v>
      </c>
    </row>
    <row r="1393" spans="1:13">
      <c r="A1393" s="4" t="str" cm="1">
        <f t="array" ref="A1393">INDEX(Sheet1!A:A,$F1393)</f>
        <v>F</v>
      </c>
      <c r="B1393" s="4" t="str" cm="1">
        <f t="array" ref="B1393">INDEX(Sheet1!B:B,$F1393)</f>
        <v>Undiff NS</v>
      </c>
      <c r="C1393" s="4">
        <f t="shared" si="85"/>
        <v>91</v>
      </c>
      <c r="D1393" s="5" cm="1">
        <f t="array" aca="1" ref="D1393" ca="1">OFFSET(INDIRECT("'["&amp;$H1393&amp;"]"&amp;$I1393&amp;"'!"&amp;$J1393),$L1393,$M1393)*$K1393</f>
        <v>0.16028000000000001</v>
      </c>
      <c r="F1393" s="4">
        <f t="shared" si="86"/>
        <v>15</v>
      </c>
      <c r="G1393" s="4" cm="1">
        <f t="array" ref="G1393">IF($C1393+$M1393&lt;16,INDEX(Sheet1!C:C,$F1393),$F1393)</f>
        <v>15</v>
      </c>
      <c r="H1393" s="4" t="str" cm="1">
        <f t="array" ref="H1393">INDEX(Sheet1!D:D,$G1393)</f>
        <v>t1140.xlsx</v>
      </c>
      <c r="I1393" s="4" t="str" cm="1">
        <f t="array" ref="I1393">INDEX(Sheet1!E:E,$G1393)</f>
        <v>Sheet1</v>
      </c>
      <c r="J1393" s="4" t="str" cm="1">
        <f t="array" ref="J1393">INDEX(Sheet1!F:F,$G1393)</f>
        <v>B25</v>
      </c>
      <c r="K1393" s="4" cm="1">
        <f t="array" ref="K1393">INDEX(Sheet1!H:H,$G1393)</f>
        <v>1</v>
      </c>
      <c r="L1393" s="4">
        <f t="shared" si="84"/>
        <v>91</v>
      </c>
      <c r="M1393" s="4">
        <f t="shared" si="87"/>
        <v>5</v>
      </c>
    </row>
    <row r="1394" spans="1:13">
      <c r="A1394" s="4" t="str" cm="1">
        <f t="array" ref="A1394">INDEX(Sheet1!A:A,$F1394)</f>
        <v>F</v>
      </c>
      <c r="B1394" s="4" t="str" cm="1">
        <f t="array" ref="B1394">INDEX(Sheet1!B:B,$F1394)</f>
        <v>Undiff NS</v>
      </c>
      <c r="C1394" s="4">
        <f t="shared" si="85"/>
        <v>92</v>
      </c>
      <c r="D1394" s="5" cm="1">
        <f t="array" aca="1" ref="D1394" ca="1">OFFSET(INDIRECT("'["&amp;$H1394&amp;"]"&amp;$I1394&amp;"'!"&amp;$J1394),$L1394,$M1394)*$K1394</f>
        <v>0.17630000000000001</v>
      </c>
      <c r="F1394" s="4">
        <f t="shared" si="86"/>
        <v>15</v>
      </c>
      <c r="G1394" s="4" cm="1">
        <f t="array" ref="G1394">IF($C1394+$M1394&lt;16,INDEX(Sheet1!C:C,$F1394),$F1394)</f>
        <v>15</v>
      </c>
      <c r="H1394" s="4" t="str" cm="1">
        <f t="array" ref="H1394">INDEX(Sheet1!D:D,$G1394)</f>
        <v>t1140.xlsx</v>
      </c>
      <c r="I1394" s="4" t="str" cm="1">
        <f t="array" ref="I1394">INDEX(Sheet1!E:E,$G1394)</f>
        <v>Sheet1</v>
      </c>
      <c r="J1394" s="4" t="str" cm="1">
        <f t="array" ref="J1394">INDEX(Sheet1!F:F,$G1394)</f>
        <v>B25</v>
      </c>
      <c r="K1394" s="4" cm="1">
        <f t="array" ref="K1394">INDEX(Sheet1!H:H,$G1394)</f>
        <v>1</v>
      </c>
      <c r="L1394" s="4">
        <f t="shared" si="84"/>
        <v>92</v>
      </c>
      <c r="M1394" s="4">
        <f t="shared" si="87"/>
        <v>5</v>
      </c>
    </row>
    <row r="1395" spans="1:13">
      <c r="A1395" s="4" t="str" cm="1">
        <f t="array" ref="A1395">INDEX(Sheet1!A:A,$F1395)</f>
        <v>F</v>
      </c>
      <c r="B1395" s="4" t="str" cm="1">
        <f t="array" ref="B1395">INDEX(Sheet1!B:B,$F1395)</f>
        <v>Undiff NS</v>
      </c>
      <c r="C1395" s="4">
        <f t="shared" si="85"/>
        <v>93</v>
      </c>
      <c r="D1395" s="5" cm="1">
        <f t="array" aca="1" ref="D1395" ca="1">OFFSET(INDIRECT("'["&amp;$H1395&amp;"]"&amp;$I1395&amp;"'!"&amp;$J1395),$L1395,$M1395)*$K1395</f>
        <v>0.19334000000000001</v>
      </c>
      <c r="F1395" s="4">
        <f t="shared" si="86"/>
        <v>15</v>
      </c>
      <c r="G1395" s="4" cm="1">
        <f t="array" ref="G1395">IF($C1395+$M1395&lt;16,INDEX(Sheet1!C:C,$F1395),$F1395)</f>
        <v>15</v>
      </c>
      <c r="H1395" s="4" t="str" cm="1">
        <f t="array" ref="H1395">INDEX(Sheet1!D:D,$G1395)</f>
        <v>t1140.xlsx</v>
      </c>
      <c r="I1395" s="4" t="str" cm="1">
        <f t="array" ref="I1395">INDEX(Sheet1!E:E,$G1395)</f>
        <v>Sheet1</v>
      </c>
      <c r="J1395" s="4" t="str" cm="1">
        <f t="array" ref="J1395">INDEX(Sheet1!F:F,$G1395)</f>
        <v>B25</v>
      </c>
      <c r="K1395" s="4" cm="1">
        <f t="array" ref="K1395">INDEX(Sheet1!H:H,$G1395)</f>
        <v>1</v>
      </c>
      <c r="L1395" s="4">
        <f t="shared" si="84"/>
        <v>93</v>
      </c>
      <c r="M1395" s="4">
        <f t="shared" si="87"/>
        <v>5</v>
      </c>
    </row>
    <row r="1396" spans="1:13">
      <c r="A1396" s="4" t="str" cm="1">
        <f t="array" ref="A1396">INDEX(Sheet1!A:A,$F1396)</f>
        <v>F</v>
      </c>
      <c r="B1396" s="4" t="str" cm="1">
        <f t="array" ref="B1396">INDEX(Sheet1!B:B,$F1396)</f>
        <v>Undiff NS</v>
      </c>
      <c r="C1396" s="4">
        <f t="shared" si="85"/>
        <v>94</v>
      </c>
      <c r="D1396" s="5" cm="1">
        <f t="array" aca="1" ref="D1396" ca="1">OFFSET(INDIRECT("'["&amp;$H1396&amp;"]"&amp;$I1396&amp;"'!"&amp;$J1396),$L1396,$M1396)*$K1396</f>
        <v>0.21146000000000001</v>
      </c>
      <c r="F1396" s="4">
        <f t="shared" si="86"/>
        <v>15</v>
      </c>
      <c r="G1396" s="4" cm="1">
        <f t="array" ref="G1396">IF($C1396+$M1396&lt;16,INDEX(Sheet1!C:C,$F1396),$F1396)</f>
        <v>15</v>
      </c>
      <c r="H1396" s="4" t="str" cm="1">
        <f t="array" ref="H1396">INDEX(Sheet1!D:D,$G1396)</f>
        <v>t1140.xlsx</v>
      </c>
      <c r="I1396" s="4" t="str" cm="1">
        <f t="array" ref="I1396">INDEX(Sheet1!E:E,$G1396)</f>
        <v>Sheet1</v>
      </c>
      <c r="J1396" s="4" t="str" cm="1">
        <f t="array" ref="J1396">INDEX(Sheet1!F:F,$G1396)</f>
        <v>B25</v>
      </c>
      <c r="K1396" s="4" cm="1">
        <f t="array" ref="K1396">INDEX(Sheet1!H:H,$G1396)</f>
        <v>1</v>
      </c>
      <c r="L1396" s="4">
        <f t="shared" si="84"/>
        <v>94</v>
      </c>
      <c r="M1396" s="4">
        <f t="shared" si="87"/>
        <v>5</v>
      </c>
    </row>
    <row r="1397" spans="1:13">
      <c r="A1397" s="4" t="str" cm="1">
        <f t="array" ref="A1397">INDEX(Sheet1!A:A,$F1397)</f>
        <v>F</v>
      </c>
      <c r="B1397" s="4" t="str" cm="1">
        <f t="array" ref="B1397">INDEX(Sheet1!B:B,$F1397)</f>
        <v>Undiff NS</v>
      </c>
      <c r="C1397" s="4">
        <f t="shared" si="85"/>
        <v>95</v>
      </c>
      <c r="D1397" s="5" cm="1">
        <f t="array" aca="1" ref="D1397" ca="1">OFFSET(INDIRECT("'["&amp;$H1397&amp;"]"&amp;$I1397&amp;"'!"&amp;$J1397),$L1397,$M1397)*$K1397</f>
        <v>0.23053000000000001</v>
      </c>
      <c r="F1397" s="4">
        <f t="shared" si="86"/>
        <v>15</v>
      </c>
      <c r="G1397" s="4" cm="1">
        <f t="array" ref="G1397">IF($C1397+$M1397&lt;16,INDEX(Sheet1!C:C,$F1397),$F1397)</f>
        <v>15</v>
      </c>
      <c r="H1397" s="4" t="str" cm="1">
        <f t="array" ref="H1397">INDEX(Sheet1!D:D,$G1397)</f>
        <v>t1140.xlsx</v>
      </c>
      <c r="I1397" s="4" t="str" cm="1">
        <f t="array" ref="I1397">INDEX(Sheet1!E:E,$G1397)</f>
        <v>Sheet1</v>
      </c>
      <c r="J1397" s="4" t="str" cm="1">
        <f t="array" ref="J1397">INDEX(Sheet1!F:F,$G1397)</f>
        <v>B25</v>
      </c>
      <c r="K1397" s="4" cm="1">
        <f t="array" ref="K1397">INDEX(Sheet1!H:H,$G1397)</f>
        <v>1</v>
      </c>
      <c r="L1397" s="4">
        <f t="shared" si="84"/>
        <v>95</v>
      </c>
      <c r="M1397" s="4">
        <f t="shared" si="87"/>
        <v>5</v>
      </c>
    </row>
    <row r="1398" spans="1:13">
      <c r="A1398" s="4" t="str" cm="1">
        <f t="array" ref="A1398">INDEX(Sheet1!A:A,$F1398)</f>
        <v>F</v>
      </c>
      <c r="B1398" s="4" t="str" cm="1">
        <f t="array" ref="B1398">INDEX(Sheet1!B:B,$F1398)</f>
        <v>Undiff NS</v>
      </c>
      <c r="C1398" s="4">
        <f t="shared" si="85"/>
        <v>96</v>
      </c>
      <c r="D1398" s="5" cm="1">
        <f t="array" aca="1" ref="D1398" ca="1">OFFSET(INDIRECT("'["&amp;$H1398&amp;"]"&amp;$I1398&amp;"'!"&amp;$J1398),$L1398,$M1398)*$K1398</f>
        <v>0.25178</v>
      </c>
      <c r="F1398" s="4">
        <f t="shared" si="86"/>
        <v>15</v>
      </c>
      <c r="G1398" s="4" cm="1">
        <f t="array" ref="G1398">IF($C1398+$M1398&lt;16,INDEX(Sheet1!C:C,$F1398),$F1398)</f>
        <v>15</v>
      </c>
      <c r="H1398" s="4" t="str" cm="1">
        <f t="array" ref="H1398">INDEX(Sheet1!D:D,$G1398)</f>
        <v>t1140.xlsx</v>
      </c>
      <c r="I1398" s="4" t="str" cm="1">
        <f t="array" ref="I1398">INDEX(Sheet1!E:E,$G1398)</f>
        <v>Sheet1</v>
      </c>
      <c r="J1398" s="4" t="str" cm="1">
        <f t="array" ref="J1398">INDEX(Sheet1!F:F,$G1398)</f>
        <v>B25</v>
      </c>
      <c r="K1398" s="4" cm="1">
        <f t="array" ref="K1398">INDEX(Sheet1!H:H,$G1398)</f>
        <v>1</v>
      </c>
      <c r="L1398" s="4">
        <f t="shared" si="84"/>
        <v>96</v>
      </c>
      <c r="M1398" s="4">
        <f t="shared" si="87"/>
        <v>5</v>
      </c>
    </row>
    <row r="1399" spans="1:13">
      <c r="A1399" s="4" t="str" cm="1">
        <f t="array" ref="A1399">INDEX(Sheet1!A:A,$F1399)</f>
        <v>F</v>
      </c>
      <c r="B1399" s="4" t="str" cm="1">
        <f t="array" ref="B1399">INDEX(Sheet1!B:B,$F1399)</f>
        <v>Undiff NS</v>
      </c>
      <c r="C1399" s="4">
        <f t="shared" si="85"/>
        <v>97</v>
      </c>
      <c r="D1399" s="5" cm="1">
        <f t="array" aca="1" ref="D1399" ca="1">OFFSET(INDIRECT("'["&amp;$H1399&amp;"]"&amp;$I1399&amp;"'!"&amp;$J1399),$L1399,$M1399)*$K1399</f>
        <v>0.26829999999999998</v>
      </c>
      <c r="F1399" s="4">
        <f t="shared" si="86"/>
        <v>15</v>
      </c>
      <c r="G1399" s="4" cm="1">
        <f t="array" ref="G1399">IF($C1399+$M1399&lt;16,INDEX(Sheet1!C:C,$F1399),$F1399)</f>
        <v>15</v>
      </c>
      <c r="H1399" s="4" t="str" cm="1">
        <f t="array" ref="H1399">INDEX(Sheet1!D:D,$G1399)</f>
        <v>t1140.xlsx</v>
      </c>
      <c r="I1399" s="4" t="str" cm="1">
        <f t="array" ref="I1399">INDEX(Sheet1!E:E,$G1399)</f>
        <v>Sheet1</v>
      </c>
      <c r="J1399" s="4" t="str" cm="1">
        <f t="array" ref="J1399">INDEX(Sheet1!F:F,$G1399)</f>
        <v>B25</v>
      </c>
      <c r="K1399" s="4" cm="1">
        <f t="array" ref="K1399">INDEX(Sheet1!H:H,$G1399)</f>
        <v>1</v>
      </c>
      <c r="L1399" s="4">
        <f t="shared" si="84"/>
        <v>97</v>
      </c>
      <c r="M1399" s="4">
        <f t="shared" si="87"/>
        <v>5</v>
      </c>
    </row>
    <row r="1400" spans="1:13">
      <c r="A1400" s="4" t="str" cm="1">
        <f t="array" ref="A1400">INDEX(Sheet1!A:A,$F1400)</f>
        <v>F</v>
      </c>
      <c r="B1400" s="4" t="str" cm="1">
        <f t="array" ref="B1400">INDEX(Sheet1!B:B,$F1400)</f>
        <v>Undiff NS</v>
      </c>
      <c r="C1400" s="4">
        <f t="shared" si="85"/>
        <v>98</v>
      </c>
      <c r="D1400" s="5" cm="1">
        <f t="array" aca="1" ref="D1400" ca="1">OFFSET(INDIRECT("'["&amp;$H1400&amp;"]"&amp;$I1400&amp;"'!"&amp;$J1400),$L1400,$M1400)*$K1400</f>
        <v>0.28563</v>
      </c>
      <c r="F1400" s="4">
        <f t="shared" si="86"/>
        <v>15</v>
      </c>
      <c r="G1400" s="4" cm="1">
        <f t="array" ref="G1400">IF($C1400+$M1400&lt;16,INDEX(Sheet1!C:C,$F1400),$F1400)</f>
        <v>15</v>
      </c>
      <c r="H1400" s="4" t="str" cm="1">
        <f t="array" ref="H1400">INDEX(Sheet1!D:D,$G1400)</f>
        <v>t1140.xlsx</v>
      </c>
      <c r="I1400" s="4" t="str" cm="1">
        <f t="array" ref="I1400">INDEX(Sheet1!E:E,$G1400)</f>
        <v>Sheet1</v>
      </c>
      <c r="J1400" s="4" t="str" cm="1">
        <f t="array" ref="J1400">INDEX(Sheet1!F:F,$G1400)</f>
        <v>B25</v>
      </c>
      <c r="K1400" s="4" cm="1">
        <f t="array" ref="K1400">INDEX(Sheet1!H:H,$G1400)</f>
        <v>1</v>
      </c>
      <c r="L1400" s="4">
        <f t="shared" si="84"/>
        <v>98</v>
      </c>
      <c r="M1400" s="4">
        <f t="shared" si="87"/>
        <v>5</v>
      </c>
    </row>
    <row r="1401" spans="1:13">
      <c r="A1401" s="4" t="str" cm="1">
        <f t="array" ref="A1401">INDEX(Sheet1!A:A,$F1401)</f>
        <v>F</v>
      </c>
      <c r="B1401" s="4" t="str" cm="1">
        <f t="array" ref="B1401">INDEX(Sheet1!B:B,$F1401)</f>
        <v>Undiff NS</v>
      </c>
      <c r="C1401" s="4">
        <f t="shared" si="85"/>
        <v>99</v>
      </c>
      <c r="D1401" s="5" cm="1">
        <f t="array" aca="1" ref="D1401" ca="1">OFFSET(INDIRECT("'["&amp;$H1401&amp;"]"&amp;$I1401&amp;"'!"&amp;$J1401),$L1401,$M1401)*$K1401</f>
        <v>0.30377999999999999</v>
      </c>
      <c r="F1401" s="4">
        <f t="shared" si="86"/>
        <v>15</v>
      </c>
      <c r="G1401" s="4" cm="1">
        <f t="array" ref="G1401">IF($C1401+$M1401&lt;16,INDEX(Sheet1!C:C,$F1401),$F1401)</f>
        <v>15</v>
      </c>
      <c r="H1401" s="4" t="str" cm="1">
        <f t="array" ref="H1401">INDEX(Sheet1!D:D,$G1401)</f>
        <v>t1140.xlsx</v>
      </c>
      <c r="I1401" s="4" t="str" cm="1">
        <f t="array" ref="I1401">INDEX(Sheet1!E:E,$G1401)</f>
        <v>Sheet1</v>
      </c>
      <c r="J1401" s="4" t="str" cm="1">
        <f t="array" ref="J1401">INDEX(Sheet1!F:F,$G1401)</f>
        <v>B25</v>
      </c>
      <c r="K1401" s="4" cm="1">
        <f t="array" ref="K1401">INDEX(Sheet1!H:H,$G1401)</f>
        <v>1</v>
      </c>
      <c r="L1401" s="4">
        <f t="shared" si="84"/>
        <v>99</v>
      </c>
      <c r="M1401" s="4">
        <f t="shared" si="87"/>
        <v>5</v>
      </c>
    </row>
    <row r="1402" spans="1:13">
      <c r="A1402" s="4" t="str" cm="1">
        <f t="array" ref="A1402">INDEX(Sheet1!A:A,$F1402)</f>
        <v>F</v>
      </c>
      <c r="B1402" s="4" t="str" cm="1">
        <f t="array" ref="B1402">INDEX(Sheet1!B:B,$F1402)</f>
        <v>Pref SM</v>
      </c>
      <c r="C1402" s="4">
        <f t="shared" si="85"/>
        <v>0</v>
      </c>
      <c r="D1402" s="5" cm="1">
        <f t="array" aca="1" ref="D1402" ca="1">OFFSET(INDIRECT("'["&amp;$H1402&amp;"]"&amp;$I1402&amp;"'!"&amp;$J1402),$L1402,$M1402)*$K1402</f>
        <v>1.8000000000000001E-4</v>
      </c>
      <c r="F1402" s="4">
        <f t="shared" si="86"/>
        <v>16</v>
      </c>
      <c r="G1402" s="4" cm="1">
        <f t="array" ref="G1402">IF($C1402+$M1402&lt;16,INDEX(Sheet1!C:C,$F1402),$F1402)</f>
        <v>19</v>
      </c>
      <c r="H1402" s="4" t="str" cm="1">
        <f t="array" ref="H1402">INDEX(Sheet1!D:D,$G1402)</f>
        <v>t1139.xlsx</v>
      </c>
      <c r="I1402" s="4" t="str" cm="1">
        <f t="array" ref="I1402">INDEX(Sheet1!E:E,$G1402)</f>
        <v>Sheet1</v>
      </c>
      <c r="J1402" s="4" t="str" cm="1">
        <f t="array" ref="J1402">INDEX(Sheet1!F:F,$G1402)</f>
        <v>B25</v>
      </c>
      <c r="K1402" s="4" cm="1">
        <f t="array" ref="K1402">INDEX(Sheet1!H:H,$G1402)</f>
        <v>1</v>
      </c>
      <c r="L1402" s="4">
        <f t="shared" si="84"/>
        <v>0</v>
      </c>
      <c r="M1402" s="4">
        <f t="shared" si="87"/>
        <v>5</v>
      </c>
    </row>
    <row r="1403" spans="1:13">
      <c r="A1403" s="4" t="str" cm="1">
        <f t="array" ref="A1403">INDEX(Sheet1!A:A,$F1403)</f>
        <v>F</v>
      </c>
      <c r="B1403" s="4" t="str" cm="1">
        <f t="array" ref="B1403">INDEX(Sheet1!B:B,$F1403)</f>
        <v>Pref SM</v>
      </c>
      <c r="C1403" s="4">
        <f t="shared" si="85"/>
        <v>1</v>
      </c>
      <c r="D1403" s="5" cm="1">
        <f t="array" aca="1" ref="D1403" ca="1">OFFSET(INDIRECT("'["&amp;$H1403&amp;"]"&amp;$I1403&amp;"'!"&amp;$J1403),$L1403,$M1403)*$K1403</f>
        <v>1.8000000000000001E-4</v>
      </c>
      <c r="F1403" s="4">
        <f t="shared" si="86"/>
        <v>16</v>
      </c>
      <c r="G1403" s="4" cm="1">
        <f t="array" ref="G1403">IF($C1403+$M1403&lt;16,INDEX(Sheet1!C:C,$F1403),$F1403)</f>
        <v>19</v>
      </c>
      <c r="H1403" s="4" t="str" cm="1">
        <f t="array" ref="H1403">INDEX(Sheet1!D:D,$G1403)</f>
        <v>t1139.xlsx</v>
      </c>
      <c r="I1403" s="4" t="str" cm="1">
        <f t="array" ref="I1403">INDEX(Sheet1!E:E,$G1403)</f>
        <v>Sheet1</v>
      </c>
      <c r="J1403" s="4" t="str" cm="1">
        <f t="array" ref="J1403">INDEX(Sheet1!F:F,$G1403)</f>
        <v>B25</v>
      </c>
      <c r="K1403" s="4" cm="1">
        <f t="array" ref="K1403">INDEX(Sheet1!H:H,$G1403)</f>
        <v>1</v>
      </c>
      <c r="L1403" s="4">
        <f t="shared" si="84"/>
        <v>1</v>
      </c>
      <c r="M1403" s="4">
        <f t="shared" si="87"/>
        <v>5</v>
      </c>
    </row>
    <row r="1404" spans="1:13">
      <c r="A1404" s="4" t="str" cm="1">
        <f t="array" ref="A1404">INDEX(Sheet1!A:A,$F1404)</f>
        <v>F</v>
      </c>
      <c r="B1404" s="4" t="str" cm="1">
        <f t="array" ref="B1404">INDEX(Sheet1!B:B,$F1404)</f>
        <v>Pref SM</v>
      </c>
      <c r="C1404" s="4">
        <f t="shared" si="85"/>
        <v>2</v>
      </c>
      <c r="D1404" s="5" cm="1">
        <f t="array" aca="1" ref="D1404" ca="1">OFFSET(INDIRECT("'["&amp;$H1404&amp;"]"&amp;$I1404&amp;"'!"&amp;$J1404),$L1404,$M1404)*$K1404</f>
        <v>1.8000000000000001E-4</v>
      </c>
      <c r="F1404" s="4">
        <f t="shared" si="86"/>
        <v>16</v>
      </c>
      <c r="G1404" s="4" cm="1">
        <f t="array" ref="G1404">IF($C1404+$M1404&lt;16,INDEX(Sheet1!C:C,$F1404),$F1404)</f>
        <v>19</v>
      </c>
      <c r="H1404" s="4" t="str" cm="1">
        <f t="array" ref="H1404">INDEX(Sheet1!D:D,$G1404)</f>
        <v>t1139.xlsx</v>
      </c>
      <c r="I1404" s="4" t="str" cm="1">
        <f t="array" ref="I1404">INDEX(Sheet1!E:E,$G1404)</f>
        <v>Sheet1</v>
      </c>
      <c r="J1404" s="4" t="str" cm="1">
        <f t="array" ref="J1404">INDEX(Sheet1!F:F,$G1404)</f>
        <v>B25</v>
      </c>
      <c r="K1404" s="4" cm="1">
        <f t="array" ref="K1404">INDEX(Sheet1!H:H,$G1404)</f>
        <v>1</v>
      </c>
      <c r="L1404" s="4">
        <f t="shared" si="84"/>
        <v>2</v>
      </c>
      <c r="M1404" s="4">
        <f t="shared" si="87"/>
        <v>5</v>
      </c>
    </row>
    <row r="1405" spans="1:13">
      <c r="A1405" s="4" t="str" cm="1">
        <f t="array" ref="A1405">INDEX(Sheet1!A:A,$F1405)</f>
        <v>F</v>
      </c>
      <c r="B1405" s="4" t="str" cm="1">
        <f t="array" ref="B1405">INDEX(Sheet1!B:B,$F1405)</f>
        <v>Pref SM</v>
      </c>
      <c r="C1405" s="4">
        <f t="shared" si="85"/>
        <v>3</v>
      </c>
      <c r="D1405" s="5" cm="1">
        <f t="array" aca="1" ref="D1405" ca="1">OFFSET(INDIRECT("'["&amp;$H1405&amp;"]"&amp;$I1405&amp;"'!"&amp;$J1405),$L1405,$M1405)*$K1405</f>
        <v>1.9000000000000001E-4</v>
      </c>
      <c r="F1405" s="4">
        <f t="shared" si="86"/>
        <v>16</v>
      </c>
      <c r="G1405" s="4" cm="1">
        <f t="array" ref="G1405">IF($C1405+$M1405&lt;16,INDEX(Sheet1!C:C,$F1405),$F1405)</f>
        <v>19</v>
      </c>
      <c r="H1405" s="4" t="str" cm="1">
        <f t="array" ref="H1405">INDEX(Sheet1!D:D,$G1405)</f>
        <v>t1139.xlsx</v>
      </c>
      <c r="I1405" s="4" t="str" cm="1">
        <f t="array" ref="I1405">INDEX(Sheet1!E:E,$G1405)</f>
        <v>Sheet1</v>
      </c>
      <c r="J1405" s="4" t="str" cm="1">
        <f t="array" ref="J1405">INDEX(Sheet1!F:F,$G1405)</f>
        <v>B25</v>
      </c>
      <c r="K1405" s="4" cm="1">
        <f t="array" ref="K1405">INDEX(Sheet1!H:H,$G1405)</f>
        <v>1</v>
      </c>
      <c r="L1405" s="4">
        <f t="shared" si="84"/>
        <v>3</v>
      </c>
      <c r="M1405" s="4">
        <f t="shared" si="87"/>
        <v>5</v>
      </c>
    </row>
    <row r="1406" spans="1:13">
      <c r="A1406" s="4" t="str" cm="1">
        <f t="array" ref="A1406">INDEX(Sheet1!A:A,$F1406)</f>
        <v>F</v>
      </c>
      <c r="B1406" s="4" t="str" cm="1">
        <f t="array" ref="B1406">INDEX(Sheet1!B:B,$F1406)</f>
        <v>Pref SM</v>
      </c>
      <c r="C1406" s="4">
        <f t="shared" si="85"/>
        <v>4</v>
      </c>
      <c r="D1406" s="5" cm="1">
        <f t="array" aca="1" ref="D1406" ca="1">OFFSET(INDIRECT("'["&amp;$H1406&amp;"]"&amp;$I1406&amp;"'!"&amp;$J1406),$L1406,$M1406)*$K1406</f>
        <v>1.9000000000000001E-4</v>
      </c>
      <c r="F1406" s="4">
        <f t="shared" si="86"/>
        <v>16</v>
      </c>
      <c r="G1406" s="4" cm="1">
        <f t="array" ref="G1406">IF($C1406+$M1406&lt;16,INDEX(Sheet1!C:C,$F1406),$F1406)</f>
        <v>19</v>
      </c>
      <c r="H1406" s="4" t="str" cm="1">
        <f t="array" ref="H1406">INDEX(Sheet1!D:D,$G1406)</f>
        <v>t1139.xlsx</v>
      </c>
      <c r="I1406" s="4" t="str" cm="1">
        <f t="array" ref="I1406">INDEX(Sheet1!E:E,$G1406)</f>
        <v>Sheet1</v>
      </c>
      <c r="J1406" s="4" t="str" cm="1">
        <f t="array" ref="J1406">INDEX(Sheet1!F:F,$G1406)</f>
        <v>B25</v>
      </c>
      <c r="K1406" s="4" cm="1">
        <f t="array" ref="K1406">INDEX(Sheet1!H:H,$G1406)</f>
        <v>1</v>
      </c>
      <c r="L1406" s="4">
        <f t="shared" si="84"/>
        <v>4</v>
      </c>
      <c r="M1406" s="4">
        <f t="shared" si="87"/>
        <v>5</v>
      </c>
    </row>
    <row r="1407" spans="1:13">
      <c r="A1407" s="4" t="str" cm="1">
        <f t="array" ref="A1407">INDEX(Sheet1!A:A,$F1407)</f>
        <v>F</v>
      </c>
      <c r="B1407" s="4" t="str" cm="1">
        <f t="array" ref="B1407">INDEX(Sheet1!B:B,$F1407)</f>
        <v>Pref SM</v>
      </c>
      <c r="C1407" s="4">
        <f t="shared" si="85"/>
        <v>5</v>
      </c>
      <c r="D1407" s="5" cm="1">
        <f t="array" aca="1" ref="D1407" ca="1">OFFSET(INDIRECT("'["&amp;$H1407&amp;"]"&amp;$I1407&amp;"'!"&amp;$J1407),$L1407,$M1407)*$K1407</f>
        <v>1.9000000000000001E-4</v>
      </c>
      <c r="F1407" s="4">
        <f t="shared" si="86"/>
        <v>16</v>
      </c>
      <c r="G1407" s="4" cm="1">
        <f t="array" ref="G1407">IF($C1407+$M1407&lt;16,INDEX(Sheet1!C:C,$F1407),$F1407)</f>
        <v>19</v>
      </c>
      <c r="H1407" s="4" t="str" cm="1">
        <f t="array" ref="H1407">INDEX(Sheet1!D:D,$G1407)</f>
        <v>t1139.xlsx</v>
      </c>
      <c r="I1407" s="4" t="str" cm="1">
        <f t="array" ref="I1407">INDEX(Sheet1!E:E,$G1407)</f>
        <v>Sheet1</v>
      </c>
      <c r="J1407" s="4" t="str" cm="1">
        <f t="array" ref="J1407">INDEX(Sheet1!F:F,$G1407)</f>
        <v>B25</v>
      </c>
      <c r="K1407" s="4" cm="1">
        <f t="array" ref="K1407">INDEX(Sheet1!H:H,$G1407)</f>
        <v>1</v>
      </c>
      <c r="L1407" s="4">
        <f t="shared" si="84"/>
        <v>5</v>
      </c>
      <c r="M1407" s="4">
        <f t="shared" si="87"/>
        <v>5</v>
      </c>
    </row>
    <row r="1408" spans="1:13">
      <c r="A1408" s="4" t="str" cm="1">
        <f t="array" ref="A1408">INDEX(Sheet1!A:A,$F1408)</f>
        <v>F</v>
      </c>
      <c r="B1408" s="4" t="str" cm="1">
        <f t="array" ref="B1408">INDEX(Sheet1!B:B,$F1408)</f>
        <v>Pref SM</v>
      </c>
      <c r="C1408" s="4">
        <f t="shared" si="85"/>
        <v>6</v>
      </c>
      <c r="D1408" s="5" cm="1">
        <f t="array" aca="1" ref="D1408" ca="1">OFFSET(INDIRECT("'["&amp;$H1408&amp;"]"&amp;$I1408&amp;"'!"&amp;$J1408),$L1408,$M1408)*$K1408</f>
        <v>2.0000000000000001E-4</v>
      </c>
      <c r="F1408" s="4">
        <f t="shared" si="86"/>
        <v>16</v>
      </c>
      <c r="G1408" s="4" cm="1">
        <f t="array" ref="G1408">IF($C1408+$M1408&lt;16,INDEX(Sheet1!C:C,$F1408),$F1408)</f>
        <v>19</v>
      </c>
      <c r="H1408" s="4" t="str" cm="1">
        <f t="array" ref="H1408">INDEX(Sheet1!D:D,$G1408)</f>
        <v>t1139.xlsx</v>
      </c>
      <c r="I1408" s="4" t="str" cm="1">
        <f t="array" ref="I1408">INDEX(Sheet1!E:E,$G1408)</f>
        <v>Sheet1</v>
      </c>
      <c r="J1408" s="4" t="str" cm="1">
        <f t="array" ref="J1408">INDEX(Sheet1!F:F,$G1408)</f>
        <v>B25</v>
      </c>
      <c r="K1408" s="4" cm="1">
        <f t="array" ref="K1408">INDEX(Sheet1!H:H,$G1408)</f>
        <v>1</v>
      </c>
      <c r="L1408" s="4">
        <f t="shared" si="84"/>
        <v>6</v>
      </c>
      <c r="M1408" s="4">
        <f t="shared" si="87"/>
        <v>5</v>
      </c>
    </row>
    <row r="1409" spans="1:13">
      <c r="A1409" s="4" t="str" cm="1">
        <f t="array" ref="A1409">INDEX(Sheet1!A:A,$F1409)</f>
        <v>F</v>
      </c>
      <c r="B1409" s="4" t="str" cm="1">
        <f t="array" ref="B1409">INDEX(Sheet1!B:B,$F1409)</f>
        <v>Pref SM</v>
      </c>
      <c r="C1409" s="4">
        <f t="shared" si="85"/>
        <v>7</v>
      </c>
      <c r="D1409" s="5" cm="1">
        <f t="array" aca="1" ref="D1409" ca="1">OFFSET(INDIRECT("'["&amp;$H1409&amp;"]"&amp;$I1409&amp;"'!"&amp;$J1409),$L1409,$M1409)*$K1409</f>
        <v>2.2000000000000001E-4</v>
      </c>
      <c r="F1409" s="4">
        <f t="shared" si="86"/>
        <v>16</v>
      </c>
      <c r="G1409" s="4" cm="1">
        <f t="array" ref="G1409">IF($C1409+$M1409&lt;16,INDEX(Sheet1!C:C,$F1409),$F1409)</f>
        <v>19</v>
      </c>
      <c r="H1409" s="4" t="str" cm="1">
        <f t="array" ref="H1409">INDEX(Sheet1!D:D,$G1409)</f>
        <v>t1139.xlsx</v>
      </c>
      <c r="I1409" s="4" t="str" cm="1">
        <f t="array" ref="I1409">INDEX(Sheet1!E:E,$G1409)</f>
        <v>Sheet1</v>
      </c>
      <c r="J1409" s="4" t="str" cm="1">
        <f t="array" ref="J1409">INDEX(Sheet1!F:F,$G1409)</f>
        <v>B25</v>
      </c>
      <c r="K1409" s="4" cm="1">
        <f t="array" ref="K1409">INDEX(Sheet1!H:H,$G1409)</f>
        <v>1</v>
      </c>
      <c r="L1409" s="4">
        <f t="shared" si="84"/>
        <v>7</v>
      </c>
      <c r="M1409" s="4">
        <f t="shared" si="87"/>
        <v>5</v>
      </c>
    </row>
    <row r="1410" spans="1:13">
      <c r="A1410" s="4" t="str" cm="1">
        <f t="array" ref="A1410">INDEX(Sheet1!A:A,$F1410)</f>
        <v>F</v>
      </c>
      <c r="B1410" s="4" t="str" cm="1">
        <f t="array" ref="B1410">INDEX(Sheet1!B:B,$F1410)</f>
        <v>Pref SM</v>
      </c>
      <c r="C1410" s="4">
        <f t="shared" si="85"/>
        <v>8</v>
      </c>
      <c r="D1410" s="5" cm="1">
        <f t="array" aca="1" ref="D1410" ca="1">OFFSET(INDIRECT("'["&amp;$H1410&amp;"]"&amp;$I1410&amp;"'!"&amp;$J1410),$L1410,$M1410)*$K1410</f>
        <v>2.4000000000000001E-4</v>
      </c>
      <c r="F1410" s="4">
        <f t="shared" si="86"/>
        <v>16</v>
      </c>
      <c r="G1410" s="4" cm="1">
        <f t="array" ref="G1410">IF($C1410+$M1410&lt;16,INDEX(Sheet1!C:C,$F1410),$F1410)</f>
        <v>19</v>
      </c>
      <c r="H1410" s="4" t="str" cm="1">
        <f t="array" ref="H1410">INDEX(Sheet1!D:D,$G1410)</f>
        <v>t1139.xlsx</v>
      </c>
      <c r="I1410" s="4" t="str" cm="1">
        <f t="array" ref="I1410">INDEX(Sheet1!E:E,$G1410)</f>
        <v>Sheet1</v>
      </c>
      <c r="J1410" s="4" t="str" cm="1">
        <f t="array" ref="J1410">INDEX(Sheet1!F:F,$G1410)</f>
        <v>B25</v>
      </c>
      <c r="K1410" s="4" cm="1">
        <f t="array" ref="K1410">INDEX(Sheet1!H:H,$G1410)</f>
        <v>1</v>
      </c>
      <c r="L1410" s="4">
        <f t="shared" si="84"/>
        <v>8</v>
      </c>
      <c r="M1410" s="4">
        <f t="shared" si="87"/>
        <v>5</v>
      </c>
    </row>
    <row r="1411" spans="1:13">
      <c r="A1411" s="4" t="str" cm="1">
        <f t="array" ref="A1411">INDEX(Sheet1!A:A,$F1411)</f>
        <v>F</v>
      </c>
      <c r="B1411" s="4" t="str" cm="1">
        <f t="array" ref="B1411">INDEX(Sheet1!B:B,$F1411)</f>
        <v>Pref SM</v>
      </c>
      <c r="C1411" s="4">
        <f t="shared" si="85"/>
        <v>9</v>
      </c>
      <c r="D1411" s="5" cm="1">
        <f t="array" aca="1" ref="D1411" ca="1">OFFSET(INDIRECT("'["&amp;$H1411&amp;"]"&amp;$I1411&amp;"'!"&amp;$J1411),$L1411,$M1411)*$K1411</f>
        <v>2.7E-4</v>
      </c>
      <c r="F1411" s="4">
        <f t="shared" si="86"/>
        <v>16</v>
      </c>
      <c r="G1411" s="4" cm="1">
        <f t="array" ref="G1411">IF($C1411+$M1411&lt;16,INDEX(Sheet1!C:C,$F1411),$F1411)</f>
        <v>19</v>
      </c>
      <c r="H1411" s="4" t="str" cm="1">
        <f t="array" ref="H1411">INDEX(Sheet1!D:D,$G1411)</f>
        <v>t1139.xlsx</v>
      </c>
      <c r="I1411" s="4" t="str" cm="1">
        <f t="array" ref="I1411">INDEX(Sheet1!E:E,$G1411)</f>
        <v>Sheet1</v>
      </c>
      <c r="J1411" s="4" t="str" cm="1">
        <f t="array" ref="J1411">INDEX(Sheet1!F:F,$G1411)</f>
        <v>B25</v>
      </c>
      <c r="K1411" s="4" cm="1">
        <f t="array" ref="K1411">INDEX(Sheet1!H:H,$G1411)</f>
        <v>1</v>
      </c>
      <c r="L1411" s="4">
        <f t="shared" ref="L1411:L1474" si="88">C1411</f>
        <v>9</v>
      </c>
      <c r="M1411" s="4">
        <f t="shared" si="87"/>
        <v>5</v>
      </c>
    </row>
    <row r="1412" spans="1:13">
      <c r="A1412" s="4" t="str" cm="1">
        <f t="array" ref="A1412">INDEX(Sheet1!A:A,$F1412)</f>
        <v>F</v>
      </c>
      <c r="B1412" s="4" t="str" cm="1">
        <f t="array" ref="B1412">INDEX(Sheet1!B:B,$F1412)</f>
        <v>Pref SM</v>
      </c>
      <c r="C1412" s="4">
        <f t="shared" ref="C1412:C1475" si="89">IF(C1411=99,0,C1411+1)</f>
        <v>10</v>
      </c>
      <c r="D1412" s="5" cm="1">
        <f t="array" aca="1" ref="D1412" ca="1">OFFSET(INDIRECT("'["&amp;$H1412&amp;"]"&amp;$I1412&amp;"'!"&amp;$J1412),$L1412,$M1412)*$K1412</f>
        <v>3.1E-4</v>
      </c>
      <c r="F1412" s="4">
        <f t="shared" ref="F1412:F1475" si="90">IF(C1412=0,1,0)+F1411</f>
        <v>16</v>
      </c>
      <c r="G1412" s="4" cm="1">
        <f t="array" ref="G1412">IF($C1412+$M1412&lt;16,INDEX(Sheet1!C:C,$F1412),$F1412)</f>
        <v>19</v>
      </c>
      <c r="H1412" s="4" t="str" cm="1">
        <f t="array" ref="H1412">INDEX(Sheet1!D:D,$G1412)</f>
        <v>t1139.xlsx</v>
      </c>
      <c r="I1412" s="4" t="str" cm="1">
        <f t="array" ref="I1412">INDEX(Sheet1!E:E,$G1412)</f>
        <v>Sheet1</v>
      </c>
      <c r="J1412" s="4" t="str" cm="1">
        <f t="array" ref="J1412">INDEX(Sheet1!F:F,$G1412)</f>
        <v>B25</v>
      </c>
      <c r="K1412" s="4" cm="1">
        <f t="array" ref="K1412">INDEX(Sheet1!H:H,$G1412)</f>
        <v>1</v>
      </c>
      <c r="L1412" s="4">
        <f t="shared" si="88"/>
        <v>10</v>
      </c>
      <c r="M1412" s="4">
        <f t="shared" ref="L1412:M1475" si="91">M$2</f>
        <v>5</v>
      </c>
    </row>
    <row r="1413" spans="1:13">
      <c r="A1413" s="4" t="str" cm="1">
        <f t="array" ref="A1413">INDEX(Sheet1!A:A,$F1413)</f>
        <v>F</v>
      </c>
      <c r="B1413" s="4" t="str" cm="1">
        <f t="array" ref="B1413">INDEX(Sheet1!B:B,$F1413)</f>
        <v>Pref SM</v>
      </c>
      <c r="C1413" s="4">
        <f t="shared" si="89"/>
        <v>11</v>
      </c>
      <c r="D1413" s="5" cm="1">
        <f t="array" aca="1" ref="D1413" ca="1">OFFSET(INDIRECT("'["&amp;$H1413&amp;"]"&amp;$I1413&amp;"'!"&amp;$J1413),$L1413,$M1413)*$K1413</f>
        <v>2.6000000000000003E-4</v>
      </c>
      <c r="F1413" s="4">
        <f t="shared" si="90"/>
        <v>16</v>
      </c>
      <c r="G1413" s="4" cm="1">
        <f t="array" ref="G1413">IF($C1413+$M1413&lt;16,INDEX(Sheet1!C:C,$F1413),$F1413)</f>
        <v>16</v>
      </c>
      <c r="H1413" s="4" t="str" cm="1">
        <f t="array" ref="H1413">INDEX(Sheet1!D:D,$G1413)</f>
        <v>2001-cso-preferred-class-structure-mortality-tables.xls</v>
      </c>
      <c r="I1413" s="4" t="str" cm="1">
        <f t="array" ref="I1413">INDEX(Sheet1!E:E,$G1413)</f>
        <v>A.1.b.iv</v>
      </c>
      <c r="J1413" s="4" t="str" cm="1">
        <f t="array" ref="J1413">INDEX(Sheet1!F:F,$G1413)</f>
        <v>B8</v>
      </c>
      <c r="K1413" s="4" cm="1">
        <f t="array" ref="K1413">INDEX(Sheet1!H:H,$G1413)</f>
        <v>1E-3</v>
      </c>
      <c r="L1413" s="4">
        <f t="shared" si="88"/>
        <v>11</v>
      </c>
      <c r="M1413" s="4">
        <f t="shared" si="91"/>
        <v>5</v>
      </c>
    </row>
    <row r="1414" spans="1:13">
      <c r="A1414" s="4" t="str" cm="1">
        <f t="array" ref="A1414">INDEX(Sheet1!A:A,$F1414)</f>
        <v>F</v>
      </c>
      <c r="B1414" s="4" t="str" cm="1">
        <f t="array" ref="B1414">INDEX(Sheet1!B:B,$F1414)</f>
        <v>Pref SM</v>
      </c>
      <c r="C1414" s="4">
        <f t="shared" si="89"/>
        <v>12</v>
      </c>
      <c r="D1414" s="5" cm="1">
        <f t="array" aca="1" ref="D1414" ca="1">OFFSET(INDIRECT("'["&amp;$H1414&amp;"]"&amp;$I1414&amp;"'!"&amp;$J1414),$L1414,$M1414)*$K1414</f>
        <v>2.8000000000000003E-4</v>
      </c>
      <c r="F1414" s="4">
        <f t="shared" si="90"/>
        <v>16</v>
      </c>
      <c r="G1414" s="4" cm="1">
        <f t="array" ref="G1414">IF($C1414+$M1414&lt;16,INDEX(Sheet1!C:C,$F1414),$F1414)</f>
        <v>16</v>
      </c>
      <c r="H1414" s="4" t="str" cm="1">
        <f t="array" ref="H1414">INDEX(Sheet1!D:D,$G1414)</f>
        <v>2001-cso-preferred-class-structure-mortality-tables.xls</v>
      </c>
      <c r="I1414" s="4" t="str" cm="1">
        <f t="array" ref="I1414">INDEX(Sheet1!E:E,$G1414)</f>
        <v>A.1.b.iv</v>
      </c>
      <c r="J1414" s="4" t="str" cm="1">
        <f t="array" ref="J1414">INDEX(Sheet1!F:F,$G1414)</f>
        <v>B8</v>
      </c>
      <c r="K1414" s="4" cm="1">
        <f t="array" ref="K1414">INDEX(Sheet1!H:H,$G1414)</f>
        <v>1E-3</v>
      </c>
      <c r="L1414" s="4">
        <f t="shared" si="88"/>
        <v>12</v>
      </c>
      <c r="M1414" s="4">
        <f t="shared" si="91"/>
        <v>5</v>
      </c>
    </row>
    <row r="1415" spans="1:13">
      <c r="A1415" s="4" t="str" cm="1">
        <f t="array" ref="A1415">INDEX(Sheet1!A:A,$F1415)</f>
        <v>F</v>
      </c>
      <c r="B1415" s="4" t="str" cm="1">
        <f t="array" ref="B1415">INDEX(Sheet1!B:B,$F1415)</f>
        <v>Pref SM</v>
      </c>
      <c r="C1415" s="4">
        <f t="shared" si="89"/>
        <v>13</v>
      </c>
      <c r="D1415" s="5" cm="1">
        <f t="array" aca="1" ref="D1415" ca="1">OFFSET(INDIRECT("'["&amp;$H1415&amp;"]"&amp;$I1415&amp;"'!"&amp;$J1415),$L1415,$M1415)*$K1415</f>
        <v>3.1E-4</v>
      </c>
      <c r="F1415" s="4">
        <f t="shared" si="90"/>
        <v>16</v>
      </c>
      <c r="G1415" s="4" cm="1">
        <f t="array" ref="G1415">IF($C1415+$M1415&lt;16,INDEX(Sheet1!C:C,$F1415),$F1415)</f>
        <v>16</v>
      </c>
      <c r="H1415" s="4" t="str" cm="1">
        <f t="array" ref="H1415">INDEX(Sheet1!D:D,$G1415)</f>
        <v>2001-cso-preferred-class-structure-mortality-tables.xls</v>
      </c>
      <c r="I1415" s="4" t="str" cm="1">
        <f t="array" ref="I1415">INDEX(Sheet1!E:E,$G1415)</f>
        <v>A.1.b.iv</v>
      </c>
      <c r="J1415" s="4" t="str" cm="1">
        <f t="array" ref="J1415">INDEX(Sheet1!F:F,$G1415)</f>
        <v>B8</v>
      </c>
      <c r="K1415" s="4" cm="1">
        <f t="array" ref="K1415">INDEX(Sheet1!H:H,$G1415)</f>
        <v>1E-3</v>
      </c>
      <c r="L1415" s="4">
        <f t="shared" si="88"/>
        <v>13</v>
      </c>
      <c r="M1415" s="4">
        <f t="shared" si="91"/>
        <v>5</v>
      </c>
    </row>
    <row r="1416" spans="1:13">
      <c r="A1416" s="4" t="str" cm="1">
        <f t="array" ref="A1416">INDEX(Sheet1!A:A,$F1416)</f>
        <v>F</v>
      </c>
      <c r="B1416" s="4" t="str" cm="1">
        <f t="array" ref="B1416">INDEX(Sheet1!B:B,$F1416)</f>
        <v>Pref SM</v>
      </c>
      <c r="C1416" s="4">
        <f t="shared" si="89"/>
        <v>14</v>
      </c>
      <c r="D1416" s="5" cm="1">
        <f t="array" aca="1" ref="D1416" ca="1">OFFSET(INDIRECT("'["&amp;$H1416&amp;"]"&amp;$I1416&amp;"'!"&amp;$J1416),$L1416,$M1416)*$K1416</f>
        <v>3.2000000000000003E-4</v>
      </c>
      <c r="F1416" s="4">
        <f t="shared" si="90"/>
        <v>16</v>
      </c>
      <c r="G1416" s="4" cm="1">
        <f t="array" ref="G1416">IF($C1416+$M1416&lt;16,INDEX(Sheet1!C:C,$F1416),$F1416)</f>
        <v>16</v>
      </c>
      <c r="H1416" s="4" t="str" cm="1">
        <f t="array" ref="H1416">INDEX(Sheet1!D:D,$G1416)</f>
        <v>2001-cso-preferred-class-structure-mortality-tables.xls</v>
      </c>
      <c r="I1416" s="4" t="str" cm="1">
        <f t="array" ref="I1416">INDEX(Sheet1!E:E,$G1416)</f>
        <v>A.1.b.iv</v>
      </c>
      <c r="J1416" s="4" t="str" cm="1">
        <f t="array" ref="J1416">INDEX(Sheet1!F:F,$G1416)</f>
        <v>B8</v>
      </c>
      <c r="K1416" s="4" cm="1">
        <f t="array" ref="K1416">INDEX(Sheet1!H:H,$G1416)</f>
        <v>1E-3</v>
      </c>
      <c r="L1416" s="4">
        <f t="shared" si="88"/>
        <v>14</v>
      </c>
      <c r="M1416" s="4">
        <f t="shared" si="91"/>
        <v>5</v>
      </c>
    </row>
    <row r="1417" spans="1:13">
      <c r="A1417" s="4" t="str" cm="1">
        <f t="array" ref="A1417">INDEX(Sheet1!A:A,$F1417)</f>
        <v>F</v>
      </c>
      <c r="B1417" s="4" t="str" cm="1">
        <f t="array" ref="B1417">INDEX(Sheet1!B:B,$F1417)</f>
        <v>Pref SM</v>
      </c>
      <c r="C1417" s="4">
        <f t="shared" si="89"/>
        <v>15</v>
      </c>
      <c r="D1417" s="5" cm="1">
        <f t="array" aca="1" ref="D1417" ca="1">OFFSET(INDIRECT("'["&amp;$H1417&amp;"]"&amp;$I1417&amp;"'!"&amp;$J1417),$L1417,$M1417)*$K1417</f>
        <v>3.4000000000000002E-4</v>
      </c>
      <c r="F1417" s="4">
        <f t="shared" si="90"/>
        <v>16</v>
      </c>
      <c r="G1417" s="4" cm="1">
        <f t="array" ref="G1417">IF($C1417+$M1417&lt;16,INDEX(Sheet1!C:C,$F1417),$F1417)</f>
        <v>16</v>
      </c>
      <c r="H1417" s="4" t="str" cm="1">
        <f t="array" ref="H1417">INDEX(Sheet1!D:D,$G1417)</f>
        <v>2001-cso-preferred-class-structure-mortality-tables.xls</v>
      </c>
      <c r="I1417" s="4" t="str" cm="1">
        <f t="array" ref="I1417">INDEX(Sheet1!E:E,$G1417)</f>
        <v>A.1.b.iv</v>
      </c>
      <c r="J1417" s="4" t="str" cm="1">
        <f t="array" ref="J1417">INDEX(Sheet1!F:F,$G1417)</f>
        <v>B8</v>
      </c>
      <c r="K1417" s="4" cm="1">
        <f t="array" ref="K1417">INDEX(Sheet1!H:H,$G1417)</f>
        <v>1E-3</v>
      </c>
      <c r="L1417" s="4">
        <f t="shared" si="88"/>
        <v>15</v>
      </c>
      <c r="M1417" s="4">
        <f t="shared" si="91"/>
        <v>5</v>
      </c>
    </row>
    <row r="1418" spans="1:13">
      <c r="A1418" s="4" t="str" cm="1">
        <f t="array" ref="A1418">INDEX(Sheet1!A:A,$F1418)</f>
        <v>F</v>
      </c>
      <c r="B1418" s="4" t="str" cm="1">
        <f t="array" ref="B1418">INDEX(Sheet1!B:B,$F1418)</f>
        <v>Pref SM</v>
      </c>
      <c r="C1418" s="4">
        <f t="shared" si="89"/>
        <v>16</v>
      </c>
      <c r="D1418" s="5" cm="1">
        <f t="array" aca="1" ref="D1418" ca="1">OFFSET(INDIRECT("'["&amp;$H1418&amp;"]"&amp;$I1418&amp;"'!"&amp;$J1418),$L1418,$M1418)*$K1418</f>
        <v>3.5999999999999997E-4</v>
      </c>
      <c r="F1418" s="4">
        <f t="shared" si="90"/>
        <v>16</v>
      </c>
      <c r="G1418" s="4" cm="1">
        <f t="array" ref="G1418">IF($C1418+$M1418&lt;16,INDEX(Sheet1!C:C,$F1418),$F1418)</f>
        <v>16</v>
      </c>
      <c r="H1418" s="4" t="str" cm="1">
        <f t="array" ref="H1418">INDEX(Sheet1!D:D,$G1418)</f>
        <v>2001-cso-preferred-class-structure-mortality-tables.xls</v>
      </c>
      <c r="I1418" s="4" t="str" cm="1">
        <f t="array" ref="I1418">INDEX(Sheet1!E:E,$G1418)</f>
        <v>A.1.b.iv</v>
      </c>
      <c r="J1418" s="4" t="str" cm="1">
        <f t="array" ref="J1418">INDEX(Sheet1!F:F,$G1418)</f>
        <v>B8</v>
      </c>
      <c r="K1418" s="4" cm="1">
        <f t="array" ref="K1418">INDEX(Sheet1!H:H,$G1418)</f>
        <v>1E-3</v>
      </c>
      <c r="L1418" s="4">
        <f t="shared" si="88"/>
        <v>16</v>
      </c>
      <c r="M1418" s="4">
        <f t="shared" si="91"/>
        <v>5</v>
      </c>
    </row>
    <row r="1419" spans="1:13">
      <c r="A1419" s="4" t="str" cm="1">
        <f t="array" ref="A1419">INDEX(Sheet1!A:A,$F1419)</f>
        <v>F</v>
      </c>
      <c r="B1419" s="4" t="str" cm="1">
        <f t="array" ref="B1419">INDEX(Sheet1!B:B,$F1419)</f>
        <v>Pref SM</v>
      </c>
      <c r="C1419" s="4">
        <f t="shared" si="89"/>
        <v>17</v>
      </c>
      <c r="D1419" s="5" cm="1">
        <f t="array" aca="1" ref="D1419" ca="1">OFFSET(INDIRECT("'["&amp;$H1419&amp;"]"&amp;$I1419&amp;"'!"&amp;$J1419),$L1419,$M1419)*$K1419</f>
        <v>3.6999999999999999E-4</v>
      </c>
      <c r="F1419" s="4">
        <f t="shared" si="90"/>
        <v>16</v>
      </c>
      <c r="G1419" s="4" cm="1">
        <f t="array" ref="G1419">IF($C1419+$M1419&lt;16,INDEX(Sheet1!C:C,$F1419),$F1419)</f>
        <v>16</v>
      </c>
      <c r="H1419" s="4" t="str" cm="1">
        <f t="array" ref="H1419">INDEX(Sheet1!D:D,$G1419)</f>
        <v>2001-cso-preferred-class-structure-mortality-tables.xls</v>
      </c>
      <c r="I1419" s="4" t="str" cm="1">
        <f t="array" ref="I1419">INDEX(Sheet1!E:E,$G1419)</f>
        <v>A.1.b.iv</v>
      </c>
      <c r="J1419" s="4" t="str" cm="1">
        <f t="array" ref="J1419">INDEX(Sheet1!F:F,$G1419)</f>
        <v>B8</v>
      </c>
      <c r="K1419" s="4" cm="1">
        <f t="array" ref="K1419">INDEX(Sheet1!H:H,$G1419)</f>
        <v>1E-3</v>
      </c>
      <c r="L1419" s="4">
        <f t="shared" si="88"/>
        <v>17</v>
      </c>
      <c r="M1419" s="4">
        <f t="shared" si="91"/>
        <v>5</v>
      </c>
    </row>
    <row r="1420" spans="1:13">
      <c r="A1420" s="4" t="str" cm="1">
        <f t="array" ref="A1420">INDEX(Sheet1!A:A,$F1420)</f>
        <v>F</v>
      </c>
      <c r="B1420" s="4" t="str" cm="1">
        <f t="array" ref="B1420">INDEX(Sheet1!B:B,$F1420)</f>
        <v>Pref SM</v>
      </c>
      <c r="C1420" s="4">
        <f t="shared" si="89"/>
        <v>18</v>
      </c>
      <c r="D1420" s="5" cm="1">
        <f t="array" aca="1" ref="D1420" ca="1">OFFSET(INDIRECT("'["&amp;$H1420&amp;"]"&amp;$I1420&amp;"'!"&amp;$J1420),$L1420,$M1420)*$K1420</f>
        <v>3.8000000000000002E-4</v>
      </c>
      <c r="F1420" s="4">
        <f t="shared" si="90"/>
        <v>16</v>
      </c>
      <c r="G1420" s="4" cm="1">
        <f t="array" ref="G1420">IF($C1420+$M1420&lt;16,INDEX(Sheet1!C:C,$F1420),$F1420)</f>
        <v>16</v>
      </c>
      <c r="H1420" s="4" t="str" cm="1">
        <f t="array" ref="H1420">INDEX(Sheet1!D:D,$G1420)</f>
        <v>2001-cso-preferred-class-structure-mortality-tables.xls</v>
      </c>
      <c r="I1420" s="4" t="str" cm="1">
        <f t="array" ref="I1420">INDEX(Sheet1!E:E,$G1420)</f>
        <v>A.1.b.iv</v>
      </c>
      <c r="J1420" s="4" t="str" cm="1">
        <f t="array" ref="J1420">INDEX(Sheet1!F:F,$G1420)</f>
        <v>B8</v>
      </c>
      <c r="K1420" s="4" cm="1">
        <f t="array" ref="K1420">INDEX(Sheet1!H:H,$G1420)</f>
        <v>1E-3</v>
      </c>
      <c r="L1420" s="4">
        <f t="shared" si="88"/>
        <v>18</v>
      </c>
      <c r="M1420" s="4">
        <f t="shared" si="91"/>
        <v>5</v>
      </c>
    </row>
    <row r="1421" spans="1:13">
      <c r="A1421" s="4" t="str" cm="1">
        <f t="array" ref="A1421">INDEX(Sheet1!A:A,$F1421)</f>
        <v>F</v>
      </c>
      <c r="B1421" s="4" t="str" cm="1">
        <f t="array" ref="B1421">INDEX(Sheet1!B:B,$F1421)</f>
        <v>Pref SM</v>
      </c>
      <c r="C1421" s="4">
        <f t="shared" si="89"/>
        <v>19</v>
      </c>
      <c r="D1421" s="5" cm="1">
        <f t="array" aca="1" ref="D1421" ca="1">OFFSET(INDIRECT("'["&amp;$H1421&amp;"]"&amp;$I1421&amp;"'!"&amp;$J1421),$L1421,$M1421)*$K1421</f>
        <v>4.0999999999999999E-4</v>
      </c>
      <c r="F1421" s="4">
        <f t="shared" si="90"/>
        <v>16</v>
      </c>
      <c r="G1421" s="4" cm="1">
        <f t="array" ref="G1421">IF($C1421+$M1421&lt;16,INDEX(Sheet1!C:C,$F1421),$F1421)</f>
        <v>16</v>
      </c>
      <c r="H1421" s="4" t="str" cm="1">
        <f t="array" ref="H1421">INDEX(Sheet1!D:D,$G1421)</f>
        <v>2001-cso-preferred-class-structure-mortality-tables.xls</v>
      </c>
      <c r="I1421" s="4" t="str" cm="1">
        <f t="array" ref="I1421">INDEX(Sheet1!E:E,$G1421)</f>
        <v>A.1.b.iv</v>
      </c>
      <c r="J1421" s="4" t="str" cm="1">
        <f t="array" ref="J1421">INDEX(Sheet1!F:F,$G1421)</f>
        <v>B8</v>
      </c>
      <c r="K1421" s="4" cm="1">
        <f t="array" ref="K1421">INDEX(Sheet1!H:H,$G1421)</f>
        <v>1E-3</v>
      </c>
      <c r="L1421" s="4">
        <f t="shared" si="88"/>
        <v>19</v>
      </c>
      <c r="M1421" s="4">
        <f t="shared" si="91"/>
        <v>5</v>
      </c>
    </row>
    <row r="1422" spans="1:13">
      <c r="A1422" s="4" t="str" cm="1">
        <f t="array" ref="A1422">INDEX(Sheet1!A:A,$F1422)</f>
        <v>F</v>
      </c>
      <c r="B1422" s="4" t="str" cm="1">
        <f t="array" ref="B1422">INDEX(Sheet1!B:B,$F1422)</f>
        <v>Pref SM</v>
      </c>
      <c r="C1422" s="4">
        <f t="shared" si="89"/>
        <v>20</v>
      </c>
      <c r="D1422" s="5" cm="1">
        <f t="array" aca="1" ref="D1422" ca="1">OFFSET(INDIRECT("'["&amp;$H1422&amp;"]"&amp;$I1422&amp;"'!"&amp;$J1422),$L1422,$M1422)*$K1422</f>
        <v>4.4000000000000002E-4</v>
      </c>
      <c r="F1422" s="4">
        <f t="shared" si="90"/>
        <v>16</v>
      </c>
      <c r="G1422" s="4" cm="1">
        <f t="array" ref="G1422">IF($C1422+$M1422&lt;16,INDEX(Sheet1!C:C,$F1422),$F1422)</f>
        <v>16</v>
      </c>
      <c r="H1422" s="4" t="str" cm="1">
        <f t="array" ref="H1422">INDEX(Sheet1!D:D,$G1422)</f>
        <v>2001-cso-preferred-class-structure-mortality-tables.xls</v>
      </c>
      <c r="I1422" s="4" t="str" cm="1">
        <f t="array" ref="I1422">INDEX(Sheet1!E:E,$G1422)</f>
        <v>A.1.b.iv</v>
      </c>
      <c r="J1422" s="4" t="str" cm="1">
        <f t="array" ref="J1422">INDEX(Sheet1!F:F,$G1422)</f>
        <v>B8</v>
      </c>
      <c r="K1422" s="4" cm="1">
        <f t="array" ref="K1422">INDEX(Sheet1!H:H,$G1422)</f>
        <v>1E-3</v>
      </c>
      <c r="L1422" s="4">
        <f t="shared" si="88"/>
        <v>20</v>
      </c>
      <c r="M1422" s="4">
        <f t="shared" si="91"/>
        <v>5</v>
      </c>
    </row>
    <row r="1423" spans="1:13">
      <c r="A1423" s="4" t="str" cm="1">
        <f t="array" ref="A1423">INDEX(Sheet1!A:A,$F1423)</f>
        <v>F</v>
      </c>
      <c r="B1423" s="4" t="str" cm="1">
        <f t="array" ref="B1423">INDEX(Sheet1!B:B,$F1423)</f>
        <v>Pref SM</v>
      </c>
      <c r="C1423" s="4">
        <f t="shared" si="89"/>
        <v>21</v>
      </c>
      <c r="D1423" s="5" cm="1">
        <f t="array" aca="1" ref="D1423" ca="1">OFFSET(INDIRECT("'["&amp;$H1423&amp;"]"&amp;$I1423&amp;"'!"&amp;$J1423),$L1423,$M1423)*$K1423</f>
        <v>4.6999999999999999E-4</v>
      </c>
      <c r="F1423" s="4">
        <f t="shared" si="90"/>
        <v>16</v>
      </c>
      <c r="G1423" s="4" cm="1">
        <f t="array" ref="G1423">IF($C1423+$M1423&lt;16,INDEX(Sheet1!C:C,$F1423),$F1423)</f>
        <v>16</v>
      </c>
      <c r="H1423" s="4" t="str" cm="1">
        <f t="array" ref="H1423">INDEX(Sheet1!D:D,$G1423)</f>
        <v>2001-cso-preferred-class-structure-mortality-tables.xls</v>
      </c>
      <c r="I1423" s="4" t="str" cm="1">
        <f t="array" ref="I1423">INDEX(Sheet1!E:E,$G1423)</f>
        <v>A.1.b.iv</v>
      </c>
      <c r="J1423" s="4" t="str" cm="1">
        <f t="array" ref="J1423">INDEX(Sheet1!F:F,$G1423)</f>
        <v>B8</v>
      </c>
      <c r="K1423" s="4" cm="1">
        <f t="array" ref="K1423">INDEX(Sheet1!H:H,$G1423)</f>
        <v>1E-3</v>
      </c>
      <c r="L1423" s="4">
        <f t="shared" si="88"/>
        <v>21</v>
      </c>
      <c r="M1423" s="4">
        <f t="shared" si="91"/>
        <v>5</v>
      </c>
    </row>
    <row r="1424" spans="1:13">
      <c r="A1424" s="4" t="str" cm="1">
        <f t="array" ref="A1424">INDEX(Sheet1!A:A,$F1424)</f>
        <v>F</v>
      </c>
      <c r="B1424" s="4" t="str" cm="1">
        <f t="array" ref="B1424">INDEX(Sheet1!B:B,$F1424)</f>
        <v>Pref SM</v>
      </c>
      <c r="C1424" s="4">
        <f t="shared" si="89"/>
        <v>22</v>
      </c>
      <c r="D1424" s="5" cm="1">
        <f t="array" aca="1" ref="D1424" ca="1">OFFSET(INDIRECT("'["&amp;$H1424&amp;"]"&amp;$I1424&amp;"'!"&amp;$J1424),$L1424,$M1424)*$K1424</f>
        <v>5.0000000000000001E-4</v>
      </c>
      <c r="F1424" s="4">
        <f t="shared" si="90"/>
        <v>16</v>
      </c>
      <c r="G1424" s="4" cm="1">
        <f t="array" ref="G1424">IF($C1424+$M1424&lt;16,INDEX(Sheet1!C:C,$F1424),$F1424)</f>
        <v>16</v>
      </c>
      <c r="H1424" s="4" t="str" cm="1">
        <f t="array" ref="H1424">INDEX(Sheet1!D:D,$G1424)</f>
        <v>2001-cso-preferred-class-structure-mortality-tables.xls</v>
      </c>
      <c r="I1424" s="4" t="str" cm="1">
        <f t="array" ref="I1424">INDEX(Sheet1!E:E,$G1424)</f>
        <v>A.1.b.iv</v>
      </c>
      <c r="J1424" s="4" t="str" cm="1">
        <f t="array" ref="J1424">INDEX(Sheet1!F:F,$G1424)</f>
        <v>B8</v>
      </c>
      <c r="K1424" s="4" cm="1">
        <f t="array" ref="K1424">INDEX(Sheet1!H:H,$G1424)</f>
        <v>1E-3</v>
      </c>
      <c r="L1424" s="4">
        <f t="shared" si="88"/>
        <v>22</v>
      </c>
      <c r="M1424" s="4">
        <f t="shared" si="91"/>
        <v>5</v>
      </c>
    </row>
    <row r="1425" spans="1:13">
      <c r="A1425" s="4" t="str" cm="1">
        <f t="array" ref="A1425">INDEX(Sheet1!A:A,$F1425)</f>
        <v>F</v>
      </c>
      <c r="B1425" s="4" t="str" cm="1">
        <f t="array" ref="B1425">INDEX(Sheet1!B:B,$F1425)</f>
        <v>Pref SM</v>
      </c>
      <c r="C1425" s="4">
        <f t="shared" si="89"/>
        <v>23</v>
      </c>
      <c r="D1425" s="5" cm="1">
        <f t="array" aca="1" ref="D1425" ca="1">OFFSET(INDIRECT("'["&amp;$H1425&amp;"]"&amp;$I1425&amp;"'!"&amp;$J1425),$L1425,$M1425)*$K1425</f>
        <v>5.2000000000000006E-4</v>
      </c>
      <c r="F1425" s="4">
        <f t="shared" si="90"/>
        <v>16</v>
      </c>
      <c r="G1425" s="4" cm="1">
        <f t="array" ref="G1425">IF($C1425+$M1425&lt;16,INDEX(Sheet1!C:C,$F1425),$F1425)</f>
        <v>16</v>
      </c>
      <c r="H1425" s="4" t="str" cm="1">
        <f t="array" ref="H1425">INDEX(Sheet1!D:D,$G1425)</f>
        <v>2001-cso-preferred-class-structure-mortality-tables.xls</v>
      </c>
      <c r="I1425" s="4" t="str" cm="1">
        <f t="array" ref="I1425">INDEX(Sheet1!E:E,$G1425)</f>
        <v>A.1.b.iv</v>
      </c>
      <c r="J1425" s="4" t="str" cm="1">
        <f t="array" ref="J1425">INDEX(Sheet1!F:F,$G1425)</f>
        <v>B8</v>
      </c>
      <c r="K1425" s="4" cm="1">
        <f t="array" ref="K1425">INDEX(Sheet1!H:H,$G1425)</f>
        <v>1E-3</v>
      </c>
      <c r="L1425" s="4">
        <f t="shared" si="88"/>
        <v>23</v>
      </c>
      <c r="M1425" s="4">
        <f t="shared" si="91"/>
        <v>5</v>
      </c>
    </row>
    <row r="1426" spans="1:13">
      <c r="A1426" s="4" t="str" cm="1">
        <f t="array" ref="A1426">INDEX(Sheet1!A:A,$F1426)</f>
        <v>F</v>
      </c>
      <c r="B1426" s="4" t="str" cm="1">
        <f t="array" ref="B1426">INDEX(Sheet1!B:B,$F1426)</f>
        <v>Pref SM</v>
      </c>
      <c r="C1426" s="4">
        <f t="shared" si="89"/>
        <v>24</v>
      </c>
      <c r="D1426" s="5" cm="1">
        <f t="array" aca="1" ref="D1426" ca="1">OFFSET(INDIRECT("'["&amp;$H1426&amp;"]"&amp;$I1426&amp;"'!"&amp;$J1426),$L1426,$M1426)*$K1426</f>
        <v>5.6000000000000006E-4</v>
      </c>
      <c r="F1426" s="4">
        <f t="shared" si="90"/>
        <v>16</v>
      </c>
      <c r="G1426" s="4" cm="1">
        <f t="array" ref="G1426">IF($C1426+$M1426&lt;16,INDEX(Sheet1!C:C,$F1426),$F1426)</f>
        <v>16</v>
      </c>
      <c r="H1426" s="4" t="str" cm="1">
        <f t="array" ref="H1426">INDEX(Sheet1!D:D,$G1426)</f>
        <v>2001-cso-preferred-class-structure-mortality-tables.xls</v>
      </c>
      <c r="I1426" s="4" t="str" cm="1">
        <f t="array" ref="I1426">INDEX(Sheet1!E:E,$G1426)</f>
        <v>A.1.b.iv</v>
      </c>
      <c r="J1426" s="4" t="str" cm="1">
        <f t="array" ref="J1426">INDEX(Sheet1!F:F,$G1426)</f>
        <v>B8</v>
      </c>
      <c r="K1426" s="4" cm="1">
        <f t="array" ref="K1426">INDEX(Sheet1!H:H,$G1426)</f>
        <v>1E-3</v>
      </c>
      <c r="L1426" s="4">
        <f t="shared" si="88"/>
        <v>24</v>
      </c>
      <c r="M1426" s="4">
        <f t="shared" si="91"/>
        <v>5</v>
      </c>
    </row>
    <row r="1427" spans="1:13">
      <c r="A1427" s="4" t="str" cm="1">
        <f t="array" ref="A1427">INDEX(Sheet1!A:A,$F1427)</f>
        <v>F</v>
      </c>
      <c r="B1427" s="4" t="str" cm="1">
        <f t="array" ref="B1427">INDEX(Sheet1!B:B,$F1427)</f>
        <v>Pref SM</v>
      </c>
      <c r="C1427" s="4">
        <f t="shared" si="89"/>
        <v>25</v>
      </c>
      <c r="D1427" s="5" cm="1">
        <f t="array" aca="1" ref="D1427" ca="1">OFFSET(INDIRECT("'["&amp;$H1427&amp;"]"&amp;$I1427&amp;"'!"&amp;$J1427),$L1427,$M1427)*$K1427</f>
        <v>5.6999999999999998E-4</v>
      </c>
      <c r="F1427" s="4">
        <f t="shared" si="90"/>
        <v>16</v>
      </c>
      <c r="G1427" s="4" cm="1">
        <f t="array" ref="G1427">IF($C1427+$M1427&lt;16,INDEX(Sheet1!C:C,$F1427),$F1427)</f>
        <v>16</v>
      </c>
      <c r="H1427" s="4" t="str" cm="1">
        <f t="array" ref="H1427">INDEX(Sheet1!D:D,$G1427)</f>
        <v>2001-cso-preferred-class-structure-mortality-tables.xls</v>
      </c>
      <c r="I1427" s="4" t="str" cm="1">
        <f t="array" ref="I1427">INDEX(Sheet1!E:E,$G1427)</f>
        <v>A.1.b.iv</v>
      </c>
      <c r="J1427" s="4" t="str" cm="1">
        <f t="array" ref="J1427">INDEX(Sheet1!F:F,$G1427)</f>
        <v>B8</v>
      </c>
      <c r="K1427" s="4" cm="1">
        <f t="array" ref="K1427">INDEX(Sheet1!H:H,$G1427)</f>
        <v>1E-3</v>
      </c>
      <c r="L1427" s="4">
        <f t="shared" si="88"/>
        <v>25</v>
      </c>
      <c r="M1427" s="4">
        <f t="shared" si="91"/>
        <v>5</v>
      </c>
    </row>
    <row r="1428" spans="1:13">
      <c r="A1428" s="4" t="str" cm="1">
        <f t="array" ref="A1428">INDEX(Sheet1!A:A,$F1428)</f>
        <v>F</v>
      </c>
      <c r="B1428" s="4" t="str" cm="1">
        <f t="array" ref="B1428">INDEX(Sheet1!B:B,$F1428)</f>
        <v>Pref SM</v>
      </c>
      <c r="C1428" s="4">
        <f t="shared" si="89"/>
        <v>26</v>
      </c>
      <c r="D1428" s="5" cm="1">
        <f t="array" aca="1" ref="D1428" ca="1">OFFSET(INDIRECT("'["&amp;$H1428&amp;"]"&amp;$I1428&amp;"'!"&amp;$J1428),$L1428,$M1428)*$K1428</f>
        <v>6.3000000000000003E-4</v>
      </c>
      <c r="F1428" s="4">
        <f t="shared" si="90"/>
        <v>16</v>
      </c>
      <c r="G1428" s="4" cm="1">
        <f t="array" ref="G1428">IF($C1428+$M1428&lt;16,INDEX(Sheet1!C:C,$F1428),$F1428)</f>
        <v>16</v>
      </c>
      <c r="H1428" s="4" t="str" cm="1">
        <f t="array" ref="H1428">INDEX(Sheet1!D:D,$G1428)</f>
        <v>2001-cso-preferred-class-structure-mortality-tables.xls</v>
      </c>
      <c r="I1428" s="4" t="str" cm="1">
        <f t="array" ref="I1428">INDEX(Sheet1!E:E,$G1428)</f>
        <v>A.1.b.iv</v>
      </c>
      <c r="J1428" s="4" t="str" cm="1">
        <f t="array" ref="J1428">INDEX(Sheet1!F:F,$G1428)</f>
        <v>B8</v>
      </c>
      <c r="K1428" s="4" cm="1">
        <f t="array" ref="K1428">INDEX(Sheet1!H:H,$G1428)</f>
        <v>1E-3</v>
      </c>
      <c r="L1428" s="4">
        <f t="shared" si="88"/>
        <v>26</v>
      </c>
      <c r="M1428" s="4">
        <f t="shared" si="91"/>
        <v>5</v>
      </c>
    </row>
    <row r="1429" spans="1:13">
      <c r="A1429" s="4" t="str" cm="1">
        <f t="array" ref="A1429">INDEX(Sheet1!A:A,$F1429)</f>
        <v>F</v>
      </c>
      <c r="B1429" s="4" t="str" cm="1">
        <f t="array" ref="B1429">INDEX(Sheet1!B:B,$F1429)</f>
        <v>Pref SM</v>
      </c>
      <c r="C1429" s="4">
        <f t="shared" si="89"/>
        <v>27</v>
      </c>
      <c r="D1429" s="5" cm="1">
        <f t="array" aca="1" ref="D1429" ca="1">OFFSET(INDIRECT("'["&amp;$H1429&amp;"]"&amp;$I1429&amp;"'!"&amp;$J1429),$L1429,$M1429)*$K1429</f>
        <v>6.6E-4</v>
      </c>
      <c r="F1429" s="4">
        <f t="shared" si="90"/>
        <v>16</v>
      </c>
      <c r="G1429" s="4" cm="1">
        <f t="array" ref="G1429">IF($C1429+$M1429&lt;16,INDEX(Sheet1!C:C,$F1429),$F1429)</f>
        <v>16</v>
      </c>
      <c r="H1429" s="4" t="str" cm="1">
        <f t="array" ref="H1429">INDEX(Sheet1!D:D,$G1429)</f>
        <v>2001-cso-preferred-class-structure-mortality-tables.xls</v>
      </c>
      <c r="I1429" s="4" t="str" cm="1">
        <f t="array" ref="I1429">INDEX(Sheet1!E:E,$G1429)</f>
        <v>A.1.b.iv</v>
      </c>
      <c r="J1429" s="4" t="str" cm="1">
        <f t="array" ref="J1429">INDEX(Sheet1!F:F,$G1429)</f>
        <v>B8</v>
      </c>
      <c r="K1429" s="4" cm="1">
        <f t="array" ref="K1429">INDEX(Sheet1!H:H,$G1429)</f>
        <v>1E-3</v>
      </c>
      <c r="L1429" s="4">
        <f t="shared" si="88"/>
        <v>27</v>
      </c>
      <c r="M1429" s="4">
        <f t="shared" si="91"/>
        <v>5</v>
      </c>
    </row>
    <row r="1430" spans="1:13">
      <c r="A1430" s="4" t="str" cm="1">
        <f t="array" ref="A1430">INDEX(Sheet1!A:A,$F1430)</f>
        <v>F</v>
      </c>
      <c r="B1430" s="4" t="str" cm="1">
        <f t="array" ref="B1430">INDEX(Sheet1!B:B,$F1430)</f>
        <v>Pref SM</v>
      </c>
      <c r="C1430" s="4">
        <f t="shared" si="89"/>
        <v>28</v>
      </c>
      <c r="D1430" s="5" cm="1">
        <f t="array" aca="1" ref="D1430" ca="1">OFFSET(INDIRECT("'["&amp;$H1430&amp;"]"&amp;$I1430&amp;"'!"&amp;$J1430),$L1430,$M1430)*$K1430</f>
        <v>6.8999999999999997E-4</v>
      </c>
      <c r="F1430" s="4">
        <f t="shared" si="90"/>
        <v>16</v>
      </c>
      <c r="G1430" s="4" cm="1">
        <f t="array" ref="G1430">IF($C1430+$M1430&lt;16,INDEX(Sheet1!C:C,$F1430),$F1430)</f>
        <v>16</v>
      </c>
      <c r="H1430" s="4" t="str" cm="1">
        <f t="array" ref="H1430">INDEX(Sheet1!D:D,$G1430)</f>
        <v>2001-cso-preferred-class-structure-mortality-tables.xls</v>
      </c>
      <c r="I1430" s="4" t="str" cm="1">
        <f t="array" ref="I1430">INDEX(Sheet1!E:E,$G1430)</f>
        <v>A.1.b.iv</v>
      </c>
      <c r="J1430" s="4" t="str" cm="1">
        <f t="array" ref="J1430">INDEX(Sheet1!F:F,$G1430)</f>
        <v>B8</v>
      </c>
      <c r="K1430" s="4" cm="1">
        <f t="array" ref="K1430">INDEX(Sheet1!H:H,$G1430)</f>
        <v>1E-3</v>
      </c>
      <c r="L1430" s="4">
        <f t="shared" si="88"/>
        <v>28</v>
      </c>
      <c r="M1430" s="4">
        <f t="shared" si="91"/>
        <v>5</v>
      </c>
    </row>
    <row r="1431" spans="1:13">
      <c r="A1431" s="4" t="str" cm="1">
        <f t="array" ref="A1431">INDEX(Sheet1!A:A,$F1431)</f>
        <v>F</v>
      </c>
      <c r="B1431" s="4" t="str" cm="1">
        <f t="array" ref="B1431">INDEX(Sheet1!B:B,$F1431)</f>
        <v>Pref SM</v>
      </c>
      <c r="C1431" s="4">
        <f t="shared" si="89"/>
        <v>29</v>
      </c>
      <c r="D1431" s="5" cm="1">
        <f t="array" aca="1" ref="D1431" ca="1">OFFSET(INDIRECT("'["&amp;$H1431&amp;"]"&amp;$I1431&amp;"'!"&amp;$J1431),$L1431,$M1431)*$K1431</f>
        <v>7.3999999999999999E-4</v>
      </c>
      <c r="F1431" s="4">
        <f t="shared" si="90"/>
        <v>16</v>
      </c>
      <c r="G1431" s="4" cm="1">
        <f t="array" ref="G1431">IF($C1431+$M1431&lt;16,INDEX(Sheet1!C:C,$F1431),$F1431)</f>
        <v>16</v>
      </c>
      <c r="H1431" s="4" t="str" cm="1">
        <f t="array" ref="H1431">INDEX(Sheet1!D:D,$G1431)</f>
        <v>2001-cso-preferred-class-structure-mortality-tables.xls</v>
      </c>
      <c r="I1431" s="4" t="str" cm="1">
        <f t="array" ref="I1431">INDEX(Sheet1!E:E,$G1431)</f>
        <v>A.1.b.iv</v>
      </c>
      <c r="J1431" s="4" t="str" cm="1">
        <f t="array" ref="J1431">INDEX(Sheet1!F:F,$G1431)</f>
        <v>B8</v>
      </c>
      <c r="K1431" s="4" cm="1">
        <f t="array" ref="K1431">INDEX(Sheet1!H:H,$G1431)</f>
        <v>1E-3</v>
      </c>
      <c r="L1431" s="4">
        <f t="shared" si="88"/>
        <v>29</v>
      </c>
      <c r="M1431" s="4">
        <f t="shared" si="91"/>
        <v>5</v>
      </c>
    </row>
    <row r="1432" spans="1:13">
      <c r="A1432" s="4" t="str" cm="1">
        <f t="array" ref="A1432">INDEX(Sheet1!A:A,$F1432)</f>
        <v>F</v>
      </c>
      <c r="B1432" s="4" t="str" cm="1">
        <f t="array" ref="B1432">INDEX(Sheet1!B:B,$F1432)</f>
        <v>Pref SM</v>
      </c>
      <c r="C1432" s="4">
        <f t="shared" si="89"/>
        <v>30</v>
      </c>
      <c r="D1432" s="5" cm="1">
        <f t="array" aca="1" ref="D1432" ca="1">OFFSET(INDIRECT("'["&amp;$H1432&amp;"]"&amp;$I1432&amp;"'!"&amp;$J1432),$L1432,$M1432)*$K1432</f>
        <v>7.7000000000000007E-4</v>
      </c>
      <c r="F1432" s="4">
        <f t="shared" si="90"/>
        <v>16</v>
      </c>
      <c r="G1432" s="4" cm="1">
        <f t="array" ref="G1432">IF($C1432+$M1432&lt;16,INDEX(Sheet1!C:C,$F1432),$F1432)</f>
        <v>16</v>
      </c>
      <c r="H1432" s="4" t="str" cm="1">
        <f t="array" ref="H1432">INDEX(Sheet1!D:D,$G1432)</f>
        <v>2001-cso-preferred-class-structure-mortality-tables.xls</v>
      </c>
      <c r="I1432" s="4" t="str" cm="1">
        <f t="array" ref="I1432">INDEX(Sheet1!E:E,$G1432)</f>
        <v>A.1.b.iv</v>
      </c>
      <c r="J1432" s="4" t="str" cm="1">
        <f t="array" ref="J1432">INDEX(Sheet1!F:F,$G1432)</f>
        <v>B8</v>
      </c>
      <c r="K1432" s="4" cm="1">
        <f t="array" ref="K1432">INDEX(Sheet1!H:H,$G1432)</f>
        <v>1E-3</v>
      </c>
      <c r="L1432" s="4">
        <f t="shared" si="88"/>
        <v>30</v>
      </c>
      <c r="M1432" s="4">
        <f t="shared" si="91"/>
        <v>5</v>
      </c>
    </row>
    <row r="1433" spans="1:13">
      <c r="A1433" s="4" t="str" cm="1">
        <f t="array" ref="A1433">INDEX(Sheet1!A:A,$F1433)</f>
        <v>F</v>
      </c>
      <c r="B1433" s="4" t="str" cm="1">
        <f t="array" ref="B1433">INDEX(Sheet1!B:B,$F1433)</f>
        <v>Pref SM</v>
      </c>
      <c r="C1433" s="4">
        <f t="shared" si="89"/>
        <v>31</v>
      </c>
      <c r="D1433" s="5" cm="1">
        <f t="array" aca="1" ref="D1433" ca="1">OFFSET(INDIRECT("'["&amp;$H1433&amp;"]"&amp;$I1433&amp;"'!"&amp;$J1433),$L1433,$M1433)*$K1433</f>
        <v>8.0000000000000004E-4</v>
      </c>
      <c r="F1433" s="4">
        <f t="shared" si="90"/>
        <v>16</v>
      </c>
      <c r="G1433" s="4" cm="1">
        <f t="array" ref="G1433">IF($C1433+$M1433&lt;16,INDEX(Sheet1!C:C,$F1433),$F1433)</f>
        <v>16</v>
      </c>
      <c r="H1433" s="4" t="str" cm="1">
        <f t="array" ref="H1433">INDEX(Sheet1!D:D,$G1433)</f>
        <v>2001-cso-preferred-class-structure-mortality-tables.xls</v>
      </c>
      <c r="I1433" s="4" t="str" cm="1">
        <f t="array" ref="I1433">INDEX(Sheet1!E:E,$G1433)</f>
        <v>A.1.b.iv</v>
      </c>
      <c r="J1433" s="4" t="str" cm="1">
        <f t="array" ref="J1433">INDEX(Sheet1!F:F,$G1433)</f>
        <v>B8</v>
      </c>
      <c r="K1433" s="4" cm="1">
        <f t="array" ref="K1433">INDEX(Sheet1!H:H,$G1433)</f>
        <v>1E-3</v>
      </c>
      <c r="L1433" s="4">
        <f t="shared" si="88"/>
        <v>31</v>
      </c>
      <c r="M1433" s="4">
        <f t="shared" si="91"/>
        <v>5</v>
      </c>
    </row>
    <row r="1434" spans="1:13">
      <c r="A1434" s="4" t="str" cm="1">
        <f t="array" ref="A1434">INDEX(Sheet1!A:A,$F1434)</f>
        <v>F</v>
      </c>
      <c r="B1434" s="4" t="str" cm="1">
        <f t="array" ref="B1434">INDEX(Sheet1!B:B,$F1434)</f>
        <v>Pref SM</v>
      </c>
      <c r="C1434" s="4">
        <f t="shared" si="89"/>
        <v>32</v>
      </c>
      <c r="D1434" s="5" cm="1">
        <f t="array" aca="1" ref="D1434" ca="1">OFFSET(INDIRECT("'["&amp;$H1434&amp;"]"&amp;$I1434&amp;"'!"&amp;$J1434),$L1434,$M1434)*$K1434</f>
        <v>8.4999999999999995E-4</v>
      </c>
      <c r="F1434" s="4">
        <f t="shared" si="90"/>
        <v>16</v>
      </c>
      <c r="G1434" s="4" cm="1">
        <f t="array" ref="G1434">IF($C1434+$M1434&lt;16,INDEX(Sheet1!C:C,$F1434),$F1434)</f>
        <v>16</v>
      </c>
      <c r="H1434" s="4" t="str" cm="1">
        <f t="array" ref="H1434">INDEX(Sheet1!D:D,$G1434)</f>
        <v>2001-cso-preferred-class-structure-mortality-tables.xls</v>
      </c>
      <c r="I1434" s="4" t="str" cm="1">
        <f t="array" ref="I1434">INDEX(Sheet1!E:E,$G1434)</f>
        <v>A.1.b.iv</v>
      </c>
      <c r="J1434" s="4" t="str" cm="1">
        <f t="array" ref="J1434">INDEX(Sheet1!F:F,$G1434)</f>
        <v>B8</v>
      </c>
      <c r="K1434" s="4" cm="1">
        <f t="array" ref="K1434">INDEX(Sheet1!H:H,$G1434)</f>
        <v>1E-3</v>
      </c>
      <c r="L1434" s="4">
        <f t="shared" si="88"/>
        <v>32</v>
      </c>
      <c r="M1434" s="4">
        <f t="shared" si="91"/>
        <v>5</v>
      </c>
    </row>
    <row r="1435" spans="1:13">
      <c r="A1435" s="4" t="str" cm="1">
        <f t="array" ref="A1435">INDEX(Sheet1!A:A,$F1435)</f>
        <v>F</v>
      </c>
      <c r="B1435" s="4" t="str" cm="1">
        <f t="array" ref="B1435">INDEX(Sheet1!B:B,$F1435)</f>
        <v>Pref SM</v>
      </c>
      <c r="C1435" s="4">
        <f t="shared" si="89"/>
        <v>33</v>
      </c>
      <c r="D1435" s="5" cm="1">
        <f t="array" aca="1" ref="D1435" ca="1">OFFSET(INDIRECT("'["&amp;$H1435&amp;"]"&amp;$I1435&amp;"'!"&amp;$J1435),$L1435,$M1435)*$K1435</f>
        <v>9.0000000000000008E-4</v>
      </c>
      <c r="F1435" s="4">
        <f t="shared" si="90"/>
        <v>16</v>
      </c>
      <c r="G1435" s="4" cm="1">
        <f t="array" ref="G1435">IF($C1435+$M1435&lt;16,INDEX(Sheet1!C:C,$F1435),$F1435)</f>
        <v>16</v>
      </c>
      <c r="H1435" s="4" t="str" cm="1">
        <f t="array" ref="H1435">INDEX(Sheet1!D:D,$G1435)</f>
        <v>2001-cso-preferred-class-structure-mortality-tables.xls</v>
      </c>
      <c r="I1435" s="4" t="str" cm="1">
        <f t="array" ref="I1435">INDEX(Sheet1!E:E,$G1435)</f>
        <v>A.1.b.iv</v>
      </c>
      <c r="J1435" s="4" t="str" cm="1">
        <f t="array" ref="J1435">INDEX(Sheet1!F:F,$G1435)</f>
        <v>B8</v>
      </c>
      <c r="K1435" s="4" cm="1">
        <f t="array" ref="K1435">INDEX(Sheet1!H:H,$G1435)</f>
        <v>1E-3</v>
      </c>
      <c r="L1435" s="4">
        <f t="shared" si="88"/>
        <v>33</v>
      </c>
      <c r="M1435" s="4">
        <f t="shared" si="91"/>
        <v>5</v>
      </c>
    </row>
    <row r="1436" spans="1:13">
      <c r="A1436" s="4" t="str" cm="1">
        <f t="array" ref="A1436">INDEX(Sheet1!A:A,$F1436)</f>
        <v>F</v>
      </c>
      <c r="B1436" s="4" t="str" cm="1">
        <f t="array" ref="B1436">INDEX(Sheet1!B:B,$F1436)</f>
        <v>Pref SM</v>
      </c>
      <c r="C1436" s="4">
        <f t="shared" si="89"/>
        <v>34</v>
      </c>
      <c r="D1436" s="5" cm="1">
        <f t="array" aca="1" ref="D1436" ca="1">OFFSET(INDIRECT("'["&amp;$H1436&amp;"]"&amp;$I1436&amp;"'!"&amp;$J1436),$L1436,$M1436)*$K1436</f>
        <v>9.6999999999999994E-4</v>
      </c>
      <c r="F1436" s="4">
        <f t="shared" si="90"/>
        <v>16</v>
      </c>
      <c r="G1436" s="4" cm="1">
        <f t="array" ref="G1436">IF($C1436+$M1436&lt;16,INDEX(Sheet1!C:C,$F1436),$F1436)</f>
        <v>16</v>
      </c>
      <c r="H1436" s="4" t="str" cm="1">
        <f t="array" ref="H1436">INDEX(Sheet1!D:D,$G1436)</f>
        <v>2001-cso-preferred-class-structure-mortality-tables.xls</v>
      </c>
      <c r="I1436" s="4" t="str" cm="1">
        <f t="array" ref="I1436">INDEX(Sheet1!E:E,$G1436)</f>
        <v>A.1.b.iv</v>
      </c>
      <c r="J1436" s="4" t="str" cm="1">
        <f t="array" ref="J1436">INDEX(Sheet1!F:F,$G1436)</f>
        <v>B8</v>
      </c>
      <c r="K1436" s="4" cm="1">
        <f t="array" ref="K1436">INDEX(Sheet1!H:H,$G1436)</f>
        <v>1E-3</v>
      </c>
      <c r="L1436" s="4">
        <f t="shared" si="88"/>
        <v>34</v>
      </c>
      <c r="M1436" s="4">
        <f t="shared" si="91"/>
        <v>5</v>
      </c>
    </row>
    <row r="1437" spans="1:13">
      <c r="A1437" s="4" t="str" cm="1">
        <f t="array" ref="A1437">INDEX(Sheet1!A:A,$F1437)</f>
        <v>F</v>
      </c>
      <c r="B1437" s="4" t="str" cm="1">
        <f t="array" ref="B1437">INDEX(Sheet1!B:B,$F1437)</f>
        <v>Pref SM</v>
      </c>
      <c r="C1437" s="4">
        <f t="shared" si="89"/>
        <v>35</v>
      </c>
      <c r="D1437" s="5" cm="1">
        <f t="array" aca="1" ref="D1437" ca="1">OFFSET(INDIRECT("'["&amp;$H1437&amp;"]"&amp;$I1437&amp;"'!"&amp;$J1437),$L1437,$M1437)*$K1437</f>
        <v>1.0500000000000002E-3</v>
      </c>
      <c r="F1437" s="4">
        <f t="shared" si="90"/>
        <v>16</v>
      </c>
      <c r="G1437" s="4" cm="1">
        <f t="array" ref="G1437">IF($C1437+$M1437&lt;16,INDEX(Sheet1!C:C,$F1437),$F1437)</f>
        <v>16</v>
      </c>
      <c r="H1437" s="4" t="str" cm="1">
        <f t="array" ref="H1437">INDEX(Sheet1!D:D,$G1437)</f>
        <v>2001-cso-preferred-class-structure-mortality-tables.xls</v>
      </c>
      <c r="I1437" s="4" t="str" cm="1">
        <f t="array" ref="I1437">INDEX(Sheet1!E:E,$G1437)</f>
        <v>A.1.b.iv</v>
      </c>
      <c r="J1437" s="4" t="str" cm="1">
        <f t="array" ref="J1437">INDEX(Sheet1!F:F,$G1437)</f>
        <v>B8</v>
      </c>
      <c r="K1437" s="4" cm="1">
        <f t="array" ref="K1437">INDEX(Sheet1!H:H,$G1437)</f>
        <v>1E-3</v>
      </c>
      <c r="L1437" s="4">
        <f t="shared" si="88"/>
        <v>35</v>
      </c>
      <c r="M1437" s="4">
        <f t="shared" si="91"/>
        <v>5</v>
      </c>
    </row>
    <row r="1438" spans="1:13">
      <c r="A1438" s="4" t="str" cm="1">
        <f t="array" ref="A1438">INDEX(Sheet1!A:A,$F1438)</f>
        <v>F</v>
      </c>
      <c r="B1438" s="4" t="str" cm="1">
        <f t="array" ref="B1438">INDEX(Sheet1!B:B,$F1438)</f>
        <v>Pref SM</v>
      </c>
      <c r="C1438" s="4">
        <f t="shared" si="89"/>
        <v>36</v>
      </c>
      <c r="D1438" s="5" cm="1">
        <f t="array" aca="1" ref="D1438" ca="1">OFFSET(INDIRECT("'["&amp;$H1438&amp;"]"&amp;$I1438&amp;"'!"&amp;$J1438),$L1438,$M1438)*$K1438</f>
        <v>1.14E-3</v>
      </c>
      <c r="F1438" s="4">
        <f t="shared" si="90"/>
        <v>16</v>
      </c>
      <c r="G1438" s="4" cm="1">
        <f t="array" ref="G1438">IF($C1438+$M1438&lt;16,INDEX(Sheet1!C:C,$F1438),$F1438)</f>
        <v>16</v>
      </c>
      <c r="H1438" s="4" t="str" cm="1">
        <f t="array" ref="H1438">INDEX(Sheet1!D:D,$G1438)</f>
        <v>2001-cso-preferred-class-structure-mortality-tables.xls</v>
      </c>
      <c r="I1438" s="4" t="str" cm="1">
        <f t="array" ref="I1438">INDEX(Sheet1!E:E,$G1438)</f>
        <v>A.1.b.iv</v>
      </c>
      <c r="J1438" s="4" t="str" cm="1">
        <f t="array" ref="J1438">INDEX(Sheet1!F:F,$G1438)</f>
        <v>B8</v>
      </c>
      <c r="K1438" s="4" cm="1">
        <f t="array" ref="K1438">INDEX(Sheet1!H:H,$G1438)</f>
        <v>1E-3</v>
      </c>
      <c r="L1438" s="4">
        <f t="shared" si="88"/>
        <v>36</v>
      </c>
      <c r="M1438" s="4">
        <f t="shared" si="91"/>
        <v>5</v>
      </c>
    </row>
    <row r="1439" spans="1:13">
      <c r="A1439" s="4" t="str" cm="1">
        <f t="array" ref="A1439">INDEX(Sheet1!A:A,$F1439)</f>
        <v>F</v>
      </c>
      <c r="B1439" s="4" t="str" cm="1">
        <f t="array" ref="B1439">INDEX(Sheet1!B:B,$F1439)</f>
        <v>Pref SM</v>
      </c>
      <c r="C1439" s="4">
        <f t="shared" si="89"/>
        <v>37</v>
      </c>
      <c r="D1439" s="5" cm="1">
        <f t="array" aca="1" ref="D1439" ca="1">OFFSET(INDIRECT("'["&amp;$H1439&amp;"]"&amp;$I1439&amp;"'!"&amp;$J1439),$L1439,$M1439)*$K1439</f>
        <v>1.25E-3</v>
      </c>
      <c r="F1439" s="4">
        <f t="shared" si="90"/>
        <v>16</v>
      </c>
      <c r="G1439" s="4" cm="1">
        <f t="array" ref="G1439">IF($C1439+$M1439&lt;16,INDEX(Sheet1!C:C,$F1439),$F1439)</f>
        <v>16</v>
      </c>
      <c r="H1439" s="4" t="str" cm="1">
        <f t="array" ref="H1439">INDEX(Sheet1!D:D,$G1439)</f>
        <v>2001-cso-preferred-class-structure-mortality-tables.xls</v>
      </c>
      <c r="I1439" s="4" t="str" cm="1">
        <f t="array" ref="I1439">INDEX(Sheet1!E:E,$G1439)</f>
        <v>A.1.b.iv</v>
      </c>
      <c r="J1439" s="4" t="str" cm="1">
        <f t="array" ref="J1439">INDEX(Sheet1!F:F,$G1439)</f>
        <v>B8</v>
      </c>
      <c r="K1439" s="4" cm="1">
        <f t="array" ref="K1439">INDEX(Sheet1!H:H,$G1439)</f>
        <v>1E-3</v>
      </c>
      <c r="L1439" s="4">
        <f t="shared" si="88"/>
        <v>37</v>
      </c>
      <c r="M1439" s="4">
        <f t="shared" si="91"/>
        <v>5</v>
      </c>
    </row>
    <row r="1440" spans="1:13">
      <c r="A1440" s="4" t="str" cm="1">
        <f t="array" ref="A1440">INDEX(Sheet1!A:A,$F1440)</f>
        <v>F</v>
      </c>
      <c r="B1440" s="4" t="str" cm="1">
        <f t="array" ref="B1440">INDEX(Sheet1!B:B,$F1440)</f>
        <v>Pref SM</v>
      </c>
      <c r="C1440" s="4">
        <f t="shared" si="89"/>
        <v>38</v>
      </c>
      <c r="D1440" s="5" cm="1">
        <f t="array" aca="1" ref="D1440" ca="1">OFFSET(INDIRECT("'["&amp;$H1440&amp;"]"&amp;$I1440&amp;"'!"&amp;$J1440),$L1440,$M1440)*$K1440</f>
        <v>1.3700000000000001E-3</v>
      </c>
      <c r="F1440" s="4">
        <f t="shared" si="90"/>
        <v>16</v>
      </c>
      <c r="G1440" s="4" cm="1">
        <f t="array" ref="G1440">IF($C1440+$M1440&lt;16,INDEX(Sheet1!C:C,$F1440),$F1440)</f>
        <v>16</v>
      </c>
      <c r="H1440" s="4" t="str" cm="1">
        <f t="array" ref="H1440">INDEX(Sheet1!D:D,$G1440)</f>
        <v>2001-cso-preferred-class-structure-mortality-tables.xls</v>
      </c>
      <c r="I1440" s="4" t="str" cm="1">
        <f t="array" ref="I1440">INDEX(Sheet1!E:E,$G1440)</f>
        <v>A.1.b.iv</v>
      </c>
      <c r="J1440" s="4" t="str" cm="1">
        <f t="array" ref="J1440">INDEX(Sheet1!F:F,$G1440)</f>
        <v>B8</v>
      </c>
      <c r="K1440" s="4" cm="1">
        <f t="array" ref="K1440">INDEX(Sheet1!H:H,$G1440)</f>
        <v>1E-3</v>
      </c>
      <c r="L1440" s="4">
        <f t="shared" si="88"/>
        <v>38</v>
      </c>
      <c r="M1440" s="4">
        <f t="shared" si="91"/>
        <v>5</v>
      </c>
    </row>
    <row r="1441" spans="1:13">
      <c r="A1441" s="4" t="str" cm="1">
        <f t="array" ref="A1441">INDEX(Sheet1!A:A,$F1441)</f>
        <v>F</v>
      </c>
      <c r="B1441" s="4" t="str" cm="1">
        <f t="array" ref="B1441">INDEX(Sheet1!B:B,$F1441)</f>
        <v>Pref SM</v>
      </c>
      <c r="C1441" s="4">
        <f t="shared" si="89"/>
        <v>39</v>
      </c>
      <c r="D1441" s="5" cm="1">
        <f t="array" aca="1" ref="D1441" ca="1">OFFSET(INDIRECT("'["&amp;$H1441&amp;"]"&amp;$I1441&amp;"'!"&amp;$J1441),$L1441,$M1441)*$K1441</f>
        <v>1.5200000000000001E-3</v>
      </c>
      <c r="F1441" s="4">
        <f t="shared" si="90"/>
        <v>16</v>
      </c>
      <c r="G1441" s="4" cm="1">
        <f t="array" ref="G1441">IF($C1441+$M1441&lt;16,INDEX(Sheet1!C:C,$F1441),$F1441)</f>
        <v>16</v>
      </c>
      <c r="H1441" s="4" t="str" cm="1">
        <f t="array" ref="H1441">INDEX(Sheet1!D:D,$G1441)</f>
        <v>2001-cso-preferred-class-structure-mortality-tables.xls</v>
      </c>
      <c r="I1441" s="4" t="str" cm="1">
        <f t="array" ref="I1441">INDEX(Sheet1!E:E,$G1441)</f>
        <v>A.1.b.iv</v>
      </c>
      <c r="J1441" s="4" t="str" cm="1">
        <f t="array" ref="J1441">INDEX(Sheet1!F:F,$G1441)</f>
        <v>B8</v>
      </c>
      <c r="K1441" s="4" cm="1">
        <f t="array" ref="K1441">INDEX(Sheet1!H:H,$G1441)</f>
        <v>1E-3</v>
      </c>
      <c r="L1441" s="4">
        <f t="shared" si="88"/>
        <v>39</v>
      </c>
      <c r="M1441" s="4">
        <f t="shared" si="91"/>
        <v>5</v>
      </c>
    </row>
    <row r="1442" spans="1:13">
      <c r="A1442" s="4" t="str" cm="1">
        <f t="array" ref="A1442">INDEX(Sheet1!A:A,$F1442)</f>
        <v>F</v>
      </c>
      <c r="B1442" s="4" t="str" cm="1">
        <f t="array" ref="B1442">INDEX(Sheet1!B:B,$F1442)</f>
        <v>Pref SM</v>
      </c>
      <c r="C1442" s="4">
        <f t="shared" si="89"/>
        <v>40</v>
      </c>
      <c r="D1442" s="5" cm="1">
        <f t="array" aca="1" ref="D1442" ca="1">OFFSET(INDIRECT("'["&amp;$H1442&amp;"]"&amp;$I1442&amp;"'!"&amp;$J1442),$L1442,$M1442)*$K1442</f>
        <v>1.6800000000000001E-3</v>
      </c>
      <c r="F1442" s="4">
        <f t="shared" si="90"/>
        <v>16</v>
      </c>
      <c r="G1442" s="4" cm="1">
        <f t="array" ref="G1442">IF($C1442+$M1442&lt;16,INDEX(Sheet1!C:C,$F1442),$F1442)</f>
        <v>16</v>
      </c>
      <c r="H1442" s="4" t="str" cm="1">
        <f t="array" ref="H1442">INDEX(Sheet1!D:D,$G1442)</f>
        <v>2001-cso-preferred-class-structure-mortality-tables.xls</v>
      </c>
      <c r="I1442" s="4" t="str" cm="1">
        <f t="array" ref="I1442">INDEX(Sheet1!E:E,$G1442)</f>
        <v>A.1.b.iv</v>
      </c>
      <c r="J1442" s="4" t="str" cm="1">
        <f t="array" ref="J1442">INDEX(Sheet1!F:F,$G1442)</f>
        <v>B8</v>
      </c>
      <c r="K1442" s="4" cm="1">
        <f t="array" ref="K1442">INDEX(Sheet1!H:H,$G1442)</f>
        <v>1E-3</v>
      </c>
      <c r="L1442" s="4">
        <f t="shared" si="88"/>
        <v>40</v>
      </c>
      <c r="M1442" s="4">
        <f t="shared" si="91"/>
        <v>5</v>
      </c>
    </row>
    <row r="1443" spans="1:13">
      <c r="A1443" s="4" t="str" cm="1">
        <f t="array" ref="A1443">INDEX(Sheet1!A:A,$F1443)</f>
        <v>F</v>
      </c>
      <c r="B1443" s="4" t="str" cm="1">
        <f t="array" ref="B1443">INDEX(Sheet1!B:B,$F1443)</f>
        <v>Pref SM</v>
      </c>
      <c r="C1443" s="4">
        <f t="shared" si="89"/>
        <v>41</v>
      </c>
      <c r="D1443" s="5" cm="1">
        <f t="array" aca="1" ref="D1443" ca="1">OFFSET(INDIRECT("'["&amp;$H1443&amp;"]"&amp;$I1443&amp;"'!"&amp;$J1443),$L1443,$M1443)*$K1443</f>
        <v>1.8700000000000001E-3</v>
      </c>
      <c r="F1443" s="4">
        <f t="shared" si="90"/>
        <v>16</v>
      </c>
      <c r="G1443" s="4" cm="1">
        <f t="array" ref="G1443">IF($C1443+$M1443&lt;16,INDEX(Sheet1!C:C,$F1443),$F1443)</f>
        <v>16</v>
      </c>
      <c r="H1443" s="4" t="str" cm="1">
        <f t="array" ref="H1443">INDEX(Sheet1!D:D,$G1443)</f>
        <v>2001-cso-preferred-class-structure-mortality-tables.xls</v>
      </c>
      <c r="I1443" s="4" t="str" cm="1">
        <f t="array" ref="I1443">INDEX(Sheet1!E:E,$G1443)</f>
        <v>A.1.b.iv</v>
      </c>
      <c r="J1443" s="4" t="str" cm="1">
        <f t="array" ref="J1443">INDEX(Sheet1!F:F,$G1443)</f>
        <v>B8</v>
      </c>
      <c r="K1443" s="4" cm="1">
        <f t="array" ref="K1443">INDEX(Sheet1!H:H,$G1443)</f>
        <v>1E-3</v>
      </c>
      <c r="L1443" s="4">
        <f t="shared" si="88"/>
        <v>41</v>
      </c>
      <c r="M1443" s="4">
        <f t="shared" si="91"/>
        <v>5</v>
      </c>
    </row>
    <row r="1444" spans="1:13">
      <c r="A1444" s="4" t="str" cm="1">
        <f t="array" ref="A1444">INDEX(Sheet1!A:A,$F1444)</f>
        <v>F</v>
      </c>
      <c r="B1444" s="4" t="str" cm="1">
        <f t="array" ref="B1444">INDEX(Sheet1!B:B,$F1444)</f>
        <v>Pref SM</v>
      </c>
      <c r="C1444" s="4">
        <f t="shared" si="89"/>
        <v>42</v>
      </c>
      <c r="D1444" s="5" cm="1">
        <f t="array" aca="1" ref="D1444" ca="1">OFFSET(INDIRECT("'["&amp;$H1444&amp;"]"&amp;$I1444&amp;"'!"&amp;$J1444),$L1444,$M1444)*$K1444</f>
        <v>2.0800000000000003E-3</v>
      </c>
      <c r="F1444" s="4">
        <f t="shared" si="90"/>
        <v>16</v>
      </c>
      <c r="G1444" s="4" cm="1">
        <f t="array" ref="G1444">IF($C1444+$M1444&lt;16,INDEX(Sheet1!C:C,$F1444),$F1444)</f>
        <v>16</v>
      </c>
      <c r="H1444" s="4" t="str" cm="1">
        <f t="array" ref="H1444">INDEX(Sheet1!D:D,$G1444)</f>
        <v>2001-cso-preferred-class-structure-mortality-tables.xls</v>
      </c>
      <c r="I1444" s="4" t="str" cm="1">
        <f t="array" ref="I1444">INDEX(Sheet1!E:E,$G1444)</f>
        <v>A.1.b.iv</v>
      </c>
      <c r="J1444" s="4" t="str" cm="1">
        <f t="array" ref="J1444">INDEX(Sheet1!F:F,$G1444)</f>
        <v>B8</v>
      </c>
      <c r="K1444" s="4" cm="1">
        <f t="array" ref="K1444">INDEX(Sheet1!H:H,$G1444)</f>
        <v>1E-3</v>
      </c>
      <c r="L1444" s="4">
        <f t="shared" si="88"/>
        <v>42</v>
      </c>
      <c r="M1444" s="4">
        <f t="shared" si="91"/>
        <v>5</v>
      </c>
    </row>
    <row r="1445" spans="1:13">
      <c r="A1445" s="4" t="str" cm="1">
        <f t="array" ref="A1445">INDEX(Sheet1!A:A,$F1445)</f>
        <v>F</v>
      </c>
      <c r="B1445" s="4" t="str" cm="1">
        <f t="array" ref="B1445">INDEX(Sheet1!B:B,$F1445)</f>
        <v>Pref SM</v>
      </c>
      <c r="C1445" s="4">
        <f t="shared" si="89"/>
        <v>43</v>
      </c>
      <c r="D1445" s="5" cm="1">
        <f t="array" aca="1" ref="D1445" ca="1">OFFSET(INDIRECT("'["&amp;$H1445&amp;"]"&amp;$I1445&amp;"'!"&amp;$J1445),$L1445,$M1445)*$K1445</f>
        <v>2.33E-3</v>
      </c>
      <c r="F1445" s="4">
        <f t="shared" si="90"/>
        <v>16</v>
      </c>
      <c r="G1445" s="4" cm="1">
        <f t="array" ref="G1445">IF($C1445+$M1445&lt;16,INDEX(Sheet1!C:C,$F1445),$F1445)</f>
        <v>16</v>
      </c>
      <c r="H1445" s="4" t="str" cm="1">
        <f t="array" ref="H1445">INDEX(Sheet1!D:D,$G1445)</f>
        <v>2001-cso-preferred-class-structure-mortality-tables.xls</v>
      </c>
      <c r="I1445" s="4" t="str" cm="1">
        <f t="array" ref="I1445">INDEX(Sheet1!E:E,$G1445)</f>
        <v>A.1.b.iv</v>
      </c>
      <c r="J1445" s="4" t="str" cm="1">
        <f t="array" ref="J1445">INDEX(Sheet1!F:F,$G1445)</f>
        <v>B8</v>
      </c>
      <c r="K1445" s="4" cm="1">
        <f t="array" ref="K1445">INDEX(Sheet1!H:H,$G1445)</f>
        <v>1E-3</v>
      </c>
      <c r="L1445" s="4">
        <f t="shared" si="88"/>
        <v>43</v>
      </c>
      <c r="M1445" s="4">
        <f t="shared" si="91"/>
        <v>5</v>
      </c>
    </row>
    <row r="1446" spans="1:13">
      <c r="A1446" s="4" t="str" cm="1">
        <f t="array" ref="A1446">INDEX(Sheet1!A:A,$F1446)</f>
        <v>F</v>
      </c>
      <c r="B1446" s="4" t="str" cm="1">
        <f t="array" ref="B1446">INDEX(Sheet1!B:B,$F1446)</f>
        <v>Pref SM</v>
      </c>
      <c r="C1446" s="4">
        <f t="shared" si="89"/>
        <v>44</v>
      </c>
      <c r="D1446" s="5" cm="1">
        <f t="array" aca="1" ref="D1446" ca="1">OFFSET(INDIRECT("'["&amp;$H1446&amp;"]"&amp;$I1446&amp;"'!"&amp;$J1446),$L1446,$M1446)*$K1446</f>
        <v>2.6099999999999999E-3</v>
      </c>
      <c r="F1446" s="4">
        <f t="shared" si="90"/>
        <v>16</v>
      </c>
      <c r="G1446" s="4" cm="1">
        <f t="array" ref="G1446">IF($C1446+$M1446&lt;16,INDEX(Sheet1!C:C,$F1446),$F1446)</f>
        <v>16</v>
      </c>
      <c r="H1446" s="4" t="str" cm="1">
        <f t="array" ref="H1446">INDEX(Sheet1!D:D,$G1446)</f>
        <v>2001-cso-preferred-class-structure-mortality-tables.xls</v>
      </c>
      <c r="I1446" s="4" t="str" cm="1">
        <f t="array" ref="I1446">INDEX(Sheet1!E:E,$G1446)</f>
        <v>A.1.b.iv</v>
      </c>
      <c r="J1446" s="4" t="str" cm="1">
        <f t="array" ref="J1446">INDEX(Sheet1!F:F,$G1446)</f>
        <v>B8</v>
      </c>
      <c r="K1446" s="4" cm="1">
        <f t="array" ref="K1446">INDEX(Sheet1!H:H,$G1446)</f>
        <v>1E-3</v>
      </c>
      <c r="L1446" s="4">
        <f t="shared" si="88"/>
        <v>44</v>
      </c>
      <c r="M1446" s="4">
        <f t="shared" si="91"/>
        <v>5</v>
      </c>
    </row>
    <row r="1447" spans="1:13">
      <c r="A1447" s="4" t="str" cm="1">
        <f t="array" ref="A1447">INDEX(Sheet1!A:A,$F1447)</f>
        <v>F</v>
      </c>
      <c r="B1447" s="4" t="str" cm="1">
        <f t="array" ref="B1447">INDEX(Sheet1!B:B,$F1447)</f>
        <v>Pref SM</v>
      </c>
      <c r="C1447" s="4">
        <f t="shared" si="89"/>
        <v>45</v>
      </c>
      <c r="D1447" s="5" cm="1">
        <f t="array" aca="1" ref="D1447" ca="1">OFFSET(INDIRECT("'["&amp;$H1447&amp;"]"&amp;$I1447&amp;"'!"&amp;$J1447),$L1447,$M1447)*$K1447</f>
        <v>2.9300000000000003E-3</v>
      </c>
      <c r="F1447" s="4">
        <f t="shared" si="90"/>
        <v>16</v>
      </c>
      <c r="G1447" s="4" cm="1">
        <f t="array" ref="G1447">IF($C1447+$M1447&lt;16,INDEX(Sheet1!C:C,$F1447),$F1447)</f>
        <v>16</v>
      </c>
      <c r="H1447" s="4" t="str" cm="1">
        <f t="array" ref="H1447">INDEX(Sheet1!D:D,$G1447)</f>
        <v>2001-cso-preferred-class-structure-mortality-tables.xls</v>
      </c>
      <c r="I1447" s="4" t="str" cm="1">
        <f t="array" ref="I1447">INDEX(Sheet1!E:E,$G1447)</f>
        <v>A.1.b.iv</v>
      </c>
      <c r="J1447" s="4" t="str" cm="1">
        <f t="array" ref="J1447">INDEX(Sheet1!F:F,$G1447)</f>
        <v>B8</v>
      </c>
      <c r="K1447" s="4" cm="1">
        <f t="array" ref="K1447">INDEX(Sheet1!H:H,$G1447)</f>
        <v>1E-3</v>
      </c>
      <c r="L1447" s="4">
        <f t="shared" si="88"/>
        <v>45</v>
      </c>
      <c r="M1447" s="4">
        <f t="shared" si="91"/>
        <v>5</v>
      </c>
    </row>
    <row r="1448" spans="1:13">
      <c r="A1448" s="4" t="str" cm="1">
        <f t="array" ref="A1448">INDEX(Sheet1!A:A,$F1448)</f>
        <v>F</v>
      </c>
      <c r="B1448" s="4" t="str" cm="1">
        <f t="array" ref="B1448">INDEX(Sheet1!B:B,$F1448)</f>
        <v>Pref SM</v>
      </c>
      <c r="C1448" s="4">
        <f t="shared" si="89"/>
        <v>46</v>
      </c>
      <c r="D1448" s="5" cm="1">
        <f t="array" aca="1" ref="D1448" ca="1">OFFSET(INDIRECT("'["&amp;$H1448&amp;"]"&amp;$I1448&amp;"'!"&amp;$J1448),$L1448,$M1448)*$K1448</f>
        <v>3.2300000000000002E-3</v>
      </c>
      <c r="F1448" s="4">
        <f t="shared" si="90"/>
        <v>16</v>
      </c>
      <c r="G1448" s="4" cm="1">
        <f t="array" ref="G1448">IF($C1448+$M1448&lt;16,INDEX(Sheet1!C:C,$F1448),$F1448)</f>
        <v>16</v>
      </c>
      <c r="H1448" s="4" t="str" cm="1">
        <f t="array" ref="H1448">INDEX(Sheet1!D:D,$G1448)</f>
        <v>2001-cso-preferred-class-structure-mortality-tables.xls</v>
      </c>
      <c r="I1448" s="4" t="str" cm="1">
        <f t="array" ref="I1448">INDEX(Sheet1!E:E,$G1448)</f>
        <v>A.1.b.iv</v>
      </c>
      <c r="J1448" s="4" t="str" cm="1">
        <f t="array" ref="J1448">INDEX(Sheet1!F:F,$G1448)</f>
        <v>B8</v>
      </c>
      <c r="K1448" s="4" cm="1">
        <f t="array" ref="K1448">INDEX(Sheet1!H:H,$G1448)</f>
        <v>1E-3</v>
      </c>
      <c r="L1448" s="4">
        <f t="shared" si="88"/>
        <v>46</v>
      </c>
      <c r="M1448" s="4">
        <f t="shared" si="91"/>
        <v>5</v>
      </c>
    </row>
    <row r="1449" spans="1:13">
      <c r="A1449" s="4" t="str" cm="1">
        <f t="array" ref="A1449">INDEX(Sheet1!A:A,$F1449)</f>
        <v>F</v>
      </c>
      <c r="B1449" s="4" t="str" cm="1">
        <f t="array" ref="B1449">INDEX(Sheet1!B:B,$F1449)</f>
        <v>Pref SM</v>
      </c>
      <c r="C1449" s="4">
        <f t="shared" si="89"/>
        <v>47</v>
      </c>
      <c r="D1449" s="5" cm="1">
        <f t="array" aca="1" ref="D1449" ca="1">OFFSET(INDIRECT("'["&amp;$H1449&amp;"]"&amp;$I1449&amp;"'!"&amp;$J1449),$L1449,$M1449)*$K1449</f>
        <v>3.5699999999999998E-3</v>
      </c>
      <c r="F1449" s="4">
        <f t="shared" si="90"/>
        <v>16</v>
      </c>
      <c r="G1449" s="4" cm="1">
        <f t="array" ref="G1449">IF($C1449+$M1449&lt;16,INDEX(Sheet1!C:C,$F1449),$F1449)</f>
        <v>16</v>
      </c>
      <c r="H1449" s="4" t="str" cm="1">
        <f t="array" ref="H1449">INDEX(Sheet1!D:D,$G1449)</f>
        <v>2001-cso-preferred-class-structure-mortality-tables.xls</v>
      </c>
      <c r="I1449" s="4" t="str" cm="1">
        <f t="array" ref="I1449">INDEX(Sheet1!E:E,$G1449)</f>
        <v>A.1.b.iv</v>
      </c>
      <c r="J1449" s="4" t="str" cm="1">
        <f t="array" ref="J1449">INDEX(Sheet1!F:F,$G1449)</f>
        <v>B8</v>
      </c>
      <c r="K1449" s="4" cm="1">
        <f t="array" ref="K1449">INDEX(Sheet1!H:H,$G1449)</f>
        <v>1E-3</v>
      </c>
      <c r="L1449" s="4">
        <f t="shared" si="88"/>
        <v>47</v>
      </c>
      <c r="M1449" s="4">
        <f t="shared" si="91"/>
        <v>5</v>
      </c>
    </row>
    <row r="1450" spans="1:13">
      <c r="A1450" s="4" t="str" cm="1">
        <f t="array" ref="A1450">INDEX(Sheet1!A:A,$F1450)</f>
        <v>F</v>
      </c>
      <c r="B1450" s="4" t="str" cm="1">
        <f t="array" ref="B1450">INDEX(Sheet1!B:B,$F1450)</f>
        <v>Pref SM</v>
      </c>
      <c r="C1450" s="4">
        <f t="shared" si="89"/>
        <v>48</v>
      </c>
      <c r="D1450" s="5" cm="1">
        <f t="array" aca="1" ref="D1450" ca="1">OFFSET(INDIRECT("'["&amp;$H1450&amp;"]"&amp;$I1450&amp;"'!"&amp;$J1450),$L1450,$M1450)*$K1450</f>
        <v>3.8900000000000002E-3</v>
      </c>
      <c r="F1450" s="4">
        <f t="shared" si="90"/>
        <v>16</v>
      </c>
      <c r="G1450" s="4" cm="1">
        <f t="array" ref="G1450">IF($C1450+$M1450&lt;16,INDEX(Sheet1!C:C,$F1450),$F1450)</f>
        <v>16</v>
      </c>
      <c r="H1450" s="4" t="str" cm="1">
        <f t="array" ref="H1450">INDEX(Sheet1!D:D,$G1450)</f>
        <v>2001-cso-preferred-class-structure-mortality-tables.xls</v>
      </c>
      <c r="I1450" s="4" t="str" cm="1">
        <f t="array" ref="I1450">INDEX(Sheet1!E:E,$G1450)</f>
        <v>A.1.b.iv</v>
      </c>
      <c r="J1450" s="4" t="str" cm="1">
        <f t="array" ref="J1450">INDEX(Sheet1!F:F,$G1450)</f>
        <v>B8</v>
      </c>
      <c r="K1450" s="4" cm="1">
        <f t="array" ref="K1450">INDEX(Sheet1!H:H,$G1450)</f>
        <v>1E-3</v>
      </c>
      <c r="L1450" s="4">
        <f t="shared" si="88"/>
        <v>48</v>
      </c>
      <c r="M1450" s="4">
        <f t="shared" si="91"/>
        <v>5</v>
      </c>
    </row>
    <row r="1451" spans="1:13">
      <c r="A1451" s="4" t="str" cm="1">
        <f t="array" ref="A1451">INDEX(Sheet1!A:A,$F1451)</f>
        <v>F</v>
      </c>
      <c r="B1451" s="4" t="str" cm="1">
        <f t="array" ref="B1451">INDEX(Sheet1!B:B,$F1451)</f>
        <v>Pref SM</v>
      </c>
      <c r="C1451" s="4">
        <f t="shared" si="89"/>
        <v>49</v>
      </c>
      <c r="D1451" s="5" cm="1">
        <f t="array" aca="1" ref="D1451" ca="1">OFFSET(INDIRECT("'["&amp;$H1451&amp;"]"&amp;$I1451&amp;"'!"&amp;$J1451),$L1451,$M1451)*$K1451</f>
        <v>4.2300000000000003E-3</v>
      </c>
      <c r="F1451" s="4">
        <f t="shared" si="90"/>
        <v>16</v>
      </c>
      <c r="G1451" s="4" cm="1">
        <f t="array" ref="G1451">IF($C1451+$M1451&lt;16,INDEX(Sheet1!C:C,$F1451),$F1451)</f>
        <v>16</v>
      </c>
      <c r="H1451" s="4" t="str" cm="1">
        <f t="array" ref="H1451">INDEX(Sheet1!D:D,$G1451)</f>
        <v>2001-cso-preferred-class-structure-mortality-tables.xls</v>
      </c>
      <c r="I1451" s="4" t="str" cm="1">
        <f t="array" ref="I1451">INDEX(Sheet1!E:E,$G1451)</f>
        <v>A.1.b.iv</v>
      </c>
      <c r="J1451" s="4" t="str" cm="1">
        <f t="array" ref="J1451">INDEX(Sheet1!F:F,$G1451)</f>
        <v>B8</v>
      </c>
      <c r="K1451" s="4" cm="1">
        <f t="array" ref="K1451">INDEX(Sheet1!H:H,$G1451)</f>
        <v>1E-3</v>
      </c>
      <c r="L1451" s="4">
        <f t="shared" si="88"/>
        <v>49</v>
      </c>
      <c r="M1451" s="4">
        <f t="shared" si="91"/>
        <v>5</v>
      </c>
    </row>
    <row r="1452" spans="1:13">
      <c r="A1452" s="4" t="str" cm="1">
        <f t="array" ref="A1452">INDEX(Sheet1!A:A,$F1452)</f>
        <v>F</v>
      </c>
      <c r="B1452" s="4" t="str" cm="1">
        <f t="array" ref="B1452">INDEX(Sheet1!B:B,$F1452)</f>
        <v>Pref SM</v>
      </c>
      <c r="C1452" s="4">
        <f t="shared" si="89"/>
        <v>50</v>
      </c>
      <c r="D1452" s="5" cm="1">
        <f t="array" aca="1" ref="D1452" ca="1">OFFSET(INDIRECT("'["&amp;$H1452&amp;"]"&amp;$I1452&amp;"'!"&amp;$J1452),$L1452,$M1452)*$K1452</f>
        <v>4.5399999999999998E-3</v>
      </c>
      <c r="F1452" s="4">
        <f t="shared" si="90"/>
        <v>16</v>
      </c>
      <c r="G1452" s="4" cm="1">
        <f t="array" ref="G1452">IF($C1452+$M1452&lt;16,INDEX(Sheet1!C:C,$F1452),$F1452)</f>
        <v>16</v>
      </c>
      <c r="H1452" s="4" t="str" cm="1">
        <f t="array" ref="H1452">INDEX(Sheet1!D:D,$G1452)</f>
        <v>2001-cso-preferred-class-structure-mortality-tables.xls</v>
      </c>
      <c r="I1452" s="4" t="str" cm="1">
        <f t="array" ref="I1452">INDEX(Sheet1!E:E,$G1452)</f>
        <v>A.1.b.iv</v>
      </c>
      <c r="J1452" s="4" t="str" cm="1">
        <f t="array" ref="J1452">INDEX(Sheet1!F:F,$G1452)</f>
        <v>B8</v>
      </c>
      <c r="K1452" s="4" cm="1">
        <f t="array" ref="K1452">INDEX(Sheet1!H:H,$G1452)</f>
        <v>1E-3</v>
      </c>
      <c r="L1452" s="4">
        <f t="shared" si="88"/>
        <v>50</v>
      </c>
      <c r="M1452" s="4">
        <f t="shared" si="91"/>
        <v>5</v>
      </c>
    </row>
    <row r="1453" spans="1:13">
      <c r="A1453" s="4" t="str" cm="1">
        <f t="array" ref="A1453">INDEX(Sheet1!A:A,$F1453)</f>
        <v>F</v>
      </c>
      <c r="B1453" s="4" t="str" cm="1">
        <f t="array" ref="B1453">INDEX(Sheet1!B:B,$F1453)</f>
        <v>Pref SM</v>
      </c>
      <c r="C1453" s="4">
        <f t="shared" si="89"/>
        <v>51</v>
      </c>
      <c r="D1453" s="5" cm="1">
        <f t="array" aca="1" ref="D1453" ca="1">OFFSET(INDIRECT("'["&amp;$H1453&amp;"]"&amp;$I1453&amp;"'!"&amp;$J1453),$L1453,$M1453)*$K1453</f>
        <v>4.8600000000000006E-3</v>
      </c>
      <c r="F1453" s="4">
        <f t="shared" si="90"/>
        <v>16</v>
      </c>
      <c r="G1453" s="4" cm="1">
        <f t="array" ref="G1453">IF($C1453+$M1453&lt;16,INDEX(Sheet1!C:C,$F1453),$F1453)</f>
        <v>16</v>
      </c>
      <c r="H1453" s="4" t="str" cm="1">
        <f t="array" ref="H1453">INDEX(Sheet1!D:D,$G1453)</f>
        <v>2001-cso-preferred-class-structure-mortality-tables.xls</v>
      </c>
      <c r="I1453" s="4" t="str" cm="1">
        <f t="array" ref="I1453">INDEX(Sheet1!E:E,$G1453)</f>
        <v>A.1.b.iv</v>
      </c>
      <c r="J1453" s="4" t="str" cm="1">
        <f t="array" ref="J1453">INDEX(Sheet1!F:F,$G1453)</f>
        <v>B8</v>
      </c>
      <c r="K1453" s="4" cm="1">
        <f t="array" ref="K1453">INDEX(Sheet1!H:H,$G1453)</f>
        <v>1E-3</v>
      </c>
      <c r="L1453" s="4">
        <f t="shared" si="88"/>
        <v>51</v>
      </c>
      <c r="M1453" s="4">
        <f t="shared" si="91"/>
        <v>5</v>
      </c>
    </row>
    <row r="1454" spans="1:13">
      <c r="A1454" s="4" t="str" cm="1">
        <f t="array" ref="A1454">INDEX(Sheet1!A:A,$F1454)</f>
        <v>F</v>
      </c>
      <c r="B1454" s="4" t="str" cm="1">
        <f t="array" ref="B1454">INDEX(Sheet1!B:B,$F1454)</f>
        <v>Pref SM</v>
      </c>
      <c r="C1454" s="4">
        <f t="shared" si="89"/>
        <v>52</v>
      </c>
      <c r="D1454" s="5" cm="1">
        <f t="array" aca="1" ref="D1454" ca="1">OFFSET(INDIRECT("'["&amp;$H1454&amp;"]"&amp;$I1454&amp;"'!"&amp;$J1454),$L1454,$M1454)*$K1454</f>
        <v>5.1799999999999997E-3</v>
      </c>
      <c r="F1454" s="4">
        <f t="shared" si="90"/>
        <v>16</v>
      </c>
      <c r="G1454" s="4" cm="1">
        <f t="array" ref="G1454">IF($C1454+$M1454&lt;16,INDEX(Sheet1!C:C,$F1454),$F1454)</f>
        <v>16</v>
      </c>
      <c r="H1454" s="4" t="str" cm="1">
        <f t="array" ref="H1454">INDEX(Sheet1!D:D,$G1454)</f>
        <v>2001-cso-preferred-class-structure-mortality-tables.xls</v>
      </c>
      <c r="I1454" s="4" t="str" cm="1">
        <f t="array" ref="I1454">INDEX(Sheet1!E:E,$G1454)</f>
        <v>A.1.b.iv</v>
      </c>
      <c r="J1454" s="4" t="str" cm="1">
        <f t="array" ref="J1454">INDEX(Sheet1!F:F,$G1454)</f>
        <v>B8</v>
      </c>
      <c r="K1454" s="4" cm="1">
        <f t="array" ref="K1454">INDEX(Sheet1!H:H,$G1454)</f>
        <v>1E-3</v>
      </c>
      <c r="L1454" s="4">
        <f t="shared" si="88"/>
        <v>52</v>
      </c>
      <c r="M1454" s="4">
        <f t="shared" si="91"/>
        <v>5</v>
      </c>
    </row>
    <row r="1455" spans="1:13">
      <c r="A1455" s="4" t="str" cm="1">
        <f t="array" ref="A1455">INDEX(Sheet1!A:A,$F1455)</f>
        <v>F</v>
      </c>
      <c r="B1455" s="4" t="str" cm="1">
        <f t="array" ref="B1455">INDEX(Sheet1!B:B,$F1455)</f>
        <v>Pref SM</v>
      </c>
      <c r="C1455" s="4">
        <f t="shared" si="89"/>
        <v>53</v>
      </c>
      <c r="D1455" s="5" cm="1">
        <f t="array" aca="1" ref="D1455" ca="1">OFFSET(INDIRECT("'["&amp;$H1455&amp;"]"&amp;$I1455&amp;"'!"&amp;$J1455),$L1455,$M1455)*$K1455</f>
        <v>5.5100000000000001E-3</v>
      </c>
      <c r="F1455" s="4">
        <f t="shared" si="90"/>
        <v>16</v>
      </c>
      <c r="G1455" s="4" cm="1">
        <f t="array" ref="G1455">IF($C1455+$M1455&lt;16,INDEX(Sheet1!C:C,$F1455),$F1455)</f>
        <v>16</v>
      </c>
      <c r="H1455" s="4" t="str" cm="1">
        <f t="array" ref="H1455">INDEX(Sheet1!D:D,$G1455)</f>
        <v>2001-cso-preferred-class-structure-mortality-tables.xls</v>
      </c>
      <c r="I1455" s="4" t="str" cm="1">
        <f t="array" ref="I1455">INDEX(Sheet1!E:E,$G1455)</f>
        <v>A.1.b.iv</v>
      </c>
      <c r="J1455" s="4" t="str" cm="1">
        <f t="array" ref="J1455">INDEX(Sheet1!F:F,$G1455)</f>
        <v>B8</v>
      </c>
      <c r="K1455" s="4" cm="1">
        <f t="array" ref="K1455">INDEX(Sheet1!H:H,$G1455)</f>
        <v>1E-3</v>
      </c>
      <c r="L1455" s="4">
        <f t="shared" si="88"/>
        <v>53</v>
      </c>
      <c r="M1455" s="4">
        <f t="shared" si="91"/>
        <v>5</v>
      </c>
    </row>
    <row r="1456" spans="1:13">
      <c r="A1456" s="4" t="str" cm="1">
        <f t="array" ref="A1456">INDEX(Sheet1!A:A,$F1456)</f>
        <v>F</v>
      </c>
      <c r="B1456" s="4" t="str" cm="1">
        <f t="array" ref="B1456">INDEX(Sheet1!B:B,$F1456)</f>
        <v>Pref SM</v>
      </c>
      <c r="C1456" s="4">
        <f t="shared" si="89"/>
        <v>54</v>
      </c>
      <c r="D1456" s="5" cm="1">
        <f t="array" aca="1" ref="D1456" ca="1">OFFSET(INDIRECT("'["&amp;$H1456&amp;"]"&amp;$I1456&amp;"'!"&amp;$J1456),$L1456,$M1456)*$K1456</f>
        <v>5.8500000000000002E-3</v>
      </c>
      <c r="F1456" s="4">
        <f t="shared" si="90"/>
        <v>16</v>
      </c>
      <c r="G1456" s="4" cm="1">
        <f t="array" ref="G1456">IF($C1456+$M1456&lt;16,INDEX(Sheet1!C:C,$F1456),$F1456)</f>
        <v>16</v>
      </c>
      <c r="H1456" s="4" t="str" cm="1">
        <f t="array" ref="H1456">INDEX(Sheet1!D:D,$G1456)</f>
        <v>2001-cso-preferred-class-structure-mortality-tables.xls</v>
      </c>
      <c r="I1456" s="4" t="str" cm="1">
        <f t="array" ref="I1456">INDEX(Sheet1!E:E,$G1456)</f>
        <v>A.1.b.iv</v>
      </c>
      <c r="J1456" s="4" t="str" cm="1">
        <f t="array" ref="J1456">INDEX(Sheet1!F:F,$G1456)</f>
        <v>B8</v>
      </c>
      <c r="K1456" s="4" cm="1">
        <f t="array" ref="K1456">INDEX(Sheet1!H:H,$G1456)</f>
        <v>1E-3</v>
      </c>
      <c r="L1456" s="4">
        <f t="shared" si="88"/>
        <v>54</v>
      </c>
      <c r="M1456" s="4">
        <f t="shared" si="91"/>
        <v>5</v>
      </c>
    </row>
    <row r="1457" spans="1:13">
      <c r="A1457" s="4" t="str" cm="1">
        <f t="array" ref="A1457">INDEX(Sheet1!A:A,$F1457)</f>
        <v>F</v>
      </c>
      <c r="B1457" s="4" t="str" cm="1">
        <f t="array" ref="B1457">INDEX(Sheet1!B:B,$F1457)</f>
        <v>Pref SM</v>
      </c>
      <c r="C1457" s="4">
        <f t="shared" si="89"/>
        <v>55</v>
      </c>
      <c r="D1457" s="5" cm="1">
        <f t="array" aca="1" ref="D1457" ca="1">OFFSET(INDIRECT("'["&amp;$H1457&amp;"]"&amp;$I1457&amp;"'!"&amp;$J1457),$L1457,$M1457)*$K1457</f>
        <v>6.2400000000000008E-3</v>
      </c>
      <c r="F1457" s="4">
        <f t="shared" si="90"/>
        <v>16</v>
      </c>
      <c r="G1457" s="4" cm="1">
        <f t="array" ref="G1457">IF($C1457+$M1457&lt;16,INDEX(Sheet1!C:C,$F1457),$F1457)</f>
        <v>16</v>
      </c>
      <c r="H1457" s="4" t="str" cm="1">
        <f t="array" ref="H1457">INDEX(Sheet1!D:D,$G1457)</f>
        <v>2001-cso-preferred-class-structure-mortality-tables.xls</v>
      </c>
      <c r="I1457" s="4" t="str" cm="1">
        <f t="array" ref="I1457">INDEX(Sheet1!E:E,$G1457)</f>
        <v>A.1.b.iv</v>
      </c>
      <c r="J1457" s="4" t="str" cm="1">
        <f t="array" ref="J1457">INDEX(Sheet1!F:F,$G1457)</f>
        <v>B8</v>
      </c>
      <c r="K1457" s="4" cm="1">
        <f t="array" ref="K1457">INDEX(Sheet1!H:H,$G1457)</f>
        <v>1E-3</v>
      </c>
      <c r="L1457" s="4">
        <f t="shared" si="88"/>
        <v>55</v>
      </c>
      <c r="M1457" s="4">
        <f t="shared" si="91"/>
        <v>5</v>
      </c>
    </row>
    <row r="1458" spans="1:13">
      <c r="A1458" s="4" t="str" cm="1">
        <f t="array" ref="A1458">INDEX(Sheet1!A:A,$F1458)</f>
        <v>F</v>
      </c>
      <c r="B1458" s="4" t="str" cm="1">
        <f t="array" ref="B1458">INDEX(Sheet1!B:B,$F1458)</f>
        <v>Pref SM</v>
      </c>
      <c r="C1458" s="4">
        <f t="shared" si="89"/>
        <v>56</v>
      </c>
      <c r="D1458" s="5" cm="1">
        <f t="array" aca="1" ref="D1458" ca="1">OFFSET(INDIRECT("'["&amp;$H1458&amp;"]"&amp;$I1458&amp;"'!"&amp;$J1458),$L1458,$M1458)*$K1458</f>
        <v>6.6E-3</v>
      </c>
      <c r="F1458" s="4">
        <f t="shared" si="90"/>
        <v>16</v>
      </c>
      <c r="G1458" s="4" cm="1">
        <f t="array" ref="G1458">IF($C1458+$M1458&lt;16,INDEX(Sheet1!C:C,$F1458),$F1458)</f>
        <v>16</v>
      </c>
      <c r="H1458" s="4" t="str" cm="1">
        <f t="array" ref="H1458">INDEX(Sheet1!D:D,$G1458)</f>
        <v>2001-cso-preferred-class-structure-mortality-tables.xls</v>
      </c>
      <c r="I1458" s="4" t="str" cm="1">
        <f t="array" ref="I1458">INDEX(Sheet1!E:E,$G1458)</f>
        <v>A.1.b.iv</v>
      </c>
      <c r="J1458" s="4" t="str" cm="1">
        <f t="array" ref="J1458">INDEX(Sheet1!F:F,$G1458)</f>
        <v>B8</v>
      </c>
      <c r="K1458" s="4" cm="1">
        <f t="array" ref="K1458">INDEX(Sheet1!H:H,$G1458)</f>
        <v>1E-3</v>
      </c>
      <c r="L1458" s="4">
        <f t="shared" si="88"/>
        <v>56</v>
      </c>
      <c r="M1458" s="4">
        <f t="shared" si="91"/>
        <v>5</v>
      </c>
    </row>
    <row r="1459" spans="1:13">
      <c r="A1459" s="4" t="str" cm="1">
        <f t="array" ref="A1459">INDEX(Sheet1!A:A,$F1459)</f>
        <v>F</v>
      </c>
      <c r="B1459" s="4" t="str" cm="1">
        <f t="array" ref="B1459">INDEX(Sheet1!B:B,$F1459)</f>
        <v>Pref SM</v>
      </c>
      <c r="C1459" s="4">
        <f t="shared" si="89"/>
        <v>57</v>
      </c>
      <c r="D1459" s="5" cm="1">
        <f t="array" aca="1" ref="D1459" ca="1">OFFSET(INDIRECT("'["&amp;$H1459&amp;"]"&amp;$I1459&amp;"'!"&amp;$J1459),$L1459,$M1459)*$K1459</f>
        <v>7.0099999999999997E-3</v>
      </c>
      <c r="F1459" s="4">
        <f t="shared" si="90"/>
        <v>16</v>
      </c>
      <c r="G1459" s="4" cm="1">
        <f t="array" ref="G1459">IF($C1459+$M1459&lt;16,INDEX(Sheet1!C:C,$F1459),$F1459)</f>
        <v>16</v>
      </c>
      <c r="H1459" s="4" t="str" cm="1">
        <f t="array" ref="H1459">INDEX(Sheet1!D:D,$G1459)</f>
        <v>2001-cso-preferred-class-structure-mortality-tables.xls</v>
      </c>
      <c r="I1459" s="4" t="str" cm="1">
        <f t="array" ref="I1459">INDEX(Sheet1!E:E,$G1459)</f>
        <v>A.1.b.iv</v>
      </c>
      <c r="J1459" s="4" t="str" cm="1">
        <f t="array" ref="J1459">INDEX(Sheet1!F:F,$G1459)</f>
        <v>B8</v>
      </c>
      <c r="K1459" s="4" cm="1">
        <f t="array" ref="K1459">INDEX(Sheet1!H:H,$G1459)</f>
        <v>1E-3</v>
      </c>
      <c r="L1459" s="4">
        <f t="shared" si="88"/>
        <v>57</v>
      </c>
      <c r="M1459" s="4">
        <f t="shared" si="91"/>
        <v>5</v>
      </c>
    </row>
    <row r="1460" spans="1:13">
      <c r="A1460" s="4" t="str" cm="1">
        <f t="array" ref="A1460">INDEX(Sheet1!A:A,$F1460)</f>
        <v>F</v>
      </c>
      <c r="B1460" s="4" t="str" cm="1">
        <f t="array" ref="B1460">INDEX(Sheet1!B:B,$F1460)</f>
        <v>Pref SM</v>
      </c>
      <c r="C1460" s="4">
        <f t="shared" si="89"/>
        <v>58</v>
      </c>
      <c r="D1460" s="5" cm="1">
        <f t="array" aca="1" ref="D1460" ca="1">OFFSET(INDIRECT("'["&amp;$H1460&amp;"]"&amp;$I1460&amp;"'!"&amp;$J1460),$L1460,$M1460)*$K1460</f>
        <v>7.4900000000000001E-3</v>
      </c>
      <c r="F1460" s="4">
        <f t="shared" si="90"/>
        <v>16</v>
      </c>
      <c r="G1460" s="4" cm="1">
        <f t="array" ref="G1460">IF($C1460+$M1460&lt;16,INDEX(Sheet1!C:C,$F1460),$F1460)</f>
        <v>16</v>
      </c>
      <c r="H1460" s="4" t="str" cm="1">
        <f t="array" ref="H1460">INDEX(Sheet1!D:D,$G1460)</f>
        <v>2001-cso-preferred-class-structure-mortality-tables.xls</v>
      </c>
      <c r="I1460" s="4" t="str" cm="1">
        <f t="array" ref="I1460">INDEX(Sheet1!E:E,$G1460)</f>
        <v>A.1.b.iv</v>
      </c>
      <c r="J1460" s="4" t="str" cm="1">
        <f t="array" ref="J1460">INDEX(Sheet1!F:F,$G1460)</f>
        <v>B8</v>
      </c>
      <c r="K1460" s="4" cm="1">
        <f t="array" ref="K1460">INDEX(Sheet1!H:H,$G1460)</f>
        <v>1E-3</v>
      </c>
      <c r="L1460" s="4">
        <f t="shared" si="88"/>
        <v>58</v>
      </c>
      <c r="M1460" s="4">
        <f t="shared" si="91"/>
        <v>5</v>
      </c>
    </row>
    <row r="1461" spans="1:13">
      <c r="A1461" s="4" t="str" cm="1">
        <f t="array" ref="A1461">INDEX(Sheet1!A:A,$F1461)</f>
        <v>F</v>
      </c>
      <c r="B1461" s="4" t="str" cm="1">
        <f t="array" ref="B1461">INDEX(Sheet1!B:B,$F1461)</f>
        <v>Pref SM</v>
      </c>
      <c r="C1461" s="4">
        <f t="shared" si="89"/>
        <v>59</v>
      </c>
      <c r="D1461" s="5" cm="1">
        <f t="array" aca="1" ref="D1461" ca="1">OFFSET(INDIRECT("'["&amp;$H1461&amp;"]"&amp;$I1461&amp;"'!"&amp;$J1461),$L1461,$M1461)*$K1461</f>
        <v>8.0000000000000002E-3</v>
      </c>
      <c r="F1461" s="4">
        <f t="shared" si="90"/>
        <v>16</v>
      </c>
      <c r="G1461" s="4" cm="1">
        <f t="array" ref="G1461">IF($C1461+$M1461&lt;16,INDEX(Sheet1!C:C,$F1461),$F1461)</f>
        <v>16</v>
      </c>
      <c r="H1461" s="4" t="str" cm="1">
        <f t="array" ref="H1461">INDEX(Sheet1!D:D,$G1461)</f>
        <v>2001-cso-preferred-class-structure-mortality-tables.xls</v>
      </c>
      <c r="I1461" s="4" t="str" cm="1">
        <f t="array" ref="I1461">INDEX(Sheet1!E:E,$G1461)</f>
        <v>A.1.b.iv</v>
      </c>
      <c r="J1461" s="4" t="str" cm="1">
        <f t="array" ref="J1461">INDEX(Sheet1!F:F,$G1461)</f>
        <v>B8</v>
      </c>
      <c r="K1461" s="4" cm="1">
        <f t="array" ref="K1461">INDEX(Sheet1!H:H,$G1461)</f>
        <v>1E-3</v>
      </c>
      <c r="L1461" s="4">
        <f t="shared" si="88"/>
        <v>59</v>
      </c>
      <c r="M1461" s="4">
        <f t="shared" si="91"/>
        <v>5</v>
      </c>
    </row>
    <row r="1462" spans="1:13">
      <c r="A1462" s="4" t="str" cm="1">
        <f t="array" ref="A1462">INDEX(Sheet1!A:A,$F1462)</f>
        <v>F</v>
      </c>
      <c r="B1462" s="4" t="str" cm="1">
        <f t="array" ref="B1462">INDEX(Sheet1!B:B,$F1462)</f>
        <v>Pref SM</v>
      </c>
      <c r="C1462" s="4">
        <f t="shared" si="89"/>
        <v>60</v>
      </c>
      <c r="D1462" s="5" cm="1">
        <f t="array" aca="1" ref="D1462" ca="1">OFFSET(INDIRECT("'["&amp;$H1462&amp;"]"&amp;$I1462&amp;"'!"&amp;$J1462),$L1462,$M1462)*$K1462</f>
        <v>8.5299999999999994E-3</v>
      </c>
      <c r="F1462" s="4">
        <f t="shared" si="90"/>
        <v>16</v>
      </c>
      <c r="G1462" s="4" cm="1">
        <f t="array" ref="G1462">IF($C1462+$M1462&lt;16,INDEX(Sheet1!C:C,$F1462),$F1462)</f>
        <v>16</v>
      </c>
      <c r="H1462" s="4" t="str" cm="1">
        <f t="array" ref="H1462">INDEX(Sheet1!D:D,$G1462)</f>
        <v>2001-cso-preferred-class-structure-mortality-tables.xls</v>
      </c>
      <c r="I1462" s="4" t="str" cm="1">
        <f t="array" ref="I1462">INDEX(Sheet1!E:E,$G1462)</f>
        <v>A.1.b.iv</v>
      </c>
      <c r="J1462" s="4" t="str" cm="1">
        <f t="array" ref="J1462">INDEX(Sheet1!F:F,$G1462)</f>
        <v>B8</v>
      </c>
      <c r="K1462" s="4" cm="1">
        <f t="array" ref="K1462">INDEX(Sheet1!H:H,$G1462)</f>
        <v>1E-3</v>
      </c>
      <c r="L1462" s="4">
        <f t="shared" si="88"/>
        <v>60</v>
      </c>
      <c r="M1462" s="4">
        <f t="shared" si="91"/>
        <v>5</v>
      </c>
    </row>
    <row r="1463" spans="1:13">
      <c r="A1463" s="4" t="str" cm="1">
        <f t="array" ref="A1463">INDEX(Sheet1!A:A,$F1463)</f>
        <v>F</v>
      </c>
      <c r="B1463" s="4" t="str" cm="1">
        <f t="array" ref="B1463">INDEX(Sheet1!B:B,$F1463)</f>
        <v>Pref SM</v>
      </c>
      <c r="C1463" s="4">
        <f t="shared" si="89"/>
        <v>61</v>
      </c>
      <c r="D1463" s="5" cm="1">
        <f t="array" aca="1" ref="D1463" ca="1">OFFSET(INDIRECT("'["&amp;$H1463&amp;"]"&amp;$I1463&amp;"'!"&amp;$J1463),$L1463,$M1463)*$K1463</f>
        <v>9.0900000000000009E-3</v>
      </c>
      <c r="F1463" s="4">
        <f t="shared" si="90"/>
        <v>16</v>
      </c>
      <c r="G1463" s="4" cm="1">
        <f t="array" ref="G1463">IF($C1463+$M1463&lt;16,INDEX(Sheet1!C:C,$F1463),$F1463)</f>
        <v>16</v>
      </c>
      <c r="H1463" s="4" t="str" cm="1">
        <f t="array" ref="H1463">INDEX(Sheet1!D:D,$G1463)</f>
        <v>2001-cso-preferred-class-structure-mortality-tables.xls</v>
      </c>
      <c r="I1463" s="4" t="str" cm="1">
        <f t="array" ref="I1463">INDEX(Sheet1!E:E,$G1463)</f>
        <v>A.1.b.iv</v>
      </c>
      <c r="J1463" s="4" t="str" cm="1">
        <f t="array" ref="J1463">INDEX(Sheet1!F:F,$G1463)</f>
        <v>B8</v>
      </c>
      <c r="K1463" s="4" cm="1">
        <f t="array" ref="K1463">INDEX(Sheet1!H:H,$G1463)</f>
        <v>1E-3</v>
      </c>
      <c r="L1463" s="4">
        <f t="shared" si="88"/>
        <v>61</v>
      </c>
      <c r="M1463" s="4">
        <f t="shared" si="91"/>
        <v>5</v>
      </c>
    </row>
    <row r="1464" spans="1:13">
      <c r="A1464" s="4" t="str" cm="1">
        <f t="array" ref="A1464">INDEX(Sheet1!A:A,$F1464)</f>
        <v>F</v>
      </c>
      <c r="B1464" s="4" t="str" cm="1">
        <f t="array" ref="B1464">INDEX(Sheet1!B:B,$F1464)</f>
        <v>Pref SM</v>
      </c>
      <c r="C1464" s="4">
        <f t="shared" si="89"/>
        <v>62</v>
      </c>
      <c r="D1464" s="5" cm="1">
        <f t="array" aca="1" ref="D1464" ca="1">OFFSET(INDIRECT("'["&amp;$H1464&amp;"]"&amp;$I1464&amp;"'!"&amp;$J1464),$L1464,$M1464)*$K1464</f>
        <v>9.6300000000000014E-3</v>
      </c>
      <c r="F1464" s="4">
        <f t="shared" si="90"/>
        <v>16</v>
      </c>
      <c r="G1464" s="4" cm="1">
        <f t="array" ref="G1464">IF($C1464+$M1464&lt;16,INDEX(Sheet1!C:C,$F1464),$F1464)</f>
        <v>16</v>
      </c>
      <c r="H1464" s="4" t="str" cm="1">
        <f t="array" ref="H1464">INDEX(Sheet1!D:D,$G1464)</f>
        <v>2001-cso-preferred-class-structure-mortality-tables.xls</v>
      </c>
      <c r="I1464" s="4" t="str" cm="1">
        <f t="array" ref="I1464">INDEX(Sheet1!E:E,$G1464)</f>
        <v>A.1.b.iv</v>
      </c>
      <c r="J1464" s="4" t="str" cm="1">
        <f t="array" ref="J1464">INDEX(Sheet1!F:F,$G1464)</f>
        <v>B8</v>
      </c>
      <c r="K1464" s="4" cm="1">
        <f t="array" ref="K1464">INDEX(Sheet1!H:H,$G1464)</f>
        <v>1E-3</v>
      </c>
      <c r="L1464" s="4">
        <f t="shared" si="88"/>
        <v>62</v>
      </c>
      <c r="M1464" s="4">
        <f t="shared" si="91"/>
        <v>5</v>
      </c>
    </row>
    <row r="1465" spans="1:13">
      <c r="A1465" s="4" t="str" cm="1">
        <f t="array" ref="A1465">INDEX(Sheet1!A:A,$F1465)</f>
        <v>F</v>
      </c>
      <c r="B1465" s="4" t="str" cm="1">
        <f t="array" ref="B1465">INDEX(Sheet1!B:B,$F1465)</f>
        <v>Pref SM</v>
      </c>
      <c r="C1465" s="4">
        <f t="shared" si="89"/>
        <v>63</v>
      </c>
      <c r="D1465" s="5" cm="1">
        <f t="array" aca="1" ref="D1465" ca="1">OFFSET(INDIRECT("'["&amp;$H1465&amp;"]"&amp;$I1465&amp;"'!"&amp;$J1465),$L1465,$M1465)*$K1465</f>
        <v>1.0150000000000001E-2</v>
      </c>
      <c r="F1465" s="4">
        <f t="shared" si="90"/>
        <v>16</v>
      </c>
      <c r="G1465" s="4" cm="1">
        <f t="array" ref="G1465">IF($C1465+$M1465&lt;16,INDEX(Sheet1!C:C,$F1465),$F1465)</f>
        <v>16</v>
      </c>
      <c r="H1465" s="4" t="str" cm="1">
        <f t="array" ref="H1465">INDEX(Sheet1!D:D,$G1465)</f>
        <v>2001-cso-preferred-class-structure-mortality-tables.xls</v>
      </c>
      <c r="I1465" s="4" t="str" cm="1">
        <f t="array" ref="I1465">INDEX(Sheet1!E:E,$G1465)</f>
        <v>A.1.b.iv</v>
      </c>
      <c r="J1465" s="4" t="str" cm="1">
        <f t="array" ref="J1465">INDEX(Sheet1!F:F,$G1465)</f>
        <v>B8</v>
      </c>
      <c r="K1465" s="4" cm="1">
        <f t="array" ref="K1465">INDEX(Sheet1!H:H,$G1465)</f>
        <v>1E-3</v>
      </c>
      <c r="L1465" s="4">
        <f t="shared" si="88"/>
        <v>63</v>
      </c>
      <c r="M1465" s="4">
        <f t="shared" si="91"/>
        <v>5</v>
      </c>
    </row>
    <row r="1466" spans="1:13">
      <c r="A1466" s="4" t="str" cm="1">
        <f t="array" ref="A1466">INDEX(Sheet1!A:A,$F1466)</f>
        <v>F</v>
      </c>
      <c r="B1466" s="4" t="str" cm="1">
        <f t="array" ref="B1466">INDEX(Sheet1!B:B,$F1466)</f>
        <v>Pref SM</v>
      </c>
      <c r="C1466" s="4">
        <f t="shared" si="89"/>
        <v>64</v>
      </c>
      <c r="D1466" s="5" cm="1">
        <f t="array" aca="1" ref="D1466" ca="1">OFFSET(INDIRECT("'["&amp;$H1466&amp;"]"&amp;$I1466&amp;"'!"&amp;$J1466),$L1466,$M1466)*$K1466</f>
        <v>1.069E-2</v>
      </c>
      <c r="F1466" s="4">
        <f t="shared" si="90"/>
        <v>16</v>
      </c>
      <c r="G1466" s="4" cm="1">
        <f t="array" ref="G1466">IF($C1466+$M1466&lt;16,INDEX(Sheet1!C:C,$F1466),$F1466)</f>
        <v>16</v>
      </c>
      <c r="H1466" s="4" t="str" cm="1">
        <f t="array" ref="H1466">INDEX(Sheet1!D:D,$G1466)</f>
        <v>2001-cso-preferred-class-structure-mortality-tables.xls</v>
      </c>
      <c r="I1466" s="4" t="str" cm="1">
        <f t="array" ref="I1466">INDEX(Sheet1!E:E,$G1466)</f>
        <v>A.1.b.iv</v>
      </c>
      <c r="J1466" s="4" t="str" cm="1">
        <f t="array" ref="J1466">INDEX(Sheet1!F:F,$G1466)</f>
        <v>B8</v>
      </c>
      <c r="K1466" s="4" cm="1">
        <f t="array" ref="K1466">INDEX(Sheet1!H:H,$G1466)</f>
        <v>1E-3</v>
      </c>
      <c r="L1466" s="4">
        <f t="shared" si="88"/>
        <v>64</v>
      </c>
      <c r="M1466" s="4">
        <f t="shared" si="91"/>
        <v>5</v>
      </c>
    </row>
    <row r="1467" spans="1:13">
      <c r="A1467" s="4" t="str" cm="1">
        <f t="array" ref="A1467">INDEX(Sheet1!A:A,$F1467)</f>
        <v>F</v>
      </c>
      <c r="B1467" s="4" t="str" cm="1">
        <f t="array" ref="B1467">INDEX(Sheet1!B:B,$F1467)</f>
        <v>Pref SM</v>
      </c>
      <c r="C1467" s="4">
        <f t="shared" si="89"/>
        <v>65</v>
      </c>
      <c r="D1467" s="5" cm="1">
        <f t="array" aca="1" ref="D1467" ca="1">OFFSET(INDIRECT("'["&amp;$H1467&amp;"]"&amp;$I1467&amp;"'!"&amp;$J1467),$L1467,$M1467)*$K1467</f>
        <v>1.1270000000000001E-2</v>
      </c>
      <c r="F1467" s="4">
        <f t="shared" si="90"/>
        <v>16</v>
      </c>
      <c r="G1467" s="4" cm="1">
        <f t="array" ref="G1467">IF($C1467+$M1467&lt;16,INDEX(Sheet1!C:C,$F1467),$F1467)</f>
        <v>16</v>
      </c>
      <c r="H1467" s="4" t="str" cm="1">
        <f t="array" ref="H1467">INDEX(Sheet1!D:D,$G1467)</f>
        <v>2001-cso-preferred-class-structure-mortality-tables.xls</v>
      </c>
      <c r="I1467" s="4" t="str" cm="1">
        <f t="array" ref="I1467">INDEX(Sheet1!E:E,$G1467)</f>
        <v>A.1.b.iv</v>
      </c>
      <c r="J1467" s="4" t="str" cm="1">
        <f t="array" ref="J1467">INDEX(Sheet1!F:F,$G1467)</f>
        <v>B8</v>
      </c>
      <c r="K1467" s="4" cm="1">
        <f t="array" ref="K1467">INDEX(Sheet1!H:H,$G1467)</f>
        <v>1E-3</v>
      </c>
      <c r="L1467" s="4">
        <f t="shared" si="88"/>
        <v>65</v>
      </c>
      <c r="M1467" s="4">
        <f t="shared" si="91"/>
        <v>5</v>
      </c>
    </row>
    <row r="1468" spans="1:13">
      <c r="A1468" s="4" t="str" cm="1">
        <f t="array" ref="A1468">INDEX(Sheet1!A:A,$F1468)</f>
        <v>F</v>
      </c>
      <c r="B1468" s="4" t="str" cm="1">
        <f t="array" ref="B1468">INDEX(Sheet1!B:B,$F1468)</f>
        <v>Pref SM</v>
      </c>
      <c r="C1468" s="4">
        <f t="shared" si="89"/>
        <v>66</v>
      </c>
      <c r="D1468" s="5" cm="1">
        <f t="array" aca="1" ref="D1468" ca="1">OFFSET(INDIRECT("'["&amp;$H1468&amp;"]"&amp;$I1468&amp;"'!"&amp;$J1468),$L1468,$M1468)*$K1468</f>
        <v>1.1849999999999999E-2</v>
      </c>
      <c r="F1468" s="4">
        <f t="shared" si="90"/>
        <v>16</v>
      </c>
      <c r="G1468" s="4" cm="1">
        <f t="array" ref="G1468">IF($C1468+$M1468&lt;16,INDEX(Sheet1!C:C,$F1468),$F1468)</f>
        <v>16</v>
      </c>
      <c r="H1468" s="4" t="str" cm="1">
        <f t="array" ref="H1468">INDEX(Sheet1!D:D,$G1468)</f>
        <v>2001-cso-preferred-class-structure-mortality-tables.xls</v>
      </c>
      <c r="I1468" s="4" t="str" cm="1">
        <f t="array" ref="I1468">INDEX(Sheet1!E:E,$G1468)</f>
        <v>A.1.b.iv</v>
      </c>
      <c r="J1468" s="4" t="str" cm="1">
        <f t="array" ref="J1468">INDEX(Sheet1!F:F,$G1468)</f>
        <v>B8</v>
      </c>
      <c r="K1468" s="4" cm="1">
        <f t="array" ref="K1468">INDEX(Sheet1!H:H,$G1468)</f>
        <v>1E-3</v>
      </c>
      <c r="L1468" s="4">
        <f t="shared" si="88"/>
        <v>66</v>
      </c>
      <c r="M1468" s="4">
        <f t="shared" si="91"/>
        <v>5</v>
      </c>
    </row>
    <row r="1469" spans="1:13">
      <c r="A1469" s="4" t="str" cm="1">
        <f t="array" ref="A1469">INDEX(Sheet1!A:A,$F1469)</f>
        <v>F</v>
      </c>
      <c r="B1469" s="4" t="str" cm="1">
        <f t="array" ref="B1469">INDEX(Sheet1!B:B,$F1469)</f>
        <v>Pref SM</v>
      </c>
      <c r="C1469" s="4">
        <f t="shared" si="89"/>
        <v>67</v>
      </c>
      <c r="D1469" s="5" cm="1">
        <f t="array" aca="1" ref="D1469" ca="1">OFFSET(INDIRECT("'["&amp;$H1469&amp;"]"&amp;$I1469&amp;"'!"&amp;$J1469),$L1469,$M1469)*$K1469</f>
        <v>1.255E-2</v>
      </c>
      <c r="F1469" s="4">
        <f t="shared" si="90"/>
        <v>16</v>
      </c>
      <c r="G1469" s="4" cm="1">
        <f t="array" ref="G1469">IF($C1469+$M1469&lt;16,INDEX(Sheet1!C:C,$F1469),$F1469)</f>
        <v>16</v>
      </c>
      <c r="H1469" s="4" t="str" cm="1">
        <f t="array" ref="H1469">INDEX(Sheet1!D:D,$G1469)</f>
        <v>2001-cso-preferred-class-structure-mortality-tables.xls</v>
      </c>
      <c r="I1469" s="4" t="str" cm="1">
        <f t="array" ref="I1469">INDEX(Sheet1!E:E,$G1469)</f>
        <v>A.1.b.iv</v>
      </c>
      <c r="J1469" s="4" t="str" cm="1">
        <f t="array" ref="J1469">INDEX(Sheet1!F:F,$G1469)</f>
        <v>B8</v>
      </c>
      <c r="K1469" s="4" cm="1">
        <f t="array" ref="K1469">INDEX(Sheet1!H:H,$G1469)</f>
        <v>1E-3</v>
      </c>
      <c r="L1469" s="4">
        <f t="shared" si="88"/>
        <v>67</v>
      </c>
      <c r="M1469" s="4">
        <f t="shared" si="91"/>
        <v>5</v>
      </c>
    </row>
    <row r="1470" spans="1:13">
      <c r="A1470" s="4" t="str" cm="1">
        <f t="array" ref="A1470">INDEX(Sheet1!A:A,$F1470)</f>
        <v>F</v>
      </c>
      <c r="B1470" s="4" t="str" cm="1">
        <f t="array" ref="B1470">INDEX(Sheet1!B:B,$F1470)</f>
        <v>Pref SM</v>
      </c>
      <c r="C1470" s="4">
        <f t="shared" si="89"/>
        <v>68</v>
      </c>
      <c r="D1470" s="5" cm="1">
        <f t="array" aca="1" ref="D1470" ca="1">OFFSET(INDIRECT("'["&amp;$H1470&amp;"]"&amp;$I1470&amp;"'!"&amp;$J1470),$L1470,$M1470)*$K1470</f>
        <v>1.337E-2</v>
      </c>
      <c r="F1470" s="4">
        <f t="shared" si="90"/>
        <v>16</v>
      </c>
      <c r="G1470" s="4" cm="1">
        <f t="array" ref="G1470">IF($C1470+$M1470&lt;16,INDEX(Sheet1!C:C,$F1470),$F1470)</f>
        <v>16</v>
      </c>
      <c r="H1470" s="4" t="str" cm="1">
        <f t="array" ref="H1470">INDEX(Sheet1!D:D,$G1470)</f>
        <v>2001-cso-preferred-class-structure-mortality-tables.xls</v>
      </c>
      <c r="I1470" s="4" t="str" cm="1">
        <f t="array" ref="I1470">INDEX(Sheet1!E:E,$G1470)</f>
        <v>A.1.b.iv</v>
      </c>
      <c r="J1470" s="4" t="str" cm="1">
        <f t="array" ref="J1470">INDEX(Sheet1!F:F,$G1470)</f>
        <v>B8</v>
      </c>
      <c r="K1470" s="4" cm="1">
        <f t="array" ref="K1470">INDEX(Sheet1!H:H,$G1470)</f>
        <v>1E-3</v>
      </c>
      <c r="L1470" s="4">
        <f t="shared" si="88"/>
        <v>68</v>
      </c>
      <c r="M1470" s="4">
        <f t="shared" si="91"/>
        <v>5</v>
      </c>
    </row>
    <row r="1471" spans="1:13">
      <c r="A1471" s="4" t="str" cm="1">
        <f t="array" ref="A1471">INDEX(Sheet1!A:A,$F1471)</f>
        <v>F</v>
      </c>
      <c r="B1471" s="4" t="str" cm="1">
        <f t="array" ref="B1471">INDEX(Sheet1!B:B,$F1471)</f>
        <v>Pref SM</v>
      </c>
      <c r="C1471" s="4">
        <f t="shared" si="89"/>
        <v>69</v>
      </c>
      <c r="D1471" s="5" cm="1">
        <f t="array" aca="1" ref="D1471" ca="1">OFFSET(INDIRECT("'["&amp;$H1471&amp;"]"&amp;$I1471&amp;"'!"&amp;$J1471),$L1471,$M1471)*$K1471</f>
        <v>1.436E-2</v>
      </c>
      <c r="F1471" s="4">
        <f t="shared" si="90"/>
        <v>16</v>
      </c>
      <c r="G1471" s="4" cm="1">
        <f t="array" ref="G1471">IF($C1471+$M1471&lt;16,INDEX(Sheet1!C:C,$F1471),$F1471)</f>
        <v>16</v>
      </c>
      <c r="H1471" s="4" t="str" cm="1">
        <f t="array" ref="H1471">INDEX(Sheet1!D:D,$G1471)</f>
        <v>2001-cso-preferred-class-structure-mortality-tables.xls</v>
      </c>
      <c r="I1471" s="4" t="str" cm="1">
        <f t="array" ref="I1471">INDEX(Sheet1!E:E,$G1471)</f>
        <v>A.1.b.iv</v>
      </c>
      <c r="J1471" s="4" t="str" cm="1">
        <f t="array" ref="J1471">INDEX(Sheet1!F:F,$G1471)</f>
        <v>B8</v>
      </c>
      <c r="K1471" s="4" cm="1">
        <f t="array" ref="K1471">INDEX(Sheet1!H:H,$G1471)</f>
        <v>1E-3</v>
      </c>
      <c r="L1471" s="4">
        <f t="shared" si="88"/>
        <v>69</v>
      </c>
      <c r="M1471" s="4">
        <f t="shared" si="91"/>
        <v>5</v>
      </c>
    </row>
    <row r="1472" spans="1:13">
      <c r="A1472" s="4" t="str" cm="1">
        <f t="array" ref="A1472">INDEX(Sheet1!A:A,$F1472)</f>
        <v>F</v>
      </c>
      <c r="B1472" s="4" t="str" cm="1">
        <f t="array" ref="B1472">INDEX(Sheet1!B:B,$F1472)</f>
        <v>Pref SM</v>
      </c>
      <c r="C1472" s="4">
        <f t="shared" si="89"/>
        <v>70</v>
      </c>
      <c r="D1472" s="5" cm="1">
        <f t="array" aca="1" ref="D1472" ca="1">OFFSET(INDIRECT("'["&amp;$H1472&amp;"]"&amp;$I1472&amp;"'!"&amp;$J1472),$L1472,$M1472)*$K1472</f>
        <v>1.5509999999999999E-2</v>
      </c>
      <c r="F1472" s="4">
        <f t="shared" si="90"/>
        <v>16</v>
      </c>
      <c r="G1472" s="4" cm="1">
        <f t="array" ref="G1472">IF($C1472+$M1472&lt;16,INDEX(Sheet1!C:C,$F1472),$F1472)</f>
        <v>16</v>
      </c>
      <c r="H1472" s="4" t="str" cm="1">
        <f t="array" ref="H1472">INDEX(Sheet1!D:D,$G1472)</f>
        <v>2001-cso-preferred-class-structure-mortality-tables.xls</v>
      </c>
      <c r="I1472" s="4" t="str" cm="1">
        <f t="array" ref="I1472">INDEX(Sheet1!E:E,$G1472)</f>
        <v>A.1.b.iv</v>
      </c>
      <c r="J1472" s="4" t="str" cm="1">
        <f t="array" ref="J1472">INDEX(Sheet1!F:F,$G1472)</f>
        <v>B8</v>
      </c>
      <c r="K1472" s="4" cm="1">
        <f t="array" ref="K1472">INDEX(Sheet1!H:H,$G1472)</f>
        <v>1E-3</v>
      </c>
      <c r="L1472" s="4">
        <f t="shared" si="88"/>
        <v>70</v>
      </c>
      <c r="M1472" s="4">
        <f t="shared" si="91"/>
        <v>5</v>
      </c>
    </row>
    <row r="1473" spans="1:13">
      <c r="A1473" s="4" t="str" cm="1">
        <f t="array" ref="A1473">INDEX(Sheet1!A:A,$F1473)</f>
        <v>F</v>
      </c>
      <c r="B1473" s="4" t="str" cm="1">
        <f t="array" ref="B1473">INDEX(Sheet1!B:B,$F1473)</f>
        <v>Pref SM</v>
      </c>
      <c r="C1473" s="4">
        <f t="shared" si="89"/>
        <v>71</v>
      </c>
      <c r="D1473" s="5" cm="1">
        <f t="array" aca="1" ref="D1473" ca="1">OFFSET(INDIRECT("'["&amp;$H1473&amp;"]"&amp;$I1473&amp;"'!"&amp;$J1473),$L1473,$M1473)*$K1473</f>
        <v>1.6870000000000003E-2</v>
      </c>
      <c r="F1473" s="4">
        <f t="shared" si="90"/>
        <v>16</v>
      </c>
      <c r="G1473" s="4" cm="1">
        <f t="array" ref="G1473">IF($C1473+$M1473&lt;16,INDEX(Sheet1!C:C,$F1473),$F1473)</f>
        <v>16</v>
      </c>
      <c r="H1473" s="4" t="str" cm="1">
        <f t="array" ref="H1473">INDEX(Sheet1!D:D,$G1473)</f>
        <v>2001-cso-preferred-class-structure-mortality-tables.xls</v>
      </c>
      <c r="I1473" s="4" t="str" cm="1">
        <f t="array" ref="I1473">INDEX(Sheet1!E:E,$G1473)</f>
        <v>A.1.b.iv</v>
      </c>
      <c r="J1473" s="4" t="str" cm="1">
        <f t="array" ref="J1473">INDEX(Sheet1!F:F,$G1473)</f>
        <v>B8</v>
      </c>
      <c r="K1473" s="4" cm="1">
        <f t="array" ref="K1473">INDEX(Sheet1!H:H,$G1473)</f>
        <v>1E-3</v>
      </c>
      <c r="L1473" s="4">
        <f t="shared" si="88"/>
        <v>71</v>
      </c>
      <c r="M1473" s="4">
        <f t="shared" si="91"/>
        <v>5</v>
      </c>
    </row>
    <row r="1474" spans="1:13">
      <c r="A1474" s="4" t="str" cm="1">
        <f t="array" ref="A1474">INDEX(Sheet1!A:A,$F1474)</f>
        <v>F</v>
      </c>
      <c r="B1474" s="4" t="str" cm="1">
        <f t="array" ref="B1474">INDEX(Sheet1!B:B,$F1474)</f>
        <v>Pref SM</v>
      </c>
      <c r="C1474" s="4">
        <f t="shared" si="89"/>
        <v>72</v>
      </c>
      <c r="D1474" s="5" cm="1">
        <f t="array" aca="1" ref="D1474" ca="1">OFFSET(INDIRECT("'["&amp;$H1474&amp;"]"&amp;$I1474&amp;"'!"&amp;$J1474),$L1474,$M1474)*$K1474</f>
        <v>1.8409999999999999E-2</v>
      </c>
      <c r="F1474" s="4">
        <f t="shared" si="90"/>
        <v>16</v>
      </c>
      <c r="G1474" s="4" cm="1">
        <f t="array" ref="G1474">IF($C1474+$M1474&lt;16,INDEX(Sheet1!C:C,$F1474),$F1474)</f>
        <v>16</v>
      </c>
      <c r="H1474" s="4" t="str" cm="1">
        <f t="array" ref="H1474">INDEX(Sheet1!D:D,$G1474)</f>
        <v>2001-cso-preferred-class-structure-mortality-tables.xls</v>
      </c>
      <c r="I1474" s="4" t="str" cm="1">
        <f t="array" ref="I1474">INDEX(Sheet1!E:E,$G1474)</f>
        <v>A.1.b.iv</v>
      </c>
      <c r="J1474" s="4" t="str" cm="1">
        <f t="array" ref="J1474">INDEX(Sheet1!F:F,$G1474)</f>
        <v>B8</v>
      </c>
      <c r="K1474" s="4" cm="1">
        <f t="array" ref="K1474">INDEX(Sheet1!H:H,$G1474)</f>
        <v>1E-3</v>
      </c>
      <c r="L1474" s="4">
        <f t="shared" si="88"/>
        <v>72</v>
      </c>
      <c r="M1474" s="4">
        <f t="shared" si="91"/>
        <v>5</v>
      </c>
    </row>
    <row r="1475" spans="1:13">
      <c r="A1475" s="4" t="str" cm="1">
        <f t="array" ref="A1475">INDEX(Sheet1!A:A,$F1475)</f>
        <v>F</v>
      </c>
      <c r="B1475" s="4" t="str" cm="1">
        <f t="array" ref="B1475">INDEX(Sheet1!B:B,$F1475)</f>
        <v>Pref SM</v>
      </c>
      <c r="C1475" s="4">
        <f t="shared" si="89"/>
        <v>73</v>
      </c>
      <c r="D1475" s="5" cm="1">
        <f t="array" aca="1" ref="D1475" ca="1">OFFSET(INDIRECT("'["&amp;$H1475&amp;"]"&amp;$I1475&amp;"'!"&amp;$J1475),$L1475,$M1475)*$K1475</f>
        <v>2.0190000000000003E-2</v>
      </c>
      <c r="F1475" s="4">
        <f t="shared" si="90"/>
        <v>16</v>
      </c>
      <c r="G1475" s="4" cm="1">
        <f t="array" ref="G1475">IF($C1475+$M1475&lt;16,INDEX(Sheet1!C:C,$F1475),$F1475)</f>
        <v>16</v>
      </c>
      <c r="H1475" s="4" t="str" cm="1">
        <f t="array" ref="H1475">INDEX(Sheet1!D:D,$G1475)</f>
        <v>2001-cso-preferred-class-structure-mortality-tables.xls</v>
      </c>
      <c r="I1475" s="4" t="str" cm="1">
        <f t="array" ref="I1475">INDEX(Sheet1!E:E,$G1475)</f>
        <v>A.1.b.iv</v>
      </c>
      <c r="J1475" s="4" t="str" cm="1">
        <f t="array" ref="J1475">INDEX(Sheet1!F:F,$G1475)</f>
        <v>B8</v>
      </c>
      <c r="K1475" s="4" cm="1">
        <f t="array" ref="K1475">INDEX(Sheet1!H:H,$G1475)</f>
        <v>1E-3</v>
      </c>
      <c r="L1475" s="4">
        <f t="shared" ref="L1475:L1538" si="92">C1475</f>
        <v>73</v>
      </c>
      <c r="M1475" s="4">
        <f t="shared" si="91"/>
        <v>5</v>
      </c>
    </row>
    <row r="1476" spans="1:13">
      <c r="A1476" s="4" t="str" cm="1">
        <f t="array" ref="A1476">INDEX(Sheet1!A:A,$F1476)</f>
        <v>F</v>
      </c>
      <c r="B1476" s="4" t="str" cm="1">
        <f t="array" ref="B1476">INDEX(Sheet1!B:B,$F1476)</f>
        <v>Pref SM</v>
      </c>
      <c r="C1476" s="4">
        <f t="shared" ref="C1476:C1539" si="93">IF(C1475=99,0,C1475+1)</f>
        <v>74</v>
      </c>
      <c r="D1476" s="5" cm="1">
        <f t="array" aca="1" ref="D1476" ca="1">OFFSET(INDIRECT("'["&amp;$H1476&amp;"]"&amp;$I1476&amp;"'!"&amp;$J1476),$L1476,$M1476)*$K1476</f>
        <v>2.2180000000000002E-2</v>
      </c>
      <c r="F1476" s="4">
        <f t="shared" ref="F1476:F1539" si="94">IF(C1476=0,1,0)+F1475</f>
        <v>16</v>
      </c>
      <c r="G1476" s="4" cm="1">
        <f t="array" ref="G1476">IF($C1476+$M1476&lt;16,INDEX(Sheet1!C:C,$F1476),$F1476)</f>
        <v>16</v>
      </c>
      <c r="H1476" s="4" t="str" cm="1">
        <f t="array" ref="H1476">INDEX(Sheet1!D:D,$G1476)</f>
        <v>2001-cso-preferred-class-structure-mortality-tables.xls</v>
      </c>
      <c r="I1476" s="4" t="str" cm="1">
        <f t="array" ref="I1476">INDEX(Sheet1!E:E,$G1476)</f>
        <v>A.1.b.iv</v>
      </c>
      <c r="J1476" s="4" t="str" cm="1">
        <f t="array" ref="J1476">INDEX(Sheet1!F:F,$G1476)</f>
        <v>B8</v>
      </c>
      <c r="K1476" s="4" cm="1">
        <f t="array" ref="K1476">INDEX(Sheet1!H:H,$G1476)</f>
        <v>1E-3</v>
      </c>
      <c r="L1476" s="4">
        <f t="shared" si="92"/>
        <v>74</v>
      </c>
      <c r="M1476" s="4">
        <f t="shared" ref="L1476:M1539" si="95">M$2</f>
        <v>5</v>
      </c>
    </row>
    <row r="1477" spans="1:13">
      <c r="A1477" s="4" t="str" cm="1">
        <f t="array" ref="A1477">INDEX(Sheet1!A:A,$F1477)</f>
        <v>F</v>
      </c>
      <c r="B1477" s="4" t="str" cm="1">
        <f t="array" ref="B1477">INDEX(Sheet1!B:B,$F1477)</f>
        <v>Pref SM</v>
      </c>
      <c r="C1477" s="4">
        <f t="shared" si="93"/>
        <v>75</v>
      </c>
      <c r="D1477" s="5" cm="1">
        <f t="array" aca="1" ref="D1477" ca="1">OFFSET(INDIRECT("'["&amp;$H1477&amp;"]"&amp;$I1477&amp;"'!"&amp;$J1477),$L1477,$M1477)*$K1477</f>
        <v>2.4390000000000002E-2</v>
      </c>
      <c r="F1477" s="4">
        <f t="shared" si="94"/>
        <v>16</v>
      </c>
      <c r="G1477" s="4" cm="1">
        <f t="array" ref="G1477">IF($C1477+$M1477&lt;16,INDEX(Sheet1!C:C,$F1477),$F1477)</f>
        <v>16</v>
      </c>
      <c r="H1477" s="4" t="str" cm="1">
        <f t="array" ref="H1477">INDEX(Sheet1!D:D,$G1477)</f>
        <v>2001-cso-preferred-class-structure-mortality-tables.xls</v>
      </c>
      <c r="I1477" s="4" t="str" cm="1">
        <f t="array" ref="I1477">INDEX(Sheet1!E:E,$G1477)</f>
        <v>A.1.b.iv</v>
      </c>
      <c r="J1477" s="4" t="str" cm="1">
        <f t="array" ref="J1477">INDEX(Sheet1!F:F,$G1477)</f>
        <v>B8</v>
      </c>
      <c r="K1477" s="4" cm="1">
        <f t="array" ref="K1477">INDEX(Sheet1!H:H,$G1477)</f>
        <v>1E-3</v>
      </c>
      <c r="L1477" s="4">
        <f t="shared" si="92"/>
        <v>75</v>
      </c>
      <c r="M1477" s="4">
        <f t="shared" si="95"/>
        <v>5</v>
      </c>
    </row>
    <row r="1478" spans="1:13">
      <c r="A1478" s="4" t="str" cm="1">
        <f t="array" ref="A1478">INDEX(Sheet1!A:A,$F1478)</f>
        <v>F</v>
      </c>
      <c r="B1478" s="4" t="str" cm="1">
        <f t="array" ref="B1478">INDEX(Sheet1!B:B,$F1478)</f>
        <v>Pref SM</v>
      </c>
      <c r="C1478" s="4">
        <f t="shared" si="93"/>
        <v>76</v>
      </c>
      <c r="D1478" s="5" cm="1">
        <f t="array" aca="1" ref="D1478" ca="1">OFFSET(INDIRECT("'["&amp;$H1478&amp;"]"&amp;$I1478&amp;"'!"&amp;$J1478),$L1478,$M1478)*$K1478</f>
        <v>2.7350000000000003E-2</v>
      </c>
      <c r="F1478" s="4">
        <f t="shared" si="94"/>
        <v>16</v>
      </c>
      <c r="G1478" s="4" cm="1">
        <f t="array" ref="G1478">IF($C1478+$M1478&lt;16,INDEX(Sheet1!C:C,$F1478),$F1478)</f>
        <v>16</v>
      </c>
      <c r="H1478" s="4" t="str" cm="1">
        <f t="array" ref="H1478">INDEX(Sheet1!D:D,$G1478)</f>
        <v>2001-cso-preferred-class-structure-mortality-tables.xls</v>
      </c>
      <c r="I1478" s="4" t="str" cm="1">
        <f t="array" ref="I1478">INDEX(Sheet1!E:E,$G1478)</f>
        <v>A.1.b.iv</v>
      </c>
      <c r="J1478" s="4" t="str" cm="1">
        <f t="array" ref="J1478">INDEX(Sheet1!F:F,$G1478)</f>
        <v>B8</v>
      </c>
      <c r="K1478" s="4" cm="1">
        <f t="array" ref="K1478">INDEX(Sheet1!H:H,$G1478)</f>
        <v>1E-3</v>
      </c>
      <c r="L1478" s="4">
        <f t="shared" si="92"/>
        <v>76</v>
      </c>
      <c r="M1478" s="4">
        <f t="shared" si="95"/>
        <v>5</v>
      </c>
    </row>
    <row r="1479" spans="1:13">
      <c r="A1479" s="4" t="str" cm="1">
        <f t="array" ref="A1479">INDEX(Sheet1!A:A,$F1479)</f>
        <v>F</v>
      </c>
      <c r="B1479" s="4" t="str" cm="1">
        <f t="array" ref="B1479">INDEX(Sheet1!B:B,$F1479)</f>
        <v>Pref SM</v>
      </c>
      <c r="C1479" s="4">
        <f t="shared" si="93"/>
        <v>77</v>
      </c>
      <c r="D1479" s="5" cm="1">
        <f t="array" aca="1" ref="D1479" ca="1">OFFSET(INDIRECT("'["&amp;$H1479&amp;"]"&amp;$I1479&amp;"'!"&amp;$J1479),$L1479,$M1479)*$K1479</f>
        <v>3.0710000000000001E-2</v>
      </c>
      <c r="F1479" s="4">
        <f t="shared" si="94"/>
        <v>16</v>
      </c>
      <c r="G1479" s="4" cm="1">
        <f t="array" ref="G1479">IF($C1479+$M1479&lt;16,INDEX(Sheet1!C:C,$F1479),$F1479)</f>
        <v>16</v>
      </c>
      <c r="H1479" s="4" t="str" cm="1">
        <f t="array" ref="H1479">INDEX(Sheet1!D:D,$G1479)</f>
        <v>2001-cso-preferred-class-structure-mortality-tables.xls</v>
      </c>
      <c r="I1479" s="4" t="str" cm="1">
        <f t="array" ref="I1479">INDEX(Sheet1!E:E,$G1479)</f>
        <v>A.1.b.iv</v>
      </c>
      <c r="J1479" s="4" t="str" cm="1">
        <f t="array" ref="J1479">INDEX(Sheet1!F:F,$G1479)</f>
        <v>B8</v>
      </c>
      <c r="K1479" s="4" cm="1">
        <f t="array" ref="K1479">INDEX(Sheet1!H:H,$G1479)</f>
        <v>1E-3</v>
      </c>
      <c r="L1479" s="4">
        <f t="shared" si="92"/>
        <v>77</v>
      </c>
      <c r="M1479" s="4">
        <f t="shared" si="95"/>
        <v>5</v>
      </c>
    </row>
    <row r="1480" spans="1:13">
      <c r="A1480" s="4" t="str" cm="1">
        <f t="array" ref="A1480">INDEX(Sheet1!A:A,$F1480)</f>
        <v>F</v>
      </c>
      <c r="B1480" s="4" t="str" cm="1">
        <f t="array" ref="B1480">INDEX(Sheet1!B:B,$F1480)</f>
        <v>Pref SM</v>
      </c>
      <c r="C1480" s="4">
        <f t="shared" si="93"/>
        <v>78</v>
      </c>
      <c r="D1480" s="5" cm="1">
        <f t="array" aca="1" ref="D1480" ca="1">OFFSET(INDIRECT("'["&amp;$H1480&amp;"]"&amp;$I1480&amp;"'!"&amp;$J1480),$L1480,$M1480)*$K1480</f>
        <v>3.4500000000000003E-2</v>
      </c>
      <c r="F1480" s="4">
        <f t="shared" si="94"/>
        <v>16</v>
      </c>
      <c r="G1480" s="4" cm="1">
        <f t="array" ref="G1480">IF($C1480+$M1480&lt;16,INDEX(Sheet1!C:C,$F1480),$F1480)</f>
        <v>16</v>
      </c>
      <c r="H1480" s="4" t="str" cm="1">
        <f t="array" ref="H1480">INDEX(Sheet1!D:D,$G1480)</f>
        <v>2001-cso-preferred-class-structure-mortality-tables.xls</v>
      </c>
      <c r="I1480" s="4" t="str" cm="1">
        <f t="array" ref="I1480">INDEX(Sheet1!E:E,$G1480)</f>
        <v>A.1.b.iv</v>
      </c>
      <c r="J1480" s="4" t="str" cm="1">
        <f t="array" ref="J1480">INDEX(Sheet1!F:F,$G1480)</f>
        <v>B8</v>
      </c>
      <c r="K1480" s="4" cm="1">
        <f t="array" ref="K1480">INDEX(Sheet1!H:H,$G1480)</f>
        <v>1E-3</v>
      </c>
      <c r="L1480" s="4">
        <f t="shared" si="92"/>
        <v>78</v>
      </c>
      <c r="M1480" s="4">
        <f t="shared" si="95"/>
        <v>5</v>
      </c>
    </row>
    <row r="1481" spans="1:13">
      <c r="A1481" s="4" t="str" cm="1">
        <f t="array" ref="A1481">INDEX(Sheet1!A:A,$F1481)</f>
        <v>F</v>
      </c>
      <c r="B1481" s="4" t="str" cm="1">
        <f t="array" ref="B1481">INDEX(Sheet1!B:B,$F1481)</f>
        <v>Pref SM</v>
      </c>
      <c r="C1481" s="4">
        <f t="shared" si="93"/>
        <v>79</v>
      </c>
      <c r="D1481" s="5" cm="1">
        <f t="array" aca="1" ref="D1481" ca="1">OFFSET(INDIRECT("'["&amp;$H1481&amp;"]"&amp;$I1481&amp;"'!"&amp;$J1481),$L1481,$M1481)*$K1481</f>
        <v>3.875E-2</v>
      </c>
      <c r="F1481" s="4">
        <f t="shared" si="94"/>
        <v>16</v>
      </c>
      <c r="G1481" s="4" cm="1">
        <f t="array" ref="G1481">IF($C1481+$M1481&lt;16,INDEX(Sheet1!C:C,$F1481),$F1481)</f>
        <v>16</v>
      </c>
      <c r="H1481" s="4" t="str" cm="1">
        <f t="array" ref="H1481">INDEX(Sheet1!D:D,$G1481)</f>
        <v>2001-cso-preferred-class-structure-mortality-tables.xls</v>
      </c>
      <c r="I1481" s="4" t="str" cm="1">
        <f t="array" ref="I1481">INDEX(Sheet1!E:E,$G1481)</f>
        <v>A.1.b.iv</v>
      </c>
      <c r="J1481" s="4" t="str" cm="1">
        <f t="array" ref="J1481">INDEX(Sheet1!F:F,$G1481)</f>
        <v>B8</v>
      </c>
      <c r="K1481" s="4" cm="1">
        <f t="array" ref="K1481">INDEX(Sheet1!H:H,$G1481)</f>
        <v>1E-3</v>
      </c>
      <c r="L1481" s="4">
        <f t="shared" si="92"/>
        <v>79</v>
      </c>
      <c r="M1481" s="4">
        <f t="shared" si="95"/>
        <v>5</v>
      </c>
    </row>
    <row r="1482" spans="1:13">
      <c r="A1482" s="4" t="str" cm="1">
        <f t="array" ref="A1482">INDEX(Sheet1!A:A,$F1482)</f>
        <v>F</v>
      </c>
      <c r="B1482" s="4" t="str" cm="1">
        <f t="array" ref="B1482">INDEX(Sheet1!B:B,$F1482)</f>
        <v>Pref SM</v>
      </c>
      <c r="C1482" s="4">
        <f t="shared" si="93"/>
        <v>80</v>
      </c>
      <c r="D1482" s="5" cm="1">
        <f t="array" aca="1" ref="D1482" ca="1">OFFSET(INDIRECT("'["&amp;$H1482&amp;"]"&amp;$I1482&amp;"'!"&amp;$J1482),$L1482,$M1482)*$K1482</f>
        <v>4.3830000000000001E-2</v>
      </c>
      <c r="F1482" s="4">
        <f t="shared" si="94"/>
        <v>16</v>
      </c>
      <c r="G1482" s="4" cm="1">
        <f t="array" ref="G1482">IF($C1482+$M1482&lt;16,INDEX(Sheet1!C:C,$F1482),$F1482)</f>
        <v>16</v>
      </c>
      <c r="H1482" s="4" t="str" cm="1">
        <f t="array" ref="H1482">INDEX(Sheet1!D:D,$G1482)</f>
        <v>2001-cso-preferred-class-structure-mortality-tables.xls</v>
      </c>
      <c r="I1482" s="4" t="str" cm="1">
        <f t="array" ref="I1482">INDEX(Sheet1!E:E,$G1482)</f>
        <v>A.1.b.iv</v>
      </c>
      <c r="J1482" s="4" t="str" cm="1">
        <f t="array" ref="J1482">INDEX(Sheet1!F:F,$G1482)</f>
        <v>B8</v>
      </c>
      <c r="K1482" s="4" cm="1">
        <f t="array" ref="K1482">INDEX(Sheet1!H:H,$G1482)</f>
        <v>1E-3</v>
      </c>
      <c r="L1482" s="4">
        <f t="shared" si="92"/>
        <v>80</v>
      </c>
      <c r="M1482" s="4">
        <f t="shared" si="95"/>
        <v>5</v>
      </c>
    </row>
    <row r="1483" spans="1:13">
      <c r="A1483" s="4" t="str" cm="1">
        <f t="array" ref="A1483">INDEX(Sheet1!A:A,$F1483)</f>
        <v>F</v>
      </c>
      <c r="B1483" s="4" t="str" cm="1">
        <f t="array" ref="B1483">INDEX(Sheet1!B:B,$F1483)</f>
        <v>Pref SM</v>
      </c>
      <c r="C1483" s="4">
        <f t="shared" si="93"/>
        <v>81</v>
      </c>
      <c r="D1483" s="5" cm="1">
        <f t="array" aca="1" ref="D1483" ca="1">OFFSET(INDIRECT("'["&amp;$H1483&amp;"]"&amp;$I1483&amp;"'!"&amp;$J1483),$L1483,$M1483)*$K1483</f>
        <v>4.9790000000000001E-2</v>
      </c>
      <c r="F1483" s="4">
        <f t="shared" si="94"/>
        <v>16</v>
      </c>
      <c r="G1483" s="4" cm="1">
        <f t="array" ref="G1483">IF($C1483+$M1483&lt;16,INDEX(Sheet1!C:C,$F1483),$F1483)</f>
        <v>16</v>
      </c>
      <c r="H1483" s="4" t="str" cm="1">
        <f t="array" ref="H1483">INDEX(Sheet1!D:D,$G1483)</f>
        <v>2001-cso-preferred-class-structure-mortality-tables.xls</v>
      </c>
      <c r="I1483" s="4" t="str" cm="1">
        <f t="array" ref="I1483">INDEX(Sheet1!E:E,$G1483)</f>
        <v>A.1.b.iv</v>
      </c>
      <c r="J1483" s="4" t="str" cm="1">
        <f t="array" ref="J1483">INDEX(Sheet1!F:F,$G1483)</f>
        <v>B8</v>
      </c>
      <c r="K1483" s="4" cm="1">
        <f t="array" ref="K1483">INDEX(Sheet1!H:H,$G1483)</f>
        <v>1E-3</v>
      </c>
      <c r="L1483" s="4">
        <f t="shared" si="92"/>
        <v>81</v>
      </c>
      <c r="M1483" s="4">
        <f t="shared" si="95"/>
        <v>5</v>
      </c>
    </row>
    <row r="1484" spans="1:13">
      <c r="A1484" s="4" t="str" cm="1">
        <f t="array" ref="A1484">INDEX(Sheet1!A:A,$F1484)</f>
        <v>F</v>
      </c>
      <c r="B1484" s="4" t="str" cm="1">
        <f t="array" ref="B1484">INDEX(Sheet1!B:B,$F1484)</f>
        <v>Pref SM</v>
      </c>
      <c r="C1484" s="4">
        <f t="shared" si="93"/>
        <v>82</v>
      </c>
      <c r="D1484" s="5" cm="1">
        <f t="array" aca="1" ref="D1484" ca="1">OFFSET(INDIRECT("'["&amp;$H1484&amp;"]"&amp;$I1484&amp;"'!"&amp;$J1484),$L1484,$M1484)*$K1484</f>
        <v>5.6860000000000001E-2</v>
      </c>
      <c r="F1484" s="4">
        <f t="shared" si="94"/>
        <v>16</v>
      </c>
      <c r="G1484" s="4" cm="1">
        <f t="array" ref="G1484">IF($C1484+$M1484&lt;16,INDEX(Sheet1!C:C,$F1484),$F1484)</f>
        <v>16</v>
      </c>
      <c r="H1484" s="4" t="str" cm="1">
        <f t="array" ref="H1484">INDEX(Sheet1!D:D,$G1484)</f>
        <v>2001-cso-preferred-class-structure-mortality-tables.xls</v>
      </c>
      <c r="I1484" s="4" t="str" cm="1">
        <f t="array" ref="I1484">INDEX(Sheet1!E:E,$G1484)</f>
        <v>A.1.b.iv</v>
      </c>
      <c r="J1484" s="4" t="str" cm="1">
        <f t="array" ref="J1484">INDEX(Sheet1!F:F,$G1484)</f>
        <v>B8</v>
      </c>
      <c r="K1484" s="4" cm="1">
        <f t="array" ref="K1484">INDEX(Sheet1!H:H,$G1484)</f>
        <v>1E-3</v>
      </c>
      <c r="L1484" s="4">
        <f t="shared" si="92"/>
        <v>82</v>
      </c>
      <c r="M1484" s="4">
        <f t="shared" si="95"/>
        <v>5</v>
      </c>
    </row>
    <row r="1485" spans="1:13">
      <c r="A1485" s="4" t="str" cm="1">
        <f t="array" ref="A1485">INDEX(Sheet1!A:A,$F1485)</f>
        <v>F</v>
      </c>
      <c r="B1485" s="4" t="str" cm="1">
        <f t="array" ref="B1485">INDEX(Sheet1!B:B,$F1485)</f>
        <v>Pref SM</v>
      </c>
      <c r="C1485" s="4">
        <f t="shared" si="93"/>
        <v>83</v>
      </c>
      <c r="D1485" s="5" cm="1">
        <f t="array" aca="1" ref="D1485" ca="1">OFFSET(INDIRECT("'["&amp;$H1485&amp;"]"&amp;$I1485&amp;"'!"&amp;$J1485),$L1485,$M1485)*$K1485</f>
        <v>6.522E-2</v>
      </c>
      <c r="F1485" s="4">
        <f t="shared" si="94"/>
        <v>16</v>
      </c>
      <c r="G1485" s="4" cm="1">
        <f t="array" ref="G1485">IF($C1485+$M1485&lt;16,INDEX(Sheet1!C:C,$F1485),$F1485)</f>
        <v>16</v>
      </c>
      <c r="H1485" s="4" t="str" cm="1">
        <f t="array" ref="H1485">INDEX(Sheet1!D:D,$G1485)</f>
        <v>2001-cso-preferred-class-structure-mortality-tables.xls</v>
      </c>
      <c r="I1485" s="4" t="str" cm="1">
        <f t="array" ref="I1485">INDEX(Sheet1!E:E,$G1485)</f>
        <v>A.1.b.iv</v>
      </c>
      <c r="J1485" s="4" t="str" cm="1">
        <f t="array" ref="J1485">INDEX(Sheet1!F:F,$G1485)</f>
        <v>B8</v>
      </c>
      <c r="K1485" s="4" cm="1">
        <f t="array" ref="K1485">INDEX(Sheet1!H:H,$G1485)</f>
        <v>1E-3</v>
      </c>
      <c r="L1485" s="4">
        <f t="shared" si="92"/>
        <v>83</v>
      </c>
      <c r="M1485" s="4">
        <f t="shared" si="95"/>
        <v>5</v>
      </c>
    </row>
    <row r="1486" spans="1:13">
      <c r="A1486" s="4" t="str" cm="1">
        <f t="array" ref="A1486">INDEX(Sheet1!A:A,$F1486)</f>
        <v>F</v>
      </c>
      <c r="B1486" s="4" t="str" cm="1">
        <f t="array" ref="B1486">INDEX(Sheet1!B:B,$F1486)</f>
        <v>Pref SM</v>
      </c>
      <c r="C1486" s="4">
        <f t="shared" si="93"/>
        <v>84</v>
      </c>
      <c r="D1486" s="5" cm="1">
        <f t="array" aca="1" ref="D1486" ca="1">OFFSET(INDIRECT("'["&amp;$H1486&amp;"]"&amp;$I1486&amp;"'!"&amp;$J1486),$L1486,$M1486)*$K1486</f>
        <v>7.4990000000000001E-2</v>
      </c>
      <c r="F1486" s="4">
        <f t="shared" si="94"/>
        <v>16</v>
      </c>
      <c r="G1486" s="4" cm="1">
        <f t="array" ref="G1486">IF($C1486+$M1486&lt;16,INDEX(Sheet1!C:C,$F1486),$F1486)</f>
        <v>16</v>
      </c>
      <c r="H1486" s="4" t="str" cm="1">
        <f t="array" ref="H1486">INDEX(Sheet1!D:D,$G1486)</f>
        <v>2001-cso-preferred-class-structure-mortality-tables.xls</v>
      </c>
      <c r="I1486" s="4" t="str" cm="1">
        <f t="array" ref="I1486">INDEX(Sheet1!E:E,$G1486)</f>
        <v>A.1.b.iv</v>
      </c>
      <c r="J1486" s="4" t="str" cm="1">
        <f t="array" ref="J1486">INDEX(Sheet1!F:F,$G1486)</f>
        <v>B8</v>
      </c>
      <c r="K1486" s="4" cm="1">
        <f t="array" ref="K1486">INDEX(Sheet1!H:H,$G1486)</f>
        <v>1E-3</v>
      </c>
      <c r="L1486" s="4">
        <f t="shared" si="92"/>
        <v>84</v>
      </c>
      <c r="M1486" s="4">
        <f t="shared" si="95"/>
        <v>5</v>
      </c>
    </row>
    <row r="1487" spans="1:13">
      <c r="A1487" s="4" t="str" cm="1">
        <f t="array" ref="A1487">INDEX(Sheet1!A:A,$F1487)</f>
        <v>F</v>
      </c>
      <c r="B1487" s="4" t="str" cm="1">
        <f t="array" ref="B1487">INDEX(Sheet1!B:B,$F1487)</f>
        <v>Pref SM</v>
      </c>
      <c r="C1487" s="4">
        <f t="shared" si="93"/>
        <v>85</v>
      </c>
      <c r="D1487" s="5" cm="1">
        <f t="array" aca="1" ref="D1487" ca="1">OFFSET(INDIRECT("'["&amp;$H1487&amp;"]"&amp;$I1487&amp;"'!"&amp;$J1487),$L1487,$M1487)*$K1487</f>
        <v>8.6390000000000008E-2</v>
      </c>
      <c r="F1487" s="4">
        <f t="shared" si="94"/>
        <v>16</v>
      </c>
      <c r="G1487" s="4" cm="1">
        <f t="array" ref="G1487">IF($C1487+$M1487&lt;16,INDEX(Sheet1!C:C,$F1487),$F1487)</f>
        <v>16</v>
      </c>
      <c r="H1487" s="4" t="str" cm="1">
        <f t="array" ref="H1487">INDEX(Sheet1!D:D,$G1487)</f>
        <v>2001-cso-preferred-class-structure-mortality-tables.xls</v>
      </c>
      <c r="I1487" s="4" t="str" cm="1">
        <f t="array" ref="I1487">INDEX(Sheet1!E:E,$G1487)</f>
        <v>A.1.b.iv</v>
      </c>
      <c r="J1487" s="4" t="str" cm="1">
        <f t="array" ref="J1487">INDEX(Sheet1!F:F,$G1487)</f>
        <v>B8</v>
      </c>
      <c r="K1487" s="4" cm="1">
        <f t="array" ref="K1487">INDEX(Sheet1!H:H,$G1487)</f>
        <v>1E-3</v>
      </c>
      <c r="L1487" s="4">
        <f t="shared" si="92"/>
        <v>85</v>
      </c>
      <c r="M1487" s="4">
        <f t="shared" si="95"/>
        <v>5</v>
      </c>
    </row>
    <row r="1488" spans="1:13">
      <c r="A1488" s="4" t="str" cm="1">
        <f t="array" ref="A1488">INDEX(Sheet1!A:A,$F1488)</f>
        <v>F</v>
      </c>
      <c r="B1488" s="4" t="str" cm="1">
        <f t="array" ref="B1488">INDEX(Sheet1!B:B,$F1488)</f>
        <v>Pref SM</v>
      </c>
      <c r="C1488" s="4">
        <f t="shared" si="93"/>
        <v>86</v>
      </c>
      <c r="D1488" s="5" cm="1">
        <f t="array" aca="1" ref="D1488" ca="1">OFFSET(INDIRECT("'["&amp;$H1488&amp;"]"&amp;$I1488&amp;"'!"&amp;$J1488),$L1488,$M1488)*$K1488</f>
        <v>0.10101</v>
      </c>
      <c r="F1488" s="4">
        <f t="shared" si="94"/>
        <v>16</v>
      </c>
      <c r="G1488" s="4" cm="1">
        <f t="array" ref="G1488">IF($C1488+$M1488&lt;16,INDEX(Sheet1!C:C,$F1488),$F1488)</f>
        <v>16</v>
      </c>
      <c r="H1488" s="4" t="str" cm="1">
        <f t="array" ref="H1488">INDEX(Sheet1!D:D,$G1488)</f>
        <v>2001-cso-preferred-class-structure-mortality-tables.xls</v>
      </c>
      <c r="I1488" s="4" t="str" cm="1">
        <f t="array" ref="I1488">INDEX(Sheet1!E:E,$G1488)</f>
        <v>A.1.b.iv</v>
      </c>
      <c r="J1488" s="4" t="str" cm="1">
        <f t="array" ref="J1488">INDEX(Sheet1!F:F,$G1488)</f>
        <v>B8</v>
      </c>
      <c r="K1488" s="4" cm="1">
        <f t="array" ref="K1488">INDEX(Sheet1!H:H,$G1488)</f>
        <v>1E-3</v>
      </c>
      <c r="L1488" s="4">
        <f t="shared" si="92"/>
        <v>86</v>
      </c>
      <c r="M1488" s="4">
        <f t="shared" si="95"/>
        <v>5</v>
      </c>
    </row>
    <row r="1489" spans="1:13">
      <c r="A1489" s="4" t="str" cm="1">
        <f t="array" ref="A1489">INDEX(Sheet1!A:A,$F1489)</f>
        <v>F</v>
      </c>
      <c r="B1489" s="4" t="str" cm="1">
        <f t="array" ref="B1489">INDEX(Sheet1!B:B,$F1489)</f>
        <v>Pref SM</v>
      </c>
      <c r="C1489" s="4">
        <f t="shared" si="93"/>
        <v>87</v>
      </c>
      <c r="D1489" s="5" cm="1">
        <f t="array" aca="1" ref="D1489" ca="1">OFFSET(INDIRECT("'["&amp;$H1489&amp;"]"&amp;$I1489&amp;"'!"&amp;$J1489),$L1489,$M1489)*$K1489</f>
        <v>0.11624</v>
      </c>
      <c r="F1489" s="4">
        <f t="shared" si="94"/>
        <v>16</v>
      </c>
      <c r="G1489" s="4" cm="1">
        <f t="array" ref="G1489">IF($C1489+$M1489&lt;16,INDEX(Sheet1!C:C,$F1489),$F1489)</f>
        <v>16</v>
      </c>
      <c r="H1489" s="4" t="str" cm="1">
        <f t="array" ref="H1489">INDEX(Sheet1!D:D,$G1489)</f>
        <v>2001-cso-preferred-class-structure-mortality-tables.xls</v>
      </c>
      <c r="I1489" s="4" t="str" cm="1">
        <f t="array" ref="I1489">INDEX(Sheet1!E:E,$G1489)</f>
        <v>A.1.b.iv</v>
      </c>
      <c r="J1489" s="4" t="str" cm="1">
        <f t="array" ref="J1489">INDEX(Sheet1!F:F,$G1489)</f>
        <v>B8</v>
      </c>
      <c r="K1489" s="4" cm="1">
        <f t="array" ref="K1489">INDEX(Sheet1!H:H,$G1489)</f>
        <v>1E-3</v>
      </c>
      <c r="L1489" s="4">
        <f t="shared" si="92"/>
        <v>87</v>
      </c>
      <c r="M1489" s="4">
        <f t="shared" si="95"/>
        <v>5</v>
      </c>
    </row>
    <row r="1490" spans="1:13">
      <c r="A1490" s="4" t="str" cm="1">
        <f t="array" ref="A1490">INDEX(Sheet1!A:A,$F1490)</f>
        <v>F</v>
      </c>
      <c r="B1490" s="4" t="str" cm="1">
        <f t="array" ref="B1490">INDEX(Sheet1!B:B,$F1490)</f>
        <v>Pref SM</v>
      </c>
      <c r="C1490" s="4">
        <f t="shared" si="93"/>
        <v>88</v>
      </c>
      <c r="D1490" s="5" cm="1">
        <f t="array" aca="1" ref="D1490" ca="1">OFFSET(INDIRECT("'["&amp;$H1490&amp;"]"&amp;$I1490&amp;"'!"&amp;$J1490),$L1490,$M1490)*$K1490</f>
        <v>0.13366</v>
      </c>
      <c r="F1490" s="4">
        <f t="shared" si="94"/>
        <v>16</v>
      </c>
      <c r="G1490" s="4" cm="1">
        <f t="array" ref="G1490">IF($C1490+$M1490&lt;16,INDEX(Sheet1!C:C,$F1490),$F1490)</f>
        <v>16</v>
      </c>
      <c r="H1490" s="4" t="str" cm="1">
        <f t="array" ref="H1490">INDEX(Sheet1!D:D,$G1490)</f>
        <v>2001-cso-preferred-class-structure-mortality-tables.xls</v>
      </c>
      <c r="I1490" s="4" t="str" cm="1">
        <f t="array" ref="I1490">INDEX(Sheet1!E:E,$G1490)</f>
        <v>A.1.b.iv</v>
      </c>
      <c r="J1490" s="4" t="str" cm="1">
        <f t="array" ref="J1490">INDEX(Sheet1!F:F,$G1490)</f>
        <v>B8</v>
      </c>
      <c r="K1490" s="4" cm="1">
        <f t="array" ref="K1490">INDEX(Sheet1!H:H,$G1490)</f>
        <v>1E-3</v>
      </c>
      <c r="L1490" s="4">
        <f t="shared" si="92"/>
        <v>88</v>
      </c>
      <c r="M1490" s="4">
        <f t="shared" si="95"/>
        <v>5</v>
      </c>
    </row>
    <row r="1491" spans="1:13">
      <c r="A1491" s="4" t="str" cm="1">
        <f t="array" ref="A1491">INDEX(Sheet1!A:A,$F1491)</f>
        <v>F</v>
      </c>
      <c r="B1491" s="4" t="str" cm="1">
        <f t="array" ref="B1491">INDEX(Sheet1!B:B,$F1491)</f>
        <v>Pref SM</v>
      </c>
      <c r="C1491" s="4">
        <f t="shared" si="93"/>
        <v>89</v>
      </c>
      <c r="D1491" s="5" cm="1">
        <f t="array" aca="1" ref="D1491" ca="1">OFFSET(INDIRECT("'["&amp;$H1491&amp;"]"&amp;$I1491&amp;"'!"&amp;$J1491),$L1491,$M1491)*$K1491</f>
        <v>0.1535</v>
      </c>
      <c r="F1491" s="4">
        <f t="shared" si="94"/>
        <v>16</v>
      </c>
      <c r="G1491" s="4" cm="1">
        <f t="array" ref="G1491">IF($C1491+$M1491&lt;16,INDEX(Sheet1!C:C,$F1491),$F1491)</f>
        <v>16</v>
      </c>
      <c r="H1491" s="4" t="str" cm="1">
        <f t="array" ref="H1491">INDEX(Sheet1!D:D,$G1491)</f>
        <v>2001-cso-preferred-class-structure-mortality-tables.xls</v>
      </c>
      <c r="I1491" s="4" t="str" cm="1">
        <f t="array" ref="I1491">INDEX(Sheet1!E:E,$G1491)</f>
        <v>A.1.b.iv</v>
      </c>
      <c r="J1491" s="4" t="str" cm="1">
        <f t="array" ref="J1491">INDEX(Sheet1!F:F,$G1491)</f>
        <v>B8</v>
      </c>
      <c r="K1491" s="4" cm="1">
        <f t="array" ref="K1491">INDEX(Sheet1!H:H,$G1491)</f>
        <v>1E-3</v>
      </c>
      <c r="L1491" s="4">
        <f t="shared" si="92"/>
        <v>89</v>
      </c>
      <c r="M1491" s="4">
        <f t="shared" si="95"/>
        <v>5</v>
      </c>
    </row>
    <row r="1492" spans="1:13">
      <c r="A1492" s="4" t="str" cm="1">
        <f t="array" ref="A1492">INDEX(Sheet1!A:A,$F1492)</f>
        <v>F</v>
      </c>
      <c r="B1492" s="4" t="str" cm="1">
        <f t="array" ref="B1492">INDEX(Sheet1!B:B,$F1492)</f>
        <v>Pref SM</v>
      </c>
      <c r="C1492" s="4">
        <f t="shared" si="93"/>
        <v>90</v>
      </c>
      <c r="D1492" s="5" cm="1">
        <f t="array" aca="1" ref="D1492" ca="1">OFFSET(INDIRECT("'["&amp;$H1492&amp;"]"&amp;$I1492&amp;"'!"&amp;$J1492),$L1492,$M1492)*$K1492</f>
        <v>0.16871</v>
      </c>
      <c r="F1492" s="4">
        <f t="shared" si="94"/>
        <v>16</v>
      </c>
      <c r="G1492" s="4" cm="1">
        <f t="array" ref="G1492">IF($C1492+$M1492&lt;16,INDEX(Sheet1!C:C,$F1492),$F1492)</f>
        <v>16</v>
      </c>
      <c r="H1492" s="4" t="str" cm="1">
        <f t="array" ref="H1492">INDEX(Sheet1!D:D,$G1492)</f>
        <v>2001-cso-preferred-class-structure-mortality-tables.xls</v>
      </c>
      <c r="I1492" s="4" t="str" cm="1">
        <f t="array" ref="I1492">INDEX(Sheet1!E:E,$G1492)</f>
        <v>A.1.b.iv</v>
      </c>
      <c r="J1492" s="4" t="str" cm="1">
        <f t="array" ref="J1492">INDEX(Sheet1!F:F,$G1492)</f>
        <v>B8</v>
      </c>
      <c r="K1492" s="4" cm="1">
        <f t="array" ref="K1492">INDEX(Sheet1!H:H,$G1492)</f>
        <v>1E-3</v>
      </c>
      <c r="L1492" s="4">
        <f t="shared" si="92"/>
        <v>90</v>
      </c>
      <c r="M1492" s="4">
        <f t="shared" si="95"/>
        <v>5</v>
      </c>
    </row>
    <row r="1493" spans="1:13">
      <c r="A1493" s="4" t="str" cm="1">
        <f t="array" ref="A1493">INDEX(Sheet1!A:A,$F1493)</f>
        <v>F</v>
      </c>
      <c r="B1493" s="4" t="str" cm="1">
        <f t="array" ref="B1493">INDEX(Sheet1!B:B,$F1493)</f>
        <v>Pref SM</v>
      </c>
      <c r="C1493" s="4">
        <f t="shared" si="93"/>
        <v>91</v>
      </c>
      <c r="D1493" s="5" cm="1">
        <f t="array" aca="1" ref="D1493" ca="1">OFFSET(INDIRECT("'["&amp;$H1493&amp;"]"&amp;$I1493&amp;"'!"&amp;$J1493),$L1493,$M1493)*$K1493</f>
        <v>0.18296000000000001</v>
      </c>
      <c r="F1493" s="4">
        <f t="shared" si="94"/>
        <v>16</v>
      </c>
      <c r="G1493" s="4" cm="1">
        <f t="array" ref="G1493">IF($C1493+$M1493&lt;16,INDEX(Sheet1!C:C,$F1493),$F1493)</f>
        <v>16</v>
      </c>
      <c r="H1493" s="4" t="str" cm="1">
        <f t="array" ref="H1493">INDEX(Sheet1!D:D,$G1493)</f>
        <v>2001-cso-preferred-class-structure-mortality-tables.xls</v>
      </c>
      <c r="I1493" s="4" t="str" cm="1">
        <f t="array" ref="I1493">INDEX(Sheet1!E:E,$G1493)</f>
        <v>A.1.b.iv</v>
      </c>
      <c r="J1493" s="4" t="str" cm="1">
        <f t="array" ref="J1493">INDEX(Sheet1!F:F,$G1493)</f>
        <v>B8</v>
      </c>
      <c r="K1493" s="4" cm="1">
        <f t="array" ref="K1493">INDEX(Sheet1!H:H,$G1493)</f>
        <v>1E-3</v>
      </c>
      <c r="L1493" s="4">
        <f t="shared" si="92"/>
        <v>91</v>
      </c>
      <c r="M1493" s="4">
        <f t="shared" si="95"/>
        <v>5</v>
      </c>
    </row>
    <row r="1494" spans="1:13">
      <c r="A1494" s="4" t="str" cm="1">
        <f t="array" ref="A1494">INDEX(Sheet1!A:A,$F1494)</f>
        <v>F</v>
      </c>
      <c r="B1494" s="4" t="str" cm="1">
        <f t="array" ref="B1494">INDEX(Sheet1!B:B,$F1494)</f>
        <v>Pref SM</v>
      </c>
      <c r="C1494" s="4">
        <f t="shared" si="93"/>
        <v>92</v>
      </c>
      <c r="D1494" s="5" cm="1">
        <f t="array" aca="1" ref="D1494" ca="1">OFFSET(INDIRECT("'["&amp;$H1494&amp;"]"&amp;$I1494&amp;"'!"&amp;$J1494),$L1494,$M1494)*$K1494</f>
        <v>0.19916999999999999</v>
      </c>
      <c r="F1494" s="4">
        <f t="shared" si="94"/>
        <v>16</v>
      </c>
      <c r="G1494" s="4" cm="1">
        <f t="array" ref="G1494">IF($C1494+$M1494&lt;16,INDEX(Sheet1!C:C,$F1494),$F1494)</f>
        <v>16</v>
      </c>
      <c r="H1494" s="4" t="str" cm="1">
        <f t="array" ref="H1494">INDEX(Sheet1!D:D,$G1494)</f>
        <v>2001-cso-preferred-class-structure-mortality-tables.xls</v>
      </c>
      <c r="I1494" s="4" t="str" cm="1">
        <f t="array" ref="I1494">INDEX(Sheet1!E:E,$G1494)</f>
        <v>A.1.b.iv</v>
      </c>
      <c r="J1494" s="4" t="str" cm="1">
        <f t="array" ref="J1494">INDEX(Sheet1!F:F,$G1494)</f>
        <v>B8</v>
      </c>
      <c r="K1494" s="4" cm="1">
        <f t="array" ref="K1494">INDEX(Sheet1!H:H,$G1494)</f>
        <v>1E-3</v>
      </c>
      <c r="L1494" s="4">
        <f t="shared" si="92"/>
        <v>92</v>
      </c>
      <c r="M1494" s="4">
        <f t="shared" si="95"/>
        <v>5</v>
      </c>
    </row>
    <row r="1495" spans="1:13">
      <c r="A1495" s="4" t="str" cm="1">
        <f t="array" ref="A1495">INDEX(Sheet1!A:A,$F1495)</f>
        <v>F</v>
      </c>
      <c r="B1495" s="4" t="str" cm="1">
        <f t="array" ref="B1495">INDEX(Sheet1!B:B,$F1495)</f>
        <v>Pref SM</v>
      </c>
      <c r="C1495" s="4">
        <f t="shared" si="93"/>
        <v>93</v>
      </c>
      <c r="D1495" s="5" cm="1">
        <f t="array" aca="1" ref="D1495" ca="1">OFFSET(INDIRECT("'["&amp;$H1495&amp;"]"&amp;$I1495&amp;"'!"&amp;$J1495),$L1495,$M1495)*$K1495</f>
        <v>0.21432000000000001</v>
      </c>
      <c r="F1495" s="4">
        <f t="shared" si="94"/>
        <v>16</v>
      </c>
      <c r="G1495" s="4" cm="1">
        <f t="array" ref="G1495">IF($C1495+$M1495&lt;16,INDEX(Sheet1!C:C,$F1495),$F1495)</f>
        <v>16</v>
      </c>
      <c r="H1495" s="4" t="str" cm="1">
        <f t="array" ref="H1495">INDEX(Sheet1!D:D,$G1495)</f>
        <v>2001-cso-preferred-class-structure-mortality-tables.xls</v>
      </c>
      <c r="I1495" s="4" t="str" cm="1">
        <f t="array" ref="I1495">INDEX(Sheet1!E:E,$G1495)</f>
        <v>A.1.b.iv</v>
      </c>
      <c r="J1495" s="4" t="str" cm="1">
        <f t="array" ref="J1495">INDEX(Sheet1!F:F,$G1495)</f>
        <v>B8</v>
      </c>
      <c r="K1495" s="4" cm="1">
        <f t="array" ref="K1495">INDEX(Sheet1!H:H,$G1495)</f>
        <v>1E-3</v>
      </c>
      <c r="L1495" s="4">
        <f t="shared" si="92"/>
        <v>93</v>
      </c>
      <c r="M1495" s="4">
        <f t="shared" si="95"/>
        <v>5</v>
      </c>
    </row>
    <row r="1496" spans="1:13">
      <c r="A1496" s="4" t="str" cm="1">
        <f t="array" ref="A1496">INDEX(Sheet1!A:A,$F1496)</f>
        <v>F</v>
      </c>
      <c r="B1496" s="4" t="str" cm="1">
        <f t="array" ref="B1496">INDEX(Sheet1!B:B,$F1496)</f>
        <v>Pref SM</v>
      </c>
      <c r="C1496" s="4">
        <f t="shared" si="93"/>
        <v>94</v>
      </c>
      <c r="D1496" s="5" cm="1">
        <f t="array" aca="1" ref="D1496" ca="1">OFFSET(INDIRECT("'["&amp;$H1496&amp;"]"&amp;$I1496&amp;"'!"&amp;$J1496),$L1496,$M1496)*$K1496</f>
        <v>0.22990000000000002</v>
      </c>
      <c r="F1496" s="4">
        <f t="shared" si="94"/>
        <v>16</v>
      </c>
      <c r="G1496" s="4" cm="1">
        <f t="array" ref="G1496">IF($C1496+$M1496&lt;16,INDEX(Sheet1!C:C,$F1496),$F1496)</f>
        <v>16</v>
      </c>
      <c r="H1496" s="4" t="str" cm="1">
        <f t="array" ref="H1496">INDEX(Sheet1!D:D,$G1496)</f>
        <v>2001-cso-preferred-class-structure-mortality-tables.xls</v>
      </c>
      <c r="I1496" s="4" t="str" cm="1">
        <f t="array" ref="I1496">INDEX(Sheet1!E:E,$G1496)</f>
        <v>A.1.b.iv</v>
      </c>
      <c r="J1496" s="4" t="str" cm="1">
        <f t="array" ref="J1496">INDEX(Sheet1!F:F,$G1496)</f>
        <v>B8</v>
      </c>
      <c r="K1496" s="4" cm="1">
        <f t="array" ref="K1496">INDEX(Sheet1!H:H,$G1496)</f>
        <v>1E-3</v>
      </c>
      <c r="L1496" s="4">
        <f t="shared" si="92"/>
        <v>94</v>
      </c>
      <c r="M1496" s="4">
        <f t="shared" si="95"/>
        <v>5</v>
      </c>
    </row>
    <row r="1497" spans="1:13">
      <c r="A1497" s="4" t="str" cm="1">
        <f t="array" ref="A1497">INDEX(Sheet1!A:A,$F1497)</f>
        <v>F</v>
      </c>
      <c r="B1497" s="4" t="str" cm="1">
        <f t="array" ref="B1497">INDEX(Sheet1!B:B,$F1497)</f>
        <v>Pref SM</v>
      </c>
      <c r="C1497" s="4">
        <f t="shared" si="93"/>
        <v>95</v>
      </c>
      <c r="D1497" s="5" cm="1">
        <f t="array" aca="1" ref="D1497" ca="1">OFFSET(INDIRECT("'["&amp;$H1497&amp;"]"&amp;$I1497&amp;"'!"&amp;$J1497),$L1497,$M1497)*$K1497</f>
        <v>0.24596000000000001</v>
      </c>
      <c r="F1497" s="4">
        <f t="shared" si="94"/>
        <v>16</v>
      </c>
      <c r="G1497" s="4" cm="1">
        <f t="array" ref="G1497">IF($C1497+$M1497&lt;16,INDEX(Sheet1!C:C,$F1497),$F1497)</f>
        <v>16</v>
      </c>
      <c r="H1497" s="4" t="str" cm="1">
        <f t="array" ref="H1497">INDEX(Sheet1!D:D,$G1497)</f>
        <v>2001-cso-preferred-class-structure-mortality-tables.xls</v>
      </c>
      <c r="I1497" s="4" t="str" cm="1">
        <f t="array" ref="I1497">INDEX(Sheet1!E:E,$G1497)</f>
        <v>A.1.b.iv</v>
      </c>
      <c r="J1497" s="4" t="str" cm="1">
        <f t="array" ref="J1497">INDEX(Sheet1!F:F,$G1497)</f>
        <v>B8</v>
      </c>
      <c r="K1497" s="4" cm="1">
        <f t="array" ref="K1497">INDEX(Sheet1!H:H,$G1497)</f>
        <v>1E-3</v>
      </c>
      <c r="L1497" s="4">
        <f t="shared" si="92"/>
        <v>95</v>
      </c>
      <c r="M1497" s="4">
        <f t="shared" si="95"/>
        <v>5</v>
      </c>
    </row>
    <row r="1498" spans="1:13">
      <c r="A1498" s="4" t="str" cm="1">
        <f t="array" ref="A1498">INDEX(Sheet1!A:A,$F1498)</f>
        <v>F</v>
      </c>
      <c r="B1498" s="4" t="str" cm="1">
        <f t="array" ref="B1498">INDEX(Sheet1!B:B,$F1498)</f>
        <v>Pref SM</v>
      </c>
      <c r="C1498" s="4">
        <f t="shared" si="93"/>
        <v>96</v>
      </c>
      <c r="D1498" s="5" cm="1">
        <f t="array" aca="1" ref="D1498" ca="1">OFFSET(INDIRECT("'["&amp;$H1498&amp;"]"&amp;$I1498&amp;"'!"&amp;$J1498),$L1498,$M1498)*$K1498</f>
        <v>0.26418000000000003</v>
      </c>
      <c r="F1498" s="4">
        <f t="shared" si="94"/>
        <v>16</v>
      </c>
      <c r="G1498" s="4" cm="1">
        <f t="array" ref="G1498">IF($C1498+$M1498&lt;16,INDEX(Sheet1!C:C,$F1498),$F1498)</f>
        <v>16</v>
      </c>
      <c r="H1498" s="4" t="str" cm="1">
        <f t="array" ref="H1498">INDEX(Sheet1!D:D,$G1498)</f>
        <v>2001-cso-preferred-class-structure-mortality-tables.xls</v>
      </c>
      <c r="I1498" s="4" t="str" cm="1">
        <f t="array" ref="I1498">INDEX(Sheet1!E:E,$G1498)</f>
        <v>A.1.b.iv</v>
      </c>
      <c r="J1498" s="4" t="str" cm="1">
        <f t="array" ref="J1498">INDEX(Sheet1!F:F,$G1498)</f>
        <v>B8</v>
      </c>
      <c r="K1498" s="4" cm="1">
        <f t="array" ref="K1498">INDEX(Sheet1!H:H,$G1498)</f>
        <v>1E-3</v>
      </c>
      <c r="L1498" s="4">
        <f t="shared" si="92"/>
        <v>96</v>
      </c>
      <c r="M1498" s="4">
        <f t="shared" si="95"/>
        <v>5</v>
      </c>
    </row>
    <row r="1499" spans="1:13">
      <c r="A1499" s="4" t="str" cm="1">
        <f t="array" ref="A1499">INDEX(Sheet1!A:A,$F1499)</f>
        <v>F</v>
      </c>
      <c r="B1499" s="4" t="str" cm="1">
        <f t="array" ref="B1499">INDEX(Sheet1!B:B,$F1499)</f>
        <v>Pref SM</v>
      </c>
      <c r="C1499" s="4">
        <f t="shared" si="93"/>
        <v>97</v>
      </c>
      <c r="D1499" s="5" cm="1">
        <f t="array" aca="1" ref="D1499" ca="1">OFFSET(INDIRECT("'["&amp;$H1499&amp;"]"&amp;$I1499&amp;"'!"&amp;$J1499),$L1499,$M1499)*$K1499</f>
        <v>0.2772</v>
      </c>
      <c r="F1499" s="4">
        <f t="shared" si="94"/>
        <v>16</v>
      </c>
      <c r="G1499" s="4" cm="1">
        <f t="array" ref="G1499">IF($C1499+$M1499&lt;16,INDEX(Sheet1!C:C,$F1499),$F1499)</f>
        <v>16</v>
      </c>
      <c r="H1499" s="4" t="str" cm="1">
        <f t="array" ref="H1499">INDEX(Sheet1!D:D,$G1499)</f>
        <v>2001-cso-preferred-class-structure-mortality-tables.xls</v>
      </c>
      <c r="I1499" s="4" t="str" cm="1">
        <f t="array" ref="I1499">INDEX(Sheet1!E:E,$G1499)</f>
        <v>A.1.b.iv</v>
      </c>
      <c r="J1499" s="4" t="str" cm="1">
        <f t="array" ref="J1499">INDEX(Sheet1!F:F,$G1499)</f>
        <v>B8</v>
      </c>
      <c r="K1499" s="4" cm="1">
        <f t="array" ref="K1499">INDEX(Sheet1!H:H,$G1499)</f>
        <v>1E-3</v>
      </c>
      <c r="L1499" s="4">
        <f t="shared" si="92"/>
        <v>97</v>
      </c>
      <c r="M1499" s="4">
        <f t="shared" si="95"/>
        <v>5</v>
      </c>
    </row>
    <row r="1500" spans="1:13">
      <c r="A1500" s="4" t="str" cm="1">
        <f t="array" ref="A1500">INDEX(Sheet1!A:A,$F1500)</f>
        <v>F</v>
      </c>
      <c r="B1500" s="4" t="str" cm="1">
        <f t="array" ref="B1500">INDEX(Sheet1!B:B,$F1500)</f>
        <v>Pref SM</v>
      </c>
      <c r="C1500" s="4">
        <f t="shared" si="93"/>
        <v>98</v>
      </c>
      <c r="D1500" s="5" cm="1">
        <f t="array" aca="1" ref="D1500" ca="1">OFFSET(INDIRECT("'["&amp;$H1500&amp;"]"&amp;$I1500&amp;"'!"&amp;$J1500),$L1500,$M1500)*$K1500</f>
        <v>0.29066000000000003</v>
      </c>
      <c r="F1500" s="4">
        <f t="shared" si="94"/>
        <v>16</v>
      </c>
      <c r="G1500" s="4" cm="1">
        <f t="array" ref="G1500">IF($C1500+$M1500&lt;16,INDEX(Sheet1!C:C,$F1500),$F1500)</f>
        <v>16</v>
      </c>
      <c r="H1500" s="4" t="str" cm="1">
        <f t="array" ref="H1500">INDEX(Sheet1!D:D,$G1500)</f>
        <v>2001-cso-preferred-class-structure-mortality-tables.xls</v>
      </c>
      <c r="I1500" s="4" t="str" cm="1">
        <f t="array" ref="I1500">INDEX(Sheet1!E:E,$G1500)</f>
        <v>A.1.b.iv</v>
      </c>
      <c r="J1500" s="4" t="str" cm="1">
        <f t="array" ref="J1500">INDEX(Sheet1!F:F,$G1500)</f>
        <v>B8</v>
      </c>
      <c r="K1500" s="4" cm="1">
        <f t="array" ref="K1500">INDEX(Sheet1!H:H,$G1500)</f>
        <v>1E-3</v>
      </c>
      <c r="L1500" s="4">
        <f t="shared" si="92"/>
        <v>98</v>
      </c>
      <c r="M1500" s="4">
        <f t="shared" si="95"/>
        <v>5</v>
      </c>
    </row>
    <row r="1501" spans="1:13">
      <c r="A1501" s="4" t="str" cm="1">
        <f t="array" ref="A1501">INDEX(Sheet1!A:A,$F1501)</f>
        <v>F</v>
      </c>
      <c r="B1501" s="4" t="str" cm="1">
        <f t="array" ref="B1501">INDEX(Sheet1!B:B,$F1501)</f>
        <v>Pref SM</v>
      </c>
      <c r="C1501" s="4">
        <f t="shared" si="93"/>
        <v>99</v>
      </c>
      <c r="D1501" s="5" cm="1">
        <f t="array" aca="1" ref="D1501" ca="1">OFFSET(INDIRECT("'["&amp;$H1501&amp;"]"&amp;$I1501&amp;"'!"&amp;$J1501),$L1501,$M1501)*$K1501</f>
        <v>0.30458999999999997</v>
      </c>
      <c r="F1501" s="4">
        <f t="shared" si="94"/>
        <v>16</v>
      </c>
      <c r="G1501" s="4" cm="1">
        <f t="array" ref="G1501">IF($C1501+$M1501&lt;16,INDEX(Sheet1!C:C,$F1501),$F1501)</f>
        <v>16</v>
      </c>
      <c r="H1501" s="4" t="str" cm="1">
        <f t="array" ref="H1501">INDEX(Sheet1!D:D,$G1501)</f>
        <v>2001-cso-preferred-class-structure-mortality-tables.xls</v>
      </c>
      <c r="I1501" s="4" t="str" cm="1">
        <f t="array" ref="I1501">INDEX(Sheet1!E:E,$G1501)</f>
        <v>A.1.b.iv</v>
      </c>
      <c r="J1501" s="4" t="str" cm="1">
        <f t="array" ref="J1501">INDEX(Sheet1!F:F,$G1501)</f>
        <v>B8</v>
      </c>
      <c r="K1501" s="4" cm="1">
        <f t="array" ref="K1501">INDEX(Sheet1!H:H,$G1501)</f>
        <v>1E-3</v>
      </c>
      <c r="L1501" s="4">
        <f t="shared" si="92"/>
        <v>99</v>
      </c>
      <c r="M1501" s="4">
        <f t="shared" si="95"/>
        <v>5</v>
      </c>
    </row>
    <row r="1502" spans="1:13">
      <c r="A1502" s="4" t="str" cm="1">
        <f t="array" ref="A1502">INDEX(Sheet1!A:A,$F1502)</f>
        <v>F</v>
      </c>
      <c r="B1502" s="4" t="str" cm="1">
        <f t="array" ref="B1502">INDEX(Sheet1!B:B,$F1502)</f>
        <v>Non-Pref SM</v>
      </c>
      <c r="C1502" s="4">
        <f t="shared" si="93"/>
        <v>0</v>
      </c>
      <c r="D1502" s="5" cm="1">
        <f t="array" aca="1" ref="D1502" ca="1">OFFSET(INDIRECT("'["&amp;$H1502&amp;"]"&amp;$I1502&amp;"'!"&amp;$J1502),$L1502,$M1502)*$K1502</f>
        <v>1.8000000000000001E-4</v>
      </c>
      <c r="F1502" s="4">
        <f t="shared" si="94"/>
        <v>17</v>
      </c>
      <c r="G1502" s="4" cm="1">
        <f t="array" ref="G1502">IF($C1502+$M1502&lt;16,INDEX(Sheet1!C:C,$F1502),$F1502)</f>
        <v>19</v>
      </c>
      <c r="H1502" s="4" t="str" cm="1">
        <f t="array" ref="H1502">INDEX(Sheet1!D:D,$G1502)</f>
        <v>t1139.xlsx</v>
      </c>
      <c r="I1502" s="4" t="str" cm="1">
        <f t="array" ref="I1502">INDEX(Sheet1!E:E,$G1502)</f>
        <v>Sheet1</v>
      </c>
      <c r="J1502" s="4" t="str" cm="1">
        <f t="array" ref="J1502">INDEX(Sheet1!F:F,$G1502)</f>
        <v>B25</v>
      </c>
      <c r="K1502" s="4" cm="1">
        <f t="array" ref="K1502">INDEX(Sheet1!H:H,$G1502)</f>
        <v>1</v>
      </c>
      <c r="L1502" s="4">
        <f t="shared" si="92"/>
        <v>0</v>
      </c>
      <c r="M1502" s="4">
        <f t="shared" si="95"/>
        <v>5</v>
      </c>
    </row>
    <row r="1503" spans="1:13">
      <c r="A1503" s="4" t="str" cm="1">
        <f t="array" ref="A1503">INDEX(Sheet1!A:A,$F1503)</f>
        <v>F</v>
      </c>
      <c r="B1503" s="4" t="str" cm="1">
        <f t="array" ref="B1503">INDEX(Sheet1!B:B,$F1503)</f>
        <v>Non-Pref SM</v>
      </c>
      <c r="C1503" s="4">
        <f t="shared" si="93"/>
        <v>1</v>
      </c>
      <c r="D1503" s="5" cm="1">
        <f t="array" aca="1" ref="D1503" ca="1">OFFSET(INDIRECT("'["&amp;$H1503&amp;"]"&amp;$I1503&amp;"'!"&amp;$J1503),$L1503,$M1503)*$K1503</f>
        <v>1.8000000000000001E-4</v>
      </c>
      <c r="F1503" s="4">
        <f t="shared" si="94"/>
        <v>17</v>
      </c>
      <c r="G1503" s="4" cm="1">
        <f t="array" ref="G1503">IF($C1503+$M1503&lt;16,INDEX(Sheet1!C:C,$F1503),$F1503)</f>
        <v>19</v>
      </c>
      <c r="H1503" s="4" t="str" cm="1">
        <f t="array" ref="H1503">INDEX(Sheet1!D:D,$G1503)</f>
        <v>t1139.xlsx</v>
      </c>
      <c r="I1503" s="4" t="str" cm="1">
        <f t="array" ref="I1503">INDEX(Sheet1!E:E,$G1503)</f>
        <v>Sheet1</v>
      </c>
      <c r="J1503" s="4" t="str" cm="1">
        <f t="array" ref="J1503">INDEX(Sheet1!F:F,$G1503)</f>
        <v>B25</v>
      </c>
      <c r="K1503" s="4" cm="1">
        <f t="array" ref="K1503">INDEX(Sheet1!H:H,$G1503)</f>
        <v>1</v>
      </c>
      <c r="L1503" s="4">
        <f t="shared" si="92"/>
        <v>1</v>
      </c>
      <c r="M1503" s="4">
        <f t="shared" si="95"/>
        <v>5</v>
      </c>
    </row>
    <row r="1504" spans="1:13">
      <c r="A1504" s="4" t="str" cm="1">
        <f t="array" ref="A1504">INDEX(Sheet1!A:A,$F1504)</f>
        <v>F</v>
      </c>
      <c r="B1504" s="4" t="str" cm="1">
        <f t="array" ref="B1504">INDEX(Sheet1!B:B,$F1504)</f>
        <v>Non-Pref SM</v>
      </c>
      <c r="C1504" s="4">
        <f t="shared" si="93"/>
        <v>2</v>
      </c>
      <c r="D1504" s="5" cm="1">
        <f t="array" aca="1" ref="D1504" ca="1">OFFSET(INDIRECT("'["&amp;$H1504&amp;"]"&amp;$I1504&amp;"'!"&amp;$J1504),$L1504,$M1504)*$K1504</f>
        <v>1.8000000000000001E-4</v>
      </c>
      <c r="F1504" s="4">
        <f t="shared" si="94"/>
        <v>17</v>
      </c>
      <c r="G1504" s="4" cm="1">
        <f t="array" ref="G1504">IF($C1504+$M1504&lt;16,INDEX(Sheet1!C:C,$F1504),$F1504)</f>
        <v>19</v>
      </c>
      <c r="H1504" s="4" t="str" cm="1">
        <f t="array" ref="H1504">INDEX(Sheet1!D:D,$G1504)</f>
        <v>t1139.xlsx</v>
      </c>
      <c r="I1504" s="4" t="str" cm="1">
        <f t="array" ref="I1504">INDEX(Sheet1!E:E,$G1504)</f>
        <v>Sheet1</v>
      </c>
      <c r="J1504" s="4" t="str" cm="1">
        <f t="array" ref="J1504">INDEX(Sheet1!F:F,$G1504)</f>
        <v>B25</v>
      </c>
      <c r="K1504" s="4" cm="1">
        <f t="array" ref="K1504">INDEX(Sheet1!H:H,$G1504)</f>
        <v>1</v>
      </c>
      <c r="L1504" s="4">
        <f t="shared" si="92"/>
        <v>2</v>
      </c>
      <c r="M1504" s="4">
        <f t="shared" si="95"/>
        <v>5</v>
      </c>
    </row>
    <row r="1505" spans="1:13">
      <c r="A1505" s="4" t="str" cm="1">
        <f t="array" ref="A1505">INDEX(Sheet1!A:A,$F1505)</f>
        <v>F</v>
      </c>
      <c r="B1505" s="4" t="str" cm="1">
        <f t="array" ref="B1505">INDEX(Sheet1!B:B,$F1505)</f>
        <v>Non-Pref SM</v>
      </c>
      <c r="C1505" s="4">
        <f t="shared" si="93"/>
        <v>3</v>
      </c>
      <c r="D1505" s="5" cm="1">
        <f t="array" aca="1" ref="D1505" ca="1">OFFSET(INDIRECT("'["&amp;$H1505&amp;"]"&amp;$I1505&amp;"'!"&amp;$J1505),$L1505,$M1505)*$K1505</f>
        <v>1.9000000000000001E-4</v>
      </c>
      <c r="F1505" s="4">
        <f t="shared" si="94"/>
        <v>17</v>
      </c>
      <c r="G1505" s="4" cm="1">
        <f t="array" ref="G1505">IF($C1505+$M1505&lt;16,INDEX(Sheet1!C:C,$F1505),$F1505)</f>
        <v>19</v>
      </c>
      <c r="H1505" s="4" t="str" cm="1">
        <f t="array" ref="H1505">INDEX(Sheet1!D:D,$G1505)</f>
        <v>t1139.xlsx</v>
      </c>
      <c r="I1505" s="4" t="str" cm="1">
        <f t="array" ref="I1505">INDEX(Sheet1!E:E,$G1505)</f>
        <v>Sheet1</v>
      </c>
      <c r="J1505" s="4" t="str" cm="1">
        <f t="array" ref="J1505">INDEX(Sheet1!F:F,$G1505)</f>
        <v>B25</v>
      </c>
      <c r="K1505" s="4" cm="1">
        <f t="array" ref="K1505">INDEX(Sheet1!H:H,$G1505)</f>
        <v>1</v>
      </c>
      <c r="L1505" s="4">
        <f t="shared" si="92"/>
        <v>3</v>
      </c>
      <c r="M1505" s="4">
        <f t="shared" si="95"/>
        <v>5</v>
      </c>
    </row>
    <row r="1506" spans="1:13">
      <c r="A1506" s="4" t="str" cm="1">
        <f t="array" ref="A1506">INDEX(Sheet1!A:A,$F1506)</f>
        <v>F</v>
      </c>
      <c r="B1506" s="4" t="str" cm="1">
        <f t="array" ref="B1506">INDEX(Sheet1!B:B,$F1506)</f>
        <v>Non-Pref SM</v>
      </c>
      <c r="C1506" s="4">
        <f t="shared" si="93"/>
        <v>4</v>
      </c>
      <c r="D1506" s="5" cm="1">
        <f t="array" aca="1" ref="D1506" ca="1">OFFSET(INDIRECT("'["&amp;$H1506&amp;"]"&amp;$I1506&amp;"'!"&amp;$J1506),$L1506,$M1506)*$K1506</f>
        <v>1.9000000000000001E-4</v>
      </c>
      <c r="F1506" s="4">
        <f t="shared" si="94"/>
        <v>17</v>
      </c>
      <c r="G1506" s="4" cm="1">
        <f t="array" ref="G1506">IF($C1506+$M1506&lt;16,INDEX(Sheet1!C:C,$F1506),$F1506)</f>
        <v>19</v>
      </c>
      <c r="H1506" s="4" t="str" cm="1">
        <f t="array" ref="H1506">INDEX(Sheet1!D:D,$G1506)</f>
        <v>t1139.xlsx</v>
      </c>
      <c r="I1506" s="4" t="str" cm="1">
        <f t="array" ref="I1506">INDEX(Sheet1!E:E,$G1506)</f>
        <v>Sheet1</v>
      </c>
      <c r="J1506" s="4" t="str" cm="1">
        <f t="array" ref="J1506">INDEX(Sheet1!F:F,$G1506)</f>
        <v>B25</v>
      </c>
      <c r="K1506" s="4" cm="1">
        <f t="array" ref="K1506">INDEX(Sheet1!H:H,$G1506)</f>
        <v>1</v>
      </c>
      <c r="L1506" s="4">
        <f t="shared" si="92"/>
        <v>4</v>
      </c>
      <c r="M1506" s="4">
        <f t="shared" si="95"/>
        <v>5</v>
      </c>
    </row>
    <row r="1507" spans="1:13">
      <c r="A1507" s="4" t="str" cm="1">
        <f t="array" ref="A1507">INDEX(Sheet1!A:A,$F1507)</f>
        <v>F</v>
      </c>
      <c r="B1507" s="4" t="str" cm="1">
        <f t="array" ref="B1507">INDEX(Sheet1!B:B,$F1507)</f>
        <v>Non-Pref SM</v>
      </c>
      <c r="C1507" s="4">
        <f t="shared" si="93"/>
        <v>5</v>
      </c>
      <c r="D1507" s="5" cm="1">
        <f t="array" aca="1" ref="D1507" ca="1">OFFSET(INDIRECT("'["&amp;$H1507&amp;"]"&amp;$I1507&amp;"'!"&amp;$J1507),$L1507,$M1507)*$K1507</f>
        <v>1.9000000000000001E-4</v>
      </c>
      <c r="F1507" s="4">
        <f t="shared" si="94"/>
        <v>17</v>
      </c>
      <c r="G1507" s="4" cm="1">
        <f t="array" ref="G1507">IF($C1507+$M1507&lt;16,INDEX(Sheet1!C:C,$F1507),$F1507)</f>
        <v>19</v>
      </c>
      <c r="H1507" s="4" t="str" cm="1">
        <f t="array" ref="H1507">INDEX(Sheet1!D:D,$G1507)</f>
        <v>t1139.xlsx</v>
      </c>
      <c r="I1507" s="4" t="str" cm="1">
        <f t="array" ref="I1507">INDEX(Sheet1!E:E,$G1507)</f>
        <v>Sheet1</v>
      </c>
      <c r="J1507" s="4" t="str" cm="1">
        <f t="array" ref="J1507">INDEX(Sheet1!F:F,$G1507)</f>
        <v>B25</v>
      </c>
      <c r="K1507" s="4" cm="1">
        <f t="array" ref="K1507">INDEX(Sheet1!H:H,$G1507)</f>
        <v>1</v>
      </c>
      <c r="L1507" s="4">
        <f t="shared" si="92"/>
        <v>5</v>
      </c>
      <c r="M1507" s="4">
        <f t="shared" si="95"/>
        <v>5</v>
      </c>
    </row>
    <row r="1508" spans="1:13">
      <c r="A1508" s="4" t="str" cm="1">
        <f t="array" ref="A1508">INDEX(Sheet1!A:A,$F1508)</f>
        <v>F</v>
      </c>
      <c r="B1508" s="4" t="str" cm="1">
        <f t="array" ref="B1508">INDEX(Sheet1!B:B,$F1508)</f>
        <v>Non-Pref SM</v>
      </c>
      <c r="C1508" s="4">
        <f t="shared" si="93"/>
        <v>6</v>
      </c>
      <c r="D1508" s="5" cm="1">
        <f t="array" aca="1" ref="D1508" ca="1">OFFSET(INDIRECT("'["&amp;$H1508&amp;"]"&amp;$I1508&amp;"'!"&amp;$J1508),$L1508,$M1508)*$K1508</f>
        <v>2.0000000000000001E-4</v>
      </c>
      <c r="F1508" s="4">
        <f t="shared" si="94"/>
        <v>17</v>
      </c>
      <c r="G1508" s="4" cm="1">
        <f t="array" ref="G1508">IF($C1508+$M1508&lt;16,INDEX(Sheet1!C:C,$F1508),$F1508)</f>
        <v>19</v>
      </c>
      <c r="H1508" s="4" t="str" cm="1">
        <f t="array" ref="H1508">INDEX(Sheet1!D:D,$G1508)</f>
        <v>t1139.xlsx</v>
      </c>
      <c r="I1508" s="4" t="str" cm="1">
        <f t="array" ref="I1508">INDEX(Sheet1!E:E,$G1508)</f>
        <v>Sheet1</v>
      </c>
      <c r="J1508" s="4" t="str" cm="1">
        <f t="array" ref="J1508">INDEX(Sheet1!F:F,$G1508)</f>
        <v>B25</v>
      </c>
      <c r="K1508" s="4" cm="1">
        <f t="array" ref="K1508">INDEX(Sheet1!H:H,$G1508)</f>
        <v>1</v>
      </c>
      <c r="L1508" s="4">
        <f t="shared" si="92"/>
        <v>6</v>
      </c>
      <c r="M1508" s="4">
        <f t="shared" si="95"/>
        <v>5</v>
      </c>
    </row>
    <row r="1509" spans="1:13">
      <c r="A1509" s="4" t="str" cm="1">
        <f t="array" ref="A1509">INDEX(Sheet1!A:A,$F1509)</f>
        <v>F</v>
      </c>
      <c r="B1509" s="4" t="str" cm="1">
        <f t="array" ref="B1509">INDEX(Sheet1!B:B,$F1509)</f>
        <v>Non-Pref SM</v>
      </c>
      <c r="C1509" s="4">
        <f t="shared" si="93"/>
        <v>7</v>
      </c>
      <c r="D1509" s="5" cm="1">
        <f t="array" aca="1" ref="D1509" ca="1">OFFSET(INDIRECT("'["&amp;$H1509&amp;"]"&amp;$I1509&amp;"'!"&amp;$J1509),$L1509,$M1509)*$K1509</f>
        <v>2.2000000000000001E-4</v>
      </c>
      <c r="F1509" s="4">
        <f t="shared" si="94"/>
        <v>17</v>
      </c>
      <c r="G1509" s="4" cm="1">
        <f t="array" ref="G1509">IF($C1509+$M1509&lt;16,INDEX(Sheet1!C:C,$F1509),$F1509)</f>
        <v>19</v>
      </c>
      <c r="H1509" s="4" t="str" cm="1">
        <f t="array" ref="H1509">INDEX(Sheet1!D:D,$G1509)</f>
        <v>t1139.xlsx</v>
      </c>
      <c r="I1509" s="4" t="str" cm="1">
        <f t="array" ref="I1509">INDEX(Sheet1!E:E,$G1509)</f>
        <v>Sheet1</v>
      </c>
      <c r="J1509" s="4" t="str" cm="1">
        <f t="array" ref="J1509">INDEX(Sheet1!F:F,$G1509)</f>
        <v>B25</v>
      </c>
      <c r="K1509" s="4" cm="1">
        <f t="array" ref="K1509">INDEX(Sheet1!H:H,$G1509)</f>
        <v>1</v>
      </c>
      <c r="L1509" s="4">
        <f t="shared" si="92"/>
        <v>7</v>
      </c>
      <c r="M1509" s="4">
        <f t="shared" si="95"/>
        <v>5</v>
      </c>
    </row>
    <row r="1510" spans="1:13">
      <c r="A1510" s="4" t="str" cm="1">
        <f t="array" ref="A1510">INDEX(Sheet1!A:A,$F1510)</f>
        <v>F</v>
      </c>
      <c r="B1510" s="4" t="str" cm="1">
        <f t="array" ref="B1510">INDEX(Sheet1!B:B,$F1510)</f>
        <v>Non-Pref SM</v>
      </c>
      <c r="C1510" s="4">
        <f t="shared" si="93"/>
        <v>8</v>
      </c>
      <c r="D1510" s="5" cm="1">
        <f t="array" aca="1" ref="D1510" ca="1">OFFSET(INDIRECT("'["&amp;$H1510&amp;"]"&amp;$I1510&amp;"'!"&amp;$J1510),$L1510,$M1510)*$K1510</f>
        <v>2.4000000000000001E-4</v>
      </c>
      <c r="F1510" s="4">
        <f t="shared" si="94"/>
        <v>17</v>
      </c>
      <c r="G1510" s="4" cm="1">
        <f t="array" ref="G1510">IF($C1510+$M1510&lt;16,INDEX(Sheet1!C:C,$F1510),$F1510)</f>
        <v>19</v>
      </c>
      <c r="H1510" s="4" t="str" cm="1">
        <f t="array" ref="H1510">INDEX(Sheet1!D:D,$G1510)</f>
        <v>t1139.xlsx</v>
      </c>
      <c r="I1510" s="4" t="str" cm="1">
        <f t="array" ref="I1510">INDEX(Sheet1!E:E,$G1510)</f>
        <v>Sheet1</v>
      </c>
      <c r="J1510" s="4" t="str" cm="1">
        <f t="array" ref="J1510">INDEX(Sheet1!F:F,$G1510)</f>
        <v>B25</v>
      </c>
      <c r="K1510" s="4" cm="1">
        <f t="array" ref="K1510">INDEX(Sheet1!H:H,$G1510)</f>
        <v>1</v>
      </c>
      <c r="L1510" s="4">
        <f t="shared" si="92"/>
        <v>8</v>
      </c>
      <c r="M1510" s="4">
        <f t="shared" si="95"/>
        <v>5</v>
      </c>
    </row>
    <row r="1511" spans="1:13">
      <c r="A1511" s="4" t="str" cm="1">
        <f t="array" ref="A1511">INDEX(Sheet1!A:A,$F1511)</f>
        <v>F</v>
      </c>
      <c r="B1511" s="4" t="str" cm="1">
        <f t="array" ref="B1511">INDEX(Sheet1!B:B,$F1511)</f>
        <v>Non-Pref SM</v>
      </c>
      <c r="C1511" s="4">
        <f t="shared" si="93"/>
        <v>9</v>
      </c>
      <c r="D1511" s="5" cm="1">
        <f t="array" aca="1" ref="D1511" ca="1">OFFSET(INDIRECT("'["&amp;$H1511&amp;"]"&amp;$I1511&amp;"'!"&amp;$J1511),$L1511,$M1511)*$K1511</f>
        <v>2.7E-4</v>
      </c>
      <c r="F1511" s="4">
        <f t="shared" si="94"/>
        <v>17</v>
      </c>
      <c r="G1511" s="4" cm="1">
        <f t="array" ref="G1511">IF($C1511+$M1511&lt;16,INDEX(Sheet1!C:C,$F1511),$F1511)</f>
        <v>19</v>
      </c>
      <c r="H1511" s="4" t="str" cm="1">
        <f t="array" ref="H1511">INDEX(Sheet1!D:D,$G1511)</f>
        <v>t1139.xlsx</v>
      </c>
      <c r="I1511" s="4" t="str" cm="1">
        <f t="array" ref="I1511">INDEX(Sheet1!E:E,$G1511)</f>
        <v>Sheet1</v>
      </c>
      <c r="J1511" s="4" t="str" cm="1">
        <f t="array" ref="J1511">INDEX(Sheet1!F:F,$G1511)</f>
        <v>B25</v>
      </c>
      <c r="K1511" s="4" cm="1">
        <f t="array" ref="K1511">INDEX(Sheet1!H:H,$G1511)</f>
        <v>1</v>
      </c>
      <c r="L1511" s="4">
        <f t="shared" si="92"/>
        <v>9</v>
      </c>
      <c r="M1511" s="4">
        <f t="shared" si="95"/>
        <v>5</v>
      </c>
    </row>
    <row r="1512" spans="1:13">
      <c r="A1512" s="4" t="str" cm="1">
        <f t="array" ref="A1512">INDEX(Sheet1!A:A,$F1512)</f>
        <v>F</v>
      </c>
      <c r="B1512" s="4" t="str" cm="1">
        <f t="array" ref="B1512">INDEX(Sheet1!B:B,$F1512)</f>
        <v>Non-Pref SM</v>
      </c>
      <c r="C1512" s="4">
        <f t="shared" si="93"/>
        <v>10</v>
      </c>
      <c r="D1512" s="5" cm="1">
        <f t="array" aca="1" ref="D1512" ca="1">OFFSET(INDIRECT("'["&amp;$H1512&amp;"]"&amp;$I1512&amp;"'!"&amp;$J1512),$L1512,$M1512)*$K1512</f>
        <v>3.1E-4</v>
      </c>
      <c r="F1512" s="4">
        <f t="shared" si="94"/>
        <v>17</v>
      </c>
      <c r="G1512" s="4" cm="1">
        <f t="array" ref="G1512">IF($C1512+$M1512&lt;16,INDEX(Sheet1!C:C,$F1512),$F1512)</f>
        <v>19</v>
      </c>
      <c r="H1512" s="4" t="str" cm="1">
        <f t="array" ref="H1512">INDEX(Sheet1!D:D,$G1512)</f>
        <v>t1139.xlsx</v>
      </c>
      <c r="I1512" s="4" t="str" cm="1">
        <f t="array" ref="I1512">INDEX(Sheet1!E:E,$G1512)</f>
        <v>Sheet1</v>
      </c>
      <c r="J1512" s="4" t="str" cm="1">
        <f t="array" ref="J1512">INDEX(Sheet1!F:F,$G1512)</f>
        <v>B25</v>
      </c>
      <c r="K1512" s="4" cm="1">
        <f t="array" ref="K1512">INDEX(Sheet1!H:H,$G1512)</f>
        <v>1</v>
      </c>
      <c r="L1512" s="4">
        <f t="shared" si="92"/>
        <v>10</v>
      </c>
      <c r="M1512" s="4">
        <f t="shared" si="95"/>
        <v>5</v>
      </c>
    </row>
    <row r="1513" spans="1:13">
      <c r="A1513" s="4" t="str" cm="1">
        <f t="array" ref="A1513">INDEX(Sheet1!A:A,$F1513)</f>
        <v>F</v>
      </c>
      <c r="B1513" s="4" t="str" cm="1">
        <f t="array" ref="B1513">INDEX(Sheet1!B:B,$F1513)</f>
        <v>Non-Pref SM</v>
      </c>
      <c r="C1513" s="4">
        <f t="shared" si="93"/>
        <v>11</v>
      </c>
      <c r="D1513" s="5" cm="1">
        <f t="array" aca="1" ref="D1513" ca="1">OFFSET(INDIRECT("'["&amp;$H1513&amp;"]"&amp;$I1513&amp;"'!"&amp;$J1513),$L1513,$M1513)*$K1513</f>
        <v>3.8000000000000002E-4</v>
      </c>
      <c r="F1513" s="4">
        <f t="shared" si="94"/>
        <v>17</v>
      </c>
      <c r="G1513" s="4" cm="1">
        <f t="array" ref="G1513">IF($C1513+$M1513&lt;16,INDEX(Sheet1!C:C,$F1513),$F1513)</f>
        <v>17</v>
      </c>
      <c r="H1513" s="4" t="str" cm="1">
        <f t="array" ref="H1513">INDEX(Sheet1!D:D,$G1513)</f>
        <v>2001-cso-preferred-class-structure-mortality-tables.xls</v>
      </c>
      <c r="I1513" s="4" t="str" cm="1">
        <f t="array" ref="I1513">INDEX(Sheet1!E:E,$G1513)</f>
        <v>A.1.b.v</v>
      </c>
      <c r="J1513" s="4" t="str" cm="1">
        <f t="array" ref="J1513">INDEX(Sheet1!F:F,$G1513)</f>
        <v>B8</v>
      </c>
      <c r="K1513" s="4" cm="1">
        <f t="array" ref="K1513">INDEX(Sheet1!H:H,$G1513)</f>
        <v>1E-3</v>
      </c>
      <c r="L1513" s="4">
        <f t="shared" si="92"/>
        <v>11</v>
      </c>
      <c r="M1513" s="4">
        <f t="shared" si="95"/>
        <v>5</v>
      </c>
    </row>
    <row r="1514" spans="1:13">
      <c r="A1514" s="4" t="str" cm="1">
        <f t="array" ref="A1514">INDEX(Sheet1!A:A,$F1514)</f>
        <v>F</v>
      </c>
      <c r="B1514" s="4" t="str" cm="1">
        <f t="array" ref="B1514">INDEX(Sheet1!B:B,$F1514)</f>
        <v>Non-Pref SM</v>
      </c>
      <c r="C1514" s="4">
        <f t="shared" si="93"/>
        <v>12</v>
      </c>
      <c r="D1514" s="5" cm="1">
        <f t="array" aca="1" ref="D1514" ca="1">OFFSET(INDIRECT("'["&amp;$H1514&amp;"]"&amp;$I1514&amp;"'!"&amp;$J1514),$L1514,$M1514)*$K1514</f>
        <v>4.2000000000000002E-4</v>
      </c>
      <c r="F1514" s="4">
        <f t="shared" si="94"/>
        <v>17</v>
      </c>
      <c r="G1514" s="4" cm="1">
        <f t="array" ref="G1514">IF($C1514+$M1514&lt;16,INDEX(Sheet1!C:C,$F1514),$F1514)</f>
        <v>17</v>
      </c>
      <c r="H1514" s="4" t="str" cm="1">
        <f t="array" ref="H1514">INDEX(Sheet1!D:D,$G1514)</f>
        <v>2001-cso-preferred-class-structure-mortality-tables.xls</v>
      </c>
      <c r="I1514" s="4" t="str" cm="1">
        <f t="array" ref="I1514">INDEX(Sheet1!E:E,$G1514)</f>
        <v>A.1.b.v</v>
      </c>
      <c r="J1514" s="4" t="str" cm="1">
        <f t="array" ref="J1514">INDEX(Sheet1!F:F,$G1514)</f>
        <v>B8</v>
      </c>
      <c r="K1514" s="4" cm="1">
        <f t="array" ref="K1514">INDEX(Sheet1!H:H,$G1514)</f>
        <v>1E-3</v>
      </c>
      <c r="L1514" s="4">
        <f t="shared" si="92"/>
        <v>12</v>
      </c>
      <c r="M1514" s="4">
        <f t="shared" si="95"/>
        <v>5</v>
      </c>
    </row>
    <row r="1515" spans="1:13">
      <c r="A1515" s="4" t="str" cm="1">
        <f t="array" ref="A1515">INDEX(Sheet1!A:A,$F1515)</f>
        <v>F</v>
      </c>
      <c r="B1515" s="4" t="str" cm="1">
        <f t="array" ref="B1515">INDEX(Sheet1!B:B,$F1515)</f>
        <v>Non-Pref SM</v>
      </c>
      <c r="C1515" s="4">
        <f t="shared" si="93"/>
        <v>13</v>
      </c>
      <c r="D1515" s="5" cm="1">
        <f t="array" aca="1" ref="D1515" ca="1">OFFSET(INDIRECT("'["&amp;$H1515&amp;"]"&amp;$I1515&amp;"'!"&amp;$J1515),$L1515,$M1515)*$K1515</f>
        <v>4.4000000000000002E-4</v>
      </c>
      <c r="F1515" s="4">
        <f t="shared" si="94"/>
        <v>17</v>
      </c>
      <c r="G1515" s="4" cm="1">
        <f t="array" ref="G1515">IF($C1515+$M1515&lt;16,INDEX(Sheet1!C:C,$F1515),$F1515)</f>
        <v>17</v>
      </c>
      <c r="H1515" s="4" t="str" cm="1">
        <f t="array" ref="H1515">INDEX(Sheet1!D:D,$G1515)</f>
        <v>2001-cso-preferred-class-structure-mortality-tables.xls</v>
      </c>
      <c r="I1515" s="4" t="str" cm="1">
        <f t="array" ref="I1515">INDEX(Sheet1!E:E,$G1515)</f>
        <v>A.1.b.v</v>
      </c>
      <c r="J1515" s="4" t="str" cm="1">
        <f t="array" ref="J1515">INDEX(Sheet1!F:F,$G1515)</f>
        <v>B8</v>
      </c>
      <c r="K1515" s="4" cm="1">
        <f t="array" ref="K1515">INDEX(Sheet1!H:H,$G1515)</f>
        <v>1E-3</v>
      </c>
      <c r="L1515" s="4">
        <f t="shared" si="92"/>
        <v>13</v>
      </c>
      <c r="M1515" s="4">
        <f t="shared" si="95"/>
        <v>5</v>
      </c>
    </row>
    <row r="1516" spans="1:13">
      <c r="A1516" s="4" t="str" cm="1">
        <f t="array" ref="A1516">INDEX(Sheet1!A:A,$F1516)</f>
        <v>F</v>
      </c>
      <c r="B1516" s="4" t="str" cm="1">
        <f t="array" ref="B1516">INDEX(Sheet1!B:B,$F1516)</f>
        <v>Non-Pref SM</v>
      </c>
      <c r="C1516" s="4">
        <f t="shared" si="93"/>
        <v>14</v>
      </c>
      <c r="D1516" s="5" cm="1">
        <f t="array" aca="1" ref="D1516" ca="1">OFFSET(INDIRECT("'["&amp;$H1516&amp;"]"&amp;$I1516&amp;"'!"&amp;$J1516),$L1516,$M1516)*$K1516</f>
        <v>4.6999999999999999E-4</v>
      </c>
      <c r="F1516" s="4">
        <f t="shared" si="94"/>
        <v>17</v>
      </c>
      <c r="G1516" s="4" cm="1">
        <f t="array" ref="G1516">IF($C1516+$M1516&lt;16,INDEX(Sheet1!C:C,$F1516),$F1516)</f>
        <v>17</v>
      </c>
      <c r="H1516" s="4" t="str" cm="1">
        <f t="array" ref="H1516">INDEX(Sheet1!D:D,$G1516)</f>
        <v>2001-cso-preferred-class-structure-mortality-tables.xls</v>
      </c>
      <c r="I1516" s="4" t="str" cm="1">
        <f t="array" ref="I1516">INDEX(Sheet1!E:E,$G1516)</f>
        <v>A.1.b.v</v>
      </c>
      <c r="J1516" s="4" t="str" cm="1">
        <f t="array" ref="J1516">INDEX(Sheet1!F:F,$G1516)</f>
        <v>B8</v>
      </c>
      <c r="K1516" s="4" cm="1">
        <f t="array" ref="K1516">INDEX(Sheet1!H:H,$G1516)</f>
        <v>1E-3</v>
      </c>
      <c r="L1516" s="4">
        <f t="shared" si="92"/>
        <v>14</v>
      </c>
      <c r="M1516" s="4">
        <f t="shared" si="95"/>
        <v>5</v>
      </c>
    </row>
    <row r="1517" spans="1:13">
      <c r="A1517" s="4" t="str" cm="1">
        <f t="array" ref="A1517">INDEX(Sheet1!A:A,$F1517)</f>
        <v>F</v>
      </c>
      <c r="B1517" s="4" t="str" cm="1">
        <f t="array" ref="B1517">INDEX(Sheet1!B:B,$F1517)</f>
        <v>Non-Pref SM</v>
      </c>
      <c r="C1517" s="4">
        <f t="shared" si="93"/>
        <v>15</v>
      </c>
      <c r="D1517" s="5" cm="1">
        <f t="array" aca="1" ref="D1517" ca="1">OFFSET(INDIRECT("'["&amp;$H1517&amp;"]"&amp;$I1517&amp;"'!"&amp;$J1517),$L1517,$M1517)*$K1517</f>
        <v>5.0000000000000001E-4</v>
      </c>
      <c r="F1517" s="4">
        <f t="shared" si="94"/>
        <v>17</v>
      </c>
      <c r="G1517" s="4" cm="1">
        <f t="array" ref="G1517">IF($C1517+$M1517&lt;16,INDEX(Sheet1!C:C,$F1517),$F1517)</f>
        <v>17</v>
      </c>
      <c r="H1517" s="4" t="str" cm="1">
        <f t="array" ref="H1517">INDEX(Sheet1!D:D,$G1517)</f>
        <v>2001-cso-preferred-class-structure-mortality-tables.xls</v>
      </c>
      <c r="I1517" s="4" t="str" cm="1">
        <f t="array" ref="I1517">INDEX(Sheet1!E:E,$G1517)</f>
        <v>A.1.b.v</v>
      </c>
      <c r="J1517" s="4" t="str" cm="1">
        <f t="array" ref="J1517">INDEX(Sheet1!F:F,$G1517)</f>
        <v>B8</v>
      </c>
      <c r="K1517" s="4" cm="1">
        <f t="array" ref="K1517">INDEX(Sheet1!H:H,$G1517)</f>
        <v>1E-3</v>
      </c>
      <c r="L1517" s="4">
        <f t="shared" si="92"/>
        <v>15</v>
      </c>
      <c r="M1517" s="4">
        <f t="shared" si="95"/>
        <v>5</v>
      </c>
    </row>
    <row r="1518" spans="1:13">
      <c r="A1518" s="4" t="str" cm="1">
        <f t="array" ref="A1518">INDEX(Sheet1!A:A,$F1518)</f>
        <v>F</v>
      </c>
      <c r="B1518" s="4" t="str" cm="1">
        <f t="array" ref="B1518">INDEX(Sheet1!B:B,$F1518)</f>
        <v>Non-Pref SM</v>
      </c>
      <c r="C1518" s="4">
        <f t="shared" si="93"/>
        <v>16</v>
      </c>
      <c r="D1518" s="5" cm="1">
        <f t="array" aca="1" ref="D1518" ca="1">OFFSET(INDIRECT("'["&amp;$H1518&amp;"]"&amp;$I1518&amp;"'!"&amp;$J1518),$L1518,$M1518)*$K1518</f>
        <v>5.3000000000000009E-4</v>
      </c>
      <c r="F1518" s="4">
        <f t="shared" si="94"/>
        <v>17</v>
      </c>
      <c r="G1518" s="4" cm="1">
        <f t="array" ref="G1518">IF($C1518+$M1518&lt;16,INDEX(Sheet1!C:C,$F1518),$F1518)</f>
        <v>17</v>
      </c>
      <c r="H1518" s="4" t="str" cm="1">
        <f t="array" ref="H1518">INDEX(Sheet1!D:D,$G1518)</f>
        <v>2001-cso-preferred-class-structure-mortality-tables.xls</v>
      </c>
      <c r="I1518" s="4" t="str" cm="1">
        <f t="array" ref="I1518">INDEX(Sheet1!E:E,$G1518)</f>
        <v>A.1.b.v</v>
      </c>
      <c r="J1518" s="4" t="str" cm="1">
        <f t="array" ref="J1518">INDEX(Sheet1!F:F,$G1518)</f>
        <v>B8</v>
      </c>
      <c r="K1518" s="4" cm="1">
        <f t="array" ref="K1518">INDEX(Sheet1!H:H,$G1518)</f>
        <v>1E-3</v>
      </c>
      <c r="L1518" s="4">
        <f t="shared" si="92"/>
        <v>16</v>
      </c>
      <c r="M1518" s="4">
        <f t="shared" si="95"/>
        <v>5</v>
      </c>
    </row>
    <row r="1519" spans="1:13">
      <c r="A1519" s="4" t="str" cm="1">
        <f t="array" ref="A1519">INDEX(Sheet1!A:A,$F1519)</f>
        <v>F</v>
      </c>
      <c r="B1519" s="4" t="str" cm="1">
        <f t="array" ref="B1519">INDEX(Sheet1!B:B,$F1519)</f>
        <v>Non-Pref SM</v>
      </c>
      <c r="C1519" s="4">
        <f t="shared" si="93"/>
        <v>17</v>
      </c>
      <c r="D1519" s="5" cm="1">
        <f t="array" aca="1" ref="D1519" ca="1">OFFSET(INDIRECT("'["&amp;$H1519&amp;"]"&amp;$I1519&amp;"'!"&amp;$J1519),$L1519,$M1519)*$K1519</f>
        <v>5.4000000000000001E-4</v>
      </c>
      <c r="F1519" s="4">
        <f t="shared" si="94"/>
        <v>17</v>
      </c>
      <c r="G1519" s="4" cm="1">
        <f t="array" ref="G1519">IF($C1519+$M1519&lt;16,INDEX(Sheet1!C:C,$F1519),$F1519)</f>
        <v>17</v>
      </c>
      <c r="H1519" s="4" t="str" cm="1">
        <f t="array" ref="H1519">INDEX(Sheet1!D:D,$G1519)</f>
        <v>2001-cso-preferred-class-structure-mortality-tables.xls</v>
      </c>
      <c r="I1519" s="4" t="str" cm="1">
        <f t="array" ref="I1519">INDEX(Sheet1!E:E,$G1519)</f>
        <v>A.1.b.v</v>
      </c>
      <c r="J1519" s="4" t="str" cm="1">
        <f t="array" ref="J1519">INDEX(Sheet1!F:F,$G1519)</f>
        <v>B8</v>
      </c>
      <c r="K1519" s="4" cm="1">
        <f t="array" ref="K1519">INDEX(Sheet1!H:H,$G1519)</f>
        <v>1E-3</v>
      </c>
      <c r="L1519" s="4">
        <f t="shared" si="92"/>
        <v>17</v>
      </c>
      <c r="M1519" s="4">
        <f t="shared" si="95"/>
        <v>5</v>
      </c>
    </row>
    <row r="1520" spans="1:13">
      <c r="A1520" s="4" t="str" cm="1">
        <f t="array" ref="A1520">INDEX(Sheet1!A:A,$F1520)</f>
        <v>F</v>
      </c>
      <c r="B1520" s="4" t="str" cm="1">
        <f t="array" ref="B1520">INDEX(Sheet1!B:B,$F1520)</f>
        <v>Non-Pref SM</v>
      </c>
      <c r="C1520" s="4">
        <f t="shared" si="93"/>
        <v>18</v>
      </c>
      <c r="D1520" s="5" cm="1">
        <f t="array" aca="1" ref="D1520" ca="1">OFFSET(INDIRECT("'["&amp;$H1520&amp;"]"&amp;$I1520&amp;"'!"&amp;$J1520),$L1520,$M1520)*$K1520</f>
        <v>5.6000000000000006E-4</v>
      </c>
      <c r="F1520" s="4">
        <f t="shared" si="94"/>
        <v>17</v>
      </c>
      <c r="G1520" s="4" cm="1">
        <f t="array" ref="G1520">IF($C1520+$M1520&lt;16,INDEX(Sheet1!C:C,$F1520),$F1520)</f>
        <v>17</v>
      </c>
      <c r="H1520" s="4" t="str" cm="1">
        <f t="array" ref="H1520">INDEX(Sheet1!D:D,$G1520)</f>
        <v>2001-cso-preferred-class-structure-mortality-tables.xls</v>
      </c>
      <c r="I1520" s="4" t="str" cm="1">
        <f t="array" ref="I1520">INDEX(Sheet1!E:E,$G1520)</f>
        <v>A.1.b.v</v>
      </c>
      <c r="J1520" s="4" t="str" cm="1">
        <f t="array" ref="J1520">INDEX(Sheet1!F:F,$G1520)</f>
        <v>B8</v>
      </c>
      <c r="K1520" s="4" cm="1">
        <f t="array" ref="K1520">INDEX(Sheet1!H:H,$G1520)</f>
        <v>1E-3</v>
      </c>
      <c r="L1520" s="4">
        <f t="shared" si="92"/>
        <v>18</v>
      </c>
      <c r="M1520" s="4">
        <f t="shared" si="95"/>
        <v>5</v>
      </c>
    </row>
    <row r="1521" spans="1:13">
      <c r="A1521" s="4" t="str" cm="1">
        <f t="array" ref="A1521">INDEX(Sheet1!A:A,$F1521)</f>
        <v>F</v>
      </c>
      <c r="B1521" s="4" t="str" cm="1">
        <f t="array" ref="B1521">INDEX(Sheet1!B:B,$F1521)</f>
        <v>Non-Pref SM</v>
      </c>
      <c r="C1521" s="4">
        <f t="shared" si="93"/>
        <v>19</v>
      </c>
      <c r="D1521" s="5" cm="1">
        <f t="array" aca="1" ref="D1521" ca="1">OFFSET(INDIRECT("'["&amp;$H1521&amp;"]"&amp;$I1521&amp;"'!"&amp;$J1521),$L1521,$M1521)*$K1521</f>
        <v>5.9000000000000003E-4</v>
      </c>
      <c r="F1521" s="4">
        <f t="shared" si="94"/>
        <v>17</v>
      </c>
      <c r="G1521" s="4" cm="1">
        <f t="array" ref="G1521">IF($C1521+$M1521&lt;16,INDEX(Sheet1!C:C,$F1521),$F1521)</f>
        <v>17</v>
      </c>
      <c r="H1521" s="4" t="str" cm="1">
        <f t="array" ref="H1521">INDEX(Sheet1!D:D,$G1521)</f>
        <v>2001-cso-preferred-class-structure-mortality-tables.xls</v>
      </c>
      <c r="I1521" s="4" t="str" cm="1">
        <f t="array" ref="I1521">INDEX(Sheet1!E:E,$G1521)</f>
        <v>A.1.b.v</v>
      </c>
      <c r="J1521" s="4" t="str" cm="1">
        <f t="array" ref="J1521">INDEX(Sheet1!F:F,$G1521)</f>
        <v>B8</v>
      </c>
      <c r="K1521" s="4" cm="1">
        <f t="array" ref="K1521">INDEX(Sheet1!H:H,$G1521)</f>
        <v>1E-3</v>
      </c>
      <c r="L1521" s="4">
        <f t="shared" si="92"/>
        <v>19</v>
      </c>
      <c r="M1521" s="4">
        <f t="shared" si="95"/>
        <v>5</v>
      </c>
    </row>
    <row r="1522" spans="1:13">
      <c r="A1522" s="4" t="str" cm="1">
        <f t="array" ref="A1522">INDEX(Sheet1!A:A,$F1522)</f>
        <v>F</v>
      </c>
      <c r="B1522" s="4" t="str" cm="1">
        <f t="array" ref="B1522">INDEX(Sheet1!B:B,$F1522)</f>
        <v>Non-Pref SM</v>
      </c>
      <c r="C1522" s="4">
        <f t="shared" si="93"/>
        <v>20</v>
      </c>
      <c r="D1522" s="5" cm="1">
        <f t="array" aca="1" ref="D1522" ca="1">OFFSET(INDIRECT("'["&amp;$H1522&amp;"]"&amp;$I1522&amp;"'!"&amp;$J1522),$L1522,$M1522)*$K1522</f>
        <v>6.5000000000000008E-4</v>
      </c>
      <c r="F1522" s="4">
        <f t="shared" si="94"/>
        <v>17</v>
      </c>
      <c r="G1522" s="4" cm="1">
        <f t="array" ref="G1522">IF($C1522+$M1522&lt;16,INDEX(Sheet1!C:C,$F1522),$F1522)</f>
        <v>17</v>
      </c>
      <c r="H1522" s="4" t="str" cm="1">
        <f t="array" ref="H1522">INDEX(Sheet1!D:D,$G1522)</f>
        <v>2001-cso-preferred-class-structure-mortality-tables.xls</v>
      </c>
      <c r="I1522" s="4" t="str" cm="1">
        <f t="array" ref="I1522">INDEX(Sheet1!E:E,$G1522)</f>
        <v>A.1.b.v</v>
      </c>
      <c r="J1522" s="4" t="str" cm="1">
        <f t="array" ref="J1522">INDEX(Sheet1!F:F,$G1522)</f>
        <v>B8</v>
      </c>
      <c r="K1522" s="4" cm="1">
        <f t="array" ref="K1522">INDEX(Sheet1!H:H,$G1522)</f>
        <v>1E-3</v>
      </c>
      <c r="L1522" s="4">
        <f t="shared" si="92"/>
        <v>20</v>
      </c>
      <c r="M1522" s="4">
        <f t="shared" si="95"/>
        <v>5</v>
      </c>
    </row>
    <row r="1523" spans="1:13">
      <c r="A1523" s="4" t="str" cm="1">
        <f t="array" ref="A1523">INDEX(Sheet1!A:A,$F1523)</f>
        <v>F</v>
      </c>
      <c r="B1523" s="4" t="str" cm="1">
        <f t="array" ref="B1523">INDEX(Sheet1!B:B,$F1523)</f>
        <v>Non-Pref SM</v>
      </c>
      <c r="C1523" s="4">
        <f t="shared" si="93"/>
        <v>21</v>
      </c>
      <c r="D1523" s="5" cm="1">
        <f t="array" aca="1" ref="D1523" ca="1">OFFSET(INDIRECT("'["&amp;$H1523&amp;"]"&amp;$I1523&amp;"'!"&amp;$J1523),$L1523,$M1523)*$K1523</f>
        <v>6.8000000000000005E-4</v>
      </c>
      <c r="F1523" s="4">
        <f t="shared" si="94"/>
        <v>17</v>
      </c>
      <c r="G1523" s="4" cm="1">
        <f t="array" ref="G1523">IF($C1523+$M1523&lt;16,INDEX(Sheet1!C:C,$F1523),$F1523)</f>
        <v>17</v>
      </c>
      <c r="H1523" s="4" t="str" cm="1">
        <f t="array" ref="H1523">INDEX(Sheet1!D:D,$G1523)</f>
        <v>2001-cso-preferred-class-structure-mortality-tables.xls</v>
      </c>
      <c r="I1523" s="4" t="str" cm="1">
        <f t="array" ref="I1523">INDEX(Sheet1!E:E,$G1523)</f>
        <v>A.1.b.v</v>
      </c>
      <c r="J1523" s="4" t="str" cm="1">
        <f t="array" ref="J1523">INDEX(Sheet1!F:F,$G1523)</f>
        <v>B8</v>
      </c>
      <c r="K1523" s="4" cm="1">
        <f t="array" ref="K1523">INDEX(Sheet1!H:H,$G1523)</f>
        <v>1E-3</v>
      </c>
      <c r="L1523" s="4">
        <f t="shared" si="92"/>
        <v>21</v>
      </c>
      <c r="M1523" s="4">
        <f t="shared" si="95"/>
        <v>5</v>
      </c>
    </row>
    <row r="1524" spans="1:13">
      <c r="A1524" s="4" t="str" cm="1">
        <f t="array" ref="A1524">INDEX(Sheet1!A:A,$F1524)</f>
        <v>F</v>
      </c>
      <c r="B1524" s="4" t="str" cm="1">
        <f t="array" ref="B1524">INDEX(Sheet1!B:B,$F1524)</f>
        <v>Non-Pref SM</v>
      </c>
      <c r="C1524" s="4">
        <f t="shared" si="93"/>
        <v>22</v>
      </c>
      <c r="D1524" s="5" cm="1">
        <f t="array" aca="1" ref="D1524" ca="1">OFFSET(INDIRECT("'["&amp;$H1524&amp;"]"&amp;$I1524&amp;"'!"&amp;$J1524),$L1524,$M1524)*$K1524</f>
        <v>7.1999999999999994E-4</v>
      </c>
      <c r="F1524" s="4">
        <f t="shared" si="94"/>
        <v>17</v>
      </c>
      <c r="G1524" s="4" cm="1">
        <f t="array" ref="G1524">IF($C1524+$M1524&lt;16,INDEX(Sheet1!C:C,$F1524),$F1524)</f>
        <v>17</v>
      </c>
      <c r="H1524" s="4" t="str" cm="1">
        <f t="array" ref="H1524">INDEX(Sheet1!D:D,$G1524)</f>
        <v>2001-cso-preferred-class-structure-mortality-tables.xls</v>
      </c>
      <c r="I1524" s="4" t="str" cm="1">
        <f t="array" ref="I1524">INDEX(Sheet1!E:E,$G1524)</f>
        <v>A.1.b.v</v>
      </c>
      <c r="J1524" s="4" t="str" cm="1">
        <f t="array" ref="J1524">INDEX(Sheet1!F:F,$G1524)</f>
        <v>B8</v>
      </c>
      <c r="K1524" s="4" cm="1">
        <f t="array" ref="K1524">INDEX(Sheet1!H:H,$G1524)</f>
        <v>1E-3</v>
      </c>
      <c r="L1524" s="4">
        <f t="shared" si="92"/>
        <v>22</v>
      </c>
      <c r="M1524" s="4">
        <f t="shared" si="95"/>
        <v>5</v>
      </c>
    </row>
    <row r="1525" spans="1:13">
      <c r="A1525" s="4" t="str" cm="1">
        <f t="array" ref="A1525">INDEX(Sheet1!A:A,$F1525)</f>
        <v>F</v>
      </c>
      <c r="B1525" s="4" t="str" cm="1">
        <f t="array" ref="B1525">INDEX(Sheet1!B:B,$F1525)</f>
        <v>Non-Pref SM</v>
      </c>
      <c r="C1525" s="4">
        <f t="shared" si="93"/>
        <v>23</v>
      </c>
      <c r="D1525" s="5" cm="1">
        <f t="array" aca="1" ref="D1525" ca="1">OFFSET(INDIRECT("'["&amp;$H1525&amp;"]"&amp;$I1525&amp;"'!"&amp;$J1525),$L1525,$M1525)*$K1525</f>
        <v>7.6000000000000004E-4</v>
      </c>
      <c r="F1525" s="4">
        <f t="shared" si="94"/>
        <v>17</v>
      </c>
      <c r="G1525" s="4" cm="1">
        <f t="array" ref="G1525">IF($C1525+$M1525&lt;16,INDEX(Sheet1!C:C,$F1525),$F1525)</f>
        <v>17</v>
      </c>
      <c r="H1525" s="4" t="str" cm="1">
        <f t="array" ref="H1525">INDEX(Sheet1!D:D,$G1525)</f>
        <v>2001-cso-preferred-class-structure-mortality-tables.xls</v>
      </c>
      <c r="I1525" s="4" t="str" cm="1">
        <f t="array" ref="I1525">INDEX(Sheet1!E:E,$G1525)</f>
        <v>A.1.b.v</v>
      </c>
      <c r="J1525" s="4" t="str" cm="1">
        <f t="array" ref="J1525">INDEX(Sheet1!F:F,$G1525)</f>
        <v>B8</v>
      </c>
      <c r="K1525" s="4" cm="1">
        <f t="array" ref="K1525">INDEX(Sheet1!H:H,$G1525)</f>
        <v>1E-3</v>
      </c>
      <c r="L1525" s="4">
        <f t="shared" si="92"/>
        <v>23</v>
      </c>
      <c r="M1525" s="4">
        <f t="shared" si="95"/>
        <v>5</v>
      </c>
    </row>
    <row r="1526" spans="1:13">
      <c r="A1526" s="4" t="str" cm="1">
        <f t="array" ref="A1526">INDEX(Sheet1!A:A,$F1526)</f>
        <v>F</v>
      </c>
      <c r="B1526" s="4" t="str" cm="1">
        <f t="array" ref="B1526">INDEX(Sheet1!B:B,$F1526)</f>
        <v>Non-Pref SM</v>
      </c>
      <c r="C1526" s="4">
        <f t="shared" si="93"/>
        <v>24</v>
      </c>
      <c r="D1526" s="5" cm="1">
        <f t="array" aca="1" ref="D1526" ca="1">OFFSET(INDIRECT("'["&amp;$H1526&amp;"]"&amp;$I1526&amp;"'!"&amp;$J1526),$L1526,$M1526)*$K1526</f>
        <v>8.1000000000000006E-4</v>
      </c>
      <c r="F1526" s="4">
        <f t="shared" si="94"/>
        <v>17</v>
      </c>
      <c r="G1526" s="4" cm="1">
        <f t="array" ref="G1526">IF($C1526+$M1526&lt;16,INDEX(Sheet1!C:C,$F1526),$F1526)</f>
        <v>17</v>
      </c>
      <c r="H1526" s="4" t="str" cm="1">
        <f t="array" ref="H1526">INDEX(Sheet1!D:D,$G1526)</f>
        <v>2001-cso-preferred-class-structure-mortality-tables.xls</v>
      </c>
      <c r="I1526" s="4" t="str" cm="1">
        <f t="array" ref="I1526">INDEX(Sheet1!E:E,$G1526)</f>
        <v>A.1.b.v</v>
      </c>
      <c r="J1526" s="4" t="str" cm="1">
        <f t="array" ref="J1526">INDEX(Sheet1!F:F,$G1526)</f>
        <v>B8</v>
      </c>
      <c r="K1526" s="4" cm="1">
        <f t="array" ref="K1526">INDEX(Sheet1!H:H,$G1526)</f>
        <v>1E-3</v>
      </c>
      <c r="L1526" s="4">
        <f t="shared" si="92"/>
        <v>24</v>
      </c>
      <c r="M1526" s="4">
        <f t="shared" si="95"/>
        <v>5</v>
      </c>
    </row>
    <row r="1527" spans="1:13">
      <c r="A1527" s="4" t="str" cm="1">
        <f t="array" ref="A1527">INDEX(Sheet1!A:A,$F1527)</f>
        <v>F</v>
      </c>
      <c r="B1527" s="4" t="str" cm="1">
        <f t="array" ref="B1527">INDEX(Sheet1!B:B,$F1527)</f>
        <v>Non-Pref SM</v>
      </c>
      <c r="C1527" s="4">
        <f t="shared" si="93"/>
        <v>25</v>
      </c>
      <c r="D1527" s="5" cm="1">
        <f t="array" aca="1" ref="D1527" ca="1">OFFSET(INDIRECT("'["&amp;$H1527&amp;"]"&amp;$I1527&amp;"'!"&amp;$J1527),$L1527,$M1527)*$K1527</f>
        <v>8.5999999999999998E-4</v>
      </c>
      <c r="F1527" s="4">
        <f t="shared" si="94"/>
        <v>17</v>
      </c>
      <c r="G1527" s="4" cm="1">
        <f t="array" ref="G1527">IF($C1527+$M1527&lt;16,INDEX(Sheet1!C:C,$F1527),$F1527)</f>
        <v>17</v>
      </c>
      <c r="H1527" s="4" t="str" cm="1">
        <f t="array" ref="H1527">INDEX(Sheet1!D:D,$G1527)</f>
        <v>2001-cso-preferred-class-structure-mortality-tables.xls</v>
      </c>
      <c r="I1527" s="4" t="str" cm="1">
        <f t="array" ref="I1527">INDEX(Sheet1!E:E,$G1527)</f>
        <v>A.1.b.v</v>
      </c>
      <c r="J1527" s="4" t="str" cm="1">
        <f t="array" ref="J1527">INDEX(Sheet1!F:F,$G1527)</f>
        <v>B8</v>
      </c>
      <c r="K1527" s="4" cm="1">
        <f t="array" ref="K1527">INDEX(Sheet1!H:H,$G1527)</f>
        <v>1E-3</v>
      </c>
      <c r="L1527" s="4">
        <f t="shared" si="92"/>
        <v>25</v>
      </c>
      <c r="M1527" s="4">
        <f t="shared" si="95"/>
        <v>5</v>
      </c>
    </row>
    <row r="1528" spans="1:13">
      <c r="A1528" s="4" t="str" cm="1">
        <f t="array" ref="A1528">INDEX(Sheet1!A:A,$F1528)</f>
        <v>F</v>
      </c>
      <c r="B1528" s="4" t="str" cm="1">
        <f t="array" ref="B1528">INDEX(Sheet1!B:B,$F1528)</f>
        <v>Non-Pref SM</v>
      </c>
      <c r="C1528" s="4">
        <f t="shared" si="93"/>
        <v>26</v>
      </c>
      <c r="D1528" s="5" cm="1">
        <f t="array" aca="1" ref="D1528" ca="1">OFFSET(INDIRECT("'["&amp;$H1528&amp;"]"&amp;$I1528&amp;"'!"&amp;$J1528),$L1528,$M1528)*$K1528</f>
        <v>9.1E-4</v>
      </c>
      <c r="F1528" s="4">
        <f t="shared" si="94"/>
        <v>17</v>
      </c>
      <c r="G1528" s="4" cm="1">
        <f t="array" ref="G1528">IF($C1528+$M1528&lt;16,INDEX(Sheet1!C:C,$F1528),$F1528)</f>
        <v>17</v>
      </c>
      <c r="H1528" s="4" t="str" cm="1">
        <f t="array" ref="H1528">INDEX(Sheet1!D:D,$G1528)</f>
        <v>2001-cso-preferred-class-structure-mortality-tables.xls</v>
      </c>
      <c r="I1528" s="4" t="str" cm="1">
        <f t="array" ref="I1528">INDEX(Sheet1!E:E,$G1528)</f>
        <v>A.1.b.v</v>
      </c>
      <c r="J1528" s="4" t="str" cm="1">
        <f t="array" ref="J1528">INDEX(Sheet1!F:F,$G1528)</f>
        <v>B8</v>
      </c>
      <c r="K1528" s="4" cm="1">
        <f t="array" ref="K1528">INDEX(Sheet1!H:H,$G1528)</f>
        <v>1E-3</v>
      </c>
      <c r="L1528" s="4">
        <f t="shared" si="92"/>
        <v>26</v>
      </c>
      <c r="M1528" s="4">
        <f t="shared" si="95"/>
        <v>5</v>
      </c>
    </row>
    <row r="1529" spans="1:13">
      <c r="A1529" s="4" t="str" cm="1">
        <f t="array" ref="A1529">INDEX(Sheet1!A:A,$F1529)</f>
        <v>F</v>
      </c>
      <c r="B1529" s="4" t="str" cm="1">
        <f t="array" ref="B1529">INDEX(Sheet1!B:B,$F1529)</f>
        <v>Non-Pref SM</v>
      </c>
      <c r="C1529" s="4">
        <f t="shared" si="93"/>
        <v>27</v>
      </c>
      <c r="D1529" s="5" cm="1">
        <f t="array" aca="1" ref="D1529" ca="1">OFFSET(INDIRECT("'["&amp;$H1529&amp;"]"&amp;$I1529&amp;"'!"&amp;$J1529),$L1529,$M1529)*$K1529</f>
        <v>9.7999999999999997E-4</v>
      </c>
      <c r="F1529" s="4">
        <f t="shared" si="94"/>
        <v>17</v>
      </c>
      <c r="G1529" s="4" cm="1">
        <f t="array" ref="G1529">IF($C1529+$M1529&lt;16,INDEX(Sheet1!C:C,$F1529),$F1529)</f>
        <v>17</v>
      </c>
      <c r="H1529" s="4" t="str" cm="1">
        <f t="array" ref="H1529">INDEX(Sheet1!D:D,$G1529)</f>
        <v>2001-cso-preferred-class-structure-mortality-tables.xls</v>
      </c>
      <c r="I1529" s="4" t="str" cm="1">
        <f t="array" ref="I1529">INDEX(Sheet1!E:E,$G1529)</f>
        <v>A.1.b.v</v>
      </c>
      <c r="J1529" s="4" t="str" cm="1">
        <f t="array" ref="J1529">INDEX(Sheet1!F:F,$G1529)</f>
        <v>B8</v>
      </c>
      <c r="K1529" s="4" cm="1">
        <f t="array" ref="K1529">INDEX(Sheet1!H:H,$G1529)</f>
        <v>1E-3</v>
      </c>
      <c r="L1529" s="4">
        <f t="shared" si="92"/>
        <v>27</v>
      </c>
      <c r="M1529" s="4">
        <f t="shared" si="95"/>
        <v>5</v>
      </c>
    </row>
    <row r="1530" spans="1:13">
      <c r="A1530" s="4" t="str" cm="1">
        <f t="array" ref="A1530">INDEX(Sheet1!A:A,$F1530)</f>
        <v>F</v>
      </c>
      <c r="B1530" s="4" t="str" cm="1">
        <f t="array" ref="B1530">INDEX(Sheet1!B:B,$F1530)</f>
        <v>Non-Pref SM</v>
      </c>
      <c r="C1530" s="4">
        <f t="shared" si="93"/>
        <v>28</v>
      </c>
      <c r="D1530" s="5" cm="1">
        <f t="array" aca="1" ref="D1530" ca="1">OFFSET(INDIRECT("'["&amp;$H1530&amp;"]"&amp;$I1530&amp;"'!"&amp;$J1530),$L1530,$M1530)*$K1530</f>
        <v>1.01E-3</v>
      </c>
      <c r="F1530" s="4">
        <f t="shared" si="94"/>
        <v>17</v>
      </c>
      <c r="G1530" s="4" cm="1">
        <f t="array" ref="G1530">IF($C1530+$M1530&lt;16,INDEX(Sheet1!C:C,$F1530),$F1530)</f>
        <v>17</v>
      </c>
      <c r="H1530" s="4" t="str" cm="1">
        <f t="array" ref="H1530">INDEX(Sheet1!D:D,$G1530)</f>
        <v>2001-cso-preferred-class-structure-mortality-tables.xls</v>
      </c>
      <c r="I1530" s="4" t="str" cm="1">
        <f t="array" ref="I1530">INDEX(Sheet1!E:E,$G1530)</f>
        <v>A.1.b.v</v>
      </c>
      <c r="J1530" s="4" t="str" cm="1">
        <f t="array" ref="J1530">INDEX(Sheet1!F:F,$G1530)</f>
        <v>B8</v>
      </c>
      <c r="K1530" s="4" cm="1">
        <f t="array" ref="K1530">INDEX(Sheet1!H:H,$G1530)</f>
        <v>1E-3</v>
      </c>
      <c r="L1530" s="4">
        <f t="shared" si="92"/>
        <v>28</v>
      </c>
      <c r="M1530" s="4">
        <f t="shared" si="95"/>
        <v>5</v>
      </c>
    </row>
    <row r="1531" spans="1:13">
      <c r="A1531" s="4" t="str" cm="1">
        <f t="array" ref="A1531">INDEX(Sheet1!A:A,$F1531)</f>
        <v>F</v>
      </c>
      <c r="B1531" s="4" t="str" cm="1">
        <f t="array" ref="B1531">INDEX(Sheet1!B:B,$F1531)</f>
        <v>Non-Pref SM</v>
      </c>
      <c r="C1531" s="4">
        <f t="shared" si="93"/>
        <v>29</v>
      </c>
      <c r="D1531" s="5" cm="1">
        <f t="array" aca="1" ref="D1531" ca="1">OFFSET(INDIRECT("'["&amp;$H1531&amp;"]"&amp;$I1531&amp;"'!"&amp;$J1531),$L1531,$M1531)*$K1531</f>
        <v>1.07E-3</v>
      </c>
      <c r="F1531" s="4">
        <f t="shared" si="94"/>
        <v>17</v>
      </c>
      <c r="G1531" s="4" cm="1">
        <f t="array" ref="G1531">IF($C1531+$M1531&lt;16,INDEX(Sheet1!C:C,$F1531),$F1531)</f>
        <v>17</v>
      </c>
      <c r="H1531" s="4" t="str" cm="1">
        <f t="array" ref="H1531">INDEX(Sheet1!D:D,$G1531)</f>
        <v>2001-cso-preferred-class-structure-mortality-tables.xls</v>
      </c>
      <c r="I1531" s="4" t="str" cm="1">
        <f t="array" ref="I1531">INDEX(Sheet1!E:E,$G1531)</f>
        <v>A.1.b.v</v>
      </c>
      <c r="J1531" s="4" t="str" cm="1">
        <f t="array" ref="J1531">INDEX(Sheet1!F:F,$G1531)</f>
        <v>B8</v>
      </c>
      <c r="K1531" s="4" cm="1">
        <f t="array" ref="K1531">INDEX(Sheet1!H:H,$G1531)</f>
        <v>1E-3</v>
      </c>
      <c r="L1531" s="4">
        <f t="shared" si="92"/>
        <v>29</v>
      </c>
      <c r="M1531" s="4">
        <f t="shared" si="95"/>
        <v>5</v>
      </c>
    </row>
    <row r="1532" spans="1:13">
      <c r="A1532" s="4" t="str" cm="1">
        <f t="array" ref="A1532">INDEX(Sheet1!A:A,$F1532)</f>
        <v>F</v>
      </c>
      <c r="B1532" s="4" t="str" cm="1">
        <f t="array" ref="B1532">INDEX(Sheet1!B:B,$F1532)</f>
        <v>Non-Pref SM</v>
      </c>
      <c r="C1532" s="4">
        <f t="shared" si="93"/>
        <v>30</v>
      </c>
      <c r="D1532" s="5" cm="1">
        <f t="array" aca="1" ref="D1532" ca="1">OFFSET(INDIRECT("'["&amp;$H1532&amp;"]"&amp;$I1532&amp;"'!"&amp;$J1532),$L1532,$M1532)*$K1532</f>
        <v>1.1200000000000001E-3</v>
      </c>
      <c r="F1532" s="4">
        <f t="shared" si="94"/>
        <v>17</v>
      </c>
      <c r="G1532" s="4" cm="1">
        <f t="array" ref="G1532">IF($C1532+$M1532&lt;16,INDEX(Sheet1!C:C,$F1532),$F1532)</f>
        <v>17</v>
      </c>
      <c r="H1532" s="4" t="str" cm="1">
        <f t="array" ref="H1532">INDEX(Sheet1!D:D,$G1532)</f>
        <v>2001-cso-preferred-class-structure-mortality-tables.xls</v>
      </c>
      <c r="I1532" s="4" t="str" cm="1">
        <f t="array" ref="I1532">INDEX(Sheet1!E:E,$G1532)</f>
        <v>A.1.b.v</v>
      </c>
      <c r="J1532" s="4" t="str" cm="1">
        <f t="array" ref="J1532">INDEX(Sheet1!F:F,$G1532)</f>
        <v>B8</v>
      </c>
      <c r="K1532" s="4" cm="1">
        <f t="array" ref="K1532">INDEX(Sheet1!H:H,$G1532)</f>
        <v>1E-3</v>
      </c>
      <c r="L1532" s="4">
        <f t="shared" si="92"/>
        <v>30</v>
      </c>
      <c r="M1532" s="4">
        <f t="shared" si="95"/>
        <v>5</v>
      </c>
    </row>
    <row r="1533" spans="1:13">
      <c r="A1533" s="4" t="str" cm="1">
        <f t="array" ref="A1533">INDEX(Sheet1!A:A,$F1533)</f>
        <v>F</v>
      </c>
      <c r="B1533" s="4" t="str" cm="1">
        <f t="array" ref="B1533">INDEX(Sheet1!B:B,$F1533)</f>
        <v>Non-Pref SM</v>
      </c>
      <c r="C1533" s="4">
        <f t="shared" si="93"/>
        <v>31</v>
      </c>
      <c r="D1533" s="5" cm="1">
        <f t="array" aca="1" ref="D1533" ca="1">OFFSET(INDIRECT("'["&amp;$H1533&amp;"]"&amp;$I1533&amp;"'!"&amp;$J1533),$L1533,$M1533)*$K1533</f>
        <v>1.1800000000000001E-3</v>
      </c>
      <c r="F1533" s="4">
        <f t="shared" si="94"/>
        <v>17</v>
      </c>
      <c r="G1533" s="4" cm="1">
        <f t="array" ref="G1533">IF($C1533+$M1533&lt;16,INDEX(Sheet1!C:C,$F1533),$F1533)</f>
        <v>17</v>
      </c>
      <c r="H1533" s="4" t="str" cm="1">
        <f t="array" ref="H1533">INDEX(Sheet1!D:D,$G1533)</f>
        <v>2001-cso-preferred-class-structure-mortality-tables.xls</v>
      </c>
      <c r="I1533" s="4" t="str" cm="1">
        <f t="array" ref="I1533">INDEX(Sheet1!E:E,$G1533)</f>
        <v>A.1.b.v</v>
      </c>
      <c r="J1533" s="4" t="str" cm="1">
        <f t="array" ref="J1533">INDEX(Sheet1!F:F,$G1533)</f>
        <v>B8</v>
      </c>
      <c r="K1533" s="4" cm="1">
        <f t="array" ref="K1533">INDEX(Sheet1!H:H,$G1533)</f>
        <v>1E-3</v>
      </c>
      <c r="L1533" s="4">
        <f t="shared" si="92"/>
        <v>31</v>
      </c>
      <c r="M1533" s="4">
        <f t="shared" si="95"/>
        <v>5</v>
      </c>
    </row>
    <row r="1534" spans="1:13">
      <c r="A1534" s="4" t="str" cm="1">
        <f t="array" ref="A1534">INDEX(Sheet1!A:A,$F1534)</f>
        <v>F</v>
      </c>
      <c r="B1534" s="4" t="str" cm="1">
        <f t="array" ref="B1534">INDEX(Sheet1!B:B,$F1534)</f>
        <v>Non-Pref SM</v>
      </c>
      <c r="C1534" s="4">
        <f t="shared" si="93"/>
        <v>32</v>
      </c>
      <c r="D1534" s="5" cm="1">
        <f t="array" aca="1" ref="D1534" ca="1">OFFSET(INDIRECT("'["&amp;$H1534&amp;"]"&amp;$I1534&amp;"'!"&amp;$J1534),$L1534,$M1534)*$K1534</f>
        <v>1.24E-3</v>
      </c>
      <c r="F1534" s="4">
        <f t="shared" si="94"/>
        <v>17</v>
      </c>
      <c r="G1534" s="4" cm="1">
        <f t="array" ref="G1534">IF($C1534+$M1534&lt;16,INDEX(Sheet1!C:C,$F1534),$F1534)</f>
        <v>17</v>
      </c>
      <c r="H1534" s="4" t="str" cm="1">
        <f t="array" ref="H1534">INDEX(Sheet1!D:D,$G1534)</f>
        <v>2001-cso-preferred-class-structure-mortality-tables.xls</v>
      </c>
      <c r="I1534" s="4" t="str" cm="1">
        <f t="array" ref="I1534">INDEX(Sheet1!E:E,$G1534)</f>
        <v>A.1.b.v</v>
      </c>
      <c r="J1534" s="4" t="str" cm="1">
        <f t="array" ref="J1534">INDEX(Sheet1!F:F,$G1534)</f>
        <v>B8</v>
      </c>
      <c r="K1534" s="4" cm="1">
        <f t="array" ref="K1534">INDEX(Sheet1!H:H,$G1534)</f>
        <v>1E-3</v>
      </c>
      <c r="L1534" s="4">
        <f t="shared" si="92"/>
        <v>32</v>
      </c>
      <c r="M1534" s="4">
        <f t="shared" si="95"/>
        <v>5</v>
      </c>
    </row>
    <row r="1535" spans="1:13">
      <c r="A1535" s="4" t="str" cm="1">
        <f t="array" ref="A1535">INDEX(Sheet1!A:A,$F1535)</f>
        <v>F</v>
      </c>
      <c r="B1535" s="4" t="str" cm="1">
        <f t="array" ref="B1535">INDEX(Sheet1!B:B,$F1535)</f>
        <v>Non-Pref SM</v>
      </c>
      <c r="C1535" s="4">
        <f t="shared" si="93"/>
        <v>33</v>
      </c>
      <c r="D1535" s="5" cm="1">
        <f t="array" aca="1" ref="D1535" ca="1">OFFSET(INDIRECT("'["&amp;$H1535&amp;"]"&amp;$I1535&amp;"'!"&amp;$J1535),$L1535,$M1535)*$K1535</f>
        <v>1.33E-3</v>
      </c>
      <c r="F1535" s="4">
        <f t="shared" si="94"/>
        <v>17</v>
      </c>
      <c r="G1535" s="4" cm="1">
        <f t="array" ref="G1535">IF($C1535+$M1535&lt;16,INDEX(Sheet1!C:C,$F1535),$F1535)</f>
        <v>17</v>
      </c>
      <c r="H1535" s="4" t="str" cm="1">
        <f t="array" ref="H1535">INDEX(Sheet1!D:D,$G1535)</f>
        <v>2001-cso-preferred-class-structure-mortality-tables.xls</v>
      </c>
      <c r="I1535" s="4" t="str" cm="1">
        <f t="array" ref="I1535">INDEX(Sheet1!E:E,$G1535)</f>
        <v>A.1.b.v</v>
      </c>
      <c r="J1535" s="4" t="str" cm="1">
        <f t="array" ref="J1535">INDEX(Sheet1!F:F,$G1535)</f>
        <v>B8</v>
      </c>
      <c r="K1535" s="4" cm="1">
        <f t="array" ref="K1535">INDEX(Sheet1!H:H,$G1535)</f>
        <v>1E-3</v>
      </c>
      <c r="L1535" s="4">
        <f t="shared" si="92"/>
        <v>33</v>
      </c>
      <c r="M1535" s="4">
        <f t="shared" si="95"/>
        <v>5</v>
      </c>
    </row>
    <row r="1536" spans="1:13">
      <c r="A1536" s="4" t="str" cm="1">
        <f t="array" ref="A1536">INDEX(Sheet1!A:A,$F1536)</f>
        <v>F</v>
      </c>
      <c r="B1536" s="4" t="str" cm="1">
        <f t="array" ref="B1536">INDEX(Sheet1!B:B,$F1536)</f>
        <v>Non-Pref SM</v>
      </c>
      <c r="C1536" s="4">
        <f t="shared" si="93"/>
        <v>34</v>
      </c>
      <c r="D1536" s="5" cm="1">
        <f t="array" aca="1" ref="D1536" ca="1">OFFSET(INDIRECT("'["&amp;$H1536&amp;"]"&amp;$I1536&amp;"'!"&amp;$J1536),$L1536,$M1536)*$K1536</f>
        <v>1.41E-3</v>
      </c>
      <c r="F1536" s="4">
        <f t="shared" si="94"/>
        <v>17</v>
      </c>
      <c r="G1536" s="4" cm="1">
        <f t="array" ref="G1536">IF($C1536+$M1536&lt;16,INDEX(Sheet1!C:C,$F1536),$F1536)</f>
        <v>17</v>
      </c>
      <c r="H1536" s="4" t="str" cm="1">
        <f t="array" ref="H1536">INDEX(Sheet1!D:D,$G1536)</f>
        <v>2001-cso-preferred-class-structure-mortality-tables.xls</v>
      </c>
      <c r="I1536" s="4" t="str" cm="1">
        <f t="array" ref="I1536">INDEX(Sheet1!E:E,$G1536)</f>
        <v>A.1.b.v</v>
      </c>
      <c r="J1536" s="4" t="str" cm="1">
        <f t="array" ref="J1536">INDEX(Sheet1!F:F,$G1536)</f>
        <v>B8</v>
      </c>
      <c r="K1536" s="4" cm="1">
        <f t="array" ref="K1536">INDEX(Sheet1!H:H,$G1536)</f>
        <v>1E-3</v>
      </c>
      <c r="L1536" s="4">
        <f t="shared" si="92"/>
        <v>34</v>
      </c>
      <c r="M1536" s="4">
        <f t="shared" si="95"/>
        <v>5</v>
      </c>
    </row>
    <row r="1537" spans="1:13">
      <c r="A1537" s="4" t="str" cm="1">
        <f t="array" ref="A1537">INDEX(Sheet1!A:A,$F1537)</f>
        <v>F</v>
      </c>
      <c r="B1537" s="4" t="str" cm="1">
        <f t="array" ref="B1537">INDEX(Sheet1!B:B,$F1537)</f>
        <v>Non-Pref SM</v>
      </c>
      <c r="C1537" s="4">
        <f t="shared" si="93"/>
        <v>35</v>
      </c>
      <c r="D1537" s="5" cm="1">
        <f t="array" aca="1" ref="D1537" ca="1">OFFSET(INDIRECT("'["&amp;$H1537&amp;"]"&amp;$I1537&amp;"'!"&amp;$J1537),$L1537,$M1537)*$K1537</f>
        <v>1.5400000000000001E-3</v>
      </c>
      <c r="F1537" s="4">
        <f t="shared" si="94"/>
        <v>17</v>
      </c>
      <c r="G1537" s="4" cm="1">
        <f t="array" ref="G1537">IF($C1537+$M1537&lt;16,INDEX(Sheet1!C:C,$F1537),$F1537)</f>
        <v>17</v>
      </c>
      <c r="H1537" s="4" t="str" cm="1">
        <f t="array" ref="H1537">INDEX(Sheet1!D:D,$G1537)</f>
        <v>2001-cso-preferred-class-structure-mortality-tables.xls</v>
      </c>
      <c r="I1537" s="4" t="str" cm="1">
        <f t="array" ref="I1537">INDEX(Sheet1!E:E,$G1537)</f>
        <v>A.1.b.v</v>
      </c>
      <c r="J1537" s="4" t="str" cm="1">
        <f t="array" ref="J1537">INDEX(Sheet1!F:F,$G1537)</f>
        <v>B8</v>
      </c>
      <c r="K1537" s="4" cm="1">
        <f t="array" ref="K1537">INDEX(Sheet1!H:H,$G1537)</f>
        <v>1E-3</v>
      </c>
      <c r="L1537" s="4">
        <f t="shared" si="92"/>
        <v>35</v>
      </c>
      <c r="M1537" s="4">
        <f t="shared" si="95"/>
        <v>5</v>
      </c>
    </row>
    <row r="1538" spans="1:13">
      <c r="A1538" s="4" t="str" cm="1">
        <f t="array" ref="A1538">INDEX(Sheet1!A:A,$F1538)</f>
        <v>F</v>
      </c>
      <c r="B1538" s="4" t="str" cm="1">
        <f t="array" ref="B1538">INDEX(Sheet1!B:B,$F1538)</f>
        <v>Non-Pref SM</v>
      </c>
      <c r="C1538" s="4">
        <f t="shared" si="93"/>
        <v>36</v>
      </c>
      <c r="D1538" s="5" cm="1">
        <f t="array" aca="1" ref="D1538" ca="1">OFFSET(INDIRECT("'["&amp;$H1538&amp;"]"&amp;$I1538&amp;"'!"&amp;$J1538),$L1538,$M1538)*$K1538</f>
        <v>1.67E-3</v>
      </c>
      <c r="F1538" s="4">
        <f t="shared" si="94"/>
        <v>17</v>
      </c>
      <c r="G1538" s="4" cm="1">
        <f t="array" ref="G1538">IF($C1538+$M1538&lt;16,INDEX(Sheet1!C:C,$F1538),$F1538)</f>
        <v>17</v>
      </c>
      <c r="H1538" s="4" t="str" cm="1">
        <f t="array" ref="H1538">INDEX(Sheet1!D:D,$G1538)</f>
        <v>2001-cso-preferred-class-structure-mortality-tables.xls</v>
      </c>
      <c r="I1538" s="4" t="str" cm="1">
        <f t="array" ref="I1538">INDEX(Sheet1!E:E,$G1538)</f>
        <v>A.1.b.v</v>
      </c>
      <c r="J1538" s="4" t="str" cm="1">
        <f t="array" ref="J1538">INDEX(Sheet1!F:F,$G1538)</f>
        <v>B8</v>
      </c>
      <c r="K1538" s="4" cm="1">
        <f t="array" ref="K1538">INDEX(Sheet1!H:H,$G1538)</f>
        <v>1E-3</v>
      </c>
      <c r="L1538" s="4">
        <f t="shared" si="92"/>
        <v>36</v>
      </c>
      <c r="M1538" s="4">
        <f t="shared" si="95"/>
        <v>5</v>
      </c>
    </row>
    <row r="1539" spans="1:13">
      <c r="A1539" s="4" t="str" cm="1">
        <f t="array" ref="A1539">INDEX(Sheet1!A:A,$F1539)</f>
        <v>F</v>
      </c>
      <c r="B1539" s="4" t="str" cm="1">
        <f t="array" ref="B1539">INDEX(Sheet1!B:B,$F1539)</f>
        <v>Non-Pref SM</v>
      </c>
      <c r="C1539" s="4">
        <f t="shared" si="93"/>
        <v>37</v>
      </c>
      <c r="D1539" s="5" cm="1">
        <f t="array" aca="1" ref="D1539" ca="1">OFFSET(INDIRECT("'["&amp;$H1539&amp;"]"&amp;$I1539&amp;"'!"&amp;$J1539),$L1539,$M1539)*$K1539</f>
        <v>1.8400000000000001E-3</v>
      </c>
      <c r="F1539" s="4">
        <f t="shared" si="94"/>
        <v>17</v>
      </c>
      <c r="G1539" s="4" cm="1">
        <f t="array" ref="G1539">IF($C1539+$M1539&lt;16,INDEX(Sheet1!C:C,$F1539),$F1539)</f>
        <v>17</v>
      </c>
      <c r="H1539" s="4" t="str" cm="1">
        <f t="array" ref="H1539">INDEX(Sheet1!D:D,$G1539)</f>
        <v>2001-cso-preferred-class-structure-mortality-tables.xls</v>
      </c>
      <c r="I1539" s="4" t="str" cm="1">
        <f t="array" ref="I1539">INDEX(Sheet1!E:E,$G1539)</f>
        <v>A.1.b.v</v>
      </c>
      <c r="J1539" s="4" t="str" cm="1">
        <f t="array" ref="J1539">INDEX(Sheet1!F:F,$G1539)</f>
        <v>B8</v>
      </c>
      <c r="K1539" s="4" cm="1">
        <f t="array" ref="K1539">INDEX(Sheet1!H:H,$G1539)</f>
        <v>1E-3</v>
      </c>
      <c r="L1539" s="4">
        <f t="shared" ref="L1539:L1602" si="96">C1539</f>
        <v>37</v>
      </c>
      <c r="M1539" s="4">
        <f t="shared" si="95"/>
        <v>5</v>
      </c>
    </row>
    <row r="1540" spans="1:13">
      <c r="A1540" s="4" t="str" cm="1">
        <f t="array" ref="A1540">INDEX(Sheet1!A:A,$F1540)</f>
        <v>F</v>
      </c>
      <c r="B1540" s="4" t="str" cm="1">
        <f t="array" ref="B1540">INDEX(Sheet1!B:B,$F1540)</f>
        <v>Non-Pref SM</v>
      </c>
      <c r="C1540" s="4">
        <f t="shared" ref="C1540:C1603" si="97">IF(C1539=99,0,C1539+1)</f>
        <v>38</v>
      </c>
      <c r="D1540" s="5" cm="1">
        <f t="array" aca="1" ref="D1540" ca="1">OFFSET(INDIRECT("'["&amp;$H1540&amp;"]"&amp;$I1540&amp;"'!"&amp;$J1540),$L1540,$M1540)*$K1540</f>
        <v>2.0299999999999997E-3</v>
      </c>
      <c r="F1540" s="4">
        <f t="shared" ref="F1540:F1603" si="98">IF(C1540=0,1,0)+F1539</f>
        <v>17</v>
      </c>
      <c r="G1540" s="4" cm="1">
        <f t="array" ref="G1540">IF($C1540+$M1540&lt;16,INDEX(Sheet1!C:C,$F1540),$F1540)</f>
        <v>17</v>
      </c>
      <c r="H1540" s="4" t="str" cm="1">
        <f t="array" ref="H1540">INDEX(Sheet1!D:D,$G1540)</f>
        <v>2001-cso-preferred-class-structure-mortality-tables.xls</v>
      </c>
      <c r="I1540" s="4" t="str" cm="1">
        <f t="array" ref="I1540">INDEX(Sheet1!E:E,$G1540)</f>
        <v>A.1.b.v</v>
      </c>
      <c r="J1540" s="4" t="str" cm="1">
        <f t="array" ref="J1540">INDEX(Sheet1!F:F,$G1540)</f>
        <v>B8</v>
      </c>
      <c r="K1540" s="4" cm="1">
        <f t="array" ref="K1540">INDEX(Sheet1!H:H,$G1540)</f>
        <v>1E-3</v>
      </c>
      <c r="L1540" s="4">
        <f t="shared" si="96"/>
        <v>38</v>
      </c>
      <c r="M1540" s="4">
        <f t="shared" ref="L1540:M1603" si="99">M$2</f>
        <v>5</v>
      </c>
    </row>
    <row r="1541" spans="1:13">
      <c r="A1541" s="4" t="str" cm="1">
        <f t="array" ref="A1541">INDEX(Sheet1!A:A,$F1541)</f>
        <v>F</v>
      </c>
      <c r="B1541" s="4" t="str" cm="1">
        <f t="array" ref="B1541">INDEX(Sheet1!B:B,$F1541)</f>
        <v>Non-Pref SM</v>
      </c>
      <c r="C1541" s="4">
        <f t="shared" si="97"/>
        <v>39</v>
      </c>
      <c r="D1541" s="5" cm="1">
        <f t="array" aca="1" ref="D1541" ca="1">OFFSET(INDIRECT("'["&amp;$H1541&amp;"]"&amp;$I1541&amp;"'!"&amp;$J1541),$L1541,$M1541)*$K1541</f>
        <v>2.2400000000000002E-3</v>
      </c>
      <c r="F1541" s="4">
        <f t="shared" si="98"/>
        <v>17</v>
      </c>
      <c r="G1541" s="4" cm="1">
        <f t="array" ref="G1541">IF($C1541+$M1541&lt;16,INDEX(Sheet1!C:C,$F1541),$F1541)</f>
        <v>17</v>
      </c>
      <c r="H1541" s="4" t="str" cm="1">
        <f t="array" ref="H1541">INDEX(Sheet1!D:D,$G1541)</f>
        <v>2001-cso-preferred-class-structure-mortality-tables.xls</v>
      </c>
      <c r="I1541" s="4" t="str" cm="1">
        <f t="array" ref="I1541">INDEX(Sheet1!E:E,$G1541)</f>
        <v>A.1.b.v</v>
      </c>
      <c r="J1541" s="4" t="str" cm="1">
        <f t="array" ref="J1541">INDEX(Sheet1!F:F,$G1541)</f>
        <v>B8</v>
      </c>
      <c r="K1541" s="4" cm="1">
        <f t="array" ref="K1541">INDEX(Sheet1!H:H,$G1541)</f>
        <v>1E-3</v>
      </c>
      <c r="L1541" s="4">
        <f t="shared" si="96"/>
        <v>39</v>
      </c>
      <c r="M1541" s="4">
        <f t="shared" si="99"/>
        <v>5</v>
      </c>
    </row>
    <row r="1542" spans="1:13">
      <c r="A1542" s="4" t="str" cm="1">
        <f t="array" ref="A1542">INDEX(Sheet1!A:A,$F1542)</f>
        <v>F</v>
      </c>
      <c r="B1542" s="4" t="str" cm="1">
        <f t="array" ref="B1542">INDEX(Sheet1!B:B,$F1542)</f>
        <v>Non-Pref SM</v>
      </c>
      <c r="C1542" s="4">
        <f t="shared" si="97"/>
        <v>40</v>
      </c>
      <c r="D1542" s="5" cm="1">
        <f t="array" aca="1" ref="D1542" ca="1">OFFSET(INDIRECT("'["&amp;$H1542&amp;"]"&amp;$I1542&amp;"'!"&amp;$J1542),$L1542,$M1542)*$K1542</f>
        <v>2.4900000000000005E-3</v>
      </c>
      <c r="F1542" s="4">
        <f t="shared" si="98"/>
        <v>17</v>
      </c>
      <c r="G1542" s="4" cm="1">
        <f t="array" ref="G1542">IF($C1542+$M1542&lt;16,INDEX(Sheet1!C:C,$F1542),$F1542)</f>
        <v>17</v>
      </c>
      <c r="H1542" s="4" t="str" cm="1">
        <f t="array" ref="H1542">INDEX(Sheet1!D:D,$G1542)</f>
        <v>2001-cso-preferred-class-structure-mortality-tables.xls</v>
      </c>
      <c r="I1542" s="4" t="str" cm="1">
        <f t="array" ref="I1542">INDEX(Sheet1!E:E,$G1542)</f>
        <v>A.1.b.v</v>
      </c>
      <c r="J1542" s="4" t="str" cm="1">
        <f t="array" ref="J1542">INDEX(Sheet1!F:F,$G1542)</f>
        <v>B8</v>
      </c>
      <c r="K1542" s="4" cm="1">
        <f t="array" ref="K1542">INDEX(Sheet1!H:H,$G1542)</f>
        <v>1E-3</v>
      </c>
      <c r="L1542" s="4">
        <f t="shared" si="96"/>
        <v>40</v>
      </c>
      <c r="M1542" s="4">
        <f t="shared" si="99"/>
        <v>5</v>
      </c>
    </row>
    <row r="1543" spans="1:13">
      <c r="A1543" s="4" t="str" cm="1">
        <f t="array" ref="A1543">INDEX(Sheet1!A:A,$F1543)</f>
        <v>F</v>
      </c>
      <c r="B1543" s="4" t="str" cm="1">
        <f t="array" ref="B1543">INDEX(Sheet1!B:B,$F1543)</f>
        <v>Non-Pref SM</v>
      </c>
      <c r="C1543" s="4">
        <f t="shared" si="97"/>
        <v>41</v>
      </c>
      <c r="D1543" s="5" cm="1">
        <f t="array" aca="1" ref="D1543" ca="1">OFFSET(INDIRECT("'["&amp;$H1543&amp;"]"&amp;$I1543&amp;"'!"&amp;$J1543),$L1543,$M1543)*$K1543</f>
        <v>2.7799999999999999E-3</v>
      </c>
      <c r="F1543" s="4">
        <f t="shared" si="98"/>
        <v>17</v>
      </c>
      <c r="G1543" s="4" cm="1">
        <f t="array" ref="G1543">IF($C1543+$M1543&lt;16,INDEX(Sheet1!C:C,$F1543),$F1543)</f>
        <v>17</v>
      </c>
      <c r="H1543" s="4" t="str" cm="1">
        <f t="array" ref="H1543">INDEX(Sheet1!D:D,$G1543)</f>
        <v>2001-cso-preferred-class-structure-mortality-tables.xls</v>
      </c>
      <c r="I1543" s="4" t="str" cm="1">
        <f t="array" ref="I1543">INDEX(Sheet1!E:E,$G1543)</f>
        <v>A.1.b.v</v>
      </c>
      <c r="J1543" s="4" t="str" cm="1">
        <f t="array" ref="J1543">INDEX(Sheet1!F:F,$G1543)</f>
        <v>B8</v>
      </c>
      <c r="K1543" s="4" cm="1">
        <f t="array" ref="K1543">INDEX(Sheet1!H:H,$G1543)</f>
        <v>1E-3</v>
      </c>
      <c r="L1543" s="4">
        <f t="shared" si="96"/>
        <v>41</v>
      </c>
      <c r="M1543" s="4">
        <f t="shared" si="99"/>
        <v>5</v>
      </c>
    </row>
    <row r="1544" spans="1:13">
      <c r="A1544" s="4" t="str" cm="1">
        <f t="array" ref="A1544">INDEX(Sheet1!A:A,$F1544)</f>
        <v>F</v>
      </c>
      <c r="B1544" s="4" t="str" cm="1">
        <f t="array" ref="B1544">INDEX(Sheet1!B:B,$F1544)</f>
        <v>Non-Pref SM</v>
      </c>
      <c r="C1544" s="4">
        <f t="shared" si="97"/>
        <v>42</v>
      </c>
      <c r="D1544" s="5" cm="1">
        <f t="array" aca="1" ref="D1544" ca="1">OFFSET(INDIRECT("'["&amp;$H1544&amp;"]"&amp;$I1544&amp;"'!"&amp;$J1544),$L1544,$M1544)*$K1544</f>
        <v>3.1099999999999999E-3</v>
      </c>
      <c r="F1544" s="4">
        <f t="shared" si="98"/>
        <v>17</v>
      </c>
      <c r="G1544" s="4" cm="1">
        <f t="array" ref="G1544">IF($C1544+$M1544&lt;16,INDEX(Sheet1!C:C,$F1544),$F1544)</f>
        <v>17</v>
      </c>
      <c r="H1544" s="4" t="str" cm="1">
        <f t="array" ref="H1544">INDEX(Sheet1!D:D,$G1544)</f>
        <v>2001-cso-preferred-class-structure-mortality-tables.xls</v>
      </c>
      <c r="I1544" s="4" t="str" cm="1">
        <f t="array" ref="I1544">INDEX(Sheet1!E:E,$G1544)</f>
        <v>A.1.b.v</v>
      </c>
      <c r="J1544" s="4" t="str" cm="1">
        <f t="array" ref="J1544">INDEX(Sheet1!F:F,$G1544)</f>
        <v>B8</v>
      </c>
      <c r="K1544" s="4" cm="1">
        <f t="array" ref="K1544">INDEX(Sheet1!H:H,$G1544)</f>
        <v>1E-3</v>
      </c>
      <c r="L1544" s="4">
        <f t="shared" si="96"/>
        <v>42</v>
      </c>
      <c r="M1544" s="4">
        <f t="shared" si="99"/>
        <v>5</v>
      </c>
    </row>
    <row r="1545" spans="1:13">
      <c r="A1545" s="4" t="str" cm="1">
        <f t="array" ref="A1545">INDEX(Sheet1!A:A,$F1545)</f>
        <v>F</v>
      </c>
      <c r="B1545" s="4" t="str" cm="1">
        <f t="array" ref="B1545">INDEX(Sheet1!B:B,$F1545)</f>
        <v>Non-Pref SM</v>
      </c>
      <c r="C1545" s="4">
        <f t="shared" si="97"/>
        <v>43</v>
      </c>
      <c r="D1545" s="5" cm="1">
        <f t="array" aca="1" ref="D1545" ca="1">OFFSET(INDIRECT("'["&amp;$H1545&amp;"]"&amp;$I1545&amp;"'!"&amp;$J1545),$L1545,$M1545)*$K1545</f>
        <v>3.5099999999999997E-3</v>
      </c>
      <c r="F1545" s="4">
        <f t="shared" si="98"/>
        <v>17</v>
      </c>
      <c r="G1545" s="4" cm="1">
        <f t="array" ref="G1545">IF($C1545+$M1545&lt;16,INDEX(Sheet1!C:C,$F1545),$F1545)</f>
        <v>17</v>
      </c>
      <c r="H1545" s="4" t="str" cm="1">
        <f t="array" ref="H1545">INDEX(Sheet1!D:D,$G1545)</f>
        <v>2001-cso-preferred-class-structure-mortality-tables.xls</v>
      </c>
      <c r="I1545" s="4" t="str" cm="1">
        <f t="array" ref="I1545">INDEX(Sheet1!E:E,$G1545)</f>
        <v>A.1.b.v</v>
      </c>
      <c r="J1545" s="4" t="str" cm="1">
        <f t="array" ref="J1545">INDEX(Sheet1!F:F,$G1545)</f>
        <v>B8</v>
      </c>
      <c r="K1545" s="4" cm="1">
        <f t="array" ref="K1545">INDEX(Sheet1!H:H,$G1545)</f>
        <v>1E-3</v>
      </c>
      <c r="L1545" s="4">
        <f t="shared" si="96"/>
        <v>43</v>
      </c>
      <c r="M1545" s="4">
        <f t="shared" si="99"/>
        <v>5</v>
      </c>
    </row>
    <row r="1546" spans="1:13">
      <c r="A1546" s="4" t="str" cm="1">
        <f t="array" ref="A1546">INDEX(Sheet1!A:A,$F1546)</f>
        <v>F</v>
      </c>
      <c r="B1546" s="4" t="str" cm="1">
        <f t="array" ref="B1546">INDEX(Sheet1!B:B,$F1546)</f>
        <v>Non-Pref SM</v>
      </c>
      <c r="C1546" s="4">
        <f t="shared" si="97"/>
        <v>44</v>
      </c>
      <c r="D1546" s="5" cm="1">
        <f t="array" aca="1" ref="D1546" ca="1">OFFSET(INDIRECT("'["&amp;$H1546&amp;"]"&amp;$I1546&amp;"'!"&amp;$J1546),$L1546,$M1546)*$K1546</f>
        <v>3.9399999999999999E-3</v>
      </c>
      <c r="F1546" s="4">
        <f t="shared" si="98"/>
        <v>17</v>
      </c>
      <c r="G1546" s="4" cm="1">
        <f t="array" ref="G1546">IF($C1546+$M1546&lt;16,INDEX(Sheet1!C:C,$F1546),$F1546)</f>
        <v>17</v>
      </c>
      <c r="H1546" s="4" t="str" cm="1">
        <f t="array" ref="H1546">INDEX(Sheet1!D:D,$G1546)</f>
        <v>2001-cso-preferred-class-structure-mortality-tables.xls</v>
      </c>
      <c r="I1546" s="4" t="str" cm="1">
        <f t="array" ref="I1546">INDEX(Sheet1!E:E,$G1546)</f>
        <v>A.1.b.v</v>
      </c>
      <c r="J1546" s="4" t="str" cm="1">
        <f t="array" ref="J1546">INDEX(Sheet1!F:F,$G1546)</f>
        <v>B8</v>
      </c>
      <c r="K1546" s="4" cm="1">
        <f t="array" ref="K1546">INDEX(Sheet1!H:H,$G1546)</f>
        <v>1E-3</v>
      </c>
      <c r="L1546" s="4">
        <f t="shared" si="96"/>
        <v>44</v>
      </c>
      <c r="M1546" s="4">
        <f t="shared" si="99"/>
        <v>5</v>
      </c>
    </row>
    <row r="1547" spans="1:13">
      <c r="A1547" s="4" t="str" cm="1">
        <f t="array" ref="A1547">INDEX(Sheet1!A:A,$F1547)</f>
        <v>F</v>
      </c>
      <c r="B1547" s="4" t="str" cm="1">
        <f t="array" ref="B1547">INDEX(Sheet1!B:B,$F1547)</f>
        <v>Non-Pref SM</v>
      </c>
      <c r="C1547" s="4">
        <f t="shared" si="97"/>
        <v>45</v>
      </c>
      <c r="D1547" s="5" cm="1">
        <f t="array" aca="1" ref="D1547" ca="1">OFFSET(INDIRECT("'["&amp;$H1547&amp;"]"&amp;$I1547&amp;"'!"&amp;$J1547),$L1547,$M1547)*$K1547</f>
        <v>4.4299999999999999E-3</v>
      </c>
      <c r="F1547" s="4">
        <f t="shared" si="98"/>
        <v>17</v>
      </c>
      <c r="G1547" s="4" cm="1">
        <f t="array" ref="G1547">IF($C1547+$M1547&lt;16,INDEX(Sheet1!C:C,$F1547),$F1547)</f>
        <v>17</v>
      </c>
      <c r="H1547" s="4" t="str" cm="1">
        <f t="array" ref="H1547">INDEX(Sheet1!D:D,$G1547)</f>
        <v>2001-cso-preferred-class-structure-mortality-tables.xls</v>
      </c>
      <c r="I1547" s="4" t="str" cm="1">
        <f t="array" ref="I1547">INDEX(Sheet1!E:E,$G1547)</f>
        <v>A.1.b.v</v>
      </c>
      <c r="J1547" s="4" t="str" cm="1">
        <f t="array" ref="J1547">INDEX(Sheet1!F:F,$G1547)</f>
        <v>B8</v>
      </c>
      <c r="K1547" s="4" cm="1">
        <f t="array" ref="K1547">INDEX(Sheet1!H:H,$G1547)</f>
        <v>1E-3</v>
      </c>
      <c r="L1547" s="4">
        <f t="shared" si="96"/>
        <v>45</v>
      </c>
      <c r="M1547" s="4">
        <f t="shared" si="99"/>
        <v>5</v>
      </c>
    </row>
    <row r="1548" spans="1:13">
      <c r="A1548" s="4" t="str" cm="1">
        <f t="array" ref="A1548">INDEX(Sheet1!A:A,$F1548)</f>
        <v>F</v>
      </c>
      <c r="B1548" s="4" t="str" cm="1">
        <f t="array" ref="B1548">INDEX(Sheet1!B:B,$F1548)</f>
        <v>Non-Pref SM</v>
      </c>
      <c r="C1548" s="4">
        <f t="shared" si="97"/>
        <v>46</v>
      </c>
      <c r="D1548" s="5" cm="1">
        <f t="array" aca="1" ref="D1548" ca="1">OFFSET(INDIRECT("'["&amp;$H1548&amp;"]"&amp;$I1548&amp;"'!"&amp;$J1548),$L1548,$M1548)*$K1548</f>
        <v>4.9100000000000003E-3</v>
      </c>
      <c r="F1548" s="4">
        <f t="shared" si="98"/>
        <v>17</v>
      </c>
      <c r="G1548" s="4" cm="1">
        <f t="array" ref="G1548">IF($C1548+$M1548&lt;16,INDEX(Sheet1!C:C,$F1548),$F1548)</f>
        <v>17</v>
      </c>
      <c r="H1548" s="4" t="str" cm="1">
        <f t="array" ref="H1548">INDEX(Sheet1!D:D,$G1548)</f>
        <v>2001-cso-preferred-class-structure-mortality-tables.xls</v>
      </c>
      <c r="I1548" s="4" t="str" cm="1">
        <f t="array" ref="I1548">INDEX(Sheet1!E:E,$G1548)</f>
        <v>A.1.b.v</v>
      </c>
      <c r="J1548" s="4" t="str" cm="1">
        <f t="array" ref="J1548">INDEX(Sheet1!F:F,$G1548)</f>
        <v>B8</v>
      </c>
      <c r="K1548" s="4" cm="1">
        <f t="array" ref="K1548">INDEX(Sheet1!H:H,$G1548)</f>
        <v>1E-3</v>
      </c>
      <c r="L1548" s="4">
        <f t="shared" si="96"/>
        <v>46</v>
      </c>
      <c r="M1548" s="4">
        <f t="shared" si="99"/>
        <v>5</v>
      </c>
    </row>
    <row r="1549" spans="1:13">
      <c r="A1549" s="4" t="str" cm="1">
        <f t="array" ref="A1549">INDEX(Sheet1!A:A,$F1549)</f>
        <v>F</v>
      </c>
      <c r="B1549" s="4" t="str" cm="1">
        <f t="array" ref="B1549">INDEX(Sheet1!B:B,$F1549)</f>
        <v>Non-Pref SM</v>
      </c>
      <c r="C1549" s="4">
        <f t="shared" si="97"/>
        <v>47</v>
      </c>
      <c r="D1549" s="5" cm="1">
        <f t="array" aca="1" ref="D1549" ca="1">OFFSET(INDIRECT("'["&amp;$H1549&amp;"]"&amp;$I1549&amp;"'!"&amp;$J1549),$L1549,$M1549)*$K1549</f>
        <v>5.4400000000000004E-3</v>
      </c>
      <c r="F1549" s="4">
        <f t="shared" si="98"/>
        <v>17</v>
      </c>
      <c r="G1549" s="4" cm="1">
        <f t="array" ref="G1549">IF($C1549+$M1549&lt;16,INDEX(Sheet1!C:C,$F1549),$F1549)</f>
        <v>17</v>
      </c>
      <c r="H1549" s="4" t="str" cm="1">
        <f t="array" ref="H1549">INDEX(Sheet1!D:D,$G1549)</f>
        <v>2001-cso-preferred-class-structure-mortality-tables.xls</v>
      </c>
      <c r="I1549" s="4" t="str" cm="1">
        <f t="array" ref="I1549">INDEX(Sheet1!E:E,$G1549)</f>
        <v>A.1.b.v</v>
      </c>
      <c r="J1549" s="4" t="str" cm="1">
        <f t="array" ref="J1549">INDEX(Sheet1!F:F,$G1549)</f>
        <v>B8</v>
      </c>
      <c r="K1549" s="4" cm="1">
        <f t="array" ref="K1549">INDEX(Sheet1!H:H,$G1549)</f>
        <v>1E-3</v>
      </c>
      <c r="L1549" s="4">
        <f t="shared" si="96"/>
        <v>47</v>
      </c>
      <c r="M1549" s="4">
        <f t="shared" si="99"/>
        <v>5</v>
      </c>
    </row>
    <row r="1550" spans="1:13">
      <c r="A1550" s="4" t="str" cm="1">
        <f t="array" ref="A1550">INDEX(Sheet1!A:A,$F1550)</f>
        <v>F</v>
      </c>
      <c r="B1550" s="4" t="str" cm="1">
        <f t="array" ref="B1550">INDEX(Sheet1!B:B,$F1550)</f>
        <v>Non-Pref SM</v>
      </c>
      <c r="C1550" s="4">
        <f t="shared" si="97"/>
        <v>48</v>
      </c>
      <c r="D1550" s="5" cm="1">
        <f t="array" aca="1" ref="D1550" ca="1">OFFSET(INDIRECT("'["&amp;$H1550&amp;"]"&amp;$I1550&amp;"'!"&amp;$J1550),$L1550,$M1550)*$K1550</f>
        <v>5.9400000000000008E-3</v>
      </c>
      <c r="F1550" s="4">
        <f t="shared" si="98"/>
        <v>17</v>
      </c>
      <c r="G1550" s="4" cm="1">
        <f t="array" ref="G1550">IF($C1550+$M1550&lt;16,INDEX(Sheet1!C:C,$F1550),$F1550)</f>
        <v>17</v>
      </c>
      <c r="H1550" s="4" t="str" cm="1">
        <f t="array" ref="H1550">INDEX(Sheet1!D:D,$G1550)</f>
        <v>2001-cso-preferred-class-structure-mortality-tables.xls</v>
      </c>
      <c r="I1550" s="4" t="str" cm="1">
        <f t="array" ref="I1550">INDEX(Sheet1!E:E,$G1550)</f>
        <v>A.1.b.v</v>
      </c>
      <c r="J1550" s="4" t="str" cm="1">
        <f t="array" ref="J1550">INDEX(Sheet1!F:F,$G1550)</f>
        <v>B8</v>
      </c>
      <c r="K1550" s="4" cm="1">
        <f t="array" ref="K1550">INDEX(Sheet1!H:H,$G1550)</f>
        <v>1E-3</v>
      </c>
      <c r="L1550" s="4">
        <f t="shared" si="96"/>
        <v>48</v>
      </c>
      <c r="M1550" s="4">
        <f t="shared" si="99"/>
        <v>5</v>
      </c>
    </row>
    <row r="1551" spans="1:13">
      <c r="A1551" s="4" t="str" cm="1">
        <f t="array" ref="A1551">INDEX(Sheet1!A:A,$F1551)</f>
        <v>F</v>
      </c>
      <c r="B1551" s="4" t="str" cm="1">
        <f t="array" ref="B1551">INDEX(Sheet1!B:B,$F1551)</f>
        <v>Non-Pref SM</v>
      </c>
      <c r="C1551" s="4">
        <f t="shared" si="97"/>
        <v>49</v>
      </c>
      <c r="D1551" s="5" cm="1">
        <f t="array" aca="1" ref="D1551" ca="1">OFFSET(INDIRECT("'["&amp;$H1551&amp;"]"&amp;$I1551&amp;"'!"&amp;$J1551),$L1551,$M1551)*$K1551</f>
        <v>6.4600000000000005E-3</v>
      </c>
      <c r="F1551" s="4">
        <f t="shared" si="98"/>
        <v>17</v>
      </c>
      <c r="G1551" s="4" cm="1">
        <f t="array" ref="G1551">IF($C1551+$M1551&lt;16,INDEX(Sheet1!C:C,$F1551),$F1551)</f>
        <v>17</v>
      </c>
      <c r="H1551" s="4" t="str" cm="1">
        <f t="array" ref="H1551">INDEX(Sheet1!D:D,$G1551)</f>
        <v>2001-cso-preferred-class-structure-mortality-tables.xls</v>
      </c>
      <c r="I1551" s="4" t="str" cm="1">
        <f t="array" ref="I1551">INDEX(Sheet1!E:E,$G1551)</f>
        <v>A.1.b.v</v>
      </c>
      <c r="J1551" s="4" t="str" cm="1">
        <f t="array" ref="J1551">INDEX(Sheet1!F:F,$G1551)</f>
        <v>B8</v>
      </c>
      <c r="K1551" s="4" cm="1">
        <f t="array" ref="K1551">INDEX(Sheet1!H:H,$G1551)</f>
        <v>1E-3</v>
      </c>
      <c r="L1551" s="4">
        <f t="shared" si="96"/>
        <v>49</v>
      </c>
      <c r="M1551" s="4">
        <f t="shared" si="99"/>
        <v>5</v>
      </c>
    </row>
    <row r="1552" spans="1:13">
      <c r="A1552" s="4" t="str" cm="1">
        <f t="array" ref="A1552">INDEX(Sheet1!A:A,$F1552)</f>
        <v>F</v>
      </c>
      <c r="B1552" s="4" t="str" cm="1">
        <f t="array" ref="B1552">INDEX(Sheet1!B:B,$F1552)</f>
        <v>Non-Pref SM</v>
      </c>
      <c r="C1552" s="4">
        <f t="shared" si="97"/>
        <v>50</v>
      </c>
      <c r="D1552" s="5" cm="1">
        <f t="array" aca="1" ref="D1552" ca="1">OFFSET(INDIRECT("'["&amp;$H1552&amp;"]"&amp;$I1552&amp;"'!"&amp;$J1552),$L1552,$M1552)*$K1552</f>
        <v>6.9299999999999995E-3</v>
      </c>
      <c r="F1552" s="4">
        <f t="shared" si="98"/>
        <v>17</v>
      </c>
      <c r="G1552" s="4" cm="1">
        <f t="array" ref="G1552">IF($C1552+$M1552&lt;16,INDEX(Sheet1!C:C,$F1552),$F1552)</f>
        <v>17</v>
      </c>
      <c r="H1552" s="4" t="str" cm="1">
        <f t="array" ref="H1552">INDEX(Sheet1!D:D,$G1552)</f>
        <v>2001-cso-preferred-class-structure-mortality-tables.xls</v>
      </c>
      <c r="I1552" s="4" t="str" cm="1">
        <f t="array" ref="I1552">INDEX(Sheet1!E:E,$G1552)</f>
        <v>A.1.b.v</v>
      </c>
      <c r="J1552" s="4" t="str" cm="1">
        <f t="array" ref="J1552">INDEX(Sheet1!F:F,$G1552)</f>
        <v>B8</v>
      </c>
      <c r="K1552" s="4" cm="1">
        <f t="array" ref="K1552">INDEX(Sheet1!H:H,$G1552)</f>
        <v>1E-3</v>
      </c>
      <c r="L1552" s="4">
        <f t="shared" si="96"/>
        <v>50</v>
      </c>
      <c r="M1552" s="4">
        <f t="shared" si="99"/>
        <v>5</v>
      </c>
    </row>
    <row r="1553" spans="1:13">
      <c r="A1553" s="4" t="str" cm="1">
        <f t="array" ref="A1553">INDEX(Sheet1!A:A,$F1553)</f>
        <v>F</v>
      </c>
      <c r="B1553" s="4" t="str" cm="1">
        <f t="array" ref="B1553">INDEX(Sheet1!B:B,$F1553)</f>
        <v>Non-Pref SM</v>
      </c>
      <c r="C1553" s="4">
        <f t="shared" si="97"/>
        <v>51</v>
      </c>
      <c r="D1553" s="5" cm="1">
        <f t="array" aca="1" ref="D1553" ca="1">OFFSET(INDIRECT("'["&amp;$H1553&amp;"]"&amp;$I1553&amp;"'!"&amp;$J1553),$L1553,$M1553)*$K1553</f>
        <v>7.43E-3</v>
      </c>
      <c r="F1553" s="4">
        <f t="shared" si="98"/>
        <v>17</v>
      </c>
      <c r="G1553" s="4" cm="1">
        <f t="array" ref="G1553">IF($C1553+$M1553&lt;16,INDEX(Sheet1!C:C,$F1553),$F1553)</f>
        <v>17</v>
      </c>
      <c r="H1553" s="4" t="str" cm="1">
        <f t="array" ref="H1553">INDEX(Sheet1!D:D,$G1553)</f>
        <v>2001-cso-preferred-class-structure-mortality-tables.xls</v>
      </c>
      <c r="I1553" s="4" t="str" cm="1">
        <f t="array" ref="I1553">INDEX(Sheet1!E:E,$G1553)</f>
        <v>A.1.b.v</v>
      </c>
      <c r="J1553" s="4" t="str" cm="1">
        <f t="array" ref="J1553">INDEX(Sheet1!F:F,$G1553)</f>
        <v>B8</v>
      </c>
      <c r="K1553" s="4" cm="1">
        <f t="array" ref="K1553">INDEX(Sheet1!H:H,$G1553)</f>
        <v>1E-3</v>
      </c>
      <c r="L1553" s="4">
        <f t="shared" si="96"/>
        <v>51</v>
      </c>
      <c r="M1553" s="4">
        <f t="shared" si="99"/>
        <v>5</v>
      </c>
    </row>
    <row r="1554" spans="1:13">
      <c r="A1554" s="4" t="str" cm="1">
        <f t="array" ref="A1554">INDEX(Sheet1!A:A,$F1554)</f>
        <v>F</v>
      </c>
      <c r="B1554" s="4" t="str" cm="1">
        <f t="array" ref="B1554">INDEX(Sheet1!B:B,$F1554)</f>
        <v>Non-Pref SM</v>
      </c>
      <c r="C1554" s="4">
        <f t="shared" si="97"/>
        <v>52</v>
      </c>
      <c r="D1554" s="5" cm="1">
        <f t="array" aca="1" ref="D1554" ca="1">OFFSET(INDIRECT("'["&amp;$H1554&amp;"]"&amp;$I1554&amp;"'!"&amp;$J1554),$L1554,$M1554)*$K1554</f>
        <v>7.92E-3</v>
      </c>
      <c r="F1554" s="4">
        <f t="shared" si="98"/>
        <v>17</v>
      </c>
      <c r="G1554" s="4" cm="1">
        <f t="array" ref="G1554">IF($C1554+$M1554&lt;16,INDEX(Sheet1!C:C,$F1554),$F1554)</f>
        <v>17</v>
      </c>
      <c r="H1554" s="4" t="str" cm="1">
        <f t="array" ref="H1554">INDEX(Sheet1!D:D,$G1554)</f>
        <v>2001-cso-preferred-class-structure-mortality-tables.xls</v>
      </c>
      <c r="I1554" s="4" t="str" cm="1">
        <f t="array" ref="I1554">INDEX(Sheet1!E:E,$G1554)</f>
        <v>A.1.b.v</v>
      </c>
      <c r="J1554" s="4" t="str" cm="1">
        <f t="array" ref="J1554">INDEX(Sheet1!F:F,$G1554)</f>
        <v>B8</v>
      </c>
      <c r="K1554" s="4" cm="1">
        <f t="array" ref="K1554">INDEX(Sheet1!H:H,$G1554)</f>
        <v>1E-3</v>
      </c>
      <c r="L1554" s="4">
        <f t="shared" si="96"/>
        <v>52</v>
      </c>
      <c r="M1554" s="4">
        <f t="shared" si="99"/>
        <v>5</v>
      </c>
    </row>
    <row r="1555" spans="1:13">
      <c r="A1555" s="4" t="str" cm="1">
        <f t="array" ref="A1555">INDEX(Sheet1!A:A,$F1555)</f>
        <v>F</v>
      </c>
      <c r="B1555" s="4" t="str" cm="1">
        <f t="array" ref="B1555">INDEX(Sheet1!B:B,$F1555)</f>
        <v>Non-Pref SM</v>
      </c>
      <c r="C1555" s="4">
        <f t="shared" si="97"/>
        <v>53</v>
      </c>
      <c r="D1555" s="5" cm="1">
        <f t="array" aca="1" ref="D1555" ca="1">OFFSET(INDIRECT("'["&amp;$H1555&amp;"]"&amp;$I1555&amp;"'!"&amp;$J1555),$L1555,$M1555)*$K1555</f>
        <v>8.43E-3</v>
      </c>
      <c r="F1555" s="4">
        <f t="shared" si="98"/>
        <v>17</v>
      </c>
      <c r="G1555" s="4" cm="1">
        <f t="array" ref="G1555">IF($C1555+$M1555&lt;16,INDEX(Sheet1!C:C,$F1555),$F1555)</f>
        <v>17</v>
      </c>
      <c r="H1555" s="4" t="str" cm="1">
        <f t="array" ref="H1555">INDEX(Sheet1!D:D,$G1555)</f>
        <v>2001-cso-preferred-class-structure-mortality-tables.xls</v>
      </c>
      <c r="I1555" s="4" t="str" cm="1">
        <f t="array" ref="I1555">INDEX(Sheet1!E:E,$G1555)</f>
        <v>A.1.b.v</v>
      </c>
      <c r="J1555" s="4" t="str" cm="1">
        <f t="array" ref="J1555">INDEX(Sheet1!F:F,$G1555)</f>
        <v>B8</v>
      </c>
      <c r="K1555" s="4" cm="1">
        <f t="array" ref="K1555">INDEX(Sheet1!H:H,$G1555)</f>
        <v>1E-3</v>
      </c>
      <c r="L1555" s="4">
        <f t="shared" si="96"/>
        <v>53</v>
      </c>
      <c r="M1555" s="4">
        <f t="shared" si="99"/>
        <v>5</v>
      </c>
    </row>
    <row r="1556" spans="1:13">
      <c r="A1556" s="4" t="str" cm="1">
        <f t="array" ref="A1556">INDEX(Sheet1!A:A,$F1556)</f>
        <v>F</v>
      </c>
      <c r="B1556" s="4" t="str" cm="1">
        <f t="array" ref="B1556">INDEX(Sheet1!B:B,$F1556)</f>
        <v>Non-Pref SM</v>
      </c>
      <c r="C1556" s="4">
        <f t="shared" si="97"/>
        <v>54</v>
      </c>
      <c r="D1556" s="5" cm="1">
        <f t="array" aca="1" ref="D1556" ca="1">OFFSET(INDIRECT("'["&amp;$H1556&amp;"]"&amp;$I1556&amp;"'!"&amp;$J1556),$L1556,$M1556)*$K1556</f>
        <v>8.9499999999999996E-3</v>
      </c>
      <c r="F1556" s="4">
        <f t="shared" si="98"/>
        <v>17</v>
      </c>
      <c r="G1556" s="4" cm="1">
        <f t="array" ref="G1556">IF($C1556+$M1556&lt;16,INDEX(Sheet1!C:C,$F1556),$F1556)</f>
        <v>17</v>
      </c>
      <c r="H1556" s="4" t="str" cm="1">
        <f t="array" ref="H1556">INDEX(Sheet1!D:D,$G1556)</f>
        <v>2001-cso-preferred-class-structure-mortality-tables.xls</v>
      </c>
      <c r="I1556" s="4" t="str" cm="1">
        <f t="array" ref="I1556">INDEX(Sheet1!E:E,$G1556)</f>
        <v>A.1.b.v</v>
      </c>
      <c r="J1556" s="4" t="str" cm="1">
        <f t="array" ref="J1556">INDEX(Sheet1!F:F,$G1556)</f>
        <v>B8</v>
      </c>
      <c r="K1556" s="4" cm="1">
        <f t="array" ref="K1556">INDEX(Sheet1!H:H,$G1556)</f>
        <v>1E-3</v>
      </c>
      <c r="L1556" s="4">
        <f t="shared" si="96"/>
        <v>54</v>
      </c>
      <c r="M1556" s="4">
        <f t="shared" si="99"/>
        <v>5</v>
      </c>
    </row>
    <row r="1557" spans="1:13">
      <c r="A1557" s="4" t="str" cm="1">
        <f t="array" ref="A1557">INDEX(Sheet1!A:A,$F1557)</f>
        <v>F</v>
      </c>
      <c r="B1557" s="4" t="str" cm="1">
        <f t="array" ref="B1557">INDEX(Sheet1!B:B,$F1557)</f>
        <v>Non-Pref SM</v>
      </c>
      <c r="C1557" s="4">
        <f t="shared" si="97"/>
        <v>55</v>
      </c>
      <c r="D1557" s="5" cm="1">
        <f t="array" aca="1" ref="D1557" ca="1">OFFSET(INDIRECT("'["&amp;$H1557&amp;"]"&amp;$I1557&amp;"'!"&amp;$J1557),$L1557,$M1557)*$K1557</f>
        <v>9.5500000000000012E-3</v>
      </c>
      <c r="F1557" s="4">
        <f t="shared" si="98"/>
        <v>17</v>
      </c>
      <c r="G1557" s="4" cm="1">
        <f t="array" ref="G1557">IF($C1557+$M1557&lt;16,INDEX(Sheet1!C:C,$F1557),$F1557)</f>
        <v>17</v>
      </c>
      <c r="H1557" s="4" t="str" cm="1">
        <f t="array" ref="H1557">INDEX(Sheet1!D:D,$G1557)</f>
        <v>2001-cso-preferred-class-structure-mortality-tables.xls</v>
      </c>
      <c r="I1557" s="4" t="str" cm="1">
        <f t="array" ref="I1557">INDEX(Sheet1!E:E,$G1557)</f>
        <v>A.1.b.v</v>
      </c>
      <c r="J1557" s="4" t="str" cm="1">
        <f t="array" ref="J1557">INDEX(Sheet1!F:F,$G1557)</f>
        <v>B8</v>
      </c>
      <c r="K1557" s="4" cm="1">
        <f t="array" ref="K1557">INDEX(Sheet1!H:H,$G1557)</f>
        <v>1E-3</v>
      </c>
      <c r="L1557" s="4">
        <f t="shared" si="96"/>
        <v>55</v>
      </c>
      <c r="M1557" s="4">
        <f t="shared" si="99"/>
        <v>5</v>
      </c>
    </row>
    <row r="1558" spans="1:13">
      <c r="A1558" s="4" t="str" cm="1">
        <f t="array" ref="A1558">INDEX(Sheet1!A:A,$F1558)</f>
        <v>F</v>
      </c>
      <c r="B1558" s="4" t="str" cm="1">
        <f t="array" ref="B1558">INDEX(Sheet1!B:B,$F1558)</f>
        <v>Non-Pref SM</v>
      </c>
      <c r="C1558" s="4">
        <f t="shared" si="97"/>
        <v>56</v>
      </c>
      <c r="D1558" s="5" cm="1">
        <f t="array" aca="1" ref="D1558" ca="1">OFFSET(INDIRECT("'["&amp;$H1558&amp;"]"&amp;$I1558&amp;"'!"&amp;$J1558),$L1558,$M1558)*$K1558</f>
        <v>1.01E-2</v>
      </c>
      <c r="F1558" s="4">
        <f t="shared" si="98"/>
        <v>17</v>
      </c>
      <c r="G1558" s="4" cm="1">
        <f t="array" ref="G1558">IF($C1558+$M1558&lt;16,INDEX(Sheet1!C:C,$F1558),$F1558)</f>
        <v>17</v>
      </c>
      <c r="H1558" s="4" t="str" cm="1">
        <f t="array" ref="H1558">INDEX(Sheet1!D:D,$G1558)</f>
        <v>2001-cso-preferred-class-structure-mortality-tables.xls</v>
      </c>
      <c r="I1558" s="4" t="str" cm="1">
        <f t="array" ref="I1558">INDEX(Sheet1!E:E,$G1558)</f>
        <v>A.1.b.v</v>
      </c>
      <c r="J1558" s="4" t="str" cm="1">
        <f t="array" ref="J1558">INDEX(Sheet1!F:F,$G1558)</f>
        <v>B8</v>
      </c>
      <c r="K1558" s="4" cm="1">
        <f t="array" ref="K1558">INDEX(Sheet1!H:H,$G1558)</f>
        <v>1E-3</v>
      </c>
      <c r="L1558" s="4">
        <f t="shared" si="96"/>
        <v>56</v>
      </c>
      <c r="M1558" s="4">
        <f t="shared" si="99"/>
        <v>5</v>
      </c>
    </row>
    <row r="1559" spans="1:13">
      <c r="A1559" s="4" t="str" cm="1">
        <f t="array" ref="A1559">INDEX(Sheet1!A:A,$F1559)</f>
        <v>F</v>
      </c>
      <c r="B1559" s="4" t="str" cm="1">
        <f t="array" ref="B1559">INDEX(Sheet1!B:B,$F1559)</f>
        <v>Non-Pref SM</v>
      </c>
      <c r="C1559" s="4">
        <f t="shared" si="97"/>
        <v>57</v>
      </c>
      <c r="D1559" s="5" cm="1">
        <f t="array" aca="1" ref="D1559" ca="1">OFFSET(INDIRECT("'["&amp;$H1559&amp;"]"&amp;$I1559&amp;"'!"&amp;$J1559),$L1559,$M1559)*$K1559</f>
        <v>1.0740000000000001E-2</v>
      </c>
      <c r="F1559" s="4">
        <f t="shared" si="98"/>
        <v>17</v>
      </c>
      <c r="G1559" s="4" cm="1">
        <f t="array" ref="G1559">IF($C1559+$M1559&lt;16,INDEX(Sheet1!C:C,$F1559),$F1559)</f>
        <v>17</v>
      </c>
      <c r="H1559" s="4" t="str" cm="1">
        <f t="array" ref="H1559">INDEX(Sheet1!D:D,$G1559)</f>
        <v>2001-cso-preferred-class-structure-mortality-tables.xls</v>
      </c>
      <c r="I1559" s="4" t="str" cm="1">
        <f t="array" ref="I1559">INDEX(Sheet1!E:E,$G1559)</f>
        <v>A.1.b.v</v>
      </c>
      <c r="J1559" s="4" t="str" cm="1">
        <f t="array" ref="J1559">INDEX(Sheet1!F:F,$G1559)</f>
        <v>B8</v>
      </c>
      <c r="K1559" s="4" cm="1">
        <f t="array" ref="K1559">INDEX(Sheet1!H:H,$G1559)</f>
        <v>1E-3</v>
      </c>
      <c r="L1559" s="4">
        <f t="shared" si="96"/>
        <v>57</v>
      </c>
      <c r="M1559" s="4">
        <f t="shared" si="99"/>
        <v>5</v>
      </c>
    </row>
    <row r="1560" spans="1:13">
      <c r="A1560" s="4" t="str" cm="1">
        <f t="array" ref="A1560">INDEX(Sheet1!A:A,$F1560)</f>
        <v>F</v>
      </c>
      <c r="B1560" s="4" t="str" cm="1">
        <f t="array" ref="B1560">INDEX(Sheet1!B:B,$F1560)</f>
        <v>Non-Pref SM</v>
      </c>
      <c r="C1560" s="4">
        <f t="shared" si="97"/>
        <v>58</v>
      </c>
      <c r="D1560" s="5" cm="1">
        <f t="array" aca="1" ref="D1560" ca="1">OFFSET(INDIRECT("'["&amp;$H1560&amp;"]"&amp;$I1560&amp;"'!"&amp;$J1560),$L1560,$M1560)*$K1560</f>
        <v>1.1480000000000001E-2</v>
      </c>
      <c r="F1560" s="4">
        <f t="shared" si="98"/>
        <v>17</v>
      </c>
      <c r="G1560" s="4" cm="1">
        <f t="array" ref="G1560">IF($C1560+$M1560&lt;16,INDEX(Sheet1!C:C,$F1560),$F1560)</f>
        <v>17</v>
      </c>
      <c r="H1560" s="4" t="str" cm="1">
        <f t="array" ref="H1560">INDEX(Sheet1!D:D,$G1560)</f>
        <v>2001-cso-preferred-class-structure-mortality-tables.xls</v>
      </c>
      <c r="I1560" s="4" t="str" cm="1">
        <f t="array" ref="I1560">INDEX(Sheet1!E:E,$G1560)</f>
        <v>A.1.b.v</v>
      </c>
      <c r="J1560" s="4" t="str" cm="1">
        <f t="array" ref="J1560">INDEX(Sheet1!F:F,$G1560)</f>
        <v>B8</v>
      </c>
      <c r="K1560" s="4" cm="1">
        <f t="array" ref="K1560">INDEX(Sheet1!H:H,$G1560)</f>
        <v>1E-3</v>
      </c>
      <c r="L1560" s="4">
        <f t="shared" si="96"/>
        <v>58</v>
      </c>
      <c r="M1560" s="4">
        <f t="shared" si="99"/>
        <v>5</v>
      </c>
    </row>
    <row r="1561" spans="1:13">
      <c r="A1561" s="4" t="str" cm="1">
        <f t="array" ref="A1561">INDEX(Sheet1!A:A,$F1561)</f>
        <v>F</v>
      </c>
      <c r="B1561" s="4" t="str" cm="1">
        <f t="array" ref="B1561">INDEX(Sheet1!B:B,$F1561)</f>
        <v>Non-Pref SM</v>
      </c>
      <c r="C1561" s="4">
        <f t="shared" si="97"/>
        <v>59</v>
      </c>
      <c r="D1561" s="5" cm="1">
        <f t="array" aca="1" ref="D1561" ca="1">OFFSET(INDIRECT("'["&amp;$H1561&amp;"]"&amp;$I1561&amp;"'!"&amp;$J1561),$L1561,$M1561)*$K1561</f>
        <v>1.2279999999999999E-2</v>
      </c>
      <c r="F1561" s="4">
        <f t="shared" si="98"/>
        <v>17</v>
      </c>
      <c r="G1561" s="4" cm="1">
        <f t="array" ref="G1561">IF($C1561+$M1561&lt;16,INDEX(Sheet1!C:C,$F1561),$F1561)</f>
        <v>17</v>
      </c>
      <c r="H1561" s="4" t="str" cm="1">
        <f t="array" ref="H1561">INDEX(Sheet1!D:D,$G1561)</f>
        <v>2001-cso-preferred-class-structure-mortality-tables.xls</v>
      </c>
      <c r="I1561" s="4" t="str" cm="1">
        <f t="array" ref="I1561">INDEX(Sheet1!E:E,$G1561)</f>
        <v>A.1.b.v</v>
      </c>
      <c r="J1561" s="4" t="str" cm="1">
        <f t="array" ref="J1561">INDEX(Sheet1!F:F,$G1561)</f>
        <v>B8</v>
      </c>
      <c r="K1561" s="4" cm="1">
        <f t="array" ref="K1561">INDEX(Sheet1!H:H,$G1561)</f>
        <v>1E-3</v>
      </c>
      <c r="L1561" s="4">
        <f t="shared" si="96"/>
        <v>59</v>
      </c>
      <c r="M1561" s="4">
        <f t="shared" si="99"/>
        <v>5</v>
      </c>
    </row>
    <row r="1562" spans="1:13">
      <c r="A1562" s="4" t="str" cm="1">
        <f t="array" ref="A1562">INDEX(Sheet1!A:A,$F1562)</f>
        <v>F</v>
      </c>
      <c r="B1562" s="4" t="str" cm="1">
        <f t="array" ref="B1562">INDEX(Sheet1!B:B,$F1562)</f>
        <v>Non-Pref SM</v>
      </c>
      <c r="C1562" s="4">
        <f t="shared" si="97"/>
        <v>60</v>
      </c>
      <c r="D1562" s="5" cm="1">
        <f t="array" aca="1" ref="D1562" ca="1">OFFSET(INDIRECT("'["&amp;$H1562&amp;"]"&amp;$I1562&amp;"'!"&amp;$J1562),$L1562,$M1562)*$K1562</f>
        <v>1.311E-2</v>
      </c>
      <c r="F1562" s="4">
        <f t="shared" si="98"/>
        <v>17</v>
      </c>
      <c r="G1562" s="4" cm="1">
        <f t="array" ref="G1562">IF($C1562+$M1562&lt;16,INDEX(Sheet1!C:C,$F1562),$F1562)</f>
        <v>17</v>
      </c>
      <c r="H1562" s="4" t="str" cm="1">
        <f t="array" ref="H1562">INDEX(Sheet1!D:D,$G1562)</f>
        <v>2001-cso-preferred-class-structure-mortality-tables.xls</v>
      </c>
      <c r="I1562" s="4" t="str" cm="1">
        <f t="array" ref="I1562">INDEX(Sheet1!E:E,$G1562)</f>
        <v>A.1.b.v</v>
      </c>
      <c r="J1562" s="4" t="str" cm="1">
        <f t="array" ref="J1562">INDEX(Sheet1!F:F,$G1562)</f>
        <v>B8</v>
      </c>
      <c r="K1562" s="4" cm="1">
        <f t="array" ref="K1562">INDEX(Sheet1!H:H,$G1562)</f>
        <v>1E-3</v>
      </c>
      <c r="L1562" s="4">
        <f t="shared" si="96"/>
        <v>60</v>
      </c>
      <c r="M1562" s="4">
        <f t="shared" si="99"/>
        <v>5</v>
      </c>
    </row>
    <row r="1563" spans="1:13">
      <c r="A1563" s="4" t="str" cm="1">
        <f t="array" ref="A1563">INDEX(Sheet1!A:A,$F1563)</f>
        <v>F</v>
      </c>
      <c r="B1563" s="4" t="str" cm="1">
        <f t="array" ref="B1563">INDEX(Sheet1!B:B,$F1563)</f>
        <v>Non-Pref SM</v>
      </c>
      <c r="C1563" s="4">
        <f t="shared" si="97"/>
        <v>61</v>
      </c>
      <c r="D1563" s="5" cm="1">
        <f t="array" aca="1" ref="D1563" ca="1">OFFSET(INDIRECT("'["&amp;$H1563&amp;"]"&amp;$I1563&amp;"'!"&amp;$J1563),$L1563,$M1563)*$K1563</f>
        <v>1.3970000000000002E-2</v>
      </c>
      <c r="F1563" s="4">
        <f t="shared" si="98"/>
        <v>17</v>
      </c>
      <c r="G1563" s="4" cm="1">
        <f t="array" ref="G1563">IF($C1563+$M1563&lt;16,INDEX(Sheet1!C:C,$F1563),$F1563)</f>
        <v>17</v>
      </c>
      <c r="H1563" s="4" t="str" cm="1">
        <f t="array" ref="H1563">INDEX(Sheet1!D:D,$G1563)</f>
        <v>2001-cso-preferred-class-structure-mortality-tables.xls</v>
      </c>
      <c r="I1563" s="4" t="str" cm="1">
        <f t="array" ref="I1563">INDEX(Sheet1!E:E,$G1563)</f>
        <v>A.1.b.v</v>
      </c>
      <c r="J1563" s="4" t="str" cm="1">
        <f t="array" ref="J1563">INDEX(Sheet1!F:F,$G1563)</f>
        <v>B8</v>
      </c>
      <c r="K1563" s="4" cm="1">
        <f t="array" ref="K1563">INDEX(Sheet1!H:H,$G1563)</f>
        <v>1E-3</v>
      </c>
      <c r="L1563" s="4">
        <f t="shared" si="96"/>
        <v>61</v>
      </c>
      <c r="M1563" s="4">
        <f t="shared" si="99"/>
        <v>5</v>
      </c>
    </row>
    <row r="1564" spans="1:13">
      <c r="A1564" s="4" t="str" cm="1">
        <f t="array" ref="A1564">INDEX(Sheet1!A:A,$F1564)</f>
        <v>F</v>
      </c>
      <c r="B1564" s="4" t="str" cm="1">
        <f t="array" ref="B1564">INDEX(Sheet1!B:B,$F1564)</f>
        <v>Non-Pref SM</v>
      </c>
      <c r="C1564" s="4">
        <f t="shared" si="97"/>
        <v>62</v>
      </c>
      <c r="D1564" s="5" cm="1">
        <f t="array" aca="1" ref="D1564" ca="1">OFFSET(INDIRECT("'["&amp;$H1564&amp;"]"&amp;$I1564&amp;"'!"&amp;$J1564),$L1564,$M1564)*$K1564</f>
        <v>1.481E-2</v>
      </c>
      <c r="F1564" s="4">
        <f t="shared" si="98"/>
        <v>17</v>
      </c>
      <c r="G1564" s="4" cm="1">
        <f t="array" ref="G1564">IF($C1564+$M1564&lt;16,INDEX(Sheet1!C:C,$F1564),$F1564)</f>
        <v>17</v>
      </c>
      <c r="H1564" s="4" t="str" cm="1">
        <f t="array" ref="H1564">INDEX(Sheet1!D:D,$G1564)</f>
        <v>2001-cso-preferred-class-structure-mortality-tables.xls</v>
      </c>
      <c r="I1564" s="4" t="str" cm="1">
        <f t="array" ref="I1564">INDEX(Sheet1!E:E,$G1564)</f>
        <v>A.1.b.v</v>
      </c>
      <c r="J1564" s="4" t="str" cm="1">
        <f t="array" ref="J1564">INDEX(Sheet1!F:F,$G1564)</f>
        <v>B8</v>
      </c>
      <c r="K1564" s="4" cm="1">
        <f t="array" ref="K1564">INDEX(Sheet1!H:H,$G1564)</f>
        <v>1E-3</v>
      </c>
      <c r="L1564" s="4">
        <f t="shared" si="96"/>
        <v>62</v>
      </c>
      <c r="M1564" s="4">
        <f t="shared" si="99"/>
        <v>5</v>
      </c>
    </row>
    <row r="1565" spans="1:13">
      <c r="A1565" s="4" t="str" cm="1">
        <f t="array" ref="A1565">INDEX(Sheet1!A:A,$F1565)</f>
        <v>F</v>
      </c>
      <c r="B1565" s="4" t="str" cm="1">
        <f t="array" ref="B1565">INDEX(Sheet1!B:B,$F1565)</f>
        <v>Non-Pref SM</v>
      </c>
      <c r="C1565" s="4">
        <f t="shared" si="97"/>
        <v>63</v>
      </c>
      <c r="D1565" s="5" cm="1">
        <f t="array" aca="1" ref="D1565" ca="1">OFFSET(INDIRECT("'["&amp;$H1565&amp;"]"&amp;$I1565&amp;"'!"&amp;$J1565),$L1565,$M1565)*$K1565</f>
        <v>1.5610000000000001E-2</v>
      </c>
      <c r="F1565" s="4">
        <f t="shared" si="98"/>
        <v>17</v>
      </c>
      <c r="G1565" s="4" cm="1">
        <f t="array" ref="G1565">IF($C1565+$M1565&lt;16,INDEX(Sheet1!C:C,$F1565),$F1565)</f>
        <v>17</v>
      </c>
      <c r="H1565" s="4" t="str" cm="1">
        <f t="array" ref="H1565">INDEX(Sheet1!D:D,$G1565)</f>
        <v>2001-cso-preferred-class-structure-mortality-tables.xls</v>
      </c>
      <c r="I1565" s="4" t="str" cm="1">
        <f t="array" ref="I1565">INDEX(Sheet1!E:E,$G1565)</f>
        <v>A.1.b.v</v>
      </c>
      <c r="J1565" s="4" t="str" cm="1">
        <f t="array" ref="J1565">INDEX(Sheet1!F:F,$G1565)</f>
        <v>B8</v>
      </c>
      <c r="K1565" s="4" cm="1">
        <f t="array" ref="K1565">INDEX(Sheet1!H:H,$G1565)</f>
        <v>1E-3</v>
      </c>
      <c r="L1565" s="4">
        <f t="shared" si="96"/>
        <v>63</v>
      </c>
      <c r="M1565" s="4">
        <f t="shared" si="99"/>
        <v>5</v>
      </c>
    </row>
    <row r="1566" spans="1:13">
      <c r="A1566" s="4" t="str" cm="1">
        <f t="array" ref="A1566">INDEX(Sheet1!A:A,$F1566)</f>
        <v>F</v>
      </c>
      <c r="B1566" s="4" t="str" cm="1">
        <f t="array" ref="B1566">INDEX(Sheet1!B:B,$F1566)</f>
        <v>Non-Pref SM</v>
      </c>
      <c r="C1566" s="4">
        <f t="shared" si="97"/>
        <v>64</v>
      </c>
      <c r="D1566" s="5" cm="1">
        <f t="array" aca="1" ref="D1566" ca="1">OFFSET(INDIRECT("'["&amp;$H1566&amp;"]"&amp;$I1566&amp;"'!"&amp;$J1566),$L1566,$M1566)*$K1566</f>
        <v>1.6440000000000003E-2</v>
      </c>
      <c r="F1566" s="4">
        <f t="shared" si="98"/>
        <v>17</v>
      </c>
      <c r="G1566" s="4" cm="1">
        <f t="array" ref="G1566">IF($C1566+$M1566&lt;16,INDEX(Sheet1!C:C,$F1566),$F1566)</f>
        <v>17</v>
      </c>
      <c r="H1566" s="4" t="str" cm="1">
        <f t="array" ref="H1566">INDEX(Sheet1!D:D,$G1566)</f>
        <v>2001-cso-preferred-class-structure-mortality-tables.xls</v>
      </c>
      <c r="I1566" s="4" t="str" cm="1">
        <f t="array" ref="I1566">INDEX(Sheet1!E:E,$G1566)</f>
        <v>A.1.b.v</v>
      </c>
      <c r="J1566" s="4" t="str" cm="1">
        <f t="array" ref="J1566">INDEX(Sheet1!F:F,$G1566)</f>
        <v>B8</v>
      </c>
      <c r="K1566" s="4" cm="1">
        <f t="array" ref="K1566">INDEX(Sheet1!H:H,$G1566)</f>
        <v>1E-3</v>
      </c>
      <c r="L1566" s="4">
        <f t="shared" si="96"/>
        <v>64</v>
      </c>
      <c r="M1566" s="4">
        <f t="shared" si="99"/>
        <v>5</v>
      </c>
    </row>
    <row r="1567" spans="1:13">
      <c r="A1567" s="4" t="str" cm="1">
        <f t="array" ref="A1567">INDEX(Sheet1!A:A,$F1567)</f>
        <v>F</v>
      </c>
      <c r="B1567" s="4" t="str" cm="1">
        <f t="array" ref="B1567">INDEX(Sheet1!B:B,$F1567)</f>
        <v>Non-Pref SM</v>
      </c>
      <c r="C1567" s="4">
        <f t="shared" si="97"/>
        <v>65</v>
      </c>
      <c r="D1567" s="5" cm="1">
        <f t="array" aca="1" ref="D1567" ca="1">OFFSET(INDIRECT("'["&amp;$H1567&amp;"]"&amp;$I1567&amp;"'!"&amp;$J1567),$L1567,$M1567)*$K1567</f>
        <v>1.7340000000000001E-2</v>
      </c>
      <c r="F1567" s="4">
        <f t="shared" si="98"/>
        <v>17</v>
      </c>
      <c r="G1567" s="4" cm="1">
        <f t="array" ref="G1567">IF($C1567+$M1567&lt;16,INDEX(Sheet1!C:C,$F1567),$F1567)</f>
        <v>17</v>
      </c>
      <c r="H1567" s="4" t="str" cm="1">
        <f t="array" ref="H1567">INDEX(Sheet1!D:D,$G1567)</f>
        <v>2001-cso-preferred-class-structure-mortality-tables.xls</v>
      </c>
      <c r="I1567" s="4" t="str" cm="1">
        <f t="array" ref="I1567">INDEX(Sheet1!E:E,$G1567)</f>
        <v>A.1.b.v</v>
      </c>
      <c r="J1567" s="4" t="str" cm="1">
        <f t="array" ref="J1567">INDEX(Sheet1!F:F,$G1567)</f>
        <v>B8</v>
      </c>
      <c r="K1567" s="4" cm="1">
        <f t="array" ref="K1567">INDEX(Sheet1!H:H,$G1567)</f>
        <v>1E-3</v>
      </c>
      <c r="L1567" s="4">
        <f t="shared" si="96"/>
        <v>65</v>
      </c>
      <c r="M1567" s="4">
        <f t="shared" si="99"/>
        <v>5</v>
      </c>
    </row>
    <row r="1568" spans="1:13">
      <c r="A1568" s="4" t="str" cm="1">
        <f t="array" ref="A1568">INDEX(Sheet1!A:A,$F1568)</f>
        <v>F</v>
      </c>
      <c r="B1568" s="4" t="str" cm="1">
        <f t="array" ref="B1568">INDEX(Sheet1!B:B,$F1568)</f>
        <v>Non-Pref SM</v>
      </c>
      <c r="C1568" s="4">
        <f t="shared" si="97"/>
        <v>66</v>
      </c>
      <c r="D1568" s="5" cm="1">
        <f t="array" aca="1" ref="D1568" ca="1">OFFSET(INDIRECT("'["&amp;$H1568&amp;"]"&amp;$I1568&amp;"'!"&amp;$J1568),$L1568,$M1568)*$K1568</f>
        <v>1.8239999999999999E-2</v>
      </c>
      <c r="F1568" s="4">
        <f t="shared" si="98"/>
        <v>17</v>
      </c>
      <c r="G1568" s="4" cm="1">
        <f t="array" ref="G1568">IF($C1568+$M1568&lt;16,INDEX(Sheet1!C:C,$F1568),$F1568)</f>
        <v>17</v>
      </c>
      <c r="H1568" s="4" t="str" cm="1">
        <f t="array" ref="H1568">INDEX(Sheet1!D:D,$G1568)</f>
        <v>2001-cso-preferred-class-structure-mortality-tables.xls</v>
      </c>
      <c r="I1568" s="4" t="str" cm="1">
        <f t="array" ref="I1568">INDEX(Sheet1!E:E,$G1568)</f>
        <v>A.1.b.v</v>
      </c>
      <c r="J1568" s="4" t="str" cm="1">
        <f t="array" ref="J1568">INDEX(Sheet1!F:F,$G1568)</f>
        <v>B8</v>
      </c>
      <c r="K1568" s="4" cm="1">
        <f t="array" ref="K1568">INDEX(Sheet1!H:H,$G1568)</f>
        <v>1E-3</v>
      </c>
      <c r="L1568" s="4">
        <f t="shared" si="96"/>
        <v>66</v>
      </c>
      <c r="M1568" s="4">
        <f t="shared" si="99"/>
        <v>5</v>
      </c>
    </row>
    <row r="1569" spans="1:13">
      <c r="A1569" s="4" t="str" cm="1">
        <f t="array" ref="A1569">INDEX(Sheet1!A:A,$F1569)</f>
        <v>F</v>
      </c>
      <c r="B1569" s="4" t="str" cm="1">
        <f t="array" ref="B1569">INDEX(Sheet1!B:B,$F1569)</f>
        <v>Non-Pref SM</v>
      </c>
      <c r="C1569" s="4">
        <f t="shared" si="97"/>
        <v>67</v>
      </c>
      <c r="D1569" s="5" cm="1">
        <f t="array" aca="1" ref="D1569" ca="1">OFFSET(INDIRECT("'["&amp;$H1569&amp;"]"&amp;$I1569&amp;"'!"&amp;$J1569),$L1569,$M1569)*$K1569</f>
        <v>1.9310000000000001E-2</v>
      </c>
      <c r="F1569" s="4">
        <f t="shared" si="98"/>
        <v>17</v>
      </c>
      <c r="G1569" s="4" cm="1">
        <f t="array" ref="G1569">IF($C1569+$M1569&lt;16,INDEX(Sheet1!C:C,$F1569),$F1569)</f>
        <v>17</v>
      </c>
      <c r="H1569" s="4" t="str" cm="1">
        <f t="array" ref="H1569">INDEX(Sheet1!D:D,$G1569)</f>
        <v>2001-cso-preferred-class-structure-mortality-tables.xls</v>
      </c>
      <c r="I1569" s="4" t="str" cm="1">
        <f t="array" ref="I1569">INDEX(Sheet1!E:E,$G1569)</f>
        <v>A.1.b.v</v>
      </c>
      <c r="J1569" s="4" t="str" cm="1">
        <f t="array" ref="J1569">INDEX(Sheet1!F:F,$G1569)</f>
        <v>B8</v>
      </c>
      <c r="K1569" s="4" cm="1">
        <f t="array" ref="K1569">INDEX(Sheet1!H:H,$G1569)</f>
        <v>1E-3</v>
      </c>
      <c r="L1569" s="4">
        <f t="shared" si="96"/>
        <v>67</v>
      </c>
      <c r="M1569" s="4">
        <f t="shared" si="99"/>
        <v>5</v>
      </c>
    </row>
    <row r="1570" spans="1:13">
      <c r="A1570" s="4" t="str" cm="1">
        <f t="array" ref="A1570">INDEX(Sheet1!A:A,$F1570)</f>
        <v>F</v>
      </c>
      <c r="B1570" s="4" t="str" cm="1">
        <f t="array" ref="B1570">INDEX(Sheet1!B:B,$F1570)</f>
        <v>Non-Pref SM</v>
      </c>
      <c r="C1570" s="4">
        <f t="shared" si="97"/>
        <v>68</v>
      </c>
      <c r="D1570" s="5" cm="1">
        <f t="array" aca="1" ref="D1570" ca="1">OFFSET(INDIRECT("'["&amp;$H1570&amp;"]"&amp;$I1570&amp;"'!"&amp;$J1570),$L1570,$M1570)*$K1570</f>
        <v>2.0590000000000001E-2</v>
      </c>
      <c r="F1570" s="4">
        <f t="shared" si="98"/>
        <v>17</v>
      </c>
      <c r="G1570" s="4" cm="1">
        <f t="array" ref="G1570">IF($C1570+$M1570&lt;16,INDEX(Sheet1!C:C,$F1570),$F1570)</f>
        <v>17</v>
      </c>
      <c r="H1570" s="4" t="str" cm="1">
        <f t="array" ref="H1570">INDEX(Sheet1!D:D,$G1570)</f>
        <v>2001-cso-preferred-class-structure-mortality-tables.xls</v>
      </c>
      <c r="I1570" s="4" t="str" cm="1">
        <f t="array" ref="I1570">INDEX(Sheet1!E:E,$G1570)</f>
        <v>A.1.b.v</v>
      </c>
      <c r="J1570" s="4" t="str" cm="1">
        <f t="array" ref="J1570">INDEX(Sheet1!F:F,$G1570)</f>
        <v>B8</v>
      </c>
      <c r="K1570" s="4" cm="1">
        <f t="array" ref="K1570">INDEX(Sheet1!H:H,$G1570)</f>
        <v>1E-3</v>
      </c>
      <c r="L1570" s="4">
        <f t="shared" si="96"/>
        <v>68</v>
      </c>
      <c r="M1570" s="4">
        <f t="shared" si="99"/>
        <v>5</v>
      </c>
    </row>
    <row r="1571" spans="1:13">
      <c r="A1571" s="4" t="str" cm="1">
        <f t="array" ref="A1571">INDEX(Sheet1!A:A,$F1571)</f>
        <v>F</v>
      </c>
      <c r="B1571" s="4" t="str" cm="1">
        <f t="array" ref="B1571">INDEX(Sheet1!B:B,$F1571)</f>
        <v>Non-Pref SM</v>
      </c>
      <c r="C1571" s="4">
        <f t="shared" si="97"/>
        <v>69</v>
      </c>
      <c r="D1571" s="5" cm="1">
        <f t="array" aca="1" ref="D1571" ca="1">OFFSET(INDIRECT("'["&amp;$H1571&amp;"]"&amp;$I1571&amp;"'!"&amp;$J1571),$L1571,$M1571)*$K1571</f>
        <v>2.2120000000000001E-2</v>
      </c>
      <c r="F1571" s="4">
        <f t="shared" si="98"/>
        <v>17</v>
      </c>
      <c r="G1571" s="4" cm="1">
        <f t="array" ref="G1571">IF($C1571+$M1571&lt;16,INDEX(Sheet1!C:C,$F1571),$F1571)</f>
        <v>17</v>
      </c>
      <c r="H1571" s="4" t="str" cm="1">
        <f t="array" ref="H1571">INDEX(Sheet1!D:D,$G1571)</f>
        <v>2001-cso-preferred-class-structure-mortality-tables.xls</v>
      </c>
      <c r="I1571" s="4" t="str" cm="1">
        <f t="array" ref="I1571">INDEX(Sheet1!E:E,$G1571)</f>
        <v>A.1.b.v</v>
      </c>
      <c r="J1571" s="4" t="str" cm="1">
        <f t="array" ref="J1571">INDEX(Sheet1!F:F,$G1571)</f>
        <v>B8</v>
      </c>
      <c r="K1571" s="4" cm="1">
        <f t="array" ref="K1571">INDEX(Sheet1!H:H,$G1571)</f>
        <v>1E-3</v>
      </c>
      <c r="L1571" s="4">
        <f t="shared" si="96"/>
        <v>69</v>
      </c>
      <c r="M1571" s="4">
        <f t="shared" si="99"/>
        <v>5</v>
      </c>
    </row>
    <row r="1572" spans="1:13">
      <c r="A1572" s="4" t="str" cm="1">
        <f t="array" ref="A1572">INDEX(Sheet1!A:A,$F1572)</f>
        <v>F</v>
      </c>
      <c r="B1572" s="4" t="str" cm="1">
        <f t="array" ref="B1572">INDEX(Sheet1!B:B,$F1572)</f>
        <v>Non-Pref SM</v>
      </c>
      <c r="C1572" s="4">
        <f t="shared" si="97"/>
        <v>70</v>
      </c>
      <c r="D1572" s="5" cm="1">
        <f t="array" aca="1" ref="D1572" ca="1">OFFSET(INDIRECT("'["&amp;$H1572&amp;"]"&amp;$I1572&amp;"'!"&amp;$J1572),$L1572,$M1572)*$K1572</f>
        <v>2.3920000000000004E-2</v>
      </c>
      <c r="F1572" s="4">
        <f t="shared" si="98"/>
        <v>17</v>
      </c>
      <c r="G1572" s="4" cm="1">
        <f t="array" ref="G1572">IF($C1572+$M1572&lt;16,INDEX(Sheet1!C:C,$F1572),$F1572)</f>
        <v>17</v>
      </c>
      <c r="H1572" s="4" t="str" cm="1">
        <f t="array" ref="H1572">INDEX(Sheet1!D:D,$G1572)</f>
        <v>2001-cso-preferred-class-structure-mortality-tables.xls</v>
      </c>
      <c r="I1572" s="4" t="str" cm="1">
        <f t="array" ref="I1572">INDEX(Sheet1!E:E,$G1572)</f>
        <v>A.1.b.v</v>
      </c>
      <c r="J1572" s="4" t="str" cm="1">
        <f t="array" ref="J1572">INDEX(Sheet1!F:F,$G1572)</f>
        <v>B8</v>
      </c>
      <c r="K1572" s="4" cm="1">
        <f t="array" ref="K1572">INDEX(Sheet1!H:H,$G1572)</f>
        <v>1E-3</v>
      </c>
      <c r="L1572" s="4">
        <f t="shared" si="96"/>
        <v>70</v>
      </c>
      <c r="M1572" s="4">
        <f t="shared" si="99"/>
        <v>5</v>
      </c>
    </row>
    <row r="1573" spans="1:13">
      <c r="A1573" s="4" t="str" cm="1">
        <f t="array" ref="A1573">INDEX(Sheet1!A:A,$F1573)</f>
        <v>F</v>
      </c>
      <c r="B1573" s="4" t="str" cm="1">
        <f t="array" ref="B1573">INDEX(Sheet1!B:B,$F1573)</f>
        <v>Non-Pref SM</v>
      </c>
      <c r="C1573" s="4">
        <f t="shared" si="97"/>
        <v>71</v>
      </c>
      <c r="D1573" s="5" cm="1">
        <f t="array" aca="1" ref="D1573" ca="1">OFFSET(INDIRECT("'["&amp;$H1573&amp;"]"&amp;$I1573&amp;"'!"&amp;$J1573),$L1573,$M1573)*$K1573</f>
        <v>2.6030000000000001E-2</v>
      </c>
      <c r="F1573" s="4">
        <f t="shared" si="98"/>
        <v>17</v>
      </c>
      <c r="G1573" s="4" cm="1">
        <f t="array" ref="G1573">IF($C1573+$M1573&lt;16,INDEX(Sheet1!C:C,$F1573),$F1573)</f>
        <v>17</v>
      </c>
      <c r="H1573" s="4" t="str" cm="1">
        <f t="array" ref="H1573">INDEX(Sheet1!D:D,$G1573)</f>
        <v>2001-cso-preferred-class-structure-mortality-tables.xls</v>
      </c>
      <c r="I1573" s="4" t="str" cm="1">
        <f t="array" ref="I1573">INDEX(Sheet1!E:E,$G1573)</f>
        <v>A.1.b.v</v>
      </c>
      <c r="J1573" s="4" t="str" cm="1">
        <f t="array" ref="J1573">INDEX(Sheet1!F:F,$G1573)</f>
        <v>B8</v>
      </c>
      <c r="K1573" s="4" cm="1">
        <f t="array" ref="K1573">INDEX(Sheet1!H:H,$G1573)</f>
        <v>1E-3</v>
      </c>
      <c r="L1573" s="4">
        <f t="shared" si="96"/>
        <v>71</v>
      </c>
      <c r="M1573" s="4">
        <f t="shared" si="99"/>
        <v>5</v>
      </c>
    </row>
    <row r="1574" spans="1:13">
      <c r="A1574" s="4" t="str" cm="1">
        <f t="array" ref="A1574">INDEX(Sheet1!A:A,$F1574)</f>
        <v>F</v>
      </c>
      <c r="B1574" s="4" t="str" cm="1">
        <f t="array" ref="B1574">INDEX(Sheet1!B:B,$F1574)</f>
        <v>Non-Pref SM</v>
      </c>
      <c r="C1574" s="4">
        <f t="shared" si="97"/>
        <v>72</v>
      </c>
      <c r="D1574" s="5" cm="1">
        <f t="array" aca="1" ref="D1574" ca="1">OFFSET(INDIRECT("'["&amp;$H1574&amp;"]"&amp;$I1574&amp;"'!"&amp;$J1574),$L1574,$M1574)*$K1574</f>
        <v>2.843E-2</v>
      </c>
      <c r="F1574" s="4">
        <f t="shared" si="98"/>
        <v>17</v>
      </c>
      <c r="G1574" s="4" cm="1">
        <f t="array" ref="G1574">IF($C1574+$M1574&lt;16,INDEX(Sheet1!C:C,$F1574),$F1574)</f>
        <v>17</v>
      </c>
      <c r="H1574" s="4" t="str" cm="1">
        <f t="array" ref="H1574">INDEX(Sheet1!D:D,$G1574)</f>
        <v>2001-cso-preferred-class-structure-mortality-tables.xls</v>
      </c>
      <c r="I1574" s="4" t="str" cm="1">
        <f t="array" ref="I1574">INDEX(Sheet1!E:E,$G1574)</f>
        <v>A.1.b.v</v>
      </c>
      <c r="J1574" s="4" t="str" cm="1">
        <f t="array" ref="J1574">INDEX(Sheet1!F:F,$G1574)</f>
        <v>B8</v>
      </c>
      <c r="K1574" s="4" cm="1">
        <f t="array" ref="K1574">INDEX(Sheet1!H:H,$G1574)</f>
        <v>1E-3</v>
      </c>
      <c r="L1574" s="4">
        <f t="shared" si="96"/>
        <v>72</v>
      </c>
      <c r="M1574" s="4">
        <f t="shared" si="99"/>
        <v>5</v>
      </c>
    </row>
    <row r="1575" spans="1:13">
      <c r="A1575" s="4" t="str" cm="1">
        <f t="array" ref="A1575">INDEX(Sheet1!A:A,$F1575)</f>
        <v>F</v>
      </c>
      <c r="B1575" s="4" t="str" cm="1">
        <f t="array" ref="B1575">INDEX(Sheet1!B:B,$F1575)</f>
        <v>Non-Pref SM</v>
      </c>
      <c r="C1575" s="4">
        <f t="shared" si="97"/>
        <v>73</v>
      </c>
      <c r="D1575" s="5" cm="1">
        <f t="array" aca="1" ref="D1575" ca="1">OFFSET(INDIRECT("'["&amp;$H1575&amp;"]"&amp;$I1575&amp;"'!"&amp;$J1575),$L1575,$M1575)*$K1575</f>
        <v>3.1179999999999999E-2</v>
      </c>
      <c r="F1575" s="4">
        <f t="shared" si="98"/>
        <v>17</v>
      </c>
      <c r="G1575" s="4" cm="1">
        <f t="array" ref="G1575">IF($C1575+$M1575&lt;16,INDEX(Sheet1!C:C,$F1575),$F1575)</f>
        <v>17</v>
      </c>
      <c r="H1575" s="4" t="str" cm="1">
        <f t="array" ref="H1575">INDEX(Sheet1!D:D,$G1575)</f>
        <v>2001-cso-preferred-class-structure-mortality-tables.xls</v>
      </c>
      <c r="I1575" s="4" t="str" cm="1">
        <f t="array" ref="I1575">INDEX(Sheet1!E:E,$G1575)</f>
        <v>A.1.b.v</v>
      </c>
      <c r="J1575" s="4" t="str" cm="1">
        <f t="array" ref="J1575">INDEX(Sheet1!F:F,$G1575)</f>
        <v>B8</v>
      </c>
      <c r="K1575" s="4" cm="1">
        <f t="array" ref="K1575">INDEX(Sheet1!H:H,$G1575)</f>
        <v>1E-3</v>
      </c>
      <c r="L1575" s="4">
        <f t="shared" si="96"/>
        <v>73</v>
      </c>
      <c r="M1575" s="4">
        <f t="shared" si="99"/>
        <v>5</v>
      </c>
    </row>
    <row r="1576" spans="1:13">
      <c r="A1576" s="4" t="str" cm="1">
        <f t="array" ref="A1576">INDEX(Sheet1!A:A,$F1576)</f>
        <v>F</v>
      </c>
      <c r="B1576" s="4" t="str" cm="1">
        <f t="array" ref="B1576">INDEX(Sheet1!B:B,$F1576)</f>
        <v>Non-Pref SM</v>
      </c>
      <c r="C1576" s="4">
        <f t="shared" si="97"/>
        <v>74</v>
      </c>
      <c r="D1576" s="5" cm="1">
        <f t="array" aca="1" ref="D1576" ca="1">OFFSET(INDIRECT("'["&amp;$H1576&amp;"]"&amp;$I1576&amp;"'!"&amp;$J1576),$L1576,$M1576)*$K1576</f>
        <v>3.4290000000000001E-2</v>
      </c>
      <c r="F1576" s="4">
        <f t="shared" si="98"/>
        <v>17</v>
      </c>
      <c r="G1576" s="4" cm="1">
        <f t="array" ref="G1576">IF($C1576+$M1576&lt;16,INDEX(Sheet1!C:C,$F1576),$F1576)</f>
        <v>17</v>
      </c>
      <c r="H1576" s="4" t="str" cm="1">
        <f t="array" ref="H1576">INDEX(Sheet1!D:D,$G1576)</f>
        <v>2001-cso-preferred-class-structure-mortality-tables.xls</v>
      </c>
      <c r="I1576" s="4" t="str" cm="1">
        <f t="array" ref="I1576">INDEX(Sheet1!E:E,$G1576)</f>
        <v>A.1.b.v</v>
      </c>
      <c r="J1576" s="4" t="str" cm="1">
        <f t="array" ref="J1576">INDEX(Sheet1!F:F,$G1576)</f>
        <v>B8</v>
      </c>
      <c r="K1576" s="4" cm="1">
        <f t="array" ref="K1576">INDEX(Sheet1!H:H,$G1576)</f>
        <v>1E-3</v>
      </c>
      <c r="L1576" s="4">
        <f t="shared" si="96"/>
        <v>74</v>
      </c>
      <c r="M1576" s="4">
        <f t="shared" si="99"/>
        <v>5</v>
      </c>
    </row>
    <row r="1577" spans="1:13">
      <c r="A1577" s="4" t="str" cm="1">
        <f t="array" ref="A1577">INDEX(Sheet1!A:A,$F1577)</f>
        <v>F</v>
      </c>
      <c r="B1577" s="4" t="str" cm="1">
        <f t="array" ref="B1577">INDEX(Sheet1!B:B,$F1577)</f>
        <v>Non-Pref SM</v>
      </c>
      <c r="C1577" s="4">
        <f t="shared" si="97"/>
        <v>75</v>
      </c>
      <c r="D1577" s="5" cm="1">
        <f t="array" aca="1" ref="D1577" ca="1">OFFSET(INDIRECT("'["&amp;$H1577&amp;"]"&amp;$I1577&amp;"'!"&amp;$J1577),$L1577,$M1577)*$K1577</f>
        <v>3.773E-2</v>
      </c>
      <c r="F1577" s="4">
        <f t="shared" si="98"/>
        <v>17</v>
      </c>
      <c r="G1577" s="4" cm="1">
        <f t="array" ref="G1577">IF($C1577+$M1577&lt;16,INDEX(Sheet1!C:C,$F1577),$F1577)</f>
        <v>17</v>
      </c>
      <c r="H1577" s="4" t="str" cm="1">
        <f t="array" ref="H1577">INDEX(Sheet1!D:D,$G1577)</f>
        <v>2001-cso-preferred-class-structure-mortality-tables.xls</v>
      </c>
      <c r="I1577" s="4" t="str" cm="1">
        <f t="array" ref="I1577">INDEX(Sheet1!E:E,$G1577)</f>
        <v>A.1.b.v</v>
      </c>
      <c r="J1577" s="4" t="str" cm="1">
        <f t="array" ref="J1577">INDEX(Sheet1!F:F,$G1577)</f>
        <v>B8</v>
      </c>
      <c r="K1577" s="4" cm="1">
        <f t="array" ref="K1577">INDEX(Sheet1!H:H,$G1577)</f>
        <v>1E-3</v>
      </c>
      <c r="L1577" s="4">
        <f t="shared" si="96"/>
        <v>75</v>
      </c>
      <c r="M1577" s="4">
        <f t="shared" si="99"/>
        <v>5</v>
      </c>
    </row>
    <row r="1578" spans="1:13">
      <c r="A1578" s="4" t="str" cm="1">
        <f t="array" ref="A1578">INDEX(Sheet1!A:A,$F1578)</f>
        <v>F</v>
      </c>
      <c r="B1578" s="4" t="str" cm="1">
        <f t="array" ref="B1578">INDEX(Sheet1!B:B,$F1578)</f>
        <v>Non-Pref SM</v>
      </c>
      <c r="C1578" s="4">
        <f t="shared" si="97"/>
        <v>76</v>
      </c>
      <c r="D1578" s="5" cm="1">
        <f t="array" aca="1" ref="D1578" ca="1">OFFSET(INDIRECT("'["&amp;$H1578&amp;"]"&amp;$I1578&amp;"'!"&amp;$J1578),$L1578,$M1578)*$K1578</f>
        <v>4.2360000000000002E-2</v>
      </c>
      <c r="F1578" s="4">
        <f t="shared" si="98"/>
        <v>17</v>
      </c>
      <c r="G1578" s="4" cm="1">
        <f t="array" ref="G1578">IF($C1578+$M1578&lt;16,INDEX(Sheet1!C:C,$F1578),$F1578)</f>
        <v>17</v>
      </c>
      <c r="H1578" s="4" t="str" cm="1">
        <f t="array" ref="H1578">INDEX(Sheet1!D:D,$G1578)</f>
        <v>2001-cso-preferred-class-structure-mortality-tables.xls</v>
      </c>
      <c r="I1578" s="4" t="str" cm="1">
        <f t="array" ref="I1578">INDEX(Sheet1!E:E,$G1578)</f>
        <v>A.1.b.v</v>
      </c>
      <c r="J1578" s="4" t="str" cm="1">
        <f t="array" ref="J1578">INDEX(Sheet1!F:F,$G1578)</f>
        <v>B8</v>
      </c>
      <c r="K1578" s="4" cm="1">
        <f t="array" ref="K1578">INDEX(Sheet1!H:H,$G1578)</f>
        <v>1E-3</v>
      </c>
      <c r="L1578" s="4">
        <f t="shared" si="96"/>
        <v>76</v>
      </c>
      <c r="M1578" s="4">
        <f t="shared" si="99"/>
        <v>5</v>
      </c>
    </row>
    <row r="1579" spans="1:13">
      <c r="A1579" s="4" t="str" cm="1">
        <f t="array" ref="A1579">INDEX(Sheet1!A:A,$F1579)</f>
        <v>F</v>
      </c>
      <c r="B1579" s="4" t="str" cm="1">
        <f t="array" ref="B1579">INDEX(Sheet1!B:B,$F1579)</f>
        <v>Non-Pref SM</v>
      </c>
      <c r="C1579" s="4">
        <f t="shared" si="97"/>
        <v>77</v>
      </c>
      <c r="D1579" s="5" cm="1">
        <f t="array" aca="1" ref="D1579" ca="1">OFFSET(INDIRECT("'["&amp;$H1579&amp;"]"&amp;$I1579&amp;"'!"&amp;$J1579),$L1579,$M1579)*$K1579</f>
        <v>4.7600000000000003E-2</v>
      </c>
      <c r="F1579" s="4">
        <f t="shared" si="98"/>
        <v>17</v>
      </c>
      <c r="G1579" s="4" cm="1">
        <f t="array" ref="G1579">IF($C1579+$M1579&lt;16,INDEX(Sheet1!C:C,$F1579),$F1579)</f>
        <v>17</v>
      </c>
      <c r="H1579" s="4" t="str" cm="1">
        <f t="array" ref="H1579">INDEX(Sheet1!D:D,$G1579)</f>
        <v>2001-cso-preferred-class-structure-mortality-tables.xls</v>
      </c>
      <c r="I1579" s="4" t="str" cm="1">
        <f t="array" ref="I1579">INDEX(Sheet1!E:E,$G1579)</f>
        <v>A.1.b.v</v>
      </c>
      <c r="J1579" s="4" t="str" cm="1">
        <f t="array" ref="J1579">INDEX(Sheet1!F:F,$G1579)</f>
        <v>B8</v>
      </c>
      <c r="K1579" s="4" cm="1">
        <f t="array" ref="K1579">INDEX(Sheet1!H:H,$G1579)</f>
        <v>1E-3</v>
      </c>
      <c r="L1579" s="4">
        <f t="shared" si="96"/>
        <v>77</v>
      </c>
      <c r="M1579" s="4">
        <f t="shared" si="99"/>
        <v>5</v>
      </c>
    </row>
    <row r="1580" spans="1:13">
      <c r="A1580" s="4" t="str" cm="1">
        <f t="array" ref="A1580">INDEX(Sheet1!A:A,$F1580)</f>
        <v>F</v>
      </c>
      <c r="B1580" s="4" t="str" cm="1">
        <f t="array" ref="B1580">INDEX(Sheet1!B:B,$F1580)</f>
        <v>Non-Pref SM</v>
      </c>
      <c r="C1580" s="4">
        <f t="shared" si="97"/>
        <v>78</v>
      </c>
      <c r="D1580" s="5" cm="1">
        <f t="array" aca="1" ref="D1580" ca="1">OFFSET(INDIRECT("'["&amp;$H1580&amp;"]"&amp;$I1580&amp;"'!"&amp;$J1580),$L1580,$M1580)*$K1580</f>
        <v>5.3510000000000002E-2</v>
      </c>
      <c r="F1580" s="4">
        <f t="shared" si="98"/>
        <v>17</v>
      </c>
      <c r="G1580" s="4" cm="1">
        <f t="array" ref="G1580">IF($C1580+$M1580&lt;16,INDEX(Sheet1!C:C,$F1580),$F1580)</f>
        <v>17</v>
      </c>
      <c r="H1580" s="4" t="str" cm="1">
        <f t="array" ref="H1580">INDEX(Sheet1!D:D,$G1580)</f>
        <v>2001-cso-preferred-class-structure-mortality-tables.xls</v>
      </c>
      <c r="I1580" s="4" t="str" cm="1">
        <f t="array" ref="I1580">INDEX(Sheet1!E:E,$G1580)</f>
        <v>A.1.b.v</v>
      </c>
      <c r="J1580" s="4" t="str" cm="1">
        <f t="array" ref="J1580">INDEX(Sheet1!F:F,$G1580)</f>
        <v>B8</v>
      </c>
      <c r="K1580" s="4" cm="1">
        <f t="array" ref="K1580">INDEX(Sheet1!H:H,$G1580)</f>
        <v>1E-3</v>
      </c>
      <c r="L1580" s="4">
        <f t="shared" si="96"/>
        <v>78</v>
      </c>
      <c r="M1580" s="4">
        <f t="shared" si="99"/>
        <v>5</v>
      </c>
    </row>
    <row r="1581" spans="1:13">
      <c r="A1581" s="4" t="str" cm="1">
        <f t="array" ref="A1581">INDEX(Sheet1!A:A,$F1581)</f>
        <v>F</v>
      </c>
      <c r="B1581" s="4" t="str" cm="1">
        <f t="array" ref="B1581">INDEX(Sheet1!B:B,$F1581)</f>
        <v>Non-Pref SM</v>
      </c>
      <c r="C1581" s="4">
        <f t="shared" si="97"/>
        <v>79</v>
      </c>
      <c r="D1581" s="5" cm="1">
        <f t="array" aca="1" ref="D1581" ca="1">OFFSET(INDIRECT("'["&amp;$H1581&amp;"]"&amp;$I1581&amp;"'!"&amp;$J1581),$L1581,$M1581)*$K1581</f>
        <v>6.0130000000000003E-2</v>
      </c>
      <c r="F1581" s="4">
        <f t="shared" si="98"/>
        <v>17</v>
      </c>
      <c r="G1581" s="4" cm="1">
        <f t="array" ref="G1581">IF($C1581+$M1581&lt;16,INDEX(Sheet1!C:C,$F1581),$F1581)</f>
        <v>17</v>
      </c>
      <c r="H1581" s="4" t="str" cm="1">
        <f t="array" ref="H1581">INDEX(Sheet1!D:D,$G1581)</f>
        <v>2001-cso-preferred-class-structure-mortality-tables.xls</v>
      </c>
      <c r="I1581" s="4" t="str" cm="1">
        <f t="array" ref="I1581">INDEX(Sheet1!E:E,$G1581)</f>
        <v>A.1.b.v</v>
      </c>
      <c r="J1581" s="4" t="str" cm="1">
        <f t="array" ref="J1581">INDEX(Sheet1!F:F,$G1581)</f>
        <v>B8</v>
      </c>
      <c r="K1581" s="4" cm="1">
        <f t="array" ref="K1581">INDEX(Sheet1!H:H,$G1581)</f>
        <v>1E-3</v>
      </c>
      <c r="L1581" s="4">
        <f t="shared" si="96"/>
        <v>79</v>
      </c>
      <c r="M1581" s="4">
        <f t="shared" si="99"/>
        <v>5</v>
      </c>
    </row>
    <row r="1582" spans="1:13">
      <c r="A1582" s="4" t="str" cm="1">
        <f t="array" ref="A1582">INDEX(Sheet1!A:A,$F1582)</f>
        <v>F</v>
      </c>
      <c r="B1582" s="4" t="str" cm="1">
        <f t="array" ref="B1582">INDEX(Sheet1!B:B,$F1582)</f>
        <v>Non-Pref SM</v>
      </c>
      <c r="C1582" s="4">
        <f t="shared" si="97"/>
        <v>80</v>
      </c>
      <c r="D1582" s="5" cm="1">
        <f t="array" aca="1" ref="D1582" ca="1">OFFSET(INDIRECT("'["&amp;$H1582&amp;"]"&amp;$I1582&amp;"'!"&amp;$J1582),$L1582,$M1582)*$K1582</f>
        <v>6.745000000000001E-2</v>
      </c>
      <c r="F1582" s="4">
        <f t="shared" si="98"/>
        <v>17</v>
      </c>
      <c r="G1582" s="4" cm="1">
        <f t="array" ref="G1582">IF($C1582+$M1582&lt;16,INDEX(Sheet1!C:C,$F1582),$F1582)</f>
        <v>17</v>
      </c>
      <c r="H1582" s="4" t="str" cm="1">
        <f t="array" ref="H1582">INDEX(Sheet1!D:D,$G1582)</f>
        <v>2001-cso-preferred-class-structure-mortality-tables.xls</v>
      </c>
      <c r="I1582" s="4" t="str" cm="1">
        <f t="array" ref="I1582">INDEX(Sheet1!E:E,$G1582)</f>
        <v>A.1.b.v</v>
      </c>
      <c r="J1582" s="4" t="str" cm="1">
        <f t="array" ref="J1582">INDEX(Sheet1!F:F,$G1582)</f>
        <v>B8</v>
      </c>
      <c r="K1582" s="4" cm="1">
        <f t="array" ref="K1582">INDEX(Sheet1!H:H,$G1582)</f>
        <v>1E-3</v>
      </c>
      <c r="L1582" s="4">
        <f t="shared" si="96"/>
        <v>80</v>
      </c>
      <c r="M1582" s="4">
        <f t="shared" si="99"/>
        <v>5</v>
      </c>
    </row>
    <row r="1583" spans="1:13">
      <c r="A1583" s="4" t="str" cm="1">
        <f t="array" ref="A1583">INDEX(Sheet1!A:A,$F1583)</f>
        <v>F</v>
      </c>
      <c r="B1583" s="4" t="str" cm="1">
        <f t="array" ref="B1583">INDEX(Sheet1!B:B,$F1583)</f>
        <v>Non-Pref SM</v>
      </c>
      <c r="C1583" s="4">
        <f t="shared" si="97"/>
        <v>81</v>
      </c>
      <c r="D1583" s="5" cm="1">
        <f t="array" aca="1" ref="D1583" ca="1">OFFSET(INDIRECT("'["&amp;$H1583&amp;"]"&amp;$I1583&amp;"'!"&amp;$J1583),$L1583,$M1583)*$K1583</f>
        <v>7.535E-2</v>
      </c>
      <c r="F1583" s="4">
        <f t="shared" si="98"/>
        <v>17</v>
      </c>
      <c r="G1583" s="4" cm="1">
        <f t="array" ref="G1583">IF($C1583+$M1583&lt;16,INDEX(Sheet1!C:C,$F1583),$F1583)</f>
        <v>17</v>
      </c>
      <c r="H1583" s="4" t="str" cm="1">
        <f t="array" ref="H1583">INDEX(Sheet1!D:D,$G1583)</f>
        <v>2001-cso-preferred-class-structure-mortality-tables.xls</v>
      </c>
      <c r="I1583" s="4" t="str" cm="1">
        <f t="array" ref="I1583">INDEX(Sheet1!E:E,$G1583)</f>
        <v>A.1.b.v</v>
      </c>
      <c r="J1583" s="4" t="str" cm="1">
        <f t="array" ref="J1583">INDEX(Sheet1!F:F,$G1583)</f>
        <v>B8</v>
      </c>
      <c r="K1583" s="4" cm="1">
        <f t="array" ref="K1583">INDEX(Sheet1!H:H,$G1583)</f>
        <v>1E-3</v>
      </c>
      <c r="L1583" s="4">
        <f t="shared" si="96"/>
        <v>81</v>
      </c>
      <c r="M1583" s="4">
        <f t="shared" si="99"/>
        <v>5</v>
      </c>
    </row>
    <row r="1584" spans="1:13">
      <c r="A1584" s="4" t="str" cm="1">
        <f t="array" ref="A1584">INDEX(Sheet1!A:A,$F1584)</f>
        <v>F</v>
      </c>
      <c r="B1584" s="4" t="str" cm="1">
        <f t="array" ref="B1584">INDEX(Sheet1!B:B,$F1584)</f>
        <v>Non-Pref SM</v>
      </c>
      <c r="C1584" s="4">
        <f t="shared" si="97"/>
        <v>82</v>
      </c>
      <c r="D1584" s="5" cm="1">
        <f t="array" aca="1" ref="D1584" ca="1">OFFSET(INDIRECT("'["&amp;$H1584&amp;"]"&amp;$I1584&amp;"'!"&amp;$J1584),$L1584,$M1584)*$K1584</f>
        <v>8.3879999999999996E-2</v>
      </c>
      <c r="F1584" s="4">
        <f t="shared" si="98"/>
        <v>17</v>
      </c>
      <c r="G1584" s="4" cm="1">
        <f t="array" ref="G1584">IF($C1584+$M1584&lt;16,INDEX(Sheet1!C:C,$F1584),$F1584)</f>
        <v>17</v>
      </c>
      <c r="H1584" s="4" t="str" cm="1">
        <f t="array" ref="H1584">INDEX(Sheet1!D:D,$G1584)</f>
        <v>2001-cso-preferred-class-structure-mortality-tables.xls</v>
      </c>
      <c r="I1584" s="4" t="str" cm="1">
        <f t="array" ref="I1584">INDEX(Sheet1!E:E,$G1584)</f>
        <v>A.1.b.v</v>
      </c>
      <c r="J1584" s="4" t="str" cm="1">
        <f t="array" ref="J1584">INDEX(Sheet1!F:F,$G1584)</f>
        <v>B8</v>
      </c>
      <c r="K1584" s="4" cm="1">
        <f t="array" ref="K1584">INDEX(Sheet1!H:H,$G1584)</f>
        <v>1E-3</v>
      </c>
      <c r="L1584" s="4">
        <f t="shared" si="96"/>
        <v>82</v>
      </c>
      <c r="M1584" s="4">
        <f t="shared" si="99"/>
        <v>5</v>
      </c>
    </row>
    <row r="1585" spans="1:13">
      <c r="A1585" s="4" t="str" cm="1">
        <f t="array" ref="A1585">INDEX(Sheet1!A:A,$F1585)</f>
        <v>F</v>
      </c>
      <c r="B1585" s="4" t="str" cm="1">
        <f t="array" ref="B1585">INDEX(Sheet1!B:B,$F1585)</f>
        <v>Non-Pref SM</v>
      </c>
      <c r="C1585" s="4">
        <f t="shared" si="97"/>
        <v>83</v>
      </c>
      <c r="D1585" s="5" cm="1">
        <f t="array" aca="1" ref="D1585" ca="1">OFFSET(INDIRECT("'["&amp;$H1585&amp;"]"&amp;$I1585&amp;"'!"&amp;$J1585),$L1585,$M1585)*$K1585</f>
        <v>9.3060000000000004E-2</v>
      </c>
      <c r="F1585" s="4">
        <f t="shared" si="98"/>
        <v>17</v>
      </c>
      <c r="G1585" s="4" cm="1">
        <f t="array" ref="G1585">IF($C1585+$M1585&lt;16,INDEX(Sheet1!C:C,$F1585),$F1585)</f>
        <v>17</v>
      </c>
      <c r="H1585" s="4" t="str" cm="1">
        <f t="array" ref="H1585">INDEX(Sheet1!D:D,$G1585)</f>
        <v>2001-cso-preferred-class-structure-mortality-tables.xls</v>
      </c>
      <c r="I1585" s="4" t="str" cm="1">
        <f t="array" ref="I1585">INDEX(Sheet1!E:E,$G1585)</f>
        <v>A.1.b.v</v>
      </c>
      <c r="J1585" s="4" t="str" cm="1">
        <f t="array" ref="J1585">INDEX(Sheet1!F:F,$G1585)</f>
        <v>B8</v>
      </c>
      <c r="K1585" s="4" cm="1">
        <f t="array" ref="K1585">INDEX(Sheet1!H:H,$G1585)</f>
        <v>1E-3</v>
      </c>
      <c r="L1585" s="4">
        <f t="shared" si="96"/>
        <v>83</v>
      </c>
      <c r="M1585" s="4">
        <f t="shared" si="99"/>
        <v>5</v>
      </c>
    </row>
    <row r="1586" spans="1:13">
      <c r="A1586" s="4" t="str" cm="1">
        <f t="array" ref="A1586">INDEX(Sheet1!A:A,$F1586)</f>
        <v>F</v>
      </c>
      <c r="B1586" s="4" t="str" cm="1">
        <f t="array" ref="B1586">INDEX(Sheet1!B:B,$F1586)</f>
        <v>Non-Pref SM</v>
      </c>
      <c r="C1586" s="4">
        <f t="shared" si="97"/>
        <v>84</v>
      </c>
      <c r="D1586" s="5" cm="1">
        <f t="array" aca="1" ref="D1586" ca="1">OFFSET(INDIRECT("'["&amp;$H1586&amp;"]"&amp;$I1586&amp;"'!"&amp;$J1586),$L1586,$M1586)*$K1586</f>
        <v>0.10267</v>
      </c>
      <c r="F1586" s="4">
        <f t="shared" si="98"/>
        <v>17</v>
      </c>
      <c r="G1586" s="4" cm="1">
        <f t="array" ref="G1586">IF($C1586+$M1586&lt;16,INDEX(Sheet1!C:C,$F1586),$F1586)</f>
        <v>17</v>
      </c>
      <c r="H1586" s="4" t="str" cm="1">
        <f t="array" ref="H1586">INDEX(Sheet1!D:D,$G1586)</f>
        <v>2001-cso-preferred-class-structure-mortality-tables.xls</v>
      </c>
      <c r="I1586" s="4" t="str" cm="1">
        <f t="array" ref="I1586">INDEX(Sheet1!E:E,$G1586)</f>
        <v>A.1.b.v</v>
      </c>
      <c r="J1586" s="4" t="str" cm="1">
        <f t="array" ref="J1586">INDEX(Sheet1!F:F,$G1586)</f>
        <v>B8</v>
      </c>
      <c r="K1586" s="4" cm="1">
        <f t="array" ref="K1586">INDEX(Sheet1!H:H,$G1586)</f>
        <v>1E-3</v>
      </c>
      <c r="L1586" s="4">
        <f t="shared" si="96"/>
        <v>84</v>
      </c>
      <c r="M1586" s="4">
        <f t="shared" si="99"/>
        <v>5</v>
      </c>
    </row>
    <row r="1587" spans="1:13">
      <c r="A1587" s="4" t="str" cm="1">
        <f t="array" ref="A1587">INDEX(Sheet1!A:A,$F1587)</f>
        <v>F</v>
      </c>
      <c r="B1587" s="4" t="str" cm="1">
        <f t="array" ref="B1587">INDEX(Sheet1!B:B,$F1587)</f>
        <v>Non-Pref SM</v>
      </c>
      <c r="C1587" s="4">
        <f t="shared" si="97"/>
        <v>85</v>
      </c>
      <c r="D1587" s="5" cm="1">
        <f t="array" aca="1" ref="D1587" ca="1">OFFSET(INDIRECT("'["&amp;$H1587&amp;"]"&amp;$I1587&amp;"'!"&amp;$J1587),$L1587,$M1587)*$K1587</f>
        <v>0.11272</v>
      </c>
      <c r="F1587" s="4">
        <f t="shared" si="98"/>
        <v>17</v>
      </c>
      <c r="G1587" s="4" cm="1">
        <f t="array" ref="G1587">IF($C1587+$M1587&lt;16,INDEX(Sheet1!C:C,$F1587),$F1587)</f>
        <v>17</v>
      </c>
      <c r="H1587" s="4" t="str" cm="1">
        <f t="array" ref="H1587">INDEX(Sheet1!D:D,$G1587)</f>
        <v>2001-cso-preferred-class-structure-mortality-tables.xls</v>
      </c>
      <c r="I1587" s="4" t="str" cm="1">
        <f t="array" ref="I1587">INDEX(Sheet1!E:E,$G1587)</f>
        <v>A.1.b.v</v>
      </c>
      <c r="J1587" s="4" t="str" cm="1">
        <f t="array" ref="J1587">INDEX(Sheet1!F:F,$G1587)</f>
        <v>B8</v>
      </c>
      <c r="K1587" s="4" cm="1">
        <f t="array" ref="K1587">INDEX(Sheet1!H:H,$G1587)</f>
        <v>1E-3</v>
      </c>
      <c r="L1587" s="4">
        <f t="shared" si="96"/>
        <v>85</v>
      </c>
      <c r="M1587" s="4">
        <f t="shared" si="99"/>
        <v>5</v>
      </c>
    </row>
    <row r="1588" spans="1:13">
      <c r="A1588" s="4" t="str" cm="1">
        <f t="array" ref="A1588">INDEX(Sheet1!A:A,$F1588)</f>
        <v>F</v>
      </c>
      <c r="B1588" s="4" t="str" cm="1">
        <f t="array" ref="B1588">INDEX(Sheet1!B:B,$F1588)</f>
        <v>Non-Pref SM</v>
      </c>
      <c r="C1588" s="4">
        <f t="shared" si="97"/>
        <v>86</v>
      </c>
      <c r="D1588" s="5" cm="1">
        <f t="array" aca="1" ref="D1588" ca="1">OFFSET(INDIRECT("'["&amp;$H1588&amp;"]"&amp;$I1588&amp;"'!"&amp;$J1588),$L1588,$M1588)*$K1588</f>
        <v>0.12476999999999999</v>
      </c>
      <c r="F1588" s="4">
        <f t="shared" si="98"/>
        <v>17</v>
      </c>
      <c r="G1588" s="4" cm="1">
        <f t="array" ref="G1588">IF($C1588+$M1588&lt;16,INDEX(Sheet1!C:C,$F1588),$F1588)</f>
        <v>17</v>
      </c>
      <c r="H1588" s="4" t="str" cm="1">
        <f t="array" ref="H1588">INDEX(Sheet1!D:D,$G1588)</f>
        <v>2001-cso-preferred-class-structure-mortality-tables.xls</v>
      </c>
      <c r="I1588" s="4" t="str" cm="1">
        <f t="array" ref="I1588">INDEX(Sheet1!E:E,$G1588)</f>
        <v>A.1.b.v</v>
      </c>
      <c r="J1588" s="4" t="str" cm="1">
        <f t="array" ref="J1588">INDEX(Sheet1!F:F,$G1588)</f>
        <v>B8</v>
      </c>
      <c r="K1588" s="4" cm="1">
        <f t="array" ref="K1588">INDEX(Sheet1!H:H,$G1588)</f>
        <v>1E-3</v>
      </c>
      <c r="L1588" s="4">
        <f t="shared" si="96"/>
        <v>86</v>
      </c>
      <c r="M1588" s="4">
        <f t="shared" si="99"/>
        <v>5</v>
      </c>
    </row>
    <row r="1589" spans="1:13">
      <c r="A1589" s="4" t="str" cm="1">
        <f t="array" ref="A1589">INDEX(Sheet1!A:A,$F1589)</f>
        <v>F</v>
      </c>
      <c r="B1589" s="4" t="str" cm="1">
        <f t="array" ref="B1589">INDEX(Sheet1!B:B,$F1589)</f>
        <v>Non-Pref SM</v>
      </c>
      <c r="C1589" s="4">
        <f t="shared" si="97"/>
        <v>87</v>
      </c>
      <c r="D1589" s="5" cm="1">
        <f t="array" aca="1" ref="D1589" ca="1">OFFSET(INDIRECT("'["&amp;$H1589&amp;"]"&amp;$I1589&amp;"'!"&amp;$J1589),$L1589,$M1589)*$K1589</f>
        <v>0.13509000000000002</v>
      </c>
      <c r="F1589" s="4">
        <f t="shared" si="98"/>
        <v>17</v>
      </c>
      <c r="G1589" s="4" cm="1">
        <f t="array" ref="G1589">IF($C1589+$M1589&lt;16,INDEX(Sheet1!C:C,$F1589),$F1589)</f>
        <v>17</v>
      </c>
      <c r="H1589" s="4" t="str" cm="1">
        <f t="array" ref="H1589">INDEX(Sheet1!D:D,$G1589)</f>
        <v>2001-cso-preferred-class-structure-mortality-tables.xls</v>
      </c>
      <c r="I1589" s="4" t="str" cm="1">
        <f t="array" ref="I1589">INDEX(Sheet1!E:E,$G1589)</f>
        <v>A.1.b.v</v>
      </c>
      <c r="J1589" s="4" t="str" cm="1">
        <f t="array" ref="J1589">INDEX(Sheet1!F:F,$G1589)</f>
        <v>B8</v>
      </c>
      <c r="K1589" s="4" cm="1">
        <f t="array" ref="K1589">INDEX(Sheet1!H:H,$G1589)</f>
        <v>1E-3</v>
      </c>
      <c r="L1589" s="4">
        <f t="shared" si="96"/>
        <v>87</v>
      </c>
      <c r="M1589" s="4">
        <f t="shared" si="99"/>
        <v>5</v>
      </c>
    </row>
    <row r="1590" spans="1:13">
      <c r="A1590" s="4" t="str" cm="1">
        <f t="array" ref="A1590">INDEX(Sheet1!A:A,$F1590)</f>
        <v>F</v>
      </c>
      <c r="B1590" s="4" t="str" cm="1">
        <f t="array" ref="B1590">INDEX(Sheet1!B:B,$F1590)</f>
        <v>Non-Pref SM</v>
      </c>
      <c r="C1590" s="4">
        <f t="shared" si="97"/>
        <v>88</v>
      </c>
      <c r="D1590" s="5" cm="1">
        <f t="array" aca="1" ref="D1590" ca="1">OFFSET(INDIRECT("'["&amp;$H1590&amp;"]"&amp;$I1590&amp;"'!"&amp;$J1590),$L1590,$M1590)*$K1590</f>
        <v>0.14536000000000002</v>
      </c>
      <c r="F1590" s="4">
        <f t="shared" si="98"/>
        <v>17</v>
      </c>
      <c r="G1590" s="4" cm="1">
        <f t="array" ref="G1590">IF($C1590+$M1590&lt;16,INDEX(Sheet1!C:C,$F1590),$F1590)</f>
        <v>17</v>
      </c>
      <c r="H1590" s="4" t="str" cm="1">
        <f t="array" ref="H1590">INDEX(Sheet1!D:D,$G1590)</f>
        <v>2001-cso-preferred-class-structure-mortality-tables.xls</v>
      </c>
      <c r="I1590" s="4" t="str" cm="1">
        <f t="array" ref="I1590">INDEX(Sheet1!E:E,$G1590)</f>
        <v>A.1.b.v</v>
      </c>
      <c r="J1590" s="4" t="str" cm="1">
        <f t="array" ref="J1590">INDEX(Sheet1!F:F,$G1590)</f>
        <v>B8</v>
      </c>
      <c r="K1590" s="4" cm="1">
        <f t="array" ref="K1590">INDEX(Sheet1!H:H,$G1590)</f>
        <v>1E-3</v>
      </c>
      <c r="L1590" s="4">
        <f t="shared" si="96"/>
        <v>88</v>
      </c>
      <c r="M1590" s="4">
        <f t="shared" si="99"/>
        <v>5</v>
      </c>
    </row>
    <row r="1591" spans="1:13">
      <c r="A1591" s="4" t="str" cm="1">
        <f t="array" ref="A1591">INDEX(Sheet1!A:A,$F1591)</f>
        <v>F</v>
      </c>
      <c r="B1591" s="4" t="str" cm="1">
        <f t="array" ref="B1591">INDEX(Sheet1!B:B,$F1591)</f>
        <v>Non-Pref SM</v>
      </c>
      <c r="C1591" s="4">
        <f t="shared" si="97"/>
        <v>89</v>
      </c>
      <c r="D1591" s="5" cm="1">
        <f t="array" aca="1" ref="D1591" ca="1">OFFSET(INDIRECT("'["&amp;$H1591&amp;"]"&amp;$I1591&amp;"'!"&amp;$J1591),$L1591,$M1591)*$K1591</f>
        <v>0.15553999999999998</v>
      </c>
      <c r="F1591" s="4">
        <f t="shared" si="98"/>
        <v>17</v>
      </c>
      <c r="G1591" s="4" cm="1">
        <f t="array" ref="G1591">IF($C1591+$M1591&lt;16,INDEX(Sheet1!C:C,$F1591),$F1591)</f>
        <v>17</v>
      </c>
      <c r="H1591" s="4" t="str" cm="1">
        <f t="array" ref="H1591">INDEX(Sheet1!D:D,$G1591)</f>
        <v>2001-cso-preferred-class-structure-mortality-tables.xls</v>
      </c>
      <c r="I1591" s="4" t="str" cm="1">
        <f t="array" ref="I1591">INDEX(Sheet1!E:E,$G1591)</f>
        <v>A.1.b.v</v>
      </c>
      <c r="J1591" s="4" t="str" cm="1">
        <f t="array" ref="J1591">INDEX(Sheet1!F:F,$G1591)</f>
        <v>B8</v>
      </c>
      <c r="K1591" s="4" cm="1">
        <f t="array" ref="K1591">INDEX(Sheet1!H:H,$G1591)</f>
        <v>1E-3</v>
      </c>
      <c r="L1591" s="4">
        <f t="shared" si="96"/>
        <v>89</v>
      </c>
      <c r="M1591" s="4">
        <f t="shared" si="99"/>
        <v>5</v>
      </c>
    </row>
    <row r="1592" spans="1:13">
      <c r="A1592" s="4" t="str" cm="1">
        <f t="array" ref="A1592">INDEX(Sheet1!A:A,$F1592)</f>
        <v>F</v>
      </c>
      <c r="B1592" s="4" t="str" cm="1">
        <f t="array" ref="B1592">INDEX(Sheet1!B:B,$F1592)</f>
        <v>Non-Pref SM</v>
      </c>
      <c r="C1592" s="4">
        <f t="shared" si="97"/>
        <v>90</v>
      </c>
      <c r="D1592" s="5" cm="1">
        <f t="array" aca="1" ref="D1592" ca="1">OFFSET(INDIRECT("'["&amp;$H1592&amp;"]"&amp;$I1592&amp;"'!"&amp;$J1592),$L1592,$M1592)*$K1592</f>
        <v>0.16871</v>
      </c>
      <c r="F1592" s="4">
        <f t="shared" si="98"/>
        <v>17</v>
      </c>
      <c r="G1592" s="4" cm="1">
        <f t="array" ref="G1592">IF($C1592+$M1592&lt;16,INDEX(Sheet1!C:C,$F1592),$F1592)</f>
        <v>17</v>
      </c>
      <c r="H1592" s="4" t="str" cm="1">
        <f t="array" ref="H1592">INDEX(Sheet1!D:D,$G1592)</f>
        <v>2001-cso-preferred-class-structure-mortality-tables.xls</v>
      </c>
      <c r="I1592" s="4" t="str" cm="1">
        <f t="array" ref="I1592">INDEX(Sheet1!E:E,$G1592)</f>
        <v>A.1.b.v</v>
      </c>
      <c r="J1592" s="4" t="str" cm="1">
        <f t="array" ref="J1592">INDEX(Sheet1!F:F,$G1592)</f>
        <v>B8</v>
      </c>
      <c r="K1592" s="4" cm="1">
        <f t="array" ref="K1592">INDEX(Sheet1!H:H,$G1592)</f>
        <v>1E-3</v>
      </c>
      <c r="L1592" s="4">
        <f t="shared" si="96"/>
        <v>90</v>
      </c>
      <c r="M1592" s="4">
        <f t="shared" si="99"/>
        <v>5</v>
      </c>
    </row>
    <row r="1593" spans="1:13">
      <c r="A1593" s="4" t="str" cm="1">
        <f t="array" ref="A1593">INDEX(Sheet1!A:A,$F1593)</f>
        <v>F</v>
      </c>
      <c r="B1593" s="4" t="str" cm="1">
        <f t="array" ref="B1593">INDEX(Sheet1!B:B,$F1593)</f>
        <v>Non-Pref SM</v>
      </c>
      <c r="C1593" s="4">
        <f t="shared" si="97"/>
        <v>91</v>
      </c>
      <c r="D1593" s="5" cm="1">
        <f t="array" aca="1" ref="D1593" ca="1">OFFSET(INDIRECT("'["&amp;$H1593&amp;"]"&amp;$I1593&amp;"'!"&amp;$J1593),$L1593,$M1593)*$K1593</f>
        <v>0.18296000000000001</v>
      </c>
      <c r="F1593" s="4">
        <f t="shared" si="98"/>
        <v>17</v>
      </c>
      <c r="G1593" s="4" cm="1">
        <f t="array" ref="G1593">IF($C1593+$M1593&lt;16,INDEX(Sheet1!C:C,$F1593),$F1593)</f>
        <v>17</v>
      </c>
      <c r="H1593" s="4" t="str" cm="1">
        <f t="array" ref="H1593">INDEX(Sheet1!D:D,$G1593)</f>
        <v>2001-cso-preferred-class-structure-mortality-tables.xls</v>
      </c>
      <c r="I1593" s="4" t="str" cm="1">
        <f t="array" ref="I1593">INDEX(Sheet1!E:E,$G1593)</f>
        <v>A.1.b.v</v>
      </c>
      <c r="J1593" s="4" t="str" cm="1">
        <f t="array" ref="J1593">INDEX(Sheet1!F:F,$G1593)</f>
        <v>B8</v>
      </c>
      <c r="K1593" s="4" cm="1">
        <f t="array" ref="K1593">INDEX(Sheet1!H:H,$G1593)</f>
        <v>1E-3</v>
      </c>
      <c r="L1593" s="4">
        <f t="shared" si="96"/>
        <v>91</v>
      </c>
      <c r="M1593" s="4">
        <f t="shared" si="99"/>
        <v>5</v>
      </c>
    </row>
    <row r="1594" spans="1:13">
      <c r="A1594" s="4" t="str" cm="1">
        <f t="array" ref="A1594">INDEX(Sheet1!A:A,$F1594)</f>
        <v>F</v>
      </c>
      <c r="B1594" s="4" t="str" cm="1">
        <f t="array" ref="B1594">INDEX(Sheet1!B:B,$F1594)</f>
        <v>Non-Pref SM</v>
      </c>
      <c r="C1594" s="4">
        <f t="shared" si="97"/>
        <v>92</v>
      </c>
      <c r="D1594" s="5" cm="1">
        <f t="array" aca="1" ref="D1594" ca="1">OFFSET(INDIRECT("'["&amp;$H1594&amp;"]"&amp;$I1594&amp;"'!"&amp;$J1594),$L1594,$M1594)*$K1594</f>
        <v>0.19916999999999999</v>
      </c>
      <c r="F1594" s="4">
        <f t="shared" si="98"/>
        <v>17</v>
      </c>
      <c r="G1594" s="4" cm="1">
        <f t="array" ref="G1594">IF($C1594+$M1594&lt;16,INDEX(Sheet1!C:C,$F1594),$F1594)</f>
        <v>17</v>
      </c>
      <c r="H1594" s="4" t="str" cm="1">
        <f t="array" ref="H1594">INDEX(Sheet1!D:D,$G1594)</f>
        <v>2001-cso-preferred-class-structure-mortality-tables.xls</v>
      </c>
      <c r="I1594" s="4" t="str" cm="1">
        <f t="array" ref="I1594">INDEX(Sheet1!E:E,$G1594)</f>
        <v>A.1.b.v</v>
      </c>
      <c r="J1594" s="4" t="str" cm="1">
        <f t="array" ref="J1594">INDEX(Sheet1!F:F,$G1594)</f>
        <v>B8</v>
      </c>
      <c r="K1594" s="4" cm="1">
        <f t="array" ref="K1594">INDEX(Sheet1!H:H,$G1594)</f>
        <v>1E-3</v>
      </c>
      <c r="L1594" s="4">
        <f t="shared" si="96"/>
        <v>92</v>
      </c>
      <c r="M1594" s="4">
        <f t="shared" si="99"/>
        <v>5</v>
      </c>
    </row>
    <row r="1595" spans="1:13">
      <c r="A1595" s="4" t="str" cm="1">
        <f t="array" ref="A1595">INDEX(Sheet1!A:A,$F1595)</f>
        <v>F</v>
      </c>
      <c r="B1595" s="4" t="str" cm="1">
        <f t="array" ref="B1595">INDEX(Sheet1!B:B,$F1595)</f>
        <v>Non-Pref SM</v>
      </c>
      <c r="C1595" s="4">
        <f t="shared" si="97"/>
        <v>93</v>
      </c>
      <c r="D1595" s="5" cm="1">
        <f t="array" aca="1" ref="D1595" ca="1">OFFSET(INDIRECT("'["&amp;$H1595&amp;"]"&amp;$I1595&amp;"'!"&amp;$J1595),$L1595,$M1595)*$K1595</f>
        <v>0.21432000000000001</v>
      </c>
      <c r="F1595" s="4">
        <f t="shared" si="98"/>
        <v>17</v>
      </c>
      <c r="G1595" s="4" cm="1">
        <f t="array" ref="G1595">IF($C1595+$M1595&lt;16,INDEX(Sheet1!C:C,$F1595),$F1595)</f>
        <v>17</v>
      </c>
      <c r="H1595" s="4" t="str" cm="1">
        <f t="array" ref="H1595">INDEX(Sheet1!D:D,$G1595)</f>
        <v>2001-cso-preferred-class-structure-mortality-tables.xls</v>
      </c>
      <c r="I1595" s="4" t="str" cm="1">
        <f t="array" ref="I1595">INDEX(Sheet1!E:E,$G1595)</f>
        <v>A.1.b.v</v>
      </c>
      <c r="J1595" s="4" t="str" cm="1">
        <f t="array" ref="J1595">INDEX(Sheet1!F:F,$G1595)</f>
        <v>B8</v>
      </c>
      <c r="K1595" s="4" cm="1">
        <f t="array" ref="K1595">INDEX(Sheet1!H:H,$G1595)</f>
        <v>1E-3</v>
      </c>
      <c r="L1595" s="4">
        <f t="shared" si="96"/>
        <v>93</v>
      </c>
      <c r="M1595" s="4">
        <f t="shared" si="99"/>
        <v>5</v>
      </c>
    </row>
    <row r="1596" spans="1:13">
      <c r="A1596" s="4" t="str" cm="1">
        <f t="array" ref="A1596">INDEX(Sheet1!A:A,$F1596)</f>
        <v>F</v>
      </c>
      <c r="B1596" s="4" t="str" cm="1">
        <f t="array" ref="B1596">INDEX(Sheet1!B:B,$F1596)</f>
        <v>Non-Pref SM</v>
      </c>
      <c r="C1596" s="4">
        <f t="shared" si="97"/>
        <v>94</v>
      </c>
      <c r="D1596" s="5" cm="1">
        <f t="array" aca="1" ref="D1596" ca="1">OFFSET(INDIRECT("'["&amp;$H1596&amp;"]"&amp;$I1596&amp;"'!"&amp;$J1596),$L1596,$M1596)*$K1596</f>
        <v>0.22990000000000002</v>
      </c>
      <c r="F1596" s="4">
        <f t="shared" si="98"/>
        <v>17</v>
      </c>
      <c r="G1596" s="4" cm="1">
        <f t="array" ref="G1596">IF($C1596+$M1596&lt;16,INDEX(Sheet1!C:C,$F1596),$F1596)</f>
        <v>17</v>
      </c>
      <c r="H1596" s="4" t="str" cm="1">
        <f t="array" ref="H1596">INDEX(Sheet1!D:D,$G1596)</f>
        <v>2001-cso-preferred-class-structure-mortality-tables.xls</v>
      </c>
      <c r="I1596" s="4" t="str" cm="1">
        <f t="array" ref="I1596">INDEX(Sheet1!E:E,$G1596)</f>
        <v>A.1.b.v</v>
      </c>
      <c r="J1596" s="4" t="str" cm="1">
        <f t="array" ref="J1596">INDEX(Sheet1!F:F,$G1596)</f>
        <v>B8</v>
      </c>
      <c r="K1596" s="4" cm="1">
        <f t="array" ref="K1596">INDEX(Sheet1!H:H,$G1596)</f>
        <v>1E-3</v>
      </c>
      <c r="L1596" s="4">
        <f t="shared" si="96"/>
        <v>94</v>
      </c>
      <c r="M1596" s="4">
        <f t="shared" si="99"/>
        <v>5</v>
      </c>
    </row>
    <row r="1597" spans="1:13">
      <c r="A1597" s="4" t="str" cm="1">
        <f t="array" ref="A1597">INDEX(Sheet1!A:A,$F1597)</f>
        <v>F</v>
      </c>
      <c r="B1597" s="4" t="str" cm="1">
        <f t="array" ref="B1597">INDEX(Sheet1!B:B,$F1597)</f>
        <v>Non-Pref SM</v>
      </c>
      <c r="C1597" s="4">
        <f t="shared" si="97"/>
        <v>95</v>
      </c>
      <c r="D1597" s="5" cm="1">
        <f t="array" aca="1" ref="D1597" ca="1">OFFSET(INDIRECT("'["&amp;$H1597&amp;"]"&amp;$I1597&amp;"'!"&amp;$J1597),$L1597,$M1597)*$K1597</f>
        <v>0.24596000000000001</v>
      </c>
      <c r="F1597" s="4">
        <f t="shared" si="98"/>
        <v>17</v>
      </c>
      <c r="G1597" s="4" cm="1">
        <f t="array" ref="G1597">IF($C1597+$M1597&lt;16,INDEX(Sheet1!C:C,$F1597),$F1597)</f>
        <v>17</v>
      </c>
      <c r="H1597" s="4" t="str" cm="1">
        <f t="array" ref="H1597">INDEX(Sheet1!D:D,$G1597)</f>
        <v>2001-cso-preferred-class-structure-mortality-tables.xls</v>
      </c>
      <c r="I1597" s="4" t="str" cm="1">
        <f t="array" ref="I1597">INDEX(Sheet1!E:E,$G1597)</f>
        <v>A.1.b.v</v>
      </c>
      <c r="J1597" s="4" t="str" cm="1">
        <f t="array" ref="J1597">INDEX(Sheet1!F:F,$G1597)</f>
        <v>B8</v>
      </c>
      <c r="K1597" s="4" cm="1">
        <f t="array" ref="K1597">INDEX(Sheet1!H:H,$G1597)</f>
        <v>1E-3</v>
      </c>
      <c r="L1597" s="4">
        <f t="shared" si="96"/>
        <v>95</v>
      </c>
      <c r="M1597" s="4">
        <f t="shared" si="99"/>
        <v>5</v>
      </c>
    </row>
    <row r="1598" spans="1:13">
      <c r="A1598" s="4" t="str" cm="1">
        <f t="array" ref="A1598">INDEX(Sheet1!A:A,$F1598)</f>
        <v>F</v>
      </c>
      <c r="B1598" s="4" t="str" cm="1">
        <f t="array" ref="B1598">INDEX(Sheet1!B:B,$F1598)</f>
        <v>Non-Pref SM</v>
      </c>
      <c r="C1598" s="4">
        <f t="shared" si="97"/>
        <v>96</v>
      </c>
      <c r="D1598" s="5" cm="1">
        <f t="array" aca="1" ref="D1598" ca="1">OFFSET(INDIRECT("'["&amp;$H1598&amp;"]"&amp;$I1598&amp;"'!"&amp;$J1598),$L1598,$M1598)*$K1598</f>
        <v>0.26418000000000003</v>
      </c>
      <c r="F1598" s="4">
        <f t="shared" si="98"/>
        <v>17</v>
      </c>
      <c r="G1598" s="4" cm="1">
        <f t="array" ref="G1598">IF($C1598+$M1598&lt;16,INDEX(Sheet1!C:C,$F1598),$F1598)</f>
        <v>17</v>
      </c>
      <c r="H1598" s="4" t="str" cm="1">
        <f t="array" ref="H1598">INDEX(Sheet1!D:D,$G1598)</f>
        <v>2001-cso-preferred-class-structure-mortality-tables.xls</v>
      </c>
      <c r="I1598" s="4" t="str" cm="1">
        <f t="array" ref="I1598">INDEX(Sheet1!E:E,$G1598)</f>
        <v>A.1.b.v</v>
      </c>
      <c r="J1598" s="4" t="str" cm="1">
        <f t="array" ref="J1598">INDEX(Sheet1!F:F,$G1598)</f>
        <v>B8</v>
      </c>
      <c r="K1598" s="4" cm="1">
        <f t="array" ref="K1598">INDEX(Sheet1!H:H,$G1598)</f>
        <v>1E-3</v>
      </c>
      <c r="L1598" s="4">
        <f t="shared" si="96"/>
        <v>96</v>
      </c>
      <c r="M1598" s="4">
        <f t="shared" si="99"/>
        <v>5</v>
      </c>
    </row>
    <row r="1599" spans="1:13">
      <c r="A1599" s="4" t="str" cm="1">
        <f t="array" ref="A1599">INDEX(Sheet1!A:A,$F1599)</f>
        <v>F</v>
      </c>
      <c r="B1599" s="4" t="str" cm="1">
        <f t="array" ref="B1599">INDEX(Sheet1!B:B,$F1599)</f>
        <v>Non-Pref SM</v>
      </c>
      <c r="C1599" s="4">
        <f t="shared" si="97"/>
        <v>97</v>
      </c>
      <c r="D1599" s="5" cm="1">
        <f t="array" aca="1" ref="D1599" ca="1">OFFSET(INDIRECT("'["&amp;$H1599&amp;"]"&amp;$I1599&amp;"'!"&amp;$J1599),$L1599,$M1599)*$K1599</f>
        <v>0.2772</v>
      </c>
      <c r="F1599" s="4">
        <f t="shared" si="98"/>
        <v>17</v>
      </c>
      <c r="G1599" s="4" cm="1">
        <f t="array" ref="G1599">IF($C1599+$M1599&lt;16,INDEX(Sheet1!C:C,$F1599),$F1599)</f>
        <v>17</v>
      </c>
      <c r="H1599" s="4" t="str" cm="1">
        <f t="array" ref="H1599">INDEX(Sheet1!D:D,$G1599)</f>
        <v>2001-cso-preferred-class-structure-mortality-tables.xls</v>
      </c>
      <c r="I1599" s="4" t="str" cm="1">
        <f t="array" ref="I1599">INDEX(Sheet1!E:E,$G1599)</f>
        <v>A.1.b.v</v>
      </c>
      <c r="J1599" s="4" t="str" cm="1">
        <f t="array" ref="J1599">INDEX(Sheet1!F:F,$G1599)</f>
        <v>B8</v>
      </c>
      <c r="K1599" s="4" cm="1">
        <f t="array" ref="K1599">INDEX(Sheet1!H:H,$G1599)</f>
        <v>1E-3</v>
      </c>
      <c r="L1599" s="4">
        <f t="shared" si="96"/>
        <v>97</v>
      </c>
      <c r="M1599" s="4">
        <f t="shared" si="99"/>
        <v>5</v>
      </c>
    </row>
    <row r="1600" spans="1:13">
      <c r="A1600" s="4" t="str" cm="1">
        <f t="array" ref="A1600">INDEX(Sheet1!A:A,$F1600)</f>
        <v>F</v>
      </c>
      <c r="B1600" s="4" t="str" cm="1">
        <f t="array" ref="B1600">INDEX(Sheet1!B:B,$F1600)</f>
        <v>Non-Pref SM</v>
      </c>
      <c r="C1600" s="4">
        <f t="shared" si="97"/>
        <v>98</v>
      </c>
      <c r="D1600" s="5" cm="1">
        <f t="array" aca="1" ref="D1600" ca="1">OFFSET(INDIRECT("'["&amp;$H1600&amp;"]"&amp;$I1600&amp;"'!"&amp;$J1600),$L1600,$M1600)*$K1600</f>
        <v>0.29066000000000003</v>
      </c>
      <c r="F1600" s="4">
        <f t="shared" si="98"/>
        <v>17</v>
      </c>
      <c r="G1600" s="4" cm="1">
        <f t="array" ref="G1600">IF($C1600+$M1600&lt;16,INDEX(Sheet1!C:C,$F1600),$F1600)</f>
        <v>17</v>
      </c>
      <c r="H1600" s="4" t="str" cm="1">
        <f t="array" ref="H1600">INDEX(Sheet1!D:D,$G1600)</f>
        <v>2001-cso-preferred-class-structure-mortality-tables.xls</v>
      </c>
      <c r="I1600" s="4" t="str" cm="1">
        <f t="array" ref="I1600">INDEX(Sheet1!E:E,$G1600)</f>
        <v>A.1.b.v</v>
      </c>
      <c r="J1600" s="4" t="str" cm="1">
        <f t="array" ref="J1600">INDEX(Sheet1!F:F,$G1600)</f>
        <v>B8</v>
      </c>
      <c r="K1600" s="4" cm="1">
        <f t="array" ref="K1600">INDEX(Sheet1!H:H,$G1600)</f>
        <v>1E-3</v>
      </c>
      <c r="L1600" s="4">
        <f t="shared" si="96"/>
        <v>98</v>
      </c>
      <c r="M1600" s="4">
        <f t="shared" si="99"/>
        <v>5</v>
      </c>
    </row>
    <row r="1601" spans="1:13">
      <c r="A1601" s="4" t="str" cm="1">
        <f t="array" ref="A1601">INDEX(Sheet1!A:A,$F1601)</f>
        <v>F</v>
      </c>
      <c r="B1601" s="4" t="str" cm="1">
        <f t="array" ref="B1601">INDEX(Sheet1!B:B,$F1601)</f>
        <v>Non-Pref SM</v>
      </c>
      <c r="C1601" s="4">
        <f t="shared" si="97"/>
        <v>99</v>
      </c>
      <c r="D1601" s="5" cm="1">
        <f t="array" aca="1" ref="D1601" ca="1">OFFSET(INDIRECT("'["&amp;$H1601&amp;"]"&amp;$I1601&amp;"'!"&amp;$J1601),$L1601,$M1601)*$K1601</f>
        <v>0.30458999999999997</v>
      </c>
      <c r="F1601" s="4">
        <f t="shared" si="98"/>
        <v>17</v>
      </c>
      <c r="G1601" s="4" cm="1">
        <f t="array" ref="G1601">IF($C1601+$M1601&lt;16,INDEX(Sheet1!C:C,$F1601),$F1601)</f>
        <v>17</v>
      </c>
      <c r="H1601" s="4" t="str" cm="1">
        <f t="array" ref="H1601">INDEX(Sheet1!D:D,$G1601)</f>
        <v>2001-cso-preferred-class-structure-mortality-tables.xls</v>
      </c>
      <c r="I1601" s="4" t="str" cm="1">
        <f t="array" ref="I1601">INDEX(Sheet1!E:E,$G1601)</f>
        <v>A.1.b.v</v>
      </c>
      <c r="J1601" s="4" t="str" cm="1">
        <f t="array" ref="J1601">INDEX(Sheet1!F:F,$G1601)</f>
        <v>B8</v>
      </c>
      <c r="K1601" s="4" cm="1">
        <f t="array" ref="K1601">INDEX(Sheet1!H:H,$G1601)</f>
        <v>1E-3</v>
      </c>
      <c r="L1601" s="4">
        <f t="shared" si="96"/>
        <v>99</v>
      </c>
      <c r="M1601" s="4">
        <f t="shared" si="99"/>
        <v>5</v>
      </c>
    </row>
    <row r="1602" spans="1:13">
      <c r="A1602" s="4" t="str" cm="1">
        <f t="array" ref="A1602">INDEX(Sheet1!A:A,$F1602)</f>
        <v>F</v>
      </c>
      <c r="B1602" s="4" t="str" cm="1">
        <f t="array" ref="B1602">INDEX(Sheet1!B:B,$F1602)</f>
        <v>Undiff SM</v>
      </c>
      <c r="C1602" s="4">
        <f t="shared" si="97"/>
        <v>0</v>
      </c>
      <c r="D1602" s="5" cm="1">
        <f t="array" aca="1" ref="D1602" ca="1">OFFSET(INDIRECT("'["&amp;$H1602&amp;"]"&amp;$I1602&amp;"'!"&amp;$J1602),$L1602,$M1602)*$K1602</f>
        <v>1.8000000000000001E-4</v>
      </c>
      <c r="F1602" s="4">
        <f t="shared" si="98"/>
        <v>18</v>
      </c>
      <c r="G1602" s="4" cm="1">
        <f t="array" ref="G1602">IF($C1602+$M1602&lt;16,INDEX(Sheet1!C:C,$F1602),$F1602)</f>
        <v>19</v>
      </c>
      <c r="H1602" s="4" t="str" cm="1">
        <f t="array" ref="H1602">INDEX(Sheet1!D:D,$G1602)</f>
        <v>t1139.xlsx</v>
      </c>
      <c r="I1602" s="4" t="str" cm="1">
        <f t="array" ref="I1602">INDEX(Sheet1!E:E,$G1602)</f>
        <v>Sheet1</v>
      </c>
      <c r="J1602" s="4" t="str" cm="1">
        <f t="array" ref="J1602">INDEX(Sheet1!F:F,$G1602)</f>
        <v>B25</v>
      </c>
      <c r="K1602" s="4" cm="1">
        <f t="array" ref="K1602">INDEX(Sheet1!H:H,$G1602)</f>
        <v>1</v>
      </c>
      <c r="L1602" s="4">
        <f t="shared" si="96"/>
        <v>0</v>
      </c>
      <c r="M1602" s="4">
        <f t="shared" si="99"/>
        <v>5</v>
      </c>
    </row>
    <row r="1603" spans="1:13">
      <c r="A1603" s="4" t="str" cm="1">
        <f t="array" ref="A1603">INDEX(Sheet1!A:A,$F1603)</f>
        <v>F</v>
      </c>
      <c r="B1603" s="4" t="str" cm="1">
        <f t="array" ref="B1603">INDEX(Sheet1!B:B,$F1603)</f>
        <v>Undiff SM</v>
      </c>
      <c r="C1603" s="4">
        <f t="shared" si="97"/>
        <v>1</v>
      </c>
      <c r="D1603" s="5" cm="1">
        <f t="array" aca="1" ref="D1603" ca="1">OFFSET(INDIRECT("'["&amp;$H1603&amp;"]"&amp;$I1603&amp;"'!"&amp;$J1603),$L1603,$M1603)*$K1603</f>
        <v>1.8000000000000001E-4</v>
      </c>
      <c r="F1603" s="4">
        <f t="shared" si="98"/>
        <v>18</v>
      </c>
      <c r="G1603" s="4" cm="1">
        <f t="array" ref="G1603">IF($C1603+$M1603&lt;16,INDEX(Sheet1!C:C,$F1603),$F1603)</f>
        <v>19</v>
      </c>
      <c r="H1603" s="4" t="str" cm="1">
        <f t="array" ref="H1603">INDEX(Sheet1!D:D,$G1603)</f>
        <v>t1139.xlsx</v>
      </c>
      <c r="I1603" s="4" t="str" cm="1">
        <f t="array" ref="I1603">INDEX(Sheet1!E:E,$G1603)</f>
        <v>Sheet1</v>
      </c>
      <c r="J1603" s="4" t="str" cm="1">
        <f t="array" ref="J1603">INDEX(Sheet1!F:F,$G1603)</f>
        <v>B25</v>
      </c>
      <c r="K1603" s="4" cm="1">
        <f t="array" ref="K1603">INDEX(Sheet1!H:H,$G1603)</f>
        <v>1</v>
      </c>
      <c r="L1603" s="4">
        <f t="shared" ref="L1603:L1666" si="100">C1603</f>
        <v>1</v>
      </c>
      <c r="M1603" s="4">
        <f t="shared" si="99"/>
        <v>5</v>
      </c>
    </row>
    <row r="1604" spans="1:13">
      <c r="A1604" s="4" t="str" cm="1">
        <f t="array" ref="A1604">INDEX(Sheet1!A:A,$F1604)</f>
        <v>F</v>
      </c>
      <c r="B1604" s="4" t="str" cm="1">
        <f t="array" ref="B1604">INDEX(Sheet1!B:B,$F1604)</f>
        <v>Undiff SM</v>
      </c>
      <c r="C1604" s="4">
        <f t="shared" ref="C1604:C1667" si="101">IF(C1603=99,0,C1603+1)</f>
        <v>2</v>
      </c>
      <c r="D1604" s="5" cm="1">
        <f t="array" aca="1" ref="D1604" ca="1">OFFSET(INDIRECT("'["&amp;$H1604&amp;"]"&amp;$I1604&amp;"'!"&amp;$J1604),$L1604,$M1604)*$K1604</f>
        <v>1.8000000000000001E-4</v>
      </c>
      <c r="F1604" s="4">
        <f t="shared" ref="F1604:F1667" si="102">IF(C1604=0,1,0)+F1603</f>
        <v>18</v>
      </c>
      <c r="G1604" s="4" cm="1">
        <f t="array" ref="G1604">IF($C1604+$M1604&lt;16,INDEX(Sheet1!C:C,$F1604),$F1604)</f>
        <v>19</v>
      </c>
      <c r="H1604" s="4" t="str" cm="1">
        <f t="array" ref="H1604">INDEX(Sheet1!D:D,$G1604)</f>
        <v>t1139.xlsx</v>
      </c>
      <c r="I1604" s="4" t="str" cm="1">
        <f t="array" ref="I1604">INDEX(Sheet1!E:E,$G1604)</f>
        <v>Sheet1</v>
      </c>
      <c r="J1604" s="4" t="str" cm="1">
        <f t="array" ref="J1604">INDEX(Sheet1!F:F,$G1604)</f>
        <v>B25</v>
      </c>
      <c r="K1604" s="4" cm="1">
        <f t="array" ref="K1604">INDEX(Sheet1!H:H,$G1604)</f>
        <v>1</v>
      </c>
      <c r="L1604" s="4">
        <f t="shared" si="100"/>
        <v>2</v>
      </c>
      <c r="M1604" s="4">
        <f t="shared" ref="L1604:M1667" si="103">M$2</f>
        <v>5</v>
      </c>
    </row>
    <row r="1605" spans="1:13">
      <c r="A1605" s="4" t="str" cm="1">
        <f t="array" ref="A1605">INDEX(Sheet1!A:A,$F1605)</f>
        <v>F</v>
      </c>
      <c r="B1605" s="4" t="str" cm="1">
        <f t="array" ref="B1605">INDEX(Sheet1!B:B,$F1605)</f>
        <v>Undiff SM</v>
      </c>
      <c r="C1605" s="4">
        <f t="shared" si="101"/>
        <v>3</v>
      </c>
      <c r="D1605" s="5" cm="1">
        <f t="array" aca="1" ref="D1605" ca="1">OFFSET(INDIRECT("'["&amp;$H1605&amp;"]"&amp;$I1605&amp;"'!"&amp;$J1605),$L1605,$M1605)*$K1605</f>
        <v>1.9000000000000001E-4</v>
      </c>
      <c r="F1605" s="4">
        <f t="shared" si="102"/>
        <v>18</v>
      </c>
      <c r="G1605" s="4" cm="1">
        <f t="array" ref="G1605">IF($C1605+$M1605&lt;16,INDEX(Sheet1!C:C,$F1605),$F1605)</f>
        <v>19</v>
      </c>
      <c r="H1605" s="4" t="str" cm="1">
        <f t="array" ref="H1605">INDEX(Sheet1!D:D,$G1605)</f>
        <v>t1139.xlsx</v>
      </c>
      <c r="I1605" s="4" t="str" cm="1">
        <f t="array" ref="I1605">INDEX(Sheet1!E:E,$G1605)</f>
        <v>Sheet1</v>
      </c>
      <c r="J1605" s="4" t="str" cm="1">
        <f t="array" ref="J1605">INDEX(Sheet1!F:F,$G1605)</f>
        <v>B25</v>
      </c>
      <c r="K1605" s="4" cm="1">
        <f t="array" ref="K1605">INDEX(Sheet1!H:H,$G1605)</f>
        <v>1</v>
      </c>
      <c r="L1605" s="4">
        <f t="shared" si="100"/>
        <v>3</v>
      </c>
      <c r="M1605" s="4">
        <f t="shared" si="103"/>
        <v>5</v>
      </c>
    </row>
    <row r="1606" spans="1:13">
      <c r="A1606" s="4" t="str" cm="1">
        <f t="array" ref="A1606">INDEX(Sheet1!A:A,$F1606)</f>
        <v>F</v>
      </c>
      <c r="B1606" s="4" t="str" cm="1">
        <f t="array" ref="B1606">INDEX(Sheet1!B:B,$F1606)</f>
        <v>Undiff SM</v>
      </c>
      <c r="C1606" s="4">
        <f t="shared" si="101"/>
        <v>4</v>
      </c>
      <c r="D1606" s="5" cm="1">
        <f t="array" aca="1" ref="D1606" ca="1">OFFSET(INDIRECT("'["&amp;$H1606&amp;"]"&amp;$I1606&amp;"'!"&amp;$J1606),$L1606,$M1606)*$K1606</f>
        <v>1.9000000000000001E-4</v>
      </c>
      <c r="F1606" s="4">
        <f t="shared" si="102"/>
        <v>18</v>
      </c>
      <c r="G1606" s="4" cm="1">
        <f t="array" ref="G1606">IF($C1606+$M1606&lt;16,INDEX(Sheet1!C:C,$F1606),$F1606)</f>
        <v>19</v>
      </c>
      <c r="H1606" s="4" t="str" cm="1">
        <f t="array" ref="H1606">INDEX(Sheet1!D:D,$G1606)</f>
        <v>t1139.xlsx</v>
      </c>
      <c r="I1606" s="4" t="str" cm="1">
        <f t="array" ref="I1606">INDEX(Sheet1!E:E,$G1606)</f>
        <v>Sheet1</v>
      </c>
      <c r="J1606" s="4" t="str" cm="1">
        <f t="array" ref="J1606">INDEX(Sheet1!F:F,$G1606)</f>
        <v>B25</v>
      </c>
      <c r="K1606" s="4" cm="1">
        <f t="array" ref="K1606">INDEX(Sheet1!H:H,$G1606)</f>
        <v>1</v>
      </c>
      <c r="L1606" s="4">
        <f t="shared" si="100"/>
        <v>4</v>
      </c>
      <c r="M1606" s="4">
        <f t="shared" si="103"/>
        <v>5</v>
      </c>
    </row>
    <row r="1607" spans="1:13">
      <c r="A1607" s="4" t="str" cm="1">
        <f t="array" ref="A1607">INDEX(Sheet1!A:A,$F1607)</f>
        <v>F</v>
      </c>
      <c r="B1607" s="4" t="str" cm="1">
        <f t="array" ref="B1607">INDEX(Sheet1!B:B,$F1607)</f>
        <v>Undiff SM</v>
      </c>
      <c r="C1607" s="4">
        <f t="shared" si="101"/>
        <v>5</v>
      </c>
      <c r="D1607" s="5" cm="1">
        <f t="array" aca="1" ref="D1607" ca="1">OFFSET(INDIRECT("'["&amp;$H1607&amp;"]"&amp;$I1607&amp;"'!"&amp;$J1607),$L1607,$M1607)*$K1607</f>
        <v>1.9000000000000001E-4</v>
      </c>
      <c r="F1607" s="4">
        <f t="shared" si="102"/>
        <v>18</v>
      </c>
      <c r="G1607" s="4" cm="1">
        <f t="array" ref="G1607">IF($C1607+$M1607&lt;16,INDEX(Sheet1!C:C,$F1607),$F1607)</f>
        <v>19</v>
      </c>
      <c r="H1607" s="4" t="str" cm="1">
        <f t="array" ref="H1607">INDEX(Sheet1!D:D,$G1607)</f>
        <v>t1139.xlsx</v>
      </c>
      <c r="I1607" s="4" t="str" cm="1">
        <f t="array" ref="I1607">INDEX(Sheet1!E:E,$G1607)</f>
        <v>Sheet1</v>
      </c>
      <c r="J1607" s="4" t="str" cm="1">
        <f t="array" ref="J1607">INDEX(Sheet1!F:F,$G1607)</f>
        <v>B25</v>
      </c>
      <c r="K1607" s="4" cm="1">
        <f t="array" ref="K1607">INDEX(Sheet1!H:H,$G1607)</f>
        <v>1</v>
      </c>
      <c r="L1607" s="4">
        <f t="shared" si="100"/>
        <v>5</v>
      </c>
      <c r="M1607" s="4">
        <f t="shared" si="103"/>
        <v>5</v>
      </c>
    </row>
    <row r="1608" spans="1:13">
      <c r="A1608" s="4" t="str" cm="1">
        <f t="array" ref="A1608">INDEX(Sheet1!A:A,$F1608)</f>
        <v>F</v>
      </c>
      <c r="B1608" s="4" t="str" cm="1">
        <f t="array" ref="B1608">INDEX(Sheet1!B:B,$F1608)</f>
        <v>Undiff SM</v>
      </c>
      <c r="C1608" s="4">
        <f t="shared" si="101"/>
        <v>6</v>
      </c>
      <c r="D1608" s="5" cm="1">
        <f t="array" aca="1" ref="D1608" ca="1">OFFSET(INDIRECT("'["&amp;$H1608&amp;"]"&amp;$I1608&amp;"'!"&amp;$J1608),$L1608,$M1608)*$K1608</f>
        <v>2.0000000000000001E-4</v>
      </c>
      <c r="F1608" s="4">
        <f t="shared" si="102"/>
        <v>18</v>
      </c>
      <c r="G1608" s="4" cm="1">
        <f t="array" ref="G1608">IF($C1608+$M1608&lt;16,INDEX(Sheet1!C:C,$F1608),$F1608)</f>
        <v>19</v>
      </c>
      <c r="H1608" s="4" t="str" cm="1">
        <f t="array" ref="H1608">INDEX(Sheet1!D:D,$G1608)</f>
        <v>t1139.xlsx</v>
      </c>
      <c r="I1608" s="4" t="str" cm="1">
        <f t="array" ref="I1608">INDEX(Sheet1!E:E,$G1608)</f>
        <v>Sheet1</v>
      </c>
      <c r="J1608" s="4" t="str" cm="1">
        <f t="array" ref="J1608">INDEX(Sheet1!F:F,$G1608)</f>
        <v>B25</v>
      </c>
      <c r="K1608" s="4" cm="1">
        <f t="array" ref="K1608">INDEX(Sheet1!H:H,$G1608)</f>
        <v>1</v>
      </c>
      <c r="L1608" s="4">
        <f t="shared" si="100"/>
        <v>6</v>
      </c>
      <c r="M1608" s="4">
        <f t="shared" si="103"/>
        <v>5</v>
      </c>
    </row>
    <row r="1609" spans="1:13">
      <c r="A1609" s="4" t="str" cm="1">
        <f t="array" ref="A1609">INDEX(Sheet1!A:A,$F1609)</f>
        <v>F</v>
      </c>
      <c r="B1609" s="4" t="str" cm="1">
        <f t="array" ref="B1609">INDEX(Sheet1!B:B,$F1609)</f>
        <v>Undiff SM</v>
      </c>
      <c r="C1609" s="4">
        <f t="shared" si="101"/>
        <v>7</v>
      </c>
      <c r="D1609" s="5" cm="1">
        <f t="array" aca="1" ref="D1609" ca="1">OFFSET(INDIRECT("'["&amp;$H1609&amp;"]"&amp;$I1609&amp;"'!"&amp;$J1609),$L1609,$M1609)*$K1609</f>
        <v>2.2000000000000001E-4</v>
      </c>
      <c r="F1609" s="4">
        <f t="shared" si="102"/>
        <v>18</v>
      </c>
      <c r="G1609" s="4" cm="1">
        <f t="array" ref="G1609">IF($C1609+$M1609&lt;16,INDEX(Sheet1!C:C,$F1609),$F1609)</f>
        <v>19</v>
      </c>
      <c r="H1609" s="4" t="str" cm="1">
        <f t="array" ref="H1609">INDEX(Sheet1!D:D,$G1609)</f>
        <v>t1139.xlsx</v>
      </c>
      <c r="I1609" s="4" t="str" cm="1">
        <f t="array" ref="I1609">INDEX(Sheet1!E:E,$G1609)</f>
        <v>Sheet1</v>
      </c>
      <c r="J1609" s="4" t="str" cm="1">
        <f t="array" ref="J1609">INDEX(Sheet1!F:F,$G1609)</f>
        <v>B25</v>
      </c>
      <c r="K1609" s="4" cm="1">
        <f t="array" ref="K1609">INDEX(Sheet1!H:H,$G1609)</f>
        <v>1</v>
      </c>
      <c r="L1609" s="4">
        <f t="shared" si="100"/>
        <v>7</v>
      </c>
      <c r="M1609" s="4">
        <f t="shared" si="103"/>
        <v>5</v>
      </c>
    </row>
    <row r="1610" spans="1:13">
      <c r="A1610" s="4" t="str" cm="1">
        <f t="array" ref="A1610">INDEX(Sheet1!A:A,$F1610)</f>
        <v>F</v>
      </c>
      <c r="B1610" s="4" t="str" cm="1">
        <f t="array" ref="B1610">INDEX(Sheet1!B:B,$F1610)</f>
        <v>Undiff SM</v>
      </c>
      <c r="C1610" s="4">
        <f t="shared" si="101"/>
        <v>8</v>
      </c>
      <c r="D1610" s="5" cm="1">
        <f t="array" aca="1" ref="D1610" ca="1">OFFSET(INDIRECT("'["&amp;$H1610&amp;"]"&amp;$I1610&amp;"'!"&amp;$J1610),$L1610,$M1610)*$K1610</f>
        <v>2.4000000000000001E-4</v>
      </c>
      <c r="F1610" s="4">
        <f t="shared" si="102"/>
        <v>18</v>
      </c>
      <c r="G1610" s="4" cm="1">
        <f t="array" ref="G1610">IF($C1610+$M1610&lt;16,INDEX(Sheet1!C:C,$F1610),$F1610)</f>
        <v>19</v>
      </c>
      <c r="H1610" s="4" t="str" cm="1">
        <f t="array" ref="H1610">INDEX(Sheet1!D:D,$G1610)</f>
        <v>t1139.xlsx</v>
      </c>
      <c r="I1610" s="4" t="str" cm="1">
        <f t="array" ref="I1610">INDEX(Sheet1!E:E,$G1610)</f>
        <v>Sheet1</v>
      </c>
      <c r="J1610" s="4" t="str" cm="1">
        <f t="array" ref="J1610">INDEX(Sheet1!F:F,$G1610)</f>
        <v>B25</v>
      </c>
      <c r="K1610" s="4" cm="1">
        <f t="array" ref="K1610">INDEX(Sheet1!H:H,$G1610)</f>
        <v>1</v>
      </c>
      <c r="L1610" s="4">
        <f t="shared" si="100"/>
        <v>8</v>
      </c>
      <c r="M1610" s="4">
        <f t="shared" si="103"/>
        <v>5</v>
      </c>
    </row>
    <row r="1611" spans="1:13">
      <c r="A1611" s="4" t="str" cm="1">
        <f t="array" ref="A1611">INDEX(Sheet1!A:A,$F1611)</f>
        <v>F</v>
      </c>
      <c r="B1611" s="4" t="str" cm="1">
        <f t="array" ref="B1611">INDEX(Sheet1!B:B,$F1611)</f>
        <v>Undiff SM</v>
      </c>
      <c r="C1611" s="4">
        <f t="shared" si="101"/>
        <v>9</v>
      </c>
      <c r="D1611" s="5" cm="1">
        <f t="array" aca="1" ref="D1611" ca="1">OFFSET(INDIRECT("'["&amp;$H1611&amp;"]"&amp;$I1611&amp;"'!"&amp;$J1611),$L1611,$M1611)*$K1611</f>
        <v>2.7E-4</v>
      </c>
      <c r="F1611" s="4">
        <f t="shared" si="102"/>
        <v>18</v>
      </c>
      <c r="G1611" s="4" cm="1">
        <f t="array" ref="G1611">IF($C1611+$M1611&lt;16,INDEX(Sheet1!C:C,$F1611),$F1611)</f>
        <v>19</v>
      </c>
      <c r="H1611" s="4" t="str" cm="1">
        <f t="array" ref="H1611">INDEX(Sheet1!D:D,$G1611)</f>
        <v>t1139.xlsx</v>
      </c>
      <c r="I1611" s="4" t="str" cm="1">
        <f t="array" ref="I1611">INDEX(Sheet1!E:E,$G1611)</f>
        <v>Sheet1</v>
      </c>
      <c r="J1611" s="4" t="str" cm="1">
        <f t="array" ref="J1611">INDEX(Sheet1!F:F,$G1611)</f>
        <v>B25</v>
      </c>
      <c r="K1611" s="4" cm="1">
        <f t="array" ref="K1611">INDEX(Sheet1!H:H,$G1611)</f>
        <v>1</v>
      </c>
      <c r="L1611" s="4">
        <f t="shared" si="100"/>
        <v>9</v>
      </c>
      <c r="M1611" s="4">
        <f t="shared" si="103"/>
        <v>5</v>
      </c>
    </row>
    <row r="1612" spans="1:13">
      <c r="A1612" s="4" t="str" cm="1">
        <f t="array" ref="A1612">INDEX(Sheet1!A:A,$F1612)</f>
        <v>F</v>
      </c>
      <c r="B1612" s="4" t="str" cm="1">
        <f t="array" ref="B1612">INDEX(Sheet1!B:B,$F1612)</f>
        <v>Undiff SM</v>
      </c>
      <c r="C1612" s="4">
        <f t="shared" si="101"/>
        <v>10</v>
      </c>
      <c r="D1612" s="5" cm="1">
        <f t="array" aca="1" ref="D1612" ca="1">OFFSET(INDIRECT("'["&amp;$H1612&amp;"]"&amp;$I1612&amp;"'!"&amp;$J1612),$L1612,$M1612)*$K1612</f>
        <v>3.1E-4</v>
      </c>
      <c r="F1612" s="4">
        <f t="shared" si="102"/>
        <v>18</v>
      </c>
      <c r="G1612" s="4" cm="1">
        <f t="array" ref="G1612">IF($C1612+$M1612&lt;16,INDEX(Sheet1!C:C,$F1612),$F1612)</f>
        <v>19</v>
      </c>
      <c r="H1612" s="4" t="str" cm="1">
        <f t="array" ref="H1612">INDEX(Sheet1!D:D,$G1612)</f>
        <v>t1139.xlsx</v>
      </c>
      <c r="I1612" s="4" t="str" cm="1">
        <f t="array" ref="I1612">INDEX(Sheet1!E:E,$G1612)</f>
        <v>Sheet1</v>
      </c>
      <c r="J1612" s="4" t="str" cm="1">
        <f t="array" ref="J1612">INDEX(Sheet1!F:F,$G1612)</f>
        <v>B25</v>
      </c>
      <c r="K1612" s="4" cm="1">
        <f t="array" ref="K1612">INDEX(Sheet1!H:H,$G1612)</f>
        <v>1</v>
      </c>
      <c r="L1612" s="4">
        <f t="shared" si="100"/>
        <v>10</v>
      </c>
      <c r="M1612" s="4">
        <f t="shared" si="103"/>
        <v>5</v>
      </c>
    </row>
    <row r="1613" spans="1:13">
      <c r="A1613" s="4" t="str" cm="1">
        <f t="array" ref="A1613">INDEX(Sheet1!A:A,$F1613)</f>
        <v>F</v>
      </c>
      <c r="B1613" s="4" t="str" cm="1">
        <f t="array" ref="B1613">INDEX(Sheet1!B:B,$F1613)</f>
        <v>Undiff SM</v>
      </c>
      <c r="C1613" s="4">
        <f t="shared" si="101"/>
        <v>11</v>
      </c>
      <c r="D1613" s="5" cm="1">
        <f t="array" aca="1" ref="D1613" ca="1">OFFSET(INDIRECT("'["&amp;$H1613&amp;"]"&amp;$I1613&amp;"'!"&amp;$J1613),$L1613,$M1613)*$K1613</f>
        <v>3.4000000000000002E-4</v>
      </c>
      <c r="F1613" s="4">
        <f t="shared" si="102"/>
        <v>18</v>
      </c>
      <c r="G1613" s="4" cm="1">
        <f t="array" ref="G1613">IF($C1613+$M1613&lt;16,INDEX(Sheet1!C:C,$F1613),$F1613)</f>
        <v>18</v>
      </c>
      <c r="H1613" s="4" t="str" cm="1">
        <f t="array" ref="H1613">INDEX(Sheet1!D:D,$G1613)</f>
        <v>t1141.xlsx</v>
      </c>
      <c r="I1613" s="4" t="str" cm="1">
        <f t="array" ref="I1613">INDEX(Sheet1!E:E,$G1613)</f>
        <v>Sheet1</v>
      </c>
      <c r="J1613" s="4" t="str" cm="1">
        <f t="array" ref="J1613">INDEX(Sheet1!F:F,$G1613)</f>
        <v>B25</v>
      </c>
      <c r="K1613" s="4" cm="1">
        <f t="array" ref="K1613">INDEX(Sheet1!H:H,$G1613)</f>
        <v>1</v>
      </c>
      <c r="L1613" s="4">
        <f t="shared" si="100"/>
        <v>11</v>
      </c>
      <c r="M1613" s="4">
        <f t="shared" si="103"/>
        <v>5</v>
      </c>
    </row>
    <row r="1614" spans="1:13">
      <c r="A1614" s="4" t="str" cm="1">
        <f t="array" ref="A1614">INDEX(Sheet1!A:A,$F1614)</f>
        <v>F</v>
      </c>
      <c r="B1614" s="4" t="str" cm="1">
        <f t="array" ref="B1614">INDEX(Sheet1!B:B,$F1614)</f>
        <v>Undiff SM</v>
      </c>
      <c r="C1614" s="4">
        <f t="shared" si="101"/>
        <v>12</v>
      </c>
      <c r="D1614" s="5" cm="1">
        <f t="array" aca="1" ref="D1614" ca="1">OFFSET(INDIRECT("'["&amp;$H1614&amp;"]"&amp;$I1614&amp;"'!"&amp;$J1614),$L1614,$M1614)*$K1614</f>
        <v>3.8000000000000002E-4</v>
      </c>
      <c r="F1614" s="4">
        <f t="shared" si="102"/>
        <v>18</v>
      </c>
      <c r="G1614" s="4" cm="1">
        <f t="array" ref="G1614">IF($C1614+$M1614&lt;16,INDEX(Sheet1!C:C,$F1614),$F1614)</f>
        <v>18</v>
      </c>
      <c r="H1614" s="4" t="str" cm="1">
        <f t="array" ref="H1614">INDEX(Sheet1!D:D,$G1614)</f>
        <v>t1141.xlsx</v>
      </c>
      <c r="I1614" s="4" t="str" cm="1">
        <f t="array" ref="I1614">INDEX(Sheet1!E:E,$G1614)</f>
        <v>Sheet1</v>
      </c>
      <c r="J1614" s="4" t="str" cm="1">
        <f t="array" ref="J1614">INDEX(Sheet1!F:F,$G1614)</f>
        <v>B25</v>
      </c>
      <c r="K1614" s="4" cm="1">
        <f t="array" ref="K1614">INDEX(Sheet1!H:H,$G1614)</f>
        <v>1</v>
      </c>
      <c r="L1614" s="4">
        <f t="shared" si="100"/>
        <v>12</v>
      </c>
      <c r="M1614" s="4">
        <f t="shared" si="103"/>
        <v>5</v>
      </c>
    </row>
    <row r="1615" spans="1:13">
      <c r="A1615" s="4" t="str" cm="1">
        <f t="array" ref="A1615">INDEX(Sheet1!A:A,$F1615)</f>
        <v>F</v>
      </c>
      <c r="B1615" s="4" t="str" cm="1">
        <f t="array" ref="B1615">INDEX(Sheet1!B:B,$F1615)</f>
        <v>Undiff SM</v>
      </c>
      <c r="C1615" s="4">
        <f t="shared" si="101"/>
        <v>13</v>
      </c>
      <c r="D1615" s="5" cm="1">
        <f t="array" aca="1" ref="D1615" ca="1">OFFSET(INDIRECT("'["&amp;$H1615&amp;"]"&amp;$I1615&amp;"'!"&amp;$J1615),$L1615,$M1615)*$K1615</f>
        <v>4.0000000000000002E-4</v>
      </c>
      <c r="F1615" s="4">
        <f t="shared" si="102"/>
        <v>18</v>
      </c>
      <c r="G1615" s="4" cm="1">
        <f t="array" ref="G1615">IF($C1615+$M1615&lt;16,INDEX(Sheet1!C:C,$F1615),$F1615)</f>
        <v>18</v>
      </c>
      <c r="H1615" s="4" t="str" cm="1">
        <f t="array" ref="H1615">INDEX(Sheet1!D:D,$G1615)</f>
        <v>t1141.xlsx</v>
      </c>
      <c r="I1615" s="4" t="str" cm="1">
        <f t="array" ref="I1615">INDEX(Sheet1!E:E,$G1615)</f>
        <v>Sheet1</v>
      </c>
      <c r="J1615" s="4" t="str" cm="1">
        <f t="array" ref="J1615">INDEX(Sheet1!F:F,$G1615)</f>
        <v>B25</v>
      </c>
      <c r="K1615" s="4" cm="1">
        <f t="array" ref="K1615">INDEX(Sheet1!H:H,$G1615)</f>
        <v>1</v>
      </c>
      <c r="L1615" s="4">
        <f t="shared" si="100"/>
        <v>13</v>
      </c>
      <c r="M1615" s="4">
        <f t="shared" si="103"/>
        <v>5</v>
      </c>
    </row>
    <row r="1616" spans="1:13">
      <c r="A1616" s="4" t="str" cm="1">
        <f t="array" ref="A1616">INDEX(Sheet1!A:A,$F1616)</f>
        <v>F</v>
      </c>
      <c r="B1616" s="4" t="str" cm="1">
        <f t="array" ref="B1616">INDEX(Sheet1!B:B,$F1616)</f>
        <v>Undiff SM</v>
      </c>
      <c r="C1616" s="4">
        <f t="shared" si="101"/>
        <v>14</v>
      </c>
      <c r="D1616" s="5" cm="1">
        <f t="array" aca="1" ref="D1616" ca="1">OFFSET(INDIRECT("'["&amp;$H1616&amp;"]"&amp;$I1616&amp;"'!"&amp;$J1616),$L1616,$M1616)*$K1616</f>
        <v>4.2000000000000002E-4</v>
      </c>
      <c r="F1616" s="4">
        <f t="shared" si="102"/>
        <v>18</v>
      </c>
      <c r="G1616" s="4" cm="1">
        <f t="array" ref="G1616">IF($C1616+$M1616&lt;16,INDEX(Sheet1!C:C,$F1616),$F1616)</f>
        <v>18</v>
      </c>
      <c r="H1616" s="4" t="str" cm="1">
        <f t="array" ref="H1616">INDEX(Sheet1!D:D,$G1616)</f>
        <v>t1141.xlsx</v>
      </c>
      <c r="I1616" s="4" t="str" cm="1">
        <f t="array" ref="I1616">INDEX(Sheet1!E:E,$G1616)</f>
        <v>Sheet1</v>
      </c>
      <c r="J1616" s="4" t="str" cm="1">
        <f t="array" ref="J1616">INDEX(Sheet1!F:F,$G1616)</f>
        <v>B25</v>
      </c>
      <c r="K1616" s="4" cm="1">
        <f t="array" ref="K1616">INDEX(Sheet1!H:H,$G1616)</f>
        <v>1</v>
      </c>
      <c r="L1616" s="4">
        <f t="shared" si="100"/>
        <v>14</v>
      </c>
      <c r="M1616" s="4">
        <f t="shared" si="103"/>
        <v>5</v>
      </c>
    </row>
    <row r="1617" spans="1:13">
      <c r="A1617" s="4" t="str" cm="1">
        <f t="array" ref="A1617">INDEX(Sheet1!A:A,$F1617)</f>
        <v>F</v>
      </c>
      <c r="B1617" s="4" t="str" cm="1">
        <f t="array" ref="B1617">INDEX(Sheet1!B:B,$F1617)</f>
        <v>Undiff SM</v>
      </c>
      <c r="C1617" s="4">
        <f t="shared" si="101"/>
        <v>15</v>
      </c>
      <c r="D1617" s="5" cm="1">
        <f t="array" aca="1" ref="D1617" ca="1">OFFSET(INDIRECT("'["&amp;$H1617&amp;"]"&amp;$I1617&amp;"'!"&amp;$J1617),$L1617,$M1617)*$K1617</f>
        <v>4.4999999999999999E-4</v>
      </c>
      <c r="F1617" s="4">
        <f t="shared" si="102"/>
        <v>18</v>
      </c>
      <c r="G1617" s="4" cm="1">
        <f t="array" ref="G1617">IF($C1617+$M1617&lt;16,INDEX(Sheet1!C:C,$F1617),$F1617)</f>
        <v>18</v>
      </c>
      <c r="H1617" s="4" t="str" cm="1">
        <f t="array" ref="H1617">INDEX(Sheet1!D:D,$G1617)</f>
        <v>t1141.xlsx</v>
      </c>
      <c r="I1617" s="4" t="str" cm="1">
        <f t="array" ref="I1617">INDEX(Sheet1!E:E,$G1617)</f>
        <v>Sheet1</v>
      </c>
      <c r="J1617" s="4" t="str" cm="1">
        <f t="array" ref="J1617">INDEX(Sheet1!F:F,$G1617)</f>
        <v>B25</v>
      </c>
      <c r="K1617" s="4" cm="1">
        <f t="array" ref="K1617">INDEX(Sheet1!H:H,$G1617)</f>
        <v>1</v>
      </c>
      <c r="L1617" s="4">
        <f t="shared" si="100"/>
        <v>15</v>
      </c>
      <c r="M1617" s="4">
        <f t="shared" si="103"/>
        <v>5</v>
      </c>
    </row>
    <row r="1618" spans="1:13">
      <c r="A1618" s="4" t="str" cm="1">
        <f t="array" ref="A1618">INDEX(Sheet1!A:A,$F1618)</f>
        <v>F</v>
      </c>
      <c r="B1618" s="4" t="str" cm="1">
        <f t="array" ref="B1618">INDEX(Sheet1!B:B,$F1618)</f>
        <v>Undiff SM</v>
      </c>
      <c r="C1618" s="4">
        <f t="shared" si="101"/>
        <v>16</v>
      </c>
      <c r="D1618" s="5" cm="1">
        <f t="array" aca="1" ref="D1618" ca="1">OFFSET(INDIRECT("'["&amp;$H1618&amp;"]"&amp;$I1618&amp;"'!"&amp;$J1618),$L1618,$M1618)*$K1618</f>
        <v>4.6999999999999999E-4</v>
      </c>
      <c r="F1618" s="4">
        <f t="shared" si="102"/>
        <v>18</v>
      </c>
      <c r="G1618" s="4" cm="1">
        <f t="array" ref="G1618">IF($C1618+$M1618&lt;16,INDEX(Sheet1!C:C,$F1618),$F1618)</f>
        <v>18</v>
      </c>
      <c r="H1618" s="4" t="str" cm="1">
        <f t="array" ref="H1618">INDEX(Sheet1!D:D,$G1618)</f>
        <v>t1141.xlsx</v>
      </c>
      <c r="I1618" s="4" t="str" cm="1">
        <f t="array" ref="I1618">INDEX(Sheet1!E:E,$G1618)</f>
        <v>Sheet1</v>
      </c>
      <c r="J1618" s="4" t="str" cm="1">
        <f t="array" ref="J1618">INDEX(Sheet1!F:F,$G1618)</f>
        <v>B25</v>
      </c>
      <c r="K1618" s="4" cm="1">
        <f t="array" ref="K1618">INDEX(Sheet1!H:H,$G1618)</f>
        <v>1</v>
      </c>
      <c r="L1618" s="4">
        <f t="shared" si="100"/>
        <v>16</v>
      </c>
      <c r="M1618" s="4">
        <f t="shared" si="103"/>
        <v>5</v>
      </c>
    </row>
    <row r="1619" spans="1:13">
      <c r="A1619" s="4" t="str" cm="1">
        <f t="array" ref="A1619">INDEX(Sheet1!A:A,$F1619)</f>
        <v>F</v>
      </c>
      <c r="B1619" s="4" t="str" cm="1">
        <f t="array" ref="B1619">INDEX(Sheet1!B:B,$F1619)</f>
        <v>Undiff SM</v>
      </c>
      <c r="C1619" s="4">
        <f t="shared" si="101"/>
        <v>17</v>
      </c>
      <c r="D1619" s="5" cm="1">
        <f t="array" aca="1" ref="D1619" ca="1">OFFSET(INDIRECT("'["&amp;$H1619&amp;"]"&amp;$I1619&amp;"'!"&amp;$J1619),$L1619,$M1619)*$K1619</f>
        <v>4.8999999999999998E-4</v>
      </c>
      <c r="F1619" s="4">
        <f t="shared" si="102"/>
        <v>18</v>
      </c>
      <c r="G1619" s="4" cm="1">
        <f t="array" ref="G1619">IF($C1619+$M1619&lt;16,INDEX(Sheet1!C:C,$F1619),$F1619)</f>
        <v>18</v>
      </c>
      <c r="H1619" s="4" t="str" cm="1">
        <f t="array" ref="H1619">INDEX(Sheet1!D:D,$G1619)</f>
        <v>t1141.xlsx</v>
      </c>
      <c r="I1619" s="4" t="str" cm="1">
        <f t="array" ref="I1619">INDEX(Sheet1!E:E,$G1619)</f>
        <v>Sheet1</v>
      </c>
      <c r="J1619" s="4" t="str" cm="1">
        <f t="array" ref="J1619">INDEX(Sheet1!F:F,$G1619)</f>
        <v>B25</v>
      </c>
      <c r="K1619" s="4" cm="1">
        <f t="array" ref="K1619">INDEX(Sheet1!H:H,$G1619)</f>
        <v>1</v>
      </c>
      <c r="L1619" s="4">
        <f t="shared" si="100"/>
        <v>17</v>
      </c>
      <c r="M1619" s="4">
        <f t="shared" si="103"/>
        <v>5</v>
      </c>
    </row>
    <row r="1620" spans="1:13">
      <c r="A1620" s="4" t="str" cm="1">
        <f t="array" ref="A1620">INDEX(Sheet1!A:A,$F1620)</f>
        <v>F</v>
      </c>
      <c r="B1620" s="4" t="str" cm="1">
        <f t="array" ref="B1620">INDEX(Sheet1!B:B,$F1620)</f>
        <v>Undiff SM</v>
      </c>
      <c r="C1620" s="4">
        <f t="shared" si="101"/>
        <v>18</v>
      </c>
      <c r="D1620" s="5" cm="1">
        <f t="array" aca="1" ref="D1620" ca="1">OFFSET(INDIRECT("'["&amp;$H1620&amp;"]"&amp;$I1620&amp;"'!"&amp;$J1620),$L1620,$M1620)*$K1620</f>
        <v>5.0000000000000001E-4</v>
      </c>
      <c r="F1620" s="4">
        <f t="shared" si="102"/>
        <v>18</v>
      </c>
      <c r="G1620" s="4" cm="1">
        <f t="array" ref="G1620">IF($C1620+$M1620&lt;16,INDEX(Sheet1!C:C,$F1620),$F1620)</f>
        <v>18</v>
      </c>
      <c r="H1620" s="4" t="str" cm="1">
        <f t="array" ref="H1620">INDEX(Sheet1!D:D,$G1620)</f>
        <v>t1141.xlsx</v>
      </c>
      <c r="I1620" s="4" t="str" cm="1">
        <f t="array" ref="I1620">INDEX(Sheet1!E:E,$G1620)</f>
        <v>Sheet1</v>
      </c>
      <c r="J1620" s="4" t="str" cm="1">
        <f t="array" ref="J1620">INDEX(Sheet1!F:F,$G1620)</f>
        <v>B25</v>
      </c>
      <c r="K1620" s="4" cm="1">
        <f t="array" ref="K1620">INDEX(Sheet1!H:H,$G1620)</f>
        <v>1</v>
      </c>
      <c r="L1620" s="4">
        <f t="shared" si="100"/>
        <v>18</v>
      </c>
      <c r="M1620" s="4">
        <f t="shared" si="103"/>
        <v>5</v>
      </c>
    </row>
    <row r="1621" spans="1:13">
      <c r="A1621" s="4" t="str" cm="1">
        <f t="array" ref="A1621">INDEX(Sheet1!A:A,$F1621)</f>
        <v>F</v>
      </c>
      <c r="B1621" s="4" t="str" cm="1">
        <f t="array" ref="B1621">INDEX(Sheet1!B:B,$F1621)</f>
        <v>Undiff SM</v>
      </c>
      <c r="C1621" s="4">
        <f t="shared" si="101"/>
        <v>19</v>
      </c>
      <c r="D1621" s="5" cm="1">
        <f t="array" aca="1" ref="D1621" ca="1">OFFSET(INDIRECT("'["&amp;$H1621&amp;"]"&amp;$I1621&amp;"'!"&amp;$J1621),$L1621,$M1621)*$K1621</f>
        <v>5.4000000000000001E-4</v>
      </c>
      <c r="F1621" s="4">
        <f t="shared" si="102"/>
        <v>18</v>
      </c>
      <c r="G1621" s="4" cm="1">
        <f t="array" ref="G1621">IF($C1621+$M1621&lt;16,INDEX(Sheet1!C:C,$F1621),$F1621)</f>
        <v>18</v>
      </c>
      <c r="H1621" s="4" t="str" cm="1">
        <f t="array" ref="H1621">INDEX(Sheet1!D:D,$G1621)</f>
        <v>t1141.xlsx</v>
      </c>
      <c r="I1621" s="4" t="str" cm="1">
        <f t="array" ref="I1621">INDEX(Sheet1!E:E,$G1621)</f>
        <v>Sheet1</v>
      </c>
      <c r="J1621" s="4" t="str" cm="1">
        <f t="array" ref="J1621">INDEX(Sheet1!F:F,$G1621)</f>
        <v>B25</v>
      </c>
      <c r="K1621" s="4" cm="1">
        <f t="array" ref="K1621">INDEX(Sheet1!H:H,$G1621)</f>
        <v>1</v>
      </c>
      <c r="L1621" s="4">
        <f t="shared" si="100"/>
        <v>19</v>
      </c>
      <c r="M1621" s="4">
        <f t="shared" si="103"/>
        <v>5</v>
      </c>
    </row>
    <row r="1622" spans="1:13">
      <c r="A1622" s="4" t="str" cm="1">
        <f t="array" ref="A1622">INDEX(Sheet1!A:A,$F1622)</f>
        <v>F</v>
      </c>
      <c r="B1622" s="4" t="str" cm="1">
        <f t="array" ref="B1622">INDEX(Sheet1!B:B,$F1622)</f>
        <v>Undiff SM</v>
      </c>
      <c r="C1622" s="4">
        <f t="shared" si="101"/>
        <v>20</v>
      </c>
      <c r="D1622" s="5" cm="1">
        <f t="array" aca="1" ref="D1622" ca="1">OFFSET(INDIRECT("'["&amp;$H1622&amp;"]"&amp;$I1622&amp;"'!"&amp;$J1622),$L1622,$M1622)*$K1622</f>
        <v>5.9000000000000003E-4</v>
      </c>
      <c r="F1622" s="4">
        <f t="shared" si="102"/>
        <v>18</v>
      </c>
      <c r="G1622" s="4" cm="1">
        <f t="array" ref="G1622">IF($C1622+$M1622&lt;16,INDEX(Sheet1!C:C,$F1622),$F1622)</f>
        <v>18</v>
      </c>
      <c r="H1622" s="4" t="str" cm="1">
        <f t="array" ref="H1622">INDEX(Sheet1!D:D,$G1622)</f>
        <v>t1141.xlsx</v>
      </c>
      <c r="I1622" s="4" t="str" cm="1">
        <f t="array" ref="I1622">INDEX(Sheet1!E:E,$G1622)</f>
        <v>Sheet1</v>
      </c>
      <c r="J1622" s="4" t="str" cm="1">
        <f t="array" ref="J1622">INDEX(Sheet1!F:F,$G1622)</f>
        <v>B25</v>
      </c>
      <c r="K1622" s="4" cm="1">
        <f t="array" ref="K1622">INDEX(Sheet1!H:H,$G1622)</f>
        <v>1</v>
      </c>
      <c r="L1622" s="4">
        <f t="shared" si="100"/>
        <v>20</v>
      </c>
      <c r="M1622" s="4">
        <f t="shared" si="103"/>
        <v>5</v>
      </c>
    </row>
    <row r="1623" spans="1:13">
      <c r="A1623" s="4" t="str" cm="1">
        <f t="array" ref="A1623">INDEX(Sheet1!A:A,$F1623)</f>
        <v>F</v>
      </c>
      <c r="B1623" s="4" t="str" cm="1">
        <f t="array" ref="B1623">INDEX(Sheet1!B:B,$F1623)</f>
        <v>Undiff SM</v>
      </c>
      <c r="C1623" s="4">
        <f t="shared" si="101"/>
        <v>21</v>
      </c>
      <c r="D1623" s="5" cm="1">
        <f t="array" aca="1" ref="D1623" ca="1">OFFSET(INDIRECT("'["&amp;$H1623&amp;"]"&amp;$I1623&amp;"'!"&amp;$J1623),$L1623,$M1623)*$K1623</f>
        <v>6.0999999999999997E-4</v>
      </c>
      <c r="F1623" s="4">
        <f t="shared" si="102"/>
        <v>18</v>
      </c>
      <c r="G1623" s="4" cm="1">
        <f t="array" ref="G1623">IF($C1623+$M1623&lt;16,INDEX(Sheet1!C:C,$F1623),$F1623)</f>
        <v>18</v>
      </c>
      <c r="H1623" s="4" t="str" cm="1">
        <f t="array" ref="H1623">INDEX(Sheet1!D:D,$G1623)</f>
        <v>t1141.xlsx</v>
      </c>
      <c r="I1623" s="4" t="str" cm="1">
        <f t="array" ref="I1623">INDEX(Sheet1!E:E,$G1623)</f>
        <v>Sheet1</v>
      </c>
      <c r="J1623" s="4" t="str" cm="1">
        <f t="array" ref="J1623">INDEX(Sheet1!F:F,$G1623)</f>
        <v>B25</v>
      </c>
      <c r="K1623" s="4" cm="1">
        <f t="array" ref="K1623">INDEX(Sheet1!H:H,$G1623)</f>
        <v>1</v>
      </c>
      <c r="L1623" s="4">
        <f t="shared" si="100"/>
        <v>21</v>
      </c>
      <c r="M1623" s="4">
        <f t="shared" si="103"/>
        <v>5</v>
      </c>
    </row>
    <row r="1624" spans="1:13">
      <c r="A1624" s="4" t="str" cm="1">
        <f t="array" ref="A1624">INDEX(Sheet1!A:A,$F1624)</f>
        <v>F</v>
      </c>
      <c r="B1624" s="4" t="str" cm="1">
        <f t="array" ref="B1624">INDEX(Sheet1!B:B,$F1624)</f>
        <v>Undiff SM</v>
      </c>
      <c r="C1624" s="4">
        <f t="shared" si="101"/>
        <v>22</v>
      </c>
      <c r="D1624" s="5" cm="1">
        <f t="array" aca="1" ref="D1624" ca="1">OFFSET(INDIRECT("'["&amp;$H1624&amp;"]"&amp;$I1624&amp;"'!"&amp;$J1624),$L1624,$M1624)*$K1624</f>
        <v>6.4999999999999997E-4</v>
      </c>
      <c r="F1624" s="4">
        <f t="shared" si="102"/>
        <v>18</v>
      </c>
      <c r="G1624" s="4" cm="1">
        <f t="array" ref="G1624">IF($C1624+$M1624&lt;16,INDEX(Sheet1!C:C,$F1624),$F1624)</f>
        <v>18</v>
      </c>
      <c r="H1624" s="4" t="str" cm="1">
        <f t="array" ref="H1624">INDEX(Sheet1!D:D,$G1624)</f>
        <v>t1141.xlsx</v>
      </c>
      <c r="I1624" s="4" t="str" cm="1">
        <f t="array" ref="I1624">INDEX(Sheet1!E:E,$G1624)</f>
        <v>Sheet1</v>
      </c>
      <c r="J1624" s="4" t="str" cm="1">
        <f t="array" ref="J1624">INDEX(Sheet1!F:F,$G1624)</f>
        <v>B25</v>
      </c>
      <c r="K1624" s="4" cm="1">
        <f t="array" ref="K1624">INDEX(Sheet1!H:H,$G1624)</f>
        <v>1</v>
      </c>
      <c r="L1624" s="4">
        <f t="shared" si="100"/>
        <v>22</v>
      </c>
      <c r="M1624" s="4">
        <f t="shared" si="103"/>
        <v>5</v>
      </c>
    </row>
    <row r="1625" spans="1:13">
      <c r="A1625" s="4" t="str" cm="1">
        <f t="array" ref="A1625">INDEX(Sheet1!A:A,$F1625)</f>
        <v>F</v>
      </c>
      <c r="B1625" s="4" t="str" cm="1">
        <f t="array" ref="B1625">INDEX(Sheet1!B:B,$F1625)</f>
        <v>Undiff SM</v>
      </c>
      <c r="C1625" s="4">
        <f t="shared" si="101"/>
        <v>23</v>
      </c>
      <c r="D1625" s="5" cm="1">
        <f t="array" aca="1" ref="D1625" ca="1">OFFSET(INDIRECT("'["&amp;$H1625&amp;"]"&amp;$I1625&amp;"'!"&amp;$J1625),$L1625,$M1625)*$K1625</f>
        <v>6.8999999999999997E-4</v>
      </c>
      <c r="F1625" s="4">
        <f t="shared" si="102"/>
        <v>18</v>
      </c>
      <c r="G1625" s="4" cm="1">
        <f t="array" ref="G1625">IF($C1625+$M1625&lt;16,INDEX(Sheet1!C:C,$F1625),$F1625)</f>
        <v>18</v>
      </c>
      <c r="H1625" s="4" t="str" cm="1">
        <f t="array" ref="H1625">INDEX(Sheet1!D:D,$G1625)</f>
        <v>t1141.xlsx</v>
      </c>
      <c r="I1625" s="4" t="str" cm="1">
        <f t="array" ref="I1625">INDEX(Sheet1!E:E,$G1625)</f>
        <v>Sheet1</v>
      </c>
      <c r="J1625" s="4" t="str" cm="1">
        <f t="array" ref="J1625">INDEX(Sheet1!F:F,$G1625)</f>
        <v>B25</v>
      </c>
      <c r="K1625" s="4" cm="1">
        <f t="array" ref="K1625">INDEX(Sheet1!H:H,$G1625)</f>
        <v>1</v>
      </c>
      <c r="L1625" s="4">
        <f t="shared" si="100"/>
        <v>23</v>
      </c>
      <c r="M1625" s="4">
        <f t="shared" si="103"/>
        <v>5</v>
      </c>
    </row>
    <row r="1626" spans="1:13">
      <c r="A1626" s="4" t="str" cm="1">
        <f t="array" ref="A1626">INDEX(Sheet1!A:A,$F1626)</f>
        <v>F</v>
      </c>
      <c r="B1626" s="4" t="str" cm="1">
        <f t="array" ref="B1626">INDEX(Sheet1!B:B,$F1626)</f>
        <v>Undiff SM</v>
      </c>
      <c r="C1626" s="4">
        <f t="shared" si="101"/>
        <v>24</v>
      </c>
      <c r="D1626" s="5" cm="1">
        <f t="array" aca="1" ref="D1626" ca="1">OFFSET(INDIRECT("'["&amp;$H1626&amp;"]"&amp;$I1626&amp;"'!"&amp;$J1626),$L1626,$M1626)*$K1626</f>
        <v>7.3999999999999999E-4</v>
      </c>
      <c r="F1626" s="4">
        <f t="shared" si="102"/>
        <v>18</v>
      </c>
      <c r="G1626" s="4" cm="1">
        <f t="array" ref="G1626">IF($C1626+$M1626&lt;16,INDEX(Sheet1!C:C,$F1626),$F1626)</f>
        <v>18</v>
      </c>
      <c r="H1626" s="4" t="str" cm="1">
        <f t="array" ref="H1626">INDEX(Sheet1!D:D,$G1626)</f>
        <v>t1141.xlsx</v>
      </c>
      <c r="I1626" s="4" t="str" cm="1">
        <f t="array" ref="I1626">INDEX(Sheet1!E:E,$G1626)</f>
        <v>Sheet1</v>
      </c>
      <c r="J1626" s="4" t="str" cm="1">
        <f t="array" ref="J1626">INDEX(Sheet1!F:F,$G1626)</f>
        <v>B25</v>
      </c>
      <c r="K1626" s="4" cm="1">
        <f t="array" ref="K1626">INDEX(Sheet1!H:H,$G1626)</f>
        <v>1</v>
      </c>
      <c r="L1626" s="4">
        <f t="shared" si="100"/>
        <v>24</v>
      </c>
      <c r="M1626" s="4">
        <f t="shared" si="103"/>
        <v>5</v>
      </c>
    </row>
    <row r="1627" spans="1:13">
      <c r="A1627" s="4" t="str" cm="1">
        <f t="array" ref="A1627">INDEX(Sheet1!A:A,$F1627)</f>
        <v>F</v>
      </c>
      <c r="B1627" s="4" t="str" cm="1">
        <f t="array" ref="B1627">INDEX(Sheet1!B:B,$F1627)</f>
        <v>Undiff SM</v>
      </c>
      <c r="C1627" s="4">
        <f t="shared" si="101"/>
        <v>25</v>
      </c>
      <c r="D1627" s="5" cm="1">
        <f t="array" aca="1" ref="D1627" ca="1">OFFSET(INDIRECT("'["&amp;$H1627&amp;"]"&amp;$I1627&amp;"'!"&amp;$J1627),$L1627,$M1627)*$K1627</f>
        <v>7.7999999999999999E-4</v>
      </c>
      <c r="F1627" s="4">
        <f t="shared" si="102"/>
        <v>18</v>
      </c>
      <c r="G1627" s="4" cm="1">
        <f t="array" ref="G1627">IF($C1627+$M1627&lt;16,INDEX(Sheet1!C:C,$F1627),$F1627)</f>
        <v>18</v>
      </c>
      <c r="H1627" s="4" t="str" cm="1">
        <f t="array" ref="H1627">INDEX(Sheet1!D:D,$G1627)</f>
        <v>t1141.xlsx</v>
      </c>
      <c r="I1627" s="4" t="str" cm="1">
        <f t="array" ref="I1627">INDEX(Sheet1!E:E,$G1627)</f>
        <v>Sheet1</v>
      </c>
      <c r="J1627" s="4" t="str" cm="1">
        <f t="array" ref="J1627">INDEX(Sheet1!F:F,$G1627)</f>
        <v>B25</v>
      </c>
      <c r="K1627" s="4" cm="1">
        <f t="array" ref="K1627">INDEX(Sheet1!H:H,$G1627)</f>
        <v>1</v>
      </c>
      <c r="L1627" s="4">
        <f t="shared" si="100"/>
        <v>25</v>
      </c>
      <c r="M1627" s="4">
        <f t="shared" si="103"/>
        <v>5</v>
      </c>
    </row>
    <row r="1628" spans="1:13">
      <c r="A1628" s="4" t="str" cm="1">
        <f t="array" ref="A1628">INDEX(Sheet1!A:A,$F1628)</f>
        <v>F</v>
      </c>
      <c r="B1628" s="4" t="str" cm="1">
        <f t="array" ref="B1628">INDEX(Sheet1!B:B,$F1628)</f>
        <v>Undiff SM</v>
      </c>
      <c r="C1628" s="4">
        <f t="shared" si="101"/>
        <v>26</v>
      </c>
      <c r="D1628" s="5" cm="1">
        <f t="array" aca="1" ref="D1628" ca="1">OFFSET(INDIRECT("'["&amp;$H1628&amp;"]"&amp;$I1628&amp;"'!"&amp;$J1628),$L1628,$M1628)*$K1628</f>
        <v>8.3000000000000001E-4</v>
      </c>
      <c r="F1628" s="4">
        <f t="shared" si="102"/>
        <v>18</v>
      </c>
      <c r="G1628" s="4" cm="1">
        <f t="array" ref="G1628">IF($C1628+$M1628&lt;16,INDEX(Sheet1!C:C,$F1628),$F1628)</f>
        <v>18</v>
      </c>
      <c r="H1628" s="4" t="str" cm="1">
        <f t="array" ref="H1628">INDEX(Sheet1!D:D,$G1628)</f>
        <v>t1141.xlsx</v>
      </c>
      <c r="I1628" s="4" t="str" cm="1">
        <f t="array" ref="I1628">INDEX(Sheet1!E:E,$G1628)</f>
        <v>Sheet1</v>
      </c>
      <c r="J1628" s="4" t="str" cm="1">
        <f t="array" ref="J1628">INDEX(Sheet1!F:F,$G1628)</f>
        <v>B25</v>
      </c>
      <c r="K1628" s="4" cm="1">
        <f t="array" ref="K1628">INDEX(Sheet1!H:H,$G1628)</f>
        <v>1</v>
      </c>
      <c r="L1628" s="4">
        <f t="shared" si="100"/>
        <v>26</v>
      </c>
      <c r="M1628" s="4">
        <f t="shared" si="103"/>
        <v>5</v>
      </c>
    </row>
    <row r="1629" spans="1:13">
      <c r="A1629" s="4" t="str" cm="1">
        <f t="array" ref="A1629">INDEX(Sheet1!A:A,$F1629)</f>
        <v>F</v>
      </c>
      <c r="B1629" s="4" t="str" cm="1">
        <f t="array" ref="B1629">INDEX(Sheet1!B:B,$F1629)</f>
        <v>Undiff SM</v>
      </c>
      <c r="C1629" s="4">
        <f t="shared" si="101"/>
        <v>27</v>
      </c>
      <c r="D1629" s="5" cm="1">
        <f t="array" aca="1" ref="D1629" ca="1">OFFSET(INDIRECT("'["&amp;$H1629&amp;"]"&amp;$I1629&amp;"'!"&amp;$J1629),$L1629,$M1629)*$K1629</f>
        <v>8.8000000000000003E-4</v>
      </c>
      <c r="F1629" s="4">
        <f t="shared" si="102"/>
        <v>18</v>
      </c>
      <c r="G1629" s="4" cm="1">
        <f t="array" ref="G1629">IF($C1629+$M1629&lt;16,INDEX(Sheet1!C:C,$F1629),$F1629)</f>
        <v>18</v>
      </c>
      <c r="H1629" s="4" t="str" cm="1">
        <f t="array" ref="H1629">INDEX(Sheet1!D:D,$G1629)</f>
        <v>t1141.xlsx</v>
      </c>
      <c r="I1629" s="4" t="str" cm="1">
        <f t="array" ref="I1629">INDEX(Sheet1!E:E,$G1629)</f>
        <v>Sheet1</v>
      </c>
      <c r="J1629" s="4" t="str" cm="1">
        <f t="array" ref="J1629">INDEX(Sheet1!F:F,$G1629)</f>
        <v>B25</v>
      </c>
      <c r="K1629" s="4" cm="1">
        <f t="array" ref="K1629">INDEX(Sheet1!H:H,$G1629)</f>
        <v>1</v>
      </c>
      <c r="L1629" s="4">
        <f t="shared" si="100"/>
        <v>27</v>
      </c>
      <c r="M1629" s="4">
        <f t="shared" si="103"/>
        <v>5</v>
      </c>
    </row>
    <row r="1630" spans="1:13">
      <c r="A1630" s="4" t="str" cm="1">
        <f t="array" ref="A1630">INDEX(Sheet1!A:A,$F1630)</f>
        <v>F</v>
      </c>
      <c r="B1630" s="4" t="str" cm="1">
        <f t="array" ref="B1630">INDEX(Sheet1!B:B,$F1630)</f>
        <v>Undiff SM</v>
      </c>
      <c r="C1630" s="4">
        <f t="shared" si="101"/>
        <v>28</v>
      </c>
      <c r="D1630" s="5" cm="1">
        <f t="array" aca="1" ref="D1630" ca="1">OFFSET(INDIRECT("'["&amp;$H1630&amp;"]"&amp;$I1630&amp;"'!"&amp;$J1630),$L1630,$M1630)*$K1630</f>
        <v>9.1E-4</v>
      </c>
      <c r="F1630" s="4">
        <f t="shared" si="102"/>
        <v>18</v>
      </c>
      <c r="G1630" s="4" cm="1">
        <f t="array" ref="G1630">IF($C1630+$M1630&lt;16,INDEX(Sheet1!C:C,$F1630),$F1630)</f>
        <v>18</v>
      </c>
      <c r="H1630" s="4" t="str" cm="1">
        <f t="array" ref="H1630">INDEX(Sheet1!D:D,$G1630)</f>
        <v>t1141.xlsx</v>
      </c>
      <c r="I1630" s="4" t="str" cm="1">
        <f t="array" ref="I1630">INDEX(Sheet1!E:E,$G1630)</f>
        <v>Sheet1</v>
      </c>
      <c r="J1630" s="4" t="str" cm="1">
        <f t="array" ref="J1630">INDEX(Sheet1!F:F,$G1630)</f>
        <v>B25</v>
      </c>
      <c r="K1630" s="4" cm="1">
        <f t="array" ref="K1630">INDEX(Sheet1!H:H,$G1630)</f>
        <v>1</v>
      </c>
      <c r="L1630" s="4">
        <f t="shared" si="100"/>
        <v>28</v>
      </c>
      <c r="M1630" s="4">
        <f t="shared" si="103"/>
        <v>5</v>
      </c>
    </row>
    <row r="1631" spans="1:13">
      <c r="A1631" s="4" t="str" cm="1">
        <f t="array" ref="A1631">INDEX(Sheet1!A:A,$F1631)</f>
        <v>F</v>
      </c>
      <c r="B1631" s="4" t="str" cm="1">
        <f t="array" ref="B1631">INDEX(Sheet1!B:B,$F1631)</f>
        <v>Undiff SM</v>
      </c>
      <c r="C1631" s="4">
        <f t="shared" si="101"/>
        <v>29</v>
      </c>
      <c r="D1631" s="5" cm="1">
        <f t="array" aca="1" ref="D1631" ca="1">OFFSET(INDIRECT("'["&amp;$H1631&amp;"]"&amp;$I1631&amp;"'!"&amp;$J1631),$L1631,$M1631)*$K1631</f>
        <v>9.7000000000000005E-4</v>
      </c>
      <c r="F1631" s="4">
        <f t="shared" si="102"/>
        <v>18</v>
      </c>
      <c r="G1631" s="4" cm="1">
        <f t="array" ref="G1631">IF($C1631+$M1631&lt;16,INDEX(Sheet1!C:C,$F1631),$F1631)</f>
        <v>18</v>
      </c>
      <c r="H1631" s="4" t="str" cm="1">
        <f t="array" ref="H1631">INDEX(Sheet1!D:D,$G1631)</f>
        <v>t1141.xlsx</v>
      </c>
      <c r="I1631" s="4" t="str" cm="1">
        <f t="array" ref="I1631">INDEX(Sheet1!E:E,$G1631)</f>
        <v>Sheet1</v>
      </c>
      <c r="J1631" s="4" t="str" cm="1">
        <f t="array" ref="J1631">INDEX(Sheet1!F:F,$G1631)</f>
        <v>B25</v>
      </c>
      <c r="K1631" s="4" cm="1">
        <f t="array" ref="K1631">INDEX(Sheet1!H:H,$G1631)</f>
        <v>1</v>
      </c>
      <c r="L1631" s="4">
        <f t="shared" si="100"/>
        <v>29</v>
      </c>
      <c r="M1631" s="4">
        <f t="shared" si="103"/>
        <v>5</v>
      </c>
    </row>
    <row r="1632" spans="1:13">
      <c r="A1632" s="4" t="str" cm="1">
        <f t="array" ref="A1632">INDEX(Sheet1!A:A,$F1632)</f>
        <v>F</v>
      </c>
      <c r="B1632" s="4" t="str" cm="1">
        <f t="array" ref="B1632">INDEX(Sheet1!B:B,$F1632)</f>
        <v>Undiff SM</v>
      </c>
      <c r="C1632" s="4">
        <f t="shared" si="101"/>
        <v>30</v>
      </c>
      <c r="D1632" s="5" cm="1">
        <f t="array" aca="1" ref="D1632" ca="1">OFFSET(INDIRECT("'["&amp;$H1632&amp;"]"&amp;$I1632&amp;"'!"&amp;$J1632),$L1632,$M1632)*$K1632</f>
        <v>1.01E-3</v>
      </c>
      <c r="F1632" s="4">
        <f t="shared" si="102"/>
        <v>18</v>
      </c>
      <c r="G1632" s="4" cm="1">
        <f t="array" ref="G1632">IF($C1632+$M1632&lt;16,INDEX(Sheet1!C:C,$F1632),$F1632)</f>
        <v>18</v>
      </c>
      <c r="H1632" s="4" t="str" cm="1">
        <f t="array" ref="H1632">INDEX(Sheet1!D:D,$G1632)</f>
        <v>t1141.xlsx</v>
      </c>
      <c r="I1632" s="4" t="str" cm="1">
        <f t="array" ref="I1632">INDEX(Sheet1!E:E,$G1632)</f>
        <v>Sheet1</v>
      </c>
      <c r="J1632" s="4" t="str" cm="1">
        <f t="array" ref="J1632">INDEX(Sheet1!F:F,$G1632)</f>
        <v>B25</v>
      </c>
      <c r="K1632" s="4" cm="1">
        <f t="array" ref="K1632">INDEX(Sheet1!H:H,$G1632)</f>
        <v>1</v>
      </c>
      <c r="L1632" s="4">
        <f t="shared" si="100"/>
        <v>30</v>
      </c>
      <c r="M1632" s="4">
        <f t="shared" si="103"/>
        <v>5</v>
      </c>
    </row>
    <row r="1633" spans="1:13">
      <c r="A1633" s="4" t="str" cm="1">
        <f t="array" ref="A1633">INDEX(Sheet1!A:A,$F1633)</f>
        <v>F</v>
      </c>
      <c r="B1633" s="4" t="str" cm="1">
        <f t="array" ref="B1633">INDEX(Sheet1!B:B,$F1633)</f>
        <v>Undiff SM</v>
      </c>
      <c r="C1633" s="4">
        <f t="shared" si="101"/>
        <v>31</v>
      </c>
      <c r="D1633" s="5" cm="1">
        <f t="array" aca="1" ref="D1633" ca="1">OFFSET(INDIRECT("'["&amp;$H1633&amp;"]"&amp;$I1633&amp;"'!"&amp;$J1633),$L1633,$M1633)*$K1633</f>
        <v>1.07E-3</v>
      </c>
      <c r="F1633" s="4">
        <f t="shared" si="102"/>
        <v>18</v>
      </c>
      <c r="G1633" s="4" cm="1">
        <f t="array" ref="G1633">IF($C1633+$M1633&lt;16,INDEX(Sheet1!C:C,$F1633),$F1633)</f>
        <v>18</v>
      </c>
      <c r="H1633" s="4" t="str" cm="1">
        <f t="array" ref="H1633">INDEX(Sheet1!D:D,$G1633)</f>
        <v>t1141.xlsx</v>
      </c>
      <c r="I1633" s="4" t="str" cm="1">
        <f t="array" ref="I1633">INDEX(Sheet1!E:E,$G1633)</f>
        <v>Sheet1</v>
      </c>
      <c r="J1633" s="4" t="str" cm="1">
        <f t="array" ref="J1633">INDEX(Sheet1!F:F,$G1633)</f>
        <v>B25</v>
      </c>
      <c r="K1633" s="4" cm="1">
        <f t="array" ref="K1633">INDEX(Sheet1!H:H,$G1633)</f>
        <v>1</v>
      </c>
      <c r="L1633" s="4">
        <f t="shared" si="100"/>
        <v>31</v>
      </c>
      <c r="M1633" s="4">
        <f t="shared" si="103"/>
        <v>5</v>
      </c>
    </row>
    <row r="1634" spans="1:13">
      <c r="A1634" s="4" t="str" cm="1">
        <f t="array" ref="A1634">INDEX(Sheet1!A:A,$F1634)</f>
        <v>F</v>
      </c>
      <c r="B1634" s="4" t="str" cm="1">
        <f t="array" ref="B1634">INDEX(Sheet1!B:B,$F1634)</f>
        <v>Undiff SM</v>
      </c>
      <c r="C1634" s="4">
        <f t="shared" si="101"/>
        <v>32</v>
      </c>
      <c r="D1634" s="5" cm="1">
        <f t="array" aca="1" ref="D1634" ca="1">OFFSET(INDIRECT("'["&amp;$H1634&amp;"]"&amp;$I1634&amp;"'!"&amp;$J1634),$L1634,$M1634)*$K1634</f>
        <v>1.1199999999999999E-3</v>
      </c>
      <c r="F1634" s="4">
        <f t="shared" si="102"/>
        <v>18</v>
      </c>
      <c r="G1634" s="4" cm="1">
        <f t="array" ref="G1634">IF($C1634+$M1634&lt;16,INDEX(Sheet1!C:C,$F1634),$F1634)</f>
        <v>18</v>
      </c>
      <c r="H1634" s="4" t="str" cm="1">
        <f t="array" ref="H1634">INDEX(Sheet1!D:D,$G1634)</f>
        <v>t1141.xlsx</v>
      </c>
      <c r="I1634" s="4" t="str" cm="1">
        <f t="array" ref="I1634">INDEX(Sheet1!E:E,$G1634)</f>
        <v>Sheet1</v>
      </c>
      <c r="J1634" s="4" t="str" cm="1">
        <f t="array" ref="J1634">INDEX(Sheet1!F:F,$G1634)</f>
        <v>B25</v>
      </c>
      <c r="K1634" s="4" cm="1">
        <f t="array" ref="K1634">INDEX(Sheet1!H:H,$G1634)</f>
        <v>1</v>
      </c>
      <c r="L1634" s="4">
        <f t="shared" si="100"/>
        <v>32</v>
      </c>
      <c r="M1634" s="4">
        <f t="shared" si="103"/>
        <v>5</v>
      </c>
    </row>
    <row r="1635" spans="1:13">
      <c r="A1635" s="4" t="str" cm="1">
        <f t="array" ref="A1635">INDEX(Sheet1!A:A,$F1635)</f>
        <v>F</v>
      </c>
      <c r="B1635" s="4" t="str" cm="1">
        <f t="array" ref="B1635">INDEX(Sheet1!B:B,$F1635)</f>
        <v>Undiff SM</v>
      </c>
      <c r="C1635" s="4">
        <f t="shared" si="101"/>
        <v>33</v>
      </c>
      <c r="D1635" s="5" cm="1">
        <f t="array" aca="1" ref="D1635" ca="1">OFFSET(INDIRECT("'["&amp;$H1635&amp;"]"&amp;$I1635&amp;"'!"&amp;$J1635),$L1635,$M1635)*$K1635</f>
        <v>1.1999999999999999E-3</v>
      </c>
      <c r="F1635" s="4">
        <f t="shared" si="102"/>
        <v>18</v>
      </c>
      <c r="G1635" s="4" cm="1">
        <f t="array" ref="G1635">IF($C1635+$M1635&lt;16,INDEX(Sheet1!C:C,$F1635),$F1635)</f>
        <v>18</v>
      </c>
      <c r="H1635" s="4" t="str" cm="1">
        <f t="array" ref="H1635">INDEX(Sheet1!D:D,$G1635)</f>
        <v>t1141.xlsx</v>
      </c>
      <c r="I1635" s="4" t="str" cm="1">
        <f t="array" ref="I1635">INDEX(Sheet1!E:E,$G1635)</f>
        <v>Sheet1</v>
      </c>
      <c r="J1635" s="4" t="str" cm="1">
        <f t="array" ref="J1635">INDEX(Sheet1!F:F,$G1635)</f>
        <v>B25</v>
      </c>
      <c r="K1635" s="4" cm="1">
        <f t="array" ref="K1635">INDEX(Sheet1!H:H,$G1635)</f>
        <v>1</v>
      </c>
      <c r="L1635" s="4">
        <f t="shared" si="100"/>
        <v>33</v>
      </c>
      <c r="M1635" s="4">
        <f t="shared" si="103"/>
        <v>5</v>
      </c>
    </row>
    <row r="1636" spans="1:13">
      <c r="A1636" s="4" t="str" cm="1">
        <f t="array" ref="A1636">INDEX(Sheet1!A:A,$F1636)</f>
        <v>F</v>
      </c>
      <c r="B1636" s="4" t="str" cm="1">
        <f t="array" ref="B1636">INDEX(Sheet1!B:B,$F1636)</f>
        <v>Undiff SM</v>
      </c>
      <c r="C1636" s="4">
        <f t="shared" si="101"/>
        <v>34</v>
      </c>
      <c r="D1636" s="5" cm="1">
        <f t="array" aca="1" ref="D1636" ca="1">OFFSET(INDIRECT("'["&amp;$H1636&amp;"]"&amp;$I1636&amp;"'!"&amp;$J1636),$L1636,$M1636)*$K1636</f>
        <v>1.2800000000000001E-3</v>
      </c>
      <c r="F1636" s="4">
        <f t="shared" si="102"/>
        <v>18</v>
      </c>
      <c r="G1636" s="4" cm="1">
        <f t="array" ref="G1636">IF($C1636+$M1636&lt;16,INDEX(Sheet1!C:C,$F1636),$F1636)</f>
        <v>18</v>
      </c>
      <c r="H1636" s="4" t="str" cm="1">
        <f t="array" ref="H1636">INDEX(Sheet1!D:D,$G1636)</f>
        <v>t1141.xlsx</v>
      </c>
      <c r="I1636" s="4" t="str" cm="1">
        <f t="array" ref="I1636">INDEX(Sheet1!E:E,$G1636)</f>
        <v>Sheet1</v>
      </c>
      <c r="J1636" s="4" t="str" cm="1">
        <f t="array" ref="J1636">INDEX(Sheet1!F:F,$G1636)</f>
        <v>B25</v>
      </c>
      <c r="K1636" s="4" cm="1">
        <f t="array" ref="K1636">INDEX(Sheet1!H:H,$G1636)</f>
        <v>1</v>
      </c>
      <c r="L1636" s="4">
        <f t="shared" si="100"/>
        <v>34</v>
      </c>
      <c r="M1636" s="4">
        <f t="shared" si="103"/>
        <v>5</v>
      </c>
    </row>
    <row r="1637" spans="1:13">
      <c r="A1637" s="4" t="str" cm="1">
        <f t="array" ref="A1637">INDEX(Sheet1!A:A,$F1637)</f>
        <v>F</v>
      </c>
      <c r="B1637" s="4" t="str" cm="1">
        <f t="array" ref="B1637">INDEX(Sheet1!B:B,$F1637)</f>
        <v>Undiff SM</v>
      </c>
      <c r="C1637" s="4">
        <f t="shared" si="101"/>
        <v>35</v>
      </c>
      <c r="D1637" s="5" cm="1">
        <f t="array" aca="1" ref="D1637" ca="1">OFFSET(INDIRECT("'["&amp;$H1637&amp;"]"&amp;$I1637&amp;"'!"&amp;$J1637),$L1637,$M1637)*$K1637</f>
        <v>1.39E-3</v>
      </c>
      <c r="F1637" s="4">
        <f t="shared" si="102"/>
        <v>18</v>
      </c>
      <c r="G1637" s="4" cm="1">
        <f t="array" ref="G1637">IF($C1637+$M1637&lt;16,INDEX(Sheet1!C:C,$F1637),$F1637)</f>
        <v>18</v>
      </c>
      <c r="H1637" s="4" t="str" cm="1">
        <f t="array" ref="H1637">INDEX(Sheet1!D:D,$G1637)</f>
        <v>t1141.xlsx</v>
      </c>
      <c r="I1637" s="4" t="str" cm="1">
        <f t="array" ref="I1637">INDEX(Sheet1!E:E,$G1637)</f>
        <v>Sheet1</v>
      </c>
      <c r="J1637" s="4" t="str" cm="1">
        <f t="array" ref="J1637">INDEX(Sheet1!F:F,$G1637)</f>
        <v>B25</v>
      </c>
      <c r="K1637" s="4" cm="1">
        <f t="array" ref="K1637">INDEX(Sheet1!H:H,$G1637)</f>
        <v>1</v>
      </c>
      <c r="L1637" s="4">
        <f t="shared" si="100"/>
        <v>35</v>
      </c>
      <c r="M1637" s="4">
        <f t="shared" si="103"/>
        <v>5</v>
      </c>
    </row>
    <row r="1638" spans="1:13">
      <c r="A1638" s="4" t="str" cm="1">
        <f t="array" ref="A1638">INDEX(Sheet1!A:A,$F1638)</f>
        <v>F</v>
      </c>
      <c r="B1638" s="4" t="str" cm="1">
        <f t="array" ref="B1638">INDEX(Sheet1!B:B,$F1638)</f>
        <v>Undiff SM</v>
      </c>
      <c r="C1638" s="4">
        <f t="shared" si="101"/>
        <v>36</v>
      </c>
      <c r="D1638" s="5" cm="1">
        <f t="array" aca="1" ref="D1638" ca="1">OFFSET(INDIRECT("'["&amp;$H1638&amp;"]"&amp;$I1638&amp;"'!"&amp;$J1638),$L1638,$M1638)*$K1638</f>
        <v>1.5100000000000001E-3</v>
      </c>
      <c r="F1638" s="4">
        <f t="shared" si="102"/>
        <v>18</v>
      </c>
      <c r="G1638" s="4" cm="1">
        <f t="array" ref="G1638">IF($C1638+$M1638&lt;16,INDEX(Sheet1!C:C,$F1638),$F1638)</f>
        <v>18</v>
      </c>
      <c r="H1638" s="4" t="str" cm="1">
        <f t="array" ref="H1638">INDEX(Sheet1!D:D,$G1638)</f>
        <v>t1141.xlsx</v>
      </c>
      <c r="I1638" s="4" t="str" cm="1">
        <f t="array" ref="I1638">INDEX(Sheet1!E:E,$G1638)</f>
        <v>Sheet1</v>
      </c>
      <c r="J1638" s="4" t="str" cm="1">
        <f t="array" ref="J1638">INDEX(Sheet1!F:F,$G1638)</f>
        <v>B25</v>
      </c>
      <c r="K1638" s="4" cm="1">
        <f t="array" ref="K1638">INDEX(Sheet1!H:H,$G1638)</f>
        <v>1</v>
      </c>
      <c r="L1638" s="4">
        <f t="shared" si="100"/>
        <v>36</v>
      </c>
      <c r="M1638" s="4">
        <f t="shared" si="103"/>
        <v>5</v>
      </c>
    </row>
    <row r="1639" spans="1:13">
      <c r="A1639" s="4" t="str" cm="1">
        <f t="array" ref="A1639">INDEX(Sheet1!A:A,$F1639)</f>
        <v>F</v>
      </c>
      <c r="B1639" s="4" t="str" cm="1">
        <f t="array" ref="B1639">INDEX(Sheet1!B:B,$F1639)</f>
        <v>Undiff SM</v>
      </c>
      <c r="C1639" s="4">
        <f t="shared" si="101"/>
        <v>37</v>
      </c>
      <c r="D1639" s="5" cm="1">
        <f t="array" aca="1" ref="D1639" ca="1">OFFSET(INDIRECT("'["&amp;$H1639&amp;"]"&amp;$I1639&amp;"'!"&amp;$J1639),$L1639,$M1639)*$K1639</f>
        <v>1.66E-3</v>
      </c>
      <c r="F1639" s="4">
        <f t="shared" si="102"/>
        <v>18</v>
      </c>
      <c r="G1639" s="4" cm="1">
        <f t="array" ref="G1639">IF($C1639+$M1639&lt;16,INDEX(Sheet1!C:C,$F1639),$F1639)</f>
        <v>18</v>
      </c>
      <c r="H1639" s="4" t="str" cm="1">
        <f t="array" ref="H1639">INDEX(Sheet1!D:D,$G1639)</f>
        <v>t1141.xlsx</v>
      </c>
      <c r="I1639" s="4" t="str" cm="1">
        <f t="array" ref="I1639">INDEX(Sheet1!E:E,$G1639)</f>
        <v>Sheet1</v>
      </c>
      <c r="J1639" s="4" t="str" cm="1">
        <f t="array" ref="J1639">INDEX(Sheet1!F:F,$G1639)</f>
        <v>B25</v>
      </c>
      <c r="K1639" s="4" cm="1">
        <f t="array" ref="K1639">INDEX(Sheet1!H:H,$G1639)</f>
        <v>1</v>
      </c>
      <c r="L1639" s="4">
        <f t="shared" si="100"/>
        <v>37</v>
      </c>
      <c r="M1639" s="4">
        <f t="shared" si="103"/>
        <v>5</v>
      </c>
    </row>
    <row r="1640" spans="1:13">
      <c r="A1640" s="4" t="str" cm="1">
        <f t="array" ref="A1640">INDEX(Sheet1!A:A,$F1640)</f>
        <v>F</v>
      </c>
      <c r="B1640" s="4" t="str" cm="1">
        <f t="array" ref="B1640">INDEX(Sheet1!B:B,$F1640)</f>
        <v>Undiff SM</v>
      </c>
      <c r="C1640" s="4">
        <f t="shared" si="101"/>
        <v>38</v>
      </c>
      <c r="D1640" s="5" cm="1">
        <f t="array" aca="1" ref="D1640" ca="1">OFFSET(INDIRECT("'["&amp;$H1640&amp;"]"&amp;$I1640&amp;"'!"&amp;$J1640),$L1640,$M1640)*$K1640</f>
        <v>1.83E-3</v>
      </c>
      <c r="F1640" s="4">
        <f t="shared" si="102"/>
        <v>18</v>
      </c>
      <c r="G1640" s="4" cm="1">
        <f t="array" ref="G1640">IF($C1640+$M1640&lt;16,INDEX(Sheet1!C:C,$F1640),$F1640)</f>
        <v>18</v>
      </c>
      <c r="H1640" s="4" t="str" cm="1">
        <f t="array" ref="H1640">INDEX(Sheet1!D:D,$G1640)</f>
        <v>t1141.xlsx</v>
      </c>
      <c r="I1640" s="4" t="str" cm="1">
        <f t="array" ref="I1640">INDEX(Sheet1!E:E,$G1640)</f>
        <v>Sheet1</v>
      </c>
      <c r="J1640" s="4" t="str" cm="1">
        <f t="array" ref="J1640">INDEX(Sheet1!F:F,$G1640)</f>
        <v>B25</v>
      </c>
      <c r="K1640" s="4" cm="1">
        <f t="array" ref="K1640">INDEX(Sheet1!H:H,$G1640)</f>
        <v>1</v>
      </c>
      <c r="L1640" s="4">
        <f t="shared" si="100"/>
        <v>38</v>
      </c>
      <c r="M1640" s="4">
        <f t="shared" si="103"/>
        <v>5</v>
      </c>
    </row>
    <row r="1641" spans="1:13">
      <c r="A1641" s="4" t="str" cm="1">
        <f t="array" ref="A1641">INDEX(Sheet1!A:A,$F1641)</f>
        <v>F</v>
      </c>
      <c r="B1641" s="4" t="str" cm="1">
        <f t="array" ref="B1641">INDEX(Sheet1!B:B,$F1641)</f>
        <v>Undiff SM</v>
      </c>
      <c r="C1641" s="4">
        <f t="shared" si="101"/>
        <v>39</v>
      </c>
      <c r="D1641" s="5" cm="1">
        <f t="array" aca="1" ref="D1641" ca="1">OFFSET(INDIRECT("'["&amp;$H1641&amp;"]"&amp;$I1641&amp;"'!"&amp;$J1641),$L1641,$M1641)*$K1641</f>
        <v>2.0200000000000001E-3</v>
      </c>
      <c r="F1641" s="4">
        <f t="shared" si="102"/>
        <v>18</v>
      </c>
      <c r="G1641" s="4" cm="1">
        <f t="array" ref="G1641">IF($C1641+$M1641&lt;16,INDEX(Sheet1!C:C,$F1641),$F1641)</f>
        <v>18</v>
      </c>
      <c r="H1641" s="4" t="str" cm="1">
        <f t="array" ref="H1641">INDEX(Sheet1!D:D,$G1641)</f>
        <v>t1141.xlsx</v>
      </c>
      <c r="I1641" s="4" t="str" cm="1">
        <f t="array" ref="I1641">INDEX(Sheet1!E:E,$G1641)</f>
        <v>Sheet1</v>
      </c>
      <c r="J1641" s="4" t="str" cm="1">
        <f t="array" ref="J1641">INDEX(Sheet1!F:F,$G1641)</f>
        <v>B25</v>
      </c>
      <c r="K1641" s="4" cm="1">
        <f t="array" ref="K1641">INDEX(Sheet1!H:H,$G1641)</f>
        <v>1</v>
      </c>
      <c r="L1641" s="4">
        <f t="shared" si="100"/>
        <v>39</v>
      </c>
      <c r="M1641" s="4">
        <f t="shared" si="103"/>
        <v>5</v>
      </c>
    </row>
    <row r="1642" spans="1:13">
      <c r="A1642" s="4" t="str" cm="1">
        <f t="array" ref="A1642">INDEX(Sheet1!A:A,$F1642)</f>
        <v>F</v>
      </c>
      <c r="B1642" s="4" t="str" cm="1">
        <f t="array" ref="B1642">INDEX(Sheet1!B:B,$F1642)</f>
        <v>Undiff SM</v>
      </c>
      <c r="C1642" s="4">
        <f t="shared" si="101"/>
        <v>40</v>
      </c>
      <c r="D1642" s="5" cm="1">
        <f t="array" aca="1" ref="D1642" ca="1">OFFSET(INDIRECT("'["&amp;$H1642&amp;"]"&amp;$I1642&amp;"'!"&amp;$J1642),$L1642,$M1642)*$K1642</f>
        <v>2.2499999999999998E-3</v>
      </c>
      <c r="F1642" s="4">
        <f t="shared" si="102"/>
        <v>18</v>
      </c>
      <c r="G1642" s="4" cm="1">
        <f t="array" ref="G1642">IF($C1642+$M1642&lt;16,INDEX(Sheet1!C:C,$F1642),$F1642)</f>
        <v>18</v>
      </c>
      <c r="H1642" s="4" t="str" cm="1">
        <f t="array" ref="H1642">INDEX(Sheet1!D:D,$G1642)</f>
        <v>t1141.xlsx</v>
      </c>
      <c r="I1642" s="4" t="str" cm="1">
        <f t="array" ref="I1642">INDEX(Sheet1!E:E,$G1642)</f>
        <v>Sheet1</v>
      </c>
      <c r="J1642" s="4" t="str" cm="1">
        <f t="array" ref="J1642">INDEX(Sheet1!F:F,$G1642)</f>
        <v>B25</v>
      </c>
      <c r="K1642" s="4" cm="1">
        <f t="array" ref="K1642">INDEX(Sheet1!H:H,$G1642)</f>
        <v>1</v>
      </c>
      <c r="L1642" s="4">
        <f t="shared" si="100"/>
        <v>40</v>
      </c>
      <c r="M1642" s="4">
        <f t="shared" si="103"/>
        <v>5</v>
      </c>
    </row>
    <row r="1643" spans="1:13">
      <c r="A1643" s="4" t="str" cm="1">
        <f t="array" ref="A1643">INDEX(Sheet1!A:A,$F1643)</f>
        <v>F</v>
      </c>
      <c r="B1643" s="4" t="str" cm="1">
        <f t="array" ref="B1643">INDEX(Sheet1!B:B,$F1643)</f>
        <v>Undiff SM</v>
      </c>
      <c r="C1643" s="4">
        <f t="shared" si="101"/>
        <v>41</v>
      </c>
      <c r="D1643" s="5" cm="1">
        <f t="array" aca="1" ref="D1643" ca="1">OFFSET(INDIRECT("'["&amp;$H1643&amp;"]"&amp;$I1643&amp;"'!"&amp;$J1643),$L1643,$M1643)*$K1643</f>
        <v>2.5100000000000001E-3</v>
      </c>
      <c r="F1643" s="4">
        <f t="shared" si="102"/>
        <v>18</v>
      </c>
      <c r="G1643" s="4" cm="1">
        <f t="array" ref="G1643">IF($C1643+$M1643&lt;16,INDEX(Sheet1!C:C,$F1643),$F1643)</f>
        <v>18</v>
      </c>
      <c r="H1643" s="4" t="str" cm="1">
        <f t="array" ref="H1643">INDEX(Sheet1!D:D,$G1643)</f>
        <v>t1141.xlsx</v>
      </c>
      <c r="I1643" s="4" t="str" cm="1">
        <f t="array" ref="I1643">INDEX(Sheet1!E:E,$G1643)</f>
        <v>Sheet1</v>
      </c>
      <c r="J1643" s="4" t="str" cm="1">
        <f t="array" ref="J1643">INDEX(Sheet1!F:F,$G1643)</f>
        <v>B25</v>
      </c>
      <c r="K1643" s="4" cm="1">
        <f t="array" ref="K1643">INDEX(Sheet1!H:H,$G1643)</f>
        <v>1</v>
      </c>
      <c r="L1643" s="4">
        <f t="shared" si="100"/>
        <v>41</v>
      </c>
      <c r="M1643" s="4">
        <f t="shared" si="103"/>
        <v>5</v>
      </c>
    </row>
    <row r="1644" spans="1:13">
      <c r="A1644" s="4" t="str" cm="1">
        <f t="array" ref="A1644">INDEX(Sheet1!A:A,$F1644)</f>
        <v>F</v>
      </c>
      <c r="B1644" s="4" t="str" cm="1">
        <f t="array" ref="B1644">INDEX(Sheet1!B:B,$F1644)</f>
        <v>Undiff SM</v>
      </c>
      <c r="C1644" s="4">
        <f t="shared" si="101"/>
        <v>42</v>
      </c>
      <c r="D1644" s="5" cm="1">
        <f t="array" aca="1" ref="D1644" ca="1">OFFSET(INDIRECT("'["&amp;$H1644&amp;"]"&amp;$I1644&amp;"'!"&amp;$J1644),$L1644,$M1644)*$K1644</f>
        <v>2.8E-3</v>
      </c>
      <c r="F1644" s="4">
        <f t="shared" si="102"/>
        <v>18</v>
      </c>
      <c r="G1644" s="4" cm="1">
        <f t="array" ref="G1644">IF($C1644+$M1644&lt;16,INDEX(Sheet1!C:C,$F1644),$F1644)</f>
        <v>18</v>
      </c>
      <c r="H1644" s="4" t="str" cm="1">
        <f t="array" ref="H1644">INDEX(Sheet1!D:D,$G1644)</f>
        <v>t1141.xlsx</v>
      </c>
      <c r="I1644" s="4" t="str" cm="1">
        <f t="array" ref="I1644">INDEX(Sheet1!E:E,$G1644)</f>
        <v>Sheet1</v>
      </c>
      <c r="J1644" s="4" t="str" cm="1">
        <f t="array" ref="J1644">INDEX(Sheet1!F:F,$G1644)</f>
        <v>B25</v>
      </c>
      <c r="K1644" s="4" cm="1">
        <f t="array" ref="K1644">INDEX(Sheet1!H:H,$G1644)</f>
        <v>1</v>
      </c>
      <c r="L1644" s="4">
        <f t="shared" si="100"/>
        <v>42</v>
      </c>
      <c r="M1644" s="4">
        <f t="shared" si="103"/>
        <v>5</v>
      </c>
    </row>
    <row r="1645" spans="1:13">
      <c r="A1645" s="4" t="str" cm="1">
        <f t="array" ref="A1645">INDEX(Sheet1!A:A,$F1645)</f>
        <v>F</v>
      </c>
      <c r="B1645" s="4" t="str" cm="1">
        <f t="array" ref="B1645">INDEX(Sheet1!B:B,$F1645)</f>
        <v>Undiff SM</v>
      </c>
      <c r="C1645" s="4">
        <f t="shared" si="101"/>
        <v>43</v>
      </c>
      <c r="D1645" s="5" cm="1">
        <f t="array" aca="1" ref="D1645" ca="1">OFFSET(INDIRECT("'["&amp;$H1645&amp;"]"&amp;$I1645&amp;"'!"&amp;$J1645),$L1645,$M1645)*$K1645</f>
        <v>3.15E-3</v>
      </c>
      <c r="F1645" s="4">
        <f t="shared" si="102"/>
        <v>18</v>
      </c>
      <c r="G1645" s="4" cm="1">
        <f t="array" ref="G1645">IF($C1645+$M1645&lt;16,INDEX(Sheet1!C:C,$F1645),$F1645)</f>
        <v>18</v>
      </c>
      <c r="H1645" s="4" t="str" cm="1">
        <f t="array" ref="H1645">INDEX(Sheet1!D:D,$G1645)</f>
        <v>t1141.xlsx</v>
      </c>
      <c r="I1645" s="4" t="str" cm="1">
        <f t="array" ref="I1645">INDEX(Sheet1!E:E,$G1645)</f>
        <v>Sheet1</v>
      </c>
      <c r="J1645" s="4" t="str" cm="1">
        <f t="array" ref="J1645">INDEX(Sheet1!F:F,$G1645)</f>
        <v>B25</v>
      </c>
      <c r="K1645" s="4" cm="1">
        <f t="array" ref="K1645">INDEX(Sheet1!H:H,$G1645)</f>
        <v>1</v>
      </c>
      <c r="L1645" s="4">
        <f t="shared" si="100"/>
        <v>43</v>
      </c>
      <c r="M1645" s="4">
        <f t="shared" si="103"/>
        <v>5</v>
      </c>
    </row>
    <row r="1646" spans="1:13">
      <c r="A1646" s="4" t="str" cm="1">
        <f t="array" ref="A1646">INDEX(Sheet1!A:A,$F1646)</f>
        <v>F</v>
      </c>
      <c r="B1646" s="4" t="str" cm="1">
        <f t="array" ref="B1646">INDEX(Sheet1!B:B,$F1646)</f>
        <v>Undiff SM</v>
      </c>
      <c r="C1646" s="4">
        <f t="shared" si="101"/>
        <v>44</v>
      </c>
      <c r="D1646" s="5" cm="1">
        <f t="array" aca="1" ref="D1646" ca="1">OFFSET(INDIRECT("'["&amp;$H1646&amp;"]"&amp;$I1646&amp;"'!"&amp;$J1646),$L1646,$M1646)*$K1646</f>
        <v>3.5400000000000002E-3</v>
      </c>
      <c r="F1646" s="4">
        <f t="shared" si="102"/>
        <v>18</v>
      </c>
      <c r="G1646" s="4" cm="1">
        <f t="array" ref="G1646">IF($C1646+$M1646&lt;16,INDEX(Sheet1!C:C,$F1646),$F1646)</f>
        <v>18</v>
      </c>
      <c r="H1646" s="4" t="str" cm="1">
        <f t="array" ref="H1646">INDEX(Sheet1!D:D,$G1646)</f>
        <v>t1141.xlsx</v>
      </c>
      <c r="I1646" s="4" t="str" cm="1">
        <f t="array" ref="I1646">INDEX(Sheet1!E:E,$G1646)</f>
        <v>Sheet1</v>
      </c>
      <c r="J1646" s="4" t="str" cm="1">
        <f t="array" ref="J1646">INDEX(Sheet1!F:F,$G1646)</f>
        <v>B25</v>
      </c>
      <c r="K1646" s="4" cm="1">
        <f t="array" ref="K1646">INDEX(Sheet1!H:H,$G1646)</f>
        <v>1</v>
      </c>
      <c r="L1646" s="4">
        <f t="shared" si="100"/>
        <v>44</v>
      </c>
      <c r="M1646" s="4">
        <f t="shared" si="103"/>
        <v>5</v>
      </c>
    </row>
    <row r="1647" spans="1:13">
      <c r="A1647" s="4" t="str" cm="1">
        <f t="array" ref="A1647">INDEX(Sheet1!A:A,$F1647)</f>
        <v>F</v>
      </c>
      <c r="B1647" s="4" t="str" cm="1">
        <f t="array" ref="B1647">INDEX(Sheet1!B:B,$F1647)</f>
        <v>Undiff SM</v>
      </c>
      <c r="C1647" s="4">
        <f t="shared" si="101"/>
        <v>45</v>
      </c>
      <c r="D1647" s="5" cm="1">
        <f t="array" aca="1" ref="D1647" ca="1">OFFSET(INDIRECT("'["&amp;$H1647&amp;"]"&amp;$I1647&amp;"'!"&amp;$J1647),$L1647,$M1647)*$K1647</f>
        <v>3.98E-3</v>
      </c>
      <c r="F1647" s="4">
        <f t="shared" si="102"/>
        <v>18</v>
      </c>
      <c r="G1647" s="4" cm="1">
        <f t="array" ref="G1647">IF($C1647+$M1647&lt;16,INDEX(Sheet1!C:C,$F1647),$F1647)</f>
        <v>18</v>
      </c>
      <c r="H1647" s="4" t="str" cm="1">
        <f t="array" ref="H1647">INDEX(Sheet1!D:D,$G1647)</f>
        <v>t1141.xlsx</v>
      </c>
      <c r="I1647" s="4" t="str" cm="1">
        <f t="array" ref="I1647">INDEX(Sheet1!E:E,$G1647)</f>
        <v>Sheet1</v>
      </c>
      <c r="J1647" s="4" t="str" cm="1">
        <f t="array" ref="J1647">INDEX(Sheet1!F:F,$G1647)</f>
        <v>B25</v>
      </c>
      <c r="K1647" s="4" cm="1">
        <f t="array" ref="K1647">INDEX(Sheet1!H:H,$G1647)</f>
        <v>1</v>
      </c>
      <c r="L1647" s="4">
        <f t="shared" si="100"/>
        <v>45</v>
      </c>
      <c r="M1647" s="4">
        <f t="shared" si="103"/>
        <v>5</v>
      </c>
    </row>
    <row r="1648" spans="1:13">
      <c r="A1648" s="4" t="str" cm="1">
        <f t="array" ref="A1648">INDEX(Sheet1!A:A,$F1648)</f>
        <v>F</v>
      </c>
      <c r="B1648" s="4" t="str" cm="1">
        <f t="array" ref="B1648">INDEX(Sheet1!B:B,$F1648)</f>
        <v>Undiff SM</v>
      </c>
      <c r="C1648" s="4">
        <f t="shared" si="101"/>
        <v>46</v>
      </c>
      <c r="D1648" s="5" cm="1">
        <f t="array" aca="1" ref="D1648" ca="1">OFFSET(INDIRECT("'["&amp;$H1648&amp;"]"&amp;$I1648&amp;"'!"&amp;$J1648),$L1648,$M1648)*$K1648</f>
        <v>4.4099999999999999E-3</v>
      </c>
      <c r="F1648" s="4">
        <f t="shared" si="102"/>
        <v>18</v>
      </c>
      <c r="G1648" s="4" cm="1">
        <f t="array" ref="G1648">IF($C1648+$M1648&lt;16,INDEX(Sheet1!C:C,$F1648),$F1648)</f>
        <v>18</v>
      </c>
      <c r="H1648" s="4" t="str" cm="1">
        <f t="array" ref="H1648">INDEX(Sheet1!D:D,$G1648)</f>
        <v>t1141.xlsx</v>
      </c>
      <c r="I1648" s="4" t="str" cm="1">
        <f t="array" ref="I1648">INDEX(Sheet1!E:E,$G1648)</f>
        <v>Sheet1</v>
      </c>
      <c r="J1648" s="4" t="str" cm="1">
        <f t="array" ref="J1648">INDEX(Sheet1!F:F,$G1648)</f>
        <v>B25</v>
      </c>
      <c r="K1648" s="4" cm="1">
        <f t="array" ref="K1648">INDEX(Sheet1!H:H,$G1648)</f>
        <v>1</v>
      </c>
      <c r="L1648" s="4">
        <f t="shared" si="100"/>
        <v>46</v>
      </c>
      <c r="M1648" s="4">
        <f t="shared" si="103"/>
        <v>5</v>
      </c>
    </row>
    <row r="1649" spans="1:13">
      <c r="A1649" s="4" t="str" cm="1">
        <f t="array" ref="A1649">INDEX(Sheet1!A:A,$F1649)</f>
        <v>F</v>
      </c>
      <c r="B1649" s="4" t="str" cm="1">
        <f t="array" ref="B1649">INDEX(Sheet1!B:B,$F1649)</f>
        <v>Undiff SM</v>
      </c>
      <c r="C1649" s="4">
        <f t="shared" si="101"/>
        <v>47</v>
      </c>
      <c r="D1649" s="5" cm="1">
        <f t="array" aca="1" ref="D1649" ca="1">OFFSET(INDIRECT("'["&amp;$H1649&amp;"]"&amp;$I1649&amp;"'!"&amp;$J1649),$L1649,$M1649)*$K1649</f>
        <v>4.8700000000000002E-3</v>
      </c>
      <c r="F1649" s="4">
        <f t="shared" si="102"/>
        <v>18</v>
      </c>
      <c r="G1649" s="4" cm="1">
        <f t="array" ref="G1649">IF($C1649+$M1649&lt;16,INDEX(Sheet1!C:C,$F1649),$F1649)</f>
        <v>18</v>
      </c>
      <c r="H1649" s="4" t="str" cm="1">
        <f t="array" ref="H1649">INDEX(Sheet1!D:D,$G1649)</f>
        <v>t1141.xlsx</v>
      </c>
      <c r="I1649" s="4" t="str" cm="1">
        <f t="array" ref="I1649">INDEX(Sheet1!E:E,$G1649)</f>
        <v>Sheet1</v>
      </c>
      <c r="J1649" s="4" t="str" cm="1">
        <f t="array" ref="J1649">INDEX(Sheet1!F:F,$G1649)</f>
        <v>B25</v>
      </c>
      <c r="K1649" s="4" cm="1">
        <f t="array" ref="K1649">INDEX(Sheet1!H:H,$G1649)</f>
        <v>1</v>
      </c>
      <c r="L1649" s="4">
        <f t="shared" si="100"/>
        <v>47</v>
      </c>
      <c r="M1649" s="4">
        <f t="shared" si="103"/>
        <v>5</v>
      </c>
    </row>
    <row r="1650" spans="1:13">
      <c r="A1650" s="4" t="str" cm="1">
        <f t="array" ref="A1650">INDEX(Sheet1!A:A,$F1650)</f>
        <v>F</v>
      </c>
      <c r="B1650" s="4" t="str" cm="1">
        <f t="array" ref="B1650">INDEX(Sheet1!B:B,$F1650)</f>
        <v>Undiff SM</v>
      </c>
      <c r="C1650" s="4">
        <f t="shared" si="101"/>
        <v>48</v>
      </c>
      <c r="D1650" s="5" cm="1">
        <f t="array" aca="1" ref="D1650" ca="1">OFFSET(INDIRECT("'["&amp;$H1650&amp;"]"&amp;$I1650&amp;"'!"&amp;$J1650),$L1650,$M1650)*$K1650</f>
        <v>5.3299999999999997E-3</v>
      </c>
      <c r="F1650" s="4">
        <f t="shared" si="102"/>
        <v>18</v>
      </c>
      <c r="G1650" s="4" cm="1">
        <f t="array" ref="G1650">IF($C1650+$M1650&lt;16,INDEX(Sheet1!C:C,$F1650),$F1650)</f>
        <v>18</v>
      </c>
      <c r="H1650" s="4" t="str" cm="1">
        <f t="array" ref="H1650">INDEX(Sheet1!D:D,$G1650)</f>
        <v>t1141.xlsx</v>
      </c>
      <c r="I1650" s="4" t="str" cm="1">
        <f t="array" ref="I1650">INDEX(Sheet1!E:E,$G1650)</f>
        <v>Sheet1</v>
      </c>
      <c r="J1650" s="4" t="str" cm="1">
        <f t="array" ref="J1650">INDEX(Sheet1!F:F,$G1650)</f>
        <v>B25</v>
      </c>
      <c r="K1650" s="4" cm="1">
        <f t="array" ref="K1650">INDEX(Sheet1!H:H,$G1650)</f>
        <v>1</v>
      </c>
      <c r="L1650" s="4">
        <f t="shared" si="100"/>
        <v>48</v>
      </c>
      <c r="M1650" s="4">
        <f t="shared" si="103"/>
        <v>5</v>
      </c>
    </row>
    <row r="1651" spans="1:13">
      <c r="A1651" s="4" t="str" cm="1">
        <f t="array" ref="A1651">INDEX(Sheet1!A:A,$F1651)</f>
        <v>F</v>
      </c>
      <c r="B1651" s="4" t="str" cm="1">
        <f t="array" ref="B1651">INDEX(Sheet1!B:B,$F1651)</f>
        <v>Undiff SM</v>
      </c>
      <c r="C1651" s="4">
        <f t="shared" si="101"/>
        <v>49</v>
      </c>
      <c r="D1651" s="5" cm="1">
        <f t="array" aca="1" ref="D1651" ca="1">OFFSET(INDIRECT("'["&amp;$H1651&amp;"]"&amp;$I1651&amp;"'!"&amp;$J1651),$L1651,$M1651)*$K1651</f>
        <v>5.79E-3</v>
      </c>
      <c r="F1651" s="4">
        <f t="shared" si="102"/>
        <v>18</v>
      </c>
      <c r="G1651" s="4" cm="1">
        <f t="array" ref="G1651">IF($C1651+$M1651&lt;16,INDEX(Sheet1!C:C,$F1651),$F1651)</f>
        <v>18</v>
      </c>
      <c r="H1651" s="4" t="str" cm="1">
        <f t="array" ref="H1651">INDEX(Sheet1!D:D,$G1651)</f>
        <v>t1141.xlsx</v>
      </c>
      <c r="I1651" s="4" t="str" cm="1">
        <f t="array" ref="I1651">INDEX(Sheet1!E:E,$G1651)</f>
        <v>Sheet1</v>
      </c>
      <c r="J1651" s="4" t="str" cm="1">
        <f t="array" ref="J1651">INDEX(Sheet1!F:F,$G1651)</f>
        <v>B25</v>
      </c>
      <c r="K1651" s="4" cm="1">
        <f t="array" ref="K1651">INDEX(Sheet1!H:H,$G1651)</f>
        <v>1</v>
      </c>
      <c r="L1651" s="4">
        <f t="shared" si="100"/>
        <v>49</v>
      </c>
      <c r="M1651" s="4">
        <f t="shared" si="103"/>
        <v>5</v>
      </c>
    </row>
    <row r="1652" spans="1:13">
      <c r="A1652" s="4" t="str" cm="1">
        <f t="array" ref="A1652">INDEX(Sheet1!A:A,$F1652)</f>
        <v>F</v>
      </c>
      <c r="B1652" s="4" t="str" cm="1">
        <f t="array" ref="B1652">INDEX(Sheet1!B:B,$F1652)</f>
        <v>Undiff SM</v>
      </c>
      <c r="C1652" s="4">
        <f t="shared" si="101"/>
        <v>50</v>
      </c>
      <c r="D1652" s="5" cm="1">
        <f t="array" aca="1" ref="D1652" ca="1">OFFSET(INDIRECT("'["&amp;$H1652&amp;"]"&amp;$I1652&amp;"'!"&amp;$J1652),$L1652,$M1652)*$K1652</f>
        <v>6.2100000000000002E-3</v>
      </c>
      <c r="F1652" s="4">
        <f t="shared" si="102"/>
        <v>18</v>
      </c>
      <c r="G1652" s="4" cm="1">
        <f t="array" ref="G1652">IF($C1652+$M1652&lt;16,INDEX(Sheet1!C:C,$F1652),$F1652)</f>
        <v>18</v>
      </c>
      <c r="H1652" s="4" t="str" cm="1">
        <f t="array" ref="H1652">INDEX(Sheet1!D:D,$G1652)</f>
        <v>t1141.xlsx</v>
      </c>
      <c r="I1652" s="4" t="str" cm="1">
        <f t="array" ref="I1652">INDEX(Sheet1!E:E,$G1652)</f>
        <v>Sheet1</v>
      </c>
      <c r="J1652" s="4" t="str" cm="1">
        <f t="array" ref="J1652">INDEX(Sheet1!F:F,$G1652)</f>
        <v>B25</v>
      </c>
      <c r="K1652" s="4" cm="1">
        <f t="array" ref="K1652">INDEX(Sheet1!H:H,$G1652)</f>
        <v>1</v>
      </c>
      <c r="L1652" s="4">
        <f t="shared" si="100"/>
        <v>50</v>
      </c>
      <c r="M1652" s="4">
        <f t="shared" si="103"/>
        <v>5</v>
      </c>
    </row>
    <row r="1653" spans="1:13">
      <c r="A1653" s="4" t="str" cm="1">
        <f t="array" ref="A1653">INDEX(Sheet1!A:A,$F1653)</f>
        <v>F</v>
      </c>
      <c r="B1653" s="4" t="str" cm="1">
        <f t="array" ref="B1653">INDEX(Sheet1!B:B,$F1653)</f>
        <v>Undiff SM</v>
      </c>
      <c r="C1653" s="4">
        <f t="shared" si="101"/>
        <v>51</v>
      </c>
      <c r="D1653" s="5" cm="1">
        <f t="array" aca="1" ref="D1653" ca="1">OFFSET(INDIRECT("'["&amp;$H1653&amp;"]"&amp;$I1653&amp;"'!"&amp;$J1653),$L1653,$M1653)*$K1653</f>
        <v>6.6600000000000001E-3</v>
      </c>
      <c r="F1653" s="4">
        <f t="shared" si="102"/>
        <v>18</v>
      </c>
      <c r="G1653" s="4" cm="1">
        <f t="array" ref="G1653">IF($C1653+$M1653&lt;16,INDEX(Sheet1!C:C,$F1653),$F1653)</f>
        <v>18</v>
      </c>
      <c r="H1653" s="4" t="str" cm="1">
        <f t="array" ref="H1653">INDEX(Sheet1!D:D,$G1653)</f>
        <v>t1141.xlsx</v>
      </c>
      <c r="I1653" s="4" t="str" cm="1">
        <f t="array" ref="I1653">INDEX(Sheet1!E:E,$G1653)</f>
        <v>Sheet1</v>
      </c>
      <c r="J1653" s="4" t="str" cm="1">
        <f t="array" ref="J1653">INDEX(Sheet1!F:F,$G1653)</f>
        <v>B25</v>
      </c>
      <c r="K1653" s="4" cm="1">
        <f t="array" ref="K1653">INDEX(Sheet1!H:H,$G1653)</f>
        <v>1</v>
      </c>
      <c r="L1653" s="4">
        <f t="shared" si="100"/>
        <v>51</v>
      </c>
      <c r="M1653" s="4">
        <f t="shared" si="103"/>
        <v>5</v>
      </c>
    </row>
    <row r="1654" spans="1:13">
      <c r="A1654" s="4" t="str" cm="1">
        <f t="array" ref="A1654">INDEX(Sheet1!A:A,$F1654)</f>
        <v>F</v>
      </c>
      <c r="B1654" s="4" t="str" cm="1">
        <f t="array" ref="B1654">INDEX(Sheet1!B:B,$F1654)</f>
        <v>Undiff SM</v>
      </c>
      <c r="C1654" s="4">
        <f t="shared" si="101"/>
        <v>52</v>
      </c>
      <c r="D1654" s="5" cm="1">
        <f t="array" aca="1" ref="D1654" ca="1">OFFSET(INDIRECT("'["&amp;$H1654&amp;"]"&amp;$I1654&amp;"'!"&amp;$J1654),$L1654,$M1654)*$K1654</f>
        <v>7.1000000000000004E-3</v>
      </c>
      <c r="F1654" s="4">
        <f t="shared" si="102"/>
        <v>18</v>
      </c>
      <c r="G1654" s="4" cm="1">
        <f t="array" ref="G1654">IF($C1654+$M1654&lt;16,INDEX(Sheet1!C:C,$F1654),$F1654)</f>
        <v>18</v>
      </c>
      <c r="H1654" s="4" t="str" cm="1">
        <f t="array" ref="H1654">INDEX(Sheet1!D:D,$G1654)</f>
        <v>t1141.xlsx</v>
      </c>
      <c r="I1654" s="4" t="str" cm="1">
        <f t="array" ref="I1654">INDEX(Sheet1!E:E,$G1654)</f>
        <v>Sheet1</v>
      </c>
      <c r="J1654" s="4" t="str" cm="1">
        <f t="array" ref="J1654">INDEX(Sheet1!F:F,$G1654)</f>
        <v>B25</v>
      </c>
      <c r="K1654" s="4" cm="1">
        <f t="array" ref="K1654">INDEX(Sheet1!H:H,$G1654)</f>
        <v>1</v>
      </c>
      <c r="L1654" s="4">
        <f t="shared" si="100"/>
        <v>52</v>
      </c>
      <c r="M1654" s="4">
        <f t="shared" si="103"/>
        <v>5</v>
      </c>
    </row>
    <row r="1655" spans="1:13">
      <c r="A1655" s="4" t="str" cm="1">
        <f t="array" ref="A1655">INDEX(Sheet1!A:A,$F1655)</f>
        <v>F</v>
      </c>
      <c r="B1655" s="4" t="str" cm="1">
        <f t="array" ref="B1655">INDEX(Sheet1!B:B,$F1655)</f>
        <v>Undiff SM</v>
      </c>
      <c r="C1655" s="4">
        <f t="shared" si="101"/>
        <v>53</v>
      </c>
      <c r="D1655" s="5" cm="1">
        <f t="array" aca="1" ref="D1655" ca="1">OFFSET(INDIRECT("'["&amp;$H1655&amp;"]"&amp;$I1655&amp;"'!"&amp;$J1655),$L1655,$M1655)*$K1655</f>
        <v>7.5500000000000003E-3</v>
      </c>
      <c r="F1655" s="4">
        <f t="shared" si="102"/>
        <v>18</v>
      </c>
      <c r="G1655" s="4" cm="1">
        <f t="array" ref="G1655">IF($C1655+$M1655&lt;16,INDEX(Sheet1!C:C,$F1655),$F1655)</f>
        <v>18</v>
      </c>
      <c r="H1655" s="4" t="str" cm="1">
        <f t="array" ref="H1655">INDEX(Sheet1!D:D,$G1655)</f>
        <v>t1141.xlsx</v>
      </c>
      <c r="I1655" s="4" t="str" cm="1">
        <f t="array" ref="I1655">INDEX(Sheet1!E:E,$G1655)</f>
        <v>Sheet1</v>
      </c>
      <c r="J1655" s="4" t="str" cm="1">
        <f t="array" ref="J1655">INDEX(Sheet1!F:F,$G1655)</f>
        <v>B25</v>
      </c>
      <c r="K1655" s="4" cm="1">
        <f t="array" ref="K1655">INDEX(Sheet1!H:H,$G1655)</f>
        <v>1</v>
      </c>
      <c r="L1655" s="4">
        <f t="shared" si="100"/>
        <v>53</v>
      </c>
      <c r="M1655" s="4">
        <f t="shared" si="103"/>
        <v>5</v>
      </c>
    </row>
    <row r="1656" spans="1:13">
      <c r="A1656" s="4" t="str" cm="1">
        <f t="array" ref="A1656">INDEX(Sheet1!A:A,$F1656)</f>
        <v>F</v>
      </c>
      <c r="B1656" s="4" t="str" cm="1">
        <f t="array" ref="B1656">INDEX(Sheet1!B:B,$F1656)</f>
        <v>Undiff SM</v>
      </c>
      <c r="C1656" s="4">
        <f t="shared" si="101"/>
        <v>54</v>
      </c>
      <c r="D1656" s="5" cm="1">
        <f t="array" aca="1" ref="D1656" ca="1">OFFSET(INDIRECT("'["&amp;$H1656&amp;"]"&amp;$I1656&amp;"'!"&amp;$J1656),$L1656,$M1656)*$K1656</f>
        <v>8.0199999999999994E-3</v>
      </c>
      <c r="F1656" s="4">
        <f t="shared" si="102"/>
        <v>18</v>
      </c>
      <c r="G1656" s="4" cm="1">
        <f t="array" ref="G1656">IF($C1656+$M1656&lt;16,INDEX(Sheet1!C:C,$F1656),$F1656)</f>
        <v>18</v>
      </c>
      <c r="H1656" s="4" t="str" cm="1">
        <f t="array" ref="H1656">INDEX(Sheet1!D:D,$G1656)</f>
        <v>t1141.xlsx</v>
      </c>
      <c r="I1656" s="4" t="str" cm="1">
        <f t="array" ref="I1656">INDEX(Sheet1!E:E,$G1656)</f>
        <v>Sheet1</v>
      </c>
      <c r="J1656" s="4" t="str" cm="1">
        <f t="array" ref="J1656">INDEX(Sheet1!F:F,$G1656)</f>
        <v>B25</v>
      </c>
      <c r="K1656" s="4" cm="1">
        <f t="array" ref="K1656">INDEX(Sheet1!H:H,$G1656)</f>
        <v>1</v>
      </c>
      <c r="L1656" s="4">
        <f t="shared" si="100"/>
        <v>54</v>
      </c>
      <c r="M1656" s="4">
        <f t="shared" si="103"/>
        <v>5</v>
      </c>
    </row>
    <row r="1657" spans="1:13">
      <c r="A1657" s="4" t="str" cm="1">
        <f t="array" ref="A1657">INDEX(Sheet1!A:A,$F1657)</f>
        <v>F</v>
      </c>
      <c r="B1657" s="4" t="str" cm="1">
        <f t="array" ref="B1657">INDEX(Sheet1!B:B,$F1657)</f>
        <v>Undiff SM</v>
      </c>
      <c r="C1657" s="4">
        <f t="shared" si="101"/>
        <v>55</v>
      </c>
      <c r="D1657" s="5" cm="1">
        <f t="array" aca="1" ref="D1657" ca="1">OFFSET(INDIRECT("'["&amp;$H1657&amp;"]"&amp;$I1657&amp;"'!"&amp;$J1657),$L1657,$M1657)*$K1657</f>
        <v>8.5599999999999999E-3</v>
      </c>
      <c r="F1657" s="4">
        <f t="shared" si="102"/>
        <v>18</v>
      </c>
      <c r="G1657" s="4" cm="1">
        <f t="array" ref="G1657">IF($C1657+$M1657&lt;16,INDEX(Sheet1!C:C,$F1657),$F1657)</f>
        <v>18</v>
      </c>
      <c r="H1657" s="4" t="str" cm="1">
        <f t="array" ref="H1657">INDEX(Sheet1!D:D,$G1657)</f>
        <v>t1141.xlsx</v>
      </c>
      <c r="I1657" s="4" t="str" cm="1">
        <f t="array" ref="I1657">INDEX(Sheet1!E:E,$G1657)</f>
        <v>Sheet1</v>
      </c>
      <c r="J1657" s="4" t="str" cm="1">
        <f t="array" ref="J1657">INDEX(Sheet1!F:F,$G1657)</f>
        <v>B25</v>
      </c>
      <c r="K1657" s="4" cm="1">
        <f t="array" ref="K1657">INDEX(Sheet1!H:H,$G1657)</f>
        <v>1</v>
      </c>
      <c r="L1657" s="4">
        <f t="shared" si="100"/>
        <v>55</v>
      </c>
      <c r="M1657" s="4">
        <f t="shared" si="103"/>
        <v>5</v>
      </c>
    </row>
    <row r="1658" spans="1:13">
      <c r="A1658" s="4" t="str" cm="1">
        <f t="array" ref="A1658">INDEX(Sheet1!A:A,$F1658)</f>
        <v>F</v>
      </c>
      <c r="B1658" s="4" t="str" cm="1">
        <f t="array" ref="B1658">INDEX(Sheet1!B:B,$F1658)</f>
        <v>Undiff SM</v>
      </c>
      <c r="C1658" s="4">
        <f t="shared" si="101"/>
        <v>56</v>
      </c>
      <c r="D1658" s="5" cm="1">
        <f t="array" aca="1" ref="D1658" ca="1">OFFSET(INDIRECT("'["&amp;$H1658&amp;"]"&amp;$I1658&amp;"'!"&amp;$J1658),$L1658,$M1658)*$K1658</f>
        <v>9.0500000000000008E-3</v>
      </c>
      <c r="F1658" s="4">
        <f t="shared" si="102"/>
        <v>18</v>
      </c>
      <c r="G1658" s="4" cm="1">
        <f t="array" ref="G1658">IF($C1658+$M1658&lt;16,INDEX(Sheet1!C:C,$F1658),$F1658)</f>
        <v>18</v>
      </c>
      <c r="H1658" s="4" t="str" cm="1">
        <f t="array" ref="H1658">INDEX(Sheet1!D:D,$G1658)</f>
        <v>t1141.xlsx</v>
      </c>
      <c r="I1658" s="4" t="str" cm="1">
        <f t="array" ref="I1658">INDEX(Sheet1!E:E,$G1658)</f>
        <v>Sheet1</v>
      </c>
      <c r="J1658" s="4" t="str" cm="1">
        <f t="array" ref="J1658">INDEX(Sheet1!F:F,$G1658)</f>
        <v>B25</v>
      </c>
      <c r="K1658" s="4" cm="1">
        <f t="array" ref="K1658">INDEX(Sheet1!H:H,$G1658)</f>
        <v>1</v>
      </c>
      <c r="L1658" s="4">
        <f t="shared" si="100"/>
        <v>56</v>
      </c>
      <c r="M1658" s="4">
        <f t="shared" si="103"/>
        <v>5</v>
      </c>
    </row>
    <row r="1659" spans="1:13">
      <c r="A1659" s="4" t="str" cm="1">
        <f t="array" ref="A1659">INDEX(Sheet1!A:A,$F1659)</f>
        <v>F</v>
      </c>
      <c r="B1659" s="4" t="str" cm="1">
        <f t="array" ref="B1659">INDEX(Sheet1!B:B,$F1659)</f>
        <v>Undiff SM</v>
      </c>
      <c r="C1659" s="4">
        <f t="shared" si="101"/>
        <v>57</v>
      </c>
      <c r="D1659" s="5" cm="1">
        <f t="array" aca="1" ref="D1659" ca="1">OFFSET(INDIRECT("'["&amp;$H1659&amp;"]"&amp;$I1659&amp;"'!"&amp;$J1659),$L1659,$M1659)*$K1659</f>
        <v>9.6200000000000001E-3</v>
      </c>
      <c r="F1659" s="4">
        <f t="shared" si="102"/>
        <v>18</v>
      </c>
      <c r="G1659" s="4" cm="1">
        <f t="array" ref="G1659">IF($C1659+$M1659&lt;16,INDEX(Sheet1!C:C,$F1659),$F1659)</f>
        <v>18</v>
      </c>
      <c r="H1659" s="4" t="str" cm="1">
        <f t="array" ref="H1659">INDEX(Sheet1!D:D,$G1659)</f>
        <v>t1141.xlsx</v>
      </c>
      <c r="I1659" s="4" t="str" cm="1">
        <f t="array" ref="I1659">INDEX(Sheet1!E:E,$G1659)</f>
        <v>Sheet1</v>
      </c>
      <c r="J1659" s="4" t="str" cm="1">
        <f t="array" ref="J1659">INDEX(Sheet1!F:F,$G1659)</f>
        <v>B25</v>
      </c>
      <c r="K1659" s="4" cm="1">
        <f t="array" ref="K1659">INDEX(Sheet1!H:H,$G1659)</f>
        <v>1</v>
      </c>
      <c r="L1659" s="4">
        <f t="shared" si="100"/>
        <v>57</v>
      </c>
      <c r="M1659" s="4">
        <f t="shared" si="103"/>
        <v>5</v>
      </c>
    </row>
    <row r="1660" spans="1:13">
      <c r="A1660" s="4" t="str" cm="1">
        <f t="array" ref="A1660">INDEX(Sheet1!A:A,$F1660)</f>
        <v>F</v>
      </c>
      <c r="B1660" s="4" t="str" cm="1">
        <f t="array" ref="B1660">INDEX(Sheet1!B:B,$F1660)</f>
        <v>Undiff SM</v>
      </c>
      <c r="C1660" s="4">
        <f t="shared" si="101"/>
        <v>58</v>
      </c>
      <c r="D1660" s="5" cm="1">
        <f t="array" aca="1" ref="D1660" ca="1">OFFSET(INDIRECT("'["&amp;$H1660&amp;"]"&amp;$I1660&amp;"'!"&amp;$J1660),$L1660,$M1660)*$K1660</f>
        <v>1.0279999999999999E-2</v>
      </c>
      <c r="F1660" s="4">
        <f t="shared" si="102"/>
        <v>18</v>
      </c>
      <c r="G1660" s="4" cm="1">
        <f t="array" ref="G1660">IF($C1660+$M1660&lt;16,INDEX(Sheet1!C:C,$F1660),$F1660)</f>
        <v>18</v>
      </c>
      <c r="H1660" s="4" t="str" cm="1">
        <f t="array" ref="H1660">INDEX(Sheet1!D:D,$G1660)</f>
        <v>t1141.xlsx</v>
      </c>
      <c r="I1660" s="4" t="str" cm="1">
        <f t="array" ref="I1660">INDEX(Sheet1!E:E,$G1660)</f>
        <v>Sheet1</v>
      </c>
      <c r="J1660" s="4" t="str" cm="1">
        <f t="array" ref="J1660">INDEX(Sheet1!F:F,$G1660)</f>
        <v>B25</v>
      </c>
      <c r="K1660" s="4" cm="1">
        <f t="array" ref="K1660">INDEX(Sheet1!H:H,$G1660)</f>
        <v>1</v>
      </c>
      <c r="L1660" s="4">
        <f t="shared" si="100"/>
        <v>58</v>
      </c>
      <c r="M1660" s="4">
        <f t="shared" si="103"/>
        <v>5</v>
      </c>
    </row>
    <row r="1661" spans="1:13">
      <c r="A1661" s="4" t="str" cm="1">
        <f t="array" ref="A1661">INDEX(Sheet1!A:A,$F1661)</f>
        <v>F</v>
      </c>
      <c r="B1661" s="4" t="str" cm="1">
        <f t="array" ref="B1661">INDEX(Sheet1!B:B,$F1661)</f>
        <v>Undiff SM</v>
      </c>
      <c r="C1661" s="4">
        <f t="shared" si="101"/>
        <v>59</v>
      </c>
      <c r="D1661" s="5" cm="1">
        <f t="array" aca="1" ref="D1661" ca="1">OFFSET(INDIRECT("'["&amp;$H1661&amp;"]"&amp;$I1661&amp;"'!"&amp;$J1661),$L1661,$M1661)*$K1661</f>
        <v>1.0999999999999999E-2</v>
      </c>
      <c r="F1661" s="4">
        <f t="shared" si="102"/>
        <v>18</v>
      </c>
      <c r="G1661" s="4" cm="1">
        <f t="array" ref="G1661">IF($C1661+$M1661&lt;16,INDEX(Sheet1!C:C,$F1661),$F1661)</f>
        <v>18</v>
      </c>
      <c r="H1661" s="4" t="str" cm="1">
        <f t="array" ref="H1661">INDEX(Sheet1!D:D,$G1661)</f>
        <v>t1141.xlsx</v>
      </c>
      <c r="I1661" s="4" t="str" cm="1">
        <f t="array" ref="I1661">INDEX(Sheet1!E:E,$G1661)</f>
        <v>Sheet1</v>
      </c>
      <c r="J1661" s="4" t="str" cm="1">
        <f t="array" ref="J1661">INDEX(Sheet1!F:F,$G1661)</f>
        <v>B25</v>
      </c>
      <c r="K1661" s="4" cm="1">
        <f t="array" ref="K1661">INDEX(Sheet1!H:H,$G1661)</f>
        <v>1</v>
      </c>
      <c r="L1661" s="4">
        <f t="shared" si="100"/>
        <v>59</v>
      </c>
      <c r="M1661" s="4">
        <f t="shared" si="103"/>
        <v>5</v>
      </c>
    </row>
    <row r="1662" spans="1:13">
      <c r="A1662" s="4" t="str" cm="1">
        <f t="array" ref="A1662">INDEX(Sheet1!A:A,$F1662)</f>
        <v>F</v>
      </c>
      <c r="B1662" s="4" t="str" cm="1">
        <f t="array" ref="B1662">INDEX(Sheet1!B:B,$F1662)</f>
        <v>Undiff SM</v>
      </c>
      <c r="C1662" s="4">
        <f t="shared" si="101"/>
        <v>60</v>
      </c>
      <c r="D1662" s="5" cm="1">
        <f t="array" aca="1" ref="D1662" ca="1">OFFSET(INDIRECT("'["&amp;$H1662&amp;"]"&amp;$I1662&amp;"'!"&amp;$J1662),$L1662,$M1662)*$K1662</f>
        <v>1.174E-2</v>
      </c>
      <c r="F1662" s="4">
        <f t="shared" si="102"/>
        <v>18</v>
      </c>
      <c r="G1662" s="4" cm="1">
        <f t="array" ref="G1662">IF($C1662+$M1662&lt;16,INDEX(Sheet1!C:C,$F1662),$F1662)</f>
        <v>18</v>
      </c>
      <c r="H1662" s="4" t="str" cm="1">
        <f t="array" ref="H1662">INDEX(Sheet1!D:D,$G1662)</f>
        <v>t1141.xlsx</v>
      </c>
      <c r="I1662" s="4" t="str" cm="1">
        <f t="array" ref="I1662">INDEX(Sheet1!E:E,$G1662)</f>
        <v>Sheet1</v>
      </c>
      <c r="J1662" s="4" t="str" cm="1">
        <f t="array" ref="J1662">INDEX(Sheet1!F:F,$G1662)</f>
        <v>B25</v>
      </c>
      <c r="K1662" s="4" cm="1">
        <f t="array" ref="K1662">INDEX(Sheet1!H:H,$G1662)</f>
        <v>1</v>
      </c>
      <c r="L1662" s="4">
        <f t="shared" si="100"/>
        <v>60</v>
      </c>
      <c r="M1662" s="4">
        <f t="shared" si="103"/>
        <v>5</v>
      </c>
    </row>
    <row r="1663" spans="1:13">
      <c r="A1663" s="4" t="str" cm="1">
        <f t="array" ref="A1663">INDEX(Sheet1!A:A,$F1663)</f>
        <v>F</v>
      </c>
      <c r="B1663" s="4" t="str" cm="1">
        <f t="array" ref="B1663">INDEX(Sheet1!B:B,$F1663)</f>
        <v>Undiff SM</v>
      </c>
      <c r="C1663" s="4">
        <f t="shared" si="101"/>
        <v>61</v>
      </c>
      <c r="D1663" s="5" cm="1">
        <f t="array" aca="1" ref="D1663" ca="1">OFFSET(INDIRECT("'["&amp;$H1663&amp;"]"&amp;$I1663&amp;"'!"&amp;$J1663),$L1663,$M1663)*$K1663</f>
        <v>1.2500000000000001E-2</v>
      </c>
      <c r="F1663" s="4">
        <f t="shared" si="102"/>
        <v>18</v>
      </c>
      <c r="G1663" s="4" cm="1">
        <f t="array" ref="G1663">IF($C1663+$M1663&lt;16,INDEX(Sheet1!C:C,$F1663),$F1663)</f>
        <v>18</v>
      </c>
      <c r="H1663" s="4" t="str" cm="1">
        <f t="array" ref="H1663">INDEX(Sheet1!D:D,$G1663)</f>
        <v>t1141.xlsx</v>
      </c>
      <c r="I1663" s="4" t="str" cm="1">
        <f t="array" ref="I1663">INDEX(Sheet1!E:E,$G1663)</f>
        <v>Sheet1</v>
      </c>
      <c r="J1663" s="4" t="str" cm="1">
        <f t="array" ref="J1663">INDEX(Sheet1!F:F,$G1663)</f>
        <v>B25</v>
      </c>
      <c r="K1663" s="4" cm="1">
        <f t="array" ref="K1663">INDEX(Sheet1!H:H,$G1663)</f>
        <v>1</v>
      </c>
      <c r="L1663" s="4">
        <f t="shared" si="100"/>
        <v>61</v>
      </c>
      <c r="M1663" s="4">
        <f t="shared" si="103"/>
        <v>5</v>
      </c>
    </row>
    <row r="1664" spans="1:13">
      <c r="A1664" s="4" t="str" cm="1">
        <f t="array" ref="A1664">INDEX(Sheet1!A:A,$F1664)</f>
        <v>F</v>
      </c>
      <c r="B1664" s="4" t="str" cm="1">
        <f t="array" ref="B1664">INDEX(Sheet1!B:B,$F1664)</f>
        <v>Undiff SM</v>
      </c>
      <c r="C1664" s="4">
        <f t="shared" si="101"/>
        <v>62</v>
      </c>
      <c r="D1664" s="5" cm="1">
        <f t="array" aca="1" ref="D1664" ca="1">OFFSET(INDIRECT("'["&amp;$H1664&amp;"]"&amp;$I1664&amp;"'!"&amp;$J1664),$L1664,$M1664)*$K1664</f>
        <v>1.325E-2</v>
      </c>
      <c r="F1664" s="4">
        <f t="shared" si="102"/>
        <v>18</v>
      </c>
      <c r="G1664" s="4" cm="1">
        <f t="array" ref="G1664">IF($C1664+$M1664&lt;16,INDEX(Sheet1!C:C,$F1664),$F1664)</f>
        <v>18</v>
      </c>
      <c r="H1664" s="4" t="str" cm="1">
        <f t="array" ref="H1664">INDEX(Sheet1!D:D,$G1664)</f>
        <v>t1141.xlsx</v>
      </c>
      <c r="I1664" s="4" t="str" cm="1">
        <f t="array" ref="I1664">INDEX(Sheet1!E:E,$G1664)</f>
        <v>Sheet1</v>
      </c>
      <c r="J1664" s="4" t="str" cm="1">
        <f t="array" ref="J1664">INDEX(Sheet1!F:F,$G1664)</f>
        <v>B25</v>
      </c>
      <c r="K1664" s="4" cm="1">
        <f t="array" ref="K1664">INDEX(Sheet1!H:H,$G1664)</f>
        <v>1</v>
      </c>
      <c r="L1664" s="4">
        <f t="shared" si="100"/>
        <v>62</v>
      </c>
      <c r="M1664" s="4">
        <f t="shared" si="103"/>
        <v>5</v>
      </c>
    </row>
    <row r="1665" spans="1:13">
      <c r="A1665" s="4" t="str" cm="1">
        <f t="array" ref="A1665">INDEX(Sheet1!A:A,$F1665)</f>
        <v>F</v>
      </c>
      <c r="B1665" s="4" t="str" cm="1">
        <f t="array" ref="B1665">INDEX(Sheet1!B:B,$F1665)</f>
        <v>Undiff SM</v>
      </c>
      <c r="C1665" s="4">
        <f t="shared" si="101"/>
        <v>63</v>
      </c>
      <c r="D1665" s="5" cm="1">
        <f t="array" aca="1" ref="D1665" ca="1">OFFSET(INDIRECT("'["&amp;$H1665&amp;"]"&amp;$I1665&amp;"'!"&amp;$J1665),$L1665,$M1665)*$K1665</f>
        <v>1.397E-2</v>
      </c>
      <c r="F1665" s="4">
        <f t="shared" si="102"/>
        <v>18</v>
      </c>
      <c r="G1665" s="4" cm="1">
        <f t="array" ref="G1665">IF($C1665+$M1665&lt;16,INDEX(Sheet1!C:C,$F1665),$F1665)</f>
        <v>18</v>
      </c>
      <c r="H1665" s="4" t="str" cm="1">
        <f t="array" ref="H1665">INDEX(Sheet1!D:D,$G1665)</f>
        <v>t1141.xlsx</v>
      </c>
      <c r="I1665" s="4" t="str" cm="1">
        <f t="array" ref="I1665">INDEX(Sheet1!E:E,$G1665)</f>
        <v>Sheet1</v>
      </c>
      <c r="J1665" s="4" t="str" cm="1">
        <f t="array" ref="J1665">INDEX(Sheet1!F:F,$G1665)</f>
        <v>B25</v>
      </c>
      <c r="K1665" s="4" cm="1">
        <f t="array" ref="K1665">INDEX(Sheet1!H:H,$G1665)</f>
        <v>1</v>
      </c>
      <c r="L1665" s="4">
        <f t="shared" si="100"/>
        <v>63</v>
      </c>
      <c r="M1665" s="4">
        <f t="shared" si="103"/>
        <v>5</v>
      </c>
    </row>
    <row r="1666" spans="1:13">
      <c r="A1666" s="4" t="str" cm="1">
        <f t="array" ref="A1666">INDEX(Sheet1!A:A,$F1666)</f>
        <v>F</v>
      </c>
      <c r="B1666" s="4" t="str" cm="1">
        <f t="array" ref="B1666">INDEX(Sheet1!B:B,$F1666)</f>
        <v>Undiff SM</v>
      </c>
      <c r="C1666" s="4">
        <f t="shared" si="101"/>
        <v>64</v>
      </c>
      <c r="D1666" s="5" cm="1">
        <f t="array" aca="1" ref="D1666" ca="1">OFFSET(INDIRECT("'["&amp;$H1666&amp;"]"&amp;$I1666&amp;"'!"&amp;$J1666),$L1666,$M1666)*$K1666</f>
        <v>1.472E-2</v>
      </c>
      <c r="F1666" s="4">
        <f t="shared" si="102"/>
        <v>18</v>
      </c>
      <c r="G1666" s="4" cm="1">
        <f t="array" ref="G1666">IF($C1666+$M1666&lt;16,INDEX(Sheet1!C:C,$F1666),$F1666)</f>
        <v>18</v>
      </c>
      <c r="H1666" s="4" t="str" cm="1">
        <f t="array" ref="H1666">INDEX(Sheet1!D:D,$G1666)</f>
        <v>t1141.xlsx</v>
      </c>
      <c r="I1666" s="4" t="str" cm="1">
        <f t="array" ref="I1666">INDEX(Sheet1!E:E,$G1666)</f>
        <v>Sheet1</v>
      </c>
      <c r="J1666" s="4" t="str" cm="1">
        <f t="array" ref="J1666">INDEX(Sheet1!F:F,$G1666)</f>
        <v>B25</v>
      </c>
      <c r="K1666" s="4" cm="1">
        <f t="array" ref="K1666">INDEX(Sheet1!H:H,$G1666)</f>
        <v>1</v>
      </c>
      <c r="L1666" s="4">
        <f t="shared" si="100"/>
        <v>64</v>
      </c>
      <c r="M1666" s="4">
        <f t="shared" si="103"/>
        <v>5</v>
      </c>
    </row>
    <row r="1667" spans="1:13">
      <c r="A1667" s="4" t="str" cm="1">
        <f t="array" ref="A1667">INDEX(Sheet1!A:A,$F1667)</f>
        <v>F</v>
      </c>
      <c r="B1667" s="4" t="str" cm="1">
        <f t="array" ref="B1667">INDEX(Sheet1!B:B,$F1667)</f>
        <v>Undiff SM</v>
      </c>
      <c r="C1667" s="4">
        <f t="shared" si="101"/>
        <v>65</v>
      </c>
      <c r="D1667" s="5" cm="1">
        <f t="array" aca="1" ref="D1667" ca="1">OFFSET(INDIRECT("'["&amp;$H1667&amp;"]"&amp;$I1667&amp;"'!"&amp;$J1667),$L1667,$M1667)*$K1667</f>
        <v>1.5509999999999999E-2</v>
      </c>
      <c r="F1667" s="4">
        <f t="shared" si="102"/>
        <v>18</v>
      </c>
      <c r="G1667" s="4" cm="1">
        <f t="array" ref="G1667">IF($C1667+$M1667&lt;16,INDEX(Sheet1!C:C,$F1667),$F1667)</f>
        <v>18</v>
      </c>
      <c r="H1667" s="4" t="str" cm="1">
        <f t="array" ref="H1667">INDEX(Sheet1!D:D,$G1667)</f>
        <v>t1141.xlsx</v>
      </c>
      <c r="I1667" s="4" t="str" cm="1">
        <f t="array" ref="I1667">INDEX(Sheet1!E:E,$G1667)</f>
        <v>Sheet1</v>
      </c>
      <c r="J1667" s="4" t="str" cm="1">
        <f t="array" ref="J1667">INDEX(Sheet1!F:F,$G1667)</f>
        <v>B25</v>
      </c>
      <c r="K1667" s="4" cm="1">
        <f t="array" ref="K1667">INDEX(Sheet1!H:H,$G1667)</f>
        <v>1</v>
      </c>
      <c r="L1667" s="4">
        <f t="shared" ref="L1667:L1730" si="104">C1667</f>
        <v>65</v>
      </c>
      <c r="M1667" s="4">
        <f t="shared" si="103"/>
        <v>5</v>
      </c>
    </row>
    <row r="1668" spans="1:13">
      <c r="A1668" s="4" t="str" cm="1">
        <f t="array" ref="A1668">INDEX(Sheet1!A:A,$F1668)</f>
        <v>F</v>
      </c>
      <c r="B1668" s="4" t="str" cm="1">
        <f t="array" ref="B1668">INDEX(Sheet1!B:B,$F1668)</f>
        <v>Undiff SM</v>
      </c>
      <c r="C1668" s="4">
        <f t="shared" ref="C1668:C1731" si="105">IF(C1667=99,0,C1667+1)</f>
        <v>66</v>
      </c>
      <c r="D1668" s="5" cm="1">
        <f t="array" aca="1" ref="D1668" ca="1">OFFSET(INDIRECT("'["&amp;$H1668&amp;"]"&amp;$I1668&amp;"'!"&amp;$J1668),$L1668,$M1668)*$K1668</f>
        <v>1.6320000000000001E-2</v>
      </c>
      <c r="F1668" s="4">
        <f t="shared" ref="F1668:F1731" si="106">IF(C1668=0,1,0)+F1667</f>
        <v>18</v>
      </c>
      <c r="G1668" s="4" cm="1">
        <f t="array" ref="G1668">IF($C1668+$M1668&lt;16,INDEX(Sheet1!C:C,$F1668),$F1668)</f>
        <v>18</v>
      </c>
      <c r="H1668" s="4" t="str" cm="1">
        <f t="array" ref="H1668">INDEX(Sheet1!D:D,$G1668)</f>
        <v>t1141.xlsx</v>
      </c>
      <c r="I1668" s="4" t="str" cm="1">
        <f t="array" ref="I1668">INDEX(Sheet1!E:E,$G1668)</f>
        <v>Sheet1</v>
      </c>
      <c r="J1668" s="4" t="str" cm="1">
        <f t="array" ref="J1668">INDEX(Sheet1!F:F,$G1668)</f>
        <v>B25</v>
      </c>
      <c r="K1668" s="4" cm="1">
        <f t="array" ref="K1668">INDEX(Sheet1!H:H,$G1668)</f>
        <v>1</v>
      </c>
      <c r="L1668" s="4">
        <f t="shared" si="104"/>
        <v>66</v>
      </c>
      <c r="M1668" s="4">
        <f t="shared" ref="L1668:M1731" si="107">M$2</f>
        <v>5</v>
      </c>
    </row>
    <row r="1669" spans="1:13">
      <c r="A1669" s="4" t="str" cm="1">
        <f t="array" ref="A1669">INDEX(Sheet1!A:A,$F1669)</f>
        <v>F</v>
      </c>
      <c r="B1669" s="4" t="str" cm="1">
        <f t="array" ref="B1669">INDEX(Sheet1!B:B,$F1669)</f>
        <v>Undiff SM</v>
      </c>
      <c r="C1669" s="4">
        <f t="shared" si="105"/>
        <v>67</v>
      </c>
      <c r="D1669" s="5" cm="1">
        <f t="array" aca="1" ref="D1669" ca="1">OFFSET(INDIRECT("'["&amp;$H1669&amp;"]"&amp;$I1669&amp;"'!"&amp;$J1669),$L1669,$M1669)*$K1669</f>
        <v>1.728E-2</v>
      </c>
      <c r="F1669" s="4">
        <f t="shared" si="106"/>
        <v>18</v>
      </c>
      <c r="G1669" s="4" cm="1">
        <f t="array" ref="G1669">IF($C1669+$M1669&lt;16,INDEX(Sheet1!C:C,$F1669),$F1669)</f>
        <v>18</v>
      </c>
      <c r="H1669" s="4" t="str" cm="1">
        <f t="array" ref="H1669">INDEX(Sheet1!D:D,$G1669)</f>
        <v>t1141.xlsx</v>
      </c>
      <c r="I1669" s="4" t="str" cm="1">
        <f t="array" ref="I1669">INDEX(Sheet1!E:E,$G1669)</f>
        <v>Sheet1</v>
      </c>
      <c r="J1669" s="4" t="str" cm="1">
        <f t="array" ref="J1669">INDEX(Sheet1!F:F,$G1669)</f>
        <v>B25</v>
      </c>
      <c r="K1669" s="4" cm="1">
        <f t="array" ref="K1669">INDEX(Sheet1!H:H,$G1669)</f>
        <v>1</v>
      </c>
      <c r="L1669" s="4">
        <f t="shared" si="104"/>
        <v>67</v>
      </c>
      <c r="M1669" s="4">
        <f t="shared" si="107"/>
        <v>5</v>
      </c>
    </row>
    <row r="1670" spans="1:13">
      <c r="A1670" s="4" t="str" cm="1">
        <f t="array" ref="A1670">INDEX(Sheet1!A:A,$F1670)</f>
        <v>F</v>
      </c>
      <c r="B1670" s="4" t="str" cm="1">
        <f t="array" ref="B1670">INDEX(Sheet1!B:B,$F1670)</f>
        <v>Undiff SM</v>
      </c>
      <c r="C1670" s="4">
        <f t="shared" si="105"/>
        <v>68</v>
      </c>
      <c r="D1670" s="5" cm="1">
        <f t="array" aca="1" ref="D1670" ca="1">OFFSET(INDIRECT("'["&amp;$H1670&amp;"]"&amp;$I1670&amp;"'!"&amp;$J1670),$L1670,$M1670)*$K1670</f>
        <v>1.8419999999999999E-2</v>
      </c>
      <c r="F1670" s="4">
        <f t="shared" si="106"/>
        <v>18</v>
      </c>
      <c r="G1670" s="4" cm="1">
        <f t="array" ref="G1670">IF($C1670+$M1670&lt;16,INDEX(Sheet1!C:C,$F1670),$F1670)</f>
        <v>18</v>
      </c>
      <c r="H1670" s="4" t="str" cm="1">
        <f t="array" ref="H1670">INDEX(Sheet1!D:D,$G1670)</f>
        <v>t1141.xlsx</v>
      </c>
      <c r="I1670" s="4" t="str" cm="1">
        <f t="array" ref="I1670">INDEX(Sheet1!E:E,$G1670)</f>
        <v>Sheet1</v>
      </c>
      <c r="J1670" s="4" t="str" cm="1">
        <f t="array" ref="J1670">INDEX(Sheet1!F:F,$G1670)</f>
        <v>B25</v>
      </c>
      <c r="K1670" s="4" cm="1">
        <f t="array" ref="K1670">INDEX(Sheet1!H:H,$G1670)</f>
        <v>1</v>
      </c>
      <c r="L1670" s="4">
        <f t="shared" si="104"/>
        <v>68</v>
      </c>
      <c r="M1670" s="4">
        <f t="shared" si="107"/>
        <v>5</v>
      </c>
    </row>
    <row r="1671" spans="1:13">
      <c r="A1671" s="4" t="str" cm="1">
        <f t="array" ref="A1671">INDEX(Sheet1!A:A,$F1671)</f>
        <v>F</v>
      </c>
      <c r="B1671" s="4" t="str" cm="1">
        <f t="array" ref="B1671">INDEX(Sheet1!B:B,$F1671)</f>
        <v>Undiff SM</v>
      </c>
      <c r="C1671" s="4">
        <f t="shared" si="105"/>
        <v>69</v>
      </c>
      <c r="D1671" s="5" cm="1">
        <f t="array" aca="1" ref="D1671" ca="1">OFFSET(INDIRECT("'["&amp;$H1671&amp;"]"&amp;$I1671&amp;"'!"&amp;$J1671),$L1671,$M1671)*$K1671</f>
        <v>1.9789999999999999E-2</v>
      </c>
      <c r="F1671" s="4">
        <f t="shared" si="106"/>
        <v>18</v>
      </c>
      <c r="G1671" s="4" cm="1">
        <f t="array" ref="G1671">IF($C1671+$M1671&lt;16,INDEX(Sheet1!C:C,$F1671),$F1671)</f>
        <v>18</v>
      </c>
      <c r="H1671" s="4" t="str" cm="1">
        <f t="array" ref="H1671">INDEX(Sheet1!D:D,$G1671)</f>
        <v>t1141.xlsx</v>
      </c>
      <c r="I1671" s="4" t="str" cm="1">
        <f t="array" ref="I1671">INDEX(Sheet1!E:E,$G1671)</f>
        <v>Sheet1</v>
      </c>
      <c r="J1671" s="4" t="str" cm="1">
        <f t="array" ref="J1671">INDEX(Sheet1!F:F,$G1671)</f>
        <v>B25</v>
      </c>
      <c r="K1671" s="4" cm="1">
        <f t="array" ref="K1671">INDEX(Sheet1!H:H,$G1671)</f>
        <v>1</v>
      </c>
      <c r="L1671" s="4">
        <f t="shared" si="104"/>
        <v>69</v>
      </c>
      <c r="M1671" s="4">
        <f t="shared" si="107"/>
        <v>5</v>
      </c>
    </row>
    <row r="1672" spans="1:13">
      <c r="A1672" s="4" t="str" cm="1">
        <f t="array" ref="A1672">INDEX(Sheet1!A:A,$F1672)</f>
        <v>F</v>
      </c>
      <c r="B1672" s="4" t="str" cm="1">
        <f t="array" ref="B1672">INDEX(Sheet1!B:B,$F1672)</f>
        <v>Undiff SM</v>
      </c>
      <c r="C1672" s="4">
        <f t="shared" si="105"/>
        <v>70</v>
      </c>
      <c r="D1672" s="5" cm="1">
        <f t="array" aca="1" ref="D1672" ca="1">OFFSET(INDIRECT("'["&amp;$H1672&amp;"]"&amp;$I1672&amp;"'!"&amp;$J1672),$L1672,$M1672)*$K1672</f>
        <v>2.1389999999999999E-2</v>
      </c>
      <c r="F1672" s="4">
        <f t="shared" si="106"/>
        <v>18</v>
      </c>
      <c r="G1672" s="4" cm="1">
        <f t="array" ref="G1672">IF($C1672+$M1672&lt;16,INDEX(Sheet1!C:C,$F1672),$F1672)</f>
        <v>18</v>
      </c>
      <c r="H1672" s="4" t="str" cm="1">
        <f t="array" ref="H1672">INDEX(Sheet1!D:D,$G1672)</f>
        <v>t1141.xlsx</v>
      </c>
      <c r="I1672" s="4" t="str" cm="1">
        <f t="array" ref="I1672">INDEX(Sheet1!E:E,$G1672)</f>
        <v>Sheet1</v>
      </c>
      <c r="J1672" s="4" t="str" cm="1">
        <f t="array" ref="J1672">INDEX(Sheet1!F:F,$G1672)</f>
        <v>B25</v>
      </c>
      <c r="K1672" s="4" cm="1">
        <f t="array" ref="K1672">INDEX(Sheet1!H:H,$G1672)</f>
        <v>1</v>
      </c>
      <c r="L1672" s="4">
        <f t="shared" si="104"/>
        <v>70</v>
      </c>
      <c r="M1672" s="4">
        <f t="shared" si="107"/>
        <v>5</v>
      </c>
    </row>
    <row r="1673" spans="1:13">
      <c r="A1673" s="4" t="str" cm="1">
        <f t="array" ref="A1673">INDEX(Sheet1!A:A,$F1673)</f>
        <v>F</v>
      </c>
      <c r="B1673" s="4" t="str" cm="1">
        <f t="array" ref="B1673">INDEX(Sheet1!B:B,$F1673)</f>
        <v>Undiff SM</v>
      </c>
      <c r="C1673" s="4">
        <f t="shared" si="105"/>
        <v>71</v>
      </c>
      <c r="D1673" s="5" cm="1">
        <f t="array" aca="1" ref="D1673" ca="1">OFFSET(INDIRECT("'["&amp;$H1673&amp;"]"&amp;$I1673&amp;"'!"&amp;$J1673),$L1673,$M1673)*$K1673</f>
        <v>2.3269999999999999E-2</v>
      </c>
      <c r="F1673" s="4">
        <f t="shared" si="106"/>
        <v>18</v>
      </c>
      <c r="G1673" s="4" cm="1">
        <f t="array" ref="G1673">IF($C1673+$M1673&lt;16,INDEX(Sheet1!C:C,$F1673),$F1673)</f>
        <v>18</v>
      </c>
      <c r="H1673" s="4" t="str" cm="1">
        <f t="array" ref="H1673">INDEX(Sheet1!D:D,$G1673)</f>
        <v>t1141.xlsx</v>
      </c>
      <c r="I1673" s="4" t="str" cm="1">
        <f t="array" ref="I1673">INDEX(Sheet1!E:E,$G1673)</f>
        <v>Sheet1</v>
      </c>
      <c r="J1673" s="4" t="str" cm="1">
        <f t="array" ref="J1673">INDEX(Sheet1!F:F,$G1673)</f>
        <v>B25</v>
      </c>
      <c r="K1673" s="4" cm="1">
        <f t="array" ref="K1673">INDEX(Sheet1!H:H,$G1673)</f>
        <v>1</v>
      </c>
      <c r="L1673" s="4">
        <f t="shared" si="104"/>
        <v>71</v>
      </c>
      <c r="M1673" s="4">
        <f t="shared" si="107"/>
        <v>5</v>
      </c>
    </row>
    <row r="1674" spans="1:13">
      <c r="A1674" s="4" t="str" cm="1">
        <f t="array" ref="A1674">INDEX(Sheet1!A:A,$F1674)</f>
        <v>F</v>
      </c>
      <c r="B1674" s="4" t="str" cm="1">
        <f t="array" ref="B1674">INDEX(Sheet1!B:B,$F1674)</f>
        <v>Undiff SM</v>
      </c>
      <c r="C1674" s="4">
        <f t="shared" si="105"/>
        <v>72</v>
      </c>
      <c r="D1674" s="5" cm="1">
        <f t="array" aca="1" ref="D1674" ca="1">OFFSET(INDIRECT("'["&amp;$H1674&amp;"]"&amp;$I1674&amp;"'!"&amp;$J1674),$L1674,$M1674)*$K1674</f>
        <v>2.5420000000000002E-2</v>
      </c>
      <c r="F1674" s="4">
        <f t="shared" si="106"/>
        <v>18</v>
      </c>
      <c r="G1674" s="4" cm="1">
        <f t="array" ref="G1674">IF($C1674+$M1674&lt;16,INDEX(Sheet1!C:C,$F1674),$F1674)</f>
        <v>18</v>
      </c>
      <c r="H1674" s="4" t="str" cm="1">
        <f t="array" ref="H1674">INDEX(Sheet1!D:D,$G1674)</f>
        <v>t1141.xlsx</v>
      </c>
      <c r="I1674" s="4" t="str" cm="1">
        <f t="array" ref="I1674">INDEX(Sheet1!E:E,$G1674)</f>
        <v>Sheet1</v>
      </c>
      <c r="J1674" s="4" t="str" cm="1">
        <f t="array" ref="J1674">INDEX(Sheet1!F:F,$G1674)</f>
        <v>B25</v>
      </c>
      <c r="K1674" s="4" cm="1">
        <f t="array" ref="K1674">INDEX(Sheet1!H:H,$G1674)</f>
        <v>1</v>
      </c>
      <c r="L1674" s="4">
        <f t="shared" si="104"/>
        <v>72</v>
      </c>
      <c r="M1674" s="4">
        <f t="shared" si="107"/>
        <v>5</v>
      </c>
    </row>
    <row r="1675" spans="1:13">
      <c r="A1675" s="4" t="str" cm="1">
        <f t="array" ref="A1675">INDEX(Sheet1!A:A,$F1675)</f>
        <v>F</v>
      </c>
      <c r="B1675" s="4" t="str" cm="1">
        <f t="array" ref="B1675">INDEX(Sheet1!B:B,$F1675)</f>
        <v>Undiff SM</v>
      </c>
      <c r="C1675" s="4">
        <f t="shared" si="105"/>
        <v>73</v>
      </c>
      <c r="D1675" s="5" cm="1">
        <f t="array" aca="1" ref="D1675" ca="1">OFFSET(INDIRECT("'["&amp;$H1675&amp;"]"&amp;$I1675&amp;"'!"&amp;$J1675),$L1675,$M1675)*$K1675</f>
        <v>2.7879999999999999E-2</v>
      </c>
      <c r="F1675" s="4">
        <f t="shared" si="106"/>
        <v>18</v>
      </c>
      <c r="G1675" s="4" cm="1">
        <f t="array" ref="G1675">IF($C1675+$M1675&lt;16,INDEX(Sheet1!C:C,$F1675),$F1675)</f>
        <v>18</v>
      </c>
      <c r="H1675" s="4" t="str" cm="1">
        <f t="array" ref="H1675">INDEX(Sheet1!D:D,$G1675)</f>
        <v>t1141.xlsx</v>
      </c>
      <c r="I1675" s="4" t="str" cm="1">
        <f t="array" ref="I1675">INDEX(Sheet1!E:E,$G1675)</f>
        <v>Sheet1</v>
      </c>
      <c r="J1675" s="4" t="str" cm="1">
        <f t="array" ref="J1675">INDEX(Sheet1!F:F,$G1675)</f>
        <v>B25</v>
      </c>
      <c r="K1675" s="4" cm="1">
        <f t="array" ref="K1675">INDEX(Sheet1!H:H,$G1675)</f>
        <v>1</v>
      </c>
      <c r="L1675" s="4">
        <f t="shared" si="104"/>
        <v>73</v>
      </c>
      <c r="M1675" s="4">
        <f t="shared" si="107"/>
        <v>5</v>
      </c>
    </row>
    <row r="1676" spans="1:13">
      <c r="A1676" s="4" t="str" cm="1">
        <f t="array" ref="A1676">INDEX(Sheet1!A:A,$F1676)</f>
        <v>F</v>
      </c>
      <c r="B1676" s="4" t="str" cm="1">
        <f t="array" ref="B1676">INDEX(Sheet1!B:B,$F1676)</f>
        <v>Undiff SM</v>
      </c>
      <c r="C1676" s="4">
        <f t="shared" si="105"/>
        <v>74</v>
      </c>
      <c r="D1676" s="5" cm="1">
        <f t="array" aca="1" ref="D1676" ca="1">OFFSET(INDIRECT("'["&amp;$H1676&amp;"]"&amp;$I1676&amp;"'!"&amp;$J1676),$L1676,$M1676)*$K1676</f>
        <v>3.066E-2</v>
      </c>
      <c r="F1676" s="4">
        <f t="shared" si="106"/>
        <v>18</v>
      </c>
      <c r="G1676" s="4" cm="1">
        <f t="array" ref="G1676">IF($C1676+$M1676&lt;16,INDEX(Sheet1!C:C,$F1676),$F1676)</f>
        <v>18</v>
      </c>
      <c r="H1676" s="4" t="str" cm="1">
        <f t="array" ref="H1676">INDEX(Sheet1!D:D,$G1676)</f>
        <v>t1141.xlsx</v>
      </c>
      <c r="I1676" s="4" t="str" cm="1">
        <f t="array" ref="I1676">INDEX(Sheet1!E:E,$G1676)</f>
        <v>Sheet1</v>
      </c>
      <c r="J1676" s="4" t="str" cm="1">
        <f t="array" ref="J1676">INDEX(Sheet1!F:F,$G1676)</f>
        <v>B25</v>
      </c>
      <c r="K1676" s="4" cm="1">
        <f t="array" ref="K1676">INDEX(Sheet1!H:H,$G1676)</f>
        <v>1</v>
      </c>
      <c r="L1676" s="4">
        <f t="shared" si="104"/>
        <v>74</v>
      </c>
      <c r="M1676" s="4">
        <f t="shared" si="107"/>
        <v>5</v>
      </c>
    </row>
    <row r="1677" spans="1:13">
      <c r="A1677" s="4" t="str" cm="1">
        <f t="array" ref="A1677">INDEX(Sheet1!A:A,$F1677)</f>
        <v>F</v>
      </c>
      <c r="B1677" s="4" t="str" cm="1">
        <f t="array" ref="B1677">INDEX(Sheet1!B:B,$F1677)</f>
        <v>Undiff SM</v>
      </c>
      <c r="C1677" s="4">
        <f t="shared" si="105"/>
        <v>75</v>
      </c>
      <c r="D1677" s="5" cm="1">
        <f t="array" aca="1" ref="D1677" ca="1">OFFSET(INDIRECT("'["&amp;$H1677&amp;"]"&amp;$I1677&amp;"'!"&amp;$J1677),$L1677,$M1677)*$K1677</f>
        <v>3.372E-2</v>
      </c>
      <c r="F1677" s="4">
        <f t="shared" si="106"/>
        <v>18</v>
      </c>
      <c r="G1677" s="4" cm="1">
        <f t="array" ref="G1677">IF($C1677+$M1677&lt;16,INDEX(Sheet1!C:C,$F1677),$F1677)</f>
        <v>18</v>
      </c>
      <c r="H1677" s="4" t="str" cm="1">
        <f t="array" ref="H1677">INDEX(Sheet1!D:D,$G1677)</f>
        <v>t1141.xlsx</v>
      </c>
      <c r="I1677" s="4" t="str" cm="1">
        <f t="array" ref="I1677">INDEX(Sheet1!E:E,$G1677)</f>
        <v>Sheet1</v>
      </c>
      <c r="J1677" s="4" t="str" cm="1">
        <f t="array" ref="J1677">INDEX(Sheet1!F:F,$G1677)</f>
        <v>B25</v>
      </c>
      <c r="K1677" s="4" cm="1">
        <f t="array" ref="K1677">INDEX(Sheet1!H:H,$G1677)</f>
        <v>1</v>
      </c>
      <c r="L1677" s="4">
        <f t="shared" si="104"/>
        <v>75</v>
      </c>
      <c r="M1677" s="4">
        <f t="shared" si="107"/>
        <v>5</v>
      </c>
    </row>
    <row r="1678" spans="1:13">
      <c r="A1678" s="4" t="str" cm="1">
        <f t="array" ref="A1678">INDEX(Sheet1!A:A,$F1678)</f>
        <v>F</v>
      </c>
      <c r="B1678" s="4" t="str" cm="1">
        <f t="array" ref="B1678">INDEX(Sheet1!B:B,$F1678)</f>
        <v>Undiff SM</v>
      </c>
      <c r="C1678" s="4">
        <f t="shared" si="105"/>
        <v>76</v>
      </c>
      <c r="D1678" s="5" cm="1">
        <f t="array" aca="1" ref="D1678" ca="1">OFFSET(INDIRECT("'["&amp;$H1678&amp;"]"&amp;$I1678&amp;"'!"&amp;$J1678),$L1678,$M1678)*$K1678</f>
        <v>3.7850000000000002E-2</v>
      </c>
      <c r="F1678" s="4">
        <f t="shared" si="106"/>
        <v>18</v>
      </c>
      <c r="G1678" s="4" cm="1">
        <f t="array" ref="G1678">IF($C1678+$M1678&lt;16,INDEX(Sheet1!C:C,$F1678),$F1678)</f>
        <v>18</v>
      </c>
      <c r="H1678" s="4" t="str" cm="1">
        <f t="array" ref="H1678">INDEX(Sheet1!D:D,$G1678)</f>
        <v>t1141.xlsx</v>
      </c>
      <c r="I1678" s="4" t="str" cm="1">
        <f t="array" ref="I1678">INDEX(Sheet1!E:E,$G1678)</f>
        <v>Sheet1</v>
      </c>
      <c r="J1678" s="4" t="str" cm="1">
        <f t="array" ref="J1678">INDEX(Sheet1!F:F,$G1678)</f>
        <v>B25</v>
      </c>
      <c r="K1678" s="4" cm="1">
        <f t="array" ref="K1678">INDEX(Sheet1!H:H,$G1678)</f>
        <v>1</v>
      </c>
      <c r="L1678" s="4">
        <f t="shared" si="104"/>
        <v>76</v>
      </c>
      <c r="M1678" s="4">
        <f t="shared" si="107"/>
        <v>5</v>
      </c>
    </row>
    <row r="1679" spans="1:13">
      <c r="A1679" s="4" t="str" cm="1">
        <f t="array" ref="A1679">INDEX(Sheet1!A:A,$F1679)</f>
        <v>F</v>
      </c>
      <c r="B1679" s="4" t="str" cm="1">
        <f t="array" ref="B1679">INDEX(Sheet1!B:B,$F1679)</f>
        <v>Undiff SM</v>
      </c>
      <c r="C1679" s="4">
        <f t="shared" si="105"/>
        <v>77</v>
      </c>
      <c r="D1679" s="5" cm="1">
        <f t="array" aca="1" ref="D1679" ca="1">OFFSET(INDIRECT("'["&amp;$H1679&amp;"]"&amp;$I1679&amp;"'!"&amp;$J1679),$L1679,$M1679)*$K1679</f>
        <v>4.2520000000000002E-2</v>
      </c>
      <c r="F1679" s="4">
        <f t="shared" si="106"/>
        <v>18</v>
      </c>
      <c r="G1679" s="4" cm="1">
        <f t="array" ref="G1679">IF($C1679+$M1679&lt;16,INDEX(Sheet1!C:C,$F1679),$F1679)</f>
        <v>18</v>
      </c>
      <c r="H1679" s="4" t="str" cm="1">
        <f t="array" ref="H1679">INDEX(Sheet1!D:D,$G1679)</f>
        <v>t1141.xlsx</v>
      </c>
      <c r="I1679" s="4" t="str" cm="1">
        <f t="array" ref="I1679">INDEX(Sheet1!E:E,$G1679)</f>
        <v>Sheet1</v>
      </c>
      <c r="J1679" s="4" t="str" cm="1">
        <f t="array" ref="J1679">INDEX(Sheet1!F:F,$G1679)</f>
        <v>B25</v>
      </c>
      <c r="K1679" s="4" cm="1">
        <f t="array" ref="K1679">INDEX(Sheet1!H:H,$G1679)</f>
        <v>1</v>
      </c>
      <c r="L1679" s="4">
        <f t="shared" si="104"/>
        <v>77</v>
      </c>
      <c r="M1679" s="4">
        <f t="shared" si="107"/>
        <v>5</v>
      </c>
    </row>
    <row r="1680" spans="1:13">
      <c r="A1680" s="4" t="str" cm="1">
        <f t="array" ref="A1680">INDEX(Sheet1!A:A,$F1680)</f>
        <v>F</v>
      </c>
      <c r="B1680" s="4" t="str" cm="1">
        <f t="array" ref="B1680">INDEX(Sheet1!B:B,$F1680)</f>
        <v>Undiff SM</v>
      </c>
      <c r="C1680" s="4">
        <f t="shared" si="105"/>
        <v>78</v>
      </c>
      <c r="D1680" s="5" cm="1">
        <f t="array" aca="1" ref="D1680" ca="1">OFFSET(INDIRECT("'["&amp;$H1680&amp;"]"&amp;$I1680&amp;"'!"&amp;$J1680),$L1680,$M1680)*$K1680</f>
        <v>4.7800000000000002E-2</v>
      </c>
      <c r="F1680" s="4">
        <f t="shared" si="106"/>
        <v>18</v>
      </c>
      <c r="G1680" s="4" cm="1">
        <f t="array" ref="G1680">IF($C1680+$M1680&lt;16,INDEX(Sheet1!C:C,$F1680),$F1680)</f>
        <v>18</v>
      </c>
      <c r="H1680" s="4" t="str" cm="1">
        <f t="array" ref="H1680">INDEX(Sheet1!D:D,$G1680)</f>
        <v>t1141.xlsx</v>
      </c>
      <c r="I1680" s="4" t="str" cm="1">
        <f t="array" ref="I1680">INDEX(Sheet1!E:E,$G1680)</f>
        <v>Sheet1</v>
      </c>
      <c r="J1680" s="4" t="str" cm="1">
        <f t="array" ref="J1680">INDEX(Sheet1!F:F,$G1680)</f>
        <v>B25</v>
      </c>
      <c r="K1680" s="4" cm="1">
        <f t="array" ref="K1680">INDEX(Sheet1!H:H,$G1680)</f>
        <v>1</v>
      </c>
      <c r="L1680" s="4">
        <f t="shared" si="104"/>
        <v>78</v>
      </c>
      <c r="M1680" s="4">
        <f t="shared" si="107"/>
        <v>5</v>
      </c>
    </row>
    <row r="1681" spans="1:13">
      <c r="A1681" s="4" t="str" cm="1">
        <f t="array" ref="A1681">INDEX(Sheet1!A:A,$F1681)</f>
        <v>F</v>
      </c>
      <c r="B1681" s="4" t="str" cm="1">
        <f t="array" ref="B1681">INDEX(Sheet1!B:B,$F1681)</f>
        <v>Undiff SM</v>
      </c>
      <c r="C1681" s="4">
        <f t="shared" si="105"/>
        <v>79</v>
      </c>
      <c r="D1681" s="5" cm="1">
        <f t="array" aca="1" ref="D1681" ca="1">OFFSET(INDIRECT("'["&amp;$H1681&amp;"]"&amp;$I1681&amp;"'!"&amp;$J1681),$L1681,$M1681)*$K1681</f>
        <v>5.3699999999999998E-2</v>
      </c>
      <c r="F1681" s="4">
        <f t="shared" si="106"/>
        <v>18</v>
      </c>
      <c r="G1681" s="4" cm="1">
        <f t="array" ref="G1681">IF($C1681+$M1681&lt;16,INDEX(Sheet1!C:C,$F1681),$F1681)</f>
        <v>18</v>
      </c>
      <c r="H1681" s="4" t="str" cm="1">
        <f t="array" ref="H1681">INDEX(Sheet1!D:D,$G1681)</f>
        <v>t1141.xlsx</v>
      </c>
      <c r="I1681" s="4" t="str" cm="1">
        <f t="array" ref="I1681">INDEX(Sheet1!E:E,$G1681)</f>
        <v>Sheet1</v>
      </c>
      <c r="J1681" s="4" t="str" cm="1">
        <f t="array" ref="J1681">INDEX(Sheet1!F:F,$G1681)</f>
        <v>B25</v>
      </c>
      <c r="K1681" s="4" cm="1">
        <f t="array" ref="K1681">INDEX(Sheet1!H:H,$G1681)</f>
        <v>1</v>
      </c>
      <c r="L1681" s="4">
        <f t="shared" si="104"/>
        <v>79</v>
      </c>
      <c r="M1681" s="4">
        <f t="shared" si="107"/>
        <v>5</v>
      </c>
    </row>
    <row r="1682" spans="1:13">
      <c r="A1682" s="4" t="str" cm="1">
        <f t="array" ref="A1682">INDEX(Sheet1!A:A,$F1682)</f>
        <v>F</v>
      </c>
      <c r="B1682" s="4" t="str" cm="1">
        <f t="array" ref="B1682">INDEX(Sheet1!B:B,$F1682)</f>
        <v>Undiff SM</v>
      </c>
      <c r="C1682" s="4">
        <f t="shared" si="105"/>
        <v>80</v>
      </c>
      <c r="D1682" s="5" cm="1">
        <f t="array" aca="1" ref="D1682" ca="1">OFFSET(INDIRECT("'["&amp;$H1682&amp;"]"&amp;$I1682&amp;"'!"&amp;$J1682),$L1682,$M1682)*$K1682</f>
        <v>6.0350000000000001E-2</v>
      </c>
      <c r="F1682" s="4">
        <f t="shared" si="106"/>
        <v>18</v>
      </c>
      <c r="G1682" s="4" cm="1">
        <f t="array" ref="G1682">IF($C1682+$M1682&lt;16,INDEX(Sheet1!C:C,$F1682),$F1682)</f>
        <v>18</v>
      </c>
      <c r="H1682" s="4" t="str" cm="1">
        <f t="array" ref="H1682">INDEX(Sheet1!D:D,$G1682)</f>
        <v>t1141.xlsx</v>
      </c>
      <c r="I1682" s="4" t="str" cm="1">
        <f t="array" ref="I1682">INDEX(Sheet1!E:E,$G1682)</f>
        <v>Sheet1</v>
      </c>
      <c r="J1682" s="4" t="str" cm="1">
        <f t="array" ref="J1682">INDEX(Sheet1!F:F,$G1682)</f>
        <v>B25</v>
      </c>
      <c r="K1682" s="4" cm="1">
        <f t="array" ref="K1682">INDEX(Sheet1!H:H,$G1682)</f>
        <v>1</v>
      </c>
      <c r="L1682" s="4">
        <f t="shared" si="104"/>
        <v>80</v>
      </c>
      <c r="M1682" s="4">
        <f t="shared" si="107"/>
        <v>5</v>
      </c>
    </row>
    <row r="1683" spans="1:13">
      <c r="A1683" s="4" t="str" cm="1">
        <f t="array" ref="A1683">INDEX(Sheet1!A:A,$F1683)</f>
        <v>F</v>
      </c>
      <c r="B1683" s="4" t="str" cm="1">
        <f t="array" ref="B1683">INDEX(Sheet1!B:B,$F1683)</f>
        <v>Undiff SM</v>
      </c>
      <c r="C1683" s="4">
        <f t="shared" si="105"/>
        <v>81</v>
      </c>
      <c r="D1683" s="5" cm="1">
        <f t="array" aca="1" ref="D1683" ca="1">OFFSET(INDIRECT("'["&amp;$H1683&amp;"]"&amp;$I1683&amp;"'!"&amp;$J1683),$L1683,$M1683)*$K1683</f>
        <v>6.7669999999999994E-2</v>
      </c>
      <c r="F1683" s="4">
        <f t="shared" si="106"/>
        <v>18</v>
      </c>
      <c r="G1683" s="4" cm="1">
        <f t="array" ref="G1683">IF($C1683+$M1683&lt;16,INDEX(Sheet1!C:C,$F1683),$F1683)</f>
        <v>18</v>
      </c>
      <c r="H1683" s="4" t="str" cm="1">
        <f t="array" ref="H1683">INDEX(Sheet1!D:D,$G1683)</f>
        <v>t1141.xlsx</v>
      </c>
      <c r="I1683" s="4" t="str" cm="1">
        <f t="array" ref="I1683">INDEX(Sheet1!E:E,$G1683)</f>
        <v>Sheet1</v>
      </c>
      <c r="J1683" s="4" t="str" cm="1">
        <f t="array" ref="J1683">INDEX(Sheet1!F:F,$G1683)</f>
        <v>B25</v>
      </c>
      <c r="K1683" s="4" cm="1">
        <f t="array" ref="K1683">INDEX(Sheet1!H:H,$G1683)</f>
        <v>1</v>
      </c>
      <c r="L1683" s="4">
        <f t="shared" si="104"/>
        <v>81</v>
      </c>
      <c r="M1683" s="4">
        <f t="shared" si="107"/>
        <v>5</v>
      </c>
    </row>
    <row r="1684" spans="1:13">
      <c r="A1684" s="4" t="str" cm="1">
        <f t="array" ref="A1684">INDEX(Sheet1!A:A,$F1684)</f>
        <v>F</v>
      </c>
      <c r="B1684" s="4" t="str" cm="1">
        <f t="array" ref="B1684">INDEX(Sheet1!B:B,$F1684)</f>
        <v>Undiff SM</v>
      </c>
      <c r="C1684" s="4">
        <f t="shared" si="105"/>
        <v>82</v>
      </c>
      <c r="D1684" s="5" cm="1">
        <f t="array" aca="1" ref="D1684" ca="1">OFFSET(INDIRECT("'["&amp;$H1684&amp;"]"&amp;$I1684&amp;"'!"&amp;$J1684),$L1684,$M1684)*$K1684</f>
        <v>7.5759999999999994E-2</v>
      </c>
      <c r="F1684" s="4">
        <f t="shared" si="106"/>
        <v>18</v>
      </c>
      <c r="G1684" s="4" cm="1">
        <f t="array" ref="G1684">IF($C1684+$M1684&lt;16,INDEX(Sheet1!C:C,$F1684),$F1684)</f>
        <v>18</v>
      </c>
      <c r="H1684" s="4" t="str" cm="1">
        <f t="array" ref="H1684">INDEX(Sheet1!D:D,$G1684)</f>
        <v>t1141.xlsx</v>
      </c>
      <c r="I1684" s="4" t="str" cm="1">
        <f t="array" ref="I1684">INDEX(Sheet1!E:E,$G1684)</f>
        <v>Sheet1</v>
      </c>
      <c r="J1684" s="4" t="str" cm="1">
        <f t="array" ref="J1684">INDEX(Sheet1!F:F,$G1684)</f>
        <v>B25</v>
      </c>
      <c r="K1684" s="4" cm="1">
        <f t="array" ref="K1684">INDEX(Sheet1!H:H,$G1684)</f>
        <v>1</v>
      </c>
      <c r="L1684" s="4">
        <f t="shared" si="104"/>
        <v>82</v>
      </c>
      <c r="M1684" s="4">
        <f t="shared" si="107"/>
        <v>5</v>
      </c>
    </row>
    <row r="1685" spans="1:13">
      <c r="A1685" s="4" t="str" cm="1">
        <f t="array" ref="A1685">INDEX(Sheet1!A:A,$F1685)</f>
        <v>F</v>
      </c>
      <c r="B1685" s="4" t="str" cm="1">
        <f t="array" ref="B1685">INDEX(Sheet1!B:B,$F1685)</f>
        <v>Undiff SM</v>
      </c>
      <c r="C1685" s="4">
        <f t="shared" si="105"/>
        <v>83</v>
      </c>
      <c r="D1685" s="5" cm="1">
        <f t="array" aca="1" ref="D1685" ca="1">OFFSET(INDIRECT("'["&amp;$H1685&amp;"]"&amp;$I1685&amp;"'!"&amp;$J1685),$L1685,$M1685)*$K1685</f>
        <v>8.4690000000000001E-2</v>
      </c>
      <c r="F1685" s="4">
        <f t="shared" si="106"/>
        <v>18</v>
      </c>
      <c r="G1685" s="4" cm="1">
        <f t="array" ref="G1685">IF($C1685+$M1685&lt;16,INDEX(Sheet1!C:C,$F1685),$F1685)</f>
        <v>18</v>
      </c>
      <c r="H1685" s="4" t="str" cm="1">
        <f t="array" ref="H1685">INDEX(Sheet1!D:D,$G1685)</f>
        <v>t1141.xlsx</v>
      </c>
      <c r="I1685" s="4" t="str" cm="1">
        <f t="array" ref="I1685">INDEX(Sheet1!E:E,$G1685)</f>
        <v>Sheet1</v>
      </c>
      <c r="J1685" s="4" t="str" cm="1">
        <f t="array" ref="J1685">INDEX(Sheet1!F:F,$G1685)</f>
        <v>B25</v>
      </c>
      <c r="K1685" s="4" cm="1">
        <f t="array" ref="K1685">INDEX(Sheet1!H:H,$G1685)</f>
        <v>1</v>
      </c>
      <c r="L1685" s="4">
        <f t="shared" si="104"/>
        <v>83</v>
      </c>
      <c r="M1685" s="4">
        <f t="shared" si="107"/>
        <v>5</v>
      </c>
    </row>
    <row r="1686" spans="1:13">
      <c r="A1686" s="4" t="str" cm="1">
        <f t="array" ref="A1686">INDEX(Sheet1!A:A,$F1686)</f>
        <v>F</v>
      </c>
      <c r="B1686" s="4" t="str" cm="1">
        <f t="array" ref="B1686">INDEX(Sheet1!B:B,$F1686)</f>
        <v>Undiff SM</v>
      </c>
      <c r="C1686" s="4">
        <f t="shared" si="105"/>
        <v>84</v>
      </c>
      <c r="D1686" s="5" cm="1">
        <f t="array" aca="1" ref="D1686" ca="1">OFFSET(INDIRECT("'["&amp;$H1686&amp;"]"&amp;$I1686&amp;"'!"&amp;$J1686),$L1686,$M1686)*$K1686</f>
        <v>9.4359999999999999E-2</v>
      </c>
      <c r="F1686" s="4">
        <f t="shared" si="106"/>
        <v>18</v>
      </c>
      <c r="G1686" s="4" cm="1">
        <f t="array" ref="G1686">IF($C1686+$M1686&lt;16,INDEX(Sheet1!C:C,$F1686),$F1686)</f>
        <v>18</v>
      </c>
      <c r="H1686" s="4" t="str" cm="1">
        <f t="array" ref="H1686">INDEX(Sheet1!D:D,$G1686)</f>
        <v>t1141.xlsx</v>
      </c>
      <c r="I1686" s="4" t="str" cm="1">
        <f t="array" ref="I1686">INDEX(Sheet1!E:E,$G1686)</f>
        <v>Sheet1</v>
      </c>
      <c r="J1686" s="4" t="str" cm="1">
        <f t="array" ref="J1686">INDEX(Sheet1!F:F,$G1686)</f>
        <v>B25</v>
      </c>
      <c r="K1686" s="4" cm="1">
        <f t="array" ref="K1686">INDEX(Sheet1!H:H,$G1686)</f>
        <v>1</v>
      </c>
      <c r="L1686" s="4">
        <f t="shared" si="104"/>
        <v>84</v>
      </c>
      <c r="M1686" s="4">
        <f t="shared" si="107"/>
        <v>5</v>
      </c>
    </row>
    <row r="1687" spans="1:13">
      <c r="A1687" s="4" t="str" cm="1">
        <f t="array" ref="A1687">INDEX(Sheet1!A:A,$F1687)</f>
        <v>F</v>
      </c>
      <c r="B1687" s="4" t="str" cm="1">
        <f t="array" ref="B1687">INDEX(Sheet1!B:B,$F1687)</f>
        <v>Undiff SM</v>
      </c>
      <c r="C1687" s="4">
        <f t="shared" si="105"/>
        <v>85</v>
      </c>
      <c r="D1687" s="5" cm="1">
        <f t="array" aca="1" ref="D1687" ca="1">OFFSET(INDIRECT("'["&amp;$H1687&amp;"]"&amp;$I1687&amp;"'!"&amp;$J1687),$L1687,$M1687)*$K1687</f>
        <v>0.10481</v>
      </c>
      <c r="F1687" s="4">
        <f t="shared" si="106"/>
        <v>18</v>
      </c>
      <c r="G1687" s="4" cm="1">
        <f t="array" ref="G1687">IF($C1687+$M1687&lt;16,INDEX(Sheet1!C:C,$F1687),$F1687)</f>
        <v>18</v>
      </c>
      <c r="H1687" s="4" t="str" cm="1">
        <f t="array" ref="H1687">INDEX(Sheet1!D:D,$G1687)</f>
        <v>t1141.xlsx</v>
      </c>
      <c r="I1687" s="4" t="str" cm="1">
        <f t="array" ref="I1687">INDEX(Sheet1!E:E,$G1687)</f>
        <v>Sheet1</v>
      </c>
      <c r="J1687" s="4" t="str" cm="1">
        <f t="array" ref="J1687">INDEX(Sheet1!F:F,$G1687)</f>
        <v>B25</v>
      </c>
      <c r="K1687" s="4" cm="1">
        <f t="array" ref="K1687">INDEX(Sheet1!H:H,$G1687)</f>
        <v>1</v>
      </c>
      <c r="L1687" s="4">
        <f t="shared" si="104"/>
        <v>85</v>
      </c>
      <c r="M1687" s="4">
        <f t="shared" si="107"/>
        <v>5</v>
      </c>
    </row>
    <row r="1688" spans="1:13">
      <c r="A1688" s="4" t="str" cm="1">
        <f t="array" ref="A1688">INDEX(Sheet1!A:A,$F1688)</f>
        <v>F</v>
      </c>
      <c r="B1688" s="4" t="str" cm="1">
        <f t="array" ref="B1688">INDEX(Sheet1!B:B,$F1688)</f>
        <v>Undiff SM</v>
      </c>
      <c r="C1688" s="4">
        <f t="shared" si="105"/>
        <v>86</v>
      </c>
      <c r="D1688" s="5" cm="1">
        <f t="array" aca="1" ref="D1688" ca="1">OFFSET(INDIRECT("'["&amp;$H1688&amp;"]"&amp;$I1688&amp;"'!"&amp;$J1688),$L1688,$M1688)*$K1688</f>
        <v>0.11763999999999999</v>
      </c>
      <c r="F1688" s="4">
        <f t="shared" si="106"/>
        <v>18</v>
      </c>
      <c r="G1688" s="4" cm="1">
        <f t="array" ref="G1688">IF($C1688+$M1688&lt;16,INDEX(Sheet1!C:C,$F1688),$F1688)</f>
        <v>18</v>
      </c>
      <c r="H1688" s="4" t="str" cm="1">
        <f t="array" ref="H1688">INDEX(Sheet1!D:D,$G1688)</f>
        <v>t1141.xlsx</v>
      </c>
      <c r="I1688" s="4" t="str" cm="1">
        <f t="array" ref="I1688">INDEX(Sheet1!E:E,$G1688)</f>
        <v>Sheet1</v>
      </c>
      <c r="J1688" s="4" t="str" cm="1">
        <f t="array" ref="J1688">INDEX(Sheet1!F:F,$G1688)</f>
        <v>B25</v>
      </c>
      <c r="K1688" s="4" cm="1">
        <f t="array" ref="K1688">INDEX(Sheet1!H:H,$G1688)</f>
        <v>1</v>
      </c>
      <c r="L1688" s="4">
        <f t="shared" si="104"/>
        <v>86</v>
      </c>
      <c r="M1688" s="4">
        <f t="shared" si="107"/>
        <v>5</v>
      </c>
    </row>
    <row r="1689" spans="1:13">
      <c r="A1689" s="4" t="str" cm="1">
        <f t="array" ref="A1689">INDEX(Sheet1!A:A,$F1689)</f>
        <v>F</v>
      </c>
      <c r="B1689" s="4" t="str" cm="1">
        <f t="array" ref="B1689">INDEX(Sheet1!B:B,$F1689)</f>
        <v>Undiff SM</v>
      </c>
      <c r="C1689" s="4">
        <f t="shared" si="105"/>
        <v>87</v>
      </c>
      <c r="D1689" s="5" cm="1">
        <f t="array" aca="1" ref="D1689" ca="1">OFFSET(INDIRECT("'["&amp;$H1689&amp;"]"&amp;$I1689&amp;"'!"&amp;$J1689),$L1689,$M1689)*$K1689</f>
        <v>0.12942999999999999</v>
      </c>
      <c r="F1689" s="4">
        <f t="shared" si="106"/>
        <v>18</v>
      </c>
      <c r="G1689" s="4" cm="1">
        <f t="array" ref="G1689">IF($C1689+$M1689&lt;16,INDEX(Sheet1!C:C,$F1689),$F1689)</f>
        <v>18</v>
      </c>
      <c r="H1689" s="4" t="str" cm="1">
        <f t="array" ref="H1689">INDEX(Sheet1!D:D,$G1689)</f>
        <v>t1141.xlsx</v>
      </c>
      <c r="I1689" s="4" t="str" cm="1">
        <f t="array" ref="I1689">INDEX(Sheet1!E:E,$G1689)</f>
        <v>Sheet1</v>
      </c>
      <c r="J1689" s="4" t="str" cm="1">
        <f t="array" ref="J1689">INDEX(Sheet1!F:F,$G1689)</f>
        <v>B25</v>
      </c>
      <c r="K1689" s="4" cm="1">
        <f t="array" ref="K1689">INDEX(Sheet1!H:H,$G1689)</f>
        <v>1</v>
      </c>
      <c r="L1689" s="4">
        <f t="shared" si="104"/>
        <v>87</v>
      </c>
      <c r="M1689" s="4">
        <f t="shared" si="107"/>
        <v>5</v>
      </c>
    </row>
    <row r="1690" spans="1:13">
      <c r="A1690" s="4" t="str" cm="1">
        <f t="array" ref="A1690">INDEX(Sheet1!A:A,$F1690)</f>
        <v>F</v>
      </c>
      <c r="B1690" s="4" t="str" cm="1">
        <f t="array" ref="B1690">INDEX(Sheet1!B:B,$F1690)</f>
        <v>Undiff SM</v>
      </c>
      <c r="C1690" s="4">
        <f t="shared" si="105"/>
        <v>88</v>
      </c>
      <c r="D1690" s="5" cm="1">
        <f t="array" aca="1" ref="D1690" ca="1">OFFSET(INDIRECT("'["&amp;$H1690&amp;"]"&amp;$I1690&amp;"'!"&amp;$J1690),$L1690,$M1690)*$K1690</f>
        <v>0.14185</v>
      </c>
      <c r="F1690" s="4">
        <f t="shared" si="106"/>
        <v>18</v>
      </c>
      <c r="G1690" s="4" cm="1">
        <f t="array" ref="G1690">IF($C1690+$M1690&lt;16,INDEX(Sheet1!C:C,$F1690),$F1690)</f>
        <v>18</v>
      </c>
      <c r="H1690" s="4" t="str" cm="1">
        <f t="array" ref="H1690">INDEX(Sheet1!D:D,$G1690)</f>
        <v>t1141.xlsx</v>
      </c>
      <c r="I1690" s="4" t="str" cm="1">
        <f t="array" ref="I1690">INDEX(Sheet1!E:E,$G1690)</f>
        <v>Sheet1</v>
      </c>
      <c r="J1690" s="4" t="str" cm="1">
        <f t="array" ref="J1690">INDEX(Sheet1!F:F,$G1690)</f>
        <v>B25</v>
      </c>
      <c r="K1690" s="4" cm="1">
        <f t="array" ref="K1690">INDEX(Sheet1!H:H,$G1690)</f>
        <v>1</v>
      </c>
      <c r="L1690" s="4">
        <f t="shared" si="104"/>
        <v>88</v>
      </c>
      <c r="M1690" s="4">
        <f t="shared" si="107"/>
        <v>5</v>
      </c>
    </row>
    <row r="1691" spans="1:13">
      <c r="A1691" s="4" t="str" cm="1">
        <f t="array" ref="A1691">INDEX(Sheet1!A:A,$F1691)</f>
        <v>F</v>
      </c>
      <c r="B1691" s="4" t="str" cm="1">
        <f t="array" ref="B1691">INDEX(Sheet1!B:B,$F1691)</f>
        <v>Undiff SM</v>
      </c>
      <c r="C1691" s="4">
        <f t="shared" si="105"/>
        <v>89</v>
      </c>
      <c r="D1691" s="5" cm="1">
        <f t="array" aca="1" ref="D1691" ca="1">OFFSET(INDIRECT("'["&amp;$H1691&amp;"]"&amp;$I1691&amp;"'!"&amp;$J1691),$L1691,$M1691)*$K1691</f>
        <v>0.15493000000000001</v>
      </c>
      <c r="F1691" s="4">
        <f t="shared" si="106"/>
        <v>18</v>
      </c>
      <c r="G1691" s="4" cm="1">
        <f t="array" ref="G1691">IF($C1691+$M1691&lt;16,INDEX(Sheet1!C:C,$F1691),$F1691)</f>
        <v>18</v>
      </c>
      <c r="H1691" s="4" t="str" cm="1">
        <f t="array" ref="H1691">INDEX(Sheet1!D:D,$G1691)</f>
        <v>t1141.xlsx</v>
      </c>
      <c r="I1691" s="4" t="str" cm="1">
        <f t="array" ref="I1691">INDEX(Sheet1!E:E,$G1691)</f>
        <v>Sheet1</v>
      </c>
      <c r="J1691" s="4" t="str" cm="1">
        <f t="array" ref="J1691">INDEX(Sheet1!F:F,$G1691)</f>
        <v>B25</v>
      </c>
      <c r="K1691" s="4" cm="1">
        <f t="array" ref="K1691">INDEX(Sheet1!H:H,$G1691)</f>
        <v>1</v>
      </c>
      <c r="L1691" s="4">
        <f t="shared" si="104"/>
        <v>89</v>
      </c>
      <c r="M1691" s="4">
        <f t="shared" si="107"/>
        <v>5</v>
      </c>
    </row>
    <row r="1692" spans="1:13">
      <c r="A1692" s="4" t="str" cm="1">
        <f t="array" ref="A1692">INDEX(Sheet1!A:A,$F1692)</f>
        <v>F</v>
      </c>
      <c r="B1692" s="4" t="str" cm="1">
        <f t="array" ref="B1692">INDEX(Sheet1!B:B,$F1692)</f>
        <v>Undiff SM</v>
      </c>
      <c r="C1692" s="4">
        <f t="shared" si="105"/>
        <v>90</v>
      </c>
      <c r="D1692" s="5" cm="1">
        <f t="array" aca="1" ref="D1692" ca="1">OFFSET(INDIRECT("'["&amp;$H1692&amp;"]"&amp;$I1692&amp;"'!"&amp;$J1692),$L1692,$M1692)*$K1692</f>
        <v>0.16871</v>
      </c>
      <c r="F1692" s="4">
        <f t="shared" si="106"/>
        <v>18</v>
      </c>
      <c r="G1692" s="4" cm="1">
        <f t="array" ref="G1692">IF($C1692+$M1692&lt;16,INDEX(Sheet1!C:C,$F1692),$F1692)</f>
        <v>18</v>
      </c>
      <c r="H1692" s="4" t="str" cm="1">
        <f t="array" ref="H1692">INDEX(Sheet1!D:D,$G1692)</f>
        <v>t1141.xlsx</v>
      </c>
      <c r="I1692" s="4" t="str" cm="1">
        <f t="array" ref="I1692">INDEX(Sheet1!E:E,$G1692)</f>
        <v>Sheet1</v>
      </c>
      <c r="J1692" s="4" t="str" cm="1">
        <f t="array" ref="J1692">INDEX(Sheet1!F:F,$G1692)</f>
        <v>B25</v>
      </c>
      <c r="K1692" s="4" cm="1">
        <f t="array" ref="K1692">INDEX(Sheet1!H:H,$G1692)</f>
        <v>1</v>
      </c>
      <c r="L1692" s="4">
        <f t="shared" si="104"/>
        <v>90</v>
      </c>
      <c r="M1692" s="4">
        <f t="shared" si="107"/>
        <v>5</v>
      </c>
    </row>
    <row r="1693" spans="1:13">
      <c r="A1693" s="4" t="str" cm="1">
        <f t="array" ref="A1693">INDEX(Sheet1!A:A,$F1693)</f>
        <v>F</v>
      </c>
      <c r="B1693" s="4" t="str" cm="1">
        <f t="array" ref="B1693">INDEX(Sheet1!B:B,$F1693)</f>
        <v>Undiff SM</v>
      </c>
      <c r="C1693" s="4">
        <f t="shared" si="105"/>
        <v>91</v>
      </c>
      <c r="D1693" s="5" cm="1">
        <f t="array" aca="1" ref="D1693" ca="1">OFFSET(INDIRECT("'["&amp;$H1693&amp;"]"&amp;$I1693&amp;"'!"&amp;$J1693),$L1693,$M1693)*$K1693</f>
        <v>0.18296000000000001</v>
      </c>
      <c r="F1693" s="4">
        <f t="shared" si="106"/>
        <v>18</v>
      </c>
      <c r="G1693" s="4" cm="1">
        <f t="array" ref="G1693">IF($C1693+$M1693&lt;16,INDEX(Sheet1!C:C,$F1693),$F1693)</f>
        <v>18</v>
      </c>
      <c r="H1693" s="4" t="str" cm="1">
        <f t="array" ref="H1693">INDEX(Sheet1!D:D,$G1693)</f>
        <v>t1141.xlsx</v>
      </c>
      <c r="I1693" s="4" t="str" cm="1">
        <f t="array" ref="I1693">INDEX(Sheet1!E:E,$G1693)</f>
        <v>Sheet1</v>
      </c>
      <c r="J1693" s="4" t="str" cm="1">
        <f t="array" ref="J1693">INDEX(Sheet1!F:F,$G1693)</f>
        <v>B25</v>
      </c>
      <c r="K1693" s="4" cm="1">
        <f t="array" ref="K1693">INDEX(Sheet1!H:H,$G1693)</f>
        <v>1</v>
      </c>
      <c r="L1693" s="4">
        <f t="shared" si="104"/>
        <v>91</v>
      </c>
      <c r="M1693" s="4">
        <f t="shared" si="107"/>
        <v>5</v>
      </c>
    </row>
    <row r="1694" spans="1:13">
      <c r="A1694" s="4" t="str" cm="1">
        <f t="array" ref="A1694">INDEX(Sheet1!A:A,$F1694)</f>
        <v>F</v>
      </c>
      <c r="B1694" s="4" t="str" cm="1">
        <f t="array" ref="B1694">INDEX(Sheet1!B:B,$F1694)</f>
        <v>Undiff SM</v>
      </c>
      <c r="C1694" s="4">
        <f t="shared" si="105"/>
        <v>92</v>
      </c>
      <c r="D1694" s="5" cm="1">
        <f t="array" aca="1" ref="D1694" ca="1">OFFSET(INDIRECT("'["&amp;$H1694&amp;"]"&amp;$I1694&amp;"'!"&amp;$J1694),$L1694,$M1694)*$K1694</f>
        <v>0.19917000000000001</v>
      </c>
      <c r="F1694" s="4">
        <f t="shared" si="106"/>
        <v>18</v>
      </c>
      <c r="G1694" s="4" cm="1">
        <f t="array" ref="G1694">IF($C1694+$M1694&lt;16,INDEX(Sheet1!C:C,$F1694),$F1694)</f>
        <v>18</v>
      </c>
      <c r="H1694" s="4" t="str" cm="1">
        <f t="array" ref="H1694">INDEX(Sheet1!D:D,$G1694)</f>
        <v>t1141.xlsx</v>
      </c>
      <c r="I1694" s="4" t="str" cm="1">
        <f t="array" ref="I1694">INDEX(Sheet1!E:E,$G1694)</f>
        <v>Sheet1</v>
      </c>
      <c r="J1694" s="4" t="str" cm="1">
        <f t="array" ref="J1694">INDEX(Sheet1!F:F,$G1694)</f>
        <v>B25</v>
      </c>
      <c r="K1694" s="4" cm="1">
        <f t="array" ref="K1694">INDEX(Sheet1!H:H,$G1694)</f>
        <v>1</v>
      </c>
      <c r="L1694" s="4">
        <f t="shared" si="104"/>
        <v>92</v>
      </c>
      <c r="M1694" s="4">
        <f t="shared" si="107"/>
        <v>5</v>
      </c>
    </row>
    <row r="1695" spans="1:13">
      <c r="A1695" s="4" t="str" cm="1">
        <f t="array" ref="A1695">INDEX(Sheet1!A:A,$F1695)</f>
        <v>F</v>
      </c>
      <c r="B1695" s="4" t="str" cm="1">
        <f t="array" ref="B1695">INDEX(Sheet1!B:B,$F1695)</f>
        <v>Undiff SM</v>
      </c>
      <c r="C1695" s="4">
        <f t="shared" si="105"/>
        <v>93</v>
      </c>
      <c r="D1695" s="5" cm="1">
        <f t="array" aca="1" ref="D1695" ca="1">OFFSET(INDIRECT("'["&amp;$H1695&amp;"]"&amp;$I1695&amp;"'!"&amp;$J1695),$L1695,$M1695)*$K1695</f>
        <v>0.21432000000000001</v>
      </c>
      <c r="F1695" s="4">
        <f t="shared" si="106"/>
        <v>18</v>
      </c>
      <c r="G1695" s="4" cm="1">
        <f t="array" ref="G1695">IF($C1695+$M1695&lt;16,INDEX(Sheet1!C:C,$F1695),$F1695)</f>
        <v>18</v>
      </c>
      <c r="H1695" s="4" t="str" cm="1">
        <f t="array" ref="H1695">INDEX(Sheet1!D:D,$G1695)</f>
        <v>t1141.xlsx</v>
      </c>
      <c r="I1695" s="4" t="str" cm="1">
        <f t="array" ref="I1695">INDEX(Sheet1!E:E,$G1695)</f>
        <v>Sheet1</v>
      </c>
      <c r="J1695" s="4" t="str" cm="1">
        <f t="array" ref="J1695">INDEX(Sheet1!F:F,$G1695)</f>
        <v>B25</v>
      </c>
      <c r="K1695" s="4" cm="1">
        <f t="array" ref="K1695">INDEX(Sheet1!H:H,$G1695)</f>
        <v>1</v>
      </c>
      <c r="L1695" s="4">
        <f t="shared" si="104"/>
        <v>93</v>
      </c>
      <c r="M1695" s="4">
        <f t="shared" si="107"/>
        <v>5</v>
      </c>
    </row>
    <row r="1696" spans="1:13">
      <c r="A1696" s="4" t="str" cm="1">
        <f t="array" ref="A1696">INDEX(Sheet1!A:A,$F1696)</f>
        <v>F</v>
      </c>
      <c r="B1696" s="4" t="str" cm="1">
        <f t="array" ref="B1696">INDEX(Sheet1!B:B,$F1696)</f>
        <v>Undiff SM</v>
      </c>
      <c r="C1696" s="4">
        <f t="shared" si="105"/>
        <v>94</v>
      </c>
      <c r="D1696" s="5" cm="1">
        <f t="array" aca="1" ref="D1696" ca="1">OFFSET(INDIRECT("'["&amp;$H1696&amp;"]"&amp;$I1696&amp;"'!"&amp;$J1696),$L1696,$M1696)*$K1696</f>
        <v>0.22989999999999999</v>
      </c>
      <c r="F1696" s="4">
        <f t="shared" si="106"/>
        <v>18</v>
      </c>
      <c r="G1696" s="4" cm="1">
        <f t="array" ref="G1696">IF($C1696+$M1696&lt;16,INDEX(Sheet1!C:C,$F1696),$F1696)</f>
        <v>18</v>
      </c>
      <c r="H1696" s="4" t="str" cm="1">
        <f t="array" ref="H1696">INDEX(Sheet1!D:D,$G1696)</f>
        <v>t1141.xlsx</v>
      </c>
      <c r="I1696" s="4" t="str" cm="1">
        <f t="array" ref="I1696">INDEX(Sheet1!E:E,$G1696)</f>
        <v>Sheet1</v>
      </c>
      <c r="J1696" s="4" t="str" cm="1">
        <f t="array" ref="J1696">INDEX(Sheet1!F:F,$G1696)</f>
        <v>B25</v>
      </c>
      <c r="K1696" s="4" cm="1">
        <f t="array" ref="K1696">INDEX(Sheet1!H:H,$G1696)</f>
        <v>1</v>
      </c>
      <c r="L1696" s="4">
        <f t="shared" si="104"/>
        <v>94</v>
      </c>
      <c r="M1696" s="4">
        <f t="shared" si="107"/>
        <v>5</v>
      </c>
    </row>
    <row r="1697" spans="1:13">
      <c r="A1697" s="4" t="str" cm="1">
        <f t="array" ref="A1697">INDEX(Sheet1!A:A,$F1697)</f>
        <v>F</v>
      </c>
      <c r="B1697" s="4" t="str" cm="1">
        <f t="array" ref="B1697">INDEX(Sheet1!B:B,$F1697)</f>
        <v>Undiff SM</v>
      </c>
      <c r="C1697" s="4">
        <f t="shared" si="105"/>
        <v>95</v>
      </c>
      <c r="D1697" s="5" cm="1">
        <f t="array" aca="1" ref="D1697" ca="1">OFFSET(INDIRECT("'["&amp;$H1697&amp;"]"&amp;$I1697&amp;"'!"&amp;$J1697),$L1697,$M1697)*$K1697</f>
        <v>0.24596000000000001</v>
      </c>
      <c r="F1697" s="4">
        <f t="shared" si="106"/>
        <v>18</v>
      </c>
      <c r="G1697" s="4" cm="1">
        <f t="array" ref="G1697">IF($C1697+$M1697&lt;16,INDEX(Sheet1!C:C,$F1697),$F1697)</f>
        <v>18</v>
      </c>
      <c r="H1697" s="4" t="str" cm="1">
        <f t="array" ref="H1697">INDEX(Sheet1!D:D,$G1697)</f>
        <v>t1141.xlsx</v>
      </c>
      <c r="I1697" s="4" t="str" cm="1">
        <f t="array" ref="I1697">INDEX(Sheet1!E:E,$G1697)</f>
        <v>Sheet1</v>
      </c>
      <c r="J1697" s="4" t="str" cm="1">
        <f t="array" ref="J1697">INDEX(Sheet1!F:F,$G1697)</f>
        <v>B25</v>
      </c>
      <c r="K1697" s="4" cm="1">
        <f t="array" ref="K1697">INDEX(Sheet1!H:H,$G1697)</f>
        <v>1</v>
      </c>
      <c r="L1697" s="4">
        <f t="shared" si="104"/>
        <v>95</v>
      </c>
      <c r="M1697" s="4">
        <f t="shared" si="107"/>
        <v>5</v>
      </c>
    </row>
    <row r="1698" spans="1:13">
      <c r="A1698" s="4" t="str" cm="1">
        <f t="array" ref="A1698">INDEX(Sheet1!A:A,$F1698)</f>
        <v>F</v>
      </c>
      <c r="B1698" s="4" t="str" cm="1">
        <f t="array" ref="B1698">INDEX(Sheet1!B:B,$F1698)</f>
        <v>Undiff SM</v>
      </c>
      <c r="C1698" s="4">
        <f t="shared" si="105"/>
        <v>96</v>
      </c>
      <c r="D1698" s="5" cm="1">
        <f t="array" aca="1" ref="D1698" ca="1">OFFSET(INDIRECT("'["&amp;$H1698&amp;"]"&amp;$I1698&amp;"'!"&amp;$J1698),$L1698,$M1698)*$K1698</f>
        <v>0.26418000000000003</v>
      </c>
      <c r="F1698" s="4">
        <f t="shared" si="106"/>
        <v>18</v>
      </c>
      <c r="G1698" s="4" cm="1">
        <f t="array" ref="G1698">IF($C1698+$M1698&lt;16,INDEX(Sheet1!C:C,$F1698),$F1698)</f>
        <v>18</v>
      </c>
      <c r="H1698" s="4" t="str" cm="1">
        <f t="array" ref="H1698">INDEX(Sheet1!D:D,$G1698)</f>
        <v>t1141.xlsx</v>
      </c>
      <c r="I1698" s="4" t="str" cm="1">
        <f t="array" ref="I1698">INDEX(Sheet1!E:E,$G1698)</f>
        <v>Sheet1</v>
      </c>
      <c r="J1698" s="4" t="str" cm="1">
        <f t="array" ref="J1698">INDEX(Sheet1!F:F,$G1698)</f>
        <v>B25</v>
      </c>
      <c r="K1698" s="4" cm="1">
        <f t="array" ref="K1698">INDEX(Sheet1!H:H,$G1698)</f>
        <v>1</v>
      </c>
      <c r="L1698" s="4">
        <f t="shared" si="104"/>
        <v>96</v>
      </c>
      <c r="M1698" s="4">
        <f t="shared" si="107"/>
        <v>5</v>
      </c>
    </row>
    <row r="1699" spans="1:13">
      <c r="A1699" s="4" t="str" cm="1">
        <f t="array" ref="A1699">INDEX(Sheet1!A:A,$F1699)</f>
        <v>F</v>
      </c>
      <c r="B1699" s="4" t="str" cm="1">
        <f t="array" ref="B1699">INDEX(Sheet1!B:B,$F1699)</f>
        <v>Undiff SM</v>
      </c>
      <c r="C1699" s="4">
        <f t="shared" si="105"/>
        <v>97</v>
      </c>
      <c r="D1699" s="5" cm="1">
        <f t="array" aca="1" ref="D1699" ca="1">OFFSET(INDIRECT("'["&amp;$H1699&amp;"]"&amp;$I1699&amp;"'!"&amp;$J1699),$L1699,$M1699)*$K1699</f>
        <v>0.2772</v>
      </c>
      <c r="F1699" s="4">
        <f t="shared" si="106"/>
        <v>18</v>
      </c>
      <c r="G1699" s="4" cm="1">
        <f t="array" ref="G1699">IF($C1699+$M1699&lt;16,INDEX(Sheet1!C:C,$F1699),$F1699)</f>
        <v>18</v>
      </c>
      <c r="H1699" s="4" t="str" cm="1">
        <f t="array" ref="H1699">INDEX(Sheet1!D:D,$G1699)</f>
        <v>t1141.xlsx</v>
      </c>
      <c r="I1699" s="4" t="str" cm="1">
        <f t="array" ref="I1699">INDEX(Sheet1!E:E,$G1699)</f>
        <v>Sheet1</v>
      </c>
      <c r="J1699" s="4" t="str" cm="1">
        <f t="array" ref="J1699">INDEX(Sheet1!F:F,$G1699)</f>
        <v>B25</v>
      </c>
      <c r="K1699" s="4" cm="1">
        <f t="array" ref="K1699">INDEX(Sheet1!H:H,$G1699)</f>
        <v>1</v>
      </c>
      <c r="L1699" s="4">
        <f t="shared" si="104"/>
        <v>97</v>
      </c>
      <c r="M1699" s="4">
        <f t="shared" si="107"/>
        <v>5</v>
      </c>
    </row>
    <row r="1700" spans="1:13">
      <c r="A1700" s="4" t="str" cm="1">
        <f t="array" ref="A1700">INDEX(Sheet1!A:A,$F1700)</f>
        <v>F</v>
      </c>
      <c r="B1700" s="4" t="str" cm="1">
        <f t="array" ref="B1700">INDEX(Sheet1!B:B,$F1700)</f>
        <v>Undiff SM</v>
      </c>
      <c r="C1700" s="4">
        <f t="shared" si="105"/>
        <v>98</v>
      </c>
      <c r="D1700" s="5" cm="1">
        <f t="array" aca="1" ref="D1700" ca="1">OFFSET(INDIRECT("'["&amp;$H1700&amp;"]"&amp;$I1700&amp;"'!"&amp;$J1700),$L1700,$M1700)*$K1700</f>
        <v>0.29065999999999997</v>
      </c>
      <c r="F1700" s="4">
        <f t="shared" si="106"/>
        <v>18</v>
      </c>
      <c r="G1700" s="4" cm="1">
        <f t="array" ref="G1700">IF($C1700+$M1700&lt;16,INDEX(Sheet1!C:C,$F1700),$F1700)</f>
        <v>18</v>
      </c>
      <c r="H1700" s="4" t="str" cm="1">
        <f t="array" ref="H1700">INDEX(Sheet1!D:D,$G1700)</f>
        <v>t1141.xlsx</v>
      </c>
      <c r="I1700" s="4" t="str" cm="1">
        <f t="array" ref="I1700">INDEX(Sheet1!E:E,$G1700)</f>
        <v>Sheet1</v>
      </c>
      <c r="J1700" s="4" t="str" cm="1">
        <f t="array" ref="J1700">INDEX(Sheet1!F:F,$G1700)</f>
        <v>B25</v>
      </c>
      <c r="K1700" s="4" cm="1">
        <f t="array" ref="K1700">INDEX(Sheet1!H:H,$G1700)</f>
        <v>1</v>
      </c>
      <c r="L1700" s="4">
        <f t="shared" si="104"/>
        <v>98</v>
      </c>
      <c r="M1700" s="4">
        <f t="shared" si="107"/>
        <v>5</v>
      </c>
    </row>
    <row r="1701" spans="1:13">
      <c r="A1701" s="4" t="str" cm="1">
        <f t="array" ref="A1701">INDEX(Sheet1!A:A,$F1701)</f>
        <v>F</v>
      </c>
      <c r="B1701" s="4" t="str" cm="1">
        <f t="array" ref="B1701">INDEX(Sheet1!B:B,$F1701)</f>
        <v>Undiff SM</v>
      </c>
      <c r="C1701" s="4">
        <f t="shared" si="105"/>
        <v>99</v>
      </c>
      <c r="D1701" s="5" cm="1">
        <f t="array" aca="1" ref="D1701" ca="1">OFFSET(INDIRECT("'["&amp;$H1701&amp;"]"&amp;$I1701&amp;"'!"&amp;$J1701),$L1701,$M1701)*$K1701</f>
        <v>0.30459000000000003</v>
      </c>
      <c r="F1701" s="4">
        <f t="shared" si="106"/>
        <v>18</v>
      </c>
      <c r="G1701" s="4" cm="1">
        <f t="array" ref="G1701">IF($C1701+$M1701&lt;16,INDEX(Sheet1!C:C,$F1701),$F1701)</f>
        <v>18</v>
      </c>
      <c r="H1701" s="4" t="str" cm="1">
        <f t="array" ref="H1701">INDEX(Sheet1!D:D,$G1701)</f>
        <v>t1141.xlsx</v>
      </c>
      <c r="I1701" s="4" t="str" cm="1">
        <f t="array" ref="I1701">INDEX(Sheet1!E:E,$G1701)</f>
        <v>Sheet1</v>
      </c>
      <c r="J1701" s="4" t="str" cm="1">
        <f t="array" ref="J1701">INDEX(Sheet1!F:F,$G1701)</f>
        <v>B25</v>
      </c>
      <c r="K1701" s="4" cm="1">
        <f t="array" ref="K1701">INDEX(Sheet1!H:H,$G1701)</f>
        <v>1</v>
      </c>
      <c r="L1701" s="4">
        <f t="shared" si="104"/>
        <v>99</v>
      </c>
      <c r="M1701" s="4">
        <f t="shared" si="107"/>
        <v>5</v>
      </c>
    </row>
    <row r="1702" spans="1:13">
      <c r="A1702" s="4" t="str" cm="1">
        <f t="array" ref="A1702">INDEX(Sheet1!A:A,$F1702)</f>
        <v>F</v>
      </c>
      <c r="B1702" s="4" t="str" cm="1">
        <f t="array" ref="B1702">INDEX(Sheet1!B:B,$F1702)</f>
        <v>Agg/Unknown</v>
      </c>
      <c r="C1702" s="4">
        <f t="shared" si="105"/>
        <v>0</v>
      </c>
      <c r="D1702" s="5" cm="1">
        <f t="array" aca="1" ref="D1702" ca="1">OFFSET(INDIRECT("'["&amp;$H1702&amp;"]"&amp;$I1702&amp;"'!"&amp;$J1702),$L1702,$M1702)*$K1702</f>
        <v>1.8000000000000001E-4</v>
      </c>
      <c r="F1702" s="4">
        <f t="shared" si="106"/>
        <v>19</v>
      </c>
      <c r="G1702" s="4" cm="1">
        <f t="array" ref="G1702">IF($C1702+$M1702&lt;16,INDEX(Sheet1!C:C,$F1702),$F1702)</f>
        <v>19</v>
      </c>
      <c r="H1702" s="4" t="str" cm="1">
        <f t="array" ref="H1702">INDEX(Sheet1!D:D,$G1702)</f>
        <v>t1139.xlsx</v>
      </c>
      <c r="I1702" s="4" t="str" cm="1">
        <f t="array" ref="I1702">INDEX(Sheet1!E:E,$G1702)</f>
        <v>Sheet1</v>
      </c>
      <c r="J1702" s="4" t="str" cm="1">
        <f t="array" ref="J1702">INDEX(Sheet1!F:F,$G1702)</f>
        <v>B25</v>
      </c>
      <c r="K1702" s="4" cm="1">
        <f t="array" ref="K1702">INDEX(Sheet1!H:H,$G1702)</f>
        <v>1</v>
      </c>
      <c r="L1702" s="4">
        <f t="shared" si="104"/>
        <v>0</v>
      </c>
      <c r="M1702" s="4">
        <f t="shared" si="107"/>
        <v>5</v>
      </c>
    </row>
    <row r="1703" spans="1:13">
      <c r="A1703" s="4" t="str" cm="1">
        <f t="array" ref="A1703">INDEX(Sheet1!A:A,$F1703)</f>
        <v>F</v>
      </c>
      <c r="B1703" s="4" t="str" cm="1">
        <f t="array" ref="B1703">INDEX(Sheet1!B:B,$F1703)</f>
        <v>Agg/Unknown</v>
      </c>
      <c r="C1703" s="4">
        <f t="shared" si="105"/>
        <v>1</v>
      </c>
      <c r="D1703" s="5" cm="1">
        <f t="array" aca="1" ref="D1703" ca="1">OFFSET(INDIRECT("'["&amp;$H1703&amp;"]"&amp;$I1703&amp;"'!"&amp;$J1703),$L1703,$M1703)*$K1703</f>
        <v>1.8000000000000001E-4</v>
      </c>
      <c r="F1703" s="4">
        <f t="shared" si="106"/>
        <v>19</v>
      </c>
      <c r="G1703" s="4" cm="1">
        <f t="array" ref="G1703">IF($C1703+$M1703&lt;16,INDEX(Sheet1!C:C,$F1703),$F1703)</f>
        <v>19</v>
      </c>
      <c r="H1703" s="4" t="str" cm="1">
        <f t="array" ref="H1703">INDEX(Sheet1!D:D,$G1703)</f>
        <v>t1139.xlsx</v>
      </c>
      <c r="I1703" s="4" t="str" cm="1">
        <f t="array" ref="I1703">INDEX(Sheet1!E:E,$G1703)</f>
        <v>Sheet1</v>
      </c>
      <c r="J1703" s="4" t="str" cm="1">
        <f t="array" ref="J1703">INDEX(Sheet1!F:F,$G1703)</f>
        <v>B25</v>
      </c>
      <c r="K1703" s="4" cm="1">
        <f t="array" ref="K1703">INDEX(Sheet1!H:H,$G1703)</f>
        <v>1</v>
      </c>
      <c r="L1703" s="4">
        <f t="shared" si="104"/>
        <v>1</v>
      </c>
      <c r="M1703" s="4">
        <f t="shared" si="107"/>
        <v>5</v>
      </c>
    </row>
    <row r="1704" spans="1:13">
      <c r="A1704" s="4" t="str" cm="1">
        <f t="array" ref="A1704">INDEX(Sheet1!A:A,$F1704)</f>
        <v>F</v>
      </c>
      <c r="B1704" s="4" t="str" cm="1">
        <f t="array" ref="B1704">INDEX(Sheet1!B:B,$F1704)</f>
        <v>Agg/Unknown</v>
      </c>
      <c r="C1704" s="4">
        <f t="shared" si="105"/>
        <v>2</v>
      </c>
      <c r="D1704" s="5" cm="1">
        <f t="array" aca="1" ref="D1704" ca="1">OFFSET(INDIRECT("'["&amp;$H1704&amp;"]"&amp;$I1704&amp;"'!"&amp;$J1704),$L1704,$M1704)*$K1704</f>
        <v>1.8000000000000001E-4</v>
      </c>
      <c r="F1704" s="4">
        <f t="shared" si="106"/>
        <v>19</v>
      </c>
      <c r="G1704" s="4" cm="1">
        <f t="array" ref="G1704">IF($C1704+$M1704&lt;16,INDEX(Sheet1!C:C,$F1704),$F1704)</f>
        <v>19</v>
      </c>
      <c r="H1704" s="4" t="str" cm="1">
        <f t="array" ref="H1704">INDEX(Sheet1!D:D,$G1704)</f>
        <v>t1139.xlsx</v>
      </c>
      <c r="I1704" s="4" t="str" cm="1">
        <f t="array" ref="I1704">INDEX(Sheet1!E:E,$G1704)</f>
        <v>Sheet1</v>
      </c>
      <c r="J1704" s="4" t="str" cm="1">
        <f t="array" ref="J1704">INDEX(Sheet1!F:F,$G1704)</f>
        <v>B25</v>
      </c>
      <c r="K1704" s="4" cm="1">
        <f t="array" ref="K1704">INDEX(Sheet1!H:H,$G1704)</f>
        <v>1</v>
      </c>
      <c r="L1704" s="4">
        <f t="shared" si="104"/>
        <v>2</v>
      </c>
      <c r="M1704" s="4">
        <f t="shared" si="107"/>
        <v>5</v>
      </c>
    </row>
    <row r="1705" spans="1:13">
      <c r="A1705" s="4" t="str" cm="1">
        <f t="array" ref="A1705">INDEX(Sheet1!A:A,$F1705)</f>
        <v>F</v>
      </c>
      <c r="B1705" s="4" t="str" cm="1">
        <f t="array" ref="B1705">INDEX(Sheet1!B:B,$F1705)</f>
        <v>Agg/Unknown</v>
      </c>
      <c r="C1705" s="4">
        <f t="shared" si="105"/>
        <v>3</v>
      </c>
      <c r="D1705" s="5" cm="1">
        <f t="array" aca="1" ref="D1705" ca="1">OFFSET(INDIRECT("'["&amp;$H1705&amp;"]"&amp;$I1705&amp;"'!"&amp;$J1705),$L1705,$M1705)*$K1705</f>
        <v>1.9000000000000001E-4</v>
      </c>
      <c r="F1705" s="4">
        <f t="shared" si="106"/>
        <v>19</v>
      </c>
      <c r="G1705" s="4" cm="1">
        <f t="array" ref="G1705">IF($C1705+$M1705&lt;16,INDEX(Sheet1!C:C,$F1705),$F1705)</f>
        <v>19</v>
      </c>
      <c r="H1705" s="4" t="str" cm="1">
        <f t="array" ref="H1705">INDEX(Sheet1!D:D,$G1705)</f>
        <v>t1139.xlsx</v>
      </c>
      <c r="I1705" s="4" t="str" cm="1">
        <f t="array" ref="I1705">INDEX(Sheet1!E:E,$G1705)</f>
        <v>Sheet1</v>
      </c>
      <c r="J1705" s="4" t="str" cm="1">
        <f t="array" ref="J1705">INDEX(Sheet1!F:F,$G1705)</f>
        <v>B25</v>
      </c>
      <c r="K1705" s="4" cm="1">
        <f t="array" ref="K1705">INDEX(Sheet1!H:H,$G1705)</f>
        <v>1</v>
      </c>
      <c r="L1705" s="4">
        <f t="shared" si="104"/>
        <v>3</v>
      </c>
      <c r="M1705" s="4">
        <f t="shared" si="107"/>
        <v>5</v>
      </c>
    </row>
    <row r="1706" spans="1:13">
      <c r="A1706" s="4" t="str" cm="1">
        <f t="array" ref="A1706">INDEX(Sheet1!A:A,$F1706)</f>
        <v>F</v>
      </c>
      <c r="B1706" s="4" t="str" cm="1">
        <f t="array" ref="B1706">INDEX(Sheet1!B:B,$F1706)</f>
        <v>Agg/Unknown</v>
      </c>
      <c r="C1706" s="4">
        <f t="shared" si="105"/>
        <v>4</v>
      </c>
      <c r="D1706" s="5" cm="1">
        <f t="array" aca="1" ref="D1706" ca="1">OFFSET(INDIRECT("'["&amp;$H1706&amp;"]"&amp;$I1706&amp;"'!"&amp;$J1706),$L1706,$M1706)*$K1706</f>
        <v>1.9000000000000001E-4</v>
      </c>
      <c r="F1706" s="4">
        <f t="shared" si="106"/>
        <v>19</v>
      </c>
      <c r="G1706" s="4" cm="1">
        <f t="array" ref="G1706">IF($C1706+$M1706&lt;16,INDEX(Sheet1!C:C,$F1706),$F1706)</f>
        <v>19</v>
      </c>
      <c r="H1706" s="4" t="str" cm="1">
        <f t="array" ref="H1706">INDEX(Sheet1!D:D,$G1706)</f>
        <v>t1139.xlsx</v>
      </c>
      <c r="I1706" s="4" t="str" cm="1">
        <f t="array" ref="I1706">INDEX(Sheet1!E:E,$G1706)</f>
        <v>Sheet1</v>
      </c>
      <c r="J1706" s="4" t="str" cm="1">
        <f t="array" ref="J1706">INDEX(Sheet1!F:F,$G1706)</f>
        <v>B25</v>
      </c>
      <c r="K1706" s="4" cm="1">
        <f t="array" ref="K1706">INDEX(Sheet1!H:H,$G1706)</f>
        <v>1</v>
      </c>
      <c r="L1706" s="4">
        <f t="shared" si="104"/>
        <v>4</v>
      </c>
      <c r="M1706" s="4">
        <f t="shared" si="107"/>
        <v>5</v>
      </c>
    </row>
    <row r="1707" spans="1:13">
      <c r="A1707" s="4" t="str" cm="1">
        <f t="array" ref="A1707">INDEX(Sheet1!A:A,$F1707)</f>
        <v>F</v>
      </c>
      <c r="B1707" s="4" t="str" cm="1">
        <f t="array" ref="B1707">INDEX(Sheet1!B:B,$F1707)</f>
        <v>Agg/Unknown</v>
      </c>
      <c r="C1707" s="4">
        <f t="shared" si="105"/>
        <v>5</v>
      </c>
      <c r="D1707" s="5" cm="1">
        <f t="array" aca="1" ref="D1707" ca="1">OFFSET(INDIRECT("'["&amp;$H1707&amp;"]"&amp;$I1707&amp;"'!"&amp;$J1707),$L1707,$M1707)*$K1707</f>
        <v>1.9000000000000001E-4</v>
      </c>
      <c r="F1707" s="4">
        <f t="shared" si="106"/>
        <v>19</v>
      </c>
      <c r="G1707" s="4" cm="1">
        <f t="array" ref="G1707">IF($C1707+$M1707&lt;16,INDEX(Sheet1!C:C,$F1707),$F1707)</f>
        <v>19</v>
      </c>
      <c r="H1707" s="4" t="str" cm="1">
        <f t="array" ref="H1707">INDEX(Sheet1!D:D,$G1707)</f>
        <v>t1139.xlsx</v>
      </c>
      <c r="I1707" s="4" t="str" cm="1">
        <f t="array" ref="I1707">INDEX(Sheet1!E:E,$G1707)</f>
        <v>Sheet1</v>
      </c>
      <c r="J1707" s="4" t="str" cm="1">
        <f t="array" ref="J1707">INDEX(Sheet1!F:F,$G1707)</f>
        <v>B25</v>
      </c>
      <c r="K1707" s="4" cm="1">
        <f t="array" ref="K1707">INDEX(Sheet1!H:H,$G1707)</f>
        <v>1</v>
      </c>
      <c r="L1707" s="4">
        <f t="shared" si="104"/>
        <v>5</v>
      </c>
      <c r="M1707" s="4">
        <f t="shared" si="107"/>
        <v>5</v>
      </c>
    </row>
    <row r="1708" spans="1:13">
      <c r="A1708" s="4" t="str" cm="1">
        <f t="array" ref="A1708">INDEX(Sheet1!A:A,$F1708)</f>
        <v>F</v>
      </c>
      <c r="B1708" s="4" t="str" cm="1">
        <f t="array" ref="B1708">INDEX(Sheet1!B:B,$F1708)</f>
        <v>Agg/Unknown</v>
      </c>
      <c r="C1708" s="4">
        <f t="shared" si="105"/>
        <v>6</v>
      </c>
      <c r="D1708" s="5" cm="1">
        <f t="array" aca="1" ref="D1708" ca="1">OFFSET(INDIRECT("'["&amp;$H1708&amp;"]"&amp;$I1708&amp;"'!"&amp;$J1708),$L1708,$M1708)*$K1708</f>
        <v>2.0000000000000001E-4</v>
      </c>
      <c r="F1708" s="4">
        <f t="shared" si="106"/>
        <v>19</v>
      </c>
      <c r="G1708" s="4" cm="1">
        <f t="array" ref="G1708">IF($C1708+$M1708&lt;16,INDEX(Sheet1!C:C,$F1708),$F1708)</f>
        <v>19</v>
      </c>
      <c r="H1708" s="4" t="str" cm="1">
        <f t="array" ref="H1708">INDEX(Sheet1!D:D,$G1708)</f>
        <v>t1139.xlsx</v>
      </c>
      <c r="I1708" s="4" t="str" cm="1">
        <f t="array" ref="I1708">INDEX(Sheet1!E:E,$G1708)</f>
        <v>Sheet1</v>
      </c>
      <c r="J1708" s="4" t="str" cm="1">
        <f t="array" ref="J1708">INDEX(Sheet1!F:F,$G1708)</f>
        <v>B25</v>
      </c>
      <c r="K1708" s="4" cm="1">
        <f t="array" ref="K1708">INDEX(Sheet1!H:H,$G1708)</f>
        <v>1</v>
      </c>
      <c r="L1708" s="4">
        <f t="shared" si="104"/>
        <v>6</v>
      </c>
      <c r="M1708" s="4">
        <f t="shared" si="107"/>
        <v>5</v>
      </c>
    </row>
    <row r="1709" spans="1:13">
      <c r="A1709" s="4" t="str" cm="1">
        <f t="array" ref="A1709">INDEX(Sheet1!A:A,$F1709)</f>
        <v>F</v>
      </c>
      <c r="B1709" s="4" t="str" cm="1">
        <f t="array" ref="B1709">INDEX(Sheet1!B:B,$F1709)</f>
        <v>Agg/Unknown</v>
      </c>
      <c r="C1709" s="4">
        <f t="shared" si="105"/>
        <v>7</v>
      </c>
      <c r="D1709" s="5" cm="1">
        <f t="array" aca="1" ref="D1709" ca="1">OFFSET(INDIRECT("'["&amp;$H1709&amp;"]"&amp;$I1709&amp;"'!"&amp;$J1709),$L1709,$M1709)*$K1709</f>
        <v>2.2000000000000001E-4</v>
      </c>
      <c r="F1709" s="4">
        <f t="shared" si="106"/>
        <v>19</v>
      </c>
      <c r="G1709" s="4" cm="1">
        <f t="array" ref="G1709">IF($C1709+$M1709&lt;16,INDEX(Sheet1!C:C,$F1709),$F1709)</f>
        <v>19</v>
      </c>
      <c r="H1709" s="4" t="str" cm="1">
        <f t="array" ref="H1709">INDEX(Sheet1!D:D,$G1709)</f>
        <v>t1139.xlsx</v>
      </c>
      <c r="I1709" s="4" t="str" cm="1">
        <f t="array" ref="I1709">INDEX(Sheet1!E:E,$G1709)</f>
        <v>Sheet1</v>
      </c>
      <c r="J1709" s="4" t="str" cm="1">
        <f t="array" ref="J1709">INDEX(Sheet1!F:F,$G1709)</f>
        <v>B25</v>
      </c>
      <c r="K1709" s="4" cm="1">
        <f t="array" ref="K1709">INDEX(Sheet1!H:H,$G1709)</f>
        <v>1</v>
      </c>
      <c r="L1709" s="4">
        <f t="shared" si="104"/>
        <v>7</v>
      </c>
      <c r="M1709" s="4">
        <f t="shared" si="107"/>
        <v>5</v>
      </c>
    </row>
    <row r="1710" spans="1:13">
      <c r="A1710" s="4" t="str" cm="1">
        <f t="array" ref="A1710">INDEX(Sheet1!A:A,$F1710)</f>
        <v>F</v>
      </c>
      <c r="B1710" s="4" t="str" cm="1">
        <f t="array" ref="B1710">INDEX(Sheet1!B:B,$F1710)</f>
        <v>Agg/Unknown</v>
      </c>
      <c r="C1710" s="4">
        <f t="shared" si="105"/>
        <v>8</v>
      </c>
      <c r="D1710" s="5" cm="1">
        <f t="array" aca="1" ref="D1710" ca="1">OFFSET(INDIRECT("'["&amp;$H1710&amp;"]"&amp;$I1710&amp;"'!"&amp;$J1710),$L1710,$M1710)*$K1710</f>
        <v>2.4000000000000001E-4</v>
      </c>
      <c r="F1710" s="4">
        <f t="shared" si="106"/>
        <v>19</v>
      </c>
      <c r="G1710" s="4" cm="1">
        <f t="array" ref="G1710">IF($C1710+$M1710&lt;16,INDEX(Sheet1!C:C,$F1710),$F1710)</f>
        <v>19</v>
      </c>
      <c r="H1710" s="4" t="str" cm="1">
        <f t="array" ref="H1710">INDEX(Sheet1!D:D,$G1710)</f>
        <v>t1139.xlsx</v>
      </c>
      <c r="I1710" s="4" t="str" cm="1">
        <f t="array" ref="I1710">INDEX(Sheet1!E:E,$G1710)</f>
        <v>Sheet1</v>
      </c>
      <c r="J1710" s="4" t="str" cm="1">
        <f t="array" ref="J1710">INDEX(Sheet1!F:F,$G1710)</f>
        <v>B25</v>
      </c>
      <c r="K1710" s="4" cm="1">
        <f t="array" ref="K1710">INDEX(Sheet1!H:H,$G1710)</f>
        <v>1</v>
      </c>
      <c r="L1710" s="4">
        <f t="shared" si="104"/>
        <v>8</v>
      </c>
      <c r="M1710" s="4">
        <f t="shared" si="107"/>
        <v>5</v>
      </c>
    </row>
    <row r="1711" spans="1:13">
      <c r="A1711" s="4" t="str" cm="1">
        <f t="array" ref="A1711">INDEX(Sheet1!A:A,$F1711)</f>
        <v>F</v>
      </c>
      <c r="B1711" s="4" t="str" cm="1">
        <f t="array" ref="B1711">INDEX(Sheet1!B:B,$F1711)</f>
        <v>Agg/Unknown</v>
      </c>
      <c r="C1711" s="4">
        <f t="shared" si="105"/>
        <v>9</v>
      </c>
      <c r="D1711" s="5" cm="1">
        <f t="array" aca="1" ref="D1711" ca="1">OFFSET(INDIRECT("'["&amp;$H1711&amp;"]"&amp;$I1711&amp;"'!"&amp;$J1711),$L1711,$M1711)*$K1711</f>
        <v>2.7E-4</v>
      </c>
      <c r="F1711" s="4">
        <f t="shared" si="106"/>
        <v>19</v>
      </c>
      <c r="G1711" s="4" cm="1">
        <f t="array" ref="G1711">IF($C1711+$M1711&lt;16,INDEX(Sheet1!C:C,$F1711),$F1711)</f>
        <v>19</v>
      </c>
      <c r="H1711" s="4" t="str" cm="1">
        <f t="array" ref="H1711">INDEX(Sheet1!D:D,$G1711)</f>
        <v>t1139.xlsx</v>
      </c>
      <c r="I1711" s="4" t="str" cm="1">
        <f t="array" ref="I1711">INDEX(Sheet1!E:E,$G1711)</f>
        <v>Sheet1</v>
      </c>
      <c r="J1711" s="4" t="str" cm="1">
        <f t="array" ref="J1711">INDEX(Sheet1!F:F,$G1711)</f>
        <v>B25</v>
      </c>
      <c r="K1711" s="4" cm="1">
        <f t="array" ref="K1711">INDEX(Sheet1!H:H,$G1711)</f>
        <v>1</v>
      </c>
      <c r="L1711" s="4">
        <f t="shared" si="104"/>
        <v>9</v>
      </c>
      <c r="M1711" s="4">
        <f t="shared" si="107"/>
        <v>5</v>
      </c>
    </row>
    <row r="1712" spans="1:13">
      <c r="A1712" s="4" t="str" cm="1">
        <f t="array" ref="A1712">INDEX(Sheet1!A:A,$F1712)</f>
        <v>F</v>
      </c>
      <c r="B1712" s="4" t="str" cm="1">
        <f t="array" ref="B1712">INDEX(Sheet1!B:B,$F1712)</f>
        <v>Agg/Unknown</v>
      </c>
      <c r="C1712" s="4">
        <f t="shared" si="105"/>
        <v>10</v>
      </c>
      <c r="D1712" s="5" cm="1">
        <f t="array" aca="1" ref="D1712" ca="1">OFFSET(INDIRECT("'["&amp;$H1712&amp;"]"&amp;$I1712&amp;"'!"&amp;$J1712),$L1712,$M1712)*$K1712</f>
        <v>3.1E-4</v>
      </c>
      <c r="F1712" s="4">
        <f t="shared" si="106"/>
        <v>19</v>
      </c>
      <c r="G1712" s="4" cm="1">
        <f t="array" ref="G1712">IF($C1712+$M1712&lt;16,INDEX(Sheet1!C:C,$F1712),$F1712)</f>
        <v>19</v>
      </c>
      <c r="H1712" s="4" t="str" cm="1">
        <f t="array" ref="H1712">INDEX(Sheet1!D:D,$G1712)</f>
        <v>t1139.xlsx</v>
      </c>
      <c r="I1712" s="4" t="str" cm="1">
        <f t="array" ref="I1712">INDEX(Sheet1!E:E,$G1712)</f>
        <v>Sheet1</v>
      </c>
      <c r="J1712" s="4" t="str" cm="1">
        <f t="array" ref="J1712">INDEX(Sheet1!F:F,$G1712)</f>
        <v>B25</v>
      </c>
      <c r="K1712" s="4" cm="1">
        <f t="array" ref="K1712">INDEX(Sheet1!H:H,$G1712)</f>
        <v>1</v>
      </c>
      <c r="L1712" s="4">
        <f t="shared" si="104"/>
        <v>10</v>
      </c>
      <c r="M1712" s="4">
        <f t="shared" si="107"/>
        <v>5</v>
      </c>
    </row>
    <row r="1713" spans="1:13">
      <c r="A1713" s="4" t="str" cm="1">
        <f t="array" ref="A1713">INDEX(Sheet1!A:A,$F1713)</f>
        <v>F</v>
      </c>
      <c r="B1713" s="4" t="str" cm="1">
        <f t="array" ref="B1713">INDEX(Sheet1!B:B,$F1713)</f>
        <v>Agg/Unknown</v>
      </c>
      <c r="C1713" s="4">
        <f t="shared" si="105"/>
        <v>11</v>
      </c>
      <c r="D1713" s="5" cm="1">
        <f t="array" aca="1" ref="D1713" ca="1">OFFSET(INDIRECT("'["&amp;$H1713&amp;"]"&amp;$I1713&amp;"'!"&amp;$J1713),$L1713,$M1713)*$K1713</f>
        <v>3.3E-4</v>
      </c>
      <c r="F1713" s="4">
        <f t="shared" si="106"/>
        <v>19</v>
      </c>
      <c r="G1713" s="4" cm="1">
        <f t="array" ref="G1713">IF($C1713+$M1713&lt;16,INDEX(Sheet1!C:C,$F1713),$F1713)</f>
        <v>19</v>
      </c>
      <c r="H1713" s="4" t="str" cm="1">
        <f t="array" ref="H1713">INDEX(Sheet1!D:D,$G1713)</f>
        <v>t1139.xlsx</v>
      </c>
      <c r="I1713" s="4" t="str" cm="1">
        <f t="array" ref="I1713">INDEX(Sheet1!E:E,$G1713)</f>
        <v>Sheet1</v>
      </c>
      <c r="J1713" s="4" t="str" cm="1">
        <f t="array" ref="J1713">INDEX(Sheet1!F:F,$G1713)</f>
        <v>B25</v>
      </c>
      <c r="K1713" s="4" cm="1">
        <f t="array" ref="K1713">INDEX(Sheet1!H:H,$G1713)</f>
        <v>1</v>
      </c>
      <c r="L1713" s="4">
        <f t="shared" si="104"/>
        <v>11</v>
      </c>
      <c r="M1713" s="4">
        <f t="shared" si="107"/>
        <v>5</v>
      </c>
    </row>
    <row r="1714" spans="1:13">
      <c r="A1714" s="4" t="str" cm="1">
        <f t="array" ref="A1714">INDEX(Sheet1!A:A,$F1714)</f>
        <v>F</v>
      </c>
      <c r="B1714" s="4" t="str" cm="1">
        <f t="array" ref="B1714">INDEX(Sheet1!B:B,$F1714)</f>
        <v>Agg/Unknown</v>
      </c>
      <c r="C1714" s="4">
        <f t="shared" si="105"/>
        <v>12</v>
      </c>
      <c r="D1714" s="5" cm="1">
        <f t="array" aca="1" ref="D1714" ca="1">OFFSET(INDIRECT("'["&amp;$H1714&amp;"]"&amp;$I1714&amp;"'!"&amp;$J1714),$L1714,$M1714)*$K1714</f>
        <v>3.4000000000000002E-4</v>
      </c>
      <c r="F1714" s="4">
        <f t="shared" si="106"/>
        <v>19</v>
      </c>
      <c r="G1714" s="4" cm="1">
        <f t="array" ref="G1714">IF($C1714+$M1714&lt;16,INDEX(Sheet1!C:C,$F1714),$F1714)</f>
        <v>19</v>
      </c>
      <c r="H1714" s="4" t="str" cm="1">
        <f t="array" ref="H1714">INDEX(Sheet1!D:D,$G1714)</f>
        <v>t1139.xlsx</v>
      </c>
      <c r="I1714" s="4" t="str" cm="1">
        <f t="array" ref="I1714">INDEX(Sheet1!E:E,$G1714)</f>
        <v>Sheet1</v>
      </c>
      <c r="J1714" s="4" t="str" cm="1">
        <f t="array" ref="J1714">INDEX(Sheet1!F:F,$G1714)</f>
        <v>B25</v>
      </c>
      <c r="K1714" s="4" cm="1">
        <f t="array" ref="K1714">INDEX(Sheet1!H:H,$G1714)</f>
        <v>1</v>
      </c>
      <c r="L1714" s="4">
        <f t="shared" si="104"/>
        <v>12</v>
      </c>
      <c r="M1714" s="4">
        <f t="shared" si="107"/>
        <v>5</v>
      </c>
    </row>
    <row r="1715" spans="1:13">
      <c r="A1715" s="4" t="str" cm="1">
        <f t="array" ref="A1715">INDEX(Sheet1!A:A,$F1715)</f>
        <v>F</v>
      </c>
      <c r="B1715" s="4" t="str" cm="1">
        <f t="array" ref="B1715">INDEX(Sheet1!B:B,$F1715)</f>
        <v>Agg/Unknown</v>
      </c>
      <c r="C1715" s="4">
        <f t="shared" si="105"/>
        <v>13</v>
      </c>
      <c r="D1715" s="5" cm="1">
        <f t="array" aca="1" ref="D1715" ca="1">OFFSET(INDIRECT("'["&amp;$H1715&amp;"]"&amp;$I1715&amp;"'!"&amp;$J1715),$L1715,$M1715)*$K1715</f>
        <v>3.5E-4</v>
      </c>
      <c r="F1715" s="4">
        <f t="shared" si="106"/>
        <v>19</v>
      </c>
      <c r="G1715" s="4" cm="1">
        <f t="array" ref="G1715">IF($C1715+$M1715&lt;16,INDEX(Sheet1!C:C,$F1715),$F1715)</f>
        <v>19</v>
      </c>
      <c r="H1715" s="4" t="str" cm="1">
        <f t="array" ref="H1715">INDEX(Sheet1!D:D,$G1715)</f>
        <v>t1139.xlsx</v>
      </c>
      <c r="I1715" s="4" t="str" cm="1">
        <f t="array" ref="I1715">INDEX(Sheet1!E:E,$G1715)</f>
        <v>Sheet1</v>
      </c>
      <c r="J1715" s="4" t="str" cm="1">
        <f t="array" ref="J1715">INDEX(Sheet1!F:F,$G1715)</f>
        <v>B25</v>
      </c>
      <c r="K1715" s="4" cm="1">
        <f t="array" ref="K1715">INDEX(Sheet1!H:H,$G1715)</f>
        <v>1</v>
      </c>
      <c r="L1715" s="4">
        <f t="shared" si="104"/>
        <v>13</v>
      </c>
      <c r="M1715" s="4">
        <f t="shared" si="107"/>
        <v>5</v>
      </c>
    </row>
    <row r="1716" spans="1:13">
      <c r="A1716" s="4" t="str" cm="1">
        <f t="array" ref="A1716">INDEX(Sheet1!A:A,$F1716)</f>
        <v>F</v>
      </c>
      <c r="B1716" s="4" t="str" cm="1">
        <f t="array" ref="B1716">INDEX(Sheet1!B:B,$F1716)</f>
        <v>Agg/Unknown</v>
      </c>
      <c r="C1716" s="4">
        <f t="shared" si="105"/>
        <v>14</v>
      </c>
      <c r="D1716" s="5" cm="1">
        <f t="array" aca="1" ref="D1716" ca="1">OFFSET(INDIRECT("'["&amp;$H1716&amp;"]"&amp;$I1716&amp;"'!"&amp;$J1716),$L1716,$M1716)*$K1716</f>
        <v>3.6000000000000002E-4</v>
      </c>
      <c r="F1716" s="4">
        <f t="shared" si="106"/>
        <v>19</v>
      </c>
      <c r="G1716" s="4" cm="1">
        <f t="array" ref="G1716">IF($C1716+$M1716&lt;16,INDEX(Sheet1!C:C,$F1716),$F1716)</f>
        <v>19</v>
      </c>
      <c r="H1716" s="4" t="str" cm="1">
        <f t="array" ref="H1716">INDEX(Sheet1!D:D,$G1716)</f>
        <v>t1139.xlsx</v>
      </c>
      <c r="I1716" s="4" t="str" cm="1">
        <f t="array" ref="I1716">INDEX(Sheet1!E:E,$G1716)</f>
        <v>Sheet1</v>
      </c>
      <c r="J1716" s="4" t="str" cm="1">
        <f t="array" ref="J1716">INDEX(Sheet1!F:F,$G1716)</f>
        <v>B25</v>
      </c>
      <c r="K1716" s="4" cm="1">
        <f t="array" ref="K1716">INDEX(Sheet1!H:H,$G1716)</f>
        <v>1</v>
      </c>
      <c r="L1716" s="4">
        <f t="shared" si="104"/>
        <v>14</v>
      </c>
      <c r="M1716" s="4">
        <f t="shared" si="107"/>
        <v>5</v>
      </c>
    </row>
    <row r="1717" spans="1:13">
      <c r="A1717" s="4" t="str" cm="1">
        <f t="array" ref="A1717">INDEX(Sheet1!A:A,$F1717)</f>
        <v>F</v>
      </c>
      <c r="B1717" s="4" t="str" cm="1">
        <f t="array" ref="B1717">INDEX(Sheet1!B:B,$F1717)</f>
        <v>Agg/Unknown</v>
      </c>
      <c r="C1717" s="4">
        <f t="shared" si="105"/>
        <v>15</v>
      </c>
      <c r="D1717" s="5" cm="1">
        <f t="array" aca="1" ref="D1717" ca="1">OFFSET(INDIRECT("'["&amp;$H1717&amp;"]"&amp;$I1717&amp;"'!"&amp;$J1717),$L1717,$M1717)*$K1717</f>
        <v>3.6999999999999999E-4</v>
      </c>
      <c r="F1717" s="4">
        <f t="shared" si="106"/>
        <v>19</v>
      </c>
      <c r="G1717" s="4" cm="1">
        <f t="array" ref="G1717">IF($C1717+$M1717&lt;16,INDEX(Sheet1!C:C,$F1717),$F1717)</f>
        <v>19</v>
      </c>
      <c r="H1717" s="4" t="str" cm="1">
        <f t="array" ref="H1717">INDEX(Sheet1!D:D,$G1717)</f>
        <v>t1139.xlsx</v>
      </c>
      <c r="I1717" s="4" t="str" cm="1">
        <f t="array" ref="I1717">INDEX(Sheet1!E:E,$G1717)</f>
        <v>Sheet1</v>
      </c>
      <c r="J1717" s="4" t="str" cm="1">
        <f t="array" ref="J1717">INDEX(Sheet1!F:F,$G1717)</f>
        <v>B25</v>
      </c>
      <c r="K1717" s="4" cm="1">
        <f t="array" ref="K1717">INDEX(Sheet1!H:H,$G1717)</f>
        <v>1</v>
      </c>
      <c r="L1717" s="4">
        <f t="shared" si="104"/>
        <v>15</v>
      </c>
      <c r="M1717" s="4">
        <f t="shared" si="107"/>
        <v>5</v>
      </c>
    </row>
    <row r="1718" spans="1:13">
      <c r="A1718" s="4" t="str" cm="1">
        <f t="array" ref="A1718">INDEX(Sheet1!A:A,$F1718)</f>
        <v>F</v>
      </c>
      <c r="B1718" s="4" t="str" cm="1">
        <f t="array" ref="B1718">INDEX(Sheet1!B:B,$F1718)</f>
        <v>Agg/Unknown</v>
      </c>
      <c r="C1718" s="4">
        <f t="shared" si="105"/>
        <v>16</v>
      </c>
      <c r="D1718" s="5" cm="1">
        <f t="array" aca="1" ref="D1718" ca="1">OFFSET(INDIRECT("'["&amp;$H1718&amp;"]"&amp;$I1718&amp;"'!"&amp;$J1718),$L1718,$M1718)*$K1718</f>
        <v>3.6999999999999999E-4</v>
      </c>
      <c r="F1718" s="4">
        <f t="shared" si="106"/>
        <v>19</v>
      </c>
      <c r="G1718" s="4" cm="1">
        <f t="array" ref="G1718">IF($C1718+$M1718&lt;16,INDEX(Sheet1!C:C,$F1718),$F1718)</f>
        <v>19</v>
      </c>
      <c r="H1718" s="4" t="str" cm="1">
        <f t="array" ref="H1718">INDEX(Sheet1!D:D,$G1718)</f>
        <v>t1139.xlsx</v>
      </c>
      <c r="I1718" s="4" t="str" cm="1">
        <f t="array" ref="I1718">INDEX(Sheet1!E:E,$G1718)</f>
        <v>Sheet1</v>
      </c>
      <c r="J1718" s="4" t="str" cm="1">
        <f t="array" ref="J1718">INDEX(Sheet1!F:F,$G1718)</f>
        <v>B25</v>
      </c>
      <c r="K1718" s="4" cm="1">
        <f t="array" ref="K1718">INDEX(Sheet1!H:H,$G1718)</f>
        <v>1</v>
      </c>
      <c r="L1718" s="4">
        <f t="shared" si="104"/>
        <v>16</v>
      </c>
      <c r="M1718" s="4">
        <f t="shared" si="107"/>
        <v>5</v>
      </c>
    </row>
    <row r="1719" spans="1:13">
      <c r="A1719" s="4" t="str" cm="1">
        <f t="array" ref="A1719">INDEX(Sheet1!A:A,$F1719)</f>
        <v>F</v>
      </c>
      <c r="B1719" s="4" t="str" cm="1">
        <f t="array" ref="B1719">INDEX(Sheet1!B:B,$F1719)</f>
        <v>Agg/Unknown</v>
      </c>
      <c r="C1719" s="4">
        <f t="shared" si="105"/>
        <v>17</v>
      </c>
      <c r="D1719" s="5" cm="1">
        <f t="array" aca="1" ref="D1719" ca="1">OFFSET(INDIRECT("'["&amp;$H1719&amp;"]"&amp;$I1719&amp;"'!"&amp;$J1719),$L1719,$M1719)*$K1719</f>
        <v>3.8000000000000002E-4</v>
      </c>
      <c r="F1719" s="4">
        <f t="shared" si="106"/>
        <v>19</v>
      </c>
      <c r="G1719" s="4" cm="1">
        <f t="array" ref="G1719">IF($C1719+$M1719&lt;16,INDEX(Sheet1!C:C,$F1719),$F1719)</f>
        <v>19</v>
      </c>
      <c r="H1719" s="4" t="str" cm="1">
        <f t="array" ref="H1719">INDEX(Sheet1!D:D,$G1719)</f>
        <v>t1139.xlsx</v>
      </c>
      <c r="I1719" s="4" t="str" cm="1">
        <f t="array" ref="I1719">INDEX(Sheet1!E:E,$G1719)</f>
        <v>Sheet1</v>
      </c>
      <c r="J1719" s="4" t="str" cm="1">
        <f t="array" ref="J1719">INDEX(Sheet1!F:F,$G1719)</f>
        <v>B25</v>
      </c>
      <c r="K1719" s="4" cm="1">
        <f t="array" ref="K1719">INDEX(Sheet1!H:H,$G1719)</f>
        <v>1</v>
      </c>
      <c r="L1719" s="4">
        <f t="shared" si="104"/>
        <v>17</v>
      </c>
      <c r="M1719" s="4">
        <f t="shared" si="107"/>
        <v>5</v>
      </c>
    </row>
    <row r="1720" spans="1:13">
      <c r="A1720" s="4" t="str" cm="1">
        <f t="array" ref="A1720">INDEX(Sheet1!A:A,$F1720)</f>
        <v>F</v>
      </c>
      <c r="B1720" s="4" t="str" cm="1">
        <f t="array" ref="B1720">INDEX(Sheet1!B:B,$F1720)</f>
        <v>Agg/Unknown</v>
      </c>
      <c r="C1720" s="4">
        <f t="shared" si="105"/>
        <v>18</v>
      </c>
      <c r="D1720" s="5" cm="1">
        <f t="array" aca="1" ref="D1720" ca="1">OFFSET(INDIRECT("'["&amp;$H1720&amp;"]"&amp;$I1720&amp;"'!"&amp;$J1720),$L1720,$M1720)*$K1720</f>
        <v>3.8000000000000002E-4</v>
      </c>
      <c r="F1720" s="4">
        <f t="shared" si="106"/>
        <v>19</v>
      </c>
      <c r="G1720" s="4" cm="1">
        <f t="array" ref="G1720">IF($C1720+$M1720&lt;16,INDEX(Sheet1!C:C,$F1720),$F1720)</f>
        <v>19</v>
      </c>
      <c r="H1720" s="4" t="str" cm="1">
        <f t="array" ref="H1720">INDEX(Sheet1!D:D,$G1720)</f>
        <v>t1139.xlsx</v>
      </c>
      <c r="I1720" s="4" t="str" cm="1">
        <f t="array" ref="I1720">INDEX(Sheet1!E:E,$G1720)</f>
        <v>Sheet1</v>
      </c>
      <c r="J1720" s="4" t="str" cm="1">
        <f t="array" ref="J1720">INDEX(Sheet1!F:F,$G1720)</f>
        <v>B25</v>
      </c>
      <c r="K1720" s="4" cm="1">
        <f t="array" ref="K1720">INDEX(Sheet1!H:H,$G1720)</f>
        <v>1</v>
      </c>
      <c r="L1720" s="4">
        <f t="shared" si="104"/>
        <v>18</v>
      </c>
      <c r="M1720" s="4">
        <f t="shared" si="107"/>
        <v>5</v>
      </c>
    </row>
    <row r="1721" spans="1:13">
      <c r="A1721" s="4" t="str" cm="1">
        <f t="array" ref="A1721">INDEX(Sheet1!A:A,$F1721)</f>
        <v>F</v>
      </c>
      <c r="B1721" s="4" t="str" cm="1">
        <f t="array" ref="B1721">INDEX(Sheet1!B:B,$F1721)</f>
        <v>Agg/Unknown</v>
      </c>
      <c r="C1721" s="4">
        <f t="shared" si="105"/>
        <v>19</v>
      </c>
      <c r="D1721" s="5" cm="1">
        <f t="array" aca="1" ref="D1721" ca="1">OFFSET(INDIRECT("'["&amp;$H1721&amp;"]"&amp;$I1721&amp;"'!"&amp;$J1721),$L1721,$M1721)*$K1721</f>
        <v>4.0000000000000002E-4</v>
      </c>
      <c r="F1721" s="4">
        <f t="shared" si="106"/>
        <v>19</v>
      </c>
      <c r="G1721" s="4" cm="1">
        <f t="array" ref="G1721">IF($C1721+$M1721&lt;16,INDEX(Sheet1!C:C,$F1721),$F1721)</f>
        <v>19</v>
      </c>
      <c r="H1721" s="4" t="str" cm="1">
        <f t="array" ref="H1721">INDEX(Sheet1!D:D,$G1721)</f>
        <v>t1139.xlsx</v>
      </c>
      <c r="I1721" s="4" t="str" cm="1">
        <f t="array" ref="I1721">INDEX(Sheet1!E:E,$G1721)</f>
        <v>Sheet1</v>
      </c>
      <c r="J1721" s="4" t="str" cm="1">
        <f t="array" ref="J1721">INDEX(Sheet1!F:F,$G1721)</f>
        <v>B25</v>
      </c>
      <c r="K1721" s="4" cm="1">
        <f t="array" ref="K1721">INDEX(Sheet1!H:H,$G1721)</f>
        <v>1</v>
      </c>
      <c r="L1721" s="4">
        <f t="shared" si="104"/>
        <v>19</v>
      </c>
      <c r="M1721" s="4">
        <f t="shared" si="107"/>
        <v>5</v>
      </c>
    </row>
    <row r="1722" spans="1:13">
      <c r="A1722" s="4" t="str" cm="1">
        <f t="array" ref="A1722">INDEX(Sheet1!A:A,$F1722)</f>
        <v>F</v>
      </c>
      <c r="B1722" s="4" t="str" cm="1">
        <f t="array" ref="B1722">INDEX(Sheet1!B:B,$F1722)</f>
        <v>Agg/Unknown</v>
      </c>
      <c r="C1722" s="4">
        <f t="shared" si="105"/>
        <v>20</v>
      </c>
      <c r="D1722" s="5" cm="1">
        <f t="array" aca="1" ref="D1722" ca="1">OFFSET(INDIRECT("'["&amp;$H1722&amp;"]"&amp;$I1722&amp;"'!"&amp;$J1722),$L1722,$M1722)*$K1722</f>
        <v>4.2000000000000002E-4</v>
      </c>
      <c r="F1722" s="4">
        <f t="shared" si="106"/>
        <v>19</v>
      </c>
      <c r="G1722" s="4" cm="1">
        <f t="array" ref="G1722">IF($C1722+$M1722&lt;16,INDEX(Sheet1!C:C,$F1722),$F1722)</f>
        <v>19</v>
      </c>
      <c r="H1722" s="4" t="str" cm="1">
        <f t="array" ref="H1722">INDEX(Sheet1!D:D,$G1722)</f>
        <v>t1139.xlsx</v>
      </c>
      <c r="I1722" s="4" t="str" cm="1">
        <f t="array" ref="I1722">INDEX(Sheet1!E:E,$G1722)</f>
        <v>Sheet1</v>
      </c>
      <c r="J1722" s="4" t="str" cm="1">
        <f t="array" ref="J1722">INDEX(Sheet1!F:F,$G1722)</f>
        <v>B25</v>
      </c>
      <c r="K1722" s="4" cm="1">
        <f t="array" ref="K1722">INDEX(Sheet1!H:H,$G1722)</f>
        <v>1</v>
      </c>
      <c r="L1722" s="4">
        <f t="shared" si="104"/>
        <v>20</v>
      </c>
      <c r="M1722" s="4">
        <f t="shared" si="107"/>
        <v>5</v>
      </c>
    </row>
    <row r="1723" spans="1:13">
      <c r="A1723" s="4" t="str" cm="1">
        <f t="array" ref="A1723">INDEX(Sheet1!A:A,$F1723)</f>
        <v>F</v>
      </c>
      <c r="B1723" s="4" t="str" cm="1">
        <f t="array" ref="B1723">INDEX(Sheet1!B:B,$F1723)</f>
        <v>Agg/Unknown</v>
      </c>
      <c r="C1723" s="4">
        <f t="shared" si="105"/>
        <v>21</v>
      </c>
      <c r="D1723" s="5" cm="1">
        <f t="array" aca="1" ref="D1723" ca="1">OFFSET(INDIRECT("'["&amp;$H1723&amp;"]"&amp;$I1723&amp;"'!"&amp;$J1723),$L1723,$M1723)*$K1723</f>
        <v>4.2999999999999999E-4</v>
      </c>
      <c r="F1723" s="4">
        <f t="shared" si="106"/>
        <v>19</v>
      </c>
      <c r="G1723" s="4" cm="1">
        <f t="array" ref="G1723">IF($C1723+$M1723&lt;16,INDEX(Sheet1!C:C,$F1723),$F1723)</f>
        <v>19</v>
      </c>
      <c r="H1723" s="4" t="str" cm="1">
        <f t="array" ref="H1723">INDEX(Sheet1!D:D,$G1723)</f>
        <v>t1139.xlsx</v>
      </c>
      <c r="I1723" s="4" t="str" cm="1">
        <f t="array" ref="I1723">INDEX(Sheet1!E:E,$G1723)</f>
        <v>Sheet1</v>
      </c>
      <c r="J1723" s="4" t="str" cm="1">
        <f t="array" ref="J1723">INDEX(Sheet1!F:F,$G1723)</f>
        <v>B25</v>
      </c>
      <c r="K1723" s="4" cm="1">
        <f t="array" ref="K1723">INDEX(Sheet1!H:H,$G1723)</f>
        <v>1</v>
      </c>
      <c r="L1723" s="4">
        <f t="shared" si="104"/>
        <v>21</v>
      </c>
      <c r="M1723" s="4">
        <f t="shared" si="107"/>
        <v>5</v>
      </c>
    </row>
    <row r="1724" spans="1:13">
      <c r="A1724" s="4" t="str" cm="1">
        <f t="array" ref="A1724">INDEX(Sheet1!A:A,$F1724)</f>
        <v>F</v>
      </c>
      <c r="B1724" s="4" t="str" cm="1">
        <f t="array" ref="B1724">INDEX(Sheet1!B:B,$F1724)</f>
        <v>Agg/Unknown</v>
      </c>
      <c r="C1724" s="4">
        <f t="shared" si="105"/>
        <v>22</v>
      </c>
      <c r="D1724" s="5" cm="1">
        <f t="array" aca="1" ref="D1724" ca="1">OFFSET(INDIRECT("'["&amp;$H1724&amp;"]"&amp;$I1724&amp;"'!"&amp;$J1724),$L1724,$M1724)*$K1724</f>
        <v>4.6000000000000001E-4</v>
      </c>
      <c r="F1724" s="4">
        <f t="shared" si="106"/>
        <v>19</v>
      </c>
      <c r="G1724" s="4" cm="1">
        <f t="array" ref="G1724">IF($C1724+$M1724&lt;16,INDEX(Sheet1!C:C,$F1724),$F1724)</f>
        <v>19</v>
      </c>
      <c r="H1724" s="4" t="str" cm="1">
        <f t="array" ref="H1724">INDEX(Sheet1!D:D,$G1724)</f>
        <v>t1139.xlsx</v>
      </c>
      <c r="I1724" s="4" t="str" cm="1">
        <f t="array" ref="I1724">INDEX(Sheet1!E:E,$G1724)</f>
        <v>Sheet1</v>
      </c>
      <c r="J1724" s="4" t="str" cm="1">
        <f t="array" ref="J1724">INDEX(Sheet1!F:F,$G1724)</f>
        <v>B25</v>
      </c>
      <c r="K1724" s="4" cm="1">
        <f t="array" ref="K1724">INDEX(Sheet1!H:H,$G1724)</f>
        <v>1</v>
      </c>
      <c r="L1724" s="4">
        <f t="shared" si="104"/>
        <v>22</v>
      </c>
      <c r="M1724" s="4">
        <f t="shared" si="107"/>
        <v>5</v>
      </c>
    </row>
    <row r="1725" spans="1:13">
      <c r="A1725" s="4" t="str" cm="1">
        <f t="array" ref="A1725">INDEX(Sheet1!A:A,$F1725)</f>
        <v>F</v>
      </c>
      <c r="B1725" s="4" t="str" cm="1">
        <f t="array" ref="B1725">INDEX(Sheet1!B:B,$F1725)</f>
        <v>Agg/Unknown</v>
      </c>
      <c r="C1725" s="4">
        <f t="shared" si="105"/>
        <v>23</v>
      </c>
      <c r="D1725" s="5" cm="1">
        <f t="array" aca="1" ref="D1725" ca="1">OFFSET(INDIRECT("'["&amp;$H1725&amp;"]"&amp;$I1725&amp;"'!"&amp;$J1725),$L1725,$M1725)*$K1725</f>
        <v>4.8000000000000001E-4</v>
      </c>
      <c r="F1725" s="4">
        <f t="shared" si="106"/>
        <v>19</v>
      </c>
      <c r="G1725" s="4" cm="1">
        <f t="array" ref="G1725">IF($C1725+$M1725&lt;16,INDEX(Sheet1!C:C,$F1725),$F1725)</f>
        <v>19</v>
      </c>
      <c r="H1725" s="4" t="str" cm="1">
        <f t="array" ref="H1725">INDEX(Sheet1!D:D,$G1725)</f>
        <v>t1139.xlsx</v>
      </c>
      <c r="I1725" s="4" t="str" cm="1">
        <f t="array" ref="I1725">INDEX(Sheet1!E:E,$G1725)</f>
        <v>Sheet1</v>
      </c>
      <c r="J1725" s="4" t="str" cm="1">
        <f t="array" ref="J1725">INDEX(Sheet1!F:F,$G1725)</f>
        <v>B25</v>
      </c>
      <c r="K1725" s="4" cm="1">
        <f t="array" ref="K1725">INDEX(Sheet1!H:H,$G1725)</f>
        <v>1</v>
      </c>
      <c r="L1725" s="4">
        <f t="shared" si="104"/>
        <v>23</v>
      </c>
      <c r="M1725" s="4">
        <f t="shared" si="107"/>
        <v>5</v>
      </c>
    </row>
    <row r="1726" spans="1:13">
      <c r="A1726" s="4" t="str" cm="1">
        <f t="array" ref="A1726">INDEX(Sheet1!A:A,$F1726)</f>
        <v>F</v>
      </c>
      <c r="B1726" s="4" t="str" cm="1">
        <f t="array" ref="B1726">INDEX(Sheet1!B:B,$F1726)</f>
        <v>Agg/Unknown</v>
      </c>
      <c r="C1726" s="4">
        <f t="shared" si="105"/>
        <v>24</v>
      </c>
      <c r="D1726" s="5" cm="1">
        <f t="array" aca="1" ref="D1726" ca="1">OFFSET(INDIRECT("'["&amp;$H1726&amp;"]"&amp;$I1726&amp;"'!"&amp;$J1726),$L1726,$M1726)*$K1726</f>
        <v>5.0000000000000001E-4</v>
      </c>
      <c r="F1726" s="4">
        <f t="shared" si="106"/>
        <v>19</v>
      </c>
      <c r="G1726" s="4" cm="1">
        <f t="array" ref="G1726">IF($C1726+$M1726&lt;16,INDEX(Sheet1!C:C,$F1726),$F1726)</f>
        <v>19</v>
      </c>
      <c r="H1726" s="4" t="str" cm="1">
        <f t="array" ref="H1726">INDEX(Sheet1!D:D,$G1726)</f>
        <v>t1139.xlsx</v>
      </c>
      <c r="I1726" s="4" t="str" cm="1">
        <f t="array" ref="I1726">INDEX(Sheet1!E:E,$G1726)</f>
        <v>Sheet1</v>
      </c>
      <c r="J1726" s="4" t="str" cm="1">
        <f t="array" ref="J1726">INDEX(Sheet1!F:F,$G1726)</f>
        <v>B25</v>
      </c>
      <c r="K1726" s="4" cm="1">
        <f t="array" ref="K1726">INDEX(Sheet1!H:H,$G1726)</f>
        <v>1</v>
      </c>
      <c r="L1726" s="4">
        <f t="shared" si="104"/>
        <v>24</v>
      </c>
      <c r="M1726" s="4">
        <f t="shared" si="107"/>
        <v>5</v>
      </c>
    </row>
    <row r="1727" spans="1:13">
      <c r="A1727" s="4" t="str" cm="1">
        <f t="array" ref="A1727">INDEX(Sheet1!A:A,$F1727)</f>
        <v>F</v>
      </c>
      <c r="B1727" s="4" t="str" cm="1">
        <f t="array" ref="B1727">INDEX(Sheet1!B:B,$F1727)</f>
        <v>Agg/Unknown</v>
      </c>
      <c r="C1727" s="4">
        <f t="shared" si="105"/>
        <v>25</v>
      </c>
      <c r="D1727" s="5" cm="1">
        <f t="array" aca="1" ref="D1727" ca="1">OFFSET(INDIRECT("'["&amp;$H1727&amp;"]"&amp;$I1727&amp;"'!"&amp;$J1727),$L1727,$M1727)*$K1727</f>
        <v>5.2999999999999998E-4</v>
      </c>
      <c r="F1727" s="4">
        <f t="shared" si="106"/>
        <v>19</v>
      </c>
      <c r="G1727" s="4" cm="1">
        <f t="array" ref="G1727">IF($C1727+$M1727&lt;16,INDEX(Sheet1!C:C,$F1727),$F1727)</f>
        <v>19</v>
      </c>
      <c r="H1727" s="4" t="str" cm="1">
        <f t="array" ref="H1727">INDEX(Sheet1!D:D,$G1727)</f>
        <v>t1139.xlsx</v>
      </c>
      <c r="I1727" s="4" t="str" cm="1">
        <f t="array" ref="I1727">INDEX(Sheet1!E:E,$G1727)</f>
        <v>Sheet1</v>
      </c>
      <c r="J1727" s="4" t="str" cm="1">
        <f t="array" ref="J1727">INDEX(Sheet1!F:F,$G1727)</f>
        <v>B25</v>
      </c>
      <c r="K1727" s="4" cm="1">
        <f t="array" ref="K1727">INDEX(Sheet1!H:H,$G1727)</f>
        <v>1</v>
      </c>
      <c r="L1727" s="4">
        <f t="shared" si="104"/>
        <v>25</v>
      </c>
      <c r="M1727" s="4">
        <f t="shared" si="107"/>
        <v>5</v>
      </c>
    </row>
    <row r="1728" spans="1:13">
      <c r="A1728" s="4" t="str" cm="1">
        <f t="array" ref="A1728">INDEX(Sheet1!A:A,$F1728)</f>
        <v>F</v>
      </c>
      <c r="B1728" s="4" t="str" cm="1">
        <f t="array" ref="B1728">INDEX(Sheet1!B:B,$F1728)</f>
        <v>Agg/Unknown</v>
      </c>
      <c r="C1728" s="4">
        <f t="shared" si="105"/>
        <v>26</v>
      </c>
      <c r="D1728" s="5" cm="1">
        <f t="array" aca="1" ref="D1728" ca="1">OFFSET(INDIRECT("'["&amp;$H1728&amp;"]"&amp;$I1728&amp;"'!"&amp;$J1728),$L1728,$M1728)*$K1728</f>
        <v>5.5999999999999995E-4</v>
      </c>
      <c r="F1728" s="4">
        <f t="shared" si="106"/>
        <v>19</v>
      </c>
      <c r="G1728" s="4" cm="1">
        <f t="array" ref="G1728">IF($C1728+$M1728&lt;16,INDEX(Sheet1!C:C,$F1728),$F1728)</f>
        <v>19</v>
      </c>
      <c r="H1728" s="4" t="str" cm="1">
        <f t="array" ref="H1728">INDEX(Sheet1!D:D,$G1728)</f>
        <v>t1139.xlsx</v>
      </c>
      <c r="I1728" s="4" t="str" cm="1">
        <f t="array" ref="I1728">INDEX(Sheet1!E:E,$G1728)</f>
        <v>Sheet1</v>
      </c>
      <c r="J1728" s="4" t="str" cm="1">
        <f t="array" ref="J1728">INDEX(Sheet1!F:F,$G1728)</f>
        <v>B25</v>
      </c>
      <c r="K1728" s="4" cm="1">
        <f t="array" ref="K1728">INDEX(Sheet1!H:H,$G1728)</f>
        <v>1</v>
      </c>
      <c r="L1728" s="4">
        <f t="shared" si="104"/>
        <v>26</v>
      </c>
      <c r="M1728" s="4">
        <f t="shared" si="107"/>
        <v>5</v>
      </c>
    </row>
    <row r="1729" spans="1:13">
      <c r="A1729" s="4" t="str" cm="1">
        <f t="array" ref="A1729">INDEX(Sheet1!A:A,$F1729)</f>
        <v>F</v>
      </c>
      <c r="B1729" s="4" t="str" cm="1">
        <f t="array" ref="B1729">INDEX(Sheet1!B:B,$F1729)</f>
        <v>Agg/Unknown</v>
      </c>
      <c r="C1729" s="4">
        <f t="shared" si="105"/>
        <v>27</v>
      </c>
      <c r="D1729" s="5" cm="1">
        <f t="array" aca="1" ref="D1729" ca="1">OFFSET(INDIRECT("'["&amp;$H1729&amp;"]"&amp;$I1729&amp;"'!"&amp;$J1729),$L1729,$M1729)*$K1729</f>
        <v>5.9000000000000003E-4</v>
      </c>
      <c r="F1729" s="4">
        <f t="shared" si="106"/>
        <v>19</v>
      </c>
      <c r="G1729" s="4" cm="1">
        <f t="array" ref="G1729">IF($C1729+$M1729&lt;16,INDEX(Sheet1!C:C,$F1729),$F1729)</f>
        <v>19</v>
      </c>
      <c r="H1729" s="4" t="str" cm="1">
        <f t="array" ref="H1729">INDEX(Sheet1!D:D,$G1729)</f>
        <v>t1139.xlsx</v>
      </c>
      <c r="I1729" s="4" t="str" cm="1">
        <f t="array" ref="I1729">INDEX(Sheet1!E:E,$G1729)</f>
        <v>Sheet1</v>
      </c>
      <c r="J1729" s="4" t="str" cm="1">
        <f t="array" ref="J1729">INDEX(Sheet1!F:F,$G1729)</f>
        <v>B25</v>
      </c>
      <c r="K1729" s="4" cm="1">
        <f t="array" ref="K1729">INDEX(Sheet1!H:H,$G1729)</f>
        <v>1</v>
      </c>
      <c r="L1729" s="4">
        <f t="shared" si="104"/>
        <v>27</v>
      </c>
      <c r="M1729" s="4">
        <f t="shared" si="107"/>
        <v>5</v>
      </c>
    </row>
    <row r="1730" spans="1:13">
      <c r="A1730" s="4" t="str" cm="1">
        <f t="array" ref="A1730">INDEX(Sheet1!A:A,$F1730)</f>
        <v>F</v>
      </c>
      <c r="B1730" s="4" t="str" cm="1">
        <f t="array" ref="B1730">INDEX(Sheet1!B:B,$F1730)</f>
        <v>Agg/Unknown</v>
      </c>
      <c r="C1730" s="4">
        <f t="shared" si="105"/>
        <v>28</v>
      </c>
      <c r="D1730" s="5" cm="1">
        <f t="array" aca="1" ref="D1730" ca="1">OFFSET(INDIRECT("'["&amp;$H1730&amp;"]"&amp;$I1730&amp;"'!"&amp;$J1730),$L1730,$M1730)*$K1730</f>
        <v>6.0999999999999997E-4</v>
      </c>
      <c r="F1730" s="4">
        <f t="shared" si="106"/>
        <v>19</v>
      </c>
      <c r="G1730" s="4" cm="1">
        <f t="array" ref="G1730">IF($C1730+$M1730&lt;16,INDEX(Sheet1!C:C,$F1730),$F1730)</f>
        <v>19</v>
      </c>
      <c r="H1730" s="4" t="str" cm="1">
        <f t="array" ref="H1730">INDEX(Sheet1!D:D,$G1730)</f>
        <v>t1139.xlsx</v>
      </c>
      <c r="I1730" s="4" t="str" cm="1">
        <f t="array" ref="I1730">INDEX(Sheet1!E:E,$G1730)</f>
        <v>Sheet1</v>
      </c>
      <c r="J1730" s="4" t="str" cm="1">
        <f t="array" ref="J1730">INDEX(Sheet1!F:F,$G1730)</f>
        <v>B25</v>
      </c>
      <c r="K1730" s="4" cm="1">
        <f t="array" ref="K1730">INDEX(Sheet1!H:H,$G1730)</f>
        <v>1</v>
      </c>
      <c r="L1730" s="4">
        <f t="shared" si="104"/>
        <v>28</v>
      </c>
      <c r="M1730" s="4">
        <f t="shared" si="107"/>
        <v>5</v>
      </c>
    </row>
    <row r="1731" spans="1:13">
      <c r="A1731" s="4" t="str" cm="1">
        <f t="array" ref="A1731">INDEX(Sheet1!A:A,$F1731)</f>
        <v>F</v>
      </c>
      <c r="B1731" s="4" t="str" cm="1">
        <f t="array" ref="B1731">INDEX(Sheet1!B:B,$F1731)</f>
        <v>Agg/Unknown</v>
      </c>
      <c r="C1731" s="4">
        <f t="shared" si="105"/>
        <v>29</v>
      </c>
      <c r="D1731" s="5" cm="1">
        <f t="array" aca="1" ref="D1731" ca="1">OFFSET(INDIRECT("'["&amp;$H1731&amp;"]"&amp;$I1731&amp;"'!"&amp;$J1731),$L1731,$M1731)*$K1731</f>
        <v>6.4000000000000005E-4</v>
      </c>
      <c r="F1731" s="4">
        <f t="shared" si="106"/>
        <v>19</v>
      </c>
      <c r="G1731" s="4" cm="1">
        <f t="array" ref="G1731">IF($C1731+$M1731&lt;16,INDEX(Sheet1!C:C,$F1731),$F1731)</f>
        <v>19</v>
      </c>
      <c r="H1731" s="4" t="str" cm="1">
        <f t="array" ref="H1731">INDEX(Sheet1!D:D,$G1731)</f>
        <v>t1139.xlsx</v>
      </c>
      <c r="I1731" s="4" t="str" cm="1">
        <f t="array" ref="I1731">INDEX(Sheet1!E:E,$G1731)</f>
        <v>Sheet1</v>
      </c>
      <c r="J1731" s="4" t="str" cm="1">
        <f t="array" ref="J1731">INDEX(Sheet1!F:F,$G1731)</f>
        <v>B25</v>
      </c>
      <c r="K1731" s="4" cm="1">
        <f t="array" ref="K1731">INDEX(Sheet1!H:H,$G1731)</f>
        <v>1</v>
      </c>
      <c r="L1731" s="4">
        <f t="shared" ref="L1731:L1794" si="108">C1731</f>
        <v>29</v>
      </c>
      <c r="M1731" s="4">
        <f t="shared" si="107"/>
        <v>5</v>
      </c>
    </row>
    <row r="1732" spans="1:13">
      <c r="A1732" s="4" t="str" cm="1">
        <f t="array" ref="A1732">INDEX(Sheet1!A:A,$F1732)</f>
        <v>F</v>
      </c>
      <c r="B1732" s="4" t="str" cm="1">
        <f t="array" ref="B1732">INDEX(Sheet1!B:B,$F1732)</f>
        <v>Agg/Unknown</v>
      </c>
      <c r="C1732" s="4">
        <f t="shared" ref="C1732:C1795" si="109">IF(C1731=99,0,C1731+1)</f>
        <v>30</v>
      </c>
      <c r="D1732" s="5" cm="1">
        <f t="array" aca="1" ref="D1732" ca="1">OFFSET(INDIRECT("'["&amp;$H1732&amp;"]"&amp;$I1732&amp;"'!"&amp;$J1732),$L1732,$M1732)*$K1732</f>
        <v>6.7000000000000002E-4</v>
      </c>
      <c r="F1732" s="4">
        <f t="shared" ref="F1732:F1795" si="110">IF(C1732=0,1,0)+F1731</f>
        <v>19</v>
      </c>
      <c r="G1732" s="4" cm="1">
        <f t="array" ref="G1732">IF($C1732+$M1732&lt;16,INDEX(Sheet1!C:C,$F1732),$F1732)</f>
        <v>19</v>
      </c>
      <c r="H1732" s="4" t="str" cm="1">
        <f t="array" ref="H1732">INDEX(Sheet1!D:D,$G1732)</f>
        <v>t1139.xlsx</v>
      </c>
      <c r="I1732" s="4" t="str" cm="1">
        <f t="array" ref="I1732">INDEX(Sheet1!E:E,$G1732)</f>
        <v>Sheet1</v>
      </c>
      <c r="J1732" s="4" t="str" cm="1">
        <f t="array" ref="J1732">INDEX(Sheet1!F:F,$G1732)</f>
        <v>B25</v>
      </c>
      <c r="K1732" s="4" cm="1">
        <f t="array" ref="K1732">INDEX(Sheet1!H:H,$G1732)</f>
        <v>1</v>
      </c>
      <c r="L1732" s="4">
        <f t="shared" si="108"/>
        <v>30</v>
      </c>
      <c r="M1732" s="4">
        <f t="shared" ref="L1732:M1795" si="111">M$2</f>
        <v>5</v>
      </c>
    </row>
    <row r="1733" spans="1:13">
      <c r="A1733" s="4" t="str" cm="1">
        <f t="array" ref="A1733">INDEX(Sheet1!A:A,$F1733)</f>
        <v>F</v>
      </c>
      <c r="B1733" s="4" t="str" cm="1">
        <f t="array" ref="B1733">INDEX(Sheet1!B:B,$F1733)</f>
        <v>Agg/Unknown</v>
      </c>
      <c r="C1733" s="4">
        <f t="shared" si="109"/>
        <v>31</v>
      </c>
      <c r="D1733" s="5" cm="1">
        <f t="array" aca="1" ref="D1733" ca="1">OFFSET(INDIRECT("'["&amp;$H1733&amp;"]"&amp;$I1733&amp;"'!"&amp;$J1733),$L1733,$M1733)*$K1733</f>
        <v>6.9999999999999999E-4</v>
      </c>
      <c r="F1733" s="4">
        <f t="shared" si="110"/>
        <v>19</v>
      </c>
      <c r="G1733" s="4" cm="1">
        <f t="array" ref="G1733">IF($C1733+$M1733&lt;16,INDEX(Sheet1!C:C,$F1733),$F1733)</f>
        <v>19</v>
      </c>
      <c r="H1733" s="4" t="str" cm="1">
        <f t="array" ref="H1733">INDEX(Sheet1!D:D,$G1733)</f>
        <v>t1139.xlsx</v>
      </c>
      <c r="I1733" s="4" t="str" cm="1">
        <f t="array" ref="I1733">INDEX(Sheet1!E:E,$G1733)</f>
        <v>Sheet1</v>
      </c>
      <c r="J1733" s="4" t="str" cm="1">
        <f t="array" ref="J1733">INDEX(Sheet1!F:F,$G1733)</f>
        <v>B25</v>
      </c>
      <c r="K1733" s="4" cm="1">
        <f t="array" ref="K1733">INDEX(Sheet1!H:H,$G1733)</f>
        <v>1</v>
      </c>
      <c r="L1733" s="4">
        <f t="shared" si="108"/>
        <v>31</v>
      </c>
      <c r="M1733" s="4">
        <f t="shared" si="111"/>
        <v>5</v>
      </c>
    </row>
    <row r="1734" spans="1:13">
      <c r="A1734" s="4" t="str" cm="1">
        <f t="array" ref="A1734">INDEX(Sheet1!A:A,$F1734)</f>
        <v>F</v>
      </c>
      <c r="B1734" s="4" t="str" cm="1">
        <f t="array" ref="B1734">INDEX(Sheet1!B:B,$F1734)</f>
        <v>Agg/Unknown</v>
      </c>
      <c r="C1734" s="4">
        <f t="shared" si="109"/>
        <v>32</v>
      </c>
      <c r="D1734" s="5" cm="1">
        <f t="array" aca="1" ref="D1734" ca="1">OFFSET(INDIRECT("'["&amp;$H1734&amp;"]"&amp;$I1734&amp;"'!"&amp;$J1734),$L1734,$M1734)*$K1734</f>
        <v>7.2999999999999996E-4</v>
      </c>
      <c r="F1734" s="4">
        <f t="shared" si="110"/>
        <v>19</v>
      </c>
      <c r="G1734" s="4" cm="1">
        <f t="array" ref="G1734">IF($C1734+$M1734&lt;16,INDEX(Sheet1!C:C,$F1734),$F1734)</f>
        <v>19</v>
      </c>
      <c r="H1734" s="4" t="str" cm="1">
        <f t="array" ref="H1734">INDEX(Sheet1!D:D,$G1734)</f>
        <v>t1139.xlsx</v>
      </c>
      <c r="I1734" s="4" t="str" cm="1">
        <f t="array" ref="I1734">INDEX(Sheet1!E:E,$G1734)</f>
        <v>Sheet1</v>
      </c>
      <c r="J1734" s="4" t="str" cm="1">
        <f t="array" ref="J1734">INDEX(Sheet1!F:F,$G1734)</f>
        <v>B25</v>
      </c>
      <c r="K1734" s="4" cm="1">
        <f t="array" ref="K1734">INDEX(Sheet1!H:H,$G1734)</f>
        <v>1</v>
      </c>
      <c r="L1734" s="4">
        <f t="shared" si="108"/>
        <v>32</v>
      </c>
      <c r="M1734" s="4">
        <f t="shared" si="111"/>
        <v>5</v>
      </c>
    </row>
    <row r="1735" spans="1:13">
      <c r="A1735" s="4" t="str" cm="1">
        <f t="array" ref="A1735">INDEX(Sheet1!A:A,$F1735)</f>
        <v>F</v>
      </c>
      <c r="B1735" s="4" t="str" cm="1">
        <f t="array" ref="B1735">INDEX(Sheet1!B:B,$F1735)</f>
        <v>Agg/Unknown</v>
      </c>
      <c r="C1735" s="4">
        <f t="shared" si="109"/>
        <v>33</v>
      </c>
      <c r="D1735" s="5" cm="1">
        <f t="array" aca="1" ref="D1735" ca="1">OFFSET(INDIRECT("'["&amp;$H1735&amp;"]"&amp;$I1735&amp;"'!"&amp;$J1735),$L1735,$M1735)*$K1735</f>
        <v>7.7999999999999999E-4</v>
      </c>
      <c r="F1735" s="4">
        <f t="shared" si="110"/>
        <v>19</v>
      </c>
      <c r="G1735" s="4" cm="1">
        <f t="array" ref="G1735">IF($C1735+$M1735&lt;16,INDEX(Sheet1!C:C,$F1735),$F1735)</f>
        <v>19</v>
      </c>
      <c r="H1735" s="4" t="str" cm="1">
        <f t="array" ref="H1735">INDEX(Sheet1!D:D,$G1735)</f>
        <v>t1139.xlsx</v>
      </c>
      <c r="I1735" s="4" t="str" cm="1">
        <f t="array" ref="I1735">INDEX(Sheet1!E:E,$G1735)</f>
        <v>Sheet1</v>
      </c>
      <c r="J1735" s="4" t="str" cm="1">
        <f t="array" ref="J1735">INDEX(Sheet1!F:F,$G1735)</f>
        <v>B25</v>
      </c>
      <c r="K1735" s="4" cm="1">
        <f t="array" ref="K1735">INDEX(Sheet1!H:H,$G1735)</f>
        <v>1</v>
      </c>
      <c r="L1735" s="4">
        <f t="shared" si="108"/>
        <v>33</v>
      </c>
      <c r="M1735" s="4">
        <f t="shared" si="111"/>
        <v>5</v>
      </c>
    </row>
    <row r="1736" spans="1:13">
      <c r="A1736" s="4" t="str" cm="1">
        <f t="array" ref="A1736">INDEX(Sheet1!A:A,$F1736)</f>
        <v>F</v>
      </c>
      <c r="B1736" s="4" t="str" cm="1">
        <f t="array" ref="B1736">INDEX(Sheet1!B:B,$F1736)</f>
        <v>Agg/Unknown</v>
      </c>
      <c r="C1736" s="4">
        <f t="shared" si="109"/>
        <v>34</v>
      </c>
      <c r="D1736" s="5" cm="1">
        <f t="array" aca="1" ref="D1736" ca="1">OFFSET(INDIRECT("'["&amp;$H1736&amp;"]"&amp;$I1736&amp;"'!"&amp;$J1736),$L1736,$M1736)*$K1736</f>
        <v>8.1999999999999998E-4</v>
      </c>
      <c r="F1736" s="4">
        <f t="shared" si="110"/>
        <v>19</v>
      </c>
      <c r="G1736" s="4" cm="1">
        <f t="array" ref="G1736">IF($C1736+$M1736&lt;16,INDEX(Sheet1!C:C,$F1736),$F1736)</f>
        <v>19</v>
      </c>
      <c r="H1736" s="4" t="str" cm="1">
        <f t="array" ref="H1736">INDEX(Sheet1!D:D,$G1736)</f>
        <v>t1139.xlsx</v>
      </c>
      <c r="I1736" s="4" t="str" cm="1">
        <f t="array" ref="I1736">INDEX(Sheet1!E:E,$G1736)</f>
        <v>Sheet1</v>
      </c>
      <c r="J1736" s="4" t="str" cm="1">
        <f t="array" ref="J1736">INDEX(Sheet1!F:F,$G1736)</f>
        <v>B25</v>
      </c>
      <c r="K1736" s="4" cm="1">
        <f t="array" ref="K1736">INDEX(Sheet1!H:H,$G1736)</f>
        <v>1</v>
      </c>
      <c r="L1736" s="4">
        <f t="shared" si="108"/>
        <v>34</v>
      </c>
      <c r="M1736" s="4">
        <f t="shared" si="111"/>
        <v>5</v>
      </c>
    </row>
    <row r="1737" spans="1:13">
      <c r="A1737" s="4" t="str" cm="1">
        <f t="array" ref="A1737">INDEX(Sheet1!A:A,$F1737)</f>
        <v>F</v>
      </c>
      <c r="B1737" s="4" t="str" cm="1">
        <f t="array" ref="B1737">INDEX(Sheet1!B:B,$F1737)</f>
        <v>Agg/Unknown</v>
      </c>
      <c r="C1737" s="4">
        <f t="shared" si="109"/>
        <v>35</v>
      </c>
      <c r="D1737" s="5" cm="1">
        <f t="array" aca="1" ref="D1737" ca="1">OFFSET(INDIRECT("'["&amp;$H1737&amp;"]"&amp;$I1737&amp;"'!"&amp;$J1737),$L1737,$M1737)*$K1737</f>
        <v>8.8999999999999995E-4</v>
      </c>
      <c r="F1737" s="4">
        <f t="shared" si="110"/>
        <v>19</v>
      </c>
      <c r="G1737" s="4" cm="1">
        <f t="array" ref="G1737">IF($C1737+$M1737&lt;16,INDEX(Sheet1!C:C,$F1737),$F1737)</f>
        <v>19</v>
      </c>
      <c r="H1737" s="4" t="str" cm="1">
        <f t="array" ref="H1737">INDEX(Sheet1!D:D,$G1737)</f>
        <v>t1139.xlsx</v>
      </c>
      <c r="I1737" s="4" t="str" cm="1">
        <f t="array" ref="I1737">INDEX(Sheet1!E:E,$G1737)</f>
        <v>Sheet1</v>
      </c>
      <c r="J1737" s="4" t="str" cm="1">
        <f t="array" ref="J1737">INDEX(Sheet1!F:F,$G1737)</f>
        <v>B25</v>
      </c>
      <c r="K1737" s="4" cm="1">
        <f t="array" ref="K1737">INDEX(Sheet1!H:H,$G1737)</f>
        <v>1</v>
      </c>
      <c r="L1737" s="4">
        <f t="shared" si="108"/>
        <v>35</v>
      </c>
      <c r="M1737" s="4">
        <f t="shared" si="111"/>
        <v>5</v>
      </c>
    </row>
    <row r="1738" spans="1:13">
      <c r="A1738" s="4" t="str" cm="1">
        <f t="array" ref="A1738">INDEX(Sheet1!A:A,$F1738)</f>
        <v>F</v>
      </c>
      <c r="B1738" s="4" t="str" cm="1">
        <f t="array" ref="B1738">INDEX(Sheet1!B:B,$F1738)</f>
        <v>Agg/Unknown</v>
      </c>
      <c r="C1738" s="4">
        <f t="shared" si="109"/>
        <v>36</v>
      </c>
      <c r="D1738" s="5" cm="1">
        <f t="array" aca="1" ref="D1738" ca="1">OFFSET(INDIRECT("'["&amp;$H1738&amp;"]"&amp;$I1738&amp;"'!"&amp;$J1738),$L1738,$M1738)*$K1738</f>
        <v>9.6000000000000002E-4</v>
      </c>
      <c r="F1738" s="4">
        <f t="shared" si="110"/>
        <v>19</v>
      </c>
      <c r="G1738" s="4" cm="1">
        <f t="array" ref="G1738">IF($C1738+$M1738&lt;16,INDEX(Sheet1!C:C,$F1738),$F1738)</f>
        <v>19</v>
      </c>
      <c r="H1738" s="4" t="str" cm="1">
        <f t="array" ref="H1738">INDEX(Sheet1!D:D,$G1738)</f>
        <v>t1139.xlsx</v>
      </c>
      <c r="I1738" s="4" t="str" cm="1">
        <f t="array" ref="I1738">INDEX(Sheet1!E:E,$G1738)</f>
        <v>Sheet1</v>
      </c>
      <c r="J1738" s="4" t="str" cm="1">
        <f t="array" ref="J1738">INDEX(Sheet1!F:F,$G1738)</f>
        <v>B25</v>
      </c>
      <c r="K1738" s="4" cm="1">
        <f t="array" ref="K1738">INDEX(Sheet1!H:H,$G1738)</f>
        <v>1</v>
      </c>
      <c r="L1738" s="4">
        <f t="shared" si="108"/>
        <v>36</v>
      </c>
      <c r="M1738" s="4">
        <f t="shared" si="111"/>
        <v>5</v>
      </c>
    </row>
    <row r="1739" spans="1:13">
      <c r="A1739" s="4" t="str" cm="1">
        <f t="array" ref="A1739">INDEX(Sheet1!A:A,$F1739)</f>
        <v>F</v>
      </c>
      <c r="B1739" s="4" t="str" cm="1">
        <f t="array" ref="B1739">INDEX(Sheet1!B:B,$F1739)</f>
        <v>Agg/Unknown</v>
      </c>
      <c r="C1739" s="4">
        <f t="shared" si="109"/>
        <v>37</v>
      </c>
      <c r="D1739" s="5" cm="1">
        <f t="array" aca="1" ref="D1739" ca="1">OFFSET(INDIRECT("'["&amp;$H1739&amp;"]"&amp;$I1739&amp;"'!"&amp;$J1739),$L1739,$M1739)*$K1739</f>
        <v>1.0499999999999999E-3</v>
      </c>
      <c r="F1739" s="4">
        <f t="shared" si="110"/>
        <v>19</v>
      </c>
      <c r="G1739" s="4" cm="1">
        <f t="array" ref="G1739">IF($C1739+$M1739&lt;16,INDEX(Sheet1!C:C,$F1739),$F1739)</f>
        <v>19</v>
      </c>
      <c r="H1739" s="4" t="str" cm="1">
        <f t="array" ref="H1739">INDEX(Sheet1!D:D,$G1739)</f>
        <v>t1139.xlsx</v>
      </c>
      <c r="I1739" s="4" t="str" cm="1">
        <f t="array" ref="I1739">INDEX(Sheet1!E:E,$G1739)</f>
        <v>Sheet1</v>
      </c>
      <c r="J1739" s="4" t="str" cm="1">
        <f t="array" ref="J1739">INDEX(Sheet1!F:F,$G1739)</f>
        <v>B25</v>
      </c>
      <c r="K1739" s="4" cm="1">
        <f t="array" ref="K1739">INDEX(Sheet1!H:H,$G1739)</f>
        <v>1</v>
      </c>
      <c r="L1739" s="4">
        <f t="shared" si="108"/>
        <v>37</v>
      </c>
      <c r="M1739" s="4">
        <f t="shared" si="111"/>
        <v>5</v>
      </c>
    </row>
    <row r="1740" spans="1:13">
      <c r="A1740" s="4" t="str" cm="1">
        <f t="array" ref="A1740">INDEX(Sheet1!A:A,$F1740)</f>
        <v>F</v>
      </c>
      <c r="B1740" s="4" t="str" cm="1">
        <f t="array" ref="B1740">INDEX(Sheet1!B:B,$F1740)</f>
        <v>Agg/Unknown</v>
      </c>
      <c r="C1740" s="4">
        <f t="shared" si="109"/>
        <v>38</v>
      </c>
      <c r="D1740" s="5" cm="1">
        <f t="array" aca="1" ref="D1740" ca="1">OFFSET(INDIRECT("'["&amp;$H1740&amp;"]"&amp;$I1740&amp;"'!"&amp;$J1740),$L1740,$M1740)*$K1740</f>
        <v>1.14E-3</v>
      </c>
      <c r="F1740" s="4">
        <f t="shared" si="110"/>
        <v>19</v>
      </c>
      <c r="G1740" s="4" cm="1">
        <f t="array" ref="G1740">IF($C1740+$M1740&lt;16,INDEX(Sheet1!C:C,$F1740),$F1740)</f>
        <v>19</v>
      </c>
      <c r="H1740" s="4" t="str" cm="1">
        <f t="array" ref="H1740">INDEX(Sheet1!D:D,$G1740)</f>
        <v>t1139.xlsx</v>
      </c>
      <c r="I1740" s="4" t="str" cm="1">
        <f t="array" ref="I1740">INDEX(Sheet1!E:E,$G1740)</f>
        <v>Sheet1</v>
      </c>
      <c r="J1740" s="4" t="str" cm="1">
        <f t="array" ref="J1740">INDEX(Sheet1!F:F,$G1740)</f>
        <v>B25</v>
      </c>
      <c r="K1740" s="4" cm="1">
        <f t="array" ref="K1740">INDEX(Sheet1!H:H,$G1740)</f>
        <v>1</v>
      </c>
      <c r="L1740" s="4">
        <f t="shared" si="108"/>
        <v>38</v>
      </c>
      <c r="M1740" s="4">
        <f t="shared" si="111"/>
        <v>5</v>
      </c>
    </row>
    <row r="1741" spans="1:13">
      <c r="A1741" s="4" t="str" cm="1">
        <f t="array" ref="A1741">INDEX(Sheet1!A:A,$F1741)</f>
        <v>F</v>
      </c>
      <c r="B1741" s="4" t="str" cm="1">
        <f t="array" ref="B1741">INDEX(Sheet1!B:B,$F1741)</f>
        <v>Agg/Unknown</v>
      </c>
      <c r="C1741" s="4">
        <f t="shared" si="109"/>
        <v>39</v>
      </c>
      <c r="D1741" s="5" cm="1">
        <f t="array" aca="1" ref="D1741" ca="1">OFFSET(INDIRECT("'["&amp;$H1741&amp;"]"&amp;$I1741&amp;"'!"&amp;$J1741),$L1741,$M1741)*$K1741</f>
        <v>1.25E-3</v>
      </c>
      <c r="F1741" s="4">
        <f t="shared" si="110"/>
        <v>19</v>
      </c>
      <c r="G1741" s="4" cm="1">
        <f t="array" ref="G1741">IF($C1741+$M1741&lt;16,INDEX(Sheet1!C:C,$F1741),$F1741)</f>
        <v>19</v>
      </c>
      <c r="H1741" s="4" t="str" cm="1">
        <f t="array" ref="H1741">INDEX(Sheet1!D:D,$G1741)</f>
        <v>t1139.xlsx</v>
      </c>
      <c r="I1741" s="4" t="str" cm="1">
        <f t="array" ref="I1741">INDEX(Sheet1!E:E,$G1741)</f>
        <v>Sheet1</v>
      </c>
      <c r="J1741" s="4" t="str" cm="1">
        <f t="array" ref="J1741">INDEX(Sheet1!F:F,$G1741)</f>
        <v>B25</v>
      </c>
      <c r="K1741" s="4" cm="1">
        <f t="array" ref="K1741">INDEX(Sheet1!H:H,$G1741)</f>
        <v>1</v>
      </c>
      <c r="L1741" s="4">
        <f t="shared" si="108"/>
        <v>39</v>
      </c>
      <c r="M1741" s="4">
        <f t="shared" si="111"/>
        <v>5</v>
      </c>
    </row>
    <row r="1742" spans="1:13">
      <c r="A1742" s="4" t="str" cm="1">
        <f t="array" ref="A1742">INDEX(Sheet1!A:A,$F1742)</f>
        <v>F</v>
      </c>
      <c r="B1742" s="4" t="str" cm="1">
        <f t="array" ref="B1742">INDEX(Sheet1!B:B,$F1742)</f>
        <v>Agg/Unknown</v>
      </c>
      <c r="C1742" s="4">
        <f t="shared" si="109"/>
        <v>40</v>
      </c>
      <c r="D1742" s="5" cm="1">
        <f t="array" aca="1" ref="D1742" ca="1">OFFSET(INDIRECT("'["&amp;$H1742&amp;"]"&amp;$I1742&amp;"'!"&amp;$J1742),$L1742,$M1742)*$K1742</f>
        <v>1.3699999999999999E-3</v>
      </c>
      <c r="F1742" s="4">
        <f t="shared" si="110"/>
        <v>19</v>
      </c>
      <c r="G1742" s="4" cm="1">
        <f t="array" ref="G1742">IF($C1742+$M1742&lt;16,INDEX(Sheet1!C:C,$F1742),$F1742)</f>
        <v>19</v>
      </c>
      <c r="H1742" s="4" t="str" cm="1">
        <f t="array" ref="H1742">INDEX(Sheet1!D:D,$G1742)</f>
        <v>t1139.xlsx</v>
      </c>
      <c r="I1742" s="4" t="str" cm="1">
        <f t="array" ref="I1742">INDEX(Sheet1!E:E,$G1742)</f>
        <v>Sheet1</v>
      </c>
      <c r="J1742" s="4" t="str" cm="1">
        <f t="array" ref="J1742">INDEX(Sheet1!F:F,$G1742)</f>
        <v>B25</v>
      </c>
      <c r="K1742" s="4" cm="1">
        <f t="array" ref="K1742">INDEX(Sheet1!H:H,$G1742)</f>
        <v>1</v>
      </c>
      <c r="L1742" s="4">
        <f t="shared" si="108"/>
        <v>40</v>
      </c>
      <c r="M1742" s="4">
        <f t="shared" si="111"/>
        <v>5</v>
      </c>
    </row>
    <row r="1743" spans="1:13">
      <c r="A1743" s="4" t="str" cm="1">
        <f t="array" ref="A1743">INDEX(Sheet1!A:A,$F1743)</f>
        <v>F</v>
      </c>
      <c r="B1743" s="4" t="str" cm="1">
        <f t="array" ref="B1743">INDEX(Sheet1!B:B,$F1743)</f>
        <v>Agg/Unknown</v>
      </c>
      <c r="C1743" s="4">
        <f t="shared" si="109"/>
        <v>41</v>
      </c>
      <c r="D1743" s="5" cm="1">
        <f t="array" aca="1" ref="D1743" ca="1">OFFSET(INDIRECT("'["&amp;$H1743&amp;"]"&amp;$I1743&amp;"'!"&amp;$J1743),$L1743,$M1743)*$K1743</f>
        <v>1.5200000000000001E-3</v>
      </c>
      <c r="F1743" s="4">
        <f t="shared" si="110"/>
        <v>19</v>
      </c>
      <c r="G1743" s="4" cm="1">
        <f t="array" ref="G1743">IF($C1743+$M1743&lt;16,INDEX(Sheet1!C:C,$F1743),$F1743)</f>
        <v>19</v>
      </c>
      <c r="H1743" s="4" t="str" cm="1">
        <f t="array" ref="H1743">INDEX(Sheet1!D:D,$G1743)</f>
        <v>t1139.xlsx</v>
      </c>
      <c r="I1743" s="4" t="str" cm="1">
        <f t="array" ref="I1743">INDEX(Sheet1!E:E,$G1743)</f>
        <v>Sheet1</v>
      </c>
      <c r="J1743" s="4" t="str" cm="1">
        <f t="array" ref="J1743">INDEX(Sheet1!F:F,$G1743)</f>
        <v>B25</v>
      </c>
      <c r="K1743" s="4" cm="1">
        <f t="array" ref="K1743">INDEX(Sheet1!H:H,$G1743)</f>
        <v>1</v>
      </c>
      <c r="L1743" s="4">
        <f t="shared" si="108"/>
        <v>41</v>
      </c>
      <c r="M1743" s="4">
        <f t="shared" si="111"/>
        <v>5</v>
      </c>
    </row>
    <row r="1744" spans="1:13">
      <c r="A1744" s="4" t="str" cm="1">
        <f t="array" ref="A1744">INDEX(Sheet1!A:A,$F1744)</f>
        <v>F</v>
      </c>
      <c r="B1744" s="4" t="str" cm="1">
        <f t="array" ref="B1744">INDEX(Sheet1!B:B,$F1744)</f>
        <v>Agg/Unknown</v>
      </c>
      <c r="C1744" s="4">
        <f t="shared" si="109"/>
        <v>42</v>
      </c>
      <c r="D1744" s="5" cm="1">
        <f t="array" aca="1" ref="D1744" ca="1">OFFSET(INDIRECT("'["&amp;$H1744&amp;"]"&amp;$I1744&amp;"'!"&amp;$J1744),$L1744,$M1744)*$K1744</f>
        <v>1.67E-3</v>
      </c>
      <c r="F1744" s="4">
        <f t="shared" si="110"/>
        <v>19</v>
      </c>
      <c r="G1744" s="4" cm="1">
        <f t="array" ref="G1744">IF($C1744+$M1744&lt;16,INDEX(Sheet1!C:C,$F1744),$F1744)</f>
        <v>19</v>
      </c>
      <c r="H1744" s="4" t="str" cm="1">
        <f t="array" ref="H1744">INDEX(Sheet1!D:D,$G1744)</f>
        <v>t1139.xlsx</v>
      </c>
      <c r="I1744" s="4" t="str" cm="1">
        <f t="array" ref="I1744">INDEX(Sheet1!E:E,$G1744)</f>
        <v>Sheet1</v>
      </c>
      <c r="J1744" s="4" t="str" cm="1">
        <f t="array" ref="J1744">INDEX(Sheet1!F:F,$G1744)</f>
        <v>B25</v>
      </c>
      <c r="K1744" s="4" cm="1">
        <f t="array" ref="K1744">INDEX(Sheet1!H:H,$G1744)</f>
        <v>1</v>
      </c>
      <c r="L1744" s="4">
        <f t="shared" si="108"/>
        <v>42</v>
      </c>
      <c r="M1744" s="4">
        <f t="shared" si="111"/>
        <v>5</v>
      </c>
    </row>
    <row r="1745" spans="1:13">
      <c r="A1745" s="4" t="str" cm="1">
        <f t="array" ref="A1745">INDEX(Sheet1!A:A,$F1745)</f>
        <v>F</v>
      </c>
      <c r="B1745" s="4" t="str" cm="1">
        <f t="array" ref="B1745">INDEX(Sheet1!B:B,$F1745)</f>
        <v>Agg/Unknown</v>
      </c>
      <c r="C1745" s="4">
        <f t="shared" si="109"/>
        <v>43</v>
      </c>
      <c r="D1745" s="5" cm="1">
        <f t="array" aca="1" ref="D1745" ca="1">OFFSET(INDIRECT("'["&amp;$H1745&amp;"]"&amp;$I1745&amp;"'!"&amp;$J1745),$L1745,$M1745)*$K1745</f>
        <v>1.8600000000000001E-3</v>
      </c>
      <c r="F1745" s="4">
        <f t="shared" si="110"/>
        <v>19</v>
      </c>
      <c r="G1745" s="4" cm="1">
        <f t="array" ref="G1745">IF($C1745+$M1745&lt;16,INDEX(Sheet1!C:C,$F1745),$F1745)</f>
        <v>19</v>
      </c>
      <c r="H1745" s="4" t="str" cm="1">
        <f t="array" ref="H1745">INDEX(Sheet1!D:D,$G1745)</f>
        <v>t1139.xlsx</v>
      </c>
      <c r="I1745" s="4" t="str" cm="1">
        <f t="array" ref="I1745">INDEX(Sheet1!E:E,$G1745)</f>
        <v>Sheet1</v>
      </c>
      <c r="J1745" s="4" t="str" cm="1">
        <f t="array" ref="J1745">INDEX(Sheet1!F:F,$G1745)</f>
        <v>B25</v>
      </c>
      <c r="K1745" s="4" cm="1">
        <f t="array" ref="K1745">INDEX(Sheet1!H:H,$G1745)</f>
        <v>1</v>
      </c>
      <c r="L1745" s="4">
        <f t="shared" si="108"/>
        <v>43</v>
      </c>
      <c r="M1745" s="4">
        <f t="shared" si="111"/>
        <v>5</v>
      </c>
    </row>
    <row r="1746" spans="1:13">
      <c r="A1746" s="4" t="str" cm="1">
        <f t="array" ref="A1746">INDEX(Sheet1!A:A,$F1746)</f>
        <v>F</v>
      </c>
      <c r="B1746" s="4" t="str" cm="1">
        <f t="array" ref="B1746">INDEX(Sheet1!B:B,$F1746)</f>
        <v>Agg/Unknown</v>
      </c>
      <c r="C1746" s="4">
        <f t="shared" si="109"/>
        <v>44</v>
      </c>
      <c r="D1746" s="5" cm="1">
        <f t="array" aca="1" ref="D1746" ca="1">OFFSET(INDIRECT("'["&amp;$H1746&amp;"]"&amp;$I1746&amp;"'!"&amp;$J1746),$L1746,$M1746)*$K1746</f>
        <v>2.0699999999999998E-3</v>
      </c>
      <c r="F1746" s="4">
        <f t="shared" si="110"/>
        <v>19</v>
      </c>
      <c r="G1746" s="4" cm="1">
        <f t="array" ref="G1746">IF($C1746+$M1746&lt;16,INDEX(Sheet1!C:C,$F1746),$F1746)</f>
        <v>19</v>
      </c>
      <c r="H1746" s="4" t="str" cm="1">
        <f t="array" ref="H1746">INDEX(Sheet1!D:D,$G1746)</f>
        <v>t1139.xlsx</v>
      </c>
      <c r="I1746" s="4" t="str" cm="1">
        <f t="array" ref="I1746">INDEX(Sheet1!E:E,$G1746)</f>
        <v>Sheet1</v>
      </c>
      <c r="J1746" s="4" t="str" cm="1">
        <f t="array" ref="J1746">INDEX(Sheet1!F:F,$G1746)</f>
        <v>B25</v>
      </c>
      <c r="K1746" s="4" cm="1">
        <f t="array" ref="K1746">INDEX(Sheet1!H:H,$G1746)</f>
        <v>1</v>
      </c>
      <c r="L1746" s="4">
        <f t="shared" si="108"/>
        <v>44</v>
      </c>
      <c r="M1746" s="4">
        <f t="shared" si="111"/>
        <v>5</v>
      </c>
    </row>
    <row r="1747" spans="1:13">
      <c r="A1747" s="4" t="str" cm="1">
        <f t="array" ref="A1747">INDEX(Sheet1!A:A,$F1747)</f>
        <v>F</v>
      </c>
      <c r="B1747" s="4" t="str" cm="1">
        <f t="array" ref="B1747">INDEX(Sheet1!B:B,$F1747)</f>
        <v>Agg/Unknown</v>
      </c>
      <c r="C1747" s="4">
        <f t="shared" si="109"/>
        <v>45</v>
      </c>
      <c r="D1747" s="5" cm="1">
        <f t="array" aca="1" ref="D1747" ca="1">OFFSET(INDIRECT("'["&amp;$H1747&amp;"]"&amp;$I1747&amp;"'!"&amp;$J1747),$L1747,$M1747)*$K1747</f>
        <v>2.3E-3</v>
      </c>
      <c r="F1747" s="4">
        <f t="shared" si="110"/>
        <v>19</v>
      </c>
      <c r="G1747" s="4" cm="1">
        <f t="array" ref="G1747">IF($C1747+$M1747&lt;16,INDEX(Sheet1!C:C,$F1747),$F1747)</f>
        <v>19</v>
      </c>
      <c r="H1747" s="4" t="str" cm="1">
        <f t="array" ref="H1747">INDEX(Sheet1!D:D,$G1747)</f>
        <v>t1139.xlsx</v>
      </c>
      <c r="I1747" s="4" t="str" cm="1">
        <f t="array" ref="I1747">INDEX(Sheet1!E:E,$G1747)</f>
        <v>Sheet1</v>
      </c>
      <c r="J1747" s="4" t="str" cm="1">
        <f t="array" ref="J1747">INDEX(Sheet1!F:F,$G1747)</f>
        <v>B25</v>
      </c>
      <c r="K1747" s="4" cm="1">
        <f t="array" ref="K1747">INDEX(Sheet1!H:H,$G1747)</f>
        <v>1</v>
      </c>
      <c r="L1747" s="4">
        <f t="shared" si="108"/>
        <v>45</v>
      </c>
      <c r="M1747" s="4">
        <f t="shared" si="111"/>
        <v>5</v>
      </c>
    </row>
    <row r="1748" spans="1:13">
      <c r="A1748" s="4" t="str" cm="1">
        <f t="array" ref="A1748">INDEX(Sheet1!A:A,$F1748)</f>
        <v>F</v>
      </c>
      <c r="B1748" s="4" t="str" cm="1">
        <f t="array" ref="B1748">INDEX(Sheet1!B:B,$F1748)</f>
        <v>Agg/Unknown</v>
      </c>
      <c r="C1748" s="4">
        <f t="shared" si="109"/>
        <v>46</v>
      </c>
      <c r="D1748" s="5" cm="1">
        <f t="array" aca="1" ref="D1748" ca="1">OFFSET(INDIRECT("'["&amp;$H1748&amp;"]"&amp;$I1748&amp;"'!"&amp;$J1748),$L1748,$M1748)*$K1748</f>
        <v>2.5400000000000002E-3</v>
      </c>
      <c r="F1748" s="4">
        <f t="shared" si="110"/>
        <v>19</v>
      </c>
      <c r="G1748" s="4" cm="1">
        <f t="array" ref="G1748">IF($C1748+$M1748&lt;16,INDEX(Sheet1!C:C,$F1748),$F1748)</f>
        <v>19</v>
      </c>
      <c r="H1748" s="4" t="str" cm="1">
        <f t="array" ref="H1748">INDEX(Sheet1!D:D,$G1748)</f>
        <v>t1139.xlsx</v>
      </c>
      <c r="I1748" s="4" t="str" cm="1">
        <f t="array" ref="I1748">INDEX(Sheet1!E:E,$G1748)</f>
        <v>Sheet1</v>
      </c>
      <c r="J1748" s="4" t="str" cm="1">
        <f t="array" ref="J1748">INDEX(Sheet1!F:F,$G1748)</f>
        <v>B25</v>
      </c>
      <c r="K1748" s="4" cm="1">
        <f t="array" ref="K1748">INDEX(Sheet1!H:H,$G1748)</f>
        <v>1</v>
      </c>
      <c r="L1748" s="4">
        <f t="shared" si="108"/>
        <v>46</v>
      </c>
      <c r="M1748" s="4">
        <f t="shared" si="111"/>
        <v>5</v>
      </c>
    </row>
    <row r="1749" spans="1:13">
      <c r="A1749" s="4" t="str" cm="1">
        <f t="array" ref="A1749">INDEX(Sheet1!A:A,$F1749)</f>
        <v>F</v>
      </c>
      <c r="B1749" s="4" t="str" cm="1">
        <f t="array" ref="B1749">INDEX(Sheet1!B:B,$F1749)</f>
        <v>Agg/Unknown</v>
      </c>
      <c r="C1749" s="4">
        <f t="shared" si="109"/>
        <v>47</v>
      </c>
      <c r="D1749" s="5" cm="1">
        <f t="array" aca="1" ref="D1749" ca="1">OFFSET(INDIRECT("'["&amp;$H1749&amp;"]"&amp;$I1749&amp;"'!"&amp;$J1749),$L1749,$M1749)*$K1749</f>
        <v>2.7899999999999999E-3</v>
      </c>
      <c r="F1749" s="4">
        <f t="shared" si="110"/>
        <v>19</v>
      </c>
      <c r="G1749" s="4" cm="1">
        <f t="array" ref="G1749">IF($C1749+$M1749&lt;16,INDEX(Sheet1!C:C,$F1749),$F1749)</f>
        <v>19</v>
      </c>
      <c r="H1749" s="4" t="str" cm="1">
        <f t="array" ref="H1749">INDEX(Sheet1!D:D,$G1749)</f>
        <v>t1139.xlsx</v>
      </c>
      <c r="I1749" s="4" t="str" cm="1">
        <f t="array" ref="I1749">INDEX(Sheet1!E:E,$G1749)</f>
        <v>Sheet1</v>
      </c>
      <c r="J1749" s="4" t="str" cm="1">
        <f t="array" ref="J1749">INDEX(Sheet1!F:F,$G1749)</f>
        <v>B25</v>
      </c>
      <c r="K1749" s="4" cm="1">
        <f t="array" ref="K1749">INDEX(Sheet1!H:H,$G1749)</f>
        <v>1</v>
      </c>
      <c r="L1749" s="4">
        <f t="shared" si="108"/>
        <v>47</v>
      </c>
      <c r="M1749" s="4">
        <f t="shared" si="111"/>
        <v>5</v>
      </c>
    </row>
    <row r="1750" spans="1:13">
      <c r="A1750" s="4" t="str" cm="1">
        <f t="array" ref="A1750">INDEX(Sheet1!A:A,$F1750)</f>
        <v>F</v>
      </c>
      <c r="B1750" s="4" t="str" cm="1">
        <f t="array" ref="B1750">INDEX(Sheet1!B:B,$F1750)</f>
        <v>Agg/Unknown</v>
      </c>
      <c r="C1750" s="4">
        <f t="shared" si="109"/>
        <v>48</v>
      </c>
      <c r="D1750" s="5" cm="1">
        <f t="array" aca="1" ref="D1750" ca="1">OFFSET(INDIRECT("'["&amp;$H1750&amp;"]"&amp;$I1750&amp;"'!"&amp;$J1750),$L1750,$M1750)*$K1750</f>
        <v>3.0400000000000002E-3</v>
      </c>
      <c r="F1750" s="4">
        <f t="shared" si="110"/>
        <v>19</v>
      </c>
      <c r="G1750" s="4" cm="1">
        <f t="array" ref="G1750">IF($C1750+$M1750&lt;16,INDEX(Sheet1!C:C,$F1750),$F1750)</f>
        <v>19</v>
      </c>
      <c r="H1750" s="4" t="str" cm="1">
        <f t="array" ref="H1750">INDEX(Sheet1!D:D,$G1750)</f>
        <v>t1139.xlsx</v>
      </c>
      <c r="I1750" s="4" t="str" cm="1">
        <f t="array" ref="I1750">INDEX(Sheet1!E:E,$G1750)</f>
        <v>Sheet1</v>
      </c>
      <c r="J1750" s="4" t="str" cm="1">
        <f t="array" ref="J1750">INDEX(Sheet1!F:F,$G1750)</f>
        <v>B25</v>
      </c>
      <c r="K1750" s="4" cm="1">
        <f t="array" ref="K1750">INDEX(Sheet1!H:H,$G1750)</f>
        <v>1</v>
      </c>
      <c r="L1750" s="4">
        <f t="shared" si="108"/>
        <v>48</v>
      </c>
      <c r="M1750" s="4">
        <f t="shared" si="111"/>
        <v>5</v>
      </c>
    </row>
    <row r="1751" spans="1:13">
      <c r="A1751" s="4" t="str" cm="1">
        <f t="array" ref="A1751">INDEX(Sheet1!A:A,$F1751)</f>
        <v>F</v>
      </c>
      <c r="B1751" s="4" t="str" cm="1">
        <f t="array" ref="B1751">INDEX(Sheet1!B:B,$F1751)</f>
        <v>Agg/Unknown</v>
      </c>
      <c r="C1751" s="4">
        <f t="shared" si="109"/>
        <v>49</v>
      </c>
      <c r="D1751" s="5" cm="1">
        <f t="array" aca="1" ref="D1751" ca="1">OFFSET(INDIRECT("'["&amp;$H1751&amp;"]"&amp;$I1751&amp;"'!"&amp;$J1751),$L1751,$M1751)*$K1751</f>
        <v>3.29E-3</v>
      </c>
      <c r="F1751" s="4">
        <f t="shared" si="110"/>
        <v>19</v>
      </c>
      <c r="G1751" s="4" cm="1">
        <f t="array" ref="G1751">IF($C1751+$M1751&lt;16,INDEX(Sheet1!C:C,$F1751),$F1751)</f>
        <v>19</v>
      </c>
      <c r="H1751" s="4" t="str" cm="1">
        <f t="array" ref="H1751">INDEX(Sheet1!D:D,$G1751)</f>
        <v>t1139.xlsx</v>
      </c>
      <c r="I1751" s="4" t="str" cm="1">
        <f t="array" ref="I1751">INDEX(Sheet1!E:E,$G1751)</f>
        <v>Sheet1</v>
      </c>
      <c r="J1751" s="4" t="str" cm="1">
        <f t="array" ref="J1751">INDEX(Sheet1!F:F,$G1751)</f>
        <v>B25</v>
      </c>
      <c r="K1751" s="4" cm="1">
        <f t="array" ref="K1751">INDEX(Sheet1!H:H,$G1751)</f>
        <v>1</v>
      </c>
      <c r="L1751" s="4">
        <f t="shared" si="108"/>
        <v>49</v>
      </c>
      <c r="M1751" s="4">
        <f t="shared" si="111"/>
        <v>5</v>
      </c>
    </row>
    <row r="1752" spans="1:13">
      <c r="A1752" s="4" t="str" cm="1">
        <f t="array" ref="A1752">INDEX(Sheet1!A:A,$F1752)</f>
        <v>F</v>
      </c>
      <c r="B1752" s="4" t="str" cm="1">
        <f t="array" ref="B1752">INDEX(Sheet1!B:B,$F1752)</f>
        <v>Agg/Unknown</v>
      </c>
      <c r="C1752" s="4">
        <f t="shared" si="109"/>
        <v>50</v>
      </c>
      <c r="D1752" s="5" cm="1">
        <f t="array" aca="1" ref="D1752" ca="1">OFFSET(INDIRECT("'["&amp;$H1752&amp;"]"&amp;$I1752&amp;"'!"&amp;$J1752),$L1752,$M1752)*$K1752</f>
        <v>3.5300000000000002E-3</v>
      </c>
      <c r="F1752" s="4">
        <f t="shared" si="110"/>
        <v>19</v>
      </c>
      <c r="G1752" s="4" cm="1">
        <f t="array" ref="G1752">IF($C1752+$M1752&lt;16,INDEX(Sheet1!C:C,$F1752),$F1752)</f>
        <v>19</v>
      </c>
      <c r="H1752" s="4" t="str" cm="1">
        <f t="array" ref="H1752">INDEX(Sheet1!D:D,$G1752)</f>
        <v>t1139.xlsx</v>
      </c>
      <c r="I1752" s="4" t="str" cm="1">
        <f t="array" ref="I1752">INDEX(Sheet1!E:E,$G1752)</f>
        <v>Sheet1</v>
      </c>
      <c r="J1752" s="4" t="str" cm="1">
        <f t="array" ref="J1752">INDEX(Sheet1!F:F,$G1752)</f>
        <v>B25</v>
      </c>
      <c r="K1752" s="4" cm="1">
        <f t="array" ref="K1752">INDEX(Sheet1!H:H,$G1752)</f>
        <v>1</v>
      </c>
      <c r="L1752" s="4">
        <f t="shared" si="108"/>
        <v>50</v>
      </c>
      <c r="M1752" s="4">
        <f t="shared" si="111"/>
        <v>5</v>
      </c>
    </row>
    <row r="1753" spans="1:13">
      <c r="A1753" s="4" t="str" cm="1">
        <f t="array" ref="A1753">INDEX(Sheet1!A:A,$F1753)</f>
        <v>F</v>
      </c>
      <c r="B1753" s="4" t="str" cm="1">
        <f t="array" ref="B1753">INDEX(Sheet1!B:B,$F1753)</f>
        <v>Agg/Unknown</v>
      </c>
      <c r="C1753" s="4">
        <f t="shared" si="109"/>
        <v>51</v>
      </c>
      <c r="D1753" s="5" cm="1">
        <f t="array" aca="1" ref="D1753" ca="1">OFFSET(INDIRECT("'["&amp;$H1753&amp;"]"&amp;$I1753&amp;"'!"&amp;$J1753),$L1753,$M1753)*$K1753</f>
        <v>3.7699999999999999E-3</v>
      </c>
      <c r="F1753" s="4">
        <f t="shared" si="110"/>
        <v>19</v>
      </c>
      <c r="G1753" s="4" cm="1">
        <f t="array" ref="G1753">IF($C1753+$M1753&lt;16,INDEX(Sheet1!C:C,$F1753),$F1753)</f>
        <v>19</v>
      </c>
      <c r="H1753" s="4" t="str" cm="1">
        <f t="array" ref="H1753">INDEX(Sheet1!D:D,$G1753)</f>
        <v>t1139.xlsx</v>
      </c>
      <c r="I1753" s="4" t="str" cm="1">
        <f t="array" ref="I1753">INDEX(Sheet1!E:E,$G1753)</f>
        <v>Sheet1</v>
      </c>
      <c r="J1753" s="4" t="str" cm="1">
        <f t="array" ref="J1753">INDEX(Sheet1!F:F,$G1753)</f>
        <v>B25</v>
      </c>
      <c r="K1753" s="4" cm="1">
        <f t="array" ref="K1753">INDEX(Sheet1!H:H,$G1753)</f>
        <v>1</v>
      </c>
      <c r="L1753" s="4">
        <f t="shared" si="108"/>
        <v>51</v>
      </c>
      <c r="M1753" s="4">
        <f t="shared" si="111"/>
        <v>5</v>
      </c>
    </row>
    <row r="1754" spans="1:13">
      <c r="A1754" s="4" t="str" cm="1">
        <f t="array" ref="A1754">INDEX(Sheet1!A:A,$F1754)</f>
        <v>F</v>
      </c>
      <c r="B1754" s="4" t="str" cm="1">
        <f t="array" ref="B1754">INDEX(Sheet1!B:B,$F1754)</f>
        <v>Agg/Unknown</v>
      </c>
      <c r="C1754" s="4">
        <f t="shared" si="109"/>
        <v>52</v>
      </c>
      <c r="D1754" s="5" cm="1">
        <f t="array" aca="1" ref="D1754" ca="1">OFFSET(INDIRECT("'["&amp;$H1754&amp;"]"&amp;$I1754&amp;"'!"&amp;$J1754),$L1754,$M1754)*$K1754</f>
        <v>4.0000000000000001E-3</v>
      </c>
      <c r="F1754" s="4">
        <f t="shared" si="110"/>
        <v>19</v>
      </c>
      <c r="G1754" s="4" cm="1">
        <f t="array" ref="G1754">IF($C1754+$M1754&lt;16,INDEX(Sheet1!C:C,$F1754),$F1754)</f>
        <v>19</v>
      </c>
      <c r="H1754" s="4" t="str" cm="1">
        <f t="array" ref="H1754">INDEX(Sheet1!D:D,$G1754)</f>
        <v>t1139.xlsx</v>
      </c>
      <c r="I1754" s="4" t="str" cm="1">
        <f t="array" ref="I1754">INDEX(Sheet1!E:E,$G1754)</f>
        <v>Sheet1</v>
      </c>
      <c r="J1754" s="4" t="str" cm="1">
        <f t="array" ref="J1754">INDEX(Sheet1!F:F,$G1754)</f>
        <v>B25</v>
      </c>
      <c r="K1754" s="4" cm="1">
        <f t="array" ref="K1754">INDEX(Sheet1!H:H,$G1754)</f>
        <v>1</v>
      </c>
      <c r="L1754" s="4">
        <f t="shared" si="108"/>
        <v>52</v>
      </c>
      <c r="M1754" s="4">
        <f t="shared" si="111"/>
        <v>5</v>
      </c>
    </row>
    <row r="1755" spans="1:13">
      <c r="A1755" s="4" t="str" cm="1">
        <f t="array" ref="A1755">INDEX(Sheet1!A:A,$F1755)</f>
        <v>F</v>
      </c>
      <c r="B1755" s="4" t="str" cm="1">
        <f t="array" ref="B1755">INDEX(Sheet1!B:B,$F1755)</f>
        <v>Agg/Unknown</v>
      </c>
      <c r="C1755" s="4">
        <f t="shared" si="109"/>
        <v>53</v>
      </c>
      <c r="D1755" s="5" cm="1">
        <f t="array" aca="1" ref="D1755" ca="1">OFFSET(INDIRECT("'["&amp;$H1755&amp;"]"&amp;$I1755&amp;"'!"&amp;$J1755),$L1755,$M1755)*$K1755</f>
        <v>4.2300000000000003E-3</v>
      </c>
      <c r="F1755" s="4">
        <f t="shared" si="110"/>
        <v>19</v>
      </c>
      <c r="G1755" s="4" cm="1">
        <f t="array" ref="G1755">IF($C1755+$M1755&lt;16,INDEX(Sheet1!C:C,$F1755),$F1755)</f>
        <v>19</v>
      </c>
      <c r="H1755" s="4" t="str" cm="1">
        <f t="array" ref="H1755">INDEX(Sheet1!D:D,$G1755)</f>
        <v>t1139.xlsx</v>
      </c>
      <c r="I1755" s="4" t="str" cm="1">
        <f t="array" ref="I1755">INDEX(Sheet1!E:E,$G1755)</f>
        <v>Sheet1</v>
      </c>
      <c r="J1755" s="4" t="str" cm="1">
        <f t="array" ref="J1755">INDEX(Sheet1!F:F,$G1755)</f>
        <v>B25</v>
      </c>
      <c r="K1755" s="4" cm="1">
        <f t="array" ref="K1755">INDEX(Sheet1!H:H,$G1755)</f>
        <v>1</v>
      </c>
      <c r="L1755" s="4">
        <f t="shared" si="108"/>
        <v>53</v>
      </c>
      <c r="M1755" s="4">
        <f t="shared" si="111"/>
        <v>5</v>
      </c>
    </row>
    <row r="1756" spans="1:13">
      <c r="A1756" s="4" t="str" cm="1">
        <f t="array" ref="A1756">INDEX(Sheet1!A:A,$F1756)</f>
        <v>F</v>
      </c>
      <c r="B1756" s="4" t="str" cm="1">
        <f t="array" ref="B1756">INDEX(Sheet1!B:B,$F1756)</f>
        <v>Agg/Unknown</v>
      </c>
      <c r="C1756" s="4">
        <f t="shared" si="109"/>
        <v>54</v>
      </c>
      <c r="D1756" s="5" cm="1">
        <f t="array" aca="1" ref="D1756" ca="1">OFFSET(INDIRECT("'["&amp;$H1756&amp;"]"&amp;$I1756&amp;"'!"&amp;$J1756),$L1756,$M1756)*$K1756</f>
        <v>4.4799999999999996E-3</v>
      </c>
      <c r="F1756" s="4">
        <f t="shared" si="110"/>
        <v>19</v>
      </c>
      <c r="G1756" s="4" cm="1">
        <f t="array" ref="G1756">IF($C1756+$M1756&lt;16,INDEX(Sheet1!C:C,$F1756),$F1756)</f>
        <v>19</v>
      </c>
      <c r="H1756" s="4" t="str" cm="1">
        <f t="array" ref="H1756">INDEX(Sheet1!D:D,$G1756)</f>
        <v>t1139.xlsx</v>
      </c>
      <c r="I1756" s="4" t="str" cm="1">
        <f t="array" ref="I1756">INDEX(Sheet1!E:E,$G1756)</f>
        <v>Sheet1</v>
      </c>
      <c r="J1756" s="4" t="str" cm="1">
        <f t="array" ref="J1756">INDEX(Sheet1!F:F,$G1756)</f>
        <v>B25</v>
      </c>
      <c r="K1756" s="4" cm="1">
        <f t="array" ref="K1756">INDEX(Sheet1!H:H,$G1756)</f>
        <v>1</v>
      </c>
      <c r="L1756" s="4">
        <f t="shared" si="108"/>
        <v>54</v>
      </c>
      <c r="M1756" s="4">
        <f t="shared" si="111"/>
        <v>5</v>
      </c>
    </row>
    <row r="1757" spans="1:13">
      <c r="A1757" s="4" t="str" cm="1">
        <f t="array" ref="A1757">INDEX(Sheet1!A:A,$F1757)</f>
        <v>F</v>
      </c>
      <c r="B1757" s="4" t="str" cm="1">
        <f t="array" ref="B1757">INDEX(Sheet1!B:B,$F1757)</f>
        <v>Agg/Unknown</v>
      </c>
      <c r="C1757" s="4">
        <f t="shared" si="109"/>
        <v>55</v>
      </c>
      <c r="D1757" s="5" cm="1">
        <f t="array" aca="1" ref="D1757" ca="1">OFFSET(INDIRECT("'["&amp;$H1757&amp;"]"&amp;$I1757&amp;"'!"&amp;$J1757),$L1757,$M1757)*$K1757</f>
        <v>4.7600000000000003E-3</v>
      </c>
      <c r="F1757" s="4">
        <f t="shared" si="110"/>
        <v>19</v>
      </c>
      <c r="G1757" s="4" cm="1">
        <f t="array" ref="G1757">IF($C1757+$M1757&lt;16,INDEX(Sheet1!C:C,$F1757),$F1757)</f>
        <v>19</v>
      </c>
      <c r="H1757" s="4" t="str" cm="1">
        <f t="array" ref="H1757">INDEX(Sheet1!D:D,$G1757)</f>
        <v>t1139.xlsx</v>
      </c>
      <c r="I1757" s="4" t="str" cm="1">
        <f t="array" ref="I1757">INDEX(Sheet1!E:E,$G1757)</f>
        <v>Sheet1</v>
      </c>
      <c r="J1757" s="4" t="str" cm="1">
        <f t="array" ref="J1757">INDEX(Sheet1!F:F,$G1757)</f>
        <v>B25</v>
      </c>
      <c r="K1757" s="4" cm="1">
        <f t="array" ref="K1757">INDEX(Sheet1!H:H,$G1757)</f>
        <v>1</v>
      </c>
      <c r="L1757" s="4">
        <f t="shared" si="108"/>
        <v>55</v>
      </c>
      <c r="M1757" s="4">
        <f t="shared" si="111"/>
        <v>5</v>
      </c>
    </row>
    <row r="1758" spans="1:13">
      <c r="A1758" s="4" t="str" cm="1">
        <f t="array" ref="A1758">INDEX(Sheet1!A:A,$F1758)</f>
        <v>F</v>
      </c>
      <c r="B1758" s="4" t="str" cm="1">
        <f t="array" ref="B1758">INDEX(Sheet1!B:B,$F1758)</f>
        <v>Agg/Unknown</v>
      </c>
      <c r="C1758" s="4">
        <f t="shared" si="109"/>
        <v>56</v>
      </c>
      <c r="D1758" s="5" cm="1">
        <f t="array" aca="1" ref="D1758" ca="1">OFFSET(INDIRECT("'["&amp;$H1758&amp;"]"&amp;$I1758&amp;"'!"&amp;$J1758),$L1758,$M1758)*$K1758</f>
        <v>5.0699999999999999E-3</v>
      </c>
      <c r="F1758" s="4">
        <f t="shared" si="110"/>
        <v>19</v>
      </c>
      <c r="G1758" s="4" cm="1">
        <f t="array" ref="G1758">IF($C1758+$M1758&lt;16,INDEX(Sheet1!C:C,$F1758),$F1758)</f>
        <v>19</v>
      </c>
      <c r="H1758" s="4" t="str" cm="1">
        <f t="array" ref="H1758">INDEX(Sheet1!D:D,$G1758)</f>
        <v>t1139.xlsx</v>
      </c>
      <c r="I1758" s="4" t="str" cm="1">
        <f t="array" ref="I1758">INDEX(Sheet1!E:E,$G1758)</f>
        <v>Sheet1</v>
      </c>
      <c r="J1758" s="4" t="str" cm="1">
        <f t="array" ref="J1758">INDEX(Sheet1!F:F,$G1758)</f>
        <v>B25</v>
      </c>
      <c r="K1758" s="4" cm="1">
        <f t="array" ref="K1758">INDEX(Sheet1!H:H,$G1758)</f>
        <v>1</v>
      </c>
      <c r="L1758" s="4">
        <f t="shared" si="108"/>
        <v>56</v>
      </c>
      <c r="M1758" s="4">
        <f t="shared" si="111"/>
        <v>5</v>
      </c>
    </row>
    <row r="1759" spans="1:13">
      <c r="A1759" s="4" t="str" cm="1">
        <f t="array" ref="A1759">INDEX(Sheet1!A:A,$F1759)</f>
        <v>F</v>
      </c>
      <c r="B1759" s="4" t="str" cm="1">
        <f t="array" ref="B1759">INDEX(Sheet1!B:B,$F1759)</f>
        <v>Agg/Unknown</v>
      </c>
      <c r="C1759" s="4">
        <f t="shared" si="109"/>
        <v>57</v>
      </c>
      <c r="D1759" s="5" cm="1">
        <f t="array" aca="1" ref="D1759" ca="1">OFFSET(INDIRECT("'["&amp;$H1759&amp;"]"&amp;$I1759&amp;"'!"&amp;$J1759),$L1759,$M1759)*$K1759</f>
        <v>5.4400000000000004E-3</v>
      </c>
      <c r="F1759" s="4">
        <f t="shared" si="110"/>
        <v>19</v>
      </c>
      <c r="G1759" s="4" cm="1">
        <f t="array" ref="G1759">IF($C1759+$M1759&lt;16,INDEX(Sheet1!C:C,$F1759),$F1759)</f>
        <v>19</v>
      </c>
      <c r="H1759" s="4" t="str" cm="1">
        <f t="array" ref="H1759">INDEX(Sheet1!D:D,$G1759)</f>
        <v>t1139.xlsx</v>
      </c>
      <c r="I1759" s="4" t="str" cm="1">
        <f t="array" ref="I1759">INDEX(Sheet1!E:E,$G1759)</f>
        <v>Sheet1</v>
      </c>
      <c r="J1759" s="4" t="str" cm="1">
        <f t="array" ref="J1759">INDEX(Sheet1!F:F,$G1759)</f>
        <v>B25</v>
      </c>
      <c r="K1759" s="4" cm="1">
        <f t="array" ref="K1759">INDEX(Sheet1!H:H,$G1759)</f>
        <v>1</v>
      </c>
      <c r="L1759" s="4">
        <f t="shared" si="108"/>
        <v>57</v>
      </c>
      <c r="M1759" s="4">
        <f t="shared" si="111"/>
        <v>5</v>
      </c>
    </row>
    <row r="1760" spans="1:13">
      <c r="A1760" s="4" t="str" cm="1">
        <f t="array" ref="A1760">INDEX(Sheet1!A:A,$F1760)</f>
        <v>F</v>
      </c>
      <c r="B1760" s="4" t="str" cm="1">
        <f t="array" ref="B1760">INDEX(Sheet1!B:B,$F1760)</f>
        <v>Agg/Unknown</v>
      </c>
      <c r="C1760" s="4">
        <f t="shared" si="109"/>
        <v>58</v>
      </c>
      <c r="D1760" s="5" cm="1">
        <f t="array" aca="1" ref="D1760" ca="1">OFFSET(INDIRECT("'["&amp;$H1760&amp;"]"&amp;$I1760&amp;"'!"&amp;$J1760),$L1760,$M1760)*$K1760</f>
        <v>5.8700000000000002E-3</v>
      </c>
      <c r="F1760" s="4">
        <f t="shared" si="110"/>
        <v>19</v>
      </c>
      <c r="G1760" s="4" cm="1">
        <f t="array" ref="G1760">IF($C1760+$M1760&lt;16,INDEX(Sheet1!C:C,$F1760),$F1760)</f>
        <v>19</v>
      </c>
      <c r="H1760" s="4" t="str" cm="1">
        <f t="array" ref="H1760">INDEX(Sheet1!D:D,$G1760)</f>
        <v>t1139.xlsx</v>
      </c>
      <c r="I1760" s="4" t="str" cm="1">
        <f t="array" ref="I1760">INDEX(Sheet1!E:E,$G1760)</f>
        <v>Sheet1</v>
      </c>
      <c r="J1760" s="4" t="str" cm="1">
        <f t="array" ref="J1760">INDEX(Sheet1!F:F,$G1760)</f>
        <v>B25</v>
      </c>
      <c r="K1760" s="4" cm="1">
        <f t="array" ref="K1760">INDEX(Sheet1!H:H,$G1760)</f>
        <v>1</v>
      </c>
      <c r="L1760" s="4">
        <f t="shared" si="108"/>
        <v>58</v>
      </c>
      <c r="M1760" s="4">
        <f t="shared" si="111"/>
        <v>5</v>
      </c>
    </row>
    <row r="1761" spans="1:13">
      <c r="A1761" s="4" t="str" cm="1">
        <f t="array" ref="A1761">INDEX(Sheet1!A:A,$F1761)</f>
        <v>F</v>
      </c>
      <c r="B1761" s="4" t="str" cm="1">
        <f t="array" ref="B1761">INDEX(Sheet1!B:B,$F1761)</f>
        <v>Agg/Unknown</v>
      </c>
      <c r="C1761" s="4">
        <f t="shared" si="109"/>
        <v>59</v>
      </c>
      <c r="D1761" s="5" cm="1">
        <f t="array" aca="1" ref="D1761" ca="1">OFFSET(INDIRECT("'["&amp;$H1761&amp;"]"&amp;$I1761&amp;"'!"&amp;$J1761),$L1761,$M1761)*$K1761</f>
        <v>6.3299999999999997E-3</v>
      </c>
      <c r="F1761" s="4">
        <f t="shared" si="110"/>
        <v>19</v>
      </c>
      <c r="G1761" s="4" cm="1">
        <f t="array" ref="G1761">IF($C1761+$M1761&lt;16,INDEX(Sheet1!C:C,$F1761),$F1761)</f>
        <v>19</v>
      </c>
      <c r="H1761" s="4" t="str" cm="1">
        <f t="array" ref="H1761">INDEX(Sheet1!D:D,$G1761)</f>
        <v>t1139.xlsx</v>
      </c>
      <c r="I1761" s="4" t="str" cm="1">
        <f t="array" ref="I1761">INDEX(Sheet1!E:E,$G1761)</f>
        <v>Sheet1</v>
      </c>
      <c r="J1761" s="4" t="str" cm="1">
        <f t="array" ref="J1761">INDEX(Sheet1!F:F,$G1761)</f>
        <v>B25</v>
      </c>
      <c r="K1761" s="4" cm="1">
        <f t="array" ref="K1761">INDEX(Sheet1!H:H,$G1761)</f>
        <v>1</v>
      </c>
      <c r="L1761" s="4">
        <f t="shared" si="108"/>
        <v>59</v>
      </c>
      <c r="M1761" s="4">
        <f t="shared" si="111"/>
        <v>5</v>
      </c>
    </row>
    <row r="1762" spans="1:13">
      <c r="A1762" s="4" t="str" cm="1">
        <f t="array" ref="A1762">INDEX(Sheet1!A:A,$F1762)</f>
        <v>F</v>
      </c>
      <c r="B1762" s="4" t="str" cm="1">
        <f t="array" ref="B1762">INDEX(Sheet1!B:B,$F1762)</f>
        <v>Agg/Unknown</v>
      </c>
      <c r="C1762" s="4">
        <f t="shared" si="109"/>
        <v>60</v>
      </c>
      <c r="D1762" s="5" cm="1">
        <f t="array" aca="1" ref="D1762" ca="1">OFFSET(INDIRECT("'["&amp;$H1762&amp;"]"&amp;$I1762&amp;"'!"&amp;$J1762),$L1762,$M1762)*$K1762</f>
        <v>6.8199999999999997E-3</v>
      </c>
      <c r="F1762" s="4">
        <f t="shared" si="110"/>
        <v>19</v>
      </c>
      <c r="G1762" s="4" cm="1">
        <f t="array" ref="G1762">IF($C1762+$M1762&lt;16,INDEX(Sheet1!C:C,$F1762),$F1762)</f>
        <v>19</v>
      </c>
      <c r="H1762" s="4" t="str" cm="1">
        <f t="array" ref="H1762">INDEX(Sheet1!D:D,$G1762)</f>
        <v>t1139.xlsx</v>
      </c>
      <c r="I1762" s="4" t="str" cm="1">
        <f t="array" ref="I1762">INDEX(Sheet1!E:E,$G1762)</f>
        <v>Sheet1</v>
      </c>
      <c r="J1762" s="4" t="str" cm="1">
        <f t="array" ref="J1762">INDEX(Sheet1!F:F,$G1762)</f>
        <v>B25</v>
      </c>
      <c r="K1762" s="4" cm="1">
        <f t="array" ref="K1762">INDEX(Sheet1!H:H,$G1762)</f>
        <v>1</v>
      </c>
      <c r="L1762" s="4">
        <f t="shared" si="108"/>
        <v>60</v>
      </c>
      <c r="M1762" s="4">
        <f t="shared" si="111"/>
        <v>5</v>
      </c>
    </row>
    <row r="1763" spans="1:13">
      <c r="A1763" s="4" t="str" cm="1">
        <f t="array" ref="A1763">INDEX(Sheet1!A:A,$F1763)</f>
        <v>F</v>
      </c>
      <c r="B1763" s="4" t="str" cm="1">
        <f t="array" ref="B1763">INDEX(Sheet1!B:B,$F1763)</f>
        <v>Agg/Unknown</v>
      </c>
      <c r="C1763" s="4">
        <f t="shared" si="109"/>
        <v>61</v>
      </c>
      <c r="D1763" s="5" cm="1">
        <f t="array" aca="1" ref="D1763" ca="1">OFFSET(INDIRECT("'["&amp;$H1763&amp;"]"&amp;$I1763&amp;"'!"&amp;$J1763),$L1763,$M1763)*$K1763</f>
        <v>7.3400000000000002E-3</v>
      </c>
      <c r="F1763" s="4">
        <f t="shared" si="110"/>
        <v>19</v>
      </c>
      <c r="G1763" s="4" cm="1">
        <f t="array" ref="G1763">IF($C1763+$M1763&lt;16,INDEX(Sheet1!C:C,$F1763),$F1763)</f>
        <v>19</v>
      </c>
      <c r="H1763" s="4" t="str" cm="1">
        <f t="array" ref="H1763">INDEX(Sheet1!D:D,$G1763)</f>
        <v>t1139.xlsx</v>
      </c>
      <c r="I1763" s="4" t="str" cm="1">
        <f t="array" ref="I1763">INDEX(Sheet1!E:E,$G1763)</f>
        <v>Sheet1</v>
      </c>
      <c r="J1763" s="4" t="str" cm="1">
        <f t="array" ref="J1763">INDEX(Sheet1!F:F,$G1763)</f>
        <v>B25</v>
      </c>
      <c r="K1763" s="4" cm="1">
        <f t="array" ref="K1763">INDEX(Sheet1!H:H,$G1763)</f>
        <v>1</v>
      </c>
      <c r="L1763" s="4">
        <f t="shared" si="108"/>
        <v>61</v>
      </c>
      <c r="M1763" s="4">
        <f t="shared" si="111"/>
        <v>5</v>
      </c>
    </row>
    <row r="1764" spans="1:13">
      <c r="A1764" s="4" t="str" cm="1">
        <f t="array" ref="A1764">INDEX(Sheet1!A:A,$F1764)</f>
        <v>F</v>
      </c>
      <c r="B1764" s="4" t="str" cm="1">
        <f t="array" ref="B1764">INDEX(Sheet1!B:B,$F1764)</f>
        <v>Agg/Unknown</v>
      </c>
      <c r="C1764" s="4">
        <f t="shared" si="109"/>
        <v>62</v>
      </c>
      <c r="D1764" s="5" cm="1">
        <f t="array" aca="1" ref="D1764" ca="1">OFFSET(INDIRECT("'["&amp;$H1764&amp;"]"&amp;$I1764&amp;"'!"&amp;$J1764),$L1764,$M1764)*$K1764</f>
        <v>7.8600000000000007E-3</v>
      </c>
      <c r="F1764" s="4">
        <f t="shared" si="110"/>
        <v>19</v>
      </c>
      <c r="G1764" s="4" cm="1">
        <f t="array" ref="G1764">IF($C1764+$M1764&lt;16,INDEX(Sheet1!C:C,$F1764),$F1764)</f>
        <v>19</v>
      </c>
      <c r="H1764" s="4" t="str" cm="1">
        <f t="array" ref="H1764">INDEX(Sheet1!D:D,$G1764)</f>
        <v>t1139.xlsx</v>
      </c>
      <c r="I1764" s="4" t="str" cm="1">
        <f t="array" ref="I1764">INDEX(Sheet1!E:E,$G1764)</f>
        <v>Sheet1</v>
      </c>
      <c r="J1764" s="4" t="str" cm="1">
        <f t="array" ref="J1764">INDEX(Sheet1!F:F,$G1764)</f>
        <v>B25</v>
      </c>
      <c r="K1764" s="4" cm="1">
        <f t="array" ref="K1764">INDEX(Sheet1!H:H,$G1764)</f>
        <v>1</v>
      </c>
      <c r="L1764" s="4">
        <f t="shared" si="108"/>
        <v>62</v>
      </c>
      <c r="M1764" s="4">
        <f t="shared" si="111"/>
        <v>5</v>
      </c>
    </row>
    <row r="1765" spans="1:13">
      <c r="A1765" s="4" t="str" cm="1">
        <f t="array" ref="A1765">INDEX(Sheet1!A:A,$F1765)</f>
        <v>F</v>
      </c>
      <c r="B1765" s="4" t="str" cm="1">
        <f t="array" ref="B1765">INDEX(Sheet1!B:B,$F1765)</f>
        <v>Agg/Unknown</v>
      </c>
      <c r="C1765" s="4">
        <f t="shared" si="109"/>
        <v>63</v>
      </c>
      <c r="D1765" s="5" cm="1">
        <f t="array" aca="1" ref="D1765" ca="1">OFFSET(INDIRECT("'["&amp;$H1765&amp;"]"&amp;$I1765&amp;"'!"&amp;$J1765),$L1765,$M1765)*$K1765</f>
        <v>8.3800000000000003E-3</v>
      </c>
      <c r="F1765" s="4">
        <f t="shared" si="110"/>
        <v>19</v>
      </c>
      <c r="G1765" s="4" cm="1">
        <f t="array" ref="G1765">IF($C1765+$M1765&lt;16,INDEX(Sheet1!C:C,$F1765),$F1765)</f>
        <v>19</v>
      </c>
      <c r="H1765" s="4" t="str" cm="1">
        <f t="array" ref="H1765">INDEX(Sheet1!D:D,$G1765)</f>
        <v>t1139.xlsx</v>
      </c>
      <c r="I1765" s="4" t="str" cm="1">
        <f t="array" ref="I1765">INDEX(Sheet1!E:E,$G1765)</f>
        <v>Sheet1</v>
      </c>
      <c r="J1765" s="4" t="str" cm="1">
        <f t="array" ref="J1765">INDEX(Sheet1!F:F,$G1765)</f>
        <v>B25</v>
      </c>
      <c r="K1765" s="4" cm="1">
        <f t="array" ref="K1765">INDEX(Sheet1!H:H,$G1765)</f>
        <v>1</v>
      </c>
      <c r="L1765" s="4">
        <f t="shared" si="108"/>
        <v>63</v>
      </c>
      <c r="M1765" s="4">
        <f t="shared" si="111"/>
        <v>5</v>
      </c>
    </row>
    <row r="1766" spans="1:13">
      <c r="A1766" s="4" t="str" cm="1">
        <f t="array" ref="A1766">INDEX(Sheet1!A:A,$F1766)</f>
        <v>F</v>
      </c>
      <c r="B1766" s="4" t="str" cm="1">
        <f t="array" ref="B1766">INDEX(Sheet1!B:B,$F1766)</f>
        <v>Agg/Unknown</v>
      </c>
      <c r="C1766" s="4">
        <f t="shared" si="109"/>
        <v>64</v>
      </c>
      <c r="D1766" s="5" cm="1">
        <f t="array" aca="1" ref="D1766" ca="1">OFFSET(INDIRECT("'["&amp;$H1766&amp;"]"&amp;$I1766&amp;"'!"&amp;$J1766),$L1766,$M1766)*$K1766</f>
        <v>8.94E-3</v>
      </c>
      <c r="F1766" s="4">
        <f t="shared" si="110"/>
        <v>19</v>
      </c>
      <c r="G1766" s="4" cm="1">
        <f t="array" ref="G1766">IF($C1766+$M1766&lt;16,INDEX(Sheet1!C:C,$F1766),$F1766)</f>
        <v>19</v>
      </c>
      <c r="H1766" s="4" t="str" cm="1">
        <f t="array" ref="H1766">INDEX(Sheet1!D:D,$G1766)</f>
        <v>t1139.xlsx</v>
      </c>
      <c r="I1766" s="4" t="str" cm="1">
        <f t="array" ref="I1766">INDEX(Sheet1!E:E,$G1766)</f>
        <v>Sheet1</v>
      </c>
      <c r="J1766" s="4" t="str" cm="1">
        <f t="array" ref="J1766">INDEX(Sheet1!F:F,$G1766)</f>
        <v>B25</v>
      </c>
      <c r="K1766" s="4" cm="1">
        <f t="array" ref="K1766">INDEX(Sheet1!H:H,$G1766)</f>
        <v>1</v>
      </c>
      <c r="L1766" s="4">
        <f t="shared" si="108"/>
        <v>64</v>
      </c>
      <c r="M1766" s="4">
        <f t="shared" si="111"/>
        <v>5</v>
      </c>
    </row>
    <row r="1767" spans="1:13">
      <c r="A1767" s="4" t="str" cm="1">
        <f t="array" ref="A1767">INDEX(Sheet1!A:A,$F1767)</f>
        <v>F</v>
      </c>
      <c r="B1767" s="4" t="str" cm="1">
        <f t="array" ref="B1767">INDEX(Sheet1!B:B,$F1767)</f>
        <v>Agg/Unknown</v>
      </c>
      <c r="C1767" s="4">
        <f t="shared" si="109"/>
        <v>65</v>
      </c>
      <c r="D1767" s="5" cm="1">
        <f t="array" aca="1" ref="D1767" ca="1">OFFSET(INDIRECT("'["&amp;$H1767&amp;"]"&amp;$I1767&amp;"'!"&amp;$J1767),$L1767,$M1767)*$K1767</f>
        <v>9.5300000000000003E-3</v>
      </c>
      <c r="F1767" s="4">
        <f t="shared" si="110"/>
        <v>19</v>
      </c>
      <c r="G1767" s="4" cm="1">
        <f t="array" ref="G1767">IF($C1767+$M1767&lt;16,INDEX(Sheet1!C:C,$F1767),$F1767)</f>
        <v>19</v>
      </c>
      <c r="H1767" s="4" t="str" cm="1">
        <f t="array" ref="H1767">INDEX(Sheet1!D:D,$G1767)</f>
        <v>t1139.xlsx</v>
      </c>
      <c r="I1767" s="4" t="str" cm="1">
        <f t="array" ref="I1767">INDEX(Sheet1!E:E,$G1767)</f>
        <v>Sheet1</v>
      </c>
      <c r="J1767" s="4" t="str" cm="1">
        <f t="array" ref="J1767">INDEX(Sheet1!F:F,$G1767)</f>
        <v>B25</v>
      </c>
      <c r="K1767" s="4" cm="1">
        <f t="array" ref="K1767">INDEX(Sheet1!H:H,$G1767)</f>
        <v>1</v>
      </c>
      <c r="L1767" s="4">
        <f t="shared" si="108"/>
        <v>65</v>
      </c>
      <c r="M1767" s="4">
        <f t="shared" si="111"/>
        <v>5</v>
      </c>
    </row>
    <row r="1768" spans="1:13">
      <c r="A1768" s="4" t="str" cm="1">
        <f t="array" ref="A1768">INDEX(Sheet1!A:A,$F1768)</f>
        <v>F</v>
      </c>
      <c r="B1768" s="4" t="str" cm="1">
        <f t="array" ref="B1768">INDEX(Sheet1!B:B,$F1768)</f>
        <v>Agg/Unknown</v>
      </c>
      <c r="C1768" s="4">
        <f t="shared" si="109"/>
        <v>66</v>
      </c>
      <c r="D1768" s="5" cm="1">
        <f t="array" aca="1" ref="D1768" ca="1">OFFSET(INDIRECT("'["&amp;$H1768&amp;"]"&amp;$I1768&amp;"'!"&amp;$J1768),$L1768,$M1768)*$K1768</f>
        <v>1.0200000000000001E-2</v>
      </c>
      <c r="F1768" s="4">
        <f t="shared" si="110"/>
        <v>19</v>
      </c>
      <c r="G1768" s="4" cm="1">
        <f t="array" ref="G1768">IF($C1768+$M1768&lt;16,INDEX(Sheet1!C:C,$F1768),$F1768)</f>
        <v>19</v>
      </c>
      <c r="H1768" s="4" t="str" cm="1">
        <f t="array" ref="H1768">INDEX(Sheet1!D:D,$G1768)</f>
        <v>t1139.xlsx</v>
      </c>
      <c r="I1768" s="4" t="str" cm="1">
        <f t="array" ref="I1768">INDEX(Sheet1!E:E,$G1768)</f>
        <v>Sheet1</v>
      </c>
      <c r="J1768" s="4" t="str" cm="1">
        <f t="array" ref="J1768">INDEX(Sheet1!F:F,$G1768)</f>
        <v>B25</v>
      </c>
      <c r="K1768" s="4" cm="1">
        <f t="array" ref="K1768">INDEX(Sheet1!H:H,$G1768)</f>
        <v>1</v>
      </c>
      <c r="L1768" s="4">
        <f t="shared" si="108"/>
        <v>66</v>
      </c>
      <c r="M1768" s="4">
        <f t="shared" si="111"/>
        <v>5</v>
      </c>
    </row>
    <row r="1769" spans="1:13">
      <c r="A1769" s="4" t="str" cm="1">
        <f t="array" ref="A1769">INDEX(Sheet1!A:A,$F1769)</f>
        <v>F</v>
      </c>
      <c r="B1769" s="4" t="str" cm="1">
        <f t="array" ref="B1769">INDEX(Sheet1!B:B,$F1769)</f>
        <v>Agg/Unknown</v>
      </c>
      <c r="C1769" s="4">
        <f t="shared" si="109"/>
        <v>67</v>
      </c>
      <c r="D1769" s="5" cm="1">
        <f t="array" aca="1" ref="D1769" ca="1">OFFSET(INDIRECT("'["&amp;$H1769&amp;"]"&amp;$I1769&amp;"'!"&amp;$J1769),$L1769,$M1769)*$K1769</f>
        <v>1.0999999999999999E-2</v>
      </c>
      <c r="F1769" s="4">
        <f t="shared" si="110"/>
        <v>19</v>
      </c>
      <c r="G1769" s="4" cm="1">
        <f t="array" ref="G1769">IF($C1769+$M1769&lt;16,INDEX(Sheet1!C:C,$F1769),$F1769)</f>
        <v>19</v>
      </c>
      <c r="H1769" s="4" t="str" cm="1">
        <f t="array" ref="H1769">INDEX(Sheet1!D:D,$G1769)</f>
        <v>t1139.xlsx</v>
      </c>
      <c r="I1769" s="4" t="str" cm="1">
        <f t="array" ref="I1769">INDEX(Sheet1!E:E,$G1769)</f>
        <v>Sheet1</v>
      </c>
      <c r="J1769" s="4" t="str" cm="1">
        <f t="array" ref="J1769">INDEX(Sheet1!F:F,$G1769)</f>
        <v>B25</v>
      </c>
      <c r="K1769" s="4" cm="1">
        <f t="array" ref="K1769">INDEX(Sheet1!H:H,$G1769)</f>
        <v>1</v>
      </c>
      <c r="L1769" s="4">
        <f t="shared" si="108"/>
        <v>67</v>
      </c>
      <c r="M1769" s="4">
        <f t="shared" si="111"/>
        <v>5</v>
      </c>
    </row>
    <row r="1770" spans="1:13">
      <c r="A1770" s="4" t="str" cm="1">
        <f t="array" ref="A1770">INDEX(Sheet1!A:A,$F1770)</f>
        <v>F</v>
      </c>
      <c r="B1770" s="4" t="str" cm="1">
        <f t="array" ref="B1770">INDEX(Sheet1!B:B,$F1770)</f>
        <v>Agg/Unknown</v>
      </c>
      <c r="C1770" s="4">
        <f t="shared" si="109"/>
        <v>68</v>
      </c>
      <c r="D1770" s="5" cm="1">
        <f t="array" aca="1" ref="D1770" ca="1">OFFSET(INDIRECT("'["&amp;$H1770&amp;"]"&amp;$I1770&amp;"'!"&amp;$J1770),$L1770,$M1770)*$K1770</f>
        <v>1.1939999999999999E-2</v>
      </c>
      <c r="F1770" s="4">
        <f t="shared" si="110"/>
        <v>19</v>
      </c>
      <c r="G1770" s="4" cm="1">
        <f t="array" ref="G1770">IF($C1770+$M1770&lt;16,INDEX(Sheet1!C:C,$F1770),$F1770)</f>
        <v>19</v>
      </c>
      <c r="H1770" s="4" t="str" cm="1">
        <f t="array" ref="H1770">INDEX(Sheet1!D:D,$G1770)</f>
        <v>t1139.xlsx</v>
      </c>
      <c r="I1770" s="4" t="str" cm="1">
        <f t="array" ref="I1770">INDEX(Sheet1!E:E,$G1770)</f>
        <v>Sheet1</v>
      </c>
      <c r="J1770" s="4" t="str" cm="1">
        <f t="array" ref="J1770">INDEX(Sheet1!F:F,$G1770)</f>
        <v>B25</v>
      </c>
      <c r="K1770" s="4" cm="1">
        <f t="array" ref="K1770">INDEX(Sheet1!H:H,$G1770)</f>
        <v>1</v>
      </c>
      <c r="L1770" s="4">
        <f t="shared" si="108"/>
        <v>68</v>
      </c>
      <c r="M1770" s="4">
        <f t="shared" si="111"/>
        <v>5</v>
      </c>
    </row>
    <row r="1771" spans="1:13">
      <c r="A1771" s="4" t="str" cm="1">
        <f t="array" ref="A1771">INDEX(Sheet1!A:A,$F1771)</f>
        <v>F</v>
      </c>
      <c r="B1771" s="4" t="str" cm="1">
        <f t="array" ref="B1771">INDEX(Sheet1!B:B,$F1771)</f>
        <v>Agg/Unknown</v>
      </c>
      <c r="C1771" s="4">
        <f t="shared" si="109"/>
        <v>69</v>
      </c>
      <c r="D1771" s="5" cm="1">
        <f t="array" aca="1" ref="D1771" ca="1">OFFSET(INDIRECT("'["&amp;$H1771&amp;"]"&amp;$I1771&amp;"'!"&amp;$J1771),$L1771,$M1771)*$K1771</f>
        <v>1.306E-2</v>
      </c>
      <c r="F1771" s="4">
        <f t="shared" si="110"/>
        <v>19</v>
      </c>
      <c r="G1771" s="4" cm="1">
        <f t="array" ref="G1771">IF($C1771+$M1771&lt;16,INDEX(Sheet1!C:C,$F1771),$F1771)</f>
        <v>19</v>
      </c>
      <c r="H1771" s="4" t="str" cm="1">
        <f t="array" ref="H1771">INDEX(Sheet1!D:D,$G1771)</f>
        <v>t1139.xlsx</v>
      </c>
      <c r="I1771" s="4" t="str" cm="1">
        <f t="array" ref="I1771">INDEX(Sheet1!E:E,$G1771)</f>
        <v>Sheet1</v>
      </c>
      <c r="J1771" s="4" t="str" cm="1">
        <f t="array" ref="J1771">INDEX(Sheet1!F:F,$G1771)</f>
        <v>B25</v>
      </c>
      <c r="K1771" s="4" cm="1">
        <f t="array" ref="K1771">INDEX(Sheet1!H:H,$G1771)</f>
        <v>1</v>
      </c>
      <c r="L1771" s="4">
        <f t="shared" si="108"/>
        <v>69</v>
      </c>
      <c r="M1771" s="4">
        <f t="shared" si="111"/>
        <v>5</v>
      </c>
    </row>
    <row r="1772" spans="1:13">
      <c r="A1772" s="4" t="str" cm="1">
        <f t="array" ref="A1772">INDEX(Sheet1!A:A,$F1772)</f>
        <v>F</v>
      </c>
      <c r="B1772" s="4" t="str" cm="1">
        <f t="array" ref="B1772">INDEX(Sheet1!B:B,$F1772)</f>
        <v>Agg/Unknown</v>
      </c>
      <c r="C1772" s="4">
        <f t="shared" si="109"/>
        <v>70</v>
      </c>
      <c r="D1772" s="5" cm="1">
        <f t="array" aca="1" ref="D1772" ca="1">OFFSET(INDIRECT("'["&amp;$H1772&amp;"]"&amp;$I1772&amp;"'!"&amp;$J1772),$L1772,$M1772)*$K1772</f>
        <v>1.44E-2</v>
      </c>
      <c r="F1772" s="4">
        <f t="shared" si="110"/>
        <v>19</v>
      </c>
      <c r="G1772" s="4" cm="1">
        <f t="array" ref="G1772">IF($C1772+$M1772&lt;16,INDEX(Sheet1!C:C,$F1772),$F1772)</f>
        <v>19</v>
      </c>
      <c r="H1772" s="4" t="str" cm="1">
        <f t="array" ref="H1772">INDEX(Sheet1!D:D,$G1772)</f>
        <v>t1139.xlsx</v>
      </c>
      <c r="I1772" s="4" t="str" cm="1">
        <f t="array" ref="I1772">INDEX(Sheet1!E:E,$G1772)</f>
        <v>Sheet1</v>
      </c>
      <c r="J1772" s="4" t="str" cm="1">
        <f t="array" ref="J1772">INDEX(Sheet1!F:F,$G1772)</f>
        <v>B25</v>
      </c>
      <c r="K1772" s="4" cm="1">
        <f t="array" ref="K1772">INDEX(Sheet1!H:H,$G1772)</f>
        <v>1</v>
      </c>
      <c r="L1772" s="4">
        <f t="shared" si="108"/>
        <v>70</v>
      </c>
      <c r="M1772" s="4">
        <f t="shared" si="111"/>
        <v>5</v>
      </c>
    </row>
    <row r="1773" spans="1:13">
      <c r="A1773" s="4" t="str" cm="1">
        <f t="array" ref="A1773">INDEX(Sheet1!A:A,$F1773)</f>
        <v>F</v>
      </c>
      <c r="B1773" s="4" t="str" cm="1">
        <f t="array" ref="B1773">INDEX(Sheet1!B:B,$F1773)</f>
        <v>Agg/Unknown</v>
      </c>
      <c r="C1773" s="4">
        <f t="shared" si="109"/>
        <v>71</v>
      </c>
      <c r="D1773" s="5" cm="1">
        <f t="array" aca="1" ref="D1773" ca="1">OFFSET(INDIRECT("'["&amp;$H1773&amp;"]"&amp;$I1773&amp;"'!"&amp;$J1773),$L1773,$M1773)*$K1773</f>
        <v>1.5980000000000001E-2</v>
      </c>
      <c r="F1773" s="4">
        <f t="shared" si="110"/>
        <v>19</v>
      </c>
      <c r="G1773" s="4" cm="1">
        <f t="array" ref="G1773">IF($C1773+$M1773&lt;16,INDEX(Sheet1!C:C,$F1773),$F1773)</f>
        <v>19</v>
      </c>
      <c r="H1773" s="4" t="str" cm="1">
        <f t="array" ref="H1773">INDEX(Sheet1!D:D,$G1773)</f>
        <v>t1139.xlsx</v>
      </c>
      <c r="I1773" s="4" t="str" cm="1">
        <f t="array" ref="I1773">INDEX(Sheet1!E:E,$G1773)</f>
        <v>Sheet1</v>
      </c>
      <c r="J1773" s="4" t="str" cm="1">
        <f t="array" ref="J1773">INDEX(Sheet1!F:F,$G1773)</f>
        <v>B25</v>
      </c>
      <c r="K1773" s="4" cm="1">
        <f t="array" ref="K1773">INDEX(Sheet1!H:H,$G1773)</f>
        <v>1</v>
      </c>
      <c r="L1773" s="4">
        <f t="shared" si="108"/>
        <v>71</v>
      </c>
      <c r="M1773" s="4">
        <f t="shared" si="111"/>
        <v>5</v>
      </c>
    </row>
    <row r="1774" spans="1:13">
      <c r="A1774" s="4" t="str" cm="1">
        <f t="array" ref="A1774">INDEX(Sheet1!A:A,$F1774)</f>
        <v>F</v>
      </c>
      <c r="B1774" s="4" t="str" cm="1">
        <f t="array" ref="B1774">INDEX(Sheet1!B:B,$F1774)</f>
        <v>Agg/Unknown</v>
      </c>
      <c r="C1774" s="4">
        <f t="shared" si="109"/>
        <v>72</v>
      </c>
      <c r="D1774" s="5" cm="1">
        <f t="array" aca="1" ref="D1774" ca="1">OFFSET(INDIRECT("'["&amp;$H1774&amp;"]"&amp;$I1774&amp;"'!"&amp;$J1774),$L1774,$M1774)*$K1774</f>
        <v>1.7829999999999999E-2</v>
      </c>
      <c r="F1774" s="4">
        <f t="shared" si="110"/>
        <v>19</v>
      </c>
      <c r="G1774" s="4" cm="1">
        <f t="array" ref="G1774">IF($C1774+$M1774&lt;16,INDEX(Sheet1!C:C,$F1774),$F1774)</f>
        <v>19</v>
      </c>
      <c r="H1774" s="4" t="str" cm="1">
        <f t="array" ref="H1774">INDEX(Sheet1!D:D,$G1774)</f>
        <v>t1139.xlsx</v>
      </c>
      <c r="I1774" s="4" t="str" cm="1">
        <f t="array" ref="I1774">INDEX(Sheet1!E:E,$G1774)</f>
        <v>Sheet1</v>
      </c>
      <c r="J1774" s="4" t="str" cm="1">
        <f t="array" ref="J1774">INDEX(Sheet1!F:F,$G1774)</f>
        <v>B25</v>
      </c>
      <c r="K1774" s="4" cm="1">
        <f t="array" ref="K1774">INDEX(Sheet1!H:H,$G1774)</f>
        <v>1</v>
      </c>
      <c r="L1774" s="4">
        <f t="shared" si="108"/>
        <v>72</v>
      </c>
      <c r="M1774" s="4">
        <f t="shared" si="111"/>
        <v>5</v>
      </c>
    </row>
    <row r="1775" spans="1:13">
      <c r="A1775" s="4" t="str" cm="1">
        <f t="array" ref="A1775">INDEX(Sheet1!A:A,$F1775)</f>
        <v>F</v>
      </c>
      <c r="B1775" s="4" t="str" cm="1">
        <f t="array" ref="B1775">INDEX(Sheet1!B:B,$F1775)</f>
        <v>Agg/Unknown</v>
      </c>
      <c r="C1775" s="4">
        <f t="shared" si="109"/>
        <v>73</v>
      </c>
      <c r="D1775" s="5" cm="1">
        <f t="array" aca="1" ref="D1775" ca="1">OFFSET(INDIRECT("'["&amp;$H1775&amp;"]"&amp;$I1775&amp;"'!"&amp;$J1775),$L1775,$M1775)*$K1775</f>
        <v>0.02</v>
      </c>
      <c r="F1775" s="4">
        <f t="shared" si="110"/>
        <v>19</v>
      </c>
      <c r="G1775" s="4" cm="1">
        <f t="array" ref="G1775">IF($C1775+$M1775&lt;16,INDEX(Sheet1!C:C,$F1775),$F1775)</f>
        <v>19</v>
      </c>
      <c r="H1775" s="4" t="str" cm="1">
        <f t="array" ref="H1775">INDEX(Sheet1!D:D,$G1775)</f>
        <v>t1139.xlsx</v>
      </c>
      <c r="I1775" s="4" t="str" cm="1">
        <f t="array" ref="I1775">INDEX(Sheet1!E:E,$G1775)</f>
        <v>Sheet1</v>
      </c>
      <c r="J1775" s="4" t="str" cm="1">
        <f t="array" ref="J1775">INDEX(Sheet1!F:F,$G1775)</f>
        <v>B25</v>
      </c>
      <c r="K1775" s="4" cm="1">
        <f t="array" ref="K1775">INDEX(Sheet1!H:H,$G1775)</f>
        <v>1</v>
      </c>
      <c r="L1775" s="4">
        <f t="shared" si="108"/>
        <v>73</v>
      </c>
      <c r="M1775" s="4">
        <f t="shared" si="111"/>
        <v>5</v>
      </c>
    </row>
    <row r="1776" spans="1:13">
      <c r="A1776" s="4" t="str" cm="1">
        <f t="array" ref="A1776">INDEX(Sheet1!A:A,$F1776)</f>
        <v>F</v>
      </c>
      <c r="B1776" s="4" t="str" cm="1">
        <f t="array" ref="B1776">INDEX(Sheet1!B:B,$F1776)</f>
        <v>Agg/Unknown</v>
      </c>
      <c r="C1776" s="4">
        <f t="shared" si="109"/>
        <v>74</v>
      </c>
      <c r="D1776" s="5" cm="1">
        <f t="array" aca="1" ref="D1776" ca="1">OFFSET(INDIRECT("'["&amp;$H1776&amp;"]"&amp;$I1776&amp;"'!"&amp;$J1776),$L1776,$M1776)*$K1776</f>
        <v>2.2509999999999999E-2</v>
      </c>
      <c r="F1776" s="4">
        <f t="shared" si="110"/>
        <v>19</v>
      </c>
      <c r="G1776" s="4" cm="1">
        <f t="array" ref="G1776">IF($C1776+$M1776&lt;16,INDEX(Sheet1!C:C,$F1776),$F1776)</f>
        <v>19</v>
      </c>
      <c r="H1776" s="4" t="str" cm="1">
        <f t="array" ref="H1776">INDEX(Sheet1!D:D,$G1776)</f>
        <v>t1139.xlsx</v>
      </c>
      <c r="I1776" s="4" t="str" cm="1">
        <f t="array" ref="I1776">INDEX(Sheet1!E:E,$G1776)</f>
        <v>Sheet1</v>
      </c>
      <c r="J1776" s="4" t="str" cm="1">
        <f t="array" ref="J1776">INDEX(Sheet1!F:F,$G1776)</f>
        <v>B25</v>
      </c>
      <c r="K1776" s="4" cm="1">
        <f t="array" ref="K1776">INDEX(Sheet1!H:H,$G1776)</f>
        <v>1</v>
      </c>
      <c r="L1776" s="4">
        <f t="shared" si="108"/>
        <v>74</v>
      </c>
      <c r="M1776" s="4">
        <f t="shared" si="111"/>
        <v>5</v>
      </c>
    </row>
    <row r="1777" spans="1:13">
      <c r="A1777" s="4" t="str" cm="1">
        <f t="array" ref="A1777">INDEX(Sheet1!A:A,$F1777)</f>
        <v>F</v>
      </c>
      <c r="B1777" s="4" t="str" cm="1">
        <f t="array" ref="B1777">INDEX(Sheet1!B:B,$F1777)</f>
        <v>Agg/Unknown</v>
      </c>
      <c r="C1777" s="4">
        <f t="shared" si="109"/>
        <v>75</v>
      </c>
      <c r="D1777" s="5" cm="1">
        <f t="array" aca="1" ref="D1777" ca="1">OFFSET(INDIRECT("'["&amp;$H1777&amp;"]"&amp;$I1777&amp;"'!"&amp;$J1777),$L1777,$M1777)*$K1777</f>
        <v>2.5399999999999999E-2</v>
      </c>
      <c r="F1777" s="4">
        <f t="shared" si="110"/>
        <v>19</v>
      </c>
      <c r="G1777" s="4" cm="1">
        <f t="array" ref="G1777">IF($C1777+$M1777&lt;16,INDEX(Sheet1!C:C,$F1777),$F1777)</f>
        <v>19</v>
      </c>
      <c r="H1777" s="4" t="str" cm="1">
        <f t="array" ref="H1777">INDEX(Sheet1!D:D,$G1777)</f>
        <v>t1139.xlsx</v>
      </c>
      <c r="I1777" s="4" t="str" cm="1">
        <f t="array" ref="I1777">INDEX(Sheet1!E:E,$G1777)</f>
        <v>Sheet1</v>
      </c>
      <c r="J1777" s="4" t="str" cm="1">
        <f t="array" ref="J1777">INDEX(Sheet1!F:F,$G1777)</f>
        <v>B25</v>
      </c>
      <c r="K1777" s="4" cm="1">
        <f t="array" ref="K1777">INDEX(Sheet1!H:H,$G1777)</f>
        <v>1</v>
      </c>
      <c r="L1777" s="4">
        <f t="shared" si="108"/>
        <v>75</v>
      </c>
      <c r="M1777" s="4">
        <f t="shared" si="111"/>
        <v>5</v>
      </c>
    </row>
    <row r="1778" spans="1:13">
      <c r="A1778" s="4" t="str" cm="1">
        <f t="array" ref="A1778">INDEX(Sheet1!A:A,$F1778)</f>
        <v>F</v>
      </c>
      <c r="B1778" s="4" t="str" cm="1">
        <f t="array" ref="B1778">INDEX(Sheet1!B:B,$F1778)</f>
        <v>Agg/Unknown</v>
      </c>
      <c r="C1778" s="4">
        <f t="shared" si="109"/>
        <v>76</v>
      </c>
      <c r="D1778" s="5" cm="1">
        <f t="array" aca="1" ref="D1778" ca="1">OFFSET(INDIRECT("'["&amp;$H1778&amp;"]"&amp;$I1778&amp;"'!"&amp;$J1778),$L1778,$M1778)*$K1778</f>
        <v>2.8729999999999999E-2</v>
      </c>
      <c r="F1778" s="4">
        <f t="shared" si="110"/>
        <v>19</v>
      </c>
      <c r="G1778" s="4" cm="1">
        <f t="array" ref="G1778">IF($C1778+$M1778&lt;16,INDEX(Sheet1!C:C,$F1778),$F1778)</f>
        <v>19</v>
      </c>
      <c r="H1778" s="4" t="str" cm="1">
        <f t="array" ref="H1778">INDEX(Sheet1!D:D,$G1778)</f>
        <v>t1139.xlsx</v>
      </c>
      <c r="I1778" s="4" t="str" cm="1">
        <f t="array" ref="I1778">INDEX(Sheet1!E:E,$G1778)</f>
        <v>Sheet1</v>
      </c>
      <c r="J1778" s="4" t="str" cm="1">
        <f t="array" ref="J1778">INDEX(Sheet1!F:F,$G1778)</f>
        <v>B25</v>
      </c>
      <c r="K1778" s="4" cm="1">
        <f t="array" ref="K1778">INDEX(Sheet1!H:H,$G1778)</f>
        <v>1</v>
      </c>
      <c r="L1778" s="4">
        <f t="shared" si="108"/>
        <v>76</v>
      </c>
      <c r="M1778" s="4">
        <f t="shared" si="111"/>
        <v>5</v>
      </c>
    </row>
    <row r="1779" spans="1:13">
      <c r="A1779" s="4" t="str" cm="1">
        <f t="array" ref="A1779">INDEX(Sheet1!A:A,$F1779)</f>
        <v>F</v>
      </c>
      <c r="B1779" s="4" t="str" cm="1">
        <f t="array" ref="B1779">INDEX(Sheet1!B:B,$F1779)</f>
        <v>Agg/Unknown</v>
      </c>
      <c r="C1779" s="4">
        <f t="shared" si="109"/>
        <v>77</v>
      </c>
      <c r="D1779" s="5" cm="1">
        <f t="array" aca="1" ref="D1779" ca="1">OFFSET(INDIRECT("'["&amp;$H1779&amp;"]"&amp;$I1779&amp;"'!"&amp;$J1779),$L1779,$M1779)*$K1779</f>
        <v>3.2530000000000003E-2</v>
      </c>
      <c r="F1779" s="4">
        <f t="shared" si="110"/>
        <v>19</v>
      </c>
      <c r="G1779" s="4" cm="1">
        <f t="array" ref="G1779">IF($C1779+$M1779&lt;16,INDEX(Sheet1!C:C,$F1779),$F1779)</f>
        <v>19</v>
      </c>
      <c r="H1779" s="4" t="str" cm="1">
        <f t="array" ref="H1779">INDEX(Sheet1!D:D,$G1779)</f>
        <v>t1139.xlsx</v>
      </c>
      <c r="I1779" s="4" t="str" cm="1">
        <f t="array" ref="I1779">INDEX(Sheet1!E:E,$G1779)</f>
        <v>Sheet1</v>
      </c>
      <c r="J1779" s="4" t="str" cm="1">
        <f t="array" ref="J1779">INDEX(Sheet1!F:F,$G1779)</f>
        <v>B25</v>
      </c>
      <c r="K1779" s="4" cm="1">
        <f t="array" ref="K1779">INDEX(Sheet1!H:H,$G1779)</f>
        <v>1</v>
      </c>
      <c r="L1779" s="4">
        <f t="shared" si="108"/>
        <v>77</v>
      </c>
      <c r="M1779" s="4">
        <f t="shared" si="111"/>
        <v>5</v>
      </c>
    </row>
    <row r="1780" spans="1:13">
      <c r="A1780" s="4" t="str" cm="1">
        <f t="array" ref="A1780">INDEX(Sheet1!A:A,$F1780)</f>
        <v>F</v>
      </c>
      <c r="B1780" s="4" t="str" cm="1">
        <f t="array" ref="B1780">INDEX(Sheet1!B:B,$F1780)</f>
        <v>Agg/Unknown</v>
      </c>
      <c r="C1780" s="4">
        <f t="shared" si="109"/>
        <v>78</v>
      </c>
      <c r="D1780" s="5" cm="1">
        <f t="array" aca="1" ref="D1780" ca="1">OFFSET(INDIRECT("'["&amp;$H1780&amp;"]"&amp;$I1780&amp;"'!"&amp;$J1780),$L1780,$M1780)*$K1780</f>
        <v>3.6880000000000003E-2</v>
      </c>
      <c r="F1780" s="4">
        <f t="shared" si="110"/>
        <v>19</v>
      </c>
      <c r="G1780" s="4" cm="1">
        <f t="array" ref="G1780">IF($C1780+$M1780&lt;16,INDEX(Sheet1!C:C,$F1780),$F1780)</f>
        <v>19</v>
      </c>
      <c r="H1780" s="4" t="str" cm="1">
        <f t="array" ref="H1780">INDEX(Sheet1!D:D,$G1780)</f>
        <v>t1139.xlsx</v>
      </c>
      <c r="I1780" s="4" t="str" cm="1">
        <f t="array" ref="I1780">INDEX(Sheet1!E:E,$G1780)</f>
        <v>Sheet1</v>
      </c>
      <c r="J1780" s="4" t="str" cm="1">
        <f t="array" ref="J1780">INDEX(Sheet1!F:F,$G1780)</f>
        <v>B25</v>
      </c>
      <c r="K1780" s="4" cm="1">
        <f t="array" ref="K1780">INDEX(Sheet1!H:H,$G1780)</f>
        <v>1</v>
      </c>
      <c r="L1780" s="4">
        <f t="shared" si="108"/>
        <v>78</v>
      </c>
      <c r="M1780" s="4">
        <f t="shared" si="111"/>
        <v>5</v>
      </c>
    </row>
    <row r="1781" spans="1:13">
      <c r="A1781" s="4" t="str" cm="1">
        <f t="array" ref="A1781">INDEX(Sheet1!A:A,$F1781)</f>
        <v>F</v>
      </c>
      <c r="B1781" s="4" t="str" cm="1">
        <f t="array" ref="B1781">INDEX(Sheet1!B:B,$F1781)</f>
        <v>Agg/Unknown</v>
      </c>
      <c r="C1781" s="4">
        <f t="shared" si="109"/>
        <v>79</v>
      </c>
      <c r="D1781" s="5" cm="1">
        <f t="array" aca="1" ref="D1781" ca="1">OFFSET(INDIRECT("'["&amp;$H1781&amp;"]"&amp;$I1781&amp;"'!"&amp;$J1781),$L1781,$M1781)*$K1781</f>
        <v>4.1820000000000003E-2</v>
      </c>
      <c r="F1781" s="4">
        <f t="shared" si="110"/>
        <v>19</v>
      </c>
      <c r="G1781" s="4" cm="1">
        <f t="array" ref="G1781">IF($C1781+$M1781&lt;16,INDEX(Sheet1!C:C,$F1781),$F1781)</f>
        <v>19</v>
      </c>
      <c r="H1781" s="4" t="str" cm="1">
        <f t="array" ref="H1781">INDEX(Sheet1!D:D,$G1781)</f>
        <v>t1139.xlsx</v>
      </c>
      <c r="I1781" s="4" t="str" cm="1">
        <f t="array" ref="I1781">INDEX(Sheet1!E:E,$G1781)</f>
        <v>Sheet1</v>
      </c>
      <c r="J1781" s="4" t="str" cm="1">
        <f t="array" ref="J1781">INDEX(Sheet1!F:F,$G1781)</f>
        <v>B25</v>
      </c>
      <c r="K1781" s="4" cm="1">
        <f t="array" ref="K1781">INDEX(Sheet1!H:H,$G1781)</f>
        <v>1</v>
      </c>
      <c r="L1781" s="4">
        <f t="shared" si="108"/>
        <v>79</v>
      </c>
      <c r="M1781" s="4">
        <f t="shared" si="111"/>
        <v>5</v>
      </c>
    </row>
    <row r="1782" spans="1:13">
      <c r="A1782" s="4" t="str" cm="1">
        <f t="array" ref="A1782">INDEX(Sheet1!A:A,$F1782)</f>
        <v>F</v>
      </c>
      <c r="B1782" s="4" t="str" cm="1">
        <f t="array" ref="B1782">INDEX(Sheet1!B:B,$F1782)</f>
        <v>Agg/Unknown</v>
      </c>
      <c r="C1782" s="4">
        <f t="shared" si="109"/>
        <v>80</v>
      </c>
      <c r="D1782" s="5" cm="1">
        <f t="array" aca="1" ref="D1782" ca="1">OFFSET(INDIRECT("'["&amp;$H1782&amp;"]"&amp;$I1782&amp;"'!"&amp;$J1782),$L1782,$M1782)*$K1782</f>
        <v>4.7399999999999998E-2</v>
      </c>
      <c r="F1782" s="4">
        <f t="shared" si="110"/>
        <v>19</v>
      </c>
      <c r="G1782" s="4" cm="1">
        <f t="array" ref="G1782">IF($C1782+$M1782&lt;16,INDEX(Sheet1!C:C,$F1782),$F1782)</f>
        <v>19</v>
      </c>
      <c r="H1782" s="4" t="str" cm="1">
        <f t="array" ref="H1782">INDEX(Sheet1!D:D,$G1782)</f>
        <v>t1139.xlsx</v>
      </c>
      <c r="I1782" s="4" t="str" cm="1">
        <f t="array" ref="I1782">INDEX(Sheet1!E:E,$G1782)</f>
        <v>Sheet1</v>
      </c>
      <c r="J1782" s="4" t="str" cm="1">
        <f t="array" ref="J1782">INDEX(Sheet1!F:F,$G1782)</f>
        <v>B25</v>
      </c>
      <c r="K1782" s="4" cm="1">
        <f t="array" ref="K1782">INDEX(Sheet1!H:H,$G1782)</f>
        <v>1</v>
      </c>
      <c r="L1782" s="4">
        <f t="shared" si="108"/>
        <v>80</v>
      </c>
      <c r="M1782" s="4">
        <f t="shared" si="111"/>
        <v>5</v>
      </c>
    </row>
    <row r="1783" spans="1:13">
      <c r="A1783" s="4" t="str" cm="1">
        <f t="array" ref="A1783">INDEX(Sheet1!A:A,$F1783)</f>
        <v>F</v>
      </c>
      <c r="B1783" s="4" t="str" cm="1">
        <f t="array" ref="B1783">INDEX(Sheet1!B:B,$F1783)</f>
        <v>Agg/Unknown</v>
      </c>
      <c r="C1783" s="4">
        <f t="shared" si="109"/>
        <v>81</v>
      </c>
      <c r="D1783" s="5" cm="1">
        <f t="array" aca="1" ref="D1783" ca="1">OFFSET(INDIRECT("'["&amp;$H1783&amp;"]"&amp;$I1783&amp;"'!"&amp;$J1783),$L1783,$M1783)*$K1783</f>
        <v>5.3679999999999999E-2</v>
      </c>
      <c r="F1783" s="4">
        <f t="shared" si="110"/>
        <v>19</v>
      </c>
      <c r="G1783" s="4" cm="1">
        <f t="array" ref="G1783">IF($C1783+$M1783&lt;16,INDEX(Sheet1!C:C,$F1783),$F1783)</f>
        <v>19</v>
      </c>
      <c r="H1783" s="4" t="str" cm="1">
        <f t="array" ref="H1783">INDEX(Sheet1!D:D,$G1783)</f>
        <v>t1139.xlsx</v>
      </c>
      <c r="I1783" s="4" t="str" cm="1">
        <f t="array" ref="I1783">INDEX(Sheet1!E:E,$G1783)</f>
        <v>Sheet1</v>
      </c>
      <c r="J1783" s="4" t="str" cm="1">
        <f t="array" ref="J1783">INDEX(Sheet1!F:F,$G1783)</f>
        <v>B25</v>
      </c>
      <c r="K1783" s="4" cm="1">
        <f t="array" ref="K1783">INDEX(Sheet1!H:H,$G1783)</f>
        <v>1</v>
      </c>
      <c r="L1783" s="4">
        <f t="shared" si="108"/>
        <v>81</v>
      </c>
      <c r="M1783" s="4">
        <f t="shared" si="111"/>
        <v>5</v>
      </c>
    </row>
    <row r="1784" spans="1:13">
      <c r="A1784" s="4" t="str" cm="1">
        <f t="array" ref="A1784">INDEX(Sheet1!A:A,$F1784)</f>
        <v>F</v>
      </c>
      <c r="B1784" s="4" t="str" cm="1">
        <f t="array" ref="B1784">INDEX(Sheet1!B:B,$F1784)</f>
        <v>Agg/Unknown</v>
      </c>
      <c r="C1784" s="4">
        <f t="shared" si="109"/>
        <v>82</v>
      </c>
      <c r="D1784" s="5" cm="1">
        <f t="array" aca="1" ref="D1784" ca="1">OFFSET(INDIRECT("'["&amp;$H1784&amp;"]"&amp;$I1784&amp;"'!"&amp;$J1784),$L1784,$M1784)*$K1784</f>
        <v>6.0699999999999997E-2</v>
      </c>
      <c r="F1784" s="4">
        <f t="shared" si="110"/>
        <v>19</v>
      </c>
      <c r="G1784" s="4" cm="1">
        <f t="array" ref="G1784">IF($C1784+$M1784&lt;16,INDEX(Sheet1!C:C,$F1784),$F1784)</f>
        <v>19</v>
      </c>
      <c r="H1784" s="4" t="str" cm="1">
        <f t="array" ref="H1784">INDEX(Sheet1!D:D,$G1784)</f>
        <v>t1139.xlsx</v>
      </c>
      <c r="I1784" s="4" t="str" cm="1">
        <f t="array" ref="I1784">INDEX(Sheet1!E:E,$G1784)</f>
        <v>Sheet1</v>
      </c>
      <c r="J1784" s="4" t="str" cm="1">
        <f t="array" ref="J1784">INDEX(Sheet1!F:F,$G1784)</f>
        <v>B25</v>
      </c>
      <c r="K1784" s="4" cm="1">
        <f t="array" ref="K1784">INDEX(Sheet1!H:H,$G1784)</f>
        <v>1</v>
      </c>
      <c r="L1784" s="4">
        <f t="shared" si="108"/>
        <v>82</v>
      </c>
      <c r="M1784" s="4">
        <f t="shared" si="111"/>
        <v>5</v>
      </c>
    </row>
    <row r="1785" spans="1:13">
      <c r="A1785" s="4" t="str" cm="1">
        <f t="array" ref="A1785">INDEX(Sheet1!A:A,$F1785)</f>
        <v>F</v>
      </c>
      <c r="B1785" s="4" t="str" cm="1">
        <f t="array" ref="B1785">INDEX(Sheet1!B:B,$F1785)</f>
        <v>Agg/Unknown</v>
      </c>
      <c r="C1785" s="4">
        <f t="shared" si="109"/>
        <v>83</v>
      </c>
      <c r="D1785" s="5" cm="1">
        <f t="array" aca="1" ref="D1785" ca="1">OFFSET(INDIRECT("'["&amp;$H1785&amp;"]"&amp;$I1785&amp;"'!"&amp;$J1785),$L1785,$M1785)*$K1785</f>
        <v>6.8510000000000001E-2</v>
      </c>
      <c r="F1785" s="4">
        <f t="shared" si="110"/>
        <v>19</v>
      </c>
      <c r="G1785" s="4" cm="1">
        <f t="array" ref="G1785">IF($C1785+$M1785&lt;16,INDEX(Sheet1!C:C,$F1785),$F1785)</f>
        <v>19</v>
      </c>
      <c r="H1785" s="4" t="str" cm="1">
        <f t="array" ref="H1785">INDEX(Sheet1!D:D,$G1785)</f>
        <v>t1139.xlsx</v>
      </c>
      <c r="I1785" s="4" t="str" cm="1">
        <f t="array" ref="I1785">INDEX(Sheet1!E:E,$G1785)</f>
        <v>Sheet1</v>
      </c>
      <c r="J1785" s="4" t="str" cm="1">
        <f t="array" ref="J1785">INDEX(Sheet1!F:F,$G1785)</f>
        <v>B25</v>
      </c>
      <c r="K1785" s="4" cm="1">
        <f t="array" ref="K1785">INDEX(Sheet1!H:H,$G1785)</f>
        <v>1</v>
      </c>
      <c r="L1785" s="4">
        <f t="shared" si="108"/>
        <v>83</v>
      </c>
      <c r="M1785" s="4">
        <f t="shared" si="111"/>
        <v>5</v>
      </c>
    </row>
    <row r="1786" spans="1:13">
      <c r="A1786" s="4" t="str" cm="1">
        <f t="array" ref="A1786">INDEX(Sheet1!A:A,$F1786)</f>
        <v>F</v>
      </c>
      <c r="B1786" s="4" t="str" cm="1">
        <f t="array" ref="B1786">INDEX(Sheet1!B:B,$F1786)</f>
        <v>Agg/Unknown</v>
      </c>
      <c r="C1786" s="4">
        <f t="shared" si="109"/>
        <v>84</v>
      </c>
      <c r="D1786" s="5" cm="1">
        <f t="array" aca="1" ref="D1786" ca="1">OFFSET(INDIRECT("'["&amp;$H1786&amp;"]"&amp;$I1786&amp;"'!"&amp;$J1786),$L1786,$M1786)*$K1786</f>
        <v>7.714E-2</v>
      </c>
      <c r="F1786" s="4">
        <f t="shared" si="110"/>
        <v>19</v>
      </c>
      <c r="G1786" s="4" cm="1">
        <f t="array" ref="G1786">IF($C1786+$M1786&lt;16,INDEX(Sheet1!C:C,$F1786),$F1786)</f>
        <v>19</v>
      </c>
      <c r="H1786" s="4" t="str" cm="1">
        <f t="array" ref="H1786">INDEX(Sheet1!D:D,$G1786)</f>
        <v>t1139.xlsx</v>
      </c>
      <c r="I1786" s="4" t="str" cm="1">
        <f t="array" ref="I1786">INDEX(Sheet1!E:E,$G1786)</f>
        <v>Sheet1</v>
      </c>
      <c r="J1786" s="4" t="str" cm="1">
        <f t="array" ref="J1786">INDEX(Sheet1!F:F,$G1786)</f>
        <v>B25</v>
      </c>
      <c r="K1786" s="4" cm="1">
        <f t="array" ref="K1786">INDEX(Sheet1!H:H,$G1786)</f>
        <v>1</v>
      </c>
      <c r="L1786" s="4">
        <f t="shared" si="108"/>
        <v>84</v>
      </c>
      <c r="M1786" s="4">
        <f t="shared" si="111"/>
        <v>5</v>
      </c>
    </row>
    <row r="1787" spans="1:13">
      <c r="A1787" s="4" t="str" cm="1">
        <f t="array" ref="A1787">INDEX(Sheet1!A:A,$F1787)</f>
        <v>F</v>
      </c>
      <c r="B1787" s="4" t="str" cm="1">
        <f t="array" ref="B1787">INDEX(Sheet1!B:B,$F1787)</f>
        <v>Agg/Unknown</v>
      </c>
      <c r="C1787" s="4">
        <f t="shared" si="109"/>
        <v>85</v>
      </c>
      <c r="D1787" s="5" cm="1">
        <f t="array" aca="1" ref="D1787" ca="1">OFFSET(INDIRECT("'["&amp;$H1787&amp;"]"&amp;$I1787&amp;"'!"&amp;$J1787),$L1787,$M1787)*$K1787</f>
        <v>8.6610000000000006E-2</v>
      </c>
      <c r="F1787" s="4">
        <f t="shared" si="110"/>
        <v>19</v>
      </c>
      <c r="G1787" s="4" cm="1">
        <f t="array" ref="G1787">IF($C1787+$M1787&lt;16,INDEX(Sheet1!C:C,$F1787),$F1787)</f>
        <v>19</v>
      </c>
      <c r="H1787" s="4" t="str" cm="1">
        <f t="array" ref="H1787">INDEX(Sheet1!D:D,$G1787)</f>
        <v>t1139.xlsx</v>
      </c>
      <c r="I1787" s="4" t="str" cm="1">
        <f t="array" ref="I1787">INDEX(Sheet1!E:E,$G1787)</f>
        <v>Sheet1</v>
      </c>
      <c r="J1787" s="4" t="str" cm="1">
        <f t="array" ref="J1787">INDEX(Sheet1!F:F,$G1787)</f>
        <v>B25</v>
      </c>
      <c r="K1787" s="4" cm="1">
        <f t="array" ref="K1787">INDEX(Sheet1!H:H,$G1787)</f>
        <v>1</v>
      </c>
      <c r="L1787" s="4">
        <f t="shared" si="108"/>
        <v>85</v>
      </c>
      <c r="M1787" s="4">
        <f t="shared" si="111"/>
        <v>5</v>
      </c>
    </row>
    <row r="1788" spans="1:13">
      <c r="A1788" s="4" t="str" cm="1">
        <f t="array" ref="A1788">INDEX(Sheet1!A:A,$F1788)</f>
        <v>F</v>
      </c>
      <c r="B1788" s="4" t="str" cm="1">
        <f t="array" ref="B1788">INDEX(Sheet1!B:B,$F1788)</f>
        <v>Agg/Unknown</v>
      </c>
      <c r="C1788" s="4">
        <f t="shared" si="109"/>
        <v>86</v>
      </c>
      <c r="D1788" s="5" cm="1">
        <f t="array" aca="1" ref="D1788" ca="1">OFFSET(INDIRECT("'["&amp;$H1788&amp;"]"&amp;$I1788&amp;"'!"&amp;$J1788),$L1788,$M1788)*$K1788</f>
        <v>9.6949999999999995E-2</v>
      </c>
      <c r="F1788" s="4">
        <f t="shared" si="110"/>
        <v>19</v>
      </c>
      <c r="G1788" s="4" cm="1">
        <f t="array" ref="G1788">IF($C1788+$M1788&lt;16,INDEX(Sheet1!C:C,$F1788),$F1788)</f>
        <v>19</v>
      </c>
      <c r="H1788" s="4" t="str" cm="1">
        <f t="array" ref="H1788">INDEX(Sheet1!D:D,$G1788)</f>
        <v>t1139.xlsx</v>
      </c>
      <c r="I1788" s="4" t="str" cm="1">
        <f t="array" ref="I1788">INDEX(Sheet1!E:E,$G1788)</f>
        <v>Sheet1</v>
      </c>
      <c r="J1788" s="4" t="str" cm="1">
        <f t="array" ref="J1788">INDEX(Sheet1!F:F,$G1788)</f>
        <v>B25</v>
      </c>
      <c r="K1788" s="4" cm="1">
        <f t="array" ref="K1788">INDEX(Sheet1!H:H,$G1788)</f>
        <v>1</v>
      </c>
      <c r="L1788" s="4">
        <f t="shared" si="108"/>
        <v>86</v>
      </c>
      <c r="M1788" s="4">
        <f t="shared" si="111"/>
        <v>5</v>
      </c>
    </row>
    <row r="1789" spans="1:13">
      <c r="A1789" s="4" t="str" cm="1">
        <f t="array" ref="A1789">INDEX(Sheet1!A:A,$F1789)</f>
        <v>F</v>
      </c>
      <c r="B1789" s="4" t="str" cm="1">
        <f t="array" ref="B1789">INDEX(Sheet1!B:B,$F1789)</f>
        <v>Agg/Unknown</v>
      </c>
      <c r="C1789" s="4">
        <f t="shared" si="109"/>
        <v>87</v>
      </c>
      <c r="D1789" s="5" cm="1">
        <f t="array" aca="1" ref="D1789" ca="1">OFFSET(INDIRECT("'["&amp;$H1789&amp;"]"&amp;$I1789&amp;"'!"&amp;$J1789),$L1789,$M1789)*$K1789</f>
        <v>0.10818</v>
      </c>
      <c r="F1789" s="4">
        <f t="shared" si="110"/>
        <v>19</v>
      </c>
      <c r="G1789" s="4" cm="1">
        <f t="array" ref="G1789">IF($C1789+$M1789&lt;16,INDEX(Sheet1!C:C,$F1789),$F1789)</f>
        <v>19</v>
      </c>
      <c r="H1789" s="4" t="str" cm="1">
        <f t="array" ref="H1789">INDEX(Sheet1!D:D,$G1789)</f>
        <v>t1139.xlsx</v>
      </c>
      <c r="I1789" s="4" t="str" cm="1">
        <f t="array" ref="I1789">INDEX(Sheet1!E:E,$G1789)</f>
        <v>Sheet1</v>
      </c>
      <c r="J1789" s="4" t="str" cm="1">
        <f t="array" ref="J1789">INDEX(Sheet1!F:F,$G1789)</f>
        <v>B25</v>
      </c>
      <c r="K1789" s="4" cm="1">
        <f t="array" ref="K1789">INDEX(Sheet1!H:H,$G1789)</f>
        <v>1</v>
      </c>
      <c r="L1789" s="4">
        <f t="shared" si="108"/>
        <v>87</v>
      </c>
      <c r="M1789" s="4">
        <f t="shared" si="111"/>
        <v>5</v>
      </c>
    </row>
    <row r="1790" spans="1:13">
      <c r="A1790" s="4" t="str" cm="1">
        <f t="array" ref="A1790">INDEX(Sheet1!A:A,$F1790)</f>
        <v>F</v>
      </c>
      <c r="B1790" s="4" t="str" cm="1">
        <f t="array" ref="B1790">INDEX(Sheet1!B:B,$F1790)</f>
        <v>Agg/Unknown</v>
      </c>
      <c r="C1790" s="4">
        <f t="shared" si="109"/>
        <v>88</v>
      </c>
      <c r="D1790" s="5" cm="1">
        <f t="array" aca="1" ref="D1790" ca="1">OFFSET(INDIRECT("'["&amp;$H1790&amp;"]"&amp;$I1790&amp;"'!"&amp;$J1790),$L1790,$M1790)*$K1790</f>
        <v>0.12027</v>
      </c>
      <c r="F1790" s="4">
        <f t="shared" si="110"/>
        <v>19</v>
      </c>
      <c r="G1790" s="4" cm="1">
        <f t="array" ref="G1790">IF($C1790+$M1790&lt;16,INDEX(Sheet1!C:C,$F1790),$F1790)</f>
        <v>19</v>
      </c>
      <c r="H1790" s="4" t="str" cm="1">
        <f t="array" ref="H1790">INDEX(Sheet1!D:D,$G1790)</f>
        <v>t1139.xlsx</v>
      </c>
      <c r="I1790" s="4" t="str" cm="1">
        <f t="array" ref="I1790">INDEX(Sheet1!E:E,$G1790)</f>
        <v>Sheet1</v>
      </c>
      <c r="J1790" s="4" t="str" cm="1">
        <f t="array" ref="J1790">INDEX(Sheet1!F:F,$G1790)</f>
        <v>B25</v>
      </c>
      <c r="K1790" s="4" cm="1">
        <f t="array" ref="K1790">INDEX(Sheet1!H:H,$G1790)</f>
        <v>1</v>
      </c>
      <c r="L1790" s="4">
        <f t="shared" si="108"/>
        <v>88</v>
      </c>
      <c r="M1790" s="4">
        <f t="shared" si="111"/>
        <v>5</v>
      </c>
    </row>
    <row r="1791" spans="1:13">
      <c r="A1791" s="4" t="str" cm="1">
        <f t="array" ref="A1791">INDEX(Sheet1!A:A,$F1791)</f>
        <v>F</v>
      </c>
      <c r="B1791" s="4" t="str" cm="1">
        <f t="array" ref="B1791">INDEX(Sheet1!B:B,$F1791)</f>
        <v>Agg/Unknown</v>
      </c>
      <c r="C1791" s="4">
        <f t="shared" si="109"/>
        <v>89</v>
      </c>
      <c r="D1791" s="5" cm="1">
        <f t="array" aca="1" ref="D1791" ca="1">OFFSET(INDIRECT("'["&amp;$H1791&amp;"]"&amp;$I1791&amp;"'!"&amp;$J1791),$L1791,$M1791)*$K1791</f>
        <v>0.13328999999999999</v>
      </c>
      <c r="F1791" s="4">
        <f t="shared" si="110"/>
        <v>19</v>
      </c>
      <c r="G1791" s="4" cm="1">
        <f t="array" ref="G1791">IF($C1791+$M1791&lt;16,INDEX(Sheet1!C:C,$F1791),$F1791)</f>
        <v>19</v>
      </c>
      <c r="H1791" s="4" t="str" cm="1">
        <f t="array" ref="H1791">INDEX(Sheet1!D:D,$G1791)</f>
        <v>t1139.xlsx</v>
      </c>
      <c r="I1791" s="4" t="str" cm="1">
        <f t="array" ref="I1791">INDEX(Sheet1!E:E,$G1791)</f>
        <v>Sheet1</v>
      </c>
      <c r="J1791" s="4" t="str" cm="1">
        <f t="array" ref="J1791">INDEX(Sheet1!F:F,$G1791)</f>
        <v>B25</v>
      </c>
      <c r="K1791" s="4" cm="1">
        <f t="array" ref="K1791">INDEX(Sheet1!H:H,$G1791)</f>
        <v>1</v>
      </c>
      <c r="L1791" s="4">
        <f t="shared" si="108"/>
        <v>89</v>
      </c>
      <c r="M1791" s="4">
        <f t="shared" si="111"/>
        <v>5</v>
      </c>
    </row>
    <row r="1792" spans="1:13">
      <c r="A1792" s="4" t="str" cm="1">
        <f t="array" ref="A1792">INDEX(Sheet1!A:A,$F1792)</f>
        <v>F</v>
      </c>
      <c r="B1792" s="4" t="str" cm="1">
        <f t="array" ref="B1792">INDEX(Sheet1!B:B,$F1792)</f>
        <v>Agg/Unknown</v>
      </c>
      <c r="C1792" s="4">
        <f t="shared" si="109"/>
        <v>90</v>
      </c>
      <c r="D1792" s="5" cm="1">
        <f t="array" aca="1" ref="D1792" ca="1">OFFSET(INDIRECT("'["&amp;$H1792&amp;"]"&amp;$I1792&amp;"'!"&amp;$J1792),$L1792,$M1792)*$K1792</f>
        <v>0.14723</v>
      </c>
      <c r="F1792" s="4">
        <f t="shared" si="110"/>
        <v>19</v>
      </c>
      <c r="G1792" s="4" cm="1">
        <f t="array" ref="G1792">IF($C1792+$M1792&lt;16,INDEX(Sheet1!C:C,$F1792),$F1792)</f>
        <v>19</v>
      </c>
      <c r="H1792" s="4" t="str" cm="1">
        <f t="array" ref="H1792">INDEX(Sheet1!D:D,$G1792)</f>
        <v>t1139.xlsx</v>
      </c>
      <c r="I1792" s="4" t="str" cm="1">
        <f t="array" ref="I1792">INDEX(Sheet1!E:E,$G1792)</f>
        <v>Sheet1</v>
      </c>
      <c r="J1792" s="4" t="str" cm="1">
        <f t="array" ref="J1792">INDEX(Sheet1!F:F,$G1792)</f>
        <v>B25</v>
      </c>
      <c r="K1792" s="4" cm="1">
        <f t="array" ref="K1792">INDEX(Sheet1!H:H,$G1792)</f>
        <v>1</v>
      </c>
      <c r="L1792" s="4">
        <f t="shared" si="108"/>
        <v>90</v>
      </c>
      <c r="M1792" s="4">
        <f t="shared" si="111"/>
        <v>5</v>
      </c>
    </row>
    <row r="1793" spans="1:13">
      <c r="A1793" s="4" t="str" cm="1">
        <f t="array" ref="A1793">INDEX(Sheet1!A:A,$F1793)</f>
        <v>F</v>
      </c>
      <c r="B1793" s="4" t="str" cm="1">
        <f t="array" ref="B1793">INDEX(Sheet1!B:B,$F1793)</f>
        <v>Agg/Unknown</v>
      </c>
      <c r="C1793" s="4">
        <f t="shared" si="109"/>
        <v>91</v>
      </c>
      <c r="D1793" s="5" cm="1">
        <f t="array" aca="1" ref="D1793" ca="1">OFFSET(INDIRECT("'["&amp;$H1793&amp;"]"&amp;$I1793&amp;"'!"&amp;$J1793),$L1793,$M1793)*$K1793</f>
        <v>0.16211999999999999</v>
      </c>
      <c r="F1793" s="4">
        <f t="shared" si="110"/>
        <v>19</v>
      </c>
      <c r="G1793" s="4" cm="1">
        <f t="array" ref="G1793">IF($C1793+$M1793&lt;16,INDEX(Sheet1!C:C,$F1793),$F1793)</f>
        <v>19</v>
      </c>
      <c r="H1793" s="4" t="str" cm="1">
        <f t="array" ref="H1793">INDEX(Sheet1!D:D,$G1793)</f>
        <v>t1139.xlsx</v>
      </c>
      <c r="I1793" s="4" t="str" cm="1">
        <f t="array" ref="I1793">INDEX(Sheet1!E:E,$G1793)</f>
        <v>Sheet1</v>
      </c>
      <c r="J1793" s="4" t="str" cm="1">
        <f t="array" ref="J1793">INDEX(Sheet1!F:F,$G1793)</f>
        <v>B25</v>
      </c>
      <c r="K1793" s="4" cm="1">
        <f t="array" ref="K1793">INDEX(Sheet1!H:H,$G1793)</f>
        <v>1</v>
      </c>
      <c r="L1793" s="4">
        <f t="shared" si="108"/>
        <v>91</v>
      </c>
      <c r="M1793" s="4">
        <f t="shared" si="111"/>
        <v>5</v>
      </c>
    </row>
    <row r="1794" spans="1:13">
      <c r="A1794" s="4" t="str" cm="1">
        <f t="array" ref="A1794">INDEX(Sheet1!A:A,$F1794)</f>
        <v>F</v>
      </c>
      <c r="B1794" s="4" t="str" cm="1">
        <f t="array" ref="B1794">INDEX(Sheet1!B:B,$F1794)</f>
        <v>Agg/Unknown</v>
      </c>
      <c r="C1794" s="4">
        <f t="shared" si="109"/>
        <v>92</v>
      </c>
      <c r="D1794" s="5" cm="1">
        <f t="array" aca="1" ref="D1794" ca="1">OFFSET(INDIRECT("'["&amp;$H1794&amp;"]"&amp;$I1794&amp;"'!"&amp;$J1794),$L1794,$M1794)*$K1794</f>
        <v>0.17798</v>
      </c>
      <c r="F1794" s="4">
        <f t="shared" si="110"/>
        <v>19</v>
      </c>
      <c r="G1794" s="4" cm="1">
        <f t="array" ref="G1794">IF($C1794+$M1794&lt;16,INDEX(Sheet1!C:C,$F1794),$F1794)</f>
        <v>19</v>
      </c>
      <c r="H1794" s="4" t="str" cm="1">
        <f t="array" ref="H1794">INDEX(Sheet1!D:D,$G1794)</f>
        <v>t1139.xlsx</v>
      </c>
      <c r="I1794" s="4" t="str" cm="1">
        <f t="array" ref="I1794">INDEX(Sheet1!E:E,$G1794)</f>
        <v>Sheet1</v>
      </c>
      <c r="J1794" s="4" t="str" cm="1">
        <f t="array" ref="J1794">INDEX(Sheet1!F:F,$G1794)</f>
        <v>B25</v>
      </c>
      <c r="K1794" s="4" cm="1">
        <f t="array" ref="K1794">INDEX(Sheet1!H:H,$G1794)</f>
        <v>1</v>
      </c>
      <c r="L1794" s="4">
        <f t="shared" si="108"/>
        <v>92</v>
      </c>
      <c r="M1794" s="4">
        <f t="shared" si="111"/>
        <v>5</v>
      </c>
    </row>
    <row r="1795" spans="1:13">
      <c r="A1795" s="4" t="str" cm="1">
        <f t="array" ref="A1795">INDEX(Sheet1!A:A,$F1795)</f>
        <v>F</v>
      </c>
      <c r="B1795" s="4" t="str" cm="1">
        <f t="array" ref="B1795">INDEX(Sheet1!B:B,$F1795)</f>
        <v>Agg/Unknown</v>
      </c>
      <c r="C1795" s="4">
        <f t="shared" si="109"/>
        <v>93</v>
      </c>
      <c r="D1795" s="5" cm="1">
        <f t="array" aca="1" ref="D1795" ca="1">OFFSET(INDIRECT("'["&amp;$H1795&amp;"]"&amp;$I1795&amp;"'!"&amp;$J1795),$L1795,$M1795)*$K1795</f>
        <v>0.19481999999999999</v>
      </c>
      <c r="F1795" s="4">
        <f t="shared" si="110"/>
        <v>19</v>
      </c>
      <c r="G1795" s="4" cm="1">
        <f t="array" ref="G1795">IF($C1795+$M1795&lt;16,INDEX(Sheet1!C:C,$F1795),$F1795)</f>
        <v>19</v>
      </c>
      <c r="H1795" s="4" t="str" cm="1">
        <f t="array" ref="H1795">INDEX(Sheet1!D:D,$G1795)</f>
        <v>t1139.xlsx</v>
      </c>
      <c r="I1795" s="4" t="str" cm="1">
        <f t="array" ref="I1795">INDEX(Sheet1!E:E,$G1795)</f>
        <v>Sheet1</v>
      </c>
      <c r="J1795" s="4" t="str" cm="1">
        <f t="array" ref="J1795">INDEX(Sheet1!F:F,$G1795)</f>
        <v>B25</v>
      </c>
      <c r="K1795" s="4" cm="1">
        <f t="array" ref="K1795">INDEX(Sheet1!H:H,$G1795)</f>
        <v>1</v>
      </c>
      <c r="L1795" s="4">
        <f t="shared" ref="L1795:L1801" si="112">C1795</f>
        <v>93</v>
      </c>
      <c r="M1795" s="4">
        <f t="shared" si="111"/>
        <v>5</v>
      </c>
    </row>
    <row r="1796" spans="1:13">
      <c r="A1796" s="4" t="str" cm="1">
        <f t="array" ref="A1796">INDEX(Sheet1!A:A,$F1796)</f>
        <v>F</v>
      </c>
      <c r="B1796" s="4" t="str" cm="1">
        <f t="array" ref="B1796">INDEX(Sheet1!B:B,$F1796)</f>
        <v>Agg/Unknown</v>
      </c>
      <c r="C1796" s="4">
        <f t="shared" ref="C1796:C1801" si="113">IF(C1795=99,0,C1795+1)</f>
        <v>94</v>
      </c>
      <c r="D1796" s="5" cm="1">
        <f t="array" aca="1" ref="D1796" ca="1">OFFSET(INDIRECT("'["&amp;$H1796&amp;"]"&amp;$I1796&amp;"'!"&amp;$J1796),$L1796,$M1796)*$K1796</f>
        <v>0.21267</v>
      </c>
      <c r="F1796" s="4">
        <f t="shared" ref="F1796:F1801" si="114">IF(C1796=0,1,0)+F1795</f>
        <v>19</v>
      </c>
      <c r="G1796" s="4" cm="1">
        <f t="array" ref="G1796">IF($C1796+$M1796&lt;16,INDEX(Sheet1!C:C,$F1796),$F1796)</f>
        <v>19</v>
      </c>
      <c r="H1796" s="4" t="str" cm="1">
        <f t="array" ref="H1796">INDEX(Sheet1!D:D,$G1796)</f>
        <v>t1139.xlsx</v>
      </c>
      <c r="I1796" s="4" t="str" cm="1">
        <f t="array" ref="I1796">INDEX(Sheet1!E:E,$G1796)</f>
        <v>Sheet1</v>
      </c>
      <c r="J1796" s="4" t="str" cm="1">
        <f t="array" ref="J1796">INDEX(Sheet1!F:F,$G1796)</f>
        <v>B25</v>
      </c>
      <c r="K1796" s="4" cm="1">
        <f t="array" ref="K1796">INDEX(Sheet1!H:H,$G1796)</f>
        <v>1</v>
      </c>
      <c r="L1796" s="4">
        <f t="shared" si="112"/>
        <v>94</v>
      </c>
      <c r="M1796" s="4">
        <f t="shared" ref="L1796:M1801" si="115">M$2</f>
        <v>5</v>
      </c>
    </row>
    <row r="1797" spans="1:13">
      <c r="A1797" s="4" t="str" cm="1">
        <f t="array" ref="A1797">INDEX(Sheet1!A:A,$F1797)</f>
        <v>F</v>
      </c>
      <c r="B1797" s="4" t="str" cm="1">
        <f t="array" ref="B1797">INDEX(Sheet1!B:B,$F1797)</f>
        <v>Agg/Unknown</v>
      </c>
      <c r="C1797" s="4">
        <f t="shared" si="113"/>
        <v>95</v>
      </c>
      <c r="D1797" s="5" cm="1">
        <f t="array" aca="1" ref="D1797" ca="1">OFFSET(INDIRECT("'["&amp;$H1797&amp;"]"&amp;$I1797&amp;"'!"&amp;$J1797),$L1797,$M1797)*$K1797</f>
        <v>0.23141</v>
      </c>
      <c r="F1797" s="4">
        <f t="shared" si="114"/>
        <v>19</v>
      </c>
      <c r="G1797" s="4" cm="1">
        <f t="array" ref="G1797">IF($C1797+$M1797&lt;16,INDEX(Sheet1!C:C,$F1797),$F1797)</f>
        <v>19</v>
      </c>
      <c r="H1797" s="4" t="str" cm="1">
        <f t="array" ref="H1797">INDEX(Sheet1!D:D,$G1797)</f>
        <v>t1139.xlsx</v>
      </c>
      <c r="I1797" s="4" t="str" cm="1">
        <f t="array" ref="I1797">INDEX(Sheet1!E:E,$G1797)</f>
        <v>Sheet1</v>
      </c>
      <c r="J1797" s="4" t="str" cm="1">
        <f t="array" ref="J1797">INDEX(Sheet1!F:F,$G1797)</f>
        <v>B25</v>
      </c>
      <c r="K1797" s="4" cm="1">
        <f t="array" ref="K1797">INDEX(Sheet1!H:H,$G1797)</f>
        <v>1</v>
      </c>
      <c r="L1797" s="4">
        <f t="shared" si="112"/>
        <v>95</v>
      </c>
      <c r="M1797" s="4">
        <f t="shared" si="115"/>
        <v>5</v>
      </c>
    </row>
    <row r="1798" spans="1:13">
      <c r="A1798" s="4" t="str" cm="1">
        <f t="array" ref="A1798">INDEX(Sheet1!A:A,$F1798)</f>
        <v>F</v>
      </c>
      <c r="B1798" s="4" t="str" cm="1">
        <f t="array" ref="B1798">INDEX(Sheet1!B:B,$F1798)</f>
        <v>Agg/Unknown</v>
      </c>
      <c r="C1798" s="4">
        <f t="shared" si="113"/>
        <v>96</v>
      </c>
      <c r="D1798" s="5" cm="1">
        <f t="array" aca="1" ref="D1798" ca="1">OFFSET(INDIRECT("'["&amp;$H1798&amp;"]"&amp;$I1798&amp;"'!"&amp;$J1798),$L1798,$M1798)*$K1798</f>
        <v>0.25247000000000003</v>
      </c>
      <c r="F1798" s="4">
        <f t="shared" si="114"/>
        <v>19</v>
      </c>
      <c r="G1798" s="4" cm="1">
        <f t="array" ref="G1798">IF($C1798+$M1798&lt;16,INDEX(Sheet1!C:C,$F1798),$F1798)</f>
        <v>19</v>
      </c>
      <c r="H1798" s="4" t="str" cm="1">
        <f t="array" ref="H1798">INDEX(Sheet1!D:D,$G1798)</f>
        <v>t1139.xlsx</v>
      </c>
      <c r="I1798" s="4" t="str" cm="1">
        <f t="array" ref="I1798">INDEX(Sheet1!E:E,$G1798)</f>
        <v>Sheet1</v>
      </c>
      <c r="J1798" s="4" t="str" cm="1">
        <f t="array" ref="J1798">INDEX(Sheet1!F:F,$G1798)</f>
        <v>B25</v>
      </c>
      <c r="K1798" s="4" cm="1">
        <f t="array" ref="K1798">INDEX(Sheet1!H:H,$G1798)</f>
        <v>1</v>
      </c>
      <c r="L1798" s="4">
        <f t="shared" si="112"/>
        <v>96</v>
      </c>
      <c r="M1798" s="4">
        <f t="shared" si="115"/>
        <v>5</v>
      </c>
    </row>
    <row r="1799" spans="1:13">
      <c r="A1799" s="4" t="str" cm="1">
        <f t="array" ref="A1799">INDEX(Sheet1!A:A,$F1799)</f>
        <v>F</v>
      </c>
      <c r="B1799" s="4" t="str" cm="1">
        <f t="array" ref="B1799">INDEX(Sheet1!B:B,$F1799)</f>
        <v>Agg/Unknown</v>
      </c>
      <c r="C1799" s="4">
        <f t="shared" si="113"/>
        <v>97</v>
      </c>
      <c r="D1799" s="5" cm="1">
        <f t="array" aca="1" ref="D1799" ca="1">OFFSET(INDIRECT("'["&amp;$H1799&amp;"]"&amp;$I1799&amp;"'!"&amp;$J1799),$L1799,$M1799)*$K1799</f>
        <v>0.26879999999999998</v>
      </c>
      <c r="F1799" s="4">
        <f t="shared" si="114"/>
        <v>19</v>
      </c>
      <c r="G1799" s="4" cm="1">
        <f t="array" ref="G1799">IF($C1799+$M1799&lt;16,INDEX(Sheet1!C:C,$F1799),$F1799)</f>
        <v>19</v>
      </c>
      <c r="H1799" s="4" t="str" cm="1">
        <f t="array" ref="H1799">INDEX(Sheet1!D:D,$G1799)</f>
        <v>t1139.xlsx</v>
      </c>
      <c r="I1799" s="4" t="str" cm="1">
        <f t="array" ref="I1799">INDEX(Sheet1!E:E,$G1799)</f>
        <v>Sheet1</v>
      </c>
      <c r="J1799" s="4" t="str" cm="1">
        <f t="array" ref="J1799">INDEX(Sheet1!F:F,$G1799)</f>
        <v>B25</v>
      </c>
      <c r="K1799" s="4" cm="1">
        <f t="array" ref="K1799">INDEX(Sheet1!H:H,$G1799)</f>
        <v>1</v>
      </c>
      <c r="L1799" s="4">
        <f t="shared" si="112"/>
        <v>97</v>
      </c>
      <c r="M1799" s="4">
        <f t="shared" si="115"/>
        <v>5</v>
      </c>
    </row>
    <row r="1800" spans="1:13">
      <c r="A1800" s="4" t="str" cm="1">
        <f t="array" ref="A1800">INDEX(Sheet1!A:A,$F1800)</f>
        <v>F</v>
      </c>
      <c r="B1800" s="4" t="str" cm="1">
        <f t="array" ref="B1800">INDEX(Sheet1!B:B,$F1800)</f>
        <v>Agg/Unknown</v>
      </c>
      <c r="C1800" s="4">
        <f t="shared" si="113"/>
        <v>98</v>
      </c>
      <c r="D1800" s="5" cm="1">
        <f t="array" aca="1" ref="D1800" ca="1">OFFSET(INDIRECT("'["&amp;$H1800&amp;"]"&amp;$I1800&amp;"'!"&amp;$J1800),$L1800,$M1800)*$K1800</f>
        <v>0.28591</v>
      </c>
      <c r="F1800" s="4">
        <f t="shared" si="114"/>
        <v>19</v>
      </c>
      <c r="G1800" s="4" cm="1">
        <f t="array" ref="G1800">IF($C1800+$M1800&lt;16,INDEX(Sheet1!C:C,$F1800),$F1800)</f>
        <v>19</v>
      </c>
      <c r="H1800" s="4" t="str" cm="1">
        <f t="array" ref="H1800">INDEX(Sheet1!D:D,$G1800)</f>
        <v>t1139.xlsx</v>
      </c>
      <c r="I1800" s="4" t="str" cm="1">
        <f t="array" ref="I1800">INDEX(Sheet1!E:E,$G1800)</f>
        <v>Sheet1</v>
      </c>
      <c r="J1800" s="4" t="str" cm="1">
        <f t="array" ref="J1800">INDEX(Sheet1!F:F,$G1800)</f>
        <v>B25</v>
      </c>
      <c r="K1800" s="4" cm="1">
        <f t="array" ref="K1800">INDEX(Sheet1!H:H,$G1800)</f>
        <v>1</v>
      </c>
      <c r="L1800" s="4">
        <f t="shared" si="112"/>
        <v>98</v>
      </c>
      <c r="M1800" s="4">
        <f t="shared" si="115"/>
        <v>5</v>
      </c>
    </row>
    <row r="1801" spans="1:13">
      <c r="A1801" s="4" t="str" cm="1">
        <f t="array" ref="A1801">INDEX(Sheet1!A:A,$F1801)</f>
        <v>F</v>
      </c>
      <c r="B1801" s="4" t="str" cm="1">
        <f t="array" ref="B1801">INDEX(Sheet1!B:B,$F1801)</f>
        <v>Agg/Unknown</v>
      </c>
      <c r="C1801" s="4">
        <f t="shared" si="113"/>
        <v>99</v>
      </c>
      <c r="D1801" s="5" cm="1">
        <f t="array" aca="1" ref="D1801" ca="1">OFFSET(INDIRECT("'["&amp;$H1801&amp;"]"&amp;$I1801&amp;"'!"&amp;$J1801),$L1801,$M1801)*$K1801</f>
        <v>0.30379</v>
      </c>
      <c r="F1801" s="4">
        <f t="shared" si="114"/>
        <v>19</v>
      </c>
      <c r="G1801" s="4" cm="1">
        <f t="array" ref="G1801">IF($C1801+$M1801&lt;16,INDEX(Sheet1!C:C,$F1801),$F1801)</f>
        <v>19</v>
      </c>
      <c r="H1801" s="4" t="str" cm="1">
        <f t="array" ref="H1801">INDEX(Sheet1!D:D,$G1801)</f>
        <v>t1139.xlsx</v>
      </c>
      <c r="I1801" s="4" t="str" cm="1">
        <f t="array" ref="I1801">INDEX(Sheet1!E:E,$G1801)</f>
        <v>Sheet1</v>
      </c>
      <c r="J1801" s="4" t="str" cm="1">
        <f t="array" ref="J1801">INDEX(Sheet1!F:F,$G1801)</f>
        <v>B25</v>
      </c>
      <c r="K1801" s="4" cm="1">
        <f t="array" ref="K1801">INDEX(Sheet1!H:H,$G1801)</f>
        <v>1</v>
      </c>
      <c r="L1801" s="4">
        <f t="shared" si="112"/>
        <v>99</v>
      </c>
      <c r="M1801" s="4">
        <f t="shared" si="115"/>
        <v>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FCA4-30BA-407D-A76C-4C5F88957275}">
  <dimension ref="A1:P2179"/>
  <sheetViews>
    <sheetView tabSelected="1" topLeftCell="A2057" workbookViewId="0">
      <selection activeCell="A2179" sqref="A2179"/>
    </sheetView>
  </sheetViews>
  <sheetFormatPr defaultRowHeight="18.75"/>
  <cols>
    <col min="2" max="2" width="20.375" customWidth="1"/>
    <col min="3" max="4" width="9.625" customWidth="1"/>
  </cols>
  <sheetData>
    <row r="1" spans="1:16">
      <c r="A1" t="s">
        <v>40</v>
      </c>
      <c r="B1" t="s">
        <v>39</v>
      </c>
      <c r="C1" t="s">
        <v>75</v>
      </c>
      <c r="D1" t="s">
        <v>70</v>
      </c>
      <c r="F1" t="s">
        <v>69</v>
      </c>
      <c r="G1" t="s">
        <v>72</v>
      </c>
      <c r="H1" t="s">
        <v>63</v>
      </c>
      <c r="I1" t="s">
        <v>64</v>
      </c>
      <c r="J1" t="s">
        <v>62</v>
      </c>
      <c r="K1" t="s">
        <v>61</v>
      </c>
      <c r="L1" t="s">
        <v>74</v>
      </c>
      <c r="M1" t="s">
        <v>73</v>
      </c>
      <c r="N1" t="s">
        <v>65</v>
      </c>
      <c r="O1" t="s">
        <v>67</v>
      </c>
    </row>
    <row r="2" spans="1:16">
      <c r="A2" s="4" t="str" cm="1">
        <f t="array" ref="A2">INDEX(Sheet1!A:A,$F2)</f>
        <v>M</v>
      </c>
      <c r="B2" s="4" t="str" cm="1">
        <f t="array" ref="B2">INDEX(Sheet1!B:B,$F2)</f>
        <v>Super-Pref NS</v>
      </c>
      <c r="C2">
        <v>0</v>
      </c>
      <c r="D2" s="5" cm="1">
        <f t="array" aca="1" ref="D2" ca="1">OFFSET(INDIRECT("'["&amp;$H2&amp;"]"&amp;$I2&amp;"'!"&amp;$J2),$L2,$M2)*$K2</f>
        <v>9.7000000000000005E-4</v>
      </c>
      <c r="F2">
        <v>2</v>
      </c>
      <c r="G2" s="4" cm="1">
        <f t="array" ref="G2">IF($C2&gt;=25,F2,IF($C2&lt;16,INDEX(Sheet1!C:C,$F2),$F2))</f>
        <v>10</v>
      </c>
      <c r="H2" s="4" t="str" cm="1">
        <f t="array" ref="H2">INDEX(Sheet1!D:D,$G2)</f>
        <v>t1136.xlsx</v>
      </c>
      <c r="I2" s="4" t="str" cm="1">
        <f t="array" ref="I2">INDEX(Sheet1!E:E,$G2)</f>
        <v>Sheet1</v>
      </c>
      <c r="J2" s="4" t="str" cm="1">
        <f t="array" ref="J2">IF($C2&gt;=25,INDEX(Sheet1!G:G,$G2),INDEX(Sheet1!F:F,$G2))</f>
        <v>B25</v>
      </c>
      <c r="K2" s="4" cm="1">
        <f t="array" ref="K2">INDEX(Sheet1!H:H,$G2)</f>
        <v>1</v>
      </c>
      <c r="L2" s="4">
        <f>IF($C2&gt;=25,$C2-25,0)</f>
        <v>0</v>
      </c>
      <c r="M2" s="4">
        <f>IF($C2&gt;=25,0,$C2)</f>
        <v>0</v>
      </c>
      <c r="N2">
        <v>10</v>
      </c>
      <c r="O2">
        <v>10</v>
      </c>
      <c r="P2" t="s">
        <v>68</v>
      </c>
    </row>
    <row r="3" spans="1:16">
      <c r="A3" s="4" t="str" cm="1">
        <f t="array" ref="A3">INDEX(Sheet1!A:A,$F3)</f>
        <v>M</v>
      </c>
      <c r="B3" s="4" t="str" cm="1">
        <f t="array" ref="B3">INDEX(Sheet1!B:B,$F3)</f>
        <v>Super-Pref NS</v>
      </c>
      <c r="C3" s="4">
        <f>IF(C2=120,0,C2+1)</f>
        <v>1</v>
      </c>
      <c r="D3" s="5" cm="1">
        <f t="array" aca="1" ref="D3" ca="1">OFFSET(INDIRECT("'["&amp;$H3&amp;"]"&amp;$I3&amp;"'!"&amp;$J3),$L3,$M3)*$K3</f>
        <v>5.5999999999999995E-4</v>
      </c>
      <c r="F3" s="4">
        <f>IF(C3=0,1,0)+F2</f>
        <v>2</v>
      </c>
      <c r="G3" s="4" cm="1">
        <f t="array" ref="G3">IF($C3&gt;=25,F3,IF($C3&lt;16,INDEX(Sheet1!C:C,$F3),$F3))</f>
        <v>10</v>
      </c>
      <c r="H3" s="4" t="str" cm="1">
        <f t="array" ref="H3">INDEX(Sheet1!D:D,$G3)</f>
        <v>t1136.xlsx</v>
      </c>
      <c r="I3" s="4" t="str" cm="1">
        <f t="array" ref="I3">INDEX(Sheet1!E:E,$G3)</f>
        <v>Sheet1</v>
      </c>
      <c r="J3" s="4" t="str" cm="1">
        <f t="array" ref="J3">IF($C3&gt;=25,INDEX(Sheet1!G:G,$G3),INDEX(Sheet1!F:F,$G3))</f>
        <v>B25</v>
      </c>
      <c r="K3" s="4" cm="1">
        <f t="array" ref="K3">INDEX(Sheet1!H:H,$G3)</f>
        <v>1</v>
      </c>
      <c r="L3" s="4">
        <f t="shared" ref="L3:L66" si="0">IF($C3&gt;=25,$C3-25,0)</f>
        <v>0</v>
      </c>
      <c r="M3" s="4">
        <f t="shared" ref="M3:M66" si="1">IF($C3&gt;=25,0,$C3)</f>
        <v>1</v>
      </c>
      <c r="N3">
        <v>20</v>
      </c>
      <c r="O3">
        <v>26</v>
      </c>
    </row>
    <row r="4" spans="1:16">
      <c r="A4" s="4" t="str" cm="1">
        <f t="array" ref="A4">INDEX(Sheet1!A:A,$F4)</f>
        <v>M</v>
      </c>
      <c r="B4" s="4" t="str" cm="1">
        <f t="array" ref="B4">INDEX(Sheet1!B:B,$F4)</f>
        <v>Super-Pref NS</v>
      </c>
      <c r="C4" s="4">
        <f t="shared" ref="C4:C67" si="2">IF(C3=120,0,C3+1)</f>
        <v>2</v>
      </c>
      <c r="D4" s="5" cm="1">
        <f t="array" aca="1" ref="D4" ca="1">OFFSET(INDIRECT("'["&amp;$H4&amp;"]"&amp;$I4&amp;"'!"&amp;$J4),$L4,$M4)*$K4</f>
        <v>3.8999999999999999E-4</v>
      </c>
      <c r="F4" s="4">
        <f t="shared" ref="F4:F67" si="3">IF(C4=0,1,0)+F3</f>
        <v>2</v>
      </c>
      <c r="G4" s="4" cm="1">
        <f t="array" ref="G4">IF($C4&gt;=25,F4,IF($C4&lt;16,INDEX(Sheet1!C:C,$F4),$F4))</f>
        <v>10</v>
      </c>
      <c r="H4" s="4" t="str" cm="1">
        <f t="array" ref="H4">INDEX(Sheet1!D:D,$G4)</f>
        <v>t1136.xlsx</v>
      </c>
      <c r="I4" s="4" t="str" cm="1">
        <f t="array" ref="I4">INDEX(Sheet1!E:E,$G4)</f>
        <v>Sheet1</v>
      </c>
      <c r="J4" s="4" t="str" cm="1">
        <f t="array" ref="J4">IF($C4&gt;=25,INDEX(Sheet1!G:G,$G4),INDEX(Sheet1!F:F,$G4))</f>
        <v>B25</v>
      </c>
      <c r="K4" s="4" cm="1">
        <f t="array" ref="K4">INDEX(Sheet1!H:H,$G4)</f>
        <v>1</v>
      </c>
      <c r="L4" s="4">
        <f t="shared" si="0"/>
        <v>0</v>
      </c>
      <c r="M4" s="4">
        <f t="shared" si="1"/>
        <v>2</v>
      </c>
      <c r="N4">
        <v>30</v>
      </c>
      <c r="O4">
        <v>35</v>
      </c>
    </row>
    <row r="5" spans="1:16">
      <c r="A5" s="4" t="str" cm="1">
        <f t="array" ref="A5">INDEX(Sheet1!A:A,$F5)</f>
        <v>M</v>
      </c>
      <c r="B5" s="4" t="str" cm="1">
        <f t="array" ref="B5">INDEX(Sheet1!B:B,$F5)</f>
        <v>Super-Pref NS</v>
      </c>
      <c r="C5" s="4">
        <f t="shared" si="2"/>
        <v>3</v>
      </c>
      <c r="D5" s="5" cm="1">
        <f t="array" aca="1" ref="D5" ca="1">OFFSET(INDIRECT("'["&amp;$H5&amp;"]"&amp;$I5&amp;"'!"&amp;$J5),$L5,$M5)*$K5</f>
        <v>2.7E-4</v>
      </c>
      <c r="F5" s="4">
        <f t="shared" si="3"/>
        <v>2</v>
      </c>
      <c r="G5" s="4" cm="1">
        <f t="array" ref="G5">IF($C5&gt;=25,F5,IF($C5&lt;16,INDEX(Sheet1!C:C,$F5),$F5))</f>
        <v>10</v>
      </c>
      <c r="H5" s="4" t="str" cm="1">
        <f t="array" ref="H5">INDEX(Sheet1!D:D,$G5)</f>
        <v>t1136.xlsx</v>
      </c>
      <c r="I5" s="4" t="str" cm="1">
        <f t="array" ref="I5">INDEX(Sheet1!E:E,$G5)</f>
        <v>Sheet1</v>
      </c>
      <c r="J5" s="4" t="str" cm="1">
        <f t="array" ref="J5">IF($C5&gt;=25,INDEX(Sheet1!G:G,$G5),INDEX(Sheet1!F:F,$G5))</f>
        <v>B25</v>
      </c>
      <c r="K5" s="4" cm="1">
        <f t="array" ref="K5">INDEX(Sheet1!H:H,$G5)</f>
        <v>1</v>
      </c>
      <c r="L5" s="4">
        <f t="shared" si="0"/>
        <v>0</v>
      </c>
      <c r="M5" s="4">
        <f t="shared" si="1"/>
        <v>3</v>
      </c>
      <c r="N5">
        <v>40</v>
      </c>
      <c r="O5">
        <v>44</v>
      </c>
    </row>
    <row r="6" spans="1:16">
      <c r="A6" s="4" t="str" cm="1">
        <f t="array" ref="A6">INDEX(Sheet1!A:A,$F6)</f>
        <v>M</v>
      </c>
      <c r="B6" s="4" t="str" cm="1">
        <f t="array" ref="B6">INDEX(Sheet1!B:B,$F6)</f>
        <v>Super-Pref NS</v>
      </c>
      <c r="C6" s="4">
        <f t="shared" si="2"/>
        <v>4</v>
      </c>
      <c r="D6" s="5" cm="1">
        <f t="array" aca="1" ref="D6" ca="1">OFFSET(INDIRECT("'["&amp;$H6&amp;"]"&amp;$I6&amp;"'!"&amp;$J6),$L6,$M6)*$K6</f>
        <v>2.1000000000000001E-4</v>
      </c>
      <c r="F6" s="4">
        <f t="shared" si="3"/>
        <v>2</v>
      </c>
      <c r="G6" s="4" cm="1">
        <f t="array" ref="G6">IF($C6&gt;=25,F6,IF($C6&lt;16,INDEX(Sheet1!C:C,$F6),$F6))</f>
        <v>10</v>
      </c>
      <c r="H6" s="4" t="str" cm="1">
        <f t="array" ref="H6">INDEX(Sheet1!D:D,$G6)</f>
        <v>t1136.xlsx</v>
      </c>
      <c r="I6" s="4" t="str" cm="1">
        <f t="array" ref="I6">INDEX(Sheet1!E:E,$G6)</f>
        <v>Sheet1</v>
      </c>
      <c r="J6" s="4" t="str" cm="1">
        <f t="array" ref="J6">IF($C6&gt;=25,INDEX(Sheet1!G:G,$G6),INDEX(Sheet1!F:F,$G6))</f>
        <v>B25</v>
      </c>
      <c r="K6" s="4" cm="1">
        <f t="array" ref="K6">INDEX(Sheet1!H:H,$G6)</f>
        <v>1</v>
      </c>
      <c r="L6" s="4">
        <f t="shared" si="0"/>
        <v>0</v>
      </c>
      <c r="M6" s="4">
        <f t="shared" si="1"/>
        <v>4</v>
      </c>
      <c r="N6">
        <v>50</v>
      </c>
      <c r="O6">
        <v>54</v>
      </c>
    </row>
    <row r="7" spans="1:16">
      <c r="A7" s="4" t="str" cm="1">
        <f t="array" ref="A7">INDEX(Sheet1!A:A,$F7)</f>
        <v>M</v>
      </c>
      <c r="B7" s="4" t="str" cm="1">
        <f t="array" ref="B7">INDEX(Sheet1!B:B,$F7)</f>
        <v>Super-Pref NS</v>
      </c>
      <c r="C7" s="4">
        <f t="shared" si="2"/>
        <v>5</v>
      </c>
      <c r="D7" s="5" cm="1">
        <f t="array" aca="1" ref="D7" ca="1">OFFSET(INDIRECT("'["&amp;$H7&amp;"]"&amp;$I7&amp;"'!"&amp;$J7),$L7,$M7)*$K7</f>
        <v>2.1000000000000001E-4</v>
      </c>
      <c r="F7" s="4">
        <f t="shared" si="3"/>
        <v>2</v>
      </c>
      <c r="G7" s="4" cm="1">
        <f t="array" ref="G7">IF($C7&gt;=25,F7,IF($C7&lt;16,INDEX(Sheet1!C:C,$F7),$F7))</f>
        <v>10</v>
      </c>
      <c r="H7" s="4" t="str" cm="1">
        <f t="array" ref="H7">INDEX(Sheet1!D:D,$G7)</f>
        <v>t1136.xlsx</v>
      </c>
      <c r="I7" s="4" t="str" cm="1">
        <f t="array" ref="I7">INDEX(Sheet1!E:E,$G7)</f>
        <v>Sheet1</v>
      </c>
      <c r="J7" s="4" t="str" cm="1">
        <f t="array" ref="J7">IF($C7&gt;=25,INDEX(Sheet1!G:G,$G7),INDEX(Sheet1!F:F,$G7))</f>
        <v>B25</v>
      </c>
      <c r="K7" s="4" cm="1">
        <f t="array" ref="K7">INDEX(Sheet1!H:H,$G7)</f>
        <v>1</v>
      </c>
      <c r="L7" s="4">
        <f t="shared" si="0"/>
        <v>0</v>
      </c>
      <c r="M7" s="4">
        <f t="shared" si="1"/>
        <v>5</v>
      </c>
      <c r="N7">
        <v>60</v>
      </c>
      <c r="O7">
        <v>63</v>
      </c>
    </row>
    <row r="8" spans="1:16">
      <c r="A8" s="4" t="str" cm="1">
        <f t="array" ref="A8">INDEX(Sheet1!A:A,$F8)</f>
        <v>M</v>
      </c>
      <c r="B8" s="4" t="str" cm="1">
        <f t="array" ref="B8">INDEX(Sheet1!B:B,$F8)</f>
        <v>Super-Pref NS</v>
      </c>
      <c r="C8" s="4">
        <f t="shared" si="2"/>
        <v>6</v>
      </c>
      <c r="D8" s="5" cm="1">
        <f t="array" aca="1" ref="D8" ca="1">OFFSET(INDIRECT("'["&amp;$H8&amp;"]"&amp;$I8&amp;"'!"&amp;$J8),$L8,$M8)*$K8</f>
        <v>2.2000000000000001E-4</v>
      </c>
      <c r="F8" s="4">
        <f t="shared" si="3"/>
        <v>2</v>
      </c>
      <c r="G8" s="4" cm="1">
        <f t="array" ref="G8">IF($C8&gt;=25,F8,IF($C8&lt;16,INDEX(Sheet1!C:C,$F8),$F8))</f>
        <v>10</v>
      </c>
      <c r="H8" s="4" t="str" cm="1">
        <f t="array" ref="H8">INDEX(Sheet1!D:D,$G8)</f>
        <v>t1136.xlsx</v>
      </c>
      <c r="I8" s="4" t="str" cm="1">
        <f t="array" ref="I8">INDEX(Sheet1!E:E,$G8)</f>
        <v>Sheet1</v>
      </c>
      <c r="J8" s="4" t="str" cm="1">
        <f t="array" ref="J8">IF($C8&gt;=25,INDEX(Sheet1!G:G,$G8),INDEX(Sheet1!F:F,$G8))</f>
        <v>B25</v>
      </c>
      <c r="K8" s="4" cm="1">
        <f t="array" ref="K8">INDEX(Sheet1!H:H,$G8)</f>
        <v>1</v>
      </c>
      <c r="L8" s="4">
        <f t="shared" si="0"/>
        <v>0</v>
      </c>
      <c r="M8" s="4">
        <f t="shared" si="1"/>
        <v>6</v>
      </c>
      <c r="N8">
        <v>70</v>
      </c>
      <c r="O8">
        <v>72</v>
      </c>
    </row>
    <row r="9" spans="1:16">
      <c r="A9" s="4" t="str" cm="1">
        <f t="array" ref="A9">INDEX(Sheet1!A:A,$F9)</f>
        <v>M</v>
      </c>
      <c r="B9" s="4" t="str" cm="1">
        <f t="array" ref="B9">INDEX(Sheet1!B:B,$F9)</f>
        <v>Super-Pref NS</v>
      </c>
      <c r="C9" s="4">
        <f t="shared" si="2"/>
        <v>7</v>
      </c>
      <c r="D9" s="5" cm="1">
        <f t="array" aca="1" ref="D9" ca="1">OFFSET(INDIRECT("'["&amp;$H9&amp;"]"&amp;$I9&amp;"'!"&amp;$J9),$L9,$M9)*$K9</f>
        <v>2.2000000000000001E-4</v>
      </c>
      <c r="F9" s="4">
        <f t="shared" si="3"/>
        <v>2</v>
      </c>
      <c r="G9" s="4" cm="1">
        <f t="array" ref="G9">IF($C9&gt;=25,F9,IF($C9&lt;16,INDEX(Sheet1!C:C,$F9),$F9))</f>
        <v>10</v>
      </c>
      <c r="H9" s="4" t="str" cm="1">
        <f t="array" ref="H9">INDEX(Sheet1!D:D,$G9)</f>
        <v>t1136.xlsx</v>
      </c>
      <c r="I9" s="4" t="str" cm="1">
        <f t="array" ref="I9">INDEX(Sheet1!E:E,$G9)</f>
        <v>Sheet1</v>
      </c>
      <c r="J9" s="4" t="str" cm="1">
        <f t="array" ref="J9">IF($C9&gt;=25,INDEX(Sheet1!G:G,$G9),INDEX(Sheet1!F:F,$G9))</f>
        <v>B25</v>
      </c>
      <c r="K9" s="4" cm="1">
        <f t="array" ref="K9">INDEX(Sheet1!H:H,$G9)</f>
        <v>1</v>
      </c>
      <c r="L9" s="4">
        <f t="shared" si="0"/>
        <v>0</v>
      </c>
      <c r="M9" s="4">
        <f t="shared" si="1"/>
        <v>7</v>
      </c>
    </row>
    <row r="10" spans="1:16">
      <c r="A10" s="4" t="str" cm="1">
        <f t="array" ref="A10">INDEX(Sheet1!A:A,$F10)</f>
        <v>M</v>
      </c>
      <c r="B10" s="4" t="str" cm="1">
        <f t="array" ref="B10">INDEX(Sheet1!B:B,$F10)</f>
        <v>Super-Pref NS</v>
      </c>
      <c r="C10" s="4">
        <f t="shared" si="2"/>
        <v>8</v>
      </c>
      <c r="D10" s="5" cm="1">
        <f t="array" aca="1" ref="D10" ca="1">OFFSET(INDIRECT("'["&amp;$H10&amp;"]"&amp;$I10&amp;"'!"&amp;$J10),$L10,$M10)*$K10</f>
        <v>2.2000000000000001E-4</v>
      </c>
      <c r="F10" s="4">
        <f t="shared" si="3"/>
        <v>2</v>
      </c>
      <c r="G10" s="4" cm="1">
        <f t="array" ref="G10">IF($C10&gt;=25,F10,IF($C10&lt;16,INDEX(Sheet1!C:C,$F10),$F10))</f>
        <v>10</v>
      </c>
      <c r="H10" s="4" t="str" cm="1">
        <f t="array" ref="H10">INDEX(Sheet1!D:D,$G10)</f>
        <v>t1136.xlsx</v>
      </c>
      <c r="I10" s="4" t="str" cm="1">
        <f t="array" ref="I10">INDEX(Sheet1!E:E,$G10)</f>
        <v>Sheet1</v>
      </c>
      <c r="J10" s="4" t="str" cm="1">
        <f t="array" ref="J10">IF($C10&gt;=25,INDEX(Sheet1!G:G,$G10),INDEX(Sheet1!F:F,$G10))</f>
        <v>B25</v>
      </c>
      <c r="K10" s="4" cm="1">
        <f t="array" ref="K10">INDEX(Sheet1!H:H,$G10)</f>
        <v>1</v>
      </c>
      <c r="L10" s="4">
        <f t="shared" si="0"/>
        <v>0</v>
      </c>
      <c r="M10" s="4">
        <f t="shared" si="1"/>
        <v>8</v>
      </c>
    </row>
    <row r="11" spans="1:16">
      <c r="A11" s="4" t="str" cm="1">
        <f t="array" ref="A11">INDEX(Sheet1!A:A,$F11)</f>
        <v>M</v>
      </c>
      <c r="B11" s="4" t="str" cm="1">
        <f t="array" ref="B11">INDEX(Sheet1!B:B,$F11)</f>
        <v>Super-Pref NS</v>
      </c>
      <c r="C11" s="4">
        <f t="shared" si="2"/>
        <v>9</v>
      </c>
      <c r="D11" s="5" cm="1">
        <f t="array" aca="1" ref="D11" ca="1">OFFSET(INDIRECT("'["&amp;$H11&amp;"]"&amp;$I11&amp;"'!"&amp;$J11),$L11,$M11)*$K11</f>
        <v>2.3000000000000001E-4</v>
      </c>
      <c r="F11" s="4">
        <f t="shared" si="3"/>
        <v>2</v>
      </c>
      <c r="G11" s="4" cm="1">
        <f t="array" ref="G11">IF($C11&gt;=25,F11,IF($C11&lt;16,INDEX(Sheet1!C:C,$F11),$F11))</f>
        <v>10</v>
      </c>
      <c r="H11" s="4" t="str" cm="1">
        <f t="array" ref="H11">INDEX(Sheet1!D:D,$G11)</f>
        <v>t1136.xlsx</v>
      </c>
      <c r="I11" s="4" t="str" cm="1">
        <f t="array" ref="I11">INDEX(Sheet1!E:E,$G11)</f>
        <v>Sheet1</v>
      </c>
      <c r="J11" s="4" t="str" cm="1">
        <f t="array" ref="J11">IF($C11&gt;=25,INDEX(Sheet1!G:G,$G11),INDEX(Sheet1!F:F,$G11))</f>
        <v>B25</v>
      </c>
      <c r="K11" s="4" cm="1">
        <f t="array" ref="K11">INDEX(Sheet1!H:H,$G11)</f>
        <v>1</v>
      </c>
      <c r="L11" s="4">
        <f t="shared" si="0"/>
        <v>0</v>
      </c>
      <c r="M11" s="4">
        <f t="shared" si="1"/>
        <v>9</v>
      </c>
    </row>
    <row r="12" spans="1:16">
      <c r="A12" s="4" t="str" cm="1">
        <f t="array" ref="A12">INDEX(Sheet1!A:A,$F12)</f>
        <v>M</v>
      </c>
      <c r="B12" s="4" t="str" cm="1">
        <f t="array" ref="B12">INDEX(Sheet1!B:B,$F12)</f>
        <v>Super-Pref NS</v>
      </c>
      <c r="C12" s="4">
        <f t="shared" si="2"/>
        <v>10</v>
      </c>
      <c r="D12" s="5" cm="1">
        <f t="array" aca="1" ref="D12" ca="1">OFFSET(INDIRECT("'["&amp;$H12&amp;"]"&amp;$I12&amp;"'!"&amp;$J12),$L12,$M12)*$K12</f>
        <v>2.3000000000000001E-4</v>
      </c>
      <c r="F12" s="4">
        <f t="shared" si="3"/>
        <v>2</v>
      </c>
      <c r="G12" s="4" cm="1">
        <f t="array" ref="G12">IF($C12&gt;=25,F12,IF($C12&lt;16,INDEX(Sheet1!C:C,$F12),$F12))</f>
        <v>10</v>
      </c>
      <c r="H12" s="4" t="str" cm="1">
        <f t="array" ref="H12">INDEX(Sheet1!D:D,$G12)</f>
        <v>t1136.xlsx</v>
      </c>
      <c r="I12" s="4" t="str" cm="1">
        <f t="array" ref="I12">INDEX(Sheet1!E:E,$G12)</f>
        <v>Sheet1</v>
      </c>
      <c r="J12" s="4" t="str" cm="1">
        <f t="array" ref="J12">IF($C12&gt;=25,INDEX(Sheet1!G:G,$G12),INDEX(Sheet1!F:F,$G12))</f>
        <v>B25</v>
      </c>
      <c r="K12" s="4" cm="1">
        <f t="array" ref="K12">INDEX(Sheet1!H:H,$G12)</f>
        <v>1</v>
      </c>
      <c r="L12" s="4">
        <f t="shared" si="0"/>
        <v>0</v>
      </c>
      <c r="M12" s="4">
        <f t="shared" si="1"/>
        <v>10</v>
      </c>
    </row>
    <row r="13" spans="1:16">
      <c r="A13" s="4" t="str" cm="1">
        <f t="array" ref="A13">INDEX(Sheet1!A:A,$F13)</f>
        <v>M</v>
      </c>
      <c r="B13" s="4" t="str" cm="1">
        <f t="array" ref="B13">INDEX(Sheet1!B:B,$F13)</f>
        <v>Super-Pref NS</v>
      </c>
      <c r="C13" s="4">
        <f t="shared" si="2"/>
        <v>11</v>
      </c>
      <c r="D13" s="5" cm="1">
        <f t="array" aca="1" ref="D13" ca="1">OFFSET(INDIRECT("'["&amp;$H13&amp;"]"&amp;$I13&amp;"'!"&amp;$J13),$L13,$M13)*$K13</f>
        <v>2.7E-4</v>
      </c>
      <c r="F13" s="4">
        <f t="shared" si="3"/>
        <v>2</v>
      </c>
      <c r="G13" s="4" cm="1">
        <f t="array" ref="G13">IF($C13&gt;=25,F13,IF($C13&lt;16,INDEX(Sheet1!C:C,$F13),$F13))</f>
        <v>10</v>
      </c>
      <c r="H13" s="4" t="str" cm="1">
        <f t="array" ref="H13">INDEX(Sheet1!D:D,$G13)</f>
        <v>t1136.xlsx</v>
      </c>
      <c r="I13" s="4" t="str" cm="1">
        <f t="array" ref="I13">INDEX(Sheet1!E:E,$G13)</f>
        <v>Sheet1</v>
      </c>
      <c r="J13" s="4" t="str" cm="1">
        <f t="array" ref="J13">IF($C13&gt;=25,INDEX(Sheet1!G:G,$G13),INDEX(Sheet1!F:F,$G13))</f>
        <v>B25</v>
      </c>
      <c r="K13" s="4" cm="1">
        <f t="array" ref="K13">INDEX(Sheet1!H:H,$G13)</f>
        <v>1</v>
      </c>
      <c r="L13" s="4">
        <f t="shared" si="0"/>
        <v>0</v>
      </c>
      <c r="M13" s="4">
        <f t="shared" si="1"/>
        <v>11</v>
      </c>
    </row>
    <row r="14" spans="1:16">
      <c r="A14" s="4" t="str" cm="1">
        <f t="array" ref="A14">INDEX(Sheet1!A:A,$F14)</f>
        <v>M</v>
      </c>
      <c r="B14" s="4" t="str" cm="1">
        <f t="array" ref="B14">INDEX(Sheet1!B:B,$F14)</f>
        <v>Super-Pref NS</v>
      </c>
      <c r="C14" s="4">
        <f t="shared" si="2"/>
        <v>12</v>
      </c>
      <c r="D14" s="5" cm="1">
        <f t="array" aca="1" ref="D14" ca="1">OFFSET(INDIRECT("'["&amp;$H14&amp;"]"&amp;$I14&amp;"'!"&amp;$J14),$L14,$M14)*$K14</f>
        <v>3.3E-4</v>
      </c>
      <c r="F14" s="4">
        <f t="shared" si="3"/>
        <v>2</v>
      </c>
      <c r="G14" s="4" cm="1">
        <f t="array" ref="G14">IF($C14&gt;=25,F14,IF($C14&lt;16,INDEX(Sheet1!C:C,$F14),$F14))</f>
        <v>10</v>
      </c>
      <c r="H14" s="4" t="str" cm="1">
        <f t="array" ref="H14">INDEX(Sheet1!D:D,$G14)</f>
        <v>t1136.xlsx</v>
      </c>
      <c r="I14" s="4" t="str" cm="1">
        <f t="array" ref="I14">INDEX(Sheet1!E:E,$G14)</f>
        <v>Sheet1</v>
      </c>
      <c r="J14" s="4" t="str" cm="1">
        <f t="array" ref="J14">IF($C14&gt;=25,INDEX(Sheet1!G:G,$G14),INDEX(Sheet1!F:F,$G14))</f>
        <v>B25</v>
      </c>
      <c r="K14" s="4" cm="1">
        <f t="array" ref="K14">INDEX(Sheet1!H:H,$G14)</f>
        <v>1</v>
      </c>
      <c r="L14" s="4">
        <f t="shared" si="0"/>
        <v>0</v>
      </c>
      <c r="M14" s="4">
        <f t="shared" si="1"/>
        <v>12</v>
      </c>
    </row>
    <row r="15" spans="1:16">
      <c r="A15" s="4" t="str" cm="1">
        <f t="array" ref="A15">INDEX(Sheet1!A:A,$F15)</f>
        <v>M</v>
      </c>
      <c r="B15" s="4" t="str" cm="1">
        <f t="array" ref="B15">INDEX(Sheet1!B:B,$F15)</f>
        <v>Super-Pref NS</v>
      </c>
      <c r="C15" s="4">
        <f t="shared" si="2"/>
        <v>13</v>
      </c>
      <c r="D15" s="5" cm="1">
        <f t="array" aca="1" ref="D15" ca="1">OFFSET(INDIRECT("'["&amp;$H15&amp;"]"&amp;$I15&amp;"'!"&amp;$J15),$L15,$M15)*$K15</f>
        <v>3.8999999999999999E-4</v>
      </c>
      <c r="F15" s="4">
        <f t="shared" si="3"/>
        <v>2</v>
      </c>
      <c r="G15" s="4" cm="1">
        <f t="array" ref="G15">IF($C15&gt;=25,F15,IF($C15&lt;16,INDEX(Sheet1!C:C,$F15),$F15))</f>
        <v>10</v>
      </c>
      <c r="H15" s="4" t="str" cm="1">
        <f t="array" ref="H15">INDEX(Sheet1!D:D,$G15)</f>
        <v>t1136.xlsx</v>
      </c>
      <c r="I15" s="4" t="str" cm="1">
        <f t="array" ref="I15">INDEX(Sheet1!E:E,$G15)</f>
        <v>Sheet1</v>
      </c>
      <c r="J15" s="4" t="str" cm="1">
        <f t="array" ref="J15">IF($C15&gt;=25,INDEX(Sheet1!G:G,$G15),INDEX(Sheet1!F:F,$G15))</f>
        <v>B25</v>
      </c>
      <c r="K15" s="4" cm="1">
        <f t="array" ref="K15">INDEX(Sheet1!H:H,$G15)</f>
        <v>1</v>
      </c>
      <c r="L15" s="4">
        <f t="shared" si="0"/>
        <v>0</v>
      </c>
      <c r="M15" s="4">
        <f t="shared" si="1"/>
        <v>13</v>
      </c>
    </row>
    <row r="16" spans="1:16">
      <c r="A16" s="4" t="str" cm="1">
        <f t="array" ref="A16">INDEX(Sheet1!A:A,$F16)</f>
        <v>M</v>
      </c>
      <c r="B16" s="4" t="str" cm="1">
        <f t="array" ref="B16">INDEX(Sheet1!B:B,$F16)</f>
        <v>Super-Pref NS</v>
      </c>
      <c r="C16" s="4">
        <f t="shared" si="2"/>
        <v>14</v>
      </c>
      <c r="D16" s="5" cm="1">
        <f t="array" aca="1" ref="D16" ca="1">OFFSET(INDIRECT("'["&amp;$H16&amp;"]"&amp;$I16&amp;"'!"&amp;$J16),$L16,$M16)*$K16</f>
        <v>4.6999999999999999E-4</v>
      </c>
      <c r="F16" s="4">
        <f t="shared" si="3"/>
        <v>2</v>
      </c>
      <c r="G16" s="4" cm="1">
        <f t="array" ref="G16">IF($C16&gt;=25,F16,IF($C16&lt;16,INDEX(Sheet1!C:C,$F16),$F16))</f>
        <v>10</v>
      </c>
      <c r="H16" s="4" t="str" cm="1">
        <f t="array" ref="H16">INDEX(Sheet1!D:D,$G16)</f>
        <v>t1136.xlsx</v>
      </c>
      <c r="I16" s="4" t="str" cm="1">
        <f t="array" ref="I16">INDEX(Sheet1!E:E,$G16)</f>
        <v>Sheet1</v>
      </c>
      <c r="J16" s="4" t="str" cm="1">
        <f t="array" ref="J16">IF($C16&gt;=25,INDEX(Sheet1!G:G,$G16),INDEX(Sheet1!F:F,$G16))</f>
        <v>B25</v>
      </c>
      <c r="K16" s="4" cm="1">
        <f t="array" ref="K16">INDEX(Sheet1!H:H,$G16)</f>
        <v>1</v>
      </c>
      <c r="L16" s="4">
        <f t="shared" si="0"/>
        <v>0</v>
      </c>
      <c r="M16" s="4">
        <f t="shared" si="1"/>
        <v>14</v>
      </c>
    </row>
    <row r="17" spans="1:13">
      <c r="A17" s="4" t="str" cm="1">
        <f t="array" ref="A17">INDEX(Sheet1!A:A,$F17)</f>
        <v>M</v>
      </c>
      <c r="B17" s="4" t="str" cm="1">
        <f t="array" ref="B17">INDEX(Sheet1!B:B,$F17)</f>
        <v>Super-Pref NS</v>
      </c>
      <c r="C17" s="4">
        <f t="shared" si="2"/>
        <v>15</v>
      </c>
      <c r="D17" s="5" cm="1">
        <f t="array" aca="1" ref="D17" ca="1">OFFSET(INDIRECT("'["&amp;$H17&amp;"]"&amp;$I17&amp;"'!"&amp;$J17),$L17,$M17)*$K17</f>
        <v>6.0999999999999997E-4</v>
      </c>
      <c r="F17" s="4">
        <f t="shared" si="3"/>
        <v>2</v>
      </c>
      <c r="G17" s="4" cm="1">
        <f t="array" ref="G17">IF($C17&gt;=25,F17,IF($C17&lt;16,INDEX(Sheet1!C:C,$F17),$F17))</f>
        <v>10</v>
      </c>
      <c r="H17" s="4" t="str" cm="1">
        <f t="array" ref="H17">INDEX(Sheet1!D:D,$G17)</f>
        <v>t1136.xlsx</v>
      </c>
      <c r="I17" s="4" t="str" cm="1">
        <f t="array" ref="I17">INDEX(Sheet1!E:E,$G17)</f>
        <v>Sheet1</v>
      </c>
      <c r="J17" s="4" t="str" cm="1">
        <f t="array" ref="J17">IF($C17&gt;=25,INDEX(Sheet1!G:G,$G17),INDEX(Sheet1!F:F,$G17))</f>
        <v>B25</v>
      </c>
      <c r="K17" s="4" cm="1">
        <f t="array" ref="K17">INDEX(Sheet1!H:H,$G17)</f>
        <v>1</v>
      </c>
      <c r="L17" s="4">
        <f t="shared" si="0"/>
        <v>0</v>
      </c>
      <c r="M17" s="4">
        <f t="shared" si="1"/>
        <v>15</v>
      </c>
    </row>
    <row r="18" spans="1:13">
      <c r="A18" s="4" t="str" cm="1">
        <f t="array" ref="A18">INDEX(Sheet1!A:A,$F18)</f>
        <v>M</v>
      </c>
      <c r="B18" s="4" t="str" cm="1">
        <f t="array" ref="B18">INDEX(Sheet1!B:B,$F18)</f>
        <v>Super-Pref NS</v>
      </c>
      <c r="C18" s="4">
        <f t="shared" si="2"/>
        <v>16</v>
      </c>
      <c r="D18" s="5" cm="1">
        <f t="array" aca="1" ref="D18" ca="1">OFFSET(INDIRECT("'["&amp;$H18&amp;"]"&amp;$I18&amp;"'!"&amp;$J18),$L18,$M18)*$K18</f>
        <v>4.0999999999999999E-4</v>
      </c>
      <c r="F18" s="4">
        <f t="shared" si="3"/>
        <v>2</v>
      </c>
      <c r="G18" s="4" cm="1">
        <f t="array" ref="G18">IF($C18&gt;=25,F18,IF($C18&lt;16,INDEX(Sheet1!C:C,$F18),$F18))</f>
        <v>2</v>
      </c>
      <c r="H18" s="4" t="str" cm="1">
        <f t="array" ref="H18">INDEX(Sheet1!D:D,$G18)</f>
        <v>2001-cso-preferred-class-structure-mortality-tables.xls</v>
      </c>
      <c r="I18" s="4" t="str" cm="1">
        <f t="array" ref="I18">INDEX(Sheet1!E:E,$G18)</f>
        <v>A.1.a.i</v>
      </c>
      <c r="J18" s="4" t="str" cm="1">
        <f t="array" ref="J18">IF($C18&gt;=25,INDEX(Sheet1!G:G,$G18),INDEX(Sheet1!F:F,$G18))</f>
        <v>B8</v>
      </c>
      <c r="K18" s="4" cm="1">
        <f t="array" ref="K18">INDEX(Sheet1!H:H,$G18)</f>
        <v>1E-3</v>
      </c>
      <c r="L18" s="4">
        <f t="shared" si="0"/>
        <v>0</v>
      </c>
      <c r="M18" s="4">
        <f t="shared" si="1"/>
        <v>16</v>
      </c>
    </row>
    <row r="19" spans="1:13">
      <c r="A19" s="4" t="str" cm="1">
        <f t="array" ref="A19">INDEX(Sheet1!A:A,$F19)</f>
        <v>M</v>
      </c>
      <c r="B19" s="4" t="str" cm="1">
        <f t="array" ref="B19">INDEX(Sheet1!B:B,$F19)</f>
        <v>Super-Pref NS</v>
      </c>
      <c r="C19" s="4">
        <f t="shared" si="2"/>
        <v>17</v>
      </c>
      <c r="D19" s="5" cm="1">
        <f t="array" aca="1" ref="D19" ca="1">OFFSET(INDIRECT("'["&amp;$H19&amp;"]"&amp;$I19&amp;"'!"&amp;$J19),$L19,$M19)*$K19</f>
        <v>4.6999999999999999E-4</v>
      </c>
      <c r="F19" s="4">
        <f t="shared" si="3"/>
        <v>2</v>
      </c>
      <c r="G19" s="4" cm="1">
        <f t="array" ref="G19">IF($C19&gt;=25,F19,IF($C19&lt;16,INDEX(Sheet1!C:C,$F19),$F19))</f>
        <v>2</v>
      </c>
      <c r="H19" s="4" t="str" cm="1">
        <f t="array" ref="H19">INDEX(Sheet1!D:D,$G19)</f>
        <v>2001-cso-preferred-class-structure-mortality-tables.xls</v>
      </c>
      <c r="I19" s="4" t="str" cm="1">
        <f t="array" ref="I19">INDEX(Sheet1!E:E,$G19)</f>
        <v>A.1.a.i</v>
      </c>
      <c r="J19" s="4" t="str" cm="1">
        <f t="array" ref="J19">IF($C19&gt;=25,INDEX(Sheet1!G:G,$G19),INDEX(Sheet1!F:F,$G19))</f>
        <v>B8</v>
      </c>
      <c r="K19" s="4" cm="1">
        <f t="array" ref="K19">INDEX(Sheet1!H:H,$G19)</f>
        <v>1E-3</v>
      </c>
      <c r="L19" s="4">
        <f t="shared" si="0"/>
        <v>0</v>
      </c>
      <c r="M19" s="4">
        <f t="shared" si="1"/>
        <v>17</v>
      </c>
    </row>
    <row r="20" spans="1:13">
      <c r="A20" s="4" t="str" cm="1">
        <f t="array" ref="A20">INDEX(Sheet1!A:A,$F20)</f>
        <v>M</v>
      </c>
      <c r="B20" s="4" t="str" cm="1">
        <f t="array" ref="B20">INDEX(Sheet1!B:B,$F20)</f>
        <v>Super-Pref NS</v>
      </c>
      <c r="C20" s="4">
        <f t="shared" si="2"/>
        <v>18</v>
      </c>
      <c r="D20" s="5" cm="1">
        <f t="array" aca="1" ref="D20" ca="1">OFFSET(INDIRECT("'["&amp;$H20&amp;"]"&amp;$I20&amp;"'!"&amp;$J20),$L20,$M20)*$K20</f>
        <v>5.0000000000000001E-4</v>
      </c>
      <c r="F20" s="4">
        <f t="shared" si="3"/>
        <v>2</v>
      </c>
      <c r="G20" s="4" cm="1">
        <f t="array" ref="G20">IF($C20&gt;=25,F20,IF($C20&lt;16,INDEX(Sheet1!C:C,$F20),$F20))</f>
        <v>2</v>
      </c>
      <c r="H20" s="4" t="str" cm="1">
        <f t="array" ref="H20">INDEX(Sheet1!D:D,$G20)</f>
        <v>2001-cso-preferred-class-structure-mortality-tables.xls</v>
      </c>
      <c r="I20" s="4" t="str" cm="1">
        <f t="array" ref="I20">INDEX(Sheet1!E:E,$G20)</f>
        <v>A.1.a.i</v>
      </c>
      <c r="J20" s="4" t="str" cm="1">
        <f t="array" ref="J20">IF($C20&gt;=25,INDEX(Sheet1!G:G,$G20),INDEX(Sheet1!F:F,$G20))</f>
        <v>B8</v>
      </c>
      <c r="K20" s="4" cm="1">
        <f t="array" ref="K20">INDEX(Sheet1!H:H,$G20)</f>
        <v>1E-3</v>
      </c>
      <c r="L20" s="4">
        <f t="shared" si="0"/>
        <v>0</v>
      </c>
      <c r="M20" s="4">
        <f t="shared" si="1"/>
        <v>18</v>
      </c>
    </row>
    <row r="21" spans="1:13">
      <c r="A21" s="4" t="str" cm="1">
        <f t="array" ref="A21">INDEX(Sheet1!A:A,$F21)</f>
        <v>M</v>
      </c>
      <c r="B21" s="4" t="str" cm="1">
        <f t="array" ref="B21">INDEX(Sheet1!B:B,$F21)</f>
        <v>Super-Pref NS</v>
      </c>
      <c r="C21" s="4">
        <f t="shared" si="2"/>
        <v>19</v>
      </c>
      <c r="D21" s="5" cm="1">
        <f t="array" aca="1" ref="D21" ca="1">OFFSET(INDIRECT("'["&amp;$H21&amp;"]"&amp;$I21&amp;"'!"&amp;$J21),$L21,$M21)*$K21</f>
        <v>5.2000000000000006E-4</v>
      </c>
      <c r="F21" s="4">
        <f t="shared" si="3"/>
        <v>2</v>
      </c>
      <c r="G21" s="4" cm="1">
        <f t="array" ref="G21">IF($C21&gt;=25,F21,IF($C21&lt;16,INDEX(Sheet1!C:C,$F21),$F21))</f>
        <v>2</v>
      </c>
      <c r="H21" s="4" t="str" cm="1">
        <f t="array" ref="H21">INDEX(Sheet1!D:D,$G21)</f>
        <v>2001-cso-preferred-class-structure-mortality-tables.xls</v>
      </c>
      <c r="I21" s="4" t="str" cm="1">
        <f t="array" ref="I21">INDEX(Sheet1!E:E,$G21)</f>
        <v>A.1.a.i</v>
      </c>
      <c r="J21" s="4" t="str" cm="1">
        <f t="array" ref="J21">IF($C21&gt;=25,INDEX(Sheet1!G:G,$G21),INDEX(Sheet1!F:F,$G21))</f>
        <v>B8</v>
      </c>
      <c r="K21" s="4" cm="1">
        <f t="array" ref="K21">INDEX(Sheet1!H:H,$G21)</f>
        <v>1E-3</v>
      </c>
      <c r="L21" s="4">
        <f t="shared" si="0"/>
        <v>0</v>
      </c>
      <c r="M21" s="4">
        <f t="shared" si="1"/>
        <v>19</v>
      </c>
    </row>
    <row r="22" spans="1:13">
      <c r="A22" s="4" t="str" cm="1">
        <f t="array" ref="A22">INDEX(Sheet1!A:A,$F22)</f>
        <v>M</v>
      </c>
      <c r="B22" s="4" t="str" cm="1">
        <f t="array" ref="B22">INDEX(Sheet1!B:B,$F22)</f>
        <v>Super-Pref NS</v>
      </c>
      <c r="C22" s="4">
        <f t="shared" si="2"/>
        <v>20</v>
      </c>
      <c r="D22" s="5" cm="1">
        <f t="array" aca="1" ref="D22" ca="1">OFFSET(INDIRECT("'["&amp;$H22&amp;"]"&amp;$I22&amp;"'!"&amp;$J22),$L22,$M22)*$K22</f>
        <v>5.2000000000000006E-4</v>
      </c>
      <c r="F22" s="4">
        <f t="shared" si="3"/>
        <v>2</v>
      </c>
      <c r="G22" s="4" cm="1">
        <f t="array" ref="G22">IF($C22&gt;=25,F22,IF($C22&lt;16,INDEX(Sheet1!C:C,$F22),$F22))</f>
        <v>2</v>
      </c>
      <c r="H22" s="4" t="str" cm="1">
        <f t="array" ref="H22">INDEX(Sheet1!D:D,$G22)</f>
        <v>2001-cso-preferred-class-structure-mortality-tables.xls</v>
      </c>
      <c r="I22" s="4" t="str" cm="1">
        <f t="array" ref="I22">INDEX(Sheet1!E:E,$G22)</f>
        <v>A.1.a.i</v>
      </c>
      <c r="J22" s="4" t="str" cm="1">
        <f t="array" ref="J22">IF($C22&gt;=25,INDEX(Sheet1!G:G,$G22),INDEX(Sheet1!F:F,$G22))</f>
        <v>B8</v>
      </c>
      <c r="K22" s="4" cm="1">
        <f t="array" ref="K22">INDEX(Sheet1!H:H,$G22)</f>
        <v>1E-3</v>
      </c>
      <c r="L22" s="4">
        <f t="shared" si="0"/>
        <v>0</v>
      </c>
      <c r="M22" s="4">
        <f t="shared" si="1"/>
        <v>20</v>
      </c>
    </row>
    <row r="23" spans="1:13">
      <c r="A23" s="4" t="str" cm="1">
        <f t="array" ref="A23">INDEX(Sheet1!A:A,$F23)</f>
        <v>M</v>
      </c>
      <c r="B23" s="4" t="str" cm="1">
        <f t="array" ref="B23">INDEX(Sheet1!B:B,$F23)</f>
        <v>Super-Pref NS</v>
      </c>
      <c r="C23" s="4">
        <f t="shared" si="2"/>
        <v>21</v>
      </c>
      <c r="D23" s="5" cm="1">
        <f t="array" aca="1" ref="D23" ca="1">OFFSET(INDIRECT("'["&amp;$H23&amp;"]"&amp;$I23&amp;"'!"&amp;$J23),$L23,$M23)*$K23</f>
        <v>5.2000000000000006E-4</v>
      </c>
      <c r="F23" s="4">
        <f t="shared" si="3"/>
        <v>2</v>
      </c>
      <c r="G23" s="4" cm="1">
        <f t="array" ref="G23">IF($C23&gt;=25,F23,IF($C23&lt;16,INDEX(Sheet1!C:C,$F23),$F23))</f>
        <v>2</v>
      </c>
      <c r="H23" s="4" t="str" cm="1">
        <f t="array" ref="H23">INDEX(Sheet1!D:D,$G23)</f>
        <v>2001-cso-preferred-class-structure-mortality-tables.xls</v>
      </c>
      <c r="I23" s="4" t="str" cm="1">
        <f t="array" ref="I23">INDEX(Sheet1!E:E,$G23)</f>
        <v>A.1.a.i</v>
      </c>
      <c r="J23" s="4" t="str" cm="1">
        <f t="array" ref="J23">IF($C23&gt;=25,INDEX(Sheet1!G:G,$G23),INDEX(Sheet1!F:F,$G23))</f>
        <v>B8</v>
      </c>
      <c r="K23" s="4" cm="1">
        <f t="array" ref="K23">INDEX(Sheet1!H:H,$G23)</f>
        <v>1E-3</v>
      </c>
      <c r="L23" s="4">
        <f t="shared" si="0"/>
        <v>0</v>
      </c>
      <c r="M23" s="4">
        <f t="shared" si="1"/>
        <v>21</v>
      </c>
    </row>
    <row r="24" spans="1:13">
      <c r="A24" s="4" t="str" cm="1">
        <f t="array" ref="A24">INDEX(Sheet1!A:A,$F24)</f>
        <v>M</v>
      </c>
      <c r="B24" s="4" t="str" cm="1">
        <f t="array" ref="B24">INDEX(Sheet1!B:B,$F24)</f>
        <v>Super-Pref NS</v>
      </c>
      <c r="C24" s="4">
        <f t="shared" si="2"/>
        <v>22</v>
      </c>
      <c r="D24" s="5" cm="1">
        <f t="array" aca="1" ref="D24" ca="1">OFFSET(INDIRECT("'["&amp;$H24&amp;"]"&amp;$I24&amp;"'!"&amp;$J24),$L24,$M24)*$K24</f>
        <v>5.3000000000000009E-4</v>
      </c>
      <c r="F24" s="4">
        <f t="shared" si="3"/>
        <v>2</v>
      </c>
      <c r="G24" s="4" cm="1">
        <f t="array" ref="G24">IF($C24&gt;=25,F24,IF($C24&lt;16,INDEX(Sheet1!C:C,$F24),$F24))</f>
        <v>2</v>
      </c>
      <c r="H24" s="4" t="str" cm="1">
        <f t="array" ref="H24">INDEX(Sheet1!D:D,$G24)</f>
        <v>2001-cso-preferred-class-structure-mortality-tables.xls</v>
      </c>
      <c r="I24" s="4" t="str" cm="1">
        <f t="array" ref="I24">INDEX(Sheet1!E:E,$G24)</f>
        <v>A.1.a.i</v>
      </c>
      <c r="J24" s="4" t="str" cm="1">
        <f t="array" ref="J24">IF($C24&gt;=25,INDEX(Sheet1!G:G,$G24),INDEX(Sheet1!F:F,$G24))</f>
        <v>B8</v>
      </c>
      <c r="K24" s="4" cm="1">
        <f t="array" ref="K24">INDEX(Sheet1!H:H,$G24)</f>
        <v>1E-3</v>
      </c>
      <c r="L24" s="4">
        <f t="shared" si="0"/>
        <v>0</v>
      </c>
      <c r="M24" s="4">
        <f t="shared" si="1"/>
        <v>22</v>
      </c>
    </row>
    <row r="25" spans="1:13">
      <c r="A25" s="4" t="str" cm="1">
        <f t="array" ref="A25">INDEX(Sheet1!A:A,$F25)</f>
        <v>M</v>
      </c>
      <c r="B25" s="4" t="str" cm="1">
        <f t="array" ref="B25">INDEX(Sheet1!B:B,$F25)</f>
        <v>Super-Pref NS</v>
      </c>
      <c r="C25" s="4">
        <f t="shared" si="2"/>
        <v>23</v>
      </c>
      <c r="D25" s="5" cm="1">
        <f t="array" aca="1" ref="D25" ca="1">OFFSET(INDIRECT("'["&amp;$H25&amp;"]"&amp;$I25&amp;"'!"&amp;$J25),$L25,$M25)*$K25</f>
        <v>5.3000000000000009E-4</v>
      </c>
      <c r="F25" s="4">
        <f t="shared" si="3"/>
        <v>2</v>
      </c>
      <c r="G25" s="4" cm="1">
        <f t="array" ref="G25">IF($C25&gt;=25,F25,IF($C25&lt;16,INDEX(Sheet1!C:C,$F25),$F25))</f>
        <v>2</v>
      </c>
      <c r="H25" s="4" t="str" cm="1">
        <f t="array" ref="H25">INDEX(Sheet1!D:D,$G25)</f>
        <v>2001-cso-preferred-class-structure-mortality-tables.xls</v>
      </c>
      <c r="I25" s="4" t="str" cm="1">
        <f t="array" ref="I25">INDEX(Sheet1!E:E,$G25)</f>
        <v>A.1.a.i</v>
      </c>
      <c r="J25" s="4" t="str" cm="1">
        <f t="array" ref="J25">IF($C25&gt;=25,INDEX(Sheet1!G:G,$G25),INDEX(Sheet1!F:F,$G25))</f>
        <v>B8</v>
      </c>
      <c r="K25" s="4" cm="1">
        <f t="array" ref="K25">INDEX(Sheet1!H:H,$G25)</f>
        <v>1E-3</v>
      </c>
      <c r="L25" s="4">
        <f t="shared" si="0"/>
        <v>0</v>
      </c>
      <c r="M25" s="4">
        <f t="shared" si="1"/>
        <v>23</v>
      </c>
    </row>
    <row r="26" spans="1:13">
      <c r="A26" s="4" t="str" cm="1">
        <f t="array" ref="A26">INDEX(Sheet1!A:A,$F26)</f>
        <v>M</v>
      </c>
      <c r="B26" s="4" t="str" cm="1">
        <f t="array" ref="B26">INDEX(Sheet1!B:B,$F26)</f>
        <v>Super-Pref NS</v>
      </c>
      <c r="C26" s="4">
        <f t="shared" si="2"/>
        <v>24</v>
      </c>
      <c r="D26" s="5" cm="1">
        <f t="array" aca="1" ref="D26" ca="1">OFFSET(INDIRECT("'["&amp;$H26&amp;"]"&amp;$I26&amp;"'!"&amp;$J26),$L26,$M26)*$K26</f>
        <v>5.4000000000000001E-4</v>
      </c>
      <c r="F26" s="4">
        <f t="shared" si="3"/>
        <v>2</v>
      </c>
      <c r="G26" s="4" cm="1">
        <f t="array" ref="G26">IF($C26&gt;=25,F26,IF($C26&lt;16,INDEX(Sheet1!C:C,$F26),$F26))</f>
        <v>2</v>
      </c>
      <c r="H26" s="4" t="str" cm="1">
        <f t="array" ref="H26">INDEX(Sheet1!D:D,$G26)</f>
        <v>2001-cso-preferred-class-structure-mortality-tables.xls</v>
      </c>
      <c r="I26" s="4" t="str" cm="1">
        <f t="array" ref="I26">INDEX(Sheet1!E:E,$G26)</f>
        <v>A.1.a.i</v>
      </c>
      <c r="J26" s="4" t="str" cm="1">
        <f t="array" ref="J26">IF($C26&gt;=25,INDEX(Sheet1!G:G,$G26),INDEX(Sheet1!F:F,$G26))</f>
        <v>B8</v>
      </c>
      <c r="K26" s="4" cm="1">
        <f t="array" ref="K26">INDEX(Sheet1!H:H,$G26)</f>
        <v>1E-3</v>
      </c>
      <c r="L26" s="4">
        <f t="shared" si="0"/>
        <v>0</v>
      </c>
      <c r="M26" s="4">
        <f t="shared" si="1"/>
        <v>24</v>
      </c>
    </row>
    <row r="27" spans="1:13">
      <c r="A27" s="4" t="str" cm="1">
        <f t="array" ref="A27">INDEX(Sheet1!A:A,$F27)</f>
        <v>M</v>
      </c>
      <c r="B27" s="4" t="str" cm="1">
        <f t="array" ref="B27">INDEX(Sheet1!B:B,$F27)</f>
        <v>Super-Pref NS</v>
      </c>
      <c r="C27" s="4">
        <f t="shared" si="2"/>
        <v>25</v>
      </c>
      <c r="D27" s="5" cm="1">
        <f t="array" aca="1" ref="D27" ca="1">OFFSET(INDIRECT("'["&amp;$H27&amp;"]"&amp;$I27&amp;"'!"&amp;$J27),$L27,$M27)*$K27</f>
        <v>5.5000000000000003E-4</v>
      </c>
      <c r="F27" s="4">
        <f t="shared" si="3"/>
        <v>2</v>
      </c>
      <c r="G27" s="4" cm="1">
        <f t="array" ref="G27">IF($C27&gt;=25,F27,IF($C27&lt;16,INDEX(Sheet1!C:C,$F27),$F27))</f>
        <v>2</v>
      </c>
      <c r="H27" s="4" t="str" cm="1">
        <f t="array" ref="H27">INDEX(Sheet1!D:D,$G27)</f>
        <v>2001-cso-preferred-class-structure-mortality-tables.xls</v>
      </c>
      <c r="I27" s="4" t="str" cm="1">
        <f t="array" ref="I27">INDEX(Sheet1!E:E,$G27)</f>
        <v>A.1.a.i</v>
      </c>
      <c r="J27" s="4" t="str" cm="1">
        <f t="array" ref="J27">IF($C27&gt;=25,INDEX(Sheet1!G:G,$G27),INDEX(Sheet1!F:F,$G27))</f>
        <v>AA8</v>
      </c>
      <c r="K27" s="4" cm="1">
        <f t="array" ref="K27">INDEX(Sheet1!H:H,$G27)</f>
        <v>1E-3</v>
      </c>
      <c r="L27" s="4">
        <f t="shared" si="0"/>
        <v>0</v>
      </c>
      <c r="M27" s="4">
        <f t="shared" si="1"/>
        <v>0</v>
      </c>
    </row>
    <row r="28" spans="1:13">
      <c r="A28" s="4" t="str" cm="1">
        <f t="array" ref="A28">INDEX(Sheet1!A:A,$F28)</f>
        <v>M</v>
      </c>
      <c r="B28" s="4" t="str" cm="1">
        <f t="array" ref="B28">INDEX(Sheet1!B:B,$F28)</f>
        <v>Super-Pref NS</v>
      </c>
      <c r="C28" s="4">
        <f t="shared" si="2"/>
        <v>26</v>
      </c>
      <c r="D28" s="5" cm="1">
        <f t="array" aca="1" ref="D28" ca="1">OFFSET(INDIRECT("'["&amp;$H28&amp;"]"&amp;$I28&amp;"'!"&amp;$J28),$L28,$M28)*$K28</f>
        <v>5.6999999999999998E-4</v>
      </c>
      <c r="F28" s="4">
        <f t="shared" si="3"/>
        <v>2</v>
      </c>
      <c r="G28" s="4" cm="1">
        <f t="array" ref="G28">IF($C28&gt;=25,F28,IF($C28&lt;16,INDEX(Sheet1!C:C,$F28),$F28))</f>
        <v>2</v>
      </c>
      <c r="H28" s="4" t="str" cm="1">
        <f t="array" ref="H28">INDEX(Sheet1!D:D,$G28)</f>
        <v>2001-cso-preferred-class-structure-mortality-tables.xls</v>
      </c>
      <c r="I28" s="4" t="str" cm="1">
        <f t="array" ref="I28">INDEX(Sheet1!E:E,$G28)</f>
        <v>A.1.a.i</v>
      </c>
      <c r="J28" s="4" t="str" cm="1">
        <f t="array" ref="J28">IF($C28&gt;=25,INDEX(Sheet1!G:G,$G28),INDEX(Sheet1!F:F,$G28))</f>
        <v>AA8</v>
      </c>
      <c r="K28" s="4" cm="1">
        <f t="array" ref="K28">INDEX(Sheet1!H:H,$G28)</f>
        <v>1E-3</v>
      </c>
      <c r="L28" s="4">
        <f t="shared" si="0"/>
        <v>1</v>
      </c>
      <c r="M28" s="4">
        <f t="shared" si="1"/>
        <v>0</v>
      </c>
    </row>
    <row r="29" spans="1:13">
      <c r="A29" s="4" t="str" cm="1">
        <f t="array" ref="A29">INDEX(Sheet1!A:A,$F29)</f>
        <v>M</v>
      </c>
      <c r="B29" s="4" t="str" cm="1">
        <f t="array" ref="B29">INDEX(Sheet1!B:B,$F29)</f>
        <v>Super-Pref NS</v>
      </c>
      <c r="C29" s="4">
        <f t="shared" si="2"/>
        <v>27</v>
      </c>
      <c r="D29" s="5" cm="1">
        <f t="array" aca="1" ref="D29" ca="1">OFFSET(INDIRECT("'["&amp;$H29&amp;"]"&amp;$I29&amp;"'!"&amp;$J29),$L29,$M29)*$K29</f>
        <v>5.9999999999999995E-4</v>
      </c>
      <c r="F29" s="4">
        <f t="shared" si="3"/>
        <v>2</v>
      </c>
      <c r="G29" s="4" cm="1">
        <f t="array" ref="G29">IF($C29&gt;=25,F29,IF($C29&lt;16,INDEX(Sheet1!C:C,$F29),$F29))</f>
        <v>2</v>
      </c>
      <c r="H29" s="4" t="str" cm="1">
        <f t="array" ref="H29">INDEX(Sheet1!D:D,$G29)</f>
        <v>2001-cso-preferred-class-structure-mortality-tables.xls</v>
      </c>
      <c r="I29" s="4" t="str" cm="1">
        <f t="array" ref="I29">INDEX(Sheet1!E:E,$G29)</f>
        <v>A.1.a.i</v>
      </c>
      <c r="J29" s="4" t="str" cm="1">
        <f t="array" ref="J29">IF($C29&gt;=25,INDEX(Sheet1!G:G,$G29),INDEX(Sheet1!F:F,$G29))</f>
        <v>AA8</v>
      </c>
      <c r="K29" s="4" cm="1">
        <f t="array" ref="K29">INDEX(Sheet1!H:H,$G29)</f>
        <v>1E-3</v>
      </c>
      <c r="L29" s="4">
        <f t="shared" si="0"/>
        <v>2</v>
      </c>
      <c r="M29" s="4">
        <f t="shared" si="1"/>
        <v>0</v>
      </c>
    </row>
    <row r="30" spans="1:13">
      <c r="A30" s="4" t="str" cm="1">
        <f t="array" ref="A30">INDEX(Sheet1!A:A,$F30)</f>
        <v>M</v>
      </c>
      <c r="B30" s="4" t="str" cm="1">
        <f t="array" ref="B30">INDEX(Sheet1!B:B,$F30)</f>
        <v>Super-Pref NS</v>
      </c>
      <c r="C30" s="4">
        <f t="shared" si="2"/>
        <v>28</v>
      </c>
      <c r="D30" s="5" cm="1">
        <f t="array" aca="1" ref="D30" ca="1">OFFSET(INDIRECT("'["&amp;$H30&amp;"]"&amp;$I30&amp;"'!"&amp;$J30),$L30,$M30)*$K30</f>
        <v>5.9999999999999995E-4</v>
      </c>
      <c r="F30" s="4">
        <f t="shared" si="3"/>
        <v>2</v>
      </c>
      <c r="G30" s="4" cm="1">
        <f t="array" ref="G30">IF($C30&gt;=25,F30,IF($C30&lt;16,INDEX(Sheet1!C:C,$F30),$F30))</f>
        <v>2</v>
      </c>
      <c r="H30" s="4" t="str" cm="1">
        <f t="array" ref="H30">INDEX(Sheet1!D:D,$G30)</f>
        <v>2001-cso-preferred-class-structure-mortality-tables.xls</v>
      </c>
      <c r="I30" s="4" t="str" cm="1">
        <f t="array" ref="I30">INDEX(Sheet1!E:E,$G30)</f>
        <v>A.1.a.i</v>
      </c>
      <c r="J30" s="4" t="str" cm="1">
        <f t="array" ref="J30">IF($C30&gt;=25,INDEX(Sheet1!G:G,$G30),INDEX(Sheet1!F:F,$G30))</f>
        <v>AA8</v>
      </c>
      <c r="K30" s="4" cm="1">
        <f t="array" ref="K30">INDEX(Sheet1!H:H,$G30)</f>
        <v>1E-3</v>
      </c>
      <c r="L30" s="4">
        <f t="shared" si="0"/>
        <v>3</v>
      </c>
      <c r="M30" s="4">
        <f t="shared" si="1"/>
        <v>0</v>
      </c>
    </row>
    <row r="31" spans="1:13">
      <c r="A31" s="4" t="str" cm="1">
        <f t="array" ref="A31">INDEX(Sheet1!A:A,$F31)</f>
        <v>M</v>
      </c>
      <c r="B31" s="4" t="str" cm="1">
        <f t="array" ref="B31">INDEX(Sheet1!B:B,$F31)</f>
        <v>Super-Pref NS</v>
      </c>
      <c r="C31" s="4">
        <f t="shared" si="2"/>
        <v>29</v>
      </c>
      <c r="D31" s="5" cm="1">
        <f t="array" aca="1" ref="D31" ca="1">OFFSET(INDIRECT("'["&amp;$H31&amp;"]"&amp;$I31&amp;"'!"&amp;$J31),$L31,$M31)*$K31</f>
        <v>5.8E-4</v>
      </c>
      <c r="F31" s="4">
        <f t="shared" si="3"/>
        <v>2</v>
      </c>
      <c r="G31" s="4" cm="1">
        <f t="array" ref="G31">IF($C31&gt;=25,F31,IF($C31&lt;16,INDEX(Sheet1!C:C,$F31),$F31))</f>
        <v>2</v>
      </c>
      <c r="H31" s="4" t="str" cm="1">
        <f t="array" ref="H31">INDEX(Sheet1!D:D,$G31)</f>
        <v>2001-cso-preferred-class-structure-mortality-tables.xls</v>
      </c>
      <c r="I31" s="4" t="str" cm="1">
        <f t="array" ref="I31">INDEX(Sheet1!E:E,$G31)</f>
        <v>A.1.a.i</v>
      </c>
      <c r="J31" s="4" t="str" cm="1">
        <f t="array" ref="J31">IF($C31&gt;=25,INDEX(Sheet1!G:G,$G31),INDEX(Sheet1!F:F,$G31))</f>
        <v>AA8</v>
      </c>
      <c r="K31" s="4" cm="1">
        <f t="array" ref="K31">INDEX(Sheet1!H:H,$G31)</f>
        <v>1E-3</v>
      </c>
      <c r="L31" s="4">
        <f t="shared" si="0"/>
        <v>4</v>
      </c>
      <c r="M31" s="4">
        <f t="shared" si="1"/>
        <v>0</v>
      </c>
    </row>
    <row r="32" spans="1:13">
      <c r="A32" s="4" t="str" cm="1">
        <f t="array" ref="A32">INDEX(Sheet1!A:A,$F32)</f>
        <v>M</v>
      </c>
      <c r="B32" s="4" t="str" cm="1">
        <f t="array" ref="B32">INDEX(Sheet1!B:B,$F32)</f>
        <v>Super-Pref NS</v>
      </c>
      <c r="C32" s="4">
        <f t="shared" si="2"/>
        <v>30</v>
      </c>
      <c r="D32" s="5" cm="1">
        <f t="array" aca="1" ref="D32" ca="1">OFFSET(INDIRECT("'["&amp;$H32&amp;"]"&amp;$I32&amp;"'!"&amp;$J32),$L32,$M32)*$K32</f>
        <v>5.8E-4</v>
      </c>
      <c r="F32" s="4">
        <f t="shared" si="3"/>
        <v>2</v>
      </c>
      <c r="G32" s="4" cm="1">
        <f t="array" ref="G32">IF($C32&gt;=25,F32,IF($C32&lt;16,INDEX(Sheet1!C:C,$F32),$F32))</f>
        <v>2</v>
      </c>
      <c r="H32" s="4" t="str" cm="1">
        <f t="array" ref="H32">INDEX(Sheet1!D:D,$G32)</f>
        <v>2001-cso-preferred-class-structure-mortality-tables.xls</v>
      </c>
      <c r="I32" s="4" t="str" cm="1">
        <f t="array" ref="I32">INDEX(Sheet1!E:E,$G32)</f>
        <v>A.1.a.i</v>
      </c>
      <c r="J32" s="4" t="str" cm="1">
        <f t="array" ref="J32">IF($C32&gt;=25,INDEX(Sheet1!G:G,$G32),INDEX(Sheet1!F:F,$G32))</f>
        <v>AA8</v>
      </c>
      <c r="K32" s="4" cm="1">
        <f t="array" ref="K32">INDEX(Sheet1!H:H,$G32)</f>
        <v>1E-3</v>
      </c>
      <c r="L32" s="4">
        <f t="shared" si="0"/>
        <v>5</v>
      </c>
      <c r="M32" s="4">
        <f t="shared" si="1"/>
        <v>0</v>
      </c>
    </row>
    <row r="33" spans="1:13">
      <c r="A33" s="4" t="str" cm="1">
        <f t="array" ref="A33">INDEX(Sheet1!A:A,$F33)</f>
        <v>M</v>
      </c>
      <c r="B33" s="4" t="str" cm="1">
        <f t="array" ref="B33">INDEX(Sheet1!B:B,$F33)</f>
        <v>Super-Pref NS</v>
      </c>
      <c r="C33" s="4">
        <f t="shared" si="2"/>
        <v>31</v>
      </c>
      <c r="D33" s="5" cm="1">
        <f t="array" aca="1" ref="D33" ca="1">OFFSET(INDIRECT("'["&amp;$H33&amp;"]"&amp;$I33&amp;"'!"&amp;$J33),$L33,$M33)*$K33</f>
        <v>5.8E-4</v>
      </c>
      <c r="F33" s="4">
        <f t="shared" si="3"/>
        <v>2</v>
      </c>
      <c r="G33" s="4" cm="1">
        <f t="array" ref="G33">IF($C33&gt;=25,F33,IF($C33&lt;16,INDEX(Sheet1!C:C,$F33),$F33))</f>
        <v>2</v>
      </c>
      <c r="H33" s="4" t="str" cm="1">
        <f t="array" ref="H33">INDEX(Sheet1!D:D,$G33)</f>
        <v>2001-cso-preferred-class-structure-mortality-tables.xls</v>
      </c>
      <c r="I33" s="4" t="str" cm="1">
        <f t="array" ref="I33">INDEX(Sheet1!E:E,$G33)</f>
        <v>A.1.a.i</v>
      </c>
      <c r="J33" s="4" t="str" cm="1">
        <f t="array" ref="J33">IF($C33&gt;=25,INDEX(Sheet1!G:G,$G33),INDEX(Sheet1!F:F,$G33))</f>
        <v>AA8</v>
      </c>
      <c r="K33" s="4" cm="1">
        <f t="array" ref="K33">INDEX(Sheet1!H:H,$G33)</f>
        <v>1E-3</v>
      </c>
      <c r="L33" s="4">
        <f t="shared" si="0"/>
        <v>6</v>
      </c>
      <c r="M33" s="4">
        <f t="shared" si="1"/>
        <v>0</v>
      </c>
    </row>
    <row r="34" spans="1:13">
      <c r="A34" s="4" t="str" cm="1">
        <f t="array" ref="A34">INDEX(Sheet1!A:A,$F34)</f>
        <v>M</v>
      </c>
      <c r="B34" s="4" t="str" cm="1">
        <f t="array" ref="B34">INDEX(Sheet1!B:B,$F34)</f>
        <v>Super-Pref NS</v>
      </c>
      <c r="C34" s="4">
        <f t="shared" si="2"/>
        <v>32</v>
      </c>
      <c r="D34" s="5" cm="1">
        <f t="array" aca="1" ref="D34" ca="1">OFFSET(INDIRECT("'["&amp;$H34&amp;"]"&amp;$I34&amp;"'!"&amp;$J34),$L34,$M34)*$K34</f>
        <v>5.9000000000000003E-4</v>
      </c>
      <c r="F34" s="4">
        <f t="shared" si="3"/>
        <v>2</v>
      </c>
      <c r="G34" s="4" cm="1">
        <f t="array" ref="G34">IF($C34&gt;=25,F34,IF($C34&lt;16,INDEX(Sheet1!C:C,$F34),$F34))</f>
        <v>2</v>
      </c>
      <c r="H34" s="4" t="str" cm="1">
        <f t="array" ref="H34">INDEX(Sheet1!D:D,$G34)</f>
        <v>2001-cso-preferred-class-structure-mortality-tables.xls</v>
      </c>
      <c r="I34" s="4" t="str" cm="1">
        <f t="array" ref="I34">INDEX(Sheet1!E:E,$G34)</f>
        <v>A.1.a.i</v>
      </c>
      <c r="J34" s="4" t="str" cm="1">
        <f t="array" ref="J34">IF($C34&gt;=25,INDEX(Sheet1!G:G,$G34),INDEX(Sheet1!F:F,$G34))</f>
        <v>AA8</v>
      </c>
      <c r="K34" s="4" cm="1">
        <f t="array" ref="K34">INDEX(Sheet1!H:H,$G34)</f>
        <v>1E-3</v>
      </c>
      <c r="L34" s="4">
        <f t="shared" si="0"/>
        <v>7</v>
      </c>
      <c r="M34" s="4">
        <f t="shared" si="1"/>
        <v>0</v>
      </c>
    </row>
    <row r="35" spans="1:13">
      <c r="A35" s="4" t="str" cm="1">
        <f t="array" ref="A35">INDEX(Sheet1!A:A,$F35)</f>
        <v>M</v>
      </c>
      <c r="B35" s="4" t="str" cm="1">
        <f t="array" ref="B35">INDEX(Sheet1!B:B,$F35)</f>
        <v>Super-Pref NS</v>
      </c>
      <c r="C35" s="4">
        <f t="shared" si="2"/>
        <v>33</v>
      </c>
      <c r="D35" s="5" cm="1">
        <f t="array" aca="1" ref="D35" ca="1">OFFSET(INDIRECT("'["&amp;$H35&amp;"]"&amp;$I35&amp;"'!"&amp;$J35),$L35,$M35)*$K35</f>
        <v>5.9999999999999995E-4</v>
      </c>
      <c r="F35" s="4">
        <f t="shared" si="3"/>
        <v>2</v>
      </c>
      <c r="G35" s="4" cm="1">
        <f t="array" ref="G35">IF($C35&gt;=25,F35,IF($C35&lt;16,INDEX(Sheet1!C:C,$F35),$F35))</f>
        <v>2</v>
      </c>
      <c r="H35" s="4" t="str" cm="1">
        <f t="array" ref="H35">INDEX(Sheet1!D:D,$G35)</f>
        <v>2001-cso-preferred-class-structure-mortality-tables.xls</v>
      </c>
      <c r="I35" s="4" t="str" cm="1">
        <f t="array" ref="I35">INDEX(Sheet1!E:E,$G35)</f>
        <v>A.1.a.i</v>
      </c>
      <c r="J35" s="4" t="str" cm="1">
        <f t="array" ref="J35">IF($C35&gt;=25,INDEX(Sheet1!G:G,$G35),INDEX(Sheet1!F:F,$G35))</f>
        <v>AA8</v>
      </c>
      <c r="K35" s="4" cm="1">
        <f t="array" ref="K35">INDEX(Sheet1!H:H,$G35)</f>
        <v>1E-3</v>
      </c>
      <c r="L35" s="4">
        <f t="shared" si="0"/>
        <v>8</v>
      </c>
      <c r="M35" s="4">
        <f t="shared" si="1"/>
        <v>0</v>
      </c>
    </row>
    <row r="36" spans="1:13">
      <c r="A36" s="4" t="str" cm="1">
        <f t="array" ref="A36">INDEX(Sheet1!A:A,$F36)</f>
        <v>M</v>
      </c>
      <c r="B36" s="4" t="str" cm="1">
        <f t="array" ref="B36">INDEX(Sheet1!B:B,$F36)</f>
        <v>Super-Pref NS</v>
      </c>
      <c r="C36" s="4">
        <f t="shared" si="2"/>
        <v>34</v>
      </c>
      <c r="D36" s="5" cm="1">
        <f t="array" aca="1" ref="D36" ca="1">OFFSET(INDIRECT("'["&amp;$H36&amp;"]"&amp;$I36&amp;"'!"&amp;$J36),$L36,$M36)*$K36</f>
        <v>6.2E-4</v>
      </c>
      <c r="F36" s="4">
        <f t="shared" si="3"/>
        <v>2</v>
      </c>
      <c r="G36" s="4" cm="1">
        <f t="array" ref="G36">IF($C36&gt;=25,F36,IF($C36&lt;16,INDEX(Sheet1!C:C,$F36),$F36))</f>
        <v>2</v>
      </c>
      <c r="H36" s="4" t="str" cm="1">
        <f t="array" ref="H36">INDEX(Sheet1!D:D,$G36)</f>
        <v>2001-cso-preferred-class-structure-mortality-tables.xls</v>
      </c>
      <c r="I36" s="4" t="str" cm="1">
        <f t="array" ref="I36">INDEX(Sheet1!E:E,$G36)</f>
        <v>A.1.a.i</v>
      </c>
      <c r="J36" s="4" t="str" cm="1">
        <f t="array" ref="J36">IF($C36&gt;=25,INDEX(Sheet1!G:G,$G36),INDEX(Sheet1!F:F,$G36))</f>
        <v>AA8</v>
      </c>
      <c r="K36" s="4" cm="1">
        <f t="array" ref="K36">INDEX(Sheet1!H:H,$G36)</f>
        <v>1E-3</v>
      </c>
      <c r="L36" s="4">
        <f t="shared" si="0"/>
        <v>9</v>
      </c>
      <c r="M36" s="4">
        <f t="shared" si="1"/>
        <v>0</v>
      </c>
    </row>
    <row r="37" spans="1:13">
      <c r="A37" s="4" t="str" cm="1">
        <f t="array" ref="A37">INDEX(Sheet1!A:A,$F37)</f>
        <v>M</v>
      </c>
      <c r="B37" s="4" t="str" cm="1">
        <f t="array" ref="B37">INDEX(Sheet1!B:B,$F37)</f>
        <v>Super-Pref NS</v>
      </c>
      <c r="C37" s="4">
        <f t="shared" si="2"/>
        <v>35</v>
      </c>
      <c r="D37" s="5" cm="1">
        <f t="array" aca="1" ref="D37" ca="1">OFFSET(INDIRECT("'["&amp;$H37&amp;"]"&amp;$I37&amp;"'!"&amp;$J37),$L37,$M37)*$K37</f>
        <v>6.5000000000000008E-4</v>
      </c>
      <c r="F37" s="4">
        <f t="shared" si="3"/>
        <v>2</v>
      </c>
      <c r="G37" s="4" cm="1">
        <f t="array" ref="G37">IF($C37&gt;=25,F37,IF($C37&lt;16,INDEX(Sheet1!C:C,$F37),$F37))</f>
        <v>2</v>
      </c>
      <c r="H37" s="4" t="str" cm="1">
        <f t="array" ref="H37">INDEX(Sheet1!D:D,$G37)</f>
        <v>2001-cso-preferred-class-structure-mortality-tables.xls</v>
      </c>
      <c r="I37" s="4" t="str" cm="1">
        <f t="array" ref="I37">INDEX(Sheet1!E:E,$G37)</f>
        <v>A.1.a.i</v>
      </c>
      <c r="J37" s="4" t="str" cm="1">
        <f t="array" ref="J37">IF($C37&gt;=25,INDEX(Sheet1!G:G,$G37),INDEX(Sheet1!F:F,$G37))</f>
        <v>AA8</v>
      </c>
      <c r="K37" s="4" cm="1">
        <f t="array" ref="K37">INDEX(Sheet1!H:H,$G37)</f>
        <v>1E-3</v>
      </c>
      <c r="L37" s="4">
        <f t="shared" si="0"/>
        <v>10</v>
      </c>
      <c r="M37" s="4">
        <f t="shared" si="1"/>
        <v>0</v>
      </c>
    </row>
    <row r="38" spans="1:13">
      <c r="A38" s="4" t="str" cm="1">
        <f t="array" ref="A38">INDEX(Sheet1!A:A,$F38)</f>
        <v>M</v>
      </c>
      <c r="B38" s="4" t="str" cm="1">
        <f t="array" ref="B38">INDEX(Sheet1!B:B,$F38)</f>
        <v>Super-Pref NS</v>
      </c>
      <c r="C38" s="4">
        <f t="shared" si="2"/>
        <v>36</v>
      </c>
      <c r="D38" s="5" cm="1">
        <f t="array" aca="1" ref="D38" ca="1">OFFSET(INDIRECT("'["&amp;$H38&amp;"]"&amp;$I38&amp;"'!"&amp;$J38),$L38,$M38)*$K38</f>
        <v>6.8000000000000005E-4</v>
      </c>
      <c r="F38" s="4">
        <f t="shared" si="3"/>
        <v>2</v>
      </c>
      <c r="G38" s="4" cm="1">
        <f t="array" ref="G38">IF($C38&gt;=25,F38,IF($C38&lt;16,INDEX(Sheet1!C:C,$F38),$F38))</f>
        <v>2</v>
      </c>
      <c r="H38" s="4" t="str" cm="1">
        <f t="array" ref="H38">INDEX(Sheet1!D:D,$G38)</f>
        <v>2001-cso-preferred-class-structure-mortality-tables.xls</v>
      </c>
      <c r="I38" s="4" t="str" cm="1">
        <f t="array" ref="I38">INDEX(Sheet1!E:E,$G38)</f>
        <v>A.1.a.i</v>
      </c>
      <c r="J38" s="4" t="str" cm="1">
        <f t="array" ref="J38">IF($C38&gt;=25,INDEX(Sheet1!G:G,$G38),INDEX(Sheet1!F:F,$G38))</f>
        <v>AA8</v>
      </c>
      <c r="K38" s="4" cm="1">
        <f t="array" ref="K38">INDEX(Sheet1!H:H,$G38)</f>
        <v>1E-3</v>
      </c>
      <c r="L38" s="4">
        <f t="shared" si="0"/>
        <v>11</v>
      </c>
      <c r="M38" s="4">
        <f t="shared" si="1"/>
        <v>0</v>
      </c>
    </row>
    <row r="39" spans="1:13">
      <c r="A39" s="4" t="str" cm="1">
        <f t="array" ref="A39">INDEX(Sheet1!A:A,$F39)</f>
        <v>M</v>
      </c>
      <c r="B39" s="4" t="str" cm="1">
        <f t="array" ref="B39">INDEX(Sheet1!B:B,$F39)</f>
        <v>Super-Pref NS</v>
      </c>
      <c r="C39" s="4">
        <f t="shared" si="2"/>
        <v>37</v>
      </c>
      <c r="D39" s="5" cm="1">
        <f t="array" aca="1" ref="D39" ca="1">OFFSET(INDIRECT("'["&amp;$H39&amp;"]"&amp;$I39&amp;"'!"&amp;$J39),$L39,$M39)*$K39</f>
        <v>7.1000000000000002E-4</v>
      </c>
      <c r="F39" s="4">
        <f t="shared" si="3"/>
        <v>2</v>
      </c>
      <c r="G39" s="4" cm="1">
        <f t="array" ref="G39">IF($C39&gt;=25,F39,IF($C39&lt;16,INDEX(Sheet1!C:C,$F39),$F39))</f>
        <v>2</v>
      </c>
      <c r="H39" s="4" t="str" cm="1">
        <f t="array" ref="H39">INDEX(Sheet1!D:D,$G39)</f>
        <v>2001-cso-preferred-class-structure-mortality-tables.xls</v>
      </c>
      <c r="I39" s="4" t="str" cm="1">
        <f t="array" ref="I39">INDEX(Sheet1!E:E,$G39)</f>
        <v>A.1.a.i</v>
      </c>
      <c r="J39" s="4" t="str" cm="1">
        <f t="array" ref="J39">IF($C39&gt;=25,INDEX(Sheet1!G:G,$G39),INDEX(Sheet1!F:F,$G39))</f>
        <v>AA8</v>
      </c>
      <c r="K39" s="4" cm="1">
        <f t="array" ref="K39">INDEX(Sheet1!H:H,$G39)</f>
        <v>1E-3</v>
      </c>
      <c r="L39" s="4">
        <f t="shared" si="0"/>
        <v>12</v>
      </c>
      <c r="M39" s="4">
        <f t="shared" si="1"/>
        <v>0</v>
      </c>
    </row>
    <row r="40" spans="1:13">
      <c r="A40" s="4" t="str" cm="1">
        <f t="array" ref="A40">INDEX(Sheet1!A:A,$F40)</f>
        <v>M</v>
      </c>
      <c r="B40" s="4" t="str" cm="1">
        <f t="array" ref="B40">INDEX(Sheet1!B:B,$F40)</f>
        <v>Super-Pref NS</v>
      </c>
      <c r="C40" s="4">
        <f t="shared" si="2"/>
        <v>38</v>
      </c>
      <c r="D40" s="5" cm="1">
        <f t="array" aca="1" ref="D40" ca="1">OFFSET(INDIRECT("'["&amp;$H40&amp;"]"&amp;$I40&amp;"'!"&amp;$J40),$L40,$M40)*$K40</f>
        <v>7.6000000000000004E-4</v>
      </c>
      <c r="F40" s="4">
        <f t="shared" si="3"/>
        <v>2</v>
      </c>
      <c r="G40" s="4" cm="1">
        <f t="array" ref="G40">IF($C40&gt;=25,F40,IF($C40&lt;16,INDEX(Sheet1!C:C,$F40),$F40))</f>
        <v>2</v>
      </c>
      <c r="H40" s="4" t="str" cm="1">
        <f t="array" ref="H40">INDEX(Sheet1!D:D,$G40)</f>
        <v>2001-cso-preferred-class-structure-mortality-tables.xls</v>
      </c>
      <c r="I40" s="4" t="str" cm="1">
        <f t="array" ref="I40">INDEX(Sheet1!E:E,$G40)</f>
        <v>A.1.a.i</v>
      </c>
      <c r="J40" s="4" t="str" cm="1">
        <f t="array" ref="J40">IF($C40&gt;=25,INDEX(Sheet1!G:G,$G40),INDEX(Sheet1!F:F,$G40))</f>
        <v>AA8</v>
      </c>
      <c r="K40" s="4" cm="1">
        <f t="array" ref="K40">INDEX(Sheet1!H:H,$G40)</f>
        <v>1E-3</v>
      </c>
      <c r="L40" s="4">
        <f t="shared" si="0"/>
        <v>13</v>
      </c>
      <c r="M40" s="4">
        <f t="shared" si="1"/>
        <v>0</v>
      </c>
    </row>
    <row r="41" spans="1:13">
      <c r="A41" s="4" t="str" cm="1">
        <f t="array" ref="A41">INDEX(Sheet1!A:A,$F41)</f>
        <v>M</v>
      </c>
      <c r="B41" s="4" t="str" cm="1">
        <f t="array" ref="B41">INDEX(Sheet1!B:B,$F41)</f>
        <v>Super-Pref NS</v>
      </c>
      <c r="C41" s="4">
        <f t="shared" si="2"/>
        <v>39</v>
      </c>
      <c r="D41" s="5" cm="1">
        <f t="array" aca="1" ref="D41" ca="1">OFFSET(INDIRECT("'["&amp;$H41&amp;"]"&amp;$I41&amp;"'!"&amp;$J41),$L41,$M41)*$K41</f>
        <v>8.1000000000000006E-4</v>
      </c>
      <c r="F41" s="4">
        <f t="shared" si="3"/>
        <v>2</v>
      </c>
      <c r="G41" s="4" cm="1">
        <f t="array" ref="G41">IF($C41&gt;=25,F41,IF($C41&lt;16,INDEX(Sheet1!C:C,$F41),$F41))</f>
        <v>2</v>
      </c>
      <c r="H41" s="4" t="str" cm="1">
        <f t="array" ref="H41">INDEX(Sheet1!D:D,$G41)</f>
        <v>2001-cso-preferred-class-structure-mortality-tables.xls</v>
      </c>
      <c r="I41" s="4" t="str" cm="1">
        <f t="array" ref="I41">INDEX(Sheet1!E:E,$G41)</f>
        <v>A.1.a.i</v>
      </c>
      <c r="J41" s="4" t="str" cm="1">
        <f t="array" ref="J41">IF($C41&gt;=25,INDEX(Sheet1!G:G,$G41),INDEX(Sheet1!F:F,$G41))</f>
        <v>AA8</v>
      </c>
      <c r="K41" s="4" cm="1">
        <f t="array" ref="K41">INDEX(Sheet1!H:H,$G41)</f>
        <v>1E-3</v>
      </c>
      <c r="L41" s="4">
        <f t="shared" si="0"/>
        <v>14</v>
      </c>
      <c r="M41" s="4">
        <f t="shared" si="1"/>
        <v>0</v>
      </c>
    </row>
    <row r="42" spans="1:13">
      <c r="A42" s="4" t="str" cm="1">
        <f t="array" ref="A42">INDEX(Sheet1!A:A,$F42)</f>
        <v>M</v>
      </c>
      <c r="B42" s="4" t="str" cm="1">
        <f t="array" ref="B42">INDEX(Sheet1!B:B,$F42)</f>
        <v>Super-Pref NS</v>
      </c>
      <c r="C42" s="4">
        <f t="shared" si="2"/>
        <v>40</v>
      </c>
      <c r="D42" s="5" cm="1">
        <f t="array" aca="1" ref="D42" ca="1">OFFSET(INDIRECT("'["&amp;$H42&amp;"]"&amp;$I42&amp;"'!"&amp;$J42),$L42,$M42)*$K42</f>
        <v>8.5999999999999998E-4</v>
      </c>
      <c r="F42" s="4">
        <f t="shared" si="3"/>
        <v>2</v>
      </c>
      <c r="G42" s="4" cm="1">
        <f t="array" ref="G42">IF($C42&gt;=25,F42,IF($C42&lt;16,INDEX(Sheet1!C:C,$F42),$F42))</f>
        <v>2</v>
      </c>
      <c r="H42" s="4" t="str" cm="1">
        <f t="array" ref="H42">INDEX(Sheet1!D:D,$G42)</f>
        <v>2001-cso-preferred-class-structure-mortality-tables.xls</v>
      </c>
      <c r="I42" s="4" t="str" cm="1">
        <f t="array" ref="I42">INDEX(Sheet1!E:E,$G42)</f>
        <v>A.1.a.i</v>
      </c>
      <c r="J42" s="4" t="str" cm="1">
        <f t="array" ref="J42">IF($C42&gt;=25,INDEX(Sheet1!G:G,$G42),INDEX(Sheet1!F:F,$G42))</f>
        <v>AA8</v>
      </c>
      <c r="K42" s="4" cm="1">
        <f t="array" ref="K42">INDEX(Sheet1!H:H,$G42)</f>
        <v>1E-3</v>
      </c>
      <c r="L42" s="4">
        <f t="shared" si="0"/>
        <v>15</v>
      </c>
      <c r="M42" s="4">
        <f t="shared" si="1"/>
        <v>0</v>
      </c>
    </row>
    <row r="43" spans="1:13">
      <c r="A43" s="4" t="str" cm="1">
        <f t="array" ref="A43">INDEX(Sheet1!A:A,$F43)</f>
        <v>M</v>
      </c>
      <c r="B43" s="4" t="str" cm="1">
        <f t="array" ref="B43">INDEX(Sheet1!B:B,$F43)</f>
        <v>Super-Pref NS</v>
      </c>
      <c r="C43" s="4">
        <f t="shared" si="2"/>
        <v>41</v>
      </c>
      <c r="D43" s="5" cm="1">
        <f t="array" aca="1" ref="D43" ca="1">OFFSET(INDIRECT("'["&amp;$H43&amp;"]"&amp;$I43&amp;"'!"&amp;$J43),$L43,$M43)*$K43</f>
        <v>9.3000000000000005E-4</v>
      </c>
      <c r="F43" s="4">
        <f t="shared" si="3"/>
        <v>2</v>
      </c>
      <c r="G43" s="4" cm="1">
        <f t="array" ref="G43">IF($C43&gt;=25,F43,IF($C43&lt;16,INDEX(Sheet1!C:C,$F43),$F43))</f>
        <v>2</v>
      </c>
      <c r="H43" s="4" t="str" cm="1">
        <f t="array" ref="H43">INDEX(Sheet1!D:D,$G43)</f>
        <v>2001-cso-preferred-class-structure-mortality-tables.xls</v>
      </c>
      <c r="I43" s="4" t="str" cm="1">
        <f t="array" ref="I43">INDEX(Sheet1!E:E,$G43)</f>
        <v>A.1.a.i</v>
      </c>
      <c r="J43" s="4" t="str" cm="1">
        <f t="array" ref="J43">IF($C43&gt;=25,INDEX(Sheet1!G:G,$G43),INDEX(Sheet1!F:F,$G43))</f>
        <v>AA8</v>
      </c>
      <c r="K43" s="4" cm="1">
        <f t="array" ref="K43">INDEX(Sheet1!H:H,$G43)</f>
        <v>1E-3</v>
      </c>
      <c r="L43" s="4">
        <f t="shared" si="0"/>
        <v>16</v>
      </c>
      <c r="M43" s="4">
        <f t="shared" si="1"/>
        <v>0</v>
      </c>
    </row>
    <row r="44" spans="1:13">
      <c r="A44" s="4" t="str" cm="1">
        <f t="array" ref="A44">INDEX(Sheet1!A:A,$F44)</f>
        <v>M</v>
      </c>
      <c r="B44" s="4" t="str" cm="1">
        <f t="array" ref="B44">INDEX(Sheet1!B:B,$F44)</f>
        <v>Super-Pref NS</v>
      </c>
      <c r="C44" s="4">
        <f t="shared" si="2"/>
        <v>42</v>
      </c>
      <c r="D44" s="5" cm="1">
        <f t="array" aca="1" ref="D44" ca="1">OFFSET(INDIRECT("'["&amp;$H44&amp;"]"&amp;$I44&amp;"'!"&amp;$J44),$L44,$M44)*$K44</f>
        <v>1.0200000000000001E-3</v>
      </c>
      <c r="F44" s="4">
        <f t="shared" si="3"/>
        <v>2</v>
      </c>
      <c r="G44" s="4" cm="1">
        <f t="array" ref="G44">IF($C44&gt;=25,F44,IF($C44&lt;16,INDEX(Sheet1!C:C,$F44),$F44))</f>
        <v>2</v>
      </c>
      <c r="H44" s="4" t="str" cm="1">
        <f t="array" ref="H44">INDEX(Sheet1!D:D,$G44)</f>
        <v>2001-cso-preferred-class-structure-mortality-tables.xls</v>
      </c>
      <c r="I44" s="4" t="str" cm="1">
        <f t="array" ref="I44">INDEX(Sheet1!E:E,$G44)</f>
        <v>A.1.a.i</v>
      </c>
      <c r="J44" s="4" t="str" cm="1">
        <f t="array" ref="J44">IF($C44&gt;=25,INDEX(Sheet1!G:G,$G44),INDEX(Sheet1!F:F,$G44))</f>
        <v>AA8</v>
      </c>
      <c r="K44" s="4" cm="1">
        <f t="array" ref="K44">INDEX(Sheet1!H:H,$G44)</f>
        <v>1E-3</v>
      </c>
      <c r="L44" s="4">
        <f t="shared" si="0"/>
        <v>17</v>
      </c>
      <c r="M44" s="4">
        <f t="shared" si="1"/>
        <v>0</v>
      </c>
    </row>
    <row r="45" spans="1:13">
      <c r="A45" s="4" t="str" cm="1">
        <f t="array" ref="A45">INDEX(Sheet1!A:A,$F45)</f>
        <v>M</v>
      </c>
      <c r="B45" s="4" t="str" cm="1">
        <f t="array" ref="B45">INDEX(Sheet1!B:B,$F45)</f>
        <v>Super-Pref NS</v>
      </c>
      <c r="C45" s="4">
        <f t="shared" si="2"/>
        <v>43</v>
      </c>
      <c r="D45" s="5" cm="1">
        <f t="array" aca="1" ref="D45" ca="1">OFFSET(INDIRECT("'["&amp;$H45&amp;"]"&amp;$I45&amp;"'!"&amp;$J45),$L45,$M45)*$K45</f>
        <v>1.1100000000000001E-3</v>
      </c>
      <c r="F45" s="4">
        <f t="shared" si="3"/>
        <v>2</v>
      </c>
      <c r="G45" s="4" cm="1">
        <f t="array" ref="G45">IF($C45&gt;=25,F45,IF($C45&lt;16,INDEX(Sheet1!C:C,$F45),$F45))</f>
        <v>2</v>
      </c>
      <c r="H45" s="4" t="str" cm="1">
        <f t="array" ref="H45">INDEX(Sheet1!D:D,$G45)</f>
        <v>2001-cso-preferred-class-structure-mortality-tables.xls</v>
      </c>
      <c r="I45" s="4" t="str" cm="1">
        <f t="array" ref="I45">INDEX(Sheet1!E:E,$G45)</f>
        <v>A.1.a.i</v>
      </c>
      <c r="J45" s="4" t="str" cm="1">
        <f t="array" ref="J45">IF($C45&gt;=25,INDEX(Sheet1!G:G,$G45),INDEX(Sheet1!F:F,$G45))</f>
        <v>AA8</v>
      </c>
      <c r="K45" s="4" cm="1">
        <f t="array" ref="K45">INDEX(Sheet1!H:H,$G45)</f>
        <v>1E-3</v>
      </c>
      <c r="L45" s="4">
        <f t="shared" si="0"/>
        <v>18</v>
      </c>
      <c r="M45" s="4">
        <f t="shared" si="1"/>
        <v>0</v>
      </c>
    </row>
    <row r="46" spans="1:13">
      <c r="A46" s="4" t="str" cm="1">
        <f t="array" ref="A46">INDEX(Sheet1!A:A,$F46)</f>
        <v>M</v>
      </c>
      <c r="B46" s="4" t="str" cm="1">
        <f t="array" ref="B46">INDEX(Sheet1!B:B,$F46)</f>
        <v>Super-Pref NS</v>
      </c>
      <c r="C46" s="4">
        <f t="shared" si="2"/>
        <v>44</v>
      </c>
      <c r="D46" s="5" cm="1">
        <f t="array" aca="1" ref="D46" ca="1">OFFSET(INDIRECT("'["&amp;$H46&amp;"]"&amp;$I46&amp;"'!"&amp;$J46),$L46,$M46)*$K46</f>
        <v>1.2199999999999999E-3</v>
      </c>
      <c r="F46" s="4">
        <f t="shared" si="3"/>
        <v>2</v>
      </c>
      <c r="G46" s="4" cm="1">
        <f t="array" ref="G46">IF($C46&gt;=25,F46,IF($C46&lt;16,INDEX(Sheet1!C:C,$F46),$F46))</f>
        <v>2</v>
      </c>
      <c r="H46" s="4" t="str" cm="1">
        <f t="array" ref="H46">INDEX(Sheet1!D:D,$G46)</f>
        <v>2001-cso-preferred-class-structure-mortality-tables.xls</v>
      </c>
      <c r="I46" s="4" t="str" cm="1">
        <f t="array" ref="I46">INDEX(Sheet1!E:E,$G46)</f>
        <v>A.1.a.i</v>
      </c>
      <c r="J46" s="4" t="str" cm="1">
        <f t="array" ref="J46">IF($C46&gt;=25,INDEX(Sheet1!G:G,$G46),INDEX(Sheet1!F:F,$G46))</f>
        <v>AA8</v>
      </c>
      <c r="K46" s="4" cm="1">
        <f t="array" ref="K46">INDEX(Sheet1!H:H,$G46)</f>
        <v>1E-3</v>
      </c>
      <c r="L46" s="4">
        <f t="shared" si="0"/>
        <v>19</v>
      </c>
      <c r="M46" s="4">
        <f t="shared" si="1"/>
        <v>0</v>
      </c>
    </row>
    <row r="47" spans="1:13">
      <c r="A47" s="4" t="str" cm="1">
        <f t="array" ref="A47">INDEX(Sheet1!A:A,$F47)</f>
        <v>M</v>
      </c>
      <c r="B47" s="4" t="str" cm="1">
        <f t="array" ref="B47">INDEX(Sheet1!B:B,$F47)</f>
        <v>Super-Pref NS</v>
      </c>
      <c r="C47" s="4">
        <f t="shared" si="2"/>
        <v>45</v>
      </c>
      <c r="D47" s="5" cm="1">
        <f t="array" aca="1" ref="D47" ca="1">OFFSET(INDIRECT("'["&amp;$H47&amp;"]"&amp;$I47&amp;"'!"&amp;$J47),$L47,$M47)*$K47</f>
        <v>1.3500000000000001E-3</v>
      </c>
      <c r="F47" s="4">
        <f t="shared" si="3"/>
        <v>2</v>
      </c>
      <c r="G47" s="4" cm="1">
        <f t="array" ref="G47">IF($C47&gt;=25,F47,IF($C47&lt;16,INDEX(Sheet1!C:C,$F47),$F47))</f>
        <v>2</v>
      </c>
      <c r="H47" s="4" t="str" cm="1">
        <f t="array" ref="H47">INDEX(Sheet1!D:D,$G47)</f>
        <v>2001-cso-preferred-class-structure-mortality-tables.xls</v>
      </c>
      <c r="I47" s="4" t="str" cm="1">
        <f t="array" ref="I47">INDEX(Sheet1!E:E,$G47)</f>
        <v>A.1.a.i</v>
      </c>
      <c r="J47" s="4" t="str" cm="1">
        <f t="array" ref="J47">IF($C47&gt;=25,INDEX(Sheet1!G:G,$G47),INDEX(Sheet1!F:F,$G47))</f>
        <v>AA8</v>
      </c>
      <c r="K47" s="4" cm="1">
        <f t="array" ref="K47">INDEX(Sheet1!H:H,$G47)</f>
        <v>1E-3</v>
      </c>
      <c r="L47" s="4">
        <f t="shared" si="0"/>
        <v>20</v>
      </c>
      <c r="M47" s="4">
        <f t="shared" si="1"/>
        <v>0</v>
      </c>
    </row>
    <row r="48" spans="1:13">
      <c r="A48" s="4" t="str" cm="1">
        <f t="array" ref="A48">INDEX(Sheet1!A:A,$F48)</f>
        <v>M</v>
      </c>
      <c r="B48" s="4" t="str" cm="1">
        <f t="array" ref="B48">INDEX(Sheet1!B:B,$F48)</f>
        <v>Super-Pref NS</v>
      </c>
      <c r="C48" s="4">
        <f t="shared" si="2"/>
        <v>46</v>
      </c>
      <c r="D48" s="5" cm="1">
        <f t="array" aca="1" ref="D48" ca="1">OFFSET(INDIRECT("'["&amp;$H48&amp;"]"&amp;$I48&amp;"'!"&amp;$J48),$L48,$M48)*$K48</f>
        <v>1.4599999999999999E-3</v>
      </c>
      <c r="F48" s="4">
        <f t="shared" si="3"/>
        <v>2</v>
      </c>
      <c r="G48" s="4" cm="1">
        <f t="array" ref="G48">IF($C48&gt;=25,F48,IF($C48&lt;16,INDEX(Sheet1!C:C,$F48),$F48))</f>
        <v>2</v>
      </c>
      <c r="H48" s="4" t="str" cm="1">
        <f t="array" ref="H48">INDEX(Sheet1!D:D,$G48)</f>
        <v>2001-cso-preferred-class-structure-mortality-tables.xls</v>
      </c>
      <c r="I48" s="4" t="str" cm="1">
        <f t="array" ref="I48">INDEX(Sheet1!E:E,$G48)</f>
        <v>A.1.a.i</v>
      </c>
      <c r="J48" s="4" t="str" cm="1">
        <f t="array" ref="J48">IF($C48&gt;=25,INDEX(Sheet1!G:G,$G48),INDEX(Sheet1!F:F,$G48))</f>
        <v>AA8</v>
      </c>
      <c r="K48" s="4" cm="1">
        <f t="array" ref="K48">INDEX(Sheet1!H:H,$G48)</f>
        <v>1E-3</v>
      </c>
      <c r="L48" s="4">
        <f t="shared" si="0"/>
        <v>21</v>
      </c>
      <c r="M48" s="4">
        <f t="shared" si="1"/>
        <v>0</v>
      </c>
    </row>
    <row r="49" spans="1:13">
      <c r="A49" s="4" t="str" cm="1">
        <f t="array" ref="A49">INDEX(Sheet1!A:A,$F49)</f>
        <v>M</v>
      </c>
      <c r="B49" s="4" t="str" cm="1">
        <f t="array" ref="B49">INDEX(Sheet1!B:B,$F49)</f>
        <v>Super-Pref NS</v>
      </c>
      <c r="C49" s="4">
        <f t="shared" si="2"/>
        <v>47</v>
      </c>
      <c r="D49" s="5" cm="1">
        <f t="array" aca="1" ref="D49" ca="1">OFFSET(INDIRECT("'["&amp;$H49&amp;"]"&amp;$I49&amp;"'!"&amp;$J49),$L49,$M49)*$K49</f>
        <v>1.6000000000000001E-3</v>
      </c>
      <c r="F49" s="4">
        <f t="shared" si="3"/>
        <v>2</v>
      </c>
      <c r="G49" s="4" cm="1">
        <f t="array" ref="G49">IF($C49&gt;=25,F49,IF($C49&lt;16,INDEX(Sheet1!C:C,$F49),$F49))</f>
        <v>2</v>
      </c>
      <c r="H49" s="4" t="str" cm="1">
        <f t="array" ref="H49">INDEX(Sheet1!D:D,$G49)</f>
        <v>2001-cso-preferred-class-structure-mortality-tables.xls</v>
      </c>
      <c r="I49" s="4" t="str" cm="1">
        <f t="array" ref="I49">INDEX(Sheet1!E:E,$G49)</f>
        <v>A.1.a.i</v>
      </c>
      <c r="J49" s="4" t="str" cm="1">
        <f t="array" ref="J49">IF($C49&gt;=25,INDEX(Sheet1!G:G,$G49),INDEX(Sheet1!F:F,$G49))</f>
        <v>AA8</v>
      </c>
      <c r="K49" s="4" cm="1">
        <f t="array" ref="K49">INDEX(Sheet1!H:H,$G49)</f>
        <v>1E-3</v>
      </c>
      <c r="L49" s="4">
        <f t="shared" si="0"/>
        <v>22</v>
      </c>
      <c r="M49" s="4">
        <f t="shared" si="1"/>
        <v>0</v>
      </c>
    </row>
    <row r="50" spans="1:13">
      <c r="A50" s="4" t="str" cm="1">
        <f t="array" ref="A50">INDEX(Sheet1!A:A,$F50)</f>
        <v>M</v>
      </c>
      <c r="B50" s="4" t="str" cm="1">
        <f t="array" ref="B50">INDEX(Sheet1!B:B,$F50)</f>
        <v>Super-Pref NS</v>
      </c>
      <c r="C50" s="4">
        <f t="shared" si="2"/>
        <v>48</v>
      </c>
      <c r="D50" s="5" cm="1">
        <f t="array" aca="1" ref="D50" ca="1">OFFSET(INDIRECT("'["&amp;$H50&amp;"]"&amp;$I50&amp;"'!"&amp;$J50),$L50,$M50)*$K50</f>
        <v>1.6800000000000001E-3</v>
      </c>
      <c r="F50" s="4">
        <f t="shared" si="3"/>
        <v>2</v>
      </c>
      <c r="G50" s="4" cm="1">
        <f t="array" ref="G50">IF($C50&gt;=25,F50,IF($C50&lt;16,INDEX(Sheet1!C:C,$F50),$F50))</f>
        <v>2</v>
      </c>
      <c r="H50" s="4" t="str" cm="1">
        <f t="array" ref="H50">INDEX(Sheet1!D:D,$G50)</f>
        <v>2001-cso-preferred-class-structure-mortality-tables.xls</v>
      </c>
      <c r="I50" s="4" t="str" cm="1">
        <f t="array" ref="I50">INDEX(Sheet1!E:E,$G50)</f>
        <v>A.1.a.i</v>
      </c>
      <c r="J50" s="4" t="str" cm="1">
        <f t="array" ref="J50">IF($C50&gt;=25,INDEX(Sheet1!G:G,$G50),INDEX(Sheet1!F:F,$G50))</f>
        <v>AA8</v>
      </c>
      <c r="K50" s="4" cm="1">
        <f t="array" ref="K50">INDEX(Sheet1!H:H,$G50)</f>
        <v>1E-3</v>
      </c>
      <c r="L50" s="4">
        <f t="shared" si="0"/>
        <v>23</v>
      </c>
      <c r="M50" s="4">
        <f t="shared" si="1"/>
        <v>0</v>
      </c>
    </row>
    <row r="51" spans="1:13">
      <c r="A51" s="4" t="str" cm="1">
        <f t="array" ref="A51">INDEX(Sheet1!A:A,$F51)</f>
        <v>M</v>
      </c>
      <c r="B51" s="4" t="str" cm="1">
        <f t="array" ref="B51">INDEX(Sheet1!B:B,$F51)</f>
        <v>Super-Pref NS</v>
      </c>
      <c r="C51" s="4">
        <f t="shared" si="2"/>
        <v>49</v>
      </c>
      <c r="D51" s="5" cm="1">
        <f t="array" aca="1" ref="D51" ca="1">OFFSET(INDIRECT("'["&amp;$H51&amp;"]"&amp;$I51&amp;"'!"&amp;$J51),$L51,$M51)*$K51</f>
        <v>1.82E-3</v>
      </c>
      <c r="F51" s="4">
        <f t="shared" si="3"/>
        <v>2</v>
      </c>
      <c r="G51" s="4" cm="1">
        <f t="array" ref="G51">IF($C51&gt;=25,F51,IF($C51&lt;16,INDEX(Sheet1!C:C,$F51),$F51))</f>
        <v>2</v>
      </c>
      <c r="H51" s="4" t="str" cm="1">
        <f t="array" ref="H51">INDEX(Sheet1!D:D,$G51)</f>
        <v>2001-cso-preferred-class-structure-mortality-tables.xls</v>
      </c>
      <c r="I51" s="4" t="str" cm="1">
        <f t="array" ref="I51">INDEX(Sheet1!E:E,$G51)</f>
        <v>A.1.a.i</v>
      </c>
      <c r="J51" s="4" t="str" cm="1">
        <f t="array" ref="J51">IF($C51&gt;=25,INDEX(Sheet1!G:G,$G51),INDEX(Sheet1!F:F,$G51))</f>
        <v>AA8</v>
      </c>
      <c r="K51" s="4" cm="1">
        <f t="array" ref="K51">INDEX(Sheet1!H:H,$G51)</f>
        <v>1E-3</v>
      </c>
      <c r="L51" s="4">
        <f t="shared" si="0"/>
        <v>24</v>
      </c>
      <c r="M51" s="4">
        <f t="shared" si="1"/>
        <v>0</v>
      </c>
    </row>
    <row r="52" spans="1:13">
      <c r="A52" s="4" t="str" cm="1">
        <f t="array" ref="A52">INDEX(Sheet1!A:A,$F52)</f>
        <v>M</v>
      </c>
      <c r="B52" s="4" t="str" cm="1">
        <f t="array" ref="B52">INDEX(Sheet1!B:B,$F52)</f>
        <v>Super-Pref NS</v>
      </c>
      <c r="C52" s="4">
        <f t="shared" si="2"/>
        <v>50</v>
      </c>
      <c r="D52" s="5" cm="1">
        <f t="array" aca="1" ref="D52" ca="1">OFFSET(INDIRECT("'["&amp;$H52&amp;"]"&amp;$I52&amp;"'!"&amp;$J52),$L52,$M52)*$K52</f>
        <v>1.9499999999999999E-3</v>
      </c>
      <c r="F52" s="4">
        <f t="shared" si="3"/>
        <v>2</v>
      </c>
      <c r="G52" s="4" cm="1">
        <f t="array" ref="G52">IF($C52&gt;=25,F52,IF($C52&lt;16,INDEX(Sheet1!C:C,$F52),$F52))</f>
        <v>2</v>
      </c>
      <c r="H52" s="4" t="str" cm="1">
        <f t="array" ref="H52">INDEX(Sheet1!D:D,$G52)</f>
        <v>2001-cso-preferred-class-structure-mortality-tables.xls</v>
      </c>
      <c r="I52" s="4" t="str" cm="1">
        <f t="array" ref="I52">INDEX(Sheet1!E:E,$G52)</f>
        <v>A.1.a.i</v>
      </c>
      <c r="J52" s="4" t="str" cm="1">
        <f t="array" ref="J52">IF($C52&gt;=25,INDEX(Sheet1!G:G,$G52),INDEX(Sheet1!F:F,$G52))</f>
        <v>AA8</v>
      </c>
      <c r="K52" s="4" cm="1">
        <f t="array" ref="K52">INDEX(Sheet1!H:H,$G52)</f>
        <v>1E-3</v>
      </c>
      <c r="L52" s="4">
        <f t="shared" si="0"/>
        <v>25</v>
      </c>
      <c r="M52" s="4">
        <f t="shared" si="1"/>
        <v>0</v>
      </c>
    </row>
    <row r="53" spans="1:13">
      <c r="A53" s="4" t="str" cm="1">
        <f t="array" ref="A53">INDEX(Sheet1!A:A,$F53)</f>
        <v>M</v>
      </c>
      <c r="B53" s="4" t="str" cm="1">
        <f t="array" ref="B53">INDEX(Sheet1!B:B,$F53)</f>
        <v>Super-Pref NS</v>
      </c>
      <c r="C53" s="4">
        <f t="shared" si="2"/>
        <v>51</v>
      </c>
      <c r="D53" s="5" cm="1">
        <f t="array" aca="1" ref="D53" ca="1">OFFSET(INDIRECT("'["&amp;$H53&amp;"]"&amp;$I53&amp;"'!"&amp;$J53),$L53,$M53)*$K53</f>
        <v>2.15E-3</v>
      </c>
      <c r="F53" s="4">
        <f t="shared" si="3"/>
        <v>2</v>
      </c>
      <c r="G53" s="4" cm="1">
        <f t="array" ref="G53">IF($C53&gt;=25,F53,IF($C53&lt;16,INDEX(Sheet1!C:C,$F53),$F53))</f>
        <v>2</v>
      </c>
      <c r="H53" s="4" t="str" cm="1">
        <f t="array" ref="H53">INDEX(Sheet1!D:D,$G53)</f>
        <v>2001-cso-preferred-class-structure-mortality-tables.xls</v>
      </c>
      <c r="I53" s="4" t="str" cm="1">
        <f t="array" ref="I53">INDEX(Sheet1!E:E,$G53)</f>
        <v>A.1.a.i</v>
      </c>
      <c r="J53" s="4" t="str" cm="1">
        <f t="array" ref="J53">IF($C53&gt;=25,INDEX(Sheet1!G:G,$G53),INDEX(Sheet1!F:F,$G53))</f>
        <v>AA8</v>
      </c>
      <c r="K53" s="4" cm="1">
        <f t="array" ref="K53">INDEX(Sheet1!H:H,$G53)</f>
        <v>1E-3</v>
      </c>
      <c r="L53" s="4">
        <f t="shared" si="0"/>
        <v>26</v>
      </c>
      <c r="M53" s="4">
        <f t="shared" si="1"/>
        <v>0</v>
      </c>
    </row>
    <row r="54" spans="1:13">
      <c r="A54" s="4" t="str" cm="1">
        <f t="array" ref="A54">INDEX(Sheet1!A:A,$F54)</f>
        <v>M</v>
      </c>
      <c r="B54" s="4" t="str" cm="1">
        <f t="array" ref="B54">INDEX(Sheet1!B:B,$F54)</f>
        <v>Super-Pref NS</v>
      </c>
      <c r="C54" s="4">
        <f t="shared" si="2"/>
        <v>52</v>
      </c>
      <c r="D54" s="5" cm="1">
        <f t="array" aca="1" ref="D54" ca="1">OFFSET(INDIRECT("'["&amp;$H54&amp;"]"&amp;$I54&amp;"'!"&amp;$J54),$L54,$M54)*$K54</f>
        <v>2.4300000000000003E-3</v>
      </c>
      <c r="F54" s="4">
        <f t="shared" si="3"/>
        <v>2</v>
      </c>
      <c r="G54" s="4" cm="1">
        <f t="array" ref="G54">IF($C54&gt;=25,F54,IF($C54&lt;16,INDEX(Sheet1!C:C,$F54),$F54))</f>
        <v>2</v>
      </c>
      <c r="H54" s="4" t="str" cm="1">
        <f t="array" ref="H54">INDEX(Sheet1!D:D,$G54)</f>
        <v>2001-cso-preferred-class-structure-mortality-tables.xls</v>
      </c>
      <c r="I54" s="4" t="str" cm="1">
        <f t="array" ref="I54">INDEX(Sheet1!E:E,$G54)</f>
        <v>A.1.a.i</v>
      </c>
      <c r="J54" s="4" t="str" cm="1">
        <f t="array" ref="J54">IF($C54&gt;=25,INDEX(Sheet1!G:G,$G54),INDEX(Sheet1!F:F,$G54))</f>
        <v>AA8</v>
      </c>
      <c r="K54" s="4" cm="1">
        <f t="array" ref="K54">INDEX(Sheet1!H:H,$G54)</f>
        <v>1E-3</v>
      </c>
      <c r="L54" s="4">
        <f t="shared" si="0"/>
        <v>27</v>
      </c>
      <c r="M54" s="4">
        <f t="shared" si="1"/>
        <v>0</v>
      </c>
    </row>
    <row r="55" spans="1:13">
      <c r="A55" s="4" t="str" cm="1">
        <f t="array" ref="A55">INDEX(Sheet1!A:A,$F55)</f>
        <v>M</v>
      </c>
      <c r="B55" s="4" t="str" cm="1">
        <f t="array" ref="B55">INDEX(Sheet1!B:B,$F55)</f>
        <v>Super-Pref NS</v>
      </c>
      <c r="C55" s="4">
        <f t="shared" si="2"/>
        <v>53</v>
      </c>
      <c r="D55" s="5" cm="1">
        <f t="array" aca="1" ref="D55" ca="1">OFFSET(INDIRECT("'["&amp;$H55&amp;"]"&amp;$I55&amp;"'!"&amp;$J55),$L55,$M55)*$K55</f>
        <v>2.7200000000000002E-3</v>
      </c>
      <c r="F55" s="4">
        <f t="shared" si="3"/>
        <v>2</v>
      </c>
      <c r="G55" s="4" cm="1">
        <f t="array" ref="G55">IF($C55&gt;=25,F55,IF($C55&lt;16,INDEX(Sheet1!C:C,$F55),$F55))</f>
        <v>2</v>
      </c>
      <c r="H55" s="4" t="str" cm="1">
        <f t="array" ref="H55">INDEX(Sheet1!D:D,$G55)</f>
        <v>2001-cso-preferred-class-structure-mortality-tables.xls</v>
      </c>
      <c r="I55" s="4" t="str" cm="1">
        <f t="array" ref="I55">INDEX(Sheet1!E:E,$G55)</f>
        <v>A.1.a.i</v>
      </c>
      <c r="J55" s="4" t="str" cm="1">
        <f t="array" ref="J55">IF($C55&gt;=25,INDEX(Sheet1!G:G,$G55),INDEX(Sheet1!F:F,$G55))</f>
        <v>AA8</v>
      </c>
      <c r="K55" s="4" cm="1">
        <f t="array" ref="K55">INDEX(Sheet1!H:H,$G55)</f>
        <v>1E-3</v>
      </c>
      <c r="L55" s="4">
        <f t="shared" si="0"/>
        <v>28</v>
      </c>
      <c r="M55" s="4">
        <f t="shared" si="1"/>
        <v>0</v>
      </c>
    </row>
    <row r="56" spans="1:13">
      <c r="A56" s="4" t="str" cm="1">
        <f t="array" ref="A56">INDEX(Sheet1!A:A,$F56)</f>
        <v>M</v>
      </c>
      <c r="B56" s="4" t="str" cm="1">
        <f t="array" ref="B56">INDEX(Sheet1!B:B,$F56)</f>
        <v>Super-Pref NS</v>
      </c>
      <c r="C56" s="4">
        <f t="shared" si="2"/>
        <v>54</v>
      </c>
      <c r="D56" s="5" cm="1">
        <f t="array" aca="1" ref="D56" ca="1">OFFSET(INDIRECT("'["&amp;$H56&amp;"]"&amp;$I56&amp;"'!"&amp;$J56),$L56,$M56)*$K56</f>
        <v>3.0899999999999999E-3</v>
      </c>
      <c r="F56" s="4">
        <f t="shared" si="3"/>
        <v>2</v>
      </c>
      <c r="G56" s="4" cm="1">
        <f t="array" ref="G56">IF($C56&gt;=25,F56,IF($C56&lt;16,INDEX(Sheet1!C:C,$F56),$F56))</f>
        <v>2</v>
      </c>
      <c r="H56" s="4" t="str" cm="1">
        <f t="array" ref="H56">INDEX(Sheet1!D:D,$G56)</f>
        <v>2001-cso-preferred-class-structure-mortality-tables.xls</v>
      </c>
      <c r="I56" s="4" t="str" cm="1">
        <f t="array" ref="I56">INDEX(Sheet1!E:E,$G56)</f>
        <v>A.1.a.i</v>
      </c>
      <c r="J56" s="4" t="str" cm="1">
        <f t="array" ref="J56">IF($C56&gt;=25,INDEX(Sheet1!G:G,$G56),INDEX(Sheet1!F:F,$G56))</f>
        <v>AA8</v>
      </c>
      <c r="K56" s="4" cm="1">
        <f t="array" ref="K56">INDEX(Sheet1!H:H,$G56)</f>
        <v>1E-3</v>
      </c>
      <c r="L56" s="4">
        <f t="shared" si="0"/>
        <v>29</v>
      </c>
      <c r="M56" s="4">
        <f t="shared" si="1"/>
        <v>0</v>
      </c>
    </row>
    <row r="57" spans="1:13">
      <c r="A57" s="4" t="str" cm="1">
        <f t="array" ref="A57">INDEX(Sheet1!A:A,$F57)</f>
        <v>M</v>
      </c>
      <c r="B57" s="4" t="str" cm="1">
        <f t="array" ref="B57">INDEX(Sheet1!B:B,$F57)</f>
        <v>Super-Pref NS</v>
      </c>
      <c r="C57" s="4">
        <f t="shared" si="2"/>
        <v>55</v>
      </c>
      <c r="D57" s="5" cm="1">
        <f t="array" aca="1" ref="D57" ca="1">OFFSET(INDIRECT("'["&amp;$H57&amp;"]"&amp;$I57&amp;"'!"&amp;$J57),$L57,$M57)*$K57</f>
        <v>3.5499999999999998E-3</v>
      </c>
      <c r="F57" s="4">
        <f t="shared" si="3"/>
        <v>2</v>
      </c>
      <c r="G57" s="4" cm="1">
        <f t="array" ref="G57">IF($C57&gt;=25,F57,IF($C57&lt;16,INDEX(Sheet1!C:C,$F57),$F57))</f>
        <v>2</v>
      </c>
      <c r="H57" s="4" t="str" cm="1">
        <f t="array" ref="H57">INDEX(Sheet1!D:D,$G57)</f>
        <v>2001-cso-preferred-class-structure-mortality-tables.xls</v>
      </c>
      <c r="I57" s="4" t="str" cm="1">
        <f t="array" ref="I57">INDEX(Sheet1!E:E,$G57)</f>
        <v>A.1.a.i</v>
      </c>
      <c r="J57" s="4" t="str" cm="1">
        <f t="array" ref="J57">IF($C57&gt;=25,INDEX(Sheet1!G:G,$G57),INDEX(Sheet1!F:F,$G57))</f>
        <v>AA8</v>
      </c>
      <c r="K57" s="4" cm="1">
        <f t="array" ref="K57">INDEX(Sheet1!H:H,$G57)</f>
        <v>1E-3</v>
      </c>
      <c r="L57" s="4">
        <f t="shared" si="0"/>
        <v>30</v>
      </c>
      <c r="M57" s="4">
        <f t="shared" si="1"/>
        <v>0</v>
      </c>
    </row>
    <row r="58" spans="1:13">
      <c r="A58" s="4" t="str" cm="1">
        <f t="array" ref="A58">INDEX(Sheet1!A:A,$F58)</f>
        <v>M</v>
      </c>
      <c r="B58" s="4" t="str" cm="1">
        <f t="array" ref="B58">INDEX(Sheet1!B:B,$F58)</f>
        <v>Super-Pref NS</v>
      </c>
      <c r="C58" s="4">
        <f t="shared" si="2"/>
        <v>56</v>
      </c>
      <c r="D58" s="5" cm="1">
        <f t="array" aca="1" ref="D58" ca="1">OFFSET(INDIRECT("'["&amp;$H58&amp;"]"&amp;$I58&amp;"'!"&amp;$J58),$L58,$M58)*$K58</f>
        <v>4.0300000000000006E-3</v>
      </c>
      <c r="F58" s="4">
        <f t="shared" si="3"/>
        <v>2</v>
      </c>
      <c r="G58" s="4" cm="1">
        <f t="array" ref="G58">IF($C58&gt;=25,F58,IF($C58&lt;16,INDEX(Sheet1!C:C,$F58),$F58))</f>
        <v>2</v>
      </c>
      <c r="H58" s="4" t="str" cm="1">
        <f t="array" ref="H58">INDEX(Sheet1!D:D,$G58)</f>
        <v>2001-cso-preferred-class-structure-mortality-tables.xls</v>
      </c>
      <c r="I58" s="4" t="str" cm="1">
        <f t="array" ref="I58">INDEX(Sheet1!E:E,$G58)</f>
        <v>A.1.a.i</v>
      </c>
      <c r="J58" s="4" t="str" cm="1">
        <f t="array" ref="J58">IF($C58&gt;=25,INDEX(Sheet1!G:G,$G58),INDEX(Sheet1!F:F,$G58))</f>
        <v>AA8</v>
      </c>
      <c r="K58" s="4" cm="1">
        <f t="array" ref="K58">INDEX(Sheet1!H:H,$G58)</f>
        <v>1E-3</v>
      </c>
      <c r="L58" s="4">
        <f t="shared" si="0"/>
        <v>31</v>
      </c>
      <c r="M58" s="4">
        <f t="shared" si="1"/>
        <v>0</v>
      </c>
    </row>
    <row r="59" spans="1:13">
      <c r="A59" s="4" t="str" cm="1">
        <f t="array" ref="A59">INDEX(Sheet1!A:A,$F59)</f>
        <v>M</v>
      </c>
      <c r="B59" s="4" t="str" cm="1">
        <f t="array" ref="B59">INDEX(Sheet1!B:B,$F59)</f>
        <v>Super-Pref NS</v>
      </c>
      <c r="C59" s="4">
        <f t="shared" si="2"/>
        <v>57</v>
      </c>
      <c r="D59" s="5" cm="1">
        <f t="array" aca="1" ref="D59" ca="1">OFFSET(INDIRECT("'["&amp;$H59&amp;"]"&amp;$I59&amp;"'!"&amp;$J59),$L59,$M59)*$K59</f>
        <v>4.5799999999999999E-3</v>
      </c>
      <c r="F59" s="4">
        <f t="shared" si="3"/>
        <v>2</v>
      </c>
      <c r="G59" s="4" cm="1">
        <f t="array" ref="G59">IF($C59&gt;=25,F59,IF($C59&lt;16,INDEX(Sheet1!C:C,$F59),$F59))</f>
        <v>2</v>
      </c>
      <c r="H59" s="4" t="str" cm="1">
        <f t="array" ref="H59">INDEX(Sheet1!D:D,$G59)</f>
        <v>2001-cso-preferred-class-structure-mortality-tables.xls</v>
      </c>
      <c r="I59" s="4" t="str" cm="1">
        <f t="array" ref="I59">INDEX(Sheet1!E:E,$G59)</f>
        <v>A.1.a.i</v>
      </c>
      <c r="J59" s="4" t="str" cm="1">
        <f t="array" ref="J59">IF($C59&gt;=25,INDEX(Sheet1!G:G,$G59),INDEX(Sheet1!F:F,$G59))</f>
        <v>AA8</v>
      </c>
      <c r="K59" s="4" cm="1">
        <f t="array" ref="K59">INDEX(Sheet1!H:H,$G59)</f>
        <v>1E-3</v>
      </c>
      <c r="L59" s="4">
        <f t="shared" si="0"/>
        <v>32</v>
      </c>
      <c r="M59" s="4">
        <f t="shared" si="1"/>
        <v>0</v>
      </c>
    </row>
    <row r="60" spans="1:13">
      <c r="A60" s="4" t="str" cm="1">
        <f t="array" ref="A60">INDEX(Sheet1!A:A,$F60)</f>
        <v>M</v>
      </c>
      <c r="B60" s="4" t="str" cm="1">
        <f t="array" ref="B60">INDEX(Sheet1!B:B,$F60)</f>
        <v>Super-Pref NS</v>
      </c>
      <c r="C60" s="4">
        <f t="shared" si="2"/>
        <v>58</v>
      </c>
      <c r="D60" s="5" cm="1">
        <f t="array" aca="1" ref="D60" ca="1">OFFSET(INDIRECT("'["&amp;$H60&amp;"]"&amp;$I60&amp;"'!"&amp;$J60),$L60,$M60)*$K60</f>
        <v>5.0800000000000003E-3</v>
      </c>
      <c r="F60" s="4">
        <f t="shared" si="3"/>
        <v>2</v>
      </c>
      <c r="G60" s="4" cm="1">
        <f t="array" ref="G60">IF($C60&gt;=25,F60,IF($C60&lt;16,INDEX(Sheet1!C:C,$F60),$F60))</f>
        <v>2</v>
      </c>
      <c r="H60" s="4" t="str" cm="1">
        <f t="array" ref="H60">INDEX(Sheet1!D:D,$G60)</f>
        <v>2001-cso-preferred-class-structure-mortality-tables.xls</v>
      </c>
      <c r="I60" s="4" t="str" cm="1">
        <f t="array" ref="I60">INDEX(Sheet1!E:E,$G60)</f>
        <v>A.1.a.i</v>
      </c>
      <c r="J60" s="4" t="str" cm="1">
        <f t="array" ref="J60">IF($C60&gt;=25,INDEX(Sheet1!G:G,$G60),INDEX(Sheet1!F:F,$G60))</f>
        <v>AA8</v>
      </c>
      <c r="K60" s="4" cm="1">
        <f t="array" ref="K60">INDEX(Sheet1!H:H,$G60)</f>
        <v>1E-3</v>
      </c>
      <c r="L60" s="4">
        <f t="shared" si="0"/>
        <v>33</v>
      </c>
      <c r="M60" s="4">
        <f t="shared" si="1"/>
        <v>0</v>
      </c>
    </row>
    <row r="61" spans="1:13">
      <c r="A61" s="4" t="str" cm="1">
        <f t="array" ref="A61">INDEX(Sheet1!A:A,$F61)</f>
        <v>M</v>
      </c>
      <c r="B61" s="4" t="str" cm="1">
        <f t="array" ref="B61">INDEX(Sheet1!B:B,$F61)</f>
        <v>Super-Pref NS</v>
      </c>
      <c r="C61" s="4">
        <f t="shared" si="2"/>
        <v>59</v>
      </c>
      <c r="D61" s="5" cm="1">
        <f t="array" aca="1" ref="D61" ca="1">OFFSET(INDIRECT("'["&amp;$H61&amp;"]"&amp;$I61&amp;"'!"&amp;$J61),$L61,$M61)*$K61</f>
        <v>5.6500000000000005E-3</v>
      </c>
      <c r="F61" s="4">
        <f t="shared" si="3"/>
        <v>2</v>
      </c>
      <c r="G61" s="4" cm="1">
        <f t="array" ref="G61">IF($C61&gt;=25,F61,IF($C61&lt;16,INDEX(Sheet1!C:C,$F61),$F61))</f>
        <v>2</v>
      </c>
      <c r="H61" s="4" t="str" cm="1">
        <f t="array" ref="H61">INDEX(Sheet1!D:D,$G61)</f>
        <v>2001-cso-preferred-class-structure-mortality-tables.xls</v>
      </c>
      <c r="I61" s="4" t="str" cm="1">
        <f t="array" ref="I61">INDEX(Sheet1!E:E,$G61)</f>
        <v>A.1.a.i</v>
      </c>
      <c r="J61" s="4" t="str" cm="1">
        <f t="array" ref="J61">IF($C61&gt;=25,INDEX(Sheet1!G:G,$G61),INDEX(Sheet1!F:F,$G61))</f>
        <v>AA8</v>
      </c>
      <c r="K61" s="4" cm="1">
        <f t="array" ref="K61">INDEX(Sheet1!H:H,$G61)</f>
        <v>1E-3</v>
      </c>
      <c r="L61" s="4">
        <f t="shared" si="0"/>
        <v>34</v>
      </c>
      <c r="M61" s="4">
        <f t="shared" si="1"/>
        <v>0</v>
      </c>
    </row>
    <row r="62" spans="1:13">
      <c r="A62" s="4" t="str" cm="1">
        <f t="array" ref="A62">INDEX(Sheet1!A:A,$F62)</f>
        <v>M</v>
      </c>
      <c r="B62" s="4" t="str" cm="1">
        <f t="array" ref="B62">INDEX(Sheet1!B:B,$F62)</f>
        <v>Super-Pref NS</v>
      </c>
      <c r="C62" s="4">
        <f t="shared" si="2"/>
        <v>60</v>
      </c>
      <c r="D62" s="5" cm="1">
        <f t="array" aca="1" ref="D62" ca="1">OFFSET(INDIRECT("'["&amp;$H62&amp;"]"&amp;$I62&amp;"'!"&amp;$J62),$L62,$M62)*$K62</f>
        <v>6.2100000000000002E-3</v>
      </c>
      <c r="F62" s="4">
        <f t="shared" si="3"/>
        <v>2</v>
      </c>
      <c r="G62" s="4" cm="1">
        <f t="array" ref="G62">IF($C62&gt;=25,F62,IF($C62&lt;16,INDEX(Sheet1!C:C,$F62),$F62))</f>
        <v>2</v>
      </c>
      <c r="H62" s="4" t="str" cm="1">
        <f t="array" ref="H62">INDEX(Sheet1!D:D,$G62)</f>
        <v>2001-cso-preferred-class-structure-mortality-tables.xls</v>
      </c>
      <c r="I62" s="4" t="str" cm="1">
        <f t="array" ref="I62">INDEX(Sheet1!E:E,$G62)</f>
        <v>A.1.a.i</v>
      </c>
      <c r="J62" s="4" t="str" cm="1">
        <f t="array" ref="J62">IF($C62&gt;=25,INDEX(Sheet1!G:G,$G62),INDEX(Sheet1!F:F,$G62))</f>
        <v>AA8</v>
      </c>
      <c r="K62" s="4" cm="1">
        <f t="array" ref="K62">INDEX(Sheet1!H:H,$G62)</f>
        <v>1E-3</v>
      </c>
      <c r="L62" s="4">
        <f t="shared" si="0"/>
        <v>35</v>
      </c>
      <c r="M62" s="4">
        <f t="shared" si="1"/>
        <v>0</v>
      </c>
    </row>
    <row r="63" spans="1:13">
      <c r="A63" s="4" t="str" cm="1">
        <f t="array" ref="A63">INDEX(Sheet1!A:A,$F63)</f>
        <v>M</v>
      </c>
      <c r="B63" s="4" t="str" cm="1">
        <f t="array" ref="B63">INDEX(Sheet1!B:B,$F63)</f>
        <v>Super-Pref NS</v>
      </c>
      <c r="C63" s="4">
        <f t="shared" si="2"/>
        <v>61</v>
      </c>
      <c r="D63" s="5" cm="1">
        <f t="array" aca="1" ref="D63" ca="1">OFFSET(INDIRECT("'["&amp;$H63&amp;"]"&amp;$I63&amp;"'!"&amp;$J63),$L63,$M63)*$K63</f>
        <v>6.9000000000000008E-3</v>
      </c>
      <c r="F63" s="4">
        <f t="shared" si="3"/>
        <v>2</v>
      </c>
      <c r="G63" s="4" cm="1">
        <f t="array" ref="G63">IF($C63&gt;=25,F63,IF($C63&lt;16,INDEX(Sheet1!C:C,$F63),$F63))</f>
        <v>2</v>
      </c>
      <c r="H63" s="4" t="str" cm="1">
        <f t="array" ref="H63">INDEX(Sheet1!D:D,$G63)</f>
        <v>2001-cso-preferred-class-structure-mortality-tables.xls</v>
      </c>
      <c r="I63" s="4" t="str" cm="1">
        <f t="array" ref="I63">INDEX(Sheet1!E:E,$G63)</f>
        <v>A.1.a.i</v>
      </c>
      <c r="J63" s="4" t="str" cm="1">
        <f t="array" ref="J63">IF($C63&gt;=25,INDEX(Sheet1!G:G,$G63),INDEX(Sheet1!F:F,$G63))</f>
        <v>AA8</v>
      </c>
      <c r="K63" s="4" cm="1">
        <f t="array" ref="K63">INDEX(Sheet1!H:H,$G63)</f>
        <v>1E-3</v>
      </c>
      <c r="L63" s="4">
        <f t="shared" si="0"/>
        <v>36</v>
      </c>
      <c r="M63" s="4">
        <f t="shared" si="1"/>
        <v>0</v>
      </c>
    </row>
    <row r="64" spans="1:13">
      <c r="A64" s="4" t="str" cm="1">
        <f t="array" ref="A64">INDEX(Sheet1!A:A,$F64)</f>
        <v>M</v>
      </c>
      <c r="B64" s="4" t="str" cm="1">
        <f t="array" ref="B64">INDEX(Sheet1!B:B,$F64)</f>
        <v>Super-Pref NS</v>
      </c>
      <c r="C64" s="4">
        <f t="shared" si="2"/>
        <v>62</v>
      </c>
      <c r="D64" s="5" cm="1">
        <f t="array" aca="1" ref="D64" ca="1">OFFSET(INDIRECT("'["&amp;$H64&amp;"]"&amp;$I64&amp;"'!"&amp;$J64),$L64,$M64)*$K64</f>
        <v>7.7300000000000008E-3</v>
      </c>
      <c r="F64" s="4">
        <f t="shared" si="3"/>
        <v>2</v>
      </c>
      <c r="G64" s="4" cm="1">
        <f t="array" ref="G64">IF($C64&gt;=25,F64,IF($C64&lt;16,INDEX(Sheet1!C:C,$F64),$F64))</f>
        <v>2</v>
      </c>
      <c r="H64" s="4" t="str" cm="1">
        <f t="array" ref="H64">INDEX(Sheet1!D:D,$G64)</f>
        <v>2001-cso-preferred-class-structure-mortality-tables.xls</v>
      </c>
      <c r="I64" s="4" t="str" cm="1">
        <f t="array" ref="I64">INDEX(Sheet1!E:E,$G64)</f>
        <v>A.1.a.i</v>
      </c>
      <c r="J64" s="4" t="str" cm="1">
        <f t="array" ref="J64">IF($C64&gt;=25,INDEX(Sheet1!G:G,$G64),INDEX(Sheet1!F:F,$G64))</f>
        <v>AA8</v>
      </c>
      <c r="K64" s="4" cm="1">
        <f t="array" ref="K64">INDEX(Sheet1!H:H,$G64)</f>
        <v>1E-3</v>
      </c>
      <c r="L64" s="4">
        <f t="shared" si="0"/>
        <v>37</v>
      </c>
      <c r="M64" s="4">
        <f t="shared" si="1"/>
        <v>0</v>
      </c>
    </row>
    <row r="65" spans="1:13">
      <c r="A65" s="4" t="str" cm="1">
        <f t="array" ref="A65">INDEX(Sheet1!A:A,$F65)</f>
        <v>M</v>
      </c>
      <c r="B65" s="4" t="str" cm="1">
        <f t="array" ref="B65">INDEX(Sheet1!B:B,$F65)</f>
        <v>Super-Pref NS</v>
      </c>
      <c r="C65" s="4">
        <f t="shared" si="2"/>
        <v>63</v>
      </c>
      <c r="D65" s="5" cm="1">
        <f t="array" aca="1" ref="D65" ca="1">OFFSET(INDIRECT("'["&amp;$H65&amp;"]"&amp;$I65&amp;"'!"&amp;$J65),$L65,$M65)*$K65</f>
        <v>8.6700000000000006E-3</v>
      </c>
      <c r="F65" s="4">
        <f t="shared" si="3"/>
        <v>2</v>
      </c>
      <c r="G65" s="4" cm="1">
        <f t="array" ref="G65">IF($C65&gt;=25,F65,IF($C65&lt;16,INDEX(Sheet1!C:C,$F65),$F65))</f>
        <v>2</v>
      </c>
      <c r="H65" s="4" t="str" cm="1">
        <f t="array" ref="H65">INDEX(Sheet1!D:D,$G65)</f>
        <v>2001-cso-preferred-class-structure-mortality-tables.xls</v>
      </c>
      <c r="I65" s="4" t="str" cm="1">
        <f t="array" ref="I65">INDEX(Sheet1!E:E,$G65)</f>
        <v>A.1.a.i</v>
      </c>
      <c r="J65" s="4" t="str" cm="1">
        <f t="array" ref="J65">IF($C65&gt;=25,INDEX(Sheet1!G:G,$G65),INDEX(Sheet1!F:F,$G65))</f>
        <v>AA8</v>
      </c>
      <c r="K65" s="4" cm="1">
        <f t="array" ref="K65">INDEX(Sheet1!H:H,$G65)</f>
        <v>1E-3</v>
      </c>
      <c r="L65" s="4">
        <f t="shared" si="0"/>
        <v>38</v>
      </c>
      <c r="M65" s="4">
        <f t="shared" si="1"/>
        <v>0</v>
      </c>
    </row>
    <row r="66" spans="1:13">
      <c r="A66" s="4" t="str" cm="1">
        <f t="array" ref="A66">INDEX(Sheet1!A:A,$F66)</f>
        <v>M</v>
      </c>
      <c r="B66" s="4" t="str" cm="1">
        <f t="array" ref="B66">INDEX(Sheet1!B:B,$F66)</f>
        <v>Super-Pref NS</v>
      </c>
      <c r="C66" s="4">
        <f t="shared" si="2"/>
        <v>64</v>
      </c>
      <c r="D66" s="5" cm="1">
        <f t="array" aca="1" ref="D66" ca="1">OFFSET(INDIRECT("'["&amp;$H66&amp;"]"&amp;$I66&amp;"'!"&amp;$J66),$L66,$M66)*$K66</f>
        <v>9.6500000000000006E-3</v>
      </c>
      <c r="F66" s="4">
        <f t="shared" si="3"/>
        <v>2</v>
      </c>
      <c r="G66" s="4" cm="1">
        <f t="array" ref="G66">IF($C66&gt;=25,F66,IF($C66&lt;16,INDEX(Sheet1!C:C,$F66),$F66))</f>
        <v>2</v>
      </c>
      <c r="H66" s="4" t="str" cm="1">
        <f t="array" ref="H66">INDEX(Sheet1!D:D,$G66)</f>
        <v>2001-cso-preferred-class-structure-mortality-tables.xls</v>
      </c>
      <c r="I66" s="4" t="str" cm="1">
        <f t="array" ref="I66">INDEX(Sheet1!E:E,$G66)</f>
        <v>A.1.a.i</v>
      </c>
      <c r="J66" s="4" t="str" cm="1">
        <f t="array" ref="J66">IF($C66&gt;=25,INDEX(Sheet1!G:G,$G66),INDEX(Sheet1!F:F,$G66))</f>
        <v>AA8</v>
      </c>
      <c r="K66" s="4" cm="1">
        <f t="array" ref="K66">INDEX(Sheet1!H:H,$G66)</f>
        <v>1E-3</v>
      </c>
      <c r="L66" s="4">
        <f t="shared" si="0"/>
        <v>39</v>
      </c>
      <c r="M66" s="4">
        <f t="shared" si="1"/>
        <v>0</v>
      </c>
    </row>
    <row r="67" spans="1:13">
      <c r="A67" s="4" t="str" cm="1">
        <f t="array" ref="A67">INDEX(Sheet1!A:A,$F67)</f>
        <v>M</v>
      </c>
      <c r="B67" s="4" t="str" cm="1">
        <f t="array" ref="B67">INDEX(Sheet1!B:B,$F67)</f>
        <v>Super-Pref NS</v>
      </c>
      <c r="C67" s="4">
        <f t="shared" si="2"/>
        <v>65</v>
      </c>
      <c r="D67" s="5" cm="1">
        <f t="array" aca="1" ref="D67" ca="1">OFFSET(INDIRECT("'["&amp;$H67&amp;"]"&amp;$I67&amp;"'!"&amp;$J67),$L67,$M67)*$K67</f>
        <v>1.069E-2</v>
      </c>
      <c r="F67" s="4">
        <f t="shared" si="3"/>
        <v>2</v>
      </c>
      <c r="G67" s="4" cm="1">
        <f t="array" ref="G67">IF($C67&gt;=25,F67,IF($C67&lt;16,INDEX(Sheet1!C:C,$F67),$F67))</f>
        <v>2</v>
      </c>
      <c r="H67" s="4" t="str" cm="1">
        <f t="array" ref="H67">INDEX(Sheet1!D:D,$G67)</f>
        <v>2001-cso-preferred-class-structure-mortality-tables.xls</v>
      </c>
      <c r="I67" s="4" t="str" cm="1">
        <f t="array" ref="I67">INDEX(Sheet1!E:E,$G67)</f>
        <v>A.1.a.i</v>
      </c>
      <c r="J67" s="4" t="str" cm="1">
        <f t="array" ref="J67">IF($C67&gt;=25,INDEX(Sheet1!G:G,$G67),INDEX(Sheet1!F:F,$G67))</f>
        <v>AA8</v>
      </c>
      <c r="K67" s="4" cm="1">
        <f t="array" ref="K67">INDEX(Sheet1!H:H,$G67)</f>
        <v>1E-3</v>
      </c>
      <c r="L67" s="4">
        <f t="shared" ref="L67:L130" si="4">IF($C67&gt;=25,$C67-25,0)</f>
        <v>40</v>
      </c>
      <c r="M67" s="4">
        <f t="shared" ref="M67:M130" si="5">IF($C67&gt;=25,0,$C67)</f>
        <v>0</v>
      </c>
    </row>
    <row r="68" spans="1:13">
      <c r="A68" s="4" t="str" cm="1">
        <f t="array" ref="A68">INDEX(Sheet1!A:A,$F68)</f>
        <v>M</v>
      </c>
      <c r="B68" s="4" t="str" cm="1">
        <f t="array" ref="B68">INDEX(Sheet1!B:B,$F68)</f>
        <v>Super-Pref NS</v>
      </c>
      <c r="C68" s="4">
        <f t="shared" ref="C68:C131" si="6">IF(C67=120,0,C67+1)</f>
        <v>66</v>
      </c>
      <c r="D68" s="5" cm="1">
        <f t="array" aca="1" ref="D68" ca="1">OFFSET(INDIRECT("'["&amp;$H68&amp;"]"&amp;$I68&amp;"'!"&amp;$J68),$L68,$M68)*$K68</f>
        <v>1.174E-2</v>
      </c>
      <c r="F68" s="4">
        <f t="shared" ref="F68:F131" si="7">IF(C68=0,1,0)+F67</f>
        <v>2</v>
      </c>
      <c r="G68" s="4" cm="1">
        <f t="array" ref="G68">IF($C68&gt;=25,F68,IF($C68&lt;16,INDEX(Sheet1!C:C,$F68),$F68))</f>
        <v>2</v>
      </c>
      <c r="H68" s="4" t="str" cm="1">
        <f t="array" ref="H68">INDEX(Sheet1!D:D,$G68)</f>
        <v>2001-cso-preferred-class-structure-mortality-tables.xls</v>
      </c>
      <c r="I68" s="4" t="str" cm="1">
        <f t="array" ref="I68">INDEX(Sheet1!E:E,$G68)</f>
        <v>A.1.a.i</v>
      </c>
      <c r="J68" s="4" t="str" cm="1">
        <f t="array" ref="J68">IF($C68&gt;=25,INDEX(Sheet1!G:G,$G68),INDEX(Sheet1!F:F,$G68))</f>
        <v>AA8</v>
      </c>
      <c r="K68" s="4" cm="1">
        <f t="array" ref="K68">INDEX(Sheet1!H:H,$G68)</f>
        <v>1E-3</v>
      </c>
      <c r="L68" s="4">
        <f t="shared" si="4"/>
        <v>41</v>
      </c>
      <c r="M68" s="4">
        <f t="shared" si="5"/>
        <v>0</v>
      </c>
    </row>
    <row r="69" spans="1:13">
      <c r="A69" s="4" t="str" cm="1">
        <f t="array" ref="A69">INDEX(Sheet1!A:A,$F69)</f>
        <v>M</v>
      </c>
      <c r="B69" s="4" t="str" cm="1">
        <f t="array" ref="B69">INDEX(Sheet1!B:B,$F69)</f>
        <v>Super-Pref NS</v>
      </c>
      <c r="C69" s="4">
        <f t="shared" si="6"/>
        <v>67</v>
      </c>
      <c r="D69" s="5" cm="1">
        <f t="array" aca="1" ref="D69" ca="1">OFFSET(INDIRECT("'["&amp;$H69&amp;"]"&amp;$I69&amp;"'!"&amp;$J69),$L69,$M69)*$K69</f>
        <v>1.281E-2</v>
      </c>
      <c r="F69" s="4">
        <f t="shared" si="7"/>
        <v>2</v>
      </c>
      <c r="G69" s="4" cm="1">
        <f t="array" ref="G69">IF($C69&gt;=25,F69,IF($C69&lt;16,INDEX(Sheet1!C:C,$F69),$F69))</f>
        <v>2</v>
      </c>
      <c r="H69" s="4" t="str" cm="1">
        <f t="array" ref="H69">INDEX(Sheet1!D:D,$G69)</f>
        <v>2001-cso-preferred-class-structure-mortality-tables.xls</v>
      </c>
      <c r="I69" s="4" t="str" cm="1">
        <f t="array" ref="I69">INDEX(Sheet1!E:E,$G69)</f>
        <v>A.1.a.i</v>
      </c>
      <c r="J69" s="4" t="str" cm="1">
        <f t="array" ref="J69">IF($C69&gt;=25,INDEX(Sheet1!G:G,$G69),INDEX(Sheet1!F:F,$G69))</f>
        <v>AA8</v>
      </c>
      <c r="K69" s="4" cm="1">
        <f t="array" ref="K69">INDEX(Sheet1!H:H,$G69)</f>
        <v>1E-3</v>
      </c>
      <c r="L69" s="4">
        <f t="shared" si="4"/>
        <v>42</v>
      </c>
      <c r="M69" s="4">
        <f t="shared" si="5"/>
        <v>0</v>
      </c>
    </row>
    <row r="70" spans="1:13">
      <c r="A70" s="4" t="str" cm="1">
        <f t="array" ref="A70">INDEX(Sheet1!A:A,$F70)</f>
        <v>M</v>
      </c>
      <c r="B70" s="4" t="str" cm="1">
        <f t="array" ref="B70">INDEX(Sheet1!B:B,$F70)</f>
        <v>Super-Pref NS</v>
      </c>
      <c r="C70" s="4">
        <f t="shared" si="6"/>
        <v>68</v>
      </c>
      <c r="D70" s="5" cm="1">
        <f t="array" aca="1" ref="D70" ca="1">OFFSET(INDIRECT("'["&amp;$H70&amp;"]"&amp;$I70&amp;"'!"&amp;$J70),$L70,$M70)*$K70</f>
        <v>1.3970000000000002E-2</v>
      </c>
      <c r="F70" s="4">
        <f t="shared" si="7"/>
        <v>2</v>
      </c>
      <c r="G70" s="4" cm="1">
        <f t="array" ref="G70">IF($C70&gt;=25,F70,IF($C70&lt;16,INDEX(Sheet1!C:C,$F70),$F70))</f>
        <v>2</v>
      </c>
      <c r="H70" s="4" t="str" cm="1">
        <f t="array" ref="H70">INDEX(Sheet1!D:D,$G70)</f>
        <v>2001-cso-preferred-class-structure-mortality-tables.xls</v>
      </c>
      <c r="I70" s="4" t="str" cm="1">
        <f t="array" ref="I70">INDEX(Sheet1!E:E,$G70)</f>
        <v>A.1.a.i</v>
      </c>
      <c r="J70" s="4" t="str" cm="1">
        <f t="array" ref="J70">IF($C70&gt;=25,INDEX(Sheet1!G:G,$G70),INDEX(Sheet1!F:F,$G70))</f>
        <v>AA8</v>
      </c>
      <c r="K70" s="4" cm="1">
        <f t="array" ref="K70">INDEX(Sheet1!H:H,$G70)</f>
        <v>1E-3</v>
      </c>
      <c r="L70" s="4">
        <f t="shared" si="4"/>
        <v>43</v>
      </c>
      <c r="M70" s="4">
        <f t="shared" si="5"/>
        <v>0</v>
      </c>
    </row>
    <row r="71" spans="1:13">
      <c r="A71" s="4" t="str" cm="1">
        <f t="array" ref="A71">INDEX(Sheet1!A:A,$F71)</f>
        <v>M</v>
      </c>
      <c r="B71" s="4" t="str" cm="1">
        <f t="array" ref="B71">INDEX(Sheet1!B:B,$F71)</f>
        <v>Super-Pref NS</v>
      </c>
      <c r="C71" s="4">
        <f t="shared" si="6"/>
        <v>69</v>
      </c>
      <c r="D71" s="5" cm="1">
        <f t="array" aca="1" ref="D71" ca="1">OFFSET(INDIRECT("'["&amp;$H71&amp;"]"&amp;$I71&amp;"'!"&amp;$J71),$L71,$M71)*$K71</f>
        <v>1.516E-2</v>
      </c>
      <c r="F71" s="4">
        <f t="shared" si="7"/>
        <v>2</v>
      </c>
      <c r="G71" s="4" cm="1">
        <f t="array" ref="G71">IF($C71&gt;=25,F71,IF($C71&lt;16,INDEX(Sheet1!C:C,$F71),$F71))</f>
        <v>2</v>
      </c>
      <c r="H71" s="4" t="str" cm="1">
        <f t="array" ref="H71">INDEX(Sheet1!D:D,$G71)</f>
        <v>2001-cso-preferred-class-structure-mortality-tables.xls</v>
      </c>
      <c r="I71" s="4" t="str" cm="1">
        <f t="array" ref="I71">INDEX(Sheet1!E:E,$G71)</f>
        <v>A.1.a.i</v>
      </c>
      <c r="J71" s="4" t="str" cm="1">
        <f t="array" ref="J71">IF($C71&gt;=25,INDEX(Sheet1!G:G,$G71),INDEX(Sheet1!F:F,$G71))</f>
        <v>AA8</v>
      </c>
      <c r="K71" s="4" cm="1">
        <f t="array" ref="K71">INDEX(Sheet1!H:H,$G71)</f>
        <v>1E-3</v>
      </c>
      <c r="L71" s="4">
        <f t="shared" si="4"/>
        <v>44</v>
      </c>
      <c r="M71" s="4">
        <f t="shared" si="5"/>
        <v>0</v>
      </c>
    </row>
    <row r="72" spans="1:13">
      <c r="A72" s="4" t="str" cm="1">
        <f t="array" ref="A72">INDEX(Sheet1!A:A,$F72)</f>
        <v>M</v>
      </c>
      <c r="B72" s="4" t="str" cm="1">
        <f t="array" ref="B72">INDEX(Sheet1!B:B,$F72)</f>
        <v>Super-Pref NS</v>
      </c>
      <c r="C72" s="4">
        <f t="shared" si="6"/>
        <v>70</v>
      </c>
      <c r="D72" s="5" cm="1">
        <f t="array" aca="1" ref="D72" ca="1">OFFSET(INDIRECT("'["&amp;$H72&amp;"]"&amp;$I72&amp;"'!"&amp;$J72),$L72,$M72)*$K72</f>
        <v>1.66E-2</v>
      </c>
      <c r="F72" s="4">
        <f t="shared" si="7"/>
        <v>2</v>
      </c>
      <c r="G72" s="4" cm="1">
        <f t="array" ref="G72">IF($C72&gt;=25,F72,IF($C72&lt;16,INDEX(Sheet1!C:C,$F72),$F72))</f>
        <v>2</v>
      </c>
      <c r="H72" s="4" t="str" cm="1">
        <f t="array" ref="H72">INDEX(Sheet1!D:D,$G72)</f>
        <v>2001-cso-preferred-class-structure-mortality-tables.xls</v>
      </c>
      <c r="I72" s="4" t="str" cm="1">
        <f t="array" ref="I72">INDEX(Sheet1!E:E,$G72)</f>
        <v>A.1.a.i</v>
      </c>
      <c r="J72" s="4" t="str" cm="1">
        <f t="array" ref="J72">IF($C72&gt;=25,INDEX(Sheet1!G:G,$G72),INDEX(Sheet1!F:F,$G72))</f>
        <v>AA8</v>
      </c>
      <c r="K72" s="4" cm="1">
        <f t="array" ref="K72">INDEX(Sheet1!H:H,$G72)</f>
        <v>1E-3</v>
      </c>
      <c r="L72" s="4">
        <f t="shared" si="4"/>
        <v>45</v>
      </c>
      <c r="M72" s="4">
        <f t="shared" si="5"/>
        <v>0</v>
      </c>
    </row>
    <row r="73" spans="1:13">
      <c r="A73" s="4" t="str" cm="1">
        <f t="array" ref="A73">INDEX(Sheet1!A:A,$F73)</f>
        <v>M</v>
      </c>
      <c r="B73" s="4" t="str" cm="1">
        <f t="array" ref="B73">INDEX(Sheet1!B:B,$F73)</f>
        <v>Super-Pref NS</v>
      </c>
      <c r="C73" s="4">
        <f t="shared" si="6"/>
        <v>71</v>
      </c>
      <c r="D73" s="5" cm="1">
        <f t="array" aca="1" ref="D73" ca="1">OFFSET(INDIRECT("'["&amp;$H73&amp;"]"&amp;$I73&amp;"'!"&amp;$J73),$L73,$M73)*$K73</f>
        <v>1.822E-2</v>
      </c>
      <c r="F73" s="4">
        <f t="shared" si="7"/>
        <v>2</v>
      </c>
      <c r="G73" s="4" cm="1">
        <f t="array" ref="G73">IF($C73&gt;=25,F73,IF($C73&lt;16,INDEX(Sheet1!C:C,$F73),$F73))</f>
        <v>2</v>
      </c>
      <c r="H73" s="4" t="str" cm="1">
        <f t="array" ref="H73">INDEX(Sheet1!D:D,$G73)</f>
        <v>2001-cso-preferred-class-structure-mortality-tables.xls</v>
      </c>
      <c r="I73" s="4" t="str" cm="1">
        <f t="array" ref="I73">INDEX(Sheet1!E:E,$G73)</f>
        <v>A.1.a.i</v>
      </c>
      <c r="J73" s="4" t="str" cm="1">
        <f t="array" ref="J73">IF($C73&gt;=25,INDEX(Sheet1!G:G,$G73),INDEX(Sheet1!F:F,$G73))</f>
        <v>AA8</v>
      </c>
      <c r="K73" s="4" cm="1">
        <f t="array" ref="K73">INDEX(Sheet1!H:H,$G73)</f>
        <v>1E-3</v>
      </c>
      <c r="L73" s="4">
        <f t="shared" si="4"/>
        <v>46</v>
      </c>
      <c r="M73" s="4">
        <f t="shared" si="5"/>
        <v>0</v>
      </c>
    </row>
    <row r="74" spans="1:13">
      <c r="A74" s="4" t="str" cm="1">
        <f t="array" ref="A74">INDEX(Sheet1!A:A,$F74)</f>
        <v>M</v>
      </c>
      <c r="B74" s="4" t="str" cm="1">
        <f t="array" ref="B74">INDEX(Sheet1!B:B,$F74)</f>
        <v>Super-Pref NS</v>
      </c>
      <c r="C74" s="4">
        <f t="shared" si="6"/>
        <v>72</v>
      </c>
      <c r="D74" s="5" cm="1">
        <f t="array" aca="1" ref="D74" ca="1">OFFSET(INDIRECT("'["&amp;$H74&amp;"]"&amp;$I74&amp;"'!"&amp;$J74),$L74,$M74)*$K74</f>
        <v>2.034E-2</v>
      </c>
      <c r="F74" s="4">
        <f t="shared" si="7"/>
        <v>2</v>
      </c>
      <c r="G74" s="4" cm="1">
        <f t="array" ref="G74">IF($C74&gt;=25,F74,IF($C74&lt;16,INDEX(Sheet1!C:C,$F74),$F74))</f>
        <v>2</v>
      </c>
      <c r="H74" s="4" t="str" cm="1">
        <f t="array" ref="H74">INDEX(Sheet1!D:D,$G74)</f>
        <v>2001-cso-preferred-class-structure-mortality-tables.xls</v>
      </c>
      <c r="I74" s="4" t="str" cm="1">
        <f t="array" ref="I74">INDEX(Sheet1!E:E,$G74)</f>
        <v>A.1.a.i</v>
      </c>
      <c r="J74" s="4" t="str" cm="1">
        <f t="array" ref="J74">IF($C74&gt;=25,INDEX(Sheet1!G:G,$G74),INDEX(Sheet1!F:F,$G74))</f>
        <v>AA8</v>
      </c>
      <c r="K74" s="4" cm="1">
        <f t="array" ref="K74">INDEX(Sheet1!H:H,$G74)</f>
        <v>1E-3</v>
      </c>
      <c r="L74" s="4">
        <f t="shared" si="4"/>
        <v>47</v>
      </c>
      <c r="M74" s="4">
        <f t="shared" si="5"/>
        <v>0</v>
      </c>
    </row>
    <row r="75" spans="1:13">
      <c r="A75" s="4" t="str" cm="1">
        <f t="array" ref="A75">INDEX(Sheet1!A:A,$F75)</f>
        <v>M</v>
      </c>
      <c r="B75" s="4" t="str" cm="1">
        <f t="array" ref="B75">INDEX(Sheet1!B:B,$F75)</f>
        <v>Super-Pref NS</v>
      </c>
      <c r="C75" s="4">
        <f t="shared" si="6"/>
        <v>73</v>
      </c>
      <c r="D75" s="5" cm="1">
        <f t="array" aca="1" ref="D75" ca="1">OFFSET(INDIRECT("'["&amp;$H75&amp;"]"&amp;$I75&amp;"'!"&amp;$J75),$L75,$M75)*$K75</f>
        <v>2.257E-2</v>
      </c>
      <c r="F75" s="4">
        <f t="shared" si="7"/>
        <v>2</v>
      </c>
      <c r="G75" s="4" cm="1">
        <f t="array" ref="G75">IF($C75&gt;=25,F75,IF($C75&lt;16,INDEX(Sheet1!C:C,$F75),$F75))</f>
        <v>2</v>
      </c>
      <c r="H75" s="4" t="str" cm="1">
        <f t="array" ref="H75">INDEX(Sheet1!D:D,$G75)</f>
        <v>2001-cso-preferred-class-structure-mortality-tables.xls</v>
      </c>
      <c r="I75" s="4" t="str" cm="1">
        <f t="array" ref="I75">INDEX(Sheet1!E:E,$G75)</f>
        <v>A.1.a.i</v>
      </c>
      <c r="J75" s="4" t="str" cm="1">
        <f t="array" ref="J75">IF($C75&gt;=25,INDEX(Sheet1!G:G,$G75),INDEX(Sheet1!F:F,$G75))</f>
        <v>AA8</v>
      </c>
      <c r="K75" s="4" cm="1">
        <f t="array" ref="K75">INDEX(Sheet1!H:H,$G75)</f>
        <v>1E-3</v>
      </c>
      <c r="L75" s="4">
        <f t="shared" si="4"/>
        <v>48</v>
      </c>
      <c r="M75" s="4">
        <f t="shared" si="5"/>
        <v>0</v>
      </c>
    </row>
    <row r="76" spans="1:13">
      <c r="A76" s="4" t="str" cm="1">
        <f t="array" ref="A76">INDEX(Sheet1!A:A,$F76)</f>
        <v>M</v>
      </c>
      <c r="B76" s="4" t="str" cm="1">
        <f t="array" ref="B76">INDEX(Sheet1!B:B,$F76)</f>
        <v>Super-Pref NS</v>
      </c>
      <c r="C76" s="4">
        <f t="shared" si="6"/>
        <v>74</v>
      </c>
      <c r="D76" s="5" cm="1">
        <f t="array" aca="1" ref="D76" ca="1">OFFSET(INDIRECT("'["&amp;$H76&amp;"]"&amp;$I76&amp;"'!"&amp;$J76),$L76,$M76)*$K76</f>
        <v>2.4920000000000001E-2</v>
      </c>
      <c r="F76" s="4">
        <f t="shared" si="7"/>
        <v>2</v>
      </c>
      <c r="G76" s="4" cm="1">
        <f t="array" ref="G76">IF($C76&gt;=25,F76,IF($C76&lt;16,INDEX(Sheet1!C:C,$F76),$F76))</f>
        <v>2</v>
      </c>
      <c r="H76" s="4" t="str" cm="1">
        <f t="array" ref="H76">INDEX(Sheet1!D:D,$G76)</f>
        <v>2001-cso-preferred-class-structure-mortality-tables.xls</v>
      </c>
      <c r="I76" s="4" t="str" cm="1">
        <f t="array" ref="I76">INDEX(Sheet1!E:E,$G76)</f>
        <v>A.1.a.i</v>
      </c>
      <c r="J76" s="4" t="str" cm="1">
        <f t="array" ref="J76">IF($C76&gt;=25,INDEX(Sheet1!G:G,$G76),INDEX(Sheet1!F:F,$G76))</f>
        <v>AA8</v>
      </c>
      <c r="K76" s="4" cm="1">
        <f t="array" ref="K76">INDEX(Sheet1!H:H,$G76)</f>
        <v>1E-3</v>
      </c>
      <c r="L76" s="4">
        <f t="shared" si="4"/>
        <v>49</v>
      </c>
      <c r="M76" s="4">
        <f t="shared" si="5"/>
        <v>0</v>
      </c>
    </row>
    <row r="77" spans="1:13">
      <c r="A77" s="4" t="str" cm="1">
        <f t="array" ref="A77">INDEX(Sheet1!A:A,$F77)</f>
        <v>M</v>
      </c>
      <c r="B77" s="4" t="str" cm="1">
        <f t="array" ref="B77">INDEX(Sheet1!B:B,$F77)</f>
        <v>Super-Pref NS</v>
      </c>
      <c r="C77" s="4">
        <f t="shared" si="6"/>
        <v>75</v>
      </c>
      <c r="D77" s="5" cm="1">
        <f t="array" aca="1" ref="D77" ca="1">OFFSET(INDIRECT("'["&amp;$H77&amp;"]"&amp;$I77&amp;"'!"&amp;$J77),$L77,$M77)*$K77</f>
        <v>2.7490000000000001E-2</v>
      </c>
      <c r="F77" s="4">
        <f t="shared" si="7"/>
        <v>2</v>
      </c>
      <c r="G77" s="4" cm="1">
        <f t="array" ref="G77">IF($C77&gt;=25,F77,IF($C77&lt;16,INDEX(Sheet1!C:C,$F77),$F77))</f>
        <v>2</v>
      </c>
      <c r="H77" s="4" t="str" cm="1">
        <f t="array" ref="H77">INDEX(Sheet1!D:D,$G77)</f>
        <v>2001-cso-preferred-class-structure-mortality-tables.xls</v>
      </c>
      <c r="I77" s="4" t="str" cm="1">
        <f t="array" ref="I77">INDEX(Sheet1!E:E,$G77)</f>
        <v>A.1.a.i</v>
      </c>
      <c r="J77" s="4" t="str" cm="1">
        <f t="array" ref="J77">IF($C77&gt;=25,INDEX(Sheet1!G:G,$G77),INDEX(Sheet1!F:F,$G77))</f>
        <v>AA8</v>
      </c>
      <c r="K77" s="4" cm="1">
        <f t="array" ref="K77">INDEX(Sheet1!H:H,$G77)</f>
        <v>1E-3</v>
      </c>
      <c r="L77" s="4">
        <f t="shared" si="4"/>
        <v>50</v>
      </c>
      <c r="M77" s="4">
        <f t="shared" si="5"/>
        <v>0</v>
      </c>
    </row>
    <row r="78" spans="1:13">
      <c r="A78" s="4" t="str" cm="1">
        <f t="array" ref="A78">INDEX(Sheet1!A:A,$F78)</f>
        <v>M</v>
      </c>
      <c r="B78" s="4" t="str" cm="1">
        <f t="array" ref="B78">INDEX(Sheet1!B:B,$F78)</f>
        <v>Super-Pref NS</v>
      </c>
      <c r="C78" s="4">
        <f t="shared" si="6"/>
        <v>76</v>
      </c>
      <c r="D78" s="5" cm="1">
        <f t="array" aca="1" ref="D78" ca="1">OFFSET(INDIRECT("'["&amp;$H78&amp;"]"&amp;$I78&amp;"'!"&amp;$J78),$L78,$M78)*$K78</f>
        <v>3.0980000000000001E-2</v>
      </c>
      <c r="F78" s="4">
        <f t="shared" si="7"/>
        <v>2</v>
      </c>
      <c r="G78" s="4" cm="1">
        <f t="array" ref="G78">IF($C78&gt;=25,F78,IF($C78&lt;16,INDEX(Sheet1!C:C,$F78),$F78))</f>
        <v>2</v>
      </c>
      <c r="H78" s="4" t="str" cm="1">
        <f t="array" ref="H78">INDEX(Sheet1!D:D,$G78)</f>
        <v>2001-cso-preferred-class-structure-mortality-tables.xls</v>
      </c>
      <c r="I78" s="4" t="str" cm="1">
        <f t="array" ref="I78">INDEX(Sheet1!E:E,$G78)</f>
        <v>A.1.a.i</v>
      </c>
      <c r="J78" s="4" t="str" cm="1">
        <f t="array" ref="J78">IF($C78&gt;=25,INDEX(Sheet1!G:G,$G78),INDEX(Sheet1!F:F,$G78))</f>
        <v>AA8</v>
      </c>
      <c r="K78" s="4" cm="1">
        <f t="array" ref="K78">INDEX(Sheet1!H:H,$G78)</f>
        <v>1E-3</v>
      </c>
      <c r="L78" s="4">
        <f t="shared" si="4"/>
        <v>51</v>
      </c>
      <c r="M78" s="4">
        <f t="shared" si="5"/>
        <v>0</v>
      </c>
    </row>
    <row r="79" spans="1:13">
      <c r="A79" s="4" t="str" cm="1">
        <f t="array" ref="A79">INDEX(Sheet1!A:A,$F79)</f>
        <v>M</v>
      </c>
      <c r="B79" s="4" t="str" cm="1">
        <f t="array" ref="B79">INDEX(Sheet1!B:B,$F79)</f>
        <v>Super-Pref NS</v>
      </c>
      <c r="C79" s="4">
        <f t="shared" si="6"/>
        <v>77</v>
      </c>
      <c r="D79" s="5" cm="1">
        <f t="array" aca="1" ref="D79" ca="1">OFFSET(INDIRECT("'["&amp;$H79&amp;"]"&amp;$I79&amp;"'!"&amp;$J79),$L79,$M79)*$K79</f>
        <v>3.5060000000000001E-2</v>
      </c>
      <c r="F79" s="4">
        <f t="shared" si="7"/>
        <v>2</v>
      </c>
      <c r="G79" s="4" cm="1">
        <f t="array" ref="G79">IF($C79&gt;=25,F79,IF($C79&lt;16,INDEX(Sheet1!C:C,$F79),$F79))</f>
        <v>2</v>
      </c>
      <c r="H79" s="4" t="str" cm="1">
        <f t="array" ref="H79">INDEX(Sheet1!D:D,$G79)</f>
        <v>2001-cso-preferred-class-structure-mortality-tables.xls</v>
      </c>
      <c r="I79" s="4" t="str" cm="1">
        <f t="array" ref="I79">INDEX(Sheet1!E:E,$G79)</f>
        <v>A.1.a.i</v>
      </c>
      <c r="J79" s="4" t="str" cm="1">
        <f t="array" ref="J79">IF($C79&gt;=25,INDEX(Sheet1!G:G,$G79),INDEX(Sheet1!F:F,$G79))</f>
        <v>AA8</v>
      </c>
      <c r="K79" s="4" cm="1">
        <f t="array" ref="K79">INDEX(Sheet1!H:H,$G79)</f>
        <v>1E-3</v>
      </c>
      <c r="L79" s="4">
        <f t="shared" si="4"/>
        <v>52</v>
      </c>
      <c r="M79" s="4">
        <f t="shared" si="5"/>
        <v>0</v>
      </c>
    </row>
    <row r="80" spans="1:13">
      <c r="A80" s="4" t="str" cm="1">
        <f t="array" ref="A80">INDEX(Sheet1!A:A,$F80)</f>
        <v>M</v>
      </c>
      <c r="B80" s="4" t="str" cm="1">
        <f t="array" ref="B80">INDEX(Sheet1!B:B,$F80)</f>
        <v>Super-Pref NS</v>
      </c>
      <c r="C80" s="4">
        <f t="shared" si="6"/>
        <v>78</v>
      </c>
      <c r="D80" s="5" cm="1">
        <f t="array" aca="1" ref="D80" ca="1">OFFSET(INDIRECT("'["&amp;$H80&amp;"]"&amp;$I80&amp;"'!"&amp;$J80),$L80,$M80)*$K80</f>
        <v>3.986E-2</v>
      </c>
      <c r="F80" s="4">
        <f t="shared" si="7"/>
        <v>2</v>
      </c>
      <c r="G80" s="4" cm="1">
        <f t="array" ref="G80">IF($C80&gt;=25,F80,IF($C80&lt;16,INDEX(Sheet1!C:C,$F80),$F80))</f>
        <v>2</v>
      </c>
      <c r="H80" s="4" t="str" cm="1">
        <f t="array" ref="H80">INDEX(Sheet1!D:D,$G80)</f>
        <v>2001-cso-preferred-class-structure-mortality-tables.xls</v>
      </c>
      <c r="I80" s="4" t="str" cm="1">
        <f t="array" ref="I80">INDEX(Sheet1!E:E,$G80)</f>
        <v>A.1.a.i</v>
      </c>
      <c r="J80" s="4" t="str" cm="1">
        <f t="array" ref="J80">IF($C80&gt;=25,INDEX(Sheet1!G:G,$G80),INDEX(Sheet1!F:F,$G80))</f>
        <v>AA8</v>
      </c>
      <c r="K80" s="4" cm="1">
        <f t="array" ref="K80">INDEX(Sheet1!H:H,$G80)</f>
        <v>1E-3</v>
      </c>
      <c r="L80" s="4">
        <f t="shared" si="4"/>
        <v>53</v>
      </c>
      <c r="M80" s="4">
        <f t="shared" si="5"/>
        <v>0</v>
      </c>
    </row>
    <row r="81" spans="1:13">
      <c r="A81" s="4" t="str" cm="1">
        <f t="array" ref="A81">INDEX(Sheet1!A:A,$F81)</f>
        <v>M</v>
      </c>
      <c r="B81" s="4" t="str" cm="1">
        <f t="array" ref="B81">INDEX(Sheet1!B:B,$F81)</f>
        <v>Super-Pref NS</v>
      </c>
      <c r="C81" s="4">
        <f t="shared" si="6"/>
        <v>79</v>
      </c>
      <c r="D81" s="5" cm="1">
        <f t="array" aca="1" ref="D81" ca="1">OFFSET(INDIRECT("'["&amp;$H81&amp;"]"&amp;$I81&amp;"'!"&amp;$J81),$L81,$M81)*$K81</f>
        <v>4.548E-2</v>
      </c>
      <c r="F81" s="4">
        <f t="shared" si="7"/>
        <v>2</v>
      </c>
      <c r="G81" s="4" cm="1">
        <f t="array" ref="G81">IF($C81&gt;=25,F81,IF($C81&lt;16,INDEX(Sheet1!C:C,$F81),$F81))</f>
        <v>2</v>
      </c>
      <c r="H81" s="4" t="str" cm="1">
        <f t="array" ref="H81">INDEX(Sheet1!D:D,$G81)</f>
        <v>2001-cso-preferred-class-structure-mortality-tables.xls</v>
      </c>
      <c r="I81" s="4" t="str" cm="1">
        <f t="array" ref="I81">INDEX(Sheet1!E:E,$G81)</f>
        <v>A.1.a.i</v>
      </c>
      <c r="J81" s="4" t="str" cm="1">
        <f t="array" ref="J81">IF($C81&gt;=25,INDEX(Sheet1!G:G,$G81),INDEX(Sheet1!F:F,$G81))</f>
        <v>AA8</v>
      </c>
      <c r="K81" s="4" cm="1">
        <f t="array" ref="K81">INDEX(Sheet1!H:H,$G81)</f>
        <v>1E-3</v>
      </c>
      <c r="L81" s="4">
        <f t="shared" si="4"/>
        <v>54</v>
      </c>
      <c r="M81" s="4">
        <f t="shared" si="5"/>
        <v>0</v>
      </c>
    </row>
    <row r="82" spans="1:13">
      <c r="A82" s="4" t="str" cm="1">
        <f t="array" ref="A82">INDEX(Sheet1!A:A,$F82)</f>
        <v>M</v>
      </c>
      <c r="B82" s="4" t="str" cm="1">
        <f t="array" ref="B82">INDEX(Sheet1!B:B,$F82)</f>
        <v>Super-Pref NS</v>
      </c>
      <c r="C82" s="4">
        <f t="shared" si="6"/>
        <v>80</v>
      </c>
      <c r="D82" s="5" cm="1">
        <f t="array" aca="1" ref="D82" ca="1">OFFSET(INDIRECT("'["&amp;$H82&amp;"]"&amp;$I82&amp;"'!"&amp;$J82),$L82,$M82)*$K82</f>
        <v>5.176E-2</v>
      </c>
      <c r="F82" s="4">
        <f t="shared" si="7"/>
        <v>2</v>
      </c>
      <c r="G82" s="4" cm="1">
        <f t="array" ref="G82">IF($C82&gt;=25,F82,IF($C82&lt;16,INDEX(Sheet1!C:C,$F82),$F82))</f>
        <v>2</v>
      </c>
      <c r="H82" s="4" t="str" cm="1">
        <f t="array" ref="H82">INDEX(Sheet1!D:D,$G82)</f>
        <v>2001-cso-preferred-class-structure-mortality-tables.xls</v>
      </c>
      <c r="I82" s="4" t="str" cm="1">
        <f t="array" ref="I82">INDEX(Sheet1!E:E,$G82)</f>
        <v>A.1.a.i</v>
      </c>
      <c r="J82" s="4" t="str" cm="1">
        <f t="array" ref="J82">IF($C82&gt;=25,INDEX(Sheet1!G:G,$G82),INDEX(Sheet1!F:F,$G82))</f>
        <v>AA8</v>
      </c>
      <c r="K82" s="4" cm="1">
        <f t="array" ref="K82">INDEX(Sheet1!H:H,$G82)</f>
        <v>1E-3</v>
      </c>
      <c r="L82" s="4">
        <f t="shared" si="4"/>
        <v>55</v>
      </c>
      <c r="M82" s="4">
        <f t="shared" si="5"/>
        <v>0</v>
      </c>
    </row>
    <row r="83" spans="1:13">
      <c r="A83" s="4" t="str" cm="1">
        <f t="array" ref="A83">INDEX(Sheet1!A:A,$F83)</f>
        <v>M</v>
      </c>
      <c r="B83" s="4" t="str" cm="1">
        <f t="array" ref="B83">INDEX(Sheet1!B:B,$F83)</f>
        <v>Super-Pref NS</v>
      </c>
      <c r="C83" s="4">
        <f t="shared" si="6"/>
        <v>81</v>
      </c>
      <c r="D83" s="5" cm="1">
        <f t="array" aca="1" ref="D83" ca="1">OFFSET(INDIRECT("'["&amp;$H83&amp;"]"&amp;$I83&amp;"'!"&amp;$J83),$L83,$M83)*$K83</f>
        <v>5.901E-2</v>
      </c>
      <c r="F83" s="4">
        <f t="shared" si="7"/>
        <v>2</v>
      </c>
      <c r="G83" s="4" cm="1">
        <f t="array" ref="G83">IF($C83&gt;=25,F83,IF($C83&lt;16,INDEX(Sheet1!C:C,$F83),$F83))</f>
        <v>2</v>
      </c>
      <c r="H83" s="4" t="str" cm="1">
        <f t="array" ref="H83">INDEX(Sheet1!D:D,$G83)</f>
        <v>2001-cso-preferred-class-structure-mortality-tables.xls</v>
      </c>
      <c r="I83" s="4" t="str" cm="1">
        <f t="array" ref="I83">INDEX(Sheet1!E:E,$G83)</f>
        <v>A.1.a.i</v>
      </c>
      <c r="J83" s="4" t="str" cm="1">
        <f t="array" ref="J83">IF($C83&gt;=25,INDEX(Sheet1!G:G,$G83),INDEX(Sheet1!F:F,$G83))</f>
        <v>AA8</v>
      </c>
      <c r="K83" s="4" cm="1">
        <f t="array" ref="K83">INDEX(Sheet1!H:H,$G83)</f>
        <v>1E-3</v>
      </c>
      <c r="L83" s="4">
        <f t="shared" si="4"/>
        <v>56</v>
      </c>
      <c r="M83" s="4">
        <f t="shared" si="5"/>
        <v>0</v>
      </c>
    </row>
    <row r="84" spans="1:13">
      <c r="A84" s="4" t="str" cm="1">
        <f t="array" ref="A84">INDEX(Sheet1!A:A,$F84)</f>
        <v>M</v>
      </c>
      <c r="B84" s="4" t="str" cm="1">
        <f t="array" ref="B84">INDEX(Sheet1!B:B,$F84)</f>
        <v>Super-Pref NS</v>
      </c>
      <c r="C84" s="4">
        <f t="shared" si="6"/>
        <v>82</v>
      </c>
      <c r="D84" s="5" cm="1">
        <f t="array" aca="1" ref="D84" ca="1">OFFSET(INDIRECT("'["&amp;$H84&amp;"]"&amp;$I84&amp;"'!"&amp;$J84),$L84,$M84)*$K84</f>
        <v>6.6769999999999996E-2</v>
      </c>
      <c r="F84" s="4">
        <f t="shared" si="7"/>
        <v>2</v>
      </c>
      <c r="G84" s="4" cm="1">
        <f t="array" ref="G84">IF($C84&gt;=25,F84,IF($C84&lt;16,INDEX(Sheet1!C:C,$F84),$F84))</f>
        <v>2</v>
      </c>
      <c r="H84" s="4" t="str" cm="1">
        <f t="array" ref="H84">INDEX(Sheet1!D:D,$G84)</f>
        <v>2001-cso-preferred-class-structure-mortality-tables.xls</v>
      </c>
      <c r="I84" s="4" t="str" cm="1">
        <f t="array" ref="I84">INDEX(Sheet1!E:E,$G84)</f>
        <v>A.1.a.i</v>
      </c>
      <c r="J84" s="4" t="str" cm="1">
        <f t="array" ref="J84">IF($C84&gt;=25,INDEX(Sheet1!G:G,$G84),INDEX(Sheet1!F:F,$G84))</f>
        <v>AA8</v>
      </c>
      <c r="K84" s="4" cm="1">
        <f t="array" ref="K84">INDEX(Sheet1!H:H,$G84)</f>
        <v>1E-3</v>
      </c>
      <c r="L84" s="4">
        <f t="shared" si="4"/>
        <v>57</v>
      </c>
      <c r="M84" s="4">
        <f t="shared" si="5"/>
        <v>0</v>
      </c>
    </row>
    <row r="85" spans="1:13">
      <c r="A85" s="4" t="str" cm="1">
        <f t="array" ref="A85">INDEX(Sheet1!A:A,$F85)</f>
        <v>M</v>
      </c>
      <c r="B85" s="4" t="str" cm="1">
        <f t="array" ref="B85">INDEX(Sheet1!B:B,$F85)</f>
        <v>Super-Pref NS</v>
      </c>
      <c r="C85" s="4">
        <f t="shared" si="6"/>
        <v>83</v>
      </c>
      <c r="D85" s="5" cm="1">
        <f t="array" aca="1" ref="D85" ca="1">OFFSET(INDIRECT("'["&amp;$H85&amp;"]"&amp;$I85&amp;"'!"&amp;$J85),$L85,$M85)*$K85</f>
        <v>7.5319999999999998E-2</v>
      </c>
      <c r="F85" s="4">
        <f t="shared" si="7"/>
        <v>2</v>
      </c>
      <c r="G85" s="4" cm="1">
        <f t="array" ref="G85">IF($C85&gt;=25,F85,IF($C85&lt;16,INDEX(Sheet1!C:C,$F85),$F85))</f>
        <v>2</v>
      </c>
      <c r="H85" s="4" t="str" cm="1">
        <f t="array" ref="H85">INDEX(Sheet1!D:D,$G85)</f>
        <v>2001-cso-preferred-class-structure-mortality-tables.xls</v>
      </c>
      <c r="I85" s="4" t="str" cm="1">
        <f t="array" ref="I85">INDEX(Sheet1!E:E,$G85)</f>
        <v>A.1.a.i</v>
      </c>
      <c r="J85" s="4" t="str" cm="1">
        <f t="array" ref="J85">IF($C85&gt;=25,INDEX(Sheet1!G:G,$G85),INDEX(Sheet1!F:F,$G85))</f>
        <v>AA8</v>
      </c>
      <c r="K85" s="4" cm="1">
        <f t="array" ref="K85">INDEX(Sheet1!H:H,$G85)</f>
        <v>1E-3</v>
      </c>
      <c r="L85" s="4">
        <f t="shared" si="4"/>
        <v>58</v>
      </c>
      <c r="M85" s="4">
        <f t="shared" si="5"/>
        <v>0</v>
      </c>
    </row>
    <row r="86" spans="1:13">
      <c r="A86" s="4" t="str" cm="1">
        <f t="array" ref="A86">INDEX(Sheet1!A:A,$F86)</f>
        <v>M</v>
      </c>
      <c r="B86" s="4" t="str" cm="1">
        <f t="array" ref="B86">INDEX(Sheet1!B:B,$F86)</f>
        <v>Super-Pref NS</v>
      </c>
      <c r="C86" s="4">
        <f t="shared" si="6"/>
        <v>84</v>
      </c>
      <c r="D86" s="5" cm="1">
        <f t="array" aca="1" ref="D86" ca="1">OFFSET(INDIRECT("'["&amp;$H86&amp;"]"&amp;$I86&amp;"'!"&amp;$J86),$L86,$M86)*$K86</f>
        <v>8.4959999999999994E-2</v>
      </c>
      <c r="F86" s="4">
        <f t="shared" si="7"/>
        <v>2</v>
      </c>
      <c r="G86" s="4" cm="1">
        <f t="array" ref="G86">IF($C86&gt;=25,F86,IF($C86&lt;16,INDEX(Sheet1!C:C,$F86),$F86))</f>
        <v>2</v>
      </c>
      <c r="H86" s="4" t="str" cm="1">
        <f t="array" ref="H86">INDEX(Sheet1!D:D,$G86)</f>
        <v>2001-cso-preferred-class-structure-mortality-tables.xls</v>
      </c>
      <c r="I86" s="4" t="str" cm="1">
        <f t="array" ref="I86">INDEX(Sheet1!E:E,$G86)</f>
        <v>A.1.a.i</v>
      </c>
      <c r="J86" s="4" t="str" cm="1">
        <f t="array" ref="J86">IF($C86&gt;=25,INDEX(Sheet1!G:G,$G86),INDEX(Sheet1!F:F,$G86))</f>
        <v>AA8</v>
      </c>
      <c r="K86" s="4" cm="1">
        <f t="array" ref="K86">INDEX(Sheet1!H:H,$G86)</f>
        <v>1E-3</v>
      </c>
      <c r="L86" s="4">
        <f t="shared" si="4"/>
        <v>59</v>
      </c>
      <c r="M86" s="4">
        <f t="shared" si="5"/>
        <v>0</v>
      </c>
    </row>
    <row r="87" spans="1:13">
      <c r="A87" s="4" t="str" cm="1">
        <f t="array" ref="A87">INDEX(Sheet1!A:A,$F87)</f>
        <v>M</v>
      </c>
      <c r="B87" s="4" t="str" cm="1">
        <f t="array" ref="B87">INDEX(Sheet1!B:B,$F87)</f>
        <v>Super-Pref NS</v>
      </c>
      <c r="C87" s="4">
        <f t="shared" si="6"/>
        <v>85</v>
      </c>
      <c r="D87" s="5" cm="1">
        <f t="array" aca="1" ref="D87" ca="1">OFFSET(INDIRECT("'["&amp;$H87&amp;"]"&amp;$I87&amp;"'!"&amp;$J87),$L87,$M87)*$K87</f>
        <v>9.5870000000000011E-2</v>
      </c>
      <c r="F87" s="4">
        <f t="shared" si="7"/>
        <v>2</v>
      </c>
      <c r="G87" s="4" cm="1">
        <f t="array" ref="G87">IF($C87&gt;=25,F87,IF($C87&lt;16,INDEX(Sheet1!C:C,$F87),$F87))</f>
        <v>2</v>
      </c>
      <c r="H87" s="4" t="str" cm="1">
        <f t="array" ref="H87">INDEX(Sheet1!D:D,$G87)</f>
        <v>2001-cso-preferred-class-structure-mortality-tables.xls</v>
      </c>
      <c r="I87" s="4" t="str" cm="1">
        <f t="array" ref="I87">INDEX(Sheet1!E:E,$G87)</f>
        <v>A.1.a.i</v>
      </c>
      <c r="J87" s="4" t="str" cm="1">
        <f t="array" ref="J87">IF($C87&gt;=25,INDEX(Sheet1!G:G,$G87),INDEX(Sheet1!F:F,$G87))</f>
        <v>AA8</v>
      </c>
      <c r="K87" s="4" cm="1">
        <f t="array" ref="K87">INDEX(Sheet1!H:H,$G87)</f>
        <v>1E-3</v>
      </c>
      <c r="L87" s="4">
        <f t="shared" si="4"/>
        <v>60</v>
      </c>
      <c r="M87" s="4">
        <f t="shared" si="5"/>
        <v>0</v>
      </c>
    </row>
    <row r="88" spans="1:13">
      <c r="A88" s="4" t="str" cm="1">
        <f t="array" ref="A88">INDEX(Sheet1!A:A,$F88)</f>
        <v>M</v>
      </c>
      <c r="B88" s="4" t="str" cm="1">
        <f t="array" ref="B88">INDEX(Sheet1!B:B,$F88)</f>
        <v>Super-Pref NS</v>
      </c>
      <c r="C88" s="4">
        <f t="shared" si="6"/>
        <v>86</v>
      </c>
      <c r="D88" s="5" cm="1">
        <f t="array" aca="1" ref="D88" ca="1">OFFSET(INDIRECT("'["&amp;$H88&amp;"]"&amp;$I88&amp;"'!"&amp;$J88),$L88,$M88)*$K88</f>
        <v>0.10818999999999999</v>
      </c>
      <c r="F88" s="4">
        <f t="shared" si="7"/>
        <v>2</v>
      </c>
      <c r="G88" s="4" cm="1">
        <f t="array" ref="G88">IF($C88&gt;=25,F88,IF($C88&lt;16,INDEX(Sheet1!C:C,$F88),$F88))</f>
        <v>2</v>
      </c>
      <c r="H88" s="4" t="str" cm="1">
        <f t="array" ref="H88">INDEX(Sheet1!D:D,$G88)</f>
        <v>2001-cso-preferred-class-structure-mortality-tables.xls</v>
      </c>
      <c r="I88" s="4" t="str" cm="1">
        <f t="array" ref="I88">INDEX(Sheet1!E:E,$G88)</f>
        <v>A.1.a.i</v>
      </c>
      <c r="J88" s="4" t="str" cm="1">
        <f t="array" ref="J88">IF($C88&gt;=25,INDEX(Sheet1!G:G,$G88),INDEX(Sheet1!F:F,$G88))</f>
        <v>AA8</v>
      </c>
      <c r="K88" s="4" cm="1">
        <f t="array" ref="K88">INDEX(Sheet1!H:H,$G88)</f>
        <v>1E-3</v>
      </c>
      <c r="L88" s="4">
        <f t="shared" si="4"/>
        <v>61</v>
      </c>
      <c r="M88" s="4">
        <f t="shared" si="5"/>
        <v>0</v>
      </c>
    </row>
    <row r="89" spans="1:13">
      <c r="A89" s="4" t="str" cm="1">
        <f t="array" ref="A89">INDEX(Sheet1!A:A,$F89)</f>
        <v>M</v>
      </c>
      <c r="B89" s="4" t="str" cm="1">
        <f t="array" ref="B89">INDEX(Sheet1!B:B,$F89)</f>
        <v>Super-Pref NS</v>
      </c>
      <c r="C89" s="4">
        <f t="shared" si="6"/>
        <v>87</v>
      </c>
      <c r="D89" s="5" cm="1">
        <f t="array" aca="1" ref="D89" ca="1">OFFSET(INDIRECT("'["&amp;$H89&amp;"]"&amp;$I89&amp;"'!"&amp;$J89),$L89,$M89)*$K89</f>
        <v>0.12188</v>
      </c>
      <c r="F89" s="4">
        <f t="shared" si="7"/>
        <v>2</v>
      </c>
      <c r="G89" s="4" cm="1">
        <f t="array" ref="G89">IF($C89&gt;=25,F89,IF($C89&lt;16,INDEX(Sheet1!C:C,$F89),$F89))</f>
        <v>2</v>
      </c>
      <c r="H89" s="4" t="str" cm="1">
        <f t="array" ref="H89">INDEX(Sheet1!D:D,$G89)</f>
        <v>2001-cso-preferred-class-structure-mortality-tables.xls</v>
      </c>
      <c r="I89" s="4" t="str" cm="1">
        <f t="array" ref="I89">INDEX(Sheet1!E:E,$G89)</f>
        <v>A.1.a.i</v>
      </c>
      <c r="J89" s="4" t="str" cm="1">
        <f t="array" ref="J89">IF($C89&gt;=25,INDEX(Sheet1!G:G,$G89),INDEX(Sheet1!F:F,$G89))</f>
        <v>AA8</v>
      </c>
      <c r="K89" s="4" cm="1">
        <f t="array" ref="K89">INDEX(Sheet1!H:H,$G89)</f>
        <v>1E-3</v>
      </c>
      <c r="L89" s="4">
        <f t="shared" si="4"/>
        <v>62</v>
      </c>
      <c r="M89" s="4">
        <f t="shared" si="5"/>
        <v>0</v>
      </c>
    </row>
    <row r="90" spans="1:13">
      <c r="A90" s="4" t="str" cm="1">
        <f t="array" ref="A90">INDEX(Sheet1!A:A,$F90)</f>
        <v>M</v>
      </c>
      <c r="B90" s="4" t="str" cm="1">
        <f t="array" ref="B90">INDEX(Sheet1!B:B,$F90)</f>
        <v>Super-Pref NS</v>
      </c>
      <c r="C90" s="4">
        <f t="shared" si="6"/>
        <v>88</v>
      </c>
      <c r="D90" s="5" cm="1">
        <f t="array" aca="1" ref="D90" ca="1">OFFSET(INDIRECT("'["&amp;$H90&amp;"]"&amp;$I90&amp;"'!"&amp;$J90),$L90,$M90)*$K90</f>
        <v>0.13686000000000001</v>
      </c>
      <c r="F90" s="4">
        <f t="shared" si="7"/>
        <v>2</v>
      </c>
      <c r="G90" s="4" cm="1">
        <f t="array" ref="G90">IF($C90&gt;=25,F90,IF($C90&lt;16,INDEX(Sheet1!C:C,$F90),$F90))</f>
        <v>2</v>
      </c>
      <c r="H90" s="4" t="str" cm="1">
        <f t="array" ref="H90">INDEX(Sheet1!D:D,$G90)</f>
        <v>2001-cso-preferred-class-structure-mortality-tables.xls</v>
      </c>
      <c r="I90" s="4" t="str" cm="1">
        <f t="array" ref="I90">INDEX(Sheet1!E:E,$G90)</f>
        <v>A.1.a.i</v>
      </c>
      <c r="J90" s="4" t="str" cm="1">
        <f t="array" ref="J90">IF($C90&gt;=25,INDEX(Sheet1!G:G,$G90),INDEX(Sheet1!F:F,$G90))</f>
        <v>AA8</v>
      </c>
      <c r="K90" s="4" cm="1">
        <f t="array" ref="K90">INDEX(Sheet1!H:H,$G90)</f>
        <v>1E-3</v>
      </c>
      <c r="L90" s="4">
        <f t="shared" si="4"/>
        <v>63</v>
      </c>
      <c r="M90" s="4">
        <f t="shared" si="5"/>
        <v>0</v>
      </c>
    </row>
    <row r="91" spans="1:13">
      <c r="A91" s="4" t="str" cm="1">
        <f t="array" ref="A91">INDEX(Sheet1!A:A,$F91)</f>
        <v>M</v>
      </c>
      <c r="B91" s="4" t="str" cm="1">
        <f t="array" ref="B91">INDEX(Sheet1!B:B,$F91)</f>
        <v>Super-Pref NS</v>
      </c>
      <c r="C91" s="4">
        <f t="shared" si="6"/>
        <v>89</v>
      </c>
      <c r="D91" s="5" cm="1">
        <f t="array" aca="1" ref="D91" ca="1">OFFSET(INDIRECT("'["&amp;$H91&amp;"]"&amp;$I91&amp;"'!"&amp;$J91),$L91,$M91)*$K91</f>
        <v>0.15302000000000002</v>
      </c>
      <c r="F91" s="4">
        <f t="shared" si="7"/>
        <v>2</v>
      </c>
      <c r="G91" s="4" cm="1">
        <f t="array" ref="G91">IF($C91&gt;=25,F91,IF($C91&lt;16,INDEX(Sheet1!C:C,$F91),$F91))</f>
        <v>2</v>
      </c>
      <c r="H91" s="4" t="str" cm="1">
        <f t="array" ref="H91">INDEX(Sheet1!D:D,$G91)</f>
        <v>2001-cso-preferred-class-structure-mortality-tables.xls</v>
      </c>
      <c r="I91" s="4" t="str" cm="1">
        <f t="array" ref="I91">INDEX(Sheet1!E:E,$G91)</f>
        <v>A.1.a.i</v>
      </c>
      <c r="J91" s="4" t="str" cm="1">
        <f t="array" ref="J91">IF($C91&gt;=25,INDEX(Sheet1!G:G,$G91),INDEX(Sheet1!F:F,$G91))</f>
        <v>AA8</v>
      </c>
      <c r="K91" s="4" cm="1">
        <f t="array" ref="K91">INDEX(Sheet1!H:H,$G91)</f>
        <v>1E-3</v>
      </c>
      <c r="L91" s="4">
        <f t="shared" si="4"/>
        <v>64</v>
      </c>
      <c r="M91" s="4">
        <f t="shared" si="5"/>
        <v>0</v>
      </c>
    </row>
    <row r="92" spans="1:13">
      <c r="A92" s="4" t="str" cm="1">
        <f t="array" ref="A92">INDEX(Sheet1!A:A,$F92)</f>
        <v>M</v>
      </c>
      <c r="B92" s="4" t="str" cm="1">
        <f t="array" ref="B92">INDEX(Sheet1!B:B,$F92)</f>
        <v>Super-Pref NS</v>
      </c>
      <c r="C92" s="4">
        <f t="shared" si="6"/>
        <v>90</v>
      </c>
      <c r="D92" s="5" cm="1">
        <f t="array" aca="1" ref="D92" ca="1">OFFSET(INDIRECT("'["&amp;$H92&amp;"]"&amp;$I92&amp;"'!"&amp;$J92),$L92,$M92)*$K92</f>
        <v>0.17030000000000001</v>
      </c>
      <c r="F92" s="4">
        <f t="shared" si="7"/>
        <v>2</v>
      </c>
      <c r="G92" s="4" cm="1">
        <f t="array" ref="G92">IF($C92&gt;=25,F92,IF($C92&lt;16,INDEX(Sheet1!C:C,$F92),$F92))</f>
        <v>2</v>
      </c>
      <c r="H92" s="4" t="str" cm="1">
        <f t="array" ref="H92">INDEX(Sheet1!D:D,$G92)</f>
        <v>2001-cso-preferred-class-structure-mortality-tables.xls</v>
      </c>
      <c r="I92" s="4" t="str" cm="1">
        <f t="array" ref="I92">INDEX(Sheet1!E:E,$G92)</f>
        <v>A.1.a.i</v>
      </c>
      <c r="J92" s="4" t="str" cm="1">
        <f t="array" ref="J92">IF($C92&gt;=25,INDEX(Sheet1!G:G,$G92),INDEX(Sheet1!F:F,$G92))</f>
        <v>AA8</v>
      </c>
      <c r="K92" s="4" cm="1">
        <f t="array" ref="K92">INDEX(Sheet1!H:H,$G92)</f>
        <v>1E-3</v>
      </c>
      <c r="L92" s="4">
        <f t="shared" si="4"/>
        <v>65</v>
      </c>
      <c r="M92" s="4">
        <f t="shared" si="5"/>
        <v>0</v>
      </c>
    </row>
    <row r="93" spans="1:13">
      <c r="A93" s="4" t="str" cm="1">
        <f t="array" ref="A93">INDEX(Sheet1!A:A,$F93)</f>
        <v>M</v>
      </c>
      <c r="B93" s="4" t="str" cm="1">
        <f t="array" ref="B93">INDEX(Sheet1!B:B,$F93)</f>
        <v>Super-Pref NS</v>
      </c>
      <c r="C93" s="4">
        <f t="shared" si="6"/>
        <v>91</v>
      </c>
      <c r="D93" s="5" cm="1">
        <f t="array" aca="1" ref="D93" ca="1">OFFSET(INDIRECT("'["&amp;$H93&amp;"]"&amp;$I93&amp;"'!"&amp;$J93),$L93,$M93)*$K93</f>
        <v>0.18720000000000001</v>
      </c>
      <c r="F93" s="4">
        <f t="shared" si="7"/>
        <v>2</v>
      </c>
      <c r="G93" s="4" cm="1">
        <f t="array" ref="G93">IF($C93&gt;=25,F93,IF($C93&lt;16,INDEX(Sheet1!C:C,$F93),$F93))</f>
        <v>2</v>
      </c>
      <c r="H93" s="4" t="str" cm="1">
        <f t="array" ref="H93">INDEX(Sheet1!D:D,$G93)</f>
        <v>2001-cso-preferred-class-structure-mortality-tables.xls</v>
      </c>
      <c r="I93" s="4" t="str" cm="1">
        <f t="array" ref="I93">INDEX(Sheet1!E:E,$G93)</f>
        <v>A.1.a.i</v>
      </c>
      <c r="J93" s="4" t="str" cm="1">
        <f t="array" ref="J93">IF($C93&gt;=25,INDEX(Sheet1!G:G,$G93),INDEX(Sheet1!F:F,$G93))</f>
        <v>AA8</v>
      </c>
      <c r="K93" s="4" cm="1">
        <f t="array" ref="K93">INDEX(Sheet1!H:H,$G93)</f>
        <v>1E-3</v>
      </c>
      <c r="L93" s="4">
        <f t="shared" si="4"/>
        <v>66</v>
      </c>
      <c r="M93" s="4">
        <f t="shared" si="5"/>
        <v>0</v>
      </c>
    </row>
    <row r="94" spans="1:13">
      <c r="A94" s="4" t="str" cm="1">
        <f t="array" ref="A94">INDEX(Sheet1!A:A,$F94)</f>
        <v>M</v>
      </c>
      <c r="B94" s="4" t="str" cm="1">
        <f t="array" ref="B94">INDEX(Sheet1!B:B,$F94)</f>
        <v>Super-Pref NS</v>
      </c>
      <c r="C94" s="4">
        <f t="shared" si="6"/>
        <v>92</v>
      </c>
      <c r="D94" s="5" cm="1">
        <f t="array" aca="1" ref="D94" ca="1">OFFSET(INDIRECT("'["&amp;$H94&amp;"]"&amp;$I94&amp;"'!"&amp;$J94),$L94,$M94)*$K94</f>
        <v>0.20519000000000001</v>
      </c>
      <c r="F94" s="4">
        <f t="shared" si="7"/>
        <v>2</v>
      </c>
      <c r="G94" s="4" cm="1">
        <f t="array" ref="G94">IF($C94&gt;=25,F94,IF($C94&lt;16,INDEX(Sheet1!C:C,$F94),$F94))</f>
        <v>2</v>
      </c>
      <c r="H94" s="4" t="str" cm="1">
        <f t="array" ref="H94">INDEX(Sheet1!D:D,$G94)</f>
        <v>2001-cso-preferred-class-structure-mortality-tables.xls</v>
      </c>
      <c r="I94" s="4" t="str" cm="1">
        <f t="array" ref="I94">INDEX(Sheet1!E:E,$G94)</f>
        <v>A.1.a.i</v>
      </c>
      <c r="J94" s="4" t="str" cm="1">
        <f t="array" ref="J94">IF($C94&gt;=25,INDEX(Sheet1!G:G,$G94),INDEX(Sheet1!F:F,$G94))</f>
        <v>AA8</v>
      </c>
      <c r="K94" s="4" cm="1">
        <f t="array" ref="K94">INDEX(Sheet1!H:H,$G94)</f>
        <v>1E-3</v>
      </c>
      <c r="L94" s="4">
        <f t="shared" si="4"/>
        <v>67</v>
      </c>
      <c r="M94" s="4">
        <f t="shared" si="5"/>
        <v>0</v>
      </c>
    </row>
    <row r="95" spans="1:13">
      <c r="A95" s="4" t="str" cm="1">
        <f t="array" ref="A95">INDEX(Sheet1!A:A,$F95)</f>
        <v>M</v>
      </c>
      <c r="B95" s="4" t="str" cm="1">
        <f t="array" ref="B95">INDEX(Sheet1!B:B,$F95)</f>
        <v>Super-Pref NS</v>
      </c>
      <c r="C95" s="4">
        <f t="shared" si="6"/>
        <v>93</v>
      </c>
      <c r="D95" s="5" cm="1">
        <f t="array" aca="1" ref="D95" ca="1">OFFSET(INDIRECT("'["&amp;$H95&amp;"]"&amp;$I95&amp;"'!"&amp;$J95),$L95,$M95)*$K95</f>
        <v>0.22447999999999999</v>
      </c>
      <c r="F95" s="4">
        <f t="shared" si="7"/>
        <v>2</v>
      </c>
      <c r="G95" s="4" cm="1">
        <f t="array" ref="G95">IF($C95&gt;=25,F95,IF($C95&lt;16,INDEX(Sheet1!C:C,$F95),$F95))</f>
        <v>2</v>
      </c>
      <c r="H95" s="4" t="str" cm="1">
        <f t="array" ref="H95">INDEX(Sheet1!D:D,$G95)</f>
        <v>2001-cso-preferred-class-structure-mortality-tables.xls</v>
      </c>
      <c r="I95" s="4" t="str" cm="1">
        <f t="array" ref="I95">INDEX(Sheet1!E:E,$G95)</f>
        <v>A.1.a.i</v>
      </c>
      <c r="J95" s="4" t="str" cm="1">
        <f t="array" ref="J95">IF($C95&gt;=25,INDEX(Sheet1!G:G,$G95),INDEX(Sheet1!F:F,$G95))</f>
        <v>AA8</v>
      </c>
      <c r="K95" s="4" cm="1">
        <f t="array" ref="K95">INDEX(Sheet1!H:H,$G95)</f>
        <v>1E-3</v>
      </c>
      <c r="L95" s="4">
        <f t="shared" si="4"/>
        <v>68</v>
      </c>
      <c r="M95" s="4">
        <f t="shared" si="5"/>
        <v>0</v>
      </c>
    </row>
    <row r="96" spans="1:13">
      <c r="A96" s="4" t="str" cm="1">
        <f t="array" ref="A96">INDEX(Sheet1!A:A,$F96)</f>
        <v>M</v>
      </c>
      <c r="B96" s="4" t="str" cm="1">
        <f t="array" ref="B96">INDEX(Sheet1!B:B,$F96)</f>
        <v>Super-Pref NS</v>
      </c>
      <c r="C96" s="4">
        <f t="shared" si="6"/>
        <v>94</v>
      </c>
      <c r="D96" s="5" cm="1">
        <f t="array" aca="1" ref="D96" ca="1">OFFSET(INDIRECT("'["&amp;$H96&amp;"]"&amp;$I96&amp;"'!"&amp;$J96),$L96,$M96)*$K96</f>
        <v>0.24517</v>
      </c>
      <c r="F96" s="4">
        <f t="shared" si="7"/>
        <v>2</v>
      </c>
      <c r="G96" s="4" cm="1">
        <f t="array" ref="G96">IF($C96&gt;=25,F96,IF($C96&lt;16,INDEX(Sheet1!C:C,$F96),$F96))</f>
        <v>2</v>
      </c>
      <c r="H96" s="4" t="str" cm="1">
        <f t="array" ref="H96">INDEX(Sheet1!D:D,$G96)</f>
        <v>2001-cso-preferred-class-structure-mortality-tables.xls</v>
      </c>
      <c r="I96" s="4" t="str" cm="1">
        <f t="array" ref="I96">INDEX(Sheet1!E:E,$G96)</f>
        <v>A.1.a.i</v>
      </c>
      <c r="J96" s="4" t="str" cm="1">
        <f t="array" ref="J96">IF($C96&gt;=25,INDEX(Sheet1!G:G,$G96),INDEX(Sheet1!F:F,$G96))</f>
        <v>AA8</v>
      </c>
      <c r="K96" s="4" cm="1">
        <f t="array" ref="K96">INDEX(Sheet1!H:H,$G96)</f>
        <v>1E-3</v>
      </c>
      <c r="L96" s="4">
        <f t="shared" si="4"/>
        <v>69</v>
      </c>
      <c r="M96" s="4">
        <f t="shared" si="5"/>
        <v>0</v>
      </c>
    </row>
    <row r="97" spans="1:13">
      <c r="A97" s="4" t="str" cm="1">
        <f t="array" ref="A97">INDEX(Sheet1!A:A,$F97)</f>
        <v>M</v>
      </c>
      <c r="B97" s="4" t="str" cm="1">
        <f t="array" ref="B97">INDEX(Sheet1!B:B,$F97)</f>
        <v>Super-Pref NS</v>
      </c>
      <c r="C97" s="4">
        <f t="shared" si="6"/>
        <v>95</v>
      </c>
      <c r="D97" s="5" cm="1">
        <f t="array" aca="1" ref="D97" ca="1">OFFSET(INDIRECT("'["&amp;$H97&amp;"]"&amp;$I97&amp;"'!"&amp;$J97),$L97,$M97)*$K97</f>
        <v>0.26718999999999998</v>
      </c>
      <c r="F97" s="4">
        <f t="shared" si="7"/>
        <v>2</v>
      </c>
      <c r="G97" s="4" cm="1">
        <f t="array" ref="G97">IF($C97&gt;=25,F97,IF($C97&lt;16,INDEX(Sheet1!C:C,$F97),$F97))</f>
        <v>2</v>
      </c>
      <c r="H97" s="4" t="str" cm="1">
        <f t="array" ref="H97">INDEX(Sheet1!D:D,$G97)</f>
        <v>2001-cso-preferred-class-structure-mortality-tables.xls</v>
      </c>
      <c r="I97" s="4" t="str" cm="1">
        <f t="array" ref="I97">INDEX(Sheet1!E:E,$G97)</f>
        <v>A.1.a.i</v>
      </c>
      <c r="J97" s="4" t="str" cm="1">
        <f t="array" ref="J97">IF($C97&gt;=25,INDEX(Sheet1!G:G,$G97),INDEX(Sheet1!F:F,$G97))</f>
        <v>AA8</v>
      </c>
      <c r="K97" s="4" cm="1">
        <f t="array" ref="K97">INDEX(Sheet1!H:H,$G97)</f>
        <v>1E-3</v>
      </c>
      <c r="L97" s="4">
        <f t="shared" si="4"/>
        <v>70</v>
      </c>
      <c r="M97" s="4">
        <f t="shared" si="5"/>
        <v>0</v>
      </c>
    </row>
    <row r="98" spans="1:13">
      <c r="A98" s="4" t="str" cm="1">
        <f t="array" ref="A98">INDEX(Sheet1!A:A,$F98)</f>
        <v>M</v>
      </c>
      <c r="B98" s="4" t="str" cm="1">
        <f t="array" ref="B98">INDEX(Sheet1!B:B,$F98)</f>
        <v>Super-Pref NS</v>
      </c>
      <c r="C98" s="4">
        <f t="shared" si="6"/>
        <v>96</v>
      </c>
      <c r="D98" s="5" cm="1">
        <f t="array" aca="1" ref="D98" ca="1">OFFSET(INDIRECT("'["&amp;$H98&amp;"]"&amp;$I98&amp;"'!"&amp;$J98),$L98,$M98)*$K98</f>
        <v>0.28379000000000004</v>
      </c>
      <c r="F98" s="4">
        <f t="shared" si="7"/>
        <v>2</v>
      </c>
      <c r="G98" s="4" cm="1">
        <f t="array" ref="G98">IF($C98&gt;=25,F98,IF($C98&lt;16,INDEX(Sheet1!C:C,$F98),$F98))</f>
        <v>2</v>
      </c>
      <c r="H98" s="4" t="str" cm="1">
        <f t="array" ref="H98">INDEX(Sheet1!D:D,$G98)</f>
        <v>2001-cso-preferred-class-structure-mortality-tables.xls</v>
      </c>
      <c r="I98" s="4" t="str" cm="1">
        <f t="array" ref="I98">INDEX(Sheet1!E:E,$G98)</f>
        <v>A.1.a.i</v>
      </c>
      <c r="J98" s="4" t="str" cm="1">
        <f t="array" ref="J98">IF($C98&gt;=25,INDEX(Sheet1!G:G,$G98),INDEX(Sheet1!F:F,$G98))</f>
        <v>AA8</v>
      </c>
      <c r="K98" s="4" cm="1">
        <f t="array" ref="K98">INDEX(Sheet1!H:H,$G98)</f>
        <v>1E-3</v>
      </c>
      <c r="L98" s="4">
        <f t="shared" si="4"/>
        <v>71</v>
      </c>
      <c r="M98" s="4">
        <f t="shared" si="5"/>
        <v>0</v>
      </c>
    </row>
    <row r="99" spans="1:13">
      <c r="A99" s="4" t="str" cm="1">
        <f t="array" ref="A99">INDEX(Sheet1!A:A,$F99)</f>
        <v>M</v>
      </c>
      <c r="B99" s="4" t="str" cm="1">
        <f t="array" ref="B99">INDEX(Sheet1!B:B,$F99)</f>
        <v>Super-Pref NS</v>
      </c>
      <c r="C99" s="4">
        <f t="shared" si="6"/>
        <v>97</v>
      </c>
      <c r="D99" s="5" cm="1">
        <f t="array" aca="1" ref="D99" ca="1">OFFSET(INDIRECT("'["&amp;$H99&amp;"]"&amp;$I99&amp;"'!"&amp;$J99),$L99,$M99)*$K99</f>
        <v>0.30149000000000004</v>
      </c>
      <c r="F99" s="4">
        <f t="shared" si="7"/>
        <v>2</v>
      </c>
      <c r="G99" s="4" cm="1">
        <f t="array" ref="G99">IF($C99&gt;=25,F99,IF($C99&lt;16,INDEX(Sheet1!C:C,$F99),$F99))</f>
        <v>2</v>
      </c>
      <c r="H99" s="4" t="str" cm="1">
        <f t="array" ref="H99">INDEX(Sheet1!D:D,$G99)</f>
        <v>2001-cso-preferred-class-structure-mortality-tables.xls</v>
      </c>
      <c r="I99" s="4" t="str" cm="1">
        <f t="array" ref="I99">INDEX(Sheet1!E:E,$G99)</f>
        <v>A.1.a.i</v>
      </c>
      <c r="J99" s="4" t="str" cm="1">
        <f t="array" ref="J99">IF($C99&gt;=25,INDEX(Sheet1!G:G,$G99),INDEX(Sheet1!F:F,$G99))</f>
        <v>AA8</v>
      </c>
      <c r="K99" s="4" cm="1">
        <f t="array" ref="K99">INDEX(Sheet1!H:H,$G99)</f>
        <v>1E-3</v>
      </c>
      <c r="L99" s="4">
        <f t="shared" si="4"/>
        <v>72</v>
      </c>
      <c r="M99" s="4">
        <f t="shared" si="5"/>
        <v>0</v>
      </c>
    </row>
    <row r="100" spans="1:13">
      <c r="A100" s="4" t="str" cm="1">
        <f t="array" ref="A100">INDEX(Sheet1!A:A,$F100)</f>
        <v>M</v>
      </c>
      <c r="B100" s="4" t="str" cm="1">
        <f t="array" ref="B100">INDEX(Sheet1!B:B,$F100)</f>
        <v>Super-Pref NS</v>
      </c>
      <c r="C100" s="4">
        <f t="shared" si="6"/>
        <v>98</v>
      </c>
      <c r="D100" s="5" cm="1">
        <f t="array" aca="1" ref="D100" ca="1">OFFSET(INDIRECT("'["&amp;$H100&amp;"]"&amp;$I100&amp;"'!"&amp;$J100),$L100,$M100)*$K100</f>
        <v>0.32038</v>
      </c>
      <c r="F100" s="4">
        <f t="shared" si="7"/>
        <v>2</v>
      </c>
      <c r="G100" s="4" cm="1">
        <f t="array" ref="G100">IF($C100&gt;=25,F100,IF($C100&lt;16,INDEX(Sheet1!C:C,$F100),$F100))</f>
        <v>2</v>
      </c>
      <c r="H100" s="4" t="str" cm="1">
        <f t="array" ref="H100">INDEX(Sheet1!D:D,$G100)</f>
        <v>2001-cso-preferred-class-structure-mortality-tables.xls</v>
      </c>
      <c r="I100" s="4" t="str" cm="1">
        <f t="array" ref="I100">INDEX(Sheet1!E:E,$G100)</f>
        <v>A.1.a.i</v>
      </c>
      <c r="J100" s="4" t="str" cm="1">
        <f t="array" ref="J100">IF($C100&gt;=25,INDEX(Sheet1!G:G,$G100),INDEX(Sheet1!F:F,$G100))</f>
        <v>AA8</v>
      </c>
      <c r="K100" s="4" cm="1">
        <f t="array" ref="K100">INDEX(Sheet1!H:H,$G100)</f>
        <v>1E-3</v>
      </c>
      <c r="L100" s="4">
        <f t="shared" si="4"/>
        <v>73</v>
      </c>
      <c r="M100" s="4">
        <f t="shared" si="5"/>
        <v>0</v>
      </c>
    </row>
    <row r="101" spans="1:13">
      <c r="A101" s="4" t="str" cm="1">
        <f t="array" ref="A101">INDEX(Sheet1!A:A,$F101)</f>
        <v>M</v>
      </c>
      <c r="B101" s="4" t="str" cm="1">
        <f t="array" ref="B101">INDEX(Sheet1!B:B,$F101)</f>
        <v>Super-Pref NS</v>
      </c>
      <c r="C101" s="4">
        <f t="shared" si="6"/>
        <v>99</v>
      </c>
      <c r="D101" s="5" cm="1">
        <f t="array" aca="1" ref="D101" ca="1">OFFSET(INDIRECT("'["&amp;$H101&amp;"]"&amp;$I101&amp;"'!"&amp;$J101),$L101,$M101)*$K101</f>
        <v>0.34054000000000001</v>
      </c>
      <c r="F101" s="4">
        <f t="shared" si="7"/>
        <v>2</v>
      </c>
      <c r="G101" s="4" cm="1">
        <f t="array" ref="G101">IF($C101&gt;=25,F101,IF($C101&lt;16,INDEX(Sheet1!C:C,$F101),$F101))</f>
        <v>2</v>
      </c>
      <c r="H101" s="4" t="str" cm="1">
        <f t="array" ref="H101">INDEX(Sheet1!D:D,$G101)</f>
        <v>2001-cso-preferred-class-structure-mortality-tables.xls</v>
      </c>
      <c r="I101" s="4" t="str" cm="1">
        <f t="array" ref="I101">INDEX(Sheet1!E:E,$G101)</f>
        <v>A.1.a.i</v>
      </c>
      <c r="J101" s="4" t="str" cm="1">
        <f t="array" ref="J101">IF($C101&gt;=25,INDEX(Sheet1!G:G,$G101),INDEX(Sheet1!F:F,$G101))</f>
        <v>AA8</v>
      </c>
      <c r="K101" s="4" cm="1">
        <f t="array" ref="K101">INDEX(Sheet1!H:H,$G101)</f>
        <v>1E-3</v>
      </c>
      <c r="L101" s="4">
        <f t="shared" si="4"/>
        <v>74</v>
      </c>
      <c r="M101" s="4">
        <f t="shared" si="5"/>
        <v>0</v>
      </c>
    </row>
    <row r="102" spans="1:13">
      <c r="A102" s="4" t="str" cm="1">
        <f t="array" ref="A102">INDEX(Sheet1!A:A,$F102)</f>
        <v>M</v>
      </c>
      <c r="B102" s="4" t="str" cm="1">
        <f t="array" ref="B102">INDEX(Sheet1!B:B,$F102)</f>
        <v>Super-Pref NS</v>
      </c>
      <c r="C102" s="4">
        <f t="shared" si="6"/>
        <v>100</v>
      </c>
      <c r="D102" s="5" cm="1">
        <f t="array" aca="1" ref="D102" ca="1">OFFSET(INDIRECT("'["&amp;$H102&amp;"]"&amp;$I102&amp;"'!"&amp;$J102),$L102,$M102)*$K102</f>
        <v>0.36210000000000003</v>
      </c>
      <c r="F102" s="4">
        <f t="shared" si="7"/>
        <v>2</v>
      </c>
      <c r="G102" s="4" cm="1">
        <f t="array" ref="G102">IF($C102&gt;=25,F102,IF($C102&lt;16,INDEX(Sheet1!C:C,$F102),$F102))</f>
        <v>2</v>
      </c>
      <c r="H102" s="4" t="str" cm="1">
        <f t="array" ref="H102">INDEX(Sheet1!D:D,$G102)</f>
        <v>2001-cso-preferred-class-structure-mortality-tables.xls</v>
      </c>
      <c r="I102" s="4" t="str" cm="1">
        <f t="array" ref="I102">INDEX(Sheet1!E:E,$G102)</f>
        <v>A.1.a.i</v>
      </c>
      <c r="J102" s="4" t="str" cm="1">
        <f t="array" ref="J102">IF($C102&gt;=25,INDEX(Sheet1!G:G,$G102),INDEX(Sheet1!F:F,$G102))</f>
        <v>AA8</v>
      </c>
      <c r="K102" s="4" cm="1">
        <f t="array" ref="K102">INDEX(Sheet1!H:H,$G102)</f>
        <v>1E-3</v>
      </c>
      <c r="L102" s="4">
        <f t="shared" si="4"/>
        <v>75</v>
      </c>
      <c r="M102" s="4">
        <f t="shared" si="5"/>
        <v>0</v>
      </c>
    </row>
    <row r="103" spans="1:13">
      <c r="A103" s="4" t="str" cm="1">
        <f t="array" ref="A103">INDEX(Sheet1!A:A,$F103)</f>
        <v>M</v>
      </c>
      <c r="B103" s="4" t="str" cm="1">
        <f t="array" ref="B103">INDEX(Sheet1!B:B,$F103)</f>
        <v>Super-Pref NS</v>
      </c>
      <c r="C103" s="4">
        <f t="shared" si="6"/>
        <v>101</v>
      </c>
      <c r="D103" s="5" cm="1">
        <f t="array" aca="1" ref="D103" ca="1">OFFSET(INDIRECT("'["&amp;$H103&amp;"]"&amp;$I103&amp;"'!"&amp;$J103),$L103,$M103)*$K103</f>
        <v>0.37920999999999999</v>
      </c>
      <c r="F103" s="4">
        <f t="shared" si="7"/>
        <v>2</v>
      </c>
      <c r="G103" s="4" cm="1">
        <f t="array" ref="G103">IF($C103&gt;=25,F103,IF($C103&lt;16,INDEX(Sheet1!C:C,$F103),$F103))</f>
        <v>2</v>
      </c>
      <c r="H103" s="4" t="str" cm="1">
        <f t="array" ref="H103">INDEX(Sheet1!D:D,$G103)</f>
        <v>2001-cso-preferred-class-structure-mortality-tables.xls</v>
      </c>
      <c r="I103" s="4" t="str" cm="1">
        <f t="array" ref="I103">INDEX(Sheet1!E:E,$G103)</f>
        <v>A.1.a.i</v>
      </c>
      <c r="J103" s="4" t="str" cm="1">
        <f t="array" ref="J103">IF($C103&gt;=25,INDEX(Sheet1!G:G,$G103),INDEX(Sheet1!F:F,$G103))</f>
        <v>AA8</v>
      </c>
      <c r="K103" s="4" cm="1">
        <f t="array" ref="K103">INDEX(Sheet1!H:H,$G103)</f>
        <v>1E-3</v>
      </c>
      <c r="L103" s="4">
        <f t="shared" si="4"/>
        <v>76</v>
      </c>
      <c r="M103" s="4">
        <f t="shared" si="5"/>
        <v>0</v>
      </c>
    </row>
    <row r="104" spans="1:13">
      <c r="A104" s="4" t="str" cm="1">
        <f t="array" ref="A104">INDEX(Sheet1!A:A,$F104)</f>
        <v>M</v>
      </c>
      <c r="B104" s="4" t="str" cm="1">
        <f t="array" ref="B104">INDEX(Sheet1!B:B,$F104)</f>
        <v>Super-Pref NS</v>
      </c>
      <c r="C104" s="4">
        <f t="shared" si="6"/>
        <v>102</v>
      </c>
      <c r="D104" s="5" cm="1">
        <f t="array" aca="1" ref="D104" ca="1">OFFSET(INDIRECT("'["&amp;$H104&amp;"]"&amp;$I104&amp;"'!"&amp;$J104),$L104,$M104)*$K104</f>
        <v>0.39744000000000002</v>
      </c>
      <c r="F104" s="4">
        <f t="shared" si="7"/>
        <v>2</v>
      </c>
      <c r="G104" s="4" cm="1">
        <f t="array" ref="G104">IF($C104&gt;=25,F104,IF($C104&lt;16,INDEX(Sheet1!C:C,$F104),$F104))</f>
        <v>2</v>
      </c>
      <c r="H104" s="4" t="str" cm="1">
        <f t="array" ref="H104">INDEX(Sheet1!D:D,$G104)</f>
        <v>2001-cso-preferred-class-structure-mortality-tables.xls</v>
      </c>
      <c r="I104" s="4" t="str" cm="1">
        <f t="array" ref="I104">INDEX(Sheet1!E:E,$G104)</f>
        <v>A.1.a.i</v>
      </c>
      <c r="J104" s="4" t="str" cm="1">
        <f t="array" ref="J104">IF($C104&gt;=25,INDEX(Sheet1!G:G,$G104),INDEX(Sheet1!F:F,$G104))</f>
        <v>AA8</v>
      </c>
      <c r="K104" s="4" cm="1">
        <f t="array" ref="K104">INDEX(Sheet1!H:H,$G104)</f>
        <v>1E-3</v>
      </c>
      <c r="L104" s="4">
        <f t="shared" si="4"/>
        <v>77</v>
      </c>
      <c r="M104" s="4">
        <f t="shared" si="5"/>
        <v>0</v>
      </c>
    </row>
    <row r="105" spans="1:13">
      <c r="A105" s="4" t="str" cm="1">
        <f t="array" ref="A105">INDEX(Sheet1!A:A,$F105)</f>
        <v>M</v>
      </c>
      <c r="B105" s="4" t="str" cm="1">
        <f t="array" ref="B105">INDEX(Sheet1!B:B,$F105)</f>
        <v>Super-Pref NS</v>
      </c>
      <c r="C105" s="4">
        <f t="shared" si="6"/>
        <v>103</v>
      </c>
      <c r="D105" s="5" cm="1">
        <f t="array" aca="1" ref="D105" ca="1">OFFSET(INDIRECT("'["&amp;$H105&amp;"]"&amp;$I105&amp;"'!"&amp;$J105),$L105,$M105)*$K105</f>
        <v>0.41683999999999999</v>
      </c>
      <c r="F105" s="4">
        <f t="shared" si="7"/>
        <v>2</v>
      </c>
      <c r="G105" s="4" cm="1">
        <f t="array" ref="G105">IF($C105&gt;=25,F105,IF($C105&lt;16,INDEX(Sheet1!C:C,$F105),$F105))</f>
        <v>2</v>
      </c>
      <c r="H105" s="4" t="str" cm="1">
        <f t="array" ref="H105">INDEX(Sheet1!D:D,$G105)</f>
        <v>2001-cso-preferred-class-structure-mortality-tables.xls</v>
      </c>
      <c r="I105" s="4" t="str" cm="1">
        <f t="array" ref="I105">INDEX(Sheet1!E:E,$G105)</f>
        <v>A.1.a.i</v>
      </c>
      <c r="J105" s="4" t="str" cm="1">
        <f t="array" ref="J105">IF($C105&gt;=25,INDEX(Sheet1!G:G,$G105),INDEX(Sheet1!F:F,$G105))</f>
        <v>AA8</v>
      </c>
      <c r="K105" s="4" cm="1">
        <f t="array" ref="K105">INDEX(Sheet1!H:H,$G105)</f>
        <v>1E-3</v>
      </c>
      <c r="L105" s="4">
        <f t="shared" si="4"/>
        <v>78</v>
      </c>
      <c r="M105" s="4">
        <f t="shared" si="5"/>
        <v>0</v>
      </c>
    </row>
    <row r="106" spans="1:13">
      <c r="A106" s="4" t="str" cm="1">
        <f t="array" ref="A106">INDEX(Sheet1!A:A,$F106)</f>
        <v>M</v>
      </c>
      <c r="B106" s="4" t="str" cm="1">
        <f t="array" ref="B106">INDEX(Sheet1!B:B,$F106)</f>
        <v>Super-Pref NS</v>
      </c>
      <c r="C106" s="4">
        <f t="shared" si="6"/>
        <v>104</v>
      </c>
      <c r="D106" s="5" cm="1">
        <f t="array" aca="1" ref="D106" ca="1">OFFSET(INDIRECT("'["&amp;$H106&amp;"]"&amp;$I106&amp;"'!"&amp;$J106),$L106,$M106)*$K106</f>
        <v>0.43748000000000004</v>
      </c>
      <c r="F106" s="4">
        <f t="shared" si="7"/>
        <v>2</v>
      </c>
      <c r="G106" s="4" cm="1">
        <f t="array" ref="G106">IF($C106&gt;=25,F106,IF($C106&lt;16,INDEX(Sheet1!C:C,$F106),$F106))</f>
        <v>2</v>
      </c>
      <c r="H106" s="4" t="str" cm="1">
        <f t="array" ref="H106">INDEX(Sheet1!D:D,$G106)</f>
        <v>2001-cso-preferred-class-structure-mortality-tables.xls</v>
      </c>
      <c r="I106" s="4" t="str" cm="1">
        <f t="array" ref="I106">INDEX(Sheet1!E:E,$G106)</f>
        <v>A.1.a.i</v>
      </c>
      <c r="J106" s="4" t="str" cm="1">
        <f t="array" ref="J106">IF($C106&gt;=25,INDEX(Sheet1!G:G,$G106),INDEX(Sheet1!F:F,$G106))</f>
        <v>AA8</v>
      </c>
      <c r="K106" s="4" cm="1">
        <f t="array" ref="K106">INDEX(Sheet1!H:H,$G106)</f>
        <v>1E-3</v>
      </c>
      <c r="L106" s="4">
        <f t="shared" si="4"/>
        <v>79</v>
      </c>
      <c r="M106" s="4">
        <f t="shared" si="5"/>
        <v>0</v>
      </c>
    </row>
    <row r="107" spans="1:13">
      <c r="A107" s="4" t="str" cm="1">
        <f t="array" ref="A107">INDEX(Sheet1!A:A,$F107)</f>
        <v>M</v>
      </c>
      <c r="B107" s="4" t="str" cm="1">
        <f t="array" ref="B107">INDEX(Sheet1!B:B,$F107)</f>
        <v>Super-Pref NS</v>
      </c>
      <c r="C107" s="4">
        <f t="shared" si="6"/>
        <v>105</v>
      </c>
      <c r="D107" s="5" cm="1">
        <f t="array" aca="1" ref="D107" ca="1">OFFSET(INDIRECT("'["&amp;$H107&amp;"]"&amp;$I107&amp;"'!"&amp;$J107),$L107,$M107)*$K107</f>
        <v>0.45912999999999998</v>
      </c>
      <c r="F107" s="4">
        <f t="shared" si="7"/>
        <v>2</v>
      </c>
      <c r="G107" s="4" cm="1">
        <f t="array" ref="G107">IF($C107&gt;=25,F107,IF($C107&lt;16,INDEX(Sheet1!C:C,$F107),$F107))</f>
        <v>2</v>
      </c>
      <c r="H107" s="4" t="str" cm="1">
        <f t="array" ref="H107">INDEX(Sheet1!D:D,$G107)</f>
        <v>2001-cso-preferred-class-structure-mortality-tables.xls</v>
      </c>
      <c r="I107" s="4" t="str" cm="1">
        <f t="array" ref="I107">INDEX(Sheet1!E:E,$G107)</f>
        <v>A.1.a.i</v>
      </c>
      <c r="J107" s="4" t="str" cm="1">
        <f t="array" ref="J107">IF($C107&gt;=25,INDEX(Sheet1!G:G,$G107),INDEX(Sheet1!F:F,$G107))</f>
        <v>AA8</v>
      </c>
      <c r="K107" s="4" cm="1">
        <f t="array" ref="K107">INDEX(Sheet1!H:H,$G107)</f>
        <v>1E-3</v>
      </c>
      <c r="L107" s="4">
        <f t="shared" si="4"/>
        <v>80</v>
      </c>
      <c r="M107" s="4">
        <f t="shared" si="5"/>
        <v>0</v>
      </c>
    </row>
    <row r="108" spans="1:13">
      <c r="A108" s="4" t="str" cm="1">
        <f t="array" ref="A108">INDEX(Sheet1!A:A,$F108)</f>
        <v>M</v>
      </c>
      <c r="B108" s="4" t="str" cm="1">
        <f t="array" ref="B108">INDEX(Sheet1!B:B,$F108)</f>
        <v>Super-Pref NS</v>
      </c>
      <c r="C108" s="4">
        <f t="shared" si="6"/>
        <v>106</v>
      </c>
      <c r="D108" s="5" cm="1">
        <f t="array" aca="1" ref="D108" ca="1">OFFSET(INDIRECT("'["&amp;$H108&amp;"]"&amp;$I108&amp;"'!"&amp;$J108),$L108,$M108)*$K108</f>
        <v>0.48214999999999997</v>
      </c>
      <c r="F108" s="4">
        <f t="shared" si="7"/>
        <v>2</v>
      </c>
      <c r="G108" s="4" cm="1">
        <f t="array" ref="G108">IF($C108&gt;=25,F108,IF($C108&lt;16,INDEX(Sheet1!C:C,$F108),$F108))</f>
        <v>2</v>
      </c>
      <c r="H108" s="4" t="str" cm="1">
        <f t="array" ref="H108">INDEX(Sheet1!D:D,$G108)</f>
        <v>2001-cso-preferred-class-structure-mortality-tables.xls</v>
      </c>
      <c r="I108" s="4" t="str" cm="1">
        <f t="array" ref="I108">INDEX(Sheet1!E:E,$G108)</f>
        <v>A.1.a.i</v>
      </c>
      <c r="J108" s="4" t="str" cm="1">
        <f t="array" ref="J108">IF($C108&gt;=25,INDEX(Sheet1!G:G,$G108),INDEX(Sheet1!F:F,$G108))</f>
        <v>AA8</v>
      </c>
      <c r="K108" s="4" cm="1">
        <f t="array" ref="K108">INDEX(Sheet1!H:H,$G108)</f>
        <v>1E-3</v>
      </c>
      <c r="L108" s="4">
        <f t="shared" si="4"/>
        <v>81</v>
      </c>
      <c r="M108" s="4">
        <f t="shared" si="5"/>
        <v>0</v>
      </c>
    </row>
    <row r="109" spans="1:13">
      <c r="A109" s="4" t="str" cm="1">
        <f t="array" ref="A109">INDEX(Sheet1!A:A,$F109)</f>
        <v>M</v>
      </c>
      <c r="B109" s="4" t="str" cm="1">
        <f t="array" ref="B109">INDEX(Sheet1!B:B,$F109)</f>
        <v>Super-Pref NS</v>
      </c>
      <c r="C109" s="4">
        <f t="shared" si="6"/>
        <v>107</v>
      </c>
      <c r="D109" s="5" cm="1">
        <f t="array" aca="1" ref="D109" ca="1">OFFSET(INDIRECT("'["&amp;$H109&amp;"]"&amp;$I109&amp;"'!"&amp;$J109),$L109,$M109)*$K109</f>
        <v>0.50662000000000007</v>
      </c>
      <c r="F109" s="4">
        <f t="shared" si="7"/>
        <v>2</v>
      </c>
      <c r="G109" s="4" cm="1">
        <f t="array" ref="G109">IF($C109&gt;=25,F109,IF($C109&lt;16,INDEX(Sheet1!C:C,$F109),$F109))</f>
        <v>2</v>
      </c>
      <c r="H109" s="4" t="str" cm="1">
        <f t="array" ref="H109">INDEX(Sheet1!D:D,$G109)</f>
        <v>2001-cso-preferred-class-structure-mortality-tables.xls</v>
      </c>
      <c r="I109" s="4" t="str" cm="1">
        <f t="array" ref="I109">INDEX(Sheet1!E:E,$G109)</f>
        <v>A.1.a.i</v>
      </c>
      <c r="J109" s="4" t="str" cm="1">
        <f t="array" ref="J109">IF($C109&gt;=25,INDEX(Sheet1!G:G,$G109),INDEX(Sheet1!F:F,$G109))</f>
        <v>AA8</v>
      </c>
      <c r="K109" s="4" cm="1">
        <f t="array" ref="K109">INDEX(Sheet1!H:H,$G109)</f>
        <v>1E-3</v>
      </c>
      <c r="L109" s="4">
        <f t="shared" si="4"/>
        <v>82</v>
      </c>
      <c r="M109" s="4">
        <f t="shared" si="5"/>
        <v>0</v>
      </c>
    </row>
    <row r="110" spans="1:13">
      <c r="A110" s="4" t="str" cm="1">
        <f t="array" ref="A110">INDEX(Sheet1!A:A,$F110)</f>
        <v>M</v>
      </c>
      <c r="B110" s="4" t="str" cm="1">
        <f t="array" ref="B110">INDEX(Sheet1!B:B,$F110)</f>
        <v>Super-Pref NS</v>
      </c>
      <c r="C110" s="4">
        <f t="shared" si="6"/>
        <v>108</v>
      </c>
      <c r="D110" s="5" cm="1">
        <f t="array" aca="1" ref="D110" ca="1">OFFSET(INDIRECT("'["&amp;$H110&amp;"]"&amp;$I110&amp;"'!"&amp;$J110),$L110,$M110)*$K110</f>
        <v>0.53263000000000005</v>
      </c>
      <c r="F110" s="4">
        <f t="shared" si="7"/>
        <v>2</v>
      </c>
      <c r="G110" s="4" cm="1">
        <f t="array" ref="G110">IF($C110&gt;=25,F110,IF($C110&lt;16,INDEX(Sheet1!C:C,$F110),$F110))</f>
        <v>2</v>
      </c>
      <c r="H110" s="4" t="str" cm="1">
        <f t="array" ref="H110">INDEX(Sheet1!D:D,$G110)</f>
        <v>2001-cso-preferred-class-structure-mortality-tables.xls</v>
      </c>
      <c r="I110" s="4" t="str" cm="1">
        <f t="array" ref="I110">INDEX(Sheet1!E:E,$G110)</f>
        <v>A.1.a.i</v>
      </c>
      <c r="J110" s="4" t="str" cm="1">
        <f t="array" ref="J110">IF($C110&gt;=25,INDEX(Sheet1!G:G,$G110),INDEX(Sheet1!F:F,$G110))</f>
        <v>AA8</v>
      </c>
      <c r="K110" s="4" cm="1">
        <f t="array" ref="K110">INDEX(Sheet1!H:H,$G110)</f>
        <v>1E-3</v>
      </c>
      <c r="L110" s="4">
        <f t="shared" si="4"/>
        <v>83</v>
      </c>
      <c r="M110" s="4">
        <f t="shared" si="5"/>
        <v>0</v>
      </c>
    </row>
    <row r="111" spans="1:13">
      <c r="A111" s="4" t="str" cm="1">
        <f t="array" ref="A111">INDEX(Sheet1!A:A,$F111)</f>
        <v>M</v>
      </c>
      <c r="B111" s="4" t="str" cm="1">
        <f t="array" ref="B111">INDEX(Sheet1!B:B,$F111)</f>
        <v>Super-Pref NS</v>
      </c>
      <c r="C111" s="4">
        <f t="shared" si="6"/>
        <v>109</v>
      </c>
      <c r="D111" s="5" cm="1">
        <f t="array" aca="1" ref="D111" ca="1">OFFSET(INDIRECT("'["&amp;$H111&amp;"]"&amp;$I111&amp;"'!"&amp;$J111),$L111,$M111)*$K111</f>
        <v>0.56025999999999998</v>
      </c>
      <c r="F111" s="4">
        <f t="shared" si="7"/>
        <v>2</v>
      </c>
      <c r="G111" s="4" cm="1">
        <f t="array" ref="G111">IF($C111&gt;=25,F111,IF($C111&lt;16,INDEX(Sheet1!C:C,$F111),$F111))</f>
        <v>2</v>
      </c>
      <c r="H111" s="4" t="str" cm="1">
        <f t="array" ref="H111">INDEX(Sheet1!D:D,$G111)</f>
        <v>2001-cso-preferred-class-structure-mortality-tables.xls</v>
      </c>
      <c r="I111" s="4" t="str" cm="1">
        <f t="array" ref="I111">INDEX(Sheet1!E:E,$G111)</f>
        <v>A.1.a.i</v>
      </c>
      <c r="J111" s="4" t="str" cm="1">
        <f t="array" ref="J111">IF($C111&gt;=25,INDEX(Sheet1!G:G,$G111),INDEX(Sheet1!F:F,$G111))</f>
        <v>AA8</v>
      </c>
      <c r="K111" s="4" cm="1">
        <f t="array" ref="K111">INDEX(Sheet1!H:H,$G111)</f>
        <v>1E-3</v>
      </c>
      <c r="L111" s="4">
        <f t="shared" si="4"/>
        <v>84</v>
      </c>
      <c r="M111" s="4">
        <f t="shared" si="5"/>
        <v>0</v>
      </c>
    </row>
    <row r="112" spans="1:13">
      <c r="A112" s="4" t="str" cm="1">
        <f t="array" ref="A112">INDEX(Sheet1!A:A,$F112)</f>
        <v>M</v>
      </c>
      <c r="B112" s="4" t="str" cm="1">
        <f t="array" ref="B112">INDEX(Sheet1!B:B,$F112)</f>
        <v>Super-Pref NS</v>
      </c>
      <c r="C112" s="4">
        <f t="shared" si="6"/>
        <v>110</v>
      </c>
      <c r="D112" s="5" cm="1">
        <f t="array" aca="1" ref="D112" ca="1">OFFSET(INDIRECT("'["&amp;$H112&amp;"]"&amp;$I112&amp;"'!"&amp;$J112),$L112,$M112)*$K112</f>
        <v>0.58959000000000006</v>
      </c>
      <c r="F112" s="4">
        <f t="shared" si="7"/>
        <v>2</v>
      </c>
      <c r="G112" s="4" cm="1">
        <f t="array" ref="G112">IF($C112&gt;=25,F112,IF($C112&lt;16,INDEX(Sheet1!C:C,$F112),$F112))</f>
        <v>2</v>
      </c>
      <c r="H112" s="4" t="str" cm="1">
        <f t="array" ref="H112">INDEX(Sheet1!D:D,$G112)</f>
        <v>2001-cso-preferred-class-structure-mortality-tables.xls</v>
      </c>
      <c r="I112" s="4" t="str" cm="1">
        <f t="array" ref="I112">INDEX(Sheet1!E:E,$G112)</f>
        <v>A.1.a.i</v>
      </c>
      <c r="J112" s="4" t="str" cm="1">
        <f t="array" ref="J112">IF($C112&gt;=25,INDEX(Sheet1!G:G,$G112),INDEX(Sheet1!F:F,$G112))</f>
        <v>AA8</v>
      </c>
      <c r="K112" s="4" cm="1">
        <f t="array" ref="K112">INDEX(Sheet1!H:H,$G112)</f>
        <v>1E-3</v>
      </c>
      <c r="L112" s="4">
        <f t="shared" si="4"/>
        <v>85</v>
      </c>
      <c r="M112" s="4">
        <f t="shared" si="5"/>
        <v>0</v>
      </c>
    </row>
    <row r="113" spans="1:13">
      <c r="A113" s="4" t="str" cm="1">
        <f t="array" ref="A113">INDEX(Sheet1!A:A,$F113)</f>
        <v>M</v>
      </c>
      <c r="B113" s="4" t="str" cm="1">
        <f t="array" ref="B113">INDEX(Sheet1!B:B,$F113)</f>
        <v>Super-Pref NS</v>
      </c>
      <c r="C113" s="4">
        <f t="shared" si="6"/>
        <v>111</v>
      </c>
      <c r="D113" s="5" cm="1">
        <f t="array" aca="1" ref="D113" ca="1">OFFSET(INDIRECT("'["&amp;$H113&amp;"]"&amp;$I113&amp;"'!"&amp;$J113),$L113,$M113)*$K113</f>
        <v>0.62074000000000007</v>
      </c>
      <c r="F113" s="4">
        <f t="shared" si="7"/>
        <v>2</v>
      </c>
      <c r="G113" s="4" cm="1">
        <f t="array" ref="G113">IF($C113&gt;=25,F113,IF($C113&lt;16,INDEX(Sheet1!C:C,$F113),$F113))</f>
        <v>2</v>
      </c>
      <c r="H113" s="4" t="str" cm="1">
        <f t="array" ref="H113">INDEX(Sheet1!D:D,$G113)</f>
        <v>2001-cso-preferred-class-structure-mortality-tables.xls</v>
      </c>
      <c r="I113" s="4" t="str" cm="1">
        <f t="array" ref="I113">INDEX(Sheet1!E:E,$G113)</f>
        <v>A.1.a.i</v>
      </c>
      <c r="J113" s="4" t="str" cm="1">
        <f t="array" ref="J113">IF($C113&gt;=25,INDEX(Sheet1!G:G,$G113),INDEX(Sheet1!F:F,$G113))</f>
        <v>AA8</v>
      </c>
      <c r="K113" s="4" cm="1">
        <f t="array" ref="K113">INDEX(Sheet1!H:H,$G113)</f>
        <v>1E-3</v>
      </c>
      <c r="L113" s="4">
        <f t="shared" si="4"/>
        <v>86</v>
      </c>
      <c r="M113" s="4">
        <f t="shared" si="5"/>
        <v>0</v>
      </c>
    </row>
    <row r="114" spans="1:13">
      <c r="A114" s="4" t="str" cm="1">
        <f t="array" ref="A114">INDEX(Sheet1!A:A,$F114)</f>
        <v>M</v>
      </c>
      <c r="B114" s="4" t="str" cm="1">
        <f t="array" ref="B114">INDEX(Sheet1!B:B,$F114)</f>
        <v>Super-Pref NS</v>
      </c>
      <c r="C114" s="4">
        <f t="shared" si="6"/>
        <v>112</v>
      </c>
      <c r="D114" s="5" cm="1">
        <f t="array" aca="1" ref="D114" ca="1">OFFSET(INDIRECT("'["&amp;$H114&amp;"]"&amp;$I114&amp;"'!"&amp;$J114),$L114,$M114)*$K114</f>
        <v>0.65379999999999994</v>
      </c>
      <c r="F114" s="4">
        <f t="shared" si="7"/>
        <v>2</v>
      </c>
      <c r="G114" s="4" cm="1">
        <f t="array" ref="G114">IF($C114&gt;=25,F114,IF($C114&lt;16,INDEX(Sheet1!C:C,$F114),$F114))</f>
        <v>2</v>
      </c>
      <c r="H114" s="4" t="str" cm="1">
        <f t="array" ref="H114">INDEX(Sheet1!D:D,$G114)</f>
        <v>2001-cso-preferred-class-structure-mortality-tables.xls</v>
      </c>
      <c r="I114" s="4" t="str" cm="1">
        <f t="array" ref="I114">INDEX(Sheet1!E:E,$G114)</f>
        <v>A.1.a.i</v>
      </c>
      <c r="J114" s="4" t="str" cm="1">
        <f t="array" ref="J114">IF($C114&gt;=25,INDEX(Sheet1!G:G,$G114),INDEX(Sheet1!F:F,$G114))</f>
        <v>AA8</v>
      </c>
      <c r="K114" s="4" cm="1">
        <f t="array" ref="K114">INDEX(Sheet1!H:H,$G114)</f>
        <v>1E-3</v>
      </c>
      <c r="L114" s="4">
        <f t="shared" si="4"/>
        <v>87</v>
      </c>
      <c r="M114" s="4">
        <f t="shared" si="5"/>
        <v>0</v>
      </c>
    </row>
    <row r="115" spans="1:13">
      <c r="A115" s="4" t="str" cm="1">
        <f t="array" ref="A115">INDEX(Sheet1!A:A,$F115)</f>
        <v>M</v>
      </c>
      <c r="B115" s="4" t="str" cm="1">
        <f t="array" ref="B115">INDEX(Sheet1!B:B,$F115)</f>
        <v>Super-Pref NS</v>
      </c>
      <c r="C115" s="4">
        <f t="shared" si="6"/>
        <v>113</v>
      </c>
      <c r="D115" s="5" cm="1">
        <f t="array" aca="1" ref="D115" ca="1">OFFSET(INDIRECT("'["&amp;$H115&amp;"]"&amp;$I115&amp;"'!"&amp;$J115),$L115,$M115)*$K115</f>
        <v>0.68891000000000002</v>
      </c>
      <c r="F115" s="4">
        <f t="shared" si="7"/>
        <v>2</v>
      </c>
      <c r="G115" s="4" cm="1">
        <f t="array" ref="G115">IF($C115&gt;=25,F115,IF($C115&lt;16,INDEX(Sheet1!C:C,$F115),$F115))</f>
        <v>2</v>
      </c>
      <c r="H115" s="4" t="str" cm="1">
        <f t="array" ref="H115">INDEX(Sheet1!D:D,$G115)</f>
        <v>2001-cso-preferred-class-structure-mortality-tables.xls</v>
      </c>
      <c r="I115" s="4" t="str" cm="1">
        <f t="array" ref="I115">INDEX(Sheet1!E:E,$G115)</f>
        <v>A.1.a.i</v>
      </c>
      <c r="J115" s="4" t="str" cm="1">
        <f t="array" ref="J115">IF($C115&gt;=25,INDEX(Sheet1!G:G,$G115),INDEX(Sheet1!F:F,$G115))</f>
        <v>AA8</v>
      </c>
      <c r="K115" s="4" cm="1">
        <f t="array" ref="K115">INDEX(Sheet1!H:H,$G115)</f>
        <v>1E-3</v>
      </c>
      <c r="L115" s="4">
        <f t="shared" si="4"/>
        <v>88</v>
      </c>
      <c r="M115" s="4">
        <f t="shared" si="5"/>
        <v>0</v>
      </c>
    </row>
    <row r="116" spans="1:13">
      <c r="A116" s="4" t="str" cm="1">
        <f t="array" ref="A116">INDEX(Sheet1!A:A,$F116)</f>
        <v>M</v>
      </c>
      <c r="B116" s="4" t="str" cm="1">
        <f t="array" ref="B116">INDEX(Sheet1!B:B,$F116)</f>
        <v>Super-Pref NS</v>
      </c>
      <c r="C116" s="4">
        <f t="shared" si="6"/>
        <v>114</v>
      </c>
      <c r="D116" s="5" cm="1">
        <f t="array" aca="1" ref="D116" ca="1">OFFSET(INDIRECT("'["&amp;$H116&amp;"]"&amp;$I116&amp;"'!"&amp;$J116),$L116,$M116)*$K116</f>
        <v>0.72614999999999996</v>
      </c>
      <c r="F116" s="4">
        <f t="shared" si="7"/>
        <v>2</v>
      </c>
      <c r="G116" s="4" cm="1">
        <f t="array" ref="G116">IF($C116&gt;=25,F116,IF($C116&lt;16,INDEX(Sheet1!C:C,$F116),$F116))</f>
        <v>2</v>
      </c>
      <c r="H116" s="4" t="str" cm="1">
        <f t="array" ref="H116">INDEX(Sheet1!D:D,$G116)</f>
        <v>2001-cso-preferred-class-structure-mortality-tables.xls</v>
      </c>
      <c r="I116" s="4" t="str" cm="1">
        <f t="array" ref="I116">INDEX(Sheet1!E:E,$G116)</f>
        <v>A.1.a.i</v>
      </c>
      <c r="J116" s="4" t="str" cm="1">
        <f t="array" ref="J116">IF($C116&gt;=25,INDEX(Sheet1!G:G,$G116),INDEX(Sheet1!F:F,$G116))</f>
        <v>AA8</v>
      </c>
      <c r="K116" s="4" cm="1">
        <f t="array" ref="K116">INDEX(Sheet1!H:H,$G116)</f>
        <v>1E-3</v>
      </c>
      <c r="L116" s="4">
        <f t="shared" si="4"/>
        <v>89</v>
      </c>
      <c r="M116" s="4">
        <f t="shared" si="5"/>
        <v>0</v>
      </c>
    </row>
    <row r="117" spans="1:13">
      <c r="A117" s="4" t="str" cm="1">
        <f t="array" ref="A117">INDEX(Sheet1!A:A,$F117)</f>
        <v>M</v>
      </c>
      <c r="B117" s="4" t="str" cm="1">
        <f t="array" ref="B117">INDEX(Sheet1!B:B,$F117)</f>
        <v>Super-Pref NS</v>
      </c>
      <c r="C117" s="4">
        <f t="shared" si="6"/>
        <v>115</v>
      </c>
      <c r="D117" s="5" cm="1">
        <f t="array" aca="1" ref="D117" ca="1">OFFSET(INDIRECT("'["&amp;$H117&amp;"]"&amp;$I117&amp;"'!"&amp;$J117),$L117,$M117)*$K117</f>
        <v>0.76566999999999996</v>
      </c>
      <c r="F117" s="4">
        <f t="shared" si="7"/>
        <v>2</v>
      </c>
      <c r="G117" s="4" cm="1">
        <f t="array" ref="G117">IF($C117&gt;=25,F117,IF($C117&lt;16,INDEX(Sheet1!C:C,$F117),$F117))</f>
        <v>2</v>
      </c>
      <c r="H117" s="4" t="str" cm="1">
        <f t="array" ref="H117">INDEX(Sheet1!D:D,$G117)</f>
        <v>2001-cso-preferred-class-structure-mortality-tables.xls</v>
      </c>
      <c r="I117" s="4" t="str" cm="1">
        <f t="array" ref="I117">INDEX(Sheet1!E:E,$G117)</f>
        <v>A.1.a.i</v>
      </c>
      <c r="J117" s="4" t="str" cm="1">
        <f t="array" ref="J117">IF($C117&gt;=25,INDEX(Sheet1!G:G,$G117),INDEX(Sheet1!F:F,$G117))</f>
        <v>AA8</v>
      </c>
      <c r="K117" s="4" cm="1">
        <f t="array" ref="K117">INDEX(Sheet1!H:H,$G117)</f>
        <v>1E-3</v>
      </c>
      <c r="L117" s="4">
        <f t="shared" si="4"/>
        <v>90</v>
      </c>
      <c r="M117" s="4">
        <f t="shared" si="5"/>
        <v>0</v>
      </c>
    </row>
    <row r="118" spans="1:13">
      <c r="A118" s="4" t="str" cm="1">
        <f t="array" ref="A118">INDEX(Sheet1!A:A,$F118)</f>
        <v>M</v>
      </c>
      <c r="B118" s="4" t="str" cm="1">
        <f t="array" ref="B118">INDEX(Sheet1!B:B,$F118)</f>
        <v>Super-Pref NS</v>
      </c>
      <c r="C118" s="4">
        <f t="shared" si="6"/>
        <v>116</v>
      </c>
      <c r="D118" s="5" cm="1">
        <f t="array" aca="1" ref="D118" ca="1">OFFSET(INDIRECT("'["&amp;$H118&amp;"]"&amp;$I118&amp;"'!"&amp;$J118),$L118,$M118)*$K118</f>
        <v>0.80759000000000003</v>
      </c>
      <c r="F118" s="4">
        <f t="shared" si="7"/>
        <v>2</v>
      </c>
      <c r="G118" s="4" cm="1">
        <f t="array" ref="G118">IF($C118&gt;=25,F118,IF($C118&lt;16,INDEX(Sheet1!C:C,$F118),$F118))</f>
        <v>2</v>
      </c>
      <c r="H118" s="4" t="str" cm="1">
        <f t="array" ref="H118">INDEX(Sheet1!D:D,$G118)</f>
        <v>2001-cso-preferred-class-structure-mortality-tables.xls</v>
      </c>
      <c r="I118" s="4" t="str" cm="1">
        <f t="array" ref="I118">INDEX(Sheet1!E:E,$G118)</f>
        <v>A.1.a.i</v>
      </c>
      <c r="J118" s="4" t="str" cm="1">
        <f t="array" ref="J118">IF($C118&gt;=25,INDEX(Sheet1!G:G,$G118),INDEX(Sheet1!F:F,$G118))</f>
        <v>AA8</v>
      </c>
      <c r="K118" s="4" cm="1">
        <f t="array" ref="K118">INDEX(Sheet1!H:H,$G118)</f>
        <v>1E-3</v>
      </c>
      <c r="L118" s="4">
        <f t="shared" si="4"/>
        <v>91</v>
      </c>
      <c r="M118" s="4">
        <f t="shared" si="5"/>
        <v>0</v>
      </c>
    </row>
    <row r="119" spans="1:13">
      <c r="A119" s="4" t="str" cm="1">
        <f t="array" ref="A119">INDEX(Sheet1!A:A,$F119)</f>
        <v>M</v>
      </c>
      <c r="B119" s="4" t="str" cm="1">
        <f t="array" ref="B119">INDEX(Sheet1!B:B,$F119)</f>
        <v>Super-Pref NS</v>
      </c>
      <c r="C119" s="4">
        <f t="shared" si="6"/>
        <v>117</v>
      </c>
      <c r="D119" s="5" cm="1">
        <f t="array" aca="1" ref="D119" ca="1">OFFSET(INDIRECT("'["&amp;$H119&amp;"]"&amp;$I119&amp;"'!"&amp;$J119),$L119,$M119)*$K119</f>
        <v>0.85204999999999997</v>
      </c>
      <c r="F119" s="4">
        <f t="shared" si="7"/>
        <v>2</v>
      </c>
      <c r="G119" s="4" cm="1">
        <f t="array" ref="G119">IF($C119&gt;=25,F119,IF($C119&lt;16,INDEX(Sheet1!C:C,$F119),$F119))</f>
        <v>2</v>
      </c>
      <c r="H119" s="4" t="str" cm="1">
        <f t="array" ref="H119">INDEX(Sheet1!D:D,$G119)</f>
        <v>2001-cso-preferred-class-structure-mortality-tables.xls</v>
      </c>
      <c r="I119" s="4" t="str" cm="1">
        <f t="array" ref="I119">INDEX(Sheet1!E:E,$G119)</f>
        <v>A.1.a.i</v>
      </c>
      <c r="J119" s="4" t="str" cm="1">
        <f t="array" ref="J119">IF($C119&gt;=25,INDEX(Sheet1!G:G,$G119),INDEX(Sheet1!F:F,$G119))</f>
        <v>AA8</v>
      </c>
      <c r="K119" s="4" cm="1">
        <f t="array" ref="K119">INDEX(Sheet1!H:H,$G119)</f>
        <v>1E-3</v>
      </c>
      <c r="L119" s="4">
        <f t="shared" si="4"/>
        <v>92</v>
      </c>
      <c r="M119" s="4">
        <f t="shared" si="5"/>
        <v>0</v>
      </c>
    </row>
    <row r="120" spans="1:13">
      <c r="A120" s="4" t="str" cm="1">
        <f t="array" ref="A120">INDEX(Sheet1!A:A,$F120)</f>
        <v>M</v>
      </c>
      <c r="B120" s="4" t="str" cm="1">
        <f t="array" ref="B120">INDEX(Sheet1!B:B,$F120)</f>
        <v>Super-Pref NS</v>
      </c>
      <c r="C120" s="4">
        <f t="shared" si="6"/>
        <v>118</v>
      </c>
      <c r="D120" s="5" cm="1">
        <f t="array" aca="1" ref="D120" ca="1">OFFSET(INDIRECT("'["&amp;$H120&amp;"]"&amp;$I120&amp;"'!"&amp;$J120),$L120,$M120)*$K120</f>
        <v>0.89922000000000002</v>
      </c>
      <c r="F120" s="4">
        <f t="shared" si="7"/>
        <v>2</v>
      </c>
      <c r="G120" s="4" cm="1">
        <f t="array" ref="G120">IF($C120&gt;=25,F120,IF($C120&lt;16,INDEX(Sheet1!C:C,$F120),$F120))</f>
        <v>2</v>
      </c>
      <c r="H120" s="4" t="str" cm="1">
        <f t="array" ref="H120">INDEX(Sheet1!D:D,$G120)</f>
        <v>2001-cso-preferred-class-structure-mortality-tables.xls</v>
      </c>
      <c r="I120" s="4" t="str" cm="1">
        <f t="array" ref="I120">INDEX(Sheet1!E:E,$G120)</f>
        <v>A.1.a.i</v>
      </c>
      <c r="J120" s="4" t="str" cm="1">
        <f t="array" ref="J120">IF($C120&gt;=25,INDEX(Sheet1!G:G,$G120),INDEX(Sheet1!F:F,$G120))</f>
        <v>AA8</v>
      </c>
      <c r="K120" s="4" cm="1">
        <f t="array" ref="K120">INDEX(Sheet1!H:H,$G120)</f>
        <v>1E-3</v>
      </c>
      <c r="L120" s="4">
        <f t="shared" si="4"/>
        <v>93</v>
      </c>
      <c r="M120" s="4">
        <f t="shared" si="5"/>
        <v>0</v>
      </c>
    </row>
    <row r="121" spans="1:13">
      <c r="A121" s="4" t="str" cm="1">
        <f t="array" ref="A121">INDEX(Sheet1!A:A,$F121)</f>
        <v>M</v>
      </c>
      <c r="B121" s="4" t="str" cm="1">
        <f t="array" ref="B121">INDEX(Sheet1!B:B,$F121)</f>
        <v>Super-Pref NS</v>
      </c>
      <c r="C121" s="4">
        <f t="shared" si="6"/>
        <v>119</v>
      </c>
      <c r="D121" s="5" cm="1">
        <f t="array" aca="1" ref="D121" ca="1">OFFSET(INDIRECT("'["&amp;$H121&amp;"]"&amp;$I121&amp;"'!"&amp;$J121),$L121,$M121)*$K121</f>
        <v>0.94922000000000006</v>
      </c>
      <c r="F121" s="4">
        <f t="shared" si="7"/>
        <v>2</v>
      </c>
      <c r="G121" s="4" cm="1">
        <f t="array" ref="G121">IF($C121&gt;=25,F121,IF($C121&lt;16,INDEX(Sheet1!C:C,$F121),$F121))</f>
        <v>2</v>
      </c>
      <c r="H121" s="4" t="str" cm="1">
        <f t="array" ref="H121">INDEX(Sheet1!D:D,$G121)</f>
        <v>2001-cso-preferred-class-structure-mortality-tables.xls</v>
      </c>
      <c r="I121" s="4" t="str" cm="1">
        <f t="array" ref="I121">INDEX(Sheet1!E:E,$G121)</f>
        <v>A.1.a.i</v>
      </c>
      <c r="J121" s="4" t="str" cm="1">
        <f t="array" ref="J121">IF($C121&gt;=25,INDEX(Sheet1!G:G,$G121),INDEX(Sheet1!F:F,$G121))</f>
        <v>AA8</v>
      </c>
      <c r="K121" s="4" cm="1">
        <f t="array" ref="K121">INDEX(Sheet1!H:H,$G121)</f>
        <v>1E-3</v>
      </c>
      <c r="L121" s="4">
        <f t="shared" si="4"/>
        <v>94</v>
      </c>
      <c r="M121" s="4">
        <f t="shared" si="5"/>
        <v>0</v>
      </c>
    </row>
    <row r="122" spans="1:13">
      <c r="A122" s="4" t="str" cm="1">
        <f t="array" ref="A122">INDEX(Sheet1!A:A,$F122)</f>
        <v>M</v>
      </c>
      <c r="B122" s="4" t="str" cm="1">
        <f t="array" ref="B122">INDEX(Sheet1!B:B,$F122)</f>
        <v>Super-Pref NS</v>
      </c>
      <c r="C122" s="4">
        <f t="shared" si="6"/>
        <v>120</v>
      </c>
      <c r="D122" s="5" cm="1">
        <f t="array" aca="1" ref="D122" ca="1">OFFSET(INDIRECT("'["&amp;$H122&amp;"]"&amp;$I122&amp;"'!"&amp;$J122),$L122,$M122)*$K122</f>
        <v>1</v>
      </c>
      <c r="F122" s="4">
        <f t="shared" si="7"/>
        <v>2</v>
      </c>
      <c r="G122" s="4" cm="1">
        <f t="array" ref="G122">IF($C122&gt;=25,F122,IF($C122&lt;16,INDEX(Sheet1!C:C,$F122),$F122))</f>
        <v>2</v>
      </c>
      <c r="H122" s="4" t="str" cm="1">
        <f t="array" ref="H122">INDEX(Sheet1!D:D,$G122)</f>
        <v>2001-cso-preferred-class-structure-mortality-tables.xls</v>
      </c>
      <c r="I122" s="4" t="str" cm="1">
        <f t="array" ref="I122">INDEX(Sheet1!E:E,$G122)</f>
        <v>A.1.a.i</v>
      </c>
      <c r="J122" s="4" t="str" cm="1">
        <f t="array" ref="J122">IF($C122&gt;=25,INDEX(Sheet1!G:G,$G122),INDEX(Sheet1!F:F,$G122))</f>
        <v>AA8</v>
      </c>
      <c r="K122" s="4" cm="1">
        <f t="array" ref="K122">INDEX(Sheet1!H:H,$G122)</f>
        <v>1E-3</v>
      </c>
      <c r="L122" s="4">
        <f t="shared" si="4"/>
        <v>95</v>
      </c>
      <c r="M122" s="4">
        <f t="shared" si="5"/>
        <v>0</v>
      </c>
    </row>
    <row r="123" spans="1:13">
      <c r="A123" s="4" t="str" cm="1">
        <f t="array" ref="A123">INDEX(Sheet1!A:A,$F123)</f>
        <v>M</v>
      </c>
      <c r="B123" s="4" t="str" cm="1">
        <f t="array" ref="B123">INDEX(Sheet1!B:B,$F123)</f>
        <v>Pref Best NS</v>
      </c>
      <c r="C123" s="4">
        <f t="shared" si="6"/>
        <v>0</v>
      </c>
      <c r="D123" s="5" cm="1">
        <f t="array" aca="1" ref="D123" ca="1">OFFSET(INDIRECT("'["&amp;$H123&amp;"]"&amp;$I123&amp;"'!"&amp;$J123),$L123,$M123)*$K123</f>
        <v>9.7000000000000005E-4</v>
      </c>
      <c r="F123" s="4">
        <f t="shared" si="7"/>
        <v>3</v>
      </c>
      <c r="G123" s="4" cm="1">
        <f t="array" ref="G123">IF($C123&gt;=25,F123,IF($C123&lt;16,INDEX(Sheet1!C:C,$F123),$F123))</f>
        <v>10</v>
      </c>
      <c r="H123" s="4" t="str" cm="1">
        <f t="array" ref="H123">INDEX(Sheet1!D:D,$G123)</f>
        <v>t1136.xlsx</v>
      </c>
      <c r="I123" s="4" t="str" cm="1">
        <f t="array" ref="I123">INDEX(Sheet1!E:E,$G123)</f>
        <v>Sheet1</v>
      </c>
      <c r="J123" s="4" t="str" cm="1">
        <f t="array" ref="J123">IF($C123&gt;=25,INDEX(Sheet1!G:G,$G123),INDEX(Sheet1!F:F,$G123))</f>
        <v>B25</v>
      </c>
      <c r="K123" s="4" cm="1">
        <f t="array" ref="K123">INDEX(Sheet1!H:H,$G123)</f>
        <v>1</v>
      </c>
      <c r="L123" s="4">
        <f t="shared" si="4"/>
        <v>0</v>
      </c>
      <c r="M123" s="4">
        <f t="shared" si="5"/>
        <v>0</v>
      </c>
    </row>
    <row r="124" spans="1:13">
      <c r="A124" s="4" t="str" cm="1">
        <f t="array" ref="A124">INDEX(Sheet1!A:A,$F124)</f>
        <v>M</v>
      </c>
      <c r="B124" s="4" t="str" cm="1">
        <f t="array" ref="B124">INDEX(Sheet1!B:B,$F124)</f>
        <v>Pref Best NS</v>
      </c>
      <c r="C124" s="4">
        <f t="shared" si="6"/>
        <v>1</v>
      </c>
      <c r="D124" s="5" cm="1">
        <f t="array" aca="1" ref="D124" ca="1">OFFSET(INDIRECT("'["&amp;$H124&amp;"]"&amp;$I124&amp;"'!"&amp;$J124),$L124,$M124)*$K124</f>
        <v>5.5999999999999995E-4</v>
      </c>
      <c r="F124" s="4">
        <f t="shared" si="7"/>
        <v>3</v>
      </c>
      <c r="G124" s="4" cm="1">
        <f t="array" ref="G124">IF($C124&gt;=25,F124,IF($C124&lt;16,INDEX(Sheet1!C:C,$F124),$F124))</f>
        <v>10</v>
      </c>
      <c r="H124" s="4" t="str" cm="1">
        <f t="array" ref="H124">INDEX(Sheet1!D:D,$G124)</f>
        <v>t1136.xlsx</v>
      </c>
      <c r="I124" s="4" t="str" cm="1">
        <f t="array" ref="I124">INDEX(Sheet1!E:E,$G124)</f>
        <v>Sheet1</v>
      </c>
      <c r="J124" s="4" t="str" cm="1">
        <f t="array" ref="J124">IF($C124&gt;=25,INDEX(Sheet1!G:G,$G124),INDEX(Sheet1!F:F,$G124))</f>
        <v>B25</v>
      </c>
      <c r="K124" s="4" cm="1">
        <f t="array" ref="K124">INDEX(Sheet1!H:H,$G124)</f>
        <v>1</v>
      </c>
      <c r="L124" s="4">
        <f t="shared" si="4"/>
        <v>0</v>
      </c>
      <c r="M124" s="4">
        <f t="shared" si="5"/>
        <v>1</v>
      </c>
    </row>
    <row r="125" spans="1:13">
      <c r="A125" s="4" t="str" cm="1">
        <f t="array" ref="A125">INDEX(Sheet1!A:A,$F125)</f>
        <v>M</v>
      </c>
      <c r="B125" s="4" t="str" cm="1">
        <f t="array" ref="B125">INDEX(Sheet1!B:B,$F125)</f>
        <v>Pref Best NS</v>
      </c>
      <c r="C125" s="4">
        <f t="shared" si="6"/>
        <v>2</v>
      </c>
      <c r="D125" s="5" cm="1">
        <f t="array" aca="1" ref="D125" ca="1">OFFSET(INDIRECT("'["&amp;$H125&amp;"]"&amp;$I125&amp;"'!"&amp;$J125),$L125,$M125)*$K125</f>
        <v>3.8999999999999999E-4</v>
      </c>
      <c r="F125" s="4">
        <f t="shared" si="7"/>
        <v>3</v>
      </c>
      <c r="G125" s="4" cm="1">
        <f t="array" ref="G125">IF($C125&gt;=25,F125,IF($C125&lt;16,INDEX(Sheet1!C:C,$F125),$F125))</f>
        <v>10</v>
      </c>
      <c r="H125" s="4" t="str" cm="1">
        <f t="array" ref="H125">INDEX(Sheet1!D:D,$G125)</f>
        <v>t1136.xlsx</v>
      </c>
      <c r="I125" s="4" t="str" cm="1">
        <f t="array" ref="I125">INDEX(Sheet1!E:E,$G125)</f>
        <v>Sheet1</v>
      </c>
      <c r="J125" s="4" t="str" cm="1">
        <f t="array" ref="J125">IF($C125&gt;=25,INDEX(Sheet1!G:G,$G125),INDEX(Sheet1!F:F,$G125))</f>
        <v>B25</v>
      </c>
      <c r="K125" s="4" cm="1">
        <f t="array" ref="K125">INDEX(Sheet1!H:H,$G125)</f>
        <v>1</v>
      </c>
      <c r="L125" s="4">
        <f t="shared" si="4"/>
        <v>0</v>
      </c>
      <c r="M125" s="4">
        <f t="shared" si="5"/>
        <v>2</v>
      </c>
    </row>
    <row r="126" spans="1:13">
      <c r="A126" s="4" t="str" cm="1">
        <f t="array" ref="A126">INDEX(Sheet1!A:A,$F126)</f>
        <v>M</v>
      </c>
      <c r="B126" s="4" t="str" cm="1">
        <f t="array" ref="B126">INDEX(Sheet1!B:B,$F126)</f>
        <v>Pref Best NS</v>
      </c>
      <c r="C126" s="4">
        <f t="shared" si="6"/>
        <v>3</v>
      </c>
      <c r="D126" s="5" cm="1">
        <f t="array" aca="1" ref="D126" ca="1">OFFSET(INDIRECT("'["&amp;$H126&amp;"]"&amp;$I126&amp;"'!"&amp;$J126),$L126,$M126)*$K126</f>
        <v>2.7E-4</v>
      </c>
      <c r="F126" s="4">
        <f t="shared" si="7"/>
        <v>3</v>
      </c>
      <c r="G126" s="4" cm="1">
        <f t="array" ref="G126">IF($C126&gt;=25,F126,IF($C126&lt;16,INDEX(Sheet1!C:C,$F126),$F126))</f>
        <v>10</v>
      </c>
      <c r="H126" s="4" t="str" cm="1">
        <f t="array" ref="H126">INDEX(Sheet1!D:D,$G126)</f>
        <v>t1136.xlsx</v>
      </c>
      <c r="I126" s="4" t="str" cm="1">
        <f t="array" ref="I126">INDEX(Sheet1!E:E,$G126)</f>
        <v>Sheet1</v>
      </c>
      <c r="J126" s="4" t="str" cm="1">
        <f t="array" ref="J126">IF($C126&gt;=25,INDEX(Sheet1!G:G,$G126),INDEX(Sheet1!F:F,$G126))</f>
        <v>B25</v>
      </c>
      <c r="K126" s="4" cm="1">
        <f t="array" ref="K126">INDEX(Sheet1!H:H,$G126)</f>
        <v>1</v>
      </c>
      <c r="L126" s="4">
        <f t="shared" si="4"/>
        <v>0</v>
      </c>
      <c r="M126" s="4">
        <f t="shared" si="5"/>
        <v>3</v>
      </c>
    </row>
    <row r="127" spans="1:13">
      <c r="A127" s="4" t="str" cm="1">
        <f t="array" ref="A127">INDEX(Sheet1!A:A,$F127)</f>
        <v>M</v>
      </c>
      <c r="B127" s="4" t="str" cm="1">
        <f t="array" ref="B127">INDEX(Sheet1!B:B,$F127)</f>
        <v>Pref Best NS</v>
      </c>
      <c r="C127" s="4">
        <f t="shared" si="6"/>
        <v>4</v>
      </c>
      <c r="D127" s="5" cm="1">
        <f t="array" aca="1" ref="D127" ca="1">OFFSET(INDIRECT("'["&amp;$H127&amp;"]"&amp;$I127&amp;"'!"&amp;$J127),$L127,$M127)*$K127</f>
        <v>2.1000000000000001E-4</v>
      </c>
      <c r="F127" s="4">
        <f t="shared" si="7"/>
        <v>3</v>
      </c>
      <c r="G127" s="4" cm="1">
        <f t="array" ref="G127">IF($C127&gt;=25,F127,IF($C127&lt;16,INDEX(Sheet1!C:C,$F127),$F127))</f>
        <v>10</v>
      </c>
      <c r="H127" s="4" t="str" cm="1">
        <f t="array" ref="H127">INDEX(Sheet1!D:D,$G127)</f>
        <v>t1136.xlsx</v>
      </c>
      <c r="I127" s="4" t="str" cm="1">
        <f t="array" ref="I127">INDEX(Sheet1!E:E,$G127)</f>
        <v>Sheet1</v>
      </c>
      <c r="J127" s="4" t="str" cm="1">
        <f t="array" ref="J127">IF($C127&gt;=25,INDEX(Sheet1!G:G,$G127),INDEX(Sheet1!F:F,$G127))</f>
        <v>B25</v>
      </c>
      <c r="K127" s="4" cm="1">
        <f t="array" ref="K127">INDEX(Sheet1!H:H,$G127)</f>
        <v>1</v>
      </c>
      <c r="L127" s="4">
        <f t="shared" si="4"/>
        <v>0</v>
      </c>
      <c r="M127" s="4">
        <f t="shared" si="5"/>
        <v>4</v>
      </c>
    </row>
    <row r="128" spans="1:13">
      <c r="A128" s="4" t="str" cm="1">
        <f t="array" ref="A128">INDEX(Sheet1!A:A,$F128)</f>
        <v>M</v>
      </c>
      <c r="B128" s="4" t="str" cm="1">
        <f t="array" ref="B128">INDEX(Sheet1!B:B,$F128)</f>
        <v>Pref Best NS</v>
      </c>
      <c r="C128" s="4">
        <f t="shared" si="6"/>
        <v>5</v>
      </c>
      <c r="D128" s="5" cm="1">
        <f t="array" aca="1" ref="D128" ca="1">OFFSET(INDIRECT("'["&amp;$H128&amp;"]"&amp;$I128&amp;"'!"&amp;$J128),$L128,$M128)*$K128</f>
        <v>2.1000000000000001E-4</v>
      </c>
      <c r="F128" s="4">
        <f t="shared" si="7"/>
        <v>3</v>
      </c>
      <c r="G128" s="4" cm="1">
        <f t="array" ref="G128">IF($C128&gt;=25,F128,IF($C128&lt;16,INDEX(Sheet1!C:C,$F128),$F128))</f>
        <v>10</v>
      </c>
      <c r="H128" s="4" t="str" cm="1">
        <f t="array" ref="H128">INDEX(Sheet1!D:D,$G128)</f>
        <v>t1136.xlsx</v>
      </c>
      <c r="I128" s="4" t="str" cm="1">
        <f t="array" ref="I128">INDEX(Sheet1!E:E,$G128)</f>
        <v>Sheet1</v>
      </c>
      <c r="J128" s="4" t="str" cm="1">
        <f t="array" ref="J128">IF($C128&gt;=25,INDEX(Sheet1!G:G,$G128),INDEX(Sheet1!F:F,$G128))</f>
        <v>B25</v>
      </c>
      <c r="K128" s="4" cm="1">
        <f t="array" ref="K128">INDEX(Sheet1!H:H,$G128)</f>
        <v>1</v>
      </c>
      <c r="L128" s="4">
        <f t="shared" si="4"/>
        <v>0</v>
      </c>
      <c r="M128" s="4">
        <f t="shared" si="5"/>
        <v>5</v>
      </c>
    </row>
    <row r="129" spans="1:13">
      <c r="A129" s="4" t="str" cm="1">
        <f t="array" ref="A129">INDEX(Sheet1!A:A,$F129)</f>
        <v>M</v>
      </c>
      <c r="B129" s="4" t="str" cm="1">
        <f t="array" ref="B129">INDEX(Sheet1!B:B,$F129)</f>
        <v>Pref Best NS</v>
      </c>
      <c r="C129" s="4">
        <f t="shared" si="6"/>
        <v>6</v>
      </c>
      <c r="D129" s="5" cm="1">
        <f t="array" aca="1" ref="D129" ca="1">OFFSET(INDIRECT("'["&amp;$H129&amp;"]"&amp;$I129&amp;"'!"&amp;$J129),$L129,$M129)*$K129</f>
        <v>2.2000000000000001E-4</v>
      </c>
      <c r="F129" s="4">
        <f t="shared" si="7"/>
        <v>3</v>
      </c>
      <c r="G129" s="4" cm="1">
        <f t="array" ref="G129">IF($C129&gt;=25,F129,IF($C129&lt;16,INDEX(Sheet1!C:C,$F129),$F129))</f>
        <v>10</v>
      </c>
      <c r="H129" s="4" t="str" cm="1">
        <f t="array" ref="H129">INDEX(Sheet1!D:D,$G129)</f>
        <v>t1136.xlsx</v>
      </c>
      <c r="I129" s="4" t="str" cm="1">
        <f t="array" ref="I129">INDEX(Sheet1!E:E,$G129)</f>
        <v>Sheet1</v>
      </c>
      <c r="J129" s="4" t="str" cm="1">
        <f t="array" ref="J129">IF($C129&gt;=25,INDEX(Sheet1!G:G,$G129),INDEX(Sheet1!F:F,$G129))</f>
        <v>B25</v>
      </c>
      <c r="K129" s="4" cm="1">
        <f t="array" ref="K129">INDEX(Sheet1!H:H,$G129)</f>
        <v>1</v>
      </c>
      <c r="L129" s="4">
        <f t="shared" si="4"/>
        <v>0</v>
      </c>
      <c r="M129" s="4">
        <f t="shared" si="5"/>
        <v>6</v>
      </c>
    </row>
    <row r="130" spans="1:13">
      <c r="A130" s="4" t="str" cm="1">
        <f t="array" ref="A130">INDEX(Sheet1!A:A,$F130)</f>
        <v>M</v>
      </c>
      <c r="B130" s="4" t="str" cm="1">
        <f t="array" ref="B130">INDEX(Sheet1!B:B,$F130)</f>
        <v>Pref Best NS</v>
      </c>
      <c r="C130" s="4">
        <f t="shared" si="6"/>
        <v>7</v>
      </c>
      <c r="D130" s="5" cm="1">
        <f t="array" aca="1" ref="D130" ca="1">OFFSET(INDIRECT("'["&amp;$H130&amp;"]"&amp;$I130&amp;"'!"&amp;$J130),$L130,$M130)*$K130</f>
        <v>2.2000000000000001E-4</v>
      </c>
      <c r="F130" s="4">
        <f t="shared" si="7"/>
        <v>3</v>
      </c>
      <c r="G130" s="4" cm="1">
        <f t="array" ref="G130">IF($C130&gt;=25,F130,IF($C130&lt;16,INDEX(Sheet1!C:C,$F130),$F130))</f>
        <v>10</v>
      </c>
      <c r="H130" s="4" t="str" cm="1">
        <f t="array" ref="H130">INDEX(Sheet1!D:D,$G130)</f>
        <v>t1136.xlsx</v>
      </c>
      <c r="I130" s="4" t="str" cm="1">
        <f t="array" ref="I130">INDEX(Sheet1!E:E,$G130)</f>
        <v>Sheet1</v>
      </c>
      <c r="J130" s="4" t="str" cm="1">
        <f t="array" ref="J130">IF($C130&gt;=25,INDEX(Sheet1!G:G,$G130),INDEX(Sheet1!F:F,$G130))</f>
        <v>B25</v>
      </c>
      <c r="K130" s="4" cm="1">
        <f t="array" ref="K130">INDEX(Sheet1!H:H,$G130)</f>
        <v>1</v>
      </c>
      <c r="L130" s="4">
        <f t="shared" si="4"/>
        <v>0</v>
      </c>
      <c r="M130" s="4">
        <f t="shared" si="5"/>
        <v>7</v>
      </c>
    </row>
    <row r="131" spans="1:13">
      <c r="A131" s="4" t="str" cm="1">
        <f t="array" ref="A131">INDEX(Sheet1!A:A,$F131)</f>
        <v>M</v>
      </c>
      <c r="B131" s="4" t="str" cm="1">
        <f t="array" ref="B131">INDEX(Sheet1!B:B,$F131)</f>
        <v>Pref Best NS</v>
      </c>
      <c r="C131" s="4">
        <f t="shared" si="6"/>
        <v>8</v>
      </c>
      <c r="D131" s="5" cm="1">
        <f t="array" aca="1" ref="D131" ca="1">OFFSET(INDIRECT("'["&amp;$H131&amp;"]"&amp;$I131&amp;"'!"&amp;$J131),$L131,$M131)*$K131</f>
        <v>2.2000000000000001E-4</v>
      </c>
      <c r="F131" s="4">
        <f t="shared" si="7"/>
        <v>3</v>
      </c>
      <c r="G131" s="4" cm="1">
        <f t="array" ref="G131">IF($C131&gt;=25,F131,IF($C131&lt;16,INDEX(Sheet1!C:C,$F131),$F131))</f>
        <v>10</v>
      </c>
      <c r="H131" s="4" t="str" cm="1">
        <f t="array" ref="H131">INDEX(Sheet1!D:D,$G131)</f>
        <v>t1136.xlsx</v>
      </c>
      <c r="I131" s="4" t="str" cm="1">
        <f t="array" ref="I131">INDEX(Sheet1!E:E,$G131)</f>
        <v>Sheet1</v>
      </c>
      <c r="J131" s="4" t="str" cm="1">
        <f t="array" ref="J131">IF($C131&gt;=25,INDEX(Sheet1!G:G,$G131),INDEX(Sheet1!F:F,$G131))</f>
        <v>B25</v>
      </c>
      <c r="K131" s="4" cm="1">
        <f t="array" ref="K131">INDEX(Sheet1!H:H,$G131)</f>
        <v>1</v>
      </c>
      <c r="L131" s="4">
        <f t="shared" ref="L131:L194" si="8">IF($C131&gt;=25,$C131-25,0)</f>
        <v>0</v>
      </c>
      <c r="M131" s="4">
        <f t="shared" ref="M131:M194" si="9">IF($C131&gt;=25,0,$C131)</f>
        <v>8</v>
      </c>
    </row>
    <row r="132" spans="1:13">
      <c r="A132" s="4" t="str" cm="1">
        <f t="array" ref="A132">INDEX(Sheet1!A:A,$F132)</f>
        <v>M</v>
      </c>
      <c r="B132" s="4" t="str" cm="1">
        <f t="array" ref="B132">INDEX(Sheet1!B:B,$F132)</f>
        <v>Pref Best NS</v>
      </c>
      <c r="C132" s="4">
        <f t="shared" ref="C132:C195" si="10">IF(C131=120,0,C131+1)</f>
        <v>9</v>
      </c>
      <c r="D132" s="5" cm="1">
        <f t="array" aca="1" ref="D132" ca="1">OFFSET(INDIRECT("'["&amp;$H132&amp;"]"&amp;$I132&amp;"'!"&amp;$J132),$L132,$M132)*$K132</f>
        <v>2.3000000000000001E-4</v>
      </c>
      <c r="F132" s="4">
        <f t="shared" ref="F132:F195" si="11">IF(C132=0,1,0)+F131</f>
        <v>3</v>
      </c>
      <c r="G132" s="4" cm="1">
        <f t="array" ref="G132">IF($C132&gt;=25,F132,IF($C132&lt;16,INDEX(Sheet1!C:C,$F132),$F132))</f>
        <v>10</v>
      </c>
      <c r="H132" s="4" t="str" cm="1">
        <f t="array" ref="H132">INDEX(Sheet1!D:D,$G132)</f>
        <v>t1136.xlsx</v>
      </c>
      <c r="I132" s="4" t="str" cm="1">
        <f t="array" ref="I132">INDEX(Sheet1!E:E,$G132)</f>
        <v>Sheet1</v>
      </c>
      <c r="J132" s="4" t="str" cm="1">
        <f t="array" ref="J132">IF($C132&gt;=25,INDEX(Sheet1!G:G,$G132),INDEX(Sheet1!F:F,$G132))</f>
        <v>B25</v>
      </c>
      <c r="K132" s="4" cm="1">
        <f t="array" ref="K132">INDEX(Sheet1!H:H,$G132)</f>
        <v>1</v>
      </c>
      <c r="L132" s="4">
        <f t="shared" si="8"/>
        <v>0</v>
      </c>
      <c r="M132" s="4">
        <f t="shared" si="9"/>
        <v>9</v>
      </c>
    </row>
    <row r="133" spans="1:13">
      <c r="A133" s="4" t="str" cm="1">
        <f t="array" ref="A133">INDEX(Sheet1!A:A,$F133)</f>
        <v>M</v>
      </c>
      <c r="B133" s="4" t="str" cm="1">
        <f t="array" ref="B133">INDEX(Sheet1!B:B,$F133)</f>
        <v>Pref Best NS</v>
      </c>
      <c r="C133" s="4">
        <f t="shared" si="10"/>
        <v>10</v>
      </c>
      <c r="D133" s="5" cm="1">
        <f t="array" aca="1" ref="D133" ca="1">OFFSET(INDIRECT("'["&amp;$H133&amp;"]"&amp;$I133&amp;"'!"&amp;$J133),$L133,$M133)*$K133</f>
        <v>2.3000000000000001E-4</v>
      </c>
      <c r="F133" s="4">
        <f t="shared" si="11"/>
        <v>3</v>
      </c>
      <c r="G133" s="4" cm="1">
        <f t="array" ref="G133">IF($C133&gt;=25,F133,IF($C133&lt;16,INDEX(Sheet1!C:C,$F133),$F133))</f>
        <v>10</v>
      </c>
      <c r="H133" s="4" t="str" cm="1">
        <f t="array" ref="H133">INDEX(Sheet1!D:D,$G133)</f>
        <v>t1136.xlsx</v>
      </c>
      <c r="I133" s="4" t="str" cm="1">
        <f t="array" ref="I133">INDEX(Sheet1!E:E,$G133)</f>
        <v>Sheet1</v>
      </c>
      <c r="J133" s="4" t="str" cm="1">
        <f t="array" ref="J133">IF($C133&gt;=25,INDEX(Sheet1!G:G,$G133),INDEX(Sheet1!F:F,$G133))</f>
        <v>B25</v>
      </c>
      <c r="K133" s="4" cm="1">
        <f t="array" ref="K133">INDEX(Sheet1!H:H,$G133)</f>
        <v>1</v>
      </c>
      <c r="L133" s="4">
        <f t="shared" si="8"/>
        <v>0</v>
      </c>
      <c r="M133" s="4">
        <f t="shared" si="9"/>
        <v>10</v>
      </c>
    </row>
    <row r="134" spans="1:13">
      <c r="A134" s="4" t="str" cm="1">
        <f t="array" ref="A134">INDEX(Sheet1!A:A,$F134)</f>
        <v>M</v>
      </c>
      <c r="B134" s="4" t="str" cm="1">
        <f t="array" ref="B134">INDEX(Sheet1!B:B,$F134)</f>
        <v>Pref Best NS</v>
      </c>
      <c r="C134" s="4">
        <f t="shared" si="10"/>
        <v>11</v>
      </c>
      <c r="D134" s="5" cm="1">
        <f t="array" aca="1" ref="D134" ca="1">OFFSET(INDIRECT("'["&amp;$H134&amp;"]"&amp;$I134&amp;"'!"&amp;$J134),$L134,$M134)*$K134</f>
        <v>2.7E-4</v>
      </c>
      <c r="F134" s="4">
        <f t="shared" si="11"/>
        <v>3</v>
      </c>
      <c r="G134" s="4" cm="1">
        <f t="array" ref="G134">IF($C134&gt;=25,F134,IF($C134&lt;16,INDEX(Sheet1!C:C,$F134),$F134))</f>
        <v>10</v>
      </c>
      <c r="H134" s="4" t="str" cm="1">
        <f t="array" ref="H134">INDEX(Sheet1!D:D,$G134)</f>
        <v>t1136.xlsx</v>
      </c>
      <c r="I134" s="4" t="str" cm="1">
        <f t="array" ref="I134">INDEX(Sheet1!E:E,$G134)</f>
        <v>Sheet1</v>
      </c>
      <c r="J134" s="4" t="str" cm="1">
        <f t="array" ref="J134">IF($C134&gt;=25,INDEX(Sheet1!G:G,$G134),INDEX(Sheet1!F:F,$G134))</f>
        <v>B25</v>
      </c>
      <c r="K134" s="4" cm="1">
        <f t="array" ref="K134">INDEX(Sheet1!H:H,$G134)</f>
        <v>1</v>
      </c>
      <c r="L134" s="4">
        <f t="shared" si="8"/>
        <v>0</v>
      </c>
      <c r="M134" s="4">
        <f t="shared" si="9"/>
        <v>11</v>
      </c>
    </row>
    <row r="135" spans="1:13">
      <c r="A135" s="4" t="str" cm="1">
        <f t="array" ref="A135">INDEX(Sheet1!A:A,$F135)</f>
        <v>M</v>
      </c>
      <c r="B135" s="4" t="str" cm="1">
        <f t="array" ref="B135">INDEX(Sheet1!B:B,$F135)</f>
        <v>Pref Best NS</v>
      </c>
      <c r="C135" s="4">
        <f t="shared" si="10"/>
        <v>12</v>
      </c>
      <c r="D135" s="5" cm="1">
        <f t="array" aca="1" ref="D135" ca="1">OFFSET(INDIRECT("'["&amp;$H135&amp;"]"&amp;$I135&amp;"'!"&amp;$J135),$L135,$M135)*$K135</f>
        <v>3.3E-4</v>
      </c>
      <c r="F135" s="4">
        <f t="shared" si="11"/>
        <v>3</v>
      </c>
      <c r="G135" s="4" cm="1">
        <f t="array" ref="G135">IF($C135&gt;=25,F135,IF($C135&lt;16,INDEX(Sheet1!C:C,$F135),$F135))</f>
        <v>10</v>
      </c>
      <c r="H135" s="4" t="str" cm="1">
        <f t="array" ref="H135">INDEX(Sheet1!D:D,$G135)</f>
        <v>t1136.xlsx</v>
      </c>
      <c r="I135" s="4" t="str" cm="1">
        <f t="array" ref="I135">INDEX(Sheet1!E:E,$G135)</f>
        <v>Sheet1</v>
      </c>
      <c r="J135" s="4" t="str" cm="1">
        <f t="array" ref="J135">IF($C135&gt;=25,INDEX(Sheet1!G:G,$G135),INDEX(Sheet1!F:F,$G135))</f>
        <v>B25</v>
      </c>
      <c r="K135" s="4" cm="1">
        <f t="array" ref="K135">INDEX(Sheet1!H:H,$G135)</f>
        <v>1</v>
      </c>
      <c r="L135" s="4">
        <f t="shared" si="8"/>
        <v>0</v>
      </c>
      <c r="M135" s="4">
        <f t="shared" si="9"/>
        <v>12</v>
      </c>
    </row>
    <row r="136" spans="1:13">
      <c r="A136" s="4" t="str" cm="1">
        <f t="array" ref="A136">INDEX(Sheet1!A:A,$F136)</f>
        <v>M</v>
      </c>
      <c r="B136" s="4" t="str" cm="1">
        <f t="array" ref="B136">INDEX(Sheet1!B:B,$F136)</f>
        <v>Pref Best NS</v>
      </c>
      <c r="C136" s="4">
        <f t="shared" si="10"/>
        <v>13</v>
      </c>
      <c r="D136" s="5" cm="1">
        <f t="array" aca="1" ref="D136" ca="1">OFFSET(INDIRECT("'["&amp;$H136&amp;"]"&amp;$I136&amp;"'!"&amp;$J136),$L136,$M136)*$K136</f>
        <v>3.8999999999999999E-4</v>
      </c>
      <c r="F136" s="4">
        <f t="shared" si="11"/>
        <v>3</v>
      </c>
      <c r="G136" s="4" cm="1">
        <f t="array" ref="G136">IF($C136&gt;=25,F136,IF($C136&lt;16,INDEX(Sheet1!C:C,$F136),$F136))</f>
        <v>10</v>
      </c>
      <c r="H136" s="4" t="str" cm="1">
        <f t="array" ref="H136">INDEX(Sheet1!D:D,$G136)</f>
        <v>t1136.xlsx</v>
      </c>
      <c r="I136" s="4" t="str" cm="1">
        <f t="array" ref="I136">INDEX(Sheet1!E:E,$G136)</f>
        <v>Sheet1</v>
      </c>
      <c r="J136" s="4" t="str" cm="1">
        <f t="array" ref="J136">IF($C136&gt;=25,INDEX(Sheet1!G:G,$G136),INDEX(Sheet1!F:F,$G136))</f>
        <v>B25</v>
      </c>
      <c r="K136" s="4" cm="1">
        <f t="array" ref="K136">INDEX(Sheet1!H:H,$G136)</f>
        <v>1</v>
      </c>
      <c r="L136" s="4">
        <f t="shared" si="8"/>
        <v>0</v>
      </c>
      <c r="M136" s="4">
        <f t="shared" si="9"/>
        <v>13</v>
      </c>
    </row>
    <row r="137" spans="1:13">
      <c r="A137" s="4" t="str" cm="1">
        <f t="array" ref="A137">INDEX(Sheet1!A:A,$F137)</f>
        <v>M</v>
      </c>
      <c r="B137" s="4" t="str" cm="1">
        <f t="array" ref="B137">INDEX(Sheet1!B:B,$F137)</f>
        <v>Pref Best NS</v>
      </c>
      <c r="C137" s="4">
        <f t="shared" si="10"/>
        <v>14</v>
      </c>
      <c r="D137" s="5" cm="1">
        <f t="array" aca="1" ref="D137" ca="1">OFFSET(INDIRECT("'["&amp;$H137&amp;"]"&amp;$I137&amp;"'!"&amp;$J137),$L137,$M137)*$K137</f>
        <v>4.6999999999999999E-4</v>
      </c>
      <c r="F137" s="4">
        <f t="shared" si="11"/>
        <v>3</v>
      </c>
      <c r="G137" s="4" cm="1">
        <f t="array" ref="G137">IF($C137&gt;=25,F137,IF($C137&lt;16,INDEX(Sheet1!C:C,$F137),$F137))</f>
        <v>10</v>
      </c>
      <c r="H137" s="4" t="str" cm="1">
        <f t="array" ref="H137">INDEX(Sheet1!D:D,$G137)</f>
        <v>t1136.xlsx</v>
      </c>
      <c r="I137" s="4" t="str" cm="1">
        <f t="array" ref="I137">INDEX(Sheet1!E:E,$G137)</f>
        <v>Sheet1</v>
      </c>
      <c r="J137" s="4" t="str" cm="1">
        <f t="array" ref="J137">IF($C137&gt;=25,INDEX(Sheet1!G:G,$G137),INDEX(Sheet1!F:F,$G137))</f>
        <v>B25</v>
      </c>
      <c r="K137" s="4" cm="1">
        <f t="array" ref="K137">INDEX(Sheet1!H:H,$G137)</f>
        <v>1</v>
      </c>
      <c r="L137" s="4">
        <f t="shared" si="8"/>
        <v>0</v>
      </c>
      <c r="M137" s="4">
        <f t="shared" si="9"/>
        <v>14</v>
      </c>
    </row>
    <row r="138" spans="1:13">
      <c r="A138" s="4" t="str" cm="1">
        <f t="array" ref="A138">INDEX(Sheet1!A:A,$F138)</f>
        <v>M</v>
      </c>
      <c r="B138" s="4" t="str" cm="1">
        <f t="array" ref="B138">INDEX(Sheet1!B:B,$F138)</f>
        <v>Pref Best NS</v>
      </c>
      <c r="C138" s="4">
        <f t="shared" si="10"/>
        <v>15</v>
      </c>
      <c r="D138" s="5" cm="1">
        <f t="array" aca="1" ref="D138" ca="1">OFFSET(INDIRECT("'["&amp;$H138&amp;"]"&amp;$I138&amp;"'!"&amp;$J138),$L138,$M138)*$K138</f>
        <v>6.0999999999999997E-4</v>
      </c>
      <c r="F138" s="4">
        <f t="shared" si="11"/>
        <v>3</v>
      </c>
      <c r="G138" s="4" cm="1">
        <f t="array" ref="G138">IF($C138&gt;=25,F138,IF($C138&lt;16,INDEX(Sheet1!C:C,$F138),$F138))</f>
        <v>10</v>
      </c>
      <c r="H138" s="4" t="str" cm="1">
        <f t="array" ref="H138">INDEX(Sheet1!D:D,$G138)</f>
        <v>t1136.xlsx</v>
      </c>
      <c r="I138" s="4" t="str" cm="1">
        <f t="array" ref="I138">INDEX(Sheet1!E:E,$G138)</f>
        <v>Sheet1</v>
      </c>
      <c r="J138" s="4" t="str" cm="1">
        <f t="array" ref="J138">IF($C138&gt;=25,INDEX(Sheet1!G:G,$G138),INDEX(Sheet1!F:F,$G138))</f>
        <v>B25</v>
      </c>
      <c r="K138" s="4" cm="1">
        <f t="array" ref="K138">INDEX(Sheet1!H:H,$G138)</f>
        <v>1</v>
      </c>
      <c r="L138" s="4">
        <f t="shared" si="8"/>
        <v>0</v>
      </c>
      <c r="M138" s="4">
        <f t="shared" si="9"/>
        <v>15</v>
      </c>
    </row>
    <row r="139" spans="1:13">
      <c r="A139" s="4" t="str" cm="1">
        <f t="array" ref="A139">INDEX(Sheet1!A:A,$F139)</f>
        <v>M</v>
      </c>
      <c r="B139" s="4" t="str" cm="1">
        <f t="array" ref="B139">INDEX(Sheet1!B:B,$F139)</f>
        <v>Pref Best NS</v>
      </c>
      <c r="C139" s="4">
        <f t="shared" si="10"/>
        <v>16</v>
      </c>
      <c r="D139" s="5" cm="1">
        <f t="array" aca="1" ref="D139" ca="1">OFFSET(INDIRECT("'["&amp;$H139&amp;"]"&amp;$I139&amp;"'!"&amp;$J139),$L139,$M139)*$K139</f>
        <v>5.4000000000000001E-4</v>
      </c>
      <c r="F139" s="4">
        <f t="shared" si="11"/>
        <v>3</v>
      </c>
      <c r="G139" s="4" cm="1">
        <f t="array" ref="G139">IF($C139&gt;=25,F139,IF($C139&lt;16,INDEX(Sheet1!C:C,$F139),$F139))</f>
        <v>3</v>
      </c>
      <c r="H139" s="4" t="str" cm="1">
        <f t="array" ref="H139">INDEX(Sheet1!D:D,$G139)</f>
        <v>2001-cso-preferred-class-structure-mortality-tables.xls</v>
      </c>
      <c r="I139" s="4" t="str" cm="1">
        <f t="array" ref="I139">INDEX(Sheet1!E:E,$G139)</f>
        <v>A.1.a.ii</v>
      </c>
      <c r="J139" s="4" t="str" cm="1">
        <f t="array" ref="J139">IF($C139&gt;=25,INDEX(Sheet1!G:G,$G139),INDEX(Sheet1!F:F,$G139))</f>
        <v>B8</v>
      </c>
      <c r="K139" s="4" cm="1">
        <f t="array" ref="K139">INDEX(Sheet1!H:H,$G139)</f>
        <v>1E-3</v>
      </c>
      <c r="L139" s="4">
        <f t="shared" si="8"/>
        <v>0</v>
      </c>
      <c r="M139" s="4">
        <f t="shared" si="9"/>
        <v>16</v>
      </c>
    </row>
    <row r="140" spans="1:13">
      <c r="A140" s="4" t="str" cm="1">
        <f t="array" ref="A140">INDEX(Sheet1!A:A,$F140)</f>
        <v>M</v>
      </c>
      <c r="B140" s="4" t="str" cm="1">
        <f t="array" ref="B140">INDEX(Sheet1!B:B,$F140)</f>
        <v>Pref Best NS</v>
      </c>
      <c r="C140" s="4">
        <f t="shared" si="10"/>
        <v>17</v>
      </c>
      <c r="D140" s="5" cm="1">
        <f t="array" aca="1" ref="D140" ca="1">OFFSET(INDIRECT("'["&amp;$H140&amp;"]"&amp;$I140&amp;"'!"&amp;$J140),$L140,$M140)*$K140</f>
        <v>6.2E-4</v>
      </c>
      <c r="F140" s="4">
        <f t="shared" si="11"/>
        <v>3</v>
      </c>
      <c r="G140" s="4" cm="1">
        <f t="array" ref="G140">IF($C140&gt;=25,F140,IF($C140&lt;16,INDEX(Sheet1!C:C,$F140),$F140))</f>
        <v>3</v>
      </c>
      <c r="H140" s="4" t="str" cm="1">
        <f t="array" ref="H140">INDEX(Sheet1!D:D,$G140)</f>
        <v>2001-cso-preferred-class-structure-mortality-tables.xls</v>
      </c>
      <c r="I140" s="4" t="str" cm="1">
        <f t="array" ref="I140">INDEX(Sheet1!E:E,$G140)</f>
        <v>A.1.a.ii</v>
      </c>
      <c r="J140" s="4" t="str" cm="1">
        <f t="array" ref="J140">IF($C140&gt;=25,INDEX(Sheet1!G:G,$G140),INDEX(Sheet1!F:F,$G140))</f>
        <v>B8</v>
      </c>
      <c r="K140" s="4" cm="1">
        <f t="array" ref="K140">INDEX(Sheet1!H:H,$G140)</f>
        <v>1E-3</v>
      </c>
      <c r="L140" s="4">
        <f t="shared" si="8"/>
        <v>0</v>
      </c>
      <c r="M140" s="4">
        <f t="shared" si="9"/>
        <v>17</v>
      </c>
    </row>
    <row r="141" spans="1:13">
      <c r="A141" s="4" t="str" cm="1">
        <f t="array" ref="A141">INDEX(Sheet1!A:A,$F141)</f>
        <v>M</v>
      </c>
      <c r="B141" s="4" t="str" cm="1">
        <f t="array" ref="B141">INDEX(Sheet1!B:B,$F141)</f>
        <v>Pref Best NS</v>
      </c>
      <c r="C141" s="4">
        <f t="shared" si="10"/>
        <v>18</v>
      </c>
      <c r="D141" s="5" cm="1">
        <f t="array" aca="1" ref="D141" ca="1">OFFSET(INDIRECT("'["&amp;$H141&amp;"]"&amp;$I141&amp;"'!"&amp;$J141),$L141,$M141)*$K141</f>
        <v>6.6E-4</v>
      </c>
      <c r="F141" s="4">
        <f t="shared" si="11"/>
        <v>3</v>
      </c>
      <c r="G141" s="4" cm="1">
        <f t="array" ref="G141">IF($C141&gt;=25,F141,IF($C141&lt;16,INDEX(Sheet1!C:C,$F141),$F141))</f>
        <v>3</v>
      </c>
      <c r="H141" s="4" t="str" cm="1">
        <f t="array" ref="H141">INDEX(Sheet1!D:D,$G141)</f>
        <v>2001-cso-preferred-class-structure-mortality-tables.xls</v>
      </c>
      <c r="I141" s="4" t="str" cm="1">
        <f t="array" ref="I141">INDEX(Sheet1!E:E,$G141)</f>
        <v>A.1.a.ii</v>
      </c>
      <c r="J141" s="4" t="str" cm="1">
        <f t="array" ref="J141">IF($C141&gt;=25,INDEX(Sheet1!G:G,$G141),INDEX(Sheet1!F:F,$G141))</f>
        <v>B8</v>
      </c>
      <c r="K141" s="4" cm="1">
        <f t="array" ref="K141">INDEX(Sheet1!H:H,$G141)</f>
        <v>1E-3</v>
      </c>
      <c r="L141" s="4">
        <f t="shared" si="8"/>
        <v>0</v>
      </c>
      <c r="M141" s="4">
        <f t="shared" si="9"/>
        <v>18</v>
      </c>
    </row>
    <row r="142" spans="1:13">
      <c r="A142" s="4" t="str" cm="1">
        <f t="array" ref="A142">INDEX(Sheet1!A:A,$F142)</f>
        <v>M</v>
      </c>
      <c r="B142" s="4" t="str" cm="1">
        <f t="array" ref="B142">INDEX(Sheet1!B:B,$F142)</f>
        <v>Pref Best NS</v>
      </c>
      <c r="C142" s="4">
        <f t="shared" si="10"/>
        <v>19</v>
      </c>
      <c r="D142" s="5" cm="1">
        <f t="array" aca="1" ref="D142" ca="1">OFFSET(INDIRECT("'["&amp;$H142&amp;"]"&amp;$I142&amp;"'!"&amp;$J142),$L142,$M142)*$K142</f>
        <v>6.8999999999999997E-4</v>
      </c>
      <c r="F142" s="4">
        <f t="shared" si="11"/>
        <v>3</v>
      </c>
      <c r="G142" s="4" cm="1">
        <f t="array" ref="G142">IF($C142&gt;=25,F142,IF($C142&lt;16,INDEX(Sheet1!C:C,$F142),$F142))</f>
        <v>3</v>
      </c>
      <c r="H142" s="4" t="str" cm="1">
        <f t="array" ref="H142">INDEX(Sheet1!D:D,$G142)</f>
        <v>2001-cso-preferred-class-structure-mortality-tables.xls</v>
      </c>
      <c r="I142" s="4" t="str" cm="1">
        <f t="array" ref="I142">INDEX(Sheet1!E:E,$G142)</f>
        <v>A.1.a.ii</v>
      </c>
      <c r="J142" s="4" t="str" cm="1">
        <f t="array" ref="J142">IF($C142&gt;=25,INDEX(Sheet1!G:G,$G142),INDEX(Sheet1!F:F,$G142))</f>
        <v>B8</v>
      </c>
      <c r="K142" s="4" cm="1">
        <f t="array" ref="K142">INDEX(Sheet1!H:H,$G142)</f>
        <v>1E-3</v>
      </c>
      <c r="L142" s="4">
        <f t="shared" si="8"/>
        <v>0</v>
      </c>
      <c r="M142" s="4">
        <f t="shared" si="9"/>
        <v>19</v>
      </c>
    </row>
    <row r="143" spans="1:13">
      <c r="A143" s="4" t="str" cm="1">
        <f t="array" ref="A143">INDEX(Sheet1!A:A,$F143)</f>
        <v>M</v>
      </c>
      <c r="B143" s="4" t="str" cm="1">
        <f t="array" ref="B143">INDEX(Sheet1!B:B,$F143)</f>
        <v>Pref Best NS</v>
      </c>
      <c r="C143" s="4">
        <f t="shared" si="10"/>
        <v>20</v>
      </c>
      <c r="D143" s="5" cm="1">
        <f t="array" aca="1" ref="D143" ca="1">OFFSET(INDIRECT("'["&amp;$H143&amp;"]"&amp;$I143&amp;"'!"&amp;$J143),$L143,$M143)*$K143</f>
        <v>6.8999999999999997E-4</v>
      </c>
      <c r="F143" s="4">
        <f t="shared" si="11"/>
        <v>3</v>
      </c>
      <c r="G143" s="4" cm="1">
        <f t="array" ref="G143">IF($C143&gt;=25,F143,IF($C143&lt;16,INDEX(Sheet1!C:C,$F143),$F143))</f>
        <v>3</v>
      </c>
      <c r="H143" s="4" t="str" cm="1">
        <f t="array" ref="H143">INDEX(Sheet1!D:D,$G143)</f>
        <v>2001-cso-preferred-class-structure-mortality-tables.xls</v>
      </c>
      <c r="I143" s="4" t="str" cm="1">
        <f t="array" ref="I143">INDEX(Sheet1!E:E,$G143)</f>
        <v>A.1.a.ii</v>
      </c>
      <c r="J143" s="4" t="str" cm="1">
        <f t="array" ref="J143">IF($C143&gt;=25,INDEX(Sheet1!G:G,$G143),INDEX(Sheet1!F:F,$G143))</f>
        <v>B8</v>
      </c>
      <c r="K143" s="4" cm="1">
        <f t="array" ref="K143">INDEX(Sheet1!H:H,$G143)</f>
        <v>1E-3</v>
      </c>
      <c r="L143" s="4">
        <f t="shared" si="8"/>
        <v>0</v>
      </c>
      <c r="M143" s="4">
        <f t="shared" si="9"/>
        <v>20</v>
      </c>
    </row>
    <row r="144" spans="1:13">
      <c r="A144" s="4" t="str" cm="1">
        <f t="array" ref="A144">INDEX(Sheet1!A:A,$F144)</f>
        <v>M</v>
      </c>
      <c r="B144" s="4" t="str" cm="1">
        <f t="array" ref="B144">INDEX(Sheet1!B:B,$F144)</f>
        <v>Pref Best NS</v>
      </c>
      <c r="C144" s="4">
        <f t="shared" si="10"/>
        <v>21</v>
      </c>
      <c r="D144" s="5" cm="1">
        <f t="array" aca="1" ref="D144" ca="1">OFFSET(INDIRECT("'["&amp;$H144&amp;"]"&amp;$I144&amp;"'!"&amp;$J144),$L144,$M144)*$K144</f>
        <v>6.9999999999999999E-4</v>
      </c>
      <c r="F144" s="4">
        <f t="shared" si="11"/>
        <v>3</v>
      </c>
      <c r="G144" s="4" cm="1">
        <f t="array" ref="G144">IF($C144&gt;=25,F144,IF($C144&lt;16,INDEX(Sheet1!C:C,$F144),$F144))</f>
        <v>3</v>
      </c>
      <c r="H144" s="4" t="str" cm="1">
        <f t="array" ref="H144">INDEX(Sheet1!D:D,$G144)</f>
        <v>2001-cso-preferred-class-structure-mortality-tables.xls</v>
      </c>
      <c r="I144" s="4" t="str" cm="1">
        <f t="array" ref="I144">INDEX(Sheet1!E:E,$G144)</f>
        <v>A.1.a.ii</v>
      </c>
      <c r="J144" s="4" t="str" cm="1">
        <f t="array" ref="J144">IF($C144&gt;=25,INDEX(Sheet1!G:G,$G144),INDEX(Sheet1!F:F,$G144))</f>
        <v>B8</v>
      </c>
      <c r="K144" s="4" cm="1">
        <f t="array" ref="K144">INDEX(Sheet1!H:H,$G144)</f>
        <v>1E-3</v>
      </c>
      <c r="L144" s="4">
        <f t="shared" si="8"/>
        <v>0</v>
      </c>
      <c r="M144" s="4">
        <f t="shared" si="9"/>
        <v>21</v>
      </c>
    </row>
    <row r="145" spans="1:13">
      <c r="A145" s="4" t="str" cm="1">
        <f t="array" ref="A145">INDEX(Sheet1!A:A,$F145)</f>
        <v>M</v>
      </c>
      <c r="B145" s="4" t="str" cm="1">
        <f t="array" ref="B145">INDEX(Sheet1!B:B,$F145)</f>
        <v>Pref Best NS</v>
      </c>
      <c r="C145" s="4">
        <f t="shared" si="10"/>
        <v>22</v>
      </c>
      <c r="D145" s="5" cm="1">
        <f t="array" aca="1" ref="D145" ca="1">OFFSET(INDIRECT("'["&amp;$H145&amp;"]"&amp;$I145&amp;"'!"&amp;$J145),$L145,$M145)*$K145</f>
        <v>6.9999999999999999E-4</v>
      </c>
      <c r="F145" s="4">
        <f t="shared" si="11"/>
        <v>3</v>
      </c>
      <c r="G145" s="4" cm="1">
        <f t="array" ref="G145">IF($C145&gt;=25,F145,IF($C145&lt;16,INDEX(Sheet1!C:C,$F145),$F145))</f>
        <v>3</v>
      </c>
      <c r="H145" s="4" t="str" cm="1">
        <f t="array" ref="H145">INDEX(Sheet1!D:D,$G145)</f>
        <v>2001-cso-preferred-class-structure-mortality-tables.xls</v>
      </c>
      <c r="I145" s="4" t="str" cm="1">
        <f t="array" ref="I145">INDEX(Sheet1!E:E,$G145)</f>
        <v>A.1.a.ii</v>
      </c>
      <c r="J145" s="4" t="str" cm="1">
        <f t="array" ref="J145">IF($C145&gt;=25,INDEX(Sheet1!G:G,$G145),INDEX(Sheet1!F:F,$G145))</f>
        <v>B8</v>
      </c>
      <c r="K145" s="4" cm="1">
        <f t="array" ref="K145">INDEX(Sheet1!H:H,$G145)</f>
        <v>1E-3</v>
      </c>
      <c r="L145" s="4">
        <f t="shared" si="8"/>
        <v>0</v>
      </c>
      <c r="M145" s="4">
        <f t="shared" si="9"/>
        <v>22</v>
      </c>
    </row>
    <row r="146" spans="1:13">
      <c r="A146" s="4" t="str" cm="1">
        <f t="array" ref="A146">INDEX(Sheet1!A:A,$F146)</f>
        <v>M</v>
      </c>
      <c r="B146" s="4" t="str" cm="1">
        <f t="array" ref="B146">INDEX(Sheet1!B:B,$F146)</f>
        <v>Pref Best NS</v>
      </c>
      <c r="C146" s="4">
        <f t="shared" si="10"/>
        <v>23</v>
      </c>
      <c r="D146" s="5" cm="1">
        <f t="array" aca="1" ref="D146" ca="1">OFFSET(INDIRECT("'["&amp;$H146&amp;"]"&amp;$I146&amp;"'!"&amp;$J146),$L146,$M146)*$K146</f>
        <v>7.1000000000000002E-4</v>
      </c>
      <c r="F146" s="4">
        <f t="shared" si="11"/>
        <v>3</v>
      </c>
      <c r="G146" s="4" cm="1">
        <f t="array" ref="G146">IF($C146&gt;=25,F146,IF($C146&lt;16,INDEX(Sheet1!C:C,$F146),$F146))</f>
        <v>3</v>
      </c>
      <c r="H146" s="4" t="str" cm="1">
        <f t="array" ref="H146">INDEX(Sheet1!D:D,$G146)</f>
        <v>2001-cso-preferred-class-structure-mortality-tables.xls</v>
      </c>
      <c r="I146" s="4" t="str" cm="1">
        <f t="array" ref="I146">INDEX(Sheet1!E:E,$G146)</f>
        <v>A.1.a.ii</v>
      </c>
      <c r="J146" s="4" t="str" cm="1">
        <f t="array" ref="J146">IF($C146&gt;=25,INDEX(Sheet1!G:G,$G146),INDEX(Sheet1!F:F,$G146))</f>
        <v>B8</v>
      </c>
      <c r="K146" s="4" cm="1">
        <f t="array" ref="K146">INDEX(Sheet1!H:H,$G146)</f>
        <v>1E-3</v>
      </c>
      <c r="L146" s="4">
        <f t="shared" si="8"/>
        <v>0</v>
      </c>
      <c r="M146" s="4">
        <f t="shared" si="9"/>
        <v>23</v>
      </c>
    </row>
    <row r="147" spans="1:13">
      <c r="A147" s="4" t="str" cm="1">
        <f t="array" ref="A147">INDEX(Sheet1!A:A,$F147)</f>
        <v>M</v>
      </c>
      <c r="B147" s="4" t="str" cm="1">
        <f t="array" ref="B147">INDEX(Sheet1!B:B,$F147)</f>
        <v>Pref Best NS</v>
      </c>
      <c r="C147" s="4">
        <f t="shared" si="10"/>
        <v>24</v>
      </c>
      <c r="D147" s="5" cm="1">
        <f t="array" aca="1" ref="D147" ca="1">OFFSET(INDIRECT("'["&amp;$H147&amp;"]"&amp;$I147&amp;"'!"&amp;$J147),$L147,$M147)*$K147</f>
        <v>7.1000000000000002E-4</v>
      </c>
      <c r="F147" s="4">
        <f t="shared" si="11"/>
        <v>3</v>
      </c>
      <c r="G147" s="4" cm="1">
        <f t="array" ref="G147">IF($C147&gt;=25,F147,IF($C147&lt;16,INDEX(Sheet1!C:C,$F147),$F147))</f>
        <v>3</v>
      </c>
      <c r="H147" s="4" t="str" cm="1">
        <f t="array" ref="H147">INDEX(Sheet1!D:D,$G147)</f>
        <v>2001-cso-preferred-class-structure-mortality-tables.xls</v>
      </c>
      <c r="I147" s="4" t="str" cm="1">
        <f t="array" ref="I147">INDEX(Sheet1!E:E,$G147)</f>
        <v>A.1.a.ii</v>
      </c>
      <c r="J147" s="4" t="str" cm="1">
        <f t="array" ref="J147">IF($C147&gt;=25,INDEX(Sheet1!G:G,$G147),INDEX(Sheet1!F:F,$G147))</f>
        <v>B8</v>
      </c>
      <c r="K147" s="4" cm="1">
        <f t="array" ref="K147">INDEX(Sheet1!H:H,$G147)</f>
        <v>1E-3</v>
      </c>
      <c r="L147" s="4">
        <f t="shared" si="8"/>
        <v>0</v>
      </c>
      <c r="M147" s="4">
        <f t="shared" si="9"/>
        <v>24</v>
      </c>
    </row>
    <row r="148" spans="1:13">
      <c r="A148" s="4" t="str" cm="1">
        <f t="array" ref="A148">INDEX(Sheet1!A:A,$F148)</f>
        <v>M</v>
      </c>
      <c r="B148" s="4" t="str" cm="1">
        <f t="array" ref="B148">INDEX(Sheet1!B:B,$F148)</f>
        <v>Pref Best NS</v>
      </c>
      <c r="C148" s="4">
        <f t="shared" si="10"/>
        <v>25</v>
      </c>
      <c r="D148" s="5" cm="1">
        <f t="array" aca="1" ref="D148" ca="1">OFFSET(INDIRECT("'["&amp;$H148&amp;"]"&amp;$I148&amp;"'!"&amp;$J148),$L148,$M148)*$K148</f>
        <v>7.1999999999999994E-4</v>
      </c>
      <c r="F148" s="4">
        <f t="shared" si="11"/>
        <v>3</v>
      </c>
      <c r="G148" s="4" cm="1">
        <f t="array" ref="G148">IF($C148&gt;=25,F148,IF($C148&lt;16,INDEX(Sheet1!C:C,$F148),$F148))</f>
        <v>3</v>
      </c>
      <c r="H148" s="4" t="str" cm="1">
        <f t="array" ref="H148">INDEX(Sheet1!D:D,$G148)</f>
        <v>2001-cso-preferred-class-structure-mortality-tables.xls</v>
      </c>
      <c r="I148" s="4" t="str" cm="1">
        <f t="array" ref="I148">INDEX(Sheet1!E:E,$G148)</f>
        <v>A.1.a.ii</v>
      </c>
      <c r="J148" s="4" t="str" cm="1">
        <f t="array" ref="J148">IF($C148&gt;=25,INDEX(Sheet1!G:G,$G148),INDEX(Sheet1!F:F,$G148))</f>
        <v>AA8</v>
      </c>
      <c r="K148" s="4" cm="1">
        <f t="array" ref="K148">INDEX(Sheet1!H:H,$G148)</f>
        <v>1E-3</v>
      </c>
      <c r="L148" s="4">
        <f t="shared" si="8"/>
        <v>0</v>
      </c>
      <c r="M148" s="4">
        <f t="shared" si="9"/>
        <v>0</v>
      </c>
    </row>
    <row r="149" spans="1:13">
      <c r="A149" s="4" t="str" cm="1">
        <f t="array" ref="A149">INDEX(Sheet1!A:A,$F149)</f>
        <v>M</v>
      </c>
      <c r="B149" s="4" t="str" cm="1">
        <f t="array" ref="B149">INDEX(Sheet1!B:B,$F149)</f>
        <v>Pref Best NS</v>
      </c>
      <c r="C149" s="4">
        <f t="shared" si="10"/>
        <v>26</v>
      </c>
      <c r="D149" s="5" cm="1">
        <f t="array" aca="1" ref="D149" ca="1">OFFSET(INDIRECT("'["&amp;$H149&amp;"]"&amp;$I149&amp;"'!"&amp;$J149),$L149,$M149)*$K149</f>
        <v>7.3999999999999999E-4</v>
      </c>
      <c r="F149" s="4">
        <f t="shared" si="11"/>
        <v>3</v>
      </c>
      <c r="G149" s="4" cm="1">
        <f t="array" ref="G149">IF($C149&gt;=25,F149,IF($C149&lt;16,INDEX(Sheet1!C:C,$F149),$F149))</f>
        <v>3</v>
      </c>
      <c r="H149" s="4" t="str" cm="1">
        <f t="array" ref="H149">INDEX(Sheet1!D:D,$G149)</f>
        <v>2001-cso-preferred-class-structure-mortality-tables.xls</v>
      </c>
      <c r="I149" s="4" t="str" cm="1">
        <f t="array" ref="I149">INDEX(Sheet1!E:E,$G149)</f>
        <v>A.1.a.ii</v>
      </c>
      <c r="J149" s="4" t="str" cm="1">
        <f t="array" ref="J149">IF($C149&gt;=25,INDEX(Sheet1!G:G,$G149),INDEX(Sheet1!F:F,$G149))</f>
        <v>AA8</v>
      </c>
      <c r="K149" s="4" cm="1">
        <f t="array" ref="K149">INDEX(Sheet1!H:H,$G149)</f>
        <v>1E-3</v>
      </c>
      <c r="L149" s="4">
        <f t="shared" si="8"/>
        <v>1</v>
      </c>
      <c r="M149" s="4">
        <f t="shared" si="9"/>
        <v>0</v>
      </c>
    </row>
    <row r="150" spans="1:13">
      <c r="A150" s="4" t="str" cm="1">
        <f t="array" ref="A150">INDEX(Sheet1!A:A,$F150)</f>
        <v>M</v>
      </c>
      <c r="B150" s="4" t="str" cm="1">
        <f t="array" ref="B150">INDEX(Sheet1!B:B,$F150)</f>
        <v>Pref Best NS</v>
      </c>
      <c r="C150" s="4">
        <f t="shared" si="10"/>
        <v>27</v>
      </c>
      <c r="D150" s="5" cm="1">
        <f t="array" aca="1" ref="D150" ca="1">OFFSET(INDIRECT("'["&amp;$H150&amp;"]"&amp;$I150&amp;"'!"&amp;$J150),$L150,$M150)*$K150</f>
        <v>7.8000000000000009E-4</v>
      </c>
      <c r="F150" s="4">
        <f t="shared" si="11"/>
        <v>3</v>
      </c>
      <c r="G150" s="4" cm="1">
        <f t="array" ref="G150">IF($C150&gt;=25,F150,IF($C150&lt;16,INDEX(Sheet1!C:C,$F150),$F150))</f>
        <v>3</v>
      </c>
      <c r="H150" s="4" t="str" cm="1">
        <f t="array" ref="H150">INDEX(Sheet1!D:D,$G150)</f>
        <v>2001-cso-preferred-class-structure-mortality-tables.xls</v>
      </c>
      <c r="I150" s="4" t="str" cm="1">
        <f t="array" ref="I150">INDEX(Sheet1!E:E,$G150)</f>
        <v>A.1.a.ii</v>
      </c>
      <c r="J150" s="4" t="str" cm="1">
        <f t="array" ref="J150">IF($C150&gt;=25,INDEX(Sheet1!G:G,$G150),INDEX(Sheet1!F:F,$G150))</f>
        <v>AA8</v>
      </c>
      <c r="K150" s="4" cm="1">
        <f t="array" ref="K150">INDEX(Sheet1!H:H,$G150)</f>
        <v>1E-3</v>
      </c>
      <c r="L150" s="4">
        <f t="shared" si="8"/>
        <v>2</v>
      </c>
      <c r="M150" s="4">
        <f t="shared" si="9"/>
        <v>0</v>
      </c>
    </row>
    <row r="151" spans="1:13">
      <c r="A151" s="4" t="str" cm="1">
        <f t="array" ref="A151">INDEX(Sheet1!A:A,$F151)</f>
        <v>M</v>
      </c>
      <c r="B151" s="4" t="str" cm="1">
        <f t="array" ref="B151">INDEX(Sheet1!B:B,$F151)</f>
        <v>Pref Best NS</v>
      </c>
      <c r="C151" s="4">
        <f t="shared" si="10"/>
        <v>28</v>
      </c>
      <c r="D151" s="5" cm="1">
        <f t="array" aca="1" ref="D151" ca="1">OFFSET(INDIRECT("'["&amp;$H151&amp;"]"&amp;$I151&amp;"'!"&amp;$J151),$L151,$M151)*$K151</f>
        <v>7.8000000000000009E-4</v>
      </c>
      <c r="F151" s="4">
        <f t="shared" si="11"/>
        <v>3</v>
      </c>
      <c r="G151" s="4" cm="1">
        <f t="array" ref="G151">IF($C151&gt;=25,F151,IF($C151&lt;16,INDEX(Sheet1!C:C,$F151),$F151))</f>
        <v>3</v>
      </c>
      <c r="H151" s="4" t="str" cm="1">
        <f t="array" ref="H151">INDEX(Sheet1!D:D,$G151)</f>
        <v>2001-cso-preferred-class-structure-mortality-tables.xls</v>
      </c>
      <c r="I151" s="4" t="str" cm="1">
        <f t="array" ref="I151">INDEX(Sheet1!E:E,$G151)</f>
        <v>A.1.a.ii</v>
      </c>
      <c r="J151" s="4" t="str" cm="1">
        <f t="array" ref="J151">IF($C151&gt;=25,INDEX(Sheet1!G:G,$G151),INDEX(Sheet1!F:F,$G151))</f>
        <v>AA8</v>
      </c>
      <c r="K151" s="4" cm="1">
        <f t="array" ref="K151">INDEX(Sheet1!H:H,$G151)</f>
        <v>1E-3</v>
      </c>
      <c r="L151" s="4">
        <f t="shared" si="8"/>
        <v>3</v>
      </c>
      <c r="M151" s="4">
        <f t="shared" si="9"/>
        <v>0</v>
      </c>
    </row>
    <row r="152" spans="1:13">
      <c r="A152" s="4" t="str" cm="1">
        <f t="array" ref="A152">INDEX(Sheet1!A:A,$F152)</f>
        <v>M</v>
      </c>
      <c r="B152" s="4" t="str" cm="1">
        <f t="array" ref="B152">INDEX(Sheet1!B:B,$F152)</f>
        <v>Pref Best NS</v>
      </c>
      <c r="C152" s="4">
        <f t="shared" si="10"/>
        <v>29</v>
      </c>
      <c r="D152" s="5" cm="1">
        <f t="array" aca="1" ref="D152" ca="1">OFFSET(INDIRECT("'["&amp;$H152&amp;"]"&amp;$I152&amp;"'!"&amp;$J152),$L152,$M152)*$K152</f>
        <v>7.7000000000000007E-4</v>
      </c>
      <c r="F152" s="4">
        <f t="shared" si="11"/>
        <v>3</v>
      </c>
      <c r="G152" s="4" cm="1">
        <f t="array" ref="G152">IF($C152&gt;=25,F152,IF($C152&lt;16,INDEX(Sheet1!C:C,$F152),$F152))</f>
        <v>3</v>
      </c>
      <c r="H152" s="4" t="str" cm="1">
        <f t="array" ref="H152">INDEX(Sheet1!D:D,$G152)</f>
        <v>2001-cso-preferred-class-structure-mortality-tables.xls</v>
      </c>
      <c r="I152" s="4" t="str" cm="1">
        <f t="array" ref="I152">INDEX(Sheet1!E:E,$G152)</f>
        <v>A.1.a.ii</v>
      </c>
      <c r="J152" s="4" t="str" cm="1">
        <f t="array" ref="J152">IF($C152&gt;=25,INDEX(Sheet1!G:G,$G152),INDEX(Sheet1!F:F,$G152))</f>
        <v>AA8</v>
      </c>
      <c r="K152" s="4" cm="1">
        <f t="array" ref="K152">INDEX(Sheet1!H:H,$G152)</f>
        <v>1E-3</v>
      </c>
      <c r="L152" s="4">
        <f t="shared" si="8"/>
        <v>4</v>
      </c>
      <c r="M152" s="4">
        <f t="shared" si="9"/>
        <v>0</v>
      </c>
    </row>
    <row r="153" spans="1:13">
      <c r="A153" s="4" t="str" cm="1">
        <f t="array" ref="A153">INDEX(Sheet1!A:A,$F153)</f>
        <v>M</v>
      </c>
      <c r="B153" s="4" t="str" cm="1">
        <f t="array" ref="B153">INDEX(Sheet1!B:B,$F153)</f>
        <v>Pref Best NS</v>
      </c>
      <c r="C153" s="4">
        <f t="shared" si="10"/>
        <v>30</v>
      </c>
      <c r="D153" s="5" cm="1">
        <f t="array" aca="1" ref="D153" ca="1">OFFSET(INDIRECT("'["&amp;$H153&amp;"]"&amp;$I153&amp;"'!"&amp;$J153),$L153,$M153)*$K153</f>
        <v>7.6000000000000004E-4</v>
      </c>
      <c r="F153" s="4">
        <f t="shared" si="11"/>
        <v>3</v>
      </c>
      <c r="G153" s="4" cm="1">
        <f t="array" ref="G153">IF($C153&gt;=25,F153,IF($C153&lt;16,INDEX(Sheet1!C:C,$F153),$F153))</f>
        <v>3</v>
      </c>
      <c r="H153" s="4" t="str" cm="1">
        <f t="array" ref="H153">INDEX(Sheet1!D:D,$G153)</f>
        <v>2001-cso-preferred-class-structure-mortality-tables.xls</v>
      </c>
      <c r="I153" s="4" t="str" cm="1">
        <f t="array" ref="I153">INDEX(Sheet1!E:E,$G153)</f>
        <v>A.1.a.ii</v>
      </c>
      <c r="J153" s="4" t="str" cm="1">
        <f t="array" ref="J153">IF($C153&gt;=25,INDEX(Sheet1!G:G,$G153),INDEX(Sheet1!F:F,$G153))</f>
        <v>AA8</v>
      </c>
      <c r="K153" s="4" cm="1">
        <f t="array" ref="K153">INDEX(Sheet1!H:H,$G153)</f>
        <v>1E-3</v>
      </c>
      <c r="L153" s="4">
        <f t="shared" si="8"/>
        <v>5</v>
      </c>
      <c r="M153" s="4">
        <f t="shared" si="9"/>
        <v>0</v>
      </c>
    </row>
    <row r="154" spans="1:13">
      <c r="A154" s="4" t="str" cm="1">
        <f t="array" ref="A154">INDEX(Sheet1!A:A,$F154)</f>
        <v>M</v>
      </c>
      <c r="B154" s="4" t="str" cm="1">
        <f t="array" ref="B154">INDEX(Sheet1!B:B,$F154)</f>
        <v>Pref Best NS</v>
      </c>
      <c r="C154" s="4">
        <f t="shared" si="10"/>
        <v>31</v>
      </c>
      <c r="D154" s="5" cm="1">
        <f t="array" aca="1" ref="D154" ca="1">OFFSET(INDIRECT("'["&amp;$H154&amp;"]"&amp;$I154&amp;"'!"&amp;$J154),$L154,$M154)*$K154</f>
        <v>7.6000000000000004E-4</v>
      </c>
      <c r="F154" s="4">
        <f t="shared" si="11"/>
        <v>3</v>
      </c>
      <c r="G154" s="4" cm="1">
        <f t="array" ref="G154">IF($C154&gt;=25,F154,IF($C154&lt;16,INDEX(Sheet1!C:C,$F154),$F154))</f>
        <v>3</v>
      </c>
      <c r="H154" s="4" t="str" cm="1">
        <f t="array" ref="H154">INDEX(Sheet1!D:D,$G154)</f>
        <v>2001-cso-preferred-class-structure-mortality-tables.xls</v>
      </c>
      <c r="I154" s="4" t="str" cm="1">
        <f t="array" ref="I154">INDEX(Sheet1!E:E,$G154)</f>
        <v>A.1.a.ii</v>
      </c>
      <c r="J154" s="4" t="str" cm="1">
        <f t="array" ref="J154">IF($C154&gt;=25,INDEX(Sheet1!G:G,$G154),INDEX(Sheet1!F:F,$G154))</f>
        <v>AA8</v>
      </c>
      <c r="K154" s="4" cm="1">
        <f t="array" ref="K154">INDEX(Sheet1!H:H,$G154)</f>
        <v>1E-3</v>
      </c>
      <c r="L154" s="4">
        <f t="shared" si="8"/>
        <v>6</v>
      </c>
      <c r="M154" s="4">
        <f t="shared" si="9"/>
        <v>0</v>
      </c>
    </row>
    <row r="155" spans="1:13">
      <c r="A155" s="4" t="str" cm="1">
        <f t="array" ref="A155">INDEX(Sheet1!A:A,$F155)</f>
        <v>M</v>
      </c>
      <c r="B155" s="4" t="str" cm="1">
        <f t="array" ref="B155">INDEX(Sheet1!B:B,$F155)</f>
        <v>Pref Best NS</v>
      </c>
      <c r="C155" s="4">
        <f t="shared" si="10"/>
        <v>32</v>
      </c>
      <c r="D155" s="5" cm="1">
        <f t="array" aca="1" ref="D155" ca="1">OFFSET(INDIRECT("'["&amp;$H155&amp;"]"&amp;$I155&amp;"'!"&amp;$J155),$L155,$M155)*$K155</f>
        <v>7.6000000000000004E-4</v>
      </c>
      <c r="F155" s="4">
        <f t="shared" si="11"/>
        <v>3</v>
      </c>
      <c r="G155" s="4" cm="1">
        <f t="array" ref="G155">IF($C155&gt;=25,F155,IF($C155&lt;16,INDEX(Sheet1!C:C,$F155),$F155))</f>
        <v>3</v>
      </c>
      <c r="H155" s="4" t="str" cm="1">
        <f t="array" ref="H155">INDEX(Sheet1!D:D,$G155)</f>
        <v>2001-cso-preferred-class-structure-mortality-tables.xls</v>
      </c>
      <c r="I155" s="4" t="str" cm="1">
        <f t="array" ref="I155">INDEX(Sheet1!E:E,$G155)</f>
        <v>A.1.a.ii</v>
      </c>
      <c r="J155" s="4" t="str" cm="1">
        <f t="array" ref="J155">IF($C155&gt;=25,INDEX(Sheet1!G:G,$G155),INDEX(Sheet1!F:F,$G155))</f>
        <v>AA8</v>
      </c>
      <c r="K155" s="4" cm="1">
        <f t="array" ref="K155">INDEX(Sheet1!H:H,$G155)</f>
        <v>1E-3</v>
      </c>
      <c r="L155" s="4">
        <f t="shared" si="8"/>
        <v>7</v>
      </c>
      <c r="M155" s="4">
        <f t="shared" si="9"/>
        <v>0</v>
      </c>
    </row>
    <row r="156" spans="1:13">
      <c r="A156" s="4" t="str" cm="1">
        <f t="array" ref="A156">INDEX(Sheet1!A:A,$F156)</f>
        <v>M</v>
      </c>
      <c r="B156" s="4" t="str" cm="1">
        <f t="array" ref="B156">INDEX(Sheet1!B:B,$F156)</f>
        <v>Pref Best NS</v>
      </c>
      <c r="C156" s="4">
        <f t="shared" si="10"/>
        <v>33</v>
      </c>
      <c r="D156" s="5" cm="1">
        <f t="array" aca="1" ref="D156" ca="1">OFFSET(INDIRECT("'["&amp;$H156&amp;"]"&amp;$I156&amp;"'!"&amp;$J156),$L156,$M156)*$K156</f>
        <v>7.8000000000000009E-4</v>
      </c>
      <c r="F156" s="4">
        <f t="shared" si="11"/>
        <v>3</v>
      </c>
      <c r="G156" s="4" cm="1">
        <f t="array" ref="G156">IF($C156&gt;=25,F156,IF($C156&lt;16,INDEX(Sheet1!C:C,$F156),$F156))</f>
        <v>3</v>
      </c>
      <c r="H156" s="4" t="str" cm="1">
        <f t="array" ref="H156">INDEX(Sheet1!D:D,$G156)</f>
        <v>2001-cso-preferred-class-structure-mortality-tables.xls</v>
      </c>
      <c r="I156" s="4" t="str" cm="1">
        <f t="array" ref="I156">INDEX(Sheet1!E:E,$G156)</f>
        <v>A.1.a.ii</v>
      </c>
      <c r="J156" s="4" t="str" cm="1">
        <f t="array" ref="J156">IF($C156&gt;=25,INDEX(Sheet1!G:G,$G156),INDEX(Sheet1!F:F,$G156))</f>
        <v>AA8</v>
      </c>
      <c r="K156" s="4" cm="1">
        <f t="array" ref="K156">INDEX(Sheet1!H:H,$G156)</f>
        <v>1E-3</v>
      </c>
      <c r="L156" s="4">
        <f t="shared" si="8"/>
        <v>8</v>
      </c>
      <c r="M156" s="4">
        <f t="shared" si="9"/>
        <v>0</v>
      </c>
    </row>
    <row r="157" spans="1:13">
      <c r="A157" s="4" t="str" cm="1">
        <f t="array" ref="A157">INDEX(Sheet1!A:A,$F157)</f>
        <v>M</v>
      </c>
      <c r="B157" s="4" t="str" cm="1">
        <f t="array" ref="B157">INDEX(Sheet1!B:B,$F157)</f>
        <v>Pref Best NS</v>
      </c>
      <c r="C157" s="4">
        <f t="shared" si="10"/>
        <v>34</v>
      </c>
      <c r="D157" s="5" cm="1">
        <f t="array" aca="1" ref="D157" ca="1">OFFSET(INDIRECT("'["&amp;$H157&amp;"]"&amp;$I157&amp;"'!"&amp;$J157),$L157,$M157)*$K157</f>
        <v>8.0000000000000004E-4</v>
      </c>
      <c r="F157" s="4">
        <f t="shared" si="11"/>
        <v>3</v>
      </c>
      <c r="G157" s="4" cm="1">
        <f t="array" ref="G157">IF($C157&gt;=25,F157,IF($C157&lt;16,INDEX(Sheet1!C:C,$F157),$F157))</f>
        <v>3</v>
      </c>
      <c r="H157" s="4" t="str" cm="1">
        <f t="array" ref="H157">INDEX(Sheet1!D:D,$G157)</f>
        <v>2001-cso-preferred-class-structure-mortality-tables.xls</v>
      </c>
      <c r="I157" s="4" t="str" cm="1">
        <f t="array" ref="I157">INDEX(Sheet1!E:E,$G157)</f>
        <v>A.1.a.ii</v>
      </c>
      <c r="J157" s="4" t="str" cm="1">
        <f t="array" ref="J157">IF($C157&gt;=25,INDEX(Sheet1!G:G,$G157),INDEX(Sheet1!F:F,$G157))</f>
        <v>AA8</v>
      </c>
      <c r="K157" s="4" cm="1">
        <f t="array" ref="K157">INDEX(Sheet1!H:H,$G157)</f>
        <v>1E-3</v>
      </c>
      <c r="L157" s="4">
        <f t="shared" si="8"/>
        <v>9</v>
      </c>
      <c r="M157" s="4">
        <f t="shared" si="9"/>
        <v>0</v>
      </c>
    </row>
    <row r="158" spans="1:13">
      <c r="A158" s="4" t="str" cm="1">
        <f t="array" ref="A158">INDEX(Sheet1!A:A,$F158)</f>
        <v>M</v>
      </c>
      <c r="B158" s="4" t="str" cm="1">
        <f t="array" ref="B158">INDEX(Sheet1!B:B,$F158)</f>
        <v>Pref Best NS</v>
      </c>
      <c r="C158" s="4">
        <f t="shared" si="10"/>
        <v>35</v>
      </c>
      <c r="D158" s="5" cm="1">
        <f t="array" aca="1" ref="D158" ca="1">OFFSET(INDIRECT("'["&amp;$H158&amp;"]"&amp;$I158&amp;"'!"&amp;$J158),$L158,$M158)*$K158</f>
        <v>8.1999999999999998E-4</v>
      </c>
      <c r="F158" s="4">
        <f t="shared" si="11"/>
        <v>3</v>
      </c>
      <c r="G158" s="4" cm="1">
        <f t="array" ref="G158">IF($C158&gt;=25,F158,IF($C158&lt;16,INDEX(Sheet1!C:C,$F158),$F158))</f>
        <v>3</v>
      </c>
      <c r="H158" s="4" t="str" cm="1">
        <f t="array" ref="H158">INDEX(Sheet1!D:D,$G158)</f>
        <v>2001-cso-preferred-class-structure-mortality-tables.xls</v>
      </c>
      <c r="I158" s="4" t="str" cm="1">
        <f t="array" ref="I158">INDEX(Sheet1!E:E,$G158)</f>
        <v>A.1.a.ii</v>
      </c>
      <c r="J158" s="4" t="str" cm="1">
        <f t="array" ref="J158">IF($C158&gt;=25,INDEX(Sheet1!G:G,$G158),INDEX(Sheet1!F:F,$G158))</f>
        <v>AA8</v>
      </c>
      <c r="K158" s="4" cm="1">
        <f t="array" ref="K158">INDEX(Sheet1!H:H,$G158)</f>
        <v>1E-3</v>
      </c>
      <c r="L158" s="4">
        <f t="shared" si="8"/>
        <v>10</v>
      </c>
      <c r="M158" s="4">
        <f t="shared" si="9"/>
        <v>0</v>
      </c>
    </row>
    <row r="159" spans="1:13">
      <c r="A159" s="4" t="str" cm="1">
        <f t="array" ref="A159">INDEX(Sheet1!A:A,$F159)</f>
        <v>M</v>
      </c>
      <c r="B159" s="4" t="str" cm="1">
        <f t="array" ref="B159">INDEX(Sheet1!B:B,$F159)</f>
        <v>Pref Best NS</v>
      </c>
      <c r="C159" s="4">
        <f t="shared" si="10"/>
        <v>36</v>
      </c>
      <c r="D159" s="5" cm="1">
        <f t="array" aca="1" ref="D159" ca="1">OFFSET(INDIRECT("'["&amp;$H159&amp;"]"&amp;$I159&amp;"'!"&amp;$J159),$L159,$M159)*$K159</f>
        <v>8.7000000000000001E-4</v>
      </c>
      <c r="F159" s="4">
        <f t="shared" si="11"/>
        <v>3</v>
      </c>
      <c r="G159" s="4" cm="1">
        <f t="array" ref="G159">IF($C159&gt;=25,F159,IF($C159&lt;16,INDEX(Sheet1!C:C,$F159),$F159))</f>
        <v>3</v>
      </c>
      <c r="H159" s="4" t="str" cm="1">
        <f t="array" ref="H159">INDEX(Sheet1!D:D,$G159)</f>
        <v>2001-cso-preferred-class-structure-mortality-tables.xls</v>
      </c>
      <c r="I159" s="4" t="str" cm="1">
        <f t="array" ref="I159">INDEX(Sheet1!E:E,$G159)</f>
        <v>A.1.a.ii</v>
      </c>
      <c r="J159" s="4" t="str" cm="1">
        <f t="array" ref="J159">IF($C159&gt;=25,INDEX(Sheet1!G:G,$G159),INDEX(Sheet1!F:F,$G159))</f>
        <v>AA8</v>
      </c>
      <c r="K159" s="4" cm="1">
        <f t="array" ref="K159">INDEX(Sheet1!H:H,$G159)</f>
        <v>1E-3</v>
      </c>
      <c r="L159" s="4">
        <f t="shared" si="8"/>
        <v>11</v>
      </c>
      <c r="M159" s="4">
        <f t="shared" si="9"/>
        <v>0</v>
      </c>
    </row>
    <row r="160" spans="1:13">
      <c r="A160" s="4" t="str" cm="1">
        <f t="array" ref="A160">INDEX(Sheet1!A:A,$F160)</f>
        <v>M</v>
      </c>
      <c r="B160" s="4" t="str" cm="1">
        <f t="array" ref="B160">INDEX(Sheet1!B:B,$F160)</f>
        <v>Pref Best NS</v>
      </c>
      <c r="C160" s="4">
        <f t="shared" si="10"/>
        <v>37</v>
      </c>
      <c r="D160" s="5" cm="1">
        <f t="array" aca="1" ref="D160" ca="1">OFFSET(INDIRECT("'["&amp;$H160&amp;"]"&amp;$I160&amp;"'!"&amp;$J160),$L160,$M160)*$K160</f>
        <v>9.1E-4</v>
      </c>
      <c r="F160" s="4">
        <f t="shared" si="11"/>
        <v>3</v>
      </c>
      <c r="G160" s="4" cm="1">
        <f t="array" ref="G160">IF($C160&gt;=25,F160,IF($C160&lt;16,INDEX(Sheet1!C:C,$F160),$F160))</f>
        <v>3</v>
      </c>
      <c r="H160" s="4" t="str" cm="1">
        <f t="array" ref="H160">INDEX(Sheet1!D:D,$G160)</f>
        <v>2001-cso-preferred-class-structure-mortality-tables.xls</v>
      </c>
      <c r="I160" s="4" t="str" cm="1">
        <f t="array" ref="I160">INDEX(Sheet1!E:E,$G160)</f>
        <v>A.1.a.ii</v>
      </c>
      <c r="J160" s="4" t="str" cm="1">
        <f t="array" ref="J160">IF($C160&gt;=25,INDEX(Sheet1!G:G,$G160),INDEX(Sheet1!F:F,$G160))</f>
        <v>AA8</v>
      </c>
      <c r="K160" s="4" cm="1">
        <f t="array" ref="K160">INDEX(Sheet1!H:H,$G160)</f>
        <v>1E-3</v>
      </c>
      <c r="L160" s="4">
        <f t="shared" si="8"/>
        <v>12</v>
      </c>
      <c r="M160" s="4">
        <f t="shared" si="9"/>
        <v>0</v>
      </c>
    </row>
    <row r="161" spans="1:13">
      <c r="A161" s="4" t="str" cm="1">
        <f t="array" ref="A161">INDEX(Sheet1!A:A,$F161)</f>
        <v>M</v>
      </c>
      <c r="B161" s="4" t="str" cm="1">
        <f t="array" ref="B161">INDEX(Sheet1!B:B,$F161)</f>
        <v>Pref Best NS</v>
      </c>
      <c r="C161" s="4">
        <f t="shared" si="10"/>
        <v>38</v>
      </c>
      <c r="D161" s="5" cm="1">
        <f t="array" aca="1" ref="D161" ca="1">OFFSET(INDIRECT("'["&amp;$H161&amp;"]"&amp;$I161&amp;"'!"&amp;$J161),$L161,$M161)*$K161</f>
        <v>9.6999999999999994E-4</v>
      </c>
      <c r="F161" s="4">
        <f t="shared" si="11"/>
        <v>3</v>
      </c>
      <c r="G161" s="4" cm="1">
        <f t="array" ref="G161">IF($C161&gt;=25,F161,IF($C161&lt;16,INDEX(Sheet1!C:C,$F161),$F161))</f>
        <v>3</v>
      </c>
      <c r="H161" s="4" t="str" cm="1">
        <f t="array" ref="H161">INDEX(Sheet1!D:D,$G161)</f>
        <v>2001-cso-preferred-class-structure-mortality-tables.xls</v>
      </c>
      <c r="I161" s="4" t="str" cm="1">
        <f t="array" ref="I161">INDEX(Sheet1!E:E,$G161)</f>
        <v>A.1.a.ii</v>
      </c>
      <c r="J161" s="4" t="str" cm="1">
        <f t="array" ref="J161">IF($C161&gt;=25,INDEX(Sheet1!G:G,$G161),INDEX(Sheet1!F:F,$G161))</f>
        <v>AA8</v>
      </c>
      <c r="K161" s="4" cm="1">
        <f t="array" ref="K161">INDEX(Sheet1!H:H,$G161)</f>
        <v>1E-3</v>
      </c>
      <c r="L161" s="4">
        <f t="shared" si="8"/>
        <v>13</v>
      </c>
      <c r="M161" s="4">
        <f t="shared" si="9"/>
        <v>0</v>
      </c>
    </row>
    <row r="162" spans="1:13">
      <c r="A162" s="4" t="str" cm="1">
        <f t="array" ref="A162">INDEX(Sheet1!A:A,$F162)</f>
        <v>M</v>
      </c>
      <c r="B162" s="4" t="str" cm="1">
        <f t="array" ref="B162">INDEX(Sheet1!B:B,$F162)</f>
        <v>Pref Best NS</v>
      </c>
      <c r="C162" s="4">
        <f t="shared" si="10"/>
        <v>39</v>
      </c>
      <c r="D162" s="5" cm="1">
        <f t="array" aca="1" ref="D162" ca="1">OFFSET(INDIRECT("'["&amp;$H162&amp;"]"&amp;$I162&amp;"'!"&amp;$J162),$L162,$M162)*$K162</f>
        <v>1.0300000000000001E-3</v>
      </c>
      <c r="F162" s="4">
        <f t="shared" si="11"/>
        <v>3</v>
      </c>
      <c r="G162" s="4" cm="1">
        <f t="array" ref="G162">IF($C162&gt;=25,F162,IF($C162&lt;16,INDEX(Sheet1!C:C,$F162),$F162))</f>
        <v>3</v>
      </c>
      <c r="H162" s="4" t="str" cm="1">
        <f t="array" ref="H162">INDEX(Sheet1!D:D,$G162)</f>
        <v>2001-cso-preferred-class-structure-mortality-tables.xls</v>
      </c>
      <c r="I162" s="4" t="str" cm="1">
        <f t="array" ref="I162">INDEX(Sheet1!E:E,$G162)</f>
        <v>A.1.a.ii</v>
      </c>
      <c r="J162" s="4" t="str" cm="1">
        <f t="array" ref="J162">IF($C162&gt;=25,INDEX(Sheet1!G:G,$G162),INDEX(Sheet1!F:F,$G162))</f>
        <v>AA8</v>
      </c>
      <c r="K162" s="4" cm="1">
        <f t="array" ref="K162">INDEX(Sheet1!H:H,$G162)</f>
        <v>1E-3</v>
      </c>
      <c r="L162" s="4">
        <f t="shared" si="8"/>
        <v>14</v>
      </c>
      <c r="M162" s="4">
        <f t="shared" si="9"/>
        <v>0</v>
      </c>
    </row>
    <row r="163" spans="1:13">
      <c r="A163" s="4" t="str" cm="1">
        <f t="array" ref="A163">INDEX(Sheet1!A:A,$F163)</f>
        <v>M</v>
      </c>
      <c r="B163" s="4" t="str" cm="1">
        <f t="array" ref="B163">INDEX(Sheet1!B:B,$F163)</f>
        <v>Pref Best NS</v>
      </c>
      <c r="C163" s="4">
        <f t="shared" si="10"/>
        <v>40</v>
      </c>
      <c r="D163" s="5" cm="1">
        <f t="array" aca="1" ref="D163" ca="1">OFFSET(INDIRECT("'["&amp;$H163&amp;"]"&amp;$I163&amp;"'!"&amp;$J163),$L163,$M163)*$K163</f>
        <v>1.1000000000000001E-3</v>
      </c>
      <c r="F163" s="4">
        <f t="shared" si="11"/>
        <v>3</v>
      </c>
      <c r="G163" s="4" cm="1">
        <f t="array" ref="G163">IF($C163&gt;=25,F163,IF($C163&lt;16,INDEX(Sheet1!C:C,$F163),$F163))</f>
        <v>3</v>
      </c>
      <c r="H163" s="4" t="str" cm="1">
        <f t="array" ref="H163">INDEX(Sheet1!D:D,$G163)</f>
        <v>2001-cso-preferred-class-structure-mortality-tables.xls</v>
      </c>
      <c r="I163" s="4" t="str" cm="1">
        <f t="array" ref="I163">INDEX(Sheet1!E:E,$G163)</f>
        <v>A.1.a.ii</v>
      </c>
      <c r="J163" s="4" t="str" cm="1">
        <f t="array" ref="J163">IF($C163&gt;=25,INDEX(Sheet1!G:G,$G163),INDEX(Sheet1!F:F,$G163))</f>
        <v>AA8</v>
      </c>
      <c r="K163" s="4" cm="1">
        <f t="array" ref="K163">INDEX(Sheet1!H:H,$G163)</f>
        <v>1E-3</v>
      </c>
      <c r="L163" s="4">
        <f t="shared" si="8"/>
        <v>15</v>
      </c>
      <c r="M163" s="4">
        <f t="shared" si="9"/>
        <v>0</v>
      </c>
    </row>
    <row r="164" spans="1:13">
      <c r="A164" s="4" t="str" cm="1">
        <f t="array" ref="A164">INDEX(Sheet1!A:A,$F164)</f>
        <v>M</v>
      </c>
      <c r="B164" s="4" t="str" cm="1">
        <f t="array" ref="B164">INDEX(Sheet1!B:B,$F164)</f>
        <v>Pref Best NS</v>
      </c>
      <c r="C164" s="4">
        <f t="shared" si="10"/>
        <v>41</v>
      </c>
      <c r="D164" s="5" cm="1">
        <f t="array" aca="1" ref="D164" ca="1">OFFSET(INDIRECT("'["&amp;$H164&amp;"]"&amp;$I164&amp;"'!"&amp;$J164),$L164,$M164)*$K164</f>
        <v>1.1899999999999999E-3</v>
      </c>
      <c r="F164" s="4">
        <f t="shared" si="11"/>
        <v>3</v>
      </c>
      <c r="G164" s="4" cm="1">
        <f t="array" ref="G164">IF($C164&gt;=25,F164,IF($C164&lt;16,INDEX(Sheet1!C:C,$F164),$F164))</f>
        <v>3</v>
      </c>
      <c r="H164" s="4" t="str" cm="1">
        <f t="array" ref="H164">INDEX(Sheet1!D:D,$G164)</f>
        <v>2001-cso-preferred-class-structure-mortality-tables.xls</v>
      </c>
      <c r="I164" s="4" t="str" cm="1">
        <f t="array" ref="I164">INDEX(Sheet1!E:E,$G164)</f>
        <v>A.1.a.ii</v>
      </c>
      <c r="J164" s="4" t="str" cm="1">
        <f t="array" ref="J164">IF($C164&gt;=25,INDEX(Sheet1!G:G,$G164),INDEX(Sheet1!F:F,$G164))</f>
        <v>AA8</v>
      </c>
      <c r="K164" s="4" cm="1">
        <f t="array" ref="K164">INDEX(Sheet1!H:H,$G164)</f>
        <v>1E-3</v>
      </c>
      <c r="L164" s="4">
        <f t="shared" si="8"/>
        <v>16</v>
      </c>
      <c r="M164" s="4">
        <f t="shared" si="9"/>
        <v>0</v>
      </c>
    </row>
    <row r="165" spans="1:13">
      <c r="A165" s="4" t="str" cm="1">
        <f t="array" ref="A165">INDEX(Sheet1!A:A,$F165)</f>
        <v>M</v>
      </c>
      <c r="B165" s="4" t="str" cm="1">
        <f t="array" ref="B165">INDEX(Sheet1!B:B,$F165)</f>
        <v>Pref Best NS</v>
      </c>
      <c r="C165" s="4">
        <f t="shared" si="10"/>
        <v>42</v>
      </c>
      <c r="D165" s="5" cm="1">
        <f t="array" aca="1" ref="D165" ca="1">OFFSET(INDIRECT("'["&amp;$H165&amp;"]"&amp;$I165&amp;"'!"&amp;$J165),$L165,$M165)*$K165</f>
        <v>1.3000000000000002E-3</v>
      </c>
      <c r="F165" s="4">
        <f t="shared" si="11"/>
        <v>3</v>
      </c>
      <c r="G165" s="4" cm="1">
        <f t="array" ref="G165">IF($C165&gt;=25,F165,IF($C165&lt;16,INDEX(Sheet1!C:C,$F165),$F165))</f>
        <v>3</v>
      </c>
      <c r="H165" s="4" t="str" cm="1">
        <f t="array" ref="H165">INDEX(Sheet1!D:D,$G165)</f>
        <v>2001-cso-preferred-class-structure-mortality-tables.xls</v>
      </c>
      <c r="I165" s="4" t="str" cm="1">
        <f t="array" ref="I165">INDEX(Sheet1!E:E,$G165)</f>
        <v>A.1.a.ii</v>
      </c>
      <c r="J165" s="4" t="str" cm="1">
        <f t="array" ref="J165">IF($C165&gt;=25,INDEX(Sheet1!G:G,$G165),INDEX(Sheet1!F:F,$G165))</f>
        <v>AA8</v>
      </c>
      <c r="K165" s="4" cm="1">
        <f t="array" ref="K165">INDEX(Sheet1!H:H,$G165)</f>
        <v>1E-3</v>
      </c>
      <c r="L165" s="4">
        <f t="shared" si="8"/>
        <v>17</v>
      </c>
      <c r="M165" s="4">
        <f t="shared" si="9"/>
        <v>0</v>
      </c>
    </row>
    <row r="166" spans="1:13">
      <c r="A166" s="4" t="str" cm="1">
        <f t="array" ref="A166">INDEX(Sheet1!A:A,$F166)</f>
        <v>M</v>
      </c>
      <c r="B166" s="4" t="str" cm="1">
        <f t="array" ref="B166">INDEX(Sheet1!B:B,$F166)</f>
        <v>Pref Best NS</v>
      </c>
      <c r="C166" s="4">
        <f t="shared" si="10"/>
        <v>43</v>
      </c>
      <c r="D166" s="5" cm="1">
        <f t="array" aca="1" ref="D166" ca="1">OFFSET(INDIRECT("'["&amp;$H166&amp;"]"&amp;$I166&amp;"'!"&amp;$J166),$L166,$M166)*$K166</f>
        <v>1.42E-3</v>
      </c>
      <c r="F166" s="4">
        <f t="shared" si="11"/>
        <v>3</v>
      </c>
      <c r="G166" s="4" cm="1">
        <f t="array" ref="G166">IF($C166&gt;=25,F166,IF($C166&lt;16,INDEX(Sheet1!C:C,$F166),$F166))</f>
        <v>3</v>
      </c>
      <c r="H166" s="4" t="str" cm="1">
        <f t="array" ref="H166">INDEX(Sheet1!D:D,$G166)</f>
        <v>2001-cso-preferred-class-structure-mortality-tables.xls</v>
      </c>
      <c r="I166" s="4" t="str" cm="1">
        <f t="array" ref="I166">INDEX(Sheet1!E:E,$G166)</f>
        <v>A.1.a.ii</v>
      </c>
      <c r="J166" s="4" t="str" cm="1">
        <f t="array" ref="J166">IF($C166&gt;=25,INDEX(Sheet1!G:G,$G166),INDEX(Sheet1!F:F,$G166))</f>
        <v>AA8</v>
      </c>
      <c r="K166" s="4" cm="1">
        <f t="array" ref="K166">INDEX(Sheet1!H:H,$G166)</f>
        <v>1E-3</v>
      </c>
      <c r="L166" s="4">
        <f t="shared" si="8"/>
        <v>18</v>
      </c>
      <c r="M166" s="4">
        <f t="shared" si="9"/>
        <v>0</v>
      </c>
    </row>
    <row r="167" spans="1:13">
      <c r="A167" s="4" t="str" cm="1">
        <f t="array" ref="A167">INDEX(Sheet1!A:A,$F167)</f>
        <v>M</v>
      </c>
      <c r="B167" s="4" t="str" cm="1">
        <f t="array" ref="B167">INDEX(Sheet1!B:B,$F167)</f>
        <v>Pref Best NS</v>
      </c>
      <c r="C167" s="4">
        <f t="shared" si="10"/>
        <v>44</v>
      </c>
      <c r="D167" s="5" cm="1">
        <f t="array" aca="1" ref="D167" ca="1">OFFSET(INDIRECT("'["&amp;$H167&amp;"]"&amp;$I167&amp;"'!"&amp;$J167),$L167,$M167)*$K167</f>
        <v>1.57E-3</v>
      </c>
      <c r="F167" s="4">
        <f t="shared" si="11"/>
        <v>3</v>
      </c>
      <c r="G167" s="4" cm="1">
        <f t="array" ref="G167">IF($C167&gt;=25,F167,IF($C167&lt;16,INDEX(Sheet1!C:C,$F167),$F167))</f>
        <v>3</v>
      </c>
      <c r="H167" s="4" t="str" cm="1">
        <f t="array" ref="H167">INDEX(Sheet1!D:D,$G167)</f>
        <v>2001-cso-preferred-class-structure-mortality-tables.xls</v>
      </c>
      <c r="I167" s="4" t="str" cm="1">
        <f t="array" ref="I167">INDEX(Sheet1!E:E,$G167)</f>
        <v>A.1.a.ii</v>
      </c>
      <c r="J167" s="4" t="str" cm="1">
        <f t="array" ref="J167">IF($C167&gt;=25,INDEX(Sheet1!G:G,$G167),INDEX(Sheet1!F:F,$G167))</f>
        <v>AA8</v>
      </c>
      <c r="K167" s="4" cm="1">
        <f t="array" ref="K167">INDEX(Sheet1!H:H,$G167)</f>
        <v>1E-3</v>
      </c>
      <c r="L167" s="4">
        <f t="shared" si="8"/>
        <v>19</v>
      </c>
      <c r="M167" s="4">
        <f t="shared" si="9"/>
        <v>0</v>
      </c>
    </row>
    <row r="168" spans="1:13">
      <c r="A168" s="4" t="str" cm="1">
        <f t="array" ref="A168">INDEX(Sheet1!A:A,$F168)</f>
        <v>M</v>
      </c>
      <c r="B168" s="4" t="str" cm="1">
        <f t="array" ref="B168">INDEX(Sheet1!B:B,$F168)</f>
        <v>Pref Best NS</v>
      </c>
      <c r="C168" s="4">
        <f t="shared" si="10"/>
        <v>45</v>
      </c>
      <c r="D168" s="5" cm="1">
        <f t="array" aca="1" ref="D168" ca="1">OFFSET(INDIRECT("'["&amp;$H168&amp;"]"&amp;$I168&amp;"'!"&amp;$J168),$L168,$M168)*$K168</f>
        <v>1.74E-3</v>
      </c>
      <c r="F168" s="4">
        <f t="shared" si="11"/>
        <v>3</v>
      </c>
      <c r="G168" s="4" cm="1">
        <f t="array" ref="G168">IF($C168&gt;=25,F168,IF($C168&lt;16,INDEX(Sheet1!C:C,$F168),$F168))</f>
        <v>3</v>
      </c>
      <c r="H168" s="4" t="str" cm="1">
        <f t="array" ref="H168">INDEX(Sheet1!D:D,$G168)</f>
        <v>2001-cso-preferred-class-structure-mortality-tables.xls</v>
      </c>
      <c r="I168" s="4" t="str" cm="1">
        <f t="array" ref="I168">INDEX(Sheet1!E:E,$G168)</f>
        <v>A.1.a.ii</v>
      </c>
      <c r="J168" s="4" t="str" cm="1">
        <f t="array" ref="J168">IF($C168&gt;=25,INDEX(Sheet1!G:G,$G168),INDEX(Sheet1!F:F,$G168))</f>
        <v>AA8</v>
      </c>
      <c r="K168" s="4" cm="1">
        <f t="array" ref="K168">INDEX(Sheet1!H:H,$G168)</f>
        <v>1E-3</v>
      </c>
      <c r="L168" s="4">
        <f t="shared" si="8"/>
        <v>20</v>
      </c>
      <c r="M168" s="4">
        <f t="shared" si="9"/>
        <v>0</v>
      </c>
    </row>
    <row r="169" spans="1:13">
      <c r="A169" s="4" t="str" cm="1">
        <f t="array" ref="A169">INDEX(Sheet1!A:A,$F169)</f>
        <v>M</v>
      </c>
      <c r="B169" s="4" t="str" cm="1">
        <f t="array" ref="B169">INDEX(Sheet1!B:B,$F169)</f>
        <v>Pref Best NS</v>
      </c>
      <c r="C169" s="4">
        <f t="shared" si="10"/>
        <v>46</v>
      </c>
      <c r="D169" s="5" cm="1">
        <f t="array" aca="1" ref="D169" ca="1">OFFSET(INDIRECT("'["&amp;$H169&amp;"]"&amp;$I169&amp;"'!"&amp;$J169),$L169,$M169)*$K169</f>
        <v>1.9E-3</v>
      </c>
      <c r="F169" s="4">
        <f t="shared" si="11"/>
        <v>3</v>
      </c>
      <c r="G169" s="4" cm="1">
        <f t="array" ref="G169">IF($C169&gt;=25,F169,IF($C169&lt;16,INDEX(Sheet1!C:C,$F169),$F169))</f>
        <v>3</v>
      </c>
      <c r="H169" s="4" t="str" cm="1">
        <f t="array" ref="H169">INDEX(Sheet1!D:D,$G169)</f>
        <v>2001-cso-preferred-class-structure-mortality-tables.xls</v>
      </c>
      <c r="I169" s="4" t="str" cm="1">
        <f t="array" ref="I169">INDEX(Sheet1!E:E,$G169)</f>
        <v>A.1.a.ii</v>
      </c>
      <c r="J169" s="4" t="str" cm="1">
        <f t="array" ref="J169">IF($C169&gt;=25,INDEX(Sheet1!G:G,$G169),INDEX(Sheet1!F:F,$G169))</f>
        <v>AA8</v>
      </c>
      <c r="K169" s="4" cm="1">
        <f t="array" ref="K169">INDEX(Sheet1!H:H,$G169)</f>
        <v>1E-3</v>
      </c>
      <c r="L169" s="4">
        <f t="shared" si="8"/>
        <v>21</v>
      </c>
      <c r="M169" s="4">
        <f t="shared" si="9"/>
        <v>0</v>
      </c>
    </row>
    <row r="170" spans="1:13">
      <c r="A170" s="4" t="str" cm="1">
        <f t="array" ref="A170">INDEX(Sheet1!A:A,$F170)</f>
        <v>M</v>
      </c>
      <c r="B170" s="4" t="str" cm="1">
        <f t="array" ref="B170">INDEX(Sheet1!B:B,$F170)</f>
        <v>Pref Best NS</v>
      </c>
      <c r="C170" s="4">
        <f t="shared" si="10"/>
        <v>47</v>
      </c>
      <c r="D170" s="5" cm="1">
        <f t="array" aca="1" ref="D170" ca="1">OFFSET(INDIRECT("'["&amp;$H170&amp;"]"&amp;$I170&amp;"'!"&amp;$J170),$L170,$M170)*$K170</f>
        <v>2.0699999999999998E-3</v>
      </c>
      <c r="F170" s="4">
        <f t="shared" si="11"/>
        <v>3</v>
      </c>
      <c r="G170" s="4" cm="1">
        <f t="array" ref="G170">IF($C170&gt;=25,F170,IF($C170&lt;16,INDEX(Sheet1!C:C,$F170),$F170))</f>
        <v>3</v>
      </c>
      <c r="H170" s="4" t="str" cm="1">
        <f t="array" ref="H170">INDEX(Sheet1!D:D,$G170)</f>
        <v>2001-cso-preferred-class-structure-mortality-tables.xls</v>
      </c>
      <c r="I170" s="4" t="str" cm="1">
        <f t="array" ref="I170">INDEX(Sheet1!E:E,$G170)</f>
        <v>A.1.a.ii</v>
      </c>
      <c r="J170" s="4" t="str" cm="1">
        <f t="array" ref="J170">IF($C170&gt;=25,INDEX(Sheet1!G:G,$G170),INDEX(Sheet1!F:F,$G170))</f>
        <v>AA8</v>
      </c>
      <c r="K170" s="4" cm="1">
        <f t="array" ref="K170">INDEX(Sheet1!H:H,$G170)</f>
        <v>1E-3</v>
      </c>
      <c r="L170" s="4">
        <f t="shared" si="8"/>
        <v>22</v>
      </c>
      <c r="M170" s="4">
        <f t="shared" si="9"/>
        <v>0</v>
      </c>
    </row>
    <row r="171" spans="1:13">
      <c r="A171" s="4" t="str" cm="1">
        <f t="array" ref="A171">INDEX(Sheet1!A:A,$F171)</f>
        <v>M</v>
      </c>
      <c r="B171" s="4" t="str" cm="1">
        <f t="array" ref="B171">INDEX(Sheet1!B:B,$F171)</f>
        <v>Pref Best NS</v>
      </c>
      <c r="C171" s="4">
        <f t="shared" si="10"/>
        <v>48</v>
      </c>
      <c r="D171" s="5" cm="1">
        <f t="array" aca="1" ref="D171" ca="1">OFFSET(INDIRECT("'["&amp;$H171&amp;"]"&amp;$I171&amp;"'!"&amp;$J171),$L171,$M171)*$K171</f>
        <v>2.1800000000000001E-3</v>
      </c>
      <c r="F171" s="4">
        <f t="shared" si="11"/>
        <v>3</v>
      </c>
      <c r="G171" s="4" cm="1">
        <f t="array" ref="G171">IF($C171&gt;=25,F171,IF($C171&lt;16,INDEX(Sheet1!C:C,$F171),$F171))</f>
        <v>3</v>
      </c>
      <c r="H171" s="4" t="str" cm="1">
        <f t="array" ref="H171">INDEX(Sheet1!D:D,$G171)</f>
        <v>2001-cso-preferred-class-structure-mortality-tables.xls</v>
      </c>
      <c r="I171" s="4" t="str" cm="1">
        <f t="array" ref="I171">INDEX(Sheet1!E:E,$G171)</f>
        <v>A.1.a.ii</v>
      </c>
      <c r="J171" s="4" t="str" cm="1">
        <f t="array" ref="J171">IF($C171&gt;=25,INDEX(Sheet1!G:G,$G171),INDEX(Sheet1!F:F,$G171))</f>
        <v>AA8</v>
      </c>
      <c r="K171" s="4" cm="1">
        <f t="array" ref="K171">INDEX(Sheet1!H:H,$G171)</f>
        <v>1E-3</v>
      </c>
      <c r="L171" s="4">
        <f t="shared" si="8"/>
        <v>23</v>
      </c>
      <c r="M171" s="4">
        <f t="shared" si="9"/>
        <v>0</v>
      </c>
    </row>
    <row r="172" spans="1:13">
      <c r="A172" s="4" t="str" cm="1">
        <f t="array" ref="A172">INDEX(Sheet1!A:A,$F172)</f>
        <v>M</v>
      </c>
      <c r="B172" s="4" t="str" cm="1">
        <f t="array" ref="B172">INDEX(Sheet1!B:B,$F172)</f>
        <v>Pref Best NS</v>
      </c>
      <c r="C172" s="4">
        <f t="shared" si="10"/>
        <v>49</v>
      </c>
      <c r="D172" s="5" cm="1">
        <f t="array" aca="1" ref="D172" ca="1">OFFSET(INDIRECT("'["&amp;$H172&amp;"]"&amp;$I172&amp;"'!"&amp;$J172),$L172,$M172)*$K172</f>
        <v>2.33E-3</v>
      </c>
      <c r="F172" s="4">
        <f t="shared" si="11"/>
        <v>3</v>
      </c>
      <c r="G172" s="4" cm="1">
        <f t="array" ref="G172">IF($C172&gt;=25,F172,IF($C172&lt;16,INDEX(Sheet1!C:C,$F172),$F172))</f>
        <v>3</v>
      </c>
      <c r="H172" s="4" t="str" cm="1">
        <f t="array" ref="H172">INDEX(Sheet1!D:D,$G172)</f>
        <v>2001-cso-preferred-class-structure-mortality-tables.xls</v>
      </c>
      <c r="I172" s="4" t="str" cm="1">
        <f t="array" ref="I172">INDEX(Sheet1!E:E,$G172)</f>
        <v>A.1.a.ii</v>
      </c>
      <c r="J172" s="4" t="str" cm="1">
        <f t="array" ref="J172">IF($C172&gt;=25,INDEX(Sheet1!G:G,$G172),INDEX(Sheet1!F:F,$G172))</f>
        <v>AA8</v>
      </c>
      <c r="K172" s="4" cm="1">
        <f t="array" ref="K172">INDEX(Sheet1!H:H,$G172)</f>
        <v>1E-3</v>
      </c>
      <c r="L172" s="4">
        <f t="shared" si="8"/>
        <v>24</v>
      </c>
      <c r="M172" s="4">
        <f t="shared" si="9"/>
        <v>0</v>
      </c>
    </row>
    <row r="173" spans="1:13">
      <c r="A173" s="4" t="str" cm="1">
        <f t="array" ref="A173">INDEX(Sheet1!A:A,$F173)</f>
        <v>M</v>
      </c>
      <c r="B173" s="4" t="str" cm="1">
        <f t="array" ref="B173">INDEX(Sheet1!B:B,$F173)</f>
        <v>Pref Best NS</v>
      </c>
      <c r="C173" s="4">
        <f t="shared" si="10"/>
        <v>50</v>
      </c>
      <c r="D173" s="5" cm="1">
        <f t="array" aca="1" ref="D173" ca="1">OFFSET(INDIRECT("'["&amp;$H173&amp;"]"&amp;$I173&amp;"'!"&amp;$J173),$L173,$M173)*$K173</f>
        <v>2.5099999999999996E-3</v>
      </c>
      <c r="F173" s="4">
        <f t="shared" si="11"/>
        <v>3</v>
      </c>
      <c r="G173" s="4" cm="1">
        <f t="array" ref="G173">IF($C173&gt;=25,F173,IF($C173&lt;16,INDEX(Sheet1!C:C,$F173),$F173))</f>
        <v>3</v>
      </c>
      <c r="H173" s="4" t="str" cm="1">
        <f t="array" ref="H173">INDEX(Sheet1!D:D,$G173)</f>
        <v>2001-cso-preferred-class-structure-mortality-tables.xls</v>
      </c>
      <c r="I173" s="4" t="str" cm="1">
        <f t="array" ref="I173">INDEX(Sheet1!E:E,$G173)</f>
        <v>A.1.a.ii</v>
      </c>
      <c r="J173" s="4" t="str" cm="1">
        <f t="array" ref="J173">IF($C173&gt;=25,INDEX(Sheet1!G:G,$G173),INDEX(Sheet1!F:F,$G173))</f>
        <v>AA8</v>
      </c>
      <c r="K173" s="4" cm="1">
        <f t="array" ref="K173">INDEX(Sheet1!H:H,$G173)</f>
        <v>1E-3</v>
      </c>
      <c r="L173" s="4">
        <f t="shared" si="8"/>
        <v>25</v>
      </c>
      <c r="M173" s="4">
        <f t="shared" si="9"/>
        <v>0</v>
      </c>
    </row>
    <row r="174" spans="1:13">
      <c r="A174" s="4" t="str" cm="1">
        <f t="array" ref="A174">INDEX(Sheet1!A:A,$F174)</f>
        <v>M</v>
      </c>
      <c r="B174" s="4" t="str" cm="1">
        <f t="array" ref="B174">INDEX(Sheet1!B:B,$F174)</f>
        <v>Pref Best NS</v>
      </c>
      <c r="C174" s="4">
        <f t="shared" si="10"/>
        <v>51</v>
      </c>
      <c r="D174" s="5" cm="1">
        <f t="array" aca="1" ref="D174" ca="1">OFFSET(INDIRECT("'["&amp;$H174&amp;"]"&amp;$I174&amp;"'!"&amp;$J174),$L174,$M174)*$K174</f>
        <v>2.7300000000000002E-3</v>
      </c>
      <c r="F174" s="4">
        <f t="shared" si="11"/>
        <v>3</v>
      </c>
      <c r="G174" s="4" cm="1">
        <f t="array" ref="G174">IF($C174&gt;=25,F174,IF($C174&lt;16,INDEX(Sheet1!C:C,$F174),$F174))</f>
        <v>3</v>
      </c>
      <c r="H174" s="4" t="str" cm="1">
        <f t="array" ref="H174">INDEX(Sheet1!D:D,$G174)</f>
        <v>2001-cso-preferred-class-structure-mortality-tables.xls</v>
      </c>
      <c r="I174" s="4" t="str" cm="1">
        <f t="array" ref="I174">INDEX(Sheet1!E:E,$G174)</f>
        <v>A.1.a.ii</v>
      </c>
      <c r="J174" s="4" t="str" cm="1">
        <f t="array" ref="J174">IF($C174&gt;=25,INDEX(Sheet1!G:G,$G174),INDEX(Sheet1!F:F,$G174))</f>
        <v>AA8</v>
      </c>
      <c r="K174" s="4" cm="1">
        <f t="array" ref="K174">INDEX(Sheet1!H:H,$G174)</f>
        <v>1E-3</v>
      </c>
      <c r="L174" s="4">
        <f t="shared" si="8"/>
        <v>26</v>
      </c>
      <c r="M174" s="4">
        <f t="shared" si="9"/>
        <v>0</v>
      </c>
    </row>
    <row r="175" spans="1:13">
      <c r="A175" s="4" t="str" cm="1">
        <f t="array" ref="A175">INDEX(Sheet1!A:A,$F175)</f>
        <v>M</v>
      </c>
      <c r="B175" s="4" t="str" cm="1">
        <f t="array" ref="B175">INDEX(Sheet1!B:B,$F175)</f>
        <v>Pref Best NS</v>
      </c>
      <c r="C175" s="4">
        <f t="shared" si="10"/>
        <v>52</v>
      </c>
      <c r="D175" s="5" cm="1">
        <f t="array" aca="1" ref="D175" ca="1">OFFSET(INDIRECT("'["&amp;$H175&amp;"]"&amp;$I175&amp;"'!"&amp;$J175),$L175,$M175)*$K175</f>
        <v>3.0400000000000002E-3</v>
      </c>
      <c r="F175" s="4">
        <f t="shared" si="11"/>
        <v>3</v>
      </c>
      <c r="G175" s="4" cm="1">
        <f t="array" ref="G175">IF($C175&gt;=25,F175,IF($C175&lt;16,INDEX(Sheet1!C:C,$F175),$F175))</f>
        <v>3</v>
      </c>
      <c r="H175" s="4" t="str" cm="1">
        <f t="array" ref="H175">INDEX(Sheet1!D:D,$G175)</f>
        <v>2001-cso-preferred-class-structure-mortality-tables.xls</v>
      </c>
      <c r="I175" s="4" t="str" cm="1">
        <f t="array" ref="I175">INDEX(Sheet1!E:E,$G175)</f>
        <v>A.1.a.ii</v>
      </c>
      <c r="J175" s="4" t="str" cm="1">
        <f t="array" ref="J175">IF($C175&gt;=25,INDEX(Sheet1!G:G,$G175),INDEX(Sheet1!F:F,$G175))</f>
        <v>AA8</v>
      </c>
      <c r="K175" s="4" cm="1">
        <f t="array" ref="K175">INDEX(Sheet1!H:H,$G175)</f>
        <v>1E-3</v>
      </c>
      <c r="L175" s="4">
        <f t="shared" si="8"/>
        <v>27</v>
      </c>
      <c r="M175" s="4">
        <f t="shared" si="9"/>
        <v>0</v>
      </c>
    </row>
    <row r="176" spans="1:13">
      <c r="A176" s="4" t="str" cm="1">
        <f t="array" ref="A176">INDEX(Sheet1!A:A,$F176)</f>
        <v>M</v>
      </c>
      <c r="B176" s="4" t="str" cm="1">
        <f t="array" ref="B176">INDEX(Sheet1!B:B,$F176)</f>
        <v>Pref Best NS</v>
      </c>
      <c r="C176" s="4">
        <f t="shared" si="10"/>
        <v>53</v>
      </c>
      <c r="D176" s="5" cm="1">
        <f t="array" aca="1" ref="D176" ca="1">OFFSET(INDIRECT("'["&amp;$H176&amp;"]"&amp;$I176&amp;"'!"&amp;$J176),$L176,$M176)*$K176</f>
        <v>3.3799999999999998E-3</v>
      </c>
      <c r="F176" s="4">
        <f t="shared" si="11"/>
        <v>3</v>
      </c>
      <c r="G176" s="4" cm="1">
        <f t="array" ref="G176">IF($C176&gt;=25,F176,IF($C176&lt;16,INDEX(Sheet1!C:C,$F176),$F176))</f>
        <v>3</v>
      </c>
      <c r="H176" s="4" t="str" cm="1">
        <f t="array" ref="H176">INDEX(Sheet1!D:D,$G176)</f>
        <v>2001-cso-preferred-class-structure-mortality-tables.xls</v>
      </c>
      <c r="I176" s="4" t="str" cm="1">
        <f t="array" ref="I176">INDEX(Sheet1!E:E,$G176)</f>
        <v>A.1.a.ii</v>
      </c>
      <c r="J176" s="4" t="str" cm="1">
        <f t="array" ref="J176">IF($C176&gt;=25,INDEX(Sheet1!G:G,$G176),INDEX(Sheet1!F:F,$G176))</f>
        <v>AA8</v>
      </c>
      <c r="K176" s="4" cm="1">
        <f t="array" ref="K176">INDEX(Sheet1!H:H,$G176)</f>
        <v>1E-3</v>
      </c>
      <c r="L176" s="4">
        <f t="shared" si="8"/>
        <v>28</v>
      </c>
      <c r="M176" s="4">
        <f t="shared" si="9"/>
        <v>0</v>
      </c>
    </row>
    <row r="177" spans="1:13">
      <c r="A177" s="4" t="str" cm="1">
        <f t="array" ref="A177">INDEX(Sheet1!A:A,$F177)</f>
        <v>M</v>
      </c>
      <c r="B177" s="4" t="str" cm="1">
        <f t="array" ref="B177">INDEX(Sheet1!B:B,$F177)</f>
        <v>Pref Best NS</v>
      </c>
      <c r="C177" s="4">
        <f t="shared" si="10"/>
        <v>54</v>
      </c>
      <c r="D177" s="5" cm="1">
        <f t="array" aca="1" ref="D177" ca="1">OFFSET(INDIRECT("'["&amp;$H177&amp;"]"&amp;$I177&amp;"'!"&amp;$J177),$L177,$M177)*$K177</f>
        <v>3.8E-3</v>
      </c>
      <c r="F177" s="4">
        <f t="shared" si="11"/>
        <v>3</v>
      </c>
      <c r="G177" s="4" cm="1">
        <f t="array" ref="G177">IF($C177&gt;=25,F177,IF($C177&lt;16,INDEX(Sheet1!C:C,$F177),$F177))</f>
        <v>3</v>
      </c>
      <c r="H177" s="4" t="str" cm="1">
        <f t="array" ref="H177">INDEX(Sheet1!D:D,$G177)</f>
        <v>2001-cso-preferred-class-structure-mortality-tables.xls</v>
      </c>
      <c r="I177" s="4" t="str" cm="1">
        <f t="array" ref="I177">INDEX(Sheet1!E:E,$G177)</f>
        <v>A.1.a.ii</v>
      </c>
      <c r="J177" s="4" t="str" cm="1">
        <f t="array" ref="J177">IF($C177&gt;=25,INDEX(Sheet1!G:G,$G177),INDEX(Sheet1!F:F,$G177))</f>
        <v>AA8</v>
      </c>
      <c r="K177" s="4" cm="1">
        <f t="array" ref="K177">INDEX(Sheet1!H:H,$G177)</f>
        <v>1E-3</v>
      </c>
      <c r="L177" s="4">
        <f t="shared" si="8"/>
        <v>29</v>
      </c>
      <c r="M177" s="4">
        <f t="shared" si="9"/>
        <v>0</v>
      </c>
    </row>
    <row r="178" spans="1:13">
      <c r="A178" s="4" t="str" cm="1">
        <f t="array" ref="A178">INDEX(Sheet1!A:A,$F178)</f>
        <v>M</v>
      </c>
      <c r="B178" s="4" t="str" cm="1">
        <f t="array" ref="B178">INDEX(Sheet1!B:B,$F178)</f>
        <v>Pref Best NS</v>
      </c>
      <c r="C178" s="4">
        <f t="shared" si="10"/>
        <v>55</v>
      </c>
      <c r="D178" s="5" cm="1">
        <f t="array" aca="1" ref="D178" ca="1">OFFSET(INDIRECT("'["&amp;$H178&amp;"]"&amp;$I178&amp;"'!"&amp;$J178),$L178,$M178)*$K178</f>
        <v>4.3300000000000005E-3</v>
      </c>
      <c r="F178" s="4">
        <f t="shared" si="11"/>
        <v>3</v>
      </c>
      <c r="G178" s="4" cm="1">
        <f t="array" ref="G178">IF($C178&gt;=25,F178,IF($C178&lt;16,INDEX(Sheet1!C:C,$F178),$F178))</f>
        <v>3</v>
      </c>
      <c r="H178" s="4" t="str" cm="1">
        <f t="array" ref="H178">INDEX(Sheet1!D:D,$G178)</f>
        <v>2001-cso-preferred-class-structure-mortality-tables.xls</v>
      </c>
      <c r="I178" s="4" t="str" cm="1">
        <f t="array" ref="I178">INDEX(Sheet1!E:E,$G178)</f>
        <v>A.1.a.ii</v>
      </c>
      <c r="J178" s="4" t="str" cm="1">
        <f t="array" ref="J178">IF($C178&gt;=25,INDEX(Sheet1!G:G,$G178),INDEX(Sheet1!F:F,$G178))</f>
        <v>AA8</v>
      </c>
      <c r="K178" s="4" cm="1">
        <f t="array" ref="K178">INDEX(Sheet1!H:H,$G178)</f>
        <v>1E-3</v>
      </c>
      <c r="L178" s="4">
        <f t="shared" si="8"/>
        <v>30</v>
      </c>
      <c r="M178" s="4">
        <f t="shared" si="9"/>
        <v>0</v>
      </c>
    </row>
    <row r="179" spans="1:13">
      <c r="A179" s="4" t="str" cm="1">
        <f t="array" ref="A179">INDEX(Sheet1!A:A,$F179)</f>
        <v>M</v>
      </c>
      <c r="B179" s="4" t="str" cm="1">
        <f t="array" ref="B179">INDEX(Sheet1!B:B,$F179)</f>
        <v>Pref Best NS</v>
      </c>
      <c r="C179" s="4">
        <f t="shared" si="10"/>
        <v>56</v>
      </c>
      <c r="D179" s="5" cm="1">
        <f t="array" aca="1" ref="D179" ca="1">OFFSET(INDIRECT("'["&amp;$H179&amp;"]"&amp;$I179&amp;"'!"&amp;$J179),$L179,$M179)*$K179</f>
        <v>4.8799999999999998E-3</v>
      </c>
      <c r="F179" s="4">
        <f t="shared" si="11"/>
        <v>3</v>
      </c>
      <c r="G179" s="4" cm="1">
        <f t="array" ref="G179">IF($C179&gt;=25,F179,IF($C179&lt;16,INDEX(Sheet1!C:C,$F179),$F179))</f>
        <v>3</v>
      </c>
      <c r="H179" s="4" t="str" cm="1">
        <f t="array" ref="H179">INDEX(Sheet1!D:D,$G179)</f>
        <v>2001-cso-preferred-class-structure-mortality-tables.xls</v>
      </c>
      <c r="I179" s="4" t="str" cm="1">
        <f t="array" ref="I179">INDEX(Sheet1!E:E,$G179)</f>
        <v>A.1.a.ii</v>
      </c>
      <c r="J179" s="4" t="str" cm="1">
        <f t="array" ref="J179">IF($C179&gt;=25,INDEX(Sheet1!G:G,$G179),INDEX(Sheet1!F:F,$G179))</f>
        <v>AA8</v>
      </c>
      <c r="K179" s="4" cm="1">
        <f t="array" ref="K179">INDEX(Sheet1!H:H,$G179)</f>
        <v>1E-3</v>
      </c>
      <c r="L179" s="4">
        <f t="shared" si="8"/>
        <v>31</v>
      </c>
      <c r="M179" s="4">
        <f t="shared" si="9"/>
        <v>0</v>
      </c>
    </row>
    <row r="180" spans="1:13">
      <c r="A180" s="4" t="str" cm="1">
        <f t="array" ref="A180">INDEX(Sheet1!A:A,$F180)</f>
        <v>M</v>
      </c>
      <c r="B180" s="4" t="str" cm="1">
        <f t="array" ref="B180">INDEX(Sheet1!B:B,$F180)</f>
        <v>Pref Best NS</v>
      </c>
      <c r="C180" s="4">
        <f t="shared" si="10"/>
        <v>57</v>
      </c>
      <c r="D180" s="5" cm="1">
        <f t="array" aca="1" ref="D180" ca="1">OFFSET(INDIRECT("'["&amp;$H180&amp;"]"&amp;$I180&amp;"'!"&amp;$J180),$L180,$M180)*$K180</f>
        <v>5.4800000000000005E-3</v>
      </c>
      <c r="F180" s="4">
        <f t="shared" si="11"/>
        <v>3</v>
      </c>
      <c r="G180" s="4" cm="1">
        <f t="array" ref="G180">IF($C180&gt;=25,F180,IF($C180&lt;16,INDEX(Sheet1!C:C,$F180),$F180))</f>
        <v>3</v>
      </c>
      <c r="H180" s="4" t="str" cm="1">
        <f t="array" ref="H180">INDEX(Sheet1!D:D,$G180)</f>
        <v>2001-cso-preferred-class-structure-mortality-tables.xls</v>
      </c>
      <c r="I180" s="4" t="str" cm="1">
        <f t="array" ref="I180">INDEX(Sheet1!E:E,$G180)</f>
        <v>A.1.a.ii</v>
      </c>
      <c r="J180" s="4" t="str" cm="1">
        <f t="array" ref="J180">IF($C180&gt;=25,INDEX(Sheet1!G:G,$G180),INDEX(Sheet1!F:F,$G180))</f>
        <v>AA8</v>
      </c>
      <c r="K180" s="4" cm="1">
        <f t="array" ref="K180">INDEX(Sheet1!H:H,$G180)</f>
        <v>1E-3</v>
      </c>
      <c r="L180" s="4">
        <f t="shared" si="8"/>
        <v>32</v>
      </c>
      <c r="M180" s="4">
        <f t="shared" si="9"/>
        <v>0</v>
      </c>
    </row>
    <row r="181" spans="1:13">
      <c r="A181" s="4" t="str" cm="1">
        <f t="array" ref="A181">INDEX(Sheet1!A:A,$F181)</f>
        <v>M</v>
      </c>
      <c r="B181" s="4" t="str" cm="1">
        <f t="array" ref="B181">INDEX(Sheet1!B:B,$F181)</f>
        <v>Pref Best NS</v>
      </c>
      <c r="C181" s="4">
        <f t="shared" si="10"/>
        <v>58</v>
      </c>
      <c r="D181" s="5" cm="1">
        <f t="array" aca="1" ref="D181" ca="1">OFFSET(INDIRECT("'["&amp;$H181&amp;"]"&amp;$I181&amp;"'!"&amp;$J181),$L181,$M181)*$K181</f>
        <v>6.0099999999999997E-3</v>
      </c>
      <c r="F181" s="4">
        <f t="shared" si="11"/>
        <v>3</v>
      </c>
      <c r="G181" s="4" cm="1">
        <f t="array" ref="G181">IF($C181&gt;=25,F181,IF($C181&lt;16,INDEX(Sheet1!C:C,$F181),$F181))</f>
        <v>3</v>
      </c>
      <c r="H181" s="4" t="str" cm="1">
        <f t="array" ref="H181">INDEX(Sheet1!D:D,$G181)</f>
        <v>2001-cso-preferred-class-structure-mortality-tables.xls</v>
      </c>
      <c r="I181" s="4" t="str" cm="1">
        <f t="array" ref="I181">INDEX(Sheet1!E:E,$G181)</f>
        <v>A.1.a.ii</v>
      </c>
      <c r="J181" s="4" t="str" cm="1">
        <f t="array" ref="J181">IF($C181&gt;=25,INDEX(Sheet1!G:G,$G181),INDEX(Sheet1!F:F,$G181))</f>
        <v>AA8</v>
      </c>
      <c r="K181" s="4" cm="1">
        <f t="array" ref="K181">INDEX(Sheet1!H:H,$G181)</f>
        <v>1E-3</v>
      </c>
      <c r="L181" s="4">
        <f t="shared" si="8"/>
        <v>33</v>
      </c>
      <c r="M181" s="4">
        <f t="shared" si="9"/>
        <v>0</v>
      </c>
    </row>
    <row r="182" spans="1:13">
      <c r="A182" s="4" t="str" cm="1">
        <f t="array" ref="A182">INDEX(Sheet1!A:A,$F182)</f>
        <v>M</v>
      </c>
      <c r="B182" s="4" t="str" cm="1">
        <f t="array" ref="B182">INDEX(Sheet1!B:B,$F182)</f>
        <v>Pref Best NS</v>
      </c>
      <c r="C182" s="4">
        <f t="shared" si="10"/>
        <v>59</v>
      </c>
      <c r="D182" s="5" cm="1">
        <f t="array" aca="1" ref="D182" ca="1">OFFSET(INDIRECT("'["&amp;$H182&amp;"]"&amp;$I182&amp;"'!"&amp;$J182),$L182,$M182)*$K182</f>
        <v>6.6400000000000001E-3</v>
      </c>
      <c r="F182" s="4">
        <f t="shared" si="11"/>
        <v>3</v>
      </c>
      <c r="G182" s="4" cm="1">
        <f t="array" ref="G182">IF($C182&gt;=25,F182,IF($C182&lt;16,INDEX(Sheet1!C:C,$F182),$F182))</f>
        <v>3</v>
      </c>
      <c r="H182" s="4" t="str" cm="1">
        <f t="array" ref="H182">INDEX(Sheet1!D:D,$G182)</f>
        <v>2001-cso-preferred-class-structure-mortality-tables.xls</v>
      </c>
      <c r="I182" s="4" t="str" cm="1">
        <f t="array" ref="I182">INDEX(Sheet1!E:E,$G182)</f>
        <v>A.1.a.ii</v>
      </c>
      <c r="J182" s="4" t="str" cm="1">
        <f t="array" ref="J182">IF($C182&gt;=25,INDEX(Sheet1!G:G,$G182),INDEX(Sheet1!F:F,$G182))</f>
        <v>AA8</v>
      </c>
      <c r="K182" s="4" cm="1">
        <f t="array" ref="K182">INDEX(Sheet1!H:H,$G182)</f>
        <v>1E-3</v>
      </c>
      <c r="L182" s="4">
        <f t="shared" si="8"/>
        <v>34</v>
      </c>
      <c r="M182" s="4">
        <f t="shared" si="9"/>
        <v>0</v>
      </c>
    </row>
    <row r="183" spans="1:13">
      <c r="A183" s="4" t="str" cm="1">
        <f t="array" ref="A183">INDEX(Sheet1!A:A,$F183)</f>
        <v>M</v>
      </c>
      <c r="B183" s="4" t="str" cm="1">
        <f t="array" ref="B183">INDEX(Sheet1!B:B,$F183)</f>
        <v>Pref Best NS</v>
      </c>
      <c r="C183" s="4">
        <f t="shared" si="10"/>
        <v>60</v>
      </c>
      <c r="D183" s="5" cm="1">
        <f t="array" aca="1" ref="D183" ca="1">OFFSET(INDIRECT("'["&amp;$H183&amp;"]"&amp;$I183&amp;"'!"&amp;$J183),$L183,$M183)*$K183</f>
        <v>7.3000000000000001E-3</v>
      </c>
      <c r="F183" s="4">
        <f t="shared" si="11"/>
        <v>3</v>
      </c>
      <c r="G183" s="4" cm="1">
        <f t="array" ref="G183">IF($C183&gt;=25,F183,IF($C183&lt;16,INDEX(Sheet1!C:C,$F183),$F183))</f>
        <v>3</v>
      </c>
      <c r="H183" s="4" t="str" cm="1">
        <f t="array" ref="H183">INDEX(Sheet1!D:D,$G183)</f>
        <v>2001-cso-preferred-class-structure-mortality-tables.xls</v>
      </c>
      <c r="I183" s="4" t="str" cm="1">
        <f t="array" ref="I183">INDEX(Sheet1!E:E,$G183)</f>
        <v>A.1.a.ii</v>
      </c>
      <c r="J183" s="4" t="str" cm="1">
        <f t="array" ref="J183">IF($C183&gt;=25,INDEX(Sheet1!G:G,$G183),INDEX(Sheet1!F:F,$G183))</f>
        <v>AA8</v>
      </c>
      <c r="K183" s="4" cm="1">
        <f t="array" ref="K183">INDEX(Sheet1!H:H,$G183)</f>
        <v>1E-3</v>
      </c>
      <c r="L183" s="4">
        <f t="shared" si="8"/>
        <v>35</v>
      </c>
      <c r="M183" s="4">
        <f t="shared" si="9"/>
        <v>0</v>
      </c>
    </row>
    <row r="184" spans="1:13">
      <c r="A184" s="4" t="str" cm="1">
        <f t="array" ref="A184">INDEX(Sheet1!A:A,$F184)</f>
        <v>M</v>
      </c>
      <c r="B184" s="4" t="str" cm="1">
        <f t="array" ref="B184">INDEX(Sheet1!B:B,$F184)</f>
        <v>Pref Best NS</v>
      </c>
      <c r="C184" s="4">
        <f t="shared" si="10"/>
        <v>61</v>
      </c>
      <c r="D184" s="5" cm="1">
        <f t="array" aca="1" ref="D184" ca="1">OFFSET(INDIRECT("'["&amp;$H184&amp;"]"&amp;$I184&amp;"'!"&amp;$J184),$L184,$M184)*$K184</f>
        <v>8.1099999999999992E-3</v>
      </c>
      <c r="F184" s="4">
        <f t="shared" si="11"/>
        <v>3</v>
      </c>
      <c r="G184" s="4" cm="1">
        <f t="array" ref="G184">IF($C184&gt;=25,F184,IF($C184&lt;16,INDEX(Sheet1!C:C,$F184),$F184))</f>
        <v>3</v>
      </c>
      <c r="H184" s="4" t="str" cm="1">
        <f t="array" ref="H184">INDEX(Sheet1!D:D,$G184)</f>
        <v>2001-cso-preferred-class-structure-mortality-tables.xls</v>
      </c>
      <c r="I184" s="4" t="str" cm="1">
        <f t="array" ref="I184">INDEX(Sheet1!E:E,$G184)</f>
        <v>A.1.a.ii</v>
      </c>
      <c r="J184" s="4" t="str" cm="1">
        <f t="array" ref="J184">IF($C184&gt;=25,INDEX(Sheet1!G:G,$G184),INDEX(Sheet1!F:F,$G184))</f>
        <v>AA8</v>
      </c>
      <c r="K184" s="4" cm="1">
        <f t="array" ref="K184">INDEX(Sheet1!H:H,$G184)</f>
        <v>1E-3</v>
      </c>
      <c r="L184" s="4">
        <f t="shared" si="8"/>
        <v>36</v>
      </c>
      <c r="M184" s="4">
        <f t="shared" si="9"/>
        <v>0</v>
      </c>
    </row>
    <row r="185" spans="1:13">
      <c r="A185" s="4" t="str" cm="1">
        <f t="array" ref="A185">INDEX(Sheet1!A:A,$F185)</f>
        <v>M</v>
      </c>
      <c r="B185" s="4" t="str" cm="1">
        <f t="array" ref="B185">INDEX(Sheet1!B:B,$F185)</f>
        <v>Pref Best NS</v>
      </c>
      <c r="C185" s="4">
        <f t="shared" si="10"/>
        <v>62</v>
      </c>
      <c r="D185" s="5" cm="1">
        <f t="array" aca="1" ref="D185" ca="1">OFFSET(INDIRECT("'["&amp;$H185&amp;"]"&amp;$I185&amp;"'!"&amp;$J185),$L185,$M185)*$K185</f>
        <v>9.1000000000000004E-3</v>
      </c>
      <c r="F185" s="4">
        <f t="shared" si="11"/>
        <v>3</v>
      </c>
      <c r="G185" s="4" cm="1">
        <f t="array" ref="G185">IF($C185&gt;=25,F185,IF($C185&lt;16,INDEX(Sheet1!C:C,$F185),$F185))</f>
        <v>3</v>
      </c>
      <c r="H185" s="4" t="str" cm="1">
        <f t="array" ref="H185">INDEX(Sheet1!D:D,$G185)</f>
        <v>2001-cso-preferred-class-structure-mortality-tables.xls</v>
      </c>
      <c r="I185" s="4" t="str" cm="1">
        <f t="array" ref="I185">INDEX(Sheet1!E:E,$G185)</f>
        <v>A.1.a.ii</v>
      </c>
      <c r="J185" s="4" t="str" cm="1">
        <f t="array" ref="J185">IF($C185&gt;=25,INDEX(Sheet1!G:G,$G185),INDEX(Sheet1!F:F,$G185))</f>
        <v>AA8</v>
      </c>
      <c r="K185" s="4" cm="1">
        <f t="array" ref="K185">INDEX(Sheet1!H:H,$G185)</f>
        <v>1E-3</v>
      </c>
      <c r="L185" s="4">
        <f t="shared" si="8"/>
        <v>37</v>
      </c>
      <c r="M185" s="4">
        <f t="shared" si="9"/>
        <v>0</v>
      </c>
    </row>
    <row r="186" spans="1:13">
      <c r="A186" s="4" t="str" cm="1">
        <f t="array" ref="A186">INDEX(Sheet1!A:A,$F186)</f>
        <v>M</v>
      </c>
      <c r="B186" s="4" t="str" cm="1">
        <f t="array" ref="B186">INDEX(Sheet1!B:B,$F186)</f>
        <v>Pref Best NS</v>
      </c>
      <c r="C186" s="4">
        <f t="shared" si="10"/>
        <v>63</v>
      </c>
      <c r="D186" s="5" cm="1">
        <f t="array" aca="1" ref="D186" ca="1">OFFSET(INDIRECT("'["&amp;$H186&amp;"]"&amp;$I186&amp;"'!"&amp;$J186),$L186,$M186)*$K186</f>
        <v>1.021E-2</v>
      </c>
      <c r="F186" s="4">
        <f t="shared" si="11"/>
        <v>3</v>
      </c>
      <c r="G186" s="4" cm="1">
        <f t="array" ref="G186">IF($C186&gt;=25,F186,IF($C186&lt;16,INDEX(Sheet1!C:C,$F186),$F186))</f>
        <v>3</v>
      </c>
      <c r="H186" s="4" t="str" cm="1">
        <f t="array" ref="H186">INDEX(Sheet1!D:D,$G186)</f>
        <v>2001-cso-preferred-class-structure-mortality-tables.xls</v>
      </c>
      <c r="I186" s="4" t="str" cm="1">
        <f t="array" ref="I186">INDEX(Sheet1!E:E,$G186)</f>
        <v>A.1.a.ii</v>
      </c>
      <c r="J186" s="4" t="str" cm="1">
        <f t="array" ref="J186">IF($C186&gt;=25,INDEX(Sheet1!G:G,$G186),INDEX(Sheet1!F:F,$G186))</f>
        <v>AA8</v>
      </c>
      <c r="K186" s="4" cm="1">
        <f t="array" ref="K186">INDEX(Sheet1!H:H,$G186)</f>
        <v>1E-3</v>
      </c>
      <c r="L186" s="4">
        <f t="shared" si="8"/>
        <v>38</v>
      </c>
      <c r="M186" s="4">
        <f t="shared" si="9"/>
        <v>0</v>
      </c>
    </row>
    <row r="187" spans="1:13">
      <c r="A187" s="4" t="str" cm="1">
        <f t="array" ref="A187">INDEX(Sheet1!A:A,$F187)</f>
        <v>M</v>
      </c>
      <c r="B187" s="4" t="str" cm="1">
        <f t="array" ref="B187">INDEX(Sheet1!B:B,$F187)</f>
        <v>Pref Best NS</v>
      </c>
      <c r="C187" s="4">
        <f t="shared" si="10"/>
        <v>64</v>
      </c>
      <c r="D187" s="5" cm="1">
        <f t="array" aca="1" ref="D187" ca="1">OFFSET(INDIRECT("'["&amp;$H187&amp;"]"&amp;$I187&amp;"'!"&amp;$J187),$L187,$M187)*$K187</f>
        <v>1.137E-2</v>
      </c>
      <c r="F187" s="4">
        <f t="shared" si="11"/>
        <v>3</v>
      </c>
      <c r="G187" s="4" cm="1">
        <f t="array" ref="G187">IF($C187&gt;=25,F187,IF($C187&lt;16,INDEX(Sheet1!C:C,$F187),$F187))</f>
        <v>3</v>
      </c>
      <c r="H187" s="4" t="str" cm="1">
        <f t="array" ref="H187">INDEX(Sheet1!D:D,$G187)</f>
        <v>2001-cso-preferred-class-structure-mortality-tables.xls</v>
      </c>
      <c r="I187" s="4" t="str" cm="1">
        <f t="array" ref="I187">INDEX(Sheet1!E:E,$G187)</f>
        <v>A.1.a.ii</v>
      </c>
      <c r="J187" s="4" t="str" cm="1">
        <f t="array" ref="J187">IF($C187&gt;=25,INDEX(Sheet1!G:G,$G187),INDEX(Sheet1!F:F,$G187))</f>
        <v>AA8</v>
      </c>
      <c r="K187" s="4" cm="1">
        <f t="array" ref="K187">INDEX(Sheet1!H:H,$G187)</f>
        <v>1E-3</v>
      </c>
      <c r="L187" s="4">
        <f t="shared" si="8"/>
        <v>39</v>
      </c>
      <c r="M187" s="4">
        <f t="shared" si="9"/>
        <v>0</v>
      </c>
    </row>
    <row r="188" spans="1:13">
      <c r="A188" s="4" t="str" cm="1">
        <f t="array" ref="A188">INDEX(Sheet1!A:A,$F188)</f>
        <v>M</v>
      </c>
      <c r="B188" s="4" t="str" cm="1">
        <f t="array" ref="B188">INDEX(Sheet1!B:B,$F188)</f>
        <v>Pref Best NS</v>
      </c>
      <c r="C188" s="4">
        <f t="shared" si="10"/>
        <v>65</v>
      </c>
      <c r="D188" s="5" cm="1">
        <f t="array" aca="1" ref="D188" ca="1">OFFSET(INDIRECT("'["&amp;$H188&amp;"]"&amp;$I188&amp;"'!"&amp;$J188),$L188,$M188)*$K188</f>
        <v>1.26E-2</v>
      </c>
      <c r="F188" s="4">
        <f t="shared" si="11"/>
        <v>3</v>
      </c>
      <c r="G188" s="4" cm="1">
        <f t="array" ref="G188">IF($C188&gt;=25,F188,IF($C188&lt;16,INDEX(Sheet1!C:C,$F188),$F188))</f>
        <v>3</v>
      </c>
      <c r="H188" s="4" t="str" cm="1">
        <f t="array" ref="H188">INDEX(Sheet1!D:D,$G188)</f>
        <v>2001-cso-preferred-class-structure-mortality-tables.xls</v>
      </c>
      <c r="I188" s="4" t="str" cm="1">
        <f t="array" ref="I188">INDEX(Sheet1!E:E,$G188)</f>
        <v>A.1.a.ii</v>
      </c>
      <c r="J188" s="4" t="str" cm="1">
        <f t="array" ref="J188">IF($C188&gt;=25,INDEX(Sheet1!G:G,$G188),INDEX(Sheet1!F:F,$G188))</f>
        <v>AA8</v>
      </c>
      <c r="K188" s="4" cm="1">
        <f t="array" ref="K188">INDEX(Sheet1!H:H,$G188)</f>
        <v>1E-3</v>
      </c>
      <c r="L188" s="4">
        <f t="shared" si="8"/>
        <v>40</v>
      </c>
      <c r="M188" s="4">
        <f t="shared" si="9"/>
        <v>0</v>
      </c>
    </row>
    <row r="189" spans="1:13">
      <c r="A189" s="4" t="str" cm="1">
        <f t="array" ref="A189">INDEX(Sheet1!A:A,$F189)</f>
        <v>M</v>
      </c>
      <c r="B189" s="4" t="str" cm="1">
        <f t="array" ref="B189">INDEX(Sheet1!B:B,$F189)</f>
        <v>Pref Best NS</v>
      </c>
      <c r="C189" s="4">
        <f t="shared" si="10"/>
        <v>66</v>
      </c>
      <c r="D189" s="5" cm="1">
        <f t="array" aca="1" ref="D189" ca="1">OFFSET(INDIRECT("'["&amp;$H189&amp;"]"&amp;$I189&amp;"'!"&amp;$J189),$L189,$M189)*$K189</f>
        <v>1.3849999999999999E-2</v>
      </c>
      <c r="F189" s="4">
        <f t="shared" si="11"/>
        <v>3</v>
      </c>
      <c r="G189" s="4" cm="1">
        <f t="array" ref="G189">IF($C189&gt;=25,F189,IF($C189&lt;16,INDEX(Sheet1!C:C,$F189),$F189))</f>
        <v>3</v>
      </c>
      <c r="H189" s="4" t="str" cm="1">
        <f t="array" ref="H189">INDEX(Sheet1!D:D,$G189)</f>
        <v>2001-cso-preferred-class-structure-mortality-tables.xls</v>
      </c>
      <c r="I189" s="4" t="str" cm="1">
        <f t="array" ref="I189">INDEX(Sheet1!E:E,$G189)</f>
        <v>A.1.a.ii</v>
      </c>
      <c r="J189" s="4" t="str" cm="1">
        <f t="array" ref="J189">IF($C189&gt;=25,INDEX(Sheet1!G:G,$G189),INDEX(Sheet1!F:F,$G189))</f>
        <v>AA8</v>
      </c>
      <c r="K189" s="4" cm="1">
        <f t="array" ref="K189">INDEX(Sheet1!H:H,$G189)</f>
        <v>1E-3</v>
      </c>
      <c r="L189" s="4">
        <f t="shared" si="8"/>
        <v>41</v>
      </c>
      <c r="M189" s="4">
        <f t="shared" si="9"/>
        <v>0</v>
      </c>
    </row>
    <row r="190" spans="1:13">
      <c r="A190" s="4" t="str" cm="1">
        <f t="array" ref="A190">INDEX(Sheet1!A:A,$F190)</f>
        <v>M</v>
      </c>
      <c r="B190" s="4" t="str" cm="1">
        <f t="array" ref="B190">INDEX(Sheet1!B:B,$F190)</f>
        <v>Pref Best NS</v>
      </c>
      <c r="C190" s="4">
        <f t="shared" si="10"/>
        <v>67</v>
      </c>
      <c r="D190" s="5" cm="1">
        <f t="array" aca="1" ref="D190" ca="1">OFFSET(INDIRECT("'["&amp;$H190&amp;"]"&amp;$I190&amp;"'!"&amp;$J190),$L190,$M190)*$K190</f>
        <v>1.511E-2</v>
      </c>
      <c r="F190" s="4">
        <f t="shared" si="11"/>
        <v>3</v>
      </c>
      <c r="G190" s="4" cm="1">
        <f t="array" ref="G190">IF($C190&gt;=25,F190,IF($C190&lt;16,INDEX(Sheet1!C:C,$F190),$F190))</f>
        <v>3</v>
      </c>
      <c r="H190" s="4" t="str" cm="1">
        <f t="array" ref="H190">INDEX(Sheet1!D:D,$G190)</f>
        <v>2001-cso-preferred-class-structure-mortality-tables.xls</v>
      </c>
      <c r="I190" s="4" t="str" cm="1">
        <f t="array" ref="I190">INDEX(Sheet1!E:E,$G190)</f>
        <v>A.1.a.ii</v>
      </c>
      <c r="J190" s="4" t="str" cm="1">
        <f t="array" ref="J190">IF($C190&gt;=25,INDEX(Sheet1!G:G,$G190),INDEX(Sheet1!F:F,$G190))</f>
        <v>AA8</v>
      </c>
      <c r="K190" s="4" cm="1">
        <f t="array" ref="K190">INDEX(Sheet1!H:H,$G190)</f>
        <v>1E-3</v>
      </c>
      <c r="L190" s="4">
        <f t="shared" si="8"/>
        <v>42</v>
      </c>
      <c r="M190" s="4">
        <f t="shared" si="9"/>
        <v>0</v>
      </c>
    </row>
    <row r="191" spans="1:13">
      <c r="A191" s="4" t="str" cm="1">
        <f t="array" ref="A191">INDEX(Sheet1!A:A,$F191)</f>
        <v>M</v>
      </c>
      <c r="B191" s="4" t="str" cm="1">
        <f t="array" ref="B191">INDEX(Sheet1!B:B,$F191)</f>
        <v>Pref Best NS</v>
      </c>
      <c r="C191" s="4">
        <f t="shared" si="10"/>
        <v>68</v>
      </c>
      <c r="D191" s="5" cm="1">
        <f t="array" aca="1" ref="D191" ca="1">OFFSET(INDIRECT("'["&amp;$H191&amp;"]"&amp;$I191&amp;"'!"&amp;$J191),$L191,$M191)*$K191</f>
        <v>1.6480000000000002E-2</v>
      </c>
      <c r="F191" s="4">
        <f t="shared" si="11"/>
        <v>3</v>
      </c>
      <c r="G191" s="4" cm="1">
        <f t="array" ref="G191">IF($C191&gt;=25,F191,IF($C191&lt;16,INDEX(Sheet1!C:C,$F191),$F191))</f>
        <v>3</v>
      </c>
      <c r="H191" s="4" t="str" cm="1">
        <f t="array" ref="H191">INDEX(Sheet1!D:D,$G191)</f>
        <v>2001-cso-preferred-class-structure-mortality-tables.xls</v>
      </c>
      <c r="I191" s="4" t="str" cm="1">
        <f t="array" ref="I191">INDEX(Sheet1!E:E,$G191)</f>
        <v>A.1.a.ii</v>
      </c>
      <c r="J191" s="4" t="str" cm="1">
        <f t="array" ref="J191">IF($C191&gt;=25,INDEX(Sheet1!G:G,$G191),INDEX(Sheet1!F:F,$G191))</f>
        <v>AA8</v>
      </c>
      <c r="K191" s="4" cm="1">
        <f t="array" ref="K191">INDEX(Sheet1!H:H,$G191)</f>
        <v>1E-3</v>
      </c>
      <c r="L191" s="4">
        <f t="shared" si="8"/>
        <v>43</v>
      </c>
      <c r="M191" s="4">
        <f t="shared" si="9"/>
        <v>0</v>
      </c>
    </row>
    <row r="192" spans="1:13">
      <c r="A192" s="4" t="str" cm="1">
        <f t="array" ref="A192">INDEX(Sheet1!A:A,$F192)</f>
        <v>M</v>
      </c>
      <c r="B192" s="4" t="str" cm="1">
        <f t="array" ref="B192">INDEX(Sheet1!B:B,$F192)</f>
        <v>Pref Best NS</v>
      </c>
      <c r="C192" s="4">
        <f t="shared" si="10"/>
        <v>69</v>
      </c>
      <c r="D192" s="5" cm="1">
        <f t="array" aca="1" ref="D192" ca="1">OFFSET(INDIRECT("'["&amp;$H192&amp;"]"&amp;$I192&amp;"'!"&amp;$J192),$L192,$M192)*$K192</f>
        <v>1.789E-2</v>
      </c>
      <c r="F192" s="4">
        <f t="shared" si="11"/>
        <v>3</v>
      </c>
      <c r="G192" s="4" cm="1">
        <f t="array" ref="G192">IF($C192&gt;=25,F192,IF($C192&lt;16,INDEX(Sheet1!C:C,$F192),$F192))</f>
        <v>3</v>
      </c>
      <c r="H192" s="4" t="str" cm="1">
        <f t="array" ref="H192">INDEX(Sheet1!D:D,$G192)</f>
        <v>2001-cso-preferred-class-structure-mortality-tables.xls</v>
      </c>
      <c r="I192" s="4" t="str" cm="1">
        <f t="array" ref="I192">INDEX(Sheet1!E:E,$G192)</f>
        <v>A.1.a.ii</v>
      </c>
      <c r="J192" s="4" t="str" cm="1">
        <f t="array" ref="J192">IF($C192&gt;=25,INDEX(Sheet1!G:G,$G192),INDEX(Sheet1!F:F,$G192))</f>
        <v>AA8</v>
      </c>
      <c r="K192" s="4" cm="1">
        <f t="array" ref="K192">INDEX(Sheet1!H:H,$G192)</f>
        <v>1E-3</v>
      </c>
      <c r="L192" s="4">
        <f t="shared" si="8"/>
        <v>44</v>
      </c>
      <c r="M192" s="4">
        <f t="shared" si="9"/>
        <v>0</v>
      </c>
    </row>
    <row r="193" spans="1:13">
      <c r="A193" s="4" t="str" cm="1">
        <f t="array" ref="A193">INDEX(Sheet1!A:A,$F193)</f>
        <v>M</v>
      </c>
      <c r="B193" s="4" t="str" cm="1">
        <f t="array" ref="B193">INDEX(Sheet1!B:B,$F193)</f>
        <v>Pref Best NS</v>
      </c>
      <c r="C193" s="4">
        <f t="shared" si="10"/>
        <v>70</v>
      </c>
      <c r="D193" s="5" cm="1">
        <f t="array" aca="1" ref="D193" ca="1">OFFSET(INDIRECT("'["&amp;$H193&amp;"]"&amp;$I193&amp;"'!"&amp;$J193),$L193,$M193)*$K193</f>
        <v>1.9600000000000003E-2</v>
      </c>
      <c r="F193" s="4">
        <f t="shared" si="11"/>
        <v>3</v>
      </c>
      <c r="G193" s="4" cm="1">
        <f t="array" ref="G193">IF($C193&gt;=25,F193,IF($C193&lt;16,INDEX(Sheet1!C:C,$F193),$F193))</f>
        <v>3</v>
      </c>
      <c r="H193" s="4" t="str" cm="1">
        <f t="array" ref="H193">INDEX(Sheet1!D:D,$G193)</f>
        <v>2001-cso-preferred-class-structure-mortality-tables.xls</v>
      </c>
      <c r="I193" s="4" t="str" cm="1">
        <f t="array" ref="I193">INDEX(Sheet1!E:E,$G193)</f>
        <v>A.1.a.ii</v>
      </c>
      <c r="J193" s="4" t="str" cm="1">
        <f t="array" ref="J193">IF($C193&gt;=25,INDEX(Sheet1!G:G,$G193),INDEX(Sheet1!F:F,$G193))</f>
        <v>AA8</v>
      </c>
      <c r="K193" s="4" cm="1">
        <f t="array" ref="K193">INDEX(Sheet1!H:H,$G193)</f>
        <v>1E-3</v>
      </c>
      <c r="L193" s="4">
        <f t="shared" si="8"/>
        <v>45</v>
      </c>
      <c r="M193" s="4">
        <f t="shared" si="9"/>
        <v>0</v>
      </c>
    </row>
    <row r="194" spans="1:13">
      <c r="A194" s="4" t="str" cm="1">
        <f t="array" ref="A194">INDEX(Sheet1!A:A,$F194)</f>
        <v>M</v>
      </c>
      <c r="B194" s="4" t="str" cm="1">
        <f t="array" ref="B194">INDEX(Sheet1!B:B,$F194)</f>
        <v>Pref Best NS</v>
      </c>
      <c r="C194" s="4">
        <f t="shared" si="10"/>
        <v>71</v>
      </c>
      <c r="D194" s="5" cm="1">
        <f t="array" aca="1" ref="D194" ca="1">OFFSET(INDIRECT("'["&amp;$H194&amp;"]"&amp;$I194&amp;"'!"&amp;$J194),$L194,$M194)*$K194</f>
        <v>2.1510000000000001E-2</v>
      </c>
      <c r="F194" s="4">
        <f t="shared" si="11"/>
        <v>3</v>
      </c>
      <c r="G194" s="4" cm="1">
        <f t="array" ref="G194">IF($C194&gt;=25,F194,IF($C194&lt;16,INDEX(Sheet1!C:C,$F194),$F194))</f>
        <v>3</v>
      </c>
      <c r="H194" s="4" t="str" cm="1">
        <f t="array" ref="H194">INDEX(Sheet1!D:D,$G194)</f>
        <v>2001-cso-preferred-class-structure-mortality-tables.xls</v>
      </c>
      <c r="I194" s="4" t="str" cm="1">
        <f t="array" ref="I194">INDEX(Sheet1!E:E,$G194)</f>
        <v>A.1.a.ii</v>
      </c>
      <c r="J194" s="4" t="str" cm="1">
        <f t="array" ref="J194">IF($C194&gt;=25,INDEX(Sheet1!G:G,$G194),INDEX(Sheet1!F:F,$G194))</f>
        <v>AA8</v>
      </c>
      <c r="K194" s="4" cm="1">
        <f t="array" ref="K194">INDEX(Sheet1!H:H,$G194)</f>
        <v>1E-3</v>
      </c>
      <c r="L194" s="4">
        <f t="shared" si="8"/>
        <v>46</v>
      </c>
      <c r="M194" s="4">
        <f t="shared" si="9"/>
        <v>0</v>
      </c>
    </row>
    <row r="195" spans="1:13">
      <c r="A195" s="4" t="str" cm="1">
        <f t="array" ref="A195">INDEX(Sheet1!A:A,$F195)</f>
        <v>M</v>
      </c>
      <c r="B195" s="4" t="str" cm="1">
        <f t="array" ref="B195">INDEX(Sheet1!B:B,$F195)</f>
        <v>Pref Best NS</v>
      </c>
      <c r="C195" s="4">
        <f t="shared" si="10"/>
        <v>72</v>
      </c>
      <c r="D195" s="5" cm="1">
        <f t="array" aca="1" ref="D195" ca="1">OFFSET(INDIRECT("'["&amp;$H195&amp;"]"&amp;$I195&amp;"'!"&amp;$J195),$L195,$M195)*$K195</f>
        <v>2.402E-2</v>
      </c>
      <c r="F195" s="4">
        <f t="shared" si="11"/>
        <v>3</v>
      </c>
      <c r="G195" s="4" cm="1">
        <f t="array" ref="G195">IF($C195&gt;=25,F195,IF($C195&lt;16,INDEX(Sheet1!C:C,$F195),$F195))</f>
        <v>3</v>
      </c>
      <c r="H195" s="4" t="str" cm="1">
        <f t="array" ref="H195">INDEX(Sheet1!D:D,$G195)</f>
        <v>2001-cso-preferred-class-structure-mortality-tables.xls</v>
      </c>
      <c r="I195" s="4" t="str" cm="1">
        <f t="array" ref="I195">INDEX(Sheet1!E:E,$G195)</f>
        <v>A.1.a.ii</v>
      </c>
      <c r="J195" s="4" t="str" cm="1">
        <f t="array" ref="J195">IF($C195&gt;=25,INDEX(Sheet1!G:G,$G195),INDEX(Sheet1!F:F,$G195))</f>
        <v>AA8</v>
      </c>
      <c r="K195" s="4" cm="1">
        <f t="array" ref="K195">INDEX(Sheet1!H:H,$G195)</f>
        <v>1E-3</v>
      </c>
      <c r="L195" s="4">
        <f t="shared" ref="L195:L258" si="12">IF($C195&gt;=25,$C195-25,0)</f>
        <v>47</v>
      </c>
      <c r="M195" s="4">
        <f t="shared" ref="M195:M258" si="13">IF($C195&gt;=25,0,$C195)</f>
        <v>0</v>
      </c>
    </row>
    <row r="196" spans="1:13">
      <c r="A196" s="4" t="str" cm="1">
        <f t="array" ref="A196">INDEX(Sheet1!A:A,$F196)</f>
        <v>M</v>
      </c>
      <c r="B196" s="4" t="str" cm="1">
        <f t="array" ref="B196">INDEX(Sheet1!B:B,$F196)</f>
        <v>Pref Best NS</v>
      </c>
      <c r="C196" s="4">
        <f t="shared" ref="C196:C259" si="14">IF(C195=120,0,C195+1)</f>
        <v>73</v>
      </c>
      <c r="D196" s="5" cm="1">
        <f t="array" aca="1" ref="D196" ca="1">OFFSET(INDIRECT("'["&amp;$H196&amp;"]"&amp;$I196&amp;"'!"&amp;$J196),$L196,$M196)*$K196</f>
        <v>2.6670000000000003E-2</v>
      </c>
      <c r="F196" s="4">
        <f t="shared" ref="F196:F259" si="15">IF(C196=0,1,0)+F195</f>
        <v>3</v>
      </c>
      <c r="G196" s="4" cm="1">
        <f t="array" ref="G196">IF($C196&gt;=25,F196,IF($C196&lt;16,INDEX(Sheet1!C:C,$F196),$F196))</f>
        <v>3</v>
      </c>
      <c r="H196" s="4" t="str" cm="1">
        <f t="array" ref="H196">INDEX(Sheet1!D:D,$G196)</f>
        <v>2001-cso-preferred-class-structure-mortality-tables.xls</v>
      </c>
      <c r="I196" s="4" t="str" cm="1">
        <f t="array" ref="I196">INDEX(Sheet1!E:E,$G196)</f>
        <v>A.1.a.ii</v>
      </c>
      <c r="J196" s="4" t="str" cm="1">
        <f t="array" ref="J196">IF($C196&gt;=25,INDEX(Sheet1!G:G,$G196),INDEX(Sheet1!F:F,$G196))</f>
        <v>AA8</v>
      </c>
      <c r="K196" s="4" cm="1">
        <f t="array" ref="K196">INDEX(Sheet1!H:H,$G196)</f>
        <v>1E-3</v>
      </c>
      <c r="L196" s="4">
        <f t="shared" si="12"/>
        <v>48</v>
      </c>
      <c r="M196" s="4">
        <f t="shared" si="13"/>
        <v>0</v>
      </c>
    </row>
    <row r="197" spans="1:13">
      <c r="A197" s="4" t="str" cm="1">
        <f t="array" ref="A197">INDEX(Sheet1!A:A,$F197)</f>
        <v>M</v>
      </c>
      <c r="B197" s="4" t="str" cm="1">
        <f t="array" ref="B197">INDEX(Sheet1!B:B,$F197)</f>
        <v>Pref Best NS</v>
      </c>
      <c r="C197" s="4">
        <f t="shared" si="14"/>
        <v>74</v>
      </c>
      <c r="D197" s="5" cm="1">
        <f t="array" aca="1" ref="D197" ca="1">OFFSET(INDIRECT("'["&amp;$H197&amp;"]"&amp;$I197&amp;"'!"&amp;$J197),$L197,$M197)*$K197</f>
        <v>2.946E-2</v>
      </c>
      <c r="F197" s="4">
        <f t="shared" si="15"/>
        <v>3</v>
      </c>
      <c r="G197" s="4" cm="1">
        <f t="array" ref="G197">IF($C197&gt;=25,F197,IF($C197&lt;16,INDEX(Sheet1!C:C,$F197),$F197))</f>
        <v>3</v>
      </c>
      <c r="H197" s="4" t="str" cm="1">
        <f t="array" ref="H197">INDEX(Sheet1!D:D,$G197)</f>
        <v>2001-cso-preferred-class-structure-mortality-tables.xls</v>
      </c>
      <c r="I197" s="4" t="str" cm="1">
        <f t="array" ref="I197">INDEX(Sheet1!E:E,$G197)</f>
        <v>A.1.a.ii</v>
      </c>
      <c r="J197" s="4" t="str" cm="1">
        <f t="array" ref="J197">IF($C197&gt;=25,INDEX(Sheet1!G:G,$G197),INDEX(Sheet1!F:F,$G197))</f>
        <v>AA8</v>
      </c>
      <c r="K197" s="4" cm="1">
        <f t="array" ref="K197">INDEX(Sheet1!H:H,$G197)</f>
        <v>1E-3</v>
      </c>
      <c r="L197" s="4">
        <f t="shared" si="12"/>
        <v>49</v>
      </c>
      <c r="M197" s="4">
        <f t="shared" si="13"/>
        <v>0</v>
      </c>
    </row>
    <row r="198" spans="1:13">
      <c r="A198" s="4" t="str" cm="1">
        <f t="array" ref="A198">INDEX(Sheet1!A:A,$F198)</f>
        <v>M</v>
      </c>
      <c r="B198" s="4" t="str" cm="1">
        <f t="array" ref="B198">INDEX(Sheet1!B:B,$F198)</f>
        <v>Pref Best NS</v>
      </c>
      <c r="C198" s="4">
        <f t="shared" si="14"/>
        <v>75</v>
      </c>
      <c r="D198" s="5" cm="1">
        <f t="array" aca="1" ref="D198" ca="1">OFFSET(INDIRECT("'["&amp;$H198&amp;"]"&amp;$I198&amp;"'!"&amp;$J198),$L198,$M198)*$K198</f>
        <v>3.2509999999999997E-2</v>
      </c>
      <c r="F198" s="4">
        <f t="shared" si="15"/>
        <v>3</v>
      </c>
      <c r="G198" s="4" cm="1">
        <f t="array" ref="G198">IF($C198&gt;=25,F198,IF($C198&lt;16,INDEX(Sheet1!C:C,$F198),$F198))</f>
        <v>3</v>
      </c>
      <c r="H198" s="4" t="str" cm="1">
        <f t="array" ref="H198">INDEX(Sheet1!D:D,$G198)</f>
        <v>2001-cso-preferred-class-structure-mortality-tables.xls</v>
      </c>
      <c r="I198" s="4" t="str" cm="1">
        <f t="array" ref="I198">INDEX(Sheet1!E:E,$G198)</f>
        <v>A.1.a.ii</v>
      </c>
      <c r="J198" s="4" t="str" cm="1">
        <f t="array" ref="J198">IF($C198&gt;=25,INDEX(Sheet1!G:G,$G198),INDEX(Sheet1!F:F,$G198))</f>
        <v>AA8</v>
      </c>
      <c r="K198" s="4" cm="1">
        <f t="array" ref="K198">INDEX(Sheet1!H:H,$G198)</f>
        <v>1E-3</v>
      </c>
      <c r="L198" s="4">
        <f t="shared" si="12"/>
        <v>50</v>
      </c>
      <c r="M198" s="4">
        <f t="shared" si="13"/>
        <v>0</v>
      </c>
    </row>
    <row r="199" spans="1:13">
      <c r="A199" s="4" t="str" cm="1">
        <f t="array" ref="A199">INDEX(Sheet1!A:A,$F199)</f>
        <v>M</v>
      </c>
      <c r="B199" s="4" t="str" cm="1">
        <f t="array" ref="B199">INDEX(Sheet1!B:B,$F199)</f>
        <v>Pref Best NS</v>
      </c>
      <c r="C199" s="4">
        <f t="shared" si="14"/>
        <v>76</v>
      </c>
      <c r="D199" s="5" cm="1">
        <f t="array" aca="1" ref="D199" ca="1">OFFSET(INDIRECT("'["&amp;$H199&amp;"]"&amp;$I199&amp;"'!"&amp;$J199),$L199,$M199)*$K199</f>
        <v>3.6229999999999998E-2</v>
      </c>
      <c r="F199" s="4">
        <f t="shared" si="15"/>
        <v>3</v>
      </c>
      <c r="G199" s="4" cm="1">
        <f t="array" ref="G199">IF($C199&gt;=25,F199,IF($C199&lt;16,INDEX(Sheet1!C:C,$F199),$F199))</f>
        <v>3</v>
      </c>
      <c r="H199" s="4" t="str" cm="1">
        <f t="array" ref="H199">INDEX(Sheet1!D:D,$G199)</f>
        <v>2001-cso-preferred-class-structure-mortality-tables.xls</v>
      </c>
      <c r="I199" s="4" t="str" cm="1">
        <f t="array" ref="I199">INDEX(Sheet1!E:E,$G199)</f>
        <v>A.1.a.ii</v>
      </c>
      <c r="J199" s="4" t="str" cm="1">
        <f t="array" ref="J199">IF($C199&gt;=25,INDEX(Sheet1!G:G,$G199),INDEX(Sheet1!F:F,$G199))</f>
        <v>AA8</v>
      </c>
      <c r="K199" s="4" cm="1">
        <f t="array" ref="K199">INDEX(Sheet1!H:H,$G199)</f>
        <v>1E-3</v>
      </c>
      <c r="L199" s="4">
        <f t="shared" si="12"/>
        <v>51</v>
      </c>
      <c r="M199" s="4">
        <f t="shared" si="13"/>
        <v>0</v>
      </c>
    </row>
    <row r="200" spans="1:13">
      <c r="A200" s="4" t="str" cm="1">
        <f t="array" ref="A200">INDEX(Sheet1!A:A,$F200)</f>
        <v>M</v>
      </c>
      <c r="B200" s="4" t="str" cm="1">
        <f t="array" ref="B200">INDEX(Sheet1!B:B,$F200)</f>
        <v>Pref Best NS</v>
      </c>
      <c r="C200" s="4">
        <f t="shared" si="14"/>
        <v>77</v>
      </c>
      <c r="D200" s="5" cm="1">
        <f t="array" aca="1" ref="D200" ca="1">OFFSET(INDIRECT("'["&amp;$H200&amp;"]"&amp;$I200&amp;"'!"&amp;$J200),$L200,$M200)*$K200</f>
        <v>4.0590000000000001E-2</v>
      </c>
      <c r="F200" s="4">
        <f t="shared" si="15"/>
        <v>3</v>
      </c>
      <c r="G200" s="4" cm="1">
        <f t="array" ref="G200">IF($C200&gt;=25,F200,IF($C200&lt;16,INDEX(Sheet1!C:C,$F200),$F200))</f>
        <v>3</v>
      </c>
      <c r="H200" s="4" t="str" cm="1">
        <f t="array" ref="H200">INDEX(Sheet1!D:D,$G200)</f>
        <v>2001-cso-preferred-class-structure-mortality-tables.xls</v>
      </c>
      <c r="I200" s="4" t="str" cm="1">
        <f t="array" ref="I200">INDEX(Sheet1!E:E,$G200)</f>
        <v>A.1.a.ii</v>
      </c>
      <c r="J200" s="4" t="str" cm="1">
        <f t="array" ref="J200">IF($C200&gt;=25,INDEX(Sheet1!G:G,$G200),INDEX(Sheet1!F:F,$G200))</f>
        <v>AA8</v>
      </c>
      <c r="K200" s="4" cm="1">
        <f t="array" ref="K200">INDEX(Sheet1!H:H,$G200)</f>
        <v>1E-3</v>
      </c>
      <c r="L200" s="4">
        <f t="shared" si="12"/>
        <v>52</v>
      </c>
      <c r="M200" s="4">
        <f t="shared" si="13"/>
        <v>0</v>
      </c>
    </row>
    <row r="201" spans="1:13">
      <c r="A201" s="4" t="str" cm="1">
        <f t="array" ref="A201">INDEX(Sheet1!A:A,$F201)</f>
        <v>M</v>
      </c>
      <c r="B201" s="4" t="str" cm="1">
        <f t="array" ref="B201">INDEX(Sheet1!B:B,$F201)</f>
        <v>Pref Best NS</v>
      </c>
      <c r="C201" s="4">
        <f t="shared" si="14"/>
        <v>78</v>
      </c>
      <c r="D201" s="5" cm="1">
        <f t="array" aca="1" ref="D201" ca="1">OFFSET(INDIRECT("'["&amp;$H201&amp;"]"&amp;$I201&amp;"'!"&amp;$J201),$L201,$M201)*$K201</f>
        <v>4.5700000000000005E-2</v>
      </c>
      <c r="F201" s="4">
        <f t="shared" si="15"/>
        <v>3</v>
      </c>
      <c r="G201" s="4" cm="1">
        <f t="array" ref="G201">IF($C201&gt;=25,F201,IF($C201&lt;16,INDEX(Sheet1!C:C,$F201),$F201))</f>
        <v>3</v>
      </c>
      <c r="H201" s="4" t="str" cm="1">
        <f t="array" ref="H201">INDEX(Sheet1!D:D,$G201)</f>
        <v>2001-cso-preferred-class-structure-mortality-tables.xls</v>
      </c>
      <c r="I201" s="4" t="str" cm="1">
        <f t="array" ref="I201">INDEX(Sheet1!E:E,$G201)</f>
        <v>A.1.a.ii</v>
      </c>
      <c r="J201" s="4" t="str" cm="1">
        <f t="array" ref="J201">IF($C201&gt;=25,INDEX(Sheet1!G:G,$G201),INDEX(Sheet1!F:F,$G201))</f>
        <v>AA8</v>
      </c>
      <c r="K201" s="4" cm="1">
        <f t="array" ref="K201">INDEX(Sheet1!H:H,$G201)</f>
        <v>1E-3</v>
      </c>
      <c r="L201" s="4">
        <f t="shared" si="12"/>
        <v>53</v>
      </c>
      <c r="M201" s="4">
        <f t="shared" si="13"/>
        <v>0</v>
      </c>
    </row>
    <row r="202" spans="1:13">
      <c r="A202" s="4" t="str" cm="1">
        <f t="array" ref="A202">INDEX(Sheet1!A:A,$F202)</f>
        <v>M</v>
      </c>
      <c r="B202" s="4" t="str" cm="1">
        <f t="array" ref="B202">INDEX(Sheet1!B:B,$F202)</f>
        <v>Pref Best NS</v>
      </c>
      <c r="C202" s="4">
        <f t="shared" si="14"/>
        <v>79</v>
      </c>
      <c r="D202" s="5" cm="1">
        <f t="array" aca="1" ref="D202" ca="1">OFFSET(INDIRECT("'["&amp;$H202&amp;"]"&amp;$I202&amp;"'!"&amp;$J202),$L202,$M202)*$K202</f>
        <v>5.1630000000000002E-2</v>
      </c>
      <c r="F202" s="4">
        <f t="shared" si="15"/>
        <v>3</v>
      </c>
      <c r="G202" s="4" cm="1">
        <f t="array" ref="G202">IF($C202&gt;=25,F202,IF($C202&lt;16,INDEX(Sheet1!C:C,$F202),$F202))</f>
        <v>3</v>
      </c>
      <c r="H202" s="4" t="str" cm="1">
        <f t="array" ref="H202">INDEX(Sheet1!D:D,$G202)</f>
        <v>2001-cso-preferred-class-structure-mortality-tables.xls</v>
      </c>
      <c r="I202" s="4" t="str" cm="1">
        <f t="array" ref="I202">INDEX(Sheet1!E:E,$G202)</f>
        <v>A.1.a.ii</v>
      </c>
      <c r="J202" s="4" t="str" cm="1">
        <f t="array" ref="J202">IF($C202&gt;=25,INDEX(Sheet1!G:G,$G202),INDEX(Sheet1!F:F,$G202))</f>
        <v>AA8</v>
      </c>
      <c r="K202" s="4" cm="1">
        <f t="array" ref="K202">INDEX(Sheet1!H:H,$G202)</f>
        <v>1E-3</v>
      </c>
      <c r="L202" s="4">
        <f t="shared" si="12"/>
        <v>54</v>
      </c>
      <c r="M202" s="4">
        <f t="shared" si="13"/>
        <v>0</v>
      </c>
    </row>
    <row r="203" spans="1:13">
      <c r="A203" s="4" t="str" cm="1">
        <f t="array" ref="A203">INDEX(Sheet1!A:A,$F203)</f>
        <v>M</v>
      </c>
      <c r="B203" s="4" t="str" cm="1">
        <f t="array" ref="B203">INDEX(Sheet1!B:B,$F203)</f>
        <v>Pref Best NS</v>
      </c>
      <c r="C203" s="4">
        <f t="shared" si="14"/>
        <v>80</v>
      </c>
      <c r="D203" s="5" cm="1">
        <f t="array" aca="1" ref="D203" ca="1">OFFSET(INDIRECT("'["&amp;$H203&amp;"]"&amp;$I203&amp;"'!"&amp;$J203),$L203,$M203)*$K203</f>
        <v>5.8200000000000002E-2</v>
      </c>
      <c r="F203" s="4">
        <f t="shared" si="15"/>
        <v>3</v>
      </c>
      <c r="G203" s="4" cm="1">
        <f t="array" ref="G203">IF($C203&gt;=25,F203,IF($C203&lt;16,INDEX(Sheet1!C:C,$F203),$F203))</f>
        <v>3</v>
      </c>
      <c r="H203" s="4" t="str" cm="1">
        <f t="array" ref="H203">INDEX(Sheet1!D:D,$G203)</f>
        <v>2001-cso-preferred-class-structure-mortality-tables.xls</v>
      </c>
      <c r="I203" s="4" t="str" cm="1">
        <f t="array" ref="I203">INDEX(Sheet1!E:E,$G203)</f>
        <v>A.1.a.ii</v>
      </c>
      <c r="J203" s="4" t="str" cm="1">
        <f t="array" ref="J203">IF($C203&gt;=25,INDEX(Sheet1!G:G,$G203),INDEX(Sheet1!F:F,$G203))</f>
        <v>AA8</v>
      </c>
      <c r="K203" s="4" cm="1">
        <f t="array" ref="K203">INDEX(Sheet1!H:H,$G203)</f>
        <v>1E-3</v>
      </c>
      <c r="L203" s="4">
        <f t="shared" si="12"/>
        <v>55</v>
      </c>
      <c r="M203" s="4">
        <f t="shared" si="13"/>
        <v>0</v>
      </c>
    </row>
    <row r="204" spans="1:13">
      <c r="A204" s="4" t="str" cm="1">
        <f t="array" ref="A204">INDEX(Sheet1!A:A,$F204)</f>
        <v>M</v>
      </c>
      <c r="B204" s="4" t="str" cm="1">
        <f t="array" ref="B204">INDEX(Sheet1!B:B,$F204)</f>
        <v>Pref Best NS</v>
      </c>
      <c r="C204" s="4">
        <f t="shared" si="14"/>
        <v>81</v>
      </c>
      <c r="D204" s="5" cm="1">
        <f t="array" aca="1" ref="D204" ca="1">OFFSET(INDIRECT("'["&amp;$H204&amp;"]"&amp;$I204&amp;"'!"&amp;$J204),$L204,$M204)*$K204</f>
        <v>6.5739999999999993E-2</v>
      </c>
      <c r="F204" s="4">
        <f t="shared" si="15"/>
        <v>3</v>
      </c>
      <c r="G204" s="4" cm="1">
        <f t="array" ref="G204">IF($C204&gt;=25,F204,IF($C204&lt;16,INDEX(Sheet1!C:C,$F204),$F204))</f>
        <v>3</v>
      </c>
      <c r="H204" s="4" t="str" cm="1">
        <f t="array" ref="H204">INDEX(Sheet1!D:D,$G204)</f>
        <v>2001-cso-preferred-class-structure-mortality-tables.xls</v>
      </c>
      <c r="I204" s="4" t="str" cm="1">
        <f t="array" ref="I204">INDEX(Sheet1!E:E,$G204)</f>
        <v>A.1.a.ii</v>
      </c>
      <c r="J204" s="4" t="str" cm="1">
        <f t="array" ref="J204">IF($C204&gt;=25,INDEX(Sheet1!G:G,$G204),INDEX(Sheet1!F:F,$G204))</f>
        <v>AA8</v>
      </c>
      <c r="K204" s="4" cm="1">
        <f t="array" ref="K204">INDEX(Sheet1!H:H,$G204)</f>
        <v>1E-3</v>
      </c>
      <c r="L204" s="4">
        <f t="shared" si="12"/>
        <v>56</v>
      </c>
      <c r="M204" s="4">
        <f t="shared" si="13"/>
        <v>0</v>
      </c>
    </row>
    <row r="205" spans="1:13">
      <c r="A205" s="4" t="str" cm="1">
        <f t="array" ref="A205">INDEX(Sheet1!A:A,$F205)</f>
        <v>M</v>
      </c>
      <c r="B205" s="4" t="str" cm="1">
        <f t="array" ref="B205">INDEX(Sheet1!B:B,$F205)</f>
        <v>Pref Best NS</v>
      </c>
      <c r="C205" s="4">
        <f t="shared" si="14"/>
        <v>82</v>
      </c>
      <c r="D205" s="5" cm="1">
        <f t="array" aca="1" ref="D205" ca="1">OFFSET(INDIRECT("'["&amp;$H205&amp;"]"&amp;$I205&amp;"'!"&amp;$J205),$L205,$M205)*$K205</f>
        <v>7.3709999999999998E-2</v>
      </c>
      <c r="F205" s="4">
        <f t="shared" si="15"/>
        <v>3</v>
      </c>
      <c r="G205" s="4" cm="1">
        <f t="array" ref="G205">IF($C205&gt;=25,F205,IF($C205&lt;16,INDEX(Sheet1!C:C,$F205),$F205))</f>
        <v>3</v>
      </c>
      <c r="H205" s="4" t="str" cm="1">
        <f t="array" ref="H205">INDEX(Sheet1!D:D,$G205)</f>
        <v>2001-cso-preferred-class-structure-mortality-tables.xls</v>
      </c>
      <c r="I205" s="4" t="str" cm="1">
        <f t="array" ref="I205">INDEX(Sheet1!E:E,$G205)</f>
        <v>A.1.a.ii</v>
      </c>
      <c r="J205" s="4" t="str" cm="1">
        <f t="array" ref="J205">IF($C205&gt;=25,INDEX(Sheet1!G:G,$G205),INDEX(Sheet1!F:F,$G205))</f>
        <v>AA8</v>
      </c>
      <c r="K205" s="4" cm="1">
        <f t="array" ref="K205">INDEX(Sheet1!H:H,$G205)</f>
        <v>1E-3</v>
      </c>
      <c r="L205" s="4">
        <f t="shared" si="12"/>
        <v>57</v>
      </c>
      <c r="M205" s="4">
        <f t="shared" si="13"/>
        <v>0</v>
      </c>
    </row>
    <row r="206" spans="1:13">
      <c r="A206" s="4" t="str" cm="1">
        <f t="array" ref="A206">INDEX(Sheet1!A:A,$F206)</f>
        <v>M</v>
      </c>
      <c r="B206" s="4" t="str" cm="1">
        <f t="array" ref="B206">INDEX(Sheet1!B:B,$F206)</f>
        <v>Pref Best NS</v>
      </c>
      <c r="C206" s="4">
        <f t="shared" si="14"/>
        <v>83</v>
      </c>
      <c r="D206" s="5" cm="1">
        <f t="array" aca="1" ref="D206" ca="1">OFFSET(INDIRECT("'["&amp;$H206&amp;"]"&amp;$I206&amp;"'!"&amp;$J206),$L206,$M206)*$K206</f>
        <v>8.2420000000000007E-2</v>
      </c>
      <c r="F206" s="4">
        <f t="shared" si="15"/>
        <v>3</v>
      </c>
      <c r="G206" s="4" cm="1">
        <f t="array" ref="G206">IF($C206&gt;=25,F206,IF($C206&lt;16,INDEX(Sheet1!C:C,$F206),$F206))</f>
        <v>3</v>
      </c>
      <c r="H206" s="4" t="str" cm="1">
        <f t="array" ref="H206">INDEX(Sheet1!D:D,$G206)</f>
        <v>2001-cso-preferred-class-structure-mortality-tables.xls</v>
      </c>
      <c r="I206" s="4" t="str" cm="1">
        <f t="array" ref="I206">INDEX(Sheet1!E:E,$G206)</f>
        <v>A.1.a.ii</v>
      </c>
      <c r="J206" s="4" t="str" cm="1">
        <f t="array" ref="J206">IF($C206&gt;=25,INDEX(Sheet1!G:G,$G206),INDEX(Sheet1!F:F,$G206))</f>
        <v>AA8</v>
      </c>
      <c r="K206" s="4" cm="1">
        <f t="array" ref="K206">INDEX(Sheet1!H:H,$G206)</f>
        <v>1E-3</v>
      </c>
      <c r="L206" s="4">
        <f t="shared" si="12"/>
        <v>58</v>
      </c>
      <c r="M206" s="4">
        <f t="shared" si="13"/>
        <v>0</v>
      </c>
    </row>
    <row r="207" spans="1:13">
      <c r="A207" s="4" t="str" cm="1">
        <f t="array" ref="A207">INDEX(Sheet1!A:A,$F207)</f>
        <v>M</v>
      </c>
      <c r="B207" s="4" t="str" cm="1">
        <f t="array" ref="B207">INDEX(Sheet1!B:B,$F207)</f>
        <v>Pref Best NS</v>
      </c>
      <c r="C207" s="4">
        <f t="shared" si="14"/>
        <v>84</v>
      </c>
      <c r="D207" s="5" cm="1">
        <f t="array" aca="1" ref="D207" ca="1">OFFSET(INDIRECT("'["&amp;$H207&amp;"]"&amp;$I207&amp;"'!"&amp;$J207),$L207,$M207)*$K207</f>
        <v>9.2170000000000002E-2</v>
      </c>
      <c r="F207" s="4">
        <f t="shared" si="15"/>
        <v>3</v>
      </c>
      <c r="G207" s="4" cm="1">
        <f t="array" ref="G207">IF($C207&gt;=25,F207,IF($C207&lt;16,INDEX(Sheet1!C:C,$F207),$F207))</f>
        <v>3</v>
      </c>
      <c r="H207" s="4" t="str" cm="1">
        <f t="array" ref="H207">INDEX(Sheet1!D:D,$G207)</f>
        <v>2001-cso-preferred-class-structure-mortality-tables.xls</v>
      </c>
      <c r="I207" s="4" t="str" cm="1">
        <f t="array" ref="I207">INDEX(Sheet1!E:E,$G207)</f>
        <v>A.1.a.ii</v>
      </c>
      <c r="J207" s="4" t="str" cm="1">
        <f t="array" ref="J207">IF($C207&gt;=25,INDEX(Sheet1!G:G,$G207),INDEX(Sheet1!F:F,$G207))</f>
        <v>AA8</v>
      </c>
      <c r="K207" s="4" cm="1">
        <f t="array" ref="K207">INDEX(Sheet1!H:H,$G207)</f>
        <v>1E-3</v>
      </c>
      <c r="L207" s="4">
        <f t="shared" si="12"/>
        <v>59</v>
      </c>
      <c r="M207" s="4">
        <f t="shared" si="13"/>
        <v>0</v>
      </c>
    </row>
    <row r="208" spans="1:13">
      <c r="A208" s="4" t="str" cm="1">
        <f t="array" ref="A208">INDEX(Sheet1!A:A,$F208)</f>
        <v>M</v>
      </c>
      <c r="B208" s="4" t="str" cm="1">
        <f t="array" ref="B208">INDEX(Sheet1!B:B,$F208)</f>
        <v>Pref Best NS</v>
      </c>
      <c r="C208" s="4">
        <f t="shared" si="14"/>
        <v>85</v>
      </c>
      <c r="D208" s="5" cm="1">
        <f t="array" aca="1" ref="D208" ca="1">OFFSET(INDIRECT("'["&amp;$H208&amp;"]"&amp;$I208&amp;"'!"&amp;$J208),$L208,$M208)*$K208</f>
        <v>0.10314000000000001</v>
      </c>
      <c r="F208" s="4">
        <f t="shared" si="15"/>
        <v>3</v>
      </c>
      <c r="G208" s="4" cm="1">
        <f t="array" ref="G208">IF($C208&gt;=25,F208,IF($C208&lt;16,INDEX(Sheet1!C:C,$F208),$F208))</f>
        <v>3</v>
      </c>
      <c r="H208" s="4" t="str" cm="1">
        <f t="array" ref="H208">INDEX(Sheet1!D:D,$G208)</f>
        <v>2001-cso-preferred-class-structure-mortality-tables.xls</v>
      </c>
      <c r="I208" s="4" t="str" cm="1">
        <f t="array" ref="I208">INDEX(Sheet1!E:E,$G208)</f>
        <v>A.1.a.ii</v>
      </c>
      <c r="J208" s="4" t="str" cm="1">
        <f t="array" ref="J208">IF($C208&gt;=25,INDEX(Sheet1!G:G,$G208),INDEX(Sheet1!F:F,$G208))</f>
        <v>AA8</v>
      </c>
      <c r="K208" s="4" cm="1">
        <f t="array" ref="K208">INDEX(Sheet1!H:H,$G208)</f>
        <v>1E-3</v>
      </c>
      <c r="L208" s="4">
        <f t="shared" si="12"/>
        <v>60</v>
      </c>
      <c r="M208" s="4">
        <f t="shared" si="13"/>
        <v>0</v>
      </c>
    </row>
    <row r="209" spans="1:13">
      <c r="A209" s="4" t="str" cm="1">
        <f t="array" ref="A209">INDEX(Sheet1!A:A,$F209)</f>
        <v>M</v>
      </c>
      <c r="B209" s="4" t="str" cm="1">
        <f t="array" ref="B209">INDEX(Sheet1!B:B,$F209)</f>
        <v>Pref Best NS</v>
      </c>
      <c r="C209" s="4">
        <f t="shared" si="14"/>
        <v>86</v>
      </c>
      <c r="D209" s="5" cm="1">
        <f t="array" aca="1" ref="D209" ca="1">OFFSET(INDIRECT("'["&amp;$H209&amp;"]"&amp;$I209&amp;"'!"&amp;$J209),$L209,$M209)*$K209</f>
        <v>0.11544</v>
      </c>
      <c r="F209" s="4">
        <f t="shared" si="15"/>
        <v>3</v>
      </c>
      <c r="G209" s="4" cm="1">
        <f t="array" ref="G209">IF($C209&gt;=25,F209,IF($C209&lt;16,INDEX(Sheet1!C:C,$F209),$F209))</f>
        <v>3</v>
      </c>
      <c r="H209" s="4" t="str" cm="1">
        <f t="array" ref="H209">INDEX(Sheet1!D:D,$G209)</f>
        <v>2001-cso-preferred-class-structure-mortality-tables.xls</v>
      </c>
      <c r="I209" s="4" t="str" cm="1">
        <f t="array" ref="I209">INDEX(Sheet1!E:E,$G209)</f>
        <v>A.1.a.ii</v>
      </c>
      <c r="J209" s="4" t="str" cm="1">
        <f t="array" ref="J209">IF($C209&gt;=25,INDEX(Sheet1!G:G,$G209),INDEX(Sheet1!F:F,$G209))</f>
        <v>AA8</v>
      </c>
      <c r="K209" s="4" cm="1">
        <f t="array" ref="K209">INDEX(Sheet1!H:H,$G209)</f>
        <v>1E-3</v>
      </c>
      <c r="L209" s="4">
        <f t="shared" si="12"/>
        <v>61</v>
      </c>
      <c r="M209" s="4">
        <f t="shared" si="13"/>
        <v>0</v>
      </c>
    </row>
    <row r="210" spans="1:13">
      <c r="A210" s="4" t="str" cm="1">
        <f t="array" ref="A210">INDEX(Sheet1!A:A,$F210)</f>
        <v>M</v>
      </c>
      <c r="B210" s="4" t="str" cm="1">
        <f t="array" ref="B210">INDEX(Sheet1!B:B,$F210)</f>
        <v>Pref Best NS</v>
      </c>
      <c r="C210" s="4">
        <f t="shared" si="14"/>
        <v>87</v>
      </c>
      <c r="D210" s="5" cm="1">
        <f t="array" aca="1" ref="D210" ca="1">OFFSET(INDIRECT("'["&amp;$H210&amp;"]"&amp;$I210&amp;"'!"&amp;$J210),$L210,$M210)*$K210</f>
        <v>0.12900999999999999</v>
      </c>
      <c r="F210" s="4">
        <f t="shared" si="15"/>
        <v>3</v>
      </c>
      <c r="G210" s="4" cm="1">
        <f t="array" ref="G210">IF($C210&gt;=25,F210,IF($C210&lt;16,INDEX(Sheet1!C:C,$F210),$F210))</f>
        <v>3</v>
      </c>
      <c r="H210" s="4" t="str" cm="1">
        <f t="array" ref="H210">INDEX(Sheet1!D:D,$G210)</f>
        <v>2001-cso-preferred-class-structure-mortality-tables.xls</v>
      </c>
      <c r="I210" s="4" t="str" cm="1">
        <f t="array" ref="I210">INDEX(Sheet1!E:E,$G210)</f>
        <v>A.1.a.ii</v>
      </c>
      <c r="J210" s="4" t="str" cm="1">
        <f t="array" ref="J210">IF($C210&gt;=25,INDEX(Sheet1!G:G,$G210),INDEX(Sheet1!F:F,$G210))</f>
        <v>AA8</v>
      </c>
      <c r="K210" s="4" cm="1">
        <f t="array" ref="K210">INDEX(Sheet1!H:H,$G210)</f>
        <v>1E-3</v>
      </c>
      <c r="L210" s="4">
        <f t="shared" si="12"/>
        <v>62</v>
      </c>
      <c r="M210" s="4">
        <f t="shared" si="13"/>
        <v>0</v>
      </c>
    </row>
    <row r="211" spans="1:13">
      <c r="A211" s="4" t="str" cm="1">
        <f t="array" ref="A211">INDEX(Sheet1!A:A,$F211)</f>
        <v>M</v>
      </c>
      <c r="B211" s="4" t="str" cm="1">
        <f t="array" ref="B211">INDEX(Sheet1!B:B,$F211)</f>
        <v>Pref Best NS</v>
      </c>
      <c r="C211" s="4">
        <f t="shared" si="14"/>
        <v>88</v>
      </c>
      <c r="D211" s="5" cm="1">
        <f t="array" aca="1" ref="D211" ca="1">OFFSET(INDIRECT("'["&amp;$H211&amp;"]"&amp;$I211&amp;"'!"&amp;$J211),$L211,$M211)*$K211</f>
        <v>0.14375000000000002</v>
      </c>
      <c r="F211" s="4">
        <f t="shared" si="15"/>
        <v>3</v>
      </c>
      <c r="G211" s="4" cm="1">
        <f t="array" ref="G211">IF($C211&gt;=25,F211,IF($C211&lt;16,INDEX(Sheet1!C:C,$F211),$F211))</f>
        <v>3</v>
      </c>
      <c r="H211" s="4" t="str" cm="1">
        <f t="array" ref="H211">INDEX(Sheet1!D:D,$G211)</f>
        <v>2001-cso-preferred-class-structure-mortality-tables.xls</v>
      </c>
      <c r="I211" s="4" t="str" cm="1">
        <f t="array" ref="I211">INDEX(Sheet1!E:E,$G211)</f>
        <v>A.1.a.ii</v>
      </c>
      <c r="J211" s="4" t="str" cm="1">
        <f t="array" ref="J211">IF($C211&gt;=25,INDEX(Sheet1!G:G,$G211),INDEX(Sheet1!F:F,$G211))</f>
        <v>AA8</v>
      </c>
      <c r="K211" s="4" cm="1">
        <f t="array" ref="K211">INDEX(Sheet1!H:H,$G211)</f>
        <v>1E-3</v>
      </c>
      <c r="L211" s="4">
        <f t="shared" si="12"/>
        <v>63</v>
      </c>
      <c r="M211" s="4">
        <f t="shared" si="13"/>
        <v>0</v>
      </c>
    </row>
    <row r="212" spans="1:13">
      <c r="A212" s="4" t="str" cm="1">
        <f t="array" ref="A212">INDEX(Sheet1!A:A,$F212)</f>
        <v>M</v>
      </c>
      <c r="B212" s="4" t="str" cm="1">
        <f t="array" ref="B212">INDEX(Sheet1!B:B,$F212)</f>
        <v>Pref Best NS</v>
      </c>
      <c r="C212" s="4">
        <f t="shared" si="14"/>
        <v>89</v>
      </c>
      <c r="D212" s="5" cm="1">
        <f t="array" aca="1" ref="D212" ca="1">OFFSET(INDIRECT("'["&amp;$H212&amp;"]"&amp;$I212&amp;"'!"&amp;$J212),$L212,$M212)*$K212</f>
        <v>0.15950999999999999</v>
      </c>
      <c r="F212" s="4">
        <f t="shared" si="15"/>
        <v>3</v>
      </c>
      <c r="G212" s="4" cm="1">
        <f t="array" ref="G212">IF($C212&gt;=25,F212,IF($C212&lt;16,INDEX(Sheet1!C:C,$F212),$F212))</f>
        <v>3</v>
      </c>
      <c r="H212" s="4" t="str" cm="1">
        <f t="array" ref="H212">INDEX(Sheet1!D:D,$G212)</f>
        <v>2001-cso-preferred-class-structure-mortality-tables.xls</v>
      </c>
      <c r="I212" s="4" t="str" cm="1">
        <f t="array" ref="I212">INDEX(Sheet1!E:E,$G212)</f>
        <v>A.1.a.ii</v>
      </c>
      <c r="J212" s="4" t="str" cm="1">
        <f t="array" ref="J212">IF($C212&gt;=25,INDEX(Sheet1!G:G,$G212),INDEX(Sheet1!F:F,$G212))</f>
        <v>AA8</v>
      </c>
      <c r="K212" s="4" cm="1">
        <f t="array" ref="K212">INDEX(Sheet1!H:H,$G212)</f>
        <v>1E-3</v>
      </c>
      <c r="L212" s="4">
        <f t="shared" si="12"/>
        <v>64</v>
      </c>
      <c r="M212" s="4">
        <f t="shared" si="13"/>
        <v>0</v>
      </c>
    </row>
    <row r="213" spans="1:13">
      <c r="A213" s="4" t="str" cm="1">
        <f t="array" ref="A213">INDEX(Sheet1!A:A,$F213)</f>
        <v>M</v>
      </c>
      <c r="B213" s="4" t="str" cm="1">
        <f t="array" ref="B213">INDEX(Sheet1!B:B,$F213)</f>
        <v>Pref Best NS</v>
      </c>
      <c r="C213" s="4">
        <f t="shared" si="14"/>
        <v>90</v>
      </c>
      <c r="D213" s="5" cm="1">
        <f t="array" aca="1" ref="D213" ca="1">OFFSET(INDIRECT("'["&amp;$H213&amp;"]"&amp;$I213&amp;"'!"&amp;$J213),$L213,$M213)*$K213</f>
        <v>0.1762</v>
      </c>
      <c r="F213" s="4">
        <f t="shared" si="15"/>
        <v>3</v>
      </c>
      <c r="G213" s="4" cm="1">
        <f t="array" ref="G213">IF($C213&gt;=25,F213,IF($C213&lt;16,INDEX(Sheet1!C:C,$F213),$F213))</f>
        <v>3</v>
      </c>
      <c r="H213" s="4" t="str" cm="1">
        <f t="array" ref="H213">INDEX(Sheet1!D:D,$G213)</f>
        <v>2001-cso-preferred-class-structure-mortality-tables.xls</v>
      </c>
      <c r="I213" s="4" t="str" cm="1">
        <f t="array" ref="I213">INDEX(Sheet1!E:E,$G213)</f>
        <v>A.1.a.ii</v>
      </c>
      <c r="J213" s="4" t="str" cm="1">
        <f t="array" ref="J213">IF($C213&gt;=25,INDEX(Sheet1!G:G,$G213),INDEX(Sheet1!F:F,$G213))</f>
        <v>AA8</v>
      </c>
      <c r="K213" s="4" cm="1">
        <f t="array" ref="K213">INDEX(Sheet1!H:H,$G213)</f>
        <v>1E-3</v>
      </c>
      <c r="L213" s="4">
        <f t="shared" si="12"/>
        <v>65</v>
      </c>
      <c r="M213" s="4">
        <f t="shared" si="13"/>
        <v>0</v>
      </c>
    </row>
    <row r="214" spans="1:13">
      <c r="A214" s="4" t="str" cm="1">
        <f t="array" ref="A214">INDEX(Sheet1!A:A,$F214)</f>
        <v>M</v>
      </c>
      <c r="B214" s="4" t="str" cm="1">
        <f t="array" ref="B214">INDEX(Sheet1!B:B,$F214)</f>
        <v>Pref Best NS</v>
      </c>
      <c r="C214" s="4">
        <f t="shared" si="14"/>
        <v>91</v>
      </c>
      <c r="D214" s="5" cm="1">
        <f t="array" aca="1" ref="D214" ca="1">OFFSET(INDIRECT("'["&amp;$H214&amp;"]"&amp;$I214&amp;"'!"&amp;$J214),$L214,$M214)*$K214</f>
        <v>0.19228000000000001</v>
      </c>
      <c r="F214" s="4">
        <f t="shared" si="15"/>
        <v>3</v>
      </c>
      <c r="G214" s="4" cm="1">
        <f t="array" ref="G214">IF($C214&gt;=25,F214,IF($C214&lt;16,INDEX(Sheet1!C:C,$F214),$F214))</f>
        <v>3</v>
      </c>
      <c r="H214" s="4" t="str" cm="1">
        <f t="array" ref="H214">INDEX(Sheet1!D:D,$G214)</f>
        <v>2001-cso-preferred-class-structure-mortality-tables.xls</v>
      </c>
      <c r="I214" s="4" t="str" cm="1">
        <f t="array" ref="I214">INDEX(Sheet1!E:E,$G214)</f>
        <v>A.1.a.ii</v>
      </c>
      <c r="J214" s="4" t="str" cm="1">
        <f t="array" ref="J214">IF($C214&gt;=25,INDEX(Sheet1!G:G,$G214),INDEX(Sheet1!F:F,$G214))</f>
        <v>AA8</v>
      </c>
      <c r="K214" s="4" cm="1">
        <f t="array" ref="K214">INDEX(Sheet1!H:H,$G214)</f>
        <v>1E-3</v>
      </c>
      <c r="L214" s="4">
        <f t="shared" si="12"/>
        <v>66</v>
      </c>
      <c r="M214" s="4">
        <f t="shared" si="13"/>
        <v>0</v>
      </c>
    </row>
    <row r="215" spans="1:13">
      <c r="A215" s="4" t="str" cm="1">
        <f t="array" ref="A215">INDEX(Sheet1!A:A,$F215)</f>
        <v>M</v>
      </c>
      <c r="B215" s="4" t="str" cm="1">
        <f t="array" ref="B215">INDEX(Sheet1!B:B,$F215)</f>
        <v>Pref Best NS</v>
      </c>
      <c r="C215" s="4">
        <f t="shared" si="14"/>
        <v>92</v>
      </c>
      <c r="D215" s="5" cm="1">
        <f t="array" aca="1" ref="D215" ca="1">OFFSET(INDIRECT("'["&amp;$H215&amp;"]"&amp;$I215&amp;"'!"&amp;$J215),$L215,$M215)*$K215</f>
        <v>0.20929</v>
      </c>
      <c r="F215" s="4">
        <f t="shared" si="15"/>
        <v>3</v>
      </c>
      <c r="G215" s="4" cm="1">
        <f t="array" ref="G215">IF($C215&gt;=25,F215,IF($C215&lt;16,INDEX(Sheet1!C:C,$F215),$F215))</f>
        <v>3</v>
      </c>
      <c r="H215" s="4" t="str" cm="1">
        <f t="array" ref="H215">INDEX(Sheet1!D:D,$G215)</f>
        <v>2001-cso-preferred-class-structure-mortality-tables.xls</v>
      </c>
      <c r="I215" s="4" t="str" cm="1">
        <f t="array" ref="I215">INDEX(Sheet1!E:E,$G215)</f>
        <v>A.1.a.ii</v>
      </c>
      <c r="J215" s="4" t="str" cm="1">
        <f t="array" ref="J215">IF($C215&gt;=25,INDEX(Sheet1!G:G,$G215),INDEX(Sheet1!F:F,$G215))</f>
        <v>AA8</v>
      </c>
      <c r="K215" s="4" cm="1">
        <f t="array" ref="K215">INDEX(Sheet1!H:H,$G215)</f>
        <v>1E-3</v>
      </c>
      <c r="L215" s="4">
        <f t="shared" si="12"/>
        <v>67</v>
      </c>
      <c r="M215" s="4">
        <f t="shared" si="13"/>
        <v>0</v>
      </c>
    </row>
    <row r="216" spans="1:13">
      <c r="A216" s="4" t="str" cm="1">
        <f t="array" ref="A216">INDEX(Sheet1!A:A,$F216)</f>
        <v>M</v>
      </c>
      <c r="B216" s="4" t="str" cm="1">
        <f t="array" ref="B216">INDEX(Sheet1!B:B,$F216)</f>
        <v>Pref Best NS</v>
      </c>
      <c r="C216" s="4">
        <f t="shared" si="14"/>
        <v>93</v>
      </c>
      <c r="D216" s="5" cm="1">
        <f t="array" aca="1" ref="D216" ca="1">OFFSET(INDIRECT("'["&amp;$H216&amp;"]"&amp;$I216&amp;"'!"&amp;$J216),$L216,$M216)*$K216</f>
        <v>0.22740000000000002</v>
      </c>
      <c r="F216" s="4">
        <f t="shared" si="15"/>
        <v>3</v>
      </c>
      <c r="G216" s="4" cm="1">
        <f t="array" ref="G216">IF($C216&gt;=25,F216,IF($C216&lt;16,INDEX(Sheet1!C:C,$F216),$F216))</f>
        <v>3</v>
      </c>
      <c r="H216" s="4" t="str" cm="1">
        <f t="array" ref="H216">INDEX(Sheet1!D:D,$G216)</f>
        <v>2001-cso-preferred-class-structure-mortality-tables.xls</v>
      </c>
      <c r="I216" s="4" t="str" cm="1">
        <f t="array" ref="I216">INDEX(Sheet1!E:E,$G216)</f>
        <v>A.1.a.ii</v>
      </c>
      <c r="J216" s="4" t="str" cm="1">
        <f t="array" ref="J216">IF($C216&gt;=25,INDEX(Sheet1!G:G,$G216),INDEX(Sheet1!F:F,$G216))</f>
        <v>AA8</v>
      </c>
      <c r="K216" s="4" cm="1">
        <f t="array" ref="K216">INDEX(Sheet1!H:H,$G216)</f>
        <v>1E-3</v>
      </c>
      <c r="L216" s="4">
        <f t="shared" si="12"/>
        <v>68</v>
      </c>
      <c r="M216" s="4">
        <f t="shared" si="13"/>
        <v>0</v>
      </c>
    </row>
    <row r="217" spans="1:13">
      <c r="A217" s="4" t="str" cm="1">
        <f t="array" ref="A217">INDEX(Sheet1!A:A,$F217)</f>
        <v>M</v>
      </c>
      <c r="B217" s="4" t="str" cm="1">
        <f t="array" ref="B217">INDEX(Sheet1!B:B,$F217)</f>
        <v>Pref Best NS</v>
      </c>
      <c r="C217" s="4">
        <f t="shared" si="14"/>
        <v>94</v>
      </c>
      <c r="D217" s="5" cm="1">
        <f t="array" aca="1" ref="D217" ca="1">OFFSET(INDIRECT("'["&amp;$H217&amp;"]"&amp;$I217&amp;"'!"&amp;$J217),$L217,$M217)*$K217</f>
        <v>0.24671999999999999</v>
      </c>
      <c r="F217" s="4">
        <f t="shared" si="15"/>
        <v>3</v>
      </c>
      <c r="G217" s="4" cm="1">
        <f t="array" ref="G217">IF($C217&gt;=25,F217,IF($C217&lt;16,INDEX(Sheet1!C:C,$F217),$F217))</f>
        <v>3</v>
      </c>
      <c r="H217" s="4" t="str" cm="1">
        <f t="array" ref="H217">INDEX(Sheet1!D:D,$G217)</f>
        <v>2001-cso-preferred-class-structure-mortality-tables.xls</v>
      </c>
      <c r="I217" s="4" t="str" cm="1">
        <f t="array" ref="I217">INDEX(Sheet1!E:E,$G217)</f>
        <v>A.1.a.ii</v>
      </c>
      <c r="J217" s="4" t="str" cm="1">
        <f t="array" ref="J217">IF($C217&gt;=25,INDEX(Sheet1!G:G,$G217),INDEX(Sheet1!F:F,$G217))</f>
        <v>AA8</v>
      </c>
      <c r="K217" s="4" cm="1">
        <f t="array" ref="K217">INDEX(Sheet1!H:H,$G217)</f>
        <v>1E-3</v>
      </c>
      <c r="L217" s="4">
        <f t="shared" si="12"/>
        <v>69</v>
      </c>
      <c r="M217" s="4">
        <f t="shared" si="13"/>
        <v>0</v>
      </c>
    </row>
    <row r="218" spans="1:13">
      <c r="A218" s="4" t="str" cm="1">
        <f t="array" ref="A218">INDEX(Sheet1!A:A,$F218)</f>
        <v>M</v>
      </c>
      <c r="B218" s="4" t="str" cm="1">
        <f t="array" ref="B218">INDEX(Sheet1!B:B,$F218)</f>
        <v>Pref Best NS</v>
      </c>
      <c r="C218" s="4">
        <f t="shared" si="14"/>
        <v>95</v>
      </c>
      <c r="D218" s="5" cm="1">
        <f t="array" aca="1" ref="D218" ca="1">OFFSET(INDIRECT("'["&amp;$H218&amp;"]"&amp;$I218&amp;"'!"&amp;$J218),$L218,$M218)*$K218</f>
        <v>0.26718999999999998</v>
      </c>
      <c r="F218" s="4">
        <f t="shared" si="15"/>
        <v>3</v>
      </c>
      <c r="G218" s="4" cm="1">
        <f t="array" ref="G218">IF($C218&gt;=25,F218,IF($C218&lt;16,INDEX(Sheet1!C:C,$F218),$F218))</f>
        <v>3</v>
      </c>
      <c r="H218" s="4" t="str" cm="1">
        <f t="array" ref="H218">INDEX(Sheet1!D:D,$G218)</f>
        <v>2001-cso-preferred-class-structure-mortality-tables.xls</v>
      </c>
      <c r="I218" s="4" t="str" cm="1">
        <f t="array" ref="I218">INDEX(Sheet1!E:E,$G218)</f>
        <v>A.1.a.ii</v>
      </c>
      <c r="J218" s="4" t="str" cm="1">
        <f t="array" ref="J218">IF($C218&gt;=25,INDEX(Sheet1!G:G,$G218),INDEX(Sheet1!F:F,$G218))</f>
        <v>AA8</v>
      </c>
      <c r="K218" s="4" cm="1">
        <f t="array" ref="K218">INDEX(Sheet1!H:H,$G218)</f>
        <v>1E-3</v>
      </c>
      <c r="L218" s="4">
        <f t="shared" si="12"/>
        <v>70</v>
      </c>
      <c r="M218" s="4">
        <f t="shared" si="13"/>
        <v>0</v>
      </c>
    </row>
    <row r="219" spans="1:13">
      <c r="A219" s="4" t="str" cm="1">
        <f t="array" ref="A219">INDEX(Sheet1!A:A,$F219)</f>
        <v>M</v>
      </c>
      <c r="B219" s="4" t="str" cm="1">
        <f t="array" ref="B219">INDEX(Sheet1!B:B,$F219)</f>
        <v>Pref Best NS</v>
      </c>
      <c r="C219" s="4">
        <f t="shared" si="14"/>
        <v>96</v>
      </c>
      <c r="D219" s="5" cm="1">
        <f t="array" aca="1" ref="D219" ca="1">OFFSET(INDIRECT("'["&amp;$H219&amp;"]"&amp;$I219&amp;"'!"&amp;$J219),$L219,$M219)*$K219</f>
        <v>0.28379000000000004</v>
      </c>
      <c r="F219" s="4">
        <f t="shared" si="15"/>
        <v>3</v>
      </c>
      <c r="G219" s="4" cm="1">
        <f t="array" ref="G219">IF($C219&gt;=25,F219,IF($C219&lt;16,INDEX(Sheet1!C:C,$F219),$F219))</f>
        <v>3</v>
      </c>
      <c r="H219" s="4" t="str" cm="1">
        <f t="array" ref="H219">INDEX(Sheet1!D:D,$G219)</f>
        <v>2001-cso-preferred-class-structure-mortality-tables.xls</v>
      </c>
      <c r="I219" s="4" t="str" cm="1">
        <f t="array" ref="I219">INDEX(Sheet1!E:E,$G219)</f>
        <v>A.1.a.ii</v>
      </c>
      <c r="J219" s="4" t="str" cm="1">
        <f t="array" ref="J219">IF($C219&gt;=25,INDEX(Sheet1!G:G,$G219),INDEX(Sheet1!F:F,$G219))</f>
        <v>AA8</v>
      </c>
      <c r="K219" s="4" cm="1">
        <f t="array" ref="K219">INDEX(Sheet1!H:H,$G219)</f>
        <v>1E-3</v>
      </c>
      <c r="L219" s="4">
        <f t="shared" si="12"/>
        <v>71</v>
      </c>
      <c r="M219" s="4">
        <f t="shared" si="13"/>
        <v>0</v>
      </c>
    </row>
    <row r="220" spans="1:13">
      <c r="A220" s="4" t="str" cm="1">
        <f t="array" ref="A220">INDEX(Sheet1!A:A,$F220)</f>
        <v>M</v>
      </c>
      <c r="B220" s="4" t="str" cm="1">
        <f t="array" ref="B220">INDEX(Sheet1!B:B,$F220)</f>
        <v>Pref Best NS</v>
      </c>
      <c r="C220" s="4">
        <f t="shared" si="14"/>
        <v>97</v>
      </c>
      <c r="D220" s="5" cm="1">
        <f t="array" aca="1" ref="D220" ca="1">OFFSET(INDIRECT("'["&amp;$H220&amp;"]"&amp;$I220&amp;"'!"&amp;$J220),$L220,$M220)*$K220</f>
        <v>0.30149000000000004</v>
      </c>
      <c r="F220" s="4">
        <f t="shared" si="15"/>
        <v>3</v>
      </c>
      <c r="G220" s="4" cm="1">
        <f t="array" ref="G220">IF($C220&gt;=25,F220,IF($C220&lt;16,INDEX(Sheet1!C:C,$F220),$F220))</f>
        <v>3</v>
      </c>
      <c r="H220" s="4" t="str" cm="1">
        <f t="array" ref="H220">INDEX(Sheet1!D:D,$G220)</f>
        <v>2001-cso-preferred-class-structure-mortality-tables.xls</v>
      </c>
      <c r="I220" s="4" t="str" cm="1">
        <f t="array" ref="I220">INDEX(Sheet1!E:E,$G220)</f>
        <v>A.1.a.ii</v>
      </c>
      <c r="J220" s="4" t="str" cm="1">
        <f t="array" ref="J220">IF($C220&gt;=25,INDEX(Sheet1!G:G,$G220),INDEX(Sheet1!F:F,$G220))</f>
        <v>AA8</v>
      </c>
      <c r="K220" s="4" cm="1">
        <f t="array" ref="K220">INDEX(Sheet1!H:H,$G220)</f>
        <v>1E-3</v>
      </c>
      <c r="L220" s="4">
        <f t="shared" si="12"/>
        <v>72</v>
      </c>
      <c r="M220" s="4">
        <f t="shared" si="13"/>
        <v>0</v>
      </c>
    </row>
    <row r="221" spans="1:13">
      <c r="A221" s="4" t="str" cm="1">
        <f t="array" ref="A221">INDEX(Sheet1!A:A,$F221)</f>
        <v>M</v>
      </c>
      <c r="B221" s="4" t="str" cm="1">
        <f t="array" ref="B221">INDEX(Sheet1!B:B,$F221)</f>
        <v>Pref Best NS</v>
      </c>
      <c r="C221" s="4">
        <f t="shared" si="14"/>
        <v>98</v>
      </c>
      <c r="D221" s="5" cm="1">
        <f t="array" aca="1" ref="D221" ca="1">OFFSET(INDIRECT("'["&amp;$H221&amp;"]"&amp;$I221&amp;"'!"&amp;$J221),$L221,$M221)*$K221</f>
        <v>0.32038</v>
      </c>
      <c r="F221" s="4">
        <f t="shared" si="15"/>
        <v>3</v>
      </c>
      <c r="G221" s="4" cm="1">
        <f t="array" ref="G221">IF($C221&gt;=25,F221,IF($C221&lt;16,INDEX(Sheet1!C:C,$F221),$F221))</f>
        <v>3</v>
      </c>
      <c r="H221" s="4" t="str" cm="1">
        <f t="array" ref="H221">INDEX(Sheet1!D:D,$G221)</f>
        <v>2001-cso-preferred-class-structure-mortality-tables.xls</v>
      </c>
      <c r="I221" s="4" t="str" cm="1">
        <f t="array" ref="I221">INDEX(Sheet1!E:E,$G221)</f>
        <v>A.1.a.ii</v>
      </c>
      <c r="J221" s="4" t="str" cm="1">
        <f t="array" ref="J221">IF($C221&gt;=25,INDEX(Sheet1!G:G,$G221),INDEX(Sheet1!F:F,$G221))</f>
        <v>AA8</v>
      </c>
      <c r="K221" s="4" cm="1">
        <f t="array" ref="K221">INDEX(Sheet1!H:H,$G221)</f>
        <v>1E-3</v>
      </c>
      <c r="L221" s="4">
        <f t="shared" si="12"/>
        <v>73</v>
      </c>
      <c r="M221" s="4">
        <f t="shared" si="13"/>
        <v>0</v>
      </c>
    </row>
    <row r="222" spans="1:13">
      <c r="A222" s="4" t="str" cm="1">
        <f t="array" ref="A222">INDEX(Sheet1!A:A,$F222)</f>
        <v>M</v>
      </c>
      <c r="B222" s="4" t="str" cm="1">
        <f t="array" ref="B222">INDEX(Sheet1!B:B,$F222)</f>
        <v>Pref Best NS</v>
      </c>
      <c r="C222" s="4">
        <f t="shared" si="14"/>
        <v>99</v>
      </c>
      <c r="D222" s="5" cm="1">
        <f t="array" aca="1" ref="D222" ca="1">OFFSET(INDIRECT("'["&amp;$H222&amp;"]"&amp;$I222&amp;"'!"&amp;$J222),$L222,$M222)*$K222</f>
        <v>0.34054000000000001</v>
      </c>
      <c r="F222" s="4">
        <f t="shared" si="15"/>
        <v>3</v>
      </c>
      <c r="G222" s="4" cm="1">
        <f t="array" ref="G222">IF($C222&gt;=25,F222,IF($C222&lt;16,INDEX(Sheet1!C:C,$F222),$F222))</f>
        <v>3</v>
      </c>
      <c r="H222" s="4" t="str" cm="1">
        <f t="array" ref="H222">INDEX(Sheet1!D:D,$G222)</f>
        <v>2001-cso-preferred-class-structure-mortality-tables.xls</v>
      </c>
      <c r="I222" s="4" t="str" cm="1">
        <f t="array" ref="I222">INDEX(Sheet1!E:E,$G222)</f>
        <v>A.1.a.ii</v>
      </c>
      <c r="J222" s="4" t="str" cm="1">
        <f t="array" ref="J222">IF($C222&gt;=25,INDEX(Sheet1!G:G,$G222),INDEX(Sheet1!F:F,$G222))</f>
        <v>AA8</v>
      </c>
      <c r="K222" s="4" cm="1">
        <f t="array" ref="K222">INDEX(Sheet1!H:H,$G222)</f>
        <v>1E-3</v>
      </c>
      <c r="L222" s="4">
        <f t="shared" si="12"/>
        <v>74</v>
      </c>
      <c r="M222" s="4">
        <f t="shared" si="13"/>
        <v>0</v>
      </c>
    </row>
    <row r="223" spans="1:13">
      <c r="A223" s="4" t="str" cm="1">
        <f t="array" ref="A223">INDEX(Sheet1!A:A,$F223)</f>
        <v>M</v>
      </c>
      <c r="B223" s="4" t="str" cm="1">
        <f t="array" ref="B223">INDEX(Sheet1!B:B,$F223)</f>
        <v>Pref Best NS</v>
      </c>
      <c r="C223" s="4">
        <f t="shared" si="14"/>
        <v>100</v>
      </c>
      <c r="D223" s="5" cm="1">
        <f t="array" aca="1" ref="D223" ca="1">OFFSET(INDIRECT("'["&amp;$H223&amp;"]"&amp;$I223&amp;"'!"&amp;$J223),$L223,$M223)*$K223</f>
        <v>0.36210000000000003</v>
      </c>
      <c r="F223" s="4">
        <f t="shared" si="15"/>
        <v>3</v>
      </c>
      <c r="G223" s="4" cm="1">
        <f t="array" ref="G223">IF($C223&gt;=25,F223,IF($C223&lt;16,INDEX(Sheet1!C:C,$F223),$F223))</f>
        <v>3</v>
      </c>
      <c r="H223" s="4" t="str" cm="1">
        <f t="array" ref="H223">INDEX(Sheet1!D:D,$G223)</f>
        <v>2001-cso-preferred-class-structure-mortality-tables.xls</v>
      </c>
      <c r="I223" s="4" t="str" cm="1">
        <f t="array" ref="I223">INDEX(Sheet1!E:E,$G223)</f>
        <v>A.1.a.ii</v>
      </c>
      <c r="J223" s="4" t="str" cm="1">
        <f t="array" ref="J223">IF($C223&gt;=25,INDEX(Sheet1!G:G,$G223),INDEX(Sheet1!F:F,$G223))</f>
        <v>AA8</v>
      </c>
      <c r="K223" s="4" cm="1">
        <f t="array" ref="K223">INDEX(Sheet1!H:H,$G223)</f>
        <v>1E-3</v>
      </c>
      <c r="L223" s="4">
        <f t="shared" si="12"/>
        <v>75</v>
      </c>
      <c r="M223" s="4">
        <f t="shared" si="13"/>
        <v>0</v>
      </c>
    </row>
    <row r="224" spans="1:13">
      <c r="A224" s="4" t="str" cm="1">
        <f t="array" ref="A224">INDEX(Sheet1!A:A,$F224)</f>
        <v>M</v>
      </c>
      <c r="B224" s="4" t="str" cm="1">
        <f t="array" ref="B224">INDEX(Sheet1!B:B,$F224)</f>
        <v>Pref Best NS</v>
      </c>
      <c r="C224" s="4">
        <f t="shared" si="14"/>
        <v>101</v>
      </c>
      <c r="D224" s="5" cm="1">
        <f t="array" aca="1" ref="D224" ca="1">OFFSET(INDIRECT("'["&amp;$H224&amp;"]"&amp;$I224&amp;"'!"&amp;$J224),$L224,$M224)*$K224</f>
        <v>0.37920999999999999</v>
      </c>
      <c r="F224" s="4">
        <f t="shared" si="15"/>
        <v>3</v>
      </c>
      <c r="G224" s="4" cm="1">
        <f t="array" ref="G224">IF($C224&gt;=25,F224,IF($C224&lt;16,INDEX(Sheet1!C:C,$F224),$F224))</f>
        <v>3</v>
      </c>
      <c r="H224" s="4" t="str" cm="1">
        <f t="array" ref="H224">INDEX(Sheet1!D:D,$G224)</f>
        <v>2001-cso-preferred-class-structure-mortality-tables.xls</v>
      </c>
      <c r="I224" s="4" t="str" cm="1">
        <f t="array" ref="I224">INDEX(Sheet1!E:E,$G224)</f>
        <v>A.1.a.ii</v>
      </c>
      <c r="J224" s="4" t="str" cm="1">
        <f t="array" ref="J224">IF($C224&gt;=25,INDEX(Sheet1!G:G,$G224),INDEX(Sheet1!F:F,$G224))</f>
        <v>AA8</v>
      </c>
      <c r="K224" s="4" cm="1">
        <f t="array" ref="K224">INDEX(Sheet1!H:H,$G224)</f>
        <v>1E-3</v>
      </c>
      <c r="L224" s="4">
        <f t="shared" si="12"/>
        <v>76</v>
      </c>
      <c r="M224" s="4">
        <f t="shared" si="13"/>
        <v>0</v>
      </c>
    </row>
    <row r="225" spans="1:13">
      <c r="A225" s="4" t="str" cm="1">
        <f t="array" ref="A225">INDEX(Sheet1!A:A,$F225)</f>
        <v>M</v>
      </c>
      <c r="B225" s="4" t="str" cm="1">
        <f t="array" ref="B225">INDEX(Sheet1!B:B,$F225)</f>
        <v>Pref Best NS</v>
      </c>
      <c r="C225" s="4">
        <f t="shared" si="14"/>
        <v>102</v>
      </c>
      <c r="D225" s="5" cm="1">
        <f t="array" aca="1" ref="D225" ca="1">OFFSET(INDIRECT("'["&amp;$H225&amp;"]"&amp;$I225&amp;"'!"&amp;$J225),$L225,$M225)*$K225</f>
        <v>0.39744000000000002</v>
      </c>
      <c r="F225" s="4">
        <f t="shared" si="15"/>
        <v>3</v>
      </c>
      <c r="G225" s="4" cm="1">
        <f t="array" ref="G225">IF($C225&gt;=25,F225,IF($C225&lt;16,INDEX(Sheet1!C:C,$F225),$F225))</f>
        <v>3</v>
      </c>
      <c r="H225" s="4" t="str" cm="1">
        <f t="array" ref="H225">INDEX(Sheet1!D:D,$G225)</f>
        <v>2001-cso-preferred-class-structure-mortality-tables.xls</v>
      </c>
      <c r="I225" s="4" t="str" cm="1">
        <f t="array" ref="I225">INDEX(Sheet1!E:E,$G225)</f>
        <v>A.1.a.ii</v>
      </c>
      <c r="J225" s="4" t="str" cm="1">
        <f t="array" ref="J225">IF($C225&gt;=25,INDEX(Sheet1!G:G,$G225),INDEX(Sheet1!F:F,$G225))</f>
        <v>AA8</v>
      </c>
      <c r="K225" s="4" cm="1">
        <f t="array" ref="K225">INDEX(Sheet1!H:H,$G225)</f>
        <v>1E-3</v>
      </c>
      <c r="L225" s="4">
        <f t="shared" si="12"/>
        <v>77</v>
      </c>
      <c r="M225" s="4">
        <f t="shared" si="13"/>
        <v>0</v>
      </c>
    </row>
    <row r="226" spans="1:13">
      <c r="A226" s="4" t="str" cm="1">
        <f t="array" ref="A226">INDEX(Sheet1!A:A,$F226)</f>
        <v>M</v>
      </c>
      <c r="B226" s="4" t="str" cm="1">
        <f t="array" ref="B226">INDEX(Sheet1!B:B,$F226)</f>
        <v>Pref Best NS</v>
      </c>
      <c r="C226" s="4">
        <f t="shared" si="14"/>
        <v>103</v>
      </c>
      <c r="D226" s="5" cm="1">
        <f t="array" aca="1" ref="D226" ca="1">OFFSET(INDIRECT("'["&amp;$H226&amp;"]"&amp;$I226&amp;"'!"&amp;$J226),$L226,$M226)*$K226</f>
        <v>0.41683999999999999</v>
      </c>
      <c r="F226" s="4">
        <f t="shared" si="15"/>
        <v>3</v>
      </c>
      <c r="G226" s="4" cm="1">
        <f t="array" ref="G226">IF($C226&gt;=25,F226,IF($C226&lt;16,INDEX(Sheet1!C:C,$F226),$F226))</f>
        <v>3</v>
      </c>
      <c r="H226" s="4" t="str" cm="1">
        <f t="array" ref="H226">INDEX(Sheet1!D:D,$G226)</f>
        <v>2001-cso-preferred-class-structure-mortality-tables.xls</v>
      </c>
      <c r="I226" s="4" t="str" cm="1">
        <f t="array" ref="I226">INDEX(Sheet1!E:E,$G226)</f>
        <v>A.1.a.ii</v>
      </c>
      <c r="J226" s="4" t="str" cm="1">
        <f t="array" ref="J226">IF($C226&gt;=25,INDEX(Sheet1!G:G,$G226),INDEX(Sheet1!F:F,$G226))</f>
        <v>AA8</v>
      </c>
      <c r="K226" s="4" cm="1">
        <f t="array" ref="K226">INDEX(Sheet1!H:H,$G226)</f>
        <v>1E-3</v>
      </c>
      <c r="L226" s="4">
        <f t="shared" si="12"/>
        <v>78</v>
      </c>
      <c r="M226" s="4">
        <f t="shared" si="13"/>
        <v>0</v>
      </c>
    </row>
    <row r="227" spans="1:13">
      <c r="A227" s="4" t="str" cm="1">
        <f t="array" ref="A227">INDEX(Sheet1!A:A,$F227)</f>
        <v>M</v>
      </c>
      <c r="B227" s="4" t="str" cm="1">
        <f t="array" ref="B227">INDEX(Sheet1!B:B,$F227)</f>
        <v>Pref Best NS</v>
      </c>
      <c r="C227" s="4">
        <f t="shared" si="14"/>
        <v>104</v>
      </c>
      <c r="D227" s="5" cm="1">
        <f t="array" aca="1" ref="D227" ca="1">OFFSET(INDIRECT("'["&amp;$H227&amp;"]"&amp;$I227&amp;"'!"&amp;$J227),$L227,$M227)*$K227</f>
        <v>0.43748000000000004</v>
      </c>
      <c r="F227" s="4">
        <f t="shared" si="15"/>
        <v>3</v>
      </c>
      <c r="G227" s="4" cm="1">
        <f t="array" ref="G227">IF($C227&gt;=25,F227,IF($C227&lt;16,INDEX(Sheet1!C:C,$F227),$F227))</f>
        <v>3</v>
      </c>
      <c r="H227" s="4" t="str" cm="1">
        <f t="array" ref="H227">INDEX(Sheet1!D:D,$G227)</f>
        <v>2001-cso-preferred-class-structure-mortality-tables.xls</v>
      </c>
      <c r="I227" s="4" t="str" cm="1">
        <f t="array" ref="I227">INDEX(Sheet1!E:E,$G227)</f>
        <v>A.1.a.ii</v>
      </c>
      <c r="J227" s="4" t="str" cm="1">
        <f t="array" ref="J227">IF($C227&gt;=25,INDEX(Sheet1!G:G,$G227),INDEX(Sheet1!F:F,$G227))</f>
        <v>AA8</v>
      </c>
      <c r="K227" s="4" cm="1">
        <f t="array" ref="K227">INDEX(Sheet1!H:H,$G227)</f>
        <v>1E-3</v>
      </c>
      <c r="L227" s="4">
        <f t="shared" si="12"/>
        <v>79</v>
      </c>
      <c r="M227" s="4">
        <f t="shared" si="13"/>
        <v>0</v>
      </c>
    </row>
    <row r="228" spans="1:13">
      <c r="A228" s="4" t="str" cm="1">
        <f t="array" ref="A228">INDEX(Sheet1!A:A,$F228)</f>
        <v>M</v>
      </c>
      <c r="B228" s="4" t="str" cm="1">
        <f t="array" ref="B228">INDEX(Sheet1!B:B,$F228)</f>
        <v>Pref Best NS</v>
      </c>
      <c r="C228" s="4">
        <f t="shared" si="14"/>
        <v>105</v>
      </c>
      <c r="D228" s="5" cm="1">
        <f t="array" aca="1" ref="D228" ca="1">OFFSET(INDIRECT("'["&amp;$H228&amp;"]"&amp;$I228&amp;"'!"&amp;$J228),$L228,$M228)*$K228</f>
        <v>0.45912999999999998</v>
      </c>
      <c r="F228" s="4">
        <f t="shared" si="15"/>
        <v>3</v>
      </c>
      <c r="G228" s="4" cm="1">
        <f t="array" ref="G228">IF($C228&gt;=25,F228,IF($C228&lt;16,INDEX(Sheet1!C:C,$F228),$F228))</f>
        <v>3</v>
      </c>
      <c r="H228" s="4" t="str" cm="1">
        <f t="array" ref="H228">INDEX(Sheet1!D:D,$G228)</f>
        <v>2001-cso-preferred-class-structure-mortality-tables.xls</v>
      </c>
      <c r="I228" s="4" t="str" cm="1">
        <f t="array" ref="I228">INDEX(Sheet1!E:E,$G228)</f>
        <v>A.1.a.ii</v>
      </c>
      <c r="J228" s="4" t="str" cm="1">
        <f t="array" ref="J228">IF($C228&gt;=25,INDEX(Sheet1!G:G,$G228),INDEX(Sheet1!F:F,$G228))</f>
        <v>AA8</v>
      </c>
      <c r="K228" s="4" cm="1">
        <f t="array" ref="K228">INDEX(Sheet1!H:H,$G228)</f>
        <v>1E-3</v>
      </c>
      <c r="L228" s="4">
        <f t="shared" si="12"/>
        <v>80</v>
      </c>
      <c r="M228" s="4">
        <f t="shared" si="13"/>
        <v>0</v>
      </c>
    </row>
    <row r="229" spans="1:13">
      <c r="A229" s="4" t="str" cm="1">
        <f t="array" ref="A229">INDEX(Sheet1!A:A,$F229)</f>
        <v>M</v>
      </c>
      <c r="B229" s="4" t="str" cm="1">
        <f t="array" ref="B229">INDEX(Sheet1!B:B,$F229)</f>
        <v>Pref Best NS</v>
      </c>
      <c r="C229" s="4">
        <f t="shared" si="14"/>
        <v>106</v>
      </c>
      <c r="D229" s="5" cm="1">
        <f t="array" aca="1" ref="D229" ca="1">OFFSET(INDIRECT("'["&amp;$H229&amp;"]"&amp;$I229&amp;"'!"&amp;$J229),$L229,$M229)*$K229</f>
        <v>0.48214999999999997</v>
      </c>
      <c r="F229" s="4">
        <f t="shared" si="15"/>
        <v>3</v>
      </c>
      <c r="G229" s="4" cm="1">
        <f t="array" ref="G229">IF($C229&gt;=25,F229,IF($C229&lt;16,INDEX(Sheet1!C:C,$F229),$F229))</f>
        <v>3</v>
      </c>
      <c r="H229" s="4" t="str" cm="1">
        <f t="array" ref="H229">INDEX(Sheet1!D:D,$G229)</f>
        <v>2001-cso-preferred-class-structure-mortality-tables.xls</v>
      </c>
      <c r="I229" s="4" t="str" cm="1">
        <f t="array" ref="I229">INDEX(Sheet1!E:E,$G229)</f>
        <v>A.1.a.ii</v>
      </c>
      <c r="J229" s="4" t="str" cm="1">
        <f t="array" ref="J229">IF($C229&gt;=25,INDEX(Sheet1!G:G,$G229),INDEX(Sheet1!F:F,$G229))</f>
        <v>AA8</v>
      </c>
      <c r="K229" s="4" cm="1">
        <f t="array" ref="K229">INDEX(Sheet1!H:H,$G229)</f>
        <v>1E-3</v>
      </c>
      <c r="L229" s="4">
        <f t="shared" si="12"/>
        <v>81</v>
      </c>
      <c r="M229" s="4">
        <f t="shared" si="13"/>
        <v>0</v>
      </c>
    </row>
    <row r="230" spans="1:13">
      <c r="A230" s="4" t="str" cm="1">
        <f t="array" ref="A230">INDEX(Sheet1!A:A,$F230)</f>
        <v>M</v>
      </c>
      <c r="B230" s="4" t="str" cm="1">
        <f t="array" ref="B230">INDEX(Sheet1!B:B,$F230)</f>
        <v>Pref Best NS</v>
      </c>
      <c r="C230" s="4">
        <f t="shared" si="14"/>
        <v>107</v>
      </c>
      <c r="D230" s="5" cm="1">
        <f t="array" aca="1" ref="D230" ca="1">OFFSET(INDIRECT("'["&amp;$H230&amp;"]"&amp;$I230&amp;"'!"&amp;$J230),$L230,$M230)*$K230</f>
        <v>0.50662000000000007</v>
      </c>
      <c r="F230" s="4">
        <f t="shared" si="15"/>
        <v>3</v>
      </c>
      <c r="G230" s="4" cm="1">
        <f t="array" ref="G230">IF($C230&gt;=25,F230,IF($C230&lt;16,INDEX(Sheet1!C:C,$F230),$F230))</f>
        <v>3</v>
      </c>
      <c r="H230" s="4" t="str" cm="1">
        <f t="array" ref="H230">INDEX(Sheet1!D:D,$G230)</f>
        <v>2001-cso-preferred-class-structure-mortality-tables.xls</v>
      </c>
      <c r="I230" s="4" t="str" cm="1">
        <f t="array" ref="I230">INDEX(Sheet1!E:E,$G230)</f>
        <v>A.1.a.ii</v>
      </c>
      <c r="J230" s="4" t="str" cm="1">
        <f t="array" ref="J230">IF($C230&gt;=25,INDEX(Sheet1!G:G,$G230),INDEX(Sheet1!F:F,$G230))</f>
        <v>AA8</v>
      </c>
      <c r="K230" s="4" cm="1">
        <f t="array" ref="K230">INDEX(Sheet1!H:H,$G230)</f>
        <v>1E-3</v>
      </c>
      <c r="L230" s="4">
        <f t="shared" si="12"/>
        <v>82</v>
      </c>
      <c r="M230" s="4">
        <f t="shared" si="13"/>
        <v>0</v>
      </c>
    </row>
    <row r="231" spans="1:13">
      <c r="A231" s="4" t="str" cm="1">
        <f t="array" ref="A231">INDEX(Sheet1!A:A,$F231)</f>
        <v>M</v>
      </c>
      <c r="B231" s="4" t="str" cm="1">
        <f t="array" ref="B231">INDEX(Sheet1!B:B,$F231)</f>
        <v>Pref Best NS</v>
      </c>
      <c r="C231" s="4">
        <f t="shared" si="14"/>
        <v>108</v>
      </c>
      <c r="D231" s="5" cm="1">
        <f t="array" aca="1" ref="D231" ca="1">OFFSET(INDIRECT("'["&amp;$H231&amp;"]"&amp;$I231&amp;"'!"&amp;$J231),$L231,$M231)*$K231</f>
        <v>0.53263000000000005</v>
      </c>
      <c r="F231" s="4">
        <f t="shared" si="15"/>
        <v>3</v>
      </c>
      <c r="G231" s="4" cm="1">
        <f t="array" ref="G231">IF($C231&gt;=25,F231,IF($C231&lt;16,INDEX(Sheet1!C:C,$F231),$F231))</f>
        <v>3</v>
      </c>
      <c r="H231" s="4" t="str" cm="1">
        <f t="array" ref="H231">INDEX(Sheet1!D:D,$G231)</f>
        <v>2001-cso-preferred-class-structure-mortality-tables.xls</v>
      </c>
      <c r="I231" s="4" t="str" cm="1">
        <f t="array" ref="I231">INDEX(Sheet1!E:E,$G231)</f>
        <v>A.1.a.ii</v>
      </c>
      <c r="J231" s="4" t="str" cm="1">
        <f t="array" ref="J231">IF($C231&gt;=25,INDEX(Sheet1!G:G,$G231),INDEX(Sheet1!F:F,$G231))</f>
        <v>AA8</v>
      </c>
      <c r="K231" s="4" cm="1">
        <f t="array" ref="K231">INDEX(Sheet1!H:H,$G231)</f>
        <v>1E-3</v>
      </c>
      <c r="L231" s="4">
        <f t="shared" si="12"/>
        <v>83</v>
      </c>
      <c r="M231" s="4">
        <f t="shared" si="13"/>
        <v>0</v>
      </c>
    </row>
    <row r="232" spans="1:13">
      <c r="A232" s="4" t="str" cm="1">
        <f t="array" ref="A232">INDEX(Sheet1!A:A,$F232)</f>
        <v>M</v>
      </c>
      <c r="B232" s="4" t="str" cm="1">
        <f t="array" ref="B232">INDEX(Sheet1!B:B,$F232)</f>
        <v>Pref Best NS</v>
      </c>
      <c r="C232" s="4">
        <f t="shared" si="14"/>
        <v>109</v>
      </c>
      <c r="D232" s="5" cm="1">
        <f t="array" aca="1" ref="D232" ca="1">OFFSET(INDIRECT("'["&amp;$H232&amp;"]"&amp;$I232&amp;"'!"&amp;$J232),$L232,$M232)*$K232</f>
        <v>0.56025999999999998</v>
      </c>
      <c r="F232" s="4">
        <f t="shared" si="15"/>
        <v>3</v>
      </c>
      <c r="G232" s="4" cm="1">
        <f t="array" ref="G232">IF($C232&gt;=25,F232,IF($C232&lt;16,INDEX(Sheet1!C:C,$F232),$F232))</f>
        <v>3</v>
      </c>
      <c r="H232" s="4" t="str" cm="1">
        <f t="array" ref="H232">INDEX(Sheet1!D:D,$G232)</f>
        <v>2001-cso-preferred-class-structure-mortality-tables.xls</v>
      </c>
      <c r="I232" s="4" t="str" cm="1">
        <f t="array" ref="I232">INDEX(Sheet1!E:E,$G232)</f>
        <v>A.1.a.ii</v>
      </c>
      <c r="J232" s="4" t="str" cm="1">
        <f t="array" ref="J232">IF($C232&gt;=25,INDEX(Sheet1!G:G,$G232),INDEX(Sheet1!F:F,$G232))</f>
        <v>AA8</v>
      </c>
      <c r="K232" s="4" cm="1">
        <f t="array" ref="K232">INDEX(Sheet1!H:H,$G232)</f>
        <v>1E-3</v>
      </c>
      <c r="L232" s="4">
        <f t="shared" si="12"/>
        <v>84</v>
      </c>
      <c r="M232" s="4">
        <f t="shared" si="13"/>
        <v>0</v>
      </c>
    </row>
    <row r="233" spans="1:13">
      <c r="A233" s="4" t="str" cm="1">
        <f t="array" ref="A233">INDEX(Sheet1!A:A,$F233)</f>
        <v>M</v>
      </c>
      <c r="B233" s="4" t="str" cm="1">
        <f t="array" ref="B233">INDEX(Sheet1!B:B,$F233)</f>
        <v>Pref Best NS</v>
      </c>
      <c r="C233" s="4">
        <f t="shared" si="14"/>
        <v>110</v>
      </c>
      <c r="D233" s="5" cm="1">
        <f t="array" aca="1" ref="D233" ca="1">OFFSET(INDIRECT("'["&amp;$H233&amp;"]"&amp;$I233&amp;"'!"&amp;$J233),$L233,$M233)*$K233</f>
        <v>0.58959000000000006</v>
      </c>
      <c r="F233" s="4">
        <f t="shared" si="15"/>
        <v>3</v>
      </c>
      <c r="G233" s="4" cm="1">
        <f t="array" ref="G233">IF($C233&gt;=25,F233,IF($C233&lt;16,INDEX(Sheet1!C:C,$F233),$F233))</f>
        <v>3</v>
      </c>
      <c r="H233" s="4" t="str" cm="1">
        <f t="array" ref="H233">INDEX(Sheet1!D:D,$G233)</f>
        <v>2001-cso-preferred-class-structure-mortality-tables.xls</v>
      </c>
      <c r="I233" s="4" t="str" cm="1">
        <f t="array" ref="I233">INDEX(Sheet1!E:E,$G233)</f>
        <v>A.1.a.ii</v>
      </c>
      <c r="J233" s="4" t="str" cm="1">
        <f t="array" ref="J233">IF($C233&gt;=25,INDEX(Sheet1!G:G,$G233),INDEX(Sheet1!F:F,$G233))</f>
        <v>AA8</v>
      </c>
      <c r="K233" s="4" cm="1">
        <f t="array" ref="K233">INDEX(Sheet1!H:H,$G233)</f>
        <v>1E-3</v>
      </c>
      <c r="L233" s="4">
        <f t="shared" si="12"/>
        <v>85</v>
      </c>
      <c r="M233" s="4">
        <f t="shared" si="13"/>
        <v>0</v>
      </c>
    </row>
    <row r="234" spans="1:13">
      <c r="A234" s="4" t="str" cm="1">
        <f t="array" ref="A234">INDEX(Sheet1!A:A,$F234)</f>
        <v>M</v>
      </c>
      <c r="B234" s="4" t="str" cm="1">
        <f t="array" ref="B234">INDEX(Sheet1!B:B,$F234)</f>
        <v>Pref Best NS</v>
      </c>
      <c r="C234" s="4">
        <f t="shared" si="14"/>
        <v>111</v>
      </c>
      <c r="D234" s="5" cm="1">
        <f t="array" aca="1" ref="D234" ca="1">OFFSET(INDIRECT("'["&amp;$H234&amp;"]"&amp;$I234&amp;"'!"&amp;$J234),$L234,$M234)*$K234</f>
        <v>0.62074000000000007</v>
      </c>
      <c r="F234" s="4">
        <f t="shared" si="15"/>
        <v>3</v>
      </c>
      <c r="G234" s="4" cm="1">
        <f t="array" ref="G234">IF($C234&gt;=25,F234,IF($C234&lt;16,INDEX(Sheet1!C:C,$F234),$F234))</f>
        <v>3</v>
      </c>
      <c r="H234" s="4" t="str" cm="1">
        <f t="array" ref="H234">INDEX(Sheet1!D:D,$G234)</f>
        <v>2001-cso-preferred-class-structure-mortality-tables.xls</v>
      </c>
      <c r="I234" s="4" t="str" cm="1">
        <f t="array" ref="I234">INDEX(Sheet1!E:E,$G234)</f>
        <v>A.1.a.ii</v>
      </c>
      <c r="J234" s="4" t="str" cm="1">
        <f t="array" ref="J234">IF($C234&gt;=25,INDEX(Sheet1!G:G,$G234),INDEX(Sheet1!F:F,$G234))</f>
        <v>AA8</v>
      </c>
      <c r="K234" s="4" cm="1">
        <f t="array" ref="K234">INDEX(Sheet1!H:H,$G234)</f>
        <v>1E-3</v>
      </c>
      <c r="L234" s="4">
        <f t="shared" si="12"/>
        <v>86</v>
      </c>
      <c r="M234" s="4">
        <f t="shared" si="13"/>
        <v>0</v>
      </c>
    </row>
    <row r="235" spans="1:13">
      <c r="A235" s="4" t="str" cm="1">
        <f t="array" ref="A235">INDEX(Sheet1!A:A,$F235)</f>
        <v>M</v>
      </c>
      <c r="B235" s="4" t="str" cm="1">
        <f t="array" ref="B235">INDEX(Sheet1!B:B,$F235)</f>
        <v>Pref Best NS</v>
      </c>
      <c r="C235" s="4">
        <f t="shared" si="14"/>
        <v>112</v>
      </c>
      <c r="D235" s="5" cm="1">
        <f t="array" aca="1" ref="D235" ca="1">OFFSET(INDIRECT("'["&amp;$H235&amp;"]"&amp;$I235&amp;"'!"&amp;$J235),$L235,$M235)*$K235</f>
        <v>0.65379999999999994</v>
      </c>
      <c r="F235" s="4">
        <f t="shared" si="15"/>
        <v>3</v>
      </c>
      <c r="G235" s="4" cm="1">
        <f t="array" ref="G235">IF($C235&gt;=25,F235,IF($C235&lt;16,INDEX(Sheet1!C:C,$F235),$F235))</f>
        <v>3</v>
      </c>
      <c r="H235" s="4" t="str" cm="1">
        <f t="array" ref="H235">INDEX(Sheet1!D:D,$G235)</f>
        <v>2001-cso-preferred-class-structure-mortality-tables.xls</v>
      </c>
      <c r="I235" s="4" t="str" cm="1">
        <f t="array" ref="I235">INDEX(Sheet1!E:E,$G235)</f>
        <v>A.1.a.ii</v>
      </c>
      <c r="J235" s="4" t="str" cm="1">
        <f t="array" ref="J235">IF($C235&gt;=25,INDEX(Sheet1!G:G,$G235),INDEX(Sheet1!F:F,$G235))</f>
        <v>AA8</v>
      </c>
      <c r="K235" s="4" cm="1">
        <f t="array" ref="K235">INDEX(Sheet1!H:H,$G235)</f>
        <v>1E-3</v>
      </c>
      <c r="L235" s="4">
        <f t="shared" si="12"/>
        <v>87</v>
      </c>
      <c r="M235" s="4">
        <f t="shared" si="13"/>
        <v>0</v>
      </c>
    </row>
    <row r="236" spans="1:13">
      <c r="A236" s="4" t="str" cm="1">
        <f t="array" ref="A236">INDEX(Sheet1!A:A,$F236)</f>
        <v>M</v>
      </c>
      <c r="B236" s="4" t="str" cm="1">
        <f t="array" ref="B236">INDEX(Sheet1!B:B,$F236)</f>
        <v>Pref Best NS</v>
      </c>
      <c r="C236" s="4">
        <f t="shared" si="14"/>
        <v>113</v>
      </c>
      <c r="D236" s="5" cm="1">
        <f t="array" aca="1" ref="D236" ca="1">OFFSET(INDIRECT("'["&amp;$H236&amp;"]"&amp;$I236&amp;"'!"&amp;$J236),$L236,$M236)*$K236</f>
        <v>0.68891000000000002</v>
      </c>
      <c r="F236" s="4">
        <f t="shared" si="15"/>
        <v>3</v>
      </c>
      <c r="G236" s="4" cm="1">
        <f t="array" ref="G236">IF($C236&gt;=25,F236,IF($C236&lt;16,INDEX(Sheet1!C:C,$F236),$F236))</f>
        <v>3</v>
      </c>
      <c r="H236" s="4" t="str" cm="1">
        <f t="array" ref="H236">INDEX(Sheet1!D:D,$G236)</f>
        <v>2001-cso-preferred-class-structure-mortality-tables.xls</v>
      </c>
      <c r="I236" s="4" t="str" cm="1">
        <f t="array" ref="I236">INDEX(Sheet1!E:E,$G236)</f>
        <v>A.1.a.ii</v>
      </c>
      <c r="J236" s="4" t="str" cm="1">
        <f t="array" ref="J236">IF($C236&gt;=25,INDEX(Sheet1!G:G,$G236),INDEX(Sheet1!F:F,$G236))</f>
        <v>AA8</v>
      </c>
      <c r="K236" s="4" cm="1">
        <f t="array" ref="K236">INDEX(Sheet1!H:H,$G236)</f>
        <v>1E-3</v>
      </c>
      <c r="L236" s="4">
        <f t="shared" si="12"/>
        <v>88</v>
      </c>
      <c r="M236" s="4">
        <f t="shared" si="13"/>
        <v>0</v>
      </c>
    </row>
    <row r="237" spans="1:13">
      <c r="A237" s="4" t="str" cm="1">
        <f t="array" ref="A237">INDEX(Sheet1!A:A,$F237)</f>
        <v>M</v>
      </c>
      <c r="B237" s="4" t="str" cm="1">
        <f t="array" ref="B237">INDEX(Sheet1!B:B,$F237)</f>
        <v>Pref Best NS</v>
      </c>
      <c r="C237" s="4">
        <f t="shared" si="14"/>
        <v>114</v>
      </c>
      <c r="D237" s="5" cm="1">
        <f t="array" aca="1" ref="D237" ca="1">OFFSET(INDIRECT("'["&amp;$H237&amp;"]"&amp;$I237&amp;"'!"&amp;$J237),$L237,$M237)*$K237</f>
        <v>0.72614999999999996</v>
      </c>
      <c r="F237" s="4">
        <f t="shared" si="15"/>
        <v>3</v>
      </c>
      <c r="G237" s="4" cm="1">
        <f t="array" ref="G237">IF($C237&gt;=25,F237,IF($C237&lt;16,INDEX(Sheet1!C:C,$F237),$F237))</f>
        <v>3</v>
      </c>
      <c r="H237" s="4" t="str" cm="1">
        <f t="array" ref="H237">INDEX(Sheet1!D:D,$G237)</f>
        <v>2001-cso-preferred-class-structure-mortality-tables.xls</v>
      </c>
      <c r="I237" s="4" t="str" cm="1">
        <f t="array" ref="I237">INDEX(Sheet1!E:E,$G237)</f>
        <v>A.1.a.ii</v>
      </c>
      <c r="J237" s="4" t="str" cm="1">
        <f t="array" ref="J237">IF($C237&gt;=25,INDEX(Sheet1!G:G,$G237),INDEX(Sheet1!F:F,$G237))</f>
        <v>AA8</v>
      </c>
      <c r="K237" s="4" cm="1">
        <f t="array" ref="K237">INDEX(Sheet1!H:H,$G237)</f>
        <v>1E-3</v>
      </c>
      <c r="L237" s="4">
        <f t="shared" si="12"/>
        <v>89</v>
      </c>
      <c r="M237" s="4">
        <f t="shared" si="13"/>
        <v>0</v>
      </c>
    </row>
    <row r="238" spans="1:13">
      <c r="A238" s="4" t="str" cm="1">
        <f t="array" ref="A238">INDEX(Sheet1!A:A,$F238)</f>
        <v>M</v>
      </c>
      <c r="B238" s="4" t="str" cm="1">
        <f t="array" ref="B238">INDEX(Sheet1!B:B,$F238)</f>
        <v>Pref Best NS</v>
      </c>
      <c r="C238" s="4">
        <f t="shared" si="14"/>
        <v>115</v>
      </c>
      <c r="D238" s="5" cm="1">
        <f t="array" aca="1" ref="D238" ca="1">OFFSET(INDIRECT("'["&amp;$H238&amp;"]"&amp;$I238&amp;"'!"&amp;$J238),$L238,$M238)*$K238</f>
        <v>0.76566999999999996</v>
      </c>
      <c r="F238" s="4">
        <f t="shared" si="15"/>
        <v>3</v>
      </c>
      <c r="G238" s="4" cm="1">
        <f t="array" ref="G238">IF($C238&gt;=25,F238,IF($C238&lt;16,INDEX(Sheet1!C:C,$F238),$F238))</f>
        <v>3</v>
      </c>
      <c r="H238" s="4" t="str" cm="1">
        <f t="array" ref="H238">INDEX(Sheet1!D:D,$G238)</f>
        <v>2001-cso-preferred-class-structure-mortality-tables.xls</v>
      </c>
      <c r="I238" s="4" t="str" cm="1">
        <f t="array" ref="I238">INDEX(Sheet1!E:E,$G238)</f>
        <v>A.1.a.ii</v>
      </c>
      <c r="J238" s="4" t="str" cm="1">
        <f t="array" ref="J238">IF($C238&gt;=25,INDEX(Sheet1!G:G,$G238),INDEX(Sheet1!F:F,$G238))</f>
        <v>AA8</v>
      </c>
      <c r="K238" s="4" cm="1">
        <f t="array" ref="K238">INDEX(Sheet1!H:H,$G238)</f>
        <v>1E-3</v>
      </c>
      <c r="L238" s="4">
        <f t="shared" si="12"/>
        <v>90</v>
      </c>
      <c r="M238" s="4">
        <f t="shared" si="13"/>
        <v>0</v>
      </c>
    </row>
    <row r="239" spans="1:13">
      <c r="A239" s="4" t="str" cm="1">
        <f t="array" ref="A239">INDEX(Sheet1!A:A,$F239)</f>
        <v>M</v>
      </c>
      <c r="B239" s="4" t="str" cm="1">
        <f t="array" ref="B239">INDEX(Sheet1!B:B,$F239)</f>
        <v>Pref Best NS</v>
      </c>
      <c r="C239" s="4">
        <f t="shared" si="14"/>
        <v>116</v>
      </c>
      <c r="D239" s="5" cm="1">
        <f t="array" aca="1" ref="D239" ca="1">OFFSET(INDIRECT("'["&amp;$H239&amp;"]"&amp;$I239&amp;"'!"&amp;$J239),$L239,$M239)*$K239</f>
        <v>0.80759000000000003</v>
      </c>
      <c r="F239" s="4">
        <f t="shared" si="15"/>
        <v>3</v>
      </c>
      <c r="G239" s="4" cm="1">
        <f t="array" ref="G239">IF($C239&gt;=25,F239,IF($C239&lt;16,INDEX(Sheet1!C:C,$F239),$F239))</f>
        <v>3</v>
      </c>
      <c r="H239" s="4" t="str" cm="1">
        <f t="array" ref="H239">INDEX(Sheet1!D:D,$G239)</f>
        <v>2001-cso-preferred-class-structure-mortality-tables.xls</v>
      </c>
      <c r="I239" s="4" t="str" cm="1">
        <f t="array" ref="I239">INDEX(Sheet1!E:E,$G239)</f>
        <v>A.1.a.ii</v>
      </c>
      <c r="J239" s="4" t="str" cm="1">
        <f t="array" ref="J239">IF($C239&gt;=25,INDEX(Sheet1!G:G,$G239),INDEX(Sheet1!F:F,$G239))</f>
        <v>AA8</v>
      </c>
      <c r="K239" s="4" cm="1">
        <f t="array" ref="K239">INDEX(Sheet1!H:H,$G239)</f>
        <v>1E-3</v>
      </c>
      <c r="L239" s="4">
        <f t="shared" si="12"/>
        <v>91</v>
      </c>
      <c r="M239" s="4">
        <f t="shared" si="13"/>
        <v>0</v>
      </c>
    </row>
    <row r="240" spans="1:13">
      <c r="A240" s="4" t="str" cm="1">
        <f t="array" ref="A240">INDEX(Sheet1!A:A,$F240)</f>
        <v>M</v>
      </c>
      <c r="B240" s="4" t="str" cm="1">
        <f t="array" ref="B240">INDEX(Sheet1!B:B,$F240)</f>
        <v>Pref Best NS</v>
      </c>
      <c r="C240" s="4">
        <f t="shared" si="14"/>
        <v>117</v>
      </c>
      <c r="D240" s="5" cm="1">
        <f t="array" aca="1" ref="D240" ca="1">OFFSET(INDIRECT("'["&amp;$H240&amp;"]"&amp;$I240&amp;"'!"&amp;$J240),$L240,$M240)*$K240</f>
        <v>0.85204999999999997</v>
      </c>
      <c r="F240" s="4">
        <f t="shared" si="15"/>
        <v>3</v>
      </c>
      <c r="G240" s="4" cm="1">
        <f t="array" ref="G240">IF($C240&gt;=25,F240,IF($C240&lt;16,INDEX(Sheet1!C:C,$F240),$F240))</f>
        <v>3</v>
      </c>
      <c r="H240" s="4" t="str" cm="1">
        <f t="array" ref="H240">INDEX(Sheet1!D:D,$G240)</f>
        <v>2001-cso-preferred-class-structure-mortality-tables.xls</v>
      </c>
      <c r="I240" s="4" t="str" cm="1">
        <f t="array" ref="I240">INDEX(Sheet1!E:E,$G240)</f>
        <v>A.1.a.ii</v>
      </c>
      <c r="J240" s="4" t="str" cm="1">
        <f t="array" ref="J240">IF($C240&gt;=25,INDEX(Sheet1!G:G,$G240),INDEX(Sheet1!F:F,$G240))</f>
        <v>AA8</v>
      </c>
      <c r="K240" s="4" cm="1">
        <f t="array" ref="K240">INDEX(Sheet1!H:H,$G240)</f>
        <v>1E-3</v>
      </c>
      <c r="L240" s="4">
        <f t="shared" si="12"/>
        <v>92</v>
      </c>
      <c r="M240" s="4">
        <f t="shared" si="13"/>
        <v>0</v>
      </c>
    </row>
    <row r="241" spans="1:13">
      <c r="A241" s="4" t="str" cm="1">
        <f t="array" ref="A241">INDEX(Sheet1!A:A,$F241)</f>
        <v>M</v>
      </c>
      <c r="B241" s="4" t="str" cm="1">
        <f t="array" ref="B241">INDEX(Sheet1!B:B,$F241)</f>
        <v>Pref Best NS</v>
      </c>
      <c r="C241" s="4">
        <f t="shared" si="14"/>
        <v>118</v>
      </c>
      <c r="D241" s="5" cm="1">
        <f t="array" aca="1" ref="D241" ca="1">OFFSET(INDIRECT("'["&amp;$H241&amp;"]"&amp;$I241&amp;"'!"&amp;$J241),$L241,$M241)*$K241</f>
        <v>0.89922000000000002</v>
      </c>
      <c r="F241" s="4">
        <f t="shared" si="15"/>
        <v>3</v>
      </c>
      <c r="G241" s="4" cm="1">
        <f t="array" ref="G241">IF($C241&gt;=25,F241,IF($C241&lt;16,INDEX(Sheet1!C:C,$F241),$F241))</f>
        <v>3</v>
      </c>
      <c r="H241" s="4" t="str" cm="1">
        <f t="array" ref="H241">INDEX(Sheet1!D:D,$G241)</f>
        <v>2001-cso-preferred-class-structure-mortality-tables.xls</v>
      </c>
      <c r="I241" s="4" t="str" cm="1">
        <f t="array" ref="I241">INDEX(Sheet1!E:E,$G241)</f>
        <v>A.1.a.ii</v>
      </c>
      <c r="J241" s="4" t="str" cm="1">
        <f t="array" ref="J241">IF($C241&gt;=25,INDEX(Sheet1!G:G,$G241),INDEX(Sheet1!F:F,$G241))</f>
        <v>AA8</v>
      </c>
      <c r="K241" s="4" cm="1">
        <f t="array" ref="K241">INDEX(Sheet1!H:H,$G241)</f>
        <v>1E-3</v>
      </c>
      <c r="L241" s="4">
        <f t="shared" si="12"/>
        <v>93</v>
      </c>
      <c r="M241" s="4">
        <f t="shared" si="13"/>
        <v>0</v>
      </c>
    </row>
    <row r="242" spans="1:13">
      <c r="A242" s="4" t="str" cm="1">
        <f t="array" ref="A242">INDEX(Sheet1!A:A,$F242)</f>
        <v>M</v>
      </c>
      <c r="B242" s="4" t="str" cm="1">
        <f t="array" ref="B242">INDEX(Sheet1!B:B,$F242)</f>
        <v>Pref Best NS</v>
      </c>
      <c r="C242" s="4">
        <f t="shared" si="14"/>
        <v>119</v>
      </c>
      <c r="D242" s="5" cm="1">
        <f t="array" aca="1" ref="D242" ca="1">OFFSET(INDIRECT("'["&amp;$H242&amp;"]"&amp;$I242&amp;"'!"&amp;$J242),$L242,$M242)*$K242</f>
        <v>0.94922000000000006</v>
      </c>
      <c r="F242" s="4">
        <f t="shared" si="15"/>
        <v>3</v>
      </c>
      <c r="G242" s="4" cm="1">
        <f t="array" ref="G242">IF($C242&gt;=25,F242,IF($C242&lt;16,INDEX(Sheet1!C:C,$F242),$F242))</f>
        <v>3</v>
      </c>
      <c r="H242" s="4" t="str" cm="1">
        <f t="array" ref="H242">INDEX(Sheet1!D:D,$G242)</f>
        <v>2001-cso-preferred-class-structure-mortality-tables.xls</v>
      </c>
      <c r="I242" s="4" t="str" cm="1">
        <f t="array" ref="I242">INDEX(Sheet1!E:E,$G242)</f>
        <v>A.1.a.ii</v>
      </c>
      <c r="J242" s="4" t="str" cm="1">
        <f t="array" ref="J242">IF($C242&gt;=25,INDEX(Sheet1!G:G,$G242),INDEX(Sheet1!F:F,$G242))</f>
        <v>AA8</v>
      </c>
      <c r="K242" s="4" cm="1">
        <f t="array" ref="K242">INDEX(Sheet1!H:H,$G242)</f>
        <v>1E-3</v>
      </c>
      <c r="L242" s="4">
        <f t="shared" si="12"/>
        <v>94</v>
      </c>
      <c r="M242" s="4">
        <f t="shared" si="13"/>
        <v>0</v>
      </c>
    </row>
    <row r="243" spans="1:13">
      <c r="A243" s="4" t="str" cm="1">
        <f t="array" ref="A243">INDEX(Sheet1!A:A,$F243)</f>
        <v>M</v>
      </c>
      <c r="B243" s="4" t="str" cm="1">
        <f t="array" ref="B243">INDEX(Sheet1!B:B,$F243)</f>
        <v>Pref Best NS</v>
      </c>
      <c r="C243" s="4">
        <f t="shared" si="14"/>
        <v>120</v>
      </c>
      <c r="D243" s="5" cm="1">
        <f t="array" aca="1" ref="D243" ca="1">OFFSET(INDIRECT("'["&amp;$H243&amp;"]"&amp;$I243&amp;"'!"&amp;$J243),$L243,$M243)*$K243</f>
        <v>1</v>
      </c>
      <c r="F243" s="4">
        <f t="shared" si="15"/>
        <v>3</v>
      </c>
      <c r="G243" s="4" cm="1">
        <f t="array" ref="G243">IF($C243&gt;=25,F243,IF($C243&lt;16,INDEX(Sheet1!C:C,$F243),$F243))</f>
        <v>3</v>
      </c>
      <c r="H243" s="4" t="str" cm="1">
        <f t="array" ref="H243">INDEX(Sheet1!D:D,$G243)</f>
        <v>2001-cso-preferred-class-structure-mortality-tables.xls</v>
      </c>
      <c r="I243" s="4" t="str" cm="1">
        <f t="array" ref="I243">INDEX(Sheet1!E:E,$G243)</f>
        <v>A.1.a.ii</v>
      </c>
      <c r="J243" s="4" t="str" cm="1">
        <f t="array" ref="J243">IF($C243&gt;=25,INDEX(Sheet1!G:G,$G243),INDEX(Sheet1!F:F,$G243))</f>
        <v>AA8</v>
      </c>
      <c r="K243" s="4" cm="1">
        <f t="array" ref="K243">INDEX(Sheet1!H:H,$G243)</f>
        <v>1E-3</v>
      </c>
      <c r="L243" s="4">
        <f t="shared" si="12"/>
        <v>95</v>
      </c>
      <c r="M243" s="4">
        <f t="shared" si="13"/>
        <v>0</v>
      </c>
    </row>
    <row r="244" spans="1:13">
      <c r="A244" s="4" t="str" cm="1">
        <f t="array" ref="A244">INDEX(Sheet1!A:A,$F244)</f>
        <v>M</v>
      </c>
      <c r="B244" s="4" t="str" cm="1">
        <f t="array" ref="B244">INDEX(Sheet1!B:B,$F244)</f>
        <v>Pref Resid NS</v>
      </c>
      <c r="C244" s="4">
        <f t="shared" si="14"/>
        <v>0</v>
      </c>
      <c r="D244" s="5" cm="1">
        <f t="array" aca="1" ref="D244" ca="1">OFFSET(INDIRECT("'["&amp;$H244&amp;"]"&amp;$I244&amp;"'!"&amp;$J244),$L244,$M244)*$K244</f>
        <v>9.7000000000000005E-4</v>
      </c>
      <c r="F244" s="4">
        <f t="shared" si="15"/>
        <v>4</v>
      </c>
      <c r="G244" s="4" cm="1">
        <f t="array" ref="G244">IF($C244&gt;=25,F244,IF($C244&lt;16,INDEX(Sheet1!C:C,$F244),$F244))</f>
        <v>10</v>
      </c>
      <c r="H244" s="4" t="str" cm="1">
        <f t="array" ref="H244">INDEX(Sheet1!D:D,$G244)</f>
        <v>t1136.xlsx</v>
      </c>
      <c r="I244" s="4" t="str" cm="1">
        <f t="array" ref="I244">INDEX(Sheet1!E:E,$G244)</f>
        <v>Sheet1</v>
      </c>
      <c r="J244" s="4" t="str" cm="1">
        <f t="array" ref="J244">IF($C244&gt;=25,INDEX(Sheet1!G:G,$G244),INDEX(Sheet1!F:F,$G244))</f>
        <v>B25</v>
      </c>
      <c r="K244" s="4" cm="1">
        <f t="array" ref="K244">INDEX(Sheet1!H:H,$G244)</f>
        <v>1</v>
      </c>
      <c r="L244" s="4">
        <f t="shared" si="12"/>
        <v>0</v>
      </c>
      <c r="M244" s="4">
        <f t="shared" si="13"/>
        <v>0</v>
      </c>
    </row>
    <row r="245" spans="1:13">
      <c r="A245" s="4" t="str" cm="1">
        <f t="array" ref="A245">INDEX(Sheet1!A:A,$F245)</f>
        <v>M</v>
      </c>
      <c r="B245" s="4" t="str" cm="1">
        <f t="array" ref="B245">INDEX(Sheet1!B:B,$F245)</f>
        <v>Pref Resid NS</v>
      </c>
      <c r="C245" s="4">
        <f t="shared" si="14"/>
        <v>1</v>
      </c>
      <c r="D245" s="5" cm="1">
        <f t="array" aca="1" ref="D245" ca="1">OFFSET(INDIRECT("'["&amp;$H245&amp;"]"&amp;$I245&amp;"'!"&amp;$J245),$L245,$M245)*$K245</f>
        <v>5.5999999999999995E-4</v>
      </c>
      <c r="F245" s="4">
        <f t="shared" si="15"/>
        <v>4</v>
      </c>
      <c r="G245" s="4" cm="1">
        <f t="array" ref="G245">IF($C245&gt;=25,F245,IF($C245&lt;16,INDEX(Sheet1!C:C,$F245),$F245))</f>
        <v>10</v>
      </c>
      <c r="H245" s="4" t="str" cm="1">
        <f t="array" ref="H245">INDEX(Sheet1!D:D,$G245)</f>
        <v>t1136.xlsx</v>
      </c>
      <c r="I245" s="4" t="str" cm="1">
        <f t="array" ref="I245">INDEX(Sheet1!E:E,$G245)</f>
        <v>Sheet1</v>
      </c>
      <c r="J245" s="4" t="str" cm="1">
        <f t="array" ref="J245">IF($C245&gt;=25,INDEX(Sheet1!G:G,$G245),INDEX(Sheet1!F:F,$G245))</f>
        <v>B25</v>
      </c>
      <c r="K245" s="4" cm="1">
        <f t="array" ref="K245">INDEX(Sheet1!H:H,$G245)</f>
        <v>1</v>
      </c>
      <c r="L245" s="4">
        <f t="shared" si="12"/>
        <v>0</v>
      </c>
      <c r="M245" s="4">
        <f t="shared" si="13"/>
        <v>1</v>
      </c>
    </row>
    <row r="246" spans="1:13">
      <c r="A246" s="4" t="str" cm="1">
        <f t="array" ref="A246">INDEX(Sheet1!A:A,$F246)</f>
        <v>M</v>
      </c>
      <c r="B246" s="4" t="str" cm="1">
        <f t="array" ref="B246">INDEX(Sheet1!B:B,$F246)</f>
        <v>Pref Resid NS</v>
      </c>
      <c r="C246" s="4">
        <f t="shared" si="14"/>
        <v>2</v>
      </c>
      <c r="D246" s="5" cm="1">
        <f t="array" aca="1" ref="D246" ca="1">OFFSET(INDIRECT("'["&amp;$H246&amp;"]"&amp;$I246&amp;"'!"&amp;$J246),$L246,$M246)*$K246</f>
        <v>3.8999999999999999E-4</v>
      </c>
      <c r="F246" s="4">
        <f t="shared" si="15"/>
        <v>4</v>
      </c>
      <c r="G246" s="4" cm="1">
        <f t="array" ref="G246">IF($C246&gt;=25,F246,IF($C246&lt;16,INDEX(Sheet1!C:C,$F246),$F246))</f>
        <v>10</v>
      </c>
      <c r="H246" s="4" t="str" cm="1">
        <f t="array" ref="H246">INDEX(Sheet1!D:D,$G246)</f>
        <v>t1136.xlsx</v>
      </c>
      <c r="I246" s="4" t="str" cm="1">
        <f t="array" ref="I246">INDEX(Sheet1!E:E,$G246)</f>
        <v>Sheet1</v>
      </c>
      <c r="J246" s="4" t="str" cm="1">
        <f t="array" ref="J246">IF($C246&gt;=25,INDEX(Sheet1!G:G,$G246),INDEX(Sheet1!F:F,$G246))</f>
        <v>B25</v>
      </c>
      <c r="K246" s="4" cm="1">
        <f t="array" ref="K246">INDEX(Sheet1!H:H,$G246)</f>
        <v>1</v>
      </c>
      <c r="L246" s="4">
        <f t="shared" si="12"/>
        <v>0</v>
      </c>
      <c r="M246" s="4">
        <f t="shared" si="13"/>
        <v>2</v>
      </c>
    </row>
    <row r="247" spans="1:13">
      <c r="A247" s="4" t="str" cm="1">
        <f t="array" ref="A247">INDEX(Sheet1!A:A,$F247)</f>
        <v>M</v>
      </c>
      <c r="B247" s="4" t="str" cm="1">
        <f t="array" ref="B247">INDEX(Sheet1!B:B,$F247)</f>
        <v>Pref Resid NS</v>
      </c>
      <c r="C247" s="4">
        <f t="shared" si="14"/>
        <v>3</v>
      </c>
      <c r="D247" s="5" cm="1">
        <f t="array" aca="1" ref="D247" ca="1">OFFSET(INDIRECT("'["&amp;$H247&amp;"]"&amp;$I247&amp;"'!"&amp;$J247),$L247,$M247)*$K247</f>
        <v>2.7E-4</v>
      </c>
      <c r="F247" s="4">
        <f t="shared" si="15"/>
        <v>4</v>
      </c>
      <c r="G247" s="4" cm="1">
        <f t="array" ref="G247">IF($C247&gt;=25,F247,IF($C247&lt;16,INDEX(Sheet1!C:C,$F247),$F247))</f>
        <v>10</v>
      </c>
      <c r="H247" s="4" t="str" cm="1">
        <f t="array" ref="H247">INDEX(Sheet1!D:D,$G247)</f>
        <v>t1136.xlsx</v>
      </c>
      <c r="I247" s="4" t="str" cm="1">
        <f t="array" ref="I247">INDEX(Sheet1!E:E,$G247)</f>
        <v>Sheet1</v>
      </c>
      <c r="J247" s="4" t="str" cm="1">
        <f t="array" ref="J247">IF($C247&gt;=25,INDEX(Sheet1!G:G,$G247),INDEX(Sheet1!F:F,$G247))</f>
        <v>B25</v>
      </c>
      <c r="K247" s="4" cm="1">
        <f t="array" ref="K247">INDEX(Sheet1!H:H,$G247)</f>
        <v>1</v>
      </c>
      <c r="L247" s="4">
        <f t="shared" si="12"/>
        <v>0</v>
      </c>
      <c r="M247" s="4">
        <f t="shared" si="13"/>
        <v>3</v>
      </c>
    </row>
    <row r="248" spans="1:13">
      <c r="A248" s="4" t="str" cm="1">
        <f t="array" ref="A248">INDEX(Sheet1!A:A,$F248)</f>
        <v>M</v>
      </c>
      <c r="B248" s="4" t="str" cm="1">
        <f t="array" ref="B248">INDEX(Sheet1!B:B,$F248)</f>
        <v>Pref Resid NS</v>
      </c>
      <c r="C248" s="4">
        <f t="shared" si="14"/>
        <v>4</v>
      </c>
      <c r="D248" s="5" cm="1">
        <f t="array" aca="1" ref="D248" ca="1">OFFSET(INDIRECT("'["&amp;$H248&amp;"]"&amp;$I248&amp;"'!"&amp;$J248),$L248,$M248)*$K248</f>
        <v>2.1000000000000001E-4</v>
      </c>
      <c r="F248" s="4">
        <f t="shared" si="15"/>
        <v>4</v>
      </c>
      <c r="G248" s="4" cm="1">
        <f t="array" ref="G248">IF($C248&gt;=25,F248,IF($C248&lt;16,INDEX(Sheet1!C:C,$F248),$F248))</f>
        <v>10</v>
      </c>
      <c r="H248" s="4" t="str" cm="1">
        <f t="array" ref="H248">INDEX(Sheet1!D:D,$G248)</f>
        <v>t1136.xlsx</v>
      </c>
      <c r="I248" s="4" t="str" cm="1">
        <f t="array" ref="I248">INDEX(Sheet1!E:E,$G248)</f>
        <v>Sheet1</v>
      </c>
      <c r="J248" s="4" t="str" cm="1">
        <f t="array" ref="J248">IF($C248&gt;=25,INDEX(Sheet1!G:G,$G248),INDEX(Sheet1!F:F,$G248))</f>
        <v>B25</v>
      </c>
      <c r="K248" s="4" cm="1">
        <f t="array" ref="K248">INDEX(Sheet1!H:H,$G248)</f>
        <v>1</v>
      </c>
      <c r="L248" s="4">
        <f t="shared" si="12"/>
        <v>0</v>
      </c>
      <c r="M248" s="4">
        <f t="shared" si="13"/>
        <v>4</v>
      </c>
    </row>
    <row r="249" spans="1:13">
      <c r="A249" s="4" t="str" cm="1">
        <f t="array" ref="A249">INDEX(Sheet1!A:A,$F249)</f>
        <v>M</v>
      </c>
      <c r="B249" s="4" t="str" cm="1">
        <f t="array" ref="B249">INDEX(Sheet1!B:B,$F249)</f>
        <v>Pref Resid NS</v>
      </c>
      <c r="C249" s="4">
        <f t="shared" si="14"/>
        <v>5</v>
      </c>
      <c r="D249" s="5" cm="1">
        <f t="array" aca="1" ref="D249" ca="1">OFFSET(INDIRECT("'["&amp;$H249&amp;"]"&amp;$I249&amp;"'!"&amp;$J249),$L249,$M249)*$K249</f>
        <v>2.1000000000000001E-4</v>
      </c>
      <c r="F249" s="4">
        <f t="shared" si="15"/>
        <v>4</v>
      </c>
      <c r="G249" s="4" cm="1">
        <f t="array" ref="G249">IF($C249&gt;=25,F249,IF($C249&lt;16,INDEX(Sheet1!C:C,$F249),$F249))</f>
        <v>10</v>
      </c>
      <c r="H249" s="4" t="str" cm="1">
        <f t="array" ref="H249">INDEX(Sheet1!D:D,$G249)</f>
        <v>t1136.xlsx</v>
      </c>
      <c r="I249" s="4" t="str" cm="1">
        <f t="array" ref="I249">INDEX(Sheet1!E:E,$G249)</f>
        <v>Sheet1</v>
      </c>
      <c r="J249" s="4" t="str" cm="1">
        <f t="array" ref="J249">IF($C249&gt;=25,INDEX(Sheet1!G:G,$G249),INDEX(Sheet1!F:F,$G249))</f>
        <v>B25</v>
      </c>
      <c r="K249" s="4" cm="1">
        <f t="array" ref="K249">INDEX(Sheet1!H:H,$G249)</f>
        <v>1</v>
      </c>
      <c r="L249" s="4">
        <f t="shared" si="12"/>
        <v>0</v>
      </c>
      <c r="M249" s="4">
        <f t="shared" si="13"/>
        <v>5</v>
      </c>
    </row>
    <row r="250" spans="1:13">
      <c r="A250" s="4" t="str" cm="1">
        <f t="array" ref="A250">INDEX(Sheet1!A:A,$F250)</f>
        <v>M</v>
      </c>
      <c r="B250" s="4" t="str" cm="1">
        <f t="array" ref="B250">INDEX(Sheet1!B:B,$F250)</f>
        <v>Pref Resid NS</v>
      </c>
      <c r="C250" s="4">
        <f t="shared" si="14"/>
        <v>6</v>
      </c>
      <c r="D250" s="5" cm="1">
        <f t="array" aca="1" ref="D250" ca="1">OFFSET(INDIRECT("'["&amp;$H250&amp;"]"&amp;$I250&amp;"'!"&amp;$J250),$L250,$M250)*$K250</f>
        <v>2.2000000000000001E-4</v>
      </c>
      <c r="F250" s="4">
        <f t="shared" si="15"/>
        <v>4</v>
      </c>
      <c r="G250" s="4" cm="1">
        <f t="array" ref="G250">IF($C250&gt;=25,F250,IF($C250&lt;16,INDEX(Sheet1!C:C,$F250),$F250))</f>
        <v>10</v>
      </c>
      <c r="H250" s="4" t="str" cm="1">
        <f t="array" ref="H250">INDEX(Sheet1!D:D,$G250)</f>
        <v>t1136.xlsx</v>
      </c>
      <c r="I250" s="4" t="str" cm="1">
        <f t="array" ref="I250">INDEX(Sheet1!E:E,$G250)</f>
        <v>Sheet1</v>
      </c>
      <c r="J250" s="4" t="str" cm="1">
        <f t="array" ref="J250">IF($C250&gt;=25,INDEX(Sheet1!G:G,$G250),INDEX(Sheet1!F:F,$G250))</f>
        <v>B25</v>
      </c>
      <c r="K250" s="4" cm="1">
        <f t="array" ref="K250">INDEX(Sheet1!H:H,$G250)</f>
        <v>1</v>
      </c>
      <c r="L250" s="4">
        <f t="shared" si="12"/>
        <v>0</v>
      </c>
      <c r="M250" s="4">
        <f t="shared" si="13"/>
        <v>6</v>
      </c>
    </row>
    <row r="251" spans="1:13">
      <c r="A251" s="4" t="str" cm="1">
        <f t="array" ref="A251">INDEX(Sheet1!A:A,$F251)</f>
        <v>M</v>
      </c>
      <c r="B251" s="4" t="str" cm="1">
        <f t="array" ref="B251">INDEX(Sheet1!B:B,$F251)</f>
        <v>Pref Resid NS</v>
      </c>
      <c r="C251" s="4">
        <f t="shared" si="14"/>
        <v>7</v>
      </c>
      <c r="D251" s="5" cm="1">
        <f t="array" aca="1" ref="D251" ca="1">OFFSET(INDIRECT("'["&amp;$H251&amp;"]"&amp;$I251&amp;"'!"&amp;$J251),$L251,$M251)*$K251</f>
        <v>2.2000000000000001E-4</v>
      </c>
      <c r="F251" s="4">
        <f t="shared" si="15"/>
        <v>4</v>
      </c>
      <c r="G251" s="4" cm="1">
        <f t="array" ref="G251">IF($C251&gt;=25,F251,IF($C251&lt;16,INDEX(Sheet1!C:C,$F251),$F251))</f>
        <v>10</v>
      </c>
      <c r="H251" s="4" t="str" cm="1">
        <f t="array" ref="H251">INDEX(Sheet1!D:D,$G251)</f>
        <v>t1136.xlsx</v>
      </c>
      <c r="I251" s="4" t="str" cm="1">
        <f t="array" ref="I251">INDEX(Sheet1!E:E,$G251)</f>
        <v>Sheet1</v>
      </c>
      <c r="J251" s="4" t="str" cm="1">
        <f t="array" ref="J251">IF($C251&gt;=25,INDEX(Sheet1!G:G,$G251),INDEX(Sheet1!F:F,$G251))</f>
        <v>B25</v>
      </c>
      <c r="K251" s="4" cm="1">
        <f t="array" ref="K251">INDEX(Sheet1!H:H,$G251)</f>
        <v>1</v>
      </c>
      <c r="L251" s="4">
        <f t="shared" si="12"/>
        <v>0</v>
      </c>
      <c r="M251" s="4">
        <f t="shared" si="13"/>
        <v>7</v>
      </c>
    </row>
    <row r="252" spans="1:13">
      <c r="A252" s="4" t="str" cm="1">
        <f t="array" ref="A252">INDEX(Sheet1!A:A,$F252)</f>
        <v>M</v>
      </c>
      <c r="B252" s="4" t="str" cm="1">
        <f t="array" ref="B252">INDEX(Sheet1!B:B,$F252)</f>
        <v>Pref Resid NS</v>
      </c>
      <c r="C252" s="4">
        <f t="shared" si="14"/>
        <v>8</v>
      </c>
      <c r="D252" s="5" cm="1">
        <f t="array" aca="1" ref="D252" ca="1">OFFSET(INDIRECT("'["&amp;$H252&amp;"]"&amp;$I252&amp;"'!"&amp;$J252),$L252,$M252)*$K252</f>
        <v>2.2000000000000001E-4</v>
      </c>
      <c r="F252" s="4">
        <f t="shared" si="15"/>
        <v>4</v>
      </c>
      <c r="G252" s="4" cm="1">
        <f t="array" ref="G252">IF($C252&gt;=25,F252,IF($C252&lt;16,INDEX(Sheet1!C:C,$F252),$F252))</f>
        <v>10</v>
      </c>
      <c r="H252" s="4" t="str" cm="1">
        <f t="array" ref="H252">INDEX(Sheet1!D:D,$G252)</f>
        <v>t1136.xlsx</v>
      </c>
      <c r="I252" s="4" t="str" cm="1">
        <f t="array" ref="I252">INDEX(Sheet1!E:E,$G252)</f>
        <v>Sheet1</v>
      </c>
      <c r="J252" s="4" t="str" cm="1">
        <f t="array" ref="J252">IF($C252&gt;=25,INDEX(Sheet1!G:G,$G252),INDEX(Sheet1!F:F,$G252))</f>
        <v>B25</v>
      </c>
      <c r="K252" s="4" cm="1">
        <f t="array" ref="K252">INDEX(Sheet1!H:H,$G252)</f>
        <v>1</v>
      </c>
      <c r="L252" s="4">
        <f t="shared" si="12"/>
        <v>0</v>
      </c>
      <c r="M252" s="4">
        <f t="shared" si="13"/>
        <v>8</v>
      </c>
    </row>
    <row r="253" spans="1:13">
      <c r="A253" s="4" t="str" cm="1">
        <f t="array" ref="A253">INDEX(Sheet1!A:A,$F253)</f>
        <v>M</v>
      </c>
      <c r="B253" s="4" t="str" cm="1">
        <f t="array" ref="B253">INDEX(Sheet1!B:B,$F253)</f>
        <v>Pref Resid NS</v>
      </c>
      <c r="C253" s="4">
        <f t="shared" si="14"/>
        <v>9</v>
      </c>
      <c r="D253" s="5" cm="1">
        <f t="array" aca="1" ref="D253" ca="1">OFFSET(INDIRECT("'["&amp;$H253&amp;"]"&amp;$I253&amp;"'!"&amp;$J253),$L253,$M253)*$K253</f>
        <v>2.3000000000000001E-4</v>
      </c>
      <c r="F253" s="4">
        <f t="shared" si="15"/>
        <v>4</v>
      </c>
      <c r="G253" s="4" cm="1">
        <f t="array" ref="G253">IF($C253&gt;=25,F253,IF($C253&lt;16,INDEX(Sheet1!C:C,$F253),$F253))</f>
        <v>10</v>
      </c>
      <c r="H253" s="4" t="str" cm="1">
        <f t="array" ref="H253">INDEX(Sheet1!D:D,$G253)</f>
        <v>t1136.xlsx</v>
      </c>
      <c r="I253" s="4" t="str" cm="1">
        <f t="array" ref="I253">INDEX(Sheet1!E:E,$G253)</f>
        <v>Sheet1</v>
      </c>
      <c r="J253" s="4" t="str" cm="1">
        <f t="array" ref="J253">IF($C253&gt;=25,INDEX(Sheet1!G:G,$G253),INDEX(Sheet1!F:F,$G253))</f>
        <v>B25</v>
      </c>
      <c r="K253" s="4" cm="1">
        <f t="array" ref="K253">INDEX(Sheet1!H:H,$G253)</f>
        <v>1</v>
      </c>
      <c r="L253" s="4">
        <f t="shared" si="12"/>
        <v>0</v>
      </c>
      <c r="M253" s="4">
        <f t="shared" si="13"/>
        <v>9</v>
      </c>
    </row>
    <row r="254" spans="1:13">
      <c r="A254" s="4" t="str" cm="1">
        <f t="array" ref="A254">INDEX(Sheet1!A:A,$F254)</f>
        <v>M</v>
      </c>
      <c r="B254" s="4" t="str" cm="1">
        <f t="array" ref="B254">INDEX(Sheet1!B:B,$F254)</f>
        <v>Pref Resid NS</v>
      </c>
      <c r="C254" s="4">
        <f t="shared" si="14"/>
        <v>10</v>
      </c>
      <c r="D254" s="5" cm="1">
        <f t="array" aca="1" ref="D254" ca="1">OFFSET(INDIRECT("'["&amp;$H254&amp;"]"&amp;$I254&amp;"'!"&amp;$J254),$L254,$M254)*$K254</f>
        <v>2.3000000000000001E-4</v>
      </c>
      <c r="F254" s="4">
        <f t="shared" si="15"/>
        <v>4</v>
      </c>
      <c r="G254" s="4" cm="1">
        <f t="array" ref="G254">IF($C254&gt;=25,F254,IF($C254&lt;16,INDEX(Sheet1!C:C,$F254),$F254))</f>
        <v>10</v>
      </c>
      <c r="H254" s="4" t="str" cm="1">
        <f t="array" ref="H254">INDEX(Sheet1!D:D,$G254)</f>
        <v>t1136.xlsx</v>
      </c>
      <c r="I254" s="4" t="str" cm="1">
        <f t="array" ref="I254">INDEX(Sheet1!E:E,$G254)</f>
        <v>Sheet1</v>
      </c>
      <c r="J254" s="4" t="str" cm="1">
        <f t="array" ref="J254">IF($C254&gt;=25,INDEX(Sheet1!G:G,$G254),INDEX(Sheet1!F:F,$G254))</f>
        <v>B25</v>
      </c>
      <c r="K254" s="4" cm="1">
        <f t="array" ref="K254">INDEX(Sheet1!H:H,$G254)</f>
        <v>1</v>
      </c>
      <c r="L254" s="4">
        <f t="shared" si="12"/>
        <v>0</v>
      </c>
      <c r="M254" s="4">
        <f t="shared" si="13"/>
        <v>10</v>
      </c>
    </row>
    <row r="255" spans="1:13">
      <c r="A255" s="4" t="str" cm="1">
        <f t="array" ref="A255">INDEX(Sheet1!A:A,$F255)</f>
        <v>M</v>
      </c>
      <c r="B255" s="4" t="str" cm="1">
        <f t="array" ref="B255">INDEX(Sheet1!B:B,$F255)</f>
        <v>Pref Resid NS</v>
      </c>
      <c r="C255" s="4">
        <f t="shared" si="14"/>
        <v>11</v>
      </c>
      <c r="D255" s="5" cm="1">
        <f t="array" aca="1" ref="D255" ca="1">OFFSET(INDIRECT("'["&amp;$H255&amp;"]"&amp;$I255&amp;"'!"&amp;$J255),$L255,$M255)*$K255</f>
        <v>2.7E-4</v>
      </c>
      <c r="F255" s="4">
        <f t="shared" si="15"/>
        <v>4</v>
      </c>
      <c r="G255" s="4" cm="1">
        <f t="array" ref="G255">IF($C255&gt;=25,F255,IF($C255&lt;16,INDEX(Sheet1!C:C,$F255),$F255))</f>
        <v>10</v>
      </c>
      <c r="H255" s="4" t="str" cm="1">
        <f t="array" ref="H255">INDEX(Sheet1!D:D,$G255)</f>
        <v>t1136.xlsx</v>
      </c>
      <c r="I255" s="4" t="str" cm="1">
        <f t="array" ref="I255">INDEX(Sheet1!E:E,$G255)</f>
        <v>Sheet1</v>
      </c>
      <c r="J255" s="4" t="str" cm="1">
        <f t="array" ref="J255">IF($C255&gt;=25,INDEX(Sheet1!G:G,$G255),INDEX(Sheet1!F:F,$G255))</f>
        <v>B25</v>
      </c>
      <c r="K255" s="4" cm="1">
        <f t="array" ref="K255">INDEX(Sheet1!H:H,$G255)</f>
        <v>1</v>
      </c>
      <c r="L255" s="4">
        <f t="shared" si="12"/>
        <v>0</v>
      </c>
      <c r="M255" s="4">
        <f t="shared" si="13"/>
        <v>11</v>
      </c>
    </row>
    <row r="256" spans="1:13">
      <c r="A256" s="4" t="str" cm="1">
        <f t="array" ref="A256">INDEX(Sheet1!A:A,$F256)</f>
        <v>M</v>
      </c>
      <c r="B256" s="4" t="str" cm="1">
        <f t="array" ref="B256">INDEX(Sheet1!B:B,$F256)</f>
        <v>Pref Resid NS</v>
      </c>
      <c r="C256" s="4">
        <f t="shared" si="14"/>
        <v>12</v>
      </c>
      <c r="D256" s="5" cm="1">
        <f t="array" aca="1" ref="D256" ca="1">OFFSET(INDIRECT("'["&amp;$H256&amp;"]"&amp;$I256&amp;"'!"&amp;$J256),$L256,$M256)*$K256</f>
        <v>3.3E-4</v>
      </c>
      <c r="F256" s="4">
        <f t="shared" si="15"/>
        <v>4</v>
      </c>
      <c r="G256" s="4" cm="1">
        <f t="array" ref="G256">IF($C256&gt;=25,F256,IF($C256&lt;16,INDEX(Sheet1!C:C,$F256),$F256))</f>
        <v>10</v>
      </c>
      <c r="H256" s="4" t="str" cm="1">
        <f t="array" ref="H256">INDEX(Sheet1!D:D,$G256)</f>
        <v>t1136.xlsx</v>
      </c>
      <c r="I256" s="4" t="str" cm="1">
        <f t="array" ref="I256">INDEX(Sheet1!E:E,$G256)</f>
        <v>Sheet1</v>
      </c>
      <c r="J256" s="4" t="str" cm="1">
        <f t="array" ref="J256">IF($C256&gt;=25,INDEX(Sheet1!G:G,$G256),INDEX(Sheet1!F:F,$G256))</f>
        <v>B25</v>
      </c>
      <c r="K256" s="4" cm="1">
        <f t="array" ref="K256">INDEX(Sheet1!H:H,$G256)</f>
        <v>1</v>
      </c>
      <c r="L256" s="4">
        <f t="shared" si="12"/>
        <v>0</v>
      </c>
      <c r="M256" s="4">
        <f t="shared" si="13"/>
        <v>12</v>
      </c>
    </row>
    <row r="257" spans="1:13">
      <c r="A257" s="4" t="str" cm="1">
        <f t="array" ref="A257">INDEX(Sheet1!A:A,$F257)</f>
        <v>M</v>
      </c>
      <c r="B257" s="4" t="str" cm="1">
        <f t="array" ref="B257">INDEX(Sheet1!B:B,$F257)</f>
        <v>Pref Resid NS</v>
      </c>
      <c r="C257" s="4">
        <f t="shared" si="14"/>
        <v>13</v>
      </c>
      <c r="D257" s="5" cm="1">
        <f t="array" aca="1" ref="D257" ca="1">OFFSET(INDIRECT("'["&amp;$H257&amp;"]"&amp;$I257&amp;"'!"&amp;$J257),$L257,$M257)*$K257</f>
        <v>3.8999999999999999E-4</v>
      </c>
      <c r="F257" s="4">
        <f t="shared" si="15"/>
        <v>4</v>
      </c>
      <c r="G257" s="4" cm="1">
        <f t="array" ref="G257">IF($C257&gt;=25,F257,IF($C257&lt;16,INDEX(Sheet1!C:C,$F257),$F257))</f>
        <v>10</v>
      </c>
      <c r="H257" s="4" t="str" cm="1">
        <f t="array" ref="H257">INDEX(Sheet1!D:D,$G257)</f>
        <v>t1136.xlsx</v>
      </c>
      <c r="I257" s="4" t="str" cm="1">
        <f t="array" ref="I257">INDEX(Sheet1!E:E,$G257)</f>
        <v>Sheet1</v>
      </c>
      <c r="J257" s="4" t="str" cm="1">
        <f t="array" ref="J257">IF($C257&gt;=25,INDEX(Sheet1!G:G,$G257),INDEX(Sheet1!F:F,$G257))</f>
        <v>B25</v>
      </c>
      <c r="K257" s="4" cm="1">
        <f t="array" ref="K257">INDEX(Sheet1!H:H,$G257)</f>
        <v>1</v>
      </c>
      <c r="L257" s="4">
        <f t="shared" si="12"/>
        <v>0</v>
      </c>
      <c r="M257" s="4">
        <f t="shared" si="13"/>
        <v>13</v>
      </c>
    </row>
    <row r="258" spans="1:13">
      <c r="A258" s="4" t="str" cm="1">
        <f t="array" ref="A258">INDEX(Sheet1!A:A,$F258)</f>
        <v>M</v>
      </c>
      <c r="B258" s="4" t="str" cm="1">
        <f t="array" ref="B258">INDEX(Sheet1!B:B,$F258)</f>
        <v>Pref Resid NS</v>
      </c>
      <c r="C258" s="4">
        <f t="shared" si="14"/>
        <v>14</v>
      </c>
      <c r="D258" s="5" cm="1">
        <f t="array" aca="1" ref="D258" ca="1">OFFSET(INDIRECT("'["&amp;$H258&amp;"]"&amp;$I258&amp;"'!"&amp;$J258),$L258,$M258)*$K258</f>
        <v>4.6999999999999999E-4</v>
      </c>
      <c r="F258" s="4">
        <f t="shared" si="15"/>
        <v>4</v>
      </c>
      <c r="G258" s="4" cm="1">
        <f t="array" ref="G258">IF($C258&gt;=25,F258,IF($C258&lt;16,INDEX(Sheet1!C:C,$F258),$F258))</f>
        <v>10</v>
      </c>
      <c r="H258" s="4" t="str" cm="1">
        <f t="array" ref="H258">INDEX(Sheet1!D:D,$G258)</f>
        <v>t1136.xlsx</v>
      </c>
      <c r="I258" s="4" t="str" cm="1">
        <f t="array" ref="I258">INDEX(Sheet1!E:E,$G258)</f>
        <v>Sheet1</v>
      </c>
      <c r="J258" s="4" t="str" cm="1">
        <f t="array" ref="J258">IF($C258&gt;=25,INDEX(Sheet1!G:G,$G258),INDEX(Sheet1!F:F,$G258))</f>
        <v>B25</v>
      </c>
      <c r="K258" s="4" cm="1">
        <f t="array" ref="K258">INDEX(Sheet1!H:H,$G258)</f>
        <v>1</v>
      </c>
      <c r="L258" s="4">
        <f t="shared" si="12"/>
        <v>0</v>
      </c>
      <c r="M258" s="4">
        <f t="shared" si="13"/>
        <v>14</v>
      </c>
    </row>
    <row r="259" spans="1:13">
      <c r="A259" s="4" t="str" cm="1">
        <f t="array" ref="A259">INDEX(Sheet1!A:A,$F259)</f>
        <v>M</v>
      </c>
      <c r="B259" s="4" t="str" cm="1">
        <f t="array" ref="B259">INDEX(Sheet1!B:B,$F259)</f>
        <v>Pref Resid NS</v>
      </c>
      <c r="C259" s="4">
        <f t="shared" si="14"/>
        <v>15</v>
      </c>
      <c r="D259" s="5" cm="1">
        <f t="array" aca="1" ref="D259" ca="1">OFFSET(INDIRECT("'["&amp;$H259&amp;"]"&amp;$I259&amp;"'!"&amp;$J259),$L259,$M259)*$K259</f>
        <v>6.0999999999999997E-4</v>
      </c>
      <c r="F259" s="4">
        <f t="shared" si="15"/>
        <v>4</v>
      </c>
      <c r="G259" s="4" cm="1">
        <f t="array" ref="G259">IF($C259&gt;=25,F259,IF($C259&lt;16,INDEX(Sheet1!C:C,$F259),$F259))</f>
        <v>10</v>
      </c>
      <c r="H259" s="4" t="str" cm="1">
        <f t="array" ref="H259">INDEX(Sheet1!D:D,$G259)</f>
        <v>t1136.xlsx</v>
      </c>
      <c r="I259" s="4" t="str" cm="1">
        <f t="array" ref="I259">INDEX(Sheet1!E:E,$G259)</f>
        <v>Sheet1</v>
      </c>
      <c r="J259" s="4" t="str" cm="1">
        <f t="array" ref="J259">IF($C259&gt;=25,INDEX(Sheet1!G:G,$G259),INDEX(Sheet1!F:F,$G259))</f>
        <v>B25</v>
      </c>
      <c r="K259" s="4" cm="1">
        <f t="array" ref="K259">INDEX(Sheet1!H:H,$G259)</f>
        <v>1</v>
      </c>
      <c r="L259" s="4">
        <f t="shared" ref="L259:L322" si="16">IF($C259&gt;=25,$C259-25,0)</f>
        <v>0</v>
      </c>
      <c r="M259" s="4">
        <f t="shared" ref="M259:M322" si="17">IF($C259&gt;=25,0,$C259)</f>
        <v>15</v>
      </c>
    </row>
    <row r="260" spans="1:13">
      <c r="A260" s="4" t="str" cm="1">
        <f t="array" ref="A260">INDEX(Sheet1!A:A,$F260)</f>
        <v>M</v>
      </c>
      <c r="B260" s="4" t="str" cm="1">
        <f t="array" ref="B260">INDEX(Sheet1!B:B,$F260)</f>
        <v>Pref Resid NS</v>
      </c>
      <c r="C260" s="4">
        <f t="shared" ref="C260:C323" si="18">IF(C259=120,0,C259+1)</f>
        <v>16</v>
      </c>
      <c r="D260" s="5" cm="1">
        <f t="array" aca="1" ref="D260" ca="1">OFFSET(INDIRECT("'["&amp;$H260&amp;"]"&amp;$I260&amp;"'!"&amp;$J260),$L260,$M260)*$K260</f>
        <v>5.4000000000000001E-4</v>
      </c>
      <c r="F260" s="4">
        <f t="shared" ref="F260:F323" si="19">IF(C260=0,1,0)+F259</f>
        <v>4</v>
      </c>
      <c r="G260" s="4" cm="1">
        <f t="array" ref="G260">IF($C260&gt;=25,F260,IF($C260&lt;16,INDEX(Sheet1!C:C,$F260),$F260))</f>
        <v>4</v>
      </c>
      <c r="H260" s="4" t="str" cm="1">
        <f t="array" ref="H260">INDEX(Sheet1!D:D,$G260)</f>
        <v>2001-cso-preferred-class-structure-mortality-tables.xls</v>
      </c>
      <c r="I260" s="4" t="str" cm="1">
        <f t="array" ref="I260">INDEX(Sheet1!E:E,$G260)</f>
        <v>A.1.a.ii</v>
      </c>
      <c r="J260" s="4" t="str" cm="1">
        <f t="array" ref="J260">IF($C260&gt;=25,INDEX(Sheet1!G:G,$G260),INDEX(Sheet1!F:F,$G260))</f>
        <v>B8</v>
      </c>
      <c r="K260" s="4" cm="1">
        <f t="array" ref="K260">INDEX(Sheet1!H:H,$G260)</f>
        <v>1E-3</v>
      </c>
      <c r="L260" s="4">
        <f t="shared" si="16"/>
        <v>0</v>
      </c>
      <c r="M260" s="4">
        <f t="shared" si="17"/>
        <v>16</v>
      </c>
    </row>
    <row r="261" spans="1:13">
      <c r="A261" s="4" t="str" cm="1">
        <f t="array" ref="A261">INDEX(Sheet1!A:A,$F261)</f>
        <v>M</v>
      </c>
      <c r="B261" s="4" t="str" cm="1">
        <f t="array" ref="B261">INDEX(Sheet1!B:B,$F261)</f>
        <v>Pref Resid NS</v>
      </c>
      <c r="C261" s="4">
        <f t="shared" si="18"/>
        <v>17</v>
      </c>
      <c r="D261" s="5" cm="1">
        <f t="array" aca="1" ref="D261" ca="1">OFFSET(INDIRECT("'["&amp;$H261&amp;"]"&amp;$I261&amp;"'!"&amp;$J261),$L261,$M261)*$K261</f>
        <v>6.2E-4</v>
      </c>
      <c r="F261" s="4">
        <f t="shared" si="19"/>
        <v>4</v>
      </c>
      <c r="G261" s="4" cm="1">
        <f t="array" ref="G261">IF($C261&gt;=25,F261,IF($C261&lt;16,INDEX(Sheet1!C:C,$F261),$F261))</f>
        <v>4</v>
      </c>
      <c r="H261" s="4" t="str" cm="1">
        <f t="array" ref="H261">INDEX(Sheet1!D:D,$G261)</f>
        <v>2001-cso-preferred-class-structure-mortality-tables.xls</v>
      </c>
      <c r="I261" s="4" t="str" cm="1">
        <f t="array" ref="I261">INDEX(Sheet1!E:E,$G261)</f>
        <v>A.1.a.ii</v>
      </c>
      <c r="J261" s="4" t="str" cm="1">
        <f t="array" ref="J261">IF($C261&gt;=25,INDEX(Sheet1!G:G,$G261),INDEX(Sheet1!F:F,$G261))</f>
        <v>B8</v>
      </c>
      <c r="K261" s="4" cm="1">
        <f t="array" ref="K261">INDEX(Sheet1!H:H,$G261)</f>
        <v>1E-3</v>
      </c>
      <c r="L261" s="4">
        <f t="shared" si="16"/>
        <v>0</v>
      </c>
      <c r="M261" s="4">
        <f t="shared" si="17"/>
        <v>17</v>
      </c>
    </row>
    <row r="262" spans="1:13">
      <c r="A262" s="4" t="str" cm="1">
        <f t="array" ref="A262">INDEX(Sheet1!A:A,$F262)</f>
        <v>M</v>
      </c>
      <c r="B262" s="4" t="str" cm="1">
        <f t="array" ref="B262">INDEX(Sheet1!B:B,$F262)</f>
        <v>Pref Resid NS</v>
      </c>
      <c r="C262" s="4">
        <f t="shared" si="18"/>
        <v>18</v>
      </c>
      <c r="D262" s="5" cm="1">
        <f t="array" aca="1" ref="D262" ca="1">OFFSET(INDIRECT("'["&amp;$H262&amp;"]"&amp;$I262&amp;"'!"&amp;$J262),$L262,$M262)*$K262</f>
        <v>6.6E-4</v>
      </c>
      <c r="F262" s="4">
        <f t="shared" si="19"/>
        <v>4</v>
      </c>
      <c r="G262" s="4" cm="1">
        <f t="array" ref="G262">IF($C262&gt;=25,F262,IF($C262&lt;16,INDEX(Sheet1!C:C,$F262),$F262))</f>
        <v>4</v>
      </c>
      <c r="H262" s="4" t="str" cm="1">
        <f t="array" ref="H262">INDEX(Sheet1!D:D,$G262)</f>
        <v>2001-cso-preferred-class-structure-mortality-tables.xls</v>
      </c>
      <c r="I262" s="4" t="str" cm="1">
        <f t="array" ref="I262">INDEX(Sheet1!E:E,$G262)</f>
        <v>A.1.a.ii</v>
      </c>
      <c r="J262" s="4" t="str" cm="1">
        <f t="array" ref="J262">IF($C262&gt;=25,INDEX(Sheet1!G:G,$G262),INDEX(Sheet1!F:F,$G262))</f>
        <v>B8</v>
      </c>
      <c r="K262" s="4" cm="1">
        <f t="array" ref="K262">INDEX(Sheet1!H:H,$G262)</f>
        <v>1E-3</v>
      </c>
      <c r="L262" s="4">
        <f t="shared" si="16"/>
        <v>0</v>
      </c>
      <c r="M262" s="4">
        <f t="shared" si="17"/>
        <v>18</v>
      </c>
    </row>
    <row r="263" spans="1:13">
      <c r="A263" s="4" t="str" cm="1">
        <f t="array" ref="A263">INDEX(Sheet1!A:A,$F263)</f>
        <v>M</v>
      </c>
      <c r="B263" s="4" t="str" cm="1">
        <f t="array" ref="B263">INDEX(Sheet1!B:B,$F263)</f>
        <v>Pref Resid NS</v>
      </c>
      <c r="C263" s="4">
        <f t="shared" si="18"/>
        <v>19</v>
      </c>
      <c r="D263" s="5" cm="1">
        <f t="array" aca="1" ref="D263" ca="1">OFFSET(INDIRECT("'["&amp;$H263&amp;"]"&amp;$I263&amp;"'!"&amp;$J263),$L263,$M263)*$K263</f>
        <v>6.8999999999999997E-4</v>
      </c>
      <c r="F263" s="4">
        <f t="shared" si="19"/>
        <v>4</v>
      </c>
      <c r="G263" s="4" cm="1">
        <f t="array" ref="G263">IF($C263&gt;=25,F263,IF($C263&lt;16,INDEX(Sheet1!C:C,$F263),$F263))</f>
        <v>4</v>
      </c>
      <c r="H263" s="4" t="str" cm="1">
        <f t="array" ref="H263">INDEX(Sheet1!D:D,$G263)</f>
        <v>2001-cso-preferred-class-structure-mortality-tables.xls</v>
      </c>
      <c r="I263" s="4" t="str" cm="1">
        <f t="array" ref="I263">INDEX(Sheet1!E:E,$G263)</f>
        <v>A.1.a.ii</v>
      </c>
      <c r="J263" s="4" t="str" cm="1">
        <f t="array" ref="J263">IF($C263&gt;=25,INDEX(Sheet1!G:G,$G263),INDEX(Sheet1!F:F,$G263))</f>
        <v>B8</v>
      </c>
      <c r="K263" s="4" cm="1">
        <f t="array" ref="K263">INDEX(Sheet1!H:H,$G263)</f>
        <v>1E-3</v>
      </c>
      <c r="L263" s="4">
        <f t="shared" si="16"/>
        <v>0</v>
      </c>
      <c r="M263" s="4">
        <f t="shared" si="17"/>
        <v>19</v>
      </c>
    </row>
    <row r="264" spans="1:13">
      <c r="A264" s="4" t="str" cm="1">
        <f t="array" ref="A264">INDEX(Sheet1!A:A,$F264)</f>
        <v>M</v>
      </c>
      <c r="B264" s="4" t="str" cm="1">
        <f t="array" ref="B264">INDEX(Sheet1!B:B,$F264)</f>
        <v>Pref Resid NS</v>
      </c>
      <c r="C264" s="4">
        <f t="shared" si="18"/>
        <v>20</v>
      </c>
      <c r="D264" s="5" cm="1">
        <f t="array" aca="1" ref="D264" ca="1">OFFSET(INDIRECT("'["&amp;$H264&amp;"]"&amp;$I264&amp;"'!"&amp;$J264),$L264,$M264)*$K264</f>
        <v>6.8999999999999997E-4</v>
      </c>
      <c r="F264" s="4">
        <f t="shared" si="19"/>
        <v>4</v>
      </c>
      <c r="G264" s="4" cm="1">
        <f t="array" ref="G264">IF($C264&gt;=25,F264,IF($C264&lt;16,INDEX(Sheet1!C:C,$F264),$F264))</f>
        <v>4</v>
      </c>
      <c r="H264" s="4" t="str" cm="1">
        <f t="array" ref="H264">INDEX(Sheet1!D:D,$G264)</f>
        <v>2001-cso-preferred-class-structure-mortality-tables.xls</v>
      </c>
      <c r="I264" s="4" t="str" cm="1">
        <f t="array" ref="I264">INDEX(Sheet1!E:E,$G264)</f>
        <v>A.1.a.ii</v>
      </c>
      <c r="J264" s="4" t="str" cm="1">
        <f t="array" ref="J264">IF($C264&gt;=25,INDEX(Sheet1!G:G,$G264),INDEX(Sheet1!F:F,$G264))</f>
        <v>B8</v>
      </c>
      <c r="K264" s="4" cm="1">
        <f t="array" ref="K264">INDEX(Sheet1!H:H,$G264)</f>
        <v>1E-3</v>
      </c>
      <c r="L264" s="4">
        <f t="shared" si="16"/>
        <v>0</v>
      </c>
      <c r="M264" s="4">
        <f t="shared" si="17"/>
        <v>20</v>
      </c>
    </row>
    <row r="265" spans="1:13">
      <c r="A265" s="4" t="str" cm="1">
        <f t="array" ref="A265">INDEX(Sheet1!A:A,$F265)</f>
        <v>M</v>
      </c>
      <c r="B265" s="4" t="str" cm="1">
        <f t="array" ref="B265">INDEX(Sheet1!B:B,$F265)</f>
        <v>Pref Resid NS</v>
      </c>
      <c r="C265" s="4">
        <f t="shared" si="18"/>
        <v>21</v>
      </c>
      <c r="D265" s="5" cm="1">
        <f t="array" aca="1" ref="D265" ca="1">OFFSET(INDIRECT("'["&amp;$H265&amp;"]"&amp;$I265&amp;"'!"&amp;$J265),$L265,$M265)*$K265</f>
        <v>6.9999999999999999E-4</v>
      </c>
      <c r="F265" s="4">
        <f t="shared" si="19"/>
        <v>4</v>
      </c>
      <c r="G265" s="4" cm="1">
        <f t="array" ref="G265">IF($C265&gt;=25,F265,IF($C265&lt;16,INDEX(Sheet1!C:C,$F265),$F265))</f>
        <v>4</v>
      </c>
      <c r="H265" s="4" t="str" cm="1">
        <f t="array" ref="H265">INDEX(Sheet1!D:D,$G265)</f>
        <v>2001-cso-preferred-class-structure-mortality-tables.xls</v>
      </c>
      <c r="I265" s="4" t="str" cm="1">
        <f t="array" ref="I265">INDEX(Sheet1!E:E,$G265)</f>
        <v>A.1.a.ii</v>
      </c>
      <c r="J265" s="4" t="str" cm="1">
        <f t="array" ref="J265">IF($C265&gt;=25,INDEX(Sheet1!G:G,$G265),INDEX(Sheet1!F:F,$G265))</f>
        <v>B8</v>
      </c>
      <c r="K265" s="4" cm="1">
        <f t="array" ref="K265">INDEX(Sheet1!H:H,$G265)</f>
        <v>1E-3</v>
      </c>
      <c r="L265" s="4">
        <f t="shared" si="16"/>
        <v>0</v>
      </c>
      <c r="M265" s="4">
        <f t="shared" si="17"/>
        <v>21</v>
      </c>
    </row>
    <row r="266" spans="1:13">
      <c r="A266" s="4" t="str" cm="1">
        <f t="array" ref="A266">INDEX(Sheet1!A:A,$F266)</f>
        <v>M</v>
      </c>
      <c r="B266" s="4" t="str" cm="1">
        <f t="array" ref="B266">INDEX(Sheet1!B:B,$F266)</f>
        <v>Pref Resid NS</v>
      </c>
      <c r="C266" s="4">
        <f t="shared" si="18"/>
        <v>22</v>
      </c>
      <c r="D266" s="5" cm="1">
        <f t="array" aca="1" ref="D266" ca="1">OFFSET(INDIRECT("'["&amp;$H266&amp;"]"&amp;$I266&amp;"'!"&amp;$J266),$L266,$M266)*$K266</f>
        <v>6.9999999999999999E-4</v>
      </c>
      <c r="F266" s="4">
        <f t="shared" si="19"/>
        <v>4</v>
      </c>
      <c r="G266" s="4" cm="1">
        <f t="array" ref="G266">IF($C266&gt;=25,F266,IF($C266&lt;16,INDEX(Sheet1!C:C,$F266),$F266))</f>
        <v>4</v>
      </c>
      <c r="H266" s="4" t="str" cm="1">
        <f t="array" ref="H266">INDEX(Sheet1!D:D,$G266)</f>
        <v>2001-cso-preferred-class-structure-mortality-tables.xls</v>
      </c>
      <c r="I266" s="4" t="str" cm="1">
        <f t="array" ref="I266">INDEX(Sheet1!E:E,$G266)</f>
        <v>A.1.a.ii</v>
      </c>
      <c r="J266" s="4" t="str" cm="1">
        <f t="array" ref="J266">IF($C266&gt;=25,INDEX(Sheet1!G:G,$G266),INDEX(Sheet1!F:F,$G266))</f>
        <v>B8</v>
      </c>
      <c r="K266" s="4" cm="1">
        <f t="array" ref="K266">INDEX(Sheet1!H:H,$G266)</f>
        <v>1E-3</v>
      </c>
      <c r="L266" s="4">
        <f t="shared" si="16"/>
        <v>0</v>
      </c>
      <c r="M266" s="4">
        <f t="shared" si="17"/>
        <v>22</v>
      </c>
    </row>
    <row r="267" spans="1:13">
      <c r="A267" s="4" t="str" cm="1">
        <f t="array" ref="A267">INDEX(Sheet1!A:A,$F267)</f>
        <v>M</v>
      </c>
      <c r="B267" s="4" t="str" cm="1">
        <f t="array" ref="B267">INDEX(Sheet1!B:B,$F267)</f>
        <v>Pref Resid NS</v>
      </c>
      <c r="C267" s="4">
        <f t="shared" si="18"/>
        <v>23</v>
      </c>
      <c r="D267" s="5" cm="1">
        <f t="array" aca="1" ref="D267" ca="1">OFFSET(INDIRECT("'["&amp;$H267&amp;"]"&amp;$I267&amp;"'!"&amp;$J267),$L267,$M267)*$K267</f>
        <v>7.1000000000000002E-4</v>
      </c>
      <c r="F267" s="4">
        <f t="shared" si="19"/>
        <v>4</v>
      </c>
      <c r="G267" s="4" cm="1">
        <f t="array" ref="G267">IF($C267&gt;=25,F267,IF($C267&lt;16,INDEX(Sheet1!C:C,$F267),$F267))</f>
        <v>4</v>
      </c>
      <c r="H267" s="4" t="str" cm="1">
        <f t="array" ref="H267">INDEX(Sheet1!D:D,$G267)</f>
        <v>2001-cso-preferred-class-structure-mortality-tables.xls</v>
      </c>
      <c r="I267" s="4" t="str" cm="1">
        <f t="array" ref="I267">INDEX(Sheet1!E:E,$G267)</f>
        <v>A.1.a.ii</v>
      </c>
      <c r="J267" s="4" t="str" cm="1">
        <f t="array" ref="J267">IF($C267&gt;=25,INDEX(Sheet1!G:G,$G267),INDEX(Sheet1!F:F,$G267))</f>
        <v>B8</v>
      </c>
      <c r="K267" s="4" cm="1">
        <f t="array" ref="K267">INDEX(Sheet1!H:H,$G267)</f>
        <v>1E-3</v>
      </c>
      <c r="L267" s="4">
        <f t="shared" si="16"/>
        <v>0</v>
      </c>
      <c r="M267" s="4">
        <f t="shared" si="17"/>
        <v>23</v>
      </c>
    </row>
    <row r="268" spans="1:13">
      <c r="A268" s="4" t="str" cm="1">
        <f t="array" ref="A268">INDEX(Sheet1!A:A,$F268)</f>
        <v>M</v>
      </c>
      <c r="B268" s="4" t="str" cm="1">
        <f t="array" ref="B268">INDEX(Sheet1!B:B,$F268)</f>
        <v>Pref Resid NS</v>
      </c>
      <c r="C268" s="4">
        <f t="shared" si="18"/>
        <v>24</v>
      </c>
      <c r="D268" s="5" cm="1">
        <f t="array" aca="1" ref="D268" ca="1">OFFSET(INDIRECT("'["&amp;$H268&amp;"]"&amp;$I268&amp;"'!"&amp;$J268),$L268,$M268)*$K268</f>
        <v>7.1000000000000002E-4</v>
      </c>
      <c r="F268" s="4">
        <f t="shared" si="19"/>
        <v>4</v>
      </c>
      <c r="G268" s="4" cm="1">
        <f t="array" ref="G268">IF($C268&gt;=25,F268,IF($C268&lt;16,INDEX(Sheet1!C:C,$F268),$F268))</f>
        <v>4</v>
      </c>
      <c r="H268" s="4" t="str" cm="1">
        <f t="array" ref="H268">INDEX(Sheet1!D:D,$G268)</f>
        <v>2001-cso-preferred-class-structure-mortality-tables.xls</v>
      </c>
      <c r="I268" s="4" t="str" cm="1">
        <f t="array" ref="I268">INDEX(Sheet1!E:E,$G268)</f>
        <v>A.1.a.ii</v>
      </c>
      <c r="J268" s="4" t="str" cm="1">
        <f t="array" ref="J268">IF($C268&gt;=25,INDEX(Sheet1!G:G,$G268),INDEX(Sheet1!F:F,$G268))</f>
        <v>B8</v>
      </c>
      <c r="K268" s="4" cm="1">
        <f t="array" ref="K268">INDEX(Sheet1!H:H,$G268)</f>
        <v>1E-3</v>
      </c>
      <c r="L268" s="4">
        <f t="shared" si="16"/>
        <v>0</v>
      </c>
      <c r="M268" s="4">
        <f t="shared" si="17"/>
        <v>24</v>
      </c>
    </row>
    <row r="269" spans="1:13">
      <c r="A269" s="4" t="str" cm="1">
        <f t="array" ref="A269">INDEX(Sheet1!A:A,$F269)</f>
        <v>M</v>
      </c>
      <c r="B269" s="4" t="str" cm="1">
        <f t="array" ref="B269">INDEX(Sheet1!B:B,$F269)</f>
        <v>Pref Resid NS</v>
      </c>
      <c r="C269" s="4">
        <f t="shared" si="18"/>
        <v>25</v>
      </c>
      <c r="D269" s="5" cm="1">
        <f t="array" aca="1" ref="D269" ca="1">OFFSET(INDIRECT("'["&amp;$H269&amp;"]"&amp;$I269&amp;"'!"&amp;$J269),$L269,$M269)*$K269</f>
        <v>7.1999999999999994E-4</v>
      </c>
      <c r="F269" s="4">
        <f t="shared" si="19"/>
        <v>4</v>
      </c>
      <c r="G269" s="4" cm="1">
        <f t="array" ref="G269">IF($C269&gt;=25,F269,IF($C269&lt;16,INDEX(Sheet1!C:C,$F269),$F269))</f>
        <v>4</v>
      </c>
      <c r="H269" s="4" t="str" cm="1">
        <f t="array" ref="H269">INDEX(Sheet1!D:D,$G269)</f>
        <v>2001-cso-preferred-class-structure-mortality-tables.xls</v>
      </c>
      <c r="I269" s="4" t="str" cm="1">
        <f t="array" ref="I269">INDEX(Sheet1!E:E,$G269)</f>
        <v>A.1.a.ii</v>
      </c>
      <c r="J269" s="4" t="str" cm="1">
        <f t="array" ref="J269">IF($C269&gt;=25,INDEX(Sheet1!G:G,$G269),INDEX(Sheet1!F:F,$G269))</f>
        <v>AA8</v>
      </c>
      <c r="K269" s="4" cm="1">
        <f t="array" ref="K269">INDEX(Sheet1!H:H,$G269)</f>
        <v>1E-3</v>
      </c>
      <c r="L269" s="4">
        <f t="shared" si="16"/>
        <v>0</v>
      </c>
      <c r="M269" s="4">
        <f t="shared" si="17"/>
        <v>0</v>
      </c>
    </row>
    <row r="270" spans="1:13">
      <c r="A270" s="4" t="str" cm="1">
        <f t="array" ref="A270">INDEX(Sheet1!A:A,$F270)</f>
        <v>M</v>
      </c>
      <c r="B270" s="4" t="str" cm="1">
        <f t="array" ref="B270">INDEX(Sheet1!B:B,$F270)</f>
        <v>Pref Resid NS</v>
      </c>
      <c r="C270" s="4">
        <f t="shared" si="18"/>
        <v>26</v>
      </c>
      <c r="D270" s="5" cm="1">
        <f t="array" aca="1" ref="D270" ca="1">OFFSET(INDIRECT("'["&amp;$H270&amp;"]"&amp;$I270&amp;"'!"&amp;$J270),$L270,$M270)*$K270</f>
        <v>7.3999999999999999E-4</v>
      </c>
      <c r="F270" s="4">
        <f t="shared" si="19"/>
        <v>4</v>
      </c>
      <c r="G270" s="4" cm="1">
        <f t="array" ref="G270">IF($C270&gt;=25,F270,IF($C270&lt;16,INDEX(Sheet1!C:C,$F270),$F270))</f>
        <v>4</v>
      </c>
      <c r="H270" s="4" t="str" cm="1">
        <f t="array" ref="H270">INDEX(Sheet1!D:D,$G270)</f>
        <v>2001-cso-preferred-class-structure-mortality-tables.xls</v>
      </c>
      <c r="I270" s="4" t="str" cm="1">
        <f t="array" ref="I270">INDEX(Sheet1!E:E,$G270)</f>
        <v>A.1.a.ii</v>
      </c>
      <c r="J270" s="4" t="str" cm="1">
        <f t="array" ref="J270">IF($C270&gt;=25,INDEX(Sheet1!G:G,$G270),INDEX(Sheet1!F:F,$G270))</f>
        <v>AA8</v>
      </c>
      <c r="K270" s="4" cm="1">
        <f t="array" ref="K270">INDEX(Sheet1!H:H,$G270)</f>
        <v>1E-3</v>
      </c>
      <c r="L270" s="4">
        <f t="shared" si="16"/>
        <v>1</v>
      </c>
      <c r="M270" s="4">
        <f t="shared" si="17"/>
        <v>0</v>
      </c>
    </row>
    <row r="271" spans="1:13">
      <c r="A271" s="4" t="str" cm="1">
        <f t="array" ref="A271">INDEX(Sheet1!A:A,$F271)</f>
        <v>M</v>
      </c>
      <c r="B271" s="4" t="str" cm="1">
        <f t="array" ref="B271">INDEX(Sheet1!B:B,$F271)</f>
        <v>Pref Resid NS</v>
      </c>
      <c r="C271" s="4">
        <f t="shared" si="18"/>
        <v>27</v>
      </c>
      <c r="D271" s="5" cm="1">
        <f t="array" aca="1" ref="D271" ca="1">OFFSET(INDIRECT("'["&amp;$H271&amp;"]"&amp;$I271&amp;"'!"&amp;$J271),$L271,$M271)*$K271</f>
        <v>7.8000000000000009E-4</v>
      </c>
      <c r="F271" s="4">
        <f t="shared" si="19"/>
        <v>4</v>
      </c>
      <c r="G271" s="4" cm="1">
        <f t="array" ref="G271">IF($C271&gt;=25,F271,IF($C271&lt;16,INDEX(Sheet1!C:C,$F271),$F271))</f>
        <v>4</v>
      </c>
      <c r="H271" s="4" t="str" cm="1">
        <f t="array" ref="H271">INDEX(Sheet1!D:D,$G271)</f>
        <v>2001-cso-preferred-class-structure-mortality-tables.xls</v>
      </c>
      <c r="I271" s="4" t="str" cm="1">
        <f t="array" ref="I271">INDEX(Sheet1!E:E,$G271)</f>
        <v>A.1.a.ii</v>
      </c>
      <c r="J271" s="4" t="str" cm="1">
        <f t="array" ref="J271">IF($C271&gt;=25,INDEX(Sheet1!G:G,$G271),INDEX(Sheet1!F:F,$G271))</f>
        <v>AA8</v>
      </c>
      <c r="K271" s="4" cm="1">
        <f t="array" ref="K271">INDEX(Sheet1!H:H,$G271)</f>
        <v>1E-3</v>
      </c>
      <c r="L271" s="4">
        <f t="shared" si="16"/>
        <v>2</v>
      </c>
      <c r="M271" s="4">
        <f t="shared" si="17"/>
        <v>0</v>
      </c>
    </row>
    <row r="272" spans="1:13">
      <c r="A272" s="4" t="str" cm="1">
        <f t="array" ref="A272">INDEX(Sheet1!A:A,$F272)</f>
        <v>M</v>
      </c>
      <c r="B272" s="4" t="str" cm="1">
        <f t="array" ref="B272">INDEX(Sheet1!B:B,$F272)</f>
        <v>Pref Resid NS</v>
      </c>
      <c r="C272" s="4">
        <f t="shared" si="18"/>
        <v>28</v>
      </c>
      <c r="D272" s="5" cm="1">
        <f t="array" aca="1" ref="D272" ca="1">OFFSET(INDIRECT("'["&amp;$H272&amp;"]"&amp;$I272&amp;"'!"&amp;$J272),$L272,$M272)*$K272</f>
        <v>7.8000000000000009E-4</v>
      </c>
      <c r="F272" s="4">
        <f t="shared" si="19"/>
        <v>4</v>
      </c>
      <c r="G272" s="4" cm="1">
        <f t="array" ref="G272">IF($C272&gt;=25,F272,IF($C272&lt;16,INDEX(Sheet1!C:C,$F272),$F272))</f>
        <v>4</v>
      </c>
      <c r="H272" s="4" t="str" cm="1">
        <f t="array" ref="H272">INDEX(Sheet1!D:D,$G272)</f>
        <v>2001-cso-preferred-class-structure-mortality-tables.xls</v>
      </c>
      <c r="I272" s="4" t="str" cm="1">
        <f t="array" ref="I272">INDEX(Sheet1!E:E,$G272)</f>
        <v>A.1.a.ii</v>
      </c>
      <c r="J272" s="4" t="str" cm="1">
        <f t="array" ref="J272">IF($C272&gt;=25,INDEX(Sheet1!G:G,$G272),INDEX(Sheet1!F:F,$G272))</f>
        <v>AA8</v>
      </c>
      <c r="K272" s="4" cm="1">
        <f t="array" ref="K272">INDEX(Sheet1!H:H,$G272)</f>
        <v>1E-3</v>
      </c>
      <c r="L272" s="4">
        <f t="shared" si="16"/>
        <v>3</v>
      </c>
      <c r="M272" s="4">
        <f t="shared" si="17"/>
        <v>0</v>
      </c>
    </row>
    <row r="273" spans="1:13">
      <c r="A273" s="4" t="str" cm="1">
        <f t="array" ref="A273">INDEX(Sheet1!A:A,$F273)</f>
        <v>M</v>
      </c>
      <c r="B273" s="4" t="str" cm="1">
        <f t="array" ref="B273">INDEX(Sheet1!B:B,$F273)</f>
        <v>Pref Resid NS</v>
      </c>
      <c r="C273" s="4">
        <f t="shared" si="18"/>
        <v>29</v>
      </c>
      <c r="D273" s="5" cm="1">
        <f t="array" aca="1" ref="D273" ca="1">OFFSET(INDIRECT("'["&amp;$H273&amp;"]"&amp;$I273&amp;"'!"&amp;$J273),$L273,$M273)*$K273</f>
        <v>7.7000000000000007E-4</v>
      </c>
      <c r="F273" s="4">
        <f t="shared" si="19"/>
        <v>4</v>
      </c>
      <c r="G273" s="4" cm="1">
        <f t="array" ref="G273">IF($C273&gt;=25,F273,IF($C273&lt;16,INDEX(Sheet1!C:C,$F273),$F273))</f>
        <v>4</v>
      </c>
      <c r="H273" s="4" t="str" cm="1">
        <f t="array" ref="H273">INDEX(Sheet1!D:D,$G273)</f>
        <v>2001-cso-preferred-class-structure-mortality-tables.xls</v>
      </c>
      <c r="I273" s="4" t="str" cm="1">
        <f t="array" ref="I273">INDEX(Sheet1!E:E,$G273)</f>
        <v>A.1.a.ii</v>
      </c>
      <c r="J273" s="4" t="str" cm="1">
        <f t="array" ref="J273">IF($C273&gt;=25,INDEX(Sheet1!G:G,$G273),INDEX(Sheet1!F:F,$G273))</f>
        <v>AA8</v>
      </c>
      <c r="K273" s="4" cm="1">
        <f t="array" ref="K273">INDEX(Sheet1!H:H,$G273)</f>
        <v>1E-3</v>
      </c>
      <c r="L273" s="4">
        <f t="shared" si="16"/>
        <v>4</v>
      </c>
      <c r="M273" s="4">
        <f t="shared" si="17"/>
        <v>0</v>
      </c>
    </row>
    <row r="274" spans="1:13">
      <c r="A274" s="4" t="str" cm="1">
        <f t="array" ref="A274">INDEX(Sheet1!A:A,$F274)</f>
        <v>M</v>
      </c>
      <c r="B274" s="4" t="str" cm="1">
        <f t="array" ref="B274">INDEX(Sheet1!B:B,$F274)</f>
        <v>Pref Resid NS</v>
      </c>
      <c r="C274" s="4">
        <f t="shared" si="18"/>
        <v>30</v>
      </c>
      <c r="D274" s="5" cm="1">
        <f t="array" aca="1" ref="D274" ca="1">OFFSET(INDIRECT("'["&amp;$H274&amp;"]"&amp;$I274&amp;"'!"&amp;$J274),$L274,$M274)*$K274</f>
        <v>7.6000000000000004E-4</v>
      </c>
      <c r="F274" s="4">
        <f t="shared" si="19"/>
        <v>4</v>
      </c>
      <c r="G274" s="4" cm="1">
        <f t="array" ref="G274">IF($C274&gt;=25,F274,IF($C274&lt;16,INDEX(Sheet1!C:C,$F274),$F274))</f>
        <v>4</v>
      </c>
      <c r="H274" s="4" t="str" cm="1">
        <f t="array" ref="H274">INDEX(Sheet1!D:D,$G274)</f>
        <v>2001-cso-preferred-class-structure-mortality-tables.xls</v>
      </c>
      <c r="I274" s="4" t="str" cm="1">
        <f t="array" ref="I274">INDEX(Sheet1!E:E,$G274)</f>
        <v>A.1.a.ii</v>
      </c>
      <c r="J274" s="4" t="str" cm="1">
        <f t="array" ref="J274">IF($C274&gt;=25,INDEX(Sheet1!G:G,$G274),INDEX(Sheet1!F:F,$G274))</f>
        <v>AA8</v>
      </c>
      <c r="K274" s="4" cm="1">
        <f t="array" ref="K274">INDEX(Sheet1!H:H,$G274)</f>
        <v>1E-3</v>
      </c>
      <c r="L274" s="4">
        <f t="shared" si="16"/>
        <v>5</v>
      </c>
      <c r="M274" s="4">
        <f t="shared" si="17"/>
        <v>0</v>
      </c>
    </row>
    <row r="275" spans="1:13">
      <c r="A275" s="4" t="str" cm="1">
        <f t="array" ref="A275">INDEX(Sheet1!A:A,$F275)</f>
        <v>M</v>
      </c>
      <c r="B275" s="4" t="str" cm="1">
        <f t="array" ref="B275">INDEX(Sheet1!B:B,$F275)</f>
        <v>Pref Resid NS</v>
      </c>
      <c r="C275" s="4">
        <f t="shared" si="18"/>
        <v>31</v>
      </c>
      <c r="D275" s="5" cm="1">
        <f t="array" aca="1" ref="D275" ca="1">OFFSET(INDIRECT("'["&amp;$H275&amp;"]"&amp;$I275&amp;"'!"&amp;$J275),$L275,$M275)*$K275</f>
        <v>7.6000000000000004E-4</v>
      </c>
      <c r="F275" s="4">
        <f t="shared" si="19"/>
        <v>4</v>
      </c>
      <c r="G275" s="4" cm="1">
        <f t="array" ref="G275">IF($C275&gt;=25,F275,IF($C275&lt;16,INDEX(Sheet1!C:C,$F275),$F275))</f>
        <v>4</v>
      </c>
      <c r="H275" s="4" t="str" cm="1">
        <f t="array" ref="H275">INDEX(Sheet1!D:D,$G275)</f>
        <v>2001-cso-preferred-class-structure-mortality-tables.xls</v>
      </c>
      <c r="I275" s="4" t="str" cm="1">
        <f t="array" ref="I275">INDEX(Sheet1!E:E,$G275)</f>
        <v>A.1.a.ii</v>
      </c>
      <c r="J275" s="4" t="str" cm="1">
        <f t="array" ref="J275">IF($C275&gt;=25,INDEX(Sheet1!G:G,$G275),INDEX(Sheet1!F:F,$G275))</f>
        <v>AA8</v>
      </c>
      <c r="K275" s="4" cm="1">
        <f t="array" ref="K275">INDEX(Sheet1!H:H,$G275)</f>
        <v>1E-3</v>
      </c>
      <c r="L275" s="4">
        <f t="shared" si="16"/>
        <v>6</v>
      </c>
      <c r="M275" s="4">
        <f t="shared" si="17"/>
        <v>0</v>
      </c>
    </row>
    <row r="276" spans="1:13">
      <c r="A276" s="4" t="str" cm="1">
        <f t="array" ref="A276">INDEX(Sheet1!A:A,$F276)</f>
        <v>M</v>
      </c>
      <c r="B276" s="4" t="str" cm="1">
        <f t="array" ref="B276">INDEX(Sheet1!B:B,$F276)</f>
        <v>Pref Resid NS</v>
      </c>
      <c r="C276" s="4">
        <f t="shared" si="18"/>
        <v>32</v>
      </c>
      <c r="D276" s="5" cm="1">
        <f t="array" aca="1" ref="D276" ca="1">OFFSET(INDIRECT("'["&amp;$H276&amp;"]"&amp;$I276&amp;"'!"&amp;$J276),$L276,$M276)*$K276</f>
        <v>7.6000000000000004E-4</v>
      </c>
      <c r="F276" s="4">
        <f t="shared" si="19"/>
        <v>4</v>
      </c>
      <c r="G276" s="4" cm="1">
        <f t="array" ref="G276">IF($C276&gt;=25,F276,IF($C276&lt;16,INDEX(Sheet1!C:C,$F276),$F276))</f>
        <v>4</v>
      </c>
      <c r="H276" s="4" t="str" cm="1">
        <f t="array" ref="H276">INDEX(Sheet1!D:D,$G276)</f>
        <v>2001-cso-preferred-class-structure-mortality-tables.xls</v>
      </c>
      <c r="I276" s="4" t="str" cm="1">
        <f t="array" ref="I276">INDEX(Sheet1!E:E,$G276)</f>
        <v>A.1.a.ii</v>
      </c>
      <c r="J276" s="4" t="str" cm="1">
        <f t="array" ref="J276">IF($C276&gt;=25,INDEX(Sheet1!G:G,$G276),INDEX(Sheet1!F:F,$G276))</f>
        <v>AA8</v>
      </c>
      <c r="K276" s="4" cm="1">
        <f t="array" ref="K276">INDEX(Sheet1!H:H,$G276)</f>
        <v>1E-3</v>
      </c>
      <c r="L276" s="4">
        <f t="shared" si="16"/>
        <v>7</v>
      </c>
      <c r="M276" s="4">
        <f t="shared" si="17"/>
        <v>0</v>
      </c>
    </row>
    <row r="277" spans="1:13">
      <c r="A277" s="4" t="str" cm="1">
        <f t="array" ref="A277">INDEX(Sheet1!A:A,$F277)</f>
        <v>M</v>
      </c>
      <c r="B277" s="4" t="str" cm="1">
        <f t="array" ref="B277">INDEX(Sheet1!B:B,$F277)</f>
        <v>Pref Resid NS</v>
      </c>
      <c r="C277" s="4">
        <f t="shared" si="18"/>
        <v>33</v>
      </c>
      <c r="D277" s="5" cm="1">
        <f t="array" aca="1" ref="D277" ca="1">OFFSET(INDIRECT("'["&amp;$H277&amp;"]"&amp;$I277&amp;"'!"&amp;$J277),$L277,$M277)*$K277</f>
        <v>7.8000000000000009E-4</v>
      </c>
      <c r="F277" s="4">
        <f t="shared" si="19"/>
        <v>4</v>
      </c>
      <c r="G277" s="4" cm="1">
        <f t="array" ref="G277">IF($C277&gt;=25,F277,IF($C277&lt;16,INDEX(Sheet1!C:C,$F277),$F277))</f>
        <v>4</v>
      </c>
      <c r="H277" s="4" t="str" cm="1">
        <f t="array" ref="H277">INDEX(Sheet1!D:D,$G277)</f>
        <v>2001-cso-preferred-class-structure-mortality-tables.xls</v>
      </c>
      <c r="I277" s="4" t="str" cm="1">
        <f t="array" ref="I277">INDEX(Sheet1!E:E,$G277)</f>
        <v>A.1.a.ii</v>
      </c>
      <c r="J277" s="4" t="str" cm="1">
        <f t="array" ref="J277">IF($C277&gt;=25,INDEX(Sheet1!G:G,$G277),INDEX(Sheet1!F:F,$G277))</f>
        <v>AA8</v>
      </c>
      <c r="K277" s="4" cm="1">
        <f t="array" ref="K277">INDEX(Sheet1!H:H,$G277)</f>
        <v>1E-3</v>
      </c>
      <c r="L277" s="4">
        <f t="shared" si="16"/>
        <v>8</v>
      </c>
      <c r="M277" s="4">
        <f t="shared" si="17"/>
        <v>0</v>
      </c>
    </row>
    <row r="278" spans="1:13">
      <c r="A278" s="4" t="str" cm="1">
        <f t="array" ref="A278">INDEX(Sheet1!A:A,$F278)</f>
        <v>M</v>
      </c>
      <c r="B278" s="4" t="str" cm="1">
        <f t="array" ref="B278">INDEX(Sheet1!B:B,$F278)</f>
        <v>Pref Resid NS</v>
      </c>
      <c r="C278" s="4">
        <f t="shared" si="18"/>
        <v>34</v>
      </c>
      <c r="D278" s="5" cm="1">
        <f t="array" aca="1" ref="D278" ca="1">OFFSET(INDIRECT("'["&amp;$H278&amp;"]"&amp;$I278&amp;"'!"&amp;$J278),$L278,$M278)*$K278</f>
        <v>8.0000000000000004E-4</v>
      </c>
      <c r="F278" s="4">
        <f t="shared" si="19"/>
        <v>4</v>
      </c>
      <c r="G278" s="4" cm="1">
        <f t="array" ref="G278">IF($C278&gt;=25,F278,IF($C278&lt;16,INDEX(Sheet1!C:C,$F278),$F278))</f>
        <v>4</v>
      </c>
      <c r="H278" s="4" t="str" cm="1">
        <f t="array" ref="H278">INDEX(Sheet1!D:D,$G278)</f>
        <v>2001-cso-preferred-class-structure-mortality-tables.xls</v>
      </c>
      <c r="I278" s="4" t="str" cm="1">
        <f t="array" ref="I278">INDEX(Sheet1!E:E,$G278)</f>
        <v>A.1.a.ii</v>
      </c>
      <c r="J278" s="4" t="str" cm="1">
        <f t="array" ref="J278">IF($C278&gt;=25,INDEX(Sheet1!G:G,$G278),INDEX(Sheet1!F:F,$G278))</f>
        <v>AA8</v>
      </c>
      <c r="K278" s="4" cm="1">
        <f t="array" ref="K278">INDEX(Sheet1!H:H,$G278)</f>
        <v>1E-3</v>
      </c>
      <c r="L278" s="4">
        <f t="shared" si="16"/>
        <v>9</v>
      </c>
      <c r="M278" s="4">
        <f t="shared" si="17"/>
        <v>0</v>
      </c>
    </row>
    <row r="279" spans="1:13">
      <c r="A279" s="4" t="str" cm="1">
        <f t="array" ref="A279">INDEX(Sheet1!A:A,$F279)</f>
        <v>M</v>
      </c>
      <c r="B279" s="4" t="str" cm="1">
        <f t="array" ref="B279">INDEX(Sheet1!B:B,$F279)</f>
        <v>Pref Resid NS</v>
      </c>
      <c r="C279" s="4">
        <f t="shared" si="18"/>
        <v>35</v>
      </c>
      <c r="D279" s="5" cm="1">
        <f t="array" aca="1" ref="D279" ca="1">OFFSET(INDIRECT("'["&amp;$H279&amp;"]"&amp;$I279&amp;"'!"&amp;$J279),$L279,$M279)*$K279</f>
        <v>8.1999999999999998E-4</v>
      </c>
      <c r="F279" s="4">
        <f t="shared" si="19"/>
        <v>4</v>
      </c>
      <c r="G279" s="4" cm="1">
        <f t="array" ref="G279">IF($C279&gt;=25,F279,IF($C279&lt;16,INDEX(Sheet1!C:C,$F279),$F279))</f>
        <v>4</v>
      </c>
      <c r="H279" s="4" t="str" cm="1">
        <f t="array" ref="H279">INDEX(Sheet1!D:D,$G279)</f>
        <v>2001-cso-preferred-class-structure-mortality-tables.xls</v>
      </c>
      <c r="I279" s="4" t="str" cm="1">
        <f t="array" ref="I279">INDEX(Sheet1!E:E,$G279)</f>
        <v>A.1.a.ii</v>
      </c>
      <c r="J279" s="4" t="str" cm="1">
        <f t="array" ref="J279">IF($C279&gt;=25,INDEX(Sheet1!G:G,$G279),INDEX(Sheet1!F:F,$G279))</f>
        <v>AA8</v>
      </c>
      <c r="K279" s="4" cm="1">
        <f t="array" ref="K279">INDEX(Sheet1!H:H,$G279)</f>
        <v>1E-3</v>
      </c>
      <c r="L279" s="4">
        <f t="shared" si="16"/>
        <v>10</v>
      </c>
      <c r="M279" s="4">
        <f t="shared" si="17"/>
        <v>0</v>
      </c>
    </row>
    <row r="280" spans="1:13">
      <c r="A280" s="4" t="str" cm="1">
        <f t="array" ref="A280">INDEX(Sheet1!A:A,$F280)</f>
        <v>M</v>
      </c>
      <c r="B280" s="4" t="str" cm="1">
        <f t="array" ref="B280">INDEX(Sheet1!B:B,$F280)</f>
        <v>Pref Resid NS</v>
      </c>
      <c r="C280" s="4">
        <f t="shared" si="18"/>
        <v>36</v>
      </c>
      <c r="D280" s="5" cm="1">
        <f t="array" aca="1" ref="D280" ca="1">OFFSET(INDIRECT("'["&amp;$H280&amp;"]"&amp;$I280&amp;"'!"&amp;$J280),$L280,$M280)*$K280</f>
        <v>8.7000000000000001E-4</v>
      </c>
      <c r="F280" s="4">
        <f t="shared" si="19"/>
        <v>4</v>
      </c>
      <c r="G280" s="4" cm="1">
        <f t="array" ref="G280">IF($C280&gt;=25,F280,IF($C280&lt;16,INDEX(Sheet1!C:C,$F280),$F280))</f>
        <v>4</v>
      </c>
      <c r="H280" s="4" t="str" cm="1">
        <f t="array" ref="H280">INDEX(Sheet1!D:D,$G280)</f>
        <v>2001-cso-preferred-class-structure-mortality-tables.xls</v>
      </c>
      <c r="I280" s="4" t="str" cm="1">
        <f t="array" ref="I280">INDEX(Sheet1!E:E,$G280)</f>
        <v>A.1.a.ii</v>
      </c>
      <c r="J280" s="4" t="str" cm="1">
        <f t="array" ref="J280">IF($C280&gt;=25,INDEX(Sheet1!G:G,$G280),INDEX(Sheet1!F:F,$G280))</f>
        <v>AA8</v>
      </c>
      <c r="K280" s="4" cm="1">
        <f t="array" ref="K280">INDEX(Sheet1!H:H,$G280)</f>
        <v>1E-3</v>
      </c>
      <c r="L280" s="4">
        <f t="shared" si="16"/>
        <v>11</v>
      </c>
      <c r="M280" s="4">
        <f t="shared" si="17"/>
        <v>0</v>
      </c>
    </row>
    <row r="281" spans="1:13">
      <c r="A281" s="4" t="str" cm="1">
        <f t="array" ref="A281">INDEX(Sheet1!A:A,$F281)</f>
        <v>M</v>
      </c>
      <c r="B281" s="4" t="str" cm="1">
        <f t="array" ref="B281">INDEX(Sheet1!B:B,$F281)</f>
        <v>Pref Resid NS</v>
      </c>
      <c r="C281" s="4">
        <f t="shared" si="18"/>
        <v>37</v>
      </c>
      <c r="D281" s="5" cm="1">
        <f t="array" aca="1" ref="D281" ca="1">OFFSET(INDIRECT("'["&amp;$H281&amp;"]"&amp;$I281&amp;"'!"&amp;$J281),$L281,$M281)*$K281</f>
        <v>9.1E-4</v>
      </c>
      <c r="F281" s="4">
        <f t="shared" si="19"/>
        <v>4</v>
      </c>
      <c r="G281" s="4" cm="1">
        <f t="array" ref="G281">IF($C281&gt;=25,F281,IF($C281&lt;16,INDEX(Sheet1!C:C,$F281),$F281))</f>
        <v>4</v>
      </c>
      <c r="H281" s="4" t="str" cm="1">
        <f t="array" ref="H281">INDEX(Sheet1!D:D,$G281)</f>
        <v>2001-cso-preferred-class-structure-mortality-tables.xls</v>
      </c>
      <c r="I281" s="4" t="str" cm="1">
        <f t="array" ref="I281">INDEX(Sheet1!E:E,$G281)</f>
        <v>A.1.a.ii</v>
      </c>
      <c r="J281" s="4" t="str" cm="1">
        <f t="array" ref="J281">IF($C281&gt;=25,INDEX(Sheet1!G:G,$G281),INDEX(Sheet1!F:F,$G281))</f>
        <v>AA8</v>
      </c>
      <c r="K281" s="4" cm="1">
        <f t="array" ref="K281">INDEX(Sheet1!H:H,$G281)</f>
        <v>1E-3</v>
      </c>
      <c r="L281" s="4">
        <f t="shared" si="16"/>
        <v>12</v>
      </c>
      <c r="M281" s="4">
        <f t="shared" si="17"/>
        <v>0</v>
      </c>
    </row>
    <row r="282" spans="1:13">
      <c r="A282" s="4" t="str" cm="1">
        <f t="array" ref="A282">INDEX(Sheet1!A:A,$F282)</f>
        <v>M</v>
      </c>
      <c r="B282" s="4" t="str" cm="1">
        <f t="array" ref="B282">INDEX(Sheet1!B:B,$F282)</f>
        <v>Pref Resid NS</v>
      </c>
      <c r="C282" s="4">
        <f t="shared" si="18"/>
        <v>38</v>
      </c>
      <c r="D282" s="5" cm="1">
        <f t="array" aca="1" ref="D282" ca="1">OFFSET(INDIRECT("'["&amp;$H282&amp;"]"&amp;$I282&amp;"'!"&amp;$J282),$L282,$M282)*$K282</f>
        <v>9.6999999999999994E-4</v>
      </c>
      <c r="F282" s="4">
        <f t="shared" si="19"/>
        <v>4</v>
      </c>
      <c r="G282" s="4" cm="1">
        <f t="array" ref="G282">IF($C282&gt;=25,F282,IF($C282&lt;16,INDEX(Sheet1!C:C,$F282),$F282))</f>
        <v>4</v>
      </c>
      <c r="H282" s="4" t="str" cm="1">
        <f t="array" ref="H282">INDEX(Sheet1!D:D,$G282)</f>
        <v>2001-cso-preferred-class-structure-mortality-tables.xls</v>
      </c>
      <c r="I282" s="4" t="str" cm="1">
        <f t="array" ref="I282">INDEX(Sheet1!E:E,$G282)</f>
        <v>A.1.a.ii</v>
      </c>
      <c r="J282" s="4" t="str" cm="1">
        <f t="array" ref="J282">IF($C282&gt;=25,INDEX(Sheet1!G:G,$G282),INDEX(Sheet1!F:F,$G282))</f>
        <v>AA8</v>
      </c>
      <c r="K282" s="4" cm="1">
        <f t="array" ref="K282">INDEX(Sheet1!H:H,$G282)</f>
        <v>1E-3</v>
      </c>
      <c r="L282" s="4">
        <f t="shared" si="16"/>
        <v>13</v>
      </c>
      <c r="M282" s="4">
        <f t="shared" si="17"/>
        <v>0</v>
      </c>
    </row>
    <row r="283" spans="1:13">
      <c r="A283" s="4" t="str" cm="1">
        <f t="array" ref="A283">INDEX(Sheet1!A:A,$F283)</f>
        <v>M</v>
      </c>
      <c r="B283" s="4" t="str" cm="1">
        <f t="array" ref="B283">INDEX(Sheet1!B:B,$F283)</f>
        <v>Pref Resid NS</v>
      </c>
      <c r="C283" s="4">
        <f t="shared" si="18"/>
        <v>39</v>
      </c>
      <c r="D283" s="5" cm="1">
        <f t="array" aca="1" ref="D283" ca="1">OFFSET(INDIRECT("'["&amp;$H283&amp;"]"&amp;$I283&amp;"'!"&amp;$J283),$L283,$M283)*$K283</f>
        <v>1.0300000000000001E-3</v>
      </c>
      <c r="F283" s="4">
        <f t="shared" si="19"/>
        <v>4</v>
      </c>
      <c r="G283" s="4" cm="1">
        <f t="array" ref="G283">IF($C283&gt;=25,F283,IF($C283&lt;16,INDEX(Sheet1!C:C,$F283),$F283))</f>
        <v>4</v>
      </c>
      <c r="H283" s="4" t="str" cm="1">
        <f t="array" ref="H283">INDEX(Sheet1!D:D,$G283)</f>
        <v>2001-cso-preferred-class-structure-mortality-tables.xls</v>
      </c>
      <c r="I283" s="4" t="str" cm="1">
        <f t="array" ref="I283">INDEX(Sheet1!E:E,$G283)</f>
        <v>A.1.a.ii</v>
      </c>
      <c r="J283" s="4" t="str" cm="1">
        <f t="array" ref="J283">IF($C283&gt;=25,INDEX(Sheet1!G:G,$G283),INDEX(Sheet1!F:F,$G283))</f>
        <v>AA8</v>
      </c>
      <c r="K283" s="4" cm="1">
        <f t="array" ref="K283">INDEX(Sheet1!H:H,$G283)</f>
        <v>1E-3</v>
      </c>
      <c r="L283" s="4">
        <f t="shared" si="16"/>
        <v>14</v>
      </c>
      <c r="M283" s="4">
        <f t="shared" si="17"/>
        <v>0</v>
      </c>
    </row>
    <row r="284" spans="1:13">
      <c r="A284" s="4" t="str" cm="1">
        <f t="array" ref="A284">INDEX(Sheet1!A:A,$F284)</f>
        <v>M</v>
      </c>
      <c r="B284" s="4" t="str" cm="1">
        <f t="array" ref="B284">INDEX(Sheet1!B:B,$F284)</f>
        <v>Pref Resid NS</v>
      </c>
      <c r="C284" s="4">
        <f t="shared" si="18"/>
        <v>40</v>
      </c>
      <c r="D284" s="5" cm="1">
        <f t="array" aca="1" ref="D284" ca="1">OFFSET(INDIRECT("'["&amp;$H284&amp;"]"&amp;$I284&amp;"'!"&amp;$J284),$L284,$M284)*$K284</f>
        <v>1.1000000000000001E-3</v>
      </c>
      <c r="F284" s="4">
        <f t="shared" si="19"/>
        <v>4</v>
      </c>
      <c r="G284" s="4" cm="1">
        <f t="array" ref="G284">IF($C284&gt;=25,F284,IF($C284&lt;16,INDEX(Sheet1!C:C,$F284),$F284))</f>
        <v>4</v>
      </c>
      <c r="H284" s="4" t="str" cm="1">
        <f t="array" ref="H284">INDEX(Sheet1!D:D,$G284)</f>
        <v>2001-cso-preferred-class-structure-mortality-tables.xls</v>
      </c>
      <c r="I284" s="4" t="str" cm="1">
        <f t="array" ref="I284">INDEX(Sheet1!E:E,$G284)</f>
        <v>A.1.a.ii</v>
      </c>
      <c r="J284" s="4" t="str" cm="1">
        <f t="array" ref="J284">IF($C284&gt;=25,INDEX(Sheet1!G:G,$G284),INDEX(Sheet1!F:F,$G284))</f>
        <v>AA8</v>
      </c>
      <c r="K284" s="4" cm="1">
        <f t="array" ref="K284">INDEX(Sheet1!H:H,$G284)</f>
        <v>1E-3</v>
      </c>
      <c r="L284" s="4">
        <f t="shared" si="16"/>
        <v>15</v>
      </c>
      <c r="M284" s="4">
        <f t="shared" si="17"/>
        <v>0</v>
      </c>
    </row>
    <row r="285" spans="1:13">
      <c r="A285" s="4" t="str" cm="1">
        <f t="array" ref="A285">INDEX(Sheet1!A:A,$F285)</f>
        <v>M</v>
      </c>
      <c r="B285" s="4" t="str" cm="1">
        <f t="array" ref="B285">INDEX(Sheet1!B:B,$F285)</f>
        <v>Pref Resid NS</v>
      </c>
      <c r="C285" s="4">
        <f t="shared" si="18"/>
        <v>41</v>
      </c>
      <c r="D285" s="5" cm="1">
        <f t="array" aca="1" ref="D285" ca="1">OFFSET(INDIRECT("'["&amp;$H285&amp;"]"&amp;$I285&amp;"'!"&amp;$J285),$L285,$M285)*$K285</f>
        <v>1.1899999999999999E-3</v>
      </c>
      <c r="F285" s="4">
        <f t="shared" si="19"/>
        <v>4</v>
      </c>
      <c r="G285" s="4" cm="1">
        <f t="array" ref="G285">IF($C285&gt;=25,F285,IF($C285&lt;16,INDEX(Sheet1!C:C,$F285),$F285))</f>
        <v>4</v>
      </c>
      <c r="H285" s="4" t="str" cm="1">
        <f t="array" ref="H285">INDEX(Sheet1!D:D,$G285)</f>
        <v>2001-cso-preferred-class-structure-mortality-tables.xls</v>
      </c>
      <c r="I285" s="4" t="str" cm="1">
        <f t="array" ref="I285">INDEX(Sheet1!E:E,$G285)</f>
        <v>A.1.a.ii</v>
      </c>
      <c r="J285" s="4" t="str" cm="1">
        <f t="array" ref="J285">IF($C285&gt;=25,INDEX(Sheet1!G:G,$G285),INDEX(Sheet1!F:F,$G285))</f>
        <v>AA8</v>
      </c>
      <c r="K285" s="4" cm="1">
        <f t="array" ref="K285">INDEX(Sheet1!H:H,$G285)</f>
        <v>1E-3</v>
      </c>
      <c r="L285" s="4">
        <f t="shared" si="16"/>
        <v>16</v>
      </c>
      <c r="M285" s="4">
        <f t="shared" si="17"/>
        <v>0</v>
      </c>
    </row>
    <row r="286" spans="1:13">
      <c r="A286" s="4" t="str" cm="1">
        <f t="array" ref="A286">INDEX(Sheet1!A:A,$F286)</f>
        <v>M</v>
      </c>
      <c r="B286" s="4" t="str" cm="1">
        <f t="array" ref="B286">INDEX(Sheet1!B:B,$F286)</f>
        <v>Pref Resid NS</v>
      </c>
      <c r="C286" s="4">
        <f t="shared" si="18"/>
        <v>42</v>
      </c>
      <c r="D286" s="5" cm="1">
        <f t="array" aca="1" ref="D286" ca="1">OFFSET(INDIRECT("'["&amp;$H286&amp;"]"&amp;$I286&amp;"'!"&amp;$J286),$L286,$M286)*$K286</f>
        <v>1.3000000000000002E-3</v>
      </c>
      <c r="F286" s="4">
        <f t="shared" si="19"/>
        <v>4</v>
      </c>
      <c r="G286" s="4" cm="1">
        <f t="array" ref="G286">IF($C286&gt;=25,F286,IF($C286&lt;16,INDEX(Sheet1!C:C,$F286),$F286))</f>
        <v>4</v>
      </c>
      <c r="H286" s="4" t="str" cm="1">
        <f t="array" ref="H286">INDEX(Sheet1!D:D,$G286)</f>
        <v>2001-cso-preferred-class-structure-mortality-tables.xls</v>
      </c>
      <c r="I286" s="4" t="str" cm="1">
        <f t="array" ref="I286">INDEX(Sheet1!E:E,$G286)</f>
        <v>A.1.a.ii</v>
      </c>
      <c r="J286" s="4" t="str" cm="1">
        <f t="array" ref="J286">IF($C286&gt;=25,INDEX(Sheet1!G:G,$G286),INDEX(Sheet1!F:F,$G286))</f>
        <v>AA8</v>
      </c>
      <c r="K286" s="4" cm="1">
        <f t="array" ref="K286">INDEX(Sheet1!H:H,$G286)</f>
        <v>1E-3</v>
      </c>
      <c r="L286" s="4">
        <f t="shared" si="16"/>
        <v>17</v>
      </c>
      <c r="M286" s="4">
        <f t="shared" si="17"/>
        <v>0</v>
      </c>
    </row>
    <row r="287" spans="1:13">
      <c r="A287" s="4" t="str" cm="1">
        <f t="array" ref="A287">INDEX(Sheet1!A:A,$F287)</f>
        <v>M</v>
      </c>
      <c r="B287" s="4" t="str" cm="1">
        <f t="array" ref="B287">INDEX(Sheet1!B:B,$F287)</f>
        <v>Pref Resid NS</v>
      </c>
      <c r="C287" s="4">
        <f t="shared" si="18"/>
        <v>43</v>
      </c>
      <c r="D287" s="5" cm="1">
        <f t="array" aca="1" ref="D287" ca="1">OFFSET(INDIRECT("'["&amp;$H287&amp;"]"&amp;$I287&amp;"'!"&amp;$J287),$L287,$M287)*$K287</f>
        <v>1.42E-3</v>
      </c>
      <c r="F287" s="4">
        <f t="shared" si="19"/>
        <v>4</v>
      </c>
      <c r="G287" s="4" cm="1">
        <f t="array" ref="G287">IF($C287&gt;=25,F287,IF($C287&lt;16,INDEX(Sheet1!C:C,$F287),$F287))</f>
        <v>4</v>
      </c>
      <c r="H287" s="4" t="str" cm="1">
        <f t="array" ref="H287">INDEX(Sheet1!D:D,$G287)</f>
        <v>2001-cso-preferred-class-structure-mortality-tables.xls</v>
      </c>
      <c r="I287" s="4" t="str" cm="1">
        <f t="array" ref="I287">INDEX(Sheet1!E:E,$G287)</f>
        <v>A.1.a.ii</v>
      </c>
      <c r="J287" s="4" t="str" cm="1">
        <f t="array" ref="J287">IF($C287&gt;=25,INDEX(Sheet1!G:G,$G287),INDEX(Sheet1!F:F,$G287))</f>
        <v>AA8</v>
      </c>
      <c r="K287" s="4" cm="1">
        <f t="array" ref="K287">INDEX(Sheet1!H:H,$G287)</f>
        <v>1E-3</v>
      </c>
      <c r="L287" s="4">
        <f t="shared" si="16"/>
        <v>18</v>
      </c>
      <c r="M287" s="4">
        <f t="shared" si="17"/>
        <v>0</v>
      </c>
    </row>
    <row r="288" spans="1:13">
      <c r="A288" s="4" t="str" cm="1">
        <f t="array" ref="A288">INDEX(Sheet1!A:A,$F288)</f>
        <v>M</v>
      </c>
      <c r="B288" s="4" t="str" cm="1">
        <f t="array" ref="B288">INDEX(Sheet1!B:B,$F288)</f>
        <v>Pref Resid NS</v>
      </c>
      <c r="C288" s="4">
        <f t="shared" si="18"/>
        <v>44</v>
      </c>
      <c r="D288" s="5" cm="1">
        <f t="array" aca="1" ref="D288" ca="1">OFFSET(INDIRECT("'["&amp;$H288&amp;"]"&amp;$I288&amp;"'!"&amp;$J288),$L288,$M288)*$K288</f>
        <v>1.57E-3</v>
      </c>
      <c r="F288" s="4">
        <f t="shared" si="19"/>
        <v>4</v>
      </c>
      <c r="G288" s="4" cm="1">
        <f t="array" ref="G288">IF($C288&gt;=25,F288,IF($C288&lt;16,INDEX(Sheet1!C:C,$F288),$F288))</f>
        <v>4</v>
      </c>
      <c r="H288" s="4" t="str" cm="1">
        <f t="array" ref="H288">INDEX(Sheet1!D:D,$G288)</f>
        <v>2001-cso-preferred-class-structure-mortality-tables.xls</v>
      </c>
      <c r="I288" s="4" t="str" cm="1">
        <f t="array" ref="I288">INDEX(Sheet1!E:E,$G288)</f>
        <v>A.1.a.ii</v>
      </c>
      <c r="J288" s="4" t="str" cm="1">
        <f t="array" ref="J288">IF($C288&gt;=25,INDEX(Sheet1!G:G,$G288),INDEX(Sheet1!F:F,$G288))</f>
        <v>AA8</v>
      </c>
      <c r="K288" s="4" cm="1">
        <f t="array" ref="K288">INDEX(Sheet1!H:H,$G288)</f>
        <v>1E-3</v>
      </c>
      <c r="L288" s="4">
        <f t="shared" si="16"/>
        <v>19</v>
      </c>
      <c r="M288" s="4">
        <f t="shared" si="17"/>
        <v>0</v>
      </c>
    </row>
    <row r="289" spans="1:13">
      <c r="A289" s="4" t="str" cm="1">
        <f t="array" ref="A289">INDEX(Sheet1!A:A,$F289)</f>
        <v>M</v>
      </c>
      <c r="B289" s="4" t="str" cm="1">
        <f t="array" ref="B289">INDEX(Sheet1!B:B,$F289)</f>
        <v>Pref Resid NS</v>
      </c>
      <c r="C289" s="4">
        <f t="shared" si="18"/>
        <v>45</v>
      </c>
      <c r="D289" s="5" cm="1">
        <f t="array" aca="1" ref="D289" ca="1">OFFSET(INDIRECT("'["&amp;$H289&amp;"]"&amp;$I289&amp;"'!"&amp;$J289),$L289,$M289)*$K289</f>
        <v>1.74E-3</v>
      </c>
      <c r="F289" s="4">
        <f t="shared" si="19"/>
        <v>4</v>
      </c>
      <c r="G289" s="4" cm="1">
        <f t="array" ref="G289">IF($C289&gt;=25,F289,IF($C289&lt;16,INDEX(Sheet1!C:C,$F289),$F289))</f>
        <v>4</v>
      </c>
      <c r="H289" s="4" t="str" cm="1">
        <f t="array" ref="H289">INDEX(Sheet1!D:D,$G289)</f>
        <v>2001-cso-preferred-class-structure-mortality-tables.xls</v>
      </c>
      <c r="I289" s="4" t="str" cm="1">
        <f t="array" ref="I289">INDEX(Sheet1!E:E,$G289)</f>
        <v>A.1.a.ii</v>
      </c>
      <c r="J289" s="4" t="str" cm="1">
        <f t="array" ref="J289">IF($C289&gt;=25,INDEX(Sheet1!G:G,$G289),INDEX(Sheet1!F:F,$G289))</f>
        <v>AA8</v>
      </c>
      <c r="K289" s="4" cm="1">
        <f t="array" ref="K289">INDEX(Sheet1!H:H,$G289)</f>
        <v>1E-3</v>
      </c>
      <c r="L289" s="4">
        <f t="shared" si="16"/>
        <v>20</v>
      </c>
      <c r="M289" s="4">
        <f t="shared" si="17"/>
        <v>0</v>
      </c>
    </row>
    <row r="290" spans="1:13">
      <c r="A290" s="4" t="str" cm="1">
        <f t="array" ref="A290">INDEX(Sheet1!A:A,$F290)</f>
        <v>M</v>
      </c>
      <c r="B290" s="4" t="str" cm="1">
        <f t="array" ref="B290">INDEX(Sheet1!B:B,$F290)</f>
        <v>Pref Resid NS</v>
      </c>
      <c r="C290" s="4">
        <f t="shared" si="18"/>
        <v>46</v>
      </c>
      <c r="D290" s="5" cm="1">
        <f t="array" aca="1" ref="D290" ca="1">OFFSET(INDIRECT("'["&amp;$H290&amp;"]"&amp;$I290&amp;"'!"&amp;$J290),$L290,$M290)*$K290</f>
        <v>1.9E-3</v>
      </c>
      <c r="F290" s="4">
        <f t="shared" si="19"/>
        <v>4</v>
      </c>
      <c r="G290" s="4" cm="1">
        <f t="array" ref="G290">IF($C290&gt;=25,F290,IF($C290&lt;16,INDEX(Sheet1!C:C,$F290),$F290))</f>
        <v>4</v>
      </c>
      <c r="H290" s="4" t="str" cm="1">
        <f t="array" ref="H290">INDEX(Sheet1!D:D,$G290)</f>
        <v>2001-cso-preferred-class-structure-mortality-tables.xls</v>
      </c>
      <c r="I290" s="4" t="str" cm="1">
        <f t="array" ref="I290">INDEX(Sheet1!E:E,$G290)</f>
        <v>A.1.a.ii</v>
      </c>
      <c r="J290" s="4" t="str" cm="1">
        <f t="array" ref="J290">IF($C290&gt;=25,INDEX(Sheet1!G:G,$G290),INDEX(Sheet1!F:F,$G290))</f>
        <v>AA8</v>
      </c>
      <c r="K290" s="4" cm="1">
        <f t="array" ref="K290">INDEX(Sheet1!H:H,$G290)</f>
        <v>1E-3</v>
      </c>
      <c r="L290" s="4">
        <f t="shared" si="16"/>
        <v>21</v>
      </c>
      <c r="M290" s="4">
        <f t="shared" si="17"/>
        <v>0</v>
      </c>
    </row>
    <row r="291" spans="1:13">
      <c r="A291" s="4" t="str" cm="1">
        <f t="array" ref="A291">INDEX(Sheet1!A:A,$F291)</f>
        <v>M</v>
      </c>
      <c r="B291" s="4" t="str" cm="1">
        <f t="array" ref="B291">INDEX(Sheet1!B:B,$F291)</f>
        <v>Pref Resid NS</v>
      </c>
      <c r="C291" s="4">
        <f t="shared" si="18"/>
        <v>47</v>
      </c>
      <c r="D291" s="5" cm="1">
        <f t="array" aca="1" ref="D291" ca="1">OFFSET(INDIRECT("'["&amp;$H291&amp;"]"&amp;$I291&amp;"'!"&amp;$J291),$L291,$M291)*$K291</f>
        <v>2.0699999999999998E-3</v>
      </c>
      <c r="F291" s="4">
        <f t="shared" si="19"/>
        <v>4</v>
      </c>
      <c r="G291" s="4" cm="1">
        <f t="array" ref="G291">IF($C291&gt;=25,F291,IF($C291&lt;16,INDEX(Sheet1!C:C,$F291),$F291))</f>
        <v>4</v>
      </c>
      <c r="H291" s="4" t="str" cm="1">
        <f t="array" ref="H291">INDEX(Sheet1!D:D,$G291)</f>
        <v>2001-cso-preferred-class-structure-mortality-tables.xls</v>
      </c>
      <c r="I291" s="4" t="str" cm="1">
        <f t="array" ref="I291">INDEX(Sheet1!E:E,$G291)</f>
        <v>A.1.a.ii</v>
      </c>
      <c r="J291" s="4" t="str" cm="1">
        <f t="array" ref="J291">IF($C291&gt;=25,INDEX(Sheet1!G:G,$G291),INDEX(Sheet1!F:F,$G291))</f>
        <v>AA8</v>
      </c>
      <c r="K291" s="4" cm="1">
        <f t="array" ref="K291">INDEX(Sheet1!H:H,$G291)</f>
        <v>1E-3</v>
      </c>
      <c r="L291" s="4">
        <f t="shared" si="16"/>
        <v>22</v>
      </c>
      <c r="M291" s="4">
        <f t="shared" si="17"/>
        <v>0</v>
      </c>
    </row>
    <row r="292" spans="1:13">
      <c r="A292" s="4" t="str" cm="1">
        <f t="array" ref="A292">INDEX(Sheet1!A:A,$F292)</f>
        <v>M</v>
      </c>
      <c r="B292" s="4" t="str" cm="1">
        <f t="array" ref="B292">INDEX(Sheet1!B:B,$F292)</f>
        <v>Pref Resid NS</v>
      </c>
      <c r="C292" s="4">
        <f t="shared" si="18"/>
        <v>48</v>
      </c>
      <c r="D292" s="5" cm="1">
        <f t="array" aca="1" ref="D292" ca="1">OFFSET(INDIRECT("'["&amp;$H292&amp;"]"&amp;$I292&amp;"'!"&amp;$J292),$L292,$M292)*$K292</f>
        <v>2.1800000000000001E-3</v>
      </c>
      <c r="F292" s="4">
        <f t="shared" si="19"/>
        <v>4</v>
      </c>
      <c r="G292" s="4" cm="1">
        <f t="array" ref="G292">IF($C292&gt;=25,F292,IF($C292&lt;16,INDEX(Sheet1!C:C,$F292),$F292))</f>
        <v>4</v>
      </c>
      <c r="H292" s="4" t="str" cm="1">
        <f t="array" ref="H292">INDEX(Sheet1!D:D,$G292)</f>
        <v>2001-cso-preferred-class-structure-mortality-tables.xls</v>
      </c>
      <c r="I292" s="4" t="str" cm="1">
        <f t="array" ref="I292">INDEX(Sheet1!E:E,$G292)</f>
        <v>A.1.a.ii</v>
      </c>
      <c r="J292" s="4" t="str" cm="1">
        <f t="array" ref="J292">IF($C292&gt;=25,INDEX(Sheet1!G:G,$G292),INDEX(Sheet1!F:F,$G292))</f>
        <v>AA8</v>
      </c>
      <c r="K292" s="4" cm="1">
        <f t="array" ref="K292">INDEX(Sheet1!H:H,$G292)</f>
        <v>1E-3</v>
      </c>
      <c r="L292" s="4">
        <f t="shared" si="16"/>
        <v>23</v>
      </c>
      <c r="M292" s="4">
        <f t="shared" si="17"/>
        <v>0</v>
      </c>
    </row>
    <row r="293" spans="1:13">
      <c r="A293" s="4" t="str" cm="1">
        <f t="array" ref="A293">INDEX(Sheet1!A:A,$F293)</f>
        <v>M</v>
      </c>
      <c r="B293" s="4" t="str" cm="1">
        <f t="array" ref="B293">INDEX(Sheet1!B:B,$F293)</f>
        <v>Pref Resid NS</v>
      </c>
      <c r="C293" s="4">
        <f t="shared" si="18"/>
        <v>49</v>
      </c>
      <c r="D293" s="5" cm="1">
        <f t="array" aca="1" ref="D293" ca="1">OFFSET(INDIRECT("'["&amp;$H293&amp;"]"&amp;$I293&amp;"'!"&amp;$J293),$L293,$M293)*$K293</f>
        <v>2.33E-3</v>
      </c>
      <c r="F293" s="4">
        <f t="shared" si="19"/>
        <v>4</v>
      </c>
      <c r="G293" s="4" cm="1">
        <f t="array" ref="G293">IF($C293&gt;=25,F293,IF($C293&lt;16,INDEX(Sheet1!C:C,$F293),$F293))</f>
        <v>4</v>
      </c>
      <c r="H293" s="4" t="str" cm="1">
        <f t="array" ref="H293">INDEX(Sheet1!D:D,$G293)</f>
        <v>2001-cso-preferred-class-structure-mortality-tables.xls</v>
      </c>
      <c r="I293" s="4" t="str" cm="1">
        <f t="array" ref="I293">INDEX(Sheet1!E:E,$G293)</f>
        <v>A.1.a.ii</v>
      </c>
      <c r="J293" s="4" t="str" cm="1">
        <f t="array" ref="J293">IF($C293&gt;=25,INDEX(Sheet1!G:G,$G293),INDEX(Sheet1!F:F,$G293))</f>
        <v>AA8</v>
      </c>
      <c r="K293" s="4" cm="1">
        <f t="array" ref="K293">INDEX(Sheet1!H:H,$G293)</f>
        <v>1E-3</v>
      </c>
      <c r="L293" s="4">
        <f t="shared" si="16"/>
        <v>24</v>
      </c>
      <c r="M293" s="4">
        <f t="shared" si="17"/>
        <v>0</v>
      </c>
    </row>
    <row r="294" spans="1:13">
      <c r="A294" s="4" t="str" cm="1">
        <f t="array" ref="A294">INDEX(Sheet1!A:A,$F294)</f>
        <v>M</v>
      </c>
      <c r="B294" s="4" t="str" cm="1">
        <f t="array" ref="B294">INDEX(Sheet1!B:B,$F294)</f>
        <v>Pref Resid NS</v>
      </c>
      <c r="C294" s="4">
        <f t="shared" si="18"/>
        <v>50</v>
      </c>
      <c r="D294" s="5" cm="1">
        <f t="array" aca="1" ref="D294" ca="1">OFFSET(INDIRECT("'["&amp;$H294&amp;"]"&amp;$I294&amp;"'!"&amp;$J294),$L294,$M294)*$K294</f>
        <v>2.5099999999999996E-3</v>
      </c>
      <c r="F294" s="4">
        <f t="shared" si="19"/>
        <v>4</v>
      </c>
      <c r="G294" s="4" cm="1">
        <f t="array" ref="G294">IF($C294&gt;=25,F294,IF($C294&lt;16,INDEX(Sheet1!C:C,$F294),$F294))</f>
        <v>4</v>
      </c>
      <c r="H294" s="4" t="str" cm="1">
        <f t="array" ref="H294">INDEX(Sheet1!D:D,$G294)</f>
        <v>2001-cso-preferred-class-structure-mortality-tables.xls</v>
      </c>
      <c r="I294" s="4" t="str" cm="1">
        <f t="array" ref="I294">INDEX(Sheet1!E:E,$G294)</f>
        <v>A.1.a.ii</v>
      </c>
      <c r="J294" s="4" t="str" cm="1">
        <f t="array" ref="J294">IF($C294&gt;=25,INDEX(Sheet1!G:G,$G294),INDEX(Sheet1!F:F,$G294))</f>
        <v>AA8</v>
      </c>
      <c r="K294" s="4" cm="1">
        <f t="array" ref="K294">INDEX(Sheet1!H:H,$G294)</f>
        <v>1E-3</v>
      </c>
      <c r="L294" s="4">
        <f t="shared" si="16"/>
        <v>25</v>
      </c>
      <c r="M294" s="4">
        <f t="shared" si="17"/>
        <v>0</v>
      </c>
    </row>
    <row r="295" spans="1:13">
      <c r="A295" s="4" t="str" cm="1">
        <f t="array" ref="A295">INDEX(Sheet1!A:A,$F295)</f>
        <v>M</v>
      </c>
      <c r="B295" s="4" t="str" cm="1">
        <f t="array" ref="B295">INDEX(Sheet1!B:B,$F295)</f>
        <v>Pref Resid NS</v>
      </c>
      <c r="C295" s="4">
        <f t="shared" si="18"/>
        <v>51</v>
      </c>
      <c r="D295" s="5" cm="1">
        <f t="array" aca="1" ref="D295" ca="1">OFFSET(INDIRECT("'["&amp;$H295&amp;"]"&amp;$I295&amp;"'!"&amp;$J295),$L295,$M295)*$K295</f>
        <v>2.7300000000000002E-3</v>
      </c>
      <c r="F295" s="4">
        <f t="shared" si="19"/>
        <v>4</v>
      </c>
      <c r="G295" s="4" cm="1">
        <f t="array" ref="G295">IF($C295&gt;=25,F295,IF($C295&lt;16,INDEX(Sheet1!C:C,$F295),$F295))</f>
        <v>4</v>
      </c>
      <c r="H295" s="4" t="str" cm="1">
        <f t="array" ref="H295">INDEX(Sheet1!D:D,$G295)</f>
        <v>2001-cso-preferred-class-structure-mortality-tables.xls</v>
      </c>
      <c r="I295" s="4" t="str" cm="1">
        <f t="array" ref="I295">INDEX(Sheet1!E:E,$G295)</f>
        <v>A.1.a.ii</v>
      </c>
      <c r="J295" s="4" t="str" cm="1">
        <f t="array" ref="J295">IF($C295&gt;=25,INDEX(Sheet1!G:G,$G295),INDEX(Sheet1!F:F,$G295))</f>
        <v>AA8</v>
      </c>
      <c r="K295" s="4" cm="1">
        <f t="array" ref="K295">INDEX(Sheet1!H:H,$G295)</f>
        <v>1E-3</v>
      </c>
      <c r="L295" s="4">
        <f t="shared" si="16"/>
        <v>26</v>
      </c>
      <c r="M295" s="4">
        <f t="shared" si="17"/>
        <v>0</v>
      </c>
    </row>
    <row r="296" spans="1:13">
      <c r="A296" s="4" t="str" cm="1">
        <f t="array" ref="A296">INDEX(Sheet1!A:A,$F296)</f>
        <v>M</v>
      </c>
      <c r="B296" s="4" t="str" cm="1">
        <f t="array" ref="B296">INDEX(Sheet1!B:B,$F296)</f>
        <v>Pref Resid NS</v>
      </c>
      <c r="C296" s="4">
        <f t="shared" si="18"/>
        <v>52</v>
      </c>
      <c r="D296" s="5" cm="1">
        <f t="array" aca="1" ref="D296" ca="1">OFFSET(INDIRECT("'["&amp;$H296&amp;"]"&amp;$I296&amp;"'!"&amp;$J296),$L296,$M296)*$K296</f>
        <v>3.0400000000000002E-3</v>
      </c>
      <c r="F296" s="4">
        <f t="shared" si="19"/>
        <v>4</v>
      </c>
      <c r="G296" s="4" cm="1">
        <f t="array" ref="G296">IF($C296&gt;=25,F296,IF($C296&lt;16,INDEX(Sheet1!C:C,$F296),$F296))</f>
        <v>4</v>
      </c>
      <c r="H296" s="4" t="str" cm="1">
        <f t="array" ref="H296">INDEX(Sheet1!D:D,$G296)</f>
        <v>2001-cso-preferred-class-structure-mortality-tables.xls</v>
      </c>
      <c r="I296" s="4" t="str" cm="1">
        <f t="array" ref="I296">INDEX(Sheet1!E:E,$G296)</f>
        <v>A.1.a.ii</v>
      </c>
      <c r="J296" s="4" t="str" cm="1">
        <f t="array" ref="J296">IF($C296&gt;=25,INDEX(Sheet1!G:G,$G296),INDEX(Sheet1!F:F,$G296))</f>
        <v>AA8</v>
      </c>
      <c r="K296" s="4" cm="1">
        <f t="array" ref="K296">INDEX(Sheet1!H:H,$G296)</f>
        <v>1E-3</v>
      </c>
      <c r="L296" s="4">
        <f t="shared" si="16"/>
        <v>27</v>
      </c>
      <c r="M296" s="4">
        <f t="shared" si="17"/>
        <v>0</v>
      </c>
    </row>
    <row r="297" spans="1:13">
      <c r="A297" s="4" t="str" cm="1">
        <f t="array" ref="A297">INDEX(Sheet1!A:A,$F297)</f>
        <v>M</v>
      </c>
      <c r="B297" s="4" t="str" cm="1">
        <f t="array" ref="B297">INDEX(Sheet1!B:B,$F297)</f>
        <v>Pref Resid NS</v>
      </c>
      <c r="C297" s="4">
        <f t="shared" si="18"/>
        <v>53</v>
      </c>
      <c r="D297" s="5" cm="1">
        <f t="array" aca="1" ref="D297" ca="1">OFFSET(INDIRECT("'["&amp;$H297&amp;"]"&amp;$I297&amp;"'!"&amp;$J297),$L297,$M297)*$K297</f>
        <v>3.3799999999999998E-3</v>
      </c>
      <c r="F297" s="4">
        <f t="shared" si="19"/>
        <v>4</v>
      </c>
      <c r="G297" s="4" cm="1">
        <f t="array" ref="G297">IF($C297&gt;=25,F297,IF($C297&lt;16,INDEX(Sheet1!C:C,$F297),$F297))</f>
        <v>4</v>
      </c>
      <c r="H297" s="4" t="str" cm="1">
        <f t="array" ref="H297">INDEX(Sheet1!D:D,$G297)</f>
        <v>2001-cso-preferred-class-structure-mortality-tables.xls</v>
      </c>
      <c r="I297" s="4" t="str" cm="1">
        <f t="array" ref="I297">INDEX(Sheet1!E:E,$G297)</f>
        <v>A.1.a.ii</v>
      </c>
      <c r="J297" s="4" t="str" cm="1">
        <f t="array" ref="J297">IF($C297&gt;=25,INDEX(Sheet1!G:G,$G297),INDEX(Sheet1!F:F,$G297))</f>
        <v>AA8</v>
      </c>
      <c r="K297" s="4" cm="1">
        <f t="array" ref="K297">INDEX(Sheet1!H:H,$G297)</f>
        <v>1E-3</v>
      </c>
      <c r="L297" s="4">
        <f t="shared" si="16"/>
        <v>28</v>
      </c>
      <c r="M297" s="4">
        <f t="shared" si="17"/>
        <v>0</v>
      </c>
    </row>
    <row r="298" spans="1:13">
      <c r="A298" s="4" t="str" cm="1">
        <f t="array" ref="A298">INDEX(Sheet1!A:A,$F298)</f>
        <v>M</v>
      </c>
      <c r="B298" s="4" t="str" cm="1">
        <f t="array" ref="B298">INDEX(Sheet1!B:B,$F298)</f>
        <v>Pref Resid NS</v>
      </c>
      <c r="C298" s="4">
        <f t="shared" si="18"/>
        <v>54</v>
      </c>
      <c r="D298" s="5" cm="1">
        <f t="array" aca="1" ref="D298" ca="1">OFFSET(INDIRECT("'["&amp;$H298&amp;"]"&amp;$I298&amp;"'!"&amp;$J298),$L298,$M298)*$K298</f>
        <v>3.8E-3</v>
      </c>
      <c r="F298" s="4">
        <f t="shared" si="19"/>
        <v>4</v>
      </c>
      <c r="G298" s="4" cm="1">
        <f t="array" ref="G298">IF($C298&gt;=25,F298,IF($C298&lt;16,INDEX(Sheet1!C:C,$F298),$F298))</f>
        <v>4</v>
      </c>
      <c r="H298" s="4" t="str" cm="1">
        <f t="array" ref="H298">INDEX(Sheet1!D:D,$G298)</f>
        <v>2001-cso-preferred-class-structure-mortality-tables.xls</v>
      </c>
      <c r="I298" s="4" t="str" cm="1">
        <f t="array" ref="I298">INDEX(Sheet1!E:E,$G298)</f>
        <v>A.1.a.ii</v>
      </c>
      <c r="J298" s="4" t="str" cm="1">
        <f t="array" ref="J298">IF($C298&gt;=25,INDEX(Sheet1!G:G,$G298),INDEX(Sheet1!F:F,$G298))</f>
        <v>AA8</v>
      </c>
      <c r="K298" s="4" cm="1">
        <f t="array" ref="K298">INDEX(Sheet1!H:H,$G298)</f>
        <v>1E-3</v>
      </c>
      <c r="L298" s="4">
        <f t="shared" si="16"/>
        <v>29</v>
      </c>
      <c r="M298" s="4">
        <f t="shared" si="17"/>
        <v>0</v>
      </c>
    </row>
    <row r="299" spans="1:13">
      <c r="A299" s="4" t="str" cm="1">
        <f t="array" ref="A299">INDEX(Sheet1!A:A,$F299)</f>
        <v>M</v>
      </c>
      <c r="B299" s="4" t="str" cm="1">
        <f t="array" ref="B299">INDEX(Sheet1!B:B,$F299)</f>
        <v>Pref Resid NS</v>
      </c>
      <c r="C299" s="4">
        <f t="shared" si="18"/>
        <v>55</v>
      </c>
      <c r="D299" s="5" cm="1">
        <f t="array" aca="1" ref="D299" ca="1">OFFSET(INDIRECT("'["&amp;$H299&amp;"]"&amp;$I299&amp;"'!"&amp;$J299),$L299,$M299)*$K299</f>
        <v>4.3300000000000005E-3</v>
      </c>
      <c r="F299" s="4">
        <f t="shared" si="19"/>
        <v>4</v>
      </c>
      <c r="G299" s="4" cm="1">
        <f t="array" ref="G299">IF($C299&gt;=25,F299,IF($C299&lt;16,INDEX(Sheet1!C:C,$F299),$F299))</f>
        <v>4</v>
      </c>
      <c r="H299" s="4" t="str" cm="1">
        <f t="array" ref="H299">INDEX(Sheet1!D:D,$G299)</f>
        <v>2001-cso-preferred-class-structure-mortality-tables.xls</v>
      </c>
      <c r="I299" s="4" t="str" cm="1">
        <f t="array" ref="I299">INDEX(Sheet1!E:E,$G299)</f>
        <v>A.1.a.ii</v>
      </c>
      <c r="J299" s="4" t="str" cm="1">
        <f t="array" ref="J299">IF($C299&gt;=25,INDEX(Sheet1!G:G,$G299),INDEX(Sheet1!F:F,$G299))</f>
        <v>AA8</v>
      </c>
      <c r="K299" s="4" cm="1">
        <f t="array" ref="K299">INDEX(Sheet1!H:H,$G299)</f>
        <v>1E-3</v>
      </c>
      <c r="L299" s="4">
        <f t="shared" si="16"/>
        <v>30</v>
      </c>
      <c r="M299" s="4">
        <f t="shared" si="17"/>
        <v>0</v>
      </c>
    </row>
    <row r="300" spans="1:13">
      <c r="A300" s="4" t="str" cm="1">
        <f t="array" ref="A300">INDEX(Sheet1!A:A,$F300)</f>
        <v>M</v>
      </c>
      <c r="B300" s="4" t="str" cm="1">
        <f t="array" ref="B300">INDEX(Sheet1!B:B,$F300)</f>
        <v>Pref Resid NS</v>
      </c>
      <c r="C300" s="4">
        <f t="shared" si="18"/>
        <v>56</v>
      </c>
      <c r="D300" s="5" cm="1">
        <f t="array" aca="1" ref="D300" ca="1">OFFSET(INDIRECT("'["&amp;$H300&amp;"]"&amp;$I300&amp;"'!"&amp;$J300),$L300,$M300)*$K300</f>
        <v>4.8799999999999998E-3</v>
      </c>
      <c r="F300" s="4">
        <f t="shared" si="19"/>
        <v>4</v>
      </c>
      <c r="G300" s="4" cm="1">
        <f t="array" ref="G300">IF($C300&gt;=25,F300,IF($C300&lt;16,INDEX(Sheet1!C:C,$F300),$F300))</f>
        <v>4</v>
      </c>
      <c r="H300" s="4" t="str" cm="1">
        <f t="array" ref="H300">INDEX(Sheet1!D:D,$G300)</f>
        <v>2001-cso-preferred-class-structure-mortality-tables.xls</v>
      </c>
      <c r="I300" s="4" t="str" cm="1">
        <f t="array" ref="I300">INDEX(Sheet1!E:E,$G300)</f>
        <v>A.1.a.ii</v>
      </c>
      <c r="J300" s="4" t="str" cm="1">
        <f t="array" ref="J300">IF($C300&gt;=25,INDEX(Sheet1!G:G,$G300),INDEX(Sheet1!F:F,$G300))</f>
        <v>AA8</v>
      </c>
      <c r="K300" s="4" cm="1">
        <f t="array" ref="K300">INDEX(Sheet1!H:H,$G300)</f>
        <v>1E-3</v>
      </c>
      <c r="L300" s="4">
        <f t="shared" si="16"/>
        <v>31</v>
      </c>
      <c r="M300" s="4">
        <f t="shared" si="17"/>
        <v>0</v>
      </c>
    </row>
    <row r="301" spans="1:13">
      <c r="A301" s="4" t="str" cm="1">
        <f t="array" ref="A301">INDEX(Sheet1!A:A,$F301)</f>
        <v>M</v>
      </c>
      <c r="B301" s="4" t="str" cm="1">
        <f t="array" ref="B301">INDEX(Sheet1!B:B,$F301)</f>
        <v>Pref Resid NS</v>
      </c>
      <c r="C301" s="4">
        <f t="shared" si="18"/>
        <v>57</v>
      </c>
      <c r="D301" s="5" cm="1">
        <f t="array" aca="1" ref="D301" ca="1">OFFSET(INDIRECT("'["&amp;$H301&amp;"]"&amp;$I301&amp;"'!"&amp;$J301),$L301,$M301)*$K301</f>
        <v>5.4800000000000005E-3</v>
      </c>
      <c r="F301" s="4">
        <f t="shared" si="19"/>
        <v>4</v>
      </c>
      <c r="G301" s="4" cm="1">
        <f t="array" ref="G301">IF($C301&gt;=25,F301,IF($C301&lt;16,INDEX(Sheet1!C:C,$F301),$F301))</f>
        <v>4</v>
      </c>
      <c r="H301" s="4" t="str" cm="1">
        <f t="array" ref="H301">INDEX(Sheet1!D:D,$G301)</f>
        <v>2001-cso-preferred-class-structure-mortality-tables.xls</v>
      </c>
      <c r="I301" s="4" t="str" cm="1">
        <f t="array" ref="I301">INDEX(Sheet1!E:E,$G301)</f>
        <v>A.1.a.ii</v>
      </c>
      <c r="J301" s="4" t="str" cm="1">
        <f t="array" ref="J301">IF($C301&gt;=25,INDEX(Sheet1!G:G,$G301),INDEX(Sheet1!F:F,$G301))</f>
        <v>AA8</v>
      </c>
      <c r="K301" s="4" cm="1">
        <f t="array" ref="K301">INDEX(Sheet1!H:H,$G301)</f>
        <v>1E-3</v>
      </c>
      <c r="L301" s="4">
        <f t="shared" si="16"/>
        <v>32</v>
      </c>
      <c r="M301" s="4">
        <f t="shared" si="17"/>
        <v>0</v>
      </c>
    </row>
    <row r="302" spans="1:13">
      <c r="A302" s="4" t="str" cm="1">
        <f t="array" ref="A302">INDEX(Sheet1!A:A,$F302)</f>
        <v>M</v>
      </c>
      <c r="B302" s="4" t="str" cm="1">
        <f t="array" ref="B302">INDEX(Sheet1!B:B,$F302)</f>
        <v>Pref Resid NS</v>
      </c>
      <c r="C302" s="4">
        <f t="shared" si="18"/>
        <v>58</v>
      </c>
      <c r="D302" s="5" cm="1">
        <f t="array" aca="1" ref="D302" ca="1">OFFSET(INDIRECT("'["&amp;$H302&amp;"]"&amp;$I302&amp;"'!"&amp;$J302),$L302,$M302)*$K302</f>
        <v>6.0099999999999997E-3</v>
      </c>
      <c r="F302" s="4">
        <f t="shared" si="19"/>
        <v>4</v>
      </c>
      <c r="G302" s="4" cm="1">
        <f t="array" ref="G302">IF($C302&gt;=25,F302,IF($C302&lt;16,INDEX(Sheet1!C:C,$F302),$F302))</f>
        <v>4</v>
      </c>
      <c r="H302" s="4" t="str" cm="1">
        <f t="array" ref="H302">INDEX(Sheet1!D:D,$G302)</f>
        <v>2001-cso-preferred-class-structure-mortality-tables.xls</v>
      </c>
      <c r="I302" s="4" t="str" cm="1">
        <f t="array" ref="I302">INDEX(Sheet1!E:E,$G302)</f>
        <v>A.1.a.ii</v>
      </c>
      <c r="J302" s="4" t="str" cm="1">
        <f t="array" ref="J302">IF($C302&gt;=25,INDEX(Sheet1!G:G,$G302),INDEX(Sheet1!F:F,$G302))</f>
        <v>AA8</v>
      </c>
      <c r="K302" s="4" cm="1">
        <f t="array" ref="K302">INDEX(Sheet1!H:H,$G302)</f>
        <v>1E-3</v>
      </c>
      <c r="L302" s="4">
        <f t="shared" si="16"/>
        <v>33</v>
      </c>
      <c r="M302" s="4">
        <f t="shared" si="17"/>
        <v>0</v>
      </c>
    </row>
    <row r="303" spans="1:13">
      <c r="A303" s="4" t="str" cm="1">
        <f t="array" ref="A303">INDEX(Sheet1!A:A,$F303)</f>
        <v>M</v>
      </c>
      <c r="B303" s="4" t="str" cm="1">
        <f t="array" ref="B303">INDEX(Sheet1!B:B,$F303)</f>
        <v>Pref Resid NS</v>
      </c>
      <c r="C303" s="4">
        <f t="shared" si="18"/>
        <v>59</v>
      </c>
      <c r="D303" s="5" cm="1">
        <f t="array" aca="1" ref="D303" ca="1">OFFSET(INDIRECT("'["&amp;$H303&amp;"]"&amp;$I303&amp;"'!"&amp;$J303),$L303,$M303)*$K303</f>
        <v>6.6400000000000001E-3</v>
      </c>
      <c r="F303" s="4">
        <f t="shared" si="19"/>
        <v>4</v>
      </c>
      <c r="G303" s="4" cm="1">
        <f t="array" ref="G303">IF($C303&gt;=25,F303,IF($C303&lt;16,INDEX(Sheet1!C:C,$F303),$F303))</f>
        <v>4</v>
      </c>
      <c r="H303" s="4" t="str" cm="1">
        <f t="array" ref="H303">INDEX(Sheet1!D:D,$G303)</f>
        <v>2001-cso-preferred-class-structure-mortality-tables.xls</v>
      </c>
      <c r="I303" s="4" t="str" cm="1">
        <f t="array" ref="I303">INDEX(Sheet1!E:E,$G303)</f>
        <v>A.1.a.ii</v>
      </c>
      <c r="J303" s="4" t="str" cm="1">
        <f t="array" ref="J303">IF($C303&gt;=25,INDEX(Sheet1!G:G,$G303),INDEX(Sheet1!F:F,$G303))</f>
        <v>AA8</v>
      </c>
      <c r="K303" s="4" cm="1">
        <f t="array" ref="K303">INDEX(Sheet1!H:H,$G303)</f>
        <v>1E-3</v>
      </c>
      <c r="L303" s="4">
        <f t="shared" si="16"/>
        <v>34</v>
      </c>
      <c r="M303" s="4">
        <f t="shared" si="17"/>
        <v>0</v>
      </c>
    </row>
    <row r="304" spans="1:13">
      <c r="A304" s="4" t="str" cm="1">
        <f t="array" ref="A304">INDEX(Sheet1!A:A,$F304)</f>
        <v>M</v>
      </c>
      <c r="B304" s="4" t="str" cm="1">
        <f t="array" ref="B304">INDEX(Sheet1!B:B,$F304)</f>
        <v>Pref Resid NS</v>
      </c>
      <c r="C304" s="4">
        <f t="shared" si="18"/>
        <v>60</v>
      </c>
      <c r="D304" s="5" cm="1">
        <f t="array" aca="1" ref="D304" ca="1">OFFSET(INDIRECT("'["&amp;$H304&amp;"]"&amp;$I304&amp;"'!"&amp;$J304),$L304,$M304)*$K304</f>
        <v>7.3000000000000001E-3</v>
      </c>
      <c r="F304" s="4">
        <f t="shared" si="19"/>
        <v>4</v>
      </c>
      <c r="G304" s="4" cm="1">
        <f t="array" ref="G304">IF($C304&gt;=25,F304,IF($C304&lt;16,INDEX(Sheet1!C:C,$F304),$F304))</f>
        <v>4</v>
      </c>
      <c r="H304" s="4" t="str" cm="1">
        <f t="array" ref="H304">INDEX(Sheet1!D:D,$G304)</f>
        <v>2001-cso-preferred-class-structure-mortality-tables.xls</v>
      </c>
      <c r="I304" s="4" t="str" cm="1">
        <f t="array" ref="I304">INDEX(Sheet1!E:E,$G304)</f>
        <v>A.1.a.ii</v>
      </c>
      <c r="J304" s="4" t="str" cm="1">
        <f t="array" ref="J304">IF($C304&gt;=25,INDEX(Sheet1!G:G,$G304),INDEX(Sheet1!F:F,$G304))</f>
        <v>AA8</v>
      </c>
      <c r="K304" s="4" cm="1">
        <f t="array" ref="K304">INDEX(Sheet1!H:H,$G304)</f>
        <v>1E-3</v>
      </c>
      <c r="L304" s="4">
        <f t="shared" si="16"/>
        <v>35</v>
      </c>
      <c r="M304" s="4">
        <f t="shared" si="17"/>
        <v>0</v>
      </c>
    </row>
    <row r="305" spans="1:13">
      <c r="A305" s="4" t="str" cm="1">
        <f t="array" ref="A305">INDEX(Sheet1!A:A,$F305)</f>
        <v>M</v>
      </c>
      <c r="B305" s="4" t="str" cm="1">
        <f t="array" ref="B305">INDEX(Sheet1!B:B,$F305)</f>
        <v>Pref Resid NS</v>
      </c>
      <c r="C305" s="4">
        <f t="shared" si="18"/>
        <v>61</v>
      </c>
      <c r="D305" s="5" cm="1">
        <f t="array" aca="1" ref="D305" ca="1">OFFSET(INDIRECT("'["&amp;$H305&amp;"]"&amp;$I305&amp;"'!"&amp;$J305),$L305,$M305)*$K305</f>
        <v>8.1099999999999992E-3</v>
      </c>
      <c r="F305" s="4">
        <f t="shared" si="19"/>
        <v>4</v>
      </c>
      <c r="G305" s="4" cm="1">
        <f t="array" ref="G305">IF($C305&gt;=25,F305,IF($C305&lt;16,INDEX(Sheet1!C:C,$F305),$F305))</f>
        <v>4</v>
      </c>
      <c r="H305" s="4" t="str" cm="1">
        <f t="array" ref="H305">INDEX(Sheet1!D:D,$G305)</f>
        <v>2001-cso-preferred-class-structure-mortality-tables.xls</v>
      </c>
      <c r="I305" s="4" t="str" cm="1">
        <f t="array" ref="I305">INDEX(Sheet1!E:E,$G305)</f>
        <v>A.1.a.ii</v>
      </c>
      <c r="J305" s="4" t="str" cm="1">
        <f t="array" ref="J305">IF($C305&gt;=25,INDEX(Sheet1!G:G,$G305),INDEX(Sheet1!F:F,$G305))</f>
        <v>AA8</v>
      </c>
      <c r="K305" s="4" cm="1">
        <f t="array" ref="K305">INDEX(Sheet1!H:H,$G305)</f>
        <v>1E-3</v>
      </c>
      <c r="L305" s="4">
        <f t="shared" si="16"/>
        <v>36</v>
      </c>
      <c r="M305" s="4">
        <f t="shared" si="17"/>
        <v>0</v>
      </c>
    </row>
    <row r="306" spans="1:13">
      <c r="A306" s="4" t="str" cm="1">
        <f t="array" ref="A306">INDEX(Sheet1!A:A,$F306)</f>
        <v>M</v>
      </c>
      <c r="B306" s="4" t="str" cm="1">
        <f t="array" ref="B306">INDEX(Sheet1!B:B,$F306)</f>
        <v>Pref Resid NS</v>
      </c>
      <c r="C306" s="4">
        <f t="shared" si="18"/>
        <v>62</v>
      </c>
      <c r="D306" s="5" cm="1">
        <f t="array" aca="1" ref="D306" ca="1">OFFSET(INDIRECT("'["&amp;$H306&amp;"]"&amp;$I306&amp;"'!"&amp;$J306),$L306,$M306)*$K306</f>
        <v>9.1000000000000004E-3</v>
      </c>
      <c r="F306" s="4">
        <f t="shared" si="19"/>
        <v>4</v>
      </c>
      <c r="G306" s="4" cm="1">
        <f t="array" ref="G306">IF($C306&gt;=25,F306,IF($C306&lt;16,INDEX(Sheet1!C:C,$F306),$F306))</f>
        <v>4</v>
      </c>
      <c r="H306" s="4" t="str" cm="1">
        <f t="array" ref="H306">INDEX(Sheet1!D:D,$G306)</f>
        <v>2001-cso-preferred-class-structure-mortality-tables.xls</v>
      </c>
      <c r="I306" s="4" t="str" cm="1">
        <f t="array" ref="I306">INDEX(Sheet1!E:E,$G306)</f>
        <v>A.1.a.ii</v>
      </c>
      <c r="J306" s="4" t="str" cm="1">
        <f t="array" ref="J306">IF($C306&gt;=25,INDEX(Sheet1!G:G,$G306),INDEX(Sheet1!F:F,$G306))</f>
        <v>AA8</v>
      </c>
      <c r="K306" s="4" cm="1">
        <f t="array" ref="K306">INDEX(Sheet1!H:H,$G306)</f>
        <v>1E-3</v>
      </c>
      <c r="L306" s="4">
        <f t="shared" si="16"/>
        <v>37</v>
      </c>
      <c r="M306" s="4">
        <f t="shared" si="17"/>
        <v>0</v>
      </c>
    </row>
    <row r="307" spans="1:13">
      <c r="A307" s="4" t="str" cm="1">
        <f t="array" ref="A307">INDEX(Sheet1!A:A,$F307)</f>
        <v>M</v>
      </c>
      <c r="B307" s="4" t="str" cm="1">
        <f t="array" ref="B307">INDEX(Sheet1!B:B,$F307)</f>
        <v>Pref Resid NS</v>
      </c>
      <c r="C307" s="4">
        <f t="shared" si="18"/>
        <v>63</v>
      </c>
      <c r="D307" s="5" cm="1">
        <f t="array" aca="1" ref="D307" ca="1">OFFSET(INDIRECT("'["&amp;$H307&amp;"]"&amp;$I307&amp;"'!"&amp;$J307),$L307,$M307)*$K307</f>
        <v>1.021E-2</v>
      </c>
      <c r="F307" s="4">
        <f t="shared" si="19"/>
        <v>4</v>
      </c>
      <c r="G307" s="4" cm="1">
        <f t="array" ref="G307">IF($C307&gt;=25,F307,IF($C307&lt;16,INDEX(Sheet1!C:C,$F307),$F307))</f>
        <v>4</v>
      </c>
      <c r="H307" s="4" t="str" cm="1">
        <f t="array" ref="H307">INDEX(Sheet1!D:D,$G307)</f>
        <v>2001-cso-preferred-class-structure-mortality-tables.xls</v>
      </c>
      <c r="I307" s="4" t="str" cm="1">
        <f t="array" ref="I307">INDEX(Sheet1!E:E,$G307)</f>
        <v>A.1.a.ii</v>
      </c>
      <c r="J307" s="4" t="str" cm="1">
        <f t="array" ref="J307">IF($C307&gt;=25,INDEX(Sheet1!G:G,$G307),INDEX(Sheet1!F:F,$G307))</f>
        <v>AA8</v>
      </c>
      <c r="K307" s="4" cm="1">
        <f t="array" ref="K307">INDEX(Sheet1!H:H,$G307)</f>
        <v>1E-3</v>
      </c>
      <c r="L307" s="4">
        <f t="shared" si="16"/>
        <v>38</v>
      </c>
      <c r="M307" s="4">
        <f t="shared" si="17"/>
        <v>0</v>
      </c>
    </row>
    <row r="308" spans="1:13">
      <c r="A308" s="4" t="str" cm="1">
        <f t="array" ref="A308">INDEX(Sheet1!A:A,$F308)</f>
        <v>M</v>
      </c>
      <c r="B308" s="4" t="str" cm="1">
        <f t="array" ref="B308">INDEX(Sheet1!B:B,$F308)</f>
        <v>Pref Resid NS</v>
      </c>
      <c r="C308" s="4">
        <f t="shared" si="18"/>
        <v>64</v>
      </c>
      <c r="D308" s="5" cm="1">
        <f t="array" aca="1" ref="D308" ca="1">OFFSET(INDIRECT("'["&amp;$H308&amp;"]"&amp;$I308&amp;"'!"&amp;$J308),$L308,$M308)*$K308</f>
        <v>1.137E-2</v>
      </c>
      <c r="F308" s="4">
        <f t="shared" si="19"/>
        <v>4</v>
      </c>
      <c r="G308" s="4" cm="1">
        <f t="array" ref="G308">IF($C308&gt;=25,F308,IF($C308&lt;16,INDEX(Sheet1!C:C,$F308),$F308))</f>
        <v>4</v>
      </c>
      <c r="H308" s="4" t="str" cm="1">
        <f t="array" ref="H308">INDEX(Sheet1!D:D,$G308)</f>
        <v>2001-cso-preferred-class-structure-mortality-tables.xls</v>
      </c>
      <c r="I308" s="4" t="str" cm="1">
        <f t="array" ref="I308">INDEX(Sheet1!E:E,$G308)</f>
        <v>A.1.a.ii</v>
      </c>
      <c r="J308" s="4" t="str" cm="1">
        <f t="array" ref="J308">IF($C308&gt;=25,INDEX(Sheet1!G:G,$G308),INDEX(Sheet1!F:F,$G308))</f>
        <v>AA8</v>
      </c>
      <c r="K308" s="4" cm="1">
        <f t="array" ref="K308">INDEX(Sheet1!H:H,$G308)</f>
        <v>1E-3</v>
      </c>
      <c r="L308" s="4">
        <f t="shared" si="16"/>
        <v>39</v>
      </c>
      <c r="M308" s="4">
        <f t="shared" si="17"/>
        <v>0</v>
      </c>
    </row>
    <row r="309" spans="1:13">
      <c r="A309" s="4" t="str" cm="1">
        <f t="array" ref="A309">INDEX(Sheet1!A:A,$F309)</f>
        <v>M</v>
      </c>
      <c r="B309" s="4" t="str" cm="1">
        <f t="array" ref="B309">INDEX(Sheet1!B:B,$F309)</f>
        <v>Pref Resid NS</v>
      </c>
      <c r="C309" s="4">
        <f t="shared" si="18"/>
        <v>65</v>
      </c>
      <c r="D309" s="5" cm="1">
        <f t="array" aca="1" ref="D309" ca="1">OFFSET(INDIRECT("'["&amp;$H309&amp;"]"&amp;$I309&amp;"'!"&amp;$J309),$L309,$M309)*$K309</f>
        <v>1.26E-2</v>
      </c>
      <c r="F309" s="4">
        <f t="shared" si="19"/>
        <v>4</v>
      </c>
      <c r="G309" s="4" cm="1">
        <f t="array" ref="G309">IF($C309&gt;=25,F309,IF($C309&lt;16,INDEX(Sheet1!C:C,$F309),$F309))</f>
        <v>4</v>
      </c>
      <c r="H309" s="4" t="str" cm="1">
        <f t="array" ref="H309">INDEX(Sheet1!D:D,$G309)</f>
        <v>2001-cso-preferred-class-structure-mortality-tables.xls</v>
      </c>
      <c r="I309" s="4" t="str" cm="1">
        <f t="array" ref="I309">INDEX(Sheet1!E:E,$G309)</f>
        <v>A.1.a.ii</v>
      </c>
      <c r="J309" s="4" t="str" cm="1">
        <f t="array" ref="J309">IF($C309&gt;=25,INDEX(Sheet1!G:G,$G309),INDEX(Sheet1!F:F,$G309))</f>
        <v>AA8</v>
      </c>
      <c r="K309" s="4" cm="1">
        <f t="array" ref="K309">INDEX(Sheet1!H:H,$G309)</f>
        <v>1E-3</v>
      </c>
      <c r="L309" s="4">
        <f t="shared" si="16"/>
        <v>40</v>
      </c>
      <c r="M309" s="4">
        <f t="shared" si="17"/>
        <v>0</v>
      </c>
    </row>
    <row r="310" spans="1:13">
      <c r="A310" s="4" t="str" cm="1">
        <f t="array" ref="A310">INDEX(Sheet1!A:A,$F310)</f>
        <v>M</v>
      </c>
      <c r="B310" s="4" t="str" cm="1">
        <f t="array" ref="B310">INDEX(Sheet1!B:B,$F310)</f>
        <v>Pref Resid NS</v>
      </c>
      <c r="C310" s="4">
        <f t="shared" si="18"/>
        <v>66</v>
      </c>
      <c r="D310" s="5" cm="1">
        <f t="array" aca="1" ref="D310" ca="1">OFFSET(INDIRECT("'["&amp;$H310&amp;"]"&amp;$I310&amp;"'!"&amp;$J310),$L310,$M310)*$K310</f>
        <v>1.3849999999999999E-2</v>
      </c>
      <c r="F310" s="4">
        <f t="shared" si="19"/>
        <v>4</v>
      </c>
      <c r="G310" s="4" cm="1">
        <f t="array" ref="G310">IF($C310&gt;=25,F310,IF($C310&lt;16,INDEX(Sheet1!C:C,$F310),$F310))</f>
        <v>4</v>
      </c>
      <c r="H310" s="4" t="str" cm="1">
        <f t="array" ref="H310">INDEX(Sheet1!D:D,$G310)</f>
        <v>2001-cso-preferred-class-structure-mortality-tables.xls</v>
      </c>
      <c r="I310" s="4" t="str" cm="1">
        <f t="array" ref="I310">INDEX(Sheet1!E:E,$G310)</f>
        <v>A.1.a.ii</v>
      </c>
      <c r="J310" s="4" t="str" cm="1">
        <f t="array" ref="J310">IF($C310&gt;=25,INDEX(Sheet1!G:G,$G310),INDEX(Sheet1!F:F,$G310))</f>
        <v>AA8</v>
      </c>
      <c r="K310" s="4" cm="1">
        <f t="array" ref="K310">INDEX(Sheet1!H:H,$G310)</f>
        <v>1E-3</v>
      </c>
      <c r="L310" s="4">
        <f t="shared" si="16"/>
        <v>41</v>
      </c>
      <c r="M310" s="4">
        <f t="shared" si="17"/>
        <v>0</v>
      </c>
    </row>
    <row r="311" spans="1:13">
      <c r="A311" s="4" t="str" cm="1">
        <f t="array" ref="A311">INDEX(Sheet1!A:A,$F311)</f>
        <v>M</v>
      </c>
      <c r="B311" s="4" t="str" cm="1">
        <f t="array" ref="B311">INDEX(Sheet1!B:B,$F311)</f>
        <v>Pref Resid NS</v>
      </c>
      <c r="C311" s="4">
        <f t="shared" si="18"/>
        <v>67</v>
      </c>
      <c r="D311" s="5" cm="1">
        <f t="array" aca="1" ref="D311" ca="1">OFFSET(INDIRECT("'["&amp;$H311&amp;"]"&amp;$I311&amp;"'!"&amp;$J311),$L311,$M311)*$K311</f>
        <v>1.511E-2</v>
      </c>
      <c r="F311" s="4">
        <f t="shared" si="19"/>
        <v>4</v>
      </c>
      <c r="G311" s="4" cm="1">
        <f t="array" ref="G311">IF($C311&gt;=25,F311,IF($C311&lt;16,INDEX(Sheet1!C:C,$F311),$F311))</f>
        <v>4</v>
      </c>
      <c r="H311" s="4" t="str" cm="1">
        <f t="array" ref="H311">INDEX(Sheet1!D:D,$G311)</f>
        <v>2001-cso-preferred-class-structure-mortality-tables.xls</v>
      </c>
      <c r="I311" s="4" t="str" cm="1">
        <f t="array" ref="I311">INDEX(Sheet1!E:E,$G311)</f>
        <v>A.1.a.ii</v>
      </c>
      <c r="J311" s="4" t="str" cm="1">
        <f t="array" ref="J311">IF($C311&gt;=25,INDEX(Sheet1!G:G,$G311),INDEX(Sheet1!F:F,$G311))</f>
        <v>AA8</v>
      </c>
      <c r="K311" s="4" cm="1">
        <f t="array" ref="K311">INDEX(Sheet1!H:H,$G311)</f>
        <v>1E-3</v>
      </c>
      <c r="L311" s="4">
        <f t="shared" si="16"/>
        <v>42</v>
      </c>
      <c r="M311" s="4">
        <f t="shared" si="17"/>
        <v>0</v>
      </c>
    </row>
    <row r="312" spans="1:13">
      <c r="A312" s="4" t="str" cm="1">
        <f t="array" ref="A312">INDEX(Sheet1!A:A,$F312)</f>
        <v>M</v>
      </c>
      <c r="B312" s="4" t="str" cm="1">
        <f t="array" ref="B312">INDEX(Sheet1!B:B,$F312)</f>
        <v>Pref Resid NS</v>
      </c>
      <c r="C312" s="4">
        <f t="shared" si="18"/>
        <v>68</v>
      </c>
      <c r="D312" s="5" cm="1">
        <f t="array" aca="1" ref="D312" ca="1">OFFSET(INDIRECT("'["&amp;$H312&amp;"]"&amp;$I312&amp;"'!"&amp;$J312),$L312,$M312)*$K312</f>
        <v>1.6480000000000002E-2</v>
      </c>
      <c r="F312" s="4">
        <f t="shared" si="19"/>
        <v>4</v>
      </c>
      <c r="G312" s="4" cm="1">
        <f t="array" ref="G312">IF($C312&gt;=25,F312,IF($C312&lt;16,INDEX(Sheet1!C:C,$F312),$F312))</f>
        <v>4</v>
      </c>
      <c r="H312" s="4" t="str" cm="1">
        <f t="array" ref="H312">INDEX(Sheet1!D:D,$G312)</f>
        <v>2001-cso-preferred-class-structure-mortality-tables.xls</v>
      </c>
      <c r="I312" s="4" t="str" cm="1">
        <f t="array" ref="I312">INDEX(Sheet1!E:E,$G312)</f>
        <v>A.1.a.ii</v>
      </c>
      <c r="J312" s="4" t="str" cm="1">
        <f t="array" ref="J312">IF($C312&gt;=25,INDEX(Sheet1!G:G,$G312),INDEX(Sheet1!F:F,$G312))</f>
        <v>AA8</v>
      </c>
      <c r="K312" s="4" cm="1">
        <f t="array" ref="K312">INDEX(Sheet1!H:H,$G312)</f>
        <v>1E-3</v>
      </c>
      <c r="L312" s="4">
        <f t="shared" si="16"/>
        <v>43</v>
      </c>
      <c r="M312" s="4">
        <f t="shared" si="17"/>
        <v>0</v>
      </c>
    </row>
    <row r="313" spans="1:13">
      <c r="A313" s="4" t="str" cm="1">
        <f t="array" ref="A313">INDEX(Sheet1!A:A,$F313)</f>
        <v>M</v>
      </c>
      <c r="B313" s="4" t="str" cm="1">
        <f t="array" ref="B313">INDEX(Sheet1!B:B,$F313)</f>
        <v>Pref Resid NS</v>
      </c>
      <c r="C313" s="4">
        <f t="shared" si="18"/>
        <v>69</v>
      </c>
      <c r="D313" s="5" cm="1">
        <f t="array" aca="1" ref="D313" ca="1">OFFSET(INDIRECT("'["&amp;$H313&amp;"]"&amp;$I313&amp;"'!"&amp;$J313),$L313,$M313)*$K313</f>
        <v>1.789E-2</v>
      </c>
      <c r="F313" s="4">
        <f t="shared" si="19"/>
        <v>4</v>
      </c>
      <c r="G313" s="4" cm="1">
        <f t="array" ref="G313">IF($C313&gt;=25,F313,IF($C313&lt;16,INDEX(Sheet1!C:C,$F313),$F313))</f>
        <v>4</v>
      </c>
      <c r="H313" s="4" t="str" cm="1">
        <f t="array" ref="H313">INDEX(Sheet1!D:D,$G313)</f>
        <v>2001-cso-preferred-class-structure-mortality-tables.xls</v>
      </c>
      <c r="I313" s="4" t="str" cm="1">
        <f t="array" ref="I313">INDEX(Sheet1!E:E,$G313)</f>
        <v>A.1.a.ii</v>
      </c>
      <c r="J313" s="4" t="str" cm="1">
        <f t="array" ref="J313">IF($C313&gt;=25,INDEX(Sheet1!G:G,$G313),INDEX(Sheet1!F:F,$G313))</f>
        <v>AA8</v>
      </c>
      <c r="K313" s="4" cm="1">
        <f t="array" ref="K313">INDEX(Sheet1!H:H,$G313)</f>
        <v>1E-3</v>
      </c>
      <c r="L313" s="4">
        <f t="shared" si="16"/>
        <v>44</v>
      </c>
      <c r="M313" s="4">
        <f t="shared" si="17"/>
        <v>0</v>
      </c>
    </row>
    <row r="314" spans="1:13">
      <c r="A314" s="4" t="str" cm="1">
        <f t="array" ref="A314">INDEX(Sheet1!A:A,$F314)</f>
        <v>M</v>
      </c>
      <c r="B314" s="4" t="str" cm="1">
        <f t="array" ref="B314">INDEX(Sheet1!B:B,$F314)</f>
        <v>Pref Resid NS</v>
      </c>
      <c r="C314" s="4">
        <f t="shared" si="18"/>
        <v>70</v>
      </c>
      <c r="D314" s="5" cm="1">
        <f t="array" aca="1" ref="D314" ca="1">OFFSET(INDIRECT("'["&amp;$H314&amp;"]"&amp;$I314&amp;"'!"&amp;$J314),$L314,$M314)*$K314</f>
        <v>1.9600000000000003E-2</v>
      </c>
      <c r="F314" s="4">
        <f t="shared" si="19"/>
        <v>4</v>
      </c>
      <c r="G314" s="4" cm="1">
        <f t="array" ref="G314">IF($C314&gt;=25,F314,IF($C314&lt;16,INDEX(Sheet1!C:C,$F314),$F314))</f>
        <v>4</v>
      </c>
      <c r="H314" s="4" t="str" cm="1">
        <f t="array" ref="H314">INDEX(Sheet1!D:D,$G314)</f>
        <v>2001-cso-preferred-class-structure-mortality-tables.xls</v>
      </c>
      <c r="I314" s="4" t="str" cm="1">
        <f t="array" ref="I314">INDEX(Sheet1!E:E,$G314)</f>
        <v>A.1.a.ii</v>
      </c>
      <c r="J314" s="4" t="str" cm="1">
        <f t="array" ref="J314">IF($C314&gt;=25,INDEX(Sheet1!G:G,$G314),INDEX(Sheet1!F:F,$G314))</f>
        <v>AA8</v>
      </c>
      <c r="K314" s="4" cm="1">
        <f t="array" ref="K314">INDEX(Sheet1!H:H,$G314)</f>
        <v>1E-3</v>
      </c>
      <c r="L314" s="4">
        <f t="shared" si="16"/>
        <v>45</v>
      </c>
      <c r="M314" s="4">
        <f t="shared" si="17"/>
        <v>0</v>
      </c>
    </row>
    <row r="315" spans="1:13">
      <c r="A315" s="4" t="str" cm="1">
        <f t="array" ref="A315">INDEX(Sheet1!A:A,$F315)</f>
        <v>M</v>
      </c>
      <c r="B315" s="4" t="str" cm="1">
        <f t="array" ref="B315">INDEX(Sheet1!B:B,$F315)</f>
        <v>Pref Resid NS</v>
      </c>
      <c r="C315" s="4">
        <f t="shared" si="18"/>
        <v>71</v>
      </c>
      <c r="D315" s="5" cm="1">
        <f t="array" aca="1" ref="D315" ca="1">OFFSET(INDIRECT("'["&amp;$H315&amp;"]"&amp;$I315&amp;"'!"&amp;$J315),$L315,$M315)*$K315</f>
        <v>2.1510000000000001E-2</v>
      </c>
      <c r="F315" s="4">
        <f t="shared" si="19"/>
        <v>4</v>
      </c>
      <c r="G315" s="4" cm="1">
        <f t="array" ref="G315">IF($C315&gt;=25,F315,IF($C315&lt;16,INDEX(Sheet1!C:C,$F315),$F315))</f>
        <v>4</v>
      </c>
      <c r="H315" s="4" t="str" cm="1">
        <f t="array" ref="H315">INDEX(Sheet1!D:D,$G315)</f>
        <v>2001-cso-preferred-class-structure-mortality-tables.xls</v>
      </c>
      <c r="I315" s="4" t="str" cm="1">
        <f t="array" ref="I315">INDEX(Sheet1!E:E,$G315)</f>
        <v>A.1.a.ii</v>
      </c>
      <c r="J315" s="4" t="str" cm="1">
        <f t="array" ref="J315">IF($C315&gt;=25,INDEX(Sheet1!G:G,$G315),INDEX(Sheet1!F:F,$G315))</f>
        <v>AA8</v>
      </c>
      <c r="K315" s="4" cm="1">
        <f t="array" ref="K315">INDEX(Sheet1!H:H,$G315)</f>
        <v>1E-3</v>
      </c>
      <c r="L315" s="4">
        <f t="shared" si="16"/>
        <v>46</v>
      </c>
      <c r="M315" s="4">
        <f t="shared" si="17"/>
        <v>0</v>
      </c>
    </row>
    <row r="316" spans="1:13">
      <c r="A316" s="4" t="str" cm="1">
        <f t="array" ref="A316">INDEX(Sheet1!A:A,$F316)</f>
        <v>M</v>
      </c>
      <c r="B316" s="4" t="str" cm="1">
        <f t="array" ref="B316">INDEX(Sheet1!B:B,$F316)</f>
        <v>Pref Resid NS</v>
      </c>
      <c r="C316" s="4">
        <f t="shared" si="18"/>
        <v>72</v>
      </c>
      <c r="D316" s="5" cm="1">
        <f t="array" aca="1" ref="D316" ca="1">OFFSET(INDIRECT("'["&amp;$H316&amp;"]"&amp;$I316&amp;"'!"&amp;$J316),$L316,$M316)*$K316</f>
        <v>2.402E-2</v>
      </c>
      <c r="F316" s="4">
        <f t="shared" si="19"/>
        <v>4</v>
      </c>
      <c r="G316" s="4" cm="1">
        <f t="array" ref="G316">IF($C316&gt;=25,F316,IF($C316&lt;16,INDEX(Sheet1!C:C,$F316),$F316))</f>
        <v>4</v>
      </c>
      <c r="H316" s="4" t="str" cm="1">
        <f t="array" ref="H316">INDEX(Sheet1!D:D,$G316)</f>
        <v>2001-cso-preferred-class-structure-mortality-tables.xls</v>
      </c>
      <c r="I316" s="4" t="str" cm="1">
        <f t="array" ref="I316">INDEX(Sheet1!E:E,$G316)</f>
        <v>A.1.a.ii</v>
      </c>
      <c r="J316" s="4" t="str" cm="1">
        <f t="array" ref="J316">IF($C316&gt;=25,INDEX(Sheet1!G:G,$G316),INDEX(Sheet1!F:F,$G316))</f>
        <v>AA8</v>
      </c>
      <c r="K316" s="4" cm="1">
        <f t="array" ref="K316">INDEX(Sheet1!H:H,$G316)</f>
        <v>1E-3</v>
      </c>
      <c r="L316" s="4">
        <f t="shared" si="16"/>
        <v>47</v>
      </c>
      <c r="M316" s="4">
        <f t="shared" si="17"/>
        <v>0</v>
      </c>
    </row>
    <row r="317" spans="1:13">
      <c r="A317" s="4" t="str" cm="1">
        <f t="array" ref="A317">INDEX(Sheet1!A:A,$F317)</f>
        <v>M</v>
      </c>
      <c r="B317" s="4" t="str" cm="1">
        <f t="array" ref="B317">INDEX(Sheet1!B:B,$F317)</f>
        <v>Pref Resid NS</v>
      </c>
      <c r="C317" s="4">
        <f t="shared" si="18"/>
        <v>73</v>
      </c>
      <c r="D317" s="5" cm="1">
        <f t="array" aca="1" ref="D317" ca="1">OFFSET(INDIRECT("'["&amp;$H317&amp;"]"&amp;$I317&amp;"'!"&amp;$J317),$L317,$M317)*$K317</f>
        <v>2.6670000000000003E-2</v>
      </c>
      <c r="F317" s="4">
        <f t="shared" si="19"/>
        <v>4</v>
      </c>
      <c r="G317" s="4" cm="1">
        <f t="array" ref="G317">IF($C317&gt;=25,F317,IF($C317&lt;16,INDEX(Sheet1!C:C,$F317),$F317))</f>
        <v>4</v>
      </c>
      <c r="H317" s="4" t="str" cm="1">
        <f t="array" ref="H317">INDEX(Sheet1!D:D,$G317)</f>
        <v>2001-cso-preferred-class-structure-mortality-tables.xls</v>
      </c>
      <c r="I317" s="4" t="str" cm="1">
        <f t="array" ref="I317">INDEX(Sheet1!E:E,$G317)</f>
        <v>A.1.a.ii</v>
      </c>
      <c r="J317" s="4" t="str" cm="1">
        <f t="array" ref="J317">IF($C317&gt;=25,INDEX(Sheet1!G:G,$G317),INDEX(Sheet1!F:F,$G317))</f>
        <v>AA8</v>
      </c>
      <c r="K317" s="4" cm="1">
        <f t="array" ref="K317">INDEX(Sheet1!H:H,$G317)</f>
        <v>1E-3</v>
      </c>
      <c r="L317" s="4">
        <f t="shared" si="16"/>
        <v>48</v>
      </c>
      <c r="M317" s="4">
        <f t="shared" si="17"/>
        <v>0</v>
      </c>
    </row>
    <row r="318" spans="1:13">
      <c r="A318" s="4" t="str" cm="1">
        <f t="array" ref="A318">INDEX(Sheet1!A:A,$F318)</f>
        <v>M</v>
      </c>
      <c r="B318" s="4" t="str" cm="1">
        <f t="array" ref="B318">INDEX(Sheet1!B:B,$F318)</f>
        <v>Pref Resid NS</v>
      </c>
      <c r="C318" s="4">
        <f t="shared" si="18"/>
        <v>74</v>
      </c>
      <c r="D318" s="5" cm="1">
        <f t="array" aca="1" ref="D318" ca="1">OFFSET(INDIRECT("'["&amp;$H318&amp;"]"&amp;$I318&amp;"'!"&amp;$J318),$L318,$M318)*$K318</f>
        <v>2.946E-2</v>
      </c>
      <c r="F318" s="4">
        <f t="shared" si="19"/>
        <v>4</v>
      </c>
      <c r="G318" s="4" cm="1">
        <f t="array" ref="G318">IF($C318&gt;=25,F318,IF($C318&lt;16,INDEX(Sheet1!C:C,$F318),$F318))</f>
        <v>4</v>
      </c>
      <c r="H318" s="4" t="str" cm="1">
        <f t="array" ref="H318">INDEX(Sheet1!D:D,$G318)</f>
        <v>2001-cso-preferred-class-structure-mortality-tables.xls</v>
      </c>
      <c r="I318" s="4" t="str" cm="1">
        <f t="array" ref="I318">INDEX(Sheet1!E:E,$G318)</f>
        <v>A.1.a.ii</v>
      </c>
      <c r="J318" s="4" t="str" cm="1">
        <f t="array" ref="J318">IF($C318&gt;=25,INDEX(Sheet1!G:G,$G318),INDEX(Sheet1!F:F,$G318))</f>
        <v>AA8</v>
      </c>
      <c r="K318" s="4" cm="1">
        <f t="array" ref="K318">INDEX(Sheet1!H:H,$G318)</f>
        <v>1E-3</v>
      </c>
      <c r="L318" s="4">
        <f t="shared" si="16"/>
        <v>49</v>
      </c>
      <c r="M318" s="4">
        <f t="shared" si="17"/>
        <v>0</v>
      </c>
    </row>
    <row r="319" spans="1:13">
      <c r="A319" s="4" t="str" cm="1">
        <f t="array" ref="A319">INDEX(Sheet1!A:A,$F319)</f>
        <v>M</v>
      </c>
      <c r="B319" s="4" t="str" cm="1">
        <f t="array" ref="B319">INDEX(Sheet1!B:B,$F319)</f>
        <v>Pref Resid NS</v>
      </c>
      <c r="C319" s="4">
        <f t="shared" si="18"/>
        <v>75</v>
      </c>
      <c r="D319" s="5" cm="1">
        <f t="array" aca="1" ref="D319" ca="1">OFFSET(INDIRECT("'["&amp;$H319&amp;"]"&amp;$I319&amp;"'!"&amp;$J319),$L319,$M319)*$K319</f>
        <v>3.2509999999999997E-2</v>
      </c>
      <c r="F319" s="4">
        <f t="shared" si="19"/>
        <v>4</v>
      </c>
      <c r="G319" s="4" cm="1">
        <f t="array" ref="G319">IF($C319&gt;=25,F319,IF($C319&lt;16,INDEX(Sheet1!C:C,$F319),$F319))</f>
        <v>4</v>
      </c>
      <c r="H319" s="4" t="str" cm="1">
        <f t="array" ref="H319">INDEX(Sheet1!D:D,$G319)</f>
        <v>2001-cso-preferred-class-structure-mortality-tables.xls</v>
      </c>
      <c r="I319" s="4" t="str" cm="1">
        <f t="array" ref="I319">INDEX(Sheet1!E:E,$G319)</f>
        <v>A.1.a.ii</v>
      </c>
      <c r="J319" s="4" t="str" cm="1">
        <f t="array" ref="J319">IF($C319&gt;=25,INDEX(Sheet1!G:G,$G319),INDEX(Sheet1!F:F,$G319))</f>
        <v>AA8</v>
      </c>
      <c r="K319" s="4" cm="1">
        <f t="array" ref="K319">INDEX(Sheet1!H:H,$G319)</f>
        <v>1E-3</v>
      </c>
      <c r="L319" s="4">
        <f t="shared" si="16"/>
        <v>50</v>
      </c>
      <c r="M319" s="4">
        <f t="shared" si="17"/>
        <v>0</v>
      </c>
    </row>
    <row r="320" spans="1:13">
      <c r="A320" s="4" t="str" cm="1">
        <f t="array" ref="A320">INDEX(Sheet1!A:A,$F320)</f>
        <v>M</v>
      </c>
      <c r="B320" s="4" t="str" cm="1">
        <f t="array" ref="B320">INDEX(Sheet1!B:B,$F320)</f>
        <v>Pref Resid NS</v>
      </c>
      <c r="C320" s="4">
        <f t="shared" si="18"/>
        <v>76</v>
      </c>
      <c r="D320" s="5" cm="1">
        <f t="array" aca="1" ref="D320" ca="1">OFFSET(INDIRECT("'["&amp;$H320&amp;"]"&amp;$I320&amp;"'!"&amp;$J320),$L320,$M320)*$K320</f>
        <v>3.6229999999999998E-2</v>
      </c>
      <c r="F320" s="4">
        <f t="shared" si="19"/>
        <v>4</v>
      </c>
      <c r="G320" s="4" cm="1">
        <f t="array" ref="G320">IF($C320&gt;=25,F320,IF($C320&lt;16,INDEX(Sheet1!C:C,$F320),$F320))</f>
        <v>4</v>
      </c>
      <c r="H320" s="4" t="str" cm="1">
        <f t="array" ref="H320">INDEX(Sheet1!D:D,$G320)</f>
        <v>2001-cso-preferred-class-structure-mortality-tables.xls</v>
      </c>
      <c r="I320" s="4" t="str" cm="1">
        <f t="array" ref="I320">INDEX(Sheet1!E:E,$G320)</f>
        <v>A.1.a.ii</v>
      </c>
      <c r="J320" s="4" t="str" cm="1">
        <f t="array" ref="J320">IF($C320&gt;=25,INDEX(Sheet1!G:G,$G320),INDEX(Sheet1!F:F,$G320))</f>
        <v>AA8</v>
      </c>
      <c r="K320" s="4" cm="1">
        <f t="array" ref="K320">INDEX(Sheet1!H:H,$G320)</f>
        <v>1E-3</v>
      </c>
      <c r="L320" s="4">
        <f t="shared" si="16"/>
        <v>51</v>
      </c>
      <c r="M320" s="4">
        <f t="shared" si="17"/>
        <v>0</v>
      </c>
    </row>
    <row r="321" spans="1:13">
      <c r="A321" s="4" t="str" cm="1">
        <f t="array" ref="A321">INDEX(Sheet1!A:A,$F321)</f>
        <v>M</v>
      </c>
      <c r="B321" s="4" t="str" cm="1">
        <f t="array" ref="B321">INDEX(Sheet1!B:B,$F321)</f>
        <v>Pref Resid NS</v>
      </c>
      <c r="C321" s="4">
        <f t="shared" si="18"/>
        <v>77</v>
      </c>
      <c r="D321" s="5" cm="1">
        <f t="array" aca="1" ref="D321" ca="1">OFFSET(INDIRECT("'["&amp;$H321&amp;"]"&amp;$I321&amp;"'!"&amp;$J321),$L321,$M321)*$K321</f>
        <v>4.0590000000000001E-2</v>
      </c>
      <c r="F321" s="4">
        <f t="shared" si="19"/>
        <v>4</v>
      </c>
      <c r="G321" s="4" cm="1">
        <f t="array" ref="G321">IF($C321&gt;=25,F321,IF($C321&lt;16,INDEX(Sheet1!C:C,$F321),$F321))</f>
        <v>4</v>
      </c>
      <c r="H321" s="4" t="str" cm="1">
        <f t="array" ref="H321">INDEX(Sheet1!D:D,$G321)</f>
        <v>2001-cso-preferred-class-structure-mortality-tables.xls</v>
      </c>
      <c r="I321" s="4" t="str" cm="1">
        <f t="array" ref="I321">INDEX(Sheet1!E:E,$G321)</f>
        <v>A.1.a.ii</v>
      </c>
      <c r="J321" s="4" t="str" cm="1">
        <f t="array" ref="J321">IF($C321&gt;=25,INDEX(Sheet1!G:G,$G321),INDEX(Sheet1!F:F,$G321))</f>
        <v>AA8</v>
      </c>
      <c r="K321" s="4" cm="1">
        <f t="array" ref="K321">INDEX(Sheet1!H:H,$G321)</f>
        <v>1E-3</v>
      </c>
      <c r="L321" s="4">
        <f t="shared" si="16"/>
        <v>52</v>
      </c>
      <c r="M321" s="4">
        <f t="shared" si="17"/>
        <v>0</v>
      </c>
    </row>
    <row r="322" spans="1:13">
      <c r="A322" s="4" t="str" cm="1">
        <f t="array" ref="A322">INDEX(Sheet1!A:A,$F322)</f>
        <v>M</v>
      </c>
      <c r="B322" s="4" t="str" cm="1">
        <f t="array" ref="B322">INDEX(Sheet1!B:B,$F322)</f>
        <v>Pref Resid NS</v>
      </c>
      <c r="C322" s="4">
        <f t="shared" si="18"/>
        <v>78</v>
      </c>
      <c r="D322" s="5" cm="1">
        <f t="array" aca="1" ref="D322" ca="1">OFFSET(INDIRECT("'["&amp;$H322&amp;"]"&amp;$I322&amp;"'!"&amp;$J322),$L322,$M322)*$K322</f>
        <v>4.5700000000000005E-2</v>
      </c>
      <c r="F322" s="4">
        <f t="shared" si="19"/>
        <v>4</v>
      </c>
      <c r="G322" s="4" cm="1">
        <f t="array" ref="G322">IF($C322&gt;=25,F322,IF($C322&lt;16,INDEX(Sheet1!C:C,$F322),$F322))</f>
        <v>4</v>
      </c>
      <c r="H322" s="4" t="str" cm="1">
        <f t="array" ref="H322">INDEX(Sheet1!D:D,$G322)</f>
        <v>2001-cso-preferred-class-structure-mortality-tables.xls</v>
      </c>
      <c r="I322" s="4" t="str" cm="1">
        <f t="array" ref="I322">INDEX(Sheet1!E:E,$G322)</f>
        <v>A.1.a.ii</v>
      </c>
      <c r="J322" s="4" t="str" cm="1">
        <f t="array" ref="J322">IF($C322&gt;=25,INDEX(Sheet1!G:G,$G322),INDEX(Sheet1!F:F,$G322))</f>
        <v>AA8</v>
      </c>
      <c r="K322" s="4" cm="1">
        <f t="array" ref="K322">INDEX(Sheet1!H:H,$G322)</f>
        <v>1E-3</v>
      </c>
      <c r="L322" s="4">
        <f t="shared" si="16"/>
        <v>53</v>
      </c>
      <c r="M322" s="4">
        <f t="shared" si="17"/>
        <v>0</v>
      </c>
    </row>
    <row r="323" spans="1:13">
      <c r="A323" s="4" t="str" cm="1">
        <f t="array" ref="A323">INDEX(Sheet1!A:A,$F323)</f>
        <v>M</v>
      </c>
      <c r="B323" s="4" t="str" cm="1">
        <f t="array" ref="B323">INDEX(Sheet1!B:B,$F323)</f>
        <v>Pref Resid NS</v>
      </c>
      <c r="C323" s="4">
        <f t="shared" si="18"/>
        <v>79</v>
      </c>
      <c r="D323" s="5" cm="1">
        <f t="array" aca="1" ref="D323" ca="1">OFFSET(INDIRECT("'["&amp;$H323&amp;"]"&amp;$I323&amp;"'!"&amp;$J323),$L323,$M323)*$K323</f>
        <v>5.1630000000000002E-2</v>
      </c>
      <c r="F323" s="4">
        <f t="shared" si="19"/>
        <v>4</v>
      </c>
      <c r="G323" s="4" cm="1">
        <f t="array" ref="G323">IF($C323&gt;=25,F323,IF($C323&lt;16,INDEX(Sheet1!C:C,$F323),$F323))</f>
        <v>4</v>
      </c>
      <c r="H323" s="4" t="str" cm="1">
        <f t="array" ref="H323">INDEX(Sheet1!D:D,$G323)</f>
        <v>2001-cso-preferred-class-structure-mortality-tables.xls</v>
      </c>
      <c r="I323" s="4" t="str" cm="1">
        <f t="array" ref="I323">INDEX(Sheet1!E:E,$G323)</f>
        <v>A.1.a.ii</v>
      </c>
      <c r="J323" s="4" t="str" cm="1">
        <f t="array" ref="J323">IF($C323&gt;=25,INDEX(Sheet1!G:G,$G323),INDEX(Sheet1!F:F,$G323))</f>
        <v>AA8</v>
      </c>
      <c r="K323" s="4" cm="1">
        <f t="array" ref="K323">INDEX(Sheet1!H:H,$G323)</f>
        <v>1E-3</v>
      </c>
      <c r="L323" s="4">
        <f t="shared" ref="L323:L386" si="20">IF($C323&gt;=25,$C323-25,0)</f>
        <v>54</v>
      </c>
      <c r="M323" s="4">
        <f t="shared" ref="M323:M386" si="21">IF($C323&gt;=25,0,$C323)</f>
        <v>0</v>
      </c>
    </row>
    <row r="324" spans="1:13">
      <c r="A324" s="4" t="str" cm="1">
        <f t="array" ref="A324">INDEX(Sheet1!A:A,$F324)</f>
        <v>M</v>
      </c>
      <c r="B324" s="4" t="str" cm="1">
        <f t="array" ref="B324">INDEX(Sheet1!B:B,$F324)</f>
        <v>Pref Resid NS</v>
      </c>
      <c r="C324" s="4">
        <f t="shared" ref="C324:C387" si="22">IF(C323=120,0,C323+1)</f>
        <v>80</v>
      </c>
      <c r="D324" s="5" cm="1">
        <f t="array" aca="1" ref="D324" ca="1">OFFSET(INDIRECT("'["&amp;$H324&amp;"]"&amp;$I324&amp;"'!"&amp;$J324),$L324,$M324)*$K324</f>
        <v>5.8200000000000002E-2</v>
      </c>
      <c r="F324" s="4">
        <f t="shared" ref="F324:F387" si="23">IF(C324=0,1,0)+F323</f>
        <v>4</v>
      </c>
      <c r="G324" s="4" cm="1">
        <f t="array" ref="G324">IF($C324&gt;=25,F324,IF($C324&lt;16,INDEX(Sheet1!C:C,$F324),$F324))</f>
        <v>4</v>
      </c>
      <c r="H324" s="4" t="str" cm="1">
        <f t="array" ref="H324">INDEX(Sheet1!D:D,$G324)</f>
        <v>2001-cso-preferred-class-structure-mortality-tables.xls</v>
      </c>
      <c r="I324" s="4" t="str" cm="1">
        <f t="array" ref="I324">INDEX(Sheet1!E:E,$G324)</f>
        <v>A.1.a.ii</v>
      </c>
      <c r="J324" s="4" t="str" cm="1">
        <f t="array" ref="J324">IF($C324&gt;=25,INDEX(Sheet1!G:G,$G324),INDEX(Sheet1!F:F,$G324))</f>
        <v>AA8</v>
      </c>
      <c r="K324" s="4" cm="1">
        <f t="array" ref="K324">INDEX(Sheet1!H:H,$G324)</f>
        <v>1E-3</v>
      </c>
      <c r="L324" s="4">
        <f t="shared" si="20"/>
        <v>55</v>
      </c>
      <c r="M324" s="4">
        <f t="shared" si="21"/>
        <v>0</v>
      </c>
    </row>
    <row r="325" spans="1:13">
      <c r="A325" s="4" t="str" cm="1">
        <f t="array" ref="A325">INDEX(Sheet1!A:A,$F325)</f>
        <v>M</v>
      </c>
      <c r="B325" s="4" t="str" cm="1">
        <f t="array" ref="B325">INDEX(Sheet1!B:B,$F325)</f>
        <v>Pref Resid NS</v>
      </c>
      <c r="C325" s="4">
        <f t="shared" si="22"/>
        <v>81</v>
      </c>
      <c r="D325" s="5" cm="1">
        <f t="array" aca="1" ref="D325" ca="1">OFFSET(INDIRECT("'["&amp;$H325&amp;"]"&amp;$I325&amp;"'!"&amp;$J325),$L325,$M325)*$K325</f>
        <v>6.5739999999999993E-2</v>
      </c>
      <c r="F325" s="4">
        <f t="shared" si="23"/>
        <v>4</v>
      </c>
      <c r="G325" s="4" cm="1">
        <f t="array" ref="G325">IF($C325&gt;=25,F325,IF($C325&lt;16,INDEX(Sheet1!C:C,$F325),$F325))</f>
        <v>4</v>
      </c>
      <c r="H325" s="4" t="str" cm="1">
        <f t="array" ref="H325">INDEX(Sheet1!D:D,$G325)</f>
        <v>2001-cso-preferred-class-structure-mortality-tables.xls</v>
      </c>
      <c r="I325" s="4" t="str" cm="1">
        <f t="array" ref="I325">INDEX(Sheet1!E:E,$G325)</f>
        <v>A.1.a.ii</v>
      </c>
      <c r="J325" s="4" t="str" cm="1">
        <f t="array" ref="J325">IF($C325&gt;=25,INDEX(Sheet1!G:G,$G325),INDEX(Sheet1!F:F,$G325))</f>
        <v>AA8</v>
      </c>
      <c r="K325" s="4" cm="1">
        <f t="array" ref="K325">INDEX(Sheet1!H:H,$G325)</f>
        <v>1E-3</v>
      </c>
      <c r="L325" s="4">
        <f t="shared" si="20"/>
        <v>56</v>
      </c>
      <c r="M325" s="4">
        <f t="shared" si="21"/>
        <v>0</v>
      </c>
    </row>
    <row r="326" spans="1:13">
      <c r="A326" s="4" t="str" cm="1">
        <f t="array" ref="A326">INDEX(Sheet1!A:A,$F326)</f>
        <v>M</v>
      </c>
      <c r="B326" s="4" t="str" cm="1">
        <f t="array" ref="B326">INDEX(Sheet1!B:B,$F326)</f>
        <v>Pref Resid NS</v>
      </c>
      <c r="C326" s="4">
        <f t="shared" si="22"/>
        <v>82</v>
      </c>
      <c r="D326" s="5" cm="1">
        <f t="array" aca="1" ref="D326" ca="1">OFFSET(INDIRECT("'["&amp;$H326&amp;"]"&amp;$I326&amp;"'!"&amp;$J326),$L326,$M326)*$K326</f>
        <v>7.3709999999999998E-2</v>
      </c>
      <c r="F326" s="4">
        <f t="shared" si="23"/>
        <v>4</v>
      </c>
      <c r="G326" s="4" cm="1">
        <f t="array" ref="G326">IF($C326&gt;=25,F326,IF($C326&lt;16,INDEX(Sheet1!C:C,$F326),$F326))</f>
        <v>4</v>
      </c>
      <c r="H326" s="4" t="str" cm="1">
        <f t="array" ref="H326">INDEX(Sheet1!D:D,$G326)</f>
        <v>2001-cso-preferred-class-structure-mortality-tables.xls</v>
      </c>
      <c r="I326" s="4" t="str" cm="1">
        <f t="array" ref="I326">INDEX(Sheet1!E:E,$G326)</f>
        <v>A.1.a.ii</v>
      </c>
      <c r="J326" s="4" t="str" cm="1">
        <f t="array" ref="J326">IF($C326&gt;=25,INDEX(Sheet1!G:G,$G326),INDEX(Sheet1!F:F,$G326))</f>
        <v>AA8</v>
      </c>
      <c r="K326" s="4" cm="1">
        <f t="array" ref="K326">INDEX(Sheet1!H:H,$G326)</f>
        <v>1E-3</v>
      </c>
      <c r="L326" s="4">
        <f t="shared" si="20"/>
        <v>57</v>
      </c>
      <c r="M326" s="4">
        <f t="shared" si="21"/>
        <v>0</v>
      </c>
    </row>
    <row r="327" spans="1:13">
      <c r="A327" s="4" t="str" cm="1">
        <f t="array" ref="A327">INDEX(Sheet1!A:A,$F327)</f>
        <v>M</v>
      </c>
      <c r="B327" s="4" t="str" cm="1">
        <f t="array" ref="B327">INDEX(Sheet1!B:B,$F327)</f>
        <v>Pref Resid NS</v>
      </c>
      <c r="C327" s="4">
        <f t="shared" si="22"/>
        <v>83</v>
      </c>
      <c r="D327" s="5" cm="1">
        <f t="array" aca="1" ref="D327" ca="1">OFFSET(INDIRECT("'["&amp;$H327&amp;"]"&amp;$I327&amp;"'!"&amp;$J327),$L327,$M327)*$K327</f>
        <v>8.2420000000000007E-2</v>
      </c>
      <c r="F327" s="4">
        <f t="shared" si="23"/>
        <v>4</v>
      </c>
      <c r="G327" s="4" cm="1">
        <f t="array" ref="G327">IF($C327&gt;=25,F327,IF($C327&lt;16,INDEX(Sheet1!C:C,$F327),$F327))</f>
        <v>4</v>
      </c>
      <c r="H327" s="4" t="str" cm="1">
        <f t="array" ref="H327">INDEX(Sheet1!D:D,$G327)</f>
        <v>2001-cso-preferred-class-structure-mortality-tables.xls</v>
      </c>
      <c r="I327" s="4" t="str" cm="1">
        <f t="array" ref="I327">INDEX(Sheet1!E:E,$G327)</f>
        <v>A.1.a.ii</v>
      </c>
      <c r="J327" s="4" t="str" cm="1">
        <f t="array" ref="J327">IF($C327&gt;=25,INDEX(Sheet1!G:G,$G327),INDEX(Sheet1!F:F,$G327))</f>
        <v>AA8</v>
      </c>
      <c r="K327" s="4" cm="1">
        <f t="array" ref="K327">INDEX(Sheet1!H:H,$G327)</f>
        <v>1E-3</v>
      </c>
      <c r="L327" s="4">
        <f t="shared" si="20"/>
        <v>58</v>
      </c>
      <c r="M327" s="4">
        <f t="shared" si="21"/>
        <v>0</v>
      </c>
    </row>
    <row r="328" spans="1:13">
      <c r="A328" s="4" t="str" cm="1">
        <f t="array" ref="A328">INDEX(Sheet1!A:A,$F328)</f>
        <v>M</v>
      </c>
      <c r="B328" s="4" t="str" cm="1">
        <f t="array" ref="B328">INDEX(Sheet1!B:B,$F328)</f>
        <v>Pref Resid NS</v>
      </c>
      <c r="C328" s="4">
        <f t="shared" si="22"/>
        <v>84</v>
      </c>
      <c r="D328" s="5" cm="1">
        <f t="array" aca="1" ref="D328" ca="1">OFFSET(INDIRECT("'["&amp;$H328&amp;"]"&amp;$I328&amp;"'!"&amp;$J328),$L328,$M328)*$K328</f>
        <v>9.2170000000000002E-2</v>
      </c>
      <c r="F328" s="4">
        <f t="shared" si="23"/>
        <v>4</v>
      </c>
      <c r="G328" s="4" cm="1">
        <f t="array" ref="G328">IF($C328&gt;=25,F328,IF($C328&lt;16,INDEX(Sheet1!C:C,$F328),$F328))</f>
        <v>4</v>
      </c>
      <c r="H328" s="4" t="str" cm="1">
        <f t="array" ref="H328">INDEX(Sheet1!D:D,$G328)</f>
        <v>2001-cso-preferred-class-structure-mortality-tables.xls</v>
      </c>
      <c r="I328" s="4" t="str" cm="1">
        <f t="array" ref="I328">INDEX(Sheet1!E:E,$G328)</f>
        <v>A.1.a.ii</v>
      </c>
      <c r="J328" s="4" t="str" cm="1">
        <f t="array" ref="J328">IF($C328&gt;=25,INDEX(Sheet1!G:G,$G328),INDEX(Sheet1!F:F,$G328))</f>
        <v>AA8</v>
      </c>
      <c r="K328" s="4" cm="1">
        <f t="array" ref="K328">INDEX(Sheet1!H:H,$G328)</f>
        <v>1E-3</v>
      </c>
      <c r="L328" s="4">
        <f t="shared" si="20"/>
        <v>59</v>
      </c>
      <c r="M328" s="4">
        <f t="shared" si="21"/>
        <v>0</v>
      </c>
    </row>
    <row r="329" spans="1:13">
      <c r="A329" s="4" t="str" cm="1">
        <f t="array" ref="A329">INDEX(Sheet1!A:A,$F329)</f>
        <v>M</v>
      </c>
      <c r="B329" s="4" t="str" cm="1">
        <f t="array" ref="B329">INDEX(Sheet1!B:B,$F329)</f>
        <v>Pref Resid NS</v>
      </c>
      <c r="C329" s="4">
        <f t="shared" si="22"/>
        <v>85</v>
      </c>
      <c r="D329" s="5" cm="1">
        <f t="array" aca="1" ref="D329" ca="1">OFFSET(INDIRECT("'["&amp;$H329&amp;"]"&amp;$I329&amp;"'!"&amp;$J329),$L329,$M329)*$K329</f>
        <v>0.10314000000000001</v>
      </c>
      <c r="F329" s="4">
        <f t="shared" si="23"/>
        <v>4</v>
      </c>
      <c r="G329" s="4" cm="1">
        <f t="array" ref="G329">IF($C329&gt;=25,F329,IF($C329&lt;16,INDEX(Sheet1!C:C,$F329),$F329))</f>
        <v>4</v>
      </c>
      <c r="H329" s="4" t="str" cm="1">
        <f t="array" ref="H329">INDEX(Sheet1!D:D,$G329)</f>
        <v>2001-cso-preferred-class-structure-mortality-tables.xls</v>
      </c>
      <c r="I329" s="4" t="str" cm="1">
        <f t="array" ref="I329">INDEX(Sheet1!E:E,$G329)</f>
        <v>A.1.a.ii</v>
      </c>
      <c r="J329" s="4" t="str" cm="1">
        <f t="array" ref="J329">IF($C329&gt;=25,INDEX(Sheet1!G:G,$G329),INDEX(Sheet1!F:F,$G329))</f>
        <v>AA8</v>
      </c>
      <c r="K329" s="4" cm="1">
        <f t="array" ref="K329">INDEX(Sheet1!H:H,$G329)</f>
        <v>1E-3</v>
      </c>
      <c r="L329" s="4">
        <f t="shared" si="20"/>
        <v>60</v>
      </c>
      <c r="M329" s="4">
        <f t="shared" si="21"/>
        <v>0</v>
      </c>
    </row>
    <row r="330" spans="1:13">
      <c r="A330" s="4" t="str" cm="1">
        <f t="array" ref="A330">INDEX(Sheet1!A:A,$F330)</f>
        <v>M</v>
      </c>
      <c r="B330" s="4" t="str" cm="1">
        <f t="array" ref="B330">INDEX(Sheet1!B:B,$F330)</f>
        <v>Pref Resid NS</v>
      </c>
      <c r="C330" s="4">
        <f t="shared" si="22"/>
        <v>86</v>
      </c>
      <c r="D330" s="5" cm="1">
        <f t="array" aca="1" ref="D330" ca="1">OFFSET(INDIRECT("'["&amp;$H330&amp;"]"&amp;$I330&amp;"'!"&amp;$J330),$L330,$M330)*$K330</f>
        <v>0.11544</v>
      </c>
      <c r="F330" s="4">
        <f t="shared" si="23"/>
        <v>4</v>
      </c>
      <c r="G330" s="4" cm="1">
        <f t="array" ref="G330">IF($C330&gt;=25,F330,IF($C330&lt;16,INDEX(Sheet1!C:C,$F330),$F330))</f>
        <v>4</v>
      </c>
      <c r="H330" s="4" t="str" cm="1">
        <f t="array" ref="H330">INDEX(Sheet1!D:D,$G330)</f>
        <v>2001-cso-preferred-class-structure-mortality-tables.xls</v>
      </c>
      <c r="I330" s="4" t="str" cm="1">
        <f t="array" ref="I330">INDEX(Sheet1!E:E,$G330)</f>
        <v>A.1.a.ii</v>
      </c>
      <c r="J330" s="4" t="str" cm="1">
        <f t="array" ref="J330">IF($C330&gt;=25,INDEX(Sheet1!G:G,$G330),INDEX(Sheet1!F:F,$G330))</f>
        <v>AA8</v>
      </c>
      <c r="K330" s="4" cm="1">
        <f t="array" ref="K330">INDEX(Sheet1!H:H,$G330)</f>
        <v>1E-3</v>
      </c>
      <c r="L330" s="4">
        <f t="shared" si="20"/>
        <v>61</v>
      </c>
      <c r="M330" s="4">
        <f t="shared" si="21"/>
        <v>0</v>
      </c>
    </row>
    <row r="331" spans="1:13">
      <c r="A331" s="4" t="str" cm="1">
        <f t="array" ref="A331">INDEX(Sheet1!A:A,$F331)</f>
        <v>M</v>
      </c>
      <c r="B331" s="4" t="str" cm="1">
        <f t="array" ref="B331">INDEX(Sheet1!B:B,$F331)</f>
        <v>Pref Resid NS</v>
      </c>
      <c r="C331" s="4">
        <f t="shared" si="22"/>
        <v>87</v>
      </c>
      <c r="D331" s="5" cm="1">
        <f t="array" aca="1" ref="D331" ca="1">OFFSET(INDIRECT("'["&amp;$H331&amp;"]"&amp;$I331&amp;"'!"&amp;$J331),$L331,$M331)*$K331</f>
        <v>0.12900999999999999</v>
      </c>
      <c r="F331" s="4">
        <f t="shared" si="23"/>
        <v>4</v>
      </c>
      <c r="G331" s="4" cm="1">
        <f t="array" ref="G331">IF($C331&gt;=25,F331,IF($C331&lt;16,INDEX(Sheet1!C:C,$F331),$F331))</f>
        <v>4</v>
      </c>
      <c r="H331" s="4" t="str" cm="1">
        <f t="array" ref="H331">INDEX(Sheet1!D:D,$G331)</f>
        <v>2001-cso-preferred-class-structure-mortality-tables.xls</v>
      </c>
      <c r="I331" s="4" t="str" cm="1">
        <f t="array" ref="I331">INDEX(Sheet1!E:E,$G331)</f>
        <v>A.1.a.ii</v>
      </c>
      <c r="J331" s="4" t="str" cm="1">
        <f t="array" ref="J331">IF($C331&gt;=25,INDEX(Sheet1!G:G,$G331),INDEX(Sheet1!F:F,$G331))</f>
        <v>AA8</v>
      </c>
      <c r="K331" s="4" cm="1">
        <f t="array" ref="K331">INDEX(Sheet1!H:H,$G331)</f>
        <v>1E-3</v>
      </c>
      <c r="L331" s="4">
        <f t="shared" si="20"/>
        <v>62</v>
      </c>
      <c r="M331" s="4">
        <f t="shared" si="21"/>
        <v>0</v>
      </c>
    </row>
    <row r="332" spans="1:13">
      <c r="A332" s="4" t="str" cm="1">
        <f t="array" ref="A332">INDEX(Sheet1!A:A,$F332)</f>
        <v>M</v>
      </c>
      <c r="B332" s="4" t="str" cm="1">
        <f t="array" ref="B332">INDEX(Sheet1!B:B,$F332)</f>
        <v>Pref Resid NS</v>
      </c>
      <c r="C332" s="4">
        <f t="shared" si="22"/>
        <v>88</v>
      </c>
      <c r="D332" s="5" cm="1">
        <f t="array" aca="1" ref="D332" ca="1">OFFSET(INDIRECT("'["&amp;$H332&amp;"]"&amp;$I332&amp;"'!"&amp;$J332),$L332,$M332)*$K332</f>
        <v>0.14375000000000002</v>
      </c>
      <c r="F332" s="4">
        <f t="shared" si="23"/>
        <v>4</v>
      </c>
      <c r="G332" s="4" cm="1">
        <f t="array" ref="G332">IF($C332&gt;=25,F332,IF($C332&lt;16,INDEX(Sheet1!C:C,$F332),$F332))</f>
        <v>4</v>
      </c>
      <c r="H332" s="4" t="str" cm="1">
        <f t="array" ref="H332">INDEX(Sheet1!D:D,$G332)</f>
        <v>2001-cso-preferred-class-structure-mortality-tables.xls</v>
      </c>
      <c r="I332" s="4" t="str" cm="1">
        <f t="array" ref="I332">INDEX(Sheet1!E:E,$G332)</f>
        <v>A.1.a.ii</v>
      </c>
      <c r="J332" s="4" t="str" cm="1">
        <f t="array" ref="J332">IF($C332&gt;=25,INDEX(Sheet1!G:G,$G332),INDEX(Sheet1!F:F,$G332))</f>
        <v>AA8</v>
      </c>
      <c r="K332" s="4" cm="1">
        <f t="array" ref="K332">INDEX(Sheet1!H:H,$G332)</f>
        <v>1E-3</v>
      </c>
      <c r="L332" s="4">
        <f t="shared" si="20"/>
        <v>63</v>
      </c>
      <c r="M332" s="4">
        <f t="shared" si="21"/>
        <v>0</v>
      </c>
    </row>
    <row r="333" spans="1:13">
      <c r="A333" s="4" t="str" cm="1">
        <f t="array" ref="A333">INDEX(Sheet1!A:A,$F333)</f>
        <v>M</v>
      </c>
      <c r="B333" s="4" t="str" cm="1">
        <f t="array" ref="B333">INDEX(Sheet1!B:B,$F333)</f>
        <v>Pref Resid NS</v>
      </c>
      <c r="C333" s="4">
        <f t="shared" si="22"/>
        <v>89</v>
      </c>
      <c r="D333" s="5" cm="1">
        <f t="array" aca="1" ref="D333" ca="1">OFFSET(INDIRECT("'["&amp;$H333&amp;"]"&amp;$I333&amp;"'!"&amp;$J333),$L333,$M333)*$K333</f>
        <v>0.15950999999999999</v>
      </c>
      <c r="F333" s="4">
        <f t="shared" si="23"/>
        <v>4</v>
      </c>
      <c r="G333" s="4" cm="1">
        <f t="array" ref="G333">IF($C333&gt;=25,F333,IF($C333&lt;16,INDEX(Sheet1!C:C,$F333),$F333))</f>
        <v>4</v>
      </c>
      <c r="H333" s="4" t="str" cm="1">
        <f t="array" ref="H333">INDEX(Sheet1!D:D,$G333)</f>
        <v>2001-cso-preferred-class-structure-mortality-tables.xls</v>
      </c>
      <c r="I333" s="4" t="str" cm="1">
        <f t="array" ref="I333">INDEX(Sheet1!E:E,$G333)</f>
        <v>A.1.a.ii</v>
      </c>
      <c r="J333" s="4" t="str" cm="1">
        <f t="array" ref="J333">IF($C333&gt;=25,INDEX(Sheet1!G:G,$G333),INDEX(Sheet1!F:F,$G333))</f>
        <v>AA8</v>
      </c>
      <c r="K333" s="4" cm="1">
        <f t="array" ref="K333">INDEX(Sheet1!H:H,$G333)</f>
        <v>1E-3</v>
      </c>
      <c r="L333" s="4">
        <f t="shared" si="20"/>
        <v>64</v>
      </c>
      <c r="M333" s="4">
        <f t="shared" si="21"/>
        <v>0</v>
      </c>
    </row>
    <row r="334" spans="1:13">
      <c r="A334" s="4" t="str" cm="1">
        <f t="array" ref="A334">INDEX(Sheet1!A:A,$F334)</f>
        <v>M</v>
      </c>
      <c r="B334" s="4" t="str" cm="1">
        <f t="array" ref="B334">INDEX(Sheet1!B:B,$F334)</f>
        <v>Pref Resid NS</v>
      </c>
      <c r="C334" s="4">
        <f t="shared" si="22"/>
        <v>90</v>
      </c>
      <c r="D334" s="5" cm="1">
        <f t="array" aca="1" ref="D334" ca="1">OFFSET(INDIRECT("'["&amp;$H334&amp;"]"&amp;$I334&amp;"'!"&amp;$J334),$L334,$M334)*$K334</f>
        <v>0.1762</v>
      </c>
      <c r="F334" s="4">
        <f t="shared" si="23"/>
        <v>4</v>
      </c>
      <c r="G334" s="4" cm="1">
        <f t="array" ref="G334">IF($C334&gt;=25,F334,IF($C334&lt;16,INDEX(Sheet1!C:C,$F334),$F334))</f>
        <v>4</v>
      </c>
      <c r="H334" s="4" t="str" cm="1">
        <f t="array" ref="H334">INDEX(Sheet1!D:D,$G334)</f>
        <v>2001-cso-preferred-class-structure-mortality-tables.xls</v>
      </c>
      <c r="I334" s="4" t="str" cm="1">
        <f t="array" ref="I334">INDEX(Sheet1!E:E,$G334)</f>
        <v>A.1.a.ii</v>
      </c>
      <c r="J334" s="4" t="str" cm="1">
        <f t="array" ref="J334">IF($C334&gt;=25,INDEX(Sheet1!G:G,$G334),INDEX(Sheet1!F:F,$G334))</f>
        <v>AA8</v>
      </c>
      <c r="K334" s="4" cm="1">
        <f t="array" ref="K334">INDEX(Sheet1!H:H,$G334)</f>
        <v>1E-3</v>
      </c>
      <c r="L334" s="4">
        <f t="shared" si="20"/>
        <v>65</v>
      </c>
      <c r="M334" s="4">
        <f t="shared" si="21"/>
        <v>0</v>
      </c>
    </row>
    <row r="335" spans="1:13">
      <c r="A335" s="4" t="str" cm="1">
        <f t="array" ref="A335">INDEX(Sheet1!A:A,$F335)</f>
        <v>M</v>
      </c>
      <c r="B335" s="4" t="str" cm="1">
        <f t="array" ref="B335">INDEX(Sheet1!B:B,$F335)</f>
        <v>Pref Resid NS</v>
      </c>
      <c r="C335" s="4">
        <f t="shared" si="22"/>
        <v>91</v>
      </c>
      <c r="D335" s="5" cm="1">
        <f t="array" aca="1" ref="D335" ca="1">OFFSET(INDIRECT("'["&amp;$H335&amp;"]"&amp;$I335&amp;"'!"&amp;$J335),$L335,$M335)*$K335</f>
        <v>0.19228000000000001</v>
      </c>
      <c r="F335" s="4">
        <f t="shared" si="23"/>
        <v>4</v>
      </c>
      <c r="G335" s="4" cm="1">
        <f t="array" ref="G335">IF($C335&gt;=25,F335,IF($C335&lt;16,INDEX(Sheet1!C:C,$F335),$F335))</f>
        <v>4</v>
      </c>
      <c r="H335" s="4" t="str" cm="1">
        <f t="array" ref="H335">INDEX(Sheet1!D:D,$G335)</f>
        <v>2001-cso-preferred-class-structure-mortality-tables.xls</v>
      </c>
      <c r="I335" s="4" t="str" cm="1">
        <f t="array" ref="I335">INDEX(Sheet1!E:E,$G335)</f>
        <v>A.1.a.ii</v>
      </c>
      <c r="J335" s="4" t="str" cm="1">
        <f t="array" ref="J335">IF($C335&gt;=25,INDEX(Sheet1!G:G,$G335),INDEX(Sheet1!F:F,$G335))</f>
        <v>AA8</v>
      </c>
      <c r="K335" s="4" cm="1">
        <f t="array" ref="K335">INDEX(Sheet1!H:H,$G335)</f>
        <v>1E-3</v>
      </c>
      <c r="L335" s="4">
        <f t="shared" si="20"/>
        <v>66</v>
      </c>
      <c r="M335" s="4">
        <f t="shared" si="21"/>
        <v>0</v>
      </c>
    </row>
    <row r="336" spans="1:13">
      <c r="A336" s="4" t="str" cm="1">
        <f t="array" ref="A336">INDEX(Sheet1!A:A,$F336)</f>
        <v>M</v>
      </c>
      <c r="B336" s="4" t="str" cm="1">
        <f t="array" ref="B336">INDEX(Sheet1!B:B,$F336)</f>
        <v>Pref Resid NS</v>
      </c>
      <c r="C336" s="4">
        <f t="shared" si="22"/>
        <v>92</v>
      </c>
      <c r="D336" s="5" cm="1">
        <f t="array" aca="1" ref="D336" ca="1">OFFSET(INDIRECT("'["&amp;$H336&amp;"]"&amp;$I336&amp;"'!"&amp;$J336),$L336,$M336)*$K336</f>
        <v>0.20929</v>
      </c>
      <c r="F336" s="4">
        <f t="shared" si="23"/>
        <v>4</v>
      </c>
      <c r="G336" s="4" cm="1">
        <f t="array" ref="G336">IF($C336&gt;=25,F336,IF($C336&lt;16,INDEX(Sheet1!C:C,$F336),$F336))</f>
        <v>4</v>
      </c>
      <c r="H336" s="4" t="str" cm="1">
        <f t="array" ref="H336">INDEX(Sheet1!D:D,$G336)</f>
        <v>2001-cso-preferred-class-structure-mortality-tables.xls</v>
      </c>
      <c r="I336" s="4" t="str" cm="1">
        <f t="array" ref="I336">INDEX(Sheet1!E:E,$G336)</f>
        <v>A.1.a.ii</v>
      </c>
      <c r="J336" s="4" t="str" cm="1">
        <f t="array" ref="J336">IF($C336&gt;=25,INDEX(Sheet1!G:G,$G336),INDEX(Sheet1!F:F,$G336))</f>
        <v>AA8</v>
      </c>
      <c r="K336" s="4" cm="1">
        <f t="array" ref="K336">INDEX(Sheet1!H:H,$G336)</f>
        <v>1E-3</v>
      </c>
      <c r="L336" s="4">
        <f t="shared" si="20"/>
        <v>67</v>
      </c>
      <c r="M336" s="4">
        <f t="shared" si="21"/>
        <v>0</v>
      </c>
    </row>
    <row r="337" spans="1:13">
      <c r="A337" s="4" t="str" cm="1">
        <f t="array" ref="A337">INDEX(Sheet1!A:A,$F337)</f>
        <v>M</v>
      </c>
      <c r="B337" s="4" t="str" cm="1">
        <f t="array" ref="B337">INDEX(Sheet1!B:B,$F337)</f>
        <v>Pref Resid NS</v>
      </c>
      <c r="C337" s="4">
        <f t="shared" si="22"/>
        <v>93</v>
      </c>
      <c r="D337" s="5" cm="1">
        <f t="array" aca="1" ref="D337" ca="1">OFFSET(INDIRECT("'["&amp;$H337&amp;"]"&amp;$I337&amp;"'!"&amp;$J337),$L337,$M337)*$K337</f>
        <v>0.22740000000000002</v>
      </c>
      <c r="F337" s="4">
        <f t="shared" si="23"/>
        <v>4</v>
      </c>
      <c r="G337" s="4" cm="1">
        <f t="array" ref="G337">IF($C337&gt;=25,F337,IF($C337&lt;16,INDEX(Sheet1!C:C,$F337),$F337))</f>
        <v>4</v>
      </c>
      <c r="H337" s="4" t="str" cm="1">
        <f t="array" ref="H337">INDEX(Sheet1!D:D,$G337)</f>
        <v>2001-cso-preferred-class-structure-mortality-tables.xls</v>
      </c>
      <c r="I337" s="4" t="str" cm="1">
        <f t="array" ref="I337">INDEX(Sheet1!E:E,$G337)</f>
        <v>A.1.a.ii</v>
      </c>
      <c r="J337" s="4" t="str" cm="1">
        <f t="array" ref="J337">IF($C337&gt;=25,INDEX(Sheet1!G:G,$G337),INDEX(Sheet1!F:F,$G337))</f>
        <v>AA8</v>
      </c>
      <c r="K337" s="4" cm="1">
        <f t="array" ref="K337">INDEX(Sheet1!H:H,$G337)</f>
        <v>1E-3</v>
      </c>
      <c r="L337" s="4">
        <f t="shared" si="20"/>
        <v>68</v>
      </c>
      <c r="M337" s="4">
        <f t="shared" si="21"/>
        <v>0</v>
      </c>
    </row>
    <row r="338" spans="1:13">
      <c r="A338" s="4" t="str" cm="1">
        <f t="array" ref="A338">INDEX(Sheet1!A:A,$F338)</f>
        <v>M</v>
      </c>
      <c r="B338" s="4" t="str" cm="1">
        <f t="array" ref="B338">INDEX(Sheet1!B:B,$F338)</f>
        <v>Pref Resid NS</v>
      </c>
      <c r="C338" s="4">
        <f t="shared" si="22"/>
        <v>94</v>
      </c>
      <c r="D338" s="5" cm="1">
        <f t="array" aca="1" ref="D338" ca="1">OFFSET(INDIRECT("'["&amp;$H338&amp;"]"&amp;$I338&amp;"'!"&amp;$J338),$L338,$M338)*$K338</f>
        <v>0.24671999999999999</v>
      </c>
      <c r="F338" s="4">
        <f t="shared" si="23"/>
        <v>4</v>
      </c>
      <c r="G338" s="4" cm="1">
        <f t="array" ref="G338">IF($C338&gt;=25,F338,IF($C338&lt;16,INDEX(Sheet1!C:C,$F338),$F338))</f>
        <v>4</v>
      </c>
      <c r="H338" s="4" t="str" cm="1">
        <f t="array" ref="H338">INDEX(Sheet1!D:D,$G338)</f>
        <v>2001-cso-preferred-class-structure-mortality-tables.xls</v>
      </c>
      <c r="I338" s="4" t="str" cm="1">
        <f t="array" ref="I338">INDEX(Sheet1!E:E,$G338)</f>
        <v>A.1.a.ii</v>
      </c>
      <c r="J338" s="4" t="str" cm="1">
        <f t="array" ref="J338">IF($C338&gt;=25,INDEX(Sheet1!G:G,$G338),INDEX(Sheet1!F:F,$G338))</f>
        <v>AA8</v>
      </c>
      <c r="K338" s="4" cm="1">
        <f t="array" ref="K338">INDEX(Sheet1!H:H,$G338)</f>
        <v>1E-3</v>
      </c>
      <c r="L338" s="4">
        <f t="shared" si="20"/>
        <v>69</v>
      </c>
      <c r="M338" s="4">
        <f t="shared" si="21"/>
        <v>0</v>
      </c>
    </row>
    <row r="339" spans="1:13">
      <c r="A339" s="4" t="str" cm="1">
        <f t="array" ref="A339">INDEX(Sheet1!A:A,$F339)</f>
        <v>M</v>
      </c>
      <c r="B339" s="4" t="str" cm="1">
        <f t="array" ref="B339">INDEX(Sheet1!B:B,$F339)</f>
        <v>Pref Resid NS</v>
      </c>
      <c r="C339" s="4">
        <f t="shared" si="22"/>
        <v>95</v>
      </c>
      <c r="D339" s="5" cm="1">
        <f t="array" aca="1" ref="D339" ca="1">OFFSET(INDIRECT("'["&amp;$H339&amp;"]"&amp;$I339&amp;"'!"&amp;$J339),$L339,$M339)*$K339</f>
        <v>0.26718999999999998</v>
      </c>
      <c r="F339" s="4">
        <f t="shared" si="23"/>
        <v>4</v>
      </c>
      <c r="G339" s="4" cm="1">
        <f t="array" ref="G339">IF($C339&gt;=25,F339,IF($C339&lt;16,INDEX(Sheet1!C:C,$F339),$F339))</f>
        <v>4</v>
      </c>
      <c r="H339" s="4" t="str" cm="1">
        <f t="array" ref="H339">INDEX(Sheet1!D:D,$G339)</f>
        <v>2001-cso-preferred-class-structure-mortality-tables.xls</v>
      </c>
      <c r="I339" s="4" t="str" cm="1">
        <f t="array" ref="I339">INDEX(Sheet1!E:E,$G339)</f>
        <v>A.1.a.ii</v>
      </c>
      <c r="J339" s="4" t="str" cm="1">
        <f t="array" ref="J339">IF($C339&gt;=25,INDEX(Sheet1!G:G,$G339),INDEX(Sheet1!F:F,$G339))</f>
        <v>AA8</v>
      </c>
      <c r="K339" s="4" cm="1">
        <f t="array" ref="K339">INDEX(Sheet1!H:H,$G339)</f>
        <v>1E-3</v>
      </c>
      <c r="L339" s="4">
        <f t="shared" si="20"/>
        <v>70</v>
      </c>
      <c r="M339" s="4">
        <f t="shared" si="21"/>
        <v>0</v>
      </c>
    </row>
    <row r="340" spans="1:13">
      <c r="A340" s="4" t="str" cm="1">
        <f t="array" ref="A340">INDEX(Sheet1!A:A,$F340)</f>
        <v>M</v>
      </c>
      <c r="B340" s="4" t="str" cm="1">
        <f t="array" ref="B340">INDEX(Sheet1!B:B,$F340)</f>
        <v>Pref Resid NS</v>
      </c>
      <c r="C340" s="4">
        <f t="shared" si="22"/>
        <v>96</v>
      </c>
      <c r="D340" s="5" cm="1">
        <f t="array" aca="1" ref="D340" ca="1">OFFSET(INDIRECT("'["&amp;$H340&amp;"]"&amp;$I340&amp;"'!"&amp;$J340),$L340,$M340)*$K340</f>
        <v>0.28379000000000004</v>
      </c>
      <c r="F340" s="4">
        <f t="shared" si="23"/>
        <v>4</v>
      </c>
      <c r="G340" s="4" cm="1">
        <f t="array" ref="G340">IF($C340&gt;=25,F340,IF($C340&lt;16,INDEX(Sheet1!C:C,$F340),$F340))</f>
        <v>4</v>
      </c>
      <c r="H340" s="4" t="str" cm="1">
        <f t="array" ref="H340">INDEX(Sheet1!D:D,$G340)</f>
        <v>2001-cso-preferred-class-structure-mortality-tables.xls</v>
      </c>
      <c r="I340" s="4" t="str" cm="1">
        <f t="array" ref="I340">INDEX(Sheet1!E:E,$G340)</f>
        <v>A.1.a.ii</v>
      </c>
      <c r="J340" s="4" t="str" cm="1">
        <f t="array" ref="J340">IF($C340&gt;=25,INDEX(Sheet1!G:G,$G340),INDEX(Sheet1!F:F,$G340))</f>
        <v>AA8</v>
      </c>
      <c r="K340" s="4" cm="1">
        <f t="array" ref="K340">INDEX(Sheet1!H:H,$G340)</f>
        <v>1E-3</v>
      </c>
      <c r="L340" s="4">
        <f t="shared" si="20"/>
        <v>71</v>
      </c>
      <c r="M340" s="4">
        <f t="shared" si="21"/>
        <v>0</v>
      </c>
    </row>
    <row r="341" spans="1:13">
      <c r="A341" s="4" t="str" cm="1">
        <f t="array" ref="A341">INDEX(Sheet1!A:A,$F341)</f>
        <v>M</v>
      </c>
      <c r="B341" s="4" t="str" cm="1">
        <f t="array" ref="B341">INDEX(Sheet1!B:B,$F341)</f>
        <v>Pref Resid NS</v>
      </c>
      <c r="C341" s="4">
        <f t="shared" si="22"/>
        <v>97</v>
      </c>
      <c r="D341" s="5" cm="1">
        <f t="array" aca="1" ref="D341" ca="1">OFFSET(INDIRECT("'["&amp;$H341&amp;"]"&amp;$I341&amp;"'!"&amp;$J341),$L341,$M341)*$K341</f>
        <v>0.30149000000000004</v>
      </c>
      <c r="F341" s="4">
        <f t="shared" si="23"/>
        <v>4</v>
      </c>
      <c r="G341" s="4" cm="1">
        <f t="array" ref="G341">IF($C341&gt;=25,F341,IF($C341&lt;16,INDEX(Sheet1!C:C,$F341),$F341))</f>
        <v>4</v>
      </c>
      <c r="H341" s="4" t="str" cm="1">
        <f t="array" ref="H341">INDEX(Sheet1!D:D,$G341)</f>
        <v>2001-cso-preferred-class-structure-mortality-tables.xls</v>
      </c>
      <c r="I341" s="4" t="str" cm="1">
        <f t="array" ref="I341">INDEX(Sheet1!E:E,$G341)</f>
        <v>A.1.a.ii</v>
      </c>
      <c r="J341" s="4" t="str" cm="1">
        <f t="array" ref="J341">IF($C341&gt;=25,INDEX(Sheet1!G:G,$G341),INDEX(Sheet1!F:F,$G341))</f>
        <v>AA8</v>
      </c>
      <c r="K341" s="4" cm="1">
        <f t="array" ref="K341">INDEX(Sheet1!H:H,$G341)</f>
        <v>1E-3</v>
      </c>
      <c r="L341" s="4">
        <f t="shared" si="20"/>
        <v>72</v>
      </c>
      <c r="M341" s="4">
        <f t="shared" si="21"/>
        <v>0</v>
      </c>
    </row>
    <row r="342" spans="1:13">
      <c r="A342" s="4" t="str" cm="1">
        <f t="array" ref="A342">INDEX(Sheet1!A:A,$F342)</f>
        <v>M</v>
      </c>
      <c r="B342" s="4" t="str" cm="1">
        <f t="array" ref="B342">INDEX(Sheet1!B:B,$F342)</f>
        <v>Pref Resid NS</v>
      </c>
      <c r="C342" s="4">
        <f t="shared" si="22"/>
        <v>98</v>
      </c>
      <c r="D342" s="5" cm="1">
        <f t="array" aca="1" ref="D342" ca="1">OFFSET(INDIRECT("'["&amp;$H342&amp;"]"&amp;$I342&amp;"'!"&amp;$J342),$L342,$M342)*$K342</f>
        <v>0.32038</v>
      </c>
      <c r="F342" s="4">
        <f t="shared" si="23"/>
        <v>4</v>
      </c>
      <c r="G342" s="4" cm="1">
        <f t="array" ref="G342">IF($C342&gt;=25,F342,IF($C342&lt;16,INDEX(Sheet1!C:C,$F342),$F342))</f>
        <v>4</v>
      </c>
      <c r="H342" s="4" t="str" cm="1">
        <f t="array" ref="H342">INDEX(Sheet1!D:D,$G342)</f>
        <v>2001-cso-preferred-class-structure-mortality-tables.xls</v>
      </c>
      <c r="I342" s="4" t="str" cm="1">
        <f t="array" ref="I342">INDEX(Sheet1!E:E,$G342)</f>
        <v>A.1.a.ii</v>
      </c>
      <c r="J342" s="4" t="str" cm="1">
        <f t="array" ref="J342">IF($C342&gt;=25,INDEX(Sheet1!G:G,$G342),INDEX(Sheet1!F:F,$G342))</f>
        <v>AA8</v>
      </c>
      <c r="K342" s="4" cm="1">
        <f t="array" ref="K342">INDEX(Sheet1!H:H,$G342)</f>
        <v>1E-3</v>
      </c>
      <c r="L342" s="4">
        <f t="shared" si="20"/>
        <v>73</v>
      </c>
      <c r="M342" s="4">
        <f t="shared" si="21"/>
        <v>0</v>
      </c>
    </row>
    <row r="343" spans="1:13">
      <c r="A343" s="4" t="str" cm="1">
        <f t="array" ref="A343">INDEX(Sheet1!A:A,$F343)</f>
        <v>M</v>
      </c>
      <c r="B343" s="4" t="str" cm="1">
        <f t="array" ref="B343">INDEX(Sheet1!B:B,$F343)</f>
        <v>Pref Resid NS</v>
      </c>
      <c r="C343" s="4">
        <f t="shared" si="22"/>
        <v>99</v>
      </c>
      <c r="D343" s="5" cm="1">
        <f t="array" aca="1" ref="D343" ca="1">OFFSET(INDIRECT("'["&amp;$H343&amp;"]"&amp;$I343&amp;"'!"&amp;$J343),$L343,$M343)*$K343</f>
        <v>0.34054000000000001</v>
      </c>
      <c r="F343" s="4">
        <f t="shared" si="23"/>
        <v>4</v>
      </c>
      <c r="G343" s="4" cm="1">
        <f t="array" ref="G343">IF($C343&gt;=25,F343,IF($C343&lt;16,INDEX(Sheet1!C:C,$F343),$F343))</f>
        <v>4</v>
      </c>
      <c r="H343" s="4" t="str" cm="1">
        <f t="array" ref="H343">INDEX(Sheet1!D:D,$G343)</f>
        <v>2001-cso-preferred-class-structure-mortality-tables.xls</v>
      </c>
      <c r="I343" s="4" t="str" cm="1">
        <f t="array" ref="I343">INDEX(Sheet1!E:E,$G343)</f>
        <v>A.1.a.ii</v>
      </c>
      <c r="J343" s="4" t="str" cm="1">
        <f t="array" ref="J343">IF($C343&gt;=25,INDEX(Sheet1!G:G,$G343),INDEX(Sheet1!F:F,$G343))</f>
        <v>AA8</v>
      </c>
      <c r="K343" s="4" cm="1">
        <f t="array" ref="K343">INDEX(Sheet1!H:H,$G343)</f>
        <v>1E-3</v>
      </c>
      <c r="L343" s="4">
        <f t="shared" si="20"/>
        <v>74</v>
      </c>
      <c r="M343" s="4">
        <f t="shared" si="21"/>
        <v>0</v>
      </c>
    </row>
    <row r="344" spans="1:13">
      <c r="A344" s="4" t="str" cm="1">
        <f t="array" ref="A344">INDEX(Sheet1!A:A,$F344)</f>
        <v>M</v>
      </c>
      <c r="B344" s="4" t="str" cm="1">
        <f t="array" ref="B344">INDEX(Sheet1!B:B,$F344)</f>
        <v>Pref Resid NS</v>
      </c>
      <c r="C344" s="4">
        <f t="shared" si="22"/>
        <v>100</v>
      </c>
      <c r="D344" s="5" cm="1">
        <f t="array" aca="1" ref="D344" ca="1">OFFSET(INDIRECT("'["&amp;$H344&amp;"]"&amp;$I344&amp;"'!"&amp;$J344),$L344,$M344)*$K344</f>
        <v>0.36210000000000003</v>
      </c>
      <c r="F344" s="4">
        <f t="shared" si="23"/>
        <v>4</v>
      </c>
      <c r="G344" s="4" cm="1">
        <f t="array" ref="G344">IF($C344&gt;=25,F344,IF($C344&lt;16,INDEX(Sheet1!C:C,$F344),$F344))</f>
        <v>4</v>
      </c>
      <c r="H344" s="4" t="str" cm="1">
        <f t="array" ref="H344">INDEX(Sheet1!D:D,$G344)</f>
        <v>2001-cso-preferred-class-structure-mortality-tables.xls</v>
      </c>
      <c r="I344" s="4" t="str" cm="1">
        <f t="array" ref="I344">INDEX(Sheet1!E:E,$G344)</f>
        <v>A.1.a.ii</v>
      </c>
      <c r="J344" s="4" t="str" cm="1">
        <f t="array" ref="J344">IF($C344&gt;=25,INDEX(Sheet1!G:G,$G344),INDEX(Sheet1!F:F,$G344))</f>
        <v>AA8</v>
      </c>
      <c r="K344" s="4" cm="1">
        <f t="array" ref="K344">INDEX(Sheet1!H:H,$G344)</f>
        <v>1E-3</v>
      </c>
      <c r="L344" s="4">
        <f t="shared" si="20"/>
        <v>75</v>
      </c>
      <c r="M344" s="4">
        <f t="shared" si="21"/>
        <v>0</v>
      </c>
    </row>
    <row r="345" spans="1:13">
      <c r="A345" s="4" t="str" cm="1">
        <f t="array" ref="A345">INDEX(Sheet1!A:A,$F345)</f>
        <v>M</v>
      </c>
      <c r="B345" s="4" t="str" cm="1">
        <f t="array" ref="B345">INDEX(Sheet1!B:B,$F345)</f>
        <v>Pref Resid NS</v>
      </c>
      <c r="C345" s="4">
        <f t="shared" si="22"/>
        <v>101</v>
      </c>
      <c r="D345" s="5" cm="1">
        <f t="array" aca="1" ref="D345" ca="1">OFFSET(INDIRECT("'["&amp;$H345&amp;"]"&amp;$I345&amp;"'!"&amp;$J345),$L345,$M345)*$K345</f>
        <v>0.37920999999999999</v>
      </c>
      <c r="F345" s="4">
        <f t="shared" si="23"/>
        <v>4</v>
      </c>
      <c r="G345" s="4" cm="1">
        <f t="array" ref="G345">IF($C345&gt;=25,F345,IF($C345&lt;16,INDEX(Sheet1!C:C,$F345),$F345))</f>
        <v>4</v>
      </c>
      <c r="H345" s="4" t="str" cm="1">
        <f t="array" ref="H345">INDEX(Sheet1!D:D,$G345)</f>
        <v>2001-cso-preferred-class-structure-mortality-tables.xls</v>
      </c>
      <c r="I345" s="4" t="str" cm="1">
        <f t="array" ref="I345">INDEX(Sheet1!E:E,$G345)</f>
        <v>A.1.a.ii</v>
      </c>
      <c r="J345" s="4" t="str" cm="1">
        <f t="array" ref="J345">IF($C345&gt;=25,INDEX(Sheet1!G:G,$G345),INDEX(Sheet1!F:F,$G345))</f>
        <v>AA8</v>
      </c>
      <c r="K345" s="4" cm="1">
        <f t="array" ref="K345">INDEX(Sheet1!H:H,$G345)</f>
        <v>1E-3</v>
      </c>
      <c r="L345" s="4">
        <f t="shared" si="20"/>
        <v>76</v>
      </c>
      <c r="M345" s="4">
        <f t="shared" si="21"/>
        <v>0</v>
      </c>
    </row>
    <row r="346" spans="1:13">
      <c r="A346" s="4" t="str" cm="1">
        <f t="array" ref="A346">INDEX(Sheet1!A:A,$F346)</f>
        <v>M</v>
      </c>
      <c r="B346" s="4" t="str" cm="1">
        <f t="array" ref="B346">INDEX(Sheet1!B:B,$F346)</f>
        <v>Pref Resid NS</v>
      </c>
      <c r="C346" s="4">
        <f t="shared" si="22"/>
        <v>102</v>
      </c>
      <c r="D346" s="5" cm="1">
        <f t="array" aca="1" ref="D346" ca="1">OFFSET(INDIRECT("'["&amp;$H346&amp;"]"&amp;$I346&amp;"'!"&amp;$J346),$L346,$M346)*$K346</f>
        <v>0.39744000000000002</v>
      </c>
      <c r="F346" s="4">
        <f t="shared" si="23"/>
        <v>4</v>
      </c>
      <c r="G346" s="4" cm="1">
        <f t="array" ref="G346">IF($C346&gt;=25,F346,IF($C346&lt;16,INDEX(Sheet1!C:C,$F346),$F346))</f>
        <v>4</v>
      </c>
      <c r="H346" s="4" t="str" cm="1">
        <f t="array" ref="H346">INDEX(Sheet1!D:D,$G346)</f>
        <v>2001-cso-preferred-class-structure-mortality-tables.xls</v>
      </c>
      <c r="I346" s="4" t="str" cm="1">
        <f t="array" ref="I346">INDEX(Sheet1!E:E,$G346)</f>
        <v>A.1.a.ii</v>
      </c>
      <c r="J346" s="4" t="str" cm="1">
        <f t="array" ref="J346">IF($C346&gt;=25,INDEX(Sheet1!G:G,$G346),INDEX(Sheet1!F:F,$G346))</f>
        <v>AA8</v>
      </c>
      <c r="K346" s="4" cm="1">
        <f t="array" ref="K346">INDEX(Sheet1!H:H,$G346)</f>
        <v>1E-3</v>
      </c>
      <c r="L346" s="4">
        <f t="shared" si="20"/>
        <v>77</v>
      </c>
      <c r="M346" s="4">
        <f t="shared" si="21"/>
        <v>0</v>
      </c>
    </row>
    <row r="347" spans="1:13">
      <c r="A347" s="4" t="str" cm="1">
        <f t="array" ref="A347">INDEX(Sheet1!A:A,$F347)</f>
        <v>M</v>
      </c>
      <c r="B347" s="4" t="str" cm="1">
        <f t="array" ref="B347">INDEX(Sheet1!B:B,$F347)</f>
        <v>Pref Resid NS</v>
      </c>
      <c r="C347" s="4">
        <f t="shared" si="22"/>
        <v>103</v>
      </c>
      <c r="D347" s="5" cm="1">
        <f t="array" aca="1" ref="D347" ca="1">OFFSET(INDIRECT("'["&amp;$H347&amp;"]"&amp;$I347&amp;"'!"&amp;$J347),$L347,$M347)*$K347</f>
        <v>0.41683999999999999</v>
      </c>
      <c r="F347" s="4">
        <f t="shared" si="23"/>
        <v>4</v>
      </c>
      <c r="G347" s="4" cm="1">
        <f t="array" ref="G347">IF($C347&gt;=25,F347,IF($C347&lt;16,INDEX(Sheet1!C:C,$F347),$F347))</f>
        <v>4</v>
      </c>
      <c r="H347" s="4" t="str" cm="1">
        <f t="array" ref="H347">INDEX(Sheet1!D:D,$G347)</f>
        <v>2001-cso-preferred-class-structure-mortality-tables.xls</v>
      </c>
      <c r="I347" s="4" t="str" cm="1">
        <f t="array" ref="I347">INDEX(Sheet1!E:E,$G347)</f>
        <v>A.1.a.ii</v>
      </c>
      <c r="J347" s="4" t="str" cm="1">
        <f t="array" ref="J347">IF($C347&gt;=25,INDEX(Sheet1!G:G,$G347),INDEX(Sheet1!F:F,$G347))</f>
        <v>AA8</v>
      </c>
      <c r="K347" s="4" cm="1">
        <f t="array" ref="K347">INDEX(Sheet1!H:H,$G347)</f>
        <v>1E-3</v>
      </c>
      <c r="L347" s="4">
        <f t="shared" si="20"/>
        <v>78</v>
      </c>
      <c r="M347" s="4">
        <f t="shared" si="21"/>
        <v>0</v>
      </c>
    </row>
    <row r="348" spans="1:13">
      <c r="A348" s="4" t="str" cm="1">
        <f t="array" ref="A348">INDEX(Sheet1!A:A,$F348)</f>
        <v>M</v>
      </c>
      <c r="B348" s="4" t="str" cm="1">
        <f t="array" ref="B348">INDEX(Sheet1!B:B,$F348)</f>
        <v>Pref Resid NS</v>
      </c>
      <c r="C348" s="4">
        <f t="shared" si="22"/>
        <v>104</v>
      </c>
      <c r="D348" s="5" cm="1">
        <f t="array" aca="1" ref="D348" ca="1">OFFSET(INDIRECT("'["&amp;$H348&amp;"]"&amp;$I348&amp;"'!"&amp;$J348),$L348,$M348)*$K348</f>
        <v>0.43748000000000004</v>
      </c>
      <c r="F348" s="4">
        <f t="shared" si="23"/>
        <v>4</v>
      </c>
      <c r="G348" s="4" cm="1">
        <f t="array" ref="G348">IF($C348&gt;=25,F348,IF($C348&lt;16,INDEX(Sheet1!C:C,$F348),$F348))</f>
        <v>4</v>
      </c>
      <c r="H348" s="4" t="str" cm="1">
        <f t="array" ref="H348">INDEX(Sheet1!D:D,$G348)</f>
        <v>2001-cso-preferred-class-structure-mortality-tables.xls</v>
      </c>
      <c r="I348" s="4" t="str" cm="1">
        <f t="array" ref="I348">INDEX(Sheet1!E:E,$G348)</f>
        <v>A.1.a.ii</v>
      </c>
      <c r="J348" s="4" t="str" cm="1">
        <f t="array" ref="J348">IF($C348&gt;=25,INDEX(Sheet1!G:G,$G348),INDEX(Sheet1!F:F,$G348))</f>
        <v>AA8</v>
      </c>
      <c r="K348" s="4" cm="1">
        <f t="array" ref="K348">INDEX(Sheet1!H:H,$G348)</f>
        <v>1E-3</v>
      </c>
      <c r="L348" s="4">
        <f t="shared" si="20"/>
        <v>79</v>
      </c>
      <c r="M348" s="4">
        <f t="shared" si="21"/>
        <v>0</v>
      </c>
    </row>
    <row r="349" spans="1:13">
      <c r="A349" s="4" t="str" cm="1">
        <f t="array" ref="A349">INDEX(Sheet1!A:A,$F349)</f>
        <v>M</v>
      </c>
      <c r="B349" s="4" t="str" cm="1">
        <f t="array" ref="B349">INDEX(Sheet1!B:B,$F349)</f>
        <v>Pref Resid NS</v>
      </c>
      <c r="C349" s="4">
        <f t="shared" si="22"/>
        <v>105</v>
      </c>
      <c r="D349" s="5" cm="1">
        <f t="array" aca="1" ref="D349" ca="1">OFFSET(INDIRECT("'["&amp;$H349&amp;"]"&amp;$I349&amp;"'!"&amp;$J349),$L349,$M349)*$K349</f>
        <v>0.45912999999999998</v>
      </c>
      <c r="F349" s="4">
        <f t="shared" si="23"/>
        <v>4</v>
      </c>
      <c r="G349" s="4" cm="1">
        <f t="array" ref="G349">IF($C349&gt;=25,F349,IF($C349&lt;16,INDEX(Sheet1!C:C,$F349),$F349))</f>
        <v>4</v>
      </c>
      <c r="H349" s="4" t="str" cm="1">
        <f t="array" ref="H349">INDEX(Sheet1!D:D,$G349)</f>
        <v>2001-cso-preferred-class-structure-mortality-tables.xls</v>
      </c>
      <c r="I349" s="4" t="str" cm="1">
        <f t="array" ref="I349">INDEX(Sheet1!E:E,$G349)</f>
        <v>A.1.a.ii</v>
      </c>
      <c r="J349" s="4" t="str" cm="1">
        <f t="array" ref="J349">IF($C349&gt;=25,INDEX(Sheet1!G:G,$G349),INDEX(Sheet1!F:F,$G349))</f>
        <v>AA8</v>
      </c>
      <c r="K349" s="4" cm="1">
        <f t="array" ref="K349">INDEX(Sheet1!H:H,$G349)</f>
        <v>1E-3</v>
      </c>
      <c r="L349" s="4">
        <f t="shared" si="20"/>
        <v>80</v>
      </c>
      <c r="M349" s="4">
        <f t="shared" si="21"/>
        <v>0</v>
      </c>
    </row>
    <row r="350" spans="1:13">
      <c r="A350" s="4" t="str" cm="1">
        <f t="array" ref="A350">INDEX(Sheet1!A:A,$F350)</f>
        <v>M</v>
      </c>
      <c r="B350" s="4" t="str" cm="1">
        <f t="array" ref="B350">INDEX(Sheet1!B:B,$F350)</f>
        <v>Pref Resid NS</v>
      </c>
      <c r="C350" s="4">
        <f t="shared" si="22"/>
        <v>106</v>
      </c>
      <c r="D350" s="5" cm="1">
        <f t="array" aca="1" ref="D350" ca="1">OFFSET(INDIRECT("'["&amp;$H350&amp;"]"&amp;$I350&amp;"'!"&amp;$J350),$L350,$M350)*$K350</f>
        <v>0.48214999999999997</v>
      </c>
      <c r="F350" s="4">
        <f t="shared" si="23"/>
        <v>4</v>
      </c>
      <c r="G350" s="4" cm="1">
        <f t="array" ref="G350">IF($C350&gt;=25,F350,IF($C350&lt;16,INDEX(Sheet1!C:C,$F350),$F350))</f>
        <v>4</v>
      </c>
      <c r="H350" s="4" t="str" cm="1">
        <f t="array" ref="H350">INDEX(Sheet1!D:D,$G350)</f>
        <v>2001-cso-preferred-class-structure-mortality-tables.xls</v>
      </c>
      <c r="I350" s="4" t="str" cm="1">
        <f t="array" ref="I350">INDEX(Sheet1!E:E,$G350)</f>
        <v>A.1.a.ii</v>
      </c>
      <c r="J350" s="4" t="str" cm="1">
        <f t="array" ref="J350">IF($C350&gt;=25,INDEX(Sheet1!G:G,$G350),INDEX(Sheet1!F:F,$G350))</f>
        <v>AA8</v>
      </c>
      <c r="K350" s="4" cm="1">
        <f t="array" ref="K350">INDEX(Sheet1!H:H,$G350)</f>
        <v>1E-3</v>
      </c>
      <c r="L350" s="4">
        <f t="shared" si="20"/>
        <v>81</v>
      </c>
      <c r="M350" s="4">
        <f t="shared" si="21"/>
        <v>0</v>
      </c>
    </row>
    <row r="351" spans="1:13">
      <c r="A351" s="4" t="str" cm="1">
        <f t="array" ref="A351">INDEX(Sheet1!A:A,$F351)</f>
        <v>M</v>
      </c>
      <c r="B351" s="4" t="str" cm="1">
        <f t="array" ref="B351">INDEX(Sheet1!B:B,$F351)</f>
        <v>Pref Resid NS</v>
      </c>
      <c r="C351" s="4">
        <f t="shared" si="22"/>
        <v>107</v>
      </c>
      <c r="D351" s="5" cm="1">
        <f t="array" aca="1" ref="D351" ca="1">OFFSET(INDIRECT("'["&amp;$H351&amp;"]"&amp;$I351&amp;"'!"&amp;$J351),$L351,$M351)*$K351</f>
        <v>0.50662000000000007</v>
      </c>
      <c r="F351" s="4">
        <f t="shared" si="23"/>
        <v>4</v>
      </c>
      <c r="G351" s="4" cm="1">
        <f t="array" ref="G351">IF($C351&gt;=25,F351,IF($C351&lt;16,INDEX(Sheet1!C:C,$F351),$F351))</f>
        <v>4</v>
      </c>
      <c r="H351" s="4" t="str" cm="1">
        <f t="array" ref="H351">INDEX(Sheet1!D:D,$G351)</f>
        <v>2001-cso-preferred-class-structure-mortality-tables.xls</v>
      </c>
      <c r="I351" s="4" t="str" cm="1">
        <f t="array" ref="I351">INDEX(Sheet1!E:E,$G351)</f>
        <v>A.1.a.ii</v>
      </c>
      <c r="J351" s="4" t="str" cm="1">
        <f t="array" ref="J351">IF($C351&gt;=25,INDEX(Sheet1!G:G,$G351),INDEX(Sheet1!F:F,$G351))</f>
        <v>AA8</v>
      </c>
      <c r="K351" s="4" cm="1">
        <f t="array" ref="K351">INDEX(Sheet1!H:H,$G351)</f>
        <v>1E-3</v>
      </c>
      <c r="L351" s="4">
        <f t="shared" si="20"/>
        <v>82</v>
      </c>
      <c r="M351" s="4">
        <f t="shared" si="21"/>
        <v>0</v>
      </c>
    </row>
    <row r="352" spans="1:13">
      <c r="A352" s="4" t="str" cm="1">
        <f t="array" ref="A352">INDEX(Sheet1!A:A,$F352)</f>
        <v>M</v>
      </c>
      <c r="B352" s="4" t="str" cm="1">
        <f t="array" ref="B352">INDEX(Sheet1!B:B,$F352)</f>
        <v>Pref Resid NS</v>
      </c>
      <c r="C352" s="4">
        <f t="shared" si="22"/>
        <v>108</v>
      </c>
      <c r="D352" s="5" cm="1">
        <f t="array" aca="1" ref="D352" ca="1">OFFSET(INDIRECT("'["&amp;$H352&amp;"]"&amp;$I352&amp;"'!"&amp;$J352),$L352,$M352)*$K352</f>
        <v>0.53263000000000005</v>
      </c>
      <c r="F352" s="4">
        <f t="shared" si="23"/>
        <v>4</v>
      </c>
      <c r="G352" s="4" cm="1">
        <f t="array" ref="G352">IF($C352&gt;=25,F352,IF($C352&lt;16,INDEX(Sheet1!C:C,$F352),$F352))</f>
        <v>4</v>
      </c>
      <c r="H352" s="4" t="str" cm="1">
        <f t="array" ref="H352">INDEX(Sheet1!D:D,$G352)</f>
        <v>2001-cso-preferred-class-structure-mortality-tables.xls</v>
      </c>
      <c r="I352" s="4" t="str" cm="1">
        <f t="array" ref="I352">INDEX(Sheet1!E:E,$G352)</f>
        <v>A.1.a.ii</v>
      </c>
      <c r="J352" s="4" t="str" cm="1">
        <f t="array" ref="J352">IF($C352&gt;=25,INDEX(Sheet1!G:G,$G352),INDEX(Sheet1!F:F,$G352))</f>
        <v>AA8</v>
      </c>
      <c r="K352" s="4" cm="1">
        <f t="array" ref="K352">INDEX(Sheet1!H:H,$G352)</f>
        <v>1E-3</v>
      </c>
      <c r="L352" s="4">
        <f t="shared" si="20"/>
        <v>83</v>
      </c>
      <c r="M352" s="4">
        <f t="shared" si="21"/>
        <v>0</v>
      </c>
    </row>
    <row r="353" spans="1:13">
      <c r="A353" s="4" t="str" cm="1">
        <f t="array" ref="A353">INDEX(Sheet1!A:A,$F353)</f>
        <v>M</v>
      </c>
      <c r="B353" s="4" t="str" cm="1">
        <f t="array" ref="B353">INDEX(Sheet1!B:B,$F353)</f>
        <v>Pref Resid NS</v>
      </c>
      <c r="C353" s="4">
        <f t="shared" si="22"/>
        <v>109</v>
      </c>
      <c r="D353" s="5" cm="1">
        <f t="array" aca="1" ref="D353" ca="1">OFFSET(INDIRECT("'["&amp;$H353&amp;"]"&amp;$I353&amp;"'!"&amp;$J353),$L353,$M353)*$K353</f>
        <v>0.56025999999999998</v>
      </c>
      <c r="F353" s="4">
        <f t="shared" si="23"/>
        <v>4</v>
      </c>
      <c r="G353" s="4" cm="1">
        <f t="array" ref="G353">IF($C353&gt;=25,F353,IF($C353&lt;16,INDEX(Sheet1!C:C,$F353),$F353))</f>
        <v>4</v>
      </c>
      <c r="H353" s="4" t="str" cm="1">
        <f t="array" ref="H353">INDEX(Sheet1!D:D,$G353)</f>
        <v>2001-cso-preferred-class-structure-mortality-tables.xls</v>
      </c>
      <c r="I353" s="4" t="str" cm="1">
        <f t="array" ref="I353">INDEX(Sheet1!E:E,$G353)</f>
        <v>A.1.a.ii</v>
      </c>
      <c r="J353" s="4" t="str" cm="1">
        <f t="array" ref="J353">IF($C353&gt;=25,INDEX(Sheet1!G:G,$G353),INDEX(Sheet1!F:F,$G353))</f>
        <v>AA8</v>
      </c>
      <c r="K353" s="4" cm="1">
        <f t="array" ref="K353">INDEX(Sheet1!H:H,$G353)</f>
        <v>1E-3</v>
      </c>
      <c r="L353" s="4">
        <f t="shared" si="20"/>
        <v>84</v>
      </c>
      <c r="M353" s="4">
        <f t="shared" si="21"/>
        <v>0</v>
      </c>
    </row>
    <row r="354" spans="1:13">
      <c r="A354" s="4" t="str" cm="1">
        <f t="array" ref="A354">INDEX(Sheet1!A:A,$F354)</f>
        <v>M</v>
      </c>
      <c r="B354" s="4" t="str" cm="1">
        <f t="array" ref="B354">INDEX(Sheet1!B:B,$F354)</f>
        <v>Pref Resid NS</v>
      </c>
      <c r="C354" s="4">
        <f t="shared" si="22"/>
        <v>110</v>
      </c>
      <c r="D354" s="5" cm="1">
        <f t="array" aca="1" ref="D354" ca="1">OFFSET(INDIRECT("'["&amp;$H354&amp;"]"&amp;$I354&amp;"'!"&amp;$J354),$L354,$M354)*$K354</f>
        <v>0.58959000000000006</v>
      </c>
      <c r="F354" s="4">
        <f t="shared" si="23"/>
        <v>4</v>
      </c>
      <c r="G354" s="4" cm="1">
        <f t="array" ref="G354">IF($C354&gt;=25,F354,IF($C354&lt;16,INDEX(Sheet1!C:C,$F354),$F354))</f>
        <v>4</v>
      </c>
      <c r="H354" s="4" t="str" cm="1">
        <f t="array" ref="H354">INDEX(Sheet1!D:D,$G354)</f>
        <v>2001-cso-preferred-class-structure-mortality-tables.xls</v>
      </c>
      <c r="I354" s="4" t="str" cm="1">
        <f t="array" ref="I354">INDEX(Sheet1!E:E,$G354)</f>
        <v>A.1.a.ii</v>
      </c>
      <c r="J354" s="4" t="str" cm="1">
        <f t="array" ref="J354">IF($C354&gt;=25,INDEX(Sheet1!G:G,$G354),INDEX(Sheet1!F:F,$G354))</f>
        <v>AA8</v>
      </c>
      <c r="K354" s="4" cm="1">
        <f t="array" ref="K354">INDEX(Sheet1!H:H,$G354)</f>
        <v>1E-3</v>
      </c>
      <c r="L354" s="4">
        <f t="shared" si="20"/>
        <v>85</v>
      </c>
      <c r="M354" s="4">
        <f t="shared" si="21"/>
        <v>0</v>
      </c>
    </row>
    <row r="355" spans="1:13">
      <c r="A355" s="4" t="str" cm="1">
        <f t="array" ref="A355">INDEX(Sheet1!A:A,$F355)</f>
        <v>M</v>
      </c>
      <c r="B355" s="4" t="str" cm="1">
        <f t="array" ref="B355">INDEX(Sheet1!B:B,$F355)</f>
        <v>Pref Resid NS</v>
      </c>
      <c r="C355" s="4">
        <f t="shared" si="22"/>
        <v>111</v>
      </c>
      <c r="D355" s="5" cm="1">
        <f t="array" aca="1" ref="D355" ca="1">OFFSET(INDIRECT("'["&amp;$H355&amp;"]"&amp;$I355&amp;"'!"&amp;$J355),$L355,$M355)*$K355</f>
        <v>0.62074000000000007</v>
      </c>
      <c r="F355" s="4">
        <f t="shared" si="23"/>
        <v>4</v>
      </c>
      <c r="G355" s="4" cm="1">
        <f t="array" ref="G355">IF($C355&gt;=25,F355,IF($C355&lt;16,INDEX(Sheet1!C:C,$F355),$F355))</f>
        <v>4</v>
      </c>
      <c r="H355" s="4" t="str" cm="1">
        <f t="array" ref="H355">INDEX(Sheet1!D:D,$G355)</f>
        <v>2001-cso-preferred-class-structure-mortality-tables.xls</v>
      </c>
      <c r="I355" s="4" t="str" cm="1">
        <f t="array" ref="I355">INDEX(Sheet1!E:E,$G355)</f>
        <v>A.1.a.ii</v>
      </c>
      <c r="J355" s="4" t="str" cm="1">
        <f t="array" ref="J355">IF($C355&gt;=25,INDEX(Sheet1!G:G,$G355),INDEX(Sheet1!F:F,$G355))</f>
        <v>AA8</v>
      </c>
      <c r="K355" s="4" cm="1">
        <f t="array" ref="K355">INDEX(Sheet1!H:H,$G355)</f>
        <v>1E-3</v>
      </c>
      <c r="L355" s="4">
        <f t="shared" si="20"/>
        <v>86</v>
      </c>
      <c r="M355" s="4">
        <f t="shared" si="21"/>
        <v>0</v>
      </c>
    </row>
    <row r="356" spans="1:13">
      <c r="A356" s="4" t="str" cm="1">
        <f t="array" ref="A356">INDEX(Sheet1!A:A,$F356)</f>
        <v>M</v>
      </c>
      <c r="B356" s="4" t="str" cm="1">
        <f t="array" ref="B356">INDEX(Sheet1!B:B,$F356)</f>
        <v>Pref Resid NS</v>
      </c>
      <c r="C356" s="4">
        <f t="shared" si="22"/>
        <v>112</v>
      </c>
      <c r="D356" s="5" cm="1">
        <f t="array" aca="1" ref="D356" ca="1">OFFSET(INDIRECT("'["&amp;$H356&amp;"]"&amp;$I356&amp;"'!"&amp;$J356),$L356,$M356)*$K356</f>
        <v>0.65379999999999994</v>
      </c>
      <c r="F356" s="4">
        <f t="shared" si="23"/>
        <v>4</v>
      </c>
      <c r="G356" s="4" cm="1">
        <f t="array" ref="G356">IF($C356&gt;=25,F356,IF($C356&lt;16,INDEX(Sheet1!C:C,$F356),$F356))</f>
        <v>4</v>
      </c>
      <c r="H356" s="4" t="str" cm="1">
        <f t="array" ref="H356">INDEX(Sheet1!D:D,$G356)</f>
        <v>2001-cso-preferred-class-structure-mortality-tables.xls</v>
      </c>
      <c r="I356" s="4" t="str" cm="1">
        <f t="array" ref="I356">INDEX(Sheet1!E:E,$G356)</f>
        <v>A.1.a.ii</v>
      </c>
      <c r="J356" s="4" t="str" cm="1">
        <f t="array" ref="J356">IF($C356&gt;=25,INDEX(Sheet1!G:G,$G356),INDEX(Sheet1!F:F,$G356))</f>
        <v>AA8</v>
      </c>
      <c r="K356" s="4" cm="1">
        <f t="array" ref="K356">INDEX(Sheet1!H:H,$G356)</f>
        <v>1E-3</v>
      </c>
      <c r="L356" s="4">
        <f t="shared" si="20"/>
        <v>87</v>
      </c>
      <c r="M356" s="4">
        <f t="shared" si="21"/>
        <v>0</v>
      </c>
    </row>
    <row r="357" spans="1:13">
      <c r="A357" s="4" t="str" cm="1">
        <f t="array" ref="A357">INDEX(Sheet1!A:A,$F357)</f>
        <v>M</v>
      </c>
      <c r="B357" s="4" t="str" cm="1">
        <f t="array" ref="B357">INDEX(Sheet1!B:B,$F357)</f>
        <v>Pref Resid NS</v>
      </c>
      <c r="C357" s="4">
        <f t="shared" si="22"/>
        <v>113</v>
      </c>
      <c r="D357" s="5" cm="1">
        <f t="array" aca="1" ref="D357" ca="1">OFFSET(INDIRECT("'["&amp;$H357&amp;"]"&amp;$I357&amp;"'!"&amp;$J357),$L357,$M357)*$K357</f>
        <v>0.68891000000000002</v>
      </c>
      <c r="F357" s="4">
        <f t="shared" si="23"/>
        <v>4</v>
      </c>
      <c r="G357" s="4" cm="1">
        <f t="array" ref="G357">IF($C357&gt;=25,F357,IF($C357&lt;16,INDEX(Sheet1!C:C,$F357),$F357))</f>
        <v>4</v>
      </c>
      <c r="H357" s="4" t="str" cm="1">
        <f t="array" ref="H357">INDEX(Sheet1!D:D,$G357)</f>
        <v>2001-cso-preferred-class-structure-mortality-tables.xls</v>
      </c>
      <c r="I357" s="4" t="str" cm="1">
        <f t="array" ref="I357">INDEX(Sheet1!E:E,$G357)</f>
        <v>A.1.a.ii</v>
      </c>
      <c r="J357" s="4" t="str" cm="1">
        <f t="array" ref="J357">IF($C357&gt;=25,INDEX(Sheet1!G:G,$G357),INDEX(Sheet1!F:F,$G357))</f>
        <v>AA8</v>
      </c>
      <c r="K357" s="4" cm="1">
        <f t="array" ref="K357">INDEX(Sheet1!H:H,$G357)</f>
        <v>1E-3</v>
      </c>
      <c r="L357" s="4">
        <f t="shared" si="20"/>
        <v>88</v>
      </c>
      <c r="M357" s="4">
        <f t="shared" si="21"/>
        <v>0</v>
      </c>
    </row>
    <row r="358" spans="1:13">
      <c r="A358" s="4" t="str" cm="1">
        <f t="array" ref="A358">INDEX(Sheet1!A:A,$F358)</f>
        <v>M</v>
      </c>
      <c r="B358" s="4" t="str" cm="1">
        <f t="array" ref="B358">INDEX(Sheet1!B:B,$F358)</f>
        <v>Pref Resid NS</v>
      </c>
      <c r="C358" s="4">
        <f t="shared" si="22"/>
        <v>114</v>
      </c>
      <c r="D358" s="5" cm="1">
        <f t="array" aca="1" ref="D358" ca="1">OFFSET(INDIRECT("'["&amp;$H358&amp;"]"&amp;$I358&amp;"'!"&amp;$J358),$L358,$M358)*$K358</f>
        <v>0.72614999999999996</v>
      </c>
      <c r="F358" s="4">
        <f t="shared" si="23"/>
        <v>4</v>
      </c>
      <c r="G358" s="4" cm="1">
        <f t="array" ref="G358">IF($C358&gt;=25,F358,IF($C358&lt;16,INDEX(Sheet1!C:C,$F358),$F358))</f>
        <v>4</v>
      </c>
      <c r="H358" s="4" t="str" cm="1">
        <f t="array" ref="H358">INDEX(Sheet1!D:D,$G358)</f>
        <v>2001-cso-preferred-class-structure-mortality-tables.xls</v>
      </c>
      <c r="I358" s="4" t="str" cm="1">
        <f t="array" ref="I358">INDEX(Sheet1!E:E,$G358)</f>
        <v>A.1.a.ii</v>
      </c>
      <c r="J358" s="4" t="str" cm="1">
        <f t="array" ref="J358">IF($C358&gt;=25,INDEX(Sheet1!G:G,$G358),INDEX(Sheet1!F:F,$G358))</f>
        <v>AA8</v>
      </c>
      <c r="K358" s="4" cm="1">
        <f t="array" ref="K358">INDEX(Sheet1!H:H,$G358)</f>
        <v>1E-3</v>
      </c>
      <c r="L358" s="4">
        <f t="shared" si="20"/>
        <v>89</v>
      </c>
      <c r="M358" s="4">
        <f t="shared" si="21"/>
        <v>0</v>
      </c>
    </row>
    <row r="359" spans="1:13">
      <c r="A359" s="4" t="str" cm="1">
        <f t="array" ref="A359">INDEX(Sheet1!A:A,$F359)</f>
        <v>M</v>
      </c>
      <c r="B359" s="4" t="str" cm="1">
        <f t="array" ref="B359">INDEX(Sheet1!B:B,$F359)</f>
        <v>Pref Resid NS</v>
      </c>
      <c r="C359" s="4">
        <f t="shared" si="22"/>
        <v>115</v>
      </c>
      <c r="D359" s="5" cm="1">
        <f t="array" aca="1" ref="D359" ca="1">OFFSET(INDIRECT("'["&amp;$H359&amp;"]"&amp;$I359&amp;"'!"&amp;$J359),$L359,$M359)*$K359</f>
        <v>0.76566999999999996</v>
      </c>
      <c r="F359" s="4">
        <f t="shared" si="23"/>
        <v>4</v>
      </c>
      <c r="G359" s="4" cm="1">
        <f t="array" ref="G359">IF($C359&gt;=25,F359,IF($C359&lt;16,INDEX(Sheet1!C:C,$F359),$F359))</f>
        <v>4</v>
      </c>
      <c r="H359" s="4" t="str" cm="1">
        <f t="array" ref="H359">INDEX(Sheet1!D:D,$G359)</f>
        <v>2001-cso-preferred-class-structure-mortality-tables.xls</v>
      </c>
      <c r="I359" s="4" t="str" cm="1">
        <f t="array" ref="I359">INDEX(Sheet1!E:E,$G359)</f>
        <v>A.1.a.ii</v>
      </c>
      <c r="J359" s="4" t="str" cm="1">
        <f t="array" ref="J359">IF($C359&gt;=25,INDEX(Sheet1!G:G,$G359),INDEX(Sheet1!F:F,$G359))</f>
        <v>AA8</v>
      </c>
      <c r="K359" s="4" cm="1">
        <f t="array" ref="K359">INDEX(Sheet1!H:H,$G359)</f>
        <v>1E-3</v>
      </c>
      <c r="L359" s="4">
        <f t="shared" si="20"/>
        <v>90</v>
      </c>
      <c r="M359" s="4">
        <f t="shared" si="21"/>
        <v>0</v>
      </c>
    </row>
    <row r="360" spans="1:13">
      <c r="A360" s="4" t="str" cm="1">
        <f t="array" ref="A360">INDEX(Sheet1!A:A,$F360)</f>
        <v>M</v>
      </c>
      <c r="B360" s="4" t="str" cm="1">
        <f t="array" ref="B360">INDEX(Sheet1!B:B,$F360)</f>
        <v>Pref Resid NS</v>
      </c>
      <c r="C360" s="4">
        <f t="shared" si="22"/>
        <v>116</v>
      </c>
      <c r="D360" s="5" cm="1">
        <f t="array" aca="1" ref="D360" ca="1">OFFSET(INDIRECT("'["&amp;$H360&amp;"]"&amp;$I360&amp;"'!"&amp;$J360),$L360,$M360)*$K360</f>
        <v>0.80759000000000003</v>
      </c>
      <c r="F360" s="4">
        <f t="shared" si="23"/>
        <v>4</v>
      </c>
      <c r="G360" s="4" cm="1">
        <f t="array" ref="G360">IF($C360&gt;=25,F360,IF($C360&lt;16,INDEX(Sheet1!C:C,$F360),$F360))</f>
        <v>4</v>
      </c>
      <c r="H360" s="4" t="str" cm="1">
        <f t="array" ref="H360">INDEX(Sheet1!D:D,$G360)</f>
        <v>2001-cso-preferred-class-structure-mortality-tables.xls</v>
      </c>
      <c r="I360" s="4" t="str" cm="1">
        <f t="array" ref="I360">INDEX(Sheet1!E:E,$G360)</f>
        <v>A.1.a.ii</v>
      </c>
      <c r="J360" s="4" t="str" cm="1">
        <f t="array" ref="J360">IF($C360&gt;=25,INDEX(Sheet1!G:G,$G360),INDEX(Sheet1!F:F,$G360))</f>
        <v>AA8</v>
      </c>
      <c r="K360" s="4" cm="1">
        <f t="array" ref="K360">INDEX(Sheet1!H:H,$G360)</f>
        <v>1E-3</v>
      </c>
      <c r="L360" s="4">
        <f t="shared" si="20"/>
        <v>91</v>
      </c>
      <c r="M360" s="4">
        <f t="shared" si="21"/>
        <v>0</v>
      </c>
    </row>
    <row r="361" spans="1:13">
      <c r="A361" s="4" t="str" cm="1">
        <f t="array" ref="A361">INDEX(Sheet1!A:A,$F361)</f>
        <v>M</v>
      </c>
      <c r="B361" s="4" t="str" cm="1">
        <f t="array" ref="B361">INDEX(Sheet1!B:B,$F361)</f>
        <v>Pref Resid NS</v>
      </c>
      <c r="C361" s="4">
        <f t="shared" si="22"/>
        <v>117</v>
      </c>
      <c r="D361" s="5" cm="1">
        <f t="array" aca="1" ref="D361" ca="1">OFFSET(INDIRECT("'["&amp;$H361&amp;"]"&amp;$I361&amp;"'!"&amp;$J361),$L361,$M361)*$K361</f>
        <v>0.85204999999999997</v>
      </c>
      <c r="F361" s="4">
        <f t="shared" si="23"/>
        <v>4</v>
      </c>
      <c r="G361" s="4" cm="1">
        <f t="array" ref="G361">IF($C361&gt;=25,F361,IF($C361&lt;16,INDEX(Sheet1!C:C,$F361),$F361))</f>
        <v>4</v>
      </c>
      <c r="H361" s="4" t="str" cm="1">
        <f t="array" ref="H361">INDEX(Sheet1!D:D,$G361)</f>
        <v>2001-cso-preferred-class-structure-mortality-tables.xls</v>
      </c>
      <c r="I361" s="4" t="str" cm="1">
        <f t="array" ref="I361">INDEX(Sheet1!E:E,$G361)</f>
        <v>A.1.a.ii</v>
      </c>
      <c r="J361" s="4" t="str" cm="1">
        <f t="array" ref="J361">IF($C361&gt;=25,INDEX(Sheet1!G:G,$G361),INDEX(Sheet1!F:F,$G361))</f>
        <v>AA8</v>
      </c>
      <c r="K361" s="4" cm="1">
        <f t="array" ref="K361">INDEX(Sheet1!H:H,$G361)</f>
        <v>1E-3</v>
      </c>
      <c r="L361" s="4">
        <f t="shared" si="20"/>
        <v>92</v>
      </c>
      <c r="M361" s="4">
        <f t="shared" si="21"/>
        <v>0</v>
      </c>
    </row>
    <row r="362" spans="1:13">
      <c r="A362" s="4" t="str" cm="1">
        <f t="array" ref="A362">INDEX(Sheet1!A:A,$F362)</f>
        <v>M</v>
      </c>
      <c r="B362" s="4" t="str" cm="1">
        <f t="array" ref="B362">INDEX(Sheet1!B:B,$F362)</f>
        <v>Pref Resid NS</v>
      </c>
      <c r="C362" s="4">
        <f t="shared" si="22"/>
        <v>118</v>
      </c>
      <c r="D362" s="5" cm="1">
        <f t="array" aca="1" ref="D362" ca="1">OFFSET(INDIRECT("'["&amp;$H362&amp;"]"&amp;$I362&amp;"'!"&amp;$J362),$L362,$M362)*$K362</f>
        <v>0.89922000000000002</v>
      </c>
      <c r="F362" s="4">
        <f t="shared" si="23"/>
        <v>4</v>
      </c>
      <c r="G362" s="4" cm="1">
        <f t="array" ref="G362">IF($C362&gt;=25,F362,IF($C362&lt;16,INDEX(Sheet1!C:C,$F362),$F362))</f>
        <v>4</v>
      </c>
      <c r="H362" s="4" t="str" cm="1">
        <f t="array" ref="H362">INDEX(Sheet1!D:D,$G362)</f>
        <v>2001-cso-preferred-class-structure-mortality-tables.xls</v>
      </c>
      <c r="I362" s="4" t="str" cm="1">
        <f t="array" ref="I362">INDEX(Sheet1!E:E,$G362)</f>
        <v>A.1.a.ii</v>
      </c>
      <c r="J362" s="4" t="str" cm="1">
        <f t="array" ref="J362">IF($C362&gt;=25,INDEX(Sheet1!G:G,$G362),INDEX(Sheet1!F:F,$G362))</f>
        <v>AA8</v>
      </c>
      <c r="K362" s="4" cm="1">
        <f t="array" ref="K362">INDEX(Sheet1!H:H,$G362)</f>
        <v>1E-3</v>
      </c>
      <c r="L362" s="4">
        <f t="shared" si="20"/>
        <v>93</v>
      </c>
      <c r="M362" s="4">
        <f t="shared" si="21"/>
        <v>0</v>
      </c>
    </row>
    <row r="363" spans="1:13">
      <c r="A363" s="4" t="str" cm="1">
        <f t="array" ref="A363">INDEX(Sheet1!A:A,$F363)</f>
        <v>M</v>
      </c>
      <c r="B363" s="4" t="str" cm="1">
        <f t="array" ref="B363">INDEX(Sheet1!B:B,$F363)</f>
        <v>Pref Resid NS</v>
      </c>
      <c r="C363" s="4">
        <f t="shared" si="22"/>
        <v>119</v>
      </c>
      <c r="D363" s="5" cm="1">
        <f t="array" aca="1" ref="D363" ca="1">OFFSET(INDIRECT("'["&amp;$H363&amp;"]"&amp;$I363&amp;"'!"&amp;$J363),$L363,$M363)*$K363</f>
        <v>0.94922000000000006</v>
      </c>
      <c r="F363" s="4">
        <f t="shared" si="23"/>
        <v>4</v>
      </c>
      <c r="G363" s="4" cm="1">
        <f t="array" ref="G363">IF($C363&gt;=25,F363,IF($C363&lt;16,INDEX(Sheet1!C:C,$F363),$F363))</f>
        <v>4</v>
      </c>
      <c r="H363" s="4" t="str" cm="1">
        <f t="array" ref="H363">INDEX(Sheet1!D:D,$G363)</f>
        <v>2001-cso-preferred-class-structure-mortality-tables.xls</v>
      </c>
      <c r="I363" s="4" t="str" cm="1">
        <f t="array" ref="I363">INDEX(Sheet1!E:E,$G363)</f>
        <v>A.1.a.ii</v>
      </c>
      <c r="J363" s="4" t="str" cm="1">
        <f t="array" ref="J363">IF($C363&gt;=25,INDEX(Sheet1!G:G,$G363),INDEX(Sheet1!F:F,$G363))</f>
        <v>AA8</v>
      </c>
      <c r="K363" s="4" cm="1">
        <f t="array" ref="K363">INDEX(Sheet1!H:H,$G363)</f>
        <v>1E-3</v>
      </c>
      <c r="L363" s="4">
        <f t="shared" si="20"/>
        <v>94</v>
      </c>
      <c r="M363" s="4">
        <f t="shared" si="21"/>
        <v>0</v>
      </c>
    </row>
    <row r="364" spans="1:13">
      <c r="A364" s="4" t="str" cm="1">
        <f t="array" ref="A364">INDEX(Sheet1!A:A,$F364)</f>
        <v>M</v>
      </c>
      <c r="B364" s="4" t="str" cm="1">
        <f t="array" ref="B364">INDEX(Sheet1!B:B,$F364)</f>
        <v>Pref Resid NS</v>
      </c>
      <c r="C364" s="4">
        <f t="shared" si="22"/>
        <v>120</v>
      </c>
      <c r="D364" s="5" cm="1">
        <f t="array" aca="1" ref="D364" ca="1">OFFSET(INDIRECT("'["&amp;$H364&amp;"]"&amp;$I364&amp;"'!"&amp;$J364),$L364,$M364)*$K364</f>
        <v>1</v>
      </c>
      <c r="F364" s="4">
        <f t="shared" si="23"/>
        <v>4</v>
      </c>
      <c r="G364" s="4" cm="1">
        <f t="array" ref="G364">IF($C364&gt;=25,F364,IF($C364&lt;16,INDEX(Sheet1!C:C,$F364),$F364))</f>
        <v>4</v>
      </c>
      <c r="H364" s="4" t="str" cm="1">
        <f t="array" ref="H364">INDEX(Sheet1!D:D,$G364)</f>
        <v>2001-cso-preferred-class-structure-mortality-tables.xls</v>
      </c>
      <c r="I364" s="4" t="str" cm="1">
        <f t="array" ref="I364">INDEX(Sheet1!E:E,$G364)</f>
        <v>A.1.a.ii</v>
      </c>
      <c r="J364" s="4" t="str" cm="1">
        <f t="array" ref="J364">IF($C364&gt;=25,INDEX(Sheet1!G:G,$G364),INDEX(Sheet1!F:F,$G364))</f>
        <v>AA8</v>
      </c>
      <c r="K364" s="4" cm="1">
        <f t="array" ref="K364">INDEX(Sheet1!H:H,$G364)</f>
        <v>1E-3</v>
      </c>
      <c r="L364" s="4">
        <f t="shared" si="20"/>
        <v>95</v>
      </c>
      <c r="M364" s="4">
        <f t="shared" si="21"/>
        <v>0</v>
      </c>
    </row>
    <row r="365" spans="1:13">
      <c r="A365" s="4" t="str" cm="1">
        <f t="array" ref="A365">INDEX(Sheet1!A:A,$F365)</f>
        <v>M</v>
      </c>
      <c r="B365" s="4" t="str" cm="1">
        <f t="array" ref="B365">INDEX(Sheet1!B:B,$F365)</f>
        <v>Non-Pref NS</v>
      </c>
      <c r="C365" s="4">
        <f t="shared" si="22"/>
        <v>0</v>
      </c>
      <c r="D365" s="5" cm="1">
        <f t="array" aca="1" ref="D365" ca="1">OFFSET(INDIRECT("'["&amp;$H365&amp;"]"&amp;$I365&amp;"'!"&amp;$J365),$L365,$M365)*$K365</f>
        <v>9.7000000000000005E-4</v>
      </c>
      <c r="F365" s="4">
        <f t="shared" si="23"/>
        <v>5</v>
      </c>
      <c r="G365" s="4" cm="1">
        <f t="array" ref="G365">IF($C365&gt;=25,F365,IF($C365&lt;16,INDEX(Sheet1!C:C,$F365),$F365))</f>
        <v>10</v>
      </c>
      <c r="H365" s="4" t="str" cm="1">
        <f t="array" ref="H365">INDEX(Sheet1!D:D,$G365)</f>
        <v>t1136.xlsx</v>
      </c>
      <c r="I365" s="4" t="str" cm="1">
        <f t="array" ref="I365">INDEX(Sheet1!E:E,$G365)</f>
        <v>Sheet1</v>
      </c>
      <c r="J365" s="4" t="str" cm="1">
        <f t="array" ref="J365">IF($C365&gt;=25,INDEX(Sheet1!G:G,$G365),INDEX(Sheet1!F:F,$G365))</f>
        <v>B25</v>
      </c>
      <c r="K365" s="4" cm="1">
        <f t="array" ref="K365">INDEX(Sheet1!H:H,$G365)</f>
        <v>1</v>
      </c>
      <c r="L365" s="4">
        <f t="shared" si="20"/>
        <v>0</v>
      </c>
      <c r="M365" s="4">
        <f t="shared" si="21"/>
        <v>0</v>
      </c>
    </row>
    <row r="366" spans="1:13">
      <c r="A366" s="4" t="str" cm="1">
        <f t="array" ref="A366">INDEX(Sheet1!A:A,$F366)</f>
        <v>M</v>
      </c>
      <c r="B366" s="4" t="str" cm="1">
        <f t="array" ref="B366">INDEX(Sheet1!B:B,$F366)</f>
        <v>Non-Pref NS</v>
      </c>
      <c r="C366" s="4">
        <f t="shared" si="22"/>
        <v>1</v>
      </c>
      <c r="D366" s="5" cm="1">
        <f t="array" aca="1" ref="D366" ca="1">OFFSET(INDIRECT("'["&amp;$H366&amp;"]"&amp;$I366&amp;"'!"&amp;$J366),$L366,$M366)*$K366</f>
        <v>5.5999999999999995E-4</v>
      </c>
      <c r="F366" s="4">
        <f t="shared" si="23"/>
        <v>5</v>
      </c>
      <c r="G366" s="4" cm="1">
        <f t="array" ref="G366">IF($C366&gt;=25,F366,IF($C366&lt;16,INDEX(Sheet1!C:C,$F366),$F366))</f>
        <v>10</v>
      </c>
      <c r="H366" s="4" t="str" cm="1">
        <f t="array" ref="H366">INDEX(Sheet1!D:D,$G366)</f>
        <v>t1136.xlsx</v>
      </c>
      <c r="I366" s="4" t="str" cm="1">
        <f t="array" ref="I366">INDEX(Sheet1!E:E,$G366)</f>
        <v>Sheet1</v>
      </c>
      <c r="J366" s="4" t="str" cm="1">
        <f t="array" ref="J366">IF($C366&gt;=25,INDEX(Sheet1!G:G,$G366),INDEX(Sheet1!F:F,$G366))</f>
        <v>B25</v>
      </c>
      <c r="K366" s="4" cm="1">
        <f t="array" ref="K366">INDEX(Sheet1!H:H,$G366)</f>
        <v>1</v>
      </c>
      <c r="L366" s="4">
        <f t="shared" si="20"/>
        <v>0</v>
      </c>
      <c r="M366" s="4">
        <f t="shared" si="21"/>
        <v>1</v>
      </c>
    </row>
    <row r="367" spans="1:13">
      <c r="A367" s="4" t="str" cm="1">
        <f t="array" ref="A367">INDEX(Sheet1!A:A,$F367)</f>
        <v>M</v>
      </c>
      <c r="B367" s="4" t="str" cm="1">
        <f t="array" ref="B367">INDEX(Sheet1!B:B,$F367)</f>
        <v>Non-Pref NS</v>
      </c>
      <c r="C367" s="4">
        <f t="shared" si="22"/>
        <v>2</v>
      </c>
      <c r="D367" s="5" cm="1">
        <f t="array" aca="1" ref="D367" ca="1">OFFSET(INDIRECT("'["&amp;$H367&amp;"]"&amp;$I367&amp;"'!"&amp;$J367),$L367,$M367)*$K367</f>
        <v>3.8999999999999999E-4</v>
      </c>
      <c r="F367" s="4">
        <f t="shared" si="23"/>
        <v>5</v>
      </c>
      <c r="G367" s="4" cm="1">
        <f t="array" ref="G367">IF($C367&gt;=25,F367,IF($C367&lt;16,INDEX(Sheet1!C:C,$F367),$F367))</f>
        <v>10</v>
      </c>
      <c r="H367" s="4" t="str" cm="1">
        <f t="array" ref="H367">INDEX(Sheet1!D:D,$G367)</f>
        <v>t1136.xlsx</v>
      </c>
      <c r="I367" s="4" t="str" cm="1">
        <f t="array" ref="I367">INDEX(Sheet1!E:E,$G367)</f>
        <v>Sheet1</v>
      </c>
      <c r="J367" s="4" t="str" cm="1">
        <f t="array" ref="J367">IF($C367&gt;=25,INDEX(Sheet1!G:G,$G367),INDEX(Sheet1!F:F,$G367))</f>
        <v>B25</v>
      </c>
      <c r="K367" s="4" cm="1">
        <f t="array" ref="K367">INDEX(Sheet1!H:H,$G367)</f>
        <v>1</v>
      </c>
      <c r="L367" s="4">
        <f t="shared" si="20"/>
        <v>0</v>
      </c>
      <c r="M367" s="4">
        <f t="shared" si="21"/>
        <v>2</v>
      </c>
    </row>
    <row r="368" spans="1:13">
      <c r="A368" s="4" t="str" cm="1">
        <f t="array" ref="A368">INDEX(Sheet1!A:A,$F368)</f>
        <v>M</v>
      </c>
      <c r="B368" s="4" t="str" cm="1">
        <f t="array" ref="B368">INDEX(Sheet1!B:B,$F368)</f>
        <v>Non-Pref NS</v>
      </c>
      <c r="C368" s="4">
        <f t="shared" si="22"/>
        <v>3</v>
      </c>
      <c r="D368" s="5" cm="1">
        <f t="array" aca="1" ref="D368" ca="1">OFFSET(INDIRECT("'["&amp;$H368&amp;"]"&amp;$I368&amp;"'!"&amp;$J368),$L368,$M368)*$K368</f>
        <v>2.7E-4</v>
      </c>
      <c r="F368" s="4">
        <f t="shared" si="23"/>
        <v>5</v>
      </c>
      <c r="G368" s="4" cm="1">
        <f t="array" ref="G368">IF($C368&gt;=25,F368,IF($C368&lt;16,INDEX(Sheet1!C:C,$F368),$F368))</f>
        <v>10</v>
      </c>
      <c r="H368" s="4" t="str" cm="1">
        <f t="array" ref="H368">INDEX(Sheet1!D:D,$G368)</f>
        <v>t1136.xlsx</v>
      </c>
      <c r="I368" s="4" t="str" cm="1">
        <f t="array" ref="I368">INDEX(Sheet1!E:E,$G368)</f>
        <v>Sheet1</v>
      </c>
      <c r="J368" s="4" t="str" cm="1">
        <f t="array" ref="J368">IF($C368&gt;=25,INDEX(Sheet1!G:G,$G368),INDEX(Sheet1!F:F,$G368))</f>
        <v>B25</v>
      </c>
      <c r="K368" s="4" cm="1">
        <f t="array" ref="K368">INDEX(Sheet1!H:H,$G368)</f>
        <v>1</v>
      </c>
      <c r="L368" s="4">
        <f t="shared" si="20"/>
        <v>0</v>
      </c>
      <c r="M368" s="4">
        <f t="shared" si="21"/>
        <v>3</v>
      </c>
    </row>
    <row r="369" spans="1:13">
      <c r="A369" s="4" t="str" cm="1">
        <f t="array" ref="A369">INDEX(Sheet1!A:A,$F369)</f>
        <v>M</v>
      </c>
      <c r="B369" s="4" t="str" cm="1">
        <f t="array" ref="B369">INDEX(Sheet1!B:B,$F369)</f>
        <v>Non-Pref NS</v>
      </c>
      <c r="C369" s="4">
        <f t="shared" si="22"/>
        <v>4</v>
      </c>
      <c r="D369" s="5" cm="1">
        <f t="array" aca="1" ref="D369" ca="1">OFFSET(INDIRECT("'["&amp;$H369&amp;"]"&amp;$I369&amp;"'!"&amp;$J369),$L369,$M369)*$K369</f>
        <v>2.1000000000000001E-4</v>
      </c>
      <c r="F369" s="4">
        <f t="shared" si="23"/>
        <v>5</v>
      </c>
      <c r="G369" s="4" cm="1">
        <f t="array" ref="G369">IF($C369&gt;=25,F369,IF($C369&lt;16,INDEX(Sheet1!C:C,$F369),$F369))</f>
        <v>10</v>
      </c>
      <c r="H369" s="4" t="str" cm="1">
        <f t="array" ref="H369">INDEX(Sheet1!D:D,$G369)</f>
        <v>t1136.xlsx</v>
      </c>
      <c r="I369" s="4" t="str" cm="1">
        <f t="array" ref="I369">INDEX(Sheet1!E:E,$G369)</f>
        <v>Sheet1</v>
      </c>
      <c r="J369" s="4" t="str" cm="1">
        <f t="array" ref="J369">IF($C369&gt;=25,INDEX(Sheet1!G:G,$G369),INDEX(Sheet1!F:F,$G369))</f>
        <v>B25</v>
      </c>
      <c r="K369" s="4" cm="1">
        <f t="array" ref="K369">INDEX(Sheet1!H:H,$G369)</f>
        <v>1</v>
      </c>
      <c r="L369" s="4">
        <f t="shared" si="20"/>
        <v>0</v>
      </c>
      <c r="M369" s="4">
        <f t="shared" si="21"/>
        <v>4</v>
      </c>
    </row>
    <row r="370" spans="1:13">
      <c r="A370" s="4" t="str" cm="1">
        <f t="array" ref="A370">INDEX(Sheet1!A:A,$F370)</f>
        <v>M</v>
      </c>
      <c r="B370" s="4" t="str" cm="1">
        <f t="array" ref="B370">INDEX(Sheet1!B:B,$F370)</f>
        <v>Non-Pref NS</v>
      </c>
      <c r="C370" s="4">
        <f t="shared" si="22"/>
        <v>5</v>
      </c>
      <c r="D370" s="5" cm="1">
        <f t="array" aca="1" ref="D370" ca="1">OFFSET(INDIRECT("'["&amp;$H370&amp;"]"&amp;$I370&amp;"'!"&amp;$J370),$L370,$M370)*$K370</f>
        <v>2.1000000000000001E-4</v>
      </c>
      <c r="F370" s="4">
        <f t="shared" si="23"/>
        <v>5</v>
      </c>
      <c r="G370" s="4" cm="1">
        <f t="array" ref="G370">IF($C370&gt;=25,F370,IF($C370&lt;16,INDEX(Sheet1!C:C,$F370),$F370))</f>
        <v>10</v>
      </c>
      <c r="H370" s="4" t="str" cm="1">
        <f t="array" ref="H370">INDEX(Sheet1!D:D,$G370)</f>
        <v>t1136.xlsx</v>
      </c>
      <c r="I370" s="4" t="str" cm="1">
        <f t="array" ref="I370">INDEX(Sheet1!E:E,$G370)</f>
        <v>Sheet1</v>
      </c>
      <c r="J370" s="4" t="str" cm="1">
        <f t="array" ref="J370">IF($C370&gt;=25,INDEX(Sheet1!G:G,$G370),INDEX(Sheet1!F:F,$G370))</f>
        <v>B25</v>
      </c>
      <c r="K370" s="4" cm="1">
        <f t="array" ref="K370">INDEX(Sheet1!H:H,$G370)</f>
        <v>1</v>
      </c>
      <c r="L370" s="4">
        <f t="shared" si="20"/>
        <v>0</v>
      </c>
      <c r="M370" s="4">
        <f t="shared" si="21"/>
        <v>5</v>
      </c>
    </row>
    <row r="371" spans="1:13">
      <c r="A371" s="4" t="str" cm="1">
        <f t="array" ref="A371">INDEX(Sheet1!A:A,$F371)</f>
        <v>M</v>
      </c>
      <c r="B371" s="4" t="str" cm="1">
        <f t="array" ref="B371">INDEX(Sheet1!B:B,$F371)</f>
        <v>Non-Pref NS</v>
      </c>
      <c r="C371" s="4">
        <f t="shared" si="22"/>
        <v>6</v>
      </c>
      <c r="D371" s="5" cm="1">
        <f t="array" aca="1" ref="D371" ca="1">OFFSET(INDIRECT("'["&amp;$H371&amp;"]"&amp;$I371&amp;"'!"&amp;$J371),$L371,$M371)*$K371</f>
        <v>2.2000000000000001E-4</v>
      </c>
      <c r="F371" s="4">
        <f t="shared" si="23"/>
        <v>5</v>
      </c>
      <c r="G371" s="4" cm="1">
        <f t="array" ref="G371">IF($C371&gt;=25,F371,IF($C371&lt;16,INDEX(Sheet1!C:C,$F371),$F371))</f>
        <v>10</v>
      </c>
      <c r="H371" s="4" t="str" cm="1">
        <f t="array" ref="H371">INDEX(Sheet1!D:D,$G371)</f>
        <v>t1136.xlsx</v>
      </c>
      <c r="I371" s="4" t="str" cm="1">
        <f t="array" ref="I371">INDEX(Sheet1!E:E,$G371)</f>
        <v>Sheet1</v>
      </c>
      <c r="J371" s="4" t="str" cm="1">
        <f t="array" ref="J371">IF($C371&gt;=25,INDEX(Sheet1!G:G,$G371),INDEX(Sheet1!F:F,$G371))</f>
        <v>B25</v>
      </c>
      <c r="K371" s="4" cm="1">
        <f t="array" ref="K371">INDEX(Sheet1!H:H,$G371)</f>
        <v>1</v>
      </c>
      <c r="L371" s="4">
        <f t="shared" si="20"/>
        <v>0</v>
      </c>
      <c r="M371" s="4">
        <f t="shared" si="21"/>
        <v>6</v>
      </c>
    </row>
    <row r="372" spans="1:13">
      <c r="A372" s="4" t="str" cm="1">
        <f t="array" ref="A372">INDEX(Sheet1!A:A,$F372)</f>
        <v>M</v>
      </c>
      <c r="B372" s="4" t="str" cm="1">
        <f t="array" ref="B372">INDEX(Sheet1!B:B,$F372)</f>
        <v>Non-Pref NS</v>
      </c>
      <c r="C372" s="4">
        <f t="shared" si="22"/>
        <v>7</v>
      </c>
      <c r="D372" s="5" cm="1">
        <f t="array" aca="1" ref="D372" ca="1">OFFSET(INDIRECT("'["&amp;$H372&amp;"]"&amp;$I372&amp;"'!"&amp;$J372),$L372,$M372)*$K372</f>
        <v>2.2000000000000001E-4</v>
      </c>
      <c r="F372" s="4">
        <f t="shared" si="23"/>
        <v>5</v>
      </c>
      <c r="G372" s="4" cm="1">
        <f t="array" ref="G372">IF($C372&gt;=25,F372,IF($C372&lt;16,INDEX(Sheet1!C:C,$F372),$F372))</f>
        <v>10</v>
      </c>
      <c r="H372" s="4" t="str" cm="1">
        <f t="array" ref="H372">INDEX(Sheet1!D:D,$G372)</f>
        <v>t1136.xlsx</v>
      </c>
      <c r="I372" s="4" t="str" cm="1">
        <f t="array" ref="I372">INDEX(Sheet1!E:E,$G372)</f>
        <v>Sheet1</v>
      </c>
      <c r="J372" s="4" t="str" cm="1">
        <f t="array" ref="J372">IF($C372&gt;=25,INDEX(Sheet1!G:G,$G372),INDEX(Sheet1!F:F,$G372))</f>
        <v>B25</v>
      </c>
      <c r="K372" s="4" cm="1">
        <f t="array" ref="K372">INDEX(Sheet1!H:H,$G372)</f>
        <v>1</v>
      </c>
      <c r="L372" s="4">
        <f t="shared" si="20"/>
        <v>0</v>
      </c>
      <c r="M372" s="4">
        <f t="shared" si="21"/>
        <v>7</v>
      </c>
    </row>
    <row r="373" spans="1:13">
      <c r="A373" s="4" t="str" cm="1">
        <f t="array" ref="A373">INDEX(Sheet1!A:A,$F373)</f>
        <v>M</v>
      </c>
      <c r="B373" s="4" t="str" cm="1">
        <f t="array" ref="B373">INDEX(Sheet1!B:B,$F373)</f>
        <v>Non-Pref NS</v>
      </c>
      <c r="C373" s="4">
        <f t="shared" si="22"/>
        <v>8</v>
      </c>
      <c r="D373" s="5" cm="1">
        <f t="array" aca="1" ref="D373" ca="1">OFFSET(INDIRECT("'["&amp;$H373&amp;"]"&amp;$I373&amp;"'!"&amp;$J373),$L373,$M373)*$K373</f>
        <v>2.2000000000000001E-4</v>
      </c>
      <c r="F373" s="4">
        <f t="shared" si="23"/>
        <v>5</v>
      </c>
      <c r="G373" s="4" cm="1">
        <f t="array" ref="G373">IF($C373&gt;=25,F373,IF($C373&lt;16,INDEX(Sheet1!C:C,$F373),$F373))</f>
        <v>10</v>
      </c>
      <c r="H373" s="4" t="str" cm="1">
        <f t="array" ref="H373">INDEX(Sheet1!D:D,$G373)</f>
        <v>t1136.xlsx</v>
      </c>
      <c r="I373" s="4" t="str" cm="1">
        <f t="array" ref="I373">INDEX(Sheet1!E:E,$G373)</f>
        <v>Sheet1</v>
      </c>
      <c r="J373" s="4" t="str" cm="1">
        <f t="array" ref="J373">IF($C373&gt;=25,INDEX(Sheet1!G:G,$G373),INDEX(Sheet1!F:F,$G373))</f>
        <v>B25</v>
      </c>
      <c r="K373" s="4" cm="1">
        <f t="array" ref="K373">INDEX(Sheet1!H:H,$G373)</f>
        <v>1</v>
      </c>
      <c r="L373" s="4">
        <f t="shared" si="20"/>
        <v>0</v>
      </c>
      <c r="M373" s="4">
        <f t="shared" si="21"/>
        <v>8</v>
      </c>
    </row>
    <row r="374" spans="1:13">
      <c r="A374" s="4" t="str" cm="1">
        <f t="array" ref="A374">INDEX(Sheet1!A:A,$F374)</f>
        <v>M</v>
      </c>
      <c r="B374" s="4" t="str" cm="1">
        <f t="array" ref="B374">INDEX(Sheet1!B:B,$F374)</f>
        <v>Non-Pref NS</v>
      </c>
      <c r="C374" s="4">
        <f t="shared" si="22"/>
        <v>9</v>
      </c>
      <c r="D374" s="5" cm="1">
        <f t="array" aca="1" ref="D374" ca="1">OFFSET(INDIRECT("'["&amp;$H374&amp;"]"&amp;$I374&amp;"'!"&amp;$J374),$L374,$M374)*$K374</f>
        <v>2.3000000000000001E-4</v>
      </c>
      <c r="F374" s="4">
        <f t="shared" si="23"/>
        <v>5</v>
      </c>
      <c r="G374" s="4" cm="1">
        <f t="array" ref="G374">IF($C374&gt;=25,F374,IF($C374&lt;16,INDEX(Sheet1!C:C,$F374),$F374))</f>
        <v>10</v>
      </c>
      <c r="H374" s="4" t="str" cm="1">
        <f t="array" ref="H374">INDEX(Sheet1!D:D,$G374)</f>
        <v>t1136.xlsx</v>
      </c>
      <c r="I374" s="4" t="str" cm="1">
        <f t="array" ref="I374">INDEX(Sheet1!E:E,$G374)</f>
        <v>Sheet1</v>
      </c>
      <c r="J374" s="4" t="str" cm="1">
        <f t="array" ref="J374">IF($C374&gt;=25,INDEX(Sheet1!G:G,$G374),INDEX(Sheet1!F:F,$G374))</f>
        <v>B25</v>
      </c>
      <c r="K374" s="4" cm="1">
        <f t="array" ref="K374">INDEX(Sheet1!H:H,$G374)</f>
        <v>1</v>
      </c>
      <c r="L374" s="4">
        <f t="shared" si="20"/>
        <v>0</v>
      </c>
      <c r="M374" s="4">
        <f t="shared" si="21"/>
        <v>9</v>
      </c>
    </row>
    <row r="375" spans="1:13">
      <c r="A375" s="4" t="str" cm="1">
        <f t="array" ref="A375">INDEX(Sheet1!A:A,$F375)</f>
        <v>M</v>
      </c>
      <c r="B375" s="4" t="str" cm="1">
        <f t="array" ref="B375">INDEX(Sheet1!B:B,$F375)</f>
        <v>Non-Pref NS</v>
      </c>
      <c r="C375" s="4">
        <f t="shared" si="22"/>
        <v>10</v>
      </c>
      <c r="D375" s="5" cm="1">
        <f t="array" aca="1" ref="D375" ca="1">OFFSET(INDIRECT("'["&amp;$H375&amp;"]"&amp;$I375&amp;"'!"&amp;$J375),$L375,$M375)*$K375</f>
        <v>2.3000000000000001E-4</v>
      </c>
      <c r="F375" s="4">
        <f t="shared" si="23"/>
        <v>5</v>
      </c>
      <c r="G375" s="4" cm="1">
        <f t="array" ref="G375">IF($C375&gt;=25,F375,IF($C375&lt;16,INDEX(Sheet1!C:C,$F375),$F375))</f>
        <v>10</v>
      </c>
      <c r="H375" s="4" t="str" cm="1">
        <f t="array" ref="H375">INDEX(Sheet1!D:D,$G375)</f>
        <v>t1136.xlsx</v>
      </c>
      <c r="I375" s="4" t="str" cm="1">
        <f t="array" ref="I375">INDEX(Sheet1!E:E,$G375)</f>
        <v>Sheet1</v>
      </c>
      <c r="J375" s="4" t="str" cm="1">
        <f t="array" ref="J375">IF($C375&gt;=25,INDEX(Sheet1!G:G,$G375),INDEX(Sheet1!F:F,$G375))</f>
        <v>B25</v>
      </c>
      <c r="K375" s="4" cm="1">
        <f t="array" ref="K375">INDEX(Sheet1!H:H,$G375)</f>
        <v>1</v>
      </c>
      <c r="L375" s="4">
        <f t="shared" si="20"/>
        <v>0</v>
      </c>
      <c r="M375" s="4">
        <f t="shared" si="21"/>
        <v>10</v>
      </c>
    </row>
    <row r="376" spans="1:13">
      <c r="A376" s="4" t="str" cm="1">
        <f t="array" ref="A376">INDEX(Sheet1!A:A,$F376)</f>
        <v>M</v>
      </c>
      <c r="B376" s="4" t="str" cm="1">
        <f t="array" ref="B376">INDEX(Sheet1!B:B,$F376)</f>
        <v>Non-Pref NS</v>
      </c>
      <c r="C376" s="4">
        <f t="shared" si="22"/>
        <v>11</v>
      </c>
      <c r="D376" s="5" cm="1">
        <f t="array" aca="1" ref="D376" ca="1">OFFSET(INDIRECT("'["&amp;$H376&amp;"]"&amp;$I376&amp;"'!"&amp;$J376),$L376,$M376)*$K376</f>
        <v>2.7E-4</v>
      </c>
      <c r="F376" s="4">
        <f t="shared" si="23"/>
        <v>5</v>
      </c>
      <c r="G376" s="4" cm="1">
        <f t="array" ref="G376">IF($C376&gt;=25,F376,IF($C376&lt;16,INDEX(Sheet1!C:C,$F376),$F376))</f>
        <v>10</v>
      </c>
      <c r="H376" s="4" t="str" cm="1">
        <f t="array" ref="H376">INDEX(Sheet1!D:D,$G376)</f>
        <v>t1136.xlsx</v>
      </c>
      <c r="I376" s="4" t="str" cm="1">
        <f t="array" ref="I376">INDEX(Sheet1!E:E,$G376)</f>
        <v>Sheet1</v>
      </c>
      <c r="J376" s="4" t="str" cm="1">
        <f t="array" ref="J376">IF($C376&gt;=25,INDEX(Sheet1!G:G,$G376),INDEX(Sheet1!F:F,$G376))</f>
        <v>B25</v>
      </c>
      <c r="K376" s="4" cm="1">
        <f t="array" ref="K376">INDEX(Sheet1!H:H,$G376)</f>
        <v>1</v>
      </c>
      <c r="L376" s="4">
        <f t="shared" si="20"/>
        <v>0</v>
      </c>
      <c r="M376" s="4">
        <f t="shared" si="21"/>
        <v>11</v>
      </c>
    </row>
    <row r="377" spans="1:13">
      <c r="A377" s="4" t="str" cm="1">
        <f t="array" ref="A377">INDEX(Sheet1!A:A,$F377)</f>
        <v>M</v>
      </c>
      <c r="B377" s="4" t="str" cm="1">
        <f t="array" ref="B377">INDEX(Sheet1!B:B,$F377)</f>
        <v>Non-Pref NS</v>
      </c>
      <c r="C377" s="4">
        <f t="shared" si="22"/>
        <v>12</v>
      </c>
      <c r="D377" s="5" cm="1">
        <f t="array" aca="1" ref="D377" ca="1">OFFSET(INDIRECT("'["&amp;$H377&amp;"]"&amp;$I377&amp;"'!"&amp;$J377),$L377,$M377)*$K377</f>
        <v>3.3E-4</v>
      </c>
      <c r="F377" s="4">
        <f t="shared" si="23"/>
        <v>5</v>
      </c>
      <c r="G377" s="4" cm="1">
        <f t="array" ref="G377">IF($C377&gt;=25,F377,IF($C377&lt;16,INDEX(Sheet1!C:C,$F377),$F377))</f>
        <v>10</v>
      </c>
      <c r="H377" s="4" t="str" cm="1">
        <f t="array" ref="H377">INDEX(Sheet1!D:D,$G377)</f>
        <v>t1136.xlsx</v>
      </c>
      <c r="I377" s="4" t="str" cm="1">
        <f t="array" ref="I377">INDEX(Sheet1!E:E,$G377)</f>
        <v>Sheet1</v>
      </c>
      <c r="J377" s="4" t="str" cm="1">
        <f t="array" ref="J377">IF($C377&gt;=25,INDEX(Sheet1!G:G,$G377),INDEX(Sheet1!F:F,$G377))</f>
        <v>B25</v>
      </c>
      <c r="K377" s="4" cm="1">
        <f t="array" ref="K377">INDEX(Sheet1!H:H,$G377)</f>
        <v>1</v>
      </c>
      <c r="L377" s="4">
        <f t="shared" si="20"/>
        <v>0</v>
      </c>
      <c r="M377" s="4">
        <f t="shared" si="21"/>
        <v>12</v>
      </c>
    </row>
    <row r="378" spans="1:13">
      <c r="A378" s="4" t="str" cm="1">
        <f t="array" ref="A378">INDEX(Sheet1!A:A,$F378)</f>
        <v>M</v>
      </c>
      <c r="B378" s="4" t="str" cm="1">
        <f t="array" ref="B378">INDEX(Sheet1!B:B,$F378)</f>
        <v>Non-Pref NS</v>
      </c>
      <c r="C378" s="4">
        <f t="shared" si="22"/>
        <v>13</v>
      </c>
      <c r="D378" s="5" cm="1">
        <f t="array" aca="1" ref="D378" ca="1">OFFSET(INDIRECT("'["&amp;$H378&amp;"]"&amp;$I378&amp;"'!"&amp;$J378),$L378,$M378)*$K378</f>
        <v>3.8999999999999999E-4</v>
      </c>
      <c r="F378" s="4">
        <f t="shared" si="23"/>
        <v>5</v>
      </c>
      <c r="G378" s="4" cm="1">
        <f t="array" ref="G378">IF($C378&gt;=25,F378,IF($C378&lt;16,INDEX(Sheet1!C:C,$F378),$F378))</f>
        <v>10</v>
      </c>
      <c r="H378" s="4" t="str" cm="1">
        <f t="array" ref="H378">INDEX(Sheet1!D:D,$G378)</f>
        <v>t1136.xlsx</v>
      </c>
      <c r="I378" s="4" t="str" cm="1">
        <f t="array" ref="I378">INDEX(Sheet1!E:E,$G378)</f>
        <v>Sheet1</v>
      </c>
      <c r="J378" s="4" t="str" cm="1">
        <f t="array" ref="J378">IF($C378&gt;=25,INDEX(Sheet1!G:G,$G378),INDEX(Sheet1!F:F,$G378))</f>
        <v>B25</v>
      </c>
      <c r="K378" s="4" cm="1">
        <f t="array" ref="K378">INDEX(Sheet1!H:H,$G378)</f>
        <v>1</v>
      </c>
      <c r="L378" s="4">
        <f t="shared" si="20"/>
        <v>0</v>
      </c>
      <c r="M378" s="4">
        <f t="shared" si="21"/>
        <v>13</v>
      </c>
    </row>
    <row r="379" spans="1:13">
      <c r="A379" s="4" t="str" cm="1">
        <f t="array" ref="A379">INDEX(Sheet1!A:A,$F379)</f>
        <v>M</v>
      </c>
      <c r="B379" s="4" t="str" cm="1">
        <f t="array" ref="B379">INDEX(Sheet1!B:B,$F379)</f>
        <v>Non-Pref NS</v>
      </c>
      <c r="C379" s="4">
        <f t="shared" si="22"/>
        <v>14</v>
      </c>
      <c r="D379" s="5" cm="1">
        <f t="array" aca="1" ref="D379" ca="1">OFFSET(INDIRECT("'["&amp;$H379&amp;"]"&amp;$I379&amp;"'!"&amp;$J379),$L379,$M379)*$K379</f>
        <v>4.6999999999999999E-4</v>
      </c>
      <c r="F379" s="4">
        <f t="shared" si="23"/>
        <v>5</v>
      </c>
      <c r="G379" s="4" cm="1">
        <f t="array" ref="G379">IF($C379&gt;=25,F379,IF($C379&lt;16,INDEX(Sheet1!C:C,$F379),$F379))</f>
        <v>10</v>
      </c>
      <c r="H379" s="4" t="str" cm="1">
        <f t="array" ref="H379">INDEX(Sheet1!D:D,$G379)</f>
        <v>t1136.xlsx</v>
      </c>
      <c r="I379" s="4" t="str" cm="1">
        <f t="array" ref="I379">INDEX(Sheet1!E:E,$G379)</f>
        <v>Sheet1</v>
      </c>
      <c r="J379" s="4" t="str" cm="1">
        <f t="array" ref="J379">IF($C379&gt;=25,INDEX(Sheet1!G:G,$G379),INDEX(Sheet1!F:F,$G379))</f>
        <v>B25</v>
      </c>
      <c r="K379" s="4" cm="1">
        <f t="array" ref="K379">INDEX(Sheet1!H:H,$G379)</f>
        <v>1</v>
      </c>
      <c r="L379" s="4">
        <f t="shared" si="20"/>
        <v>0</v>
      </c>
      <c r="M379" s="4">
        <f t="shared" si="21"/>
        <v>14</v>
      </c>
    </row>
    <row r="380" spans="1:13">
      <c r="A380" s="4" t="str" cm="1">
        <f t="array" ref="A380">INDEX(Sheet1!A:A,$F380)</f>
        <v>M</v>
      </c>
      <c r="B380" s="4" t="str" cm="1">
        <f t="array" ref="B380">INDEX(Sheet1!B:B,$F380)</f>
        <v>Non-Pref NS</v>
      </c>
      <c r="C380" s="4">
        <f t="shared" si="22"/>
        <v>15</v>
      </c>
      <c r="D380" s="5" cm="1">
        <f t="array" aca="1" ref="D380" ca="1">OFFSET(INDIRECT("'["&amp;$H380&amp;"]"&amp;$I380&amp;"'!"&amp;$J380),$L380,$M380)*$K380</f>
        <v>6.0999999999999997E-4</v>
      </c>
      <c r="F380" s="4">
        <f t="shared" si="23"/>
        <v>5</v>
      </c>
      <c r="G380" s="4" cm="1">
        <f t="array" ref="G380">IF($C380&gt;=25,F380,IF($C380&lt;16,INDEX(Sheet1!C:C,$F380),$F380))</f>
        <v>10</v>
      </c>
      <c r="H380" s="4" t="str" cm="1">
        <f t="array" ref="H380">INDEX(Sheet1!D:D,$G380)</f>
        <v>t1136.xlsx</v>
      </c>
      <c r="I380" s="4" t="str" cm="1">
        <f t="array" ref="I380">INDEX(Sheet1!E:E,$G380)</f>
        <v>Sheet1</v>
      </c>
      <c r="J380" s="4" t="str" cm="1">
        <f t="array" ref="J380">IF($C380&gt;=25,INDEX(Sheet1!G:G,$G380),INDEX(Sheet1!F:F,$G380))</f>
        <v>B25</v>
      </c>
      <c r="K380" s="4" cm="1">
        <f t="array" ref="K380">INDEX(Sheet1!H:H,$G380)</f>
        <v>1</v>
      </c>
      <c r="L380" s="4">
        <f t="shared" si="20"/>
        <v>0</v>
      </c>
      <c r="M380" s="4">
        <f t="shared" si="21"/>
        <v>15</v>
      </c>
    </row>
    <row r="381" spans="1:13">
      <c r="A381" s="4" t="str" cm="1">
        <f t="array" ref="A381">INDEX(Sheet1!A:A,$F381)</f>
        <v>M</v>
      </c>
      <c r="B381" s="4" t="str" cm="1">
        <f t="array" ref="B381">INDEX(Sheet1!B:B,$F381)</f>
        <v>Non-Pref NS</v>
      </c>
      <c r="C381" s="4">
        <f t="shared" si="22"/>
        <v>16</v>
      </c>
      <c r="D381" s="5" cm="1">
        <f t="array" aca="1" ref="D381" ca="1">OFFSET(INDIRECT("'["&amp;$H381&amp;"]"&amp;$I381&amp;"'!"&amp;$J381),$L381,$M381)*$K381</f>
        <v>8.4999999999999995E-4</v>
      </c>
      <c r="F381" s="4">
        <f t="shared" si="23"/>
        <v>5</v>
      </c>
      <c r="G381" s="4" cm="1">
        <f t="array" ref="G381">IF($C381&gt;=25,F381,IF($C381&lt;16,INDEX(Sheet1!C:C,$F381),$F381))</f>
        <v>5</v>
      </c>
      <c r="H381" s="4" t="str" cm="1">
        <f t="array" ref="H381">INDEX(Sheet1!D:D,$G381)</f>
        <v>2001-cso-preferred-class-structure-mortality-tables.xls</v>
      </c>
      <c r="I381" s="4" t="str" cm="1">
        <f t="array" ref="I381">INDEX(Sheet1!E:E,$G381)</f>
        <v>A.1.a.iii</v>
      </c>
      <c r="J381" s="4" t="str" cm="1">
        <f t="array" ref="J381">IF($C381&gt;=25,INDEX(Sheet1!G:G,$G381),INDEX(Sheet1!F:F,$G381))</f>
        <v>B8</v>
      </c>
      <c r="K381" s="4" cm="1">
        <f t="array" ref="K381">INDEX(Sheet1!H:H,$G381)</f>
        <v>1E-3</v>
      </c>
      <c r="L381" s="4">
        <f t="shared" si="20"/>
        <v>0</v>
      </c>
      <c r="M381" s="4">
        <f t="shared" si="21"/>
        <v>16</v>
      </c>
    </row>
    <row r="382" spans="1:13">
      <c r="A382" s="4" t="str" cm="1">
        <f t="array" ref="A382">INDEX(Sheet1!A:A,$F382)</f>
        <v>M</v>
      </c>
      <c r="B382" s="4" t="str" cm="1">
        <f t="array" ref="B382">INDEX(Sheet1!B:B,$F382)</f>
        <v>Non-Pref NS</v>
      </c>
      <c r="C382" s="4">
        <f t="shared" si="22"/>
        <v>17</v>
      </c>
      <c r="D382" s="5" cm="1">
        <f t="array" aca="1" ref="D382" ca="1">OFFSET(INDIRECT("'["&amp;$H382&amp;"]"&amp;$I382&amp;"'!"&amp;$J382),$L382,$M382)*$K382</f>
        <v>9.8999999999999999E-4</v>
      </c>
      <c r="F382" s="4">
        <f t="shared" si="23"/>
        <v>5</v>
      </c>
      <c r="G382" s="4" cm="1">
        <f t="array" ref="G382">IF($C382&gt;=25,F382,IF($C382&lt;16,INDEX(Sheet1!C:C,$F382),$F382))</f>
        <v>5</v>
      </c>
      <c r="H382" s="4" t="str" cm="1">
        <f t="array" ref="H382">INDEX(Sheet1!D:D,$G382)</f>
        <v>2001-cso-preferred-class-structure-mortality-tables.xls</v>
      </c>
      <c r="I382" s="4" t="str" cm="1">
        <f t="array" ref="I382">INDEX(Sheet1!E:E,$G382)</f>
        <v>A.1.a.iii</v>
      </c>
      <c r="J382" s="4" t="str" cm="1">
        <f t="array" ref="J382">IF($C382&gt;=25,INDEX(Sheet1!G:G,$G382),INDEX(Sheet1!F:F,$G382))</f>
        <v>B8</v>
      </c>
      <c r="K382" s="4" cm="1">
        <f t="array" ref="K382">INDEX(Sheet1!H:H,$G382)</f>
        <v>1E-3</v>
      </c>
      <c r="L382" s="4">
        <f t="shared" si="20"/>
        <v>0</v>
      </c>
      <c r="M382" s="4">
        <f t="shared" si="21"/>
        <v>17</v>
      </c>
    </row>
    <row r="383" spans="1:13">
      <c r="A383" s="4" t="str" cm="1">
        <f t="array" ref="A383">INDEX(Sheet1!A:A,$F383)</f>
        <v>M</v>
      </c>
      <c r="B383" s="4" t="str" cm="1">
        <f t="array" ref="B383">INDEX(Sheet1!B:B,$F383)</f>
        <v>Non-Pref NS</v>
      </c>
      <c r="C383" s="4">
        <f t="shared" si="22"/>
        <v>18</v>
      </c>
      <c r="D383" s="5" cm="1">
        <f t="array" aca="1" ref="D383" ca="1">OFFSET(INDIRECT("'["&amp;$H383&amp;"]"&amp;$I383&amp;"'!"&amp;$J383),$L383,$M383)*$K383</f>
        <v>1.0600000000000002E-3</v>
      </c>
      <c r="F383" s="4">
        <f t="shared" si="23"/>
        <v>5</v>
      </c>
      <c r="G383" s="4" cm="1">
        <f t="array" ref="G383">IF($C383&gt;=25,F383,IF($C383&lt;16,INDEX(Sheet1!C:C,$F383),$F383))</f>
        <v>5</v>
      </c>
      <c r="H383" s="4" t="str" cm="1">
        <f t="array" ref="H383">INDEX(Sheet1!D:D,$G383)</f>
        <v>2001-cso-preferred-class-structure-mortality-tables.xls</v>
      </c>
      <c r="I383" s="4" t="str" cm="1">
        <f t="array" ref="I383">INDEX(Sheet1!E:E,$G383)</f>
        <v>A.1.a.iii</v>
      </c>
      <c r="J383" s="4" t="str" cm="1">
        <f t="array" ref="J383">IF($C383&gt;=25,INDEX(Sheet1!G:G,$G383),INDEX(Sheet1!F:F,$G383))</f>
        <v>B8</v>
      </c>
      <c r="K383" s="4" cm="1">
        <f t="array" ref="K383">INDEX(Sheet1!H:H,$G383)</f>
        <v>1E-3</v>
      </c>
      <c r="L383" s="4">
        <f t="shared" si="20"/>
        <v>0</v>
      </c>
      <c r="M383" s="4">
        <f t="shared" si="21"/>
        <v>18</v>
      </c>
    </row>
    <row r="384" spans="1:13">
      <c r="A384" s="4" t="str" cm="1">
        <f t="array" ref="A384">INDEX(Sheet1!A:A,$F384)</f>
        <v>M</v>
      </c>
      <c r="B384" s="4" t="str" cm="1">
        <f t="array" ref="B384">INDEX(Sheet1!B:B,$F384)</f>
        <v>Non-Pref NS</v>
      </c>
      <c r="C384" s="4">
        <f t="shared" si="22"/>
        <v>19</v>
      </c>
      <c r="D384" s="5" cm="1">
        <f t="array" aca="1" ref="D384" ca="1">OFFSET(INDIRECT("'["&amp;$H384&amp;"]"&amp;$I384&amp;"'!"&amp;$J384),$L384,$M384)*$K384</f>
        <v>1.09E-3</v>
      </c>
      <c r="F384" s="4">
        <f t="shared" si="23"/>
        <v>5</v>
      </c>
      <c r="G384" s="4" cm="1">
        <f t="array" ref="G384">IF($C384&gt;=25,F384,IF($C384&lt;16,INDEX(Sheet1!C:C,$F384),$F384))</f>
        <v>5</v>
      </c>
      <c r="H384" s="4" t="str" cm="1">
        <f t="array" ref="H384">INDEX(Sheet1!D:D,$G384)</f>
        <v>2001-cso-preferred-class-structure-mortality-tables.xls</v>
      </c>
      <c r="I384" s="4" t="str" cm="1">
        <f t="array" ref="I384">INDEX(Sheet1!E:E,$G384)</f>
        <v>A.1.a.iii</v>
      </c>
      <c r="J384" s="4" t="str" cm="1">
        <f t="array" ref="J384">IF($C384&gt;=25,INDEX(Sheet1!G:G,$G384),INDEX(Sheet1!F:F,$G384))</f>
        <v>B8</v>
      </c>
      <c r="K384" s="4" cm="1">
        <f t="array" ref="K384">INDEX(Sheet1!H:H,$G384)</f>
        <v>1E-3</v>
      </c>
      <c r="L384" s="4">
        <f t="shared" si="20"/>
        <v>0</v>
      </c>
      <c r="M384" s="4">
        <f t="shared" si="21"/>
        <v>19</v>
      </c>
    </row>
    <row r="385" spans="1:13">
      <c r="A385" s="4" t="str" cm="1">
        <f t="array" ref="A385">INDEX(Sheet1!A:A,$F385)</f>
        <v>M</v>
      </c>
      <c r="B385" s="4" t="str" cm="1">
        <f t="array" ref="B385">INDEX(Sheet1!B:B,$F385)</f>
        <v>Non-Pref NS</v>
      </c>
      <c r="C385" s="4">
        <f t="shared" si="22"/>
        <v>20</v>
      </c>
      <c r="D385" s="5" cm="1">
        <f t="array" aca="1" ref="D385" ca="1">OFFSET(INDIRECT("'["&amp;$H385&amp;"]"&amp;$I385&amp;"'!"&amp;$J385),$L385,$M385)*$K385</f>
        <v>1.1000000000000001E-3</v>
      </c>
      <c r="F385" s="4">
        <f t="shared" si="23"/>
        <v>5</v>
      </c>
      <c r="G385" s="4" cm="1">
        <f t="array" ref="G385">IF($C385&gt;=25,F385,IF($C385&lt;16,INDEX(Sheet1!C:C,$F385),$F385))</f>
        <v>5</v>
      </c>
      <c r="H385" s="4" t="str" cm="1">
        <f t="array" ref="H385">INDEX(Sheet1!D:D,$G385)</f>
        <v>2001-cso-preferred-class-structure-mortality-tables.xls</v>
      </c>
      <c r="I385" s="4" t="str" cm="1">
        <f t="array" ref="I385">INDEX(Sheet1!E:E,$G385)</f>
        <v>A.1.a.iii</v>
      </c>
      <c r="J385" s="4" t="str" cm="1">
        <f t="array" ref="J385">IF($C385&gt;=25,INDEX(Sheet1!G:G,$G385),INDEX(Sheet1!F:F,$G385))</f>
        <v>B8</v>
      </c>
      <c r="K385" s="4" cm="1">
        <f t="array" ref="K385">INDEX(Sheet1!H:H,$G385)</f>
        <v>1E-3</v>
      </c>
      <c r="L385" s="4">
        <f t="shared" si="20"/>
        <v>0</v>
      </c>
      <c r="M385" s="4">
        <f t="shared" si="21"/>
        <v>20</v>
      </c>
    </row>
    <row r="386" spans="1:13">
      <c r="A386" s="4" t="str" cm="1">
        <f t="array" ref="A386">INDEX(Sheet1!A:A,$F386)</f>
        <v>M</v>
      </c>
      <c r="B386" s="4" t="str" cm="1">
        <f t="array" ref="B386">INDEX(Sheet1!B:B,$F386)</f>
        <v>Non-Pref NS</v>
      </c>
      <c r="C386" s="4">
        <f t="shared" si="22"/>
        <v>21</v>
      </c>
      <c r="D386" s="5" cm="1">
        <f t="array" aca="1" ref="D386" ca="1">OFFSET(INDIRECT("'["&amp;$H386&amp;"]"&amp;$I386&amp;"'!"&amp;$J386),$L386,$M386)*$K386</f>
        <v>1.1000000000000001E-3</v>
      </c>
      <c r="F386" s="4">
        <f t="shared" si="23"/>
        <v>5</v>
      </c>
      <c r="G386" s="4" cm="1">
        <f t="array" ref="G386">IF($C386&gt;=25,F386,IF($C386&lt;16,INDEX(Sheet1!C:C,$F386),$F386))</f>
        <v>5</v>
      </c>
      <c r="H386" s="4" t="str" cm="1">
        <f t="array" ref="H386">INDEX(Sheet1!D:D,$G386)</f>
        <v>2001-cso-preferred-class-structure-mortality-tables.xls</v>
      </c>
      <c r="I386" s="4" t="str" cm="1">
        <f t="array" ref="I386">INDEX(Sheet1!E:E,$G386)</f>
        <v>A.1.a.iii</v>
      </c>
      <c r="J386" s="4" t="str" cm="1">
        <f t="array" ref="J386">IF($C386&gt;=25,INDEX(Sheet1!G:G,$G386),INDEX(Sheet1!F:F,$G386))</f>
        <v>B8</v>
      </c>
      <c r="K386" s="4" cm="1">
        <f t="array" ref="K386">INDEX(Sheet1!H:H,$G386)</f>
        <v>1E-3</v>
      </c>
      <c r="L386" s="4">
        <f t="shared" si="20"/>
        <v>0</v>
      </c>
      <c r="M386" s="4">
        <f t="shared" si="21"/>
        <v>21</v>
      </c>
    </row>
    <row r="387" spans="1:13">
      <c r="A387" s="4" t="str" cm="1">
        <f t="array" ref="A387">INDEX(Sheet1!A:A,$F387)</f>
        <v>M</v>
      </c>
      <c r="B387" s="4" t="str" cm="1">
        <f t="array" ref="B387">INDEX(Sheet1!B:B,$F387)</f>
        <v>Non-Pref NS</v>
      </c>
      <c r="C387" s="4">
        <f t="shared" si="22"/>
        <v>22</v>
      </c>
      <c r="D387" s="5" cm="1">
        <f t="array" aca="1" ref="D387" ca="1">OFFSET(INDIRECT("'["&amp;$H387&amp;"]"&amp;$I387&amp;"'!"&amp;$J387),$L387,$M387)*$K387</f>
        <v>1.1100000000000001E-3</v>
      </c>
      <c r="F387" s="4">
        <f t="shared" si="23"/>
        <v>5</v>
      </c>
      <c r="G387" s="4" cm="1">
        <f t="array" ref="G387">IF($C387&gt;=25,F387,IF($C387&lt;16,INDEX(Sheet1!C:C,$F387),$F387))</f>
        <v>5</v>
      </c>
      <c r="H387" s="4" t="str" cm="1">
        <f t="array" ref="H387">INDEX(Sheet1!D:D,$G387)</f>
        <v>2001-cso-preferred-class-structure-mortality-tables.xls</v>
      </c>
      <c r="I387" s="4" t="str" cm="1">
        <f t="array" ref="I387">INDEX(Sheet1!E:E,$G387)</f>
        <v>A.1.a.iii</v>
      </c>
      <c r="J387" s="4" t="str" cm="1">
        <f t="array" ref="J387">IF($C387&gt;=25,INDEX(Sheet1!G:G,$G387),INDEX(Sheet1!F:F,$G387))</f>
        <v>B8</v>
      </c>
      <c r="K387" s="4" cm="1">
        <f t="array" ref="K387">INDEX(Sheet1!H:H,$G387)</f>
        <v>1E-3</v>
      </c>
      <c r="L387" s="4">
        <f t="shared" ref="L387:L450" si="24">IF($C387&gt;=25,$C387-25,0)</f>
        <v>0</v>
      </c>
      <c r="M387" s="4">
        <f t="shared" ref="M387:M450" si="25">IF($C387&gt;=25,0,$C387)</f>
        <v>22</v>
      </c>
    </row>
    <row r="388" spans="1:13">
      <c r="A388" s="4" t="str" cm="1">
        <f t="array" ref="A388">INDEX(Sheet1!A:A,$F388)</f>
        <v>M</v>
      </c>
      <c r="B388" s="4" t="str" cm="1">
        <f t="array" ref="B388">INDEX(Sheet1!B:B,$F388)</f>
        <v>Non-Pref NS</v>
      </c>
      <c r="C388" s="4">
        <f t="shared" ref="C388:C451" si="26">IF(C387=120,0,C387+1)</f>
        <v>23</v>
      </c>
      <c r="D388" s="5" cm="1">
        <f t="array" aca="1" ref="D388" ca="1">OFFSET(INDIRECT("'["&amp;$H388&amp;"]"&amp;$I388&amp;"'!"&amp;$J388),$L388,$M388)*$K388</f>
        <v>1.1100000000000001E-3</v>
      </c>
      <c r="F388" s="4">
        <f t="shared" ref="F388:F451" si="27">IF(C388=0,1,0)+F387</f>
        <v>5</v>
      </c>
      <c r="G388" s="4" cm="1">
        <f t="array" ref="G388">IF($C388&gt;=25,F388,IF($C388&lt;16,INDEX(Sheet1!C:C,$F388),$F388))</f>
        <v>5</v>
      </c>
      <c r="H388" s="4" t="str" cm="1">
        <f t="array" ref="H388">INDEX(Sheet1!D:D,$G388)</f>
        <v>2001-cso-preferred-class-structure-mortality-tables.xls</v>
      </c>
      <c r="I388" s="4" t="str" cm="1">
        <f t="array" ref="I388">INDEX(Sheet1!E:E,$G388)</f>
        <v>A.1.a.iii</v>
      </c>
      <c r="J388" s="4" t="str" cm="1">
        <f t="array" ref="J388">IF($C388&gt;=25,INDEX(Sheet1!G:G,$G388),INDEX(Sheet1!F:F,$G388))</f>
        <v>B8</v>
      </c>
      <c r="K388" s="4" cm="1">
        <f t="array" ref="K388">INDEX(Sheet1!H:H,$G388)</f>
        <v>1E-3</v>
      </c>
      <c r="L388" s="4">
        <f t="shared" si="24"/>
        <v>0</v>
      </c>
      <c r="M388" s="4">
        <f t="shared" si="25"/>
        <v>23</v>
      </c>
    </row>
    <row r="389" spans="1:13">
      <c r="A389" s="4" t="str" cm="1">
        <f t="array" ref="A389">INDEX(Sheet1!A:A,$F389)</f>
        <v>M</v>
      </c>
      <c r="B389" s="4" t="str" cm="1">
        <f t="array" ref="B389">INDEX(Sheet1!B:B,$F389)</f>
        <v>Non-Pref NS</v>
      </c>
      <c r="C389" s="4">
        <f t="shared" si="26"/>
        <v>24</v>
      </c>
      <c r="D389" s="5" cm="1">
        <f t="array" aca="1" ref="D389" ca="1">OFFSET(INDIRECT("'["&amp;$H389&amp;"]"&amp;$I389&amp;"'!"&amp;$J389),$L389,$M389)*$K389</f>
        <v>1.1200000000000001E-3</v>
      </c>
      <c r="F389" s="4">
        <f t="shared" si="27"/>
        <v>5</v>
      </c>
      <c r="G389" s="4" cm="1">
        <f t="array" ref="G389">IF($C389&gt;=25,F389,IF($C389&lt;16,INDEX(Sheet1!C:C,$F389),$F389))</f>
        <v>5</v>
      </c>
      <c r="H389" s="4" t="str" cm="1">
        <f t="array" ref="H389">INDEX(Sheet1!D:D,$G389)</f>
        <v>2001-cso-preferred-class-structure-mortality-tables.xls</v>
      </c>
      <c r="I389" s="4" t="str" cm="1">
        <f t="array" ref="I389">INDEX(Sheet1!E:E,$G389)</f>
        <v>A.1.a.iii</v>
      </c>
      <c r="J389" s="4" t="str" cm="1">
        <f t="array" ref="J389">IF($C389&gt;=25,INDEX(Sheet1!G:G,$G389),INDEX(Sheet1!F:F,$G389))</f>
        <v>B8</v>
      </c>
      <c r="K389" s="4" cm="1">
        <f t="array" ref="K389">INDEX(Sheet1!H:H,$G389)</f>
        <v>1E-3</v>
      </c>
      <c r="L389" s="4">
        <f t="shared" si="24"/>
        <v>0</v>
      </c>
      <c r="M389" s="4">
        <f t="shared" si="25"/>
        <v>24</v>
      </c>
    </row>
    <row r="390" spans="1:13">
      <c r="A390" s="4" t="str" cm="1">
        <f t="array" ref="A390">INDEX(Sheet1!A:A,$F390)</f>
        <v>M</v>
      </c>
      <c r="B390" s="4" t="str" cm="1">
        <f t="array" ref="B390">INDEX(Sheet1!B:B,$F390)</f>
        <v>Non-Pref NS</v>
      </c>
      <c r="C390" s="4">
        <f t="shared" si="26"/>
        <v>25</v>
      </c>
      <c r="D390" s="5" cm="1">
        <f t="array" aca="1" ref="D390" ca="1">OFFSET(INDIRECT("'["&amp;$H390&amp;"]"&amp;$I390&amp;"'!"&amp;$J390),$L390,$M390)*$K390</f>
        <v>1.1299999999999999E-3</v>
      </c>
      <c r="F390" s="4">
        <f t="shared" si="27"/>
        <v>5</v>
      </c>
      <c r="G390" s="4" cm="1">
        <f t="array" ref="G390">IF($C390&gt;=25,F390,IF($C390&lt;16,INDEX(Sheet1!C:C,$F390),$F390))</f>
        <v>5</v>
      </c>
      <c r="H390" s="4" t="str" cm="1">
        <f t="array" ref="H390">INDEX(Sheet1!D:D,$G390)</f>
        <v>2001-cso-preferred-class-structure-mortality-tables.xls</v>
      </c>
      <c r="I390" s="4" t="str" cm="1">
        <f t="array" ref="I390">INDEX(Sheet1!E:E,$G390)</f>
        <v>A.1.a.iii</v>
      </c>
      <c r="J390" s="4" t="str" cm="1">
        <f t="array" ref="J390">IF($C390&gt;=25,INDEX(Sheet1!G:G,$G390),INDEX(Sheet1!F:F,$G390))</f>
        <v>AA8</v>
      </c>
      <c r="K390" s="4" cm="1">
        <f t="array" ref="K390">INDEX(Sheet1!H:H,$G390)</f>
        <v>1E-3</v>
      </c>
      <c r="L390" s="4">
        <f t="shared" si="24"/>
        <v>0</v>
      </c>
      <c r="M390" s="4">
        <f t="shared" si="25"/>
        <v>0</v>
      </c>
    </row>
    <row r="391" spans="1:13">
      <c r="A391" s="4" t="str" cm="1">
        <f t="array" ref="A391">INDEX(Sheet1!A:A,$F391)</f>
        <v>M</v>
      </c>
      <c r="B391" s="4" t="str" cm="1">
        <f t="array" ref="B391">INDEX(Sheet1!B:B,$F391)</f>
        <v>Non-Pref NS</v>
      </c>
      <c r="C391" s="4">
        <f t="shared" si="26"/>
        <v>26</v>
      </c>
      <c r="D391" s="5" cm="1">
        <f t="array" aca="1" ref="D391" ca="1">OFFSET(INDIRECT("'["&amp;$H391&amp;"]"&amp;$I391&amp;"'!"&amp;$J391),$L391,$M391)*$K391</f>
        <v>1.17E-3</v>
      </c>
      <c r="F391" s="4">
        <f t="shared" si="27"/>
        <v>5</v>
      </c>
      <c r="G391" s="4" cm="1">
        <f t="array" ref="G391">IF($C391&gt;=25,F391,IF($C391&lt;16,INDEX(Sheet1!C:C,$F391),$F391))</f>
        <v>5</v>
      </c>
      <c r="H391" s="4" t="str" cm="1">
        <f t="array" ref="H391">INDEX(Sheet1!D:D,$G391)</f>
        <v>2001-cso-preferred-class-structure-mortality-tables.xls</v>
      </c>
      <c r="I391" s="4" t="str" cm="1">
        <f t="array" ref="I391">INDEX(Sheet1!E:E,$G391)</f>
        <v>A.1.a.iii</v>
      </c>
      <c r="J391" s="4" t="str" cm="1">
        <f t="array" ref="J391">IF($C391&gt;=25,INDEX(Sheet1!G:G,$G391),INDEX(Sheet1!F:F,$G391))</f>
        <v>AA8</v>
      </c>
      <c r="K391" s="4" cm="1">
        <f t="array" ref="K391">INDEX(Sheet1!H:H,$G391)</f>
        <v>1E-3</v>
      </c>
      <c r="L391" s="4">
        <f t="shared" si="24"/>
        <v>1</v>
      </c>
      <c r="M391" s="4">
        <f t="shared" si="25"/>
        <v>0</v>
      </c>
    </row>
    <row r="392" spans="1:13">
      <c r="A392" s="4" t="str" cm="1">
        <f t="array" ref="A392">INDEX(Sheet1!A:A,$F392)</f>
        <v>M</v>
      </c>
      <c r="B392" s="4" t="str" cm="1">
        <f t="array" ref="B392">INDEX(Sheet1!B:B,$F392)</f>
        <v>Non-Pref NS</v>
      </c>
      <c r="C392" s="4">
        <f t="shared" si="26"/>
        <v>27</v>
      </c>
      <c r="D392" s="5" cm="1">
        <f t="array" aca="1" ref="D392" ca="1">OFFSET(INDIRECT("'["&amp;$H392&amp;"]"&amp;$I392&amp;"'!"&amp;$J392),$L392,$M392)*$K392</f>
        <v>1.23E-3</v>
      </c>
      <c r="F392" s="4">
        <f t="shared" si="27"/>
        <v>5</v>
      </c>
      <c r="G392" s="4" cm="1">
        <f t="array" ref="G392">IF($C392&gt;=25,F392,IF($C392&lt;16,INDEX(Sheet1!C:C,$F392),$F392))</f>
        <v>5</v>
      </c>
      <c r="H392" s="4" t="str" cm="1">
        <f t="array" ref="H392">INDEX(Sheet1!D:D,$G392)</f>
        <v>2001-cso-preferred-class-structure-mortality-tables.xls</v>
      </c>
      <c r="I392" s="4" t="str" cm="1">
        <f t="array" ref="I392">INDEX(Sheet1!E:E,$G392)</f>
        <v>A.1.a.iii</v>
      </c>
      <c r="J392" s="4" t="str" cm="1">
        <f t="array" ref="J392">IF($C392&gt;=25,INDEX(Sheet1!G:G,$G392),INDEX(Sheet1!F:F,$G392))</f>
        <v>AA8</v>
      </c>
      <c r="K392" s="4" cm="1">
        <f t="array" ref="K392">INDEX(Sheet1!H:H,$G392)</f>
        <v>1E-3</v>
      </c>
      <c r="L392" s="4">
        <f t="shared" si="24"/>
        <v>2</v>
      </c>
      <c r="M392" s="4">
        <f t="shared" si="25"/>
        <v>0</v>
      </c>
    </row>
    <row r="393" spans="1:13">
      <c r="A393" s="4" t="str" cm="1">
        <f t="array" ref="A393">INDEX(Sheet1!A:A,$F393)</f>
        <v>M</v>
      </c>
      <c r="B393" s="4" t="str" cm="1">
        <f t="array" ref="B393">INDEX(Sheet1!B:B,$F393)</f>
        <v>Non-Pref NS</v>
      </c>
      <c r="C393" s="4">
        <f t="shared" si="26"/>
        <v>28</v>
      </c>
      <c r="D393" s="5" cm="1">
        <f t="array" aca="1" ref="D393" ca="1">OFFSET(INDIRECT("'["&amp;$H393&amp;"]"&amp;$I393&amp;"'!"&amp;$J393),$L393,$M393)*$K393</f>
        <v>1.2199999999999999E-3</v>
      </c>
      <c r="F393" s="4">
        <f t="shared" si="27"/>
        <v>5</v>
      </c>
      <c r="G393" s="4" cm="1">
        <f t="array" ref="G393">IF($C393&gt;=25,F393,IF($C393&lt;16,INDEX(Sheet1!C:C,$F393),$F393))</f>
        <v>5</v>
      </c>
      <c r="H393" s="4" t="str" cm="1">
        <f t="array" ref="H393">INDEX(Sheet1!D:D,$G393)</f>
        <v>2001-cso-preferred-class-structure-mortality-tables.xls</v>
      </c>
      <c r="I393" s="4" t="str" cm="1">
        <f t="array" ref="I393">INDEX(Sheet1!E:E,$G393)</f>
        <v>A.1.a.iii</v>
      </c>
      <c r="J393" s="4" t="str" cm="1">
        <f t="array" ref="J393">IF($C393&gt;=25,INDEX(Sheet1!G:G,$G393),INDEX(Sheet1!F:F,$G393))</f>
        <v>AA8</v>
      </c>
      <c r="K393" s="4" cm="1">
        <f t="array" ref="K393">INDEX(Sheet1!H:H,$G393)</f>
        <v>1E-3</v>
      </c>
      <c r="L393" s="4">
        <f t="shared" si="24"/>
        <v>3</v>
      </c>
      <c r="M393" s="4">
        <f t="shared" si="25"/>
        <v>0</v>
      </c>
    </row>
    <row r="394" spans="1:13">
      <c r="A394" s="4" t="str" cm="1">
        <f t="array" ref="A394">INDEX(Sheet1!A:A,$F394)</f>
        <v>M</v>
      </c>
      <c r="B394" s="4" t="str" cm="1">
        <f t="array" ref="B394">INDEX(Sheet1!B:B,$F394)</f>
        <v>Non-Pref NS</v>
      </c>
      <c r="C394" s="4">
        <f t="shared" si="26"/>
        <v>29</v>
      </c>
      <c r="D394" s="5" cm="1">
        <f t="array" aca="1" ref="D394" ca="1">OFFSET(INDIRECT("'["&amp;$H394&amp;"]"&amp;$I394&amp;"'!"&amp;$J394),$L394,$M394)*$K394</f>
        <v>1.1899999999999999E-3</v>
      </c>
      <c r="F394" s="4">
        <f t="shared" si="27"/>
        <v>5</v>
      </c>
      <c r="G394" s="4" cm="1">
        <f t="array" ref="G394">IF($C394&gt;=25,F394,IF($C394&lt;16,INDEX(Sheet1!C:C,$F394),$F394))</f>
        <v>5</v>
      </c>
      <c r="H394" s="4" t="str" cm="1">
        <f t="array" ref="H394">INDEX(Sheet1!D:D,$G394)</f>
        <v>2001-cso-preferred-class-structure-mortality-tables.xls</v>
      </c>
      <c r="I394" s="4" t="str" cm="1">
        <f t="array" ref="I394">INDEX(Sheet1!E:E,$G394)</f>
        <v>A.1.a.iii</v>
      </c>
      <c r="J394" s="4" t="str" cm="1">
        <f t="array" ref="J394">IF($C394&gt;=25,INDEX(Sheet1!G:G,$G394),INDEX(Sheet1!F:F,$G394))</f>
        <v>AA8</v>
      </c>
      <c r="K394" s="4" cm="1">
        <f t="array" ref="K394">INDEX(Sheet1!H:H,$G394)</f>
        <v>1E-3</v>
      </c>
      <c r="L394" s="4">
        <f t="shared" si="24"/>
        <v>4</v>
      </c>
      <c r="M394" s="4">
        <f t="shared" si="25"/>
        <v>0</v>
      </c>
    </row>
    <row r="395" spans="1:13">
      <c r="A395" s="4" t="str" cm="1">
        <f t="array" ref="A395">INDEX(Sheet1!A:A,$F395)</f>
        <v>M</v>
      </c>
      <c r="B395" s="4" t="str" cm="1">
        <f t="array" ref="B395">INDEX(Sheet1!B:B,$F395)</f>
        <v>Non-Pref NS</v>
      </c>
      <c r="C395" s="4">
        <f t="shared" si="26"/>
        <v>30</v>
      </c>
      <c r="D395" s="5" cm="1">
        <f t="array" aca="1" ref="D395" ca="1">OFFSET(INDIRECT("'["&amp;$H395&amp;"]"&amp;$I395&amp;"'!"&amp;$J395),$L395,$M395)*$K395</f>
        <v>1.1800000000000001E-3</v>
      </c>
      <c r="F395" s="4">
        <f t="shared" si="27"/>
        <v>5</v>
      </c>
      <c r="G395" s="4" cm="1">
        <f t="array" ref="G395">IF($C395&gt;=25,F395,IF($C395&lt;16,INDEX(Sheet1!C:C,$F395),$F395))</f>
        <v>5</v>
      </c>
      <c r="H395" s="4" t="str" cm="1">
        <f t="array" ref="H395">INDEX(Sheet1!D:D,$G395)</f>
        <v>2001-cso-preferred-class-structure-mortality-tables.xls</v>
      </c>
      <c r="I395" s="4" t="str" cm="1">
        <f t="array" ref="I395">INDEX(Sheet1!E:E,$G395)</f>
        <v>A.1.a.iii</v>
      </c>
      <c r="J395" s="4" t="str" cm="1">
        <f t="array" ref="J395">IF($C395&gt;=25,INDEX(Sheet1!G:G,$G395),INDEX(Sheet1!F:F,$G395))</f>
        <v>AA8</v>
      </c>
      <c r="K395" s="4" cm="1">
        <f t="array" ref="K395">INDEX(Sheet1!H:H,$G395)</f>
        <v>1E-3</v>
      </c>
      <c r="L395" s="4">
        <f t="shared" si="24"/>
        <v>5</v>
      </c>
      <c r="M395" s="4">
        <f t="shared" si="25"/>
        <v>0</v>
      </c>
    </row>
    <row r="396" spans="1:13">
      <c r="A396" s="4" t="str" cm="1">
        <f t="array" ref="A396">INDEX(Sheet1!A:A,$F396)</f>
        <v>M</v>
      </c>
      <c r="B396" s="4" t="str" cm="1">
        <f t="array" ref="B396">INDEX(Sheet1!B:B,$F396)</f>
        <v>Non-Pref NS</v>
      </c>
      <c r="C396" s="4">
        <f t="shared" si="26"/>
        <v>31</v>
      </c>
      <c r="D396" s="5" cm="1">
        <f t="array" aca="1" ref="D396" ca="1">OFFSET(INDIRECT("'["&amp;$H396&amp;"]"&amp;$I396&amp;"'!"&amp;$J396),$L396,$M396)*$K396</f>
        <v>1.16E-3</v>
      </c>
      <c r="F396" s="4">
        <f t="shared" si="27"/>
        <v>5</v>
      </c>
      <c r="G396" s="4" cm="1">
        <f t="array" ref="G396">IF($C396&gt;=25,F396,IF($C396&lt;16,INDEX(Sheet1!C:C,$F396),$F396))</f>
        <v>5</v>
      </c>
      <c r="H396" s="4" t="str" cm="1">
        <f t="array" ref="H396">INDEX(Sheet1!D:D,$G396)</f>
        <v>2001-cso-preferred-class-structure-mortality-tables.xls</v>
      </c>
      <c r="I396" s="4" t="str" cm="1">
        <f t="array" ref="I396">INDEX(Sheet1!E:E,$G396)</f>
        <v>A.1.a.iii</v>
      </c>
      <c r="J396" s="4" t="str" cm="1">
        <f t="array" ref="J396">IF($C396&gt;=25,INDEX(Sheet1!G:G,$G396),INDEX(Sheet1!F:F,$G396))</f>
        <v>AA8</v>
      </c>
      <c r="K396" s="4" cm="1">
        <f t="array" ref="K396">INDEX(Sheet1!H:H,$G396)</f>
        <v>1E-3</v>
      </c>
      <c r="L396" s="4">
        <f t="shared" si="24"/>
        <v>6</v>
      </c>
      <c r="M396" s="4">
        <f t="shared" si="25"/>
        <v>0</v>
      </c>
    </row>
    <row r="397" spans="1:13">
      <c r="A397" s="4" t="str" cm="1">
        <f t="array" ref="A397">INDEX(Sheet1!A:A,$F397)</f>
        <v>M</v>
      </c>
      <c r="B397" s="4" t="str" cm="1">
        <f t="array" ref="B397">INDEX(Sheet1!B:B,$F397)</f>
        <v>Non-Pref NS</v>
      </c>
      <c r="C397" s="4">
        <f t="shared" si="26"/>
        <v>32</v>
      </c>
      <c r="D397" s="5" cm="1">
        <f t="array" aca="1" ref="D397" ca="1">OFFSET(INDIRECT("'["&amp;$H397&amp;"]"&amp;$I397&amp;"'!"&amp;$J397),$L397,$M397)*$K397</f>
        <v>1.16E-3</v>
      </c>
      <c r="F397" s="4">
        <f t="shared" si="27"/>
        <v>5</v>
      </c>
      <c r="G397" s="4" cm="1">
        <f t="array" ref="G397">IF($C397&gt;=25,F397,IF($C397&lt;16,INDEX(Sheet1!C:C,$F397),$F397))</f>
        <v>5</v>
      </c>
      <c r="H397" s="4" t="str" cm="1">
        <f t="array" ref="H397">INDEX(Sheet1!D:D,$G397)</f>
        <v>2001-cso-preferred-class-structure-mortality-tables.xls</v>
      </c>
      <c r="I397" s="4" t="str" cm="1">
        <f t="array" ref="I397">INDEX(Sheet1!E:E,$G397)</f>
        <v>A.1.a.iii</v>
      </c>
      <c r="J397" s="4" t="str" cm="1">
        <f t="array" ref="J397">IF($C397&gt;=25,INDEX(Sheet1!G:G,$G397),INDEX(Sheet1!F:F,$G397))</f>
        <v>AA8</v>
      </c>
      <c r="K397" s="4" cm="1">
        <f t="array" ref="K397">INDEX(Sheet1!H:H,$G397)</f>
        <v>1E-3</v>
      </c>
      <c r="L397" s="4">
        <f t="shared" si="24"/>
        <v>7</v>
      </c>
      <c r="M397" s="4">
        <f t="shared" si="25"/>
        <v>0</v>
      </c>
    </row>
    <row r="398" spans="1:13">
      <c r="A398" s="4" t="str" cm="1">
        <f t="array" ref="A398">INDEX(Sheet1!A:A,$F398)</f>
        <v>M</v>
      </c>
      <c r="B398" s="4" t="str" cm="1">
        <f t="array" ref="B398">INDEX(Sheet1!B:B,$F398)</f>
        <v>Non-Pref NS</v>
      </c>
      <c r="C398" s="4">
        <f t="shared" si="26"/>
        <v>33</v>
      </c>
      <c r="D398" s="5" cm="1">
        <f t="array" aca="1" ref="D398" ca="1">OFFSET(INDIRECT("'["&amp;$H398&amp;"]"&amp;$I398&amp;"'!"&amp;$J398),$L398,$M398)*$K398</f>
        <v>1.1800000000000001E-3</v>
      </c>
      <c r="F398" s="4">
        <f t="shared" si="27"/>
        <v>5</v>
      </c>
      <c r="G398" s="4" cm="1">
        <f t="array" ref="G398">IF($C398&gt;=25,F398,IF($C398&lt;16,INDEX(Sheet1!C:C,$F398),$F398))</f>
        <v>5</v>
      </c>
      <c r="H398" s="4" t="str" cm="1">
        <f t="array" ref="H398">INDEX(Sheet1!D:D,$G398)</f>
        <v>2001-cso-preferred-class-structure-mortality-tables.xls</v>
      </c>
      <c r="I398" s="4" t="str" cm="1">
        <f t="array" ref="I398">INDEX(Sheet1!E:E,$G398)</f>
        <v>A.1.a.iii</v>
      </c>
      <c r="J398" s="4" t="str" cm="1">
        <f t="array" ref="J398">IF($C398&gt;=25,INDEX(Sheet1!G:G,$G398),INDEX(Sheet1!F:F,$G398))</f>
        <v>AA8</v>
      </c>
      <c r="K398" s="4" cm="1">
        <f t="array" ref="K398">INDEX(Sheet1!H:H,$G398)</f>
        <v>1E-3</v>
      </c>
      <c r="L398" s="4">
        <f t="shared" si="24"/>
        <v>8</v>
      </c>
      <c r="M398" s="4">
        <f t="shared" si="25"/>
        <v>0</v>
      </c>
    </row>
    <row r="399" spans="1:13">
      <c r="A399" s="4" t="str" cm="1">
        <f t="array" ref="A399">INDEX(Sheet1!A:A,$F399)</f>
        <v>M</v>
      </c>
      <c r="B399" s="4" t="str" cm="1">
        <f t="array" ref="B399">INDEX(Sheet1!B:B,$F399)</f>
        <v>Non-Pref NS</v>
      </c>
      <c r="C399" s="4">
        <f t="shared" si="26"/>
        <v>34</v>
      </c>
      <c r="D399" s="5" cm="1">
        <f t="array" aca="1" ref="D399" ca="1">OFFSET(INDIRECT("'["&amp;$H399&amp;"]"&amp;$I399&amp;"'!"&amp;$J399),$L399,$M399)*$K399</f>
        <v>1.2099999999999999E-3</v>
      </c>
      <c r="F399" s="4">
        <f t="shared" si="27"/>
        <v>5</v>
      </c>
      <c r="G399" s="4" cm="1">
        <f t="array" ref="G399">IF($C399&gt;=25,F399,IF($C399&lt;16,INDEX(Sheet1!C:C,$F399),$F399))</f>
        <v>5</v>
      </c>
      <c r="H399" s="4" t="str" cm="1">
        <f t="array" ref="H399">INDEX(Sheet1!D:D,$G399)</f>
        <v>2001-cso-preferred-class-structure-mortality-tables.xls</v>
      </c>
      <c r="I399" s="4" t="str" cm="1">
        <f t="array" ref="I399">INDEX(Sheet1!E:E,$G399)</f>
        <v>A.1.a.iii</v>
      </c>
      <c r="J399" s="4" t="str" cm="1">
        <f t="array" ref="J399">IF($C399&gt;=25,INDEX(Sheet1!G:G,$G399),INDEX(Sheet1!F:F,$G399))</f>
        <v>AA8</v>
      </c>
      <c r="K399" s="4" cm="1">
        <f t="array" ref="K399">INDEX(Sheet1!H:H,$G399)</f>
        <v>1E-3</v>
      </c>
      <c r="L399" s="4">
        <f t="shared" si="24"/>
        <v>9</v>
      </c>
      <c r="M399" s="4">
        <f t="shared" si="25"/>
        <v>0</v>
      </c>
    </row>
    <row r="400" spans="1:13">
      <c r="A400" s="4" t="str" cm="1">
        <f t="array" ref="A400">INDEX(Sheet1!A:A,$F400)</f>
        <v>M</v>
      </c>
      <c r="B400" s="4" t="str" cm="1">
        <f t="array" ref="B400">INDEX(Sheet1!B:B,$F400)</f>
        <v>Non-Pref NS</v>
      </c>
      <c r="C400" s="4">
        <f t="shared" si="26"/>
        <v>35</v>
      </c>
      <c r="D400" s="5" cm="1">
        <f t="array" aca="1" ref="D400" ca="1">OFFSET(INDIRECT("'["&amp;$H400&amp;"]"&amp;$I400&amp;"'!"&amp;$J400),$L400,$M400)*$K400</f>
        <v>1.25E-3</v>
      </c>
      <c r="F400" s="4">
        <f t="shared" si="27"/>
        <v>5</v>
      </c>
      <c r="G400" s="4" cm="1">
        <f t="array" ref="G400">IF($C400&gt;=25,F400,IF($C400&lt;16,INDEX(Sheet1!C:C,$F400),$F400))</f>
        <v>5</v>
      </c>
      <c r="H400" s="4" t="str" cm="1">
        <f t="array" ref="H400">INDEX(Sheet1!D:D,$G400)</f>
        <v>2001-cso-preferred-class-structure-mortality-tables.xls</v>
      </c>
      <c r="I400" s="4" t="str" cm="1">
        <f t="array" ref="I400">INDEX(Sheet1!E:E,$G400)</f>
        <v>A.1.a.iii</v>
      </c>
      <c r="J400" s="4" t="str" cm="1">
        <f t="array" ref="J400">IF($C400&gt;=25,INDEX(Sheet1!G:G,$G400),INDEX(Sheet1!F:F,$G400))</f>
        <v>AA8</v>
      </c>
      <c r="K400" s="4" cm="1">
        <f t="array" ref="K400">INDEX(Sheet1!H:H,$G400)</f>
        <v>1E-3</v>
      </c>
      <c r="L400" s="4">
        <f t="shared" si="24"/>
        <v>10</v>
      </c>
      <c r="M400" s="4">
        <f t="shared" si="25"/>
        <v>0</v>
      </c>
    </row>
    <row r="401" spans="1:13">
      <c r="A401" s="4" t="str" cm="1">
        <f t="array" ref="A401">INDEX(Sheet1!A:A,$F401)</f>
        <v>M</v>
      </c>
      <c r="B401" s="4" t="str" cm="1">
        <f t="array" ref="B401">INDEX(Sheet1!B:B,$F401)</f>
        <v>Non-Pref NS</v>
      </c>
      <c r="C401" s="4">
        <f t="shared" si="26"/>
        <v>36</v>
      </c>
      <c r="D401" s="5" cm="1">
        <f t="array" aca="1" ref="D401" ca="1">OFFSET(INDIRECT("'["&amp;$H401&amp;"]"&amp;$I401&amp;"'!"&amp;$J401),$L401,$M401)*$K401</f>
        <v>1.3100000000000002E-3</v>
      </c>
      <c r="F401" s="4">
        <f t="shared" si="27"/>
        <v>5</v>
      </c>
      <c r="G401" s="4" cm="1">
        <f t="array" ref="G401">IF($C401&gt;=25,F401,IF($C401&lt;16,INDEX(Sheet1!C:C,$F401),$F401))</f>
        <v>5</v>
      </c>
      <c r="H401" s="4" t="str" cm="1">
        <f t="array" ref="H401">INDEX(Sheet1!D:D,$G401)</f>
        <v>2001-cso-preferred-class-structure-mortality-tables.xls</v>
      </c>
      <c r="I401" s="4" t="str" cm="1">
        <f t="array" ref="I401">INDEX(Sheet1!E:E,$G401)</f>
        <v>A.1.a.iii</v>
      </c>
      <c r="J401" s="4" t="str" cm="1">
        <f t="array" ref="J401">IF($C401&gt;=25,INDEX(Sheet1!G:G,$G401),INDEX(Sheet1!F:F,$G401))</f>
        <v>AA8</v>
      </c>
      <c r="K401" s="4" cm="1">
        <f t="array" ref="K401">INDEX(Sheet1!H:H,$G401)</f>
        <v>1E-3</v>
      </c>
      <c r="L401" s="4">
        <f t="shared" si="24"/>
        <v>11</v>
      </c>
      <c r="M401" s="4">
        <f t="shared" si="25"/>
        <v>0</v>
      </c>
    </row>
    <row r="402" spans="1:13">
      <c r="A402" s="4" t="str" cm="1">
        <f t="array" ref="A402">INDEX(Sheet1!A:A,$F402)</f>
        <v>M</v>
      </c>
      <c r="B402" s="4" t="str" cm="1">
        <f t="array" ref="B402">INDEX(Sheet1!B:B,$F402)</f>
        <v>Non-Pref NS</v>
      </c>
      <c r="C402" s="4">
        <f t="shared" si="26"/>
        <v>37</v>
      </c>
      <c r="D402" s="5" cm="1">
        <f t="array" aca="1" ref="D402" ca="1">OFFSET(INDIRECT("'["&amp;$H402&amp;"]"&amp;$I402&amp;"'!"&amp;$J402),$L402,$M402)*$K402</f>
        <v>1.3700000000000001E-3</v>
      </c>
      <c r="F402" s="4">
        <f t="shared" si="27"/>
        <v>5</v>
      </c>
      <c r="G402" s="4" cm="1">
        <f t="array" ref="G402">IF($C402&gt;=25,F402,IF($C402&lt;16,INDEX(Sheet1!C:C,$F402),$F402))</f>
        <v>5</v>
      </c>
      <c r="H402" s="4" t="str" cm="1">
        <f t="array" ref="H402">INDEX(Sheet1!D:D,$G402)</f>
        <v>2001-cso-preferred-class-structure-mortality-tables.xls</v>
      </c>
      <c r="I402" s="4" t="str" cm="1">
        <f t="array" ref="I402">INDEX(Sheet1!E:E,$G402)</f>
        <v>A.1.a.iii</v>
      </c>
      <c r="J402" s="4" t="str" cm="1">
        <f t="array" ref="J402">IF($C402&gt;=25,INDEX(Sheet1!G:G,$G402),INDEX(Sheet1!F:F,$G402))</f>
        <v>AA8</v>
      </c>
      <c r="K402" s="4" cm="1">
        <f t="array" ref="K402">INDEX(Sheet1!H:H,$G402)</f>
        <v>1E-3</v>
      </c>
      <c r="L402" s="4">
        <f t="shared" si="24"/>
        <v>12</v>
      </c>
      <c r="M402" s="4">
        <f t="shared" si="25"/>
        <v>0</v>
      </c>
    </row>
    <row r="403" spans="1:13">
      <c r="A403" s="4" t="str" cm="1">
        <f t="array" ref="A403">INDEX(Sheet1!A:A,$F403)</f>
        <v>M</v>
      </c>
      <c r="B403" s="4" t="str" cm="1">
        <f t="array" ref="B403">INDEX(Sheet1!B:B,$F403)</f>
        <v>Non-Pref NS</v>
      </c>
      <c r="C403" s="4">
        <f t="shared" si="26"/>
        <v>38</v>
      </c>
      <c r="D403" s="5" cm="1">
        <f t="array" aca="1" ref="D403" ca="1">OFFSET(INDIRECT("'["&amp;$H403&amp;"]"&amp;$I403&amp;"'!"&amp;$J403),$L403,$M403)*$K403</f>
        <v>1.4599999999999999E-3</v>
      </c>
      <c r="F403" s="4">
        <f t="shared" si="27"/>
        <v>5</v>
      </c>
      <c r="G403" s="4" cm="1">
        <f t="array" ref="G403">IF($C403&gt;=25,F403,IF($C403&lt;16,INDEX(Sheet1!C:C,$F403),$F403))</f>
        <v>5</v>
      </c>
      <c r="H403" s="4" t="str" cm="1">
        <f t="array" ref="H403">INDEX(Sheet1!D:D,$G403)</f>
        <v>2001-cso-preferred-class-structure-mortality-tables.xls</v>
      </c>
      <c r="I403" s="4" t="str" cm="1">
        <f t="array" ref="I403">INDEX(Sheet1!E:E,$G403)</f>
        <v>A.1.a.iii</v>
      </c>
      <c r="J403" s="4" t="str" cm="1">
        <f t="array" ref="J403">IF($C403&gt;=25,INDEX(Sheet1!G:G,$G403),INDEX(Sheet1!F:F,$G403))</f>
        <v>AA8</v>
      </c>
      <c r="K403" s="4" cm="1">
        <f t="array" ref="K403">INDEX(Sheet1!H:H,$G403)</f>
        <v>1E-3</v>
      </c>
      <c r="L403" s="4">
        <f t="shared" si="24"/>
        <v>13</v>
      </c>
      <c r="M403" s="4">
        <f t="shared" si="25"/>
        <v>0</v>
      </c>
    </row>
    <row r="404" spans="1:13">
      <c r="A404" s="4" t="str" cm="1">
        <f t="array" ref="A404">INDEX(Sheet1!A:A,$F404)</f>
        <v>M</v>
      </c>
      <c r="B404" s="4" t="str" cm="1">
        <f t="array" ref="B404">INDEX(Sheet1!B:B,$F404)</f>
        <v>Non-Pref NS</v>
      </c>
      <c r="C404" s="4">
        <f t="shared" si="26"/>
        <v>39</v>
      </c>
      <c r="D404" s="5" cm="1">
        <f t="array" aca="1" ref="D404" ca="1">OFFSET(INDIRECT("'["&amp;$H404&amp;"]"&amp;$I404&amp;"'!"&amp;$J404),$L404,$M404)*$K404</f>
        <v>1.57E-3</v>
      </c>
      <c r="F404" s="4">
        <f t="shared" si="27"/>
        <v>5</v>
      </c>
      <c r="G404" s="4" cm="1">
        <f t="array" ref="G404">IF($C404&gt;=25,F404,IF($C404&lt;16,INDEX(Sheet1!C:C,$F404),$F404))</f>
        <v>5</v>
      </c>
      <c r="H404" s="4" t="str" cm="1">
        <f t="array" ref="H404">INDEX(Sheet1!D:D,$G404)</f>
        <v>2001-cso-preferred-class-structure-mortality-tables.xls</v>
      </c>
      <c r="I404" s="4" t="str" cm="1">
        <f t="array" ref="I404">INDEX(Sheet1!E:E,$G404)</f>
        <v>A.1.a.iii</v>
      </c>
      <c r="J404" s="4" t="str" cm="1">
        <f t="array" ref="J404">IF($C404&gt;=25,INDEX(Sheet1!G:G,$G404),INDEX(Sheet1!F:F,$G404))</f>
        <v>AA8</v>
      </c>
      <c r="K404" s="4" cm="1">
        <f t="array" ref="K404">INDEX(Sheet1!H:H,$G404)</f>
        <v>1E-3</v>
      </c>
      <c r="L404" s="4">
        <f t="shared" si="24"/>
        <v>14</v>
      </c>
      <c r="M404" s="4">
        <f t="shared" si="25"/>
        <v>0</v>
      </c>
    </row>
    <row r="405" spans="1:13">
      <c r="A405" s="4" t="str" cm="1">
        <f t="array" ref="A405">INDEX(Sheet1!A:A,$F405)</f>
        <v>M</v>
      </c>
      <c r="B405" s="4" t="str" cm="1">
        <f t="array" ref="B405">INDEX(Sheet1!B:B,$F405)</f>
        <v>Non-Pref NS</v>
      </c>
      <c r="C405" s="4">
        <f t="shared" si="26"/>
        <v>40</v>
      </c>
      <c r="D405" s="5" cm="1">
        <f t="array" aca="1" ref="D405" ca="1">OFFSET(INDIRECT("'["&amp;$H405&amp;"]"&amp;$I405&amp;"'!"&amp;$J405),$L405,$M405)*$K405</f>
        <v>1.67E-3</v>
      </c>
      <c r="F405" s="4">
        <f t="shared" si="27"/>
        <v>5</v>
      </c>
      <c r="G405" s="4" cm="1">
        <f t="array" ref="G405">IF($C405&gt;=25,F405,IF($C405&lt;16,INDEX(Sheet1!C:C,$F405),$F405))</f>
        <v>5</v>
      </c>
      <c r="H405" s="4" t="str" cm="1">
        <f t="array" ref="H405">INDEX(Sheet1!D:D,$G405)</f>
        <v>2001-cso-preferred-class-structure-mortality-tables.xls</v>
      </c>
      <c r="I405" s="4" t="str" cm="1">
        <f t="array" ref="I405">INDEX(Sheet1!E:E,$G405)</f>
        <v>A.1.a.iii</v>
      </c>
      <c r="J405" s="4" t="str" cm="1">
        <f t="array" ref="J405">IF($C405&gt;=25,INDEX(Sheet1!G:G,$G405),INDEX(Sheet1!F:F,$G405))</f>
        <v>AA8</v>
      </c>
      <c r="K405" s="4" cm="1">
        <f t="array" ref="K405">INDEX(Sheet1!H:H,$G405)</f>
        <v>1E-3</v>
      </c>
      <c r="L405" s="4">
        <f t="shared" si="24"/>
        <v>15</v>
      </c>
      <c r="M405" s="4">
        <f t="shared" si="25"/>
        <v>0</v>
      </c>
    </row>
    <row r="406" spans="1:13">
      <c r="A406" s="4" t="str" cm="1">
        <f t="array" ref="A406">INDEX(Sheet1!A:A,$F406)</f>
        <v>M</v>
      </c>
      <c r="B406" s="4" t="str" cm="1">
        <f t="array" ref="B406">INDEX(Sheet1!B:B,$F406)</f>
        <v>Non-Pref NS</v>
      </c>
      <c r="C406" s="4">
        <f t="shared" si="26"/>
        <v>41</v>
      </c>
      <c r="D406" s="5" cm="1">
        <f t="array" aca="1" ref="D406" ca="1">OFFSET(INDIRECT("'["&amp;$H406&amp;"]"&amp;$I406&amp;"'!"&amp;$J406),$L406,$M406)*$K406</f>
        <v>1.8100000000000002E-3</v>
      </c>
      <c r="F406" s="4">
        <f t="shared" si="27"/>
        <v>5</v>
      </c>
      <c r="G406" s="4" cm="1">
        <f t="array" ref="G406">IF($C406&gt;=25,F406,IF($C406&lt;16,INDEX(Sheet1!C:C,$F406),$F406))</f>
        <v>5</v>
      </c>
      <c r="H406" s="4" t="str" cm="1">
        <f t="array" ref="H406">INDEX(Sheet1!D:D,$G406)</f>
        <v>2001-cso-preferred-class-structure-mortality-tables.xls</v>
      </c>
      <c r="I406" s="4" t="str" cm="1">
        <f t="array" ref="I406">INDEX(Sheet1!E:E,$G406)</f>
        <v>A.1.a.iii</v>
      </c>
      <c r="J406" s="4" t="str" cm="1">
        <f t="array" ref="J406">IF($C406&gt;=25,INDEX(Sheet1!G:G,$G406),INDEX(Sheet1!F:F,$G406))</f>
        <v>AA8</v>
      </c>
      <c r="K406" s="4" cm="1">
        <f t="array" ref="K406">INDEX(Sheet1!H:H,$G406)</f>
        <v>1E-3</v>
      </c>
      <c r="L406" s="4">
        <f t="shared" si="24"/>
        <v>16</v>
      </c>
      <c r="M406" s="4">
        <f t="shared" si="25"/>
        <v>0</v>
      </c>
    </row>
    <row r="407" spans="1:13">
      <c r="A407" s="4" t="str" cm="1">
        <f t="array" ref="A407">INDEX(Sheet1!A:A,$F407)</f>
        <v>M</v>
      </c>
      <c r="B407" s="4" t="str" cm="1">
        <f t="array" ref="B407">INDEX(Sheet1!B:B,$F407)</f>
        <v>Non-Pref NS</v>
      </c>
      <c r="C407" s="4">
        <f t="shared" si="26"/>
        <v>42</v>
      </c>
      <c r="D407" s="5" cm="1">
        <f t="array" aca="1" ref="D407" ca="1">OFFSET(INDIRECT("'["&amp;$H407&amp;"]"&amp;$I407&amp;"'!"&amp;$J407),$L407,$M407)*$K407</f>
        <v>1.98E-3</v>
      </c>
      <c r="F407" s="4">
        <f t="shared" si="27"/>
        <v>5</v>
      </c>
      <c r="G407" s="4" cm="1">
        <f t="array" ref="G407">IF($C407&gt;=25,F407,IF($C407&lt;16,INDEX(Sheet1!C:C,$F407),$F407))</f>
        <v>5</v>
      </c>
      <c r="H407" s="4" t="str" cm="1">
        <f t="array" ref="H407">INDEX(Sheet1!D:D,$G407)</f>
        <v>2001-cso-preferred-class-structure-mortality-tables.xls</v>
      </c>
      <c r="I407" s="4" t="str" cm="1">
        <f t="array" ref="I407">INDEX(Sheet1!E:E,$G407)</f>
        <v>A.1.a.iii</v>
      </c>
      <c r="J407" s="4" t="str" cm="1">
        <f t="array" ref="J407">IF($C407&gt;=25,INDEX(Sheet1!G:G,$G407),INDEX(Sheet1!F:F,$G407))</f>
        <v>AA8</v>
      </c>
      <c r="K407" s="4" cm="1">
        <f t="array" ref="K407">INDEX(Sheet1!H:H,$G407)</f>
        <v>1E-3</v>
      </c>
      <c r="L407" s="4">
        <f t="shared" si="24"/>
        <v>17</v>
      </c>
      <c r="M407" s="4">
        <f t="shared" si="25"/>
        <v>0</v>
      </c>
    </row>
    <row r="408" spans="1:13">
      <c r="A408" s="4" t="str" cm="1">
        <f t="array" ref="A408">INDEX(Sheet1!A:A,$F408)</f>
        <v>M</v>
      </c>
      <c r="B408" s="4" t="str" cm="1">
        <f t="array" ref="B408">INDEX(Sheet1!B:B,$F408)</f>
        <v>Non-Pref NS</v>
      </c>
      <c r="C408" s="4">
        <f t="shared" si="26"/>
        <v>43</v>
      </c>
      <c r="D408" s="5" cm="1">
        <f t="array" aca="1" ref="D408" ca="1">OFFSET(INDIRECT("'["&amp;$H408&amp;"]"&amp;$I408&amp;"'!"&amp;$J408),$L408,$M408)*$K408</f>
        <v>2.1700000000000001E-3</v>
      </c>
      <c r="F408" s="4">
        <f t="shared" si="27"/>
        <v>5</v>
      </c>
      <c r="G408" s="4" cm="1">
        <f t="array" ref="G408">IF($C408&gt;=25,F408,IF($C408&lt;16,INDEX(Sheet1!C:C,$F408),$F408))</f>
        <v>5</v>
      </c>
      <c r="H408" s="4" t="str" cm="1">
        <f t="array" ref="H408">INDEX(Sheet1!D:D,$G408)</f>
        <v>2001-cso-preferred-class-structure-mortality-tables.xls</v>
      </c>
      <c r="I408" s="4" t="str" cm="1">
        <f t="array" ref="I408">INDEX(Sheet1!E:E,$G408)</f>
        <v>A.1.a.iii</v>
      </c>
      <c r="J408" s="4" t="str" cm="1">
        <f t="array" ref="J408">IF($C408&gt;=25,INDEX(Sheet1!G:G,$G408),INDEX(Sheet1!F:F,$G408))</f>
        <v>AA8</v>
      </c>
      <c r="K408" s="4" cm="1">
        <f t="array" ref="K408">INDEX(Sheet1!H:H,$G408)</f>
        <v>1E-3</v>
      </c>
      <c r="L408" s="4">
        <f t="shared" si="24"/>
        <v>18</v>
      </c>
      <c r="M408" s="4">
        <f t="shared" si="25"/>
        <v>0</v>
      </c>
    </row>
    <row r="409" spans="1:13">
      <c r="A409" s="4" t="str" cm="1">
        <f t="array" ref="A409">INDEX(Sheet1!A:A,$F409)</f>
        <v>M</v>
      </c>
      <c r="B409" s="4" t="str" cm="1">
        <f t="array" ref="B409">INDEX(Sheet1!B:B,$F409)</f>
        <v>Non-Pref NS</v>
      </c>
      <c r="C409" s="4">
        <f t="shared" si="26"/>
        <v>44</v>
      </c>
      <c r="D409" s="5" cm="1">
        <f t="array" aca="1" ref="D409" ca="1">OFFSET(INDIRECT("'["&amp;$H409&amp;"]"&amp;$I409&amp;"'!"&amp;$J409),$L409,$M409)*$K409</f>
        <v>2.3999999999999998E-3</v>
      </c>
      <c r="F409" s="4">
        <f t="shared" si="27"/>
        <v>5</v>
      </c>
      <c r="G409" s="4" cm="1">
        <f t="array" ref="G409">IF($C409&gt;=25,F409,IF($C409&lt;16,INDEX(Sheet1!C:C,$F409),$F409))</f>
        <v>5</v>
      </c>
      <c r="H409" s="4" t="str" cm="1">
        <f t="array" ref="H409">INDEX(Sheet1!D:D,$G409)</f>
        <v>2001-cso-preferred-class-structure-mortality-tables.xls</v>
      </c>
      <c r="I409" s="4" t="str" cm="1">
        <f t="array" ref="I409">INDEX(Sheet1!E:E,$G409)</f>
        <v>A.1.a.iii</v>
      </c>
      <c r="J409" s="4" t="str" cm="1">
        <f t="array" ref="J409">IF($C409&gt;=25,INDEX(Sheet1!G:G,$G409),INDEX(Sheet1!F:F,$G409))</f>
        <v>AA8</v>
      </c>
      <c r="K409" s="4" cm="1">
        <f t="array" ref="K409">INDEX(Sheet1!H:H,$G409)</f>
        <v>1E-3</v>
      </c>
      <c r="L409" s="4">
        <f t="shared" si="24"/>
        <v>19</v>
      </c>
      <c r="M409" s="4">
        <f t="shared" si="25"/>
        <v>0</v>
      </c>
    </row>
    <row r="410" spans="1:13">
      <c r="A410" s="4" t="str" cm="1">
        <f t="array" ref="A410">INDEX(Sheet1!A:A,$F410)</f>
        <v>M</v>
      </c>
      <c r="B410" s="4" t="str" cm="1">
        <f t="array" ref="B410">INDEX(Sheet1!B:B,$F410)</f>
        <v>Non-Pref NS</v>
      </c>
      <c r="C410" s="4">
        <f t="shared" si="26"/>
        <v>45</v>
      </c>
      <c r="D410" s="5" cm="1">
        <f t="array" aca="1" ref="D410" ca="1">OFFSET(INDIRECT("'["&amp;$H410&amp;"]"&amp;$I410&amp;"'!"&amp;$J410),$L410,$M410)*$K410</f>
        <v>2.6700000000000001E-3</v>
      </c>
      <c r="F410" s="4">
        <f t="shared" si="27"/>
        <v>5</v>
      </c>
      <c r="G410" s="4" cm="1">
        <f t="array" ref="G410">IF($C410&gt;=25,F410,IF($C410&lt;16,INDEX(Sheet1!C:C,$F410),$F410))</f>
        <v>5</v>
      </c>
      <c r="H410" s="4" t="str" cm="1">
        <f t="array" ref="H410">INDEX(Sheet1!D:D,$G410)</f>
        <v>2001-cso-preferred-class-structure-mortality-tables.xls</v>
      </c>
      <c r="I410" s="4" t="str" cm="1">
        <f t="array" ref="I410">INDEX(Sheet1!E:E,$G410)</f>
        <v>A.1.a.iii</v>
      </c>
      <c r="J410" s="4" t="str" cm="1">
        <f t="array" ref="J410">IF($C410&gt;=25,INDEX(Sheet1!G:G,$G410),INDEX(Sheet1!F:F,$G410))</f>
        <v>AA8</v>
      </c>
      <c r="K410" s="4" cm="1">
        <f t="array" ref="K410">INDEX(Sheet1!H:H,$G410)</f>
        <v>1E-3</v>
      </c>
      <c r="L410" s="4">
        <f t="shared" si="24"/>
        <v>20</v>
      </c>
      <c r="M410" s="4">
        <f t="shared" si="25"/>
        <v>0</v>
      </c>
    </row>
    <row r="411" spans="1:13">
      <c r="A411" s="4" t="str" cm="1">
        <f t="array" ref="A411">INDEX(Sheet1!A:A,$F411)</f>
        <v>M</v>
      </c>
      <c r="B411" s="4" t="str" cm="1">
        <f t="array" ref="B411">INDEX(Sheet1!B:B,$F411)</f>
        <v>Non-Pref NS</v>
      </c>
      <c r="C411" s="4">
        <f t="shared" si="26"/>
        <v>46</v>
      </c>
      <c r="D411" s="5" cm="1">
        <f t="array" aca="1" ref="D411" ca="1">OFFSET(INDIRECT("'["&amp;$H411&amp;"]"&amp;$I411&amp;"'!"&amp;$J411),$L411,$M411)*$K411</f>
        <v>2.9199999999999999E-3</v>
      </c>
      <c r="F411" s="4">
        <f t="shared" si="27"/>
        <v>5</v>
      </c>
      <c r="G411" s="4" cm="1">
        <f t="array" ref="G411">IF($C411&gt;=25,F411,IF($C411&lt;16,INDEX(Sheet1!C:C,$F411),$F411))</f>
        <v>5</v>
      </c>
      <c r="H411" s="4" t="str" cm="1">
        <f t="array" ref="H411">INDEX(Sheet1!D:D,$G411)</f>
        <v>2001-cso-preferred-class-structure-mortality-tables.xls</v>
      </c>
      <c r="I411" s="4" t="str" cm="1">
        <f t="array" ref="I411">INDEX(Sheet1!E:E,$G411)</f>
        <v>A.1.a.iii</v>
      </c>
      <c r="J411" s="4" t="str" cm="1">
        <f t="array" ref="J411">IF($C411&gt;=25,INDEX(Sheet1!G:G,$G411),INDEX(Sheet1!F:F,$G411))</f>
        <v>AA8</v>
      </c>
      <c r="K411" s="4" cm="1">
        <f t="array" ref="K411">INDEX(Sheet1!H:H,$G411)</f>
        <v>1E-3</v>
      </c>
      <c r="L411" s="4">
        <f t="shared" si="24"/>
        <v>21</v>
      </c>
      <c r="M411" s="4">
        <f t="shared" si="25"/>
        <v>0</v>
      </c>
    </row>
    <row r="412" spans="1:13">
      <c r="A412" s="4" t="str" cm="1">
        <f t="array" ref="A412">INDEX(Sheet1!A:A,$F412)</f>
        <v>M</v>
      </c>
      <c r="B412" s="4" t="str" cm="1">
        <f t="array" ref="B412">INDEX(Sheet1!B:B,$F412)</f>
        <v>Non-Pref NS</v>
      </c>
      <c r="C412" s="4">
        <f t="shared" si="26"/>
        <v>47</v>
      </c>
      <c r="D412" s="5" cm="1">
        <f t="array" aca="1" ref="D412" ca="1">OFFSET(INDIRECT("'["&amp;$H412&amp;"]"&amp;$I412&amp;"'!"&amp;$J412),$L412,$M412)*$K412</f>
        <v>3.2000000000000002E-3</v>
      </c>
      <c r="F412" s="4">
        <f t="shared" si="27"/>
        <v>5</v>
      </c>
      <c r="G412" s="4" cm="1">
        <f t="array" ref="G412">IF($C412&gt;=25,F412,IF($C412&lt;16,INDEX(Sheet1!C:C,$F412),$F412))</f>
        <v>5</v>
      </c>
      <c r="H412" s="4" t="str" cm="1">
        <f t="array" ref="H412">INDEX(Sheet1!D:D,$G412)</f>
        <v>2001-cso-preferred-class-structure-mortality-tables.xls</v>
      </c>
      <c r="I412" s="4" t="str" cm="1">
        <f t="array" ref="I412">INDEX(Sheet1!E:E,$G412)</f>
        <v>A.1.a.iii</v>
      </c>
      <c r="J412" s="4" t="str" cm="1">
        <f t="array" ref="J412">IF($C412&gt;=25,INDEX(Sheet1!G:G,$G412),INDEX(Sheet1!F:F,$G412))</f>
        <v>AA8</v>
      </c>
      <c r="K412" s="4" cm="1">
        <f t="array" ref="K412">INDEX(Sheet1!H:H,$G412)</f>
        <v>1E-3</v>
      </c>
      <c r="L412" s="4">
        <f t="shared" si="24"/>
        <v>22</v>
      </c>
      <c r="M412" s="4">
        <f t="shared" si="25"/>
        <v>0</v>
      </c>
    </row>
    <row r="413" spans="1:13">
      <c r="A413" s="4" t="str" cm="1">
        <f t="array" ref="A413">INDEX(Sheet1!A:A,$F413)</f>
        <v>M</v>
      </c>
      <c r="B413" s="4" t="str" cm="1">
        <f t="array" ref="B413">INDEX(Sheet1!B:B,$F413)</f>
        <v>Non-Pref NS</v>
      </c>
      <c r="C413" s="4">
        <f t="shared" si="26"/>
        <v>48</v>
      </c>
      <c r="D413" s="5" cm="1">
        <f t="array" aca="1" ref="D413" ca="1">OFFSET(INDIRECT("'["&amp;$H413&amp;"]"&amp;$I413&amp;"'!"&amp;$J413),$L413,$M413)*$K413</f>
        <v>3.3500000000000001E-3</v>
      </c>
      <c r="F413" s="4">
        <f t="shared" si="27"/>
        <v>5</v>
      </c>
      <c r="G413" s="4" cm="1">
        <f t="array" ref="G413">IF($C413&gt;=25,F413,IF($C413&lt;16,INDEX(Sheet1!C:C,$F413),$F413))</f>
        <v>5</v>
      </c>
      <c r="H413" s="4" t="str" cm="1">
        <f t="array" ref="H413">INDEX(Sheet1!D:D,$G413)</f>
        <v>2001-cso-preferred-class-structure-mortality-tables.xls</v>
      </c>
      <c r="I413" s="4" t="str" cm="1">
        <f t="array" ref="I413">INDEX(Sheet1!E:E,$G413)</f>
        <v>A.1.a.iii</v>
      </c>
      <c r="J413" s="4" t="str" cm="1">
        <f t="array" ref="J413">IF($C413&gt;=25,INDEX(Sheet1!G:G,$G413),INDEX(Sheet1!F:F,$G413))</f>
        <v>AA8</v>
      </c>
      <c r="K413" s="4" cm="1">
        <f t="array" ref="K413">INDEX(Sheet1!H:H,$G413)</f>
        <v>1E-3</v>
      </c>
      <c r="L413" s="4">
        <f t="shared" si="24"/>
        <v>23</v>
      </c>
      <c r="M413" s="4">
        <f t="shared" si="25"/>
        <v>0</v>
      </c>
    </row>
    <row r="414" spans="1:13">
      <c r="A414" s="4" t="str" cm="1">
        <f t="array" ref="A414">INDEX(Sheet1!A:A,$F414)</f>
        <v>M</v>
      </c>
      <c r="B414" s="4" t="str" cm="1">
        <f t="array" ref="B414">INDEX(Sheet1!B:B,$F414)</f>
        <v>Non-Pref NS</v>
      </c>
      <c r="C414" s="4">
        <f t="shared" si="26"/>
        <v>49</v>
      </c>
      <c r="D414" s="5" cm="1">
        <f t="array" aca="1" ref="D414" ca="1">OFFSET(INDIRECT("'["&amp;$H414&amp;"]"&amp;$I414&amp;"'!"&amp;$J414),$L414,$M414)*$K414</f>
        <v>3.5499999999999998E-3</v>
      </c>
      <c r="F414" s="4">
        <f t="shared" si="27"/>
        <v>5</v>
      </c>
      <c r="G414" s="4" cm="1">
        <f t="array" ref="G414">IF($C414&gt;=25,F414,IF($C414&lt;16,INDEX(Sheet1!C:C,$F414),$F414))</f>
        <v>5</v>
      </c>
      <c r="H414" s="4" t="str" cm="1">
        <f t="array" ref="H414">INDEX(Sheet1!D:D,$G414)</f>
        <v>2001-cso-preferred-class-structure-mortality-tables.xls</v>
      </c>
      <c r="I414" s="4" t="str" cm="1">
        <f t="array" ref="I414">INDEX(Sheet1!E:E,$G414)</f>
        <v>A.1.a.iii</v>
      </c>
      <c r="J414" s="4" t="str" cm="1">
        <f t="array" ref="J414">IF($C414&gt;=25,INDEX(Sheet1!G:G,$G414),INDEX(Sheet1!F:F,$G414))</f>
        <v>AA8</v>
      </c>
      <c r="K414" s="4" cm="1">
        <f t="array" ref="K414">INDEX(Sheet1!H:H,$G414)</f>
        <v>1E-3</v>
      </c>
      <c r="L414" s="4">
        <f t="shared" si="24"/>
        <v>24</v>
      </c>
      <c r="M414" s="4">
        <f t="shared" si="25"/>
        <v>0</v>
      </c>
    </row>
    <row r="415" spans="1:13">
      <c r="A415" s="4" t="str" cm="1">
        <f t="array" ref="A415">INDEX(Sheet1!A:A,$F415)</f>
        <v>M</v>
      </c>
      <c r="B415" s="4" t="str" cm="1">
        <f t="array" ref="B415">INDEX(Sheet1!B:B,$F415)</f>
        <v>Non-Pref NS</v>
      </c>
      <c r="C415" s="4">
        <f t="shared" si="26"/>
        <v>50</v>
      </c>
      <c r="D415" s="5" cm="1">
        <f t="array" aca="1" ref="D415" ca="1">OFFSET(INDIRECT("'["&amp;$H415&amp;"]"&amp;$I415&amp;"'!"&amp;$J415),$L415,$M415)*$K415</f>
        <v>3.79E-3</v>
      </c>
      <c r="F415" s="4">
        <f t="shared" si="27"/>
        <v>5</v>
      </c>
      <c r="G415" s="4" cm="1">
        <f t="array" ref="G415">IF($C415&gt;=25,F415,IF($C415&lt;16,INDEX(Sheet1!C:C,$F415),$F415))</f>
        <v>5</v>
      </c>
      <c r="H415" s="4" t="str" cm="1">
        <f t="array" ref="H415">INDEX(Sheet1!D:D,$G415)</f>
        <v>2001-cso-preferred-class-structure-mortality-tables.xls</v>
      </c>
      <c r="I415" s="4" t="str" cm="1">
        <f t="array" ref="I415">INDEX(Sheet1!E:E,$G415)</f>
        <v>A.1.a.iii</v>
      </c>
      <c r="J415" s="4" t="str" cm="1">
        <f t="array" ref="J415">IF($C415&gt;=25,INDEX(Sheet1!G:G,$G415),INDEX(Sheet1!F:F,$G415))</f>
        <v>AA8</v>
      </c>
      <c r="K415" s="4" cm="1">
        <f t="array" ref="K415">INDEX(Sheet1!H:H,$G415)</f>
        <v>1E-3</v>
      </c>
      <c r="L415" s="4">
        <f t="shared" si="24"/>
        <v>25</v>
      </c>
      <c r="M415" s="4">
        <f t="shared" si="25"/>
        <v>0</v>
      </c>
    </row>
    <row r="416" spans="1:13">
      <c r="A416" s="4" t="str" cm="1">
        <f t="array" ref="A416">INDEX(Sheet1!A:A,$F416)</f>
        <v>M</v>
      </c>
      <c r="B416" s="4" t="str" cm="1">
        <f t="array" ref="B416">INDEX(Sheet1!B:B,$F416)</f>
        <v>Non-Pref NS</v>
      </c>
      <c r="C416" s="4">
        <f t="shared" si="26"/>
        <v>51</v>
      </c>
      <c r="D416" s="5" cm="1">
        <f t="array" aca="1" ref="D416" ca="1">OFFSET(INDIRECT("'["&amp;$H416&amp;"]"&amp;$I416&amp;"'!"&amp;$J416),$L416,$M416)*$K416</f>
        <v>4.0899999999999999E-3</v>
      </c>
      <c r="F416" s="4">
        <f t="shared" si="27"/>
        <v>5</v>
      </c>
      <c r="G416" s="4" cm="1">
        <f t="array" ref="G416">IF($C416&gt;=25,F416,IF($C416&lt;16,INDEX(Sheet1!C:C,$F416),$F416))</f>
        <v>5</v>
      </c>
      <c r="H416" s="4" t="str" cm="1">
        <f t="array" ref="H416">INDEX(Sheet1!D:D,$G416)</f>
        <v>2001-cso-preferred-class-structure-mortality-tables.xls</v>
      </c>
      <c r="I416" s="4" t="str" cm="1">
        <f t="array" ref="I416">INDEX(Sheet1!E:E,$G416)</f>
        <v>A.1.a.iii</v>
      </c>
      <c r="J416" s="4" t="str" cm="1">
        <f t="array" ref="J416">IF($C416&gt;=25,INDEX(Sheet1!G:G,$G416),INDEX(Sheet1!F:F,$G416))</f>
        <v>AA8</v>
      </c>
      <c r="K416" s="4" cm="1">
        <f t="array" ref="K416">INDEX(Sheet1!H:H,$G416)</f>
        <v>1E-3</v>
      </c>
      <c r="L416" s="4">
        <f t="shared" si="24"/>
        <v>26</v>
      </c>
      <c r="M416" s="4">
        <f t="shared" si="25"/>
        <v>0</v>
      </c>
    </row>
    <row r="417" spans="1:13">
      <c r="A417" s="4" t="str" cm="1">
        <f t="array" ref="A417">INDEX(Sheet1!A:A,$F417)</f>
        <v>M</v>
      </c>
      <c r="B417" s="4" t="str" cm="1">
        <f t="array" ref="B417">INDEX(Sheet1!B:B,$F417)</f>
        <v>Non-Pref NS</v>
      </c>
      <c r="C417" s="4">
        <f t="shared" si="26"/>
        <v>52</v>
      </c>
      <c r="D417" s="5" cm="1">
        <f t="array" aca="1" ref="D417" ca="1">OFFSET(INDIRECT("'["&amp;$H417&amp;"]"&amp;$I417&amp;"'!"&amp;$J417),$L417,$M417)*$K417</f>
        <v>4.4900000000000001E-3</v>
      </c>
      <c r="F417" s="4">
        <f t="shared" si="27"/>
        <v>5</v>
      </c>
      <c r="G417" s="4" cm="1">
        <f t="array" ref="G417">IF($C417&gt;=25,F417,IF($C417&lt;16,INDEX(Sheet1!C:C,$F417),$F417))</f>
        <v>5</v>
      </c>
      <c r="H417" s="4" t="str" cm="1">
        <f t="array" ref="H417">INDEX(Sheet1!D:D,$G417)</f>
        <v>2001-cso-preferred-class-structure-mortality-tables.xls</v>
      </c>
      <c r="I417" s="4" t="str" cm="1">
        <f t="array" ref="I417">INDEX(Sheet1!E:E,$G417)</f>
        <v>A.1.a.iii</v>
      </c>
      <c r="J417" s="4" t="str" cm="1">
        <f t="array" ref="J417">IF($C417&gt;=25,INDEX(Sheet1!G:G,$G417),INDEX(Sheet1!F:F,$G417))</f>
        <v>AA8</v>
      </c>
      <c r="K417" s="4" cm="1">
        <f t="array" ref="K417">INDEX(Sheet1!H:H,$G417)</f>
        <v>1E-3</v>
      </c>
      <c r="L417" s="4">
        <f t="shared" si="24"/>
        <v>27</v>
      </c>
      <c r="M417" s="4">
        <f t="shared" si="25"/>
        <v>0</v>
      </c>
    </row>
    <row r="418" spans="1:13">
      <c r="A418" s="4" t="str" cm="1">
        <f t="array" ref="A418">INDEX(Sheet1!A:A,$F418)</f>
        <v>M</v>
      </c>
      <c r="B418" s="4" t="str" cm="1">
        <f t="array" ref="B418">INDEX(Sheet1!B:B,$F418)</f>
        <v>Non-Pref NS</v>
      </c>
      <c r="C418" s="4">
        <f t="shared" si="26"/>
        <v>53</v>
      </c>
      <c r="D418" s="5" cm="1">
        <f t="array" aca="1" ref="D418" ca="1">OFFSET(INDIRECT("'["&amp;$H418&amp;"]"&amp;$I418&amp;"'!"&amp;$J418),$L418,$M418)*$K418</f>
        <v>4.9199999999999999E-3</v>
      </c>
      <c r="F418" s="4">
        <f t="shared" si="27"/>
        <v>5</v>
      </c>
      <c r="G418" s="4" cm="1">
        <f t="array" ref="G418">IF($C418&gt;=25,F418,IF($C418&lt;16,INDEX(Sheet1!C:C,$F418),$F418))</f>
        <v>5</v>
      </c>
      <c r="H418" s="4" t="str" cm="1">
        <f t="array" ref="H418">INDEX(Sheet1!D:D,$G418)</f>
        <v>2001-cso-preferred-class-structure-mortality-tables.xls</v>
      </c>
      <c r="I418" s="4" t="str" cm="1">
        <f t="array" ref="I418">INDEX(Sheet1!E:E,$G418)</f>
        <v>A.1.a.iii</v>
      </c>
      <c r="J418" s="4" t="str" cm="1">
        <f t="array" ref="J418">IF($C418&gt;=25,INDEX(Sheet1!G:G,$G418),INDEX(Sheet1!F:F,$G418))</f>
        <v>AA8</v>
      </c>
      <c r="K418" s="4" cm="1">
        <f t="array" ref="K418">INDEX(Sheet1!H:H,$G418)</f>
        <v>1E-3</v>
      </c>
      <c r="L418" s="4">
        <f t="shared" si="24"/>
        <v>28</v>
      </c>
      <c r="M418" s="4">
        <f t="shared" si="25"/>
        <v>0</v>
      </c>
    </row>
    <row r="419" spans="1:13">
      <c r="A419" s="4" t="str" cm="1">
        <f t="array" ref="A419">INDEX(Sheet1!A:A,$F419)</f>
        <v>M</v>
      </c>
      <c r="B419" s="4" t="str" cm="1">
        <f t="array" ref="B419">INDEX(Sheet1!B:B,$F419)</f>
        <v>Non-Pref NS</v>
      </c>
      <c r="C419" s="4">
        <f t="shared" si="26"/>
        <v>54</v>
      </c>
      <c r="D419" s="5" cm="1">
        <f t="array" aca="1" ref="D419" ca="1">OFFSET(INDIRECT("'["&amp;$H419&amp;"]"&amp;$I419&amp;"'!"&amp;$J419),$L419,$M419)*$K419</f>
        <v>5.4900000000000001E-3</v>
      </c>
      <c r="F419" s="4">
        <f t="shared" si="27"/>
        <v>5</v>
      </c>
      <c r="G419" s="4" cm="1">
        <f t="array" ref="G419">IF($C419&gt;=25,F419,IF($C419&lt;16,INDEX(Sheet1!C:C,$F419),$F419))</f>
        <v>5</v>
      </c>
      <c r="H419" s="4" t="str" cm="1">
        <f t="array" ref="H419">INDEX(Sheet1!D:D,$G419)</f>
        <v>2001-cso-preferred-class-structure-mortality-tables.xls</v>
      </c>
      <c r="I419" s="4" t="str" cm="1">
        <f t="array" ref="I419">INDEX(Sheet1!E:E,$G419)</f>
        <v>A.1.a.iii</v>
      </c>
      <c r="J419" s="4" t="str" cm="1">
        <f t="array" ref="J419">IF($C419&gt;=25,INDEX(Sheet1!G:G,$G419),INDEX(Sheet1!F:F,$G419))</f>
        <v>AA8</v>
      </c>
      <c r="K419" s="4" cm="1">
        <f t="array" ref="K419">INDEX(Sheet1!H:H,$G419)</f>
        <v>1E-3</v>
      </c>
      <c r="L419" s="4">
        <f t="shared" si="24"/>
        <v>29</v>
      </c>
      <c r="M419" s="4">
        <f t="shared" si="25"/>
        <v>0</v>
      </c>
    </row>
    <row r="420" spans="1:13">
      <c r="A420" s="4" t="str" cm="1">
        <f t="array" ref="A420">INDEX(Sheet1!A:A,$F420)</f>
        <v>M</v>
      </c>
      <c r="B420" s="4" t="str" cm="1">
        <f t="array" ref="B420">INDEX(Sheet1!B:B,$F420)</f>
        <v>Non-Pref NS</v>
      </c>
      <c r="C420" s="4">
        <f t="shared" si="26"/>
        <v>55</v>
      </c>
      <c r="D420" s="5" cm="1">
        <f t="array" aca="1" ref="D420" ca="1">OFFSET(INDIRECT("'["&amp;$H420&amp;"]"&amp;$I420&amp;"'!"&amp;$J420),$L420,$M420)*$K420</f>
        <v>6.1600000000000005E-3</v>
      </c>
      <c r="F420" s="4">
        <f t="shared" si="27"/>
        <v>5</v>
      </c>
      <c r="G420" s="4" cm="1">
        <f t="array" ref="G420">IF($C420&gt;=25,F420,IF($C420&lt;16,INDEX(Sheet1!C:C,$F420),$F420))</f>
        <v>5</v>
      </c>
      <c r="H420" s="4" t="str" cm="1">
        <f t="array" ref="H420">INDEX(Sheet1!D:D,$G420)</f>
        <v>2001-cso-preferred-class-structure-mortality-tables.xls</v>
      </c>
      <c r="I420" s="4" t="str" cm="1">
        <f t="array" ref="I420">INDEX(Sheet1!E:E,$G420)</f>
        <v>A.1.a.iii</v>
      </c>
      <c r="J420" s="4" t="str" cm="1">
        <f t="array" ref="J420">IF($C420&gt;=25,INDEX(Sheet1!G:G,$G420),INDEX(Sheet1!F:F,$G420))</f>
        <v>AA8</v>
      </c>
      <c r="K420" s="4" cm="1">
        <f t="array" ref="K420">INDEX(Sheet1!H:H,$G420)</f>
        <v>1E-3</v>
      </c>
      <c r="L420" s="4">
        <f t="shared" si="24"/>
        <v>30</v>
      </c>
      <c r="M420" s="4">
        <f t="shared" si="25"/>
        <v>0</v>
      </c>
    </row>
    <row r="421" spans="1:13">
      <c r="A421" s="4" t="str" cm="1">
        <f t="array" ref="A421">INDEX(Sheet1!A:A,$F421)</f>
        <v>M</v>
      </c>
      <c r="B421" s="4" t="str" cm="1">
        <f t="array" ref="B421">INDEX(Sheet1!B:B,$F421)</f>
        <v>Non-Pref NS</v>
      </c>
      <c r="C421" s="4">
        <f t="shared" si="26"/>
        <v>56</v>
      </c>
      <c r="D421" s="5" cm="1">
        <f t="array" aca="1" ref="D421" ca="1">OFFSET(INDIRECT("'["&amp;$H421&amp;"]"&amp;$I421&amp;"'!"&amp;$J421),$L421,$M421)*$K421</f>
        <v>6.8500000000000002E-3</v>
      </c>
      <c r="F421" s="4">
        <f t="shared" si="27"/>
        <v>5</v>
      </c>
      <c r="G421" s="4" cm="1">
        <f t="array" ref="G421">IF($C421&gt;=25,F421,IF($C421&lt;16,INDEX(Sheet1!C:C,$F421),$F421))</f>
        <v>5</v>
      </c>
      <c r="H421" s="4" t="str" cm="1">
        <f t="array" ref="H421">INDEX(Sheet1!D:D,$G421)</f>
        <v>2001-cso-preferred-class-structure-mortality-tables.xls</v>
      </c>
      <c r="I421" s="4" t="str" cm="1">
        <f t="array" ref="I421">INDEX(Sheet1!E:E,$G421)</f>
        <v>A.1.a.iii</v>
      </c>
      <c r="J421" s="4" t="str" cm="1">
        <f t="array" ref="J421">IF($C421&gt;=25,INDEX(Sheet1!G:G,$G421),INDEX(Sheet1!F:F,$G421))</f>
        <v>AA8</v>
      </c>
      <c r="K421" s="4" cm="1">
        <f t="array" ref="K421">INDEX(Sheet1!H:H,$G421)</f>
        <v>1E-3</v>
      </c>
      <c r="L421" s="4">
        <f t="shared" si="24"/>
        <v>31</v>
      </c>
      <c r="M421" s="4">
        <f t="shared" si="25"/>
        <v>0</v>
      </c>
    </row>
    <row r="422" spans="1:13">
      <c r="A422" s="4" t="str" cm="1">
        <f t="array" ref="A422">INDEX(Sheet1!A:A,$F422)</f>
        <v>M</v>
      </c>
      <c r="B422" s="4" t="str" cm="1">
        <f t="array" ref="B422">INDEX(Sheet1!B:B,$F422)</f>
        <v>Non-Pref NS</v>
      </c>
      <c r="C422" s="4">
        <f t="shared" si="26"/>
        <v>57</v>
      </c>
      <c r="D422" s="5" cm="1">
        <f t="array" aca="1" ref="D422" ca="1">OFFSET(INDIRECT("'["&amp;$H422&amp;"]"&amp;$I422&amp;"'!"&amp;$J422),$L422,$M422)*$K422</f>
        <v>7.6E-3</v>
      </c>
      <c r="F422" s="4">
        <f t="shared" si="27"/>
        <v>5</v>
      </c>
      <c r="G422" s="4" cm="1">
        <f t="array" ref="G422">IF($C422&gt;=25,F422,IF($C422&lt;16,INDEX(Sheet1!C:C,$F422),$F422))</f>
        <v>5</v>
      </c>
      <c r="H422" s="4" t="str" cm="1">
        <f t="array" ref="H422">INDEX(Sheet1!D:D,$G422)</f>
        <v>2001-cso-preferred-class-structure-mortality-tables.xls</v>
      </c>
      <c r="I422" s="4" t="str" cm="1">
        <f t="array" ref="I422">INDEX(Sheet1!E:E,$G422)</f>
        <v>A.1.a.iii</v>
      </c>
      <c r="J422" s="4" t="str" cm="1">
        <f t="array" ref="J422">IF($C422&gt;=25,INDEX(Sheet1!G:G,$G422),INDEX(Sheet1!F:F,$G422))</f>
        <v>AA8</v>
      </c>
      <c r="K422" s="4" cm="1">
        <f t="array" ref="K422">INDEX(Sheet1!H:H,$G422)</f>
        <v>1E-3</v>
      </c>
      <c r="L422" s="4">
        <f t="shared" si="24"/>
        <v>32</v>
      </c>
      <c r="M422" s="4">
        <f t="shared" si="25"/>
        <v>0</v>
      </c>
    </row>
    <row r="423" spans="1:13">
      <c r="A423" s="4" t="str" cm="1">
        <f t="array" ref="A423">INDEX(Sheet1!A:A,$F423)</f>
        <v>M</v>
      </c>
      <c r="B423" s="4" t="str" cm="1">
        <f t="array" ref="B423">INDEX(Sheet1!B:B,$F423)</f>
        <v>Non-Pref NS</v>
      </c>
      <c r="C423" s="4">
        <f t="shared" si="26"/>
        <v>58</v>
      </c>
      <c r="D423" s="5" cm="1">
        <f t="array" aca="1" ref="D423" ca="1">OFFSET(INDIRECT("'["&amp;$H423&amp;"]"&amp;$I423&amp;"'!"&amp;$J423),$L423,$M423)*$K423</f>
        <v>8.2200000000000016E-3</v>
      </c>
      <c r="F423" s="4">
        <f t="shared" si="27"/>
        <v>5</v>
      </c>
      <c r="G423" s="4" cm="1">
        <f t="array" ref="G423">IF($C423&gt;=25,F423,IF($C423&lt;16,INDEX(Sheet1!C:C,$F423),$F423))</f>
        <v>5</v>
      </c>
      <c r="H423" s="4" t="str" cm="1">
        <f t="array" ref="H423">INDEX(Sheet1!D:D,$G423)</f>
        <v>2001-cso-preferred-class-structure-mortality-tables.xls</v>
      </c>
      <c r="I423" s="4" t="str" cm="1">
        <f t="array" ref="I423">INDEX(Sheet1!E:E,$G423)</f>
        <v>A.1.a.iii</v>
      </c>
      <c r="J423" s="4" t="str" cm="1">
        <f t="array" ref="J423">IF($C423&gt;=25,INDEX(Sheet1!G:G,$G423),INDEX(Sheet1!F:F,$G423))</f>
        <v>AA8</v>
      </c>
      <c r="K423" s="4" cm="1">
        <f t="array" ref="K423">INDEX(Sheet1!H:H,$G423)</f>
        <v>1E-3</v>
      </c>
      <c r="L423" s="4">
        <f t="shared" si="24"/>
        <v>33</v>
      </c>
      <c r="M423" s="4">
        <f t="shared" si="25"/>
        <v>0</v>
      </c>
    </row>
    <row r="424" spans="1:13">
      <c r="A424" s="4" t="str" cm="1">
        <f t="array" ref="A424">INDEX(Sheet1!A:A,$F424)</f>
        <v>M</v>
      </c>
      <c r="B424" s="4" t="str" cm="1">
        <f t="array" ref="B424">INDEX(Sheet1!B:B,$F424)</f>
        <v>Non-Pref NS</v>
      </c>
      <c r="C424" s="4">
        <f t="shared" si="26"/>
        <v>59</v>
      </c>
      <c r="D424" s="5" cm="1">
        <f t="array" aca="1" ref="D424" ca="1">OFFSET(INDIRECT("'["&amp;$H424&amp;"]"&amp;$I424&amp;"'!"&amp;$J424),$L424,$M424)*$K424</f>
        <v>8.94E-3</v>
      </c>
      <c r="F424" s="4">
        <f t="shared" si="27"/>
        <v>5</v>
      </c>
      <c r="G424" s="4" cm="1">
        <f t="array" ref="G424">IF($C424&gt;=25,F424,IF($C424&lt;16,INDEX(Sheet1!C:C,$F424),$F424))</f>
        <v>5</v>
      </c>
      <c r="H424" s="4" t="str" cm="1">
        <f t="array" ref="H424">INDEX(Sheet1!D:D,$G424)</f>
        <v>2001-cso-preferred-class-structure-mortality-tables.xls</v>
      </c>
      <c r="I424" s="4" t="str" cm="1">
        <f t="array" ref="I424">INDEX(Sheet1!E:E,$G424)</f>
        <v>A.1.a.iii</v>
      </c>
      <c r="J424" s="4" t="str" cm="1">
        <f t="array" ref="J424">IF($C424&gt;=25,INDEX(Sheet1!G:G,$G424),INDEX(Sheet1!F:F,$G424))</f>
        <v>AA8</v>
      </c>
      <c r="K424" s="4" cm="1">
        <f t="array" ref="K424">INDEX(Sheet1!H:H,$G424)</f>
        <v>1E-3</v>
      </c>
      <c r="L424" s="4">
        <f t="shared" si="24"/>
        <v>34</v>
      </c>
      <c r="M424" s="4">
        <f t="shared" si="25"/>
        <v>0</v>
      </c>
    </row>
    <row r="425" spans="1:13">
      <c r="A425" s="4" t="str" cm="1">
        <f t="array" ref="A425">INDEX(Sheet1!A:A,$F425)</f>
        <v>M</v>
      </c>
      <c r="B425" s="4" t="str" cm="1">
        <f t="array" ref="B425">INDEX(Sheet1!B:B,$F425)</f>
        <v>Non-Pref NS</v>
      </c>
      <c r="C425" s="4">
        <f t="shared" si="26"/>
        <v>60</v>
      </c>
      <c r="D425" s="5" cm="1">
        <f t="array" aca="1" ref="D425" ca="1">OFFSET(INDIRECT("'["&amp;$H425&amp;"]"&amp;$I425&amp;"'!"&amp;$J425),$L425,$M425)*$K425</f>
        <v>9.8499999999999994E-3</v>
      </c>
      <c r="F425" s="4">
        <f t="shared" si="27"/>
        <v>5</v>
      </c>
      <c r="G425" s="4" cm="1">
        <f t="array" ref="G425">IF($C425&gt;=25,F425,IF($C425&lt;16,INDEX(Sheet1!C:C,$F425),$F425))</f>
        <v>5</v>
      </c>
      <c r="H425" s="4" t="str" cm="1">
        <f t="array" ref="H425">INDEX(Sheet1!D:D,$G425)</f>
        <v>2001-cso-preferred-class-structure-mortality-tables.xls</v>
      </c>
      <c r="I425" s="4" t="str" cm="1">
        <f t="array" ref="I425">INDEX(Sheet1!E:E,$G425)</f>
        <v>A.1.a.iii</v>
      </c>
      <c r="J425" s="4" t="str" cm="1">
        <f t="array" ref="J425">IF($C425&gt;=25,INDEX(Sheet1!G:G,$G425),INDEX(Sheet1!F:F,$G425))</f>
        <v>AA8</v>
      </c>
      <c r="K425" s="4" cm="1">
        <f t="array" ref="K425">INDEX(Sheet1!H:H,$G425)</f>
        <v>1E-3</v>
      </c>
      <c r="L425" s="4">
        <f t="shared" si="24"/>
        <v>35</v>
      </c>
      <c r="M425" s="4">
        <f t="shared" si="25"/>
        <v>0</v>
      </c>
    </row>
    <row r="426" spans="1:13">
      <c r="A426" s="4" t="str" cm="1">
        <f t="array" ref="A426">INDEX(Sheet1!A:A,$F426)</f>
        <v>M</v>
      </c>
      <c r="B426" s="4" t="str" cm="1">
        <f t="array" ref="B426">INDEX(Sheet1!B:B,$F426)</f>
        <v>Non-Pref NS</v>
      </c>
      <c r="C426" s="4">
        <f t="shared" si="26"/>
        <v>61</v>
      </c>
      <c r="D426" s="5" cm="1">
        <f t="array" aca="1" ref="D426" ca="1">OFFSET(INDIRECT("'["&amp;$H426&amp;"]"&amp;$I426&amp;"'!"&amp;$J426),$L426,$M426)*$K426</f>
        <v>1.095E-2</v>
      </c>
      <c r="F426" s="4">
        <f t="shared" si="27"/>
        <v>5</v>
      </c>
      <c r="G426" s="4" cm="1">
        <f t="array" ref="G426">IF($C426&gt;=25,F426,IF($C426&lt;16,INDEX(Sheet1!C:C,$F426),$F426))</f>
        <v>5</v>
      </c>
      <c r="H426" s="4" t="str" cm="1">
        <f t="array" ref="H426">INDEX(Sheet1!D:D,$G426)</f>
        <v>2001-cso-preferred-class-structure-mortality-tables.xls</v>
      </c>
      <c r="I426" s="4" t="str" cm="1">
        <f t="array" ref="I426">INDEX(Sheet1!E:E,$G426)</f>
        <v>A.1.a.iii</v>
      </c>
      <c r="J426" s="4" t="str" cm="1">
        <f t="array" ref="J426">IF($C426&gt;=25,INDEX(Sheet1!G:G,$G426),INDEX(Sheet1!F:F,$G426))</f>
        <v>AA8</v>
      </c>
      <c r="K426" s="4" cm="1">
        <f t="array" ref="K426">INDEX(Sheet1!H:H,$G426)</f>
        <v>1E-3</v>
      </c>
      <c r="L426" s="4">
        <f t="shared" si="24"/>
        <v>36</v>
      </c>
      <c r="M426" s="4">
        <f t="shared" si="25"/>
        <v>0</v>
      </c>
    </row>
    <row r="427" spans="1:13">
      <c r="A427" s="4" t="str" cm="1">
        <f t="array" ref="A427">INDEX(Sheet1!A:A,$F427)</f>
        <v>M</v>
      </c>
      <c r="B427" s="4" t="str" cm="1">
        <f t="array" ref="B427">INDEX(Sheet1!B:B,$F427)</f>
        <v>Non-Pref NS</v>
      </c>
      <c r="C427" s="4">
        <f t="shared" si="26"/>
        <v>62</v>
      </c>
      <c r="D427" s="5" cm="1">
        <f t="array" aca="1" ref="D427" ca="1">OFFSET(INDIRECT("'["&amp;$H427&amp;"]"&amp;$I427&amp;"'!"&amp;$J427),$L427,$M427)*$K427</f>
        <v>1.2310000000000001E-2</v>
      </c>
      <c r="F427" s="4">
        <f t="shared" si="27"/>
        <v>5</v>
      </c>
      <c r="G427" s="4" cm="1">
        <f t="array" ref="G427">IF($C427&gt;=25,F427,IF($C427&lt;16,INDEX(Sheet1!C:C,$F427),$F427))</f>
        <v>5</v>
      </c>
      <c r="H427" s="4" t="str" cm="1">
        <f t="array" ref="H427">INDEX(Sheet1!D:D,$G427)</f>
        <v>2001-cso-preferred-class-structure-mortality-tables.xls</v>
      </c>
      <c r="I427" s="4" t="str" cm="1">
        <f t="array" ref="I427">INDEX(Sheet1!E:E,$G427)</f>
        <v>A.1.a.iii</v>
      </c>
      <c r="J427" s="4" t="str" cm="1">
        <f t="array" ref="J427">IF($C427&gt;=25,INDEX(Sheet1!G:G,$G427),INDEX(Sheet1!F:F,$G427))</f>
        <v>AA8</v>
      </c>
      <c r="K427" s="4" cm="1">
        <f t="array" ref="K427">INDEX(Sheet1!H:H,$G427)</f>
        <v>1E-3</v>
      </c>
      <c r="L427" s="4">
        <f t="shared" si="24"/>
        <v>37</v>
      </c>
      <c r="M427" s="4">
        <f t="shared" si="25"/>
        <v>0</v>
      </c>
    </row>
    <row r="428" spans="1:13">
      <c r="A428" s="4" t="str" cm="1">
        <f t="array" ref="A428">INDEX(Sheet1!A:A,$F428)</f>
        <v>M</v>
      </c>
      <c r="B428" s="4" t="str" cm="1">
        <f t="array" ref="B428">INDEX(Sheet1!B:B,$F428)</f>
        <v>Non-Pref NS</v>
      </c>
      <c r="C428" s="4">
        <f t="shared" si="26"/>
        <v>63</v>
      </c>
      <c r="D428" s="5" cm="1">
        <f t="array" aca="1" ref="D428" ca="1">OFFSET(INDIRECT("'["&amp;$H428&amp;"]"&amp;$I428&amp;"'!"&amp;$J428),$L428,$M428)*$K428</f>
        <v>1.383E-2</v>
      </c>
      <c r="F428" s="4">
        <f t="shared" si="27"/>
        <v>5</v>
      </c>
      <c r="G428" s="4" cm="1">
        <f t="array" ref="G428">IF($C428&gt;=25,F428,IF($C428&lt;16,INDEX(Sheet1!C:C,$F428),$F428))</f>
        <v>5</v>
      </c>
      <c r="H428" s="4" t="str" cm="1">
        <f t="array" ref="H428">INDEX(Sheet1!D:D,$G428)</f>
        <v>2001-cso-preferred-class-structure-mortality-tables.xls</v>
      </c>
      <c r="I428" s="4" t="str" cm="1">
        <f t="array" ref="I428">INDEX(Sheet1!E:E,$G428)</f>
        <v>A.1.a.iii</v>
      </c>
      <c r="J428" s="4" t="str" cm="1">
        <f t="array" ref="J428">IF($C428&gt;=25,INDEX(Sheet1!G:G,$G428),INDEX(Sheet1!F:F,$G428))</f>
        <v>AA8</v>
      </c>
      <c r="K428" s="4" cm="1">
        <f t="array" ref="K428">INDEX(Sheet1!H:H,$G428)</f>
        <v>1E-3</v>
      </c>
      <c r="L428" s="4">
        <f t="shared" si="24"/>
        <v>38</v>
      </c>
      <c r="M428" s="4">
        <f t="shared" si="25"/>
        <v>0</v>
      </c>
    </row>
    <row r="429" spans="1:13">
      <c r="A429" s="4" t="str" cm="1">
        <f t="array" ref="A429">INDEX(Sheet1!A:A,$F429)</f>
        <v>M</v>
      </c>
      <c r="B429" s="4" t="str" cm="1">
        <f t="array" ref="B429">INDEX(Sheet1!B:B,$F429)</f>
        <v>Non-Pref NS</v>
      </c>
      <c r="C429" s="4">
        <f t="shared" si="26"/>
        <v>64</v>
      </c>
      <c r="D429" s="5" cm="1">
        <f t="array" aca="1" ref="D429" ca="1">OFFSET(INDIRECT("'["&amp;$H429&amp;"]"&amp;$I429&amp;"'!"&amp;$J429),$L429,$M429)*$K429</f>
        <v>1.5429999999999999E-2</v>
      </c>
      <c r="F429" s="4">
        <f t="shared" si="27"/>
        <v>5</v>
      </c>
      <c r="G429" s="4" cm="1">
        <f t="array" ref="G429">IF($C429&gt;=25,F429,IF($C429&lt;16,INDEX(Sheet1!C:C,$F429),$F429))</f>
        <v>5</v>
      </c>
      <c r="H429" s="4" t="str" cm="1">
        <f t="array" ref="H429">INDEX(Sheet1!D:D,$G429)</f>
        <v>2001-cso-preferred-class-structure-mortality-tables.xls</v>
      </c>
      <c r="I429" s="4" t="str" cm="1">
        <f t="array" ref="I429">INDEX(Sheet1!E:E,$G429)</f>
        <v>A.1.a.iii</v>
      </c>
      <c r="J429" s="4" t="str" cm="1">
        <f t="array" ref="J429">IF($C429&gt;=25,INDEX(Sheet1!G:G,$G429),INDEX(Sheet1!F:F,$G429))</f>
        <v>AA8</v>
      </c>
      <c r="K429" s="4" cm="1">
        <f t="array" ref="K429">INDEX(Sheet1!H:H,$G429)</f>
        <v>1E-3</v>
      </c>
      <c r="L429" s="4">
        <f t="shared" si="24"/>
        <v>39</v>
      </c>
      <c r="M429" s="4">
        <f t="shared" si="25"/>
        <v>0</v>
      </c>
    </row>
    <row r="430" spans="1:13">
      <c r="A430" s="4" t="str" cm="1">
        <f t="array" ref="A430">INDEX(Sheet1!A:A,$F430)</f>
        <v>M</v>
      </c>
      <c r="B430" s="4" t="str" cm="1">
        <f t="array" ref="B430">INDEX(Sheet1!B:B,$F430)</f>
        <v>Non-Pref NS</v>
      </c>
      <c r="C430" s="4">
        <f t="shared" si="26"/>
        <v>65</v>
      </c>
      <c r="D430" s="5" cm="1">
        <f t="array" aca="1" ref="D430" ca="1">OFFSET(INDIRECT("'["&amp;$H430&amp;"]"&amp;$I430&amp;"'!"&amp;$J430),$L430,$M430)*$K430</f>
        <v>1.711E-2</v>
      </c>
      <c r="F430" s="4">
        <f t="shared" si="27"/>
        <v>5</v>
      </c>
      <c r="G430" s="4" cm="1">
        <f t="array" ref="G430">IF($C430&gt;=25,F430,IF($C430&lt;16,INDEX(Sheet1!C:C,$F430),$F430))</f>
        <v>5</v>
      </c>
      <c r="H430" s="4" t="str" cm="1">
        <f t="array" ref="H430">INDEX(Sheet1!D:D,$G430)</f>
        <v>2001-cso-preferred-class-structure-mortality-tables.xls</v>
      </c>
      <c r="I430" s="4" t="str" cm="1">
        <f t="array" ref="I430">INDEX(Sheet1!E:E,$G430)</f>
        <v>A.1.a.iii</v>
      </c>
      <c r="J430" s="4" t="str" cm="1">
        <f t="array" ref="J430">IF($C430&gt;=25,INDEX(Sheet1!G:G,$G430),INDEX(Sheet1!F:F,$G430))</f>
        <v>AA8</v>
      </c>
      <c r="K430" s="4" cm="1">
        <f t="array" ref="K430">INDEX(Sheet1!H:H,$G430)</f>
        <v>1E-3</v>
      </c>
      <c r="L430" s="4">
        <f t="shared" si="24"/>
        <v>40</v>
      </c>
      <c r="M430" s="4">
        <f t="shared" si="25"/>
        <v>0</v>
      </c>
    </row>
    <row r="431" spans="1:13">
      <c r="A431" s="4" t="str" cm="1">
        <f t="array" ref="A431">INDEX(Sheet1!A:A,$F431)</f>
        <v>M</v>
      </c>
      <c r="B431" s="4" t="str" cm="1">
        <f t="array" ref="B431">INDEX(Sheet1!B:B,$F431)</f>
        <v>Non-Pref NS</v>
      </c>
      <c r="C431" s="4">
        <f t="shared" si="26"/>
        <v>66</v>
      </c>
      <c r="D431" s="5" cm="1">
        <f t="array" aca="1" ref="D431" ca="1">OFFSET(INDIRECT("'["&amp;$H431&amp;"]"&amp;$I431&amp;"'!"&amp;$J431),$L431,$M431)*$K431</f>
        <v>1.882E-2</v>
      </c>
      <c r="F431" s="4">
        <f t="shared" si="27"/>
        <v>5</v>
      </c>
      <c r="G431" s="4" cm="1">
        <f t="array" ref="G431">IF($C431&gt;=25,F431,IF($C431&lt;16,INDEX(Sheet1!C:C,$F431),$F431))</f>
        <v>5</v>
      </c>
      <c r="H431" s="4" t="str" cm="1">
        <f t="array" ref="H431">INDEX(Sheet1!D:D,$G431)</f>
        <v>2001-cso-preferred-class-structure-mortality-tables.xls</v>
      </c>
      <c r="I431" s="4" t="str" cm="1">
        <f t="array" ref="I431">INDEX(Sheet1!E:E,$G431)</f>
        <v>A.1.a.iii</v>
      </c>
      <c r="J431" s="4" t="str" cm="1">
        <f t="array" ref="J431">IF($C431&gt;=25,INDEX(Sheet1!G:G,$G431),INDEX(Sheet1!F:F,$G431))</f>
        <v>AA8</v>
      </c>
      <c r="K431" s="4" cm="1">
        <f t="array" ref="K431">INDEX(Sheet1!H:H,$G431)</f>
        <v>1E-3</v>
      </c>
      <c r="L431" s="4">
        <f t="shared" si="24"/>
        <v>41</v>
      </c>
      <c r="M431" s="4">
        <f t="shared" si="25"/>
        <v>0</v>
      </c>
    </row>
    <row r="432" spans="1:13">
      <c r="A432" s="4" t="str" cm="1">
        <f t="array" ref="A432">INDEX(Sheet1!A:A,$F432)</f>
        <v>M</v>
      </c>
      <c r="B432" s="4" t="str" cm="1">
        <f t="array" ref="B432">INDEX(Sheet1!B:B,$F432)</f>
        <v>Non-Pref NS</v>
      </c>
      <c r="C432" s="4">
        <f t="shared" si="26"/>
        <v>67</v>
      </c>
      <c r="D432" s="5" cm="1">
        <f t="array" aca="1" ref="D432" ca="1">OFFSET(INDIRECT("'["&amp;$H432&amp;"]"&amp;$I432&amp;"'!"&amp;$J432),$L432,$M432)*$K432</f>
        <v>2.0550000000000002E-2</v>
      </c>
      <c r="F432" s="4">
        <f t="shared" si="27"/>
        <v>5</v>
      </c>
      <c r="G432" s="4" cm="1">
        <f t="array" ref="G432">IF($C432&gt;=25,F432,IF($C432&lt;16,INDEX(Sheet1!C:C,$F432),$F432))</f>
        <v>5</v>
      </c>
      <c r="H432" s="4" t="str" cm="1">
        <f t="array" ref="H432">INDEX(Sheet1!D:D,$G432)</f>
        <v>2001-cso-preferred-class-structure-mortality-tables.xls</v>
      </c>
      <c r="I432" s="4" t="str" cm="1">
        <f t="array" ref="I432">INDEX(Sheet1!E:E,$G432)</f>
        <v>A.1.a.iii</v>
      </c>
      <c r="J432" s="4" t="str" cm="1">
        <f t="array" ref="J432">IF($C432&gt;=25,INDEX(Sheet1!G:G,$G432),INDEX(Sheet1!F:F,$G432))</f>
        <v>AA8</v>
      </c>
      <c r="K432" s="4" cm="1">
        <f t="array" ref="K432">INDEX(Sheet1!H:H,$G432)</f>
        <v>1E-3</v>
      </c>
      <c r="L432" s="4">
        <f t="shared" si="24"/>
        <v>42</v>
      </c>
      <c r="M432" s="4">
        <f t="shared" si="25"/>
        <v>0</v>
      </c>
    </row>
    <row r="433" spans="1:13">
      <c r="A433" s="4" t="str" cm="1">
        <f t="array" ref="A433">INDEX(Sheet1!A:A,$F433)</f>
        <v>M</v>
      </c>
      <c r="B433" s="4" t="str" cm="1">
        <f t="array" ref="B433">INDEX(Sheet1!B:B,$F433)</f>
        <v>Non-Pref NS</v>
      </c>
      <c r="C433" s="4">
        <f t="shared" si="26"/>
        <v>68</v>
      </c>
      <c r="D433" s="5" cm="1">
        <f t="array" aca="1" ref="D433" ca="1">OFFSET(INDIRECT("'["&amp;$H433&amp;"]"&amp;$I433&amp;"'!"&amp;$J433),$L433,$M433)*$K433</f>
        <v>2.2420000000000002E-2</v>
      </c>
      <c r="F433" s="4">
        <f t="shared" si="27"/>
        <v>5</v>
      </c>
      <c r="G433" s="4" cm="1">
        <f t="array" ref="G433">IF($C433&gt;=25,F433,IF($C433&lt;16,INDEX(Sheet1!C:C,$F433),$F433))</f>
        <v>5</v>
      </c>
      <c r="H433" s="4" t="str" cm="1">
        <f t="array" ref="H433">INDEX(Sheet1!D:D,$G433)</f>
        <v>2001-cso-preferred-class-structure-mortality-tables.xls</v>
      </c>
      <c r="I433" s="4" t="str" cm="1">
        <f t="array" ref="I433">INDEX(Sheet1!E:E,$G433)</f>
        <v>A.1.a.iii</v>
      </c>
      <c r="J433" s="4" t="str" cm="1">
        <f t="array" ref="J433">IF($C433&gt;=25,INDEX(Sheet1!G:G,$G433),INDEX(Sheet1!F:F,$G433))</f>
        <v>AA8</v>
      </c>
      <c r="K433" s="4" cm="1">
        <f t="array" ref="K433">INDEX(Sheet1!H:H,$G433)</f>
        <v>1E-3</v>
      </c>
      <c r="L433" s="4">
        <f t="shared" si="24"/>
        <v>43</v>
      </c>
      <c r="M433" s="4">
        <f t="shared" si="25"/>
        <v>0</v>
      </c>
    </row>
    <row r="434" spans="1:13">
      <c r="A434" s="4" t="str" cm="1">
        <f t="array" ref="A434">INDEX(Sheet1!A:A,$F434)</f>
        <v>M</v>
      </c>
      <c r="B434" s="4" t="str" cm="1">
        <f t="array" ref="B434">INDEX(Sheet1!B:B,$F434)</f>
        <v>Non-Pref NS</v>
      </c>
      <c r="C434" s="4">
        <f t="shared" si="26"/>
        <v>69</v>
      </c>
      <c r="D434" s="5" cm="1">
        <f t="array" aca="1" ref="D434" ca="1">OFFSET(INDIRECT("'["&amp;$H434&amp;"]"&amp;$I434&amp;"'!"&amp;$J434),$L434,$M434)*$K434</f>
        <v>2.4329999999999997E-2</v>
      </c>
      <c r="F434" s="4">
        <f t="shared" si="27"/>
        <v>5</v>
      </c>
      <c r="G434" s="4" cm="1">
        <f t="array" ref="G434">IF($C434&gt;=25,F434,IF($C434&lt;16,INDEX(Sheet1!C:C,$F434),$F434))</f>
        <v>5</v>
      </c>
      <c r="H434" s="4" t="str" cm="1">
        <f t="array" ref="H434">INDEX(Sheet1!D:D,$G434)</f>
        <v>2001-cso-preferred-class-structure-mortality-tables.xls</v>
      </c>
      <c r="I434" s="4" t="str" cm="1">
        <f t="array" ref="I434">INDEX(Sheet1!E:E,$G434)</f>
        <v>A.1.a.iii</v>
      </c>
      <c r="J434" s="4" t="str" cm="1">
        <f t="array" ref="J434">IF($C434&gt;=25,INDEX(Sheet1!G:G,$G434),INDEX(Sheet1!F:F,$G434))</f>
        <v>AA8</v>
      </c>
      <c r="K434" s="4" cm="1">
        <f t="array" ref="K434">INDEX(Sheet1!H:H,$G434)</f>
        <v>1E-3</v>
      </c>
      <c r="L434" s="4">
        <f t="shared" si="24"/>
        <v>44</v>
      </c>
      <c r="M434" s="4">
        <f t="shared" si="25"/>
        <v>0</v>
      </c>
    </row>
    <row r="435" spans="1:13">
      <c r="A435" s="4" t="str" cm="1">
        <f t="array" ref="A435">INDEX(Sheet1!A:A,$F435)</f>
        <v>M</v>
      </c>
      <c r="B435" s="4" t="str" cm="1">
        <f t="array" ref="B435">INDEX(Sheet1!B:B,$F435)</f>
        <v>Non-Pref NS</v>
      </c>
      <c r="C435" s="4">
        <f t="shared" si="26"/>
        <v>70</v>
      </c>
      <c r="D435" s="5" cm="1">
        <f t="array" aca="1" ref="D435" ca="1">OFFSET(INDIRECT("'["&amp;$H435&amp;"]"&amp;$I435&amp;"'!"&amp;$J435),$L435,$M435)*$K435</f>
        <v>2.6670000000000003E-2</v>
      </c>
      <c r="F435" s="4">
        <f t="shared" si="27"/>
        <v>5</v>
      </c>
      <c r="G435" s="4" cm="1">
        <f t="array" ref="G435">IF($C435&gt;=25,F435,IF($C435&lt;16,INDEX(Sheet1!C:C,$F435),$F435))</f>
        <v>5</v>
      </c>
      <c r="H435" s="4" t="str" cm="1">
        <f t="array" ref="H435">INDEX(Sheet1!D:D,$G435)</f>
        <v>2001-cso-preferred-class-structure-mortality-tables.xls</v>
      </c>
      <c r="I435" s="4" t="str" cm="1">
        <f t="array" ref="I435">INDEX(Sheet1!E:E,$G435)</f>
        <v>A.1.a.iii</v>
      </c>
      <c r="J435" s="4" t="str" cm="1">
        <f t="array" ref="J435">IF($C435&gt;=25,INDEX(Sheet1!G:G,$G435),INDEX(Sheet1!F:F,$G435))</f>
        <v>AA8</v>
      </c>
      <c r="K435" s="4" cm="1">
        <f t="array" ref="K435">INDEX(Sheet1!H:H,$G435)</f>
        <v>1E-3</v>
      </c>
      <c r="L435" s="4">
        <f t="shared" si="24"/>
        <v>45</v>
      </c>
      <c r="M435" s="4">
        <f t="shared" si="25"/>
        <v>0</v>
      </c>
    </row>
    <row r="436" spans="1:13">
      <c r="A436" s="4" t="str" cm="1">
        <f t="array" ref="A436">INDEX(Sheet1!A:A,$F436)</f>
        <v>M</v>
      </c>
      <c r="B436" s="4" t="str" cm="1">
        <f t="array" ref="B436">INDEX(Sheet1!B:B,$F436)</f>
        <v>Non-Pref NS</v>
      </c>
      <c r="C436" s="4">
        <f t="shared" si="26"/>
        <v>71</v>
      </c>
      <c r="D436" s="5" cm="1">
        <f t="array" aca="1" ref="D436" ca="1">OFFSET(INDIRECT("'["&amp;$H436&amp;"]"&amp;$I436&amp;"'!"&amp;$J436),$L436,$M436)*$K436</f>
        <v>2.928E-2</v>
      </c>
      <c r="F436" s="4">
        <f t="shared" si="27"/>
        <v>5</v>
      </c>
      <c r="G436" s="4" cm="1">
        <f t="array" ref="G436">IF($C436&gt;=25,F436,IF($C436&lt;16,INDEX(Sheet1!C:C,$F436),$F436))</f>
        <v>5</v>
      </c>
      <c r="H436" s="4" t="str" cm="1">
        <f t="array" ref="H436">INDEX(Sheet1!D:D,$G436)</f>
        <v>2001-cso-preferred-class-structure-mortality-tables.xls</v>
      </c>
      <c r="I436" s="4" t="str" cm="1">
        <f t="array" ref="I436">INDEX(Sheet1!E:E,$G436)</f>
        <v>A.1.a.iii</v>
      </c>
      <c r="J436" s="4" t="str" cm="1">
        <f t="array" ref="J436">IF($C436&gt;=25,INDEX(Sheet1!G:G,$G436),INDEX(Sheet1!F:F,$G436))</f>
        <v>AA8</v>
      </c>
      <c r="K436" s="4" cm="1">
        <f t="array" ref="K436">INDEX(Sheet1!H:H,$G436)</f>
        <v>1E-3</v>
      </c>
      <c r="L436" s="4">
        <f t="shared" si="24"/>
        <v>46</v>
      </c>
      <c r="M436" s="4">
        <f t="shared" si="25"/>
        <v>0</v>
      </c>
    </row>
    <row r="437" spans="1:13">
      <c r="A437" s="4" t="str" cm="1">
        <f t="array" ref="A437">INDEX(Sheet1!A:A,$F437)</f>
        <v>M</v>
      </c>
      <c r="B437" s="4" t="str" cm="1">
        <f t="array" ref="B437">INDEX(Sheet1!B:B,$F437)</f>
        <v>Non-Pref NS</v>
      </c>
      <c r="C437" s="4">
        <f t="shared" si="26"/>
        <v>72</v>
      </c>
      <c r="D437" s="5" cm="1">
        <f t="array" aca="1" ref="D437" ca="1">OFFSET(INDIRECT("'["&amp;$H437&amp;"]"&amp;$I437&amp;"'!"&amp;$J437),$L437,$M437)*$K437</f>
        <v>3.2729999999999995E-2</v>
      </c>
      <c r="F437" s="4">
        <f t="shared" si="27"/>
        <v>5</v>
      </c>
      <c r="G437" s="4" cm="1">
        <f t="array" ref="G437">IF($C437&gt;=25,F437,IF($C437&lt;16,INDEX(Sheet1!C:C,$F437),$F437))</f>
        <v>5</v>
      </c>
      <c r="H437" s="4" t="str" cm="1">
        <f t="array" ref="H437">INDEX(Sheet1!D:D,$G437)</f>
        <v>2001-cso-preferred-class-structure-mortality-tables.xls</v>
      </c>
      <c r="I437" s="4" t="str" cm="1">
        <f t="array" ref="I437">INDEX(Sheet1!E:E,$G437)</f>
        <v>A.1.a.iii</v>
      </c>
      <c r="J437" s="4" t="str" cm="1">
        <f t="array" ref="J437">IF($C437&gt;=25,INDEX(Sheet1!G:G,$G437),INDEX(Sheet1!F:F,$G437))</f>
        <v>AA8</v>
      </c>
      <c r="K437" s="4" cm="1">
        <f t="array" ref="K437">INDEX(Sheet1!H:H,$G437)</f>
        <v>1E-3</v>
      </c>
      <c r="L437" s="4">
        <f t="shared" si="24"/>
        <v>47</v>
      </c>
      <c r="M437" s="4">
        <f t="shared" si="25"/>
        <v>0</v>
      </c>
    </row>
    <row r="438" spans="1:13">
      <c r="A438" s="4" t="str" cm="1">
        <f t="array" ref="A438">INDEX(Sheet1!A:A,$F438)</f>
        <v>M</v>
      </c>
      <c r="B438" s="4" t="str" cm="1">
        <f t="array" ref="B438">INDEX(Sheet1!B:B,$F438)</f>
        <v>Non-Pref NS</v>
      </c>
      <c r="C438" s="4">
        <f t="shared" si="26"/>
        <v>73</v>
      </c>
      <c r="D438" s="5" cm="1">
        <f t="array" aca="1" ref="D438" ca="1">OFFSET(INDIRECT("'["&amp;$H438&amp;"]"&amp;$I438&amp;"'!"&amp;$J438),$L438,$M438)*$K438</f>
        <v>3.635E-2</v>
      </c>
      <c r="F438" s="4">
        <f t="shared" si="27"/>
        <v>5</v>
      </c>
      <c r="G438" s="4" cm="1">
        <f t="array" ref="G438">IF($C438&gt;=25,F438,IF($C438&lt;16,INDEX(Sheet1!C:C,$F438),$F438))</f>
        <v>5</v>
      </c>
      <c r="H438" s="4" t="str" cm="1">
        <f t="array" ref="H438">INDEX(Sheet1!D:D,$G438)</f>
        <v>2001-cso-preferred-class-structure-mortality-tables.xls</v>
      </c>
      <c r="I438" s="4" t="str" cm="1">
        <f t="array" ref="I438">INDEX(Sheet1!E:E,$G438)</f>
        <v>A.1.a.iii</v>
      </c>
      <c r="J438" s="4" t="str" cm="1">
        <f t="array" ref="J438">IF($C438&gt;=25,INDEX(Sheet1!G:G,$G438),INDEX(Sheet1!F:F,$G438))</f>
        <v>AA8</v>
      </c>
      <c r="K438" s="4" cm="1">
        <f t="array" ref="K438">INDEX(Sheet1!H:H,$G438)</f>
        <v>1E-3</v>
      </c>
      <c r="L438" s="4">
        <f t="shared" si="24"/>
        <v>48</v>
      </c>
      <c r="M438" s="4">
        <f t="shared" si="25"/>
        <v>0</v>
      </c>
    </row>
    <row r="439" spans="1:13">
      <c r="A439" s="4" t="str" cm="1">
        <f t="array" ref="A439">INDEX(Sheet1!A:A,$F439)</f>
        <v>M</v>
      </c>
      <c r="B439" s="4" t="str" cm="1">
        <f t="array" ref="B439">INDEX(Sheet1!B:B,$F439)</f>
        <v>Non-Pref NS</v>
      </c>
      <c r="C439" s="4">
        <f t="shared" si="26"/>
        <v>74</v>
      </c>
      <c r="D439" s="5" cm="1">
        <f t="array" aca="1" ref="D439" ca="1">OFFSET(INDIRECT("'["&amp;$H439&amp;"]"&amp;$I439&amp;"'!"&amp;$J439),$L439,$M439)*$K439</f>
        <v>4.0170000000000004E-2</v>
      </c>
      <c r="F439" s="4">
        <f t="shared" si="27"/>
        <v>5</v>
      </c>
      <c r="G439" s="4" cm="1">
        <f t="array" ref="G439">IF($C439&gt;=25,F439,IF($C439&lt;16,INDEX(Sheet1!C:C,$F439),$F439))</f>
        <v>5</v>
      </c>
      <c r="H439" s="4" t="str" cm="1">
        <f t="array" ref="H439">INDEX(Sheet1!D:D,$G439)</f>
        <v>2001-cso-preferred-class-structure-mortality-tables.xls</v>
      </c>
      <c r="I439" s="4" t="str" cm="1">
        <f t="array" ref="I439">INDEX(Sheet1!E:E,$G439)</f>
        <v>A.1.a.iii</v>
      </c>
      <c r="J439" s="4" t="str" cm="1">
        <f t="array" ref="J439">IF($C439&gt;=25,INDEX(Sheet1!G:G,$G439),INDEX(Sheet1!F:F,$G439))</f>
        <v>AA8</v>
      </c>
      <c r="K439" s="4" cm="1">
        <f t="array" ref="K439">INDEX(Sheet1!H:H,$G439)</f>
        <v>1E-3</v>
      </c>
      <c r="L439" s="4">
        <f t="shared" si="24"/>
        <v>49</v>
      </c>
      <c r="M439" s="4">
        <f t="shared" si="25"/>
        <v>0</v>
      </c>
    </row>
    <row r="440" spans="1:13">
      <c r="A440" s="4" t="str" cm="1">
        <f t="array" ref="A440">INDEX(Sheet1!A:A,$F440)</f>
        <v>M</v>
      </c>
      <c r="B440" s="4" t="str" cm="1">
        <f t="array" ref="B440">INDEX(Sheet1!B:B,$F440)</f>
        <v>Non-Pref NS</v>
      </c>
      <c r="C440" s="4">
        <f t="shared" si="26"/>
        <v>75</v>
      </c>
      <c r="D440" s="5" cm="1">
        <f t="array" aca="1" ref="D440" ca="1">OFFSET(INDIRECT("'["&amp;$H440&amp;"]"&amp;$I440&amp;"'!"&amp;$J440),$L440,$M440)*$K440</f>
        <v>4.4330000000000001E-2</v>
      </c>
      <c r="F440" s="4">
        <f t="shared" si="27"/>
        <v>5</v>
      </c>
      <c r="G440" s="4" cm="1">
        <f t="array" ref="G440">IF($C440&gt;=25,F440,IF($C440&lt;16,INDEX(Sheet1!C:C,$F440),$F440))</f>
        <v>5</v>
      </c>
      <c r="H440" s="4" t="str" cm="1">
        <f t="array" ref="H440">INDEX(Sheet1!D:D,$G440)</f>
        <v>2001-cso-preferred-class-structure-mortality-tables.xls</v>
      </c>
      <c r="I440" s="4" t="str" cm="1">
        <f t="array" ref="I440">INDEX(Sheet1!E:E,$G440)</f>
        <v>A.1.a.iii</v>
      </c>
      <c r="J440" s="4" t="str" cm="1">
        <f t="array" ref="J440">IF($C440&gt;=25,INDEX(Sheet1!G:G,$G440),INDEX(Sheet1!F:F,$G440))</f>
        <v>AA8</v>
      </c>
      <c r="K440" s="4" cm="1">
        <f t="array" ref="K440">INDEX(Sheet1!H:H,$G440)</f>
        <v>1E-3</v>
      </c>
      <c r="L440" s="4">
        <f t="shared" si="24"/>
        <v>50</v>
      </c>
      <c r="M440" s="4">
        <f t="shared" si="25"/>
        <v>0</v>
      </c>
    </row>
    <row r="441" spans="1:13">
      <c r="A441" s="4" t="str" cm="1">
        <f t="array" ref="A441">INDEX(Sheet1!A:A,$F441)</f>
        <v>M</v>
      </c>
      <c r="B441" s="4" t="str" cm="1">
        <f t="array" ref="B441">INDEX(Sheet1!B:B,$F441)</f>
        <v>Non-Pref NS</v>
      </c>
      <c r="C441" s="4">
        <f t="shared" si="26"/>
        <v>76</v>
      </c>
      <c r="D441" s="5" cm="1">
        <f t="array" aca="1" ref="D441" ca="1">OFFSET(INDIRECT("'["&amp;$H441&amp;"]"&amp;$I441&amp;"'!"&amp;$J441),$L441,$M441)*$K441</f>
        <v>4.8640000000000003E-2</v>
      </c>
      <c r="F441" s="4">
        <f t="shared" si="27"/>
        <v>5</v>
      </c>
      <c r="G441" s="4" cm="1">
        <f t="array" ref="G441">IF($C441&gt;=25,F441,IF($C441&lt;16,INDEX(Sheet1!C:C,$F441),$F441))</f>
        <v>5</v>
      </c>
      <c r="H441" s="4" t="str" cm="1">
        <f t="array" ref="H441">INDEX(Sheet1!D:D,$G441)</f>
        <v>2001-cso-preferred-class-structure-mortality-tables.xls</v>
      </c>
      <c r="I441" s="4" t="str" cm="1">
        <f t="array" ref="I441">INDEX(Sheet1!E:E,$G441)</f>
        <v>A.1.a.iii</v>
      </c>
      <c r="J441" s="4" t="str" cm="1">
        <f t="array" ref="J441">IF($C441&gt;=25,INDEX(Sheet1!G:G,$G441),INDEX(Sheet1!F:F,$G441))</f>
        <v>AA8</v>
      </c>
      <c r="K441" s="4" cm="1">
        <f t="array" ref="K441">INDEX(Sheet1!H:H,$G441)</f>
        <v>1E-3</v>
      </c>
      <c r="L441" s="4">
        <f t="shared" si="24"/>
        <v>51</v>
      </c>
      <c r="M441" s="4">
        <f t="shared" si="25"/>
        <v>0</v>
      </c>
    </row>
    <row r="442" spans="1:13">
      <c r="A442" s="4" t="str" cm="1">
        <f t="array" ref="A442">INDEX(Sheet1!A:A,$F442)</f>
        <v>M</v>
      </c>
      <c r="B442" s="4" t="str" cm="1">
        <f t="array" ref="B442">INDEX(Sheet1!B:B,$F442)</f>
        <v>Non-Pref NS</v>
      </c>
      <c r="C442" s="4">
        <f t="shared" si="26"/>
        <v>77</v>
      </c>
      <c r="D442" s="5" cm="1">
        <f t="array" aca="1" ref="D442" ca="1">OFFSET(INDIRECT("'["&amp;$H442&amp;"]"&amp;$I442&amp;"'!"&amp;$J442),$L442,$M442)*$K442</f>
        <v>5.364E-2</v>
      </c>
      <c r="F442" s="4">
        <f t="shared" si="27"/>
        <v>5</v>
      </c>
      <c r="G442" s="4" cm="1">
        <f t="array" ref="G442">IF($C442&gt;=25,F442,IF($C442&lt;16,INDEX(Sheet1!C:C,$F442),$F442))</f>
        <v>5</v>
      </c>
      <c r="H442" s="4" t="str" cm="1">
        <f t="array" ref="H442">INDEX(Sheet1!D:D,$G442)</f>
        <v>2001-cso-preferred-class-structure-mortality-tables.xls</v>
      </c>
      <c r="I442" s="4" t="str" cm="1">
        <f t="array" ref="I442">INDEX(Sheet1!E:E,$G442)</f>
        <v>A.1.a.iii</v>
      </c>
      <c r="J442" s="4" t="str" cm="1">
        <f t="array" ref="J442">IF($C442&gt;=25,INDEX(Sheet1!G:G,$G442),INDEX(Sheet1!F:F,$G442))</f>
        <v>AA8</v>
      </c>
      <c r="K442" s="4" cm="1">
        <f t="array" ref="K442">INDEX(Sheet1!H:H,$G442)</f>
        <v>1E-3</v>
      </c>
      <c r="L442" s="4">
        <f t="shared" si="24"/>
        <v>52</v>
      </c>
      <c r="M442" s="4">
        <f t="shared" si="25"/>
        <v>0</v>
      </c>
    </row>
    <row r="443" spans="1:13">
      <c r="A443" s="4" t="str" cm="1">
        <f t="array" ref="A443">INDEX(Sheet1!A:A,$F443)</f>
        <v>M</v>
      </c>
      <c r="B443" s="4" t="str" cm="1">
        <f t="array" ref="B443">INDEX(Sheet1!B:B,$F443)</f>
        <v>Non-Pref NS</v>
      </c>
      <c r="C443" s="4">
        <f t="shared" si="26"/>
        <v>78</v>
      </c>
      <c r="D443" s="5" cm="1">
        <f t="array" aca="1" ref="D443" ca="1">OFFSET(INDIRECT("'["&amp;$H443&amp;"]"&amp;$I443&amp;"'!"&amp;$J443),$L443,$M443)*$K443</f>
        <v>5.9459999999999999E-2</v>
      </c>
      <c r="F443" s="4">
        <f t="shared" si="27"/>
        <v>5</v>
      </c>
      <c r="G443" s="4" cm="1">
        <f t="array" ref="G443">IF($C443&gt;=25,F443,IF($C443&lt;16,INDEX(Sheet1!C:C,$F443),$F443))</f>
        <v>5</v>
      </c>
      <c r="H443" s="4" t="str" cm="1">
        <f t="array" ref="H443">INDEX(Sheet1!D:D,$G443)</f>
        <v>2001-cso-preferred-class-structure-mortality-tables.xls</v>
      </c>
      <c r="I443" s="4" t="str" cm="1">
        <f t="array" ref="I443">INDEX(Sheet1!E:E,$G443)</f>
        <v>A.1.a.iii</v>
      </c>
      <c r="J443" s="4" t="str" cm="1">
        <f t="array" ref="J443">IF($C443&gt;=25,INDEX(Sheet1!G:G,$G443),INDEX(Sheet1!F:F,$G443))</f>
        <v>AA8</v>
      </c>
      <c r="K443" s="4" cm="1">
        <f t="array" ref="K443">INDEX(Sheet1!H:H,$G443)</f>
        <v>1E-3</v>
      </c>
      <c r="L443" s="4">
        <f t="shared" si="24"/>
        <v>53</v>
      </c>
      <c r="M443" s="4">
        <f t="shared" si="25"/>
        <v>0</v>
      </c>
    </row>
    <row r="444" spans="1:13">
      <c r="A444" s="4" t="str" cm="1">
        <f t="array" ref="A444">INDEX(Sheet1!A:A,$F444)</f>
        <v>M</v>
      </c>
      <c r="B444" s="4" t="str" cm="1">
        <f t="array" ref="B444">INDEX(Sheet1!B:B,$F444)</f>
        <v>Non-Pref NS</v>
      </c>
      <c r="C444" s="4">
        <f t="shared" si="26"/>
        <v>79</v>
      </c>
      <c r="D444" s="5" cm="1">
        <f t="array" aca="1" ref="D444" ca="1">OFFSET(INDIRECT("'["&amp;$H444&amp;"]"&amp;$I444&amp;"'!"&amp;$J444),$L444,$M444)*$K444</f>
        <v>6.615E-2</v>
      </c>
      <c r="F444" s="4">
        <f t="shared" si="27"/>
        <v>5</v>
      </c>
      <c r="G444" s="4" cm="1">
        <f t="array" ref="G444">IF($C444&gt;=25,F444,IF($C444&lt;16,INDEX(Sheet1!C:C,$F444),$F444))</f>
        <v>5</v>
      </c>
      <c r="H444" s="4" t="str" cm="1">
        <f t="array" ref="H444">INDEX(Sheet1!D:D,$G444)</f>
        <v>2001-cso-preferred-class-structure-mortality-tables.xls</v>
      </c>
      <c r="I444" s="4" t="str" cm="1">
        <f t="array" ref="I444">INDEX(Sheet1!E:E,$G444)</f>
        <v>A.1.a.iii</v>
      </c>
      <c r="J444" s="4" t="str" cm="1">
        <f t="array" ref="J444">IF($C444&gt;=25,INDEX(Sheet1!G:G,$G444),INDEX(Sheet1!F:F,$G444))</f>
        <v>AA8</v>
      </c>
      <c r="K444" s="4" cm="1">
        <f t="array" ref="K444">INDEX(Sheet1!H:H,$G444)</f>
        <v>1E-3</v>
      </c>
      <c r="L444" s="4">
        <f t="shared" si="24"/>
        <v>54</v>
      </c>
      <c r="M444" s="4">
        <f t="shared" si="25"/>
        <v>0</v>
      </c>
    </row>
    <row r="445" spans="1:13">
      <c r="A445" s="4" t="str" cm="1">
        <f t="array" ref="A445">INDEX(Sheet1!A:A,$F445)</f>
        <v>M</v>
      </c>
      <c r="B445" s="4" t="str" cm="1">
        <f t="array" ref="B445">INDEX(Sheet1!B:B,$F445)</f>
        <v>Non-Pref NS</v>
      </c>
      <c r="C445" s="4">
        <f t="shared" si="26"/>
        <v>80</v>
      </c>
      <c r="D445" s="5" cm="1">
        <f t="array" aca="1" ref="D445" ca="1">OFFSET(INDIRECT("'["&amp;$H445&amp;"]"&amp;$I445&amp;"'!"&amp;$J445),$L445,$M445)*$K445</f>
        <v>7.3410000000000003E-2</v>
      </c>
      <c r="F445" s="4">
        <f t="shared" si="27"/>
        <v>5</v>
      </c>
      <c r="G445" s="4" cm="1">
        <f t="array" ref="G445">IF($C445&gt;=25,F445,IF($C445&lt;16,INDEX(Sheet1!C:C,$F445),$F445))</f>
        <v>5</v>
      </c>
      <c r="H445" s="4" t="str" cm="1">
        <f t="array" ref="H445">INDEX(Sheet1!D:D,$G445)</f>
        <v>2001-cso-preferred-class-structure-mortality-tables.xls</v>
      </c>
      <c r="I445" s="4" t="str" cm="1">
        <f t="array" ref="I445">INDEX(Sheet1!E:E,$G445)</f>
        <v>A.1.a.iii</v>
      </c>
      <c r="J445" s="4" t="str" cm="1">
        <f t="array" ref="J445">IF($C445&gt;=25,INDEX(Sheet1!G:G,$G445),INDEX(Sheet1!F:F,$G445))</f>
        <v>AA8</v>
      </c>
      <c r="K445" s="4" cm="1">
        <f t="array" ref="K445">INDEX(Sheet1!H:H,$G445)</f>
        <v>1E-3</v>
      </c>
      <c r="L445" s="4">
        <f t="shared" si="24"/>
        <v>55</v>
      </c>
      <c r="M445" s="4">
        <f t="shared" si="25"/>
        <v>0</v>
      </c>
    </row>
    <row r="446" spans="1:13">
      <c r="A446" s="4" t="str" cm="1">
        <f t="array" ref="A446">INDEX(Sheet1!A:A,$F446)</f>
        <v>M</v>
      </c>
      <c r="B446" s="4" t="str" cm="1">
        <f t="array" ref="B446">INDEX(Sheet1!B:B,$F446)</f>
        <v>Non-Pref NS</v>
      </c>
      <c r="C446" s="4">
        <f t="shared" si="26"/>
        <v>81</v>
      </c>
      <c r="D446" s="5" cm="1">
        <f t="array" aca="1" ref="D446" ca="1">OFFSET(INDIRECT("'["&amp;$H446&amp;"]"&amp;$I446&amp;"'!"&amp;$J446),$L446,$M446)*$K446</f>
        <v>8.1629999999999994E-2</v>
      </c>
      <c r="F446" s="4">
        <f t="shared" si="27"/>
        <v>5</v>
      </c>
      <c r="G446" s="4" cm="1">
        <f t="array" ref="G446">IF($C446&gt;=25,F446,IF($C446&lt;16,INDEX(Sheet1!C:C,$F446),$F446))</f>
        <v>5</v>
      </c>
      <c r="H446" s="4" t="str" cm="1">
        <f t="array" ref="H446">INDEX(Sheet1!D:D,$G446)</f>
        <v>2001-cso-preferred-class-structure-mortality-tables.xls</v>
      </c>
      <c r="I446" s="4" t="str" cm="1">
        <f t="array" ref="I446">INDEX(Sheet1!E:E,$G446)</f>
        <v>A.1.a.iii</v>
      </c>
      <c r="J446" s="4" t="str" cm="1">
        <f t="array" ref="J446">IF($C446&gt;=25,INDEX(Sheet1!G:G,$G446),INDEX(Sheet1!F:F,$G446))</f>
        <v>AA8</v>
      </c>
      <c r="K446" s="4" cm="1">
        <f t="array" ref="K446">INDEX(Sheet1!H:H,$G446)</f>
        <v>1E-3</v>
      </c>
      <c r="L446" s="4">
        <f t="shared" si="24"/>
        <v>56</v>
      </c>
      <c r="M446" s="4">
        <f t="shared" si="25"/>
        <v>0</v>
      </c>
    </row>
    <row r="447" spans="1:13">
      <c r="A447" s="4" t="str" cm="1">
        <f t="array" ref="A447">INDEX(Sheet1!A:A,$F447)</f>
        <v>M</v>
      </c>
      <c r="B447" s="4" t="str" cm="1">
        <f t="array" ref="B447">INDEX(Sheet1!B:B,$F447)</f>
        <v>Non-Pref NS</v>
      </c>
      <c r="C447" s="4">
        <f t="shared" si="26"/>
        <v>82</v>
      </c>
      <c r="D447" s="5" cm="1">
        <f t="array" aca="1" ref="D447" ca="1">OFFSET(INDIRECT("'["&amp;$H447&amp;"]"&amp;$I447&amp;"'!"&amp;$J447),$L447,$M447)*$K447</f>
        <v>9.0120000000000006E-2</v>
      </c>
      <c r="F447" s="4">
        <f t="shared" si="27"/>
        <v>5</v>
      </c>
      <c r="G447" s="4" cm="1">
        <f t="array" ref="G447">IF($C447&gt;=25,F447,IF($C447&lt;16,INDEX(Sheet1!C:C,$F447),$F447))</f>
        <v>5</v>
      </c>
      <c r="H447" s="4" t="str" cm="1">
        <f t="array" ref="H447">INDEX(Sheet1!D:D,$G447)</f>
        <v>2001-cso-preferred-class-structure-mortality-tables.xls</v>
      </c>
      <c r="I447" s="4" t="str" cm="1">
        <f t="array" ref="I447">INDEX(Sheet1!E:E,$G447)</f>
        <v>A.1.a.iii</v>
      </c>
      <c r="J447" s="4" t="str" cm="1">
        <f t="array" ref="J447">IF($C447&gt;=25,INDEX(Sheet1!G:G,$G447),INDEX(Sheet1!F:F,$G447))</f>
        <v>AA8</v>
      </c>
      <c r="K447" s="4" cm="1">
        <f t="array" ref="K447">INDEX(Sheet1!H:H,$G447)</f>
        <v>1E-3</v>
      </c>
      <c r="L447" s="4">
        <f t="shared" si="24"/>
        <v>57</v>
      </c>
      <c r="M447" s="4">
        <f t="shared" si="25"/>
        <v>0</v>
      </c>
    </row>
    <row r="448" spans="1:13">
      <c r="A448" s="4" t="str" cm="1">
        <f t="array" ref="A448">INDEX(Sheet1!A:A,$F448)</f>
        <v>M</v>
      </c>
      <c r="B448" s="4" t="str" cm="1">
        <f t="array" ref="B448">INDEX(Sheet1!B:B,$F448)</f>
        <v>Non-Pref NS</v>
      </c>
      <c r="C448" s="4">
        <f t="shared" si="26"/>
        <v>83</v>
      </c>
      <c r="D448" s="5" cm="1">
        <f t="array" aca="1" ref="D448" ca="1">OFFSET(INDIRECT("'["&amp;$H448&amp;"]"&amp;$I448&amp;"'!"&amp;$J448),$L448,$M448)*$K448</f>
        <v>9.919E-2</v>
      </c>
      <c r="F448" s="4">
        <f t="shared" si="27"/>
        <v>5</v>
      </c>
      <c r="G448" s="4" cm="1">
        <f t="array" ref="G448">IF($C448&gt;=25,F448,IF($C448&lt;16,INDEX(Sheet1!C:C,$F448),$F448))</f>
        <v>5</v>
      </c>
      <c r="H448" s="4" t="str" cm="1">
        <f t="array" ref="H448">INDEX(Sheet1!D:D,$G448)</f>
        <v>2001-cso-preferred-class-structure-mortality-tables.xls</v>
      </c>
      <c r="I448" s="4" t="str" cm="1">
        <f t="array" ref="I448">INDEX(Sheet1!E:E,$G448)</f>
        <v>A.1.a.iii</v>
      </c>
      <c r="J448" s="4" t="str" cm="1">
        <f t="array" ref="J448">IF($C448&gt;=25,INDEX(Sheet1!G:G,$G448),INDEX(Sheet1!F:F,$G448))</f>
        <v>AA8</v>
      </c>
      <c r="K448" s="4" cm="1">
        <f t="array" ref="K448">INDEX(Sheet1!H:H,$G448)</f>
        <v>1E-3</v>
      </c>
      <c r="L448" s="4">
        <f t="shared" si="24"/>
        <v>58</v>
      </c>
      <c r="M448" s="4">
        <f t="shared" si="25"/>
        <v>0</v>
      </c>
    </row>
    <row r="449" spans="1:13">
      <c r="A449" s="4" t="str" cm="1">
        <f t="array" ref="A449">INDEX(Sheet1!A:A,$F449)</f>
        <v>M</v>
      </c>
      <c r="B449" s="4" t="str" cm="1">
        <f t="array" ref="B449">INDEX(Sheet1!B:B,$F449)</f>
        <v>Non-Pref NS</v>
      </c>
      <c r="C449" s="4">
        <f t="shared" si="26"/>
        <v>84</v>
      </c>
      <c r="D449" s="5" cm="1">
        <f t="array" aca="1" ref="D449" ca="1">OFFSET(INDIRECT("'["&amp;$H449&amp;"]"&amp;$I449&amp;"'!"&amp;$J449),$L449,$M449)*$K449</f>
        <v>0.10920000000000001</v>
      </c>
      <c r="F449" s="4">
        <f t="shared" si="27"/>
        <v>5</v>
      </c>
      <c r="G449" s="4" cm="1">
        <f t="array" ref="G449">IF($C449&gt;=25,F449,IF($C449&lt;16,INDEX(Sheet1!C:C,$F449),$F449))</f>
        <v>5</v>
      </c>
      <c r="H449" s="4" t="str" cm="1">
        <f t="array" ref="H449">INDEX(Sheet1!D:D,$G449)</f>
        <v>2001-cso-preferred-class-structure-mortality-tables.xls</v>
      </c>
      <c r="I449" s="4" t="str" cm="1">
        <f t="array" ref="I449">INDEX(Sheet1!E:E,$G449)</f>
        <v>A.1.a.iii</v>
      </c>
      <c r="J449" s="4" t="str" cm="1">
        <f t="array" ref="J449">IF($C449&gt;=25,INDEX(Sheet1!G:G,$G449),INDEX(Sheet1!F:F,$G449))</f>
        <v>AA8</v>
      </c>
      <c r="K449" s="4" cm="1">
        <f t="array" ref="K449">INDEX(Sheet1!H:H,$G449)</f>
        <v>1E-3</v>
      </c>
      <c r="L449" s="4">
        <f t="shared" si="24"/>
        <v>59</v>
      </c>
      <c r="M449" s="4">
        <f t="shared" si="25"/>
        <v>0</v>
      </c>
    </row>
    <row r="450" spans="1:13">
      <c r="A450" s="4" t="str" cm="1">
        <f t="array" ref="A450">INDEX(Sheet1!A:A,$F450)</f>
        <v>M</v>
      </c>
      <c r="B450" s="4" t="str" cm="1">
        <f t="array" ref="B450">INDEX(Sheet1!B:B,$F450)</f>
        <v>Non-Pref NS</v>
      </c>
      <c r="C450" s="4">
        <f t="shared" si="26"/>
        <v>85</v>
      </c>
      <c r="D450" s="5" cm="1">
        <f t="array" aca="1" ref="D450" ca="1">OFFSET(INDIRECT("'["&amp;$H450&amp;"]"&amp;$I450&amp;"'!"&amp;$J450),$L450,$M450)*$K450</f>
        <v>0.12031</v>
      </c>
      <c r="F450" s="4">
        <f t="shared" si="27"/>
        <v>5</v>
      </c>
      <c r="G450" s="4" cm="1">
        <f t="array" ref="G450">IF($C450&gt;=25,F450,IF($C450&lt;16,INDEX(Sheet1!C:C,$F450),$F450))</f>
        <v>5</v>
      </c>
      <c r="H450" s="4" t="str" cm="1">
        <f t="array" ref="H450">INDEX(Sheet1!D:D,$G450)</f>
        <v>2001-cso-preferred-class-structure-mortality-tables.xls</v>
      </c>
      <c r="I450" s="4" t="str" cm="1">
        <f t="array" ref="I450">INDEX(Sheet1!E:E,$G450)</f>
        <v>A.1.a.iii</v>
      </c>
      <c r="J450" s="4" t="str" cm="1">
        <f t="array" ref="J450">IF($C450&gt;=25,INDEX(Sheet1!G:G,$G450),INDEX(Sheet1!F:F,$G450))</f>
        <v>AA8</v>
      </c>
      <c r="K450" s="4" cm="1">
        <f t="array" ref="K450">INDEX(Sheet1!H:H,$G450)</f>
        <v>1E-3</v>
      </c>
      <c r="L450" s="4">
        <f t="shared" si="24"/>
        <v>60</v>
      </c>
      <c r="M450" s="4">
        <f t="shared" si="25"/>
        <v>0</v>
      </c>
    </row>
    <row r="451" spans="1:13">
      <c r="A451" s="4" t="str" cm="1">
        <f t="array" ref="A451">INDEX(Sheet1!A:A,$F451)</f>
        <v>M</v>
      </c>
      <c r="B451" s="4" t="str" cm="1">
        <f t="array" ref="B451">INDEX(Sheet1!B:B,$F451)</f>
        <v>Non-Pref NS</v>
      </c>
      <c r="C451" s="4">
        <f t="shared" si="26"/>
        <v>86</v>
      </c>
      <c r="D451" s="5" cm="1">
        <f t="array" aca="1" ref="D451" ca="1">OFFSET(INDIRECT("'["&amp;$H451&amp;"]"&amp;$I451&amp;"'!"&amp;$J451),$L451,$M451)*$K451</f>
        <v>0.13259000000000001</v>
      </c>
      <c r="F451" s="4">
        <f t="shared" si="27"/>
        <v>5</v>
      </c>
      <c r="G451" s="4" cm="1">
        <f t="array" ref="G451">IF($C451&gt;=25,F451,IF($C451&lt;16,INDEX(Sheet1!C:C,$F451),$F451))</f>
        <v>5</v>
      </c>
      <c r="H451" s="4" t="str" cm="1">
        <f t="array" ref="H451">INDEX(Sheet1!D:D,$G451)</f>
        <v>2001-cso-preferred-class-structure-mortality-tables.xls</v>
      </c>
      <c r="I451" s="4" t="str" cm="1">
        <f t="array" ref="I451">INDEX(Sheet1!E:E,$G451)</f>
        <v>A.1.a.iii</v>
      </c>
      <c r="J451" s="4" t="str" cm="1">
        <f t="array" ref="J451">IF($C451&gt;=25,INDEX(Sheet1!G:G,$G451),INDEX(Sheet1!F:F,$G451))</f>
        <v>AA8</v>
      </c>
      <c r="K451" s="4" cm="1">
        <f t="array" ref="K451">INDEX(Sheet1!H:H,$G451)</f>
        <v>1E-3</v>
      </c>
      <c r="L451" s="4">
        <f t="shared" ref="L451:L514" si="28">IF($C451&gt;=25,$C451-25,0)</f>
        <v>61</v>
      </c>
      <c r="M451" s="4">
        <f t="shared" ref="M451:M514" si="29">IF($C451&gt;=25,0,$C451)</f>
        <v>0</v>
      </c>
    </row>
    <row r="452" spans="1:13">
      <c r="A452" s="4" t="str" cm="1">
        <f t="array" ref="A452">INDEX(Sheet1!A:A,$F452)</f>
        <v>M</v>
      </c>
      <c r="B452" s="4" t="str" cm="1">
        <f t="array" ref="B452">INDEX(Sheet1!B:B,$F452)</f>
        <v>Non-Pref NS</v>
      </c>
      <c r="C452" s="4">
        <f t="shared" ref="C452:C515" si="30">IF(C451=120,0,C451+1)</f>
        <v>87</v>
      </c>
      <c r="D452" s="5" cm="1">
        <f t="array" aca="1" ref="D452" ca="1">OFFSET(INDIRECT("'["&amp;$H452&amp;"]"&amp;$I452&amp;"'!"&amp;$J452),$L452,$M452)*$K452</f>
        <v>0.14588000000000001</v>
      </c>
      <c r="F452" s="4">
        <f t="shared" ref="F452:F515" si="31">IF(C452=0,1,0)+F451</f>
        <v>5</v>
      </c>
      <c r="G452" s="4" cm="1">
        <f t="array" ref="G452">IF($C452&gt;=25,F452,IF($C452&lt;16,INDEX(Sheet1!C:C,$F452),$F452))</f>
        <v>5</v>
      </c>
      <c r="H452" s="4" t="str" cm="1">
        <f t="array" ref="H452">INDEX(Sheet1!D:D,$G452)</f>
        <v>2001-cso-preferred-class-structure-mortality-tables.xls</v>
      </c>
      <c r="I452" s="4" t="str" cm="1">
        <f t="array" ref="I452">INDEX(Sheet1!E:E,$G452)</f>
        <v>A.1.a.iii</v>
      </c>
      <c r="J452" s="4" t="str" cm="1">
        <f t="array" ref="J452">IF($C452&gt;=25,INDEX(Sheet1!G:G,$G452),INDEX(Sheet1!F:F,$G452))</f>
        <v>AA8</v>
      </c>
      <c r="K452" s="4" cm="1">
        <f t="array" ref="K452">INDEX(Sheet1!H:H,$G452)</f>
        <v>1E-3</v>
      </c>
      <c r="L452" s="4">
        <f t="shared" si="28"/>
        <v>62</v>
      </c>
      <c r="M452" s="4">
        <f t="shared" si="29"/>
        <v>0</v>
      </c>
    </row>
    <row r="453" spans="1:13">
      <c r="A453" s="4" t="str" cm="1">
        <f t="array" ref="A453">INDEX(Sheet1!A:A,$F453)</f>
        <v>M</v>
      </c>
      <c r="B453" s="4" t="str" cm="1">
        <f t="array" ref="B453">INDEX(Sheet1!B:B,$F453)</f>
        <v>Non-Pref NS</v>
      </c>
      <c r="C453" s="4">
        <f t="shared" si="30"/>
        <v>88</v>
      </c>
      <c r="D453" s="5" cm="1">
        <f t="array" aca="1" ref="D453" ca="1">OFFSET(INDIRECT("'["&amp;$H453&amp;"]"&amp;$I453&amp;"'!"&amp;$J453),$L453,$M453)*$K453</f>
        <v>0.16002000000000002</v>
      </c>
      <c r="F453" s="4">
        <f t="shared" si="31"/>
        <v>5</v>
      </c>
      <c r="G453" s="4" cm="1">
        <f t="array" ref="G453">IF($C453&gt;=25,F453,IF($C453&lt;16,INDEX(Sheet1!C:C,$F453),$F453))</f>
        <v>5</v>
      </c>
      <c r="H453" s="4" t="str" cm="1">
        <f t="array" ref="H453">INDEX(Sheet1!D:D,$G453)</f>
        <v>2001-cso-preferred-class-structure-mortality-tables.xls</v>
      </c>
      <c r="I453" s="4" t="str" cm="1">
        <f t="array" ref="I453">INDEX(Sheet1!E:E,$G453)</f>
        <v>A.1.a.iii</v>
      </c>
      <c r="J453" s="4" t="str" cm="1">
        <f t="array" ref="J453">IF($C453&gt;=25,INDEX(Sheet1!G:G,$G453),INDEX(Sheet1!F:F,$G453))</f>
        <v>AA8</v>
      </c>
      <c r="K453" s="4" cm="1">
        <f t="array" ref="K453">INDEX(Sheet1!H:H,$G453)</f>
        <v>1E-3</v>
      </c>
      <c r="L453" s="4">
        <f t="shared" si="28"/>
        <v>63</v>
      </c>
      <c r="M453" s="4">
        <f t="shared" si="29"/>
        <v>0</v>
      </c>
    </row>
    <row r="454" spans="1:13">
      <c r="A454" s="4" t="str" cm="1">
        <f t="array" ref="A454">INDEX(Sheet1!A:A,$F454)</f>
        <v>M</v>
      </c>
      <c r="B454" s="4" t="str" cm="1">
        <f t="array" ref="B454">INDEX(Sheet1!B:B,$F454)</f>
        <v>Non-Pref NS</v>
      </c>
      <c r="C454" s="4">
        <f t="shared" si="30"/>
        <v>89</v>
      </c>
      <c r="D454" s="5" cm="1">
        <f t="array" aca="1" ref="D454" ca="1">OFFSET(INDIRECT("'["&amp;$H454&amp;"]"&amp;$I454&amp;"'!"&amp;$J454),$L454,$M454)*$K454</f>
        <v>0.17482</v>
      </c>
      <c r="F454" s="4">
        <f t="shared" si="31"/>
        <v>5</v>
      </c>
      <c r="G454" s="4" cm="1">
        <f t="array" ref="G454">IF($C454&gt;=25,F454,IF($C454&lt;16,INDEX(Sheet1!C:C,$F454),$F454))</f>
        <v>5</v>
      </c>
      <c r="H454" s="4" t="str" cm="1">
        <f t="array" ref="H454">INDEX(Sheet1!D:D,$G454)</f>
        <v>2001-cso-preferred-class-structure-mortality-tables.xls</v>
      </c>
      <c r="I454" s="4" t="str" cm="1">
        <f t="array" ref="I454">INDEX(Sheet1!E:E,$G454)</f>
        <v>A.1.a.iii</v>
      </c>
      <c r="J454" s="4" t="str" cm="1">
        <f t="array" ref="J454">IF($C454&gt;=25,INDEX(Sheet1!G:G,$G454),INDEX(Sheet1!F:F,$G454))</f>
        <v>AA8</v>
      </c>
      <c r="K454" s="4" cm="1">
        <f t="array" ref="K454">INDEX(Sheet1!H:H,$G454)</f>
        <v>1E-3</v>
      </c>
      <c r="L454" s="4">
        <f t="shared" si="28"/>
        <v>64</v>
      </c>
      <c r="M454" s="4">
        <f t="shared" si="29"/>
        <v>0</v>
      </c>
    </row>
    <row r="455" spans="1:13">
      <c r="A455" s="4" t="str" cm="1">
        <f t="array" ref="A455">INDEX(Sheet1!A:A,$F455)</f>
        <v>M</v>
      </c>
      <c r="B455" s="4" t="str" cm="1">
        <f t="array" ref="B455">INDEX(Sheet1!B:B,$F455)</f>
        <v>Non-Pref NS</v>
      </c>
      <c r="C455" s="4">
        <f t="shared" si="30"/>
        <v>90</v>
      </c>
      <c r="D455" s="5" cm="1">
        <f t="array" aca="1" ref="D455" ca="1">OFFSET(INDIRECT("'["&amp;$H455&amp;"]"&amp;$I455&amp;"'!"&amp;$J455),$L455,$M455)*$K455</f>
        <v>0.19012999999999999</v>
      </c>
      <c r="F455" s="4">
        <f t="shared" si="31"/>
        <v>5</v>
      </c>
      <c r="G455" s="4" cm="1">
        <f t="array" ref="G455">IF($C455&gt;=25,F455,IF($C455&lt;16,INDEX(Sheet1!C:C,$F455),$F455))</f>
        <v>5</v>
      </c>
      <c r="H455" s="4" t="str" cm="1">
        <f t="array" ref="H455">INDEX(Sheet1!D:D,$G455)</f>
        <v>2001-cso-preferred-class-structure-mortality-tables.xls</v>
      </c>
      <c r="I455" s="4" t="str" cm="1">
        <f t="array" ref="I455">INDEX(Sheet1!E:E,$G455)</f>
        <v>A.1.a.iii</v>
      </c>
      <c r="J455" s="4" t="str" cm="1">
        <f t="array" ref="J455">IF($C455&gt;=25,INDEX(Sheet1!G:G,$G455),INDEX(Sheet1!F:F,$G455))</f>
        <v>AA8</v>
      </c>
      <c r="K455" s="4" cm="1">
        <f t="array" ref="K455">INDEX(Sheet1!H:H,$G455)</f>
        <v>1E-3</v>
      </c>
      <c r="L455" s="4">
        <f t="shared" si="28"/>
        <v>65</v>
      </c>
      <c r="M455" s="4">
        <f t="shared" si="29"/>
        <v>0</v>
      </c>
    </row>
    <row r="456" spans="1:13">
      <c r="A456" s="4" t="str" cm="1">
        <f t="array" ref="A456">INDEX(Sheet1!A:A,$F456)</f>
        <v>M</v>
      </c>
      <c r="B456" s="4" t="str" cm="1">
        <f t="array" ref="B456">INDEX(Sheet1!B:B,$F456)</f>
        <v>Non-Pref NS</v>
      </c>
      <c r="C456" s="4">
        <f t="shared" si="30"/>
        <v>91</v>
      </c>
      <c r="D456" s="5" cm="1">
        <f t="array" aca="1" ref="D456" ca="1">OFFSET(INDIRECT("'["&amp;$H456&amp;"]"&amp;$I456&amp;"'!"&amp;$J456),$L456,$M456)*$K456</f>
        <v>0.20430000000000001</v>
      </c>
      <c r="F456" s="4">
        <f t="shared" si="31"/>
        <v>5</v>
      </c>
      <c r="G456" s="4" cm="1">
        <f t="array" ref="G456">IF($C456&gt;=25,F456,IF($C456&lt;16,INDEX(Sheet1!C:C,$F456),$F456))</f>
        <v>5</v>
      </c>
      <c r="H456" s="4" t="str" cm="1">
        <f t="array" ref="H456">INDEX(Sheet1!D:D,$G456)</f>
        <v>2001-cso-preferred-class-structure-mortality-tables.xls</v>
      </c>
      <c r="I456" s="4" t="str" cm="1">
        <f t="array" ref="I456">INDEX(Sheet1!E:E,$G456)</f>
        <v>A.1.a.iii</v>
      </c>
      <c r="J456" s="4" t="str" cm="1">
        <f t="array" ref="J456">IF($C456&gt;=25,INDEX(Sheet1!G:G,$G456),INDEX(Sheet1!F:F,$G456))</f>
        <v>AA8</v>
      </c>
      <c r="K456" s="4" cm="1">
        <f t="array" ref="K456">INDEX(Sheet1!H:H,$G456)</f>
        <v>1E-3</v>
      </c>
      <c r="L456" s="4">
        <f t="shared" si="28"/>
        <v>66</v>
      </c>
      <c r="M456" s="4">
        <f t="shared" si="29"/>
        <v>0</v>
      </c>
    </row>
    <row r="457" spans="1:13">
      <c r="A457" s="4" t="str" cm="1">
        <f t="array" ref="A457">INDEX(Sheet1!A:A,$F457)</f>
        <v>M</v>
      </c>
      <c r="B457" s="4" t="str" cm="1">
        <f t="array" ref="B457">INDEX(Sheet1!B:B,$F457)</f>
        <v>Non-Pref NS</v>
      </c>
      <c r="C457" s="4">
        <f t="shared" si="30"/>
        <v>92</v>
      </c>
      <c r="D457" s="5" cm="1">
        <f t="array" aca="1" ref="D457" ca="1">OFFSET(INDIRECT("'["&amp;$H457&amp;"]"&amp;$I457&amp;"'!"&amp;$J457),$L457,$M457)*$K457</f>
        <v>0.21895000000000001</v>
      </c>
      <c r="F457" s="4">
        <f t="shared" si="31"/>
        <v>5</v>
      </c>
      <c r="G457" s="4" cm="1">
        <f t="array" ref="G457">IF($C457&gt;=25,F457,IF($C457&lt;16,INDEX(Sheet1!C:C,$F457),$F457))</f>
        <v>5</v>
      </c>
      <c r="H457" s="4" t="str" cm="1">
        <f t="array" ref="H457">INDEX(Sheet1!D:D,$G457)</f>
        <v>2001-cso-preferred-class-structure-mortality-tables.xls</v>
      </c>
      <c r="I457" s="4" t="str" cm="1">
        <f t="array" ref="I457">INDEX(Sheet1!E:E,$G457)</f>
        <v>A.1.a.iii</v>
      </c>
      <c r="J457" s="4" t="str" cm="1">
        <f t="array" ref="J457">IF($C457&gt;=25,INDEX(Sheet1!G:G,$G457),INDEX(Sheet1!F:F,$G457))</f>
        <v>AA8</v>
      </c>
      <c r="K457" s="4" cm="1">
        <f t="array" ref="K457">INDEX(Sheet1!H:H,$G457)</f>
        <v>1E-3</v>
      </c>
      <c r="L457" s="4">
        <f t="shared" si="28"/>
        <v>67</v>
      </c>
      <c r="M457" s="4">
        <f t="shared" si="29"/>
        <v>0</v>
      </c>
    </row>
    <row r="458" spans="1:13">
      <c r="A458" s="4" t="str" cm="1">
        <f t="array" ref="A458">INDEX(Sheet1!A:A,$F458)</f>
        <v>M</v>
      </c>
      <c r="B458" s="4" t="str" cm="1">
        <f t="array" ref="B458">INDEX(Sheet1!B:B,$F458)</f>
        <v>Non-Pref NS</v>
      </c>
      <c r="C458" s="4">
        <f t="shared" si="30"/>
        <v>93</v>
      </c>
      <c r="D458" s="5" cm="1">
        <f t="array" aca="1" ref="D458" ca="1">OFFSET(INDIRECT("'["&amp;$H458&amp;"]"&amp;$I458&amp;"'!"&amp;$J458),$L458,$M458)*$K458</f>
        <v>0.23428000000000002</v>
      </c>
      <c r="F458" s="4">
        <f t="shared" si="31"/>
        <v>5</v>
      </c>
      <c r="G458" s="4" cm="1">
        <f t="array" ref="G458">IF($C458&gt;=25,F458,IF($C458&lt;16,INDEX(Sheet1!C:C,$F458),$F458))</f>
        <v>5</v>
      </c>
      <c r="H458" s="4" t="str" cm="1">
        <f t="array" ref="H458">INDEX(Sheet1!D:D,$G458)</f>
        <v>2001-cso-preferred-class-structure-mortality-tables.xls</v>
      </c>
      <c r="I458" s="4" t="str" cm="1">
        <f t="array" ref="I458">INDEX(Sheet1!E:E,$G458)</f>
        <v>A.1.a.iii</v>
      </c>
      <c r="J458" s="4" t="str" cm="1">
        <f t="array" ref="J458">IF($C458&gt;=25,INDEX(Sheet1!G:G,$G458),INDEX(Sheet1!F:F,$G458))</f>
        <v>AA8</v>
      </c>
      <c r="K458" s="4" cm="1">
        <f t="array" ref="K458">INDEX(Sheet1!H:H,$G458)</f>
        <v>1E-3</v>
      </c>
      <c r="L458" s="4">
        <f t="shared" si="28"/>
        <v>68</v>
      </c>
      <c r="M458" s="4">
        <f t="shared" si="29"/>
        <v>0</v>
      </c>
    </row>
    <row r="459" spans="1:13">
      <c r="A459" s="4" t="str" cm="1">
        <f t="array" ref="A459">INDEX(Sheet1!A:A,$F459)</f>
        <v>M</v>
      </c>
      <c r="B459" s="4" t="str" cm="1">
        <f t="array" ref="B459">INDEX(Sheet1!B:B,$F459)</f>
        <v>Non-Pref NS</v>
      </c>
      <c r="C459" s="4">
        <f t="shared" si="30"/>
        <v>94</v>
      </c>
      <c r="D459" s="5" cm="1">
        <f t="array" aca="1" ref="D459" ca="1">OFFSET(INDIRECT("'["&amp;$H459&amp;"]"&amp;$I459&amp;"'!"&amp;$J459),$L459,$M459)*$K459</f>
        <v>0.25039</v>
      </c>
      <c r="F459" s="4">
        <f t="shared" si="31"/>
        <v>5</v>
      </c>
      <c r="G459" s="4" cm="1">
        <f t="array" ref="G459">IF($C459&gt;=25,F459,IF($C459&lt;16,INDEX(Sheet1!C:C,$F459),$F459))</f>
        <v>5</v>
      </c>
      <c r="H459" s="4" t="str" cm="1">
        <f t="array" ref="H459">INDEX(Sheet1!D:D,$G459)</f>
        <v>2001-cso-preferred-class-structure-mortality-tables.xls</v>
      </c>
      <c r="I459" s="4" t="str" cm="1">
        <f t="array" ref="I459">INDEX(Sheet1!E:E,$G459)</f>
        <v>A.1.a.iii</v>
      </c>
      <c r="J459" s="4" t="str" cm="1">
        <f t="array" ref="J459">IF($C459&gt;=25,INDEX(Sheet1!G:G,$G459),INDEX(Sheet1!F:F,$G459))</f>
        <v>AA8</v>
      </c>
      <c r="K459" s="4" cm="1">
        <f t="array" ref="K459">INDEX(Sheet1!H:H,$G459)</f>
        <v>1E-3</v>
      </c>
      <c r="L459" s="4">
        <f t="shared" si="28"/>
        <v>69</v>
      </c>
      <c r="M459" s="4">
        <f t="shared" si="29"/>
        <v>0</v>
      </c>
    </row>
    <row r="460" spans="1:13">
      <c r="A460" s="4" t="str" cm="1">
        <f t="array" ref="A460">INDEX(Sheet1!A:A,$F460)</f>
        <v>M</v>
      </c>
      <c r="B460" s="4" t="str" cm="1">
        <f t="array" ref="B460">INDEX(Sheet1!B:B,$F460)</f>
        <v>Non-Pref NS</v>
      </c>
      <c r="C460" s="4">
        <f t="shared" si="30"/>
        <v>95</v>
      </c>
      <c r="D460" s="5" cm="1">
        <f t="array" aca="1" ref="D460" ca="1">OFFSET(INDIRECT("'["&amp;$H460&amp;"]"&amp;$I460&amp;"'!"&amp;$J460),$L460,$M460)*$K460</f>
        <v>0.26718999999999998</v>
      </c>
      <c r="F460" s="4">
        <f t="shared" si="31"/>
        <v>5</v>
      </c>
      <c r="G460" s="4" cm="1">
        <f t="array" ref="G460">IF($C460&gt;=25,F460,IF($C460&lt;16,INDEX(Sheet1!C:C,$F460),$F460))</f>
        <v>5</v>
      </c>
      <c r="H460" s="4" t="str" cm="1">
        <f t="array" ref="H460">INDEX(Sheet1!D:D,$G460)</f>
        <v>2001-cso-preferred-class-structure-mortality-tables.xls</v>
      </c>
      <c r="I460" s="4" t="str" cm="1">
        <f t="array" ref="I460">INDEX(Sheet1!E:E,$G460)</f>
        <v>A.1.a.iii</v>
      </c>
      <c r="J460" s="4" t="str" cm="1">
        <f t="array" ref="J460">IF($C460&gt;=25,INDEX(Sheet1!G:G,$G460),INDEX(Sheet1!F:F,$G460))</f>
        <v>AA8</v>
      </c>
      <c r="K460" s="4" cm="1">
        <f t="array" ref="K460">INDEX(Sheet1!H:H,$G460)</f>
        <v>1E-3</v>
      </c>
      <c r="L460" s="4">
        <f t="shared" si="28"/>
        <v>70</v>
      </c>
      <c r="M460" s="4">
        <f t="shared" si="29"/>
        <v>0</v>
      </c>
    </row>
    <row r="461" spans="1:13">
      <c r="A461" s="4" t="str" cm="1">
        <f t="array" ref="A461">INDEX(Sheet1!A:A,$F461)</f>
        <v>M</v>
      </c>
      <c r="B461" s="4" t="str" cm="1">
        <f t="array" ref="B461">INDEX(Sheet1!B:B,$F461)</f>
        <v>Non-Pref NS</v>
      </c>
      <c r="C461" s="4">
        <f t="shared" si="30"/>
        <v>96</v>
      </c>
      <c r="D461" s="5" cm="1">
        <f t="array" aca="1" ref="D461" ca="1">OFFSET(INDIRECT("'["&amp;$H461&amp;"]"&amp;$I461&amp;"'!"&amp;$J461),$L461,$M461)*$K461</f>
        <v>0.28379000000000004</v>
      </c>
      <c r="F461" s="4">
        <f t="shared" si="31"/>
        <v>5</v>
      </c>
      <c r="G461" s="4" cm="1">
        <f t="array" ref="G461">IF($C461&gt;=25,F461,IF($C461&lt;16,INDEX(Sheet1!C:C,$F461),$F461))</f>
        <v>5</v>
      </c>
      <c r="H461" s="4" t="str" cm="1">
        <f t="array" ref="H461">INDEX(Sheet1!D:D,$G461)</f>
        <v>2001-cso-preferred-class-structure-mortality-tables.xls</v>
      </c>
      <c r="I461" s="4" t="str" cm="1">
        <f t="array" ref="I461">INDEX(Sheet1!E:E,$G461)</f>
        <v>A.1.a.iii</v>
      </c>
      <c r="J461" s="4" t="str" cm="1">
        <f t="array" ref="J461">IF($C461&gt;=25,INDEX(Sheet1!G:G,$G461),INDEX(Sheet1!F:F,$G461))</f>
        <v>AA8</v>
      </c>
      <c r="K461" s="4" cm="1">
        <f t="array" ref="K461">INDEX(Sheet1!H:H,$G461)</f>
        <v>1E-3</v>
      </c>
      <c r="L461" s="4">
        <f t="shared" si="28"/>
        <v>71</v>
      </c>
      <c r="M461" s="4">
        <f t="shared" si="29"/>
        <v>0</v>
      </c>
    </row>
    <row r="462" spans="1:13">
      <c r="A462" s="4" t="str" cm="1">
        <f t="array" ref="A462">INDEX(Sheet1!A:A,$F462)</f>
        <v>M</v>
      </c>
      <c r="B462" s="4" t="str" cm="1">
        <f t="array" ref="B462">INDEX(Sheet1!B:B,$F462)</f>
        <v>Non-Pref NS</v>
      </c>
      <c r="C462" s="4">
        <f t="shared" si="30"/>
        <v>97</v>
      </c>
      <c r="D462" s="5" cm="1">
        <f t="array" aca="1" ref="D462" ca="1">OFFSET(INDIRECT("'["&amp;$H462&amp;"]"&amp;$I462&amp;"'!"&amp;$J462),$L462,$M462)*$K462</f>
        <v>0.30149000000000004</v>
      </c>
      <c r="F462" s="4">
        <f t="shared" si="31"/>
        <v>5</v>
      </c>
      <c r="G462" s="4" cm="1">
        <f t="array" ref="G462">IF($C462&gt;=25,F462,IF($C462&lt;16,INDEX(Sheet1!C:C,$F462),$F462))</f>
        <v>5</v>
      </c>
      <c r="H462" s="4" t="str" cm="1">
        <f t="array" ref="H462">INDEX(Sheet1!D:D,$G462)</f>
        <v>2001-cso-preferred-class-structure-mortality-tables.xls</v>
      </c>
      <c r="I462" s="4" t="str" cm="1">
        <f t="array" ref="I462">INDEX(Sheet1!E:E,$G462)</f>
        <v>A.1.a.iii</v>
      </c>
      <c r="J462" s="4" t="str" cm="1">
        <f t="array" ref="J462">IF($C462&gt;=25,INDEX(Sheet1!G:G,$G462),INDEX(Sheet1!F:F,$G462))</f>
        <v>AA8</v>
      </c>
      <c r="K462" s="4" cm="1">
        <f t="array" ref="K462">INDEX(Sheet1!H:H,$G462)</f>
        <v>1E-3</v>
      </c>
      <c r="L462" s="4">
        <f t="shared" si="28"/>
        <v>72</v>
      </c>
      <c r="M462" s="4">
        <f t="shared" si="29"/>
        <v>0</v>
      </c>
    </row>
    <row r="463" spans="1:13">
      <c r="A463" s="4" t="str" cm="1">
        <f t="array" ref="A463">INDEX(Sheet1!A:A,$F463)</f>
        <v>M</v>
      </c>
      <c r="B463" s="4" t="str" cm="1">
        <f t="array" ref="B463">INDEX(Sheet1!B:B,$F463)</f>
        <v>Non-Pref NS</v>
      </c>
      <c r="C463" s="4">
        <f t="shared" si="30"/>
        <v>98</v>
      </c>
      <c r="D463" s="5" cm="1">
        <f t="array" aca="1" ref="D463" ca="1">OFFSET(INDIRECT("'["&amp;$H463&amp;"]"&amp;$I463&amp;"'!"&amp;$J463),$L463,$M463)*$K463</f>
        <v>0.32038</v>
      </c>
      <c r="F463" s="4">
        <f t="shared" si="31"/>
        <v>5</v>
      </c>
      <c r="G463" s="4" cm="1">
        <f t="array" ref="G463">IF($C463&gt;=25,F463,IF($C463&lt;16,INDEX(Sheet1!C:C,$F463),$F463))</f>
        <v>5</v>
      </c>
      <c r="H463" s="4" t="str" cm="1">
        <f t="array" ref="H463">INDEX(Sheet1!D:D,$G463)</f>
        <v>2001-cso-preferred-class-structure-mortality-tables.xls</v>
      </c>
      <c r="I463" s="4" t="str" cm="1">
        <f t="array" ref="I463">INDEX(Sheet1!E:E,$G463)</f>
        <v>A.1.a.iii</v>
      </c>
      <c r="J463" s="4" t="str" cm="1">
        <f t="array" ref="J463">IF($C463&gt;=25,INDEX(Sheet1!G:G,$G463),INDEX(Sheet1!F:F,$G463))</f>
        <v>AA8</v>
      </c>
      <c r="K463" s="4" cm="1">
        <f t="array" ref="K463">INDEX(Sheet1!H:H,$G463)</f>
        <v>1E-3</v>
      </c>
      <c r="L463" s="4">
        <f t="shared" si="28"/>
        <v>73</v>
      </c>
      <c r="M463" s="4">
        <f t="shared" si="29"/>
        <v>0</v>
      </c>
    </row>
    <row r="464" spans="1:13">
      <c r="A464" s="4" t="str" cm="1">
        <f t="array" ref="A464">INDEX(Sheet1!A:A,$F464)</f>
        <v>M</v>
      </c>
      <c r="B464" s="4" t="str" cm="1">
        <f t="array" ref="B464">INDEX(Sheet1!B:B,$F464)</f>
        <v>Non-Pref NS</v>
      </c>
      <c r="C464" s="4">
        <f t="shared" si="30"/>
        <v>99</v>
      </c>
      <c r="D464" s="5" cm="1">
        <f t="array" aca="1" ref="D464" ca="1">OFFSET(INDIRECT("'["&amp;$H464&amp;"]"&amp;$I464&amp;"'!"&amp;$J464),$L464,$M464)*$K464</f>
        <v>0.34054000000000001</v>
      </c>
      <c r="F464" s="4">
        <f t="shared" si="31"/>
        <v>5</v>
      </c>
      <c r="G464" s="4" cm="1">
        <f t="array" ref="G464">IF($C464&gt;=25,F464,IF($C464&lt;16,INDEX(Sheet1!C:C,$F464),$F464))</f>
        <v>5</v>
      </c>
      <c r="H464" s="4" t="str" cm="1">
        <f t="array" ref="H464">INDEX(Sheet1!D:D,$G464)</f>
        <v>2001-cso-preferred-class-structure-mortality-tables.xls</v>
      </c>
      <c r="I464" s="4" t="str" cm="1">
        <f t="array" ref="I464">INDEX(Sheet1!E:E,$G464)</f>
        <v>A.1.a.iii</v>
      </c>
      <c r="J464" s="4" t="str" cm="1">
        <f t="array" ref="J464">IF($C464&gt;=25,INDEX(Sheet1!G:G,$G464),INDEX(Sheet1!F:F,$G464))</f>
        <v>AA8</v>
      </c>
      <c r="K464" s="4" cm="1">
        <f t="array" ref="K464">INDEX(Sheet1!H:H,$G464)</f>
        <v>1E-3</v>
      </c>
      <c r="L464" s="4">
        <f t="shared" si="28"/>
        <v>74</v>
      </c>
      <c r="M464" s="4">
        <f t="shared" si="29"/>
        <v>0</v>
      </c>
    </row>
    <row r="465" spans="1:13">
      <c r="A465" s="4" t="str" cm="1">
        <f t="array" ref="A465">INDEX(Sheet1!A:A,$F465)</f>
        <v>M</v>
      </c>
      <c r="B465" s="4" t="str" cm="1">
        <f t="array" ref="B465">INDEX(Sheet1!B:B,$F465)</f>
        <v>Non-Pref NS</v>
      </c>
      <c r="C465" s="4">
        <f t="shared" si="30"/>
        <v>100</v>
      </c>
      <c r="D465" s="5" cm="1">
        <f t="array" aca="1" ref="D465" ca="1">OFFSET(INDIRECT("'["&amp;$H465&amp;"]"&amp;$I465&amp;"'!"&amp;$J465),$L465,$M465)*$K465</f>
        <v>0.36210000000000003</v>
      </c>
      <c r="F465" s="4">
        <f t="shared" si="31"/>
        <v>5</v>
      </c>
      <c r="G465" s="4" cm="1">
        <f t="array" ref="G465">IF($C465&gt;=25,F465,IF($C465&lt;16,INDEX(Sheet1!C:C,$F465),$F465))</f>
        <v>5</v>
      </c>
      <c r="H465" s="4" t="str" cm="1">
        <f t="array" ref="H465">INDEX(Sheet1!D:D,$G465)</f>
        <v>2001-cso-preferred-class-structure-mortality-tables.xls</v>
      </c>
      <c r="I465" s="4" t="str" cm="1">
        <f t="array" ref="I465">INDEX(Sheet1!E:E,$G465)</f>
        <v>A.1.a.iii</v>
      </c>
      <c r="J465" s="4" t="str" cm="1">
        <f t="array" ref="J465">IF($C465&gt;=25,INDEX(Sheet1!G:G,$G465),INDEX(Sheet1!F:F,$G465))</f>
        <v>AA8</v>
      </c>
      <c r="K465" s="4" cm="1">
        <f t="array" ref="K465">INDEX(Sheet1!H:H,$G465)</f>
        <v>1E-3</v>
      </c>
      <c r="L465" s="4">
        <f t="shared" si="28"/>
        <v>75</v>
      </c>
      <c r="M465" s="4">
        <f t="shared" si="29"/>
        <v>0</v>
      </c>
    </row>
    <row r="466" spans="1:13">
      <c r="A466" s="4" t="str" cm="1">
        <f t="array" ref="A466">INDEX(Sheet1!A:A,$F466)</f>
        <v>M</v>
      </c>
      <c r="B466" s="4" t="str" cm="1">
        <f t="array" ref="B466">INDEX(Sheet1!B:B,$F466)</f>
        <v>Non-Pref NS</v>
      </c>
      <c r="C466" s="4">
        <f t="shared" si="30"/>
        <v>101</v>
      </c>
      <c r="D466" s="5" cm="1">
        <f t="array" aca="1" ref="D466" ca="1">OFFSET(INDIRECT("'["&amp;$H466&amp;"]"&amp;$I466&amp;"'!"&amp;$J466),$L466,$M466)*$K466</f>
        <v>0.37920999999999999</v>
      </c>
      <c r="F466" s="4">
        <f t="shared" si="31"/>
        <v>5</v>
      </c>
      <c r="G466" s="4" cm="1">
        <f t="array" ref="G466">IF($C466&gt;=25,F466,IF($C466&lt;16,INDEX(Sheet1!C:C,$F466),$F466))</f>
        <v>5</v>
      </c>
      <c r="H466" s="4" t="str" cm="1">
        <f t="array" ref="H466">INDEX(Sheet1!D:D,$G466)</f>
        <v>2001-cso-preferred-class-structure-mortality-tables.xls</v>
      </c>
      <c r="I466" s="4" t="str" cm="1">
        <f t="array" ref="I466">INDEX(Sheet1!E:E,$G466)</f>
        <v>A.1.a.iii</v>
      </c>
      <c r="J466" s="4" t="str" cm="1">
        <f t="array" ref="J466">IF($C466&gt;=25,INDEX(Sheet1!G:G,$G466),INDEX(Sheet1!F:F,$G466))</f>
        <v>AA8</v>
      </c>
      <c r="K466" s="4" cm="1">
        <f t="array" ref="K466">INDEX(Sheet1!H:H,$G466)</f>
        <v>1E-3</v>
      </c>
      <c r="L466" s="4">
        <f t="shared" si="28"/>
        <v>76</v>
      </c>
      <c r="M466" s="4">
        <f t="shared" si="29"/>
        <v>0</v>
      </c>
    </row>
    <row r="467" spans="1:13">
      <c r="A467" s="4" t="str" cm="1">
        <f t="array" ref="A467">INDEX(Sheet1!A:A,$F467)</f>
        <v>M</v>
      </c>
      <c r="B467" s="4" t="str" cm="1">
        <f t="array" ref="B467">INDEX(Sheet1!B:B,$F467)</f>
        <v>Non-Pref NS</v>
      </c>
      <c r="C467" s="4">
        <f t="shared" si="30"/>
        <v>102</v>
      </c>
      <c r="D467" s="5" cm="1">
        <f t="array" aca="1" ref="D467" ca="1">OFFSET(INDIRECT("'["&amp;$H467&amp;"]"&amp;$I467&amp;"'!"&amp;$J467),$L467,$M467)*$K467</f>
        <v>0.39744000000000002</v>
      </c>
      <c r="F467" s="4">
        <f t="shared" si="31"/>
        <v>5</v>
      </c>
      <c r="G467" s="4" cm="1">
        <f t="array" ref="G467">IF($C467&gt;=25,F467,IF($C467&lt;16,INDEX(Sheet1!C:C,$F467),$F467))</f>
        <v>5</v>
      </c>
      <c r="H467" s="4" t="str" cm="1">
        <f t="array" ref="H467">INDEX(Sheet1!D:D,$G467)</f>
        <v>2001-cso-preferred-class-structure-mortality-tables.xls</v>
      </c>
      <c r="I467" s="4" t="str" cm="1">
        <f t="array" ref="I467">INDEX(Sheet1!E:E,$G467)</f>
        <v>A.1.a.iii</v>
      </c>
      <c r="J467" s="4" t="str" cm="1">
        <f t="array" ref="J467">IF($C467&gt;=25,INDEX(Sheet1!G:G,$G467),INDEX(Sheet1!F:F,$G467))</f>
        <v>AA8</v>
      </c>
      <c r="K467" s="4" cm="1">
        <f t="array" ref="K467">INDEX(Sheet1!H:H,$G467)</f>
        <v>1E-3</v>
      </c>
      <c r="L467" s="4">
        <f t="shared" si="28"/>
        <v>77</v>
      </c>
      <c r="M467" s="4">
        <f t="shared" si="29"/>
        <v>0</v>
      </c>
    </row>
    <row r="468" spans="1:13">
      <c r="A468" s="4" t="str" cm="1">
        <f t="array" ref="A468">INDEX(Sheet1!A:A,$F468)</f>
        <v>M</v>
      </c>
      <c r="B468" s="4" t="str" cm="1">
        <f t="array" ref="B468">INDEX(Sheet1!B:B,$F468)</f>
        <v>Non-Pref NS</v>
      </c>
      <c r="C468" s="4">
        <f t="shared" si="30"/>
        <v>103</v>
      </c>
      <c r="D468" s="5" cm="1">
        <f t="array" aca="1" ref="D468" ca="1">OFFSET(INDIRECT("'["&amp;$H468&amp;"]"&amp;$I468&amp;"'!"&amp;$J468),$L468,$M468)*$K468</f>
        <v>0.41683999999999999</v>
      </c>
      <c r="F468" s="4">
        <f t="shared" si="31"/>
        <v>5</v>
      </c>
      <c r="G468" s="4" cm="1">
        <f t="array" ref="G468">IF($C468&gt;=25,F468,IF($C468&lt;16,INDEX(Sheet1!C:C,$F468),$F468))</f>
        <v>5</v>
      </c>
      <c r="H468" s="4" t="str" cm="1">
        <f t="array" ref="H468">INDEX(Sheet1!D:D,$G468)</f>
        <v>2001-cso-preferred-class-structure-mortality-tables.xls</v>
      </c>
      <c r="I468" s="4" t="str" cm="1">
        <f t="array" ref="I468">INDEX(Sheet1!E:E,$G468)</f>
        <v>A.1.a.iii</v>
      </c>
      <c r="J468" s="4" t="str" cm="1">
        <f t="array" ref="J468">IF($C468&gt;=25,INDEX(Sheet1!G:G,$G468),INDEX(Sheet1!F:F,$G468))</f>
        <v>AA8</v>
      </c>
      <c r="K468" s="4" cm="1">
        <f t="array" ref="K468">INDEX(Sheet1!H:H,$G468)</f>
        <v>1E-3</v>
      </c>
      <c r="L468" s="4">
        <f t="shared" si="28"/>
        <v>78</v>
      </c>
      <c r="M468" s="4">
        <f t="shared" si="29"/>
        <v>0</v>
      </c>
    </row>
    <row r="469" spans="1:13">
      <c r="A469" s="4" t="str" cm="1">
        <f t="array" ref="A469">INDEX(Sheet1!A:A,$F469)</f>
        <v>M</v>
      </c>
      <c r="B469" s="4" t="str" cm="1">
        <f t="array" ref="B469">INDEX(Sheet1!B:B,$F469)</f>
        <v>Non-Pref NS</v>
      </c>
      <c r="C469" s="4">
        <f t="shared" si="30"/>
        <v>104</v>
      </c>
      <c r="D469" s="5" cm="1">
        <f t="array" aca="1" ref="D469" ca="1">OFFSET(INDIRECT("'["&amp;$H469&amp;"]"&amp;$I469&amp;"'!"&amp;$J469),$L469,$M469)*$K469</f>
        <v>0.43748000000000004</v>
      </c>
      <c r="F469" s="4">
        <f t="shared" si="31"/>
        <v>5</v>
      </c>
      <c r="G469" s="4" cm="1">
        <f t="array" ref="G469">IF($C469&gt;=25,F469,IF($C469&lt;16,INDEX(Sheet1!C:C,$F469),$F469))</f>
        <v>5</v>
      </c>
      <c r="H469" s="4" t="str" cm="1">
        <f t="array" ref="H469">INDEX(Sheet1!D:D,$G469)</f>
        <v>2001-cso-preferred-class-structure-mortality-tables.xls</v>
      </c>
      <c r="I469" s="4" t="str" cm="1">
        <f t="array" ref="I469">INDEX(Sheet1!E:E,$G469)</f>
        <v>A.1.a.iii</v>
      </c>
      <c r="J469" s="4" t="str" cm="1">
        <f t="array" ref="J469">IF($C469&gt;=25,INDEX(Sheet1!G:G,$G469),INDEX(Sheet1!F:F,$G469))</f>
        <v>AA8</v>
      </c>
      <c r="K469" s="4" cm="1">
        <f t="array" ref="K469">INDEX(Sheet1!H:H,$G469)</f>
        <v>1E-3</v>
      </c>
      <c r="L469" s="4">
        <f t="shared" si="28"/>
        <v>79</v>
      </c>
      <c r="M469" s="4">
        <f t="shared" si="29"/>
        <v>0</v>
      </c>
    </row>
    <row r="470" spans="1:13">
      <c r="A470" s="4" t="str" cm="1">
        <f t="array" ref="A470">INDEX(Sheet1!A:A,$F470)</f>
        <v>M</v>
      </c>
      <c r="B470" s="4" t="str" cm="1">
        <f t="array" ref="B470">INDEX(Sheet1!B:B,$F470)</f>
        <v>Non-Pref NS</v>
      </c>
      <c r="C470" s="4">
        <f t="shared" si="30"/>
        <v>105</v>
      </c>
      <c r="D470" s="5" cm="1">
        <f t="array" aca="1" ref="D470" ca="1">OFFSET(INDIRECT("'["&amp;$H470&amp;"]"&amp;$I470&amp;"'!"&amp;$J470),$L470,$M470)*$K470</f>
        <v>0.45912999999999998</v>
      </c>
      <c r="F470" s="4">
        <f t="shared" si="31"/>
        <v>5</v>
      </c>
      <c r="G470" s="4" cm="1">
        <f t="array" ref="G470">IF($C470&gt;=25,F470,IF($C470&lt;16,INDEX(Sheet1!C:C,$F470),$F470))</f>
        <v>5</v>
      </c>
      <c r="H470" s="4" t="str" cm="1">
        <f t="array" ref="H470">INDEX(Sheet1!D:D,$G470)</f>
        <v>2001-cso-preferred-class-structure-mortality-tables.xls</v>
      </c>
      <c r="I470" s="4" t="str" cm="1">
        <f t="array" ref="I470">INDEX(Sheet1!E:E,$G470)</f>
        <v>A.1.a.iii</v>
      </c>
      <c r="J470" s="4" t="str" cm="1">
        <f t="array" ref="J470">IF($C470&gt;=25,INDEX(Sheet1!G:G,$G470),INDEX(Sheet1!F:F,$G470))</f>
        <v>AA8</v>
      </c>
      <c r="K470" s="4" cm="1">
        <f t="array" ref="K470">INDEX(Sheet1!H:H,$G470)</f>
        <v>1E-3</v>
      </c>
      <c r="L470" s="4">
        <f t="shared" si="28"/>
        <v>80</v>
      </c>
      <c r="M470" s="4">
        <f t="shared" si="29"/>
        <v>0</v>
      </c>
    </row>
    <row r="471" spans="1:13">
      <c r="A471" s="4" t="str" cm="1">
        <f t="array" ref="A471">INDEX(Sheet1!A:A,$F471)</f>
        <v>M</v>
      </c>
      <c r="B471" s="4" t="str" cm="1">
        <f t="array" ref="B471">INDEX(Sheet1!B:B,$F471)</f>
        <v>Non-Pref NS</v>
      </c>
      <c r="C471" s="4">
        <f t="shared" si="30"/>
        <v>106</v>
      </c>
      <c r="D471" s="5" cm="1">
        <f t="array" aca="1" ref="D471" ca="1">OFFSET(INDIRECT("'["&amp;$H471&amp;"]"&amp;$I471&amp;"'!"&amp;$J471),$L471,$M471)*$K471</f>
        <v>0.48214999999999997</v>
      </c>
      <c r="F471" s="4">
        <f t="shared" si="31"/>
        <v>5</v>
      </c>
      <c r="G471" s="4" cm="1">
        <f t="array" ref="G471">IF($C471&gt;=25,F471,IF($C471&lt;16,INDEX(Sheet1!C:C,$F471),$F471))</f>
        <v>5</v>
      </c>
      <c r="H471" s="4" t="str" cm="1">
        <f t="array" ref="H471">INDEX(Sheet1!D:D,$G471)</f>
        <v>2001-cso-preferred-class-structure-mortality-tables.xls</v>
      </c>
      <c r="I471" s="4" t="str" cm="1">
        <f t="array" ref="I471">INDEX(Sheet1!E:E,$G471)</f>
        <v>A.1.a.iii</v>
      </c>
      <c r="J471" s="4" t="str" cm="1">
        <f t="array" ref="J471">IF($C471&gt;=25,INDEX(Sheet1!G:G,$G471),INDEX(Sheet1!F:F,$G471))</f>
        <v>AA8</v>
      </c>
      <c r="K471" s="4" cm="1">
        <f t="array" ref="K471">INDEX(Sheet1!H:H,$G471)</f>
        <v>1E-3</v>
      </c>
      <c r="L471" s="4">
        <f t="shared" si="28"/>
        <v>81</v>
      </c>
      <c r="M471" s="4">
        <f t="shared" si="29"/>
        <v>0</v>
      </c>
    </row>
    <row r="472" spans="1:13">
      <c r="A472" s="4" t="str" cm="1">
        <f t="array" ref="A472">INDEX(Sheet1!A:A,$F472)</f>
        <v>M</v>
      </c>
      <c r="B472" s="4" t="str" cm="1">
        <f t="array" ref="B472">INDEX(Sheet1!B:B,$F472)</f>
        <v>Non-Pref NS</v>
      </c>
      <c r="C472" s="4">
        <f t="shared" si="30"/>
        <v>107</v>
      </c>
      <c r="D472" s="5" cm="1">
        <f t="array" aca="1" ref="D472" ca="1">OFFSET(INDIRECT("'["&amp;$H472&amp;"]"&amp;$I472&amp;"'!"&amp;$J472),$L472,$M472)*$K472</f>
        <v>0.50662000000000007</v>
      </c>
      <c r="F472" s="4">
        <f t="shared" si="31"/>
        <v>5</v>
      </c>
      <c r="G472" s="4" cm="1">
        <f t="array" ref="G472">IF($C472&gt;=25,F472,IF($C472&lt;16,INDEX(Sheet1!C:C,$F472),$F472))</f>
        <v>5</v>
      </c>
      <c r="H472" s="4" t="str" cm="1">
        <f t="array" ref="H472">INDEX(Sheet1!D:D,$G472)</f>
        <v>2001-cso-preferred-class-structure-mortality-tables.xls</v>
      </c>
      <c r="I472" s="4" t="str" cm="1">
        <f t="array" ref="I472">INDEX(Sheet1!E:E,$G472)</f>
        <v>A.1.a.iii</v>
      </c>
      <c r="J472" s="4" t="str" cm="1">
        <f t="array" ref="J472">IF($C472&gt;=25,INDEX(Sheet1!G:G,$G472),INDEX(Sheet1!F:F,$G472))</f>
        <v>AA8</v>
      </c>
      <c r="K472" s="4" cm="1">
        <f t="array" ref="K472">INDEX(Sheet1!H:H,$G472)</f>
        <v>1E-3</v>
      </c>
      <c r="L472" s="4">
        <f t="shared" si="28"/>
        <v>82</v>
      </c>
      <c r="M472" s="4">
        <f t="shared" si="29"/>
        <v>0</v>
      </c>
    </row>
    <row r="473" spans="1:13">
      <c r="A473" s="4" t="str" cm="1">
        <f t="array" ref="A473">INDEX(Sheet1!A:A,$F473)</f>
        <v>M</v>
      </c>
      <c r="B473" s="4" t="str" cm="1">
        <f t="array" ref="B473">INDEX(Sheet1!B:B,$F473)</f>
        <v>Non-Pref NS</v>
      </c>
      <c r="C473" s="4">
        <f t="shared" si="30"/>
        <v>108</v>
      </c>
      <c r="D473" s="5" cm="1">
        <f t="array" aca="1" ref="D473" ca="1">OFFSET(INDIRECT("'["&amp;$H473&amp;"]"&amp;$I473&amp;"'!"&amp;$J473),$L473,$M473)*$K473</f>
        <v>0.53263000000000005</v>
      </c>
      <c r="F473" s="4">
        <f t="shared" si="31"/>
        <v>5</v>
      </c>
      <c r="G473" s="4" cm="1">
        <f t="array" ref="G473">IF($C473&gt;=25,F473,IF($C473&lt;16,INDEX(Sheet1!C:C,$F473),$F473))</f>
        <v>5</v>
      </c>
      <c r="H473" s="4" t="str" cm="1">
        <f t="array" ref="H473">INDEX(Sheet1!D:D,$G473)</f>
        <v>2001-cso-preferred-class-structure-mortality-tables.xls</v>
      </c>
      <c r="I473" s="4" t="str" cm="1">
        <f t="array" ref="I473">INDEX(Sheet1!E:E,$G473)</f>
        <v>A.1.a.iii</v>
      </c>
      <c r="J473" s="4" t="str" cm="1">
        <f t="array" ref="J473">IF($C473&gt;=25,INDEX(Sheet1!G:G,$G473),INDEX(Sheet1!F:F,$G473))</f>
        <v>AA8</v>
      </c>
      <c r="K473" s="4" cm="1">
        <f t="array" ref="K473">INDEX(Sheet1!H:H,$G473)</f>
        <v>1E-3</v>
      </c>
      <c r="L473" s="4">
        <f t="shared" si="28"/>
        <v>83</v>
      </c>
      <c r="M473" s="4">
        <f t="shared" si="29"/>
        <v>0</v>
      </c>
    </row>
    <row r="474" spans="1:13">
      <c r="A474" s="4" t="str" cm="1">
        <f t="array" ref="A474">INDEX(Sheet1!A:A,$F474)</f>
        <v>M</v>
      </c>
      <c r="B474" s="4" t="str" cm="1">
        <f t="array" ref="B474">INDEX(Sheet1!B:B,$F474)</f>
        <v>Non-Pref NS</v>
      </c>
      <c r="C474" s="4">
        <f t="shared" si="30"/>
        <v>109</v>
      </c>
      <c r="D474" s="5" cm="1">
        <f t="array" aca="1" ref="D474" ca="1">OFFSET(INDIRECT("'["&amp;$H474&amp;"]"&amp;$I474&amp;"'!"&amp;$J474),$L474,$M474)*$K474</f>
        <v>0.56025999999999998</v>
      </c>
      <c r="F474" s="4">
        <f t="shared" si="31"/>
        <v>5</v>
      </c>
      <c r="G474" s="4" cm="1">
        <f t="array" ref="G474">IF($C474&gt;=25,F474,IF($C474&lt;16,INDEX(Sheet1!C:C,$F474),$F474))</f>
        <v>5</v>
      </c>
      <c r="H474" s="4" t="str" cm="1">
        <f t="array" ref="H474">INDEX(Sheet1!D:D,$G474)</f>
        <v>2001-cso-preferred-class-structure-mortality-tables.xls</v>
      </c>
      <c r="I474" s="4" t="str" cm="1">
        <f t="array" ref="I474">INDEX(Sheet1!E:E,$G474)</f>
        <v>A.1.a.iii</v>
      </c>
      <c r="J474" s="4" t="str" cm="1">
        <f t="array" ref="J474">IF($C474&gt;=25,INDEX(Sheet1!G:G,$G474),INDEX(Sheet1!F:F,$G474))</f>
        <v>AA8</v>
      </c>
      <c r="K474" s="4" cm="1">
        <f t="array" ref="K474">INDEX(Sheet1!H:H,$G474)</f>
        <v>1E-3</v>
      </c>
      <c r="L474" s="4">
        <f t="shared" si="28"/>
        <v>84</v>
      </c>
      <c r="M474" s="4">
        <f t="shared" si="29"/>
        <v>0</v>
      </c>
    </row>
    <row r="475" spans="1:13">
      <c r="A475" s="4" t="str" cm="1">
        <f t="array" ref="A475">INDEX(Sheet1!A:A,$F475)</f>
        <v>M</v>
      </c>
      <c r="B475" s="4" t="str" cm="1">
        <f t="array" ref="B475">INDEX(Sheet1!B:B,$F475)</f>
        <v>Non-Pref NS</v>
      </c>
      <c r="C475" s="4">
        <f t="shared" si="30"/>
        <v>110</v>
      </c>
      <c r="D475" s="5" cm="1">
        <f t="array" aca="1" ref="D475" ca="1">OFFSET(INDIRECT("'["&amp;$H475&amp;"]"&amp;$I475&amp;"'!"&amp;$J475),$L475,$M475)*$K475</f>
        <v>0.58959000000000006</v>
      </c>
      <c r="F475" s="4">
        <f t="shared" si="31"/>
        <v>5</v>
      </c>
      <c r="G475" s="4" cm="1">
        <f t="array" ref="G475">IF($C475&gt;=25,F475,IF($C475&lt;16,INDEX(Sheet1!C:C,$F475),$F475))</f>
        <v>5</v>
      </c>
      <c r="H475" s="4" t="str" cm="1">
        <f t="array" ref="H475">INDEX(Sheet1!D:D,$G475)</f>
        <v>2001-cso-preferred-class-structure-mortality-tables.xls</v>
      </c>
      <c r="I475" s="4" t="str" cm="1">
        <f t="array" ref="I475">INDEX(Sheet1!E:E,$G475)</f>
        <v>A.1.a.iii</v>
      </c>
      <c r="J475" s="4" t="str" cm="1">
        <f t="array" ref="J475">IF($C475&gt;=25,INDEX(Sheet1!G:G,$G475),INDEX(Sheet1!F:F,$G475))</f>
        <v>AA8</v>
      </c>
      <c r="K475" s="4" cm="1">
        <f t="array" ref="K475">INDEX(Sheet1!H:H,$G475)</f>
        <v>1E-3</v>
      </c>
      <c r="L475" s="4">
        <f t="shared" si="28"/>
        <v>85</v>
      </c>
      <c r="M475" s="4">
        <f t="shared" si="29"/>
        <v>0</v>
      </c>
    </row>
    <row r="476" spans="1:13">
      <c r="A476" s="4" t="str" cm="1">
        <f t="array" ref="A476">INDEX(Sheet1!A:A,$F476)</f>
        <v>M</v>
      </c>
      <c r="B476" s="4" t="str" cm="1">
        <f t="array" ref="B476">INDEX(Sheet1!B:B,$F476)</f>
        <v>Non-Pref NS</v>
      </c>
      <c r="C476" s="4">
        <f t="shared" si="30"/>
        <v>111</v>
      </c>
      <c r="D476" s="5" cm="1">
        <f t="array" aca="1" ref="D476" ca="1">OFFSET(INDIRECT("'["&amp;$H476&amp;"]"&amp;$I476&amp;"'!"&amp;$J476),$L476,$M476)*$K476</f>
        <v>0.62074000000000007</v>
      </c>
      <c r="F476" s="4">
        <f t="shared" si="31"/>
        <v>5</v>
      </c>
      <c r="G476" s="4" cm="1">
        <f t="array" ref="G476">IF($C476&gt;=25,F476,IF($C476&lt;16,INDEX(Sheet1!C:C,$F476),$F476))</f>
        <v>5</v>
      </c>
      <c r="H476" s="4" t="str" cm="1">
        <f t="array" ref="H476">INDEX(Sheet1!D:D,$G476)</f>
        <v>2001-cso-preferred-class-structure-mortality-tables.xls</v>
      </c>
      <c r="I476" s="4" t="str" cm="1">
        <f t="array" ref="I476">INDEX(Sheet1!E:E,$G476)</f>
        <v>A.1.a.iii</v>
      </c>
      <c r="J476" s="4" t="str" cm="1">
        <f t="array" ref="J476">IF($C476&gt;=25,INDEX(Sheet1!G:G,$G476),INDEX(Sheet1!F:F,$G476))</f>
        <v>AA8</v>
      </c>
      <c r="K476" s="4" cm="1">
        <f t="array" ref="K476">INDEX(Sheet1!H:H,$G476)</f>
        <v>1E-3</v>
      </c>
      <c r="L476" s="4">
        <f t="shared" si="28"/>
        <v>86</v>
      </c>
      <c r="M476" s="4">
        <f t="shared" si="29"/>
        <v>0</v>
      </c>
    </row>
    <row r="477" spans="1:13">
      <c r="A477" s="4" t="str" cm="1">
        <f t="array" ref="A477">INDEX(Sheet1!A:A,$F477)</f>
        <v>M</v>
      </c>
      <c r="B477" s="4" t="str" cm="1">
        <f t="array" ref="B477">INDEX(Sheet1!B:B,$F477)</f>
        <v>Non-Pref NS</v>
      </c>
      <c r="C477" s="4">
        <f t="shared" si="30"/>
        <v>112</v>
      </c>
      <c r="D477" s="5" cm="1">
        <f t="array" aca="1" ref="D477" ca="1">OFFSET(INDIRECT("'["&amp;$H477&amp;"]"&amp;$I477&amp;"'!"&amp;$J477),$L477,$M477)*$K477</f>
        <v>0.65379999999999994</v>
      </c>
      <c r="F477" s="4">
        <f t="shared" si="31"/>
        <v>5</v>
      </c>
      <c r="G477" s="4" cm="1">
        <f t="array" ref="G477">IF($C477&gt;=25,F477,IF($C477&lt;16,INDEX(Sheet1!C:C,$F477),$F477))</f>
        <v>5</v>
      </c>
      <c r="H477" s="4" t="str" cm="1">
        <f t="array" ref="H477">INDEX(Sheet1!D:D,$G477)</f>
        <v>2001-cso-preferred-class-structure-mortality-tables.xls</v>
      </c>
      <c r="I477" s="4" t="str" cm="1">
        <f t="array" ref="I477">INDEX(Sheet1!E:E,$G477)</f>
        <v>A.1.a.iii</v>
      </c>
      <c r="J477" s="4" t="str" cm="1">
        <f t="array" ref="J477">IF($C477&gt;=25,INDEX(Sheet1!G:G,$G477),INDEX(Sheet1!F:F,$G477))</f>
        <v>AA8</v>
      </c>
      <c r="K477" s="4" cm="1">
        <f t="array" ref="K477">INDEX(Sheet1!H:H,$G477)</f>
        <v>1E-3</v>
      </c>
      <c r="L477" s="4">
        <f t="shared" si="28"/>
        <v>87</v>
      </c>
      <c r="M477" s="4">
        <f t="shared" si="29"/>
        <v>0</v>
      </c>
    </row>
    <row r="478" spans="1:13">
      <c r="A478" s="4" t="str" cm="1">
        <f t="array" ref="A478">INDEX(Sheet1!A:A,$F478)</f>
        <v>M</v>
      </c>
      <c r="B478" s="4" t="str" cm="1">
        <f t="array" ref="B478">INDEX(Sheet1!B:B,$F478)</f>
        <v>Non-Pref NS</v>
      </c>
      <c r="C478" s="4">
        <f t="shared" si="30"/>
        <v>113</v>
      </c>
      <c r="D478" s="5" cm="1">
        <f t="array" aca="1" ref="D478" ca="1">OFFSET(INDIRECT("'["&amp;$H478&amp;"]"&amp;$I478&amp;"'!"&amp;$J478),$L478,$M478)*$K478</f>
        <v>0.68891000000000002</v>
      </c>
      <c r="F478" s="4">
        <f t="shared" si="31"/>
        <v>5</v>
      </c>
      <c r="G478" s="4" cm="1">
        <f t="array" ref="G478">IF($C478&gt;=25,F478,IF($C478&lt;16,INDEX(Sheet1!C:C,$F478),$F478))</f>
        <v>5</v>
      </c>
      <c r="H478" s="4" t="str" cm="1">
        <f t="array" ref="H478">INDEX(Sheet1!D:D,$G478)</f>
        <v>2001-cso-preferred-class-structure-mortality-tables.xls</v>
      </c>
      <c r="I478" s="4" t="str" cm="1">
        <f t="array" ref="I478">INDEX(Sheet1!E:E,$G478)</f>
        <v>A.1.a.iii</v>
      </c>
      <c r="J478" s="4" t="str" cm="1">
        <f t="array" ref="J478">IF($C478&gt;=25,INDEX(Sheet1!G:G,$G478),INDEX(Sheet1!F:F,$G478))</f>
        <v>AA8</v>
      </c>
      <c r="K478" s="4" cm="1">
        <f t="array" ref="K478">INDEX(Sheet1!H:H,$G478)</f>
        <v>1E-3</v>
      </c>
      <c r="L478" s="4">
        <f t="shared" si="28"/>
        <v>88</v>
      </c>
      <c r="M478" s="4">
        <f t="shared" si="29"/>
        <v>0</v>
      </c>
    </row>
    <row r="479" spans="1:13">
      <c r="A479" s="4" t="str" cm="1">
        <f t="array" ref="A479">INDEX(Sheet1!A:A,$F479)</f>
        <v>M</v>
      </c>
      <c r="B479" s="4" t="str" cm="1">
        <f t="array" ref="B479">INDEX(Sheet1!B:B,$F479)</f>
        <v>Non-Pref NS</v>
      </c>
      <c r="C479" s="4">
        <f t="shared" si="30"/>
        <v>114</v>
      </c>
      <c r="D479" s="5" cm="1">
        <f t="array" aca="1" ref="D479" ca="1">OFFSET(INDIRECT("'["&amp;$H479&amp;"]"&amp;$I479&amp;"'!"&amp;$J479),$L479,$M479)*$K479</f>
        <v>0.72614999999999996</v>
      </c>
      <c r="F479" s="4">
        <f t="shared" si="31"/>
        <v>5</v>
      </c>
      <c r="G479" s="4" cm="1">
        <f t="array" ref="G479">IF($C479&gt;=25,F479,IF($C479&lt;16,INDEX(Sheet1!C:C,$F479),$F479))</f>
        <v>5</v>
      </c>
      <c r="H479" s="4" t="str" cm="1">
        <f t="array" ref="H479">INDEX(Sheet1!D:D,$G479)</f>
        <v>2001-cso-preferred-class-structure-mortality-tables.xls</v>
      </c>
      <c r="I479" s="4" t="str" cm="1">
        <f t="array" ref="I479">INDEX(Sheet1!E:E,$G479)</f>
        <v>A.1.a.iii</v>
      </c>
      <c r="J479" s="4" t="str" cm="1">
        <f t="array" ref="J479">IF($C479&gt;=25,INDEX(Sheet1!G:G,$G479),INDEX(Sheet1!F:F,$G479))</f>
        <v>AA8</v>
      </c>
      <c r="K479" s="4" cm="1">
        <f t="array" ref="K479">INDEX(Sheet1!H:H,$G479)</f>
        <v>1E-3</v>
      </c>
      <c r="L479" s="4">
        <f t="shared" si="28"/>
        <v>89</v>
      </c>
      <c r="M479" s="4">
        <f t="shared" si="29"/>
        <v>0</v>
      </c>
    </row>
    <row r="480" spans="1:13">
      <c r="A480" s="4" t="str" cm="1">
        <f t="array" ref="A480">INDEX(Sheet1!A:A,$F480)</f>
        <v>M</v>
      </c>
      <c r="B480" s="4" t="str" cm="1">
        <f t="array" ref="B480">INDEX(Sheet1!B:B,$F480)</f>
        <v>Non-Pref NS</v>
      </c>
      <c r="C480" s="4">
        <f t="shared" si="30"/>
        <v>115</v>
      </c>
      <c r="D480" s="5" cm="1">
        <f t="array" aca="1" ref="D480" ca="1">OFFSET(INDIRECT("'["&amp;$H480&amp;"]"&amp;$I480&amp;"'!"&amp;$J480),$L480,$M480)*$K480</f>
        <v>0.76566999999999996</v>
      </c>
      <c r="F480" s="4">
        <f t="shared" si="31"/>
        <v>5</v>
      </c>
      <c r="G480" s="4" cm="1">
        <f t="array" ref="G480">IF($C480&gt;=25,F480,IF($C480&lt;16,INDEX(Sheet1!C:C,$F480),$F480))</f>
        <v>5</v>
      </c>
      <c r="H480" s="4" t="str" cm="1">
        <f t="array" ref="H480">INDEX(Sheet1!D:D,$G480)</f>
        <v>2001-cso-preferred-class-structure-mortality-tables.xls</v>
      </c>
      <c r="I480" s="4" t="str" cm="1">
        <f t="array" ref="I480">INDEX(Sheet1!E:E,$G480)</f>
        <v>A.1.a.iii</v>
      </c>
      <c r="J480" s="4" t="str" cm="1">
        <f t="array" ref="J480">IF($C480&gt;=25,INDEX(Sheet1!G:G,$G480),INDEX(Sheet1!F:F,$G480))</f>
        <v>AA8</v>
      </c>
      <c r="K480" s="4" cm="1">
        <f t="array" ref="K480">INDEX(Sheet1!H:H,$G480)</f>
        <v>1E-3</v>
      </c>
      <c r="L480" s="4">
        <f t="shared" si="28"/>
        <v>90</v>
      </c>
      <c r="M480" s="4">
        <f t="shared" si="29"/>
        <v>0</v>
      </c>
    </row>
    <row r="481" spans="1:13">
      <c r="A481" s="4" t="str" cm="1">
        <f t="array" ref="A481">INDEX(Sheet1!A:A,$F481)</f>
        <v>M</v>
      </c>
      <c r="B481" s="4" t="str" cm="1">
        <f t="array" ref="B481">INDEX(Sheet1!B:B,$F481)</f>
        <v>Non-Pref NS</v>
      </c>
      <c r="C481" s="4">
        <f t="shared" si="30"/>
        <v>116</v>
      </c>
      <c r="D481" s="5" cm="1">
        <f t="array" aca="1" ref="D481" ca="1">OFFSET(INDIRECT("'["&amp;$H481&amp;"]"&amp;$I481&amp;"'!"&amp;$J481),$L481,$M481)*$K481</f>
        <v>0.80759000000000003</v>
      </c>
      <c r="F481" s="4">
        <f t="shared" si="31"/>
        <v>5</v>
      </c>
      <c r="G481" s="4" cm="1">
        <f t="array" ref="G481">IF($C481&gt;=25,F481,IF($C481&lt;16,INDEX(Sheet1!C:C,$F481),$F481))</f>
        <v>5</v>
      </c>
      <c r="H481" s="4" t="str" cm="1">
        <f t="array" ref="H481">INDEX(Sheet1!D:D,$G481)</f>
        <v>2001-cso-preferred-class-structure-mortality-tables.xls</v>
      </c>
      <c r="I481" s="4" t="str" cm="1">
        <f t="array" ref="I481">INDEX(Sheet1!E:E,$G481)</f>
        <v>A.1.a.iii</v>
      </c>
      <c r="J481" s="4" t="str" cm="1">
        <f t="array" ref="J481">IF($C481&gt;=25,INDEX(Sheet1!G:G,$G481),INDEX(Sheet1!F:F,$G481))</f>
        <v>AA8</v>
      </c>
      <c r="K481" s="4" cm="1">
        <f t="array" ref="K481">INDEX(Sheet1!H:H,$G481)</f>
        <v>1E-3</v>
      </c>
      <c r="L481" s="4">
        <f t="shared" si="28"/>
        <v>91</v>
      </c>
      <c r="M481" s="4">
        <f t="shared" si="29"/>
        <v>0</v>
      </c>
    </row>
    <row r="482" spans="1:13">
      <c r="A482" s="4" t="str" cm="1">
        <f t="array" ref="A482">INDEX(Sheet1!A:A,$F482)</f>
        <v>M</v>
      </c>
      <c r="B482" s="4" t="str" cm="1">
        <f t="array" ref="B482">INDEX(Sheet1!B:B,$F482)</f>
        <v>Non-Pref NS</v>
      </c>
      <c r="C482" s="4">
        <f t="shared" si="30"/>
        <v>117</v>
      </c>
      <c r="D482" s="5" cm="1">
        <f t="array" aca="1" ref="D482" ca="1">OFFSET(INDIRECT("'["&amp;$H482&amp;"]"&amp;$I482&amp;"'!"&amp;$J482),$L482,$M482)*$K482</f>
        <v>0.85204999999999997</v>
      </c>
      <c r="F482" s="4">
        <f t="shared" si="31"/>
        <v>5</v>
      </c>
      <c r="G482" s="4" cm="1">
        <f t="array" ref="G482">IF($C482&gt;=25,F482,IF($C482&lt;16,INDEX(Sheet1!C:C,$F482),$F482))</f>
        <v>5</v>
      </c>
      <c r="H482" s="4" t="str" cm="1">
        <f t="array" ref="H482">INDEX(Sheet1!D:D,$G482)</f>
        <v>2001-cso-preferred-class-structure-mortality-tables.xls</v>
      </c>
      <c r="I482" s="4" t="str" cm="1">
        <f t="array" ref="I482">INDEX(Sheet1!E:E,$G482)</f>
        <v>A.1.a.iii</v>
      </c>
      <c r="J482" s="4" t="str" cm="1">
        <f t="array" ref="J482">IF($C482&gt;=25,INDEX(Sheet1!G:G,$G482),INDEX(Sheet1!F:F,$G482))</f>
        <v>AA8</v>
      </c>
      <c r="K482" s="4" cm="1">
        <f t="array" ref="K482">INDEX(Sheet1!H:H,$G482)</f>
        <v>1E-3</v>
      </c>
      <c r="L482" s="4">
        <f t="shared" si="28"/>
        <v>92</v>
      </c>
      <c r="M482" s="4">
        <f t="shared" si="29"/>
        <v>0</v>
      </c>
    </row>
    <row r="483" spans="1:13">
      <c r="A483" s="4" t="str" cm="1">
        <f t="array" ref="A483">INDEX(Sheet1!A:A,$F483)</f>
        <v>M</v>
      </c>
      <c r="B483" s="4" t="str" cm="1">
        <f t="array" ref="B483">INDEX(Sheet1!B:B,$F483)</f>
        <v>Non-Pref NS</v>
      </c>
      <c r="C483" s="4">
        <f t="shared" si="30"/>
        <v>118</v>
      </c>
      <c r="D483" s="5" cm="1">
        <f t="array" aca="1" ref="D483" ca="1">OFFSET(INDIRECT("'["&amp;$H483&amp;"]"&amp;$I483&amp;"'!"&amp;$J483),$L483,$M483)*$K483</f>
        <v>0.89922000000000002</v>
      </c>
      <c r="F483" s="4">
        <f t="shared" si="31"/>
        <v>5</v>
      </c>
      <c r="G483" s="4" cm="1">
        <f t="array" ref="G483">IF($C483&gt;=25,F483,IF($C483&lt;16,INDEX(Sheet1!C:C,$F483),$F483))</f>
        <v>5</v>
      </c>
      <c r="H483" s="4" t="str" cm="1">
        <f t="array" ref="H483">INDEX(Sheet1!D:D,$G483)</f>
        <v>2001-cso-preferred-class-structure-mortality-tables.xls</v>
      </c>
      <c r="I483" s="4" t="str" cm="1">
        <f t="array" ref="I483">INDEX(Sheet1!E:E,$G483)</f>
        <v>A.1.a.iii</v>
      </c>
      <c r="J483" s="4" t="str" cm="1">
        <f t="array" ref="J483">IF($C483&gt;=25,INDEX(Sheet1!G:G,$G483),INDEX(Sheet1!F:F,$G483))</f>
        <v>AA8</v>
      </c>
      <c r="K483" s="4" cm="1">
        <f t="array" ref="K483">INDEX(Sheet1!H:H,$G483)</f>
        <v>1E-3</v>
      </c>
      <c r="L483" s="4">
        <f t="shared" si="28"/>
        <v>93</v>
      </c>
      <c r="M483" s="4">
        <f t="shared" si="29"/>
        <v>0</v>
      </c>
    </row>
    <row r="484" spans="1:13">
      <c r="A484" s="4" t="str" cm="1">
        <f t="array" ref="A484">INDEX(Sheet1!A:A,$F484)</f>
        <v>M</v>
      </c>
      <c r="B484" s="4" t="str" cm="1">
        <f t="array" ref="B484">INDEX(Sheet1!B:B,$F484)</f>
        <v>Non-Pref NS</v>
      </c>
      <c r="C484" s="4">
        <f t="shared" si="30"/>
        <v>119</v>
      </c>
      <c r="D484" s="5" cm="1">
        <f t="array" aca="1" ref="D484" ca="1">OFFSET(INDIRECT("'["&amp;$H484&amp;"]"&amp;$I484&amp;"'!"&amp;$J484),$L484,$M484)*$K484</f>
        <v>0.94922000000000006</v>
      </c>
      <c r="F484" s="4">
        <f t="shared" si="31"/>
        <v>5</v>
      </c>
      <c r="G484" s="4" cm="1">
        <f t="array" ref="G484">IF($C484&gt;=25,F484,IF($C484&lt;16,INDEX(Sheet1!C:C,$F484),$F484))</f>
        <v>5</v>
      </c>
      <c r="H484" s="4" t="str" cm="1">
        <f t="array" ref="H484">INDEX(Sheet1!D:D,$G484)</f>
        <v>2001-cso-preferred-class-structure-mortality-tables.xls</v>
      </c>
      <c r="I484" s="4" t="str" cm="1">
        <f t="array" ref="I484">INDEX(Sheet1!E:E,$G484)</f>
        <v>A.1.a.iii</v>
      </c>
      <c r="J484" s="4" t="str" cm="1">
        <f t="array" ref="J484">IF($C484&gt;=25,INDEX(Sheet1!G:G,$G484),INDEX(Sheet1!F:F,$G484))</f>
        <v>AA8</v>
      </c>
      <c r="K484" s="4" cm="1">
        <f t="array" ref="K484">INDEX(Sheet1!H:H,$G484)</f>
        <v>1E-3</v>
      </c>
      <c r="L484" s="4">
        <f t="shared" si="28"/>
        <v>94</v>
      </c>
      <c r="M484" s="4">
        <f t="shared" si="29"/>
        <v>0</v>
      </c>
    </row>
    <row r="485" spans="1:13">
      <c r="A485" s="4" t="str" cm="1">
        <f t="array" ref="A485">INDEX(Sheet1!A:A,$F485)</f>
        <v>M</v>
      </c>
      <c r="B485" s="4" t="str" cm="1">
        <f t="array" ref="B485">INDEX(Sheet1!B:B,$F485)</f>
        <v>Non-Pref NS</v>
      </c>
      <c r="C485" s="4">
        <f t="shared" si="30"/>
        <v>120</v>
      </c>
      <c r="D485" s="5" cm="1">
        <f t="array" aca="1" ref="D485" ca="1">OFFSET(INDIRECT("'["&amp;$H485&amp;"]"&amp;$I485&amp;"'!"&amp;$J485),$L485,$M485)*$K485</f>
        <v>1</v>
      </c>
      <c r="F485" s="4">
        <f t="shared" si="31"/>
        <v>5</v>
      </c>
      <c r="G485" s="4" cm="1">
        <f t="array" ref="G485">IF($C485&gt;=25,F485,IF($C485&lt;16,INDEX(Sheet1!C:C,$F485),$F485))</f>
        <v>5</v>
      </c>
      <c r="H485" s="4" t="str" cm="1">
        <f t="array" ref="H485">INDEX(Sheet1!D:D,$G485)</f>
        <v>2001-cso-preferred-class-structure-mortality-tables.xls</v>
      </c>
      <c r="I485" s="4" t="str" cm="1">
        <f t="array" ref="I485">INDEX(Sheet1!E:E,$G485)</f>
        <v>A.1.a.iii</v>
      </c>
      <c r="J485" s="4" t="str" cm="1">
        <f t="array" ref="J485">IF($C485&gt;=25,INDEX(Sheet1!G:G,$G485),INDEX(Sheet1!F:F,$G485))</f>
        <v>AA8</v>
      </c>
      <c r="K485" s="4" cm="1">
        <f t="array" ref="K485">INDEX(Sheet1!H:H,$G485)</f>
        <v>1E-3</v>
      </c>
      <c r="L485" s="4">
        <f t="shared" si="28"/>
        <v>95</v>
      </c>
      <c r="M485" s="4">
        <f t="shared" si="29"/>
        <v>0</v>
      </c>
    </row>
    <row r="486" spans="1:13">
      <c r="A486" s="4" t="str" cm="1">
        <f t="array" ref="A486">INDEX(Sheet1!A:A,$F486)</f>
        <v>M</v>
      </c>
      <c r="B486" s="4" t="str" cm="1">
        <f t="array" ref="B486">INDEX(Sheet1!B:B,$F486)</f>
        <v>Undiff NS</v>
      </c>
      <c r="C486" s="4">
        <f t="shared" si="30"/>
        <v>0</v>
      </c>
      <c r="D486" s="5" cm="1">
        <f t="array" aca="1" ref="D486" ca="1">OFFSET(INDIRECT("'["&amp;$H486&amp;"]"&amp;$I486&amp;"'!"&amp;$J486),$L486,$M486)*$K486</f>
        <v>9.7000000000000005E-4</v>
      </c>
      <c r="F486" s="4">
        <f t="shared" si="31"/>
        <v>6</v>
      </c>
      <c r="G486" s="4" cm="1">
        <f t="array" ref="G486">IF($C486&gt;=25,F486,IF($C486&lt;16,INDEX(Sheet1!C:C,$F486),$F486))</f>
        <v>10</v>
      </c>
      <c r="H486" s="4" t="str" cm="1">
        <f t="array" ref="H486">INDEX(Sheet1!D:D,$G486)</f>
        <v>t1136.xlsx</v>
      </c>
      <c r="I486" s="4" t="str" cm="1">
        <f t="array" ref="I486">INDEX(Sheet1!E:E,$G486)</f>
        <v>Sheet1</v>
      </c>
      <c r="J486" s="4" t="str" cm="1">
        <f t="array" ref="J486">IF($C486&gt;=25,INDEX(Sheet1!G:G,$G486),INDEX(Sheet1!F:F,$G486))</f>
        <v>B25</v>
      </c>
      <c r="K486" s="4" cm="1">
        <f t="array" ref="K486">INDEX(Sheet1!H:H,$G486)</f>
        <v>1</v>
      </c>
      <c r="L486" s="4">
        <f t="shared" si="28"/>
        <v>0</v>
      </c>
      <c r="M486" s="4">
        <f t="shared" si="29"/>
        <v>0</v>
      </c>
    </row>
    <row r="487" spans="1:13">
      <c r="A487" s="4" t="str" cm="1">
        <f t="array" ref="A487">INDEX(Sheet1!A:A,$F487)</f>
        <v>M</v>
      </c>
      <c r="B487" s="4" t="str" cm="1">
        <f t="array" ref="B487">INDEX(Sheet1!B:B,$F487)</f>
        <v>Undiff NS</v>
      </c>
      <c r="C487" s="4">
        <f t="shared" si="30"/>
        <v>1</v>
      </c>
      <c r="D487" s="5" cm="1">
        <f t="array" aca="1" ref="D487" ca="1">OFFSET(INDIRECT("'["&amp;$H487&amp;"]"&amp;$I487&amp;"'!"&amp;$J487),$L487,$M487)*$K487</f>
        <v>5.5999999999999995E-4</v>
      </c>
      <c r="F487" s="4">
        <f t="shared" si="31"/>
        <v>6</v>
      </c>
      <c r="G487" s="4" cm="1">
        <f t="array" ref="G487">IF($C487&gt;=25,F487,IF($C487&lt;16,INDEX(Sheet1!C:C,$F487),$F487))</f>
        <v>10</v>
      </c>
      <c r="H487" s="4" t="str" cm="1">
        <f t="array" ref="H487">INDEX(Sheet1!D:D,$G487)</f>
        <v>t1136.xlsx</v>
      </c>
      <c r="I487" s="4" t="str" cm="1">
        <f t="array" ref="I487">INDEX(Sheet1!E:E,$G487)</f>
        <v>Sheet1</v>
      </c>
      <c r="J487" s="4" t="str" cm="1">
        <f t="array" ref="J487">IF($C487&gt;=25,INDEX(Sheet1!G:G,$G487),INDEX(Sheet1!F:F,$G487))</f>
        <v>B25</v>
      </c>
      <c r="K487" s="4" cm="1">
        <f t="array" ref="K487">INDEX(Sheet1!H:H,$G487)</f>
        <v>1</v>
      </c>
      <c r="L487" s="4">
        <f t="shared" si="28"/>
        <v>0</v>
      </c>
      <c r="M487" s="4">
        <f t="shared" si="29"/>
        <v>1</v>
      </c>
    </row>
    <row r="488" spans="1:13">
      <c r="A488" s="4" t="str" cm="1">
        <f t="array" ref="A488">INDEX(Sheet1!A:A,$F488)</f>
        <v>M</v>
      </c>
      <c r="B488" s="4" t="str" cm="1">
        <f t="array" ref="B488">INDEX(Sheet1!B:B,$F488)</f>
        <v>Undiff NS</v>
      </c>
      <c r="C488" s="4">
        <f t="shared" si="30"/>
        <v>2</v>
      </c>
      <c r="D488" s="5" cm="1">
        <f t="array" aca="1" ref="D488" ca="1">OFFSET(INDIRECT("'["&amp;$H488&amp;"]"&amp;$I488&amp;"'!"&amp;$J488),$L488,$M488)*$K488</f>
        <v>3.8999999999999999E-4</v>
      </c>
      <c r="F488" s="4">
        <f t="shared" si="31"/>
        <v>6</v>
      </c>
      <c r="G488" s="4" cm="1">
        <f t="array" ref="G488">IF($C488&gt;=25,F488,IF($C488&lt;16,INDEX(Sheet1!C:C,$F488),$F488))</f>
        <v>10</v>
      </c>
      <c r="H488" s="4" t="str" cm="1">
        <f t="array" ref="H488">INDEX(Sheet1!D:D,$G488)</f>
        <v>t1136.xlsx</v>
      </c>
      <c r="I488" s="4" t="str" cm="1">
        <f t="array" ref="I488">INDEX(Sheet1!E:E,$G488)</f>
        <v>Sheet1</v>
      </c>
      <c r="J488" s="4" t="str" cm="1">
        <f t="array" ref="J488">IF($C488&gt;=25,INDEX(Sheet1!G:G,$G488),INDEX(Sheet1!F:F,$G488))</f>
        <v>B25</v>
      </c>
      <c r="K488" s="4" cm="1">
        <f t="array" ref="K488">INDEX(Sheet1!H:H,$G488)</f>
        <v>1</v>
      </c>
      <c r="L488" s="4">
        <f t="shared" si="28"/>
        <v>0</v>
      </c>
      <c r="M488" s="4">
        <f t="shared" si="29"/>
        <v>2</v>
      </c>
    </row>
    <row r="489" spans="1:13">
      <c r="A489" s="4" t="str" cm="1">
        <f t="array" ref="A489">INDEX(Sheet1!A:A,$F489)</f>
        <v>M</v>
      </c>
      <c r="B489" s="4" t="str" cm="1">
        <f t="array" ref="B489">INDEX(Sheet1!B:B,$F489)</f>
        <v>Undiff NS</v>
      </c>
      <c r="C489" s="4">
        <f t="shared" si="30"/>
        <v>3</v>
      </c>
      <c r="D489" s="5" cm="1">
        <f t="array" aca="1" ref="D489" ca="1">OFFSET(INDIRECT("'["&amp;$H489&amp;"]"&amp;$I489&amp;"'!"&amp;$J489),$L489,$M489)*$K489</f>
        <v>2.7E-4</v>
      </c>
      <c r="F489" s="4">
        <f t="shared" si="31"/>
        <v>6</v>
      </c>
      <c r="G489" s="4" cm="1">
        <f t="array" ref="G489">IF($C489&gt;=25,F489,IF($C489&lt;16,INDEX(Sheet1!C:C,$F489),$F489))</f>
        <v>10</v>
      </c>
      <c r="H489" s="4" t="str" cm="1">
        <f t="array" ref="H489">INDEX(Sheet1!D:D,$G489)</f>
        <v>t1136.xlsx</v>
      </c>
      <c r="I489" s="4" t="str" cm="1">
        <f t="array" ref="I489">INDEX(Sheet1!E:E,$G489)</f>
        <v>Sheet1</v>
      </c>
      <c r="J489" s="4" t="str" cm="1">
        <f t="array" ref="J489">IF($C489&gt;=25,INDEX(Sheet1!G:G,$G489),INDEX(Sheet1!F:F,$G489))</f>
        <v>B25</v>
      </c>
      <c r="K489" s="4" cm="1">
        <f t="array" ref="K489">INDEX(Sheet1!H:H,$G489)</f>
        <v>1</v>
      </c>
      <c r="L489" s="4">
        <f t="shared" si="28"/>
        <v>0</v>
      </c>
      <c r="M489" s="4">
        <f t="shared" si="29"/>
        <v>3</v>
      </c>
    </row>
    <row r="490" spans="1:13">
      <c r="A490" s="4" t="str" cm="1">
        <f t="array" ref="A490">INDEX(Sheet1!A:A,$F490)</f>
        <v>M</v>
      </c>
      <c r="B490" s="4" t="str" cm="1">
        <f t="array" ref="B490">INDEX(Sheet1!B:B,$F490)</f>
        <v>Undiff NS</v>
      </c>
      <c r="C490" s="4">
        <f t="shared" si="30"/>
        <v>4</v>
      </c>
      <c r="D490" s="5" cm="1">
        <f t="array" aca="1" ref="D490" ca="1">OFFSET(INDIRECT("'["&amp;$H490&amp;"]"&amp;$I490&amp;"'!"&amp;$J490),$L490,$M490)*$K490</f>
        <v>2.1000000000000001E-4</v>
      </c>
      <c r="F490" s="4">
        <f t="shared" si="31"/>
        <v>6</v>
      </c>
      <c r="G490" s="4" cm="1">
        <f t="array" ref="G490">IF($C490&gt;=25,F490,IF($C490&lt;16,INDEX(Sheet1!C:C,$F490),$F490))</f>
        <v>10</v>
      </c>
      <c r="H490" s="4" t="str" cm="1">
        <f t="array" ref="H490">INDEX(Sheet1!D:D,$G490)</f>
        <v>t1136.xlsx</v>
      </c>
      <c r="I490" s="4" t="str" cm="1">
        <f t="array" ref="I490">INDEX(Sheet1!E:E,$G490)</f>
        <v>Sheet1</v>
      </c>
      <c r="J490" s="4" t="str" cm="1">
        <f t="array" ref="J490">IF($C490&gt;=25,INDEX(Sheet1!G:G,$G490),INDEX(Sheet1!F:F,$G490))</f>
        <v>B25</v>
      </c>
      <c r="K490" s="4" cm="1">
        <f t="array" ref="K490">INDEX(Sheet1!H:H,$G490)</f>
        <v>1</v>
      </c>
      <c r="L490" s="4">
        <f t="shared" si="28"/>
        <v>0</v>
      </c>
      <c r="M490" s="4">
        <f t="shared" si="29"/>
        <v>4</v>
      </c>
    </row>
    <row r="491" spans="1:13">
      <c r="A491" s="4" t="str" cm="1">
        <f t="array" ref="A491">INDEX(Sheet1!A:A,$F491)</f>
        <v>M</v>
      </c>
      <c r="B491" s="4" t="str" cm="1">
        <f t="array" ref="B491">INDEX(Sheet1!B:B,$F491)</f>
        <v>Undiff NS</v>
      </c>
      <c r="C491" s="4">
        <f t="shared" si="30"/>
        <v>5</v>
      </c>
      <c r="D491" s="5" cm="1">
        <f t="array" aca="1" ref="D491" ca="1">OFFSET(INDIRECT("'["&amp;$H491&amp;"]"&amp;$I491&amp;"'!"&amp;$J491),$L491,$M491)*$K491</f>
        <v>2.1000000000000001E-4</v>
      </c>
      <c r="F491" s="4">
        <f t="shared" si="31"/>
        <v>6</v>
      </c>
      <c r="G491" s="4" cm="1">
        <f t="array" ref="G491">IF($C491&gt;=25,F491,IF($C491&lt;16,INDEX(Sheet1!C:C,$F491),$F491))</f>
        <v>10</v>
      </c>
      <c r="H491" s="4" t="str" cm="1">
        <f t="array" ref="H491">INDEX(Sheet1!D:D,$G491)</f>
        <v>t1136.xlsx</v>
      </c>
      <c r="I491" s="4" t="str" cm="1">
        <f t="array" ref="I491">INDEX(Sheet1!E:E,$G491)</f>
        <v>Sheet1</v>
      </c>
      <c r="J491" s="4" t="str" cm="1">
        <f t="array" ref="J491">IF($C491&gt;=25,INDEX(Sheet1!G:G,$G491),INDEX(Sheet1!F:F,$G491))</f>
        <v>B25</v>
      </c>
      <c r="K491" s="4" cm="1">
        <f t="array" ref="K491">INDEX(Sheet1!H:H,$G491)</f>
        <v>1</v>
      </c>
      <c r="L491" s="4">
        <f t="shared" si="28"/>
        <v>0</v>
      </c>
      <c r="M491" s="4">
        <f t="shared" si="29"/>
        <v>5</v>
      </c>
    </row>
    <row r="492" spans="1:13">
      <c r="A492" s="4" t="str" cm="1">
        <f t="array" ref="A492">INDEX(Sheet1!A:A,$F492)</f>
        <v>M</v>
      </c>
      <c r="B492" s="4" t="str" cm="1">
        <f t="array" ref="B492">INDEX(Sheet1!B:B,$F492)</f>
        <v>Undiff NS</v>
      </c>
      <c r="C492" s="4">
        <f t="shared" si="30"/>
        <v>6</v>
      </c>
      <c r="D492" s="5" cm="1">
        <f t="array" aca="1" ref="D492" ca="1">OFFSET(INDIRECT("'["&amp;$H492&amp;"]"&amp;$I492&amp;"'!"&amp;$J492),$L492,$M492)*$K492</f>
        <v>2.2000000000000001E-4</v>
      </c>
      <c r="F492" s="4">
        <f t="shared" si="31"/>
        <v>6</v>
      </c>
      <c r="G492" s="4" cm="1">
        <f t="array" ref="G492">IF($C492&gt;=25,F492,IF($C492&lt;16,INDEX(Sheet1!C:C,$F492),$F492))</f>
        <v>10</v>
      </c>
      <c r="H492" s="4" t="str" cm="1">
        <f t="array" ref="H492">INDEX(Sheet1!D:D,$G492)</f>
        <v>t1136.xlsx</v>
      </c>
      <c r="I492" s="4" t="str" cm="1">
        <f t="array" ref="I492">INDEX(Sheet1!E:E,$G492)</f>
        <v>Sheet1</v>
      </c>
      <c r="J492" s="4" t="str" cm="1">
        <f t="array" ref="J492">IF($C492&gt;=25,INDEX(Sheet1!G:G,$G492),INDEX(Sheet1!F:F,$G492))</f>
        <v>B25</v>
      </c>
      <c r="K492" s="4" cm="1">
        <f t="array" ref="K492">INDEX(Sheet1!H:H,$G492)</f>
        <v>1</v>
      </c>
      <c r="L492" s="4">
        <f t="shared" si="28"/>
        <v>0</v>
      </c>
      <c r="M492" s="4">
        <f t="shared" si="29"/>
        <v>6</v>
      </c>
    </row>
    <row r="493" spans="1:13">
      <c r="A493" s="4" t="str" cm="1">
        <f t="array" ref="A493">INDEX(Sheet1!A:A,$F493)</f>
        <v>M</v>
      </c>
      <c r="B493" s="4" t="str" cm="1">
        <f t="array" ref="B493">INDEX(Sheet1!B:B,$F493)</f>
        <v>Undiff NS</v>
      </c>
      <c r="C493" s="4">
        <f t="shared" si="30"/>
        <v>7</v>
      </c>
      <c r="D493" s="5" cm="1">
        <f t="array" aca="1" ref="D493" ca="1">OFFSET(INDIRECT("'["&amp;$H493&amp;"]"&amp;$I493&amp;"'!"&amp;$J493),$L493,$M493)*$K493</f>
        <v>2.2000000000000001E-4</v>
      </c>
      <c r="F493" s="4">
        <f t="shared" si="31"/>
        <v>6</v>
      </c>
      <c r="G493" s="4" cm="1">
        <f t="array" ref="G493">IF($C493&gt;=25,F493,IF($C493&lt;16,INDEX(Sheet1!C:C,$F493),$F493))</f>
        <v>10</v>
      </c>
      <c r="H493" s="4" t="str" cm="1">
        <f t="array" ref="H493">INDEX(Sheet1!D:D,$G493)</f>
        <v>t1136.xlsx</v>
      </c>
      <c r="I493" s="4" t="str" cm="1">
        <f t="array" ref="I493">INDEX(Sheet1!E:E,$G493)</f>
        <v>Sheet1</v>
      </c>
      <c r="J493" s="4" t="str" cm="1">
        <f t="array" ref="J493">IF($C493&gt;=25,INDEX(Sheet1!G:G,$G493),INDEX(Sheet1!F:F,$G493))</f>
        <v>B25</v>
      </c>
      <c r="K493" s="4" cm="1">
        <f t="array" ref="K493">INDEX(Sheet1!H:H,$G493)</f>
        <v>1</v>
      </c>
      <c r="L493" s="4">
        <f t="shared" si="28"/>
        <v>0</v>
      </c>
      <c r="M493" s="4">
        <f t="shared" si="29"/>
        <v>7</v>
      </c>
    </row>
    <row r="494" spans="1:13">
      <c r="A494" s="4" t="str" cm="1">
        <f t="array" ref="A494">INDEX(Sheet1!A:A,$F494)</f>
        <v>M</v>
      </c>
      <c r="B494" s="4" t="str" cm="1">
        <f t="array" ref="B494">INDEX(Sheet1!B:B,$F494)</f>
        <v>Undiff NS</v>
      </c>
      <c r="C494" s="4">
        <f t="shared" si="30"/>
        <v>8</v>
      </c>
      <c r="D494" s="5" cm="1">
        <f t="array" aca="1" ref="D494" ca="1">OFFSET(INDIRECT("'["&amp;$H494&amp;"]"&amp;$I494&amp;"'!"&amp;$J494),$L494,$M494)*$K494</f>
        <v>2.2000000000000001E-4</v>
      </c>
      <c r="F494" s="4">
        <f t="shared" si="31"/>
        <v>6</v>
      </c>
      <c r="G494" s="4" cm="1">
        <f t="array" ref="G494">IF($C494&gt;=25,F494,IF($C494&lt;16,INDEX(Sheet1!C:C,$F494),$F494))</f>
        <v>10</v>
      </c>
      <c r="H494" s="4" t="str" cm="1">
        <f t="array" ref="H494">INDEX(Sheet1!D:D,$G494)</f>
        <v>t1136.xlsx</v>
      </c>
      <c r="I494" s="4" t="str" cm="1">
        <f t="array" ref="I494">INDEX(Sheet1!E:E,$G494)</f>
        <v>Sheet1</v>
      </c>
      <c r="J494" s="4" t="str" cm="1">
        <f t="array" ref="J494">IF($C494&gt;=25,INDEX(Sheet1!G:G,$G494),INDEX(Sheet1!F:F,$G494))</f>
        <v>B25</v>
      </c>
      <c r="K494" s="4" cm="1">
        <f t="array" ref="K494">INDEX(Sheet1!H:H,$G494)</f>
        <v>1</v>
      </c>
      <c r="L494" s="4">
        <f t="shared" si="28"/>
        <v>0</v>
      </c>
      <c r="M494" s="4">
        <f t="shared" si="29"/>
        <v>8</v>
      </c>
    </row>
    <row r="495" spans="1:13">
      <c r="A495" s="4" t="str" cm="1">
        <f t="array" ref="A495">INDEX(Sheet1!A:A,$F495)</f>
        <v>M</v>
      </c>
      <c r="B495" s="4" t="str" cm="1">
        <f t="array" ref="B495">INDEX(Sheet1!B:B,$F495)</f>
        <v>Undiff NS</v>
      </c>
      <c r="C495" s="4">
        <f t="shared" si="30"/>
        <v>9</v>
      </c>
      <c r="D495" s="5" cm="1">
        <f t="array" aca="1" ref="D495" ca="1">OFFSET(INDIRECT("'["&amp;$H495&amp;"]"&amp;$I495&amp;"'!"&amp;$J495),$L495,$M495)*$K495</f>
        <v>2.3000000000000001E-4</v>
      </c>
      <c r="F495" s="4">
        <f t="shared" si="31"/>
        <v>6</v>
      </c>
      <c r="G495" s="4" cm="1">
        <f t="array" ref="G495">IF($C495&gt;=25,F495,IF($C495&lt;16,INDEX(Sheet1!C:C,$F495),$F495))</f>
        <v>10</v>
      </c>
      <c r="H495" s="4" t="str" cm="1">
        <f t="array" ref="H495">INDEX(Sheet1!D:D,$G495)</f>
        <v>t1136.xlsx</v>
      </c>
      <c r="I495" s="4" t="str" cm="1">
        <f t="array" ref="I495">INDEX(Sheet1!E:E,$G495)</f>
        <v>Sheet1</v>
      </c>
      <c r="J495" s="4" t="str" cm="1">
        <f t="array" ref="J495">IF($C495&gt;=25,INDEX(Sheet1!G:G,$G495),INDEX(Sheet1!F:F,$G495))</f>
        <v>B25</v>
      </c>
      <c r="K495" s="4" cm="1">
        <f t="array" ref="K495">INDEX(Sheet1!H:H,$G495)</f>
        <v>1</v>
      </c>
      <c r="L495" s="4">
        <f t="shared" si="28"/>
        <v>0</v>
      </c>
      <c r="M495" s="4">
        <f t="shared" si="29"/>
        <v>9</v>
      </c>
    </row>
    <row r="496" spans="1:13">
      <c r="A496" s="4" t="str" cm="1">
        <f t="array" ref="A496">INDEX(Sheet1!A:A,$F496)</f>
        <v>M</v>
      </c>
      <c r="B496" s="4" t="str" cm="1">
        <f t="array" ref="B496">INDEX(Sheet1!B:B,$F496)</f>
        <v>Undiff NS</v>
      </c>
      <c r="C496" s="4">
        <f t="shared" si="30"/>
        <v>10</v>
      </c>
      <c r="D496" s="5" cm="1">
        <f t="array" aca="1" ref="D496" ca="1">OFFSET(INDIRECT("'["&amp;$H496&amp;"]"&amp;$I496&amp;"'!"&amp;$J496),$L496,$M496)*$K496</f>
        <v>2.3000000000000001E-4</v>
      </c>
      <c r="F496" s="4">
        <f t="shared" si="31"/>
        <v>6</v>
      </c>
      <c r="G496" s="4" cm="1">
        <f t="array" ref="G496">IF($C496&gt;=25,F496,IF($C496&lt;16,INDEX(Sheet1!C:C,$F496),$F496))</f>
        <v>10</v>
      </c>
      <c r="H496" s="4" t="str" cm="1">
        <f t="array" ref="H496">INDEX(Sheet1!D:D,$G496)</f>
        <v>t1136.xlsx</v>
      </c>
      <c r="I496" s="4" t="str" cm="1">
        <f t="array" ref="I496">INDEX(Sheet1!E:E,$G496)</f>
        <v>Sheet1</v>
      </c>
      <c r="J496" s="4" t="str" cm="1">
        <f t="array" ref="J496">IF($C496&gt;=25,INDEX(Sheet1!G:G,$G496),INDEX(Sheet1!F:F,$G496))</f>
        <v>B25</v>
      </c>
      <c r="K496" s="4" cm="1">
        <f t="array" ref="K496">INDEX(Sheet1!H:H,$G496)</f>
        <v>1</v>
      </c>
      <c r="L496" s="4">
        <f t="shared" si="28"/>
        <v>0</v>
      </c>
      <c r="M496" s="4">
        <f t="shared" si="29"/>
        <v>10</v>
      </c>
    </row>
    <row r="497" spans="1:13">
      <c r="A497" s="4" t="str" cm="1">
        <f t="array" ref="A497">INDEX(Sheet1!A:A,$F497)</f>
        <v>M</v>
      </c>
      <c r="B497" s="4" t="str" cm="1">
        <f t="array" ref="B497">INDEX(Sheet1!B:B,$F497)</f>
        <v>Undiff NS</v>
      </c>
      <c r="C497" s="4">
        <f t="shared" si="30"/>
        <v>11</v>
      </c>
      <c r="D497" s="5" cm="1">
        <f t="array" aca="1" ref="D497" ca="1">OFFSET(INDIRECT("'["&amp;$H497&amp;"]"&amp;$I497&amp;"'!"&amp;$J497),$L497,$M497)*$K497</f>
        <v>2.7E-4</v>
      </c>
      <c r="F497" s="4">
        <f t="shared" si="31"/>
        <v>6</v>
      </c>
      <c r="G497" s="4" cm="1">
        <f t="array" ref="G497">IF($C497&gt;=25,F497,IF($C497&lt;16,INDEX(Sheet1!C:C,$F497),$F497))</f>
        <v>10</v>
      </c>
      <c r="H497" s="4" t="str" cm="1">
        <f t="array" ref="H497">INDEX(Sheet1!D:D,$G497)</f>
        <v>t1136.xlsx</v>
      </c>
      <c r="I497" s="4" t="str" cm="1">
        <f t="array" ref="I497">INDEX(Sheet1!E:E,$G497)</f>
        <v>Sheet1</v>
      </c>
      <c r="J497" s="4" t="str" cm="1">
        <f t="array" ref="J497">IF($C497&gt;=25,INDEX(Sheet1!G:G,$G497),INDEX(Sheet1!F:F,$G497))</f>
        <v>B25</v>
      </c>
      <c r="K497" s="4" cm="1">
        <f t="array" ref="K497">INDEX(Sheet1!H:H,$G497)</f>
        <v>1</v>
      </c>
      <c r="L497" s="4">
        <f t="shared" si="28"/>
        <v>0</v>
      </c>
      <c r="M497" s="4">
        <f t="shared" si="29"/>
        <v>11</v>
      </c>
    </row>
    <row r="498" spans="1:13">
      <c r="A498" s="4" t="str" cm="1">
        <f t="array" ref="A498">INDEX(Sheet1!A:A,$F498)</f>
        <v>M</v>
      </c>
      <c r="B498" s="4" t="str" cm="1">
        <f t="array" ref="B498">INDEX(Sheet1!B:B,$F498)</f>
        <v>Undiff NS</v>
      </c>
      <c r="C498" s="4">
        <f t="shared" si="30"/>
        <v>12</v>
      </c>
      <c r="D498" s="5" cm="1">
        <f t="array" aca="1" ref="D498" ca="1">OFFSET(INDIRECT("'["&amp;$H498&amp;"]"&amp;$I498&amp;"'!"&amp;$J498),$L498,$M498)*$K498</f>
        <v>3.3E-4</v>
      </c>
      <c r="F498" s="4">
        <f t="shared" si="31"/>
        <v>6</v>
      </c>
      <c r="G498" s="4" cm="1">
        <f t="array" ref="G498">IF($C498&gt;=25,F498,IF($C498&lt;16,INDEX(Sheet1!C:C,$F498),$F498))</f>
        <v>10</v>
      </c>
      <c r="H498" s="4" t="str" cm="1">
        <f t="array" ref="H498">INDEX(Sheet1!D:D,$G498)</f>
        <v>t1136.xlsx</v>
      </c>
      <c r="I498" s="4" t="str" cm="1">
        <f t="array" ref="I498">INDEX(Sheet1!E:E,$G498)</f>
        <v>Sheet1</v>
      </c>
      <c r="J498" s="4" t="str" cm="1">
        <f t="array" ref="J498">IF($C498&gt;=25,INDEX(Sheet1!G:G,$G498),INDEX(Sheet1!F:F,$G498))</f>
        <v>B25</v>
      </c>
      <c r="K498" s="4" cm="1">
        <f t="array" ref="K498">INDEX(Sheet1!H:H,$G498)</f>
        <v>1</v>
      </c>
      <c r="L498" s="4">
        <f t="shared" si="28"/>
        <v>0</v>
      </c>
      <c r="M498" s="4">
        <f t="shared" si="29"/>
        <v>12</v>
      </c>
    </row>
    <row r="499" spans="1:13">
      <c r="A499" s="4" t="str" cm="1">
        <f t="array" ref="A499">INDEX(Sheet1!A:A,$F499)</f>
        <v>M</v>
      </c>
      <c r="B499" s="4" t="str" cm="1">
        <f t="array" ref="B499">INDEX(Sheet1!B:B,$F499)</f>
        <v>Undiff NS</v>
      </c>
      <c r="C499" s="4">
        <f t="shared" si="30"/>
        <v>13</v>
      </c>
      <c r="D499" s="5" cm="1">
        <f t="array" aca="1" ref="D499" ca="1">OFFSET(INDIRECT("'["&amp;$H499&amp;"]"&amp;$I499&amp;"'!"&amp;$J499),$L499,$M499)*$K499</f>
        <v>3.8999999999999999E-4</v>
      </c>
      <c r="F499" s="4">
        <f t="shared" si="31"/>
        <v>6</v>
      </c>
      <c r="G499" s="4" cm="1">
        <f t="array" ref="G499">IF($C499&gt;=25,F499,IF($C499&lt;16,INDEX(Sheet1!C:C,$F499),$F499))</f>
        <v>10</v>
      </c>
      <c r="H499" s="4" t="str" cm="1">
        <f t="array" ref="H499">INDEX(Sheet1!D:D,$G499)</f>
        <v>t1136.xlsx</v>
      </c>
      <c r="I499" s="4" t="str" cm="1">
        <f t="array" ref="I499">INDEX(Sheet1!E:E,$G499)</f>
        <v>Sheet1</v>
      </c>
      <c r="J499" s="4" t="str" cm="1">
        <f t="array" ref="J499">IF($C499&gt;=25,INDEX(Sheet1!G:G,$G499),INDEX(Sheet1!F:F,$G499))</f>
        <v>B25</v>
      </c>
      <c r="K499" s="4" cm="1">
        <f t="array" ref="K499">INDEX(Sheet1!H:H,$G499)</f>
        <v>1</v>
      </c>
      <c r="L499" s="4">
        <f t="shared" si="28"/>
        <v>0</v>
      </c>
      <c r="M499" s="4">
        <f t="shared" si="29"/>
        <v>13</v>
      </c>
    </row>
    <row r="500" spans="1:13">
      <c r="A500" s="4" t="str" cm="1">
        <f t="array" ref="A500">INDEX(Sheet1!A:A,$F500)</f>
        <v>M</v>
      </c>
      <c r="B500" s="4" t="str" cm="1">
        <f t="array" ref="B500">INDEX(Sheet1!B:B,$F500)</f>
        <v>Undiff NS</v>
      </c>
      <c r="C500" s="4">
        <f t="shared" si="30"/>
        <v>14</v>
      </c>
      <c r="D500" s="5" cm="1">
        <f t="array" aca="1" ref="D500" ca="1">OFFSET(INDIRECT("'["&amp;$H500&amp;"]"&amp;$I500&amp;"'!"&amp;$J500),$L500,$M500)*$K500</f>
        <v>4.6999999999999999E-4</v>
      </c>
      <c r="F500" s="4">
        <f t="shared" si="31"/>
        <v>6</v>
      </c>
      <c r="G500" s="4" cm="1">
        <f t="array" ref="G500">IF($C500&gt;=25,F500,IF($C500&lt;16,INDEX(Sheet1!C:C,$F500),$F500))</f>
        <v>10</v>
      </c>
      <c r="H500" s="4" t="str" cm="1">
        <f t="array" ref="H500">INDEX(Sheet1!D:D,$G500)</f>
        <v>t1136.xlsx</v>
      </c>
      <c r="I500" s="4" t="str" cm="1">
        <f t="array" ref="I500">INDEX(Sheet1!E:E,$G500)</f>
        <v>Sheet1</v>
      </c>
      <c r="J500" s="4" t="str" cm="1">
        <f t="array" ref="J500">IF($C500&gt;=25,INDEX(Sheet1!G:G,$G500),INDEX(Sheet1!F:F,$G500))</f>
        <v>B25</v>
      </c>
      <c r="K500" s="4" cm="1">
        <f t="array" ref="K500">INDEX(Sheet1!H:H,$G500)</f>
        <v>1</v>
      </c>
      <c r="L500" s="4">
        <f t="shared" si="28"/>
        <v>0</v>
      </c>
      <c r="M500" s="4">
        <f t="shared" si="29"/>
        <v>14</v>
      </c>
    </row>
    <row r="501" spans="1:13">
      <c r="A501" s="4" t="str" cm="1">
        <f t="array" ref="A501">INDEX(Sheet1!A:A,$F501)</f>
        <v>M</v>
      </c>
      <c r="B501" s="4" t="str" cm="1">
        <f t="array" ref="B501">INDEX(Sheet1!B:B,$F501)</f>
        <v>Undiff NS</v>
      </c>
      <c r="C501" s="4">
        <f t="shared" si="30"/>
        <v>15</v>
      </c>
      <c r="D501" s="5" cm="1">
        <f t="array" aca="1" ref="D501" ca="1">OFFSET(INDIRECT("'["&amp;$H501&amp;"]"&amp;$I501&amp;"'!"&amp;$J501),$L501,$M501)*$K501</f>
        <v>6.0999999999999997E-4</v>
      </c>
      <c r="F501" s="4">
        <f t="shared" si="31"/>
        <v>6</v>
      </c>
      <c r="G501" s="4" cm="1">
        <f t="array" ref="G501">IF($C501&gt;=25,F501,IF($C501&lt;16,INDEX(Sheet1!C:C,$F501),$F501))</f>
        <v>10</v>
      </c>
      <c r="H501" s="4" t="str" cm="1">
        <f t="array" ref="H501">INDEX(Sheet1!D:D,$G501)</f>
        <v>t1136.xlsx</v>
      </c>
      <c r="I501" s="4" t="str" cm="1">
        <f t="array" ref="I501">INDEX(Sheet1!E:E,$G501)</f>
        <v>Sheet1</v>
      </c>
      <c r="J501" s="4" t="str" cm="1">
        <f t="array" ref="J501">IF($C501&gt;=25,INDEX(Sheet1!G:G,$G501),INDEX(Sheet1!F:F,$G501))</f>
        <v>B25</v>
      </c>
      <c r="K501" s="4" cm="1">
        <f t="array" ref="K501">INDEX(Sheet1!H:H,$G501)</f>
        <v>1</v>
      </c>
      <c r="L501" s="4">
        <f t="shared" si="28"/>
        <v>0</v>
      </c>
      <c r="M501" s="4">
        <f t="shared" si="29"/>
        <v>15</v>
      </c>
    </row>
    <row r="502" spans="1:13">
      <c r="A502" s="4" t="str" cm="1">
        <f t="array" ref="A502">INDEX(Sheet1!A:A,$F502)</f>
        <v>M</v>
      </c>
      <c r="B502" s="4" t="str" cm="1">
        <f t="array" ref="B502">INDEX(Sheet1!B:B,$F502)</f>
        <v>Undiff NS</v>
      </c>
      <c r="C502" s="4">
        <f t="shared" si="30"/>
        <v>16</v>
      </c>
      <c r="D502" s="5" cm="1">
        <f t="array" aca="1" ref="D502" ca="1">OFFSET(INDIRECT("'["&amp;$H502&amp;"]"&amp;$I502&amp;"'!"&amp;$J502),$L502,$M502)*$K502</f>
        <v>7.3999999999999999E-4</v>
      </c>
      <c r="F502" s="4">
        <f t="shared" si="31"/>
        <v>6</v>
      </c>
      <c r="G502" s="4" cm="1">
        <f t="array" ref="G502">IF($C502&gt;=25,F502,IF($C502&lt;16,INDEX(Sheet1!C:C,$F502),$F502))</f>
        <v>6</v>
      </c>
      <c r="H502" s="4" t="str" cm="1">
        <f t="array" ref="H502">INDEX(Sheet1!D:D,$G502)</f>
        <v>t1137.xlsx</v>
      </c>
      <c r="I502" s="4" t="str" cm="1">
        <f t="array" ref="I502">INDEX(Sheet1!E:E,$G502)</f>
        <v>Sheet1</v>
      </c>
      <c r="J502" s="4" t="str" cm="1">
        <f t="array" ref="J502">IF($C502&gt;=25,INDEX(Sheet1!G:G,$G502),INDEX(Sheet1!F:F,$G502))</f>
        <v>B25</v>
      </c>
      <c r="K502" s="4" cm="1">
        <f t="array" ref="K502">INDEX(Sheet1!H:H,$G502)</f>
        <v>1</v>
      </c>
      <c r="L502" s="4">
        <f t="shared" si="28"/>
        <v>0</v>
      </c>
      <c r="M502" s="4">
        <f t="shared" si="29"/>
        <v>16</v>
      </c>
    </row>
    <row r="503" spans="1:13">
      <c r="A503" s="4" t="str" cm="1">
        <f t="array" ref="A503">INDEX(Sheet1!A:A,$F503)</f>
        <v>M</v>
      </c>
      <c r="B503" s="4" t="str" cm="1">
        <f t="array" ref="B503">INDEX(Sheet1!B:B,$F503)</f>
        <v>Undiff NS</v>
      </c>
      <c r="C503" s="4">
        <f t="shared" si="30"/>
        <v>17</v>
      </c>
      <c r="D503" s="5" cm="1">
        <f t="array" aca="1" ref="D503" ca="1">OFFSET(INDIRECT("'["&amp;$H503&amp;"]"&amp;$I503&amp;"'!"&amp;$J503),$L503,$M503)*$K503</f>
        <v>8.4999999999999995E-4</v>
      </c>
      <c r="F503" s="4">
        <f t="shared" si="31"/>
        <v>6</v>
      </c>
      <c r="G503" s="4" cm="1">
        <f t="array" ref="G503">IF($C503&gt;=25,F503,IF($C503&lt;16,INDEX(Sheet1!C:C,$F503),$F503))</f>
        <v>6</v>
      </c>
      <c r="H503" s="4" t="str" cm="1">
        <f t="array" ref="H503">INDEX(Sheet1!D:D,$G503)</f>
        <v>t1137.xlsx</v>
      </c>
      <c r="I503" s="4" t="str" cm="1">
        <f t="array" ref="I503">INDEX(Sheet1!E:E,$G503)</f>
        <v>Sheet1</v>
      </c>
      <c r="J503" s="4" t="str" cm="1">
        <f t="array" ref="J503">IF($C503&gt;=25,INDEX(Sheet1!G:G,$G503),INDEX(Sheet1!F:F,$G503))</f>
        <v>B25</v>
      </c>
      <c r="K503" s="4" cm="1">
        <f t="array" ref="K503">INDEX(Sheet1!H:H,$G503)</f>
        <v>1</v>
      </c>
      <c r="L503" s="4">
        <f t="shared" si="28"/>
        <v>0</v>
      </c>
      <c r="M503" s="4">
        <f t="shared" si="29"/>
        <v>17</v>
      </c>
    </row>
    <row r="504" spans="1:13">
      <c r="A504" s="4" t="str" cm="1">
        <f t="array" ref="A504">INDEX(Sheet1!A:A,$F504)</f>
        <v>M</v>
      </c>
      <c r="B504" s="4" t="str" cm="1">
        <f t="array" ref="B504">INDEX(Sheet1!B:B,$F504)</f>
        <v>Undiff NS</v>
      </c>
      <c r="C504" s="4">
        <f t="shared" si="30"/>
        <v>18</v>
      </c>
      <c r="D504" s="5" cm="1">
        <f t="array" aca="1" ref="D504" ca="1">OFFSET(INDIRECT("'["&amp;$H504&amp;"]"&amp;$I504&amp;"'!"&amp;$J504),$L504,$M504)*$K504</f>
        <v>9.2000000000000003E-4</v>
      </c>
      <c r="F504" s="4">
        <f t="shared" si="31"/>
        <v>6</v>
      </c>
      <c r="G504" s="4" cm="1">
        <f t="array" ref="G504">IF($C504&gt;=25,F504,IF($C504&lt;16,INDEX(Sheet1!C:C,$F504),$F504))</f>
        <v>6</v>
      </c>
      <c r="H504" s="4" t="str" cm="1">
        <f t="array" ref="H504">INDEX(Sheet1!D:D,$G504)</f>
        <v>t1137.xlsx</v>
      </c>
      <c r="I504" s="4" t="str" cm="1">
        <f t="array" ref="I504">INDEX(Sheet1!E:E,$G504)</f>
        <v>Sheet1</v>
      </c>
      <c r="J504" s="4" t="str" cm="1">
        <f t="array" ref="J504">IF($C504&gt;=25,INDEX(Sheet1!G:G,$G504),INDEX(Sheet1!F:F,$G504))</f>
        <v>B25</v>
      </c>
      <c r="K504" s="4" cm="1">
        <f t="array" ref="K504">INDEX(Sheet1!H:H,$G504)</f>
        <v>1</v>
      </c>
      <c r="L504" s="4">
        <f t="shared" si="28"/>
        <v>0</v>
      </c>
      <c r="M504" s="4">
        <f t="shared" si="29"/>
        <v>18</v>
      </c>
    </row>
    <row r="505" spans="1:13">
      <c r="A505" s="4" t="str" cm="1">
        <f t="array" ref="A505">INDEX(Sheet1!A:A,$F505)</f>
        <v>M</v>
      </c>
      <c r="B505" s="4" t="str" cm="1">
        <f t="array" ref="B505">INDEX(Sheet1!B:B,$F505)</f>
        <v>Undiff NS</v>
      </c>
      <c r="C505" s="4">
        <f t="shared" si="30"/>
        <v>19</v>
      </c>
      <c r="D505" s="5" cm="1">
        <f t="array" aca="1" ref="D505" ca="1">OFFSET(INDIRECT("'["&amp;$H505&amp;"]"&amp;$I505&amp;"'!"&amp;$J505),$L505,$M505)*$K505</f>
        <v>9.3999999999999997E-4</v>
      </c>
      <c r="F505" s="4">
        <f t="shared" si="31"/>
        <v>6</v>
      </c>
      <c r="G505" s="4" cm="1">
        <f t="array" ref="G505">IF($C505&gt;=25,F505,IF($C505&lt;16,INDEX(Sheet1!C:C,$F505),$F505))</f>
        <v>6</v>
      </c>
      <c r="H505" s="4" t="str" cm="1">
        <f t="array" ref="H505">INDEX(Sheet1!D:D,$G505)</f>
        <v>t1137.xlsx</v>
      </c>
      <c r="I505" s="4" t="str" cm="1">
        <f t="array" ref="I505">INDEX(Sheet1!E:E,$G505)</f>
        <v>Sheet1</v>
      </c>
      <c r="J505" s="4" t="str" cm="1">
        <f t="array" ref="J505">IF($C505&gt;=25,INDEX(Sheet1!G:G,$G505),INDEX(Sheet1!F:F,$G505))</f>
        <v>B25</v>
      </c>
      <c r="K505" s="4" cm="1">
        <f t="array" ref="K505">INDEX(Sheet1!H:H,$G505)</f>
        <v>1</v>
      </c>
      <c r="L505" s="4">
        <f t="shared" si="28"/>
        <v>0</v>
      </c>
      <c r="M505" s="4">
        <f t="shared" si="29"/>
        <v>19</v>
      </c>
    </row>
    <row r="506" spans="1:13">
      <c r="A506" s="4" t="str" cm="1">
        <f t="array" ref="A506">INDEX(Sheet1!A:A,$F506)</f>
        <v>M</v>
      </c>
      <c r="B506" s="4" t="str" cm="1">
        <f t="array" ref="B506">INDEX(Sheet1!B:B,$F506)</f>
        <v>Undiff NS</v>
      </c>
      <c r="C506" s="4">
        <f t="shared" si="30"/>
        <v>20</v>
      </c>
      <c r="D506" s="5" cm="1">
        <f t="array" aca="1" ref="D506" ca="1">OFFSET(INDIRECT("'["&amp;$H506&amp;"]"&amp;$I506&amp;"'!"&amp;$J506),$L506,$M506)*$K506</f>
        <v>9.5E-4</v>
      </c>
      <c r="F506" s="4">
        <f t="shared" si="31"/>
        <v>6</v>
      </c>
      <c r="G506" s="4" cm="1">
        <f t="array" ref="G506">IF($C506&gt;=25,F506,IF($C506&lt;16,INDEX(Sheet1!C:C,$F506),$F506))</f>
        <v>6</v>
      </c>
      <c r="H506" s="4" t="str" cm="1">
        <f t="array" ref="H506">INDEX(Sheet1!D:D,$G506)</f>
        <v>t1137.xlsx</v>
      </c>
      <c r="I506" s="4" t="str" cm="1">
        <f t="array" ref="I506">INDEX(Sheet1!E:E,$G506)</f>
        <v>Sheet1</v>
      </c>
      <c r="J506" s="4" t="str" cm="1">
        <f t="array" ref="J506">IF($C506&gt;=25,INDEX(Sheet1!G:G,$G506),INDEX(Sheet1!F:F,$G506))</f>
        <v>B25</v>
      </c>
      <c r="K506" s="4" cm="1">
        <f t="array" ref="K506">INDEX(Sheet1!H:H,$G506)</f>
        <v>1</v>
      </c>
      <c r="L506" s="4">
        <f t="shared" si="28"/>
        <v>0</v>
      </c>
      <c r="M506" s="4">
        <f t="shared" si="29"/>
        <v>20</v>
      </c>
    </row>
    <row r="507" spans="1:13">
      <c r="A507" s="4" t="str" cm="1">
        <f t="array" ref="A507">INDEX(Sheet1!A:A,$F507)</f>
        <v>M</v>
      </c>
      <c r="B507" s="4" t="str" cm="1">
        <f t="array" ref="B507">INDEX(Sheet1!B:B,$F507)</f>
        <v>Undiff NS</v>
      </c>
      <c r="C507" s="4">
        <f t="shared" si="30"/>
        <v>21</v>
      </c>
      <c r="D507" s="5" cm="1">
        <f t="array" aca="1" ref="D507" ca="1">OFFSET(INDIRECT("'["&amp;$H507&amp;"]"&amp;$I507&amp;"'!"&amp;$J507),$L507,$M507)*$K507</f>
        <v>9.5E-4</v>
      </c>
      <c r="F507" s="4">
        <f t="shared" si="31"/>
        <v>6</v>
      </c>
      <c r="G507" s="4" cm="1">
        <f t="array" ref="G507">IF($C507&gt;=25,F507,IF($C507&lt;16,INDEX(Sheet1!C:C,$F507),$F507))</f>
        <v>6</v>
      </c>
      <c r="H507" s="4" t="str" cm="1">
        <f t="array" ref="H507">INDEX(Sheet1!D:D,$G507)</f>
        <v>t1137.xlsx</v>
      </c>
      <c r="I507" s="4" t="str" cm="1">
        <f t="array" ref="I507">INDEX(Sheet1!E:E,$G507)</f>
        <v>Sheet1</v>
      </c>
      <c r="J507" s="4" t="str" cm="1">
        <f t="array" ref="J507">IF($C507&gt;=25,INDEX(Sheet1!G:G,$G507),INDEX(Sheet1!F:F,$G507))</f>
        <v>B25</v>
      </c>
      <c r="K507" s="4" cm="1">
        <f t="array" ref="K507">INDEX(Sheet1!H:H,$G507)</f>
        <v>1</v>
      </c>
      <c r="L507" s="4">
        <f t="shared" si="28"/>
        <v>0</v>
      </c>
      <c r="M507" s="4">
        <f t="shared" si="29"/>
        <v>21</v>
      </c>
    </row>
    <row r="508" spans="1:13">
      <c r="A508" s="4" t="str" cm="1">
        <f t="array" ref="A508">INDEX(Sheet1!A:A,$F508)</f>
        <v>M</v>
      </c>
      <c r="B508" s="4" t="str" cm="1">
        <f t="array" ref="B508">INDEX(Sheet1!B:B,$F508)</f>
        <v>Undiff NS</v>
      </c>
      <c r="C508" s="4">
        <f t="shared" si="30"/>
        <v>22</v>
      </c>
      <c r="D508" s="5" cm="1">
        <f t="array" aca="1" ref="D508" ca="1">OFFSET(INDIRECT("'["&amp;$H508&amp;"]"&amp;$I508&amp;"'!"&amp;$J508),$L508,$M508)*$K508</f>
        <v>9.5E-4</v>
      </c>
      <c r="F508" s="4">
        <f t="shared" si="31"/>
        <v>6</v>
      </c>
      <c r="G508" s="4" cm="1">
        <f t="array" ref="G508">IF($C508&gt;=25,F508,IF($C508&lt;16,INDEX(Sheet1!C:C,$F508),$F508))</f>
        <v>6</v>
      </c>
      <c r="H508" s="4" t="str" cm="1">
        <f t="array" ref="H508">INDEX(Sheet1!D:D,$G508)</f>
        <v>t1137.xlsx</v>
      </c>
      <c r="I508" s="4" t="str" cm="1">
        <f t="array" ref="I508">INDEX(Sheet1!E:E,$G508)</f>
        <v>Sheet1</v>
      </c>
      <c r="J508" s="4" t="str" cm="1">
        <f t="array" ref="J508">IF($C508&gt;=25,INDEX(Sheet1!G:G,$G508),INDEX(Sheet1!F:F,$G508))</f>
        <v>B25</v>
      </c>
      <c r="K508" s="4" cm="1">
        <f t="array" ref="K508">INDEX(Sheet1!H:H,$G508)</f>
        <v>1</v>
      </c>
      <c r="L508" s="4">
        <f t="shared" si="28"/>
        <v>0</v>
      </c>
      <c r="M508" s="4">
        <f t="shared" si="29"/>
        <v>22</v>
      </c>
    </row>
    <row r="509" spans="1:13">
      <c r="A509" s="4" t="str" cm="1">
        <f t="array" ref="A509">INDEX(Sheet1!A:A,$F509)</f>
        <v>M</v>
      </c>
      <c r="B509" s="4" t="str" cm="1">
        <f t="array" ref="B509">INDEX(Sheet1!B:B,$F509)</f>
        <v>Undiff NS</v>
      </c>
      <c r="C509" s="4">
        <f t="shared" si="30"/>
        <v>23</v>
      </c>
      <c r="D509" s="5" cm="1">
        <f t="array" aca="1" ref="D509" ca="1">OFFSET(INDIRECT("'["&amp;$H509&amp;"]"&amp;$I509&amp;"'!"&amp;$J509),$L509,$M509)*$K509</f>
        <v>9.6000000000000002E-4</v>
      </c>
      <c r="F509" s="4">
        <f t="shared" si="31"/>
        <v>6</v>
      </c>
      <c r="G509" s="4" cm="1">
        <f t="array" ref="G509">IF($C509&gt;=25,F509,IF($C509&lt;16,INDEX(Sheet1!C:C,$F509),$F509))</f>
        <v>6</v>
      </c>
      <c r="H509" s="4" t="str" cm="1">
        <f t="array" ref="H509">INDEX(Sheet1!D:D,$G509)</f>
        <v>t1137.xlsx</v>
      </c>
      <c r="I509" s="4" t="str" cm="1">
        <f t="array" ref="I509">INDEX(Sheet1!E:E,$G509)</f>
        <v>Sheet1</v>
      </c>
      <c r="J509" s="4" t="str" cm="1">
        <f t="array" ref="J509">IF($C509&gt;=25,INDEX(Sheet1!G:G,$G509),INDEX(Sheet1!F:F,$G509))</f>
        <v>B25</v>
      </c>
      <c r="K509" s="4" cm="1">
        <f t="array" ref="K509">INDEX(Sheet1!H:H,$G509)</f>
        <v>1</v>
      </c>
      <c r="L509" s="4">
        <f t="shared" si="28"/>
        <v>0</v>
      </c>
      <c r="M509" s="4">
        <f t="shared" si="29"/>
        <v>23</v>
      </c>
    </row>
    <row r="510" spans="1:13">
      <c r="A510" s="4" t="str" cm="1">
        <f t="array" ref="A510">INDEX(Sheet1!A:A,$F510)</f>
        <v>M</v>
      </c>
      <c r="B510" s="4" t="str" cm="1">
        <f t="array" ref="B510">INDEX(Sheet1!B:B,$F510)</f>
        <v>Undiff NS</v>
      </c>
      <c r="C510" s="4">
        <f t="shared" si="30"/>
        <v>24</v>
      </c>
      <c r="D510" s="5" cm="1">
        <f t="array" aca="1" ref="D510" ca="1">OFFSET(INDIRECT("'["&amp;$H510&amp;"]"&amp;$I510&amp;"'!"&amp;$J510),$L510,$M510)*$K510</f>
        <v>9.7000000000000005E-4</v>
      </c>
      <c r="F510" s="4">
        <f t="shared" si="31"/>
        <v>6</v>
      </c>
      <c r="G510" s="4" cm="1">
        <f t="array" ref="G510">IF($C510&gt;=25,F510,IF($C510&lt;16,INDEX(Sheet1!C:C,$F510),$F510))</f>
        <v>6</v>
      </c>
      <c r="H510" s="4" t="str" cm="1">
        <f t="array" ref="H510">INDEX(Sheet1!D:D,$G510)</f>
        <v>t1137.xlsx</v>
      </c>
      <c r="I510" s="4" t="str" cm="1">
        <f t="array" ref="I510">INDEX(Sheet1!E:E,$G510)</f>
        <v>Sheet1</v>
      </c>
      <c r="J510" s="4" t="str" cm="1">
        <f t="array" ref="J510">IF($C510&gt;=25,INDEX(Sheet1!G:G,$G510),INDEX(Sheet1!F:F,$G510))</f>
        <v>B25</v>
      </c>
      <c r="K510" s="4" cm="1">
        <f t="array" ref="K510">INDEX(Sheet1!H:H,$G510)</f>
        <v>1</v>
      </c>
      <c r="L510" s="4">
        <f t="shared" si="28"/>
        <v>0</v>
      </c>
      <c r="M510" s="4">
        <f t="shared" si="29"/>
        <v>24</v>
      </c>
    </row>
    <row r="511" spans="1:13">
      <c r="A511" s="4" t="str" cm="1">
        <f t="array" ref="A511">INDEX(Sheet1!A:A,$F511)</f>
        <v>M</v>
      </c>
      <c r="B511" s="4" t="str" cm="1">
        <f t="array" ref="B511">INDEX(Sheet1!B:B,$F511)</f>
        <v>Undiff NS</v>
      </c>
      <c r="C511" s="4">
        <f t="shared" si="30"/>
        <v>25</v>
      </c>
      <c r="D511" s="5" cm="1">
        <f t="array" aca="1" ref="D511" ca="1">OFFSET(INDIRECT("'["&amp;$H511&amp;"]"&amp;$I511&amp;"'!"&amp;$J511),$L511,$M511)*$K511</f>
        <v>9.7999999999999997E-4</v>
      </c>
      <c r="F511" s="4">
        <f t="shared" si="31"/>
        <v>6</v>
      </c>
      <c r="G511" s="4" cm="1">
        <f t="array" ref="G511">IF($C511&gt;=25,F511,IF($C511&lt;16,INDEX(Sheet1!C:C,$F511),$F511))</f>
        <v>6</v>
      </c>
      <c r="H511" s="4" t="str" cm="1">
        <f t="array" ref="H511">INDEX(Sheet1!D:D,$G511)</f>
        <v>t1137.xlsx</v>
      </c>
      <c r="I511" s="4" t="str" cm="1">
        <f t="array" ref="I511">INDEX(Sheet1!E:E,$G511)</f>
        <v>Sheet1</v>
      </c>
      <c r="J511" s="4" t="str" cm="1">
        <f t="array" ref="J511">IF($C511&gt;=25,INDEX(Sheet1!G:G,$G511),INDEX(Sheet1!F:F,$G511))</f>
        <v>B139</v>
      </c>
      <c r="K511" s="4" cm="1">
        <f t="array" ref="K511">INDEX(Sheet1!H:H,$G511)</f>
        <v>1</v>
      </c>
      <c r="L511" s="4">
        <f t="shared" si="28"/>
        <v>0</v>
      </c>
      <c r="M511" s="4">
        <f t="shared" si="29"/>
        <v>0</v>
      </c>
    </row>
    <row r="512" spans="1:13">
      <c r="A512" s="4" t="str" cm="1">
        <f t="array" ref="A512">INDEX(Sheet1!A:A,$F512)</f>
        <v>M</v>
      </c>
      <c r="B512" s="4" t="str" cm="1">
        <f t="array" ref="B512">INDEX(Sheet1!B:B,$F512)</f>
        <v>Undiff NS</v>
      </c>
      <c r="C512" s="4">
        <f t="shared" si="30"/>
        <v>26</v>
      </c>
      <c r="D512" s="5" cm="1">
        <f t="array" aca="1" ref="D512" ca="1">OFFSET(INDIRECT("'["&amp;$H512&amp;"]"&amp;$I512&amp;"'!"&amp;$J512),$L512,$M512)*$K512</f>
        <v>1.0200000000000001E-3</v>
      </c>
      <c r="F512" s="4">
        <f t="shared" si="31"/>
        <v>6</v>
      </c>
      <c r="G512" s="4" cm="1">
        <f t="array" ref="G512">IF($C512&gt;=25,F512,IF($C512&lt;16,INDEX(Sheet1!C:C,$F512),$F512))</f>
        <v>6</v>
      </c>
      <c r="H512" s="4" t="str" cm="1">
        <f t="array" ref="H512">INDEX(Sheet1!D:D,$G512)</f>
        <v>t1137.xlsx</v>
      </c>
      <c r="I512" s="4" t="str" cm="1">
        <f t="array" ref="I512">INDEX(Sheet1!E:E,$G512)</f>
        <v>Sheet1</v>
      </c>
      <c r="J512" s="4" t="str" cm="1">
        <f t="array" ref="J512">IF($C512&gt;=25,INDEX(Sheet1!G:G,$G512),INDEX(Sheet1!F:F,$G512))</f>
        <v>B139</v>
      </c>
      <c r="K512" s="4" cm="1">
        <f t="array" ref="K512">INDEX(Sheet1!H:H,$G512)</f>
        <v>1</v>
      </c>
      <c r="L512" s="4">
        <f t="shared" si="28"/>
        <v>1</v>
      </c>
      <c r="M512" s="4">
        <f t="shared" si="29"/>
        <v>0</v>
      </c>
    </row>
    <row r="513" spans="1:13">
      <c r="A513" s="4" t="str" cm="1">
        <f t="array" ref="A513">INDEX(Sheet1!A:A,$F513)</f>
        <v>M</v>
      </c>
      <c r="B513" s="4" t="str" cm="1">
        <f t="array" ref="B513">INDEX(Sheet1!B:B,$F513)</f>
        <v>Undiff NS</v>
      </c>
      <c r="C513" s="4">
        <f t="shared" si="30"/>
        <v>27</v>
      </c>
      <c r="D513" s="5" cm="1">
        <f t="array" aca="1" ref="D513" ca="1">OFFSET(INDIRECT("'["&amp;$H513&amp;"]"&amp;$I513&amp;"'!"&amp;$J513),$L513,$M513)*$K513</f>
        <v>1.07E-3</v>
      </c>
      <c r="F513" s="4">
        <f t="shared" si="31"/>
        <v>6</v>
      </c>
      <c r="G513" s="4" cm="1">
        <f t="array" ref="G513">IF($C513&gt;=25,F513,IF($C513&lt;16,INDEX(Sheet1!C:C,$F513),$F513))</f>
        <v>6</v>
      </c>
      <c r="H513" s="4" t="str" cm="1">
        <f t="array" ref="H513">INDEX(Sheet1!D:D,$G513)</f>
        <v>t1137.xlsx</v>
      </c>
      <c r="I513" s="4" t="str" cm="1">
        <f t="array" ref="I513">INDEX(Sheet1!E:E,$G513)</f>
        <v>Sheet1</v>
      </c>
      <c r="J513" s="4" t="str" cm="1">
        <f t="array" ref="J513">IF($C513&gt;=25,INDEX(Sheet1!G:G,$G513),INDEX(Sheet1!F:F,$G513))</f>
        <v>B139</v>
      </c>
      <c r="K513" s="4" cm="1">
        <f t="array" ref="K513">INDEX(Sheet1!H:H,$G513)</f>
        <v>1</v>
      </c>
      <c r="L513" s="4">
        <f t="shared" si="28"/>
        <v>2</v>
      </c>
      <c r="M513" s="4">
        <f t="shared" si="29"/>
        <v>0</v>
      </c>
    </row>
    <row r="514" spans="1:13">
      <c r="A514" s="4" t="str" cm="1">
        <f t="array" ref="A514">INDEX(Sheet1!A:A,$F514)</f>
        <v>M</v>
      </c>
      <c r="B514" s="4" t="str" cm="1">
        <f t="array" ref="B514">INDEX(Sheet1!B:B,$F514)</f>
        <v>Undiff NS</v>
      </c>
      <c r="C514" s="4">
        <f t="shared" si="30"/>
        <v>28</v>
      </c>
      <c r="D514" s="5" cm="1">
        <f t="array" aca="1" ref="D514" ca="1">OFFSET(INDIRECT("'["&amp;$H514&amp;"]"&amp;$I514&amp;"'!"&amp;$J514),$L514,$M514)*$K514</f>
        <v>1.0499999999999999E-3</v>
      </c>
      <c r="F514" s="4">
        <f t="shared" si="31"/>
        <v>6</v>
      </c>
      <c r="G514" s="4" cm="1">
        <f t="array" ref="G514">IF($C514&gt;=25,F514,IF($C514&lt;16,INDEX(Sheet1!C:C,$F514),$F514))</f>
        <v>6</v>
      </c>
      <c r="H514" s="4" t="str" cm="1">
        <f t="array" ref="H514">INDEX(Sheet1!D:D,$G514)</f>
        <v>t1137.xlsx</v>
      </c>
      <c r="I514" s="4" t="str" cm="1">
        <f t="array" ref="I514">INDEX(Sheet1!E:E,$G514)</f>
        <v>Sheet1</v>
      </c>
      <c r="J514" s="4" t="str" cm="1">
        <f t="array" ref="J514">IF($C514&gt;=25,INDEX(Sheet1!G:G,$G514),INDEX(Sheet1!F:F,$G514))</f>
        <v>B139</v>
      </c>
      <c r="K514" s="4" cm="1">
        <f t="array" ref="K514">INDEX(Sheet1!H:H,$G514)</f>
        <v>1</v>
      </c>
      <c r="L514" s="4">
        <f t="shared" si="28"/>
        <v>3</v>
      </c>
      <c r="M514" s="4">
        <f t="shared" si="29"/>
        <v>0</v>
      </c>
    </row>
    <row r="515" spans="1:13">
      <c r="A515" s="4" t="str" cm="1">
        <f t="array" ref="A515">INDEX(Sheet1!A:A,$F515)</f>
        <v>M</v>
      </c>
      <c r="B515" s="4" t="str" cm="1">
        <f t="array" ref="B515">INDEX(Sheet1!B:B,$F515)</f>
        <v>Undiff NS</v>
      </c>
      <c r="C515" s="4">
        <f t="shared" si="30"/>
        <v>29</v>
      </c>
      <c r="D515" s="5" cm="1">
        <f t="array" aca="1" ref="D515" ca="1">OFFSET(INDIRECT("'["&amp;$H515&amp;"]"&amp;$I515&amp;"'!"&amp;$J515),$L515,$M515)*$K515</f>
        <v>1.0300000000000001E-3</v>
      </c>
      <c r="F515" s="4">
        <f t="shared" si="31"/>
        <v>6</v>
      </c>
      <c r="G515" s="4" cm="1">
        <f t="array" ref="G515">IF($C515&gt;=25,F515,IF($C515&lt;16,INDEX(Sheet1!C:C,$F515),$F515))</f>
        <v>6</v>
      </c>
      <c r="H515" s="4" t="str" cm="1">
        <f t="array" ref="H515">INDEX(Sheet1!D:D,$G515)</f>
        <v>t1137.xlsx</v>
      </c>
      <c r="I515" s="4" t="str" cm="1">
        <f t="array" ref="I515">INDEX(Sheet1!E:E,$G515)</f>
        <v>Sheet1</v>
      </c>
      <c r="J515" s="4" t="str" cm="1">
        <f t="array" ref="J515">IF($C515&gt;=25,INDEX(Sheet1!G:G,$G515),INDEX(Sheet1!F:F,$G515))</f>
        <v>B139</v>
      </c>
      <c r="K515" s="4" cm="1">
        <f t="array" ref="K515">INDEX(Sheet1!H:H,$G515)</f>
        <v>1</v>
      </c>
      <c r="L515" s="4">
        <f t="shared" ref="L515:L578" si="32">IF($C515&gt;=25,$C515-25,0)</f>
        <v>4</v>
      </c>
      <c r="M515" s="4">
        <f t="shared" ref="M515:M578" si="33">IF($C515&gt;=25,0,$C515)</f>
        <v>0</v>
      </c>
    </row>
    <row r="516" spans="1:13">
      <c r="A516" s="4" t="str" cm="1">
        <f t="array" ref="A516">INDEX(Sheet1!A:A,$F516)</f>
        <v>M</v>
      </c>
      <c r="B516" s="4" t="str" cm="1">
        <f t="array" ref="B516">INDEX(Sheet1!B:B,$F516)</f>
        <v>Undiff NS</v>
      </c>
      <c r="C516" s="4">
        <f t="shared" ref="C516:C579" si="34">IF(C515=120,0,C515+1)</f>
        <v>30</v>
      </c>
      <c r="D516" s="5" cm="1">
        <f t="array" aca="1" ref="D516" ca="1">OFFSET(INDIRECT("'["&amp;$H516&amp;"]"&amp;$I516&amp;"'!"&amp;$J516),$L516,$M516)*$K516</f>
        <v>1.0200000000000001E-3</v>
      </c>
      <c r="F516" s="4">
        <f t="shared" ref="F516:F579" si="35">IF(C516=0,1,0)+F515</f>
        <v>6</v>
      </c>
      <c r="G516" s="4" cm="1">
        <f t="array" ref="G516">IF($C516&gt;=25,F516,IF($C516&lt;16,INDEX(Sheet1!C:C,$F516),$F516))</f>
        <v>6</v>
      </c>
      <c r="H516" s="4" t="str" cm="1">
        <f t="array" ref="H516">INDEX(Sheet1!D:D,$G516)</f>
        <v>t1137.xlsx</v>
      </c>
      <c r="I516" s="4" t="str" cm="1">
        <f t="array" ref="I516">INDEX(Sheet1!E:E,$G516)</f>
        <v>Sheet1</v>
      </c>
      <c r="J516" s="4" t="str" cm="1">
        <f t="array" ref="J516">IF($C516&gt;=25,INDEX(Sheet1!G:G,$G516),INDEX(Sheet1!F:F,$G516))</f>
        <v>B139</v>
      </c>
      <c r="K516" s="4" cm="1">
        <f t="array" ref="K516">INDEX(Sheet1!H:H,$G516)</f>
        <v>1</v>
      </c>
      <c r="L516" s="4">
        <f t="shared" si="32"/>
        <v>5</v>
      </c>
      <c r="M516" s="4">
        <f t="shared" si="33"/>
        <v>0</v>
      </c>
    </row>
    <row r="517" spans="1:13">
      <c r="A517" s="4" t="str" cm="1">
        <f t="array" ref="A517">INDEX(Sheet1!A:A,$F517)</f>
        <v>M</v>
      </c>
      <c r="B517" s="4" t="str" cm="1">
        <f t="array" ref="B517">INDEX(Sheet1!B:B,$F517)</f>
        <v>Undiff NS</v>
      </c>
      <c r="C517" s="4">
        <f t="shared" si="34"/>
        <v>31</v>
      </c>
      <c r="D517" s="5" cm="1">
        <f t="array" aca="1" ref="D517" ca="1">OFFSET(INDIRECT("'["&amp;$H517&amp;"]"&amp;$I517&amp;"'!"&amp;$J517),$L517,$M517)*$K517</f>
        <v>1.01E-3</v>
      </c>
      <c r="F517" s="4">
        <f t="shared" si="35"/>
        <v>6</v>
      </c>
      <c r="G517" s="4" cm="1">
        <f t="array" ref="G517">IF($C517&gt;=25,F517,IF($C517&lt;16,INDEX(Sheet1!C:C,$F517),$F517))</f>
        <v>6</v>
      </c>
      <c r="H517" s="4" t="str" cm="1">
        <f t="array" ref="H517">INDEX(Sheet1!D:D,$G517)</f>
        <v>t1137.xlsx</v>
      </c>
      <c r="I517" s="4" t="str" cm="1">
        <f t="array" ref="I517">INDEX(Sheet1!E:E,$G517)</f>
        <v>Sheet1</v>
      </c>
      <c r="J517" s="4" t="str" cm="1">
        <f t="array" ref="J517">IF($C517&gt;=25,INDEX(Sheet1!G:G,$G517),INDEX(Sheet1!F:F,$G517))</f>
        <v>B139</v>
      </c>
      <c r="K517" s="4" cm="1">
        <f t="array" ref="K517">INDEX(Sheet1!H:H,$G517)</f>
        <v>1</v>
      </c>
      <c r="L517" s="4">
        <f t="shared" si="32"/>
        <v>6</v>
      </c>
      <c r="M517" s="4">
        <f t="shared" si="33"/>
        <v>0</v>
      </c>
    </row>
    <row r="518" spans="1:13">
      <c r="A518" s="4" t="str" cm="1">
        <f t="array" ref="A518">INDEX(Sheet1!A:A,$F518)</f>
        <v>M</v>
      </c>
      <c r="B518" s="4" t="str" cm="1">
        <f t="array" ref="B518">INDEX(Sheet1!B:B,$F518)</f>
        <v>Undiff NS</v>
      </c>
      <c r="C518" s="4">
        <f t="shared" si="34"/>
        <v>32</v>
      </c>
      <c r="D518" s="5" cm="1">
        <f t="array" aca="1" ref="D518" ca="1">OFFSET(INDIRECT("'["&amp;$H518&amp;"]"&amp;$I518&amp;"'!"&amp;$J518),$L518,$M518)*$K518</f>
        <v>1.01E-3</v>
      </c>
      <c r="F518" s="4">
        <f t="shared" si="35"/>
        <v>6</v>
      </c>
      <c r="G518" s="4" cm="1">
        <f t="array" ref="G518">IF($C518&gt;=25,F518,IF($C518&lt;16,INDEX(Sheet1!C:C,$F518),$F518))</f>
        <v>6</v>
      </c>
      <c r="H518" s="4" t="str" cm="1">
        <f t="array" ref="H518">INDEX(Sheet1!D:D,$G518)</f>
        <v>t1137.xlsx</v>
      </c>
      <c r="I518" s="4" t="str" cm="1">
        <f t="array" ref="I518">INDEX(Sheet1!E:E,$G518)</f>
        <v>Sheet1</v>
      </c>
      <c r="J518" s="4" t="str" cm="1">
        <f t="array" ref="J518">IF($C518&gt;=25,INDEX(Sheet1!G:G,$G518),INDEX(Sheet1!F:F,$G518))</f>
        <v>B139</v>
      </c>
      <c r="K518" s="4" cm="1">
        <f t="array" ref="K518">INDEX(Sheet1!H:H,$G518)</f>
        <v>1</v>
      </c>
      <c r="L518" s="4">
        <f t="shared" si="32"/>
        <v>7</v>
      </c>
      <c r="M518" s="4">
        <f t="shared" si="33"/>
        <v>0</v>
      </c>
    </row>
    <row r="519" spans="1:13">
      <c r="A519" s="4" t="str" cm="1">
        <f t="array" ref="A519">INDEX(Sheet1!A:A,$F519)</f>
        <v>M</v>
      </c>
      <c r="B519" s="4" t="str" cm="1">
        <f t="array" ref="B519">INDEX(Sheet1!B:B,$F519)</f>
        <v>Undiff NS</v>
      </c>
      <c r="C519" s="4">
        <f t="shared" si="34"/>
        <v>33</v>
      </c>
      <c r="D519" s="5" cm="1">
        <f t="array" aca="1" ref="D519" ca="1">OFFSET(INDIRECT("'["&amp;$H519&amp;"]"&amp;$I519&amp;"'!"&amp;$J519),$L519,$M519)*$K519</f>
        <v>1.0399999999999999E-3</v>
      </c>
      <c r="F519" s="4">
        <f t="shared" si="35"/>
        <v>6</v>
      </c>
      <c r="G519" s="4" cm="1">
        <f t="array" ref="G519">IF($C519&gt;=25,F519,IF($C519&lt;16,INDEX(Sheet1!C:C,$F519),$F519))</f>
        <v>6</v>
      </c>
      <c r="H519" s="4" t="str" cm="1">
        <f t="array" ref="H519">INDEX(Sheet1!D:D,$G519)</f>
        <v>t1137.xlsx</v>
      </c>
      <c r="I519" s="4" t="str" cm="1">
        <f t="array" ref="I519">INDEX(Sheet1!E:E,$G519)</f>
        <v>Sheet1</v>
      </c>
      <c r="J519" s="4" t="str" cm="1">
        <f t="array" ref="J519">IF($C519&gt;=25,INDEX(Sheet1!G:G,$G519),INDEX(Sheet1!F:F,$G519))</f>
        <v>B139</v>
      </c>
      <c r="K519" s="4" cm="1">
        <f t="array" ref="K519">INDEX(Sheet1!H:H,$G519)</f>
        <v>1</v>
      </c>
      <c r="L519" s="4">
        <f t="shared" si="32"/>
        <v>8</v>
      </c>
      <c r="M519" s="4">
        <f t="shared" si="33"/>
        <v>0</v>
      </c>
    </row>
    <row r="520" spans="1:13">
      <c r="A520" s="4" t="str" cm="1">
        <f t="array" ref="A520">INDEX(Sheet1!A:A,$F520)</f>
        <v>M</v>
      </c>
      <c r="B520" s="4" t="str" cm="1">
        <f t="array" ref="B520">INDEX(Sheet1!B:B,$F520)</f>
        <v>Undiff NS</v>
      </c>
      <c r="C520" s="4">
        <f t="shared" si="34"/>
        <v>34</v>
      </c>
      <c r="D520" s="5" cm="1">
        <f t="array" aca="1" ref="D520" ca="1">OFFSET(INDIRECT("'["&amp;$H520&amp;"]"&amp;$I520&amp;"'!"&amp;$J520),$L520,$M520)*$K520</f>
        <v>1.06E-3</v>
      </c>
      <c r="F520" s="4">
        <f t="shared" si="35"/>
        <v>6</v>
      </c>
      <c r="G520" s="4" cm="1">
        <f t="array" ref="G520">IF($C520&gt;=25,F520,IF($C520&lt;16,INDEX(Sheet1!C:C,$F520),$F520))</f>
        <v>6</v>
      </c>
      <c r="H520" s="4" t="str" cm="1">
        <f t="array" ref="H520">INDEX(Sheet1!D:D,$G520)</f>
        <v>t1137.xlsx</v>
      </c>
      <c r="I520" s="4" t="str" cm="1">
        <f t="array" ref="I520">INDEX(Sheet1!E:E,$G520)</f>
        <v>Sheet1</v>
      </c>
      <c r="J520" s="4" t="str" cm="1">
        <f t="array" ref="J520">IF($C520&gt;=25,INDEX(Sheet1!G:G,$G520),INDEX(Sheet1!F:F,$G520))</f>
        <v>B139</v>
      </c>
      <c r="K520" s="4" cm="1">
        <f t="array" ref="K520">INDEX(Sheet1!H:H,$G520)</f>
        <v>1</v>
      </c>
      <c r="L520" s="4">
        <f t="shared" si="32"/>
        <v>9</v>
      </c>
      <c r="M520" s="4">
        <f t="shared" si="33"/>
        <v>0</v>
      </c>
    </row>
    <row r="521" spans="1:13">
      <c r="A521" s="4" t="str" cm="1">
        <f t="array" ref="A521">INDEX(Sheet1!A:A,$F521)</f>
        <v>M</v>
      </c>
      <c r="B521" s="4" t="str" cm="1">
        <f t="array" ref="B521">INDEX(Sheet1!B:B,$F521)</f>
        <v>Undiff NS</v>
      </c>
      <c r="C521" s="4">
        <f t="shared" si="34"/>
        <v>35</v>
      </c>
      <c r="D521" s="5" cm="1">
        <f t="array" aca="1" ref="D521" ca="1">OFFSET(INDIRECT("'["&amp;$H521&amp;"]"&amp;$I521&amp;"'!"&amp;$J521),$L521,$M521)*$K521</f>
        <v>1.09E-3</v>
      </c>
      <c r="F521" s="4">
        <f t="shared" si="35"/>
        <v>6</v>
      </c>
      <c r="G521" s="4" cm="1">
        <f t="array" ref="G521">IF($C521&gt;=25,F521,IF($C521&lt;16,INDEX(Sheet1!C:C,$F521),$F521))</f>
        <v>6</v>
      </c>
      <c r="H521" s="4" t="str" cm="1">
        <f t="array" ref="H521">INDEX(Sheet1!D:D,$G521)</f>
        <v>t1137.xlsx</v>
      </c>
      <c r="I521" s="4" t="str" cm="1">
        <f t="array" ref="I521">INDEX(Sheet1!E:E,$G521)</f>
        <v>Sheet1</v>
      </c>
      <c r="J521" s="4" t="str" cm="1">
        <f t="array" ref="J521">IF($C521&gt;=25,INDEX(Sheet1!G:G,$G521),INDEX(Sheet1!F:F,$G521))</f>
        <v>B139</v>
      </c>
      <c r="K521" s="4" cm="1">
        <f t="array" ref="K521">INDEX(Sheet1!H:H,$G521)</f>
        <v>1</v>
      </c>
      <c r="L521" s="4">
        <f t="shared" si="32"/>
        <v>10</v>
      </c>
      <c r="M521" s="4">
        <f t="shared" si="33"/>
        <v>0</v>
      </c>
    </row>
    <row r="522" spans="1:13">
      <c r="A522" s="4" t="str" cm="1">
        <f t="array" ref="A522">INDEX(Sheet1!A:A,$F522)</f>
        <v>M</v>
      </c>
      <c r="B522" s="4" t="str" cm="1">
        <f t="array" ref="B522">INDEX(Sheet1!B:B,$F522)</f>
        <v>Undiff NS</v>
      </c>
      <c r="C522" s="4">
        <f t="shared" si="34"/>
        <v>36</v>
      </c>
      <c r="D522" s="5" cm="1">
        <f t="array" aca="1" ref="D522" ca="1">OFFSET(INDIRECT("'["&amp;$H522&amp;"]"&amp;$I522&amp;"'!"&amp;$J522),$L522,$M522)*$K522</f>
        <v>1.15E-3</v>
      </c>
      <c r="F522" s="4">
        <f t="shared" si="35"/>
        <v>6</v>
      </c>
      <c r="G522" s="4" cm="1">
        <f t="array" ref="G522">IF($C522&gt;=25,F522,IF($C522&lt;16,INDEX(Sheet1!C:C,$F522),$F522))</f>
        <v>6</v>
      </c>
      <c r="H522" s="4" t="str" cm="1">
        <f t="array" ref="H522">INDEX(Sheet1!D:D,$G522)</f>
        <v>t1137.xlsx</v>
      </c>
      <c r="I522" s="4" t="str" cm="1">
        <f t="array" ref="I522">INDEX(Sheet1!E:E,$G522)</f>
        <v>Sheet1</v>
      </c>
      <c r="J522" s="4" t="str" cm="1">
        <f t="array" ref="J522">IF($C522&gt;=25,INDEX(Sheet1!G:G,$G522),INDEX(Sheet1!F:F,$G522))</f>
        <v>B139</v>
      </c>
      <c r="K522" s="4" cm="1">
        <f t="array" ref="K522">INDEX(Sheet1!H:H,$G522)</f>
        <v>1</v>
      </c>
      <c r="L522" s="4">
        <f t="shared" si="32"/>
        <v>11</v>
      </c>
      <c r="M522" s="4">
        <f t="shared" si="33"/>
        <v>0</v>
      </c>
    </row>
    <row r="523" spans="1:13">
      <c r="A523" s="4" t="str" cm="1">
        <f t="array" ref="A523">INDEX(Sheet1!A:A,$F523)</f>
        <v>M</v>
      </c>
      <c r="B523" s="4" t="str" cm="1">
        <f t="array" ref="B523">INDEX(Sheet1!B:B,$F523)</f>
        <v>Undiff NS</v>
      </c>
      <c r="C523" s="4">
        <f t="shared" si="34"/>
        <v>37</v>
      </c>
      <c r="D523" s="5" cm="1">
        <f t="array" aca="1" ref="D523" ca="1">OFFSET(INDIRECT("'["&amp;$H523&amp;"]"&amp;$I523&amp;"'!"&amp;$J523),$L523,$M523)*$K523</f>
        <v>1.1999999999999999E-3</v>
      </c>
      <c r="F523" s="4">
        <f t="shared" si="35"/>
        <v>6</v>
      </c>
      <c r="G523" s="4" cm="1">
        <f t="array" ref="G523">IF($C523&gt;=25,F523,IF($C523&lt;16,INDEX(Sheet1!C:C,$F523),$F523))</f>
        <v>6</v>
      </c>
      <c r="H523" s="4" t="str" cm="1">
        <f t="array" ref="H523">INDEX(Sheet1!D:D,$G523)</f>
        <v>t1137.xlsx</v>
      </c>
      <c r="I523" s="4" t="str" cm="1">
        <f t="array" ref="I523">INDEX(Sheet1!E:E,$G523)</f>
        <v>Sheet1</v>
      </c>
      <c r="J523" s="4" t="str" cm="1">
        <f t="array" ref="J523">IF($C523&gt;=25,INDEX(Sheet1!G:G,$G523),INDEX(Sheet1!F:F,$G523))</f>
        <v>B139</v>
      </c>
      <c r="K523" s="4" cm="1">
        <f t="array" ref="K523">INDEX(Sheet1!H:H,$G523)</f>
        <v>1</v>
      </c>
      <c r="L523" s="4">
        <f t="shared" si="32"/>
        <v>12</v>
      </c>
      <c r="M523" s="4">
        <f t="shared" si="33"/>
        <v>0</v>
      </c>
    </row>
    <row r="524" spans="1:13">
      <c r="A524" s="4" t="str" cm="1">
        <f t="array" ref="A524">INDEX(Sheet1!A:A,$F524)</f>
        <v>M</v>
      </c>
      <c r="B524" s="4" t="str" cm="1">
        <f t="array" ref="B524">INDEX(Sheet1!B:B,$F524)</f>
        <v>Undiff NS</v>
      </c>
      <c r="C524" s="4">
        <f t="shared" si="34"/>
        <v>38</v>
      </c>
      <c r="D524" s="5" cm="1">
        <f t="array" aca="1" ref="D524" ca="1">OFFSET(INDIRECT("'["&amp;$H524&amp;"]"&amp;$I524&amp;"'!"&amp;$J524),$L524,$M524)*$K524</f>
        <v>1.2899999999999999E-3</v>
      </c>
      <c r="F524" s="4">
        <f t="shared" si="35"/>
        <v>6</v>
      </c>
      <c r="G524" s="4" cm="1">
        <f t="array" ref="G524">IF($C524&gt;=25,F524,IF($C524&lt;16,INDEX(Sheet1!C:C,$F524),$F524))</f>
        <v>6</v>
      </c>
      <c r="H524" s="4" t="str" cm="1">
        <f t="array" ref="H524">INDEX(Sheet1!D:D,$G524)</f>
        <v>t1137.xlsx</v>
      </c>
      <c r="I524" s="4" t="str" cm="1">
        <f t="array" ref="I524">INDEX(Sheet1!E:E,$G524)</f>
        <v>Sheet1</v>
      </c>
      <c r="J524" s="4" t="str" cm="1">
        <f t="array" ref="J524">IF($C524&gt;=25,INDEX(Sheet1!G:G,$G524),INDEX(Sheet1!F:F,$G524))</f>
        <v>B139</v>
      </c>
      <c r="K524" s="4" cm="1">
        <f t="array" ref="K524">INDEX(Sheet1!H:H,$G524)</f>
        <v>1</v>
      </c>
      <c r="L524" s="4">
        <f t="shared" si="32"/>
        <v>13</v>
      </c>
      <c r="M524" s="4">
        <f t="shared" si="33"/>
        <v>0</v>
      </c>
    </row>
    <row r="525" spans="1:13">
      <c r="A525" s="4" t="str" cm="1">
        <f t="array" ref="A525">INDEX(Sheet1!A:A,$F525)</f>
        <v>M</v>
      </c>
      <c r="B525" s="4" t="str" cm="1">
        <f t="array" ref="B525">INDEX(Sheet1!B:B,$F525)</f>
        <v>Undiff NS</v>
      </c>
      <c r="C525" s="4">
        <f t="shared" si="34"/>
        <v>39</v>
      </c>
      <c r="D525" s="5" cm="1">
        <f t="array" aca="1" ref="D525" ca="1">OFFSET(INDIRECT("'["&amp;$H525&amp;"]"&amp;$I525&amp;"'!"&amp;$J525),$L525,$M525)*$K525</f>
        <v>1.3699999999999999E-3</v>
      </c>
      <c r="F525" s="4">
        <f t="shared" si="35"/>
        <v>6</v>
      </c>
      <c r="G525" s="4" cm="1">
        <f t="array" ref="G525">IF($C525&gt;=25,F525,IF($C525&lt;16,INDEX(Sheet1!C:C,$F525),$F525))</f>
        <v>6</v>
      </c>
      <c r="H525" s="4" t="str" cm="1">
        <f t="array" ref="H525">INDEX(Sheet1!D:D,$G525)</f>
        <v>t1137.xlsx</v>
      </c>
      <c r="I525" s="4" t="str" cm="1">
        <f t="array" ref="I525">INDEX(Sheet1!E:E,$G525)</f>
        <v>Sheet1</v>
      </c>
      <c r="J525" s="4" t="str" cm="1">
        <f t="array" ref="J525">IF($C525&gt;=25,INDEX(Sheet1!G:G,$G525),INDEX(Sheet1!F:F,$G525))</f>
        <v>B139</v>
      </c>
      <c r="K525" s="4" cm="1">
        <f t="array" ref="K525">INDEX(Sheet1!H:H,$G525)</f>
        <v>1</v>
      </c>
      <c r="L525" s="4">
        <f t="shared" si="32"/>
        <v>14</v>
      </c>
      <c r="M525" s="4">
        <f t="shared" si="33"/>
        <v>0</v>
      </c>
    </row>
    <row r="526" spans="1:13">
      <c r="A526" s="4" t="str" cm="1">
        <f t="array" ref="A526">INDEX(Sheet1!A:A,$F526)</f>
        <v>M</v>
      </c>
      <c r="B526" s="4" t="str" cm="1">
        <f t="array" ref="B526">INDEX(Sheet1!B:B,$F526)</f>
        <v>Undiff NS</v>
      </c>
      <c r="C526" s="4">
        <f t="shared" si="34"/>
        <v>40</v>
      </c>
      <c r="D526" s="5" cm="1">
        <f t="array" aca="1" ref="D526" ca="1">OFFSET(INDIRECT("'["&amp;$H526&amp;"]"&amp;$I526&amp;"'!"&amp;$J526),$L526,$M526)*$K526</f>
        <v>1.4599999999999999E-3</v>
      </c>
      <c r="F526" s="4">
        <f t="shared" si="35"/>
        <v>6</v>
      </c>
      <c r="G526" s="4" cm="1">
        <f t="array" ref="G526">IF($C526&gt;=25,F526,IF($C526&lt;16,INDEX(Sheet1!C:C,$F526),$F526))</f>
        <v>6</v>
      </c>
      <c r="H526" s="4" t="str" cm="1">
        <f t="array" ref="H526">INDEX(Sheet1!D:D,$G526)</f>
        <v>t1137.xlsx</v>
      </c>
      <c r="I526" s="4" t="str" cm="1">
        <f t="array" ref="I526">INDEX(Sheet1!E:E,$G526)</f>
        <v>Sheet1</v>
      </c>
      <c r="J526" s="4" t="str" cm="1">
        <f t="array" ref="J526">IF($C526&gt;=25,INDEX(Sheet1!G:G,$G526),INDEX(Sheet1!F:F,$G526))</f>
        <v>B139</v>
      </c>
      <c r="K526" s="4" cm="1">
        <f t="array" ref="K526">INDEX(Sheet1!H:H,$G526)</f>
        <v>1</v>
      </c>
      <c r="L526" s="4">
        <f t="shared" si="32"/>
        <v>15</v>
      </c>
      <c r="M526" s="4">
        <f t="shared" si="33"/>
        <v>0</v>
      </c>
    </row>
    <row r="527" spans="1:13">
      <c r="A527" s="4" t="str" cm="1">
        <f t="array" ref="A527">INDEX(Sheet1!A:A,$F527)</f>
        <v>M</v>
      </c>
      <c r="B527" s="4" t="str" cm="1">
        <f t="array" ref="B527">INDEX(Sheet1!B:B,$F527)</f>
        <v>Undiff NS</v>
      </c>
      <c r="C527" s="4">
        <f t="shared" si="34"/>
        <v>41</v>
      </c>
      <c r="D527" s="5" cm="1">
        <f t="array" aca="1" ref="D527" ca="1">OFFSET(INDIRECT("'["&amp;$H527&amp;"]"&amp;$I527&amp;"'!"&amp;$J527),$L527,$M527)*$K527</f>
        <v>1.58E-3</v>
      </c>
      <c r="F527" s="4">
        <f t="shared" si="35"/>
        <v>6</v>
      </c>
      <c r="G527" s="4" cm="1">
        <f t="array" ref="G527">IF($C527&gt;=25,F527,IF($C527&lt;16,INDEX(Sheet1!C:C,$F527),$F527))</f>
        <v>6</v>
      </c>
      <c r="H527" s="4" t="str" cm="1">
        <f t="array" ref="H527">INDEX(Sheet1!D:D,$G527)</f>
        <v>t1137.xlsx</v>
      </c>
      <c r="I527" s="4" t="str" cm="1">
        <f t="array" ref="I527">INDEX(Sheet1!E:E,$G527)</f>
        <v>Sheet1</v>
      </c>
      <c r="J527" s="4" t="str" cm="1">
        <f t="array" ref="J527">IF($C527&gt;=25,INDEX(Sheet1!G:G,$G527),INDEX(Sheet1!F:F,$G527))</f>
        <v>B139</v>
      </c>
      <c r="K527" s="4" cm="1">
        <f t="array" ref="K527">INDEX(Sheet1!H:H,$G527)</f>
        <v>1</v>
      </c>
      <c r="L527" s="4">
        <f t="shared" si="32"/>
        <v>16</v>
      </c>
      <c r="M527" s="4">
        <f t="shared" si="33"/>
        <v>0</v>
      </c>
    </row>
    <row r="528" spans="1:13">
      <c r="A528" s="4" t="str" cm="1">
        <f t="array" ref="A528">INDEX(Sheet1!A:A,$F528)</f>
        <v>M</v>
      </c>
      <c r="B528" s="4" t="str" cm="1">
        <f t="array" ref="B528">INDEX(Sheet1!B:B,$F528)</f>
        <v>Undiff NS</v>
      </c>
      <c r="C528" s="4">
        <f t="shared" si="34"/>
        <v>42</v>
      </c>
      <c r="D528" s="5" cm="1">
        <f t="array" aca="1" ref="D528" ca="1">OFFSET(INDIRECT("'["&amp;$H528&amp;"]"&amp;$I528&amp;"'!"&amp;$J528),$L528,$M528)*$K528</f>
        <v>1.73E-3</v>
      </c>
      <c r="F528" s="4">
        <f t="shared" si="35"/>
        <v>6</v>
      </c>
      <c r="G528" s="4" cm="1">
        <f t="array" ref="G528">IF($C528&gt;=25,F528,IF($C528&lt;16,INDEX(Sheet1!C:C,$F528),$F528))</f>
        <v>6</v>
      </c>
      <c r="H528" s="4" t="str" cm="1">
        <f t="array" ref="H528">INDEX(Sheet1!D:D,$G528)</f>
        <v>t1137.xlsx</v>
      </c>
      <c r="I528" s="4" t="str" cm="1">
        <f t="array" ref="I528">INDEX(Sheet1!E:E,$G528)</f>
        <v>Sheet1</v>
      </c>
      <c r="J528" s="4" t="str" cm="1">
        <f t="array" ref="J528">IF($C528&gt;=25,INDEX(Sheet1!G:G,$G528),INDEX(Sheet1!F:F,$G528))</f>
        <v>B139</v>
      </c>
      <c r="K528" s="4" cm="1">
        <f t="array" ref="K528">INDEX(Sheet1!H:H,$G528)</f>
        <v>1</v>
      </c>
      <c r="L528" s="4">
        <f t="shared" si="32"/>
        <v>17</v>
      </c>
      <c r="M528" s="4">
        <f t="shared" si="33"/>
        <v>0</v>
      </c>
    </row>
    <row r="529" spans="1:13">
      <c r="A529" s="4" t="str" cm="1">
        <f t="array" ref="A529">INDEX(Sheet1!A:A,$F529)</f>
        <v>M</v>
      </c>
      <c r="B529" s="4" t="str" cm="1">
        <f t="array" ref="B529">INDEX(Sheet1!B:B,$F529)</f>
        <v>Undiff NS</v>
      </c>
      <c r="C529" s="4">
        <f t="shared" si="34"/>
        <v>43</v>
      </c>
      <c r="D529" s="5" cm="1">
        <f t="array" aca="1" ref="D529" ca="1">OFFSET(INDIRECT("'["&amp;$H529&amp;"]"&amp;$I529&amp;"'!"&amp;$J529),$L529,$M529)*$K529</f>
        <v>1.9E-3</v>
      </c>
      <c r="F529" s="4">
        <f t="shared" si="35"/>
        <v>6</v>
      </c>
      <c r="G529" s="4" cm="1">
        <f t="array" ref="G529">IF($C529&gt;=25,F529,IF($C529&lt;16,INDEX(Sheet1!C:C,$F529),$F529))</f>
        <v>6</v>
      </c>
      <c r="H529" s="4" t="str" cm="1">
        <f t="array" ref="H529">INDEX(Sheet1!D:D,$G529)</f>
        <v>t1137.xlsx</v>
      </c>
      <c r="I529" s="4" t="str" cm="1">
        <f t="array" ref="I529">INDEX(Sheet1!E:E,$G529)</f>
        <v>Sheet1</v>
      </c>
      <c r="J529" s="4" t="str" cm="1">
        <f t="array" ref="J529">IF($C529&gt;=25,INDEX(Sheet1!G:G,$G529),INDEX(Sheet1!F:F,$G529))</f>
        <v>B139</v>
      </c>
      <c r="K529" s="4" cm="1">
        <f t="array" ref="K529">INDEX(Sheet1!H:H,$G529)</f>
        <v>1</v>
      </c>
      <c r="L529" s="4">
        <f t="shared" si="32"/>
        <v>18</v>
      </c>
      <c r="M529" s="4">
        <f t="shared" si="33"/>
        <v>0</v>
      </c>
    </row>
    <row r="530" spans="1:13">
      <c r="A530" s="4" t="str" cm="1">
        <f t="array" ref="A530">INDEX(Sheet1!A:A,$F530)</f>
        <v>M</v>
      </c>
      <c r="B530" s="4" t="str" cm="1">
        <f t="array" ref="B530">INDEX(Sheet1!B:B,$F530)</f>
        <v>Undiff NS</v>
      </c>
      <c r="C530" s="4">
        <f t="shared" si="34"/>
        <v>44</v>
      </c>
      <c r="D530" s="5" cm="1">
        <f t="array" aca="1" ref="D530" ca="1">OFFSET(INDIRECT("'["&amp;$H530&amp;"]"&amp;$I530&amp;"'!"&amp;$J530),$L530,$M530)*$K530</f>
        <v>2.0999999999999999E-3</v>
      </c>
      <c r="F530" s="4">
        <f t="shared" si="35"/>
        <v>6</v>
      </c>
      <c r="G530" s="4" cm="1">
        <f t="array" ref="G530">IF($C530&gt;=25,F530,IF($C530&lt;16,INDEX(Sheet1!C:C,$F530),$F530))</f>
        <v>6</v>
      </c>
      <c r="H530" s="4" t="str" cm="1">
        <f t="array" ref="H530">INDEX(Sheet1!D:D,$G530)</f>
        <v>t1137.xlsx</v>
      </c>
      <c r="I530" s="4" t="str" cm="1">
        <f t="array" ref="I530">INDEX(Sheet1!E:E,$G530)</f>
        <v>Sheet1</v>
      </c>
      <c r="J530" s="4" t="str" cm="1">
        <f t="array" ref="J530">IF($C530&gt;=25,INDEX(Sheet1!G:G,$G530),INDEX(Sheet1!F:F,$G530))</f>
        <v>B139</v>
      </c>
      <c r="K530" s="4" cm="1">
        <f t="array" ref="K530">INDEX(Sheet1!H:H,$G530)</f>
        <v>1</v>
      </c>
      <c r="L530" s="4">
        <f t="shared" si="32"/>
        <v>19</v>
      </c>
      <c r="M530" s="4">
        <f t="shared" si="33"/>
        <v>0</v>
      </c>
    </row>
    <row r="531" spans="1:13">
      <c r="A531" s="4" t="str" cm="1">
        <f t="array" ref="A531">INDEX(Sheet1!A:A,$F531)</f>
        <v>M</v>
      </c>
      <c r="B531" s="4" t="str" cm="1">
        <f t="array" ref="B531">INDEX(Sheet1!B:B,$F531)</f>
        <v>Undiff NS</v>
      </c>
      <c r="C531" s="4">
        <f t="shared" si="34"/>
        <v>45</v>
      </c>
      <c r="D531" s="5" cm="1">
        <f t="array" aca="1" ref="D531" ca="1">OFFSET(INDIRECT("'["&amp;$H531&amp;"]"&amp;$I531&amp;"'!"&amp;$J531),$L531,$M531)*$K531</f>
        <v>2.33E-3</v>
      </c>
      <c r="F531" s="4">
        <f t="shared" si="35"/>
        <v>6</v>
      </c>
      <c r="G531" s="4" cm="1">
        <f t="array" ref="G531">IF($C531&gt;=25,F531,IF($C531&lt;16,INDEX(Sheet1!C:C,$F531),$F531))</f>
        <v>6</v>
      </c>
      <c r="H531" s="4" t="str" cm="1">
        <f t="array" ref="H531">INDEX(Sheet1!D:D,$G531)</f>
        <v>t1137.xlsx</v>
      </c>
      <c r="I531" s="4" t="str" cm="1">
        <f t="array" ref="I531">INDEX(Sheet1!E:E,$G531)</f>
        <v>Sheet1</v>
      </c>
      <c r="J531" s="4" t="str" cm="1">
        <f t="array" ref="J531">IF($C531&gt;=25,INDEX(Sheet1!G:G,$G531),INDEX(Sheet1!F:F,$G531))</f>
        <v>B139</v>
      </c>
      <c r="K531" s="4" cm="1">
        <f t="array" ref="K531">INDEX(Sheet1!H:H,$G531)</f>
        <v>1</v>
      </c>
      <c r="L531" s="4">
        <f t="shared" si="32"/>
        <v>20</v>
      </c>
      <c r="M531" s="4">
        <f t="shared" si="33"/>
        <v>0</v>
      </c>
    </row>
    <row r="532" spans="1:13">
      <c r="A532" s="4" t="str" cm="1">
        <f t="array" ref="A532">INDEX(Sheet1!A:A,$F532)</f>
        <v>M</v>
      </c>
      <c r="B532" s="4" t="str" cm="1">
        <f t="array" ref="B532">INDEX(Sheet1!B:B,$F532)</f>
        <v>Undiff NS</v>
      </c>
      <c r="C532" s="4">
        <f t="shared" si="34"/>
        <v>46</v>
      </c>
      <c r="D532" s="5" cm="1">
        <f t="array" aca="1" ref="D532" ca="1">OFFSET(INDIRECT("'["&amp;$H532&amp;"]"&amp;$I532&amp;"'!"&amp;$J532),$L532,$M532)*$K532</f>
        <v>2.5500000000000002E-3</v>
      </c>
      <c r="F532" s="4">
        <f t="shared" si="35"/>
        <v>6</v>
      </c>
      <c r="G532" s="4" cm="1">
        <f t="array" ref="G532">IF($C532&gt;=25,F532,IF($C532&lt;16,INDEX(Sheet1!C:C,$F532),$F532))</f>
        <v>6</v>
      </c>
      <c r="H532" s="4" t="str" cm="1">
        <f t="array" ref="H532">INDEX(Sheet1!D:D,$G532)</f>
        <v>t1137.xlsx</v>
      </c>
      <c r="I532" s="4" t="str" cm="1">
        <f t="array" ref="I532">INDEX(Sheet1!E:E,$G532)</f>
        <v>Sheet1</v>
      </c>
      <c r="J532" s="4" t="str" cm="1">
        <f t="array" ref="J532">IF($C532&gt;=25,INDEX(Sheet1!G:G,$G532),INDEX(Sheet1!F:F,$G532))</f>
        <v>B139</v>
      </c>
      <c r="K532" s="4" cm="1">
        <f t="array" ref="K532">INDEX(Sheet1!H:H,$G532)</f>
        <v>1</v>
      </c>
      <c r="L532" s="4">
        <f t="shared" si="32"/>
        <v>21</v>
      </c>
      <c r="M532" s="4">
        <f t="shared" si="33"/>
        <v>0</v>
      </c>
    </row>
    <row r="533" spans="1:13">
      <c r="A533" s="4" t="str" cm="1">
        <f t="array" ref="A533">INDEX(Sheet1!A:A,$F533)</f>
        <v>M</v>
      </c>
      <c r="B533" s="4" t="str" cm="1">
        <f t="array" ref="B533">INDEX(Sheet1!B:B,$F533)</f>
        <v>Undiff NS</v>
      </c>
      <c r="C533" s="4">
        <f t="shared" si="34"/>
        <v>47</v>
      </c>
      <c r="D533" s="5" cm="1">
        <f t="array" aca="1" ref="D533" ca="1">OFFSET(INDIRECT("'["&amp;$H533&amp;"]"&amp;$I533&amp;"'!"&amp;$J533),$L533,$M533)*$K533</f>
        <v>2.7899999999999999E-3</v>
      </c>
      <c r="F533" s="4">
        <f t="shared" si="35"/>
        <v>6</v>
      </c>
      <c r="G533" s="4" cm="1">
        <f t="array" ref="G533">IF($C533&gt;=25,F533,IF($C533&lt;16,INDEX(Sheet1!C:C,$F533),$F533))</f>
        <v>6</v>
      </c>
      <c r="H533" s="4" t="str" cm="1">
        <f t="array" ref="H533">INDEX(Sheet1!D:D,$G533)</f>
        <v>t1137.xlsx</v>
      </c>
      <c r="I533" s="4" t="str" cm="1">
        <f t="array" ref="I533">INDEX(Sheet1!E:E,$G533)</f>
        <v>Sheet1</v>
      </c>
      <c r="J533" s="4" t="str" cm="1">
        <f t="array" ref="J533">IF($C533&gt;=25,INDEX(Sheet1!G:G,$G533),INDEX(Sheet1!F:F,$G533))</f>
        <v>B139</v>
      </c>
      <c r="K533" s="4" cm="1">
        <f t="array" ref="K533">INDEX(Sheet1!H:H,$G533)</f>
        <v>1</v>
      </c>
      <c r="L533" s="4">
        <f t="shared" si="32"/>
        <v>22</v>
      </c>
      <c r="M533" s="4">
        <f t="shared" si="33"/>
        <v>0</v>
      </c>
    </row>
    <row r="534" spans="1:13">
      <c r="A534" s="4" t="str" cm="1">
        <f t="array" ref="A534">INDEX(Sheet1!A:A,$F534)</f>
        <v>M</v>
      </c>
      <c r="B534" s="4" t="str" cm="1">
        <f t="array" ref="B534">INDEX(Sheet1!B:B,$F534)</f>
        <v>Undiff NS</v>
      </c>
      <c r="C534" s="4">
        <f t="shared" si="34"/>
        <v>48</v>
      </c>
      <c r="D534" s="5" cm="1">
        <f t="array" aca="1" ref="D534" ca="1">OFFSET(INDIRECT("'["&amp;$H534&amp;"]"&amp;$I534&amp;"'!"&amp;$J534),$L534,$M534)*$K534</f>
        <v>2.9299999999999999E-3</v>
      </c>
      <c r="F534" s="4">
        <f t="shared" si="35"/>
        <v>6</v>
      </c>
      <c r="G534" s="4" cm="1">
        <f t="array" ref="G534">IF($C534&gt;=25,F534,IF($C534&lt;16,INDEX(Sheet1!C:C,$F534),$F534))</f>
        <v>6</v>
      </c>
      <c r="H534" s="4" t="str" cm="1">
        <f t="array" ref="H534">INDEX(Sheet1!D:D,$G534)</f>
        <v>t1137.xlsx</v>
      </c>
      <c r="I534" s="4" t="str" cm="1">
        <f t="array" ref="I534">INDEX(Sheet1!E:E,$G534)</f>
        <v>Sheet1</v>
      </c>
      <c r="J534" s="4" t="str" cm="1">
        <f t="array" ref="J534">IF($C534&gt;=25,INDEX(Sheet1!G:G,$G534),INDEX(Sheet1!F:F,$G534))</f>
        <v>B139</v>
      </c>
      <c r="K534" s="4" cm="1">
        <f t="array" ref="K534">INDEX(Sheet1!H:H,$G534)</f>
        <v>1</v>
      </c>
      <c r="L534" s="4">
        <f t="shared" si="32"/>
        <v>23</v>
      </c>
      <c r="M534" s="4">
        <f t="shared" si="33"/>
        <v>0</v>
      </c>
    </row>
    <row r="535" spans="1:13">
      <c r="A535" s="4" t="str" cm="1">
        <f t="array" ref="A535">INDEX(Sheet1!A:A,$F535)</f>
        <v>M</v>
      </c>
      <c r="B535" s="4" t="str" cm="1">
        <f t="array" ref="B535">INDEX(Sheet1!B:B,$F535)</f>
        <v>Undiff NS</v>
      </c>
      <c r="C535" s="4">
        <f t="shared" si="34"/>
        <v>49</v>
      </c>
      <c r="D535" s="5" cm="1">
        <f t="array" aca="1" ref="D535" ca="1">OFFSET(INDIRECT("'["&amp;$H535&amp;"]"&amp;$I535&amp;"'!"&amp;$J535),$L535,$M535)*$K535</f>
        <v>3.0899999999999999E-3</v>
      </c>
      <c r="F535" s="4">
        <f t="shared" si="35"/>
        <v>6</v>
      </c>
      <c r="G535" s="4" cm="1">
        <f t="array" ref="G535">IF($C535&gt;=25,F535,IF($C535&lt;16,INDEX(Sheet1!C:C,$F535),$F535))</f>
        <v>6</v>
      </c>
      <c r="H535" s="4" t="str" cm="1">
        <f t="array" ref="H535">INDEX(Sheet1!D:D,$G535)</f>
        <v>t1137.xlsx</v>
      </c>
      <c r="I535" s="4" t="str" cm="1">
        <f t="array" ref="I535">INDEX(Sheet1!E:E,$G535)</f>
        <v>Sheet1</v>
      </c>
      <c r="J535" s="4" t="str" cm="1">
        <f t="array" ref="J535">IF($C535&gt;=25,INDEX(Sheet1!G:G,$G535),INDEX(Sheet1!F:F,$G535))</f>
        <v>B139</v>
      </c>
      <c r="K535" s="4" cm="1">
        <f t="array" ref="K535">INDEX(Sheet1!H:H,$G535)</f>
        <v>1</v>
      </c>
      <c r="L535" s="4">
        <f t="shared" si="32"/>
        <v>24</v>
      </c>
      <c r="M535" s="4">
        <f t="shared" si="33"/>
        <v>0</v>
      </c>
    </row>
    <row r="536" spans="1:13">
      <c r="A536" s="4" t="str" cm="1">
        <f t="array" ref="A536">INDEX(Sheet1!A:A,$F536)</f>
        <v>M</v>
      </c>
      <c r="B536" s="4" t="str" cm="1">
        <f t="array" ref="B536">INDEX(Sheet1!B:B,$F536)</f>
        <v>Undiff NS</v>
      </c>
      <c r="C536" s="4">
        <f t="shared" si="34"/>
        <v>50</v>
      </c>
      <c r="D536" s="5" cm="1">
        <f t="array" aca="1" ref="D536" ca="1">OFFSET(INDIRECT("'["&amp;$H536&amp;"]"&amp;$I536&amp;"'!"&amp;$J536),$L536,$M536)*$K536</f>
        <v>3.32E-3</v>
      </c>
      <c r="F536" s="4">
        <f t="shared" si="35"/>
        <v>6</v>
      </c>
      <c r="G536" s="4" cm="1">
        <f t="array" ref="G536">IF($C536&gt;=25,F536,IF($C536&lt;16,INDEX(Sheet1!C:C,$F536),$F536))</f>
        <v>6</v>
      </c>
      <c r="H536" s="4" t="str" cm="1">
        <f t="array" ref="H536">INDEX(Sheet1!D:D,$G536)</f>
        <v>t1137.xlsx</v>
      </c>
      <c r="I536" s="4" t="str" cm="1">
        <f t="array" ref="I536">INDEX(Sheet1!E:E,$G536)</f>
        <v>Sheet1</v>
      </c>
      <c r="J536" s="4" t="str" cm="1">
        <f t="array" ref="J536">IF($C536&gt;=25,INDEX(Sheet1!G:G,$G536),INDEX(Sheet1!F:F,$G536))</f>
        <v>B139</v>
      </c>
      <c r="K536" s="4" cm="1">
        <f t="array" ref="K536">INDEX(Sheet1!H:H,$G536)</f>
        <v>1</v>
      </c>
      <c r="L536" s="4">
        <f t="shared" si="32"/>
        <v>25</v>
      </c>
      <c r="M536" s="4">
        <f t="shared" si="33"/>
        <v>0</v>
      </c>
    </row>
    <row r="537" spans="1:13">
      <c r="A537" s="4" t="str" cm="1">
        <f t="array" ref="A537">INDEX(Sheet1!A:A,$F537)</f>
        <v>M</v>
      </c>
      <c r="B537" s="4" t="str" cm="1">
        <f t="array" ref="B537">INDEX(Sheet1!B:B,$F537)</f>
        <v>Undiff NS</v>
      </c>
      <c r="C537" s="4">
        <f t="shared" si="34"/>
        <v>51</v>
      </c>
      <c r="D537" s="5" cm="1">
        <f t="array" aca="1" ref="D537" ca="1">OFFSET(INDIRECT("'["&amp;$H537&amp;"]"&amp;$I537&amp;"'!"&amp;$J537),$L537,$M537)*$K537</f>
        <v>3.5899999999999999E-3</v>
      </c>
      <c r="F537" s="4">
        <f t="shared" si="35"/>
        <v>6</v>
      </c>
      <c r="G537" s="4" cm="1">
        <f t="array" ref="G537">IF($C537&gt;=25,F537,IF($C537&lt;16,INDEX(Sheet1!C:C,$F537),$F537))</f>
        <v>6</v>
      </c>
      <c r="H537" s="4" t="str" cm="1">
        <f t="array" ref="H537">INDEX(Sheet1!D:D,$G537)</f>
        <v>t1137.xlsx</v>
      </c>
      <c r="I537" s="4" t="str" cm="1">
        <f t="array" ref="I537">INDEX(Sheet1!E:E,$G537)</f>
        <v>Sheet1</v>
      </c>
      <c r="J537" s="4" t="str" cm="1">
        <f t="array" ref="J537">IF($C537&gt;=25,INDEX(Sheet1!G:G,$G537),INDEX(Sheet1!F:F,$G537))</f>
        <v>B139</v>
      </c>
      <c r="K537" s="4" cm="1">
        <f t="array" ref="K537">INDEX(Sheet1!H:H,$G537)</f>
        <v>1</v>
      </c>
      <c r="L537" s="4">
        <f t="shared" si="32"/>
        <v>26</v>
      </c>
      <c r="M537" s="4">
        <f t="shared" si="33"/>
        <v>0</v>
      </c>
    </row>
    <row r="538" spans="1:13">
      <c r="A538" s="4" t="str" cm="1">
        <f t="array" ref="A538">INDEX(Sheet1!A:A,$F538)</f>
        <v>M</v>
      </c>
      <c r="B538" s="4" t="str" cm="1">
        <f t="array" ref="B538">INDEX(Sheet1!B:B,$F538)</f>
        <v>Undiff NS</v>
      </c>
      <c r="C538" s="4">
        <f t="shared" si="34"/>
        <v>52</v>
      </c>
      <c r="D538" s="5" cm="1">
        <f t="array" aca="1" ref="D538" ca="1">OFFSET(INDIRECT("'["&amp;$H538&amp;"]"&amp;$I538&amp;"'!"&amp;$J538),$L538,$M538)*$K538</f>
        <v>3.96E-3</v>
      </c>
      <c r="F538" s="4">
        <f t="shared" si="35"/>
        <v>6</v>
      </c>
      <c r="G538" s="4" cm="1">
        <f t="array" ref="G538">IF($C538&gt;=25,F538,IF($C538&lt;16,INDEX(Sheet1!C:C,$F538),$F538))</f>
        <v>6</v>
      </c>
      <c r="H538" s="4" t="str" cm="1">
        <f t="array" ref="H538">INDEX(Sheet1!D:D,$G538)</f>
        <v>t1137.xlsx</v>
      </c>
      <c r="I538" s="4" t="str" cm="1">
        <f t="array" ref="I538">INDEX(Sheet1!E:E,$G538)</f>
        <v>Sheet1</v>
      </c>
      <c r="J538" s="4" t="str" cm="1">
        <f t="array" ref="J538">IF($C538&gt;=25,INDEX(Sheet1!G:G,$G538),INDEX(Sheet1!F:F,$G538))</f>
        <v>B139</v>
      </c>
      <c r="K538" s="4" cm="1">
        <f t="array" ref="K538">INDEX(Sheet1!H:H,$G538)</f>
        <v>1</v>
      </c>
      <c r="L538" s="4">
        <f t="shared" si="32"/>
        <v>27</v>
      </c>
      <c r="M538" s="4">
        <f t="shared" si="33"/>
        <v>0</v>
      </c>
    </row>
    <row r="539" spans="1:13">
      <c r="A539" s="4" t="str" cm="1">
        <f t="array" ref="A539">INDEX(Sheet1!A:A,$F539)</f>
        <v>M</v>
      </c>
      <c r="B539" s="4" t="str" cm="1">
        <f t="array" ref="B539">INDEX(Sheet1!B:B,$F539)</f>
        <v>Undiff NS</v>
      </c>
      <c r="C539" s="4">
        <f t="shared" si="34"/>
        <v>53</v>
      </c>
      <c r="D539" s="5" cm="1">
        <f t="array" aca="1" ref="D539" ca="1">OFFSET(INDIRECT("'["&amp;$H539&amp;"]"&amp;$I539&amp;"'!"&amp;$J539),$L539,$M539)*$K539</f>
        <v>4.3600000000000002E-3</v>
      </c>
      <c r="F539" s="4">
        <f t="shared" si="35"/>
        <v>6</v>
      </c>
      <c r="G539" s="4" cm="1">
        <f t="array" ref="G539">IF($C539&gt;=25,F539,IF($C539&lt;16,INDEX(Sheet1!C:C,$F539),$F539))</f>
        <v>6</v>
      </c>
      <c r="H539" s="4" t="str" cm="1">
        <f t="array" ref="H539">INDEX(Sheet1!D:D,$G539)</f>
        <v>t1137.xlsx</v>
      </c>
      <c r="I539" s="4" t="str" cm="1">
        <f t="array" ref="I539">INDEX(Sheet1!E:E,$G539)</f>
        <v>Sheet1</v>
      </c>
      <c r="J539" s="4" t="str" cm="1">
        <f t="array" ref="J539">IF($C539&gt;=25,INDEX(Sheet1!G:G,$G539),INDEX(Sheet1!F:F,$G539))</f>
        <v>B139</v>
      </c>
      <c r="K539" s="4" cm="1">
        <f t="array" ref="K539">INDEX(Sheet1!H:H,$G539)</f>
        <v>1</v>
      </c>
      <c r="L539" s="4">
        <f t="shared" si="32"/>
        <v>28</v>
      </c>
      <c r="M539" s="4">
        <f t="shared" si="33"/>
        <v>0</v>
      </c>
    </row>
    <row r="540" spans="1:13">
      <c r="A540" s="4" t="str" cm="1">
        <f t="array" ref="A540">INDEX(Sheet1!A:A,$F540)</f>
        <v>M</v>
      </c>
      <c r="B540" s="4" t="str" cm="1">
        <f t="array" ref="B540">INDEX(Sheet1!B:B,$F540)</f>
        <v>Undiff NS</v>
      </c>
      <c r="C540" s="4">
        <f t="shared" si="34"/>
        <v>54</v>
      </c>
      <c r="D540" s="5" cm="1">
        <f t="array" aca="1" ref="D540" ca="1">OFFSET(INDIRECT("'["&amp;$H540&amp;"]"&amp;$I540&amp;"'!"&amp;$J540),$L540,$M540)*$K540</f>
        <v>4.8700000000000002E-3</v>
      </c>
      <c r="F540" s="4">
        <f t="shared" si="35"/>
        <v>6</v>
      </c>
      <c r="G540" s="4" cm="1">
        <f t="array" ref="G540">IF($C540&gt;=25,F540,IF($C540&lt;16,INDEX(Sheet1!C:C,$F540),$F540))</f>
        <v>6</v>
      </c>
      <c r="H540" s="4" t="str" cm="1">
        <f t="array" ref="H540">INDEX(Sheet1!D:D,$G540)</f>
        <v>t1137.xlsx</v>
      </c>
      <c r="I540" s="4" t="str" cm="1">
        <f t="array" ref="I540">INDEX(Sheet1!E:E,$G540)</f>
        <v>Sheet1</v>
      </c>
      <c r="J540" s="4" t="str" cm="1">
        <f t="array" ref="J540">IF($C540&gt;=25,INDEX(Sheet1!G:G,$G540),INDEX(Sheet1!F:F,$G540))</f>
        <v>B139</v>
      </c>
      <c r="K540" s="4" cm="1">
        <f t="array" ref="K540">INDEX(Sheet1!H:H,$G540)</f>
        <v>1</v>
      </c>
      <c r="L540" s="4">
        <f t="shared" si="32"/>
        <v>29</v>
      </c>
      <c r="M540" s="4">
        <f t="shared" si="33"/>
        <v>0</v>
      </c>
    </row>
    <row r="541" spans="1:13">
      <c r="A541" s="4" t="str" cm="1">
        <f t="array" ref="A541">INDEX(Sheet1!A:A,$F541)</f>
        <v>M</v>
      </c>
      <c r="B541" s="4" t="str" cm="1">
        <f t="array" ref="B541">INDEX(Sheet1!B:B,$F541)</f>
        <v>Undiff NS</v>
      </c>
      <c r="C541" s="4">
        <f t="shared" si="34"/>
        <v>55</v>
      </c>
      <c r="D541" s="5" cm="1">
        <f t="array" aca="1" ref="D541" ca="1">OFFSET(INDIRECT("'["&amp;$H541&amp;"]"&amp;$I541&amp;"'!"&amp;$J541),$L541,$M541)*$K541</f>
        <v>5.4999999999999997E-3</v>
      </c>
      <c r="F541" s="4">
        <f t="shared" si="35"/>
        <v>6</v>
      </c>
      <c r="G541" s="4" cm="1">
        <f t="array" ref="G541">IF($C541&gt;=25,F541,IF($C541&lt;16,INDEX(Sheet1!C:C,$F541),$F541))</f>
        <v>6</v>
      </c>
      <c r="H541" s="4" t="str" cm="1">
        <f t="array" ref="H541">INDEX(Sheet1!D:D,$G541)</f>
        <v>t1137.xlsx</v>
      </c>
      <c r="I541" s="4" t="str" cm="1">
        <f t="array" ref="I541">INDEX(Sheet1!E:E,$G541)</f>
        <v>Sheet1</v>
      </c>
      <c r="J541" s="4" t="str" cm="1">
        <f t="array" ref="J541">IF($C541&gt;=25,INDEX(Sheet1!G:G,$G541),INDEX(Sheet1!F:F,$G541))</f>
        <v>B139</v>
      </c>
      <c r="K541" s="4" cm="1">
        <f t="array" ref="K541">INDEX(Sheet1!H:H,$G541)</f>
        <v>1</v>
      </c>
      <c r="L541" s="4">
        <f t="shared" si="32"/>
        <v>30</v>
      </c>
      <c r="M541" s="4">
        <f t="shared" si="33"/>
        <v>0</v>
      </c>
    </row>
    <row r="542" spans="1:13">
      <c r="A542" s="4" t="str" cm="1">
        <f t="array" ref="A542">INDEX(Sheet1!A:A,$F542)</f>
        <v>M</v>
      </c>
      <c r="B542" s="4" t="str" cm="1">
        <f t="array" ref="B542">INDEX(Sheet1!B:B,$F542)</f>
        <v>Undiff NS</v>
      </c>
      <c r="C542" s="4">
        <f t="shared" si="34"/>
        <v>56</v>
      </c>
      <c r="D542" s="5" cm="1">
        <f t="array" aca="1" ref="D542" ca="1">OFFSET(INDIRECT("'["&amp;$H542&amp;"]"&amp;$I542&amp;"'!"&amp;$J542),$L542,$M542)*$K542</f>
        <v>6.1399999999999996E-3</v>
      </c>
      <c r="F542" s="4">
        <f t="shared" si="35"/>
        <v>6</v>
      </c>
      <c r="G542" s="4" cm="1">
        <f t="array" ref="G542">IF($C542&gt;=25,F542,IF($C542&lt;16,INDEX(Sheet1!C:C,$F542),$F542))</f>
        <v>6</v>
      </c>
      <c r="H542" s="4" t="str" cm="1">
        <f t="array" ref="H542">INDEX(Sheet1!D:D,$G542)</f>
        <v>t1137.xlsx</v>
      </c>
      <c r="I542" s="4" t="str" cm="1">
        <f t="array" ref="I542">INDEX(Sheet1!E:E,$G542)</f>
        <v>Sheet1</v>
      </c>
      <c r="J542" s="4" t="str" cm="1">
        <f t="array" ref="J542">IF($C542&gt;=25,INDEX(Sheet1!G:G,$G542),INDEX(Sheet1!F:F,$G542))</f>
        <v>B139</v>
      </c>
      <c r="K542" s="4" cm="1">
        <f t="array" ref="K542">INDEX(Sheet1!H:H,$G542)</f>
        <v>1</v>
      </c>
      <c r="L542" s="4">
        <f t="shared" si="32"/>
        <v>31</v>
      </c>
      <c r="M542" s="4">
        <f t="shared" si="33"/>
        <v>0</v>
      </c>
    </row>
    <row r="543" spans="1:13">
      <c r="A543" s="4" t="str" cm="1">
        <f t="array" ref="A543">INDEX(Sheet1!A:A,$F543)</f>
        <v>M</v>
      </c>
      <c r="B543" s="4" t="str" cm="1">
        <f t="array" ref="B543">INDEX(Sheet1!B:B,$F543)</f>
        <v>Undiff NS</v>
      </c>
      <c r="C543" s="4">
        <f t="shared" si="34"/>
        <v>57</v>
      </c>
      <c r="D543" s="5" cm="1">
        <f t="array" aca="1" ref="D543" ca="1">OFFSET(INDIRECT("'["&amp;$H543&amp;"]"&amp;$I543&amp;"'!"&amp;$J543),$L543,$M543)*$K543</f>
        <v>6.8300000000000001E-3</v>
      </c>
      <c r="F543" s="4">
        <f t="shared" si="35"/>
        <v>6</v>
      </c>
      <c r="G543" s="4" cm="1">
        <f t="array" ref="G543">IF($C543&gt;=25,F543,IF($C543&lt;16,INDEX(Sheet1!C:C,$F543),$F543))</f>
        <v>6</v>
      </c>
      <c r="H543" s="4" t="str" cm="1">
        <f t="array" ref="H543">INDEX(Sheet1!D:D,$G543)</f>
        <v>t1137.xlsx</v>
      </c>
      <c r="I543" s="4" t="str" cm="1">
        <f t="array" ref="I543">INDEX(Sheet1!E:E,$G543)</f>
        <v>Sheet1</v>
      </c>
      <c r="J543" s="4" t="str" cm="1">
        <f t="array" ref="J543">IF($C543&gt;=25,INDEX(Sheet1!G:G,$G543),INDEX(Sheet1!F:F,$G543))</f>
        <v>B139</v>
      </c>
      <c r="K543" s="4" cm="1">
        <f t="array" ref="K543">INDEX(Sheet1!H:H,$G543)</f>
        <v>1</v>
      </c>
      <c r="L543" s="4">
        <f t="shared" si="32"/>
        <v>32</v>
      </c>
      <c r="M543" s="4">
        <f t="shared" si="33"/>
        <v>0</v>
      </c>
    </row>
    <row r="544" spans="1:13">
      <c r="A544" s="4" t="str" cm="1">
        <f t="array" ref="A544">INDEX(Sheet1!A:A,$F544)</f>
        <v>M</v>
      </c>
      <c r="B544" s="4" t="str" cm="1">
        <f t="array" ref="B544">INDEX(Sheet1!B:B,$F544)</f>
        <v>Undiff NS</v>
      </c>
      <c r="C544" s="4">
        <f t="shared" si="34"/>
        <v>58</v>
      </c>
      <c r="D544" s="5" cm="1">
        <f t="array" aca="1" ref="D544" ca="1">OFFSET(INDIRECT("'["&amp;$H544&amp;"]"&amp;$I544&amp;"'!"&amp;$J544),$L544,$M544)*$K544</f>
        <v>7.4200000000000004E-3</v>
      </c>
      <c r="F544" s="4">
        <f t="shared" si="35"/>
        <v>6</v>
      </c>
      <c r="G544" s="4" cm="1">
        <f t="array" ref="G544">IF($C544&gt;=25,F544,IF($C544&lt;16,INDEX(Sheet1!C:C,$F544),$F544))</f>
        <v>6</v>
      </c>
      <c r="H544" s="4" t="str" cm="1">
        <f t="array" ref="H544">INDEX(Sheet1!D:D,$G544)</f>
        <v>t1137.xlsx</v>
      </c>
      <c r="I544" s="4" t="str" cm="1">
        <f t="array" ref="I544">INDEX(Sheet1!E:E,$G544)</f>
        <v>Sheet1</v>
      </c>
      <c r="J544" s="4" t="str" cm="1">
        <f t="array" ref="J544">IF($C544&gt;=25,INDEX(Sheet1!G:G,$G544),INDEX(Sheet1!F:F,$G544))</f>
        <v>B139</v>
      </c>
      <c r="K544" s="4" cm="1">
        <f t="array" ref="K544">INDEX(Sheet1!H:H,$G544)</f>
        <v>1</v>
      </c>
      <c r="L544" s="4">
        <f t="shared" si="32"/>
        <v>33</v>
      </c>
      <c r="M544" s="4">
        <f t="shared" si="33"/>
        <v>0</v>
      </c>
    </row>
    <row r="545" spans="1:13">
      <c r="A545" s="4" t="str" cm="1">
        <f t="array" ref="A545">INDEX(Sheet1!A:A,$F545)</f>
        <v>M</v>
      </c>
      <c r="B545" s="4" t="str" cm="1">
        <f t="array" ref="B545">INDEX(Sheet1!B:B,$F545)</f>
        <v>Undiff NS</v>
      </c>
      <c r="C545" s="4">
        <f t="shared" si="34"/>
        <v>59</v>
      </c>
      <c r="D545" s="5" cm="1">
        <f t="array" aca="1" ref="D545" ca="1">OFFSET(INDIRECT("'["&amp;$H545&amp;"]"&amp;$I545&amp;"'!"&amp;$J545),$L545,$M545)*$K545</f>
        <v>8.0999999999999996E-3</v>
      </c>
      <c r="F545" s="4">
        <f t="shared" si="35"/>
        <v>6</v>
      </c>
      <c r="G545" s="4" cm="1">
        <f t="array" ref="G545">IF($C545&gt;=25,F545,IF($C545&lt;16,INDEX(Sheet1!C:C,$F545),$F545))</f>
        <v>6</v>
      </c>
      <c r="H545" s="4" t="str" cm="1">
        <f t="array" ref="H545">INDEX(Sheet1!D:D,$G545)</f>
        <v>t1137.xlsx</v>
      </c>
      <c r="I545" s="4" t="str" cm="1">
        <f t="array" ref="I545">INDEX(Sheet1!E:E,$G545)</f>
        <v>Sheet1</v>
      </c>
      <c r="J545" s="4" t="str" cm="1">
        <f t="array" ref="J545">IF($C545&gt;=25,INDEX(Sheet1!G:G,$G545),INDEX(Sheet1!F:F,$G545))</f>
        <v>B139</v>
      </c>
      <c r="K545" s="4" cm="1">
        <f t="array" ref="K545">INDEX(Sheet1!H:H,$G545)</f>
        <v>1</v>
      </c>
      <c r="L545" s="4">
        <f t="shared" si="32"/>
        <v>34</v>
      </c>
      <c r="M545" s="4">
        <f t="shared" si="33"/>
        <v>0</v>
      </c>
    </row>
    <row r="546" spans="1:13">
      <c r="A546" s="4" t="str" cm="1">
        <f t="array" ref="A546">INDEX(Sheet1!A:A,$F546)</f>
        <v>M</v>
      </c>
      <c r="B546" s="4" t="str" cm="1">
        <f t="array" ref="B546">INDEX(Sheet1!B:B,$F546)</f>
        <v>Undiff NS</v>
      </c>
      <c r="C546" s="4">
        <f t="shared" si="34"/>
        <v>60</v>
      </c>
      <c r="D546" s="5" cm="1">
        <f t="array" aca="1" ref="D546" ca="1">OFFSET(INDIRECT("'["&amp;$H546&amp;"]"&amp;$I546&amp;"'!"&amp;$J546),$L546,$M546)*$K546</f>
        <v>8.9200000000000008E-3</v>
      </c>
      <c r="F546" s="4">
        <f t="shared" si="35"/>
        <v>6</v>
      </c>
      <c r="G546" s="4" cm="1">
        <f t="array" ref="G546">IF($C546&gt;=25,F546,IF($C546&lt;16,INDEX(Sheet1!C:C,$F546),$F546))</f>
        <v>6</v>
      </c>
      <c r="H546" s="4" t="str" cm="1">
        <f t="array" ref="H546">INDEX(Sheet1!D:D,$G546)</f>
        <v>t1137.xlsx</v>
      </c>
      <c r="I546" s="4" t="str" cm="1">
        <f t="array" ref="I546">INDEX(Sheet1!E:E,$G546)</f>
        <v>Sheet1</v>
      </c>
      <c r="J546" s="4" t="str" cm="1">
        <f t="array" ref="J546">IF($C546&gt;=25,INDEX(Sheet1!G:G,$G546),INDEX(Sheet1!F:F,$G546))</f>
        <v>B139</v>
      </c>
      <c r="K546" s="4" cm="1">
        <f t="array" ref="K546">INDEX(Sheet1!H:H,$G546)</f>
        <v>1</v>
      </c>
      <c r="L546" s="4">
        <f t="shared" si="32"/>
        <v>35</v>
      </c>
      <c r="M546" s="4">
        <f t="shared" si="33"/>
        <v>0</v>
      </c>
    </row>
    <row r="547" spans="1:13">
      <c r="A547" s="4" t="str" cm="1">
        <f t="array" ref="A547">INDEX(Sheet1!A:A,$F547)</f>
        <v>M</v>
      </c>
      <c r="B547" s="4" t="str" cm="1">
        <f t="array" ref="B547">INDEX(Sheet1!B:B,$F547)</f>
        <v>Undiff NS</v>
      </c>
      <c r="C547" s="4">
        <f t="shared" si="34"/>
        <v>61</v>
      </c>
      <c r="D547" s="5" cm="1">
        <f t="array" aca="1" ref="D547" ca="1">OFFSET(INDIRECT("'["&amp;$H547&amp;"]"&amp;$I547&amp;"'!"&amp;$J547),$L547,$M547)*$K547</f>
        <v>9.92E-3</v>
      </c>
      <c r="F547" s="4">
        <f t="shared" si="35"/>
        <v>6</v>
      </c>
      <c r="G547" s="4" cm="1">
        <f t="array" ref="G547">IF($C547&gt;=25,F547,IF($C547&lt;16,INDEX(Sheet1!C:C,$F547),$F547))</f>
        <v>6</v>
      </c>
      <c r="H547" s="4" t="str" cm="1">
        <f t="array" ref="H547">INDEX(Sheet1!D:D,$G547)</f>
        <v>t1137.xlsx</v>
      </c>
      <c r="I547" s="4" t="str" cm="1">
        <f t="array" ref="I547">INDEX(Sheet1!E:E,$G547)</f>
        <v>Sheet1</v>
      </c>
      <c r="J547" s="4" t="str" cm="1">
        <f t="array" ref="J547">IF($C547&gt;=25,INDEX(Sheet1!G:G,$G547),INDEX(Sheet1!F:F,$G547))</f>
        <v>B139</v>
      </c>
      <c r="K547" s="4" cm="1">
        <f t="array" ref="K547">INDEX(Sheet1!H:H,$G547)</f>
        <v>1</v>
      </c>
      <c r="L547" s="4">
        <f t="shared" si="32"/>
        <v>36</v>
      </c>
      <c r="M547" s="4">
        <f t="shared" si="33"/>
        <v>0</v>
      </c>
    </row>
    <row r="548" spans="1:13">
      <c r="A548" s="4" t="str" cm="1">
        <f t="array" ref="A548">INDEX(Sheet1!A:A,$F548)</f>
        <v>M</v>
      </c>
      <c r="B548" s="4" t="str" cm="1">
        <f t="array" ref="B548">INDEX(Sheet1!B:B,$F548)</f>
        <v>Undiff NS</v>
      </c>
      <c r="C548" s="4">
        <f t="shared" si="34"/>
        <v>62</v>
      </c>
      <c r="D548" s="5" cm="1">
        <f t="array" aca="1" ref="D548" ca="1">OFFSET(INDIRECT("'["&amp;$H548&amp;"]"&amp;$I548&amp;"'!"&amp;$J548),$L548,$M548)*$K548</f>
        <v>1.1140000000000001E-2</v>
      </c>
      <c r="F548" s="4">
        <f t="shared" si="35"/>
        <v>6</v>
      </c>
      <c r="G548" s="4" cm="1">
        <f t="array" ref="G548">IF($C548&gt;=25,F548,IF($C548&lt;16,INDEX(Sheet1!C:C,$F548),$F548))</f>
        <v>6</v>
      </c>
      <c r="H548" s="4" t="str" cm="1">
        <f t="array" ref="H548">INDEX(Sheet1!D:D,$G548)</f>
        <v>t1137.xlsx</v>
      </c>
      <c r="I548" s="4" t="str" cm="1">
        <f t="array" ref="I548">INDEX(Sheet1!E:E,$G548)</f>
        <v>Sheet1</v>
      </c>
      <c r="J548" s="4" t="str" cm="1">
        <f t="array" ref="J548">IF($C548&gt;=25,INDEX(Sheet1!G:G,$G548),INDEX(Sheet1!F:F,$G548))</f>
        <v>B139</v>
      </c>
      <c r="K548" s="4" cm="1">
        <f t="array" ref="K548">INDEX(Sheet1!H:H,$G548)</f>
        <v>1</v>
      </c>
      <c r="L548" s="4">
        <f t="shared" si="32"/>
        <v>37</v>
      </c>
      <c r="M548" s="4">
        <f t="shared" si="33"/>
        <v>0</v>
      </c>
    </row>
    <row r="549" spans="1:13">
      <c r="A549" s="4" t="str" cm="1">
        <f t="array" ref="A549">INDEX(Sheet1!A:A,$F549)</f>
        <v>M</v>
      </c>
      <c r="B549" s="4" t="str" cm="1">
        <f t="array" ref="B549">INDEX(Sheet1!B:B,$F549)</f>
        <v>Undiff NS</v>
      </c>
      <c r="C549" s="4">
        <f t="shared" si="34"/>
        <v>63</v>
      </c>
      <c r="D549" s="5" cm="1">
        <f t="array" aca="1" ref="D549" ca="1">OFFSET(INDIRECT("'["&amp;$H549&amp;"]"&amp;$I549&amp;"'!"&amp;$J549),$L549,$M549)*$K549</f>
        <v>1.251E-2</v>
      </c>
      <c r="F549" s="4">
        <f t="shared" si="35"/>
        <v>6</v>
      </c>
      <c r="G549" s="4" cm="1">
        <f t="array" ref="G549">IF($C549&gt;=25,F549,IF($C549&lt;16,INDEX(Sheet1!C:C,$F549),$F549))</f>
        <v>6</v>
      </c>
      <c r="H549" s="4" t="str" cm="1">
        <f t="array" ref="H549">INDEX(Sheet1!D:D,$G549)</f>
        <v>t1137.xlsx</v>
      </c>
      <c r="I549" s="4" t="str" cm="1">
        <f t="array" ref="I549">INDEX(Sheet1!E:E,$G549)</f>
        <v>Sheet1</v>
      </c>
      <c r="J549" s="4" t="str" cm="1">
        <f t="array" ref="J549">IF($C549&gt;=25,INDEX(Sheet1!G:G,$G549),INDEX(Sheet1!F:F,$G549))</f>
        <v>B139</v>
      </c>
      <c r="K549" s="4" cm="1">
        <f t="array" ref="K549">INDEX(Sheet1!H:H,$G549)</f>
        <v>1</v>
      </c>
      <c r="L549" s="4">
        <f t="shared" si="32"/>
        <v>38</v>
      </c>
      <c r="M549" s="4">
        <f t="shared" si="33"/>
        <v>0</v>
      </c>
    </row>
    <row r="550" spans="1:13">
      <c r="A550" s="4" t="str" cm="1">
        <f t="array" ref="A550">INDEX(Sheet1!A:A,$F550)</f>
        <v>M</v>
      </c>
      <c r="B550" s="4" t="str" cm="1">
        <f t="array" ref="B550">INDEX(Sheet1!B:B,$F550)</f>
        <v>Undiff NS</v>
      </c>
      <c r="C550" s="4">
        <f t="shared" si="34"/>
        <v>64</v>
      </c>
      <c r="D550" s="5" cm="1">
        <f t="array" aca="1" ref="D550" ca="1">OFFSET(INDIRECT("'["&amp;$H550&amp;"]"&amp;$I550&amp;"'!"&amp;$J550),$L550,$M550)*$K550</f>
        <v>1.3950000000000001E-2</v>
      </c>
      <c r="F550" s="4">
        <f t="shared" si="35"/>
        <v>6</v>
      </c>
      <c r="G550" s="4" cm="1">
        <f t="array" ref="G550">IF($C550&gt;=25,F550,IF($C550&lt;16,INDEX(Sheet1!C:C,$F550),$F550))</f>
        <v>6</v>
      </c>
      <c r="H550" s="4" t="str" cm="1">
        <f t="array" ref="H550">INDEX(Sheet1!D:D,$G550)</f>
        <v>t1137.xlsx</v>
      </c>
      <c r="I550" s="4" t="str" cm="1">
        <f t="array" ref="I550">INDEX(Sheet1!E:E,$G550)</f>
        <v>Sheet1</v>
      </c>
      <c r="J550" s="4" t="str" cm="1">
        <f t="array" ref="J550">IF($C550&gt;=25,INDEX(Sheet1!G:G,$G550),INDEX(Sheet1!F:F,$G550))</f>
        <v>B139</v>
      </c>
      <c r="K550" s="4" cm="1">
        <f t="array" ref="K550">INDEX(Sheet1!H:H,$G550)</f>
        <v>1</v>
      </c>
      <c r="L550" s="4">
        <f t="shared" si="32"/>
        <v>39</v>
      </c>
      <c r="M550" s="4">
        <f t="shared" si="33"/>
        <v>0</v>
      </c>
    </row>
    <row r="551" spans="1:13">
      <c r="A551" s="4" t="str" cm="1">
        <f t="array" ref="A551">INDEX(Sheet1!A:A,$F551)</f>
        <v>M</v>
      </c>
      <c r="B551" s="4" t="str" cm="1">
        <f t="array" ref="B551">INDEX(Sheet1!B:B,$F551)</f>
        <v>Undiff NS</v>
      </c>
      <c r="C551" s="4">
        <f t="shared" si="34"/>
        <v>65</v>
      </c>
      <c r="D551" s="5" cm="1">
        <f t="array" aca="1" ref="D551" ca="1">OFFSET(INDIRECT("'["&amp;$H551&amp;"]"&amp;$I551&amp;"'!"&amp;$J551),$L551,$M551)*$K551</f>
        <v>1.5469999999999999E-2</v>
      </c>
      <c r="F551" s="4">
        <f t="shared" si="35"/>
        <v>6</v>
      </c>
      <c r="G551" s="4" cm="1">
        <f t="array" ref="G551">IF($C551&gt;=25,F551,IF($C551&lt;16,INDEX(Sheet1!C:C,$F551),$F551))</f>
        <v>6</v>
      </c>
      <c r="H551" s="4" t="str" cm="1">
        <f t="array" ref="H551">INDEX(Sheet1!D:D,$G551)</f>
        <v>t1137.xlsx</v>
      </c>
      <c r="I551" s="4" t="str" cm="1">
        <f t="array" ref="I551">INDEX(Sheet1!E:E,$G551)</f>
        <v>Sheet1</v>
      </c>
      <c r="J551" s="4" t="str" cm="1">
        <f t="array" ref="J551">IF($C551&gt;=25,INDEX(Sheet1!G:G,$G551),INDEX(Sheet1!F:F,$G551))</f>
        <v>B139</v>
      </c>
      <c r="K551" s="4" cm="1">
        <f t="array" ref="K551">INDEX(Sheet1!H:H,$G551)</f>
        <v>1</v>
      </c>
      <c r="L551" s="4">
        <f t="shared" si="32"/>
        <v>40</v>
      </c>
      <c r="M551" s="4">
        <f t="shared" si="33"/>
        <v>0</v>
      </c>
    </row>
    <row r="552" spans="1:13">
      <c r="A552" s="4" t="str" cm="1">
        <f t="array" ref="A552">INDEX(Sheet1!A:A,$F552)</f>
        <v>M</v>
      </c>
      <c r="B552" s="4" t="str" cm="1">
        <f t="array" ref="B552">INDEX(Sheet1!B:B,$F552)</f>
        <v>Undiff NS</v>
      </c>
      <c r="C552" s="4">
        <f t="shared" si="34"/>
        <v>66</v>
      </c>
      <c r="D552" s="5" cm="1">
        <f t="array" aca="1" ref="D552" ca="1">OFFSET(INDIRECT("'["&amp;$H552&amp;"]"&amp;$I552&amp;"'!"&amp;$J552),$L552,$M552)*$K552</f>
        <v>1.7010000000000001E-2</v>
      </c>
      <c r="F552" s="4">
        <f t="shared" si="35"/>
        <v>6</v>
      </c>
      <c r="G552" s="4" cm="1">
        <f t="array" ref="G552">IF($C552&gt;=25,F552,IF($C552&lt;16,INDEX(Sheet1!C:C,$F552),$F552))</f>
        <v>6</v>
      </c>
      <c r="H552" s="4" t="str" cm="1">
        <f t="array" ref="H552">INDEX(Sheet1!D:D,$G552)</f>
        <v>t1137.xlsx</v>
      </c>
      <c r="I552" s="4" t="str" cm="1">
        <f t="array" ref="I552">INDEX(Sheet1!E:E,$G552)</f>
        <v>Sheet1</v>
      </c>
      <c r="J552" s="4" t="str" cm="1">
        <f t="array" ref="J552">IF($C552&gt;=25,INDEX(Sheet1!G:G,$G552),INDEX(Sheet1!F:F,$G552))</f>
        <v>B139</v>
      </c>
      <c r="K552" s="4" cm="1">
        <f t="array" ref="K552">INDEX(Sheet1!H:H,$G552)</f>
        <v>1</v>
      </c>
      <c r="L552" s="4">
        <f t="shared" si="32"/>
        <v>41</v>
      </c>
      <c r="M552" s="4">
        <f t="shared" si="33"/>
        <v>0</v>
      </c>
    </row>
    <row r="553" spans="1:13">
      <c r="A553" s="4" t="str" cm="1">
        <f t="array" ref="A553">INDEX(Sheet1!A:A,$F553)</f>
        <v>M</v>
      </c>
      <c r="B553" s="4" t="str" cm="1">
        <f t="array" ref="B553">INDEX(Sheet1!B:B,$F553)</f>
        <v>Undiff NS</v>
      </c>
      <c r="C553" s="4">
        <f t="shared" si="34"/>
        <v>67</v>
      </c>
      <c r="D553" s="5" cm="1">
        <f t="array" aca="1" ref="D553" ca="1">OFFSET(INDIRECT("'["&amp;$H553&amp;"]"&amp;$I553&amp;"'!"&amp;$J553),$L553,$M553)*$K553</f>
        <v>1.857E-2</v>
      </c>
      <c r="F553" s="4">
        <f t="shared" si="35"/>
        <v>6</v>
      </c>
      <c r="G553" s="4" cm="1">
        <f t="array" ref="G553">IF($C553&gt;=25,F553,IF($C553&lt;16,INDEX(Sheet1!C:C,$F553),$F553))</f>
        <v>6</v>
      </c>
      <c r="H553" s="4" t="str" cm="1">
        <f t="array" ref="H553">INDEX(Sheet1!D:D,$G553)</f>
        <v>t1137.xlsx</v>
      </c>
      <c r="I553" s="4" t="str" cm="1">
        <f t="array" ref="I553">INDEX(Sheet1!E:E,$G553)</f>
        <v>Sheet1</v>
      </c>
      <c r="J553" s="4" t="str" cm="1">
        <f t="array" ref="J553">IF($C553&gt;=25,INDEX(Sheet1!G:G,$G553),INDEX(Sheet1!F:F,$G553))</f>
        <v>B139</v>
      </c>
      <c r="K553" s="4" cm="1">
        <f t="array" ref="K553">INDEX(Sheet1!H:H,$G553)</f>
        <v>1</v>
      </c>
      <c r="L553" s="4">
        <f t="shared" si="32"/>
        <v>42</v>
      </c>
      <c r="M553" s="4">
        <f t="shared" si="33"/>
        <v>0</v>
      </c>
    </row>
    <row r="554" spans="1:13">
      <c r="A554" s="4" t="str" cm="1">
        <f t="array" ref="A554">INDEX(Sheet1!A:A,$F554)</f>
        <v>M</v>
      </c>
      <c r="B554" s="4" t="str" cm="1">
        <f t="array" ref="B554">INDEX(Sheet1!B:B,$F554)</f>
        <v>Undiff NS</v>
      </c>
      <c r="C554" s="4">
        <f t="shared" si="34"/>
        <v>68</v>
      </c>
      <c r="D554" s="5" cm="1">
        <f t="array" aca="1" ref="D554" ca="1">OFFSET(INDIRECT("'["&amp;$H554&amp;"]"&amp;$I554&amp;"'!"&amp;$J554),$L554,$M554)*$K554</f>
        <v>2.0250000000000001E-2</v>
      </c>
      <c r="F554" s="4">
        <f t="shared" si="35"/>
        <v>6</v>
      </c>
      <c r="G554" s="4" cm="1">
        <f t="array" ref="G554">IF($C554&gt;=25,F554,IF($C554&lt;16,INDEX(Sheet1!C:C,$F554),$F554))</f>
        <v>6</v>
      </c>
      <c r="H554" s="4" t="str" cm="1">
        <f t="array" ref="H554">INDEX(Sheet1!D:D,$G554)</f>
        <v>t1137.xlsx</v>
      </c>
      <c r="I554" s="4" t="str" cm="1">
        <f t="array" ref="I554">INDEX(Sheet1!E:E,$G554)</f>
        <v>Sheet1</v>
      </c>
      <c r="J554" s="4" t="str" cm="1">
        <f t="array" ref="J554">IF($C554&gt;=25,INDEX(Sheet1!G:G,$G554),INDEX(Sheet1!F:F,$G554))</f>
        <v>B139</v>
      </c>
      <c r="K554" s="4" cm="1">
        <f t="array" ref="K554">INDEX(Sheet1!H:H,$G554)</f>
        <v>1</v>
      </c>
      <c r="L554" s="4">
        <f t="shared" si="32"/>
        <v>43</v>
      </c>
      <c r="M554" s="4">
        <f t="shared" si="33"/>
        <v>0</v>
      </c>
    </row>
    <row r="555" spans="1:13">
      <c r="A555" s="4" t="str" cm="1">
        <f t="array" ref="A555">INDEX(Sheet1!A:A,$F555)</f>
        <v>M</v>
      </c>
      <c r="B555" s="4" t="str" cm="1">
        <f t="array" ref="B555">INDEX(Sheet1!B:B,$F555)</f>
        <v>Undiff NS</v>
      </c>
      <c r="C555" s="4">
        <f t="shared" si="34"/>
        <v>69</v>
      </c>
      <c r="D555" s="5" cm="1">
        <f t="array" aca="1" ref="D555" ca="1">OFFSET(INDIRECT("'["&amp;$H555&amp;"]"&amp;$I555&amp;"'!"&amp;$J555),$L555,$M555)*$K555</f>
        <v>2.1989999999999999E-2</v>
      </c>
      <c r="F555" s="4">
        <f t="shared" si="35"/>
        <v>6</v>
      </c>
      <c r="G555" s="4" cm="1">
        <f t="array" ref="G555">IF($C555&gt;=25,F555,IF($C555&lt;16,INDEX(Sheet1!C:C,$F555),$F555))</f>
        <v>6</v>
      </c>
      <c r="H555" s="4" t="str" cm="1">
        <f t="array" ref="H555">INDEX(Sheet1!D:D,$G555)</f>
        <v>t1137.xlsx</v>
      </c>
      <c r="I555" s="4" t="str" cm="1">
        <f t="array" ref="I555">INDEX(Sheet1!E:E,$G555)</f>
        <v>Sheet1</v>
      </c>
      <c r="J555" s="4" t="str" cm="1">
        <f t="array" ref="J555">IF($C555&gt;=25,INDEX(Sheet1!G:G,$G555),INDEX(Sheet1!F:F,$G555))</f>
        <v>B139</v>
      </c>
      <c r="K555" s="4" cm="1">
        <f t="array" ref="K555">INDEX(Sheet1!H:H,$G555)</f>
        <v>1</v>
      </c>
      <c r="L555" s="4">
        <f t="shared" si="32"/>
        <v>44</v>
      </c>
      <c r="M555" s="4">
        <f t="shared" si="33"/>
        <v>0</v>
      </c>
    </row>
    <row r="556" spans="1:13">
      <c r="A556" s="4" t="str" cm="1">
        <f t="array" ref="A556">INDEX(Sheet1!A:A,$F556)</f>
        <v>M</v>
      </c>
      <c r="B556" s="4" t="str" cm="1">
        <f t="array" ref="B556">INDEX(Sheet1!B:B,$F556)</f>
        <v>Undiff NS</v>
      </c>
      <c r="C556" s="4">
        <f t="shared" si="34"/>
        <v>70</v>
      </c>
      <c r="D556" s="5" cm="1">
        <f t="array" aca="1" ref="D556" ca="1">OFFSET(INDIRECT("'["&amp;$H556&amp;"]"&amp;$I556&amp;"'!"&amp;$J556),$L556,$M556)*$K556</f>
        <v>2.41E-2</v>
      </c>
      <c r="F556" s="4">
        <f t="shared" si="35"/>
        <v>6</v>
      </c>
      <c r="G556" s="4" cm="1">
        <f t="array" ref="G556">IF($C556&gt;=25,F556,IF($C556&lt;16,INDEX(Sheet1!C:C,$F556),$F556))</f>
        <v>6</v>
      </c>
      <c r="H556" s="4" t="str" cm="1">
        <f t="array" ref="H556">INDEX(Sheet1!D:D,$G556)</f>
        <v>t1137.xlsx</v>
      </c>
      <c r="I556" s="4" t="str" cm="1">
        <f t="array" ref="I556">INDEX(Sheet1!E:E,$G556)</f>
        <v>Sheet1</v>
      </c>
      <c r="J556" s="4" t="str" cm="1">
        <f t="array" ref="J556">IF($C556&gt;=25,INDEX(Sheet1!G:G,$G556),INDEX(Sheet1!F:F,$G556))</f>
        <v>B139</v>
      </c>
      <c r="K556" s="4" cm="1">
        <f t="array" ref="K556">INDEX(Sheet1!H:H,$G556)</f>
        <v>1</v>
      </c>
      <c r="L556" s="4">
        <f t="shared" si="32"/>
        <v>45</v>
      </c>
      <c r="M556" s="4">
        <f t="shared" si="33"/>
        <v>0</v>
      </c>
    </row>
    <row r="557" spans="1:13">
      <c r="A557" s="4" t="str" cm="1">
        <f t="array" ref="A557">INDEX(Sheet1!A:A,$F557)</f>
        <v>M</v>
      </c>
      <c r="B557" s="4" t="str" cm="1">
        <f t="array" ref="B557">INDEX(Sheet1!B:B,$F557)</f>
        <v>Undiff NS</v>
      </c>
      <c r="C557" s="4">
        <f t="shared" si="34"/>
        <v>71</v>
      </c>
      <c r="D557" s="5" cm="1">
        <f t="array" aca="1" ref="D557" ca="1">OFFSET(INDIRECT("'["&amp;$H557&amp;"]"&amp;$I557&amp;"'!"&amp;$J557),$L557,$M557)*$K557</f>
        <v>2.6460000000000001E-2</v>
      </c>
      <c r="F557" s="4">
        <f t="shared" si="35"/>
        <v>6</v>
      </c>
      <c r="G557" s="4" cm="1">
        <f t="array" ref="G557">IF($C557&gt;=25,F557,IF($C557&lt;16,INDEX(Sheet1!C:C,$F557),$F557))</f>
        <v>6</v>
      </c>
      <c r="H557" s="4" t="str" cm="1">
        <f t="array" ref="H557">INDEX(Sheet1!D:D,$G557)</f>
        <v>t1137.xlsx</v>
      </c>
      <c r="I557" s="4" t="str" cm="1">
        <f t="array" ref="I557">INDEX(Sheet1!E:E,$G557)</f>
        <v>Sheet1</v>
      </c>
      <c r="J557" s="4" t="str" cm="1">
        <f t="array" ref="J557">IF($C557&gt;=25,INDEX(Sheet1!G:G,$G557),INDEX(Sheet1!F:F,$G557))</f>
        <v>B139</v>
      </c>
      <c r="K557" s="4" cm="1">
        <f t="array" ref="K557">INDEX(Sheet1!H:H,$G557)</f>
        <v>1</v>
      </c>
      <c r="L557" s="4">
        <f t="shared" si="32"/>
        <v>46</v>
      </c>
      <c r="M557" s="4">
        <f t="shared" si="33"/>
        <v>0</v>
      </c>
    </row>
    <row r="558" spans="1:13">
      <c r="A558" s="4" t="str" cm="1">
        <f t="array" ref="A558">INDEX(Sheet1!A:A,$F558)</f>
        <v>M</v>
      </c>
      <c r="B558" s="4" t="str" cm="1">
        <f t="array" ref="B558">INDEX(Sheet1!B:B,$F558)</f>
        <v>Undiff NS</v>
      </c>
      <c r="C558" s="4">
        <f t="shared" si="34"/>
        <v>72</v>
      </c>
      <c r="D558" s="5" cm="1">
        <f t="array" aca="1" ref="D558" ca="1">OFFSET(INDIRECT("'["&amp;$H558&amp;"]"&amp;$I558&amp;"'!"&amp;$J558),$L558,$M558)*$K558</f>
        <v>2.9559999999999999E-2</v>
      </c>
      <c r="F558" s="4">
        <f t="shared" si="35"/>
        <v>6</v>
      </c>
      <c r="G558" s="4" cm="1">
        <f t="array" ref="G558">IF($C558&gt;=25,F558,IF($C558&lt;16,INDEX(Sheet1!C:C,$F558),$F558))</f>
        <v>6</v>
      </c>
      <c r="H558" s="4" t="str" cm="1">
        <f t="array" ref="H558">INDEX(Sheet1!D:D,$G558)</f>
        <v>t1137.xlsx</v>
      </c>
      <c r="I558" s="4" t="str" cm="1">
        <f t="array" ref="I558">INDEX(Sheet1!E:E,$G558)</f>
        <v>Sheet1</v>
      </c>
      <c r="J558" s="4" t="str" cm="1">
        <f t="array" ref="J558">IF($C558&gt;=25,INDEX(Sheet1!G:G,$G558),INDEX(Sheet1!F:F,$G558))</f>
        <v>B139</v>
      </c>
      <c r="K558" s="4" cm="1">
        <f t="array" ref="K558">INDEX(Sheet1!H:H,$G558)</f>
        <v>1</v>
      </c>
      <c r="L558" s="4">
        <f t="shared" si="32"/>
        <v>47</v>
      </c>
      <c r="M558" s="4">
        <f t="shared" si="33"/>
        <v>0</v>
      </c>
    </row>
    <row r="559" spans="1:13">
      <c r="A559" s="4" t="str" cm="1">
        <f t="array" ref="A559">INDEX(Sheet1!A:A,$F559)</f>
        <v>M</v>
      </c>
      <c r="B559" s="4" t="str" cm="1">
        <f t="array" ref="B559">INDEX(Sheet1!B:B,$F559)</f>
        <v>Undiff NS</v>
      </c>
      <c r="C559" s="4">
        <f t="shared" si="34"/>
        <v>73</v>
      </c>
      <c r="D559" s="5" cm="1">
        <f t="array" aca="1" ref="D559" ca="1">OFFSET(INDIRECT("'["&amp;$H559&amp;"]"&amp;$I559&amp;"'!"&amp;$J559),$L559,$M559)*$K559</f>
        <v>3.2829999999999998E-2</v>
      </c>
      <c r="F559" s="4">
        <f t="shared" si="35"/>
        <v>6</v>
      </c>
      <c r="G559" s="4" cm="1">
        <f t="array" ref="G559">IF($C559&gt;=25,F559,IF($C559&lt;16,INDEX(Sheet1!C:C,$F559),$F559))</f>
        <v>6</v>
      </c>
      <c r="H559" s="4" t="str" cm="1">
        <f t="array" ref="H559">INDEX(Sheet1!D:D,$G559)</f>
        <v>t1137.xlsx</v>
      </c>
      <c r="I559" s="4" t="str" cm="1">
        <f t="array" ref="I559">INDEX(Sheet1!E:E,$G559)</f>
        <v>Sheet1</v>
      </c>
      <c r="J559" s="4" t="str" cm="1">
        <f t="array" ref="J559">IF($C559&gt;=25,INDEX(Sheet1!G:G,$G559),INDEX(Sheet1!F:F,$G559))</f>
        <v>B139</v>
      </c>
      <c r="K559" s="4" cm="1">
        <f t="array" ref="K559">INDEX(Sheet1!H:H,$G559)</f>
        <v>1</v>
      </c>
      <c r="L559" s="4">
        <f t="shared" si="32"/>
        <v>48</v>
      </c>
      <c r="M559" s="4">
        <f t="shared" si="33"/>
        <v>0</v>
      </c>
    </row>
    <row r="560" spans="1:13">
      <c r="A560" s="4" t="str" cm="1">
        <f t="array" ref="A560">INDEX(Sheet1!A:A,$F560)</f>
        <v>M</v>
      </c>
      <c r="B560" s="4" t="str" cm="1">
        <f t="array" ref="B560">INDEX(Sheet1!B:B,$F560)</f>
        <v>Undiff NS</v>
      </c>
      <c r="C560" s="4">
        <f t="shared" si="34"/>
        <v>74</v>
      </c>
      <c r="D560" s="5" cm="1">
        <f t="array" aca="1" ref="D560" ca="1">OFFSET(INDIRECT("'["&amp;$H560&amp;"]"&amp;$I560&amp;"'!"&amp;$J560),$L560,$M560)*$K560</f>
        <v>3.6269999999999997E-2</v>
      </c>
      <c r="F560" s="4">
        <f t="shared" si="35"/>
        <v>6</v>
      </c>
      <c r="G560" s="4" cm="1">
        <f t="array" ref="G560">IF($C560&gt;=25,F560,IF($C560&lt;16,INDEX(Sheet1!C:C,$F560),$F560))</f>
        <v>6</v>
      </c>
      <c r="H560" s="4" t="str" cm="1">
        <f t="array" ref="H560">INDEX(Sheet1!D:D,$G560)</f>
        <v>t1137.xlsx</v>
      </c>
      <c r="I560" s="4" t="str" cm="1">
        <f t="array" ref="I560">INDEX(Sheet1!E:E,$G560)</f>
        <v>Sheet1</v>
      </c>
      <c r="J560" s="4" t="str" cm="1">
        <f t="array" ref="J560">IF($C560&gt;=25,INDEX(Sheet1!G:G,$G560),INDEX(Sheet1!F:F,$G560))</f>
        <v>B139</v>
      </c>
      <c r="K560" s="4" cm="1">
        <f t="array" ref="K560">INDEX(Sheet1!H:H,$G560)</f>
        <v>1</v>
      </c>
      <c r="L560" s="4">
        <f t="shared" si="32"/>
        <v>49</v>
      </c>
      <c r="M560" s="4">
        <f t="shared" si="33"/>
        <v>0</v>
      </c>
    </row>
    <row r="561" spans="1:13">
      <c r="A561" s="4" t="str" cm="1">
        <f t="array" ref="A561">INDEX(Sheet1!A:A,$F561)</f>
        <v>M</v>
      </c>
      <c r="B561" s="4" t="str" cm="1">
        <f t="array" ref="B561">INDEX(Sheet1!B:B,$F561)</f>
        <v>Undiff NS</v>
      </c>
      <c r="C561" s="4">
        <f t="shared" si="34"/>
        <v>75</v>
      </c>
      <c r="D561" s="5" cm="1">
        <f t="array" aca="1" ref="D561" ca="1">OFFSET(INDIRECT("'["&amp;$H561&amp;"]"&amp;$I561&amp;"'!"&amp;$J561),$L561,$M561)*$K561</f>
        <v>4.0030000000000003E-2</v>
      </c>
      <c r="F561" s="4">
        <f t="shared" si="35"/>
        <v>6</v>
      </c>
      <c r="G561" s="4" cm="1">
        <f t="array" ref="G561">IF($C561&gt;=25,F561,IF($C561&lt;16,INDEX(Sheet1!C:C,$F561),$F561))</f>
        <v>6</v>
      </c>
      <c r="H561" s="4" t="str" cm="1">
        <f t="array" ref="H561">INDEX(Sheet1!D:D,$G561)</f>
        <v>t1137.xlsx</v>
      </c>
      <c r="I561" s="4" t="str" cm="1">
        <f t="array" ref="I561">INDEX(Sheet1!E:E,$G561)</f>
        <v>Sheet1</v>
      </c>
      <c r="J561" s="4" t="str" cm="1">
        <f t="array" ref="J561">IF($C561&gt;=25,INDEX(Sheet1!G:G,$G561),INDEX(Sheet1!F:F,$G561))</f>
        <v>B139</v>
      </c>
      <c r="K561" s="4" cm="1">
        <f t="array" ref="K561">INDEX(Sheet1!H:H,$G561)</f>
        <v>1</v>
      </c>
      <c r="L561" s="4">
        <f t="shared" si="32"/>
        <v>50</v>
      </c>
      <c r="M561" s="4">
        <f t="shared" si="33"/>
        <v>0</v>
      </c>
    </row>
    <row r="562" spans="1:13">
      <c r="A562" s="4" t="str" cm="1">
        <f t="array" ref="A562">INDEX(Sheet1!A:A,$F562)</f>
        <v>M</v>
      </c>
      <c r="B562" s="4" t="str" cm="1">
        <f t="array" ref="B562">INDEX(Sheet1!B:B,$F562)</f>
        <v>Undiff NS</v>
      </c>
      <c r="C562" s="4">
        <f t="shared" si="34"/>
        <v>76</v>
      </c>
      <c r="D562" s="5" cm="1">
        <f t="array" aca="1" ref="D562" ca="1">OFFSET(INDIRECT("'["&amp;$H562&amp;"]"&amp;$I562&amp;"'!"&amp;$J562),$L562,$M562)*$K562</f>
        <v>4.4130000000000003E-2</v>
      </c>
      <c r="F562" s="4">
        <f t="shared" si="35"/>
        <v>6</v>
      </c>
      <c r="G562" s="4" cm="1">
        <f t="array" ref="G562">IF($C562&gt;=25,F562,IF($C562&lt;16,INDEX(Sheet1!C:C,$F562),$F562))</f>
        <v>6</v>
      </c>
      <c r="H562" s="4" t="str" cm="1">
        <f t="array" ref="H562">INDEX(Sheet1!D:D,$G562)</f>
        <v>t1137.xlsx</v>
      </c>
      <c r="I562" s="4" t="str" cm="1">
        <f t="array" ref="I562">INDEX(Sheet1!E:E,$G562)</f>
        <v>Sheet1</v>
      </c>
      <c r="J562" s="4" t="str" cm="1">
        <f t="array" ref="J562">IF($C562&gt;=25,INDEX(Sheet1!G:G,$G562),INDEX(Sheet1!F:F,$G562))</f>
        <v>B139</v>
      </c>
      <c r="K562" s="4" cm="1">
        <f t="array" ref="K562">INDEX(Sheet1!H:H,$G562)</f>
        <v>1</v>
      </c>
      <c r="L562" s="4">
        <f t="shared" si="32"/>
        <v>51</v>
      </c>
      <c r="M562" s="4">
        <f t="shared" si="33"/>
        <v>0</v>
      </c>
    </row>
    <row r="563" spans="1:13">
      <c r="A563" s="4" t="str" cm="1">
        <f t="array" ref="A563">INDEX(Sheet1!A:A,$F563)</f>
        <v>M</v>
      </c>
      <c r="B563" s="4" t="str" cm="1">
        <f t="array" ref="B563">INDEX(Sheet1!B:B,$F563)</f>
        <v>Undiff NS</v>
      </c>
      <c r="C563" s="4">
        <f t="shared" si="34"/>
        <v>77</v>
      </c>
      <c r="D563" s="5" cm="1">
        <f t="array" aca="1" ref="D563" ca="1">OFFSET(INDIRECT("'["&amp;$H563&amp;"]"&amp;$I563&amp;"'!"&amp;$J563),$L563,$M563)*$K563</f>
        <v>4.8890000000000003E-2</v>
      </c>
      <c r="F563" s="4">
        <f t="shared" si="35"/>
        <v>6</v>
      </c>
      <c r="G563" s="4" cm="1">
        <f t="array" ref="G563">IF($C563&gt;=25,F563,IF($C563&lt;16,INDEX(Sheet1!C:C,$F563),$F563))</f>
        <v>6</v>
      </c>
      <c r="H563" s="4" t="str" cm="1">
        <f t="array" ref="H563">INDEX(Sheet1!D:D,$G563)</f>
        <v>t1137.xlsx</v>
      </c>
      <c r="I563" s="4" t="str" cm="1">
        <f t="array" ref="I563">INDEX(Sheet1!E:E,$G563)</f>
        <v>Sheet1</v>
      </c>
      <c r="J563" s="4" t="str" cm="1">
        <f t="array" ref="J563">IF($C563&gt;=25,INDEX(Sheet1!G:G,$G563),INDEX(Sheet1!F:F,$G563))</f>
        <v>B139</v>
      </c>
      <c r="K563" s="4" cm="1">
        <f t="array" ref="K563">INDEX(Sheet1!H:H,$G563)</f>
        <v>1</v>
      </c>
      <c r="L563" s="4">
        <f t="shared" si="32"/>
        <v>52</v>
      </c>
      <c r="M563" s="4">
        <f t="shared" si="33"/>
        <v>0</v>
      </c>
    </row>
    <row r="564" spans="1:13">
      <c r="A564" s="4" t="str" cm="1">
        <f t="array" ref="A564">INDEX(Sheet1!A:A,$F564)</f>
        <v>M</v>
      </c>
      <c r="B564" s="4" t="str" cm="1">
        <f t="array" ref="B564">INDEX(Sheet1!B:B,$F564)</f>
        <v>Undiff NS</v>
      </c>
      <c r="C564" s="4">
        <f t="shared" si="34"/>
        <v>78</v>
      </c>
      <c r="D564" s="5" cm="1">
        <f t="array" aca="1" ref="D564" ca="1">OFFSET(INDIRECT("'["&amp;$H564&amp;"]"&amp;$I564&amp;"'!"&amp;$J564),$L564,$M564)*$K564</f>
        <v>5.4449999999999998E-2</v>
      </c>
      <c r="F564" s="4">
        <f t="shared" si="35"/>
        <v>6</v>
      </c>
      <c r="G564" s="4" cm="1">
        <f t="array" ref="G564">IF($C564&gt;=25,F564,IF($C564&lt;16,INDEX(Sheet1!C:C,$F564),$F564))</f>
        <v>6</v>
      </c>
      <c r="H564" s="4" t="str" cm="1">
        <f t="array" ref="H564">INDEX(Sheet1!D:D,$G564)</f>
        <v>t1137.xlsx</v>
      </c>
      <c r="I564" s="4" t="str" cm="1">
        <f t="array" ref="I564">INDEX(Sheet1!E:E,$G564)</f>
        <v>Sheet1</v>
      </c>
      <c r="J564" s="4" t="str" cm="1">
        <f t="array" ref="J564">IF($C564&gt;=25,INDEX(Sheet1!G:G,$G564),INDEX(Sheet1!F:F,$G564))</f>
        <v>B139</v>
      </c>
      <c r="K564" s="4" cm="1">
        <f t="array" ref="K564">INDEX(Sheet1!H:H,$G564)</f>
        <v>1</v>
      </c>
      <c r="L564" s="4">
        <f t="shared" si="32"/>
        <v>53</v>
      </c>
      <c r="M564" s="4">
        <f t="shared" si="33"/>
        <v>0</v>
      </c>
    </row>
    <row r="565" spans="1:13">
      <c r="A565" s="4" t="str" cm="1">
        <f t="array" ref="A565">INDEX(Sheet1!A:A,$F565)</f>
        <v>M</v>
      </c>
      <c r="B565" s="4" t="str" cm="1">
        <f t="array" ref="B565">INDEX(Sheet1!B:B,$F565)</f>
        <v>Undiff NS</v>
      </c>
      <c r="C565" s="4">
        <f t="shared" si="34"/>
        <v>79</v>
      </c>
      <c r="D565" s="5" cm="1">
        <f t="array" aca="1" ref="D565" ca="1">OFFSET(INDIRECT("'["&amp;$H565&amp;"]"&amp;$I565&amp;"'!"&amp;$J565),$L565,$M565)*$K565</f>
        <v>6.087E-2</v>
      </c>
      <c r="F565" s="4">
        <f t="shared" si="35"/>
        <v>6</v>
      </c>
      <c r="G565" s="4" cm="1">
        <f t="array" ref="G565">IF($C565&gt;=25,F565,IF($C565&lt;16,INDEX(Sheet1!C:C,$F565),$F565))</f>
        <v>6</v>
      </c>
      <c r="H565" s="4" t="str" cm="1">
        <f t="array" ref="H565">INDEX(Sheet1!D:D,$G565)</f>
        <v>t1137.xlsx</v>
      </c>
      <c r="I565" s="4" t="str" cm="1">
        <f t="array" ref="I565">INDEX(Sheet1!E:E,$G565)</f>
        <v>Sheet1</v>
      </c>
      <c r="J565" s="4" t="str" cm="1">
        <f t="array" ref="J565">IF($C565&gt;=25,INDEX(Sheet1!G:G,$G565),INDEX(Sheet1!F:F,$G565))</f>
        <v>B139</v>
      </c>
      <c r="K565" s="4" cm="1">
        <f t="array" ref="K565">INDEX(Sheet1!H:H,$G565)</f>
        <v>1</v>
      </c>
      <c r="L565" s="4">
        <f t="shared" si="32"/>
        <v>54</v>
      </c>
      <c r="M565" s="4">
        <f t="shared" si="33"/>
        <v>0</v>
      </c>
    </row>
    <row r="566" spans="1:13">
      <c r="A566" s="4" t="str" cm="1">
        <f t="array" ref="A566">INDEX(Sheet1!A:A,$F566)</f>
        <v>M</v>
      </c>
      <c r="B566" s="4" t="str" cm="1">
        <f t="array" ref="B566">INDEX(Sheet1!B:B,$F566)</f>
        <v>Undiff NS</v>
      </c>
      <c r="C566" s="4">
        <f t="shared" si="34"/>
        <v>80</v>
      </c>
      <c r="D566" s="5" cm="1">
        <f t="array" aca="1" ref="D566" ca="1">OFFSET(INDIRECT("'["&amp;$H566&amp;"]"&amp;$I566&amp;"'!"&amp;$J566),$L566,$M566)*$K566</f>
        <v>6.787E-2</v>
      </c>
      <c r="F566" s="4">
        <f t="shared" si="35"/>
        <v>6</v>
      </c>
      <c r="G566" s="4" cm="1">
        <f t="array" ref="G566">IF($C566&gt;=25,F566,IF($C566&lt;16,INDEX(Sheet1!C:C,$F566),$F566))</f>
        <v>6</v>
      </c>
      <c r="H566" s="4" t="str" cm="1">
        <f t="array" ref="H566">INDEX(Sheet1!D:D,$G566)</f>
        <v>t1137.xlsx</v>
      </c>
      <c r="I566" s="4" t="str" cm="1">
        <f t="array" ref="I566">INDEX(Sheet1!E:E,$G566)</f>
        <v>Sheet1</v>
      </c>
      <c r="J566" s="4" t="str" cm="1">
        <f t="array" ref="J566">IF($C566&gt;=25,INDEX(Sheet1!G:G,$G566),INDEX(Sheet1!F:F,$G566))</f>
        <v>B139</v>
      </c>
      <c r="K566" s="4" cm="1">
        <f t="array" ref="K566">INDEX(Sheet1!H:H,$G566)</f>
        <v>1</v>
      </c>
      <c r="L566" s="4">
        <f t="shared" si="32"/>
        <v>55</v>
      </c>
      <c r="M566" s="4">
        <f t="shared" si="33"/>
        <v>0</v>
      </c>
    </row>
    <row r="567" spans="1:13">
      <c r="A567" s="4" t="str" cm="1">
        <f t="array" ref="A567">INDEX(Sheet1!A:A,$F567)</f>
        <v>M</v>
      </c>
      <c r="B567" s="4" t="str" cm="1">
        <f t="array" ref="B567">INDEX(Sheet1!B:B,$F567)</f>
        <v>Undiff NS</v>
      </c>
      <c r="C567" s="4">
        <f t="shared" si="34"/>
        <v>81</v>
      </c>
      <c r="D567" s="5" cm="1">
        <f t="array" aca="1" ref="D567" ca="1">OFFSET(INDIRECT("'["&amp;$H567&amp;"]"&amp;$I567&amp;"'!"&amp;$J567),$L567,$M567)*$K567</f>
        <v>7.5840000000000005E-2</v>
      </c>
      <c r="F567" s="4">
        <f t="shared" si="35"/>
        <v>6</v>
      </c>
      <c r="G567" s="4" cm="1">
        <f t="array" ref="G567">IF($C567&gt;=25,F567,IF($C567&lt;16,INDEX(Sheet1!C:C,$F567),$F567))</f>
        <v>6</v>
      </c>
      <c r="H567" s="4" t="str" cm="1">
        <f t="array" ref="H567">INDEX(Sheet1!D:D,$G567)</f>
        <v>t1137.xlsx</v>
      </c>
      <c r="I567" s="4" t="str" cm="1">
        <f t="array" ref="I567">INDEX(Sheet1!E:E,$G567)</f>
        <v>Sheet1</v>
      </c>
      <c r="J567" s="4" t="str" cm="1">
        <f t="array" ref="J567">IF($C567&gt;=25,INDEX(Sheet1!G:G,$G567),INDEX(Sheet1!F:F,$G567))</f>
        <v>B139</v>
      </c>
      <c r="K567" s="4" cm="1">
        <f t="array" ref="K567">INDEX(Sheet1!H:H,$G567)</f>
        <v>1</v>
      </c>
      <c r="L567" s="4">
        <f t="shared" si="32"/>
        <v>56</v>
      </c>
      <c r="M567" s="4">
        <f t="shared" si="33"/>
        <v>0</v>
      </c>
    </row>
    <row r="568" spans="1:13">
      <c r="A568" s="4" t="str" cm="1">
        <f t="array" ref="A568">INDEX(Sheet1!A:A,$F568)</f>
        <v>M</v>
      </c>
      <c r="B568" s="4" t="str" cm="1">
        <f t="array" ref="B568">INDEX(Sheet1!B:B,$F568)</f>
        <v>Undiff NS</v>
      </c>
      <c r="C568" s="4">
        <f t="shared" si="34"/>
        <v>82</v>
      </c>
      <c r="D568" s="5" cm="1">
        <f t="array" aca="1" ref="D568" ca="1">OFFSET(INDIRECT("'["&amp;$H568&amp;"]"&amp;$I568&amp;"'!"&amp;$J568),$L568,$M568)*$K568</f>
        <v>8.4140000000000006E-2</v>
      </c>
      <c r="F568" s="4">
        <f t="shared" si="35"/>
        <v>6</v>
      </c>
      <c r="G568" s="4" cm="1">
        <f t="array" ref="G568">IF($C568&gt;=25,F568,IF($C568&lt;16,INDEX(Sheet1!C:C,$F568),$F568))</f>
        <v>6</v>
      </c>
      <c r="H568" s="4" t="str" cm="1">
        <f t="array" ref="H568">INDEX(Sheet1!D:D,$G568)</f>
        <v>t1137.xlsx</v>
      </c>
      <c r="I568" s="4" t="str" cm="1">
        <f t="array" ref="I568">INDEX(Sheet1!E:E,$G568)</f>
        <v>Sheet1</v>
      </c>
      <c r="J568" s="4" t="str" cm="1">
        <f t="array" ref="J568">IF($C568&gt;=25,INDEX(Sheet1!G:G,$G568),INDEX(Sheet1!F:F,$G568))</f>
        <v>B139</v>
      </c>
      <c r="K568" s="4" cm="1">
        <f t="array" ref="K568">INDEX(Sheet1!H:H,$G568)</f>
        <v>1</v>
      </c>
      <c r="L568" s="4">
        <f t="shared" si="32"/>
        <v>57</v>
      </c>
      <c r="M568" s="4">
        <f t="shared" si="33"/>
        <v>0</v>
      </c>
    </row>
    <row r="569" spans="1:13">
      <c r="A569" s="4" t="str" cm="1">
        <f t="array" ref="A569">INDEX(Sheet1!A:A,$F569)</f>
        <v>M</v>
      </c>
      <c r="B569" s="4" t="str" cm="1">
        <f t="array" ref="B569">INDEX(Sheet1!B:B,$F569)</f>
        <v>Undiff NS</v>
      </c>
      <c r="C569" s="4">
        <f t="shared" si="34"/>
        <v>83</v>
      </c>
      <c r="D569" s="5" cm="1">
        <f t="array" aca="1" ref="D569" ca="1">OFFSET(INDIRECT("'["&amp;$H569&amp;"]"&amp;$I569&amp;"'!"&amp;$J569),$L569,$M569)*$K569</f>
        <v>9.3090000000000006E-2</v>
      </c>
      <c r="F569" s="4">
        <f t="shared" si="35"/>
        <v>6</v>
      </c>
      <c r="G569" s="4" cm="1">
        <f t="array" ref="G569">IF($C569&gt;=25,F569,IF($C569&lt;16,INDEX(Sheet1!C:C,$F569),$F569))</f>
        <v>6</v>
      </c>
      <c r="H569" s="4" t="str" cm="1">
        <f t="array" ref="H569">INDEX(Sheet1!D:D,$G569)</f>
        <v>t1137.xlsx</v>
      </c>
      <c r="I569" s="4" t="str" cm="1">
        <f t="array" ref="I569">INDEX(Sheet1!E:E,$G569)</f>
        <v>Sheet1</v>
      </c>
      <c r="J569" s="4" t="str" cm="1">
        <f t="array" ref="J569">IF($C569&gt;=25,INDEX(Sheet1!G:G,$G569),INDEX(Sheet1!F:F,$G569))</f>
        <v>B139</v>
      </c>
      <c r="K569" s="4" cm="1">
        <f t="array" ref="K569">INDEX(Sheet1!H:H,$G569)</f>
        <v>1</v>
      </c>
      <c r="L569" s="4">
        <f t="shared" si="32"/>
        <v>58</v>
      </c>
      <c r="M569" s="4">
        <f t="shared" si="33"/>
        <v>0</v>
      </c>
    </row>
    <row r="570" spans="1:13">
      <c r="A570" s="4" t="str" cm="1">
        <f t="array" ref="A570">INDEX(Sheet1!A:A,$F570)</f>
        <v>M</v>
      </c>
      <c r="B570" s="4" t="str" cm="1">
        <f t="array" ref="B570">INDEX(Sheet1!B:B,$F570)</f>
        <v>Undiff NS</v>
      </c>
      <c r="C570" s="4">
        <f t="shared" si="34"/>
        <v>84</v>
      </c>
      <c r="D570" s="5" cm="1">
        <f t="array" aca="1" ref="D570" ca="1">OFFSET(INDIRECT("'["&amp;$H570&amp;"]"&amp;$I570&amp;"'!"&amp;$J570),$L570,$M570)*$K570</f>
        <v>0.10299999999999999</v>
      </c>
      <c r="F570" s="4">
        <f t="shared" si="35"/>
        <v>6</v>
      </c>
      <c r="G570" s="4" cm="1">
        <f t="array" ref="G570">IF($C570&gt;=25,F570,IF($C570&lt;16,INDEX(Sheet1!C:C,$F570),$F570))</f>
        <v>6</v>
      </c>
      <c r="H570" s="4" t="str" cm="1">
        <f t="array" ref="H570">INDEX(Sheet1!D:D,$G570)</f>
        <v>t1137.xlsx</v>
      </c>
      <c r="I570" s="4" t="str" cm="1">
        <f t="array" ref="I570">INDEX(Sheet1!E:E,$G570)</f>
        <v>Sheet1</v>
      </c>
      <c r="J570" s="4" t="str" cm="1">
        <f t="array" ref="J570">IF($C570&gt;=25,INDEX(Sheet1!G:G,$G570),INDEX(Sheet1!F:F,$G570))</f>
        <v>B139</v>
      </c>
      <c r="K570" s="4" cm="1">
        <f t="array" ref="K570">INDEX(Sheet1!H:H,$G570)</f>
        <v>1</v>
      </c>
      <c r="L570" s="4">
        <f t="shared" si="32"/>
        <v>59</v>
      </c>
      <c r="M570" s="4">
        <f t="shared" si="33"/>
        <v>0</v>
      </c>
    </row>
    <row r="571" spans="1:13">
      <c r="A571" s="4" t="str" cm="1">
        <f t="array" ref="A571">INDEX(Sheet1!A:A,$F571)</f>
        <v>M</v>
      </c>
      <c r="B571" s="4" t="str" cm="1">
        <f t="array" ref="B571">INDEX(Sheet1!B:B,$F571)</f>
        <v>Undiff NS</v>
      </c>
      <c r="C571" s="4">
        <f t="shared" si="34"/>
        <v>85</v>
      </c>
      <c r="D571" s="5" cm="1">
        <f t="array" aca="1" ref="D571" ca="1">OFFSET(INDIRECT("'["&amp;$H571&amp;"]"&amp;$I571&amp;"'!"&amp;$J571),$L571,$M571)*$K571</f>
        <v>0.11407</v>
      </c>
      <c r="F571" s="4">
        <f t="shared" si="35"/>
        <v>6</v>
      </c>
      <c r="G571" s="4" cm="1">
        <f t="array" ref="G571">IF($C571&gt;=25,F571,IF($C571&lt;16,INDEX(Sheet1!C:C,$F571),$F571))</f>
        <v>6</v>
      </c>
      <c r="H571" s="4" t="str" cm="1">
        <f t="array" ref="H571">INDEX(Sheet1!D:D,$G571)</f>
        <v>t1137.xlsx</v>
      </c>
      <c r="I571" s="4" t="str" cm="1">
        <f t="array" ref="I571">INDEX(Sheet1!E:E,$G571)</f>
        <v>Sheet1</v>
      </c>
      <c r="J571" s="4" t="str" cm="1">
        <f t="array" ref="J571">IF($C571&gt;=25,INDEX(Sheet1!G:G,$G571),INDEX(Sheet1!F:F,$G571))</f>
        <v>B139</v>
      </c>
      <c r="K571" s="4" cm="1">
        <f t="array" ref="K571">INDEX(Sheet1!H:H,$G571)</f>
        <v>1</v>
      </c>
      <c r="L571" s="4">
        <f t="shared" si="32"/>
        <v>60</v>
      </c>
      <c r="M571" s="4">
        <f t="shared" si="33"/>
        <v>0</v>
      </c>
    </row>
    <row r="572" spans="1:13">
      <c r="A572" s="4" t="str" cm="1">
        <f t="array" ref="A572">INDEX(Sheet1!A:A,$F572)</f>
        <v>M</v>
      </c>
      <c r="B572" s="4" t="str" cm="1">
        <f t="array" ref="B572">INDEX(Sheet1!B:B,$F572)</f>
        <v>Undiff NS</v>
      </c>
      <c r="C572" s="4">
        <f t="shared" si="34"/>
        <v>86</v>
      </c>
      <c r="D572" s="5" cm="1">
        <f t="array" aca="1" ref="D572" ca="1">OFFSET(INDIRECT("'["&amp;$H572&amp;"]"&amp;$I572&amp;"'!"&amp;$J572),$L572,$M572)*$K572</f>
        <v>0.12634000000000001</v>
      </c>
      <c r="F572" s="4">
        <f t="shared" si="35"/>
        <v>6</v>
      </c>
      <c r="G572" s="4" cm="1">
        <f t="array" ref="G572">IF($C572&gt;=25,F572,IF($C572&lt;16,INDEX(Sheet1!C:C,$F572),$F572))</f>
        <v>6</v>
      </c>
      <c r="H572" s="4" t="str" cm="1">
        <f t="array" ref="H572">INDEX(Sheet1!D:D,$G572)</f>
        <v>t1137.xlsx</v>
      </c>
      <c r="I572" s="4" t="str" cm="1">
        <f t="array" ref="I572">INDEX(Sheet1!E:E,$G572)</f>
        <v>Sheet1</v>
      </c>
      <c r="J572" s="4" t="str" cm="1">
        <f t="array" ref="J572">IF($C572&gt;=25,INDEX(Sheet1!G:G,$G572),INDEX(Sheet1!F:F,$G572))</f>
        <v>B139</v>
      </c>
      <c r="K572" s="4" cm="1">
        <f t="array" ref="K572">INDEX(Sheet1!H:H,$G572)</f>
        <v>1</v>
      </c>
      <c r="L572" s="4">
        <f t="shared" si="32"/>
        <v>61</v>
      </c>
      <c r="M572" s="4">
        <f t="shared" si="33"/>
        <v>0</v>
      </c>
    </row>
    <row r="573" spans="1:13">
      <c r="A573" s="4" t="str" cm="1">
        <f t="array" ref="A573">INDEX(Sheet1!A:A,$F573)</f>
        <v>M</v>
      </c>
      <c r="B573" s="4" t="str" cm="1">
        <f t="array" ref="B573">INDEX(Sheet1!B:B,$F573)</f>
        <v>Undiff NS</v>
      </c>
      <c r="C573" s="4">
        <f t="shared" si="34"/>
        <v>87</v>
      </c>
      <c r="D573" s="5" cm="1">
        <f t="array" aca="1" ref="D573" ca="1">OFFSET(INDIRECT("'["&amp;$H573&amp;"]"&amp;$I573&amp;"'!"&amp;$J573),$L573,$M573)*$K573</f>
        <v>0.13974</v>
      </c>
      <c r="F573" s="4">
        <f t="shared" si="35"/>
        <v>6</v>
      </c>
      <c r="G573" s="4" cm="1">
        <f t="array" ref="G573">IF($C573&gt;=25,F573,IF($C573&lt;16,INDEX(Sheet1!C:C,$F573),$F573))</f>
        <v>6</v>
      </c>
      <c r="H573" s="4" t="str" cm="1">
        <f t="array" ref="H573">INDEX(Sheet1!D:D,$G573)</f>
        <v>t1137.xlsx</v>
      </c>
      <c r="I573" s="4" t="str" cm="1">
        <f t="array" ref="I573">INDEX(Sheet1!E:E,$G573)</f>
        <v>Sheet1</v>
      </c>
      <c r="J573" s="4" t="str" cm="1">
        <f t="array" ref="J573">IF($C573&gt;=25,INDEX(Sheet1!G:G,$G573),INDEX(Sheet1!F:F,$G573))</f>
        <v>B139</v>
      </c>
      <c r="K573" s="4" cm="1">
        <f t="array" ref="K573">INDEX(Sheet1!H:H,$G573)</f>
        <v>1</v>
      </c>
      <c r="L573" s="4">
        <f t="shared" si="32"/>
        <v>62</v>
      </c>
      <c r="M573" s="4">
        <f t="shared" si="33"/>
        <v>0</v>
      </c>
    </row>
    <row r="574" spans="1:13">
      <c r="A574" s="4" t="str" cm="1">
        <f t="array" ref="A574">INDEX(Sheet1!A:A,$F574)</f>
        <v>M</v>
      </c>
      <c r="B574" s="4" t="str" cm="1">
        <f t="array" ref="B574">INDEX(Sheet1!B:B,$F574)</f>
        <v>Undiff NS</v>
      </c>
      <c r="C574" s="4">
        <f t="shared" si="34"/>
        <v>88</v>
      </c>
      <c r="D574" s="5" cm="1">
        <f t="array" aca="1" ref="D574" ca="1">OFFSET(INDIRECT("'["&amp;$H574&amp;"]"&amp;$I574&amp;"'!"&amp;$J574),$L574,$M574)*$K574</f>
        <v>0.15409999999999999</v>
      </c>
      <c r="F574" s="4">
        <f t="shared" si="35"/>
        <v>6</v>
      </c>
      <c r="G574" s="4" cm="1">
        <f t="array" ref="G574">IF($C574&gt;=25,F574,IF($C574&lt;16,INDEX(Sheet1!C:C,$F574),$F574))</f>
        <v>6</v>
      </c>
      <c r="H574" s="4" t="str" cm="1">
        <f t="array" ref="H574">INDEX(Sheet1!D:D,$G574)</f>
        <v>t1137.xlsx</v>
      </c>
      <c r="I574" s="4" t="str" cm="1">
        <f t="array" ref="I574">INDEX(Sheet1!E:E,$G574)</f>
        <v>Sheet1</v>
      </c>
      <c r="J574" s="4" t="str" cm="1">
        <f t="array" ref="J574">IF($C574&gt;=25,INDEX(Sheet1!G:G,$G574),INDEX(Sheet1!F:F,$G574))</f>
        <v>B139</v>
      </c>
      <c r="K574" s="4" cm="1">
        <f t="array" ref="K574">INDEX(Sheet1!H:H,$G574)</f>
        <v>1</v>
      </c>
      <c r="L574" s="4">
        <f t="shared" si="32"/>
        <v>63</v>
      </c>
      <c r="M574" s="4">
        <f t="shared" si="33"/>
        <v>0</v>
      </c>
    </row>
    <row r="575" spans="1:13">
      <c r="A575" s="4" t="str" cm="1">
        <f t="array" ref="A575">INDEX(Sheet1!A:A,$F575)</f>
        <v>M</v>
      </c>
      <c r="B575" s="4" t="str" cm="1">
        <f t="array" ref="B575">INDEX(Sheet1!B:B,$F575)</f>
        <v>Undiff NS</v>
      </c>
      <c r="C575" s="4">
        <f t="shared" si="34"/>
        <v>89</v>
      </c>
      <c r="D575" s="5" cm="1">
        <f t="array" aca="1" ref="D575" ca="1">OFFSET(INDIRECT("'["&amp;$H575&amp;"]"&amp;$I575&amp;"'!"&amp;$J575),$L575,$M575)*$K575</f>
        <v>0.16925000000000001</v>
      </c>
      <c r="F575" s="4">
        <f t="shared" si="35"/>
        <v>6</v>
      </c>
      <c r="G575" s="4" cm="1">
        <f t="array" ref="G575">IF($C575&gt;=25,F575,IF($C575&lt;16,INDEX(Sheet1!C:C,$F575),$F575))</f>
        <v>6</v>
      </c>
      <c r="H575" s="4" t="str" cm="1">
        <f t="array" ref="H575">INDEX(Sheet1!D:D,$G575)</f>
        <v>t1137.xlsx</v>
      </c>
      <c r="I575" s="4" t="str" cm="1">
        <f t="array" ref="I575">INDEX(Sheet1!E:E,$G575)</f>
        <v>Sheet1</v>
      </c>
      <c r="J575" s="4" t="str" cm="1">
        <f t="array" ref="J575">IF($C575&gt;=25,INDEX(Sheet1!G:G,$G575),INDEX(Sheet1!F:F,$G575))</f>
        <v>B139</v>
      </c>
      <c r="K575" s="4" cm="1">
        <f t="array" ref="K575">INDEX(Sheet1!H:H,$G575)</f>
        <v>1</v>
      </c>
      <c r="L575" s="4">
        <f t="shared" si="32"/>
        <v>64</v>
      </c>
      <c r="M575" s="4">
        <f t="shared" si="33"/>
        <v>0</v>
      </c>
    </row>
    <row r="576" spans="1:13">
      <c r="A576" s="4" t="str" cm="1">
        <f t="array" ref="A576">INDEX(Sheet1!A:A,$F576)</f>
        <v>M</v>
      </c>
      <c r="B576" s="4" t="str" cm="1">
        <f t="array" ref="B576">INDEX(Sheet1!B:B,$F576)</f>
        <v>Undiff NS</v>
      </c>
      <c r="C576" s="4">
        <f t="shared" si="34"/>
        <v>90</v>
      </c>
      <c r="D576" s="5" cm="1">
        <f t="array" aca="1" ref="D576" ca="1">OFFSET(INDIRECT("'["&amp;$H576&amp;"]"&amp;$I576&amp;"'!"&amp;$J576),$L576,$M576)*$K576</f>
        <v>0.18506</v>
      </c>
      <c r="F576" s="4">
        <f t="shared" si="35"/>
        <v>6</v>
      </c>
      <c r="G576" s="4" cm="1">
        <f t="array" ref="G576">IF($C576&gt;=25,F576,IF($C576&lt;16,INDEX(Sheet1!C:C,$F576),$F576))</f>
        <v>6</v>
      </c>
      <c r="H576" s="4" t="str" cm="1">
        <f t="array" ref="H576">INDEX(Sheet1!D:D,$G576)</f>
        <v>t1137.xlsx</v>
      </c>
      <c r="I576" s="4" t="str" cm="1">
        <f t="array" ref="I576">INDEX(Sheet1!E:E,$G576)</f>
        <v>Sheet1</v>
      </c>
      <c r="J576" s="4" t="str" cm="1">
        <f t="array" ref="J576">IF($C576&gt;=25,INDEX(Sheet1!G:G,$G576),INDEX(Sheet1!F:F,$G576))</f>
        <v>B139</v>
      </c>
      <c r="K576" s="4" cm="1">
        <f t="array" ref="K576">INDEX(Sheet1!H:H,$G576)</f>
        <v>1</v>
      </c>
      <c r="L576" s="4">
        <f t="shared" si="32"/>
        <v>65</v>
      </c>
      <c r="M576" s="4">
        <f t="shared" si="33"/>
        <v>0</v>
      </c>
    </row>
    <row r="577" spans="1:13">
      <c r="A577" s="4" t="str" cm="1">
        <f t="array" ref="A577">INDEX(Sheet1!A:A,$F577)</f>
        <v>M</v>
      </c>
      <c r="B577" s="4" t="str" cm="1">
        <f t="array" ref="B577">INDEX(Sheet1!B:B,$F577)</f>
        <v>Undiff NS</v>
      </c>
      <c r="C577" s="4">
        <f t="shared" si="34"/>
        <v>91</v>
      </c>
      <c r="D577" s="5" cm="1">
        <f t="array" aca="1" ref="D577" ca="1">OFFSET(INDIRECT("'["&amp;$H577&amp;"]"&amp;$I577&amp;"'!"&amp;$J577),$L577,$M577)*$K577</f>
        <v>0.19993</v>
      </c>
      <c r="F577" s="4">
        <f t="shared" si="35"/>
        <v>6</v>
      </c>
      <c r="G577" s="4" cm="1">
        <f t="array" ref="G577">IF($C577&gt;=25,F577,IF($C577&lt;16,INDEX(Sheet1!C:C,$F577),$F577))</f>
        <v>6</v>
      </c>
      <c r="H577" s="4" t="str" cm="1">
        <f t="array" ref="H577">INDEX(Sheet1!D:D,$G577)</f>
        <v>t1137.xlsx</v>
      </c>
      <c r="I577" s="4" t="str" cm="1">
        <f t="array" ref="I577">INDEX(Sheet1!E:E,$G577)</f>
        <v>Sheet1</v>
      </c>
      <c r="J577" s="4" t="str" cm="1">
        <f t="array" ref="J577">IF($C577&gt;=25,INDEX(Sheet1!G:G,$G577),INDEX(Sheet1!F:F,$G577))</f>
        <v>B139</v>
      </c>
      <c r="K577" s="4" cm="1">
        <f t="array" ref="K577">INDEX(Sheet1!H:H,$G577)</f>
        <v>1</v>
      </c>
      <c r="L577" s="4">
        <f t="shared" si="32"/>
        <v>66</v>
      </c>
      <c r="M577" s="4">
        <f t="shared" si="33"/>
        <v>0</v>
      </c>
    </row>
    <row r="578" spans="1:13">
      <c r="A578" s="4" t="str" cm="1">
        <f t="array" ref="A578">INDEX(Sheet1!A:A,$F578)</f>
        <v>M</v>
      </c>
      <c r="B578" s="4" t="str" cm="1">
        <f t="array" ref="B578">INDEX(Sheet1!B:B,$F578)</f>
        <v>Undiff NS</v>
      </c>
      <c r="C578" s="4">
        <f t="shared" si="34"/>
        <v>92</v>
      </c>
      <c r="D578" s="5" cm="1">
        <f t="array" aca="1" ref="D578" ca="1">OFFSET(INDIRECT("'["&amp;$H578&amp;"]"&amp;$I578&amp;"'!"&amp;$J578),$L578,$M578)*$K578</f>
        <v>0.21543000000000001</v>
      </c>
      <c r="F578" s="4">
        <f t="shared" si="35"/>
        <v>6</v>
      </c>
      <c r="G578" s="4" cm="1">
        <f t="array" ref="G578">IF($C578&gt;=25,F578,IF($C578&lt;16,INDEX(Sheet1!C:C,$F578),$F578))</f>
        <v>6</v>
      </c>
      <c r="H578" s="4" t="str" cm="1">
        <f t="array" ref="H578">INDEX(Sheet1!D:D,$G578)</f>
        <v>t1137.xlsx</v>
      </c>
      <c r="I578" s="4" t="str" cm="1">
        <f t="array" ref="I578">INDEX(Sheet1!E:E,$G578)</f>
        <v>Sheet1</v>
      </c>
      <c r="J578" s="4" t="str" cm="1">
        <f t="array" ref="J578">IF($C578&gt;=25,INDEX(Sheet1!G:G,$G578),INDEX(Sheet1!F:F,$G578))</f>
        <v>B139</v>
      </c>
      <c r="K578" s="4" cm="1">
        <f t="array" ref="K578">INDEX(Sheet1!H:H,$G578)</f>
        <v>1</v>
      </c>
      <c r="L578" s="4">
        <f t="shared" si="32"/>
        <v>67</v>
      </c>
      <c r="M578" s="4">
        <f t="shared" si="33"/>
        <v>0</v>
      </c>
    </row>
    <row r="579" spans="1:13">
      <c r="A579" s="4" t="str" cm="1">
        <f t="array" ref="A579">INDEX(Sheet1!A:A,$F579)</f>
        <v>M</v>
      </c>
      <c r="B579" s="4" t="str" cm="1">
        <f t="array" ref="B579">INDEX(Sheet1!B:B,$F579)</f>
        <v>Undiff NS</v>
      </c>
      <c r="C579" s="4">
        <f t="shared" si="34"/>
        <v>93</v>
      </c>
      <c r="D579" s="5" cm="1">
        <f t="array" aca="1" ref="D579" ca="1">OFFSET(INDIRECT("'["&amp;$H579&amp;"]"&amp;$I579&amp;"'!"&amp;$J579),$L579,$M579)*$K579</f>
        <v>0.23178000000000001</v>
      </c>
      <c r="F579" s="4">
        <f t="shared" si="35"/>
        <v>6</v>
      </c>
      <c r="G579" s="4" cm="1">
        <f t="array" ref="G579">IF($C579&gt;=25,F579,IF($C579&lt;16,INDEX(Sheet1!C:C,$F579),$F579))</f>
        <v>6</v>
      </c>
      <c r="H579" s="4" t="str" cm="1">
        <f t="array" ref="H579">INDEX(Sheet1!D:D,$G579)</f>
        <v>t1137.xlsx</v>
      </c>
      <c r="I579" s="4" t="str" cm="1">
        <f t="array" ref="I579">INDEX(Sheet1!E:E,$G579)</f>
        <v>Sheet1</v>
      </c>
      <c r="J579" s="4" t="str" cm="1">
        <f t="array" ref="J579">IF($C579&gt;=25,INDEX(Sheet1!G:G,$G579),INDEX(Sheet1!F:F,$G579))</f>
        <v>B139</v>
      </c>
      <c r="K579" s="4" cm="1">
        <f t="array" ref="K579">INDEX(Sheet1!H:H,$G579)</f>
        <v>1</v>
      </c>
      <c r="L579" s="4">
        <f t="shared" ref="L579:L642" si="36">IF($C579&gt;=25,$C579-25,0)</f>
        <v>68</v>
      </c>
      <c r="M579" s="4">
        <f t="shared" ref="M579:M642" si="37">IF($C579&gt;=25,0,$C579)</f>
        <v>0</v>
      </c>
    </row>
    <row r="580" spans="1:13">
      <c r="A580" s="4" t="str" cm="1">
        <f t="array" ref="A580">INDEX(Sheet1!A:A,$F580)</f>
        <v>M</v>
      </c>
      <c r="B580" s="4" t="str" cm="1">
        <f t="array" ref="B580">INDEX(Sheet1!B:B,$F580)</f>
        <v>Undiff NS</v>
      </c>
      <c r="C580" s="4">
        <f t="shared" ref="C580:C643" si="38">IF(C579=120,0,C579+1)</f>
        <v>94</v>
      </c>
      <c r="D580" s="5" cm="1">
        <f t="array" aca="1" ref="D580" ca="1">OFFSET(INDIRECT("'["&amp;$H580&amp;"]"&amp;$I580&amp;"'!"&amp;$J580),$L580,$M580)*$K580</f>
        <v>0.24904999999999999</v>
      </c>
      <c r="F580" s="4">
        <f t="shared" ref="F580:F643" si="39">IF(C580=0,1,0)+F579</f>
        <v>6</v>
      </c>
      <c r="G580" s="4" cm="1">
        <f t="array" ref="G580">IF($C580&gt;=25,F580,IF($C580&lt;16,INDEX(Sheet1!C:C,$F580),$F580))</f>
        <v>6</v>
      </c>
      <c r="H580" s="4" t="str" cm="1">
        <f t="array" ref="H580">INDEX(Sheet1!D:D,$G580)</f>
        <v>t1137.xlsx</v>
      </c>
      <c r="I580" s="4" t="str" cm="1">
        <f t="array" ref="I580">INDEX(Sheet1!E:E,$G580)</f>
        <v>Sheet1</v>
      </c>
      <c r="J580" s="4" t="str" cm="1">
        <f t="array" ref="J580">IF($C580&gt;=25,INDEX(Sheet1!G:G,$G580),INDEX(Sheet1!F:F,$G580))</f>
        <v>B139</v>
      </c>
      <c r="K580" s="4" cm="1">
        <f t="array" ref="K580">INDEX(Sheet1!H:H,$G580)</f>
        <v>1</v>
      </c>
      <c r="L580" s="4">
        <f t="shared" si="36"/>
        <v>69</v>
      </c>
      <c r="M580" s="4">
        <f t="shared" si="37"/>
        <v>0</v>
      </c>
    </row>
    <row r="581" spans="1:13">
      <c r="A581" s="4" t="str" cm="1">
        <f t="array" ref="A581">INDEX(Sheet1!A:A,$F581)</f>
        <v>M</v>
      </c>
      <c r="B581" s="4" t="str" cm="1">
        <f t="array" ref="B581">INDEX(Sheet1!B:B,$F581)</f>
        <v>Undiff NS</v>
      </c>
      <c r="C581" s="4">
        <f t="shared" si="38"/>
        <v>95</v>
      </c>
      <c r="D581" s="5" cm="1">
        <f t="array" aca="1" ref="D581" ca="1">OFFSET(INDIRECT("'["&amp;$H581&amp;"]"&amp;$I581&amp;"'!"&amp;$J581),$L581,$M581)*$K581</f>
        <v>0.26718999999999998</v>
      </c>
      <c r="F581" s="4">
        <f t="shared" si="39"/>
        <v>6</v>
      </c>
      <c r="G581" s="4" cm="1">
        <f t="array" ref="G581">IF($C581&gt;=25,F581,IF($C581&lt;16,INDEX(Sheet1!C:C,$F581),$F581))</f>
        <v>6</v>
      </c>
      <c r="H581" s="4" t="str" cm="1">
        <f t="array" ref="H581">INDEX(Sheet1!D:D,$G581)</f>
        <v>t1137.xlsx</v>
      </c>
      <c r="I581" s="4" t="str" cm="1">
        <f t="array" ref="I581">INDEX(Sheet1!E:E,$G581)</f>
        <v>Sheet1</v>
      </c>
      <c r="J581" s="4" t="str" cm="1">
        <f t="array" ref="J581">IF($C581&gt;=25,INDEX(Sheet1!G:G,$G581),INDEX(Sheet1!F:F,$G581))</f>
        <v>B139</v>
      </c>
      <c r="K581" s="4" cm="1">
        <f t="array" ref="K581">INDEX(Sheet1!H:H,$G581)</f>
        <v>1</v>
      </c>
      <c r="L581" s="4">
        <f t="shared" si="36"/>
        <v>70</v>
      </c>
      <c r="M581" s="4">
        <f t="shared" si="37"/>
        <v>0</v>
      </c>
    </row>
    <row r="582" spans="1:13">
      <c r="A582" s="4" t="str" cm="1">
        <f t="array" ref="A582">INDEX(Sheet1!A:A,$F582)</f>
        <v>M</v>
      </c>
      <c r="B582" s="4" t="str" cm="1">
        <f t="array" ref="B582">INDEX(Sheet1!B:B,$F582)</f>
        <v>Undiff NS</v>
      </c>
      <c r="C582" s="4">
        <f t="shared" si="38"/>
        <v>96</v>
      </c>
      <c r="D582" s="5" cm="1">
        <f t="array" aca="1" ref="D582" ca="1">OFFSET(INDIRECT("'["&amp;$H582&amp;"]"&amp;$I582&amp;"'!"&amp;$J582),$L582,$M582)*$K582</f>
        <v>0.28378999999999999</v>
      </c>
      <c r="F582" s="4">
        <f t="shared" si="39"/>
        <v>6</v>
      </c>
      <c r="G582" s="4" cm="1">
        <f t="array" ref="G582">IF($C582&gt;=25,F582,IF($C582&lt;16,INDEX(Sheet1!C:C,$F582),$F582))</f>
        <v>6</v>
      </c>
      <c r="H582" s="4" t="str" cm="1">
        <f t="array" ref="H582">INDEX(Sheet1!D:D,$G582)</f>
        <v>t1137.xlsx</v>
      </c>
      <c r="I582" s="4" t="str" cm="1">
        <f t="array" ref="I582">INDEX(Sheet1!E:E,$G582)</f>
        <v>Sheet1</v>
      </c>
      <c r="J582" s="4" t="str" cm="1">
        <f t="array" ref="J582">IF($C582&gt;=25,INDEX(Sheet1!G:G,$G582),INDEX(Sheet1!F:F,$G582))</f>
        <v>B139</v>
      </c>
      <c r="K582" s="4" cm="1">
        <f t="array" ref="K582">INDEX(Sheet1!H:H,$G582)</f>
        <v>1</v>
      </c>
      <c r="L582" s="4">
        <f t="shared" si="36"/>
        <v>71</v>
      </c>
      <c r="M582" s="4">
        <f t="shared" si="37"/>
        <v>0</v>
      </c>
    </row>
    <row r="583" spans="1:13">
      <c r="A583" s="4" t="str" cm="1">
        <f t="array" ref="A583">INDEX(Sheet1!A:A,$F583)</f>
        <v>M</v>
      </c>
      <c r="B583" s="4" t="str" cm="1">
        <f t="array" ref="B583">INDEX(Sheet1!B:B,$F583)</f>
        <v>Undiff NS</v>
      </c>
      <c r="C583" s="4">
        <f t="shared" si="38"/>
        <v>97</v>
      </c>
      <c r="D583" s="5" cm="1">
        <f t="array" aca="1" ref="D583" ca="1">OFFSET(INDIRECT("'["&amp;$H583&amp;"]"&amp;$I583&amp;"'!"&amp;$J583),$L583,$M583)*$K583</f>
        <v>0.30148999999999998</v>
      </c>
      <c r="F583" s="4">
        <f t="shared" si="39"/>
        <v>6</v>
      </c>
      <c r="G583" s="4" cm="1">
        <f t="array" ref="G583">IF($C583&gt;=25,F583,IF($C583&lt;16,INDEX(Sheet1!C:C,$F583),$F583))</f>
        <v>6</v>
      </c>
      <c r="H583" s="4" t="str" cm="1">
        <f t="array" ref="H583">INDEX(Sheet1!D:D,$G583)</f>
        <v>t1137.xlsx</v>
      </c>
      <c r="I583" s="4" t="str" cm="1">
        <f t="array" ref="I583">INDEX(Sheet1!E:E,$G583)</f>
        <v>Sheet1</v>
      </c>
      <c r="J583" s="4" t="str" cm="1">
        <f t="array" ref="J583">IF($C583&gt;=25,INDEX(Sheet1!G:G,$G583),INDEX(Sheet1!F:F,$G583))</f>
        <v>B139</v>
      </c>
      <c r="K583" s="4" cm="1">
        <f t="array" ref="K583">INDEX(Sheet1!H:H,$G583)</f>
        <v>1</v>
      </c>
      <c r="L583" s="4">
        <f t="shared" si="36"/>
        <v>72</v>
      </c>
      <c r="M583" s="4">
        <f t="shared" si="37"/>
        <v>0</v>
      </c>
    </row>
    <row r="584" spans="1:13">
      <c r="A584" s="4" t="str" cm="1">
        <f t="array" ref="A584">INDEX(Sheet1!A:A,$F584)</f>
        <v>M</v>
      </c>
      <c r="B584" s="4" t="str" cm="1">
        <f t="array" ref="B584">INDEX(Sheet1!B:B,$F584)</f>
        <v>Undiff NS</v>
      </c>
      <c r="C584" s="4">
        <f t="shared" si="38"/>
        <v>98</v>
      </c>
      <c r="D584" s="5" cm="1">
        <f t="array" aca="1" ref="D584" ca="1">OFFSET(INDIRECT("'["&amp;$H584&amp;"]"&amp;$I584&amp;"'!"&amp;$J584),$L584,$M584)*$K584</f>
        <v>0.32038</v>
      </c>
      <c r="F584" s="4">
        <f t="shared" si="39"/>
        <v>6</v>
      </c>
      <c r="G584" s="4" cm="1">
        <f t="array" ref="G584">IF($C584&gt;=25,F584,IF($C584&lt;16,INDEX(Sheet1!C:C,$F584),$F584))</f>
        <v>6</v>
      </c>
      <c r="H584" s="4" t="str" cm="1">
        <f t="array" ref="H584">INDEX(Sheet1!D:D,$G584)</f>
        <v>t1137.xlsx</v>
      </c>
      <c r="I584" s="4" t="str" cm="1">
        <f t="array" ref="I584">INDEX(Sheet1!E:E,$G584)</f>
        <v>Sheet1</v>
      </c>
      <c r="J584" s="4" t="str" cm="1">
        <f t="array" ref="J584">IF($C584&gt;=25,INDEX(Sheet1!G:G,$G584),INDEX(Sheet1!F:F,$G584))</f>
        <v>B139</v>
      </c>
      <c r="K584" s="4" cm="1">
        <f t="array" ref="K584">INDEX(Sheet1!H:H,$G584)</f>
        <v>1</v>
      </c>
      <c r="L584" s="4">
        <f t="shared" si="36"/>
        <v>73</v>
      </c>
      <c r="M584" s="4">
        <f t="shared" si="37"/>
        <v>0</v>
      </c>
    </row>
    <row r="585" spans="1:13">
      <c r="A585" s="4" t="str" cm="1">
        <f t="array" ref="A585">INDEX(Sheet1!A:A,$F585)</f>
        <v>M</v>
      </c>
      <c r="B585" s="4" t="str" cm="1">
        <f t="array" ref="B585">INDEX(Sheet1!B:B,$F585)</f>
        <v>Undiff NS</v>
      </c>
      <c r="C585" s="4">
        <f t="shared" si="38"/>
        <v>99</v>
      </c>
      <c r="D585" s="5" cm="1">
        <f t="array" aca="1" ref="D585" ca="1">OFFSET(INDIRECT("'["&amp;$H585&amp;"]"&amp;$I585&amp;"'!"&amp;$J585),$L585,$M585)*$K585</f>
        <v>0.34054000000000001</v>
      </c>
      <c r="F585" s="4">
        <f t="shared" si="39"/>
        <v>6</v>
      </c>
      <c r="G585" s="4" cm="1">
        <f t="array" ref="G585">IF($C585&gt;=25,F585,IF($C585&lt;16,INDEX(Sheet1!C:C,$F585),$F585))</f>
        <v>6</v>
      </c>
      <c r="H585" s="4" t="str" cm="1">
        <f t="array" ref="H585">INDEX(Sheet1!D:D,$G585)</f>
        <v>t1137.xlsx</v>
      </c>
      <c r="I585" s="4" t="str" cm="1">
        <f t="array" ref="I585">INDEX(Sheet1!E:E,$G585)</f>
        <v>Sheet1</v>
      </c>
      <c r="J585" s="4" t="str" cm="1">
        <f t="array" ref="J585">IF($C585&gt;=25,INDEX(Sheet1!G:G,$G585),INDEX(Sheet1!F:F,$G585))</f>
        <v>B139</v>
      </c>
      <c r="K585" s="4" cm="1">
        <f t="array" ref="K585">INDEX(Sheet1!H:H,$G585)</f>
        <v>1</v>
      </c>
      <c r="L585" s="4">
        <f t="shared" si="36"/>
        <v>74</v>
      </c>
      <c r="M585" s="4">
        <f t="shared" si="37"/>
        <v>0</v>
      </c>
    </row>
    <row r="586" spans="1:13">
      <c r="A586" s="4" t="str" cm="1">
        <f t="array" ref="A586">INDEX(Sheet1!A:A,$F586)</f>
        <v>M</v>
      </c>
      <c r="B586" s="4" t="str" cm="1">
        <f t="array" ref="B586">INDEX(Sheet1!B:B,$F586)</f>
        <v>Undiff NS</v>
      </c>
      <c r="C586" s="4">
        <f t="shared" si="38"/>
        <v>100</v>
      </c>
      <c r="D586" s="5" cm="1">
        <f t="array" aca="1" ref="D586" ca="1">OFFSET(INDIRECT("'["&amp;$H586&amp;"]"&amp;$I586&amp;"'!"&amp;$J586),$L586,$M586)*$K586</f>
        <v>0.36209999999999998</v>
      </c>
      <c r="F586" s="4">
        <f t="shared" si="39"/>
        <v>6</v>
      </c>
      <c r="G586" s="4" cm="1">
        <f t="array" ref="G586">IF($C586&gt;=25,F586,IF($C586&lt;16,INDEX(Sheet1!C:C,$F586),$F586))</f>
        <v>6</v>
      </c>
      <c r="H586" s="4" t="str" cm="1">
        <f t="array" ref="H586">INDEX(Sheet1!D:D,$G586)</f>
        <v>t1137.xlsx</v>
      </c>
      <c r="I586" s="4" t="str" cm="1">
        <f t="array" ref="I586">INDEX(Sheet1!E:E,$G586)</f>
        <v>Sheet1</v>
      </c>
      <c r="J586" s="4" t="str" cm="1">
        <f t="array" ref="J586">IF($C586&gt;=25,INDEX(Sheet1!G:G,$G586),INDEX(Sheet1!F:F,$G586))</f>
        <v>B139</v>
      </c>
      <c r="K586" s="4" cm="1">
        <f t="array" ref="K586">INDEX(Sheet1!H:H,$G586)</f>
        <v>1</v>
      </c>
      <c r="L586" s="4">
        <f t="shared" si="36"/>
        <v>75</v>
      </c>
      <c r="M586" s="4">
        <f t="shared" si="37"/>
        <v>0</v>
      </c>
    </row>
    <row r="587" spans="1:13">
      <c r="A587" s="4" t="str" cm="1">
        <f t="array" ref="A587">INDEX(Sheet1!A:A,$F587)</f>
        <v>M</v>
      </c>
      <c r="B587" s="4" t="str" cm="1">
        <f t="array" ref="B587">INDEX(Sheet1!B:B,$F587)</f>
        <v>Undiff NS</v>
      </c>
      <c r="C587" s="4">
        <f t="shared" si="38"/>
        <v>101</v>
      </c>
      <c r="D587" s="5" cm="1">
        <f t="array" aca="1" ref="D587" ca="1">OFFSET(INDIRECT("'["&amp;$H587&amp;"]"&amp;$I587&amp;"'!"&amp;$J587),$L587,$M587)*$K587</f>
        <v>0.37920999999999999</v>
      </c>
      <c r="F587" s="4">
        <f t="shared" si="39"/>
        <v>6</v>
      </c>
      <c r="G587" s="4" cm="1">
        <f t="array" ref="G587">IF($C587&gt;=25,F587,IF($C587&lt;16,INDEX(Sheet1!C:C,$F587),$F587))</f>
        <v>6</v>
      </c>
      <c r="H587" s="4" t="str" cm="1">
        <f t="array" ref="H587">INDEX(Sheet1!D:D,$G587)</f>
        <v>t1137.xlsx</v>
      </c>
      <c r="I587" s="4" t="str" cm="1">
        <f t="array" ref="I587">INDEX(Sheet1!E:E,$G587)</f>
        <v>Sheet1</v>
      </c>
      <c r="J587" s="4" t="str" cm="1">
        <f t="array" ref="J587">IF($C587&gt;=25,INDEX(Sheet1!G:G,$G587),INDEX(Sheet1!F:F,$G587))</f>
        <v>B139</v>
      </c>
      <c r="K587" s="4" cm="1">
        <f t="array" ref="K587">INDEX(Sheet1!H:H,$G587)</f>
        <v>1</v>
      </c>
      <c r="L587" s="4">
        <f t="shared" si="36"/>
        <v>76</v>
      </c>
      <c r="M587" s="4">
        <f t="shared" si="37"/>
        <v>0</v>
      </c>
    </row>
    <row r="588" spans="1:13">
      <c r="A588" s="4" t="str" cm="1">
        <f t="array" ref="A588">INDEX(Sheet1!A:A,$F588)</f>
        <v>M</v>
      </c>
      <c r="B588" s="4" t="str" cm="1">
        <f t="array" ref="B588">INDEX(Sheet1!B:B,$F588)</f>
        <v>Undiff NS</v>
      </c>
      <c r="C588" s="4">
        <f t="shared" si="38"/>
        <v>102</v>
      </c>
      <c r="D588" s="5" cm="1">
        <f t="array" aca="1" ref="D588" ca="1">OFFSET(INDIRECT("'["&amp;$H588&amp;"]"&amp;$I588&amp;"'!"&amp;$J588),$L588,$M588)*$K588</f>
        <v>0.39744000000000002</v>
      </c>
      <c r="F588" s="4">
        <f t="shared" si="39"/>
        <v>6</v>
      </c>
      <c r="G588" s="4" cm="1">
        <f t="array" ref="G588">IF($C588&gt;=25,F588,IF($C588&lt;16,INDEX(Sheet1!C:C,$F588),$F588))</f>
        <v>6</v>
      </c>
      <c r="H588" s="4" t="str" cm="1">
        <f t="array" ref="H588">INDEX(Sheet1!D:D,$G588)</f>
        <v>t1137.xlsx</v>
      </c>
      <c r="I588" s="4" t="str" cm="1">
        <f t="array" ref="I588">INDEX(Sheet1!E:E,$G588)</f>
        <v>Sheet1</v>
      </c>
      <c r="J588" s="4" t="str" cm="1">
        <f t="array" ref="J588">IF($C588&gt;=25,INDEX(Sheet1!G:G,$G588),INDEX(Sheet1!F:F,$G588))</f>
        <v>B139</v>
      </c>
      <c r="K588" s="4" cm="1">
        <f t="array" ref="K588">INDEX(Sheet1!H:H,$G588)</f>
        <v>1</v>
      </c>
      <c r="L588" s="4">
        <f t="shared" si="36"/>
        <v>77</v>
      </c>
      <c r="M588" s="4">
        <f t="shared" si="37"/>
        <v>0</v>
      </c>
    </row>
    <row r="589" spans="1:13">
      <c r="A589" s="4" t="str" cm="1">
        <f t="array" ref="A589">INDEX(Sheet1!A:A,$F589)</f>
        <v>M</v>
      </c>
      <c r="B589" s="4" t="str" cm="1">
        <f t="array" ref="B589">INDEX(Sheet1!B:B,$F589)</f>
        <v>Undiff NS</v>
      </c>
      <c r="C589" s="4">
        <f t="shared" si="38"/>
        <v>103</v>
      </c>
      <c r="D589" s="5" cm="1">
        <f t="array" aca="1" ref="D589" ca="1">OFFSET(INDIRECT("'["&amp;$H589&amp;"]"&amp;$I589&amp;"'!"&amp;$J589),$L589,$M589)*$K589</f>
        <v>0.41683999999999999</v>
      </c>
      <c r="F589" s="4">
        <f t="shared" si="39"/>
        <v>6</v>
      </c>
      <c r="G589" s="4" cm="1">
        <f t="array" ref="G589">IF($C589&gt;=25,F589,IF($C589&lt;16,INDEX(Sheet1!C:C,$F589),$F589))</f>
        <v>6</v>
      </c>
      <c r="H589" s="4" t="str" cm="1">
        <f t="array" ref="H589">INDEX(Sheet1!D:D,$G589)</f>
        <v>t1137.xlsx</v>
      </c>
      <c r="I589" s="4" t="str" cm="1">
        <f t="array" ref="I589">INDEX(Sheet1!E:E,$G589)</f>
        <v>Sheet1</v>
      </c>
      <c r="J589" s="4" t="str" cm="1">
        <f t="array" ref="J589">IF($C589&gt;=25,INDEX(Sheet1!G:G,$G589),INDEX(Sheet1!F:F,$G589))</f>
        <v>B139</v>
      </c>
      <c r="K589" s="4" cm="1">
        <f t="array" ref="K589">INDEX(Sheet1!H:H,$G589)</f>
        <v>1</v>
      </c>
      <c r="L589" s="4">
        <f t="shared" si="36"/>
        <v>78</v>
      </c>
      <c r="M589" s="4">
        <f t="shared" si="37"/>
        <v>0</v>
      </c>
    </row>
    <row r="590" spans="1:13">
      <c r="A590" s="4" t="str" cm="1">
        <f t="array" ref="A590">INDEX(Sheet1!A:A,$F590)</f>
        <v>M</v>
      </c>
      <c r="B590" s="4" t="str" cm="1">
        <f t="array" ref="B590">INDEX(Sheet1!B:B,$F590)</f>
        <v>Undiff NS</v>
      </c>
      <c r="C590" s="4">
        <f t="shared" si="38"/>
        <v>104</v>
      </c>
      <c r="D590" s="5" cm="1">
        <f t="array" aca="1" ref="D590" ca="1">OFFSET(INDIRECT("'["&amp;$H590&amp;"]"&amp;$I590&amp;"'!"&amp;$J590),$L590,$M590)*$K590</f>
        <v>0.43747999999999998</v>
      </c>
      <c r="F590" s="4">
        <f t="shared" si="39"/>
        <v>6</v>
      </c>
      <c r="G590" s="4" cm="1">
        <f t="array" ref="G590">IF($C590&gt;=25,F590,IF($C590&lt;16,INDEX(Sheet1!C:C,$F590),$F590))</f>
        <v>6</v>
      </c>
      <c r="H590" s="4" t="str" cm="1">
        <f t="array" ref="H590">INDEX(Sheet1!D:D,$G590)</f>
        <v>t1137.xlsx</v>
      </c>
      <c r="I590" s="4" t="str" cm="1">
        <f t="array" ref="I590">INDEX(Sheet1!E:E,$G590)</f>
        <v>Sheet1</v>
      </c>
      <c r="J590" s="4" t="str" cm="1">
        <f t="array" ref="J590">IF($C590&gt;=25,INDEX(Sheet1!G:G,$G590),INDEX(Sheet1!F:F,$G590))</f>
        <v>B139</v>
      </c>
      <c r="K590" s="4" cm="1">
        <f t="array" ref="K590">INDEX(Sheet1!H:H,$G590)</f>
        <v>1</v>
      </c>
      <c r="L590" s="4">
        <f t="shared" si="36"/>
        <v>79</v>
      </c>
      <c r="M590" s="4">
        <f t="shared" si="37"/>
        <v>0</v>
      </c>
    </row>
    <row r="591" spans="1:13">
      <c r="A591" s="4" t="str" cm="1">
        <f t="array" ref="A591">INDEX(Sheet1!A:A,$F591)</f>
        <v>M</v>
      </c>
      <c r="B591" s="4" t="str" cm="1">
        <f t="array" ref="B591">INDEX(Sheet1!B:B,$F591)</f>
        <v>Undiff NS</v>
      </c>
      <c r="C591" s="4">
        <f t="shared" si="38"/>
        <v>105</v>
      </c>
      <c r="D591" s="5" cm="1">
        <f t="array" aca="1" ref="D591" ca="1">OFFSET(INDIRECT("'["&amp;$H591&amp;"]"&amp;$I591&amp;"'!"&amp;$J591),$L591,$M591)*$K591</f>
        <v>0.45912999999999998</v>
      </c>
      <c r="F591" s="4">
        <f t="shared" si="39"/>
        <v>6</v>
      </c>
      <c r="G591" s="4" cm="1">
        <f t="array" ref="G591">IF($C591&gt;=25,F591,IF($C591&lt;16,INDEX(Sheet1!C:C,$F591),$F591))</f>
        <v>6</v>
      </c>
      <c r="H591" s="4" t="str" cm="1">
        <f t="array" ref="H591">INDEX(Sheet1!D:D,$G591)</f>
        <v>t1137.xlsx</v>
      </c>
      <c r="I591" s="4" t="str" cm="1">
        <f t="array" ref="I591">INDEX(Sheet1!E:E,$G591)</f>
        <v>Sheet1</v>
      </c>
      <c r="J591" s="4" t="str" cm="1">
        <f t="array" ref="J591">IF($C591&gt;=25,INDEX(Sheet1!G:G,$G591),INDEX(Sheet1!F:F,$G591))</f>
        <v>B139</v>
      </c>
      <c r="K591" s="4" cm="1">
        <f t="array" ref="K591">INDEX(Sheet1!H:H,$G591)</f>
        <v>1</v>
      </c>
      <c r="L591" s="4">
        <f t="shared" si="36"/>
        <v>80</v>
      </c>
      <c r="M591" s="4">
        <f t="shared" si="37"/>
        <v>0</v>
      </c>
    </row>
    <row r="592" spans="1:13">
      <c r="A592" s="4" t="str" cm="1">
        <f t="array" ref="A592">INDEX(Sheet1!A:A,$F592)</f>
        <v>M</v>
      </c>
      <c r="B592" s="4" t="str" cm="1">
        <f t="array" ref="B592">INDEX(Sheet1!B:B,$F592)</f>
        <v>Undiff NS</v>
      </c>
      <c r="C592" s="4">
        <f t="shared" si="38"/>
        <v>106</v>
      </c>
      <c r="D592" s="5" cm="1">
        <f t="array" aca="1" ref="D592" ca="1">OFFSET(INDIRECT("'["&amp;$H592&amp;"]"&amp;$I592&amp;"'!"&amp;$J592),$L592,$M592)*$K592</f>
        <v>0.48215000000000002</v>
      </c>
      <c r="F592" s="4">
        <f t="shared" si="39"/>
        <v>6</v>
      </c>
      <c r="G592" s="4" cm="1">
        <f t="array" ref="G592">IF($C592&gt;=25,F592,IF($C592&lt;16,INDEX(Sheet1!C:C,$F592),$F592))</f>
        <v>6</v>
      </c>
      <c r="H592" s="4" t="str" cm="1">
        <f t="array" ref="H592">INDEX(Sheet1!D:D,$G592)</f>
        <v>t1137.xlsx</v>
      </c>
      <c r="I592" s="4" t="str" cm="1">
        <f t="array" ref="I592">INDEX(Sheet1!E:E,$G592)</f>
        <v>Sheet1</v>
      </c>
      <c r="J592" s="4" t="str" cm="1">
        <f t="array" ref="J592">IF($C592&gt;=25,INDEX(Sheet1!G:G,$G592),INDEX(Sheet1!F:F,$G592))</f>
        <v>B139</v>
      </c>
      <c r="K592" s="4" cm="1">
        <f t="array" ref="K592">INDEX(Sheet1!H:H,$G592)</f>
        <v>1</v>
      </c>
      <c r="L592" s="4">
        <f t="shared" si="36"/>
        <v>81</v>
      </c>
      <c r="M592" s="4">
        <f t="shared" si="37"/>
        <v>0</v>
      </c>
    </row>
    <row r="593" spans="1:13">
      <c r="A593" s="4" t="str" cm="1">
        <f t="array" ref="A593">INDEX(Sheet1!A:A,$F593)</f>
        <v>M</v>
      </c>
      <c r="B593" s="4" t="str" cm="1">
        <f t="array" ref="B593">INDEX(Sheet1!B:B,$F593)</f>
        <v>Undiff NS</v>
      </c>
      <c r="C593" s="4">
        <f t="shared" si="38"/>
        <v>107</v>
      </c>
      <c r="D593" s="5" cm="1">
        <f t="array" aca="1" ref="D593" ca="1">OFFSET(INDIRECT("'["&amp;$H593&amp;"]"&amp;$I593&amp;"'!"&amp;$J593),$L593,$M593)*$K593</f>
        <v>0.50661999999999996</v>
      </c>
      <c r="F593" s="4">
        <f t="shared" si="39"/>
        <v>6</v>
      </c>
      <c r="G593" s="4" cm="1">
        <f t="array" ref="G593">IF($C593&gt;=25,F593,IF($C593&lt;16,INDEX(Sheet1!C:C,$F593),$F593))</f>
        <v>6</v>
      </c>
      <c r="H593" s="4" t="str" cm="1">
        <f t="array" ref="H593">INDEX(Sheet1!D:D,$G593)</f>
        <v>t1137.xlsx</v>
      </c>
      <c r="I593" s="4" t="str" cm="1">
        <f t="array" ref="I593">INDEX(Sheet1!E:E,$G593)</f>
        <v>Sheet1</v>
      </c>
      <c r="J593" s="4" t="str" cm="1">
        <f t="array" ref="J593">IF($C593&gt;=25,INDEX(Sheet1!G:G,$G593),INDEX(Sheet1!F:F,$G593))</f>
        <v>B139</v>
      </c>
      <c r="K593" s="4" cm="1">
        <f t="array" ref="K593">INDEX(Sheet1!H:H,$G593)</f>
        <v>1</v>
      </c>
      <c r="L593" s="4">
        <f t="shared" si="36"/>
        <v>82</v>
      </c>
      <c r="M593" s="4">
        <f t="shared" si="37"/>
        <v>0</v>
      </c>
    </row>
    <row r="594" spans="1:13">
      <c r="A594" s="4" t="str" cm="1">
        <f t="array" ref="A594">INDEX(Sheet1!A:A,$F594)</f>
        <v>M</v>
      </c>
      <c r="B594" s="4" t="str" cm="1">
        <f t="array" ref="B594">INDEX(Sheet1!B:B,$F594)</f>
        <v>Undiff NS</v>
      </c>
      <c r="C594" s="4">
        <f t="shared" si="38"/>
        <v>108</v>
      </c>
      <c r="D594" s="5" cm="1">
        <f t="array" aca="1" ref="D594" ca="1">OFFSET(INDIRECT("'["&amp;$H594&amp;"]"&amp;$I594&amp;"'!"&amp;$J594),$L594,$M594)*$K594</f>
        <v>0.53263000000000005</v>
      </c>
      <c r="F594" s="4">
        <f t="shared" si="39"/>
        <v>6</v>
      </c>
      <c r="G594" s="4" cm="1">
        <f t="array" ref="G594">IF($C594&gt;=25,F594,IF($C594&lt;16,INDEX(Sheet1!C:C,$F594),$F594))</f>
        <v>6</v>
      </c>
      <c r="H594" s="4" t="str" cm="1">
        <f t="array" ref="H594">INDEX(Sheet1!D:D,$G594)</f>
        <v>t1137.xlsx</v>
      </c>
      <c r="I594" s="4" t="str" cm="1">
        <f t="array" ref="I594">INDEX(Sheet1!E:E,$G594)</f>
        <v>Sheet1</v>
      </c>
      <c r="J594" s="4" t="str" cm="1">
        <f t="array" ref="J594">IF($C594&gt;=25,INDEX(Sheet1!G:G,$G594),INDEX(Sheet1!F:F,$G594))</f>
        <v>B139</v>
      </c>
      <c r="K594" s="4" cm="1">
        <f t="array" ref="K594">INDEX(Sheet1!H:H,$G594)</f>
        <v>1</v>
      </c>
      <c r="L594" s="4">
        <f t="shared" si="36"/>
        <v>83</v>
      </c>
      <c r="M594" s="4">
        <f t="shared" si="37"/>
        <v>0</v>
      </c>
    </row>
    <row r="595" spans="1:13">
      <c r="A595" s="4" t="str" cm="1">
        <f t="array" ref="A595">INDEX(Sheet1!A:A,$F595)</f>
        <v>M</v>
      </c>
      <c r="B595" s="4" t="str" cm="1">
        <f t="array" ref="B595">INDEX(Sheet1!B:B,$F595)</f>
        <v>Undiff NS</v>
      </c>
      <c r="C595" s="4">
        <f t="shared" si="38"/>
        <v>109</v>
      </c>
      <c r="D595" s="5" cm="1">
        <f t="array" aca="1" ref="D595" ca="1">OFFSET(INDIRECT("'["&amp;$H595&amp;"]"&amp;$I595&amp;"'!"&amp;$J595),$L595,$M595)*$K595</f>
        <v>0.56025999999999998</v>
      </c>
      <c r="F595" s="4">
        <f t="shared" si="39"/>
        <v>6</v>
      </c>
      <c r="G595" s="4" cm="1">
        <f t="array" ref="G595">IF($C595&gt;=25,F595,IF($C595&lt;16,INDEX(Sheet1!C:C,$F595),$F595))</f>
        <v>6</v>
      </c>
      <c r="H595" s="4" t="str" cm="1">
        <f t="array" ref="H595">INDEX(Sheet1!D:D,$G595)</f>
        <v>t1137.xlsx</v>
      </c>
      <c r="I595" s="4" t="str" cm="1">
        <f t="array" ref="I595">INDEX(Sheet1!E:E,$G595)</f>
        <v>Sheet1</v>
      </c>
      <c r="J595" s="4" t="str" cm="1">
        <f t="array" ref="J595">IF($C595&gt;=25,INDEX(Sheet1!G:G,$G595),INDEX(Sheet1!F:F,$G595))</f>
        <v>B139</v>
      </c>
      <c r="K595" s="4" cm="1">
        <f t="array" ref="K595">INDEX(Sheet1!H:H,$G595)</f>
        <v>1</v>
      </c>
      <c r="L595" s="4">
        <f t="shared" si="36"/>
        <v>84</v>
      </c>
      <c r="M595" s="4">
        <f t="shared" si="37"/>
        <v>0</v>
      </c>
    </row>
    <row r="596" spans="1:13">
      <c r="A596" s="4" t="str" cm="1">
        <f t="array" ref="A596">INDEX(Sheet1!A:A,$F596)</f>
        <v>M</v>
      </c>
      <c r="B596" s="4" t="str" cm="1">
        <f t="array" ref="B596">INDEX(Sheet1!B:B,$F596)</f>
        <v>Undiff NS</v>
      </c>
      <c r="C596" s="4">
        <f t="shared" si="38"/>
        <v>110</v>
      </c>
      <c r="D596" s="5" cm="1">
        <f t="array" aca="1" ref="D596" ca="1">OFFSET(INDIRECT("'["&amp;$H596&amp;"]"&amp;$I596&amp;"'!"&amp;$J596),$L596,$M596)*$K596</f>
        <v>0.58958999999999995</v>
      </c>
      <c r="F596" s="4">
        <f t="shared" si="39"/>
        <v>6</v>
      </c>
      <c r="G596" s="4" cm="1">
        <f t="array" ref="G596">IF($C596&gt;=25,F596,IF($C596&lt;16,INDEX(Sheet1!C:C,$F596),$F596))</f>
        <v>6</v>
      </c>
      <c r="H596" s="4" t="str" cm="1">
        <f t="array" ref="H596">INDEX(Sheet1!D:D,$G596)</f>
        <v>t1137.xlsx</v>
      </c>
      <c r="I596" s="4" t="str" cm="1">
        <f t="array" ref="I596">INDEX(Sheet1!E:E,$G596)</f>
        <v>Sheet1</v>
      </c>
      <c r="J596" s="4" t="str" cm="1">
        <f t="array" ref="J596">IF($C596&gt;=25,INDEX(Sheet1!G:G,$G596),INDEX(Sheet1!F:F,$G596))</f>
        <v>B139</v>
      </c>
      <c r="K596" s="4" cm="1">
        <f t="array" ref="K596">INDEX(Sheet1!H:H,$G596)</f>
        <v>1</v>
      </c>
      <c r="L596" s="4">
        <f t="shared" si="36"/>
        <v>85</v>
      </c>
      <c r="M596" s="4">
        <f t="shared" si="37"/>
        <v>0</v>
      </c>
    </row>
    <row r="597" spans="1:13">
      <c r="A597" s="4" t="str" cm="1">
        <f t="array" ref="A597">INDEX(Sheet1!A:A,$F597)</f>
        <v>M</v>
      </c>
      <c r="B597" s="4" t="str" cm="1">
        <f t="array" ref="B597">INDEX(Sheet1!B:B,$F597)</f>
        <v>Undiff NS</v>
      </c>
      <c r="C597" s="4">
        <f t="shared" si="38"/>
        <v>111</v>
      </c>
      <c r="D597" s="5" cm="1">
        <f t="array" aca="1" ref="D597" ca="1">OFFSET(INDIRECT("'["&amp;$H597&amp;"]"&amp;$I597&amp;"'!"&amp;$J597),$L597,$M597)*$K597</f>
        <v>0.62073999999999996</v>
      </c>
      <c r="F597" s="4">
        <f t="shared" si="39"/>
        <v>6</v>
      </c>
      <c r="G597" s="4" cm="1">
        <f t="array" ref="G597">IF($C597&gt;=25,F597,IF($C597&lt;16,INDEX(Sheet1!C:C,$F597),$F597))</f>
        <v>6</v>
      </c>
      <c r="H597" s="4" t="str" cm="1">
        <f t="array" ref="H597">INDEX(Sheet1!D:D,$G597)</f>
        <v>t1137.xlsx</v>
      </c>
      <c r="I597" s="4" t="str" cm="1">
        <f t="array" ref="I597">INDEX(Sheet1!E:E,$G597)</f>
        <v>Sheet1</v>
      </c>
      <c r="J597" s="4" t="str" cm="1">
        <f t="array" ref="J597">IF($C597&gt;=25,INDEX(Sheet1!G:G,$G597),INDEX(Sheet1!F:F,$G597))</f>
        <v>B139</v>
      </c>
      <c r="K597" s="4" cm="1">
        <f t="array" ref="K597">INDEX(Sheet1!H:H,$G597)</f>
        <v>1</v>
      </c>
      <c r="L597" s="4">
        <f t="shared" si="36"/>
        <v>86</v>
      </c>
      <c r="M597" s="4">
        <f t="shared" si="37"/>
        <v>0</v>
      </c>
    </row>
    <row r="598" spans="1:13">
      <c r="A598" s="4" t="str" cm="1">
        <f t="array" ref="A598">INDEX(Sheet1!A:A,$F598)</f>
        <v>M</v>
      </c>
      <c r="B598" s="4" t="str" cm="1">
        <f t="array" ref="B598">INDEX(Sheet1!B:B,$F598)</f>
        <v>Undiff NS</v>
      </c>
      <c r="C598" s="4">
        <f t="shared" si="38"/>
        <v>112</v>
      </c>
      <c r="D598" s="5" cm="1">
        <f t="array" aca="1" ref="D598" ca="1">OFFSET(INDIRECT("'["&amp;$H598&amp;"]"&amp;$I598&amp;"'!"&amp;$J598),$L598,$M598)*$K598</f>
        <v>0.65380000000000005</v>
      </c>
      <c r="F598" s="4">
        <f t="shared" si="39"/>
        <v>6</v>
      </c>
      <c r="G598" s="4" cm="1">
        <f t="array" ref="G598">IF($C598&gt;=25,F598,IF($C598&lt;16,INDEX(Sheet1!C:C,$F598),$F598))</f>
        <v>6</v>
      </c>
      <c r="H598" s="4" t="str" cm="1">
        <f t="array" ref="H598">INDEX(Sheet1!D:D,$G598)</f>
        <v>t1137.xlsx</v>
      </c>
      <c r="I598" s="4" t="str" cm="1">
        <f t="array" ref="I598">INDEX(Sheet1!E:E,$G598)</f>
        <v>Sheet1</v>
      </c>
      <c r="J598" s="4" t="str" cm="1">
        <f t="array" ref="J598">IF($C598&gt;=25,INDEX(Sheet1!G:G,$G598),INDEX(Sheet1!F:F,$G598))</f>
        <v>B139</v>
      </c>
      <c r="K598" s="4" cm="1">
        <f t="array" ref="K598">INDEX(Sheet1!H:H,$G598)</f>
        <v>1</v>
      </c>
      <c r="L598" s="4">
        <f t="shared" si="36"/>
        <v>87</v>
      </c>
      <c r="M598" s="4">
        <f t="shared" si="37"/>
        <v>0</v>
      </c>
    </row>
    <row r="599" spans="1:13">
      <c r="A599" s="4" t="str" cm="1">
        <f t="array" ref="A599">INDEX(Sheet1!A:A,$F599)</f>
        <v>M</v>
      </c>
      <c r="B599" s="4" t="str" cm="1">
        <f t="array" ref="B599">INDEX(Sheet1!B:B,$F599)</f>
        <v>Undiff NS</v>
      </c>
      <c r="C599" s="4">
        <f t="shared" si="38"/>
        <v>113</v>
      </c>
      <c r="D599" s="5" cm="1">
        <f t="array" aca="1" ref="D599" ca="1">OFFSET(INDIRECT("'["&amp;$H599&amp;"]"&amp;$I599&amp;"'!"&amp;$J599),$L599,$M599)*$K599</f>
        <v>0.68891000000000002</v>
      </c>
      <c r="F599" s="4">
        <f t="shared" si="39"/>
        <v>6</v>
      </c>
      <c r="G599" s="4" cm="1">
        <f t="array" ref="G599">IF($C599&gt;=25,F599,IF($C599&lt;16,INDEX(Sheet1!C:C,$F599),$F599))</f>
        <v>6</v>
      </c>
      <c r="H599" s="4" t="str" cm="1">
        <f t="array" ref="H599">INDEX(Sheet1!D:D,$G599)</f>
        <v>t1137.xlsx</v>
      </c>
      <c r="I599" s="4" t="str" cm="1">
        <f t="array" ref="I599">INDEX(Sheet1!E:E,$G599)</f>
        <v>Sheet1</v>
      </c>
      <c r="J599" s="4" t="str" cm="1">
        <f t="array" ref="J599">IF($C599&gt;=25,INDEX(Sheet1!G:G,$G599),INDEX(Sheet1!F:F,$G599))</f>
        <v>B139</v>
      </c>
      <c r="K599" s="4" cm="1">
        <f t="array" ref="K599">INDEX(Sheet1!H:H,$G599)</f>
        <v>1</v>
      </c>
      <c r="L599" s="4">
        <f t="shared" si="36"/>
        <v>88</v>
      </c>
      <c r="M599" s="4">
        <f t="shared" si="37"/>
        <v>0</v>
      </c>
    </row>
    <row r="600" spans="1:13">
      <c r="A600" s="4" t="str" cm="1">
        <f t="array" ref="A600">INDEX(Sheet1!A:A,$F600)</f>
        <v>M</v>
      </c>
      <c r="B600" s="4" t="str" cm="1">
        <f t="array" ref="B600">INDEX(Sheet1!B:B,$F600)</f>
        <v>Undiff NS</v>
      </c>
      <c r="C600" s="4">
        <f t="shared" si="38"/>
        <v>114</v>
      </c>
      <c r="D600" s="5" cm="1">
        <f t="array" aca="1" ref="D600" ca="1">OFFSET(INDIRECT("'["&amp;$H600&amp;"]"&amp;$I600&amp;"'!"&amp;$J600),$L600,$M600)*$K600</f>
        <v>0.72614999999999996</v>
      </c>
      <c r="F600" s="4">
        <f t="shared" si="39"/>
        <v>6</v>
      </c>
      <c r="G600" s="4" cm="1">
        <f t="array" ref="G600">IF($C600&gt;=25,F600,IF($C600&lt;16,INDEX(Sheet1!C:C,$F600),$F600))</f>
        <v>6</v>
      </c>
      <c r="H600" s="4" t="str" cm="1">
        <f t="array" ref="H600">INDEX(Sheet1!D:D,$G600)</f>
        <v>t1137.xlsx</v>
      </c>
      <c r="I600" s="4" t="str" cm="1">
        <f t="array" ref="I600">INDEX(Sheet1!E:E,$G600)</f>
        <v>Sheet1</v>
      </c>
      <c r="J600" s="4" t="str" cm="1">
        <f t="array" ref="J600">IF($C600&gt;=25,INDEX(Sheet1!G:G,$G600),INDEX(Sheet1!F:F,$G600))</f>
        <v>B139</v>
      </c>
      <c r="K600" s="4" cm="1">
        <f t="array" ref="K600">INDEX(Sheet1!H:H,$G600)</f>
        <v>1</v>
      </c>
      <c r="L600" s="4">
        <f t="shared" si="36"/>
        <v>89</v>
      </c>
      <c r="M600" s="4">
        <f t="shared" si="37"/>
        <v>0</v>
      </c>
    </row>
    <row r="601" spans="1:13">
      <c r="A601" s="4" t="str" cm="1">
        <f t="array" ref="A601">INDEX(Sheet1!A:A,$F601)</f>
        <v>M</v>
      </c>
      <c r="B601" s="4" t="str" cm="1">
        <f t="array" ref="B601">INDEX(Sheet1!B:B,$F601)</f>
        <v>Undiff NS</v>
      </c>
      <c r="C601" s="4">
        <f t="shared" si="38"/>
        <v>115</v>
      </c>
      <c r="D601" s="5" cm="1">
        <f t="array" aca="1" ref="D601" ca="1">OFFSET(INDIRECT("'["&amp;$H601&amp;"]"&amp;$I601&amp;"'!"&amp;$J601),$L601,$M601)*$K601</f>
        <v>0.76566999999999996</v>
      </c>
      <c r="F601" s="4">
        <f t="shared" si="39"/>
        <v>6</v>
      </c>
      <c r="G601" s="4" cm="1">
        <f t="array" ref="G601">IF($C601&gt;=25,F601,IF($C601&lt;16,INDEX(Sheet1!C:C,$F601),$F601))</f>
        <v>6</v>
      </c>
      <c r="H601" s="4" t="str" cm="1">
        <f t="array" ref="H601">INDEX(Sheet1!D:D,$G601)</f>
        <v>t1137.xlsx</v>
      </c>
      <c r="I601" s="4" t="str" cm="1">
        <f t="array" ref="I601">INDEX(Sheet1!E:E,$G601)</f>
        <v>Sheet1</v>
      </c>
      <c r="J601" s="4" t="str" cm="1">
        <f t="array" ref="J601">IF($C601&gt;=25,INDEX(Sheet1!G:G,$G601),INDEX(Sheet1!F:F,$G601))</f>
        <v>B139</v>
      </c>
      <c r="K601" s="4" cm="1">
        <f t="array" ref="K601">INDEX(Sheet1!H:H,$G601)</f>
        <v>1</v>
      </c>
      <c r="L601" s="4">
        <f t="shared" si="36"/>
        <v>90</v>
      </c>
      <c r="M601" s="4">
        <f t="shared" si="37"/>
        <v>0</v>
      </c>
    </row>
    <row r="602" spans="1:13">
      <c r="A602" s="4" t="str" cm="1">
        <f t="array" ref="A602">INDEX(Sheet1!A:A,$F602)</f>
        <v>M</v>
      </c>
      <c r="B602" s="4" t="str" cm="1">
        <f t="array" ref="B602">INDEX(Sheet1!B:B,$F602)</f>
        <v>Undiff NS</v>
      </c>
      <c r="C602" s="4">
        <f t="shared" si="38"/>
        <v>116</v>
      </c>
      <c r="D602" s="5" cm="1">
        <f t="array" aca="1" ref="D602" ca="1">OFFSET(INDIRECT("'["&amp;$H602&amp;"]"&amp;$I602&amp;"'!"&amp;$J602),$L602,$M602)*$K602</f>
        <v>0.80759000000000003</v>
      </c>
      <c r="F602" s="4">
        <f t="shared" si="39"/>
        <v>6</v>
      </c>
      <c r="G602" s="4" cm="1">
        <f t="array" ref="G602">IF($C602&gt;=25,F602,IF($C602&lt;16,INDEX(Sheet1!C:C,$F602),$F602))</f>
        <v>6</v>
      </c>
      <c r="H602" s="4" t="str" cm="1">
        <f t="array" ref="H602">INDEX(Sheet1!D:D,$G602)</f>
        <v>t1137.xlsx</v>
      </c>
      <c r="I602" s="4" t="str" cm="1">
        <f t="array" ref="I602">INDEX(Sheet1!E:E,$G602)</f>
        <v>Sheet1</v>
      </c>
      <c r="J602" s="4" t="str" cm="1">
        <f t="array" ref="J602">IF($C602&gt;=25,INDEX(Sheet1!G:G,$G602),INDEX(Sheet1!F:F,$G602))</f>
        <v>B139</v>
      </c>
      <c r="K602" s="4" cm="1">
        <f t="array" ref="K602">INDEX(Sheet1!H:H,$G602)</f>
        <v>1</v>
      </c>
      <c r="L602" s="4">
        <f t="shared" si="36"/>
        <v>91</v>
      </c>
      <c r="M602" s="4">
        <f t="shared" si="37"/>
        <v>0</v>
      </c>
    </row>
    <row r="603" spans="1:13">
      <c r="A603" s="4" t="str" cm="1">
        <f t="array" ref="A603">INDEX(Sheet1!A:A,$F603)</f>
        <v>M</v>
      </c>
      <c r="B603" s="4" t="str" cm="1">
        <f t="array" ref="B603">INDEX(Sheet1!B:B,$F603)</f>
        <v>Undiff NS</v>
      </c>
      <c r="C603" s="4">
        <f t="shared" si="38"/>
        <v>117</v>
      </c>
      <c r="D603" s="5" cm="1">
        <f t="array" aca="1" ref="D603" ca="1">OFFSET(INDIRECT("'["&amp;$H603&amp;"]"&amp;$I603&amp;"'!"&amp;$J603),$L603,$M603)*$K603</f>
        <v>0.85204999999999997</v>
      </c>
      <c r="F603" s="4">
        <f t="shared" si="39"/>
        <v>6</v>
      </c>
      <c r="G603" s="4" cm="1">
        <f t="array" ref="G603">IF($C603&gt;=25,F603,IF($C603&lt;16,INDEX(Sheet1!C:C,$F603),$F603))</f>
        <v>6</v>
      </c>
      <c r="H603" s="4" t="str" cm="1">
        <f t="array" ref="H603">INDEX(Sheet1!D:D,$G603)</f>
        <v>t1137.xlsx</v>
      </c>
      <c r="I603" s="4" t="str" cm="1">
        <f t="array" ref="I603">INDEX(Sheet1!E:E,$G603)</f>
        <v>Sheet1</v>
      </c>
      <c r="J603" s="4" t="str" cm="1">
        <f t="array" ref="J603">IF($C603&gt;=25,INDEX(Sheet1!G:G,$G603),INDEX(Sheet1!F:F,$G603))</f>
        <v>B139</v>
      </c>
      <c r="K603" s="4" cm="1">
        <f t="array" ref="K603">INDEX(Sheet1!H:H,$G603)</f>
        <v>1</v>
      </c>
      <c r="L603" s="4">
        <f t="shared" si="36"/>
        <v>92</v>
      </c>
      <c r="M603" s="4">
        <f t="shared" si="37"/>
        <v>0</v>
      </c>
    </row>
    <row r="604" spans="1:13">
      <c r="A604" s="4" t="str" cm="1">
        <f t="array" ref="A604">INDEX(Sheet1!A:A,$F604)</f>
        <v>M</v>
      </c>
      <c r="B604" s="4" t="str" cm="1">
        <f t="array" ref="B604">INDEX(Sheet1!B:B,$F604)</f>
        <v>Undiff NS</v>
      </c>
      <c r="C604" s="4">
        <f t="shared" si="38"/>
        <v>118</v>
      </c>
      <c r="D604" s="5" cm="1">
        <f t="array" aca="1" ref="D604" ca="1">OFFSET(INDIRECT("'["&amp;$H604&amp;"]"&amp;$I604&amp;"'!"&amp;$J604),$L604,$M604)*$K604</f>
        <v>0.89922000000000002</v>
      </c>
      <c r="F604" s="4">
        <f t="shared" si="39"/>
        <v>6</v>
      </c>
      <c r="G604" s="4" cm="1">
        <f t="array" ref="G604">IF($C604&gt;=25,F604,IF($C604&lt;16,INDEX(Sheet1!C:C,$F604),$F604))</f>
        <v>6</v>
      </c>
      <c r="H604" s="4" t="str" cm="1">
        <f t="array" ref="H604">INDEX(Sheet1!D:D,$G604)</f>
        <v>t1137.xlsx</v>
      </c>
      <c r="I604" s="4" t="str" cm="1">
        <f t="array" ref="I604">INDEX(Sheet1!E:E,$G604)</f>
        <v>Sheet1</v>
      </c>
      <c r="J604" s="4" t="str" cm="1">
        <f t="array" ref="J604">IF($C604&gt;=25,INDEX(Sheet1!G:G,$G604),INDEX(Sheet1!F:F,$G604))</f>
        <v>B139</v>
      </c>
      <c r="K604" s="4" cm="1">
        <f t="array" ref="K604">INDEX(Sheet1!H:H,$G604)</f>
        <v>1</v>
      </c>
      <c r="L604" s="4">
        <f t="shared" si="36"/>
        <v>93</v>
      </c>
      <c r="M604" s="4">
        <f t="shared" si="37"/>
        <v>0</v>
      </c>
    </row>
    <row r="605" spans="1:13">
      <c r="A605" s="4" t="str" cm="1">
        <f t="array" ref="A605">INDEX(Sheet1!A:A,$F605)</f>
        <v>M</v>
      </c>
      <c r="B605" s="4" t="str" cm="1">
        <f t="array" ref="B605">INDEX(Sheet1!B:B,$F605)</f>
        <v>Undiff NS</v>
      </c>
      <c r="C605" s="4">
        <f t="shared" si="38"/>
        <v>119</v>
      </c>
      <c r="D605" s="5" cm="1">
        <f t="array" aca="1" ref="D605" ca="1">OFFSET(INDIRECT("'["&amp;$H605&amp;"]"&amp;$I605&amp;"'!"&amp;$J605),$L605,$M605)*$K605</f>
        <v>0.94921999999999995</v>
      </c>
      <c r="F605" s="4">
        <f t="shared" si="39"/>
        <v>6</v>
      </c>
      <c r="G605" s="4" cm="1">
        <f t="array" ref="G605">IF($C605&gt;=25,F605,IF($C605&lt;16,INDEX(Sheet1!C:C,$F605),$F605))</f>
        <v>6</v>
      </c>
      <c r="H605" s="4" t="str" cm="1">
        <f t="array" ref="H605">INDEX(Sheet1!D:D,$G605)</f>
        <v>t1137.xlsx</v>
      </c>
      <c r="I605" s="4" t="str" cm="1">
        <f t="array" ref="I605">INDEX(Sheet1!E:E,$G605)</f>
        <v>Sheet1</v>
      </c>
      <c r="J605" s="4" t="str" cm="1">
        <f t="array" ref="J605">IF($C605&gt;=25,INDEX(Sheet1!G:G,$G605),INDEX(Sheet1!F:F,$G605))</f>
        <v>B139</v>
      </c>
      <c r="K605" s="4" cm="1">
        <f t="array" ref="K605">INDEX(Sheet1!H:H,$G605)</f>
        <v>1</v>
      </c>
      <c r="L605" s="4">
        <f t="shared" si="36"/>
        <v>94</v>
      </c>
      <c r="M605" s="4">
        <f t="shared" si="37"/>
        <v>0</v>
      </c>
    </row>
    <row r="606" spans="1:13">
      <c r="A606" s="4" t="str" cm="1">
        <f t="array" ref="A606">INDEX(Sheet1!A:A,$F606)</f>
        <v>M</v>
      </c>
      <c r="B606" s="4" t="str" cm="1">
        <f t="array" ref="B606">INDEX(Sheet1!B:B,$F606)</f>
        <v>Undiff NS</v>
      </c>
      <c r="C606" s="4">
        <f t="shared" si="38"/>
        <v>120</v>
      </c>
      <c r="D606" s="5" cm="1">
        <f t="array" aca="1" ref="D606" ca="1">OFFSET(INDIRECT("'["&amp;$H606&amp;"]"&amp;$I606&amp;"'!"&amp;$J606),$L606,$M606)*$K606</f>
        <v>1</v>
      </c>
      <c r="F606" s="4">
        <f t="shared" si="39"/>
        <v>6</v>
      </c>
      <c r="G606" s="4" cm="1">
        <f t="array" ref="G606">IF($C606&gt;=25,F606,IF($C606&lt;16,INDEX(Sheet1!C:C,$F606),$F606))</f>
        <v>6</v>
      </c>
      <c r="H606" s="4" t="str" cm="1">
        <f t="array" ref="H606">INDEX(Sheet1!D:D,$G606)</f>
        <v>t1137.xlsx</v>
      </c>
      <c r="I606" s="4" t="str" cm="1">
        <f t="array" ref="I606">INDEX(Sheet1!E:E,$G606)</f>
        <v>Sheet1</v>
      </c>
      <c r="J606" s="4" t="str" cm="1">
        <f t="array" ref="J606">IF($C606&gt;=25,INDEX(Sheet1!G:G,$G606),INDEX(Sheet1!F:F,$G606))</f>
        <v>B139</v>
      </c>
      <c r="K606" s="4" cm="1">
        <f t="array" ref="K606">INDEX(Sheet1!H:H,$G606)</f>
        <v>1</v>
      </c>
      <c r="L606" s="4">
        <f t="shared" si="36"/>
        <v>95</v>
      </c>
      <c r="M606" s="4">
        <f t="shared" si="37"/>
        <v>0</v>
      </c>
    </row>
    <row r="607" spans="1:13">
      <c r="A607" s="4" t="str" cm="1">
        <f t="array" ref="A607">INDEX(Sheet1!A:A,$F607)</f>
        <v>M</v>
      </c>
      <c r="B607" s="4" t="str" cm="1">
        <f t="array" ref="B607">INDEX(Sheet1!B:B,$F607)</f>
        <v>Pref SM</v>
      </c>
      <c r="C607" s="4">
        <f t="shared" si="38"/>
        <v>0</v>
      </c>
      <c r="D607" s="5" cm="1">
        <f t="array" aca="1" ref="D607" ca="1">OFFSET(INDIRECT("'["&amp;$H607&amp;"]"&amp;$I607&amp;"'!"&amp;$J607),$L607,$M607)*$K607</f>
        <v>9.7000000000000005E-4</v>
      </c>
      <c r="F607" s="4">
        <f t="shared" si="39"/>
        <v>7</v>
      </c>
      <c r="G607" s="4" cm="1">
        <f t="array" ref="G607">IF($C607&gt;=25,F607,IF($C607&lt;16,INDEX(Sheet1!C:C,$F607),$F607))</f>
        <v>10</v>
      </c>
      <c r="H607" s="4" t="str" cm="1">
        <f t="array" ref="H607">INDEX(Sheet1!D:D,$G607)</f>
        <v>t1136.xlsx</v>
      </c>
      <c r="I607" s="4" t="str" cm="1">
        <f t="array" ref="I607">INDEX(Sheet1!E:E,$G607)</f>
        <v>Sheet1</v>
      </c>
      <c r="J607" s="4" t="str" cm="1">
        <f t="array" ref="J607">IF($C607&gt;=25,INDEX(Sheet1!G:G,$G607),INDEX(Sheet1!F:F,$G607))</f>
        <v>B25</v>
      </c>
      <c r="K607" s="4" cm="1">
        <f t="array" ref="K607">INDEX(Sheet1!H:H,$G607)</f>
        <v>1</v>
      </c>
      <c r="L607" s="4">
        <f t="shared" si="36"/>
        <v>0</v>
      </c>
      <c r="M607" s="4">
        <f t="shared" si="37"/>
        <v>0</v>
      </c>
    </row>
    <row r="608" spans="1:13">
      <c r="A608" s="4" t="str" cm="1">
        <f t="array" ref="A608">INDEX(Sheet1!A:A,$F608)</f>
        <v>M</v>
      </c>
      <c r="B608" s="4" t="str" cm="1">
        <f t="array" ref="B608">INDEX(Sheet1!B:B,$F608)</f>
        <v>Pref SM</v>
      </c>
      <c r="C608" s="4">
        <f t="shared" si="38"/>
        <v>1</v>
      </c>
      <c r="D608" s="5" cm="1">
        <f t="array" aca="1" ref="D608" ca="1">OFFSET(INDIRECT("'["&amp;$H608&amp;"]"&amp;$I608&amp;"'!"&amp;$J608),$L608,$M608)*$K608</f>
        <v>5.5999999999999995E-4</v>
      </c>
      <c r="F608" s="4">
        <f t="shared" si="39"/>
        <v>7</v>
      </c>
      <c r="G608" s="4" cm="1">
        <f t="array" ref="G608">IF($C608&gt;=25,F608,IF($C608&lt;16,INDEX(Sheet1!C:C,$F608),$F608))</f>
        <v>10</v>
      </c>
      <c r="H608" s="4" t="str" cm="1">
        <f t="array" ref="H608">INDEX(Sheet1!D:D,$G608)</f>
        <v>t1136.xlsx</v>
      </c>
      <c r="I608" s="4" t="str" cm="1">
        <f t="array" ref="I608">INDEX(Sheet1!E:E,$G608)</f>
        <v>Sheet1</v>
      </c>
      <c r="J608" s="4" t="str" cm="1">
        <f t="array" ref="J608">IF($C608&gt;=25,INDEX(Sheet1!G:G,$G608),INDEX(Sheet1!F:F,$G608))</f>
        <v>B25</v>
      </c>
      <c r="K608" s="4" cm="1">
        <f t="array" ref="K608">INDEX(Sheet1!H:H,$G608)</f>
        <v>1</v>
      </c>
      <c r="L608" s="4">
        <f t="shared" si="36"/>
        <v>0</v>
      </c>
      <c r="M608" s="4">
        <f t="shared" si="37"/>
        <v>1</v>
      </c>
    </row>
    <row r="609" spans="1:13">
      <c r="A609" s="4" t="str" cm="1">
        <f t="array" ref="A609">INDEX(Sheet1!A:A,$F609)</f>
        <v>M</v>
      </c>
      <c r="B609" s="4" t="str" cm="1">
        <f t="array" ref="B609">INDEX(Sheet1!B:B,$F609)</f>
        <v>Pref SM</v>
      </c>
      <c r="C609" s="4">
        <f t="shared" si="38"/>
        <v>2</v>
      </c>
      <c r="D609" s="5" cm="1">
        <f t="array" aca="1" ref="D609" ca="1">OFFSET(INDIRECT("'["&amp;$H609&amp;"]"&amp;$I609&amp;"'!"&amp;$J609),$L609,$M609)*$K609</f>
        <v>3.8999999999999999E-4</v>
      </c>
      <c r="F609" s="4">
        <f t="shared" si="39"/>
        <v>7</v>
      </c>
      <c r="G609" s="4" cm="1">
        <f t="array" ref="G609">IF($C609&gt;=25,F609,IF($C609&lt;16,INDEX(Sheet1!C:C,$F609),$F609))</f>
        <v>10</v>
      </c>
      <c r="H609" s="4" t="str" cm="1">
        <f t="array" ref="H609">INDEX(Sheet1!D:D,$G609)</f>
        <v>t1136.xlsx</v>
      </c>
      <c r="I609" s="4" t="str" cm="1">
        <f t="array" ref="I609">INDEX(Sheet1!E:E,$G609)</f>
        <v>Sheet1</v>
      </c>
      <c r="J609" s="4" t="str" cm="1">
        <f t="array" ref="J609">IF($C609&gt;=25,INDEX(Sheet1!G:G,$G609),INDEX(Sheet1!F:F,$G609))</f>
        <v>B25</v>
      </c>
      <c r="K609" s="4" cm="1">
        <f t="array" ref="K609">INDEX(Sheet1!H:H,$G609)</f>
        <v>1</v>
      </c>
      <c r="L609" s="4">
        <f t="shared" si="36"/>
        <v>0</v>
      </c>
      <c r="M609" s="4">
        <f t="shared" si="37"/>
        <v>2</v>
      </c>
    </row>
    <row r="610" spans="1:13">
      <c r="A610" s="4" t="str" cm="1">
        <f t="array" ref="A610">INDEX(Sheet1!A:A,$F610)</f>
        <v>M</v>
      </c>
      <c r="B610" s="4" t="str" cm="1">
        <f t="array" ref="B610">INDEX(Sheet1!B:B,$F610)</f>
        <v>Pref SM</v>
      </c>
      <c r="C610" s="4">
        <f t="shared" si="38"/>
        <v>3</v>
      </c>
      <c r="D610" s="5" cm="1">
        <f t="array" aca="1" ref="D610" ca="1">OFFSET(INDIRECT("'["&amp;$H610&amp;"]"&amp;$I610&amp;"'!"&amp;$J610),$L610,$M610)*$K610</f>
        <v>2.7E-4</v>
      </c>
      <c r="F610" s="4">
        <f t="shared" si="39"/>
        <v>7</v>
      </c>
      <c r="G610" s="4" cm="1">
        <f t="array" ref="G610">IF($C610&gt;=25,F610,IF($C610&lt;16,INDEX(Sheet1!C:C,$F610),$F610))</f>
        <v>10</v>
      </c>
      <c r="H610" s="4" t="str" cm="1">
        <f t="array" ref="H610">INDEX(Sheet1!D:D,$G610)</f>
        <v>t1136.xlsx</v>
      </c>
      <c r="I610" s="4" t="str" cm="1">
        <f t="array" ref="I610">INDEX(Sheet1!E:E,$G610)</f>
        <v>Sheet1</v>
      </c>
      <c r="J610" s="4" t="str" cm="1">
        <f t="array" ref="J610">IF($C610&gt;=25,INDEX(Sheet1!G:G,$G610),INDEX(Sheet1!F:F,$G610))</f>
        <v>B25</v>
      </c>
      <c r="K610" s="4" cm="1">
        <f t="array" ref="K610">INDEX(Sheet1!H:H,$G610)</f>
        <v>1</v>
      </c>
      <c r="L610" s="4">
        <f t="shared" si="36"/>
        <v>0</v>
      </c>
      <c r="M610" s="4">
        <f t="shared" si="37"/>
        <v>3</v>
      </c>
    </row>
    <row r="611" spans="1:13">
      <c r="A611" s="4" t="str" cm="1">
        <f t="array" ref="A611">INDEX(Sheet1!A:A,$F611)</f>
        <v>M</v>
      </c>
      <c r="B611" s="4" t="str" cm="1">
        <f t="array" ref="B611">INDEX(Sheet1!B:B,$F611)</f>
        <v>Pref SM</v>
      </c>
      <c r="C611" s="4">
        <f t="shared" si="38"/>
        <v>4</v>
      </c>
      <c r="D611" s="5" cm="1">
        <f t="array" aca="1" ref="D611" ca="1">OFFSET(INDIRECT("'["&amp;$H611&amp;"]"&amp;$I611&amp;"'!"&amp;$J611),$L611,$M611)*$K611</f>
        <v>2.1000000000000001E-4</v>
      </c>
      <c r="F611" s="4">
        <f t="shared" si="39"/>
        <v>7</v>
      </c>
      <c r="G611" s="4" cm="1">
        <f t="array" ref="G611">IF($C611&gt;=25,F611,IF($C611&lt;16,INDEX(Sheet1!C:C,$F611),$F611))</f>
        <v>10</v>
      </c>
      <c r="H611" s="4" t="str" cm="1">
        <f t="array" ref="H611">INDEX(Sheet1!D:D,$G611)</f>
        <v>t1136.xlsx</v>
      </c>
      <c r="I611" s="4" t="str" cm="1">
        <f t="array" ref="I611">INDEX(Sheet1!E:E,$G611)</f>
        <v>Sheet1</v>
      </c>
      <c r="J611" s="4" t="str" cm="1">
        <f t="array" ref="J611">IF($C611&gt;=25,INDEX(Sheet1!G:G,$G611),INDEX(Sheet1!F:F,$G611))</f>
        <v>B25</v>
      </c>
      <c r="K611" s="4" cm="1">
        <f t="array" ref="K611">INDEX(Sheet1!H:H,$G611)</f>
        <v>1</v>
      </c>
      <c r="L611" s="4">
        <f t="shared" si="36"/>
        <v>0</v>
      </c>
      <c r="M611" s="4">
        <f t="shared" si="37"/>
        <v>4</v>
      </c>
    </row>
    <row r="612" spans="1:13">
      <c r="A612" s="4" t="str" cm="1">
        <f t="array" ref="A612">INDEX(Sheet1!A:A,$F612)</f>
        <v>M</v>
      </c>
      <c r="B612" s="4" t="str" cm="1">
        <f t="array" ref="B612">INDEX(Sheet1!B:B,$F612)</f>
        <v>Pref SM</v>
      </c>
      <c r="C612" s="4">
        <f t="shared" si="38"/>
        <v>5</v>
      </c>
      <c r="D612" s="5" cm="1">
        <f t="array" aca="1" ref="D612" ca="1">OFFSET(INDIRECT("'["&amp;$H612&amp;"]"&amp;$I612&amp;"'!"&amp;$J612),$L612,$M612)*$K612</f>
        <v>2.1000000000000001E-4</v>
      </c>
      <c r="F612" s="4">
        <f t="shared" si="39"/>
        <v>7</v>
      </c>
      <c r="G612" s="4" cm="1">
        <f t="array" ref="G612">IF($C612&gt;=25,F612,IF($C612&lt;16,INDEX(Sheet1!C:C,$F612),$F612))</f>
        <v>10</v>
      </c>
      <c r="H612" s="4" t="str" cm="1">
        <f t="array" ref="H612">INDEX(Sheet1!D:D,$G612)</f>
        <v>t1136.xlsx</v>
      </c>
      <c r="I612" s="4" t="str" cm="1">
        <f t="array" ref="I612">INDEX(Sheet1!E:E,$G612)</f>
        <v>Sheet1</v>
      </c>
      <c r="J612" s="4" t="str" cm="1">
        <f t="array" ref="J612">IF($C612&gt;=25,INDEX(Sheet1!G:G,$G612),INDEX(Sheet1!F:F,$G612))</f>
        <v>B25</v>
      </c>
      <c r="K612" s="4" cm="1">
        <f t="array" ref="K612">INDEX(Sheet1!H:H,$G612)</f>
        <v>1</v>
      </c>
      <c r="L612" s="4">
        <f t="shared" si="36"/>
        <v>0</v>
      </c>
      <c r="M612" s="4">
        <f t="shared" si="37"/>
        <v>5</v>
      </c>
    </row>
    <row r="613" spans="1:13">
      <c r="A613" s="4" t="str" cm="1">
        <f t="array" ref="A613">INDEX(Sheet1!A:A,$F613)</f>
        <v>M</v>
      </c>
      <c r="B613" s="4" t="str" cm="1">
        <f t="array" ref="B613">INDEX(Sheet1!B:B,$F613)</f>
        <v>Pref SM</v>
      </c>
      <c r="C613" s="4">
        <f t="shared" si="38"/>
        <v>6</v>
      </c>
      <c r="D613" s="5" cm="1">
        <f t="array" aca="1" ref="D613" ca="1">OFFSET(INDIRECT("'["&amp;$H613&amp;"]"&amp;$I613&amp;"'!"&amp;$J613),$L613,$M613)*$K613</f>
        <v>2.2000000000000001E-4</v>
      </c>
      <c r="F613" s="4">
        <f t="shared" si="39"/>
        <v>7</v>
      </c>
      <c r="G613" s="4" cm="1">
        <f t="array" ref="G613">IF($C613&gt;=25,F613,IF($C613&lt;16,INDEX(Sheet1!C:C,$F613),$F613))</f>
        <v>10</v>
      </c>
      <c r="H613" s="4" t="str" cm="1">
        <f t="array" ref="H613">INDEX(Sheet1!D:D,$G613)</f>
        <v>t1136.xlsx</v>
      </c>
      <c r="I613" s="4" t="str" cm="1">
        <f t="array" ref="I613">INDEX(Sheet1!E:E,$G613)</f>
        <v>Sheet1</v>
      </c>
      <c r="J613" s="4" t="str" cm="1">
        <f t="array" ref="J613">IF($C613&gt;=25,INDEX(Sheet1!G:G,$G613),INDEX(Sheet1!F:F,$G613))</f>
        <v>B25</v>
      </c>
      <c r="K613" s="4" cm="1">
        <f t="array" ref="K613">INDEX(Sheet1!H:H,$G613)</f>
        <v>1</v>
      </c>
      <c r="L613" s="4">
        <f t="shared" si="36"/>
        <v>0</v>
      </c>
      <c r="M613" s="4">
        <f t="shared" si="37"/>
        <v>6</v>
      </c>
    </row>
    <row r="614" spans="1:13">
      <c r="A614" s="4" t="str" cm="1">
        <f t="array" ref="A614">INDEX(Sheet1!A:A,$F614)</f>
        <v>M</v>
      </c>
      <c r="B614" s="4" t="str" cm="1">
        <f t="array" ref="B614">INDEX(Sheet1!B:B,$F614)</f>
        <v>Pref SM</v>
      </c>
      <c r="C614" s="4">
        <f t="shared" si="38"/>
        <v>7</v>
      </c>
      <c r="D614" s="5" cm="1">
        <f t="array" aca="1" ref="D614" ca="1">OFFSET(INDIRECT("'["&amp;$H614&amp;"]"&amp;$I614&amp;"'!"&amp;$J614),$L614,$M614)*$K614</f>
        <v>2.2000000000000001E-4</v>
      </c>
      <c r="F614" s="4">
        <f t="shared" si="39"/>
        <v>7</v>
      </c>
      <c r="G614" s="4" cm="1">
        <f t="array" ref="G614">IF($C614&gt;=25,F614,IF($C614&lt;16,INDEX(Sheet1!C:C,$F614),$F614))</f>
        <v>10</v>
      </c>
      <c r="H614" s="4" t="str" cm="1">
        <f t="array" ref="H614">INDEX(Sheet1!D:D,$G614)</f>
        <v>t1136.xlsx</v>
      </c>
      <c r="I614" s="4" t="str" cm="1">
        <f t="array" ref="I614">INDEX(Sheet1!E:E,$G614)</f>
        <v>Sheet1</v>
      </c>
      <c r="J614" s="4" t="str" cm="1">
        <f t="array" ref="J614">IF($C614&gt;=25,INDEX(Sheet1!G:G,$G614),INDEX(Sheet1!F:F,$G614))</f>
        <v>B25</v>
      </c>
      <c r="K614" s="4" cm="1">
        <f t="array" ref="K614">INDEX(Sheet1!H:H,$G614)</f>
        <v>1</v>
      </c>
      <c r="L614" s="4">
        <f t="shared" si="36"/>
        <v>0</v>
      </c>
      <c r="M614" s="4">
        <f t="shared" si="37"/>
        <v>7</v>
      </c>
    </row>
    <row r="615" spans="1:13">
      <c r="A615" s="4" t="str" cm="1">
        <f t="array" ref="A615">INDEX(Sheet1!A:A,$F615)</f>
        <v>M</v>
      </c>
      <c r="B615" s="4" t="str" cm="1">
        <f t="array" ref="B615">INDEX(Sheet1!B:B,$F615)</f>
        <v>Pref SM</v>
      </c>
      <c r="C615" s="4">
        <f t="shared" si="38"/>
        <v>8</v>
      </c>
      <c r="D615" s="5" cm="1">
        <f t="array" aca="1" ref="D615" ca="1">OFFSET(INDIRECT("'["&amp;$H615&amp;"]"&amp;$I615&amp;"'!"&amp;$J615),$L615,$M615)*$K615</f>
        <v>2.2000000000000001E-4</v>
      </c>
      <c r="F615" s="4">
        <f t="shared" si="39"/>
        <v>7</v>
      </c>
      <c r="G615" s="4" cm="1">
        <f t="array" ref="G615">IF($C615&gt;=25,F615,IF($C615&lt;16,INDEX(Sheet1!C:C,$F615),$F615))</f>
        <v>10</v>
      </c>
      <c r="H615" s="4" t="str" cm="1">
        <f t="array" ref="H615">INDEX(Sheet1!D:D,$G615)</f>
        <v>t1136.xlsx</v>
      </c>
      <c r="I615" s="4" t="str" cm="1">
        <f t="array" ref="I615">INDEX(Sheet1!E:E,$G615)</f>
        <v>Sheet1</v>
      </c>
      <c r="J615" s="4" t="str" cm="1">
        <f t="array" ref="J615">IF($C615&gt;=25,INDEX(Sheet1!G:G,$G615),INDEX(Sheet1!F:F,$G615))</f>
        <v>B25</v>
      </c>
      <c r="K615" s="4" cm="1">
        <f t="array" ref="K615">INDEX(Sheet1!H:H,$G615)</f>
        <v>1</v>
      </c>
      <c r="L615" s="4">
        <f t="shared" si="36"/>
        <v>0</v>
      </c>
      <c r="M615" s="4">
        <f t="shared" si="37"/>
        <v>8</v>
      </c>
    </row>
    <row r="616" spans="1:13">
      <c r="A616" s="4" t="str" cm="1">
        <f t="array" ref="A616">INDEX(Sheet1!A:A,$F616)</f>
        <v>M</v>
      </c>
      <c r="B616" s="4" t="str" cm="1">
        <f t="array" ref="B616">INDEX(Sheet1!B:B,$F616)</f>
        <v>Pref SM</v>
      </c>
      <c r="C616" s="4">
        <f t="shared" si="38"/>
        <v>9</v>
      </c>
      <c r="D616" s="5" cm="1">
        <f t="array" aca="1" ref="D616" ca="1">OFFSET(INDIRECT("'["&amp;$H616&amp;"]"&amp;$I616&amp;"'!"&amp;$J616),$L616,$M616)*$K616</f>
        <v>2.3000000000000001E-4</v>
      </c>
      <c r="F616" s="4">
        <f t="shared" si="39"/>
        <v>7</v>
      </c>
      <c r="G616" s="4" cm="1">
        <f t="array" ref="G616">IF($C616&gt;=25,F616,IF($C616&lt;16,INDEX(Sheet1!C:C,$F616),$F616))</f>
        <v>10</v>
      </c>
      <c r="H616" s="4" t="str" cm="1">
        <f t="array" ref="H616">INDEX(Sheet1!D:D,$G616)</f>
        <v>t1136.xlsx</v>
      </c>
      <c r="I616" s="4" t="str" cm="1">
        <f t="array" ref="I616">INDEX(Sheet1!E:E,$G616)</f>
        <v>Sheet1</v>
      </c>
      <c r="J616" s="4" t="str" cm="1">
        <f t="array" ref="J616">IF($C616&gt;=25,INDEX(Sheet1!G:G,$G616),INDEX(Sheet1!F:F,$G616))</f>
        <v>B25</v>
      </c>
      <c r="K616" s="4" cm="1">
        <f t="array" ref="K616">INDEX(Sheet1!H:H,$G616)</f>
        <v>1</v>
      </c>
      <c r="L616" s="4">
        <f t="shared" si="36"/>
        <v>0</v>
      </c>
      <c r="M616" s="4">
        <f t="shared" si="37"/>
        <v>9</v>
      </c>
    </row>
    <row r="617" spans="1:13">
      <c r="A617" s="4" t="str" cm="1">
        <f t="array" ref="A617">INDEX(Sheet1!A:A,$F617)</f>
        <v>M</v>
      </c>
      <c r="B617" s="4" t="str" cm="1">
        <f t="array" ref="B617">INDEX(Sheet1!B:B,$F617)</f>
        <v>Pref SM</v>
      </c>
      <c r="C617" s="4">
        <f t="shared" si="38"/>
        <v>10</v>
      </c>
      <c r="D617" s="5" cm="1">
        <f t="array" aca="1" ref="D617" ca="1">OFFSET(INDIRECT("'["&amp;$H617&amp;"]"&amp;$I617&amp;"'!"&amp;$J617),$L617,$M617)*$K617</f>
        <v>2.3000000000000001E-4</v>
      </c>
      <c r="F617" s="4">
        <f t="shared" si="39"/>
        <v>7</v>
      </c>
      <c r="G617" s="4" cm="1">
        <f t="array" ref="G617">IF($C617&gt;=25,F617,IF($C617&lt;16,INDEX(Sheet1!C:C,$F617),$F617))</f>
        <v>10</v>
      </c>
      <c r="H617" s="4" t="str" cm="1">
        <f t="array" ref="H617">INDEX(Sheet1!D:D,$G617)</f>
        <v>t1136.xlsx</v>
      </c>
      <c r="I617" s="4" t="str" cm="1">
        <f t="array" ref="I617">INDEX(Sheet1!E:E,$G617)</f>
        <v>Sheet1</v>
      </c>
      <c r="J617" s="4" t="str" cm="1">
        <f t="array" ref="J617">IF($C617&gt;=25,INDEX(Sheet1!G:G,$G617),INDEX(Sheet1!F:F,$G617))</f>
        <v>B25</v>
      </c>
      <c r="K617" s="4" cm="1">
        <f t="array" ref="K617">INDEX(Sheet1!H:H,$G617)</f>
        <v>1</v>
      </c>
      <c r="L617" s="4">
        <f t="shared" si="36"/>
        <v>0</v>
      </c>
      <c r="M617" s="4">
        <f t="shared" si="37"/>
        <v>10</v>
      </c>
    </row>
    <row r="618" spans="1:13">
      <c r="A618" s="4" t="str" cm="1">
        <f t="array" ref="A618">INDEX(Sheet1!A:A,$F618)</f>
        <v>M</v>
      </c>
      <c r="B618" s="4" t="str" cm="1">
        <f t="array" ref="B618">INDEX(Sheet1!B:B,$F618)</f>
        <v>Pref SM</v>
      </c>
      <c r="C618" s="4">
        <f t="shared" si="38"/>
        <v>11</v>
      </c>
      <c r="D618" s="5" cm="1">
        <f t="array" aca="1" ref="D618" ca="1">OFFSET(INDIRECT("'["&amp;$H618&amp;"]"&amp;$I618&amp;"'!"&amp;$J618),$L618,$M618)*$K618</f>
        <v>2.7E-4</v>
      </c>
      <c r="F618" s="4">
        <f t="shared" si="39"/>
        <v>7</v>
      </c>
      <c r="G618" s="4" cm="1">
        <f t="array" ref="G618">IF($C618&gt;=25,F618,IF($C618&lt;16,INDEX(Sheet1!C:C,$F618),$F618))</f>
        <v>10</v>
      </c>
      <c r="H618" s="4" t="str" cm="1">
        <f t="array" ref="H618">INDEX(Sheet1!D:D,$G618)</f>
        <v>t1136.xlsx</v>
      </c>
      <c r="I618" s="4" t="str" cm="1">
        <f t="array" ref="I618">INDEX(Sheet1!E:E,$G618)</f>
        <v>Sheet1</v>
      </c>
      <c r="J618" s="4" t="str" cm="1">
        <f t="array" ref="J618">IF($C618&gt;=25,INDEX(Sheet1!G:G,$G618),INDEX(Sheet1!F:F,$G618))</f>
        <v>B25</v>
      </c>
      <c r="K618" s="4" cm="1">
        <f t="array" ref="K618">INDEX(Sheet1!H:H,$G618)</f>
        <v>1</v>
      </c>
      <c r="L618" s="4">
        <f t="shared" si="36"/>
        <v>0</v>
      </c>
      <c r="M618" s="4">
        <f t="shared" si="37"/>
        <v>11</v>
      </c>
    </row>
    <row r="619" spans="1:13">
      <c r="A619" s="4" t="str" cm="1">
        <f t="array" ref="A619">INDEX(Sheet1!A:A,$F619)</f>
        <v>M</v>
      </c>
      <c r="B619" s="4" t="str" cm="1">
        <f t="array" ref="B619">INDEX(Sheet1!B:B,$F619)</f>
        <v>Pref SM</v>
      </c>
      <c r="C619" s="4">
        <f t="shared" si="38"/>
        <v>12</v>
      </c>
      <c r="D619" s="5" cm="1">
        <f t="array" aca="1" ref="D619" ca="1">OFFSET(INDIRECT("'["&amp;$H619&amp;"]"&amp;$I619&amp;"'!"&amp;$J619),$L619,$M619)*$K619</f>
        <v>3.3E-4</v>
      </c>
      <c r="F619" s="4">
        <f t="shared" si="39"/>
        <v>7</v>
      </c>
      <c r="G619" s="4" cm="1">
        <f t="array" ref="G619">IF($C619&gt;=25,F619,IF($C619&lt;16,INDEX(Sheet1!C:C,$F619),$F619))</f>
        <v>10</v>
      </c>
      <c r="H619" s="4" t="str" cm="1">
        <f t="array" ref="H619">INDEX(Sheet1!D:D,$G619)</f>
        <v>t1136.xlsx</v>
      </c>
      <c r="I619" s="4" t="str" cm="1">
        <f t="array" ref="I619">INDEX(Sheet1!E:E,$G619)</f>
        <v>Sheet1</v>
      </c>
      <c r="J619" s="4" t="str" cm="1">
        <f t="array" ref="J619">IF($C619&gt;=25,INDEX(Sheet1!G:G,$G619),INDEX(Sheet1!F:F,$G619))</f>
        <v>B25</v>
      </c>
      <c r="K619" s="4" cm="1">
        <f t="array" ref="K619">INDEX(Sheet1!H:H,$G619)</f>
        <v>1</v>
      </c>
      <c r="L619" s="4">
        <f t="shared" si="36"/>
        <v>0</v>
      </c>
      <c r="M619" s="4">
        <f t="shared" si="37"/>
        <v>12</v>
      </c>
    </row>
    <row r="620" spans="1:13">
      <c r="A620" s="4" t="str" cm="1">
        <f t="array" ref="A620">INDEX(Sheet1!A:A,$F620)</f>
        <v>M</v>
      </c>
      <c r="B620" s="4" t="str" cm="1">
        <f t="array" ref="B620">INDEX(Sheet1!B:B,$F620)</f>
        <v>Pref SM</v>
      </c>
      <c r="C620" s="4">
        <f t="shared" si="38"/>
        <v>13</v>
      </c>
      <c r="D620" s="5" cm="1">
        <f t="array" aca="1" ref="D620" ca="1">OFFSET(INDIRECT("'["&amp;$H620&amp;"]"&amp;$I620&amp;"'!"&amp;$J620),$L620,$M620)*$K620</f>
        <v>3.8999999999999999E-4</v>
      </c>
      <c r="F620" s="4">
        <f t="shared" si="39"/>
        <v>7</v>
      </c>
      <c r="G620" s="4" cm="1">
        <f t="array" ref="G620">IF($C620&gt;=25,F620,IF($C620&lt;16,INDEX(Sheet1!C:C,$F620),$F620))</f>
        <v>10</v>
      </c>
      <c r="H620" s="4" t="str" cm="1">
        <f t="array" ref="H620">INDEX(Sheet1!D:D,$G620)</f>
        <v>t1136.xlsx</v>
      </c>
      <c r="I620" s="4" t="str" cm="1">
        <f t="array" ref="I620">INDEX(Sheet1!E:E,$G620)</f>
        <v>Sheet1</v>
      </c>
      <c r="J620" s="4" t="str" cm="1">
        <f t="array" ref="J620">IF($C620&gt;=25,INDEX(Sheet1!G:G,$G620),INDEX(Sheet1!F:F,$G620))</f>
        <v>B25</v>
      </c>
      <c r="K620" s="4" cm="1">
        <f t="array" ref="K620">INDEX(Sheet1!H:H,$G620)</f>
        <v>1</v>
      </c>
      <c r="L620" s="4">
        <f t="shared" si="36"/>
        <v>0</v>
      </c>
      <c r="M620" s="4">
        <f t="shared" si="37"/>
        <v>13</v>
      </c>
    </row>
    <row r="621" spans="1:13">
      <c r="A621" s="4" t="str" cm="1">
        <f t="array" ref="A621">INDEX(Sheet1!A:A,$F621)</f>
        <v>M</v>
      </c>
      <c r="B621" s="4" t="str" cm="1">
        <f t="array" ref="B621">INDEX(Sheet1!B:B,$F621)</f>
        <v>Pref SM</v>
      </c>
      <c r="C621" s="4">
        <f t="shared" si="38"/>
        <v>14</v>
      </c>
      <c r="D621" s="5" cm="1">
        <f t="array" aca="1" ref="D621" ca="1">OFFSET(INDIRECT("'["&amp;$H621&amp;"]"&amp;$I621&amp;"'!"&amp;$J621),$L621,$M621)*$K621</f>
        <v>4.6999999999999999E-4</v>
      </c>
      <c r="F621" s="4">
        <f t="shared" si="39"/>
        <v>7</v>
      </c>
      <c r="G621" s="4" cm="1">
        <f t="array" ref="G621">IF($C621&gt;=25,F621,IF($C621&lt;16,INDEX(Sheet1!C:C,$F621),$F621))</f>
        <v>10</v>
      </c>
      <c r="H621" s="4" t="str" cm="1">
        <f t="array" ref="H621">INDEX(Sheet1!D:D,$G621)</f>
        <v>t1136.xlsx</v>
      </c>
      <c r="I621" s="4" t="str" cm="1">
        <f t="array" ref="I621">INDEX(Sheet1!E:E,$G621)</f>
        <v>Sheet1</v>
      </c>
      <c r="J621" s="4" t="str" cm="1">
        <f t="array" ref="J621">IF($C621&gt;=25,INDEX(Sheet1!G:G,$G621),INDEX(Sheet1!F:F,$G621))</f>
        <v>B25</v>
      </c>
      <c r="K621" s="4" cm="1">
        <f t="array" ref="K621">INDEX(Sheet1!H:H,$G621)</f>
        <v>1</v>
      </c>
      <c r="L621" s="4">
        <f t="shared" si="36"/>
        <v>0</v>
      </c>
      <c r="M621" s="4">
        <f t="shared" si="37"/>
        <v>14</v>
      </c>
    </row>
    <row r="622" spans="1:13">
      <c r="A622" s="4" t="str" cm="1">
        <f t="array" ref="A622">INDEX(Sheet1!A:A,$F622)</f>
        <v>M</v>
      </c>
      <c r="B622" s="4" t="str" cm="1">
        <f t="array" ref="B622">INDEX(Sheet1!B:B,$F622)</f>
        <v>Pref SM</v>
      </c>
      <c r="C622" s="4">
        <f t="shared" si="38"/>
        <v>15</v>
      </c>
      <c r="D622" s="5" cm="1">
        <f t="array" aca="1" ref="D622" ca="1">OFFSET(INDIRECT("'["&amp;$H622&amp;"]"&amp;$I622&amp;"'!"&amp;$J622),$L622,$M622)*$K622</f>
        <v>6.0999999999999997E-4</v>
      </c>
      <c r="F622" s="4">
        <f t="shared" si="39"/>
        <v>7</v>
      </c>
      <c r="G622" s="4" cm="1">
        <f t="array" ref="G622">IF($C622&gt;=25,F622,IF($C622&lt;16,INDEX(Sheet1!C:C,$F622),$F622))</f>
        <v>10</v>
      </c>
      <c r="H622" s="4" t="str" cm="1">
        <f t="array" ref="H622">INDEX(Sheet1!D:D,$G622)</f>
        <v>t1136.xlsx</v>
      </c>
      <c r="I622" s="4" t="str" cm="1">
        <f t="array" ref="I622">INDEX(Sheet1!E:E,$G622)</f>
        <v>Sheet1</v>
      </c>
      <c r="J622" s="4" t="str" cm="1">
        <f t="array" ref="J622">IF($C622&gt;=25,INDEX(Sheet1!G:G,$G622),INDEX(Sheet1!F:F,$G622))</f>
        <v>B25</v>
      </c>
      <c r="K622" s="4" cm="1">
        <f t="array" ref="K622">INDEX(Sheet1!H:H,$G622)</f>
        <v>1</v>
      </c>
      <c r="L622" s="4">
        <f t="shared" si="36"/>
        <v>0</v>
      </c>
      <c r="M622" s="4">
        <f t="shared" si="37"/>
        <v>15</v>
      </c>
    </row>
    <row r="623" spans="1:13">
      <c r="A623" s="4" t="str" cm="1">
        <f t="array" ref="A623">INDEX(Sheet1!A:A,$F623)</f>
        <v>M</v>
      </c>
      <c r="B623" s="4" t="str" cm="1">
        <f t="array" ref="B623">INDEX(Sheet1!B:B,$F623)</f>
        <v>Pref SM</v>
      </c>
      <c r="C623" s="4">
        <f t="shared" si="38"/>
        <v>16</v>
      </c>
      <c r="D623" s="5" cm="1">
        <f t="array" aca="1" ref="D623" ca="1">OFFSET(INDIRECT("'["&amp;$H623&amp;"]"&amp;$I623&amp;"'!"&amp;$J623),$L623,$M623)*$K623</f>
        <v>5.6999999999999998E-4</v>
      </c>
      <c r="F623" s="4">
        <f t="shared" si="39"/>
        <v>7</v>
      </c>
      <c r="G623" s="4" cm="1">
        <f t="array" ref="G623">IF($C623&gt;=25,F623,IF($C623&lt;16,INDEX(Sheet1!C:C,$F623),$F623))</f>
        <v>7</v>
      </c>
      <c r="H623" s="4" t="str" cm="1">
        <f t="array" ref="H623">INDEX(Sheet1!D:D,$G623)</f>
        <v>2001-cso-preferred-class-structure-mortality-tables.xls</v>
      </c>
      <c r="I623" s="4" t="str" cm="1">
        <f t="array" ref="I623">INDEX(Sheet1!E:E,$G623)</f>
        <v>A.1.a.iv</v>
      </c>
      <c r="J623" s="4" t="str" cm="1">
        <f t="array" ref="J623">IF($C623&gt;=25,INDEX(Sheet1!G:G,$G623),INDEX(Sheet1!F:F,$G623))</f>
        <v>B8</v>
      </c>
      <c r="K623" s="4" cm="1">
        <f t="array" ref="K623">INDEX(Sheet1!H:H,$G623)</f>
        <v>1E-3</v>
      </c>
      <c r="L623" s="4">
        <f t="shared" si="36"/>
        <v>0</v>
      </c>
      <c r="M623" s="4">
        <f t="shared" si="37"/>
        <v>16</v>
      </c>
    </row>
    <row r="624" spans="1:13">
      <c r="A624" s="4" t="str" cm="1">
        <f t="array" ref="A624">INDEX(Sheet1!A:A,$F624)</f>
        <v>M</v>
      </c>
      <c r="B624" s="4" t="str" cm="1">
        <f t="array" ref="B624">INDEX(Sheet1!B:B,$F624)</f>
        <v>Pref SM</v>
      </c>
      <c r="C624" s="4">
        <f t="shared" si="38"/>
        <v>17</v>
      </c>
      <c r="D624" s="5" cm="1">
        <f t="array" aca="1" ref="D624" ca="1">OFFSET(INDIRECT("'["&amp;$H624&amp;"]"&amp;$I624&amp;"'!"&amp;$J624),$L624,$M624)*$K624</f>
        <v>7.1000000000000002E-4</v>
      </c>
      <c r="F624" s="4">
        <f t="shared" si="39"/>
        <v>7</v>
      </c>
      <c r="G624" s="4" cm="1">
        <f t="array" ref="G624">IF($C624&gt;=25,F624,IF($C624&lt;16,INDEX(Sheet1!C:C,$F624),$F624))</f>
        <v>7</v>
      </c>
      <c r="H624" s="4" t="str" cm="1">
        <f t="array" ref="H624">INDEX(Sheet1!D:D,$G624)</f>
        <v>2001-cso-preferred-class-structure-mortality-tables.xls</v>
      </c>
      <c r="I624" s="4" t="str" cm="1">
        <f t="array" ref="I624">INDEX(Sheet1!E:E,$G624)</f>
        <v>A.1.a.iv</v>
      </c>
      <c r="J624" s="4" t="str" cm="1">
        <f t="array" ref="J624">IF($C624&gt;=25,INDEX(Sheet1!G:G,$G624),INDEX(Sheet1!F:F,$G624))</f>
        <v>B8</v>
      </c>
      <c r="K624" s="4" cm="1">
        <f t="array" ref="K624">INDEX(Sheet1!H:H,$G624)</f>
        <v>1E-3</v>
      </c>
      <c r="L624" s="4">
        <f t="shared" si="36"/>
        <v>0</v>
      </c>
      <c r="M624" s="4">
        <f t="shared" si="37"/>
        <v>17</v>
      </c>
    </row>
    <row r="625" spans="1:13">
      <c r="A625" s="4" t="str" cm="1">
        <f t="array" ref="A625">INDEX(Sheet1!A:A,$F625)</f>
        <v>M</v>
      </c>
      <c r="B625" s="4" t="str" cm="1">
        <f t="array" ref="B625">INDEX(Sheet1!B:B,$F625)</f>
        <v>Pref SM</v>
      </c>
      <c r="C625" s="4">
        <f t="shared" si="38"/>
        <v>18</v>
      </c>
      <c r="D625" s="5" cm="1">
        <f t="array" aca="1" ref="D625" ca="1">OFFSET(INDIRECT("'["&amp;$H625&amp;"]"&amp;$I625&amp;"'!"&amp;$J625),$L625,$M625)*$K625</f>
        <v>8.0000000000000004E-4</v>
      </c>
      <c r="F625" s="4">
        <f t="shared" si="39"/>
        <v>7</v>
      </c>
      <c r="G625" s="4" cm="1">
        <f t="array" ref="G625">IF($C625&gt;=25,F625,IF($C625&lt;16,INDEX(Sheet1!C:C,$F625),$F625))</f>
        <v>7</v>
      </c>
      <c r="H625" s="4" t="str" cm="1">
        <f t="array" ref="H625">INDEX(Sheet1!D:D,$G625)</f>
        <v>2001-cso-preferred-class-structure-mortality-tables.xls</v>
      </c>
      <c r="I625" s="4" t="str" cm="1">
        <f t="array" ref="I625">INDEX(Sheet1!E:E,$G625)</f>
        <v>A.1.a.iv</v>
      </c>
      <c r="J625" s="4" t="str" cm="1">
        <f t="array" ref="J625">IF($C625&gt;=25,INDEX(Sheet1!G:G,$G625),INDEX(Sheet1!F:F,$G625))</f>
        <v>B8</v>
      </c>
      <c r="K625" s="4" cm="1">
        <f t="array" ref="K625">INDEX(Sheet1!H:H,$G625)</f>
        <v>1E-3</v>
      </c>
      <c r="L625" s="4">
        <f t="shared" si="36"/>
        <v>0</v>
      </c>
      <c r="M625" s="4">
        <f t="shared" si="37"/>
        <v>18</v>
      </c>
    </row>
    <row r="626" spans="1:13">
      <c r="A626" s="4" t="str" cm="1">
        <f t="array" ref="A626">INDEX(Sheet1!A:A,$F626)</f>
        <v>M</v>
      </c>
      <c r="B626" s="4" t="str" cm="1">
        <f t="array" ref="B626">INDEX(Sheet1!B:B,$F626)</f>
        <v>Pref SM</v>
      </c>
      <c r="C626" s="4">
        <f t="shared" si="38"/>
        <v>19</v>
      </c>
      <c r="D626" s="5" cm="1">
        <f t="array" aca="1" ref="D626" ca="1">OFFSET(INDIRECT("'["&amp;$H626&amp;"]"&amp;$I626&amp;"'!"&amp;$J626),$L626,$M626)*$K626</f>
        <v>8.8000000000000003E-4</v>
      </c>
      <c r="F626" s="4">
        <f t="shared" si="39"/>
        <v>7</v>
      </c>
      <c r="G626" s="4" cm="1">
        <f t="array" ref="G626">IF($C626&gt;=25,F626,IF($C626&lt;16,INDEX(Sheet1!C:C,$F626),$F626))</f>
        <v>7</v>
      </c>
      <c r="H626" s="4" t="str" cm="1">
        <f t="array" ref="H626">INDEX(Sheet1!D:D,$G626)</f>
        <v>2001-cso-preferred-class-structure-mortality-tables.xls</v>
      </c>
      <c r="I626" s="4" t="str" cm="1">
        <f t="array" ref="I626">INDEX(Sheet1!E:E,$G626)</f>
        <v>A.1.a.iv</v>
      </c>
      <c r="J626" s="4" t="str" cm="1">
        <f t="array" ref="J626">IF($C626&gt;=25,INDEX(Sheet1!G:G,$G626),INDEX(Sheet1!F:F,$G626))</f>
        <v>B8</v>
      </c>
      <c r="K626" s="4" cm="1">
        <f t="array" ref="K626">INDEX(Sheet1!H:H,$G626)</f>
        <v>1E-3</v>
      </c>
      <c r="L626" s="4">
        <f t="shared" si="36"/>
        <v>0</v>
      </c>
      <c r="M626" s="4">
        <f t="shared" si="37"/>
        <v>19</v>
      </c>
    </row>
    <row r="627" spans="1:13">
      <c r="A627" s="4" t="str" cm="1">
        <f t="array" ref="A627">INDEX(Sheet1!A:A,$F627)</f>
        <v>M</v>
      </c>
      <c r="B627" s="4" t="str" cm="1">
        <f t="array" ref="B627">INDEX(Sheet1!B:B,$F627)</f>
        <v>Pref SM</v>
      </c>
      <c r="C627" s="4">
        <f t="shared" si="38"/>
        <v>20</v>
      </c>
      <c r="D627" s="5" cm="1">
        <f t="array" aca="1" ref="D627" ca="1">OFFSET(INDIRECT("'["&amp;$H627&amp;"]"&amp;$I627&amp;"'!"&amp;$J627),$L627,$M627)*$K627</f>
        <v>9.2000000000000003E-4</v>
      </c>
      <c r="F627" s="4">
        <f t="shared" si="39"/>
        <v>7</v>
      </c>
      <c r="G627" s="4" cm="1">
        <f t="array" ref="G627">IF($C627&gt;=25,F627,IF($C627&lt;16,INDEX(Sheet1!C:C,$F627),$F627))</f>
        <v>7</v>
      </c>
      <c r="H627" s="4" t="str" cm="1">
        <f t="array" ref="H627">INDEX(Sheet1!D:D,$G627)</f>
        <v>2001-cso-preferred-class-structure-mortality-tables.xls</v>
      </c>
      <c r="I627" s="4" t="str" cm="1">
        <f t="array" ref="I627">INDEX(Sheet1!E:E,$G627)</f>
        <v>A.1.a.iv</v>
      </c>
      <c r="J627" s="4" t="str" cm="1">
        <f t="array" ref="J627">IF($C627&gt;=25,INDEX(Sheet1!G:G,$G627),INDEX(Sheet1!F:F,$G627))</f>
        <v>B8</v>
      </c>
      <c r="K627" s="4" cm="1">
        <f t="array" ref="K627">INDEX(Sheet1!H:H,$G627)</f>
        <v>1E-3</v>
      </c>
      <c r="L627" s="4">
        <f t="shared" si="36"/>
        <v>0</v>
      </c>
      <c r="M627" s="4">
        <f t="shared" si="37"/>
        <v>20</v>
      </c>
    </row>
    <row r="628" spans="1:13">
      <c r="A628" s="4" t="str" cm="1">
        <f t="array" ref="A628">INDEX(Sheet1!A:A,$F628)</f>
        <v>M</v>
      </c>
      <c r="B628" s="4" t="str" cm="1">
        <f t="array" ref="B628">INDEX(Sheet1!B:B,$F628)</f>
        <v>Pref SM</v>
      </c>
      <c r="C628" s="4">
        <f t="shared" si="38"/>
        <v>21</v>
      </c>
      <c r="D628" s="5" cm="1">
        <f t="array" aca="1" ref="D628" ca="1">OFFSET(INDIRECT("'["&amp;$H628&amp;"]"&amp;$I628&amp;"'!"&amp;$J628),$L628,$M628)*$K628</f>
        <v>9.5E-4</v>
      </c>
      <c r="F628" s="4">
        <f t="shared" si="39"/>
        <v>7</v>
      </c>
      <c r="G628" s="4" cm="1">
        <f t="array" ref="G628">IF($C628&gt;=25,F628,IF($C628&lt;16,INDEX(Sheet1!C:C,$F628),$F628))</f>
        <v>7</v>
      </c>
      <c r="H628" s="4" t="str" cm="1">
        <f t="array" ref="H628">INDEX(Sheet1!D:D,$G628)</f>
        <v>2001-cso-preferred-class-structure-mortality-tables.xls</v>
      </c>
      <c r="I628" s="4" t="str" cm="1">
        <f t="array" ref="I628">INDEX(Sheet1!E:E,$G628)</f>
        <v>A.1.a.iv</v>
      </c>
      <c r="J628" s="4" t="str" cm="1">
        <f t="array" ref="J628">IF($C628&gt;=25,INDEX(Sheet1!G:G,$G628),INDEX(Sheet1!F:F,$G628))</f>
        <v>B8</v>
      </c>
      <c r="K628" s="4" cm="1">
        <f t="array" ref="K628">INDEX(Sheet1!H:H,$G628)</f>
        <v>1E-3</v>
      </c>
      <c r="L628" s="4">
        <f t="shared" si="36"/>
        <v>0</v>
      </c>
      <c r="M628" s="4">
        <f t="shared" si="37"/>
        <v>21</v>
      </c>
    </row>
    <row r="629" spans="1:13">
      <c r="A629" s="4" t="str" cm="1">
        <f t="array" ref="A629">INDEX(Sheet1!A:A,$F629)</f>
        <v>M</v>
      </c>
      <c r="B629" s="4" t="str" cm="1">
        <f t="array" ref="B629">INDEX(Sheet1!B:B,$F629)</f>
        <v>Pref SM</v>
      </c>
      <c r="C629" s="4">
        <f t="shared" si="38"/>
        <v>22</v>
      </c>
      <c r="D629" s="5" cm="1">
        <f t="array" aca="1" ref="D629" ca="1">OFFSET(INDIRECT("'["&amp;$H629&amp;"]"&amp;$I629&amp;"'!"&amp;$J629),$L629,$M629)*$K629</f>
        <v>1.01E-3</v>
      </c>
      <c r="F629" s="4">
        <f t="shared" si="39"/>
        <v>7</v>
      </c>
      <c r="G629" s="4" cm="1">
        <f t="array" ref="G629">IF($C629&gt;=25,F629,IF($C629&lt;16,INDEX(Sheet1!C:C,$F629),$F629))</f>
        <v>7</v>
      </c>
      <c r="H629" s="4" t="str" cm="1">
        <f t="array" ref="H629">INDEX(Sheet1!D:D,$G629)</f>
        <v>2001-cso-preferred-class-structure-mortality-tables.xls</v>
      </c>
      <c r="I629" s="4" t="str" cm="1">
        <f t="array" ref="I629">INDEX(Sheet1!E:E,$G629)</f>
        <v>A.1.a.iv</v>
      </c>
      <c r="J629" s="4" t="str" cm="1">
        <f t="array" ref="J629">IF($C629&gt;=25,INDEX(Sheet1!G:G,$G629),INDEX(Sheet1!F:F,$G629))</f>
        <v>B8</v>
      </c>
      <c r="K629" s="4" cm="1">
        <f t="array" ref="K629">INDEX(Sheet1!H:H,$G629)</f>
        <v>1E-3</v>
      </c>
      <c r="L629" s="4">
        <f t="shared" si="36"/>
        <v>0</v>
      </c>
      <c r="M629" s="4">
        <f t="shared" si="37"/>
        <v>22</v>
      </c>
    </row>
    <row r="630" spans="1:13">
      <c r="A630" s="4" t="str" cm="1">
        <f t="array" ref="A630">INDEX(Sheet1!A:A,$F630)</f>
        <v>M</v>
      </c>
      <c r="B630" s="4" t="str" cm="1">
        <f t="array" ref="B630">INDEX(Sheet1!B:B,$F630)</f>
        <v>Pref SM</v>
      </c>
      <c r="C630" s="4">
        <f t="shared" si="38"/>
        <v>23</v>
      </c>
      <c r="D630" s="5" cm="1">
        <f t="array" aca="1" ref="D630" ca="1">OFFSET(INDIRECT("'["&amp;$H630&amp;"]"&amp;$I630&amp;"'!"&amp;$J630),$L630,$M630)*$K630</f>
        <v>1.0600000000000002E-3</v>
      </c>
      <c r="F630" s="4">
        <f t="shared" si="39"/>
        <v>7</v>
      </c>
      <c r="G630" s="4" cm="1">
        <f t="array" ref="G630">IF($C630&gt;=25,F630,IF($C630&lt;16,INDEX(Sheet1!C:C,$F630),$F630))</f>
        <v>7</v>
      </c>
      <c r="H630" s="4" t="str" cm="1">
        <f t="array" ref="H630">INDEX(Sheet1!D:D,$G630)</f>
        <v>2001-cso-preferred-class-structure-mortality-tables.xls</v>
      </c>
      <c r="I630" s="4" t="str" cm="1">
        <f t="array" ref="I630">INDEX(Sheet1!E:E,$G630)</f>
        <v>A.1.a.iv</v>
      </c>
      <c r="J630" s="4" t="str" cm="1">
        <f t="array" ref="J630">IF($C630&gt;=25,INDEX(Sheet1!G:G,$G630),INDEX(Sheet1!F:F,$G630))</f>
        <v>B8</v>
      </c>
      <c r="K630" s="4" cm="1">
        <f t="array" ref="K630">INDEX(Sheet1!H:H,$G630)</f>
        <v>1E-3</v>
      </c>
      <c r="L630" s="4">
        <f t="shared" si="36"/>
        <v>0</v>
      </c>
      <c r="M630" s="4">
        <f t="shared" si="37"/>
        <v>23</v>
      </c>
    </row>
    <row r="631" spans="1:13">
      <c r="A631" s="4" t="str" cm="1">
        <f t="array" ref="A631">INDEX(Sheet1!A:A,$F631)</f>
        <v>M</v>
      </c>
      <c r="B631" s="4" t="str" cm="1">
        <f t="array" ref="B631">INDEX(Sheet1!B:B,$F631)</f>
        <v>Pref SM</v>
      </c>
      <c r="C631" s="4">
        <f t="shared" si="38"/>
        <v>24</v>
      </c>
      <c r="D631" s="5" cm="1">
        <f t="array" aca="1" ref="D631" ca="1">OFFSET(INDIRECT("'["&amp;$H631&amp;"]"&amp;$I631&amp;"'!"&amp;$J631),$L631,$M631)*$K631</f>
        <v>1.1100000000000001E-3</v>
      </c>
      <c r="F631" s="4">
        <f t="shared" si="39"/>
        <v>7</v>
      </c>
      <c r="G631" s="4" cm="1">
        <f t="array" ref="G631">IF($C631&gt;=25,F631,IF($C631&lt;16,INDEX(Sheet1!C:C,$F631),$F631))</f>
        <v>7</v>
      </c>
      <c r="H631" s="4" t="str" cm="1">
        <f t="array" ref="H631">INDEX(Sheet1!D:D,$G631)</f>
        <v>2001-cso-preferred-class-structure-mortality-tables.xls</v>
      </c>
      <c r="I631" s="4" t="str" cm="1">
        <f t="array" ref="I631">INDEX(Sheet1!E:E,$G631)</f>
        <v>A.1.a.iv</v>
      </c>
      <c r="J631" s="4" t="str" cm="1">
        <f t="array" ref="J631">IF($C631&gt;=25,INDEX(Sheet1!G:G,$G631),INDEX(Sheet1!F:F,$G631))</f>
        <v>B8</v>
      </c>
      <c r="K631" s="4" cm="1">
        <f t="array" ref="K631">INDEX(Sheet1!H:H,$G631)</f>
        <v>1E-3</v>
      </c>
      <c r="L631" s="4">
        <f t="shared" si="36"/>
        <v>0</v>
      </c>
      <c r="M631" s="4">
        <f t="shared" si="37"/>
        <v>24</v>
      </c>
    </row>
    <row r="632" spans="1:13">
      <c r="A632" s="4" t="str" cm="1">
        <f t="array" ref="A632">INDEX(Sheet1!A:A,$F632)</f>
        <v>M</v>
      </c>
      <c r="B632" s="4" t="str" cm="1">
        <f t="array" ref="B632">INDEX(Sheet1!B:B,$F632)</f>
        <v>Pref SM</v>
      </c>
      <c r="C632" s="4">
        <f t="shared" si="38"/>
        <v>25</v>
      </c>
      <c r="D632" s="5" cm="1">
        <f t="array" aca="1" ref="D632" ca="1">OFFSET(INDIRECT("'["&amp;$H632&amp;"]"&amp;$I632&amp;"'!"&amp;$J632),$L632,$M632)*$K632</f>
        <v>1.17E-3</v>
      </c>
      <c r="F632" s="4">
        <f t="shared" si="39"/>
        <v>7</v>
      </c>
      <c r="G632" s="4" cm="1">
        <f t="array" ref="G632">IF($C632&gt;=25,F632,IF($C632&lt;16,INDEX(Sheet1!C:C,$F632),$F632))</f>
        <v>7</v>
      </c>
      <c r="H632" s="4" t="str" cm="1">
        <f t="array" ref="H632">INDEX(Sheet1!D:D,$G632)</f>
        <v>2001-cso-preferred-class-structure-mortality-tables.xls</v>
      </c>
      <c r="I632" s="4" t="str" cm="1">
        <f t="array" ref="I632">INDEX(Sheet1!E:E,$G632)</f>
        <v>A.1.a.iv</v>
      </c>
      <c r="J632" s="4" t="str" cm="1">
        <f t="array" ref="J632">IF($C632&gt;=25,INDEX(Sheet1!G:G,$G632),INDEX(Sheet1!F:F,$G632))</f>
        <v>AA8</v>
      </c>
      <c r="K632" s="4" cm="1">
        <f t="array" ref="K632">INDEX(Sheet1!H:H,$G632)</f>
        <v>1E-3</v>
      </c>
      <c r="L632" s="4">
        <f t="shared" si="36"/>
        <v>0</v>
      </c>
      <c r="M632" s="4">
        <f t="shared" si="37"/>
        <v>0</v>
      </c>
    </row>
    <row r="633" spans="1:13">
      <c r="A633" s="4" t="str" cm="1">
        <f t="array" ref="A633">INDEX(Sheet1!A:A,$F633)</f>
        <v>M</v>
      </c>
      <c r="B633" s="4" t="str" cm="1">
        <f t="array" ref="B633">INDEX(Sheet1!B:B,$F633)</f>
        <v>Pref SM</v>
      </c>
      <c r="C633" s="4">
        <f t="shared" si="38"/>
        <v>26</v>
      </c>
      <c r="D633" s="5" cm="1">
        <f t="array" aca="1" ref="D633" ca="1">OFFSET(INDIRECT("'["&amp;$H633&amp;"]"&amp;$I633&amp;"'!"&amp;$J633),$L633,$M633)*$K633</f>
        <v>1.24E-3</v>
      </c>
      <c r="F633" s="4">
        <f t="shared" si="39"/>
        <v>7</v>
      </c>
      <c r="G633" s="4" cm="1">
        <f t="array" ref="G633">IF($C633&gt;=25,F633,IF($C633&lt;16,INDEX(Sheet1!C:C,$F633),$F633))</f>
        <v>7</v>
      </c>
      <c r="H633" s="4" t="str" cm="1">
        <f t="array" ref="H633">INDEX(Sheet1!D:D,$G633)</f>
        <v>2001-cso-preferred-class-structure-mortality-tables.xls</v>
      </c>
      <c r="I633" s="4" t="str" cm="1">
        <f t="array" ref="I633">INDEX(Sheet1!E:E,$G633)</f>
        <v>A.1.a.iv</v>
      </c>
      <c r="J633" s="4" t="str" cm="1">
        <f t="array" ref="J633">IF($C633&gt;=25,INDEX(Sheet1!G:G,$G633),INDEX(Sheet1!F:F,$G633))</f>
        <v>AA8</v>
      </c>
      <c r="K633" s="4" cm="1">
        <f t="array" ref="K633">INDEX(Sheet1!H:H,$G633)</f>
        <v>1E-3</v>
      </c>
      <c r="L633" s="4">
        <f t="shared" si="36"/>
        <v>1</v>
      </c>
      <c r="M633" s="4">
        <f t="shared" si="37"/>
        <v>0</v>
      </c>
    </row>
    <row r="634" spans="1:13">
      <c r="A634" s="4" t="str" cm="1">
        <f t="array" ref="A634">INDEX(Sheet1!A:A,$F634)</f>
        <v>M</v>
      </c>
      <c r="B634" s="4" t="str" cm="1">
        <f t="array" ref="B634">INDEX(Sheet1!B:B,$F634)</f>
        <v>Pref SM</v>
      </c>
      <c r="C634" s="4">
        <f t="shared" si="38"/>
        <v>27</v>
      </c>
      <c r="D634" s="5" cm="1">
        <f t="array" aca="1" ref="D634" ca="1">OFFSET(INDIRECT("'["&amp;$H634&amp;"]"&amp;$I634&amp;"'!"&amp;$J634),$L634,$M634)*$K634</f>
        <v>1.3000000000000002E-3</v>
      </c>
      <c r="F634" s="4">
        <f t="shared" si="39"/>
        <v>7</v>
      </c>
      <c r="G634" s="4" cm="1">
        <f t="array" ref="G634">IF($C634&gt;=25,F634,IF($C634&lt;16,INDEX(Sheet1!C:C,$F634),$F634))</f>
        <v>7</v>
      </c>
      <c r="H634" s="4" t="str" cm="1">
        <f t="array" ref="H634">INDEX(Sheet1!D:D,$G634)</f>
        <v>2001-cso-preferred-class-structure-mortality-tables.xls</v>
      </c>
      <c r="I634" s="4" t="str" cm="1">
        <f t="array" ref="I634">INDEX(Sheet1!E:E,$G634)</f>
        <v>A.1.a.iv</v>
      </c>
      <c r="J634" s="4" t="str" cm="1">
        <f t="array" ref="J634">IF($C634&gt;=25,INDEX(Sheet1!G:G,$G634),INDEX(Sheet1!F:F,$G634))</f>
        <v>AA8</v>
      </c>
      <c r="K634" s="4" cm="1">
        <f t="array" ref="K634">INDEX(Sheet1!H:H,$G634)</f>
        <v>1E-3</v>
      </c>
      <c r="L634" s="4">
        <f t="shared" si="36"/>
        <v>2</v>
      </c>
      <c r="M634" s="4">
        <f t="shared" si="37"/>
        <v>0</v>
      </c>
    </row>
    <row r="635" spans="1:13">
      <c r="A635" s="4" t="str" cm="1">
        <f t="array" ref="A635">INDEX(Sheet1!A:A,$F635)</f>
        <v>M</v>
      </c>
      <c r="B635" s="4" t="str" cm="1">
        <f t="array" ref="B635">INDEX(Sheet1!B:B,$F635)</f>
        <v>Pref SM</v>
      </c>
      <c r="C635" s="4">
        <f t="shared" si="38"/>
        <v>28</v>
      </c>
      <c r="D635" s="5" cm="1">
        <f t="array" aca="1" ref="D635" ca="1">OFFSET(INDIRECT("'["&amp;$H635&amp;"]"&amp;$I635&amp;"'!"&amp;$J635),$L635,$M635)*$K635</f>
        <v>1.3100000000000002E-3</v>
      </c>
      <c r="F635" s="4">
        <f t="shared" si="39"/>
        <v>7</v>
      </c>
      <c r="G635" s="4" cm="1">
        <f t="array" ref="G635">IF($C635&gt;=25,F635,IF($C635&lt;16,INDEX(Sheet1!C:C,$F635),$F635))</f>
        <v>7</v>
      </c>
      <c r="H635" s="4" t="str" cm="1">
        <f t="array" ref="H635">INDEX(Sheet1!D:D,$G635)</f>
        <v>2001-cso-preferred-class-structure-mortality-tables.xls</v>
      </c>
      <c r="I635" s="4" t="str" cm="1">
        <f t="array" ref="I635">INDEX(Sheet1!E:E,$G635)</f>
        <v>A.1.a.iv</v>
      </c>
      <c r="J635" s="4" t="str" cm="1">
        <f t="array" ref="J635">IF($C635&gt;=25,INDEX(Sheet1!G:G,$G635),INDEX(Sheet1!F:F,$G635))</f>
        <v>AA8</v>
      </c>
      <c r="K635" s="4" cm="1">
        <f t="array" ref="K635">INDEX(Sheet1!H:H,$G635)</f>
        <v>1E-3</v>
      </c>
      <c r="L635" s="4">
        <f t="shared" si="36"/>
        <v>3</v>
      </c>
      <c r="M635" s="4">
        <f t="shared" si="37"/>
        <v>0</v>
      </c>
    </row>
    <row r="636" spans="1:13">
      <c r="A636" s="4" t="str" cm="1">
        <f t="array" ref="A636">INDEX(Sheet1!A:A,$F636)</f>
        <v>M</v>
      </c>
      <c r="B636" s="4" t="str" cm="1">
        <f t="array" ref="B636">INDEX(Sheet1!B:B,$F636)</f>
        <v>Pref SM</v>
      </c>
      <c r="C636" s="4">
        <f t="shared" si="38"/>
        <v>29</v>
      </c>
      <c r="D636" s="5" cm="1">
        <f t="array" aca="1" ref="D636" ca="1">OFFSET(INDIRECT("'["&amp;$H636&amp;"]"&amp;$I636&amp;"'!"&amp;$J636),$L636,$M636)*$K636</f>
        <v>1.3100000000000002E-3</v>
      </c>
      <c r="F636" s="4">
        <f t="shared" si="39"/>
        <v>7</v>
      </c>
      <c r="G636" s="4" cm="1">
        <f t="array" ref="G636">IF($C636&gt;=25,F636,IF($C636&lt;16,INDEX(Sheet1!C:C,$F636),$F636))</f>
        <v>7</v>
      </c>
      <c r="H636" s="4" t="str" cm="1">
        <f t="array" ref="H636">INDEX(Sheet1!D:D,$G636)</f>
        <v>2001-cso-preferred-class-structure-mortality-tables.xls</v>
      </c>
      <c r="I636" s="4" t="str" cm="1">
        <f t="array" ref="I636">INDEX(Sheet1!E:E,$G636)</f>
        <v>A.1.a.iv</v>
      </c>
      <c r="J636" s="4" t="str" cm="1">
        <f t="array" ref="J636">IF($C636&gt;=25,INDEX(Sheet1!G:G,$G636),INDEX(Sheet1!F:F,$G636))</f>
        <v>AA8</v>
      </c>
      <c r="K636" s="4" cm="1">
        <f t="array" ref="K636">INDEX(Sheet1!H:H,$G636)</f>
        <v>1E-3</v>
      </c>
      <c r="L636" s="4">
        <f t="shared" si="36"/>
        <v>4</v>
      </c>
      <c r="M636" s="4">
        <f t="shared" si="37"/>
        <v>0</v>
      </c>
    </row>
    <row r="637" spans="1:13">
      <c r="A637" s="4" t="str" cm="1">
        <f t="array" ref="A637">INDEX(Sheet1!A:A,$F637)</f>
        <v>M</v>
      </c>
      <c r="B637" s="4" t="str" cm="1">
        <f t="array" ref="B637">INDEX(Sheet1!B:B,$F637)</f>
        <v>Pref SM</v>
      </c>
      <c r="C637" s="4">
        <f t="shared" si="38"/>
        <v>30</v>
      </c>
      <c r="D637" s="5" cm="1">
        <f t="array" aca="1" ref="D637" ca="1">OFFSET(INDIRECT("'["&amp;$H637&amp;"]"&amp;$I637&amp;"'!"&amp;$J637),$L637,$M637)*$K637</f>
        <v>1.3000000000000002E-3</v>
      </c>
      <c r="F637" s="4">
        <f t="shared" si="39"/>
        <v>7</v>
      </c>
      <c r="G637" s="4" cm="1">
        <f t="array" ref="G637">IF($C637&gt;=25,F637,IF($C637&lt;16,INDEX(Sheet1!C:C,$F637),$F637))</f>
        <v>7</v>
      </c>
      <c r="H637" s="4" t="str" cm="1">
        <f t="array" ref="H637">INDEX(Sheet1!D:D,$G637)</f>
        <v>2001-cso-preferred-class-structure-mortality-tables.xls</v>
      </c>
      <c r="I637" s="4" t="str" cm="1">
        <f t="array" ref="I637">INDEX(Sheet1!E:E,$G637)</f>
        <v>A.1.a.iv</v>
      </c>
      <c r="J637" s="4" t="str" cm="1">
        <f t="array" ref="J637">IF($C637&gt;=25,INDEX(Sheet1!G:G,$G637),INDEX(Sheet1!F:F,$G637))</f>
        <v>AA8</v>
      </c>
      <c r="K637" s="4" cm="1">
        <f t="array" ref="K637">INDEX(Sheet1!H:H,$G637)</f>
        <v>1E-3</v>
      </c>
      <c r="L637" s="4">
        <f t="shared" si="36"/>
        <v>5</v>
      </c>
      <c r="M637" s="4">
        <f t="shared" si="37"/>
        <v>0</v>
      </c>
    </row>
    <row r="638" spans="1:13">
      <c r="A638" s="4" t="str" cm="1">
        <f t="array" ref="A638">INDEX(Sheet1!A:A,$F638)</f>
        <v>M</v>
      </c>
      <c r="B638" s="4" t="str" cm="1">
        <f t="array" ref="B638">INDEX(Sheet1!B:B,$F638)</f>
        <v>Pref SM</v>
      </c>
      <c r="C638" s="4">
        <f t="shared" si="38"/>
        <v>31</v>
      </c>
      <c r="D638" s="5" cm="1">
        <f t="array" aca="1" ref="D638" ca="1">OFFSET(INDIRECT("'["&amp;$H638&amp;"]"&amp;$I638&amp;"'!"&amp;$J638),$L638,$M638)*$K638</f>
        <v>1.3100000000000002E-3</v>
      </c>
      <c r="F638" s="4">
        <f t="shared" si="39"/>
        <v>7</v>
      </c>
      <c r="G638" s="4" cm="1">
        <f t="array" ref="G638">IF($C638&gt;=25,F638,IF($C638&lt;16,INDEX(Sheet1!C:C,$F638),$F638))</f>
        <v>7</v>
      </c>
      <c r="H638" s="4" t="str" cm="1">
        <f t="array" ref="H638">INDEX(Sheet1!D:D,$G638)</f>
        <v>2001-cso-preferred-class-structure-mortality-tables.xls</v>
      </c>
      <c r="I638" s="4" t="str" cm="1">
        <f t="array" ref="I638">INDEX(Sheet1!E:E,$G638)</f>
        <v>A.1.a.iv</v>
      </c>
      <c r="J638" s="4" t="str" cm="1">
        <f t="array" ref="J638">IF($C638&gt;=25,INDEX(Sheet1!G:G,$G638),INDEX(Sheet1!F:F,$G638))</f>
        <v>AA8</v>
      </c>
      <c r="K638" s="4" cm="1">
        <f t="array" ref="K638">INDEX(Sheet1!H:H,$G638)</f>
        <v>1E-3</v>
      </c>
      <c r="L638" s="4">
        <f t="shared" si="36"/>
        <v>6</v>
      </c>
      <c r="M638" s="4">
        <f t="shared" si="37"/>
        <v>0</v>
      </c>
    </row>
    <row r="639" spans="1:13">
      <c r="A639" s="4" t="str" cm="1">
        <f t="array" ref="A639">INDEX(Sheet1!A:A,$F639)</f>
        <v>M</v>
      </c>
      <c r="B639" s="4" t="str" cm="1">
        <f t="array" ref="B639">INDEX(Sheet1!B:B,$F639)</f>
        <v>Pref SM</v>
      </c>
      <c r="C639" s="4">
        <f t="shared" si="38"/>
        <v>32</v>
      </c>
      <c r="D639" s="5" cm="1">
        <f t="array" aca="1" ref="D639" ca="1">OFFSET(INDIRECT("'["&amp;$H639&amp;"]"&amp;$I639&amp;"'!"&amp;$J639),$L639,$M639)*$K639</f>
        <v>1.32E-3</v>
      </c>
      <c r="F639" s="4">
        <f t="shared" si="39"/>
        <v>7</v>
      </c>
      <c r="G639" s="4" cm="1">
        <f t="array" ref="G639">IF($C639&gt;=25,F639,IF($C639&lt;16,INDEX(Sheet1!C:C,$F639),$F639))</f>
        <v>7</v>
      </c>
      <c r="H639" s="4" t="str" cm="1">
        <f t="array" ref="H639">INDEX(Sheet1!D:D,$G639)</f>
        <v>2001-cso-preferred-class-structure-mortality-tables.xls</v>
      </c>
      <c r="I639" s="4" t="str" cm="1">
        <f t="array" ref="I639">INDEX(Sheet1!E:E,$G639)</f>
        <v>A.1.a.iv</v>
      </c>
      <c r="J639" s="4" t="str" cm="1">
        <f t="array" ref="J639">IF($C639&gt;=25,INDEX(Sheet1!G:G,$G639),INDEX(Sheet1!F:F,$G639))</f>
        <v>AA8</v>
      </c>
      <c r="K639" s="4" cm="1">
        <f t="array" ref="K639">INDEX(Sheet1!H:H,$G639)</f>
        <v>1E-3</v>
      </c>
      <c r="L639" s="4">
        <f t="shared" si="36"/>
        <v>7</v>
      </c>
      <c r="M639" s="4">
        <f t="shared" si="37"/>
        <v>0</v>
      </c>
    </row>
    <row r="640" spans="1:13">
      <c r="A640" s="4" t="str" cm="1">
        <f t="array" ref="A640">INDEX(Sheet1!A:A,$F640)</f>
        <v>M</v>
      </c>
      <c r="B640" s="4" t="str" cm="1">
        <f t="array" ref="B640">INDEX(Sheet1!B:B,$F640)</f>
        <v>Pref SM</v>
      </c>
      <c r="C640" s="4">
        <f t="shared" si="38"/>
        <v>33</v>
      </c>
      <c r="D640" s="5" cm="1">
        <f t="array" aca="1" ref="D640" ca="1">OFFSET(INDIRECT("'["&amp;$H640&amp;"]"&amp;$I640&amp;"'!"&amp;$J640),$L640,$M640)*$K640</f>
        <v>1.3700000000000001E-3</v>
      </c>
      <c r="F640" s="4">
        <f t="shared" si="39"/>
        <v>7</v>
      </c>
      <c r="G640" s="4" cm="1">
        <f t="array" ref="G640">IF($C640&gt;=25,F640,IF($C640&lt;16,INDEX(Sheet1!C:C,$F640),$F640))</f>
        <v>7</v>
      </c>
      <c r="H640" s="4" t="str" cm="1">
        <f t="array" ref="H640">INDEX(Sheet1!D:D,$G640)</f>
        <v>2001-cso-preferred-class-structure-mortality-tables.xls</v>
      </c>
      <c r="I640" s="4" t="str" cm="1">
        <f t="array" ref="I640">INDEX(Sheet1!E:E,$G640)</f>
        <v>A.1.a.iv</v>
      </c>
      <c r="J640" s="4" t="str" cm="1">
        <f t="array" ref="J640">IF($C640&gt;=25,INDEX(Sheet1!G:G,$G640),INDEX(Sheet1!F:F,$G640))</f>
        <v>AA8</v>
      </c>
      <c r="K640" s="4" cm="1">
        <f t="array" ref="K640">INDEX(Sheet1!H:H,$G640)</f>
        <v>1E-3</v>
      </c>
      <c r="L640" s="4">
        <f t="shared" si="36"/>
        <v>8</v>
      </c>
      <c r="M640" s="4">
        <f t="shared" si="37"/>
        <v>0</v>
      </c>
    </row>
    <row r="641" spans="1:13">
      <c r="A641" s="4" t="str" cm="1">
        <f t="array" ref="A641">INDEX(Sheet1!A:A,$F641)</f>
        <v>M</v>
      </c>
      <c r="B641" s="4" t="str" cm="1">
        <f t="array" ref="B641">INDEX(Sheet1!B:B,$F641)</f>
        <v>Pref SM</v>
      </c>
      <c r="C641" s="4">
        <f t="shared" si="38"/>
        <v>34</v>
      </c>
      <c r="D641" s="5" cm="1">
        <f t="array" aca="1" ref="D641" ca="1">OFFSET(INDIRECT("'["&amp;$H641&amp;"]"&amp;$I641&amp;"'!"&amp;$J641),$L641,$M641)*$K641</f>
        <v>1.42E-3</v>
      </c>
      <c r="F641" s="4">
        <f t="shared" si="39"/>
        <v>7</v>
      </c>
      <c r="G641" s="4" cm="1">
        <f t="array" ref="G641">IF($C641&gt;=25,F641,IF($C641&lt;16,INDEX(Sheet1!C:C,$F641),$F641))</f>
        <v>7</v>
      </c>
      <c r="H641" s="4" t="str" cm="1">
        <f t="array" ref="H641">INDEX(Sheet1!D:D,$G641)</f>
        <v>2001-cso-preferred-class-structure-mortality-tables.xls</v>
      </c>
      <c r="I641" s="4" t="str" cm="1">
        <f t="array" ref="I641">INDEX(Sheet1!E:E,$G641)</f>
        <v>A.1.a.iv</v>
      </c>
      <c r="J641" s="4" t="str" cm="1">
        <f t="array" ref="J641">IF($C641&gt;=25,INDEX(Sheet1!G:G,$G641),INDEX(Sheet1!F:F,$G641))</f>
        <v>AA8</v>
      </c>
      <c r="K641" s="4" cm="1">
        <f t="array" ref="K641">INDEX(Sheet1!H:H,$G641)</f>
        <v>1E-3</v>
      </c>
      <c r="L641" s="4">
        <f t="shared" si="36"/>
        <v>9</v>
      </c>
      <c r="M641" s="4">
        <f t="shared" si="37"/>
        <v>0</v>
      </c>
    </row>
    <row r="642" spans="1:13">
      <c r="A642" s="4" t="str" cm="1">
        <f t="array" ref="A642">INDEX(Sheet1!A:A,$F642)</f>
        <v>M</v>
      </c>
      <c r="B642" s="4" t="str" cm="1">
        <f t="array" ref="B642">INDEX(Sheet1!B:B,$F642)</f>
        <v>Pref SM</v>
      </c>
      <c r="C642" s="4">
        <f t="shared" si="38"/>
        <v>35</v>
      </c>
      <c r="D642" s="5" cm="1">
        <f t="array" aca="1" ref="D642" ca="1">OFFSET(INDIRECT("'["&amp;$H642&amp;"]"&amp;$I642&amp;"'!"&amp;$J642),$L642,$M642)*$K642</f>
        <v>1.4599999999999999E-3</v>
      </c>
      <c r="F642" s="4">
        <f t="shared" si="39"/>
        <v>7</v>
      </c>
      <c r="G642" s="4" cm="1">
        <f t="array" ref="G642">IF($C642&gt;=25,F642,IF($C642&lt;16,INDEX(Sheet1!C:C,$F642),$F642))</f>
        <v>7</v>
      </c>
      <c r="H642" s="4" t="str" cm="1">
        <f t="array" ref="H642">INDEX(Sheet1!D:D,$G642)</f>
        <v>2001-cso-preferred-class-structure-mortality-tables.xls</v>
      </c>
      <c r="I642" s="4" t="str" cm="1">
        <f t="array" ref="I642">INDEX(Sheet1!E:E,$G642)</f>
        <v>A.1.a.iv</v>
      </c>
      <c r="J642" s="4" t="str" cm="1">
        <f t="array" ref="J642">IF($C642&gt;=25,INDEX(Sheet1!G:G,$G642),INDEX(Sheet1!F:F,$G642))</f>
        <v>AA8</v>
      </c>
      <c r="K642" s="4" cm="1">
        <f t="array" ref="K642">INDEX(Sheet1!H:H,$G642)</f>
        <v>1E-3</v>
      </c>
      <c r="L642" s="4">
        <f t="shared" si="36"/>
        <v>10</v>
      </c>
      <c r="M642" s="4">
        <f t="shared" si="37"/>
        <v>0</v>
      </c>
    </row>
    <row r="643" spans="1:13">
      <c r="A643" s="4" t="str" cm="1">
        <f t="array" ref="A643">INDEX(Sheet1!A:A,$F643)</f>
        <v>M</v>
      </c>
      <c r="B643" s="4" t="str" cm="1">
        <f t="array" ref="B643">INDEX(Sheet1!B:B,$F643)</f>
        <v>Pref SM</v>
      </c>
      <c r="C643" s="4">
        <f t="shared" si="38"/>
        <v>36</v>
      </c>
      <c r="D643" s="5" cm="1">
        <f t="array" aca="1" ref="D643" ca="1">OFFSET(INDIRECT("'["&amp;$H643&amp;"]"&amp;$I643&amp;"'!"&amp;$J643),$L643,$M643)*$K643</f>
        <v>1.5500000000000002E-3</v>
      </c>
      <c r="F643" s="4">
        <f t="shared" si="39"/>
        <v>7</v>
      </c>
      <c r="G643" s="4" cm="1">
        <f t="array" ref="G643">IF($C643&gt;=25,F643,IF($C643&lt;16,INDEX(Sheet1!C:C,$F643),$F643))</f>
        <v>7</v>
      </c>
      <c r="H643" s="4" t="str" cm="1">
        <f t="array" ref="H643">INDEX(Sheet1!D:D,$G643)</f>
        <v>2001-cso-preferred-class-structure-mortality-tables.xls</v>
      </c>
      <c r="I643" s="4" t="str" cm="1">
        <f t="array" ref="I643">INDEX(Sheet1!E:E,$G643)</f>
        <v>A.1.a.iv</v>
      </c>
      <c r="J643" s="4" t="str" cm="1">
        <f t="array" ref="J643">IF($C643&gt;=25,INDEX(Sheet1!G:G,$G643),INDEX(Sheet1!F:F,$G643))</f>
        <v>AA8</v>
      </c>
      <c r="K643" s="4" cm="1">
        <f t="array" ref="K643">INDEX(Sheet1!H:H,$G643)</f>
        <v>1E-3</v>
      </c>
      <c r="L643" s="4">
        <f t="shared" ref="L643:L706" si="40">IF($C643&gt;=25,$C643-25,0)</f>
        <v>11</v>
      </c>
      <c r="M643" s="4">
        <f t="shared" ref="M643:M706" si="41">IF($C643&gt;=25,0,$C643)</f>
        <v>0</v>
      </c>
    </row>
    <row r="644" spans="1:13">
      <c r="A644" s="4" t="str" cm="1">
        <f t="array" ref="A644">INDEX(Sheet1!A:A,$F644)</f>
        <v>M</v>
      </c>
      <c r="B644" s="4" t="str" cm="1">
        <f t="array" ref="B644">INDEX(Sheet1!B:B,$F644)</f>
        <v>Pref SM</v>
      </c>
      <c r="C644" s="4">
        <f t="shared" ref="C644:C707" si="42">IF(C643=120,0,C643+1)</f>
        <v>37</v>
      </c>
      <c r="D644" s="5" cm="1">
        <f t="array" aca="1" ref="D644" ca="1">OFFSET(INDIRECT("'["&amp;$H644&amp;"]"&amp;$I644&amp;"'!"&amp;$J644),$L644,$M644)*$K644</f>
        <v>1.64E-3</v>
      </c>
      <c r="F644" s="4">
        <f t="shared" ref="F644:F707" si="43">IF(C644=0,1,0)+F643</f>
        <v>7</v>
      </c>
      <c r="G644" s="4" cm="1">
        <f t="array" ref="G644">IF($C644&gt;=25,F644,IF($C644&lt;16,INDEX(Sheet1!C:C,$F644),$F644))</f>
        <v>7</v>
      </c>
      <c r="H644" s="4" t="str" cm="1">
        <f t="array" ref="H644">INDEX(Sheet1!D:D,$G644)</f>
        <v>2001-cso-preferred-class-structure-mortality-tables.xls</v>
      </c>
      <c r="I644" s="4" t="str" cm="1">
        <f t="array" ref="I644">INDEX(Sheet1!E:E,$G644)</f>
        <v>A.1.a.iv</v>
      </c>
      <c r="J644" s="4" t="str" cm="1">
        <f t="array" ref="J644">IF($C644&gt;=25,INDEX(Sheet1!G:G,$G644),INDEX(Sheet1!F:F,$G644))</f>
        <v>AA8</v>
      </c>
      <c r="K644" s="4" cm="1">
        <f t="array" ref="K644">INDEX(Sheet1!H:H,$G644)</f>
        <v>1E-3</v>
      </c>
      <c r="L644" s="4">
        <f t="shared" si="40"/>
        <v>12</v>
      </c>
      <c r="M644" s="4">
        <f t="shared" si="41"/>
        <v>0</v>
      </c>
    </row>
    <row r="645" spans="1:13">
      <c r="A645" s="4" t="str" cm="1">
        <f t="array" ref="A645">INDEX(Sheet1!A:A,$F645)</f>
        <v>M</v>
      </c>
      <c r="B645" s="4" t="str" cm="1">
        <f t="array" ref="B645">INDEX(Sheet1!B:B,$F645)</f>
        <v>Pref SM</v>
      </c>
      <c r="C645" s="4">
        <f t="shared" si="42"/>
        <v>38</v>
      </c>
      <c r="D645" s="5" cm="1">
        <f t="array" aca="1" ref="D645" ca="1">OFFSET(INDIRECT("'["&amp;$H645&amp;"]"&amp;$I645&amp;"'!"&amp;$J645),$L645,$M645)*$K645</f>
        <v>1.75E-3</v>
      </c>
      <c r="F645" s="4">
        <f t="shared" si="43"/>
        <v>7</v>
      </c>
      <c r="G645" s="4" cm="1">
        <f t="array" ref="G645">IF($C645&gt;=25,F645,IF($C645&lt;16,INDEX(Sheet1!C:C,$F645),$F645))</f>
        <v>7</v>
      </c>
      <c r="H645" s="4" t="str" cm="1">
        <f t="array" ref="H645">INDEX(Sheet1!D:D,$G645)</f>
        <v>2001-cso-preferred-class-structure-mortality-tables.xls</v>
      </c>
      <c r="I645" s="4" t="str" cm="1">
        <f t="array" ref="I645">INDEX(Sheet1!E:E,$G645)</f>
        <v>A.1.a.iv</v>
      </c>
      <c r="J645" s="4" t="str" cm="1">
        <f t="array" ref="J645">IF($C645&gt;=25,INDEX(Sheet1!G:G,$G645),INDEX(Sheet1!F:F,$G645))</f>
        <v>AA8</v>
      </c>
      <c r="K645" s="4" cm="1">
        <f t="array" ref="K645">INDEX(Sheet1!H:H,$G645)</f>
        <v>1E-3</v>
      </c>
      <c r="L645" s="4">
        <f t="shared" si="40"/>
        <v>13</v>
      </c>
      <c r="M645" s="4">
        <f t="shared" si="41"/>
        <v>0</v>
      </c>
    </row>
    <row r="646" spans="1:13">
      <c r="A646" s="4" t="str" cm="1">
        <f t="array" ref="A646">INDEX(Sheet1!A:A,$F646)</f>
        <v>M</v>
      </c>
      <c r="B646" s="4" t="str" cm="1">
        <f t="array" ref="B646">INDEX(Sheet1!B:B,$F646)</f>
        <v>Pref SM</v>
      </c>
      <c r="C646" s="4">
        <f t="shared" si="42"/>
        <v>39</v>
      </c>
      <c r="D646" s="5" cm="1">
        <f t="array" aca="1" ref="D646" ca="1">OFFSET(INDIRECT("'["&amp;$H646&amp;"]"&amp;$I646&amp;"'!"&amp;$J646),$L646,$M646)*$K646</f>
        <v>1.8799999999999999E-3</v>
      </c>
      <c r="F646" s="4">
        <f t="shared" si="43"/>
        <v>7</v>
      </c>
      <c r="G646" s="4" cm="1">
        <f t="array" ref="G646">IF($C646&gt;=25,F646,IF($C646&lt;16,INDEX(Sheet1!C:C,$F646),$F646))</f>
        <v>7</v>
      </c>
      <c r="H646" s="4" t="str" cm="1">
        <f t="array" ref="H646">INDEX(Sheet1!D:D,$G646)</f>
        <v>2001-cso-preferred-class-structure-mortality-tables.xls</v>
      </c>
      <c r="I646" s="4" t="str" cm="1">
        <f t="array" ref="I646">INDEX(Sheet1!E:E,$G646)</f>
        <v>A.1.a.iv</v>
      </c>
      <c r="J646" s="4" t="str" cm="1">
        <f t="array" ref="J646">IF($C646&gt;=25,INDEX(Sheet1!G:G,$G646),INDEX(Sheet1!F:F,$G646))</f>
        <v>AA8</v>
      </c>
      <c r="K646" s="4" cm="1">
        <f t="array" ref="K646">INDEX(Sheet1!H:H,$G646)</f>
        <v>1E-3</v>
      </c>
      <c r="L646" s="4">
        <f t="shared" si="40"/>
        <v>14</v>
      </c>
      <c r="M646" s="4">
        <f t="shared" si="41"/>
        <v>0</v>
      </c>
    </row>
    <row r="647" spans="1:13">
      <c r="A647" s="4" t="str" cm="1">
        <f t="array" ref="A647">INDEX(Sheet1!A:A,$F647)</f>
        <v>M</v>
      </c>
      <c r="B647" s="4" t="str" cm="1">
        <f t="array" ref="B647">INDEX(Sheet1!B:B,$F647)</f>
        <v>Pref SM</v>
      </c>
      <c r="C647" s="4">
        <f t="shared" si="42"/>
        <v>40</v>
      </c>
      <c r="D647" s="5" cm="1">
        <f t="array" aca="1" ref="D647" ca="1">OFFSET(INDIRECT("'["&amp;$H647&amp;"]"&amp;$I647&amp;"'!"&amp;$J647),$L647,$M647)*$K647</f>
        <v>2.0200000000000001E-3</v>
      </c>
      <c r="F647" s="4">
        <f t="shared" si="43"/>
        <v>7</v>
      </c>
      <c r="G647" s="4" cm="1">
        <f t="array" ref="G647">IF($C647&gt;=25,F647,IF($C647&lt;16,INDEX(Sheet1!C:C,$F647),$F647))</f>
        <v>7</v>
      </c>
      <c r="H647" s="4" t="str" cm="1">
        <f t="array" ref="H647">INDEX(Sheet1!D:D,$G647)</f>
        <v>2001-cso-preferred-class-structure-mortality-tables.xls</v>
      </c>
      <c r="I647" s="4" t="str" cm="1">
        <f t="array" ref="I647">INDEX(Sheet1!E:E,$G647)</f>
        <v>A.1.a.iv</v>
      </c>
      <c r="J647" s="4" t="str" cm="1">
        <f t="array" ref="J647">IF($C647&gt;=25,INDEX(Sheet1!G:G,$G647),INDEX(Sheet1!F:F,$G647))</f>
        <v>AA8</v>
      </c>
      <c r="K647" s="4" cm="1">
        <f t="array" ref="K647">INDEX(Sheet1!H:H,$G647)</f>
        <v>1E-3</v>
      </c>
      <c r="L647" s="4">
        <f t="shared" si="40"/>
        <v>15</v>
      </c>
      <c r="M647" s="4">
        <f t="shared" si="41"/>
        <v>0</v>
      </c>
    </row>
    <row r="648" spans="1:13">
      <c r="A648" s="4" t="str" cm="1">
        <f t="array" ref="A648">INDEX(Sheet1!A:A,$F648)</f>
        <v>M</v>
      </c>
      <c r="B648" s="4" t="str" cm="1">
        <f t="array" ref="B648">INDEX(Sheet1!B:B,$F648)</f>
        <v>Pref SM</v>
      </c>
      <c r="C648" s="4">
        <f t="shared" si="42"/>
        <v>41</v>
      </c>
      <c r="D648" s="5" cm="1">
        <f t="array" aca="1" ref="D648" ca="1">OFFSET(INDIRECT("'["&amp;$H648&amp;"]"&amp;$I648&amp;"'!"&amp;$J648),$L648,$M648)*$K648</f>
        <v>2.2100000000000002E-3</v>
      </c>
      <c r="F648" s="4">
        <f t="shared" si="43"/>
        <v>7</v>
      </c>
      <c r="G648" s="4" cm="1">
        <f t="array" ref="G648">IF($C648&gt;=25,F648,IF($C648&lt;16,INDEX(Sheet1!C:C,$F648),$F648))</f>
        <v>7</v>
      </c>
      <c r="H648" s="4" t="str" cm="1">
        <f t="array" ref="H648">INDEX(Sheet1!D:D,$G648)</f>
        <v>2001-cso-preferred-class-structure-mortality-tables.xls</v>
      </c>
      <c r="I648" s="4" t="str" cm="1">
        <f t="array" ref="I648">INDEX(Sheet1!E:E,$G648)</f>
        <v>A.1.a.iv</v>
      </c>
      <c r="J648" s="4" t="str" cm="1">
        <f t="array" ref="J648">IF($C648&gt;=25,INDEX(Sheet1!G:G,$G648),INDEX(Sheet1!F:F,$G648))</f>
        <v>AA8</v>
      </c>
      <c r="K648" s="4" cm="1">
        <f t="array" ref="K648">INDEX(Sheet1!H:H,$G648)</f>
        <v>1E-3</v>
      </c>
      <c r="L648" s="4">
        <f t="shared" si="40"/>
        <v>16</v>
      </c>
      <c r="M648" s="4">
        <f t="shared" si="41"/>
        <v>0</v>
      </c>
    </row>
    <row r="649" spans="1:13">
      <c r="A649" s="4" t="str" cm="1">
        <f t="array" ref="A649">INDEX(Sheet1!A:A,$F649)</f>
        <v>M</v>
      </c>
      <c r="B649" s="4" t="str" cm="1">
        <f t="array" ref="B649">INDEX(Sheet1!B:B,$F649)</f>
        <v>Pref SM</v>
      </c>
      <c r="C649" s="4">
        <f t="shared" si="42"/>
        <v>42</v>
      </c>
      <c r="D649" s="5" cm="1">
        <f t="array" aca="1" ref="D649" ca="1">OFFSET(INDIRECT("'["&amp;$H649&amp;"]"&amp;$I649&amp;"'!"&amp;$J649),$L649,$M649)*$K649</f>
        <v>2.4300000000000003E-3</v>
      </c>
      <c r="F649" s="4">
        <f t="shared" si="43"/>
        <v>7</v>
      </c>
      <c r="G649" s="4" cm="1">
        <f t="array" ref="G649">IF($C649&gt;=25,F649,IF($C649&lt;16,INDEX(Sheet1!C:C,$F649),$F649))</f>
        <v>7</v>
      </c>
      <c r="H649" s="4" t="str" cm="1">
        <f t="array" ref="H649">INDEX(Sheet1!D:D,$G649)</f>
        <v>2001-cso-preferred-class-structure-mortality-tables.xls</v>
      </c>
      <c r="I649" s="4" t="str" cm="1">
        <f t="array" ref="I649">INDEX(Sheet1!E:E,$G649)</f>
        <v>A.1.a.iv</v>
      </c>
      <c r="J649" s="4" t="str" cm="1">
        <f t="array" ref="J649">IF($C649&gt;=25,INDEX(Sheet1!G:G,$G649),INDEX(Sheet1!F:F,$G649))</f>
        <v>AA8</v>
      </c>
      <c r="K649" s="4" cm="1">
        <f t="array" ref="K649">INDEX(Sheet1!H:H,$G649)</f>
        <v>1E-3</v>
      </c>
      <c r="L649" s="4">
        <f t="shared" si="40"/>
        <v>17</v>
      </c>
      <c r="M649" s="4">
        <f t="shared" si="41"/>
        <v>0</v>
      </c>
    </row>
    <row r="650" spans="1:13">
      <c r="A650" s="4" t="str" cm="1">
        <f t="array" ref="A650">INDEX(Sheet1!A:A,$F650)</f>
        <v>M</v>
      </c>
      <c r="B650" s="4" t="str" cm="1">
        <f t="array" ref="B650">INDEX(Sheet1!B:B,$F650)</f>
        <v>Pref SM</v>
      </c>
      <c r="C650" s="4">
        <f t="shared" si="42"/>
        <v>43</v>
      </c>
      <c r="D650" s="5" cm="1">
        <f t="array" aca="1" ref="D650" ca="1">OFFSET(INDIRECT("'["&amp;$H650&amp;"]"&amp;$I650&amp;"'!"&amp;$J650),$L650,$M650)*$K650</f>
        <v>2.6800000000000001E-3</v>
      </c>
      <c r="F650" s="4">
        <f t="shared" si="43"/>
        <v>7</v>
      </c>
      <c r="G650" s="4" cm="1">
        <f t="array" ref="G650">IF($C650&gt;=25,F650,IF($C650&lt;16,INDEX(Sheet1!C:C,$F650),$F650))</f>
        <v>7</v>
      </c>
      <c r="H650" s="4" t="str" cm="1">
        <f t="array" ref="H650">INDEX(Sheet1!D:D,$G650)</f>
        <v>2001-cso-preferred-class-structure-mortality-tables.xls</v>
      </c>
      <c r="I650" s="4" t="str" cm="1">
        <f t="array" ref="I650">INDEX(Sheet1!E:E,$G650)</f>
        <v>A.1.a.iv</v>
      </c>
      <c r="J650" s="4" t="str" cm="1">
        <f t="array" ref="J650">IF($C650&gt;=25,INDEX(Sheet1!G:G,$G650),INDEX(Sheet1!F:F,$G650))</f>
        <v>AA8</v>
      </c>
      <c r="K650" s="4" cm="1">
        <f t="array" ref="K650">INDEX(Sheet1!H:H,$G650)</f>
        <v>1E-3</v>
      </c>
      <c r="L650" s="4">
        <f t="shared" si="40"/>
        <v>18</v>
      </c>
      <c r="M650" s="4">
        <f t="shared" si="41"/>
        <v>0</v>
      </c>
    </row>
    <row r="651" spans="1:13">
      <c r="A651" s="4" t="str" cm="1">
        <f t="array" ref="A651">INDEX(Sheet1!A:A,$F651)</f>
        <v>M</v>
      </c>
      <c r="B651" s="4" t="str" cm="1">
        <f t="array" ref="B651">INDEX(Sheet1!B:B,$F651)</f>
        <v>Pref SM</v>
      </c>
      <c r="C651" s="4">
        <f t="shared" si="42"/>
        <v>44</v>
      </c>
      <c r="D651" s="5" cm="1">
        <f t="array" aca="1" ref="D651" ca="1">OFFSET(INDIRECT("'["&amp;$H651&amp;"]"&amp;$I651&amp;"'!"&amp;$J651),$L651,$M651)*$K651</f>
        <v>2.9900000000000005E-3</v>
      </c>
      <c r="F651" s="4">
        <f t="shared" si="43"/>
        <v>7</v>
      </c>
      <c r="G651" s="4" cm="1">
        <f t="array" ref="G651">IF($C651&gt;=25,F651,IF($C651&lt;16,INDEX(Sheet1!C:C,$F651),$F651))</f>
        <v>7</v>
      </c>
      <c r="H651" s="4" t="str" cm="1">
        <f t="array" ref="H651">INDEX(Sheet1!D:D,$G651)</f>
        <v>2001-cso-preferred-class-structure-mortality-tables.xls</v>
      </c>
      <c r="I651" s="4" t="str" cm="1">
        <f t="array" ref="I651">INDEX(Sheet1!E:E,$G651)</f>
        <v>A.1.a.iv</v>
      </c>
      <c r="J651" s="4" t="str" cm="1">
        <f t="array" ref="J651">IF($C651&gt;=25,INDEX(Sheet1!G:G,$G651),INDEX(Sheet1!F:F,$G651))</f>
        <v>AA8</v>
      </c>
      <c r="K651" s="4" cm="1">
        <f t="array" ref="K651">INDEX(Sheet1!H:H,$G651)</f>
        <v>1E-3</v>
      </c>
      <c r="L651" s="4">
        <f t="shared" si="40"/>
        <v>19</v>
      </c>
      <c r="M651" s="4">
        <f t="shared" si="41"/>
        <v>0</v>
      </c>
    </row>
    <row r="652" spans="1:13">
      <c r="A652" s="4" t="str" cm="1">
        <f t="array" ref="A652">INDEX(Sheet1!A:A,$F652)</f>
        <v>M</v>
      </c>
      <c r="B652" s="4" t="str" cm="1">
        <f t="array" ref="B652">INDEX(Sheet1!B:B,$F652)</f>
        <v>Pref SM</v>
      </c>
      <c r="C652" s="4">
        <f t="shared" si="42"/>
        <v>45</v>
      </c>
      <c r="D652" s="5" cm="1">
        <f t="array" aca="1" ref="D652" ca="1">OFFSET(INDIRECT("'["&amp;$H652&amp;"]"&amp;$I652&amp;"'!"&amp;$J652),$L652,$M652)*$K652</f>
        <v>3.31E-3</v>
      </c>
      <c r="F652" s="4">
        <f t="shared" si="43"/>
        <v>7</v>
      </c>
      <c r="G652" s="4" cm="1">
        <f t="array" ref="G652">IF($C652&gt;=25,F652,IF($C652&lt;16,INDEX(Sheet1!C:C,$F652),$F652))</f>
        <v>7</v>
      </c>
      <c r="H652" s="4" t="str" cm="1">
        <f t="array" ref="H652">INDEX(Sheet1!D:D,$G652)</f>
        <v>2001-cso-preferred-class-structure-mortality-tables.xls</v>
      </c>
      <c r="I652" s="4" t="str" cm="1">
        <f t="array" ref="I652">INDEX(Sheet1!E:E,$G652)</f>
        <v>A.1.a.iv</v>
      </c>
      <c r="J652" s="4" t="str" cm="1">
        <f t="array" ref="J652">IF($C652&gt;=25,INDEX(Sheet1!G:G,$G652),INDEX(Sheet1!F:F,$G652))</f>
        <v>AA8</v>
      </c>
      <c r="K652" s="4" cm="1">
        <f t="array" ref="K652">INDEX(Sheet1!H:H,$G652)</f>
        <v>1E-3</v>
      </c>
      <c r="L652" s="4">
        <f t="shared" si="40"/>
        <v>20</v>
      </c>
      <c r="M652" s="4">
        <f t="shared" si="41"/>
        <v>0</v>
      </c>
    </row>
    <row r="653" spans="1:13">
      <c r="A653" s="4" t="str" cm="1">
        <f t="array" ref="A653">INDEX(Sheet1!A:A,$F653)</f>
        <v>M</v>
      </c>
      <c r="B653" s="4" t="str" cm="1">
        <f t="array" ref="B653">INDEX(Sheet1!B:B,$F653)</f>
        <v>Pref SM</v>
      </c>
      <c r="C653" s="4">
        <f t="shared" si="42"/>
        <v>46</v>
      </c>
      <c r="D653" s="5" cm="1">
        <f t="array" aca="1" ref="D653" ca="1">OFFSET(INDIRECT("'["&amp;$H653&amp;"]"&amp;$I653&amp;"'!"&amp;$J653),$L653,$M653)*$K653</f>
        <v>3.6200000000000004E-3</v>
      </c>
      <c r="F653" s="4">
        <f t="shared" si="43"/>
        <v>7</v>
      </c>
      <c r="G653" s="4" cm="1">
        <f t="array" ref="G653">IF($C653&gt;=25,F653,IF($C653&lt;16,INDEX(Sheet1!C:C,$F653),$F653))</f>
        <v>7</v>
      </c>
      <c r="H653" s="4" t="str" cm="1">
        <f t="array" ref="H653">INDEX(Sheet1!D:D,$G653)</f>
        <v>2001-cso-preferred-class-structure-mortality-tables.xls</v>
      </c>
      <c r="I653" s="4" t="str" cm="1">
        <f t="array" ref="I653">INDEX(Sheet1!E:E,$G653)</f>
        <v>A.1.a.iv</v>
      </c>
      <c r="J653" s="4" t="str" cm="1">
        <f t="array" ref="J653">IF($C653&gt;=25,INDEX(Sheet1!G:G,$G653),INDEX(Sheet1!F:F,$G653))</f>
        <v>AA8</v>
      </c>
      <c r="K653" s="4" cm="1">
        <f t="array" ref="K653">INDEX(Sheet1!H:H,$G653)</f>
        <v>1E-3</v>
      </c>
      <c r="L653" s="4">
        <f t="shared" si="40"/>
        <v>21</v>
      </c>
      <c r="M653" s="4">
        <f t="shared" si="41"/>
        <v>0</v>
      </c>
    </row>
    <row r="654" spans="1:13">
      <c r="A654" s="4" t="str" cm="1">
        <f t="array" ref="A654">INDEX(Sheet1!A:A,$F654)</f>
        <v>M</v>
      </c>
      <c r="B654" s="4" t="str" cm="1">
        <f t="array" ref="B654">INDEX(Sheet1!B:B,$F654)</f>
        <v>Pref SM</v>
      </c>
      <c r="C654" s="4">
        <f t="shared" si="42"/>
        <v>47</v>
      </c>
      <c r="D654" s="5" cm="1">
        <f t="array" aca="1" ref="D654" ca="1">OFFSET(INDIRECT("'["&amp;$H654&amp;"]"&amp;$I654&amp;"'!"&amp;$J654),$L654,$M654)*$K654</f>
        <v>3.9500000000000004E-3</v>
      </c>
      <c r="F654" s="4">
        <f t="shared" si="43"/>
        <v>7</v>
      </c>
      <c r="G654" s="4" cm="1">
        <f t="array" ref="G654">IF($C654&gt;=25,F654,IF($C654&lt;16,INDEX(Sheet1!C:C,$F654),$F654))</f>
        <v>7</v>
      </c>
      <c r="H654" s="4" t="str" cm="1">
        <f t="array" ref="H654">INDEX(Sheet1!D:D,$G654)</f>
        <v>2001-cso-preferred-class-structure-mortality-tables.xls</v>
      </c>
      <c r="I654" s="4" t="str" cm="1">
        <f t="array" ref="I654">INDEX(Sheet1!E:E,$G654)</f>
        <v>A.1.a.iv</v>
      </c>
      <c r="J654" s="4" t="str" cm="1">
        <f t="array" ref="J654">IF($C654&gt;=25,INDEX(Sheet1!G:G,$G654),INDEX(Sheet1!F:F,$G654))</f>
        <v>AA8</v>
      </c>
      <c r="K654" s="4" cm="1">
        <f t="array" ref="K654">INDEX(Sheet1!H:H,$G654)</f>
        <v>1E-3</v>
      </c>
      <c r="L654" s="4">
        <f t="shared" si="40"/>
        <v>22</v>
      </c>
      <c r="M654" s="4">
        <f t="shared" si="41"/>
        <v>0</v>
      </c>
    </row>
    <row r="655" spans="1:13">
      <c r="A655" s="4" t="str" cm="1">
        <f t="array" ref="A655">INDEX(Sheet1!A:A,$F655)</f>
        <v>M</v>
      </c>
      <c r="B655" s="4" t="str" cm="1">
        <f t="array" ref="B655">INDEX(Sheet1!B:B,$F655)</f>
        <v>Pref SM</v>
      </c>
      <c r="C655" s="4">
        <f t="shared" si="42"/>
        <v>48</v>
      </c>
      <c r="D655" s="5" cm="1">
        <f t="array" aca="1" ref="D655" ca="1">OFFSET(INDIRECT("'["&amp;$H655&amp;"]"&amp;$I655&amp;"'!"&amp;$J655),$L655,$M655)*$K655</f>
        <v>4.1399999999999996E-3</v>
      </c>
      <c r="F655" s="4">
        <f t="shared" si="43"/>
        <v>7</v>
      </c>
      <c r="G655" s="4" cm="1">
        <f t="array" ref="G655">IF($C655&gt;=25,F655,IF($C655&lt;16,INDEX(Sheet1!C:C,$F655),$F655))</f>
        <v>7</v>
      </c>
      <c r="H655" s="4" t="str" cm="1">
        <f t="array" ref="H655">INDEX(Sheet1!D:D,$G655)</f>
        <v>2001-cso-preferred-class-structure-mortality-tables.xls</v>
      </c>
      <c r="I655" s="4" t="str" cm="1">
        <f t="array" ref="I655">INDEX(Sheet1!E:E,$G655)</f>
        <v>A.1.a.iv</v>
      </c>
      <c r="J655" s="4" t="str" cm="1">
        <f t="array" ref="J655">IF($C655&gt;=25,INDEX(Sheet1!G:G,$G655),INDEX(Sheet1!F:F,$G655))</f>
        <v>AA8</v>
      </c>
      <c r="K655" s="4" cm="1">
        <f t="array" ref="K655">INDEX(Sheet1!H:H,$G655)</f>
        <v>1E-3</v>
      </c>
      <c r="L655" s="4">
        <f t="shared" si="40"/>
        <v>23</v>
      </c>
      <c r="M655" s="4">
        <f t="shared" si="41"/>
        <v>0</v>
      </c>
    </row>
    <row r="656" spans="1:13">
      <c r="A656" s="4" t="str" cm="1">
        <f t="array" ref="A656">INDEX(Sheet1!A:A,$F656)</f>
        <v>M</v>
      </c>
      <c r="B656" s="4" t="str" cm="1">
        <f t="array" ref="B656">INDEX(Sheet1!B:B,$F656)</f>
        <v>Pref SM</v>
      </c>
      <c r="C656" s="4">
        <f t="shared" si="42"/>
        <v>49</v>
      </c>
      <c r="D656" s="5" cm="1">
        <f t="array" aca="1" ref="D656" ca="1">OFFSET(INDIRECT("'["&amp;$H656&amp;"]"&amp;$I656&amp;"'!"&amp;$J656),$L656,$M656)*$K656</f>
        <v>4.3600000000000002E-3</v>
      </c>
      <c r="F656" s="4">
        <f t="shared" si="43"/>
        <v>7</v>
      </c>
      <c r="G656" s="4" cm="1">
        <f t="array" ref="G656">IF($C656&gt;=25,F656,IF($C656&lt;16,INDEX(Sheet1!C:C,$F656),$F656))</f>
        <v>7</v>
      </c>
      <c r="H656" s="4" t="str" cm="1">
        <f t="array" ref="H656">INDEX(Sheet1!D:D,$G656)</f>
        <v>2001-cso-preferred-class-structure-mortality-tables.xls</v>
      </c>
      <c r="I656" s="4" t="str" cm="1">
        <f t="array" ref="I656">INDEX(Sheet1!E:E,$G656)</f>
        <v>A.1.a.iv</v>
      </c>
      <c r="J656" s="4" t="str" cm="1">
        <f t="array" ref="J656">IF($C656&gt;=25,INDEX(Sheet1!G:G,$G656),INDEX(Sheet1!F:F,$G656))</f>
        <v>AA8</v>
      </c>
      <c r="K656" s="4" cm="1">
        <f t="array" ref="K656">INDEX(Sheet1!H:H,$G656)</f>
        <v>1E-3</v>
      </c>
      <c r="L656" s="4">
        <f t="shared" si="40"/>
        <v>24</v>
      </c>
      <c r="M656" s="4">
        <f t="shared" si="41"/>
        <v>0</v>
      </c>
    </row>
    <row r="657" spans="1:13">
      <c r="A657" s="4" t="str" cm="1">
        <f t="array" ref="A657">INDEX(Sheet1!A:A,$F657)</f>
        <v>M</v>
      </c>
      <c r="B657" s="4" t="str" cm="1">
        <f t="array" ref="B657">INDEX(Sheet1!B:B,$F657)</f>
        <v>Pref SM</v>
      </c>
      <c r="C657" s="4">
        <f t="shared" si="42"/>
        <v>50</v>
      </c>
      <c r="D657" s="5" cm="1">
        <f t="array" aca="1" ref="D657" ca="1">OFFSET(INDIRECT("'["&amp;$H657&amp;"]"&amp;$I657&amp;"'!"&amp;$J657),$L657,$M657)*$K657</f>
        <v>4.7300000000000007E-3</v>
      </c>
      <c r="F657" s="4">
        <f t="shared" si="43"/>
        <v>7</v>
      </c>
      <c r="G657" s="4" cm="1">
        <f t="array" ref="G657">IF($C657&gt;=25,F657,IF($C657&lt;16,INDEX(Sheet1!C:C,$F657),$F657))</f>
        <v>7</v>
      </c>
      <c r="H657" s="4" t="str" cm="1">
        <f t="array" ref="H657">INDEX(Sheet1!D:D,$G657)</f>
        <v>2001-cso-preferred-class-structure-mortality-tables.xls</v>
      </c>
      <c r="I657" s="4" t="str" cm="1">
        <f t="array" ref="I657">INDEX(Sheet1!E:E,$G657)</f>
        <v>A.1.a.iv</v>
      </c>
      <c r="J657" s="4" t="str" cm="1">
        <f t="array" ref="J657">IF($C657&gt;=25,INDEX(Sheet1!G:G,$G657),INDEX(Sheet1!F:F,$G657))</f>
        <v>AA8</v>
      </c>
      <c r="K657" s="4" cm="1">
        <f t="array" ref="K657">INDEX(Sheet1!H:H,$G657)</f>
        <v>1E-3</v>
      </c>
      <c r="L657" s="4">
        <f t="shared" si="40"/>
        <v>25</v>
      </c>
      <c r="M657" s="4">
        <f t="shared" si="41"/>
        <v>0</v>
      </c>
    </row>
    <row r="658" spans="1:13">
      <c r="A658" s="4" t="str" cm="1">
        <f t="array" ref="A658">INDEX(Sheet1!A:A,$F658)</f>
        <v>M</v>
      </c>
      <c r="B658" s="4" t="str" cm="1">
        <f t="array" ref="B658">INDEX(Sheet1!B:B,$F658)</f>
        <v>Pref SM</v>
      </c>
      <c r="C658" s="4">
        <f t="shared" si="42"/>
        <v>51</v>
      </c>
      <c r="D658" s="5" cm="1">
        <f t="array" aca="1" ref="D658" ca="1">OFFSET(INDIRECT("'["&amp;$H658&amp;"]"&amp;$I658&amp;"'!"&amp;$J658),$L658,$M658)*$K658</f>
        <v>5.1600000000000005E-3</v>
      </c>
      <c r="F658" s="4">
        <f t="shared" si="43"/>
        <v>7</v>
      </c>
      <c r="G658" s="4" cm="1">
        <f t="array" ref="G658">IF($C658&gt;=25,F658,IF($C658&lt;16,INDEX(Sheet1!C:C,$F658),$F658))</f>
        <v>7</v>
      </c>
      <c r="H658" s="4" t="str" cm="1">
        <f t="array" ref="H658">INDEX(Sheet1!D:D,$G658)</f>
        <v>2001-cso-preferred-class-structure-mortality-tables.xls</v>
      </c>
      <c r="I658" s="4" t="str" cm="1">
        <f t="array" ref="I658">INDEX(Sheet1!E:E,$G658)</f>
        <v>A.1.a.iv</v>
      </c>
      <c r="J658" s="4" t="str" cm="1">
        <f t="array" ref="J658">IF($C658&gt;=25,INDEX(Sheet1!G:G,$G658),INDEX(Sheet1!F:F,$G658))</f>
        <v>AA8</v>
      </c>
      <c r="K658" s="4" cm="1">
        <f t="array" ref="K658">INDEX(Sheet1!H:H,$G658)</f>
        <v>1E-3</v>
      </c>
      <c r="L658" s="4">
        <f t="shared" si="40"/>
        <v>26</v>
      </c>
      <c r="M658" s="4">
        <f t="shared" si="41"/>
        <v>0</v>
      </c>
    </row>
    <row r="659" spans="1:13">
      <c r="A659" s="4" t="str" cm="1">
        <f t="array" ref="A659">INDEX(Sheet1!A:A,$F659)</f>
        <v>M</v>
      </c>
      <c r="B659" s="4" t="str" cm="1">
        <f t="array" ref="B659">INDEX(Sheet1!B:B,$F659)</f>
        <v>Pref SM</v>
      </c>
      <c r="C659" s="4">
        <f t="shared" si="42"/>
        <v>52</v>
      </c>
      <c r="D659" s="5" cm="1">
        <f t="array" aca="1" ref="D659" ca="1">OFFSET(INDIRECT("'["&amp;$H659&amp;"]"&amp;$I659&amp;"'!"&amp;$J659),$L659,$M659)*$K659</f>
        <v>5.7400000000000003E-3</v>
      </c>
      <c r="F659" s="4">
        <f t="shared" si="43"/>
        <v>7</v>
      </c>
      <c r="G659" s="4" cm="1">
        <f t="array" ref="G659">IF($C659&gt;=25,F659,IF($C659&lt;16,INDEX(Sheet1!C:C,$F659),$F659))</f>
        <v>7</v>
      </c>
      <c r="H659" s="4" t="str" cm="1">
        <f t="array" ref="H659">INDEX(Sheet1!D:D,$G659)</f>
        <v>2001-cso-preferred-class-structure-mortality-tables.xls</v>
      </c>
      <c r="I659" s="4" t="str" cm="1">
        <f t="array" ref="I659">INDEX(Sheet1!E:E,$G659)</f>
        <v>A.1.a.iv</v>
      </c>
      <c r="J659" s="4" t="str" cm="1">
        <f t="array" ref="J659">IF($C659&gt;=25,INDEX(Sheet1!G:G,$G659),INDEX(Sheet1!F:F,$G659))</f>
        <v>AA8</v>
      </c>
      <c r="K659" s="4" cm="1">
        <f t="array" ref="K659">INDEX(Sheet1!H:H,$G659)</f>
        <v>1E-3</v>
      </c>
      <c r="L659" s="4">
        <f t="shared" si="40"/>
        <v>27</v>
      </c>
      <c r="M659" s="4">
        <f t="shared" si="41"/>
        <v>0</v>
      </c>
    </row>
    <row r="660" spans="1:13">
      <c r="A660" s="4" t="str" cm="1">
        <f t="array" ref="A660">INDEX(Sheet1!A:A,$F660)</f>
        <v>M</v>
      </c>
      <c r="B660" s="4" t="str" cm="1">
        <f t="array" ref="B660">INDEX(Sheet1!B:B,$F660)</f>
        <v>Pref SM</v>
      </c>
      <c r="C660" s="4">
        <f t="shared" si="42"/>
        <v>53</v>
      </c>
      <c r="D660" s="5" cm="1">
        <f t="array" aca="1" ref="D660" ca="1">OFFSET(INDIRECT("'["&amp;$H660&amp;"]"&amp;$I660&amp;"'!"&amp;$J660),$L660,$M660)*$K660</f>
        <v>6.4099999999999999E-3</v>
      </c>
      <c r="F660" s="4">
        <f t="shared" si="43"/>
        <v>7</v>
      </c>
      <c r="G660" s="4" cm="1">
        <f t="array" ref="G660">IF($C660&gt;=25,F660,IF($C660&lt;16,INDEX(Sheet1!C:C,$F660),$F660))</f>
        <v>7</v>
      </c>
      <c r="H660" s="4" t="str" cm="1">
        <f t="array" ref="H660">INDEX(Sheet1!D:D,$G660)</f>
        <v>2001-cso-preferred-class-structure-mortality-tables.xls</v>
      </c>
      <c r="I660" s="4" t="str" cm="1">
        <f t="array" ref="I660">INDEX(Sheet1!E:E,$G660)</f>
        <v>A.1.a.iv</v>
      </c>
      <c r="J660" s="4" t="str" cm="1">
        <f t="array" ref="J660">IF($C660&gt;=25,INDEX(Sheet1!G:G,$G660),INDEX(Sheet1!F:F,$G660))</f>
        <v>AA8</v>
      </c>
      <c r="K660" s="4" cm="1">
        <f t="array" ref="K660">INDEX(Sheet1!H:H,$G660)</f>
        <v>1E-3</v>
      </c>
      <c r="L660" s="4">
        <f t="shared" si="40"/>
        <v>28</v>
      </c>
      <c r="M660" s="4">
        <f t="shared" si="41"/>
        <v>0</v>
      </c>
    </row>
    <row r="661" spans="1:13">
      <c r="A661" s="4" t="str" cm="1">
        <f t="array" ref="A661">INDEX(Sheet1!A:A,$F661)</f>
        <v>M</v>
      </c>
      <c r="B661" s="4" t="str" cm="1">
        <f t="array" ref="B661">INDEX(Sheet1!B:B,$F661)</f>
        <v>Pref SM</v>
      </c>
      <c r="C661" s="4">
        <f t="shared" si="42"/>
        <v>54</v>
      </c>
      <c r="D661" s="5" cm="1">
        <f t="array" aca="1" ref="D661" ca="1">OFFSET(INDIRECT("'["&amp;$H661&amp;"]"&amp;$I661&amp;"'!"&amp;$J661),$L661,$M661)*$K661</f>
        <v>7.2400000000000008E-3</v>
      </c>
      <c r="F661" s="4">
        <f t="shared" si="43"/>
        <v>7</v>
      </c>
      <c r="G661" s="4" cm="1">
        <f t="array" ref="G661">IF($C661&gt;=25,F661,IF($C661&lt;16,INDEX(Sheet1!C:C,$F661),$F661))</f>
        <v>7</v>
      </c>
      <c r="H661" s="4" t="str" cm="1">
        <f t="array" ref="H661">INDEX(Sheet1!D:D,$G661)</f>
        <v>2001-cso-preferred-class-structure-mortality-tables.xls</v>
      </c>
      <c r="I661" s="4" t="str" cm="1">
        <f t="array" ref="I661">INDEX(Sheet1!E:E,$G661)</f>
        <v>A.1.a.iv</v>
      </c>
      <c r="J661" s="4" t="str" cm="1">
        <f t="array" ref="J661">IF($C661&gt;=25,INDEX(Sheet1!G:G,$G661),INDEX(Sheet1!F:F,$G661))</f>
        <v>AA8</v>
      </c>
      <c r="K661" s="4" cm="1">
        <f t="array" ref="K661">INDEX(Sheet1!H:H,$G661)</f>
        <v>1E-3</v>
      </c>
      <c r="L661" s="4">
        <f t="shared" si="40"/>
        <v>29</v>
      </c>
      <c r="M661" s="4">
        <f t="shared" si="41"/>
        <v>0</v>
      </c>
    </row>
    <row r="662" spans="1:13">
      <c r="A662" s="4" t="str" cm="1">
        <f t="array" ref="A662">INDEX(Sheet1!A:A,$F662)</f>
        <v>M</v>
      </c>
      <c r="B662" s="4" t="str" cm="1">
        <f t="array" ref="B662">INDEX(Sheet1!B:B,$F662)</f>
        <v>Pref SM</v>
      </c>
      <c r="C662" s="4">
        <f t="shared" si="42"/>
        <v>55</v>
      </c>
      <c r="D662" s="5" cm="1">
        <f t="array" aca="1" ref="D662" ca="1">OFFSET(INDIRECT("'["&amp;$H662&amp;"]"&amp;$I662&amp;"'!"&amp;$J662),$L662,$M662)*$K662</f>
        <v>8.1899999999999994E-3</v>
      </c>
      <c r="F662" s="4">
        <f t="shared" si="43"/>
        <v>7</v>
      </c>
      <c r="G662" s="4" cm="1">
        <f t="array" ref="G662">IF($C662&gt;=25,F662,IF($C662&lt;16,INDEX(Sheet1!C:C,$F662),$F662))</f>
        <v>7</v>
      </c>
      <c r="H662" s="4" t="str" cm="1">
        <f t="array" ref="H662">INDEX(Sheet1!D:D,$G662)</f>
        <v>2001-cso-preferred-class-structure-mortality-tables.xls</v>
      </c>
      <c r="I662" s="4" t="str" cm="1">
        <f t="array" ref="I662">INDEX(Sheet1!E:E,$G662)</f>
        <v>A.1.a.iv</v>
      </c>
      <c r="J662" s="4" t="str" cm="1">
        <f t="array" ref="J662">IF($C662&gt;=25,INDEX(Sheet1!G:G,$G662),INDEX(Sheet1!F:F,$G662))</f>
        <v>AA8</v>
      </c>
      <c r="K662" s="4" cm="1">
        <f t="array" ref="K662">INDEX(Sheet1!H:H,$G662)</f>
        <v>1E-3</v>
      </c>
      <c r="L662" s="4">
        <f t="shared" si="40"/>
        <v>30</v>
      </c>
      <c r="M662" s="4">
        <f t="shared" si="41"/>
        <v>0</v>
      </c>
    </row>
    <row r="663" spans="1:13">
      <c r="A663" s="4" t="str" cm="1">
        <f t="array" ref="A663">INDEX(Sheet1!A:A,$F663)</f>
        <v>M</v>
      </c>
      <c r="B663" s="4" t="str" cm="1">
        <f t="array" ref="B663">INDEX(Sheet1!B:B,$F663)</f>
        <v>Pref SM</v>
      </c>
      <c r="C663" s="4">
        <f t="shared" si="42"/>
        <v>56</v>
      </c>
      <c r="D663" s="5" cm="1">
        <f t="array" aca="1" ref="D663" ca="1">OFFSET(INDIRECT("'["&amp;$H663&amp;"]"&amp;$I663&amp;"'!"&amp;$J663),$L663,$M663)*$K663</f>
        <v>9.1699999999999993E-3</v>
      </c>
      <c r="F663" s="4">
        <f t="shared" si="43"/>
        <v>7</v>
      </c>
      <c r="G663" s="4" cm="1">
        <f t="array" ref="G663">IF($C663&gt;=25,F663,IF($C663&lt;16,INDEX(Sheet1!C:C,$F663),$F663))</f>
        <v>7</v>
      </c>
      <c r="H663" s="4" t="str" cm="1">
        <f t="array" ref="H663">INDEX(Sheet1!D:D,$G663)</f>
        <v>2001-cso-preferred-class-structure-mortality-tables.xls</v>
      </c>
      <c r="I663" s="4" t="str" cm="1">
        <f t="array" ref="I663">INDEX(Sheet1!E:E,$G663)</f>
        <v>A.1.a.iv</v>
      </c>
      <c r="J663" s="4" t="str" cm="1">
        <f t="array" ref="J663">IF($C663&gt;=25,INDEX(Sheet1!G:G,$G663),INDEX(Sheet1!F:F,$G663))</f>
        <v>AA8</v>
      </c>
      <c r="K663" s="4" cm="1">
        <f t="array" ref="K663">INDEX(Sheet1!H:H,$G663)</f>
        <v>1E-3</v>
      </c>
      <c r="L663" s="4">
        <f t="shared" si="40"/>
        <v>31</v>
      </c>
      <c r="M663" s="4">
        <f t="shared" si="41"/>
        <v>0</v>
      </c>
    </row>
    <row r="664" spans="1:13">
      <c r="A664" s="4" t="str" cm="1">
        <f t="array" ref="A664">INDEX(Sheet1!A:A,$F664)</f>
        <v>M</v>
      </c>
      <c r="B664" s="4" t="str" cm="1">
        <f t="array" ref="B664">INDEX(Sheet1!B:B,$F664)</f>
        <v>Pref SM</v>
      </c>
      <c r="C664" s="4">
        <f t="shared" si="42"/>
        <v>57</v>
      </c>
      <c r="D664" s="5" cm="1">
        <f t="array" aca="1" ref="D664" ca="1">OFFSET(INDIRECT("'["&amp;$H664&amp;"]"&amp;$I664&amp;"'!"&amp;$J664),$L664,$M664)*$K664</f>
        <v>1.0220000000000002E-2</v>
      </c>
      <c r="F664" s="4">
        <f t="shared" si="43"/>
        <v>7</v>
      </c>
      <c r="G664" s="4" cm="1">
        <f t="array" ref="G664">IF($C664&gt;=25,F664,IF($C664&lt;16,INDEX(Sheet1!C:C,$F664),$F664))</f>
        <v>7</v>
      </c>
      <c r="H664" s="4" t="str" cm="1">
        <f t="array" ref="H664">INDEX(Sheet1!D:D,$G664)</f>
        <v>2001-cso-preferred-class-structure-mortality-tables.xls</v>
      </c>
      <c r="I664" s="4" t="str" cm="1">
        <f t="array" ref="I664">INDEX(Sheet1!E:E,$G664)</f>
        <v>A.1.a.iv</v>
      </c>
      <c r="J664" s="4" t="str" cm="1">
        <f t="array" ref="J664">IF($C664&gt;=25,INDEX(Sheet1!G:G,$G664),INDEX(Sheet1!F:F,$G664))</f>
        <v>AA8</v>
      </c>
      <c r="K664" s="4" cm="1">
        <f t="array" ref="K664">INDEX(Sheet1!H:H,$G664)</f>
        <v>1E-3</v>
      </c>
      <c r="L664" s="4">
        <f t="shared" si="40"/>
        <v>32</v>
      </c>
      <c r="M664" s="4">
        <f t="shared" si="41"/>
        <v>0</v>
      </c>
    </row>
    <row r="665" spans="1:13">
      <c r="A665" s="4" t="str" cm="1">
        <f t="array" ref="A665">INDEX(Sheet1!A:A,$F665)</f>
        <v>M</v>
      </c>
      <c r="B665" s="4" t="str" cm="1">
        <f t="array" ref="B665">INDEX(Sheet1!B:B,$F665)</f>
        <v>Pref SM</v>
      </c>
      <c r="C665" s="4">
        <f t="shared" si="42"/>
        <v>58</v>
      </c>
      <c r="D665" s="5" cm="1">
        <f t="array" aca="1" ref="D665" ca="1">OFFSET(INDIRECT("'["&amp;$H665&amp;"]"&amp;$I665&amp;"'!"&amp;$J665),$L665,$M665)*$K665</f>
        <v>1.111E-2</v>
      </c>
      <c r="F665" s="4">
        <f t="shared" si="43"/>
        <v>7</v>
      </c>
      <c r="G665" s="4" cm="1">
        <f t="array" ref="G665">IF($C665&gt;=25,F665,IF($C665&lt;16,INDEX(Sheet1!C:C,$F665),$F665))</f>
        <v>7</v>
      </c>
      <c r="H665" s="4" t="str" cm="1">
        <f t="array" ref="H665">INDEX(Sheet1!D:D,$G665)</f>
        <v>2001-cso-preferred-class-structure-mortality-tables.xls</v>
      </c>
      <c r="I665" s="4" t="str" cm="1">
        <f t="array" ref="I665">INDEX(Sheet1!E:E,$G665)</f>
        <v>A.1.a.iv</v>
      </c>
      <c r="J665" s="4" t="str" cm="1">
        <f t="array" ref="J665">IF($C665&gt;=25,INDEX(Sheet1!G:G,$G665),INDEX(Sheet1!F:F,$G665))</f>
        <v>AA8</v>
      </c>
      <c r="K665" s="4" cm="1">
        <f t="array" ref="K665">INDEX(Sheet1!H:H,$G665)</f>
        <v>1E-3</v>
      </c>
      <c r="L665" s="4">
        <f t="shared" si="40"/>
        <v>33</v>
      </c>
      <c r="M665" s="4">
        <f t="shared" si="41"/>
        <v>0</v>
      </c>
    </row>
    <row r="666" spans="1:13">
      <c r="A666" s="4" t="str" cm="1">
        <f t="array" ref="A666">INDEX(Sheet1!A:A,$F666)</f>
        <v>M</v>
      </c>
      <c r="B666" s="4" t="str" cm="1">
        <f t="array" ref="B666">INDEX(Sheet1!B:B,$F666)</f>
        <v>Pref SM</v>
      </c>
      <c r="C666" s="4">
        <f t="shared" si="42"/>
        <v>59</v>
      </c>
      <c r="D666" s="5" cm="1">
        <f t="array" aca="1" ref="D666" ca="1">OFFSET(INDIRECT("'["&amp;$H666&amp;"]"&amp;$I666&amp;"'!"&amp;$J666),$L666,$M666)*$K666</f>
        <v>1.2119999999999999E-2</v>
      </c>
      <c r="F666" s="4">
        <f t="shared" si="43"/>
        <v>7</v>
      </c>
      <c r="G666" s="4" cm="1">
        <f t="array" ref="G666">IF($C666&gt;=25,F666,IF($C666&lt;16,INDEX(Sheet1!C:C,$F666),$F666))</f>
        <v>7</v>
      </c>
      <c r="H666" s="4" t="str" cm="1">
        <f t="array" ref="H666">INDEX(Sheet1!D:D,$G666)</f>
        <v>2001-cso-preferred-class-structure-mortality-tables.xls</v>
      </c>
      <c r="I666" s="4" t="str" cm="1">
        <f t="array" ref="I666">INDEX(Sheet1!E:E,$G666)</f>
        <v>A.1.a.iv</v>
      </c>
      <c r="J666" s="4" t="str" cm="1">
        <f t="array" ref="J666">IF($C666&gt;=25,INDEX(Sheet1!G:G,$G666),INDEX(Sheet1!F:F,$G666))</f>
        <v>AA8</v>
      </c>
      <c r="K666" s="4" cm="1">
        <f t="array" ref="K666">INDEX(Sheet1!H:H,$G666)</f>
        <v>1E-3</v>
      </c>
      <c r="L666" s="4">
        <f t="shared" si="40"/>
        <v>34</v>
      </c>
      <c r="M666" s="4">
        <f t="shared" si="41"/>
        <v>0</v>
      </c>
    </row>
    <row r="667" spans="1:13">
      <c r="A667" s="4" t="str" cm="1">
        <f t="array" ref="A667">INDEX(Sheet1!A:A,$F667)</f>
        <v>M</v>
      </c>
      <c r="B667" s="4" t="str" cm="1">
        <f t="array" ref="B667">INDEX(Sheet1!B:B,$F667)</f>
        <v>Pref SM</v>
      </c>
      <c r="C667" s="4">
        <f t="shared" si="42"/>
        <v>60</v>
      </c>
      <c r="D667" s="5" cm="1">
        <f t="array" aca="1" ref="D667" ca="1">OFFSET(INDIRECT("'["&amp;$H667&amp;"]"&amp;$I667&amp;"'!"&amp;$J667),$L667,$M667)*$K667</f>
        <v>1.32E-2</v>
      </c>
      <c r="F667" s="4">
        <f t="shared" si="43"/>
        <v>7</v>
      </c>
      <c r="G667" s="4" cm="1">
        <f t="array" ref="G667">IF($C667&gt;=25,F667,IF($C667&lt;16,INDEX(Sheet1!C:C,$F667),$F667))</f>
        <v>7</v>
      </c>
      <c r="H667" s="4" t="str" cm="1">
        <f t="array" ref="H667">INDEX(Sheet1!D:D,$G667)</f>
        <v>2001-cso-preferred-class-structure-mortality-tables.xls</v>
      </c>
      <c r="I667" s="4" t="str" cm="1">
        <f t="array" ref="I667">INDEX(Sheet1!E:E,$G667)</f>
        <v>A.1.a.iv</v>
      </c>
      <c r="J667" s="4" t="str" cm="1">
        <f t="array" ref="J667">IF($C667&gt;=25,INDEX(Sheet1!G:G,$G667),INDEX(Sheet1!F:F,$G667))</f>
        <v>AA8</v>
      </c>
      <c r="K667" s="4" cm="1">
        <f t="array" ref="K667">INDEX(Sheet1!H:H,$G667)</f>
        <v>1E-3</v>
      </c>
      <c r="L667" s="4">
        <f t="shared" si="40"/>
        <v>35</v>
      </c>
      <c r="M667" s="4">
        <f t="shared" si="41"/>
        <v>0</v>
      </c>
    </row>
    <row r="668" spans="1:13">
      <c r="A668" s="4" t="str" cm="1">
        <f t="array" ref="A668">INDEX(Sheet1!A:A,$F668)</f>
        <v>M</v>
      </c>
      <c r="B668" s="4" t="str" cm="1">
        <f t="array" ref="B668">INDEX(Sheet1!B:B,$F668)</f>
        <v>Pref SM</v>
      </c>
      <c r="C668" s="4">
        <f t="shared" si="42"/>
        <v>61</v>
      </c>
      <c r="D668" s="5" cm="1">
        <f t="array" aca="1" ref="D668" ca="1">OFFSET(INDIRECT("'["&amp;$H668&amp;"]"&amp;$I668&amp;"'!"&amp;$J668),$L668,$M668)*$K668</f>
        <v>1.453E-2</v>
      </c>
      <c r="F668" s="4">
        <f t="shared" si="43"/>
        <v>7</v>
      </c>
      <c r="G668" s="4" cm="1">
        <f t="array" ref="G668">IF($C668&gt;=25,F668,IF($C668&lt;16,INDEX(Sheet1!C:C,$F668),$F668))</f>
        <v>7</v>
      </c>
      <c r="H668" s="4" t="str" cm="1">
        <f t="array" ref="H668">INDEX(Sheet1!D:D,$G668)</f>
        <v>2001-cso-preferred-class-structure-mortality-tables.xls</v>
      </c>
      <c r="I668" s="4" t="str" cm="1">
        <f t="array" ref="I668">INDEX(Sheet1!E:E,$G668)</f>
        <v>A.1.a.iv</v>
      </c>
      <c r="J668" s="4" t="str" cm="1">
        <f t="array" ref="J668">IF($C668&gt;=25,INDEX(Sheet1!G:G,$G668),INDEX(Sheet1!F:F,$G668))</f>
        <v>AA8</v>
      </c>
      <c r="K668" s="4" cm="1">
        <f t="array" ref="K668">INDEX(Sheet1!H:H,$G668)</f>
        <v>1E-3</v>
      </c>
      <c r="L668" s="4">
        <f t="shared" si="40"/>
        <v>36</v>
      </c>
      <c r="M668" s="4">
        <f t="shared" si="41"/>
        <v>0</v>
      </c>
    </row>
    <row r="669" spans="1:13">
      <c r="A669" s="4" t="str" cm="1">
        <f t="array" ref="A669">INDEX(Sheet1!A:A,$F669)</f>
        <v>M</v>
      </c>
      <c r="B669" s="4" t="str" cm="1">
        <f t="array" ref="B669">INDEX(Sheet1!B:B,$F669)</f>
        <v>Pref SM</v>
      </c>
      <c r="C669" s="4">
        <f t="shared" si="42"/>
        <v>62</v>
      </c>
      <c r="D669" s="5" cm="1">
        <f t="array" aca="1" ref="D669" ca="1">OFFSET(INDIRECT("'["&amp;$H669&amp;"]"&amp;$I669&amp;"'!"&amp;$J669),$L669,$M669)*$K669</f>
        <v>1.6129999999999999E-2</v>
      </c>
      <c r="F669" s="4">
        <f t="shared" si="43"/>
        <v>7</v>
      </c>
      <c r="G669" s="4" cm="1">
        <f t="array" ref="G669">IF($C669&gt;=25,F669,IF($C669&lt;16,INDEX(Sheet1!C:C,$F669),$F669))</f>
        <v>7</v>
      </c>
      <c r="H669" s="4" t="str" cm="1">
        <f t="array" ref="H669">INDEX(Sheet1!D:D,$G669)</f>
        <v>2001-cso-preferred-class-structure-mortality-tables.xls</v>
      </c>
      <c r="I669" s="4" t="str" cm="1">
        <f t="array" ref="I669">INDEX(Sheet1!E:E,$G669)</f>
        <v>A.1.a.iv</v>
      </c>
      <c r="J669" s="4" t="str" cm="1">
        <f t="array" ref="J669">IF($C669&gt;=25,INDEX(Sheet1!G:G,$G669),INDEX(Sheet1!F:F,$G669))</f>
        <v>AA8</v>
      </c>
      <c r="K669" s="4" cm="1">
        <f t="array" ref="K669">INDEX(Sheet1!H:H,$G669)</f>
        <v>1E-3</v>
      </c>
      <c r="L669" s="4">
        <f t="shared" si="40"/>
        <v>37</v>
      </c>
      <c r="M669" s="4">
        <f t="shared" si="41"/>
        <v>0</v>
      </c>
    </row>
    <row r="670" spans="1:13">
      <c r="A670" s="4" t="str" cm="1">
        <f t="array" ref="A670">INDEX(Sheet1!A:A,$F670)</f>
        <v>M</v>
      </c>
      <c r="B670" s="4" t="str" cm="1">
        <f t="array" ref="B670">INDEX(Sheet1!B:B,$F670)</f>
        <v>Pref SM</v>
      </c>
      <c r="C670" s="4">
        <f t="shared" si="42"/>
        <v>63</v>
      </c>
      <c r="D670" s="5" cm="1">
        <f t="array" aca="1" ref="D670" ca="1">OFFSET(INDIRECT("'["&amp;$H670&amp;"]"&amp;$I670&amp;"'!"&amp;$J670),$L670,$M670)*$K670</f>
        <v>1.7909999999999999E-2</v>
      </c>
      <c r="F670" s="4">
        <f t="shared" si="43"/>
        <v>7</v>
      </c>
      <c r="G670" s="4" cm="1">
        <f t="array" ref="G670">IF($C670&gt;=25,F670,IF($C670&lt;16,INDEX(Sheet1!C:C,$F670),$F670))</f>
        <v>7</v>
      </c>
      <c r="H670" s="4" t="str" cm="1">
        <f t="array" ref="H670">INDEX(Sheet1!D:D,$G670)</f>
        <v>2001-cso-preferred-class-structure-mortality-tables.xls</v>
      </c>
      <c r="I670" s="4" t="str" cm="1">
        <f t="array" ref="I670">INDEX(Sheet1!E:E,$G670)</f>
        <v>A.1.a.iv</v>
      </c>
      <c r="J670" s="4" t="str" cm="1">
        <f t="array" ref="J670">IF($C670&gt;=25,INDEX(Sheet1!G:G,$G670),INDEX(Sheet1!F:F,$G670))</f>
        <v>AA8</v>
      </c>
      <c r="K670" s="4" cm="1">
        <f t="array" ref="K670">INDEX(Sheet1!H:H,$G670)</f>
        <v>1E-3</v>
      </c>
      <c r="L670" s="4">
        <f t="shared" si="40"/>
        <v>38</v>
      </c>
      <c r="M670" s="4">
        <f t="shared" si="41"/>
        <v>0</v>
      </c>
    </row>
    <row r="671" spans="1:13">
      <c r="A671" s="4" t="str" cm="1">
        <f t="array" ref="A671">INDEX(Sheet1!A:A,$F671)</f>
        <v>M</v>
      </c>
      <c r="B671" s="4" t="str" cm="1">
        <f t="array" ref="B671">INDEX(Sheet1!B:B,$F671)</f>
        <v>Pref SM</v>
      </c>
      <c r="C671" s="4">
        <f t="shared" si="42"/>
        <v>64</v>
      </c>
      <c r="D671" s="5" cm="1">
        <f t="array" aca="1" ref="D671" ca="1">OFFSET(INDIRECT("'["&amp;$H671&amp;"]"&amp;$I671&amp;"'!"&amp;$J671),$L671,$M671)*$K671</f>
        <v>1.9730000000000001E-2</v>
      </c>
      <c r="F671" s="4">
        <f t="shared" si="43"/>
        <v>7</v>
      </c>
      <c r="G671" s="4" cm="1">
        <f t="array" ref="G671">IF($C671&gt;=25,F671,IF($C671&lt;16,INDEX(Sheet1!C:C,$F671),$F671))</f>
        <v>7</v>
      </c>
      <c r="H671" s="4" t="str" cm="1">
        <f t="array" ref="H671">INDEX(Sheet1!D:D,$G671)</f>
        <v>2001-cso-preferred-class-structure-mortality-tables.xls</v>
      </c>
      <c r="I671" s="4" t="str" cm="1">
        <f t="array" ref="I671">INDEX(Sheet1!E:E,$G671)</f>
        <v>A.1.a.iv</v>
      </c>
      <c r="J671" s="4" t="str" cm="1">
        <f t="array" ref="J671">IF($C671&gt;=25,INDEX(Sheet1!G:G,$G671),INDEX(Sheet1!F:F,$G671))</f>
        <v>AA8</v>
      </c>
      <c r="K671" s="4" cm="1">
        <f t="array" ref="K671">INDEX(Sheet1!H:H,$G671)</f>
        <v>1E-3</v>
      </c>
      <c r="L671" s="4">
        <f t="shared" si="40"/>
        <v>39</v>
      </c>
      <c r="M671" s="4">
        <f t="shared" si="41"/>
        <v>0</v>
      </c>
    </row>
    <row r="672" spans="1:13">
      <c r="A672" s="4" t="str" cm="1">
        <f t="array" ref="A672">INDEX(Sheet1!A:A,$F672)</f>
        <v>M</v>
      </c>
      <c r="B672" s="4" t="str" cm="1">
        <f t="array" ref="B672">INDEX(Sheet1!B:B,$F672)</f>
        <v>Pref SM</v>
      </c>
      <c r="C672" s="4">
        <f t="shared" si="42"/>
        <v>65</v>
      </c>
      <c r="D672" s="5" cm="1">
        <f t="array" aca="1" ref="D672" ca="1">OFFSET(INDIRECT("'["&amp;$H672&amp;"]"&amp;$I672&amp;"'!"&amp;$J672),$L672,$M672)*$K672</f>
        <v>2.1530000000000001E-2</v>
      </c>
      <c r="F672" s="4">
        <f t="shared" si="43"/>
        <v>7</v>
      </c>
      <c r="G672" s="4" cm="1">
        <f t="array" ref="G672">IF($C672&gt;=25,F672,IF($C672&lt;16,INDEX(Sheet1!C:C,$F672),$F672))</f>
        <v>7</v>
      </c>
      <c r="H672" s="4" t="str" cm="1">
        <f t="array" ref="H672">INDEX(Sheet1!D:D,$G672)</f>
        <v>2001-cso-preferred-class-structure-mortality-tables.xls</v>
      </c>
      <c r="I672" s="4" t="str" cm="1">
        <f t="array" ref="I672">INDEX(Sheet1!E:E,$G672)</f>
        <v>A.1.a.iv</v>
      </c>
      <c r="J672" s="4" t="str" cm="1">
        <f t="array" ref="J672">IF($C672&gt;=25,INDEX(Sheet1!G:G,$G672),INDEX(Sheet1!F:F,$G672))</f>
        <v>AA8</v>
      </c>
      <c r="K672" s="4" cm="1">
        <f t="array" ref="K672">INDEX(Sheet1!H:H,$G672)</f>
        <v>1E-3</v>
      </c>
      <c r="L672" s="4">
        <f t="shared" si="40"/>
        <v>40</v>
      </c>
      <c r="M672" s="4">
        <f t="shared" si="41"/>
        <v>0</v>
      </c>
    </row>
    <row r="673" spans="1:13">
      <c r="A673" s="4" t="str" cm="1">
        <f t="array" ref="A673">INDEX(Sheet1!A:A,$F673)</f>
        <v>M</v>
      </c>
      <c r="B673" s="4" t="str" cm="1">
        <f t="array" ref="B673">INDEX(Sheet1!B:B,$F673)</f>
        <v>Pref SM</v>
      </c>
      <c r="C673" s="4">
        <f t="shared" si="42"/>
        <v>66</v>
      </c>
      <c r="D673" s="5" cm="1">
        <f t="array" aca="1" ref="D673" ca="1">OFFSET(INDIRECT("'["&amp;$H673&amp;"]"&amp;$I673&amp;"'!"&amp;$J673),$L673,$M673)*$K673</f>
        <v>2.3269999999999999E-2</v>
      </c>
      <c r="F673" s="4">
        <f t="shared" si="43"/>
        <v>7</v>
      </c>
      <c r="G673" s="4" cm="1">
        <f t="array" ref="G673">IF($C673&gt;=25,F673,IF($C673&lt;16,INDEX(Sheet1!C:C,$F673),$F673))</f>
        <v>7</v>
      </c>
      <c r="H673" s="4" t="str" cm="1">
        <f t="array" ref="H673">INDEX(Sheet1!D:D,$G673)</f>
        <v>2001-cso-preferred-class-structure-mortality-tables.xls</v>
      </c>
      <c r="I673" s="4" t="str" cm="1">
        <f t="array" ref="I673">INDEX(Sheet1!E:E,$G673)</f>
        <v>A.1.a.iv</v>
      </c>
      <c r="J673" s="4" t="str" cm="1">
        <f t="array" ref="J673">IF($C673&gt;=25,INDEX(Sheet1!G:G,$G673),INDEX(Sheet1!F:F,$G673))</f>
        <v>AA8</v>
      </c>
      <c r="K673" s="4" cm="1">
        <f t="array" ref="K673">INDEX(Sheet1!H:H,$G673)</f>
        <v>1E-3</v>
      </c>
      <c r="L673" s="4">
        <f t="shared" si="40"/>
        <v>41</v>
      </c>
      <c r="M673" s="4">
        <f t="shared" si="41"/>
        <v>0</v>
      </c>
    </row>
    <row r="674" spans="1:13">
      <c r="A674" s="4" t="str" cm="1">
        <f t="array" ref="A674">INDEX(Sheet1!A:A,$F674)</f>
        <v>M</v>
      </c>
      <c r="B674" s="4" t="str" cm="1">
        <f t="array" ref="B674">INDEX(Sheet1!B:B,$F674)</f>
        <v>Pref SM</v>
      </c>
      <c r="C674" s="4">
        <f t="shared" si="42"/>
        <v>67</v>
      </c>
      <c r="D674" s="5" cm="1">
        <f t="array" aca="1" ref="D674" ca="1">OFFSET(INDIRECT("'["&amp;$H674&amp;"]"&amp;$I674&amp;"'!"&amp;$J674),$L674,$M674)*$K674</f>
        <v>2.4960000000000003E-2</v>
      </c>
      <c r="F674" s="4">
        <f t="shared" si="43"/>
        <v>7</v>
      </c>
      <c r="G674" s="4" cm="1">
        <f t="array" ref="G674">IF($C674&gt;=25,F674,IF($C674&lt;16,INDEX(Sheet1!C:C,$F674),$F674))</f>
        <v>7</v>
      </c>
      <c r="H674" s="4" t="str" cm="1">
        <f t="array" ref="H674">INDEX(Sheet1!D:D,$G674)</f>
        <v>2001-cso-preferred-class-structure-mortality-tables.xls</v>
      </c>
      <c r="I674" s="4" t="str" cm="1">
        <f t="array" ref="I674">INDEX(Sheet1!E:E,$G674)</f>
        <v>A.1.a.iv</v>
      </c>
      <c r="J674" s="4" t="str" cm="1">
        <f t="array" ref="J674">IF($C674&gt;=25,INDEX(Sheet1!G:G,$G674),INDEX(Sheet1!F:F,$G674))</f>
        <v>AA8</v>
      </c>
      <c r="K674" s="4" cm="1">
        <f t="array" ref="K674">INDEX(Sheet1!H:H,$G674)</f>
        <v>1E-3</v>
      </c>
      <c r="L674" s="4">
        <f t="shared" si="40"/>
        <v>42</v>
      </c>
      <c r="M674" s="4">
        <f t="shared" si="41"/>
        <v>0</v>
      </c>
    </row>
    <row r="675" spans="1:13">
      <c r="A675" s="4" t="str" cm="1">
        <f t="array" ref="A675">INDEX(Sheet1!A:A,$F675)</f>
        <v>M</v>
      </c>
      <c r="B675" s="4" t="str" cm="1">
        <f t="array" ref="B675">INDEX(Sheet1!B:B,$F675)</f>
        <v>Pref SM</v>
      </c>
      <c r="C675" s="4">
        <f t="shared" si="42"/>
        <v>68</v>
      </c>
      <c r="D675" s="5" cm="1">
        <f t="array" aca="1" ref="D675" ca="1">OFFSET(INDIRECT("'["&amp;$H675&amp;"]"&amp;$I675&amp;"'!"&amp;$J675),$L675,$M675)*$K675</f>
        <v>2.673E-2</v>
      </c>
      <c r="F675" s="4">
        <f t="shared" si="43"/>
        <v>7</v>
      </c>
      <c r="G675" s="4" cm="1">
        <f t="array" ref="G675">IF($C675&gt;=25,F675,IF($C675&lt;16,INDEX(Sheet1!C:C,$F675),$F675))</f>
        <v>7</v>
      </c>
      <c r="H675" s="4" t="str" cm="1">
        <f t="array" ref="H675">INDEX(Sheet1!D:D,$G675)</f>
        <v>2001-cso-preferred-class-structure-mortality-tables.xls</v>
      </c>
      <c r="I675" s="4" t="str" cm="1">
        <f t="array" ref="I675">INDEX(Sheet1!E:E,$G675)</f>
        <v>A.1.a.iv</v>
      </c>
      <c r="J675" s="4" t="str" cm="1">
        <f t="array" ref="J675">IF($C675&gt;=25,INDEX(Sheet1!G:G,$G675),INDEX(Sheet1!F:F,$G675))</f>
        <v>AA8</v>
      </c>
      <c r="K675" s="4" cm="1">
        <f t="array" ref="K675">INDEX(Sheet1!H:H,$G675)</f>
        <v>1E-3</v>
      </c>
      <c r="L675" s="4">
        <f t="shared" si="40"/>
        <v>43</v>
      </c>
      <c r="M675" s="4">
        <f t="shared" si="41"/>
        <v>0</v>
      </c>
    </row>
    <row r="676" spans="1:13">
      <c r="A676" s="4" t="str" cm="1">
        <f t="array" ref="A676">INDEX(Sheet1!A:A,$F676)</f>
        <v>M</v>
      </c>
      <c r="B676" s="4" t="str" cm="1">
        <f t="array" ref="B676">INDEX(Sheet1!B:B,$F676)</f>
        <v>Pref SM</v>
      </c>
      <c r="C676" s="4">
        <f t="shared" si="42"/>
        <v>69</v>
      </c>
      <c r="D676" s="5" cm="1">
        <f t="array" aca="1" ref="D676" ca="1">OFFSET(INDIRECT("'["&amp;$H676&amp;"]"&amp;$I676&amp;"'!"&amp;$J676),$L676,$M676)*$K676</f>
        <v>2.8500000000000001E-2</v>
      </c>
      <c r="F676" s="4">
        <f t="shared" si="43"/>
        <v>7</v>
      </c>
      <c r="G676" s="4" cm="1">
        <f t="array" ref="G676">IF($C676&gt;=25,F676,IF($C676&lt;16,INDEX(Sheet1!C:C,$F676),$F676))</f>
        <v>7</v>
      </c>
      <c r="H676" s="4" t="str" cm="1">
        <f t="array" ref="H676">INDEX(Sheet1!D:D,$G676)</f>
        <v>2001-cso-preferred-class-structure-mortality-tables.xls</v>
      </c>
      <c r="I676" s="4" t="str" cm="1">
        <f t="array" ref="I676">INDEX(Sheet1!E:E,$G676)</f>
        <v>A.1.a.iv</v>
      </c>
      <c r="J676" s="4" t="str" cm="1">
        <f t="array" ref="J676">IF($C676&gt;=25,INDEX(Sheet1!G:G,$G676),INDEX(Sheet1!F:F,$G676))</f>
        <v>AA8</v>
      </c>
      <c r="K676" s="4" cm="1">
        <f t="array" ref="K676">INDEX(Sheet1!H:H,$G676)</f>
        <v>1E-3</v>
      </c>
      <c r="L676" s="4">
        <f t="shared" si="40"/>
        <v>44</v>
      </c>
      <c r="M676" s="4">
        <f t="shared" si="41"/>
        <v>0</v>
      </c>
    </row>
    <row r="677" spans="1:13">
      <c r="A677" s="4" t="str" cm="1">
        <f t="array" ref="A677">INDEX(Sheet1!A:A,$F677)</f>
        <v>M</v>
      </c>
      <c r="B677" s="4" t="str" cm="1">
        <f t="array" ref="B677">INDEX(Sheet1!B:B,$F677)</f>
        <v>Pref SM</v>
      </c>
      <c r="C677" s="4">
        <f t="shared" si="42"/>
        <v>70</v>
      </c>
      <c r="D677" s="5" cm="1">
        <f t="array" aca="1" ref="D677" ca="1">OFFSET(INDIRECT("'["&amp;$H677&amp;"]"&amp;$I677&amp;"'!"&amp;$J677),$L677,$M677)*$K677</f>
        <v>3.0630000000000001E-2</v>
      </c>
      <c r="F677" s="4">
        <f t="shared" si="43"/>
        <v>7</v>
      </c>
      <c r="G677" s="4" cm="1">
        <f t="array" ref="G677">IF($C677&gt;=25,F677,IF($C677&lt;16,INDEX(Sheet1!C:C,$F677),$F677))</f>
        <v>7</v>
      </c>
      <c r="H677" s="4" t="str" cm="1">
        <f t="array" ref="H677">INDEX(Sheet1!D:D,$G677)</f>
        <v>2001-cso-preferred-class-structure-mortality-tables.xls</v>
      </c>
      <c r="I677" s="4" t="str" cm="1">
        <f t="array" ref="I677">INDEX(Sheet1!E:E,$G677)</f>
        <v>A.1.a.iv</v>
      </c>
      <c r="J677" s="4" t="str" cm="1">
        <f t="array" ref="J677">IF($C677&gt;=25,INDEX(Sheet1!G:G,$G677),INDEX(Sheet1!F:F,$G677))</f>
        <v>AA8</v>
      </c>
      <c r="K677" s="4" cm="1">
        <f t="array" ref="K677">INDEX(Sheet1!H:H,$G677)</f>
        <v>1E-3</v>
      </c>
      <c r="L677" s="4">
        <f t="shared" si="40"/>
        <v>45</v>
      </c>
      <c r="M677" s="4">
        <f t="shared" si="41"/>
        <v>0</v>
      </c>
    </row>
    <row r="678" spans="1:13">
      <c r="A678" s="4" t="str" cm="1">
        <f t="array" ref="A678">INDEX(Sheet1!A:A,$F678)</f>
        <v>M</v>
      </c>
      <c r="B678" s="4" t="str" cm="1">
        <f t="array" ref="B678">INDEX(Sheet1!B:B,$F678)</f>
        <v>Pref SM</v>
      </c>
      <c r="C678" s="4">
        <f t="shared" si="42"/>
        <v>71</v>
      </c>
      <c r="D678" s="5" cm="1">
        <f t="array" aca="1" ref="D678" ca="1">OFFSET(INDIRECT("'["&amp;$H678&amp;"]"&amp;$I678&amp;"'!"&amp;$J678),$L678,$M678)*$K678</f>
        <v>3.2969999999999999E-2</v>
      </c>
      <c r="F678" s="4">
        <f t="shared" si="43"/>
        <v>7</v>
      </c>
      <c r="G678" s="4" cm="1">
        <f t="array" ref="G678">IF($C678&gt;=25,F678,IF($C678&lt;16,INDEX(Sheet1!C:C,$F678),$F678))</f>
        <v>7</v>
      </c>
      <c r="H678" s="4" t="str" cm="1">
        <f t="array" ref="H678">INDEX(Sheet1!D:D,$G678)</f>
        <v>2001-cso-preferred-class-structure-mortality-tables.xls</v>
      </c>
      <c r="I678" s="4" t="str" cm="1">
        <f t="array" ref="I678">INDEX(Sheet1!E:E,$G678)</f>
        <v>A.1.a.iv</v>
      </c>
      <c r="J678" s="4" t="str" cm="1">
        <f t="array" ref="J678">IF($C678&gt;=25,INDEX(Sheet1!G:G,$G678),INDEX(Sheet1!F:F,$G678))</f>
        <v>AA8</v>
      </c>
      <c r="K678" s="4" cm="1">
        <f t="array" ref="K678">INDEX(Sheet1!H:H,$G678)</f>
        <v>1E-3</v>
      </c>
      <c r="L678" s="4">
        <f t="shared" si="40"/>
        <v>46</v>
      </c>
      <c r="M678" s="4">
        <f t="shared" si="41"/>
        <v>0</v>
      </c>
    </row>
    <row r="679" spans="1:13">
      <c r="A679" s="4" t="str" cm="1">
        <f t="array" ref="A679">INDEX(Sheet1!A:A,$F679)</f>
        <v>M</v>
      </c>
      <c r="B679" s="4" t="str" cm="1">
        <f t="array" ref="B679">INDEX(Sheet1!B:B,$F679)</f>
        <v>Pref SM</v>
      </c>
      <c r="C679" s="4">
        <f t="shared" si="42"/>
        <v>72</v>
      </c>
      <c r="D679" s="5" cm="1">
        <f t="array" aca="1" ref="D679" ca="1">OFFSET(INDIRECT("'["&amp;$H679&amp;"]"&amp;$I679&amp;"'!"&amp;$J679),$L679,$M679)*$K679</f>
        <v>3.6139999999999999E-2</v>
      </c>
      <c r="F679" s="4">
        <f t="shared" si="43"/>
        <v>7</v>
      </c>
      <c r="G679" s="4" cm="1">
        <f t="array" ref="G679">IF($C679&gt;=25,F679,IF($C679&lt;16,INDEX(Sheet1!C:C,$F679),$F679))</f>
        <v>7</v>
      </c>
      <c r="H679" s="4" t="str" cm="1">
        <f t="array" ref="H679">INDEX(Sheet1!D:D,$G679)</f>
        <v>2001-cso-preferred-class-structure-mortality-tables.xls</v>
      </c>
      <c r="I679" s="4" t="str" cm="1">
        <f t="array" ref="I679">INDEX(Sheet1!E:E,$G679)</f>
        <v>A.1.a.iv</v>
      </c>
      <c r="J679" s="4" t="str" cm="1">
        <f t="array" ref="J679">IF($C679&gt;=25,INDEX(Sheet1!G:G,$G679),INDEX(Sheet1!F:F,$G679))</f>
        <v>AA8</v>
      </c>
      <c r="K679" s="4" cm="1">
        <f t="array" ref="K679">INDEX(Sheet1!H:H,$G679)</f>
        <v>1E-3</v>
      </c>
      <c r="L679" s="4">
        <f t="shared" si="40"/>
        <v>47</v>
      </c>
      <c r="M679" s="4">
        <f t="shared" si="41"/>
        <v>0</v>
      </c>
    </row>
    <row r="680" spans="1:13">
      <c r="A680" s="4" t="str" cm="1">
        <f t="array" ref="A680">INDEX(Sheet1!A:A,$F680)</f>
        <v>M</v>
      </c>
      <c r="B680" s="4" t="str" cm="1">
        <f t="array" ref="B680">INDEX(Sheet1!B:B,$F680)</f>
        <v>Pref SM</v>
      </c>
      <c r="C680" s="4">
        <f t="shared" si="42"/>
        <v>73</v>
      </c>
      <c r="D680" s="5" cm="1">
        <f t="array" aca="1" ref="D680" ca="1">OFFSET(INDIRECT("'["&amp;$H680&amp;"]"&amp;$I680&amp;"'!"&amp;$J680),$L680,$M680)*$K680</f>
        <v>3.9340000000000007E-2</v>
      </c>
      <c r="F680" s="4">
        <f t="shared" si="43"/>
        <v>7</v>
      </c>
      <c r="G680" s="4" cm="1">
        <f t="array" ref="G680">IF($C680&gt;=25,F680,IF($C680&lt;16,INDEX(Sheet1!C:C,$F680),$F680))</f>
        <v>7</v>
      </c>
      <c r="H680" s="4" t="str" cm="1">
        <f t="array" ref="H680">INDEX(Sheet1!D:D,$G680)</f>
        <v>2001-cso-preferred-class-structure-mortality-tables.xls</v>
      </c>
      <c r="I680" s="4" t="str" cm="1">
        <f t="array" ref="I680">INDEX(Sheet1!E:E,$G680)</f>
        <v>A.1.a.iv</v>
      </c>
      <c r="J680" s="4" t="str" cm="1">
        <f t="array" ref="J680">IF($C680&gt;=25,INDEX(Sheet1!G:G,$G680),INDEX(Sheet1!F:F,$G680))</f>
        <v>AA8</v>
      </c>
      <c r="K680" s="4" cm="1">
        <f t="array" ref="K680">INDEX(Sheet1!H:H,$G680)</f>
        <v>1E-3</v>
      </c>
      <c r="L680" s="4">
        <f t="shared" si="40"/>
        <v>48</v>
      </c>
      <c r="M680" s="4">
        <f t="shared" si="41"/>
        <v>0</v>
      </c>
    </row>
    <row r="681" spans="1:13">
      <c r="A681" s="4" t="str" cm="1">
        <f t="array" ref="A681">INDEX(Sheet1!A:A,$F681)</f>
        <v>M</v>
      </c>
      <c r="B681" s="4" t="str" cm="1">
        <f t="array" ref="B681">INDEX(Sheet1!B:B,$F681)</f>
        <v>Pref SM</v>
      </c>
      <c r="C681" s="4">
        <f t="shared" si="42"/>
        <v>74</v>
      </c>
      <c r="D681" s="5" cm="1">
        <f t="array" aca="1" ref="D681" ca="1">OFFSET(INDIRECT("'["&amp;$H681&amp;"]"&amp;$I681&amp;"'!"&amp;$J681),$L681,$M681)*$K681</f>
        <v>4.2560000000000001E-2</v>
      </c>
      <c r="F681" s="4">
        <f t="shared" si="43"/>
        <v>7</v>
      </c>
      <c r="G681" s="4" cm="1">
        <f t="array" ref="G681">IF($C681&gt;=25,F681,IF($C681&lt;16,INDEX(Sheet1!C:C,$F681),$F681))</f>
        <v>7</v>
      </c>
      <c r="H681" s="4" t="str" cm="1">
        <f t="array" ref="H681">INDEX(Sheet1!D:D,$G681)</f>
        <v>2001-cso-preferred-class-structure-mortality-tables.xls</v>
      </c>
      <c r="I681" s="4" t="str" cm="1">
        <f t="array" ref="I681">INDEX(Sheet1!E:E,$G681)</f>
        <v>A.1.a.iv</v>
      </c>
      <c r="J681" s="4" t="str" cm="1">
        <f t="array" ref="J681">IF($C681&gt;=25,INDEX(Sheet1!G:G,$G681),INDEX(Sheet1!F:F,$G681))</f>
        <v>AA8</v>
      </c>
      <c r="K681" s="4" cm="1">
        <f t="array" ref="K681">INDEX(Sheet1!H:H,$G681)</f>
        <v>1E-3</v>
      </c>
      <c r="L681" s="4">
        <f t="shared" si="40"/>
        <v>49</v>
      </c>
      <c r="M681" s="4">
        <f t="shared" si="41"/>
        <v>0</v>
      </c>
    </row>
    <row r="682" spans="1:13">
      <c r="A682" s="4" t="str" cm="1">
        <f t="array" ref="A682">INDEX(Sheet1!A:A,$F682)</f>
        <v>M</v>
      </c>
      <c r="B682" s="4" t="str" cm="1">
        <f t="array" ref="B682">INDEX(Sheet1!B:B,$F682)</f>
        <v>Pref SM</v>
      </c>
      <c r="C682" s="4">
        <f t="shared" si="42"/>
        <v>75</v>
      </c>
      <c r="D682" s="5" cm="1">
        <f t="array" aca="1" ref="D682" ca="1">OFFSET(INDIRECT("'["&amp;$H682&amp;"]"&amp;$I682&amp;"'!"&amp;$J682),$L682,$M682)*$K682</f>
        <v>4.6329999999999996E-2</v>
      </c>
      <c r="F682" s="4">
        <f t="shared" si="43"/>
        <v>7</v>
      </c>
      <c r="G682" s="4" cm="1">
        <f t="array" ref="G682">IF($C682&gt;=25,F682,IF($C682&lt;16,INDEX(Sheet1!C:C,$F682),$F682))</f>
        <v>7</v>
      </c>
      <c r="H682" s="4" t="str" cm="1">
        <f t="array" ref="H682">INDEX(Sheet1!D:D,$G682)</f>
        <v>2001-cso-preferred-class-structure-mortality-tables.xls</v>
      </c>
      <c r="I682" s="4" t="str" cm="1">
        <f t="array" ref="I682">INDEX(Sheet1!E:E,$G682)</f>
        <v>A.1.a.iv</v>
      </c>
      <c r="J682" s="4" t="str" cm="1">
        <f t="array" ref="J682">IF($C682&gt;=25,INDEX(Sheet1!G:G,$G682),INDEX(Sheet1!F:F,$G682))</f>
        <v>AA8</v>
      </c>
      <c r="K682" s="4" cm="1">
        <f t="array" ref="K682">INDEX(Sheet1!H:H,$G682)</f>
        <v>1E-3</v>
      </c>
      <c r="L682" s="4">
        <f t="shared" si="40"/>
        <v>50</v>
      </c>
      <c r="M682" s="4">
        <f t="shared" si="41"/>
        <v>0</v>
      </c>
    </row>
    <row r="683" spans="1:13">
      <c r="A683" s="4" t="str" cm="1">
        <f t="array" ref="A683">INDEX(Sheet1!A:A,$F683)</f>
        <v>M</v>
      </c>
      <c r="B683" s="4" t="str" cm="1">
        <f t="array" ref="B683">INDEX(Sheet1!B:B,$F683)</f>
        <v>Pref SM</v>
      </c>
      <c r="C683" s="4">
        <f t="shared" si="42"/>
        <v>76</v>
      </c>
      <c r="D683" s="5" cm="1">
        <f t="array" aca="1" ref="D683" ca="1">OFFSET(INDIRECT("'["&amp;$H683&amp;"]"&amp;$I683&amp;"'!"&amp;$J683),$L683,$M683)*$K683</f>
        <v>5.0909999999999997E-2</v>
      </c>
      <c r="F683" s="4">
        <f t="shared" si="43"/>
        <v>7</v>
      </c>
      <c r="G683" s="4" cm="1">
        <f t="array" ref="G683">IF($C683&gt;=25,F683,IF($C683&lt;16,INDEX(Sheet1!C:C,$F683),$F683))</f>
        <v>7</v>
      </c>
      <c r="H683" s="4" t="str" cm="1">
        <f t="array" ref="H683">INDEX(Sheet1!D:D,$G683)</f>
        <v>2001-cso-preferred-class-structure-mortality-tables.xls</v>
      </c>
      <c r="I683" s="4" t="str" cm="1">
        <f t="array" ref="I683">INDEX(Sheet1!E:E,$G683)</f>
        <v>A.1.a.iv</v>
      </c>
      <c r="J683" s="4" t="str" cm="1">
        <f t="array" ref="J683">IF($C683&gt;=25,INDEX(Sheet1!G:G,$G683),INDEX(Sheet1!F:F,$G683))</f>
        <v>AA8</v>
      </c>
      <c r="K683" s="4" cm="1">
        <f t="array" ref="K683">INDEX(Sheet1!H:H,$G683)</f>
        <v>1E-3</v>
      </c>
      <c r="L683" s="4">
        <f t="shared" si="40"/>
        <v>51</v>
      </c>
      <c r="M683" s="4">
        <f t="shared" si="41"/>
        <v>0</v>
      </c>
    </row>
    <row r="684" spans="1:13">
      <c r="A684" s="4" t="str" cm="1">
        <f t="array" ref="A684">INDEX(Sheet1!A:A,$F684)</f>
        <v>M</v>
      </c>
      <c r="B684" s="4" t="str" cm="1">
        <f t="array" ref="B684">INDEX(Sheet1!B:B,$F684)</f>
        <v>Pref SM</v>
      </c>
      <c r="C684" s="4">
        <f t="shared" si="42"/>
        <v>77</v>
      </c>
      <c r="D684" s="5" cm="1">
        <f t="array" aca="1" ref="D684" ca="1">OFFSET(INDIRECT("'["&amp;$H684&amp;"]"&amp;$I684&amp;"'!"&amp;$J684),$L684,$M684)*$K684</f>
        <v>5.6219999999999999E-2</v>
      </c>
      <c r="F684" s="4">
        <f t="shared" si="43"/>
        <v>7</v>
      </c>
      <c r="G684" s="4" cm="1">
        <f t="array" ref="G684">IF($C684&gt;=25,F684,IF($C684&lt;16,INDEX(Sheet1!C:C,$F684),$F684))</f>
        <v>7</v>
      </c>
      <c r="H684" s="4" t="str" cm="1">
        <f t="array" ref="H684">INDEX(Sheet1!D:D,$G684)</f>
        <v>2001-cso-preferred-class-structure-mortality-tables.xls</v>
      </c>
      <c r="I684" s="4" t="str" cm="1">
        <f t="array" ref="I684">INDEX(Sheet1!E:E,$G684)</f>
        <v>A.1.a.iv</v>
      </c>
      <c r="J684" s="4" t="str" cm="1">
        <f t="array" ref="J684">IF($C684&gt;=25,INDEX(Sheet1!G:G,$G684),INDEX(Sheet1!F:F,$G684))</f>
        <v>AA8</v>
      </c>
      <c r="K684" s="4" cm="1">
        <f t="array" ref="K684">INDEX(Sheet1!H:H,$G684)</f>
        <v>1E-3</v>
      </c>
      <c r="L684" s="4">
        <f t="shared" si="40"/>
        <v>52</v>
      </c>
      <c r="M684" s="4">
        <f t="shared" si="41"/>
        <v>0</v>
      </c>
    </row>
    <row r="685" spans="1:13">
      <c r="A685" s="4" t="str" cm="1">
        <f t="array" ref="A685">INDEX(Sheet1!A:A,$F685)</f>
        <v>M</v>
      </c>
      <c r="B685" s="4" t="str" cm="1">
        <f t="array" ref="B685">INDEX(Sheet1!B:B,$F685)</f>
        <v>Pref SM</v>
      </c>
      <c r="C685" s="4">
        <f t="shared" si="42"/>
        <v>78</v>
      </c>
      <c r="D685" s="5" cm="1">
        <f t="array" aca="1" ref="D685" ca="1">OFFSET(INDIRECT("'["&amp;$H685&amp;"]"&amp;$I685&amp;"'!"&amp;$J685),$L685,$M685)*$K685</f>
        <v>6.2370000000000002E-2</v>
      </c>
      <c r="F685" s="4">
        <f t="shared" si="43"/>
        <v>7</v>
      </c>
      <c r="G685" s="4" cm="1">
        <f t="array" ref="G685">IF($C685&gt;=25,F685,IF($C685&lt;16,INDEX(Sheet1!C:C,$F685),$F685))</f>
        <v>7</v>
      </c>
      <c r="H685" s="4" t="str" cm="1">
        <f t="array" ref="H685">INDEX(Sheet1!D:D,$G685)</f>
        <v>2001-cso-preferred-class-structure-mortality-tables.xls</v>
      </c>
      <c r="I685" s="4" t="str" cm="1">
        <f t="array" ref="I685">INDEX(Sheet1!E:E,$G685)</f>
        <v>A.1.a.iv</v>
      </c>
      <c r="J685" s="4" t="str" cm="1">
        <f t="array" ref="J685">IF($C685&gt;=25,INDEX(Sheet1!G:G,$G685),INDEX(Sheet1!F:F,$G685))</f>
        <v>AA8</v>
      </c>
      <c r="K685" s="4" cm="1">
        <f t="array" ref="K685">INDEX(Sheet1!H:H,$G685)</f>
        <v>1E-3</v>
      </c>
      <c r="L685" s="4">
        <f t="shared" si="40"/>
        <v>53</v>
      </c>
      <c r="M685" s="4">
        <f t="shared" si="41"/>
        <v>0</v>
      </c>
    </row>
    <row r="686" spans="1:13">
      <c r="A686" s="4" t="str" cm="1">
        <f t="array" ref="A686">INDEX(Sheet1!A:A,$F686)</f>
        <v>M</v>
      </c>
      <c r="B686" s="4" t="str" cm="1">
        <f t="array" ref="B686">INDEX(Sheet1!B:B,$F686)</f>
        <v>Pref SM</v>
      </c>
      <c r="C686" s="4">
        <f t="shared" si="42"/>
        <v>79</v>
      </c>
      <c r="D686" s="5" cm="1">
        <f t="array" aca="1" ref="D686" ca="1">OFFSET(INDIRECT("'["&amp;$H686&amp;"]"&amp;$I686&amp;"'!"&amp;$J686),$L686,$M686)*$K686</f>
        <v>6.9440000000000002E-2</v>
      </c>
      <c r="F686" s="4">
        <f t="shared" si="43"/>
        <v>7</v>
      </c>
      <c r="G686" s="4" cm="1">
        <f t="array" ref="G686">IF($C686&gt;=25,F686,IF($C686&lt;16,INDEX(Sheet1!C:C,$F686),$F686))</f>
        <v>7</v>
      </c>
      <c r="H686" s="4" t="str" cm="1">
        <f t="array" ref="H686">INDEX(Sheet1!D:D,$G686)</f>
        <v>2001-cso-preferred-class-structure-mortality-tables.xls</v>
      </c>
      <c r="I686" s="4" t="str" cm="1">
        <f t="array" ref="I686">INDEX(Sheet1!E:E,$G686)</f>
        <v>A.1.a.iv</v>
      </c>
      <c r="J686" s="4" t="str" cm="1">
        <f t="array" ref="J686">IF($C686&gt;=25,INDEX(Sheet1!G:G,$G686),INDEX(Sheet1!F:F,$G686))</f>
        <v>AA8</v>
      </c>
      <c r="K686" s="4" cm="1">
        <f t="array" ref="K686">INDEX(Sheet1!H:H,$G686)</f>
        <v>1E-3</v>
      </c>
      <c r="L686" s="4">
        <f t="shared" si="40"/>
        <v>54</v>
      </c>
      <c r="M686" s="4">
        <f t="shared" si="41"/>
        <v>0</v>
      </c>
    </row>
    <row r="687" spans="1:13">
      <c r="A687" s="4" t="str" cm="1">
        <f t="array" ref="A687">INDEX(Sheet1!A:A,$F687)</f>
        <v>M</v>
      </c>
      <c r="B687" s="4" t="str" cm="1">
        <f t="array" ref="B687">INDEX(Sheet1!B:B,$F687)</f>
        <v>Pref SM</v>
      </c>
      <c r="C687" s="4">
        <f t="shared" si="42"/>
        <v>80</v>
      </c>
      <c r="D687" s="5" cm="1">
        <f t="array" aca="1" ref="D687" ca="1">OFFSET(INDIRECT("'["&amp;$H687&amp;"]"&amp;$I687&amp;"'!"&amp;$J687),$L687,$M687)*$K687</f>
        <v>7.707E-2</v>
      </c>
      <c r="F687" s="4">
        <f t="shared" si="43"/>
        <v>7</v>
      </c>
      <c r="G687" s="4" cm="1">
        <f t="array" ref="G687">IF($C687&gt;=25,F687,IF($C687&lt;16,INDEX(Sheet1!C:C,$F687),$F687))</f>
        <v>7</v>
      </c>
      <c r="H687" s="4" t="str" cm="1">
        <f t="array" ref="H687">INDEX(Sheet1!D:D,$G687)</f>
        <v>2001-cso-preferred-class-structure-mortality-tables.xls</v>
      </c>
      <c r="I687" s="4" t="str" cm="1">
        <f t="array" ref="I687">INDEX(Sheet1!E:E,$G687)</f>
        <v>A.1.a.iv</v>
      </c>
      <c r="J687" s="4" t="str" cm="1">
        <f t="array" ref="J687">IF($C687&gt;=25,INDEX(Sheet1!G:G,$G687),INDEX(Sheet1!F:F,$G687))</f>
        <v>AA8</v>
      </c>
      <c r="K687" s="4" cm="1">
        <f t="array" ref="K687">INDEX(Sheet1!H:H,$G687)</f>
        <v>1E-3</v>
      </c>
      <c r="L687" s="4">
        <f t="shared" si="40"/>
        <v>55</v>
      </c>
      <c r="M687" s="4">
        <f t="shared" si="41"/>
        <v>0</v>
      </c>
    </row>
    <row r="688" spans="1:13">
      <c r="A688" s="4" t="str" cm="1">
        <f t="array" ref="A688">INDEX(Sheet1!A:A,$F688)</f>
        <v>M</v>
      </c>
      <c r="B688" s="4" t="str" cm="1">
        <f t="array" ref="B688">INDEX(Sheet1!B:B,$F688)</f>
        <v>Pref SM</v>
      </c>
      <c r="C688" s="4">
        <f t="shared" si="42"/>
        <v>81</v>
      </c>
      <c r="D688" s="5" cm="1">
        <f t="array" aca="1" ref="D688" ca="1">OFFSET(INDIRECT("'["&amp;$H688&amp;"]"&amp;$I688&amp;"'!"&amp;$J688),$L688,$M688)*$K688</f>
        <v>8.5690000000000002E-2</v>
      </c>
      <c r="F688" s="4">
        <f t="shared" si="43"/>
        <v>7</v>
      </c>
      <c r="G688" s="4" cm="1">
        <f t="array" ref="G688">IF($C688&gt;=25,F688,IF($C688&lt;16,INDEX(Sheet1!C:C,$F688),$F688))</f>
        <v>7</v>
      </c>
      <c r="H688" s="4" t="str" cm="1">
        <f t="array" ref="H688">INDEX(Sheet1!D:D,$G688)</f>
        <v>2001-cso-preferred-class-structure-mortality-tables.xls</v>
      </c>
      <c r="I688" s="4" t="str" cm="1">
        <f t="array" ref="I688">INDEX(Sheet1!E:E,$G688)</f>
        <v>A.1.a.iv</v>
      </c>
      <c r="J688" s="4" t="str" cm="1">
        <f t="array" ref="J688">IF($C688&gt;=25,INDEX(Sheet1!G:G,$G688),INDEX(Sheet1!F:F,$G688))</f>
        <v>AA8</v>
      </c>
      <c r="K688" s="4" cm="1">
        <f t="array" ref="K688">INDEX(Sheet1!H:H,$G688)</f>
        <v>1E-3</v>
      </c>
      <c r="L688" s="4">
        <f t="shared" si="40"/>
        <v>56</v>
      </c>
      <c r="M688" s="4">
        <f t="shared" si="41"/>
        <v>0</v>
      </c>
    </row>
    <row r="689" spans="1:13">
      <c r="A689" s="4" t="str" cm="1">
        <f t="array" ref="A689">INDEX(Sheet1!A:A,$F689)</f>
        <v>M</v>
      </c>
      <c r="B689" s="4" t="str" cm="1">
        <f t="array" ref="B689">INDEX(Sheet1!B:B,$F689)</f>
        <v>Pref SM</v>
      </c>
      <c r="C689" s="4">
        <f t="shared" si="42"/>
        <v>82</v>
      </c>
      <c r="D689" s="5" cm="1">
        <f t="array" aca="1" ref="D689" ca="1">OFFSET(INDIRECT("'["&amp;$H689&amp;"]"&amp;$I689&amp;"'!"&amp;$J689),$L689,$M689)*$K689</f>
        <v>9.4560000000000005E-2</v>
      </c>
      <c r="F689" s="4">
        <f t="shared" si="43"/>
        <v>7</v>
      </c>
      <c r="G689" s="4" cm="1">
        <f t="array" ref="G689">IF($C689&gt;=25,F689,IF($C689&lt;16,INDEX(Sheet1!C:C,$F689),$F689))</f>
        <v>7</v>
      </c>
      <c r="H689" s="4" t="str" cm="1">
        <f t="array" ref="H689">INDEX(Sheet1!D:D,$G689)</f>
        <v>2001-cso-preferred-class-structure-mortality-tables.xls</v>
      </c>
      <c r="I689" s="4" t="str" cm="1">
        <f t="array" ref="I689">INDEX(Sheet1!E:E,$G689)</f>
        <v>A.1.a.iv</v>
      </c>
      <c r="J689" s="4" t="str" cm="1">
        <f t="array" ref="J689">IF($C689&gt;=25,INDEX(Sheet1!G:G,$G689),INDEX(Sheet1!F:F,$G689))</f>
        <v>AA8</v>
      </c>
      <c r="K689" s="4" cm="1">
        <f t="array" ref="K689">INDEX(Sheet1!H:H,$G689)</f>
        <v>1E-3</v>
      </c>
      <c r="L689" s="4">
        <f t="shared" si="40"/>
        <v>57</v>
      </c>
      <c r="M689" s="4">
        <f t="shared" si="41"/>
        <v>0</v>
      </c>
    </row>
    <row r="690" spans="1:13">
      <c r="A690" s="4" t="str" cm="1">
        <f t="array" ref="A690">INDEX(Sheet1!A:A,$F690)</f>
        <v>M</v>
      </c>
      <c r="B690" s="4" t="str" cm="1">
        <f t="array" ref="B690">INDEX(Sheet1!B:B,$F690)</f>
        <v>Pref SM</v>
      </c>
      <c r="C690" s="4">
        <f t="shared" si="42"/>
        <v>83</v>
      </c>
      <c r="D690" s="5" cm="1">
        <f t="array" aca="1" ref="D690" ca="1">OFFSET(INDIRECT("'["&amp;$H690&amp;"]"&amp;$I690&amp;"'!"&amp;$J690),$L690,$M690)*$K690</f>
        <v>0.10399</v>
      </c>
      <c r="F690" s="4">
        <f t="shared" si="43"/>
        <v>7</v>
      </c>
      <c r="G690" s="4" cm="1">
        <f t="array" ref="G690">IF($C690&gt;=25,F690,IF($C690&lt;16,INDEX(Sheet1!C:C,$F690),$F690))</f>
        <v>7</v>
      </c>
      <c r="H690" s="4" t="str" cm="1">
        <f t="array" ref="H690">INDEX(Sheet1!D:D,$G690)</f>
        <v>2001-cso-preferred-class-structure-mortality-tables.xls</v>
      </c>
      <c r="I690" s="4" t="str" cm="1">
        <f t="array" ref="I690">INDEX(Sheet1!E:E,$G690)</f>
        <v>A.1.a.iv</v>
      </c>
      <c r="J690" s="4" t="str" cm="1">
        <f t="array" ref="J690">IF($C690&gt;=25,INDEX(Sheet1!G:G,$G690),INDEX(Sheet1!F:F,$G690))</f>
        <v>AA8</v>
      </c>
      <c r="K690" s="4" cm="1">
        <f t="array" ref="K690">INDEX(Sheet1!H:H,$G690)</f>
        <v>1E-3</v>
      </c>
      <c r="L690" s="4">
        <f t="shared" si="40"/>
        <v>58</v>
      </c>
      <c r="M690" s="4">
        <f t="shared" si="41"/>
        <v>0</v>
      </c>
    </row>
    <row r="691" spans="1:13">
      <c r="A691" s="4" t="str" cm="1">
        <f t="array" ref="A691">INDEX(Sheet1!A:A,$F691)</f>
        <v>M</v>
      </c>
      <c r="B691" s="4" t="str" cm="1">
        <f t="array" ref="B691">INDEX(Sheet1!B:B,$F691)</f>
        <v>Pref SM</v>
      </c>
      <c r="C691" s="4">
        <f t="shared" si="42"/>
        <v>84</v>
      </c>
      <c r="D691" s="5" cm="1">
        <f t="array" aca="1" ref="D691" ca="1">OFFSET(INDIRECT("'["&amp;$H691&amp;"]"&amp;$I691&amp;"'!"&amp;$J691),$L691,$M691)*$K691</f>
        <v>0.11434999999999999</v>
      </c>
      <c r="F691" s="4">
        <f t="shared" si="43"/>
        <v>7</v>
      </c>
      <c r="G691" s="4" cm="1">
        <f t="array" ref="G691">IF($C691&gt;=25,F691,IF($C691&lt;16,INDEX(Sheet1!C:C,$F691),$F691))</f>
        <v>7</v>
      </c>
      <c r="H691" s="4" t="str" cm="1">
        <f t="array" ref="H691">INDEX(Sheet1!D:D,$G691)</f>
        <v>2001-cso-preferred-class-structure-mortality-tables.xls</v>
      </c>
      <c r="I691" s="4" t="str" cm="1">
        <f t="array" ref="I691">INDEX(Sheet1!E:E,$G691)</f>
        <v>A.1.a.iv</v>
      </c>
      <c r="J691" s="4" t="str" cm="1">
        <f t="array" ref="J691">IF($C691&gt;=25,INDEX(Sheet1!G:G,$G691),INDEX(Sheet1!F:F,$G691))</f>
        <v>AA8</v>
      </c>
      <c r="K691" s="4" cm="1">
        <f t="array" ref="K691">INDEX(Sheet1!H:H,$G691)</f>
        <v>1E-3</v>
      </c>
      <c r="L691" s="4">
        <f t="shared" si="40"/>
        <v>59</v>
      </c>
      <c r="M691" s="4">
        <f t="shared" si="41"/>
        <v>0</v>
      </c>
    </row>
    <row r="692" spans="1:13">
      <c r="A692" s="4" t="str" cm="1">
        <f t="array" ref="A692">INDEX(Sheet1!A:A,$F692)</f>
        <v>M</v>
      </c>
      <c r="B692" s="4" t="str" cm="1">
        <f t="array" ref="B692">INDEX(Sheet1!B:B,$F692)</f>
        <v>Pref SM</v>
      </c>
      <c r="C692" s="4">
        <f t="shared" si="42"/>
        <v>85</v>
      </c>
      <c r="D692" s="5" cm="1">
        <f t="array" aca="1" ref="D692" ca="1">OFFSET(INDIRECT("'["&amp;$H692&amp;"]"&amp;$I692&amp;"'!"&amp;$J692),$L692,$M692)*$K692</f>
        <v>0.12655</v>
      </c>
      <c r="F692" s="4">
        <f t="shared" si="43"/>
        <v>7</v>
      </c>
      <c r="G692" s="4" cm="1">
        <f t="array" ref="G692">IF($C692&gt;=25,F692,IF($C692&lt;16,INDEX(Sheet1!C:C,$F692),$F692))</f>
        <v>7</v>
      </c>
      <c r="H692" s="4" t="str" cm="1">
        <f t="array" ref="H692">INDEX(Sheet1!D:D,$G692)</f>
        <v>2001-cso-preferred-class-structure-mortality-tables.xls</v>
      </c>
      <c r="I692" s="4" t="str" cm="1">
        <f t="array" ref="I692">INDEX(Sheet1!E:E,$G692)</f>
        <v>A.1.a.iv</v>
      </c>
      <c r="J692" s="4" t="str" cm="1">
        <f t="array" ref="J692">IF($C692&gt;=25,INDEX(Sheet1!G:G,$G692),INDEX(Sheet1!F:F,$G692))</f>
        <v>AA8</v>
      </c>
      <c r="K692" s="4" cm="1">
        <f t="array" ref="K692">INDEX(Sheet1!H:H,$G692)</f>
        <v>1E-3</v>
      </c>
      <c r="L692" s="4">
        <f t="shared" si="40"/>
        <v>60</v>
      </c>
      <c r="M692" s="4">
        <f t="shared" si="41"/>
        <v>0</v>
      </c>
    </row>
    <row r="693" spans="1:13">
      <c r="A693" s="4" t="str" cm="1">
        <f t="array" ref="A693">INDEX(Sheet1!A:A,$F693)</f>
        <v>M</v>
      </c>
      <c r="B693" s="4" t="str" cm="1">
        <f t="array" ref="B693">INDEX(Sheet1!B:B,$F693)</f>
        <v>Pref SM</v>
      </c>
      <c r="C693" s="4">
        <f t="shared" si="42"/>
        <v>86</v>
      </c>
      <c r="D693" s="5" cm="1">
        <f t="array" aca="1" ref="D693" ca="1">OFFSET(INDIRECT("'["&amp;$H693&amp;"]"&amp;$I693&amp;"'!"&amp;$J693),$L693,$M693)*$K693</f>
        <v>0.14004</v>
      </c>
      <c r="F693" s="4">
        <f t="shared" si="43"/>
        <v>7</v>
      </c>
      <c r="G693" s="4" cm="1">
        <f t="array" ref="G693">IF($C693&gt;=25,F693,IF($C693&lt;16,INDEX(Sheet1!C:C,$F693),$F693))</f>
        <v>7</v>
      </c>
      <c r="H693" s="4" t="str" cm="1">
        <f t="array" ref="H693">INDEX(Sheet1!D:D,$G693)</f>
        <v>2001-cso-preferred-class-structure-mortality-tables.xls</v>
      </c>
      <c r="I693" s="4" t="str" cm="1">
        <f t="array" ref="I693">INDEX(Sheet1!E:E,$G693)</f>
        <v>A.1.a.iv</v>
      </c>
      <c r="J693" s="4" t="str" cm="1">
        <f t="array" ref="J693">IF($C693&gt;=25,INDEX(Sheet1!G:G,$G693),INDEX(Sheet1!F:F,$G693))</f>
        <v>AA8</v>
      </c>
      <c r="K693" s="4" cm="1">
        <f t="array" ref="K693">INDEX(Sheet1!H:H,$G693)</f>
        <v>1E-3</v>
      </c>
      <c r="L693" s="4">
        <f t="shared" si="40"/>
        <v>61</v>
      </c>
      <c r="M693" s="4">
        <f t="shared" si="41"/>
        <v>0</v>
      </c>
    </row>
    <row r="694" spans="1:13">
      <c r="A694" s="4" t="str" cm="1">
        <f t="array" ref="A694">INDEX(Sheet1!A:A,$F694)</f>
        <v>M</v>
      </c>
      <c r="B694" s="4" t="str" cm="1">
        <f t="array" ref="B694">INDEX(Sheet1!B:B,$F694)</f>
        <v>Pref SM</v>
      </c>
      <c r="C694" s="4">
        <f t="shared" si="42"/>
        <v>87</v>
      </c>
      <c r="D694" s="5" cm="1">
        <f t="array" aca="1" ref="D694" ca="1">OFFSET(INDIRECT("'["&amp;$H694&amp;"]"&amp;$I694&amp;"'!"&amp;$J694),$L694,$M694)*$K694</f>
        <v>0.15471000000000001</v>
      </c>
      <c r="F694" s="4">
        <f t="shared" si="43"/>
        <v>7</v>
      </c>
      <c r="G694" s="4" cm="1">
        <f t="array" ref="G694">IF($C694&gt;=25,F694,IF($C694&lt;16,INDEX(Sheet1!C:C,$F694),$F694))</f>
        <v>7</v>
      </c>
      <c r="H694" s="4" t="str" cm="1">
        <f t="array" ref="H694">INDEX(Sheet1!D:D,$G694)</f>
        <v>2001-cso-preferred-class-structure-mortality-tables.xls</v>
      </c>
      <c r="I694" s="4" t="str" cm="1">
        <f t="array" ref="I694">INDEX(Sheet1!E:E,$G694)</f>
        <v>A.1.a.iv</v>
      </c>
      <c r="J694" s="4" t="str" cm="1">
        <f t="array" ref="J694">IF($C694&gt;=25,INDEX(Sheet1!G:G,$G694),INDEX(Sheet1!F:F,$G694))</f>
        <v>AA8</v>
      </c>
      <c r="K694" s="4" cm="1">
        <f t="array" ref="K694">INDEX(Sheet1!H:H,$G694)</f>
        <v>1E-3</v>
      </c>
      <c r="L694" s="4">
        <f t="shared" si="40"/>
        <v>62</v>
      </c>
      <c r="M694" s="4">
        <f t="shared" si="41"/>
        <v>0</v>
      </c>
    </row>
    <row r="695" spans="1:13">
      <c r="A695" s="4" t="str" cm="1">
        <f t="array" ref="A695">INDEX(Sheet1!A:A,$F695)</f>
        <v>M</v>
      </c>
      <c r="B695" s="4" t="str" cm="1">
        <f t="array" ref="B695">INDEX(Sheet1!B:B,$F695)</f>
        <v>Pref SM</v>
      </c>
      <c r="C695" s="4">
        <f t="shared" si="42"/>
        <v>88</v>
      </c>
      <c r="D695" s="5" cm="1">
        <f t="array" aca="1" ref="D695" ca="1">OFFSET(INDIRECT("'["&amp;$H695&amp;"]"&amp;$I695&amp;"'!"&amp;$J695),$L695,$M695)*$K695</f>
        <v>0.17035</v>
      </c>
      <c r="F695" s="4">
        <f t="shared" si="43"/>
        <v>7</v>
      </c>
      <c r="G695" s="4" cm="1">
        <f t="array" ref="G695">IF($C695&gt;=25,F695,IF($C695&lt;16,INDEX(Sheet1!C:C,$F695),$F695))</f>
        <v>7</v>
      </c>
      <c r="H695" s="4" t="str" cm="1">
        <f t="array" ref="H695">INDEX(Sheet1!D:D,$G695)</f>
        <v>2001-cso-preferred-class-structure-mortality-tables.xls</v>
      </c>
      <c r="I695" s="4" t="str" cm="1">
        <f t="array" ref="I695">INDEX(Sheet1!E:E,$G695)</f>
        <v>A.1.a.iv</v>
      </c>
      <c r="J695" s="4" t="str" cm="1">
        <f t="array" ref="J695">IF($C695&gt;=25,INDEX(Sheet1!G:G,$G695),INDEX(Sheet1!F:F,$G695))</f>
        <v>AA8</v>
      </c>
      <c r="K695" s="4" cm="1">
        <f t="array" ref="K695">INDEX(Sheet1!H:H,$G695)</f>
        <v>1E-3</v>
      </c>
      <c r="L695" s="4">
        <f t="shared" si="40"/>
        <v>63</v>
      </c>
      <c r="M695" s="4">
        <f t="shared" si="41"/>
        <v>0</v>
      </c>
    </row>
    <row r="696" spans="1:13">
      <c r="A696" s="4" t="str" cm="1">
        <f t="array" ref="A696">INDEX(Sheet1!A:A,$F696)</f>
        <v>M</v>
      </c>
      <c r="B696" s="4" t="str" cm="1">
        <f t="array" ref="B696">INDEX(Sheet1!B:B,$F696)</f>
        <v>Pref SM</v>
      </c>
      <c r="C696" s="4">
        <f t="shared" si="42"/>
        <v>89</v>
      </c>
      <c r="D696" s="5" cm="1">
        <f t="array" aca="1" ref="D696" ca="1">OFFSET(INDIRECT("'["&amp;$H696&amp;"]"&amp;$I696&amp;"'!"&amp;$J696),$L696,$M696)*$K696</f>
        <v>0.18678</v>
      </c>
      <c r="F696" s="4">
        <f t="shared" si="43"/>
        <v>7</v>
      </c>
      <c r="G696" s="4" cm="1">
        <f t="array" ref="G696">IF($C696&gt;=25,F696,IF($C696&lt;16,INDEX(Sheet1!C:C,$F696),$F696))</f>
        <v>7</v>
      </c>
      <c r="H696" s="4" t="str" cm="1">
        <f t="array" ref="H696">INDEX(Sheet1!D:D,$G696)</f>
        <v>2001-cso-preferred-class-structure-mortality-tables.xls</v>
      </c>
      <c r="I696" s="4" t="str" cm="1">
        <f t="array" ref="I696">INDEX(Sheet1!E:E,$G696)</f>
        <v>A.1.a.iv</v>
      </c>
      <c r="J696" s="4" t="str" cm="1">
        <f t="array" ref="J696">IF($C696&gt;=25,INDEX(Sheet1!G:G,$G696),INDEX(Sheet1!F:F,$G696))</f>
        <v>AA8</v>
      </c>
      <c r="K696" s="4" cm="1">
        <f t="array" ref="K696">INDEX(Sheet1!H:H,$G696)</f>
        <v>1E-3</v>
      </c>
      <c r="L696" s="4">
        <f t="shared" si="40"/>
        <v>64</v>
      </c>
      <c r="M696" s="4">
        <f t="shared" si="41"/>
        <v>0</v>
      </c>
    </row>
    <row r="697" spans="1:13">
      <c r="A697" s="4" t="str" cm="1">
        <f t="array" ref="A697">INDEX(Sheet1!A:A,$F697)</f>
        <v>M</v>
      </c>
      <c r="B697" s="4" t="str" cm="1">
        <f t="array" ref="B697">INDEX(Sheet1!B:B,$F697)</f>
        <v>Pref SM</v>
      </c>
      <c r="C697" s="4">
        <f t="shared" si="42"/>
        <v>90</v>
      </c>
      <c r="D697" s="5" cm="1">
        <f t="array" aca="1" ref="D697" ca="1">OFFSET(INDIRECT("'["&amp;$H697&amp;"]"&amp;$I697&amp;"'!"&amp;$J697),$L697,$M697)*$K697</f>
        <v>0.20379</v>
      </c>
      <c r="F697" s="4">
        <f t="shared" si="43"/>
        <v>7</v>
      </c>
      <c r="G697" s="4" cm="1">
        <f t="array" ref="G697">IF($C697&gt;=25,F697,IF($C697&lt;16,INDEX(Sheet1!C:C,$F697),$F697))</f>
        <v>7</v>
      </c>
      <c r="H697" s="4" t="str" cm="1">
        <f t="array" ref="H697">INDEX(Sheet1!D:D,$G697)</f>
        <v>2001-cso-preferred-class-structure-mortality-tables.xls</v>
      </c>
      <c r="I697" s="4" t="str" cm="1">
        <f t="array" ref="I697">INDEX(Sheet1!E:E,$G697)</f>
        <v>A.1.a.iv</v>
      </c>
      <c r="J697" s="4" t="str" cm="1">
        <f t="array" ref="J697">IF($C697&gt;=25,INDEX(Sheet1!G:G,$G697),INDEX(Sheet1!F:F,$G697))</f>
        <v>AA8</v>
      </c>
      <c r="K697" s="4" cm="1">
        <f t="array" ref="K697">INDEX(Sheet1!H:H,$G697)</f>
        <v>1E-3</v>
      </c>
      <c r="L697" s="4">
        <f t="shared" si="40"/>
        <v>65</v>
      </c>
      <c r="M697" s="4">
        <f t="shared" si="41"/>
        <v>0</v>
      </c>
    </row>
    <row r="698" spans="1:13">
      <c r="A698" s="4" t="str" cm="1">
        <f t="array" ref="A698">INDEX(Sheet1!A:A,$F698)</f>
        <v>M</v>
      </c>
      <c r="B698" s="4" t="str" cm="1">
        <f t="array" ref="B698">INDEX(Sheet1!B:B,$F698)</f>
        <v>Pref SM</v>
      </c>
      <c r="C698" s="4">
        <f t="shared" si="42"/>
        <v>91</v>
      </c>
      <c r="D698" s="5" cm="1">
        <f t="array" aca="1" ref="D698" ca="1">OFFSET(INDIRECT("'["&amp;$H698&amp;"]"&amp;$I698&amp;"'!"&amp;$J698),$L698,$M698)*$K698</f>
        <v>0.21964</v>
      </c>
      <c r="F698" s="4">
        <f t="shared" si="43"/>
        <v>7</v>
      </c>
      <c r="G698" s="4" cm="1">
        <f t="array" ref="G698">IF($C698&gt;=25,F698,IF($C698&lt;16,INDEX(Sheet1!C:C,$F698),$F698))</f>
        <v>7</v>
      </c>
      <c r="H698" s="4" t="str" cm="1">
        <f t="array" ref="H698">INDEX(Sheet1!D:D,$G698)</f>
        <v>2001-cso-preferred-class-structure-mortality-tables.xls</v>
      </c>
      <c r="I698" s="4" t="str" cm="1">
        <f t="array" ref="I698">INDEX(Sheet1!E:E,$G698)</f>
        <v>A.1.a.iv</v>
      </c>
      <c r="J698" s="4" t="str" cm="1">
        <f t="array" ref="J698">IF($C698&gt;=25,INDEX(Sheet1!G:G,$G698),INDEX(Sheet1!F:F,$G698))</f>
        <v>AA8</v>
      </c>
      <c r="K698" s="4" cm="1">
        <f t="array" ref="K698">INDEX(Sheet1!H:H,$G698)</f>
        <v>1E-3</v>
      </c>
      <c r="L698" s="4">
        <f t="shared" si="40"/>
        <v>66</v>
      </c>
      <c r="M698" s="4">
        <f t="shared" si="41"/>
        <v>0</v>
      </c>
    </row>
    <row r="699" spans="1:13">
      <c r="A699" s="4" t="str" cm="1">
        <f t="array" ref="A699">INDEX(Sheet1!A:A,$F699)</f>
        <v>M</v>
      </c>
      <c r="B699" s="4" t="str" cm="1">
        <f t="array" ref="B699">INDEX(Sheet1!B:B,$F699)</f>
        <v>Pref SM</v>
      </c>
      <c r="C699" s="4">
        <f t="shared" si="42"/>
        <v>92</v>
      </c>
      <c r="D699" s="5" cm="1">
        <f t="array" aca="1" ref="D699" ca="1">OFFSET(INDIRECT("'["&amp;$H699&amp;"]"&amp;$I699&amp;"'!"&amp;$J699),$L699,$M699)*$K699</f>
        <v>0.23604</v>
      </c>
      <c r="F699" s="4">
        <f t="shared" si="43"/>
        <v>7</v>
      </c>
      <c r="G699" s="4" cm="1">
        <f t="array" ref="G699">IF($C699&gt;=25,F699,IF($C699&lt;16,INDEX(Sheet1!C:C,$F699),$F699))</f>
        <v>7</v>
      </c>
      <c r="H699" s="4" t="str" cm="1">
        <f t="array" ref="H699">INDEX(Sheet1!D:D,$G699)</f>
        <v>2001-cso-preferred-class-structure-mortality-tables.xls</v>
      </c>
      <c r="I699" s="4" t="str" cm="1">
        <f t="array" ref="I699">INDEX(Sheet1!E:E,$G699)</f>
        <v>A.1.a.iv</v>
      </c>
      <c r="J699" s="4" t="str" cm="1">
        <f t="array" ref="J699">IF($C699&gt;=25,INDEX(Sheet1!G:G,$G699),INDEX(Sheet1!F:F,$G699))</f>
        <v>AA8</v>
      </c>
      <c r="K699" s="4" cm="1">
        <f t="array" ref="K699">INDEX(Sheet1!H:H,$G699)</f>
        <v>1E-3</v>
      </c>
      <c r="L699" s="4">
        <f t="shared" si="40"/>
        <v>67</v>
      </c>
      <c r="M699" s="4">
        <f t="shared" si="41"/>
        <v>0</v>
      </c>
    </row>
    <row r="700" spans="1:13">
      <c r="A700" s="4" t="str" cm="1">
        <f t="array" ref="A700">INDEX(Sheet1!A:A,$F700)</f>
        <v>M</v>
      </c>
      <c r="B700" s="4" t="str" cm="1">
        <f t="array" ref="B700">INDEX(Sheet1!B:B,$F700)</f>
        <v>Pref SM</v>
      </c>
      <c r="C700" s="4">
        <f t="shared" si="42"/>
        <v>93</v>
      </c>
      <c r="D700" s="5" cm="1">
        <f t="array" aca="1" ref="D700" ca="1">OFFSET(INDIRECT("'["&amp;$H700&amp;"]"&amp;$I700&amp;"'!"&amp;$J700),$L700,$M700)*$K700</f>
        <v>0.25319000000000003</v>
      </c>
      <c r="F700" s="4">
        <f t="shared" si="43"/>
        <v>7</v>
      </c>
      <c r="G700" s="4" cm="1">
        <f t="array" ref="G700">IF($C700&gt;=25,F700,IF($C700&lt;16,INDEX(Sheet1!C:C,$F700),$F700))</f>
        <v>7</v>
      </c>
      <c r="H700" s="4" t="str" cm="1">
        <f t="array" ref="H700">INDEX(Sheet1!D:D,$G700)</f>
        <v>2001-cso-preferred-class-structure-mortality-tables.xls</v>
      </c>
      <c r="I700" s="4" t="str" cm="1">
        <f t="array" ref="I700">INDEX(Sheet1!E:E,$G700)</f>
        <v>A.1.a.iv</v>
      </c>
      <c r="J700" s="4" t="str" cm="1">
        <f t="array" ref="J700">IF($C700&gt;=25,INDEX(Sheet1!G:G,$G700),INDEX(Sheet1!F:F,$G700))</f>
        <v>AA8</v>
      </c>
      <c r="K700" s="4" cm="1">
        <f t="array" ref="K700">INDEX(Sheet1!H:H,$G700)</f>
        <v>1E-3</v>
      </c>
      <c r="L700" s="4">
        <f t="shared" si="40"/>
        <v>68</v>
      </c>
      <c r="M700" s="4">
        <f t="shared" si="41"/>
        <v>0</v>
      </c>
    </row>
    <row r="701" spans="1:13">
      <c r="A701" s="4" t="str" cm="1">
        <f t="array" ref="A701">INDEX(Sheet1!A:A,$F701)</f>
        <v>M</v>
      </c>
      <c r="B701" s="4" t="str" cm="1">
        <f t="array" ref="B701">INDEX(Sheet1!B:B,$F701)</f>
        <v>Pref SM</v>
      </c>
      <c r="C701" s="4">
        <f t="shared" si="42"/>
        <v>94</v>
      </c>
      <c r="D701" s="5" cm="1">
        <f t="array" aca="1" ref="D701" ca="1">OFFSET(INDIRECT("'["&amp;$H701&amp;"]"&amp;$I701&amp;"'!"&amp;$J701),$L701,$M701)*$K701</f>
        <v>0.27116000000000001</v>
      </c>
      <c r="F701" s="4">
        <f t="shared" si="43"/>
        <v>7</v>
      </c>
      <c r="G701" s="4" cm="1">
        <f t="array" ref="G701">IF($C701&gt;=25,F701,IF($C701&lt;16,INDEX(Sheet1!C:C,$F701),$F701))</f>
        <v>7</v>
      </c>
      <c r="H701" s="4" t="str" cm="1">
        <f t="array" ref="H701">INDEX(Sheet1!D:D,$G701)</f>
        <v>2001-cso-preferred-class-structure-mortality-tables.xls</v>
      </c>
      <c r="I701" s="4" t="str" cm="1">
        <f t="array" ref="I701">INDEX(Sheet1!E:E,$G701)</f>
        <v>A.1.a.iv</v>
      </c>
      <c r="J701" s="4" t="str" cm="1">
        <f t="array" ref="J701">IF($C701&gt;=25,INDEX(Sheet1!G:G,$G701),INDEX(Sheet1!F:F,$G701))</f>
        <v>AA8</v>
      </c>
      <c r="K701" s="4" cm="1">
        <f t="array" ref="K701">INDEX(Sheet1!H:H,$G701)</f>
        <v>1E-3</v>
      </c>
      <c r="L701" s="4">
        <f t="shared" si="40"/>
        <v>69</v>
      </c>
      <c r="M701" s="4">
        <f t="shared" si="41"/>
        <v>0</v>
      </c>
    </row>
    <row r="702" spans="1:13">
      <c r="A702" s="4" t="str" cm="1">
        <f t="array" ref="A702">INDEX(Sheet1!A:A,$F702)</f>
        <v>M</v>
      </c>
      <c r="B702" s="4" t="str" cm="1">
        <f t="array" ref="B702">INDEX(Sheet1!B:B,$F702)</f>
        <v>Pref SM</v>
      </c>
      <c r="C702" s="4">
        <f t="shared" si="42"/>
        <v>95</v>
      </c>
      <c r="D702" s="5" cm="1">
        <f t="array" aca="1" ref="D702" ca="1">OFFSET(INDIRECT("'["&amp;$H702&amp;"]"&amp;$I702&amp;"'!"&amp;$J702),$L702,$M702)*$K702</f>
        <v>0.29105000000000003</v>
      </c>
      <c r="F702" s="4">
        <f t="shared" si="43"/>
        <v>7</v>
      </c>
      <c r="G702" s="4" cm="1">
        <f t="array" ref="G702">IF($C702&gt;=25,F702,IF($C702&lt;16,INDEX(Sheet1!C:C,$F702),$F702))</f>
        <v>7</v>
      </c>
      <c r="H702" s="4" t="str" cm="1">
        <f t="array" ref="H702">INDEX(Sheet1!D:D,$G702)</f>
        <v>2001-cso-preferred-class-structure-mortality-tables.xls</v>
      </c>
      <c r="I702" s="4" t="str" cm="1">
        <f t="array" ref="I702">INDEX(Sheet1!E:E,$G702)</f>
        <v>A.1.a.iv</v>
      </c>
      <c r="J702" s="4" t="str" cm="1">
        <f t="array" ref="J702">IF($C702&gt;=25,INDEX(Sheet1!G:G,$G702),INDEX(Sheet1!F:F,$G702))</f>
        <v>AA8</v>
      </c>
      <c r="K702" s="4" cm="1">
        <f t="array" ref="K702">INDEX(Sheet1!H:H,$G702)</f>
        <v>1E-3</v>
      </c>
      <c r="L702" s="4">
        <f t="shared" si="40"/>
        <v>70</v>
      </c>
      <c r="M702" s="4">
        <f t="shared" si="41"/>
        <v>0</v>
      </c>
    </row>
    <row r="703" spans="1:13">
      <c r="A703" s="4" t="str" cm="1">
        <f t="array" ref="A703">INDEX(Sheet1!A:A,$F703)</f>
        <v>M</v>
      </c>
      <c r="B703" s="4" t="str" cm="1">
        <f t="array" ref="B703">INDEX(Sheet1!B:B,$F703)</f>
        <v>Pref SM</v>
      </c>
      <c r="C703" s="4">
        <f t="shared" si="42"/>
        <v>96</v>
      </c>
      <c r="D703" s="5" cm="1">
        <f t="array" aca="1" ref="D703" ca="1">OFFSET(INDIRECT("'["&amp;$H703&amp;"]"&amp;$I703&amp;"'!"&amp;$J703),$L703,$M703)*$K703</f>
        <v>0.30632999999999999</v>
      </c>
      <c r="F703" s="4">
        <f t="shared" si="43"/>
        <v>7</v>
      </c>
      <c r="G703" s="4" cm="1">
        <f t="array" ref="G703">IF($C703&gt;=25,F703,IF($C703&lt;16,INDEX(Sheet1!C:C,$F703),$F703))</f>
        <v>7</v>
      </c>
      <c r="H703" s="4" t="str" cm="1">
        <f t="array" ref="H703">INDEX(Sheet1!D:D,$G703)</f>
        <v>2001-cso-preferred-class-structure-mortality-tables.xls</v>
      </c>
      <c r="I703" s="4" t="str" cm="1">
        <f t="array" ref="I703">INDEX(Sheet1!E:E,$G703)</f>
        <v>A.1.a.iv</v>
      </c>
      <c r="J703" s="4" t="str" cm="1">
        <f t="array" ref="J703">IF($C703&gt;=25,INDEX(Sheet1!G:G,$G703),INDEX(Sheet1!F:F,$G703))</f>
        <v>AA8</v>
      </c>
      <c r="K703" s="4" cm="1">
        <f t="array" ref="K703">INDEX(Sheet1!H:H,$G703)</f>
        <v>1E-3</v>
      </c>
      <c r="L703" s="4">
        <f t="shared" si="40"/>
        <v>71</v>
      </c>
      <c r="M703" s="4">
        <f t="shared" si="41"/>
        <v>0</v>
      </c>
    </row>
    <row r="704" spans="1:13">
      <c r="A704" s="4" t="str" cm="1">
        <f t="array" ref="A704">INDEX(Sheet1!A:A,$F704)</f>
        <v>M</v>
      </c>
      <c r="B704" s="4" t="str" cm="1">
        <f t="array" ref="B704">INDEX(Sheet1!B:B,$F704)</f>
        <v>Pref SM</v>
      </c>
      <c r="C704" s="4">
        <f t="shared" si="42"/>
        <v>97</v>
      </c>
      <c r="D704" s="5" cm="1">
        <f t="array" aca="1" ref="D704" ca="1">OFFSET(INDIRECT("'["&amp;$H704&amp;"]"&amp;$I704&amp;"'!"&amp;$J704),$L704,$M704)*$K704</f>
        <v>0.32244</v>
      </c>
      <c r="F704" s="4">
        <f t="shared" si="43"/>
        <v>7</v>
      </c>
      <c r="G704" s="4" cm="1">
        <f t="array" ref="G704">IF($C704&gt;=25,F704,IF($C704&lt;16,INDEX(Sheet1!C:C,$F704),$F704))</f>
        <v>7</v>
      </c>
      <c r="H704" s="4" t="str" cm="1">
        <f t="array" ref="H704">INDEX(Sheet1!D:D,$G704)</f>
        <v>2001-cso-preferred-class-structure-mortality-tables.xls</v>
      </c>
      <c r="I704" s="4" t="str" cm="1">
        <f t="array" ref="I704">INDEX(Sheet1!E:E,$G704)</f>
        <v>A.1.a.iv</v>
      </c>
      <c r="J704" s="4" t="str" cm="1">
        <f t="array" ref="J704">IF($C704&gt;=25,INDEX(Sheet1!G:G,$G704),INDEX(Sheet1!F:F,$G704))</f>
        <v>AA8</v>
      </c>
      <c r="K704" s="4" cm="1">
        <f t="array" ref="K704">INDEX(Sheet1!H:H,$G704)</f>
        <v>1E-3</v>
      </c>
      <c r="L704" s="4">
        <f t="shared" si="40"/>
        <v>72</v>
      </c>
      <c r="M704" s="4">
        <f t="shared" si="41"/>
        <v>0</v>
      </c>
    </row>
    <row r="705" spans="1:13">
      <c r="A705" s="4" t="str" cm="1">
        <f t="array" ref="A705">INDEX(Sheet1!A:A,$F705)</f>
        <v>M</v>
      </c>
      <c r="B705" s="4" t="str" cm="1">
        <f t="array" ref="B705">INDEX(Sheet1!B:B,$F705)</f>
        <v>Pref SM</v>
      </c>
      <c r="C705" s="4">
        <f t="shared" si="42"/>
        <v>98</v>
      </c>
      <c r="D705" s="5" cm="1">
        <f t="array" aca="1" ref="D705" ca="1">OFFSET(INDIRECT("'["&amp;$H705&amp;"]"&amp;$I705&amp;"'!"&amp;$J705),$L705,$M705)*$K705</f>
        <v>0.33944999999999997</v>
      </c>
      <c r="F705" s="4">
        <f t="shared" si="43"/>
        <v>7</v>
      </c>
      <c r="G705" s="4" cm="1">
        <f t="array" ref="G705">IF($C705&gt;=25,F705,IF($C705&lt;16,INDEX(Sheet1!C:C,$F705),$F705))</f>
        <v>7</v>
      </c>
      <c r="H705" s="4" t="str" cm="1">
        <f t="array" ref="H705">INDEX(Sheet1!D:D,$G705)</f>
        <v>2001-cso-preferred-class-structure-mortality-tables.xls</v>
      </c>
      <c r="I705" s="4" t="str" cm="1">
        <f t="array" ref="I705">INDEX(Sheet1!E:E,$G705)</f>
        <v>A.1.a.iv</v>
      </c>
      <c r="J705" s="4" t="str" cm="1">
        <f t="array" ref="J705">IF($C705&gt;=25,INDEX(Sheet1!G:G,$G705),INDEX(Sheet1!F:F,$G705))</f>
        <v>AA8</v>
      </c>
      <c r="K705" s="4" cm="1">
        <f t="array" ref="K705">INDEX(Sheet1!H:H,$G705)</f>
        <v>1E-3</v>
      </c>
      <c r="L705" s="4">
        <f t="shared" si="40"/>
        <v>73</v>
      </c>
      <c r="M705" s="4">
        <f t="shared" si="41"/>
        <v>0</v>
      </c>
    </row>
    <row r="706" spans="1:13">
      <c r="A706" s="4" t="str" cm="1">
        <f t="array" ref="A706">INDEX(Sheet1!A:A,$F706)</f>
        <v>M</v>
      </c>
      <c r="B706" s="4" t="str" cm="1">
        <f t="array" ref="B706">INDEX(Sheet1!B:B,$F706)</f>
        <v>Pref SM</v>
      </c>
      <c r="C706" s="4">
        <f t="shared" si="42"/>
        <v>99</v>
      </c>
      <c r="D706" s="5" cm="1">
        <f t="array" aca="1" ref="D706" ca="1">OFFSET(INDIRECT("'["&amp;$H706&amp;"]"&amp;$I706&amp;"'!"&amp;$J706),$L706,$M706)*$K706</f>
        <v>0.35742000000000002</v>
      </c>
      <c r="F706" s="4">
        <f t="shared" si="43"/>
        <v>7</v>
      </c>
      <c r="G706" s="4" cm="1">
        <f t="array" ref="G706">IF($C706&gt;=25,F706,IF($C706&lt;16,INDEX(Sheet1!C:C,$F706),$F706))</f>
        <v>7</v>
      </c>
      <c r="H706" s="4" t="str" cm="1">
        <f t="array" ref="H706">INDEX(Sheet1!D:D,$G706)</f>
        <v>2001-cso-preferred-class-structure-mortality-tables.xls</v>
      </c>
      <c r="I706" s="4" t="str" cm="1">
        <f t="array" ref="I706">INDEX(Sheet1!E:E,$G706)</f>
        <v>A.1.a.iv</v>
      </c>
      <c r="J706" s="4" t="str" cm="1">
        <f t="array" ref="J706">IF($C706&gt;=25,INDEX(Sheet1!G:G,$G706),INDEX(Sheet1!F:F,$G706))</f>
        <v>AA8</v>
      </c>
      <c r="K706" s="4" cm="1">
        <f t="array" ref="K706">INDEX(Sheet1!H:H,$G706)</f>
        <v>1E-3</v>
      </c>
      <c r="L706" s="4">
        <f t="shared" si="40"/>
        <v>74</v>
      </c>
      <c r="M706" s="4">
        <f t="shared" si="41"/>
        <v>0</v>
      </c>
    </row>
    <row r="707" spans="1:13">
      <c r="A707" s="4" t="str" cm="1">
        <f t="array" ref="A707">INDEX(Sheet1!A:A,$F707)</f>
        <v>M</v>
      </c>
      <c r="B707" s="4" t="str" cm="1">
        <f t="array" ref="B707">INDEX(Sheet1!B:B,$F707)</f>
        <v>Pref SM</v>
      </c>
      <c r="C707" s="4">
        <f t="shared" si="42"/>
        <v>100</v>
      </c>
      <c r="D707" s="5" cm="1">
        <f t="array" aca="1" ref="D707" ca="1">OFFSET(INDIRECT("'["&amp;$H707&amp;"]"&amp;$I707&amp;"'!"&amp;$J707),$L707,$M707)*$K707</f>
        <v>0.37640000000000001</v>
      </c>
      <c r="F707" s="4">
        <f t="shared" si="43"/>
        <v>7</v>
      </c>
      <c r="G707" s="4" cm="1">
        <f t="array" ref="G707">IF($C707&gt;=25,F707,IF($C707&lt;16,INDEX(Sheet1!C:C,$F707),$F707))</f>
        <v>7</v>
      </c>
      <c r="H707" s="4" t="str" cm="1">
        <f t="array" ref="H707">INDEX(Sheet1!D:D,$G707)</f>
        <v>2001-cso-preferred-class-structure-mortality-tables.xls</v>
      </c>
      <c r="I707" s="4" t="str" cm="1">
        <f t="array" ref="I707">INDEX(Sheet1!E:E,$G707)</f>
        <v>A.1.a.iv</v>
      </c>
      <c r="J707" s="4" t="str" cm="1">
        <f t="array" ref="J707">IF($C707&gt;=25,INDEX(Sheet1!G:G,$G707),INDEX(Sheet1!F:F,$G707))</f>
        <v>AA8</v>
      </c>
      <c r="K707" s="4" cm="1">
        <f t="array" ref="K707">INDEX(Sheet1!H:H,$G707)</f>
        <v>1E-3</v>
      </c>
      <c r="L707" s="4">
        <f t="shared" ref="L707:L770" si="44">IF($C707&gt;=25,$C707-25,0)</f>
        <v>75</v>
      </c>
      <c r="M707" s="4">
        <f t="shared" ref="M707:M770" si="45">IF($C707&gt;=25,0,$C707)</f>
        <v>0</v>
      </c>
    </row>
    <row r="708" spans="1:13">
      <c r="A708" s="4" t="str" cm="1">
        <f t="array" ref="A708">INDEX(Sheet1!A:A,$F708)</f>
        <v>M</v>
      </c>
      <c r="B708" s="4" t="str" cm="1">
        <f t="array" ref="B708">INDEX(Sheet1!B:B,$F708)</f>
        <v>Pref SM</v>
      </c>
      <c r="C708" s="4">
        <f t="shared" ref="C708:C771" si="46">IF(C707=120,0,C707+1)</f>
        <v>101</v>
      </c>
      <c r="D708" s="5" cm="1">
        <f t="array" aca="1" ref="D708" ca="1">OFFSET(INDIRECT("'["&amp;$H708&amp;"]"&amp;$I708&amp;"'!"&amp;$J708),$L708,$M708)*$K708</f>
        <v>0.39077000000000001</v>
      </c>
      <c r="F708" s="4">
        <f t="shared" ref="F708:F771" si="47">IF(C708=0,1,0)+F707</f>
        <v>7</v>
      </c>
      <c r="G708" s="4" cm="1">
        <f t="array" ref="G708">IF($C708&gt;=25,F708,IF($C708&lt;16,INDEX(Sheet1!C:C,$F708),$F708))</f>
        <v>7</v>
      </c>
      <c r="H708" s="4" t="str" cm="1">
        <f t="array" ref="H708">INDEX(Sheet1!D:D,$G708)</f>
        <v>2001-cso-preferred-class-structure-mortality-tables.xls</v>
      </c>
      <c r="I708" s="4" t="str" cm="1">
        <f t="array" ref="I708">INDEX(Sheet1!E:E,$G708)</f>
        <v>A.1.a.iv</v>
      </c>
      <c r="J708" s="4" t="str" cm="1">
        <f t="array" ref="J708">IF($C708&gt;=25,INDEX(Sheet1!G:G,$G708),INDEX(Sheet1!F:F,$G708))</f>
        <v>AA8</v>
      </c>
      <c r="K708" s="4" cm="1">
        <f t="array" ref="K708">INDEX(Sheet1!H:H,$G708)</f>
        <v>1E-3</v>
      </c>
      <c r="L708" s="4">
        <f t="shared" si="44"/>
        <v>76</v>
      </c>
      <c r="M708" s="4">
        <f t="shared" si="45"/>
        <v>0</v>
      </c>
    </row>
    <row r="709" spans="1:13">
      <c r="A709" s="4" t="str" cm="1">
        <f t="array" ref="A709">INDEX(Sheet1!A:A,$F709)</f>
        <v>M</v>
      </c>
      <c r="B709" s="4" t="str" cm="1">
        <f t="array" ref="B709">INDEX(Sheet1!B:B,$F709)</f>
        <v>Pref SM</v>
      </c>
      <c r="C709" s="4">
        <f t="shared" si="46"/>
        <v>102</v>
      </c>
      <c r="D709" s="5" cm="1">
        <f t="array" aca="1" ref="D709" ca="1">OFFSET(INDIRECT("'["&amp;$H709&amp;"]"&amp;$I709&amp;"'!"&amp;$J709),$L709,$M709)*$K709</f>
        <v>0.40592</v>
      </c>
      <c r="F709" s="4">
        <f t="shared" si="47"/>
        <v>7</v>
      </c>
      <c r="G709" s="4" cm="1">
        <f t="array" ref="G709">IF($C709&gt;=25,F709,IF($C709&lt;16,INDEX(Sheet1!C:C,$F709),$F709))</f>
        <v>7</v>
      </c>
      <c r="H709" s="4" t="str" cm="1">
        <f t="array" ref="H709">INDEX(Sheet1!D:D,$G709)</f>
        <v>2001-cso-preferred-class-structure-mortality-tables.xls</v>
      </c>
      <c r="I709" s="4" t="str" cm="1">
        <f t="array" ref="I709">INDEX(Sheet1!E:E,$G709)</f>
        <v>A.1.a.iv</v>
      </c>
      <c r="J709" s="4" t="str" cm="1">
        <f t="array" ref="J709">IF($C709&gt;=25,INDEX(Sheet1!G:G,$G709),INDEX(Sheet1!F:F,$G709))</f>
        <v>AA8</v>
      </c>
      <c r="K709" s="4" cm="1">
        <f t="array" ref="K709">INDEX(Sheet1!H:H,$G709)</f>
        <v>1E-3</v>
      </c>
      <c r="L709" s="4">
        <f t="shared" si="44"/>
        <v>77</v>
      </c>
      <c r="M709" s="4">
        <f t="shared" si="45"/>
        <v>0</v>
      </c>
    </row>
    <row r="710" spans="1:13">
      <c r="A710" s="4" t="str" cm="1">
        <f t="array" ref="A710">INDEX(Sheet1!A:A,$F710)</f>
        <v>M</v>
      </c>
      <c r="B710" s="4" t="str" cm="1">
        <f t="array" ref="B710">INDEX(Sheet1!B:B,$F710)</f>
        <v>Pref SM</v>
      </c>
      <c r="C710" s="4">
        <f t="shared" si="46"/>
        <v>103</v>
      </c>
      <c r="D710" s="5" cm="1">
        <f t="array" aca="1" ref="D710" ca="1">OFFSET(INDIRECT("'["&amp;$H710&amp;"]"&amp;$I710&amp;"'!"&amp;$J710),$L710,$M710)*$K710</f>
        <v>0.42182999999999998</v>
      </c>
      <c r="F710" s="4">
        <f t="shared" si="47"/>
        <v>7</v>
      </c>
      <c r="G710" s="4" cm="1">
        <f t="array" ref="G710">IF($C710&gt;=25,F710,IF($C710&lt;16,INDEX(Sheet1!C:C,$F710),$F710))</f>
        <v>7</v>
      </c>
      <c r="H710" s="4" t="str" cm="1">
        <f t="array" ref="H710">INDEX(Sheet1!D:D,$G710)</f>
        <v>2001-cso-preferred-class-structure-mortality-tables.xls</v>
      </c>
      <c r="I710" s="4" t="str" cm="1">
        <f t="array" ref="I710">INDEX(Sheet1!E:E,$G710)</f>
        <v>A.1.a.iv</v>
      </c>
      <c r="J710" s="4" t="str" cm="1">
        <f t="array" ref="J710">IF($C710&gt;=25,INDEX(Sheet1!G:G,$G710),INDEX(Sheet1!F:F,$G710))</f>
        <v>AA8</v>
      </c>
      <c r="K710" s="4" cm="1">
        <f t="array" ref="K710">INDEX(Sheet1!H:H,$G710)</f>
        <v>1E-3</v>
      </c>
      <c r="L710" s="4">
        <f t="shared" si="44"/>
        <v>78</v>
      </c>
      <c r="M710" s="4">
        <f t="shared" si="45"/>
        <v>0</v>
      </c>
    </row>
    <row r="711" spans="1:13">
      <c r="A711" s="4" t="str" cm="1">
        <f t="array" ref="A711">INDEX(Sheet1!A:A,$F711)</f>
        <v>M</v>
      </c>
      <c r="B711" s="4" t="str" cm="1">
        <f t="array" ref="B711">INDEX(Sheet1!B:B,$F711)</f>
        <v>Pref SM</v>
      </c>
      <c r="C711" s="4">
        <f t="shared" si="46"/>
        <v>104</v>
      </c>
      <c r="D711" s="5" cm="1">
        <f t="array" aca="1" ref="D711" ca="1">OFFSET(INDIRECT("'["&amp;$H711&amp;"]"&amp;$I711&amp;"'!"&amp;$J711),$L711,$M711)*$K711</f>
        <v>0.43857000000000002</v>
      </c>
      <c r="F711" s="4">
        <f t="shared" si="47"/>
        <v>7</v>
      </c>
      <c r="G711" s="4" cm="1">
        <f t="array" ref="G711">IF($C711&gt;=25,F711,IF($C711&lt;16,INDEX(Sheet1!C:C,$F711),$F711))</f>
        <v>7</v>
      </c>
      <c r="H711" s="4" t="str" cm="1">
        <f t="array" ref="H711">INDEX(Sheet1!D:D,$G711)</f>
        <v>2001-cso-preferred-class-structure-mortality-tables.xls</v>
      </c>
      <c r="I711" s="4" t="str" cm="1">
        <f t="array" ref="I711">INDEX(Sheet1!E:E,$G711)</f>
        <v>A.1.a.iv</v>
      </c>
      <c r="J711" s="4" t="str" cm="1">
        <f t="array" ref="J711">IF($C711&gt;=25,INDEX(Sheet1!G:G,$G711),INDEX(Sheet1!F:F,$G711))</f>
        <v>AA8</v>
      </c>
      <c r="K711" s="4" cm="1">
        <f t="array" ref="K711">INDEX(Sheet1!H:H,$G711)</f>
        <v>1E-3</v>
      </c>
      <c r="L711" s="4">
        <f t="shared" si="44"/>
        <v>79</v>
      </c>
      <c r="M711" s="4">
        <f t="shared" si="45"/>
        <v>0</v>
      </c>
    </row>
    <row r="712" spans="1:13">
      <c r="A712" s="4" t="str" cm="1">
        <f t="array" ref="A712">INDEX(Sheet1!A:A,$F712)</f>
        <v>M</v>
      </c>
      <c r="B712" s="4" t="str" cm="1">
        <f t="array" ref="B712">INDEX(Sheet1!B:B,$F712)</f>
        <v>Pref SM</v>
      </c>
      <c r="C712" s="4">
        <f t="shared" si="46"/>
        <v>105</v>
      </c>
      <c r="D712" s="5" cm="1">
        <f t="array" aca="1" ref="D712" ca="1">OFFSET(INDIRECT("'["&amp;$H712&amp;"]"&amp;$I712&amp;"'!"&amp;$J712),$L712,$M712)*$K712</f>
        <v>0.46015</v>
      </c>
      <c r="F712" s="4">
        <f t="shared" si="47"/>
        <v>7</v>
      </c>
      <c r="G712" s="4" cm="1">
        <f t="array" ref="G712">IF($C712&gt;=25,F712,IF($C712&lt;16,INDEX(Sheet1!C:C,$F712),$F712))</f>
        <v>7</v>
      </c>
      <c r="H712" s="4" t="str" cm="1">
        <f t="array" ref="H712">INDEX(Sheet1!D:D,$G712)</f>
        <v>2001-cso-preferred-class-structure-mortality-tables.xls</v>
      </c>
      <c r="I712" s="4" t="str" cm="1">
        <f t="array" ref="I712">INDEX(Sheet1!E:E,$G712)</f>
        <v>A.1.a.iv</v>
      </c>
      <c r="J712" s="4" t="str" cm="1">
        <f t="array" ref="J712">IF($C712&gt;=25,INDEX(Sheet1!G:G,$G712),INDEX(Sheet1!F:F,$G712))</f>
        <v>AA8</v>
      </c>
      <c r="K712" s="4" cm="1">
        <f t="array" ref="K712">INDEX(Sheet1!H:H,$G712)</f>
        <v>1E-3</v>
      </c>
      <c r="L712" s="4">
        <f t="shared" si="44"/>
        <v>80</v>
      </c>
      <c r="M712" s="4">
        <f t="shared" si="45"/>
        <v>0</v>
      </c>
    </row>
    <row r="713" spans="1:13">
      <c r="A713" s="4" t="str" cm="1">
        <f t="array" ref="A713">INDEX(Sheet1!A:A,$F713)</f>
        <v>M</v>
      </c>
      <c r="B713" s="4" t="str" cm="1">
        <f t="array" ref="B713">INDEX(Sheet1!B:B,$F713)</f>
        <v>Pref SM</v>
      </c>
      <c r="C713" s="4">
        <f t="shared" si="46"/>
        <v>106</v>
      </c>
      <c r="D713" s="5" cm="1">
        <f t="array" aca="1" ref="D713" ca="1">OFFSET(INDIRECT("'["&amp;$H713&amp;"]"&amp;$I713&amp;"'!"&amp;$J713),$L713,$M713)*$K713</f>
        <v>0.48310000000000003</v>
      </c>
      <c r="F713" s="4">
        <f t="shared" si="47"/>
        <v>7</v>
      </c>
      <c r="G713" s="4" cm="1">
        <f t="array" ref="G713">IF($C713&gt;=25,F713,IF($C713&lt;16,INDEX(Sheet1!C:C,$F713),$F713))</f>
        <v>7</v>
      </c>
      <c r="H713" s="4" t="str" cm="1">
        <f t="array" ref="H713">INDEX(Sheet1!D:D,$G713)</f>
        <v>2001-cso-preferred-class-structure-mortality-tables.xls</v>
      </c>
      <c r="I713" s="4" t="str" cm="1">
        <f t="array" ref="I713">INDEX(Sheet1!E:E,$G713)</f>
        <v>A.1.a.iv</v>
      </c>
      <c r="J713" s="4" t="str" cm="1">
        <f t="array" ref="J713">IF($C713&gt;=25,INDEX(Sheet1!G:G,$G713),INDEX(Sheet1!F:F,$G713))</f>
        <v>AA8</v>
      </c>
      <c r="K713" s="4" cm="1">
        <f t="array" ref="K713">INDEX(Sheet1!H:H,$G713)</f>
        <v>1E-3</v>
      </c>
      <c r="L713" s="4">
        <f t="shared" si="44"/>
        <v>81</v>
      </c>
      <c r="M713" s="4">
        <f t="shared" si="45"/>
        <v>0</v>
      </c>
    </row>
    <row r="714" spans="1:13">
      <c r="A714" s="4" t="str" cm="1">
        <f t="array" ref="A714">INDEX(Sheet1!A:A,$F714)</f>
        <v>M</v>
      </c>
      <c r="B714" s="4" t="str" cm="1">
        <f t="array" ref="B714">INDEX(Sheet1!B:B,$F714)</f>
        <v>Pref SM</v>
      </c>
      <c r="C714" s="4">
        <f t="shared" si="46"/>
        <v>107</v>
      </c>
      <c r="D714" s="5" cm="1">
        <f t="array" aca="1" ref="D714" ca="1">OFFSET(INDIRECT("'["&amp;$H714&amp;"]"&amp;$I714&amp;"'!"&amp;$J714),$L714,$M714)*$K714</f>
        <v>0.50751000000000002</v>
      </c>
      <c r="F714" s="4">
        <f t="shared" si="47"/>
        <v>7</v>
      </c>
      <c r="G714" s="4" cm="1">
        <f t="array" ref="G714">IF($C714&gt;=25,F714,IF($C714&lt;16,INDEX(Sheet1!C:C,$F714),$F714))</f>
        <v>7</v>
      </c>
      <c r="H714" s="4" t="str" cm="1">
        <f t="array" ref="H714">INDEX(Sheet1!D:D,$G714)</f>
        <v>2001-cso-preferred-class-structure-mortality-tables.xls</v>
      </c>
      <c r="I714" s="4" t="str" cm="1">
        <f t="array" ref="I714">INDEX(Sheet1!E:E,$G714)</f>
        <v>A.1.a.iv</v>
      </c>
      <c r="J714" s="4" t="str" cm="1">
        <f t="array" ref="J714">IF($C714&gt;=25,INDEX(Sheet1!G:G,$G714),INDEX(Sheet1!F:F,$G714))</f>
        <v>AA8</v>
      </c>
      <c r="K714" s="4" cm="1">
        <f t="array" ref="K714">INDEX(Sheet1!H:H,$G714)</f>
        <v>1E-3</v>
      </c>
      <c r="L714" s="4">
        <f t="shared" si="44"/>
        <v>82</v>
      </c>
      <c r="M714" s="4">
        <f t="shared" si="45"/>
        <v>0</v>
      </c>
    </row>
    <row r="715" spans="1:13">
      <c r="A715" s="4" t="str" cm="1">
        <f t="array" ref="A715">INDEX(Sheet1!A:A,$F715)</f>
        <v>M</v>
      </c>
      <c r="B715" s="4" t="str" cm="1">
        <f t="array" ref="B715">INDEX(Sheet1!B:B,$F715)</f>
        <v>Pref SM</v>
      </c>
      <c r="C715" s="4">
        <f t="shared" si="46"/>
        <v>108</v>
      </c>
      <c r="D715" s="5" cm="1">
        <f t="array" aca="1" ref="D715" ca="1">OFFSET(INDIRECT("'["&amp;$H715&amp;"]"&amp;$I715&amp;"'!"&amp;$J715),$L715,$M715)*$K715</f>
        <v>0.53344000000000003</v>
      </c>
      <c r="F715" s="4">
        <f t="shared" si="47"/>
        <v>7</v>
      </c>
      <c r="G715" s="4" cm="1">
        <f t="array" ref="G715">IF($C715&gt;=25,F715,IF($C715&lt;16,INDEX(Sheet1!C:C,$F715),$F715))</f>
        <v>7</v>
      </c>
      <c r="H715" s="4" t="str" cm="1">
        <f t="array" ref="H715">INDEX(Sheet1!D:D,$G715)</f>
        <v>2001-cso-preferred-class-structure-mortality-tables.xls</v>
      </c>
      <c r="I715" s="4" t="str" cm="1">
        <f t="array" ref="I715">INDEX(Sheet1!E:E,$G715)</f>
        <v>A.1.a.iv</v>
      </c>
      <c r="J715" s="4" t="str" cm="1">
        <f t="array" ref="J715">IF($C715&gt;=25,INDEX(Sheet1!G:G,$G715),INDEX(Sheet1!F:F,$G715))</f>
        <v>AA8</v>
      </c>
      <c r="K715" s="4" cm="1">
        <f t="array" ref="K715">INDEX(Sheet1!H:H,$G715)</f>
        <v>1E-3</v>
      </c>
      <c r="L715" s="4">
        <f t="shared" si="44"/>
        <v>83</v>
      </c>
      <c r="M715" s="4">
        <f t="shared" si="45"/>
        <v>0</v>
      </c>
    </row>
    <row r="716" spans="1:13">
      <c r="A716" s="4" t="str" cm="1">
        <f t="array" ref="A716">INDEX(Sheet1!A:A,$F716)</f>
        <v>M</v>
      </c>
      <c r="B716" s="4" t="str" cm="1">
        <f t="array" ref="B716">INDEX(Sheet1!B:B,$F716)</f>
        <v>Pref SM</v>
      </c>
      <c r="C716" s="4">
        <f t="shared" si="46"/>
        <v>109</v>
      </c>
      <c r="D716" s="5" cm="1">
        <f t="array" aca="1" ref="D716" ca="1">OFFSET(INDIRECT("'["&amp;$H716&amp;"]"&amp;$I716&amp;"'!"&amp;$J716),$L716,$M716)*$K716</f>
        <v>0.56101000000000001</v>
      </c>
      <c r="F716" s="4">
        <f t="shared" si="47"/>
        <v>7</v>
      </c>
      <c r="G716" s="4" cm="1">
        <f t="array" ref="G716">IF($C716&gt;=25,F716,IF($C716&lt;16,INDEX(Sheet1!C:C,$F716),$F716))</f>
        <v>7</v>
      </c>
      <c r="H716" s="4" t="str" cm="1">
        <f t="array" ref="H716">INDEX(Sheet1!D:D,$G716)</f>
        <v>2001-cso-preferred-class-structure-mortality-tables.xls</v>
      </c>
      <c r="I716" s="4" t="str" cm="1">
        <f t="array" ref="I716">INDEX(Sheet1!E:E,$G716)</f>
        <v>A.1.a.iv</v>
      </c>
      <c r="J716" s="4" t="str" cm="1">
        <f t="array" ref="J716">IF($C716&gt;=25,INDEX(Sheet1!G:G,$G716),INDEX(Sheet1!F:F,$G716))</f>
        <v>AA8</v>
      </c>
      <c r="K716" s="4" cm="1">
        <f t="array" ref="K716">INDEX(Sheet1!H:H,$G716)</f>
        <v>1E-3</v>
      </c>
      <c r="L716" s="4">
        <f t="shared" si="44"/>
        <v>84</v>
      </c>
      <c r="M716" s="4">
        <f t="shared" si="45"/>
        <v>0</v>
      </c>
    </row>
    <row r="717" spans="1:13">
      <c r="A717" s="4" t="str" cm="1">
        <f t="array" ref="A717">INDEX(Sheet1!A:A,$F717)</f>
        <v>M</v>
      </c>
      <c r="B717" s="4" t="str" cm="1">
        <f t="array" ref="B717">INDEX(Sheet1!B:B,$F717)</f>
        <v>Pref SM</v>
      </c>
      <c r="C717" s="4">
        <f t="shared" si="46"/>
        <v>110</v>
      </c>
      <c r="D717" s="5" cm="1">
        <f t="array" aca="1" ref="D717" ca="1">OFFSET(INDIRECT("'["&amp;$H717&amp;"]"&amp;$I717&amp;"'!"&amp;$J717),$L717,$M717)*$K717</f>
        <v>0.59026999999999996</v>
      </c>
      <c r="F717" s="4">
        <f t="shared" si="47"/>
        <v>7</v>
      </c>
      <c r="G717" s="4" cm="1">
        <f t="array" ref="G717">IF($C717&gt;=25,F717,IF($C717&lt;16,INDEX(Sheet1!C:C,$F717),$F717))</f>
        <v>7</v>
      </c>
      <c r="H717" s="4" t="str" cm="1">
        <f t="array" ref="H717">INDEX(Sheet1!D:D,$G717)</f>
        <v>2001-cso-preferred-class-structure-mortality-tables.xls</v>
      </c>
      <c r="I717" s="4" t="str" cm="1">
        <f t="array" ref="I717">INDEX(Sheet1!E:E,$G717)</f>
        <v>A.1.a.iv</v>
      </c>
      <c r="J717" s="4" t="str" cm="1">
        <f t="array" ref="J717">IF($C717&gt;=25,INDEX(Sheet1!G:G,$G717),INDEX(Sheet1!F:F,$G717))</f>
        <v>AA8</v>
      </c>
      <c r="K717" s="4" cm="1">
        <f t="array" ref="K717">INDEX(Sheet1!H:H,$G717)</f>
        <v>1E-3</v>
      </c>
      <c r="L717" s="4">
        <f t="shared" si="44"/>
        <v>85</v>
      </c>
      <c r="M717" s="4">
        <f t="shared" si="45"/>
        <v>0</v>
      </c>
    </row>
    <row r="718" spans="1:13">
      <c r="A718" s="4" t="str" cm="1">
        <f t="array" ref="A718">INDEX(Sheet1!A:A,$F718)</f>
        <v>M</v>
      </c>
      <c r="B718" s="4" t="str" cm="1">
        <f t="array" ref="B718">INDEX(Sheet1!B:B,$F718)</f>
        <v>Pref SM</v>
      </c>
      <c r="C718" s="4">
        <f t="shared" si="46"/>
        <v>111</v>
      </c>
      <c r="D718" s="5" cm="1">
        <f t="array" aca="1" ref="D718" ca="1">OFFSET(INDIRECT("'["&amp;$H718&amp;"]"&amp;$I718&amp;"'!"&amp;$J718),$L718,$M718)*$K718</f>
        <v>0.62135000000000007</v>
      </c>
      <c r="F718" s="4">
        <f t="shared" si="47"/>
        <v>7</v>
      </c>
      <c r="G718" s="4" cm="1">
        <f t="array" ref="G718">IF($C718&gt;=25,F718,IF($C718&lt;16,INDEX(Sheet1!C:C,$F718),$F718))</f>
        <v>7</v>
      </c>
      <c r="H718" s="4" t="str" cm="1">
        <f t="array" ref="H718">INDEX(Sheet1!D:D,$G718)</f>
        <v>2001-cso-preferred-class-structure-mortality-tables.xls</v>
      </c>
      <c r="I718" s="4" t="str" cm="1">
        <f t="array" ref="I718">INDEX(Sheet1!E:E,$G718)</f>
        <v>A.1.a.iv</v>
      </c>
      <c r="J718" s="4" t="str" cm="1">
        <f t="array" ref="J718">IF($C718&gt;=25,INDEX(Sheet1!G:G,$G718),INDEX(Sheet1!F:F,$G718))</f>
        <v>AA8</v>
      </c>
      <c r="K718" s="4" cm="1">
        <f t="array" ref="K718">INDEX(Sheet1!H:H,$G718)</f>
        <v>1E-3</v>
      </c>
      <c r="L718" s="4">
        <f t="shared" si="44"/>
        <v>86</v>
      </c>
      <c r="M718" s="4">
        <f t="shared" si="45"/>
        <v>0</v>
      </c>
    </row>
    <row r="719" spans="1:13">
      <c r="A719" s="4" t="str" cm="1">
        <f t="array" ref="A719">INDEX(Sheet1!A:A,$F719)</f>
        <v>M</v>
      </c>
      <c r="B719" s="4" t="str" cm="1">
        <f t="array" ref="B719">INDEX(Sheet1!B:B,$F719)</f>
        <v>Pref SM</v>
      </c>
      <c r="C719" s="4">
        <f t="shared" si="46"/>
        <v>112</v>
      </c>
      <c r="D719" s="5" cm="1">
        <f t="array" aca="1" ref="D719" ca="1">OFFSET(INDIRECT("'["&amp;$H719&amp;"]"&amp;$I719&amp;"'!"&amp;$J719),$L719,$M719)*$K719</f>
        <v>0.65434999999999999</v>
      </c>
      <c r="F719" s="4">
        <f t="shared" si="47"/>
        <v>7</v>
      </c>
      <c r="G719" s="4" cm="1">
        <f t="array" ref="G719">IF($C719&gt;=25,F719,IF($C719&lt;16,INDEX(Sheet1!C:C,$F719),$F719))</f>
        <v>7</v>
      </c>
      <c r="H719" s="4" t="str" cm="1">
        <f t="array" ref="H719">INDEX(Sheet1!D:D,$G719)</f>
        <v>2001-cso-preferred-class-structure-mortality-tables.xls</v>
      </c>
      <c r="I719" s="4" t="str" cm="1">
        <f t="array" ref="I719">INDEX(Sheet1!E:E,$G719)</f>
        <v>A.1.a.iv</v>
      </c>
      <c r="J719" s="4" t="str" cm="1">
        <f t="array" ref="J719">IF($C719&gt;=25,INDEX(Sheet1!G:G,$G719),INDEX(Sheet1!F:F,$G719))</f>
        <v>AA8</v>
      </c>
      <c r="K719" s="4" cm="1">
        <f t="array" ref="K719">INDEX(Sheet1!H:H,$G719)</f>
        <v>1E-3</v>
      </c>
      <c r="L719" s="4">
        <f t="shared" si="44"/>
        <v>87</v>
      </c>
      <c r="M719" s="4">
        <f t="shared" si="45"/>
        <v>0</v>
      </c>
    </row>
    <row r="720" spans="1:13">
      <c r="A720" s="4" t="str" cm="1">
        <f t="array" ref="A720">INDEX(Sheet1!A:A,$F720)</f>
        <v>M</v>
      </c>
      <c r="B720" s="4" t="str" cm="1">
        <f t="array" ref="B720">INDEX(Sheet1!B:B,$F720)</f>
        <v>Pref SM</v>
      </c>
      <c r="C720" s="4">
        <f t="shared" si="46"/>
        <v>113</v>
      </c>
      <c r="D720" s="5" cm="1">
        <f t="array" aca="1" ref="D720" ca="1">OFFSET(INDIRECT("'["&amp;$H720&amp;"]"&amp;$I720&amp;"'!"&amp;$J720),$L720,$M720)*$K720</f>
        <v>0.68937999999999999</v>
      </c>
      <c r="F720" s="4">
        <f t="shared" si="47"/>
        <v>7</v>
      </c>
      <c r="G720" s="4" cm="1">
        <f t="array" ref="G720">IF($C720&gt;=25,F720,IF($C720&lt;16,INDEX(Sheet1!C:C,$F720),$F720))</f>
        <v>7</v>
      </c>
      <c r="H720" s="4" t="str" cm="1">
        <f t="array" ref="H720">INDEX(Sheet1!D:D,$G720)</f>
        <v>2001-cso-preferred-class-structure-mortality-tables.xls</v>
      </c>
      <c r="I720" s="4" t="str" cm="1">
        <f t="array" ref="I720">INDEX(Sheet1!E:E,$G720)</f>
        <v>A.1.a.iv</v>
      </c>
      <c r="J720" s="4" t="str" cm="1">
        <f t="array" ref="J720">IF($C720&gt;=25,INDEX(Sheet1!G:G,$G720),INDEX(Sheet1!F:F,$G720))</f>
        <v>AA8</v>
      </c>
      <c r="K720" s="4" cm="1">
        <f t="array" ref="K720">INDEX(Sheet1!H:H,$G720)</f>
        <v>1E-3</v>
      </c>
      <c r="L720" s="4">
        <f t="shared" si="44"/>
        <v>88</v>
      </c>
      <c r="M720" s="4">
        <f t="shared" si="45"/>
        <v>0</v>
      </c>
    </row>
    <row r="721" spans="1:13">
      <c r="A721" s="4" t="str" cm="1">
        <f t="array" ref="A721">INDEX(Sheet1!A:A,$F721)</f>
        <v>M</v>
      </c>
      <c r="B721" s="4" t="str" cm="1">
        <f t="array" ref="B721">INDEX(Sheet1!B:B,$F721)</f>
        <v>Pref SM</v>
      </c>
      <c r="C721" s="4">
        <f t="shared" si="46"/>
        <v>114</v>
      </c>
      <c r="D721" s="5" cm="1">
        <f t="array" aca="1" ref="D721" ca="1">OFFSET(INDIRECT("'["&amp;$H721&amp;"]"&amp;$I721&amp;"'!"&amp;$J721),$L721,$M721)*$K721</f>
        <v>0.72655999999999998</v>
      </c>
      <c r="F721" s="4">
        <f t="shared" si="47"/>
        <v>7</v>
      </c>
      <c r="G721" s="4" cm="1">
        <f t="array" ref="G721">IF($C721&gt;=25,F721,IF($C721&lt;16,INDEX(Sheet1!C:C,$F721),$F721))</f>
        <v>7</v>
      </c>
      <c r="H721" s="4" t="str" cm="1">
        <f t="array" ref="H721">INDEX(Sheet1!D:D,$G721)</f>
        <v>2001-cso-preferred-class-structure-mortality-tables.xls</v>
      </c>
      <c r="I721" s="4" t="str" cm="1">
        <f t="array" ref="I721">INDEX(Sheet1!E:E,$G721)</f>
        <v>A.1.a.iv</v>
      </c>
      <c r="J721" s="4" t="str" cm="1">
        <f t="array" ref="J721">IF($C721&gt;=25,INDEX(Sheet1!G:G,$G721),INDEX(Sheet1!F:F,$G721))</f>
        <v>AA8</v>
      </c>
      <c r="K721" s="4" cm="1">
        <f t="array" ref="K721">INDEX(Sheet1!H:H,$G721)</f>
        <v>1E-3</v>
      </c>
      <c r="L721" s="4">
        <f t="shared" si="44"/>
        <v>89</v>
      </c>
      <c r="M721" s="4">
        <f t="shared" si="45"/>
        <v>0</v>
      </c>
    </row>
    <row r="722" spans="1:13">
      <c r="A722" s="4" t="str" cm="1">
        <f t="array" ref="A722">INDEX(Sheet1!A:A,$F722)</f>
        <v>M</v>
      </c>
      <c r="B722" s="4" t="str" cm="1">
        <f t="array" ref="B722">INDEX(Sheet1!B:B,$F722)</f>
        <v>Pref SM</v>
      </c>
      <c r="C722" s="4">
        <f t="shared" si="46"/>
        <v>115</v>
      </c>
      <c r="D722" s="5" cm="1">
        <f t="array" aca="1" ref="D722" ca="1">OFFSET(INDIRECT("'["&amp;$H722&amp;"]"&amp;$I722&amp;"'!"&amp;$J722),$L722,$M722)*$K722</f>
        <v>0.76600999999999997</v>
      </c>
      <c r="F722" s="4">
        <f t="shared" si="47"/>
        <v>7</v>
      </c>
      <c r="G722" s="4" cm="1">
        <f t="array" ref="G722">IF($C722&gt;=25,F722,IF($C722&lt;16,INDEX(Sheet1!C:C,$F722),$F722))</f>
        <v>7</v>
      </c>
      <c r="H722" s="4" t="str" cm="1">
        <f t="array" ref="H722">INDEX(Sheet1!D:D,$G722)</f>
        <v>2001-cso-preferred-class-structure-mortality-tables.xls</v>
      </c>
      <c r="I722" s="4" t="str" cm="1">
        <f t="array" ref="I722">INDEX(Sheet1!E:E,$G722)</f>
        <v>A.1.a.iv</v>
      </c>
      <c r="J722" s="4" t="str" cm="1">
        <f t="array" ref="J722">IF($C722&gt;=25,INDEX(Sheet1!G:G,$G722),INDEX(Sheet1!F:F,$G722))</f>
        <v>AA8</v>
      </c>
      <c r="K722" s="4" cm="1">
        <f t="array" ref="K722">INDEX(Sheet1!H:H,$G722)</f>
        <v>1E-3</v>
      </c>
      <c r="L722" s="4">
        <f t="shared" si="44"/>
        <v>90</v>
      </c>
      <c r="M722" s="4">
        <f t="shared" si="45"/>
        <v>0</v>
      </c>
    </row>
    <row r="723" spans="1:13">
      <c r="A723" s="4" t="str" cm="1">
        <f t="array" ref="A723">INDEX(Sheet1!A:A,$F723)</f>
        <v>M</v>
      </c>
      <c r="B723" s="4" t="str" cm="1">
        <f t="array" ref="B723">INDEX(Sheet1!B:B,$F723)</f>
        <v>Pref SM</v>
      </c>
      <c r="C723" s="4">
        <f t="shared" si="46"/>
        <v>116</v>
      </c>
      <c r="D723" s="5" cm="1">
        <f t="array" aca="1" ref="D723" ca="1">OFFSET(INDIRECT("'["&amp;$H723&amp;"]"&amp;$I723&amp;"'!"&amp;$J723),$L723,$M723)*$K723</f>
        <v>0.80786000000000002</v>
      </c>
      <c r="F723" s="4">
        <f t="shared" si="47"/>
        <v>7</v>
      </c>
      <c r="G723" s="4" cm="1">
        <f t="array" ref="G723">IF($C723&gt;=25,F723,IF($C723&lt;16,INDEX(Sheet1!C:C,$F723),$F723))</f>
        <v>7</v>
      </c>
      <c r="H723" s="4" t="str" cm="1">
        <f t="array" ref="H723">INDEX(Sheet1!D:D,$G723)</f>
        <v>2001-cso-preferred-class-structure-mortality-tables.xls</v>
      </c>
      <c r="I723" s="4" t="str" cm="1">
        <f t="array" ref="I723">INDEX(Sheet1!E:E,$G723)</f>
        <v>A.1.a.iv</v>
      </c>
      <c r="J723" s="4" t="str" cm="1">
        <f t="array" ref="J723">IF($C723&gt;=25,INDEX(Sheet1!G:G,$G723),INDEX(Sheet1!F:F,$G723))</f>
        <v>AA8</v>
      </c>
      <c r="K723" s="4" cm="1">
        <f t="array" ref="K723">INDEX(Sheet1!H:H,$G723)</f>
        <v>1E-3</v>
      </c>
      <c r="L723" s="4">
        <f t="shared" si="44"/>
        <v>91</v>
      </c>
      <c r="M723" s="4">
        <f t="shared" si="45"/>
        <v>0</v>
      </c>
    </row>
    <row r="724" spans="1:13">
      <c r="A724" s="4" t="str" cm="1">
        <f t="array" ref="A724">INDEX(Sheet1!A:A,$F724)</f>
        <v>M</v>
      </c>
      <c r="B724" s="4" t="str" cm="1">
        <f t="array" ref="B724">INDEX(Sheet1!B:B,$F724)</f>
        <v>Pref SM</v>
      </c>
      <c r="C724" s="4">
        <f t="shared" si="46"/>
        <v>117</v>
      </c>
      <c r="D724" s="5" cm="1">
        <f t="array" aca="1" ref="D724" ca="1">OFFSET(INDIRECT("'["&amp;$H724&amp;"]"&amp;$I724&amp;"'!"&amp;$J724),$L724,$M724)*$K724</f>
        <v>0.85226000000000002</v>
      </c>
      <c r="F724" s="4">
        <f t="shared" si="47"/>
        <v>7</v>
      </c>
      <c r="G724" s="4" cm="1">
        <f t="array" ref="G724">IF($C724&gt;=25,F724,IF($C724&lt;16,INDEX(Sheet1!C:C,$F724),$F724))</f>
        <v>7</v>
      </c>
      <c r="H724" s="4" t="str" cm="1">
        <f t="array" ref="H724">INDEX(Sheet1!D:D,$G724)</f>
        <v>2001-cso-preferred-class-structure-mortality-tables.xls</v>
      </c>
      <c r="I724" s="4" t="str" cm="1">
        <f t="array" ref="I724">INDEX(Sheet1!E:E,$G724)</f>
        <v>A.1.a.iv</v>
      </c>
      <c r="J724" s="4" t="str" cm="1">
        <f t="array" ref="J724">IF($C724&gt;=25,INDEX(Sheet1!G:G,$G724),INDEX(Sheet1!F:F,$G724))</f>
        <v>AA8</v>
      </c>
      <c r="K724" s="4" cm="1">
        <f t="array" ref="K724">INDEX(Sheet1!H:H,$G724)</f>
        <v>1E-3</v>
      </c>
      <c r="L724" s="4">
        <f t="shared" si="44"/>
        <v>92</v>
      </c>
      <c r="M724" s="4">
        <f t="shared" si="45"/>
        <v>0</v>
      </c>
    </row>
    <row r="725" spans="1:13">
      <c r="A725" s="4" t="str" cm="1">
        <f t="array" ref="A725">INDEX(Sheet1!A:A,$F725)</f>
        <v>M</v>
      </c>
      <c r="B725" s="4" t="str" cm="1">
        <f t="array" ref="B725">INDEX(Sheet1!B:B,$F725)</f>
        <v>Pref SM</v>
      </c>
      <c r="C725" s="4">
        <f t="shared" si="46"/>
        <v>118</v>
      </c>
      <c r="D725" s="5" cm="1">
        <f t="array" aca="1" ref="D725" ca="1">OFFSET(INDIRECT("'["&amp;$H725&amp;"]"&amp;$I725&amp;"'!"&amp;$J725),$L725,$M725)*$K725</f>
        <v>0.89935000000000009</v>
      </c>
      <c r="F725" s="4">
        <f t="shared" si="47"/>
        <v>7</v>
      </c>
      <c r="G725" s="4" cm="1">
        <f t="array" ref="G725">IF($C725&gt;=25,F725,IF($C725&lt;16,INDEX(Sheet1!C:C,$F725),$F725))</f>
        <v>7</v>
      </c>
      <c r="H725" s="4" t="str" cm="1">
        <f t="array" ref="H725">INDEX(Sheet1!D:D,$G725)</f>
        <v>2001-cso-preferred-class-structure-mortality-tables.xls</v>
      </c>
      <c r="I725" s="4" t="str" cm="1">
        <f t="array" ref="I725">INDEX(Sheet1!E:E,$G725)</f>
        <v>A.1.a.iv</v>
      </c>
      <c r="J725" s="4" t="str" cm="1">
        <f t="array" ref="J725">IF($C725&gt;=25,INDEX(Sheet1!G:G,$G725),INDEX(Sheet1!F:F,$G725))</f>
        <v>AA8</v>
      </c>
      <c r="K725" s="4" cm="1">
        <f t="array" ref="K725">INDEX(Sheet1!H:H,$G725)</f>
        <v>1E-3</v>
      </c>
      <c r="L725" s="4">
        <f t="shared" si="44"/>
        <v>93</v>
      </c>
      <c r="M725" s="4">
        <f t="shared" si="45"/>
        <v>0</v>
      </c>
    </row>
    <row r="726" spans="1:13">
      <c r="A726" s="4" t="str" cm="1">
        <f t="array" ref="A726">INDEX(Sheet1!A:A,$F726)</f>
        <v>M</v>
      </c>
      <c r="B726" s="4" t="str" cm="1">
        <f t="array" ref="B726">INDEX(Sheet1!B:B,$F726)</f>
        <v>Pref SM</v>
      </c>
      <c r="C726" s="4">
        <f t="shared" si="46"/>
        <v>119</v>
      </c>
      <c r="D726" s="5" cm="1">
        <f t="array" aca="1" ref="D726" ca="1">OFFSET(INDIRECT("'["&amp;$H726&amp;"]"&amp;$I726&amp;"'!"&amp;$J726),$L726,$M726)*$K726</f>
        <v>0.94928999999999997</v>
      </c>
      <c r="F726" s="4">
        <f t="shared" si="47"/>
        <v>7</v>
      </c>
      <c r="G726" s="4" cm="1">
        <f t="array" ref="G726">IF($C726&gt;=25,F726,IF($C726&lt;16,INDEX(Sheet1!C:C,$F726),$F726))</f>
        <v>7</v>
      </c>
      <c r="H726" s="4" t="str" cm="1">
        <f t="array" ref="H726">INDEX(Sheet1!D:D,$G726)</f>
        <v>2001-cso-preferred-class-structure-mortality-tables.xls</v>
      </c>
      <c r="I726" s="4" t="str" cm="1">
        <f t="array" ref="I726">INDEX(Sheet1!E:E,$G726)</f>
        <v>A.1.a.iv</v>
      </c>
      <c r="J726" s="4" t="str" cm="1">
        <f t="array" ref="J726">IF($C726&gt;=25,INDEX(Sheet1!G:G,$G726),INDEX(Sheet1!F:F,$G726))</f>
        <v>AA8</v>
      </c>
      <c r="K726" s="4" cm="1">
        <f t="array" ref="K726">INDEX(Sheet1!H:H,$G726)</f>
        <v>1E-3</v>
      </c>
      <c r="L726" s="4">
        <f t="shared" si="44"/>
        <v>94</v>
      </c>
      <c r="M726" s="4">
        <f t="shared" si="45"/>
        <v>0</v>
      </c>
    </row>
    <row r="727" spans="1:13">
      <c r="A727" s="4" t="str" cm="1">
        <f t="array" ref="A727">INDEX(Sheet1!A:A,$F727)</f>
        <v>M</v>
      </c>
      <c r="B727" s="4" t="str" cm="1">
        <f t="array" ref="B727">INDEX(Sheet1!B:B,$F727)</f>
        <v>Pref SM</v>
      </c>
      <c r="C727" s="4">
        <f t="shared" si="46"/>
        <v>120</v>
      </c>
      <c r="D727" s="5" cm="1">
        <f t="array" aca="1" ref="D727" ca="1">OFFSET(INDIRECT("'["&amp;$H727&amp;"]"&amp;$I727&amp;"'!"&amp;$J727),$L727,$M727)*$K727</f>
        <v>1</v>
      </c>
      <c r="F727" s="4">
        <f t="shared" si="47"/>
        <v>7</v>
      </c>
      <c r="G727" s="4" cm="1">
        <f t="array" ref="G727">IF($C727&gt;=25,F727,IF($C727&lt;16,INDEX(Sheet1!C:C,$F727),$F727))</f>
        <v>7</v>
      </c>
      <c r="H727" s="4" t="str" cm="1">
        <f t="array" ref="H727">INDEX(Sheet1!D:D,$G727)</f>
        <v>2001-cso-preferred-class-structure-mortality-tables.xls</v>
      </c>
      <c r="I727" s="4" t="str" cm="1">
        <f t="array" ref="I727">INDEX(Sheet1!E:E,$G727)</f>
        <v>A.1.a.iv</v>
      </c>
      <c r="J727" s="4" t="str" cm="1">
        <f t="array" ref="J727">IF($C727&gt;=25,INDEX(Sheet1!G:G,$G727),INDEX(Sheet1!F:F,$G727))</f>
        <v>AA8</v>
      </c>
      <c r="K727" s="4" cm="1">
        <f t="array" ref="K727">INDEX(Sheet1!H:H,$G727)</f>
        <v>1E-3</v>
      </c>
      <c r="L727" s="4">
        <f t="shared" si="44"/>
        <v>95</v>
      </c>
      <c r="M727" s="4">
        <f t="shared" si="45"/>
        <v>0</v>
      </c>
    </row>
    <row r="728" spans="1:13">
      <c r="A728" s="4" t="str" cm="1">
        <f t="array" ref="A728">INDEX(Sheet1!A:A,$F728)</f>
        <v>M</v>
      </c>
      <c r="B728" s="4" t="str" cm="1">
        <f t="array" ref="B728">INDEX(Sheet1!B:B,$F728)</f>
        <v>Non-Pref SM</v>
      </c>
      <c r="C728" s="4">
        <f t="shared" si="46"/>
        <v>0</v>
      </c>
      <c r="D728" s="5" cm="1">
        <f t="array" aca="1" ref="D728" ca="1">OFFSET(INDIRECT("'["&amp;$H728&amp;"]"&amp;$I728&amp;"'!"&amp;$J728),$L728,$M728)*$K728</f>
        <v>9.7000000000000005E-4</v>
      </c>
      <c r="F728" s="4">
        <f t="shared" si="47"/>
        <v>8</v>
      </c>
      <c r="G728" s="4" cm="1">
        <f t="array" ref="G728">IF($C728&gt;=25,F728,IF($C728&lt;16,INDEX(Sheet1!C:C,$F728),$F728))</f>
        <v>10</v>
      </c>
      <c r="H728" s="4" t="str" cm="1">
        <f t="array" ref="H728">INDEX(Sheet1!D:D,$G728)</f>
        <v>t1136.xlsx</v>
      </c>
      <c r="I728" s="4" t="str" cm="1">
        <f t="array" ref="I728">INDEX(Sheet1!E:E,$G728)</f>
        <v>Sheet1</v>
      </c>
      <c r="J728" s="4" t="str" cm="1">
        <f t="array" ref="J728">IF($C728&gt;=25,INDEX(Sheet1!G:G,$G728),INDEX(Sheet1!F:F,$G728))</f>
        <v>B25</v>
      </c>
      <c r="K728" s="4" cm="1">
        <f t="array" ref="K728">INDEX(Sheet1!H:H,$G728)</f>
        <v>1</v>
      </c>
      <c r="L728" s="4">
        <f t="shared" si="44"/>
        <v>0</v>
      </c>
      <c r="M728" s="4">
        <f t="shared" si="45"/>
        <v>0</v>
      </c>
    </row>
    <row r="729" spans="1:13">
      <c r="A729" s="4" t="str" cm="1">
        <f t="array" ref="A729">INDEX(Sheet1!A:A,$F729)</f>
        <v>M</v>
      </c>
      <c r="B729" s="4" t="str" cm="1">
        <f t="array" ref="B729">INDEX(Sheet1!B:B,$F729)</f>
        <v>Non-Pref SM</v>
      </c>
      <c r="C729" s="4">
        <f t="shared" si="46"/>
        <v>1</v>
      </c>
      <c r="D729" s="5" cm="1">
        <f t="array" aca="1" ref="D729" ca="1">OFFSET(INDIRECT("'["&amp;$H729&amp;"]"&amp;$I729&amp;"'!"&amp;$J729),$L729,$M729)*$K729</f>
        <v>5.5999999999999995E-4</v>
      </c>
      <c r="F729" s="4">
        <f t="shared" si="47"/>
        <v>8</v>
      </c>
      <c r="G729" s="4" cm="1">
        <f t="array" ref="G729">IF($C729&gt;=25,F729,IF($C729&lt;16,INDEX(Sheet1!C:C,$F729),$F729))</f>
        <v>10</v>
      </c>
      <c r="H729" s="4" t="str" cm="1">
        <f t="array" ref="H729">INDEX(Sheet1!D:D,$G729)</f>
        <v>t1136.xlsx</v>
      </c>
      <c r="I729" s="4" t="str" cm="1">
        <f t="array" ref="I729">INDEX(Sheet1!E:E,$G729)</f>
        <v>Sheet1</v>
      </c>
      <c r="J729" s="4" t="str" cm="1">
        <f t="array" ref="J729">IF($C729&gt;=25,INDEX(Sheet1!G:G,$G729),INDEX(Sheet1!F:F,$G729))</f>
        <v>B25</v>
      </c>
      <c r="K729" s="4" cm="1">
        <f t="array" ref="K729">INDEX(Sheet1!H:H,$G729)</f>
        <v>1</v>
      </c>
      <c r="L729" s="4">
        <f t="shared" si="44"/>
        <v>0</v>
      </c>
      <c r="M729" s="4">
        <f t="shared" si="45"/>
        <v>1</v>
      </c>
    </row>
    <row r="730" spans="1:13">
      <c r="A730" s="4" t="str" cm="1">
        <f t="array" ref="A730">INDEX(Sheet1!A:A,$F730)</f>
        <v>M</v>
      </c>
      <c r="B730" s="4" t="str" cm="1">
        <f t="array" ref="B730">INDEX(Sheet1!B:B,$F730)</f>
        <v>Non-Pref SM</v>
      </c>
      <c r="C730" s="4">
        <f t="shared" si="46"/>
        <v>2</v>
      </c>
      <c r="D730" s="5" cm="1">
        <f t="array" aca="1" ref="D730" ca="1">OFFSET(INDIRECT("'["&amp;$H730&amp;"]"&amp;$I730&amp;"'!"&amp;$J730),$L730,$M730)*$K730</f>
        <v>3.8999999999999999E-4</v>
      </c>
      <c r="F730" s="4">
        <f t="shared" si="47"/>
        <v>8</v>
      </c>
      <c r="G730" s="4" cm="1">
        <f t="array" ref="G730">IF($C730&gt;=25,F730,IF($C730&lt;16,INDEX(Sheet1!C:C,$F730),$F730))</f>
        <v>10</v>
      </c>
      <c r="H730" s="4" t="str" cm="1">
        <f t="array" ref="H730">INDEX(Sheet1!D:D,$G730)</f>
        <v>t1136.xlsx</v>
      </c>
      <c r="I730" s="4" t="str" cm="1">
        <f t="array" ref="I730">INDEX(Sheet1!E:E,$G730)</f>
        <v>Sheet1</v>
      </c>
      <c r="J730" s="4" t="str" cm="1">
        <f t="array" ref="J730">IF($C730&gt;=25,INDEX(Sheet1!G:G,$G730),INDEX(Sheet1!F:F,$G730))</f>
        <v>B25</v>
      </c>
      <c r="K730" s="4" cm="1">
        <f t="array" ref="K730">INDEX(Sheet1!H:H,$G730)</f>
        <v>1</v>
      </c>
      <c r="L730" s="4">
        <f t="shared" si="44"/>
        <v>0</v>
      </c>
      <c r="M730" s="4">
        <f t="shared" si="45"/>
        <v>2</v>
      </c>
    </row>
    <row r="731" spans="1:13">
      <c r="A731" s="4" t="str" cm="1">
        <f t="array" ref="A731">INDEX(Sheet1!A:A,$F731)</f>
        <v>M</v>
      </c>
      <c r="B731" s="4" t="str" cm="1">
        <f t="array" ref="B731">INDEX(Sheet1!B:B,$F731)</f>
        <v>Non-Pref SM</v>
      </c>
      <c r="C731" s="4">
        <f t="shared" si="46"/>
        <v>3</v>
      </c>
      <c r="D731" s="5" cm="1">
        <f t="array" aca="1" ref="D731" ca="1">OFFSET(INDIRECT("'["&amp;$H731&amp;"]"&amp;$I731&amp;"'!"&amp;$J731),$L731,$M731)*$K731</f>
        <v>2.7E-4</v>
      </c>
      <c r="F731" s="4">
        <f t="shared" si="47"/>
        <v>8</v>
      </c>
      <c r="G731" s="4" cm="1">
        <f t="array" ref="G731">IF($C731&gt;=25,F731,IF($C731&lt;16,INDEX(Sheet1!C:C,$F731),$F731))</f>
        <v>10</v>
      </c>
      <c r="H731" s="4" t="str" cm="1">
        <f t="array" ref="H731">INDEX(Sheet1!D:D,$G731)</f>
        <v>t1136.xlsx</v>
      </c>
      <c r="I731" s="4" t="str" cm="1">
        <f t="array" ref="I731">INDEX(Sheet1!E:E,$G731)</f>
        <v>Sheet1</v>
      </c>
      <c r="J731" s="4" t="str" cm="1">
        <f t="array" ref="J731">IF($C731&gt;=25,INDEX(Sheet1!G:G,$G731),INDEX(Sheet1!F:F,$G731))</f>
        <v>B25</v>
      </c>
      <c r="K731" s="4" cm="1">
        <f t="array" ref="K731">INDEX(Sheet1!H:H,$G731)</f>
        <v>1</v>
      </c>
      <c r="L731" s="4">
        <f t="shared" si="44"/>
        <v>0</v>
      </c>
      <c r="M731" s="4">
        <f t="shared" si="45"/>
        <v>3</v>
      </c>
    </row>
    <row r="732" spans="1:13">
      <c r="A732" s="4" t="str" cm="1">
        <f t="array" ref="A732">INDEX(Sheet1!A:A,$F732)</f>
        <v>M</v>
      </c>
      <c r="B732" s="4" t="str" cm="1">
        <f t="array" ref="B732">INDEX(Sheet1!B:B,$F732)</f>
        <v>Non-Pref SM</v>
      </c>
      <c r="C732" s="4">
        <f t="shared" si="46"/>
        <v>4</v>
      </c>
      <c r="D732" s="5" cm="1">
        <f t="array" aca="1" ref="D732" ca="1">OFFSET(INDIRECT("'["&amp;$H732&amp;"]"&amp;$I732&amp;"'!"&amp;$J732),$L732,$M732)*$K732</f>
        <v>2.1000000000000001E-4</v>
      </c>
      <c r="F732" s="4">
        <f t="shared" si="47"/>
        <v>8</v>
      </c>
      <c r="G732" s="4" cm="1">
        <f t="array" ref="G732">IF($C732&gt;=25,F732,IF($C732&lt;16,INDEX(Sheet1!C:C,$F732),$F732))</f>
        <v>10</v>
      </c>
      <c r="H732" s="4" t="str" cm="1">
        <f t="array" ref="H732">INDEX(Sheet1!D:D,$G732)</f>
        <v>t1136.xlsx</v>
      </c>
      <c r="I732" s="4" t="str" cm="1">
        <f t="array" ref="I732">INDEX(Sheet1!E:E,$G732)</f>
        <v>Sheet1</v>
      </c>
      <c r="J732" s="4" t="str" cm="1">
        <f t="array" ref="J732">IF($C732&gt;=25,INDEX(Sheet1!G:G,$G732),INDEX(Sheet1!F:F,$G732))</f>
        <v>B25</v>
      </c>
      <c r="K732" s="4" cm="1">
        <f t="array" ref="K732">INDEX(Sheet1!H:H,$G732)</f>
        <v>1</v>
      </c>
      <c r="L732" s="4">
        <f t="shared" si="44"/>
        <v>0</v>
      </c>
      <c r="M732" s="4">
        <f t="shared" si="45"/>
        <v>4</v>
      </c>
    </row>
    <row r="733" spans="1:13">
      <c r="A733" s="4" t="str" cm="1">
        <f t="array" ref="A733">INDEX(Sheet1!A:A,$F733)</f>
        <v>M</v>
      </c>
      <c r="B733" s="4" t="str" cm="1">
        <f t="array" ref="B733">INDEX(Sheet1!B:B,$F733)</f>
        <v>Non-Pref SM</v>
      </c>
      <c r="C733" s="4">
        <f t="shared" si="46"/>
        <v>5</v>
      </c>
      <c r="D733" s="5" cm="1">
        <f t="array" aca="1" ref="D733" ca="1">OFFSET(INDIRECT("'["&amp;$H733&amp;"]"&amp;$I733&amp;"'!"&amp;$J733),$L733,$M733)*$K733</f>
        <v>2.1000000000000001E-4</v>
      </c>
      <c r="F733" s="4">
        <f t="shared" si="47"/>
        <v>8</v>
      </c>
      <c r="G733" s="4" cm="1">
        <f t="array" ref="G733">IF($C733&gt;=25,F733,IF($C733&lt;16,INDEX(Sheet1!C:C,$F733),$F733))</f>
        <v>10</v>
      </c>
      <c r="H733" s="4" t="str" cm="1">
        <f t="array" ref="H733">INDEX(Sheet1!D:D,$G733)</f>
        <v>t1136.xlsx</v>
      </c>
      <c r="I733" s="4" t="str" cm="1">
        <f t="array" ref="I733">INDEX(Sheet1!E:E,$G733)</f>
        <v>Sheet1</v>
      </c>
      <c r="J733" s="4" t="str" cm="1">
        <f t="array" ref="J733">IF($C733&gt;=25,INDEX(Sheet1!G:G,$G733),INDEX(Sheet1!F:F,$G733))</f>
        <v>B25</v>
      </c>
      <c r="K733" s="4" cm="1">
        <f t="array" ref="K733">INDEX(Sheet1!H:H,$G733)</f>
        <v>1</v>
      </c>
      <c r="L733" s="4">
        <f t="shared" si="44"/>
        <v>0</v>
      </c>
      <c r="M733" s="4">
        <f t="shared" si="45"/>
        <v>5</v>
      </c>
    </row>
    <row r="734" spans="1:13">
      <c r="A734" s="4" t="str" cm="1">
        <f t="array" ref="A734">INDEX(Sheet1!A:A,$F734)</f>
        <v>M</v>
      </c>
      <c r="B734" s="4" t="str" cm="1">
        <f t="array" ref="B734">INDEX(Sheet1!B:B,$F734)</f>
        <v>Non-Pref SM</v>
      </c>
      <c r="C734" s="4">
        <f t="shared" si="46"/>
        <v>6</v>
      </c>
      <c r="D734" s="5" cm="1">
        <f t="array" aca="1" ref="D734" ca="1">OFFSET(INDIRECT("'["&amp;$H734&amp;"]"&amp;$I734&amp;"'!"&amp;$J734),$L734,$M734)*$K734</f>
        <v>2.2000000000000001E-4</v>
      </c>
      <c r="F734" s="4">
        <f t="shared" si="47"/>
        <v>8</v>
      </c>
      <c r="G734" s="4" cm="1">
        <f t="array" ref="G734">IF($C734&gt;=25,F734,IF($C734&lt;16,INDEX(Sheet1!C:C,$F734),$F734))</f>
        <v>10</v>
      </c>
      <c r="H734" s="4" t="str" cm="1">
        <f t="array" ref="H734">INDEX(Sheet1!D:D,$G734)</f>
        <v>t1136.xlsx</v>
      </c>
      <c r="I734" s="4" t="str" cm="1">
        <f t="array" ref="I734">INDEX(Sheet1!E:E,$G734)</f>
        <v>Sheet1</v>
      </c>
      <c r="J734" s="4" t="str" cm="1">
        <f t="array" ref="J734">IF($C734&gt;=25,INDEX(Sheet1!G:G,$G734),INDEX(Sheet1!F:F,$G734))</f>
        <v>B25</v>
      </c>
      <c r="K734" s="4" cm="1">
        <f t="array" ref="K734">INDEX(Sheet1!H:H,$G734)</f>
        <v>1</v>
      </c>
      <c r="L734" s="4">
        <f t="shared" si="44"/>
        <v>0</v>
      </c>
      <c r="M734" s="4">
        <f t="shared" si="45"/>
        <v>6</v>
      </c>
    </row>
    <row r="735" spans="1:13">
      <c r="A735" s="4" t="str" cm="1">
        <f t="array" ref="A735">INDEX(Sheet1!A:A,$F735)</f>
        <v>M</v>
      </c>
      <c r="B735" s="4" t="str" cm="1">
        <f t="array" ref="B735">INDEX(Sheet1!B:B,$F735)</f>
        <v>Non-Pref SM</v>
      </c>
      <c r="C735" s="4">
        <f t="shared" si="46"/>
        <v>7</v>
      </c>
      <c r="D735" s="5" cm="1">
        <f t="array" aca="1" ref="D735" ca="1">OFFSET(INDIRECT("'["&amp;$H735&amp;"]"&amp;$I735&amp;"'!"&amp;$J735),$L735,$M735)*$K735</f>
        <v>2.2000000000000001E-4</v>
      </c>
      <c r="F735" s="4">
        <f t="shared" si="47"/>
        <v>8</v>
      </c>
      <c r="G735" s="4" cm="1">
        <f t="array" ref="G735">IF($C735&gt;=25,F735,IF($C735&lt;16,INDEX(Sheet1!C:C,$F735),$F735))</f>
        <v>10</v>
      </c>
      <c r="H735" s="4" t="str" cm="1">
        <f t="array" ref="H735">INDEX(Sheet1!D:D,$G735)</f>
        <v>t1136.xlsx</v>
      </c>
      <c r="I735" s="4" t="str" cm="1">
        <f t="array" ref="I735">INDEX(Sheet1!E:E,$G735)</f>
        <v>Sheet1</v>
      </c>
      <c r="J735" s="4" t="str" cm="1">
        <f t="array" ref="J735">IF($C735&gt;=25,INDEX(Sheet1!G:G,$G735),INDEX(Sheet1!F:F,$G735))</f>
        <v>B25</v>
      </c>
      <c r="K735" s="4" cm="1">
        <f t="array" ref="K735">INDEX(Sheet1!H:H,$G735)</f>
        <v>1</v>
      </c>
      <c r="L735" s="4">
        <f t="shared" si="44"/>
        <v>0</v>
      </c>
      <c r="M735" s="4">
        <f t="shared" si="45"/>
        <v>7</v>
      </c>
    </row>
    <row r="736" spans="1:13">
      <c r="A736" s="4" t="str" cm="1">
        <f t="array" ref="A736">INDEX(Sheet1!A:A,$F736)</f>
        <v>M</v>
      </c>
      <c r="B736" s="4" t="str" cm="1">
        <f t="array" ref="B736">INDEX(Sheet1!B:B,$F736)</f>
        <v>Non-Pref SM</v>
      </c>
      <c r="C736" s="4">
        <f t="shared" si="46"/>
        <v>8</v>
      </c>
      <c r="D736" s="5" cm="1">
        <f t="array" aca="1" ref="D736" ca="1">OFFSET(INDIRECT("'["&amp;$H736&amp;"]"&amp;$I736&amp;"'!"&amp;$J736),$L736,$M736)*$K736</f>
        <v>2.2000000000000001E-4</v>
      </c>
      <c r="F736" s="4">
        <f t="shared" si="47"/>
        <v>8</v>
      </c>
      <c r="G736" s="4" cm="1">
        <f t="array" ref="G736">IF($C736&gt;=25,F736,IF($C736&lt;16,INDEX(Sheet1!C:C,$F736),$F736))</f>
        <v>10</v>
      </c>
      <c r="H736" s="4" t="str" cm="1">
        <f t="array" ref="H736">INDEX(Sheet1!D:D,$G736)</f>
        <v>t1136.xlsx</v>
      </c>
      <c r="I736" s="4" t="str" cm="1">
        <f t="array" ref="I736">INDEX(Sheet1!E:E,$G736)</f>
        <v>Sheet1</v>
      </c>
      <c r="J736" s="4" t="str" cm="1">
        <f t="array" ref="J736">IF($C736&gt;=25,INDEX(Sheet1!G:G,$G736),INDEX(Sheet1!F:F,$G736))</f>
        <v>B25</v>
      </c>
      <c r="K736" s="4" cm="1">
        <f t="array" ref="K736">INDEX(Sheet1!H:H,$G736)</f>
        <v>1</v>
      </c>
      <c r="L736" s="4">
        <f t="shared" si="44"/>
        <v>0</v>
      </c>
      <c r="M736" s="4">
        <f t="shared" si="45"/>
        <v>8</v>
      </c>
    </row>
    <row r="737" spans="1:13">
      <c r="A737" s="4" t="str" cm="1">
        <f t="array" ref="A737">INDEX(Sheet1!A:A,$F737)</f>
        <v>M</v>
      </c>
      <c r="B737" s="4" t="str" cm="1">
        <f t="array" ref="B737">INDEX(Sheet1!B:B,$F737)</f>
        <v>Non-Pref SM</v>
      </c>
      <c r="C737" s="4">
        <f t="shared" si="46"/>
        <v>9</v>
      </c>
      <c r="D737" s="5" cm="1">
        <f t="array" aca="1" ref="D737" ca="1">OFFSET(INDIRECT("'["&amp;$H737&amp;"]"&amp;$I737&amp;"'!"&amp;$J737),$L737,$M737)*$K737</f>
        <v>2.3000000000000001E-4</v>
      </c>
      <c r="F737" s="4">
        <f t="shared" si="47"/>
        <v>8</v>
      </c>
      <c r="G737" s="4" cm="1">
        <f t="array" ref="G737">IF($C737&gt;=25,F737,IF($C737&lt;16,INDEX(Sheet1!C:C,$F737),$F737))</f>
        <v>10</v>
      </c>
      <c r="H737" s="4" t="str" cm="1">
        <f t="array" ref="H737">INDEX(Sheet1!D:D,$G737)</f>
        <v>t1136.xlsx</v>
      </c>
      <c r="I737" s="4" t="str" cm="1">
        <f t="array" ref="I737">INDEX(Sheet1!E:E,$G737)</f>
        <v>Sheet1</v>
      </c>
      <c r="J737" s="4" t="str" cm="1">
        <f t="array" ref="J737">IF($C737&gt;=25,INDEX(Sheet1!G:G,$G737),INDEX(Sheet1!F:F,$G737))</f>
        <v>B25</v>
      </c>
      <c r="K737" s="4" cm="1">
        <f t="array" ref="K737">INDEX(Sheet1!H:H,$G737)</f>
        <v>1</v>
      </c>
      <c r="L737" s="4">
        <f t="shared" si="44"/>
        <v>0</v>
      </c>
      <c r="M737" s="4">
        <f t="shared" si="45"/>
        <v>9</v>
      </c>
    </row>
    <row r="738" spans="1:13">
      <c r="A738" s="4" t="str" cm="1">
        <f t="array" ref="A738">INDEX(Sheet1!A:A,$F738)</f>
        <v>M</v>
      </c>
      <c r="B738" s="4" t="str" cm="1">
        <f t="array" ref="B738">INDEX(Sheet1!B:B,$F738)</f>
        <v>Non-Pref SM</v>
      </c>
      <c r="C738" s="4">
        <f t="shared" si="46"/>
        <v>10</v>
      </c>
      <c r="D738" s="5" cm="1">
        <f t="array" aca="1" ref="D738" ca="1">OFFSET(INDIRECT("'["&amp;$H738&amp;"]"&amp;$I738&amp;"'!"&amp;$J738),$L738,$M738)*$K738</f>
        <v>2.3000000000000001E-4</v>
      </c>
      <c r="F738" s="4">
        <f t="shared" si="47"/>
        <v>8</v>
      </c>
      <c r="G738" s="4" cm="1">
        <f t="array" ref="G738">IF($C738&gt;=25,F738,IF($C738&lt;16,INDEX(Sheet1!C:C,$F738),$F738))</f>
        <v>10</v>
      </c>
      <c r="H738" s="4" t="str" cm="1">
        <f t="array" ref="H738">INDEX(Sheet1!D:D,$G738)</f>
        <v>t1136.xlsx</v>
      </c>
      <c r="I738" s="4" t="str" cm="1">
        <f t="array" ref="I738">INDEX(Sheet1!E:E,$G738)</f>
        <v>Sheet1</v>
      </c>
      <c r="J738" s="4" t="str" cm="1">
        <f t="array" ref="J738">IF($C738&gt;=25,INDEX(Sheet1!G:G,$G738),INDEX(Sheet1!F:F,$G738))</f>
        <v>B25</v>
      </c>
      <c r="K738" s="4" cm="1">
        <f t="array" ref="K738">INDEX(Sheet1!H:H,$G738)</f>
        <v>1</v>
      </c>
      <c r="L738" s="4">
        <f t="shared" si="44"/>
        <v>0</v>
      </c>
      <c r="M738" s="4">
        <f t="shared" si="45"/>
        <v>10</v>
      </c>
    </row>
    <row r="739" spans="1:13">
      <c r="A739" s="4" t="str" cm="1">
        <f t="array" ref="A739">INDEX(Sheet1!A:A,$F739)</f>
        <v>M</v>
      </c>
      <c r="B739" s="4" t="str" cm="1">
        <f t="array" ref="B739">INDEX(Sheet1!B:B,$F739)</f>
        <v>Non-Pref SM</v>
      </c>
      <c r="C739" s="4">
        <f t="shared" si="46"/>
        <v>11</v>
      </c>
      <c r="D739" s="5" cm="1">
        <f t="array" aca="1" ref="D739" ca="1">OFFSET(INDIRECT("'["&amp;$H739&amp;"]"&amp;$I739&amp;"'!"&amp;$J739),$L739,$M739)*$K739</f>
        <v>2.7E-4</v>
      </c>
      <c r="F739" s="4">
        <f t="shared" si="47"/>
        <v>8</v>
      </c>
      <c r="G739" s="4" cm="1">
        <f t="array" ref="G739">IF($C739&gt;=25,F739,IF($C739&lt;16,INDEX(Sheet1!C:C,$F739),$F739))</f>
        <v>10</v>
      </c>
      <c r="H739" s="4" t="str" cm="1">
        <f t="array" ref="H739">INDEX(Sheet1!D:D,$G739)</f>
        <v>t1136.xlsx</v>
      </c>
      <c r="I739" s="4" t="str" cm="1">
        <f t="array" ref="I739">INDEX(Sheet1!E:E,$G739)</f>
        <v>Sheet1</v>
      </c>
      <c r="J739" s="4" t="str" cm="1">
        <f t="array" ref="J739">IF($C739&gt;=25,INDEX(Sheet1!G:G,$G739),INDEX(Sheet1!F:F,$G739))</f>
        <v>B25</v>
      </c>
      <c r="K739" s="4" cm="1">
        <f t="array" ref="K739">INDEX(Sheet1!H:H,$G739)</f>
        <v>1</v>
      </c>
      <c r="L739" s="4">
        <f t="shared" si="44"/>
        <v>0</v>
      </c>
      <c r="M739" s="4">
        <f t="shared" si="45"/>
        <v>11</v>
      </c>
    </row>
    <row r="740" spans="1:13">
      <c r="A740" s="4" t="str" cm="1">
        <f t="array" ref="A740">INDEX(Sheet1!A:A,$F740)</f>
        <v>M</v>
      </c>
      <c r="B740" s="4" t="str" cm="1">
        <f t="array" ref="B740">INDEX(Sheet1!B:B,$F740)</f>
        <v>Non-Pref SM</v>
      </c>
      <c r="C740" s="4">
        <f t="shared" si="46"/>
        <v>12</v>
      </c>
      <c r="D740" s="5" cm="1">
        <f t="array" aca="1" ref="D740" ca="1">OFFSET(INDIRECT("'["&amp;$H740&amp;"]"&amp;$I740&amp;"'!"&amp;$J740),$L740,$M740)*$K740</f>
        <v>3.3E-4</v>
      </c>
      <c r="F740" s="4">
        <f t="shared" si="47"/>
        <v>8</v>
      </c>
      <c r="G740" s="4" cm="1">
        <f t="array" ref="G740">IF($C740&gt;=25,F740,IF($C740&lt;16,INDEX(Sheet1!C:C,$F740),$F740))</f>
        <v>10</v>
      </c>
      <c r="H740" s="4" t="str" cm="1">
        <f t="array" ref="H740">INDEX(Sheet1!D:D,$G740)</f>
        <v>t1136.xlsx</v>
      </c>
      <c r="I740" s="4" t="str" cm="1">
        <f t="array" ref="I740">INDEX(Sheet1!E:E,$G740)</f>
        <v>Sheet1</v>
      </c>
      <c r="J740" s="4" t="str" cm="1">
        <f t="array" ref="J740">IF($C740&gt;=25,INDEX(Sheet1!G:G,$G740),INDEX(Sheet1!F:F,$G740))</f>
        <v>B25</v>
      </c>
      <c r="K740" s="4" cm="1">
        <f t="array" ref="K740">INDEX(Sheet1!H:H,$G740)</f>
        <v>1</v>
      </c>
      <c r="L740" s="4">
        <f t="shared" si="44"/>
        <v>0</v>
      </c>
      <c r="M740" s="4">
        <f t="shared" si="45"/>
        <v>12</v>
      </c>
    </row>
    <row r="741" spans="1:13">
      <c r="A741" s="4" t="str" cm="1">
        <f t="array" ref="A741">INDEX(Sheet1!A:A,$F741)</f>
        <v>M</v>
      </c>
      <c r="B741" s="4" t="str" cm="1">
        <f t="array" ref="B741">INDEX(Sheet1!B:B,$F741)</f>
        <v>Non-Pref SM</v>
      </c>
      <c r="C741" s="4">
        <f t="shared" si="46"/>
        <v>13</v>
      </c>
      <c r="D741" s="5" cm="1">
        <f t="array" aca="1" ref="D741" ca="1">OFFSET(INDIRECT("'["&amp;$H741&amp;"]"&amp;$I741&amp;"'!"&amp;$J741),$L741,$M741)*$K741</f>
        <v>3.8999999999999999E-4</v>
      </c>
      <c r="F741" s="4">
        <f t="shared" si="47"/>
        <v>8</v>
      </c>
      <c r="G741" s="4" cm="1">
        <f t="array" ref="G741">IF($C741&gt;=25,F741,IF($C741&lt;16,INDEX(Sheet1!C:C,$F741),$F741))</f>
        <v>10</v>
      </c>
      <c r="H741" s="4" t="str" cm="1">
        <f t="array" ref="H741">INDEX(Sheet1!D:D,$G741)</f>
        <v>t1136.xlsx</v>
      </c>
      <c r="I741" s="4" t="str" cm="1">
        <f t="array" ref="I741">INDEX(Sheet1!E:E,$G741)</f>
        <v>Sheet1</v>
      </c>
      <c r="J741" s="4" t="str" cm="1">
        <f t="array" ref="J741">IF($C741&gt;=25,INDEX(Sheet1!G:G,$G741),INDEX(Sheet1!F:F,$G741))</f>
        <v>B25</v>
      </c>
      <c r="K741" s="4" cm="1">
        <f t="array" ref="K741">INDEX(Sheet1!H:H,$G741)</f>
        <v>1</v>
      </c>
      <c r="L741" s="4">
        <f t="shared" si="44"/>
        <v>0</v>
      </c>
      <c r="M741" s="4">
        <f t="shared" si="45"/>
        <v>13</v>
      </c>
    </row>
    <row r="742" spans="1:13">
      <c r="A742" s="4" t="str" cm="1">
        <f t="array" ref="A742">INDEX(Sheet1!A:A,$F742)</f>
        <v>M</v>
      </c>
      <c r="B742" s="4" t="str" cm="1">
        <f t="array" ref="B742">INDEX(Sheet1!B:B,$F742)</f>
        <v>Non-Pref SM</v>
      </c>
      <c r="C742" s="4">
        <f t="shared" si="46"/>
        <v>14</v>
      </c>
      <c r="D742" s="5" cm="1">
        <f t="array" aca="1" ref="D742" ca="1">OFFSET(INDIRECT("'["&amp;$H742&amp;"]"&amp;$I742&amp;"'!"&amp;$J742),$L742,$M742)*$K742</f>
        <v>4.6999999999999999E-4</v>
      </c>
      <c r="F742" s="4">
        <f t="shared" si="47"/>
        <v>8</v>
      </c>
      <c r="G742" s="4" cm="1">
        <f t="array" ref="G742">IF($C742&gt;=25,F742,IF($C742&lt;16,INDEX(Sheet1!C:C,$F742),$F742))</f>
        <v>10</v>
      </c>
      <c r="H742" s="4" t="str" cm="1">
        <f t="array" ref="H742">INDEX(Sheet1!D:D,$G742)</f>
        <v>t1136.xlsx</v>
      </c>
      <c r="I742" s="4" t="str" cm="1">
        <f t="array" ref="I742">INDEX(Sheet1!E:E,$G742)</f>
        <v>Sheet1</v>
      </c>
      <c r="J742" s="4" t="str" cm="1">
        <f t="array" ref="J742">IF($C742&gt;=25,INDEX(Sheet1!G:G,$G742),INDEX(Sheet1!F:F,$G742))</f>
        <v>B25</v>
      </c>
      <c r="K742" s="4" cm="1">
        <f t="array" ref="K742">INDEX(Sheet1!H:H,$G742)</f>
        <v>1</v>
      </c>
      <c r="L742" s="4">
        <f t="shared" si="44"/>
        <v>0</v>
      </c>
      <c r="M742" s="4">
        <f t="shared" si="45"/>
        <v>14</v>
      </c>
    </row>
    <row r="743" spans="1:13">
      <c r="A743" s="4" t="str" cm="1">
        <f t="array" ref="A743">INDEX(Sheet1!A:A,$F743)</f>
        <v>M</v>
      </c>
      <c r="B743" s="4" t="str" cm="1">
        <f t="array" ref="B743">INDEX(Sheet1!B:B,$F743)</f>
        <v>Non-Pref SM</v>
      </c>
      <c r="C743" s="4">
        <f t="shared" si="46"/>
        <v>15</v>
      </c>
      <c r="D743" s="5" cm="1">
        <f t="array" aca="1" ref="D743" ca="1">OFFSET(INDIRECT("'["&amp;$H743&amp;"]"&amp;$I743&amp;"'!"&amp;$J743),$L743,$M743)*$K743</f>
        <v>6.0999999999999997E-4</v>
      </c>
      <c r="F743" s="4">
        <f t="shared" si="47"/>
        <v>8</v>
      </c>
      <c r="G743" s="4" cm="1">
        <f t="array" ref="G743">IF($C743&gt;=25,F743,IF($C743&lt;16,INDEX(Sheet1!C:C,$F743),$F743))</f>
        <v>10</v>
      </c>
      <c r="H743" s="4" t="str" cm="1">
        <f t="array" ref="H743">INDEX(Sheet1!D:D,$G743)</f>
        <v>t1136.xlsx</v>
      </c>
      <c r="I743" s="4" t="str" cm="1">
        <f t="array" ref="I743">INDEX(Sheet1!E:E,$G743)</f>
        <v>Sheet1</v>
      </c>
      <c r="J743" s="4" t="str" cm="1">
        <f t="array" ref="J743">IF($C743&gt;=25,INDEX(Sheet1!G:G,$G743),INDEX(Sheet1!F:F,$G743))</f>
        <v>B25</v>
      </c>
      <c r="K743" s="4" cm="1">
        <f t="array" ref="K743">INDEX(Sheet1!H:H,$G743)</f>
        <v>1</v>
      </c>
      <c r="L743" s="4">
        <f t="shared" si="44"/>
        <v>0</v>
      </c>
      <c r="M743" s="4">
        <f t="shared" si="45"/>
        <v>15</v>
      </c>
    </row>
    <row r="744" spans="1:13">
      <c r="A744" s="4" t="str" cm="1">
        <f t="array" ref="A744">INDEX(Sheet1!A:A,$F744)</f>
        <v>M</v>
      </c>
      <c r="B744" s="4" t="str" cm="1">
        <f t="array" ref="B744">INDEX(Sheet1!B:B,$F744)</f>
        <v>Non-Pref SM</v>
      </c>
      <c r="C744" s="4">
        <f t="shared" si="46"/>
        <v>16</v>
      </c>
      <c r="D744" s="5" cm="1">
        <f t="array" aca="1" ref="D744" ca="1">OFFSET(INDIRECT("'["&amp;$H744&amp;"]"&amp;$I744&amp;"'!"&amp;$J744),$L744,$M744)*$K744</f>
        <v>8.8000000000000003E-4</v>
      </c>
      <c r="F744" s="4">
        <f t="shared" si="47"/>
        <v>8</v>
      </c>
      <c r="G744" s="4" cm="1">
        <f t="array" ref="G744">IF($C744&gt;=25,F744,IF($C744&lt;16,INDEX(Sheet1!C:C,$F744),$F744))</f>
        <v>8</v>
      </c>
      <c r="H744" s="4" t="str" cm="1">
        <f t="array" ref="H744">INDEX(Sheet1!D:D,$G744)</f>
        <v>2001-cso-preferred-class-structure-mortality-tables.xls</v>
      </c>
      <c r="I744" s="4" t="str" cm="1">
        <f t="array" ref="I744">INDEX(Sheet1!E:E,$G744)</f>
        <v>A.1.a.v</v>
      </c>
      <c r="J744" s="4" t="str" cm="1">
        <f t="array" ref="J744">IF($C744&gt;=25,INDEX(Sheet1!G:G,$G744),INDEX(Sheet1!F:F,$G744))</f>
        <v>B8</v>
      </c>
      <c r="K744" s="4" cm="1">
        <f t="array" ref="K744">INDEX(Sheet1!H:H,$G744)</f>
        <v>1E-3</v>
      </c>
      <c r="L744" s="4">
        <f t="shared" si="44"/>
        <v>0</v>
      </c>
      <c r="M744" s="4">
        <f t="shared" si="45"/>
        <v>16</v>
      </c>
    </row>
    <row r="745" spans="1:13">
      <c r="A745" s="4" t="str" cm="1">
        <f t="array" ref="A745">INDEX(Sheet1!A:A,$F745)</f>
        <v>M</v>
      </c>
      <c r="B745" s="4" t="str" cm="1">
        <f t="array" ref="B745">INDEX(Sheet1!B:B,$F745)</f>
        <v>Non-Pref SM</v>
      </c>
      <c r="C745" s="4">
        <f t="shared" si="46"/>
        <v>17</v>
      </c>
      <c r="D745" s="5" cm="1">
        <f t="array" aca="1" ref="D745" ca="1">OFFSET(INDIRECT("'["&amp;$H745&amp;"]"&amp;$I745&amp;"'!"&amp;$J745),$L745,$M745)*$K745</f>
        <v>1.08E-3</v>
      </c>
      <c r="F745" s="4">
        <f t="shared" si="47"/>
        <v>8</v>
      </c>
      <c r="G745" s="4" cm="1">
        <f t="array" ref="G745">IF($C745&gt;=25,F745,IF($C745&lt;16,INDEX(Sheet1!C:C,$F745),$F745))</f>
        <v>8</v>
      </c>
      <c r="H745" s="4" t="str" cm="1">
        <f t="array" ref="H745">INDEX(Sheet1!D:D,$G745)</f>
        <v>2001-cso-preferred-class-structure-mortality-tables.xls</v>
      </c>
      <c r="I745" s="4" t="str" cm="1">
        <f t="array" ref="I745">INDEX(Sheet1!E:E,$G745)</f>
        <v>A.1.a.v</v>
      </c>
      <c r="J745" s="4" t="str" cm="1">
        <f t="array" ref="J745">IF($C745&gt;=25,INDEX(Sheet1!G:G,$G745),INDEX(Sheet1!F:F,$G745))</f>
        <v>B8</v>
      </c>
      <c r="K745" s="4" cm="1">
        <f t="array" ref="K745">INDEX(Sheet1!H:H,$G745)</f>
        <v>1E-3</v>
      </c>
      <c r="L745" s="4">
        <f t="shared" si="44"/>
        <v>0</v>
      </c>
      <c r="M745" s="4">
        <f t="shared" si="45"/>
        <v>17</v>
      </c>
    </row>
    <row r="746" spans="1:13">
      <c r="A746" s="4" t="str" cm="1">
        <f t="array" ref="A746">INDEX(Sheet1!A:A,$F746)</f>
        <v>M</v>
      </c>
      <c r="B746" s="4" t="str" cm="1">
        <f t="array" ref="B746">INDEX(Sheet1!B:B,$F746)</f>
        <v>Non-Pref SM</v>
      </c>
      <c r="C746" s="4">
        <f t="shared" si="46"/>
        <v>18</v>
      </c>
      <c r="D746" s="5" cm="1">
        <f t="array" aca="1" ref="D746" ca="1">OFFSET(INDIRECT("'["&amp;$H746&amp;"]"&amp;$I746&amp;"'!"&amp;$J746),$L746,$M746)*$K746</f>
        <v>1.24E-3</v>
      </c>
      <c r="F746" s="4">
        <f t="shared" si="47"/>
        <v>8</v>
      </c>
      <c r="G746" s="4" cm="1">
        <f t="array" ref="G746">IF($C746&gt;=25,F746,IF($C746&lt;16,INDEX(Sheet1!C:C,$F746),$F746))</f>
        <v>8</v>
      </c>
      <c r="H746" s="4" t="str" cm="1">
        <f t="array" ref="H746">INDEX(Sheet1!D:D,$G746)</f>
        <v>2001-cso-preferred-class-structure-mortality-tables.xls</v>
      </c>
      <c r="I746" s="4" t="str" cm="1">
        <f t="array" ref="I746">INDEX(Sheet1!E:E,$G746)</f>
        <v>A.1.a.v</v>
      </c>
      <c r="J746" s="4" t="str" cm="1">
        <f t="array" ref="J746">IF($C746&gt;=25,INDEX(Sheet1!G:G,$G746),INDEX(Sheet1!F:F,$G746))</f>
        <v>B8</v>
      </c>
      <c r="K746" s="4" cm="1">
        <f t="array" ref="K746">INDEX(Sheet1!H:H,$G746)</f>
        <v>1E-3</v>
      </c>
      <c r="L746" s="4">
        <f t="shared" si="44"/>
        <v>0</v>
      </c>
      <c r="M746" s="4">
        <f t="shared" si="45"/>
        <v>18</v>
      </c>
    </row>
    <row r="747" spans="1:13">
      <c r="A747" s="4" t="str" cm="1">
        <f t="array" ref="A747">INDEX(Sheet1!A:A,$F747)</f>
        <v>M</v>
      </c>
      <c r="B747" s="4" t="str" cm="1">
        <f t="array" ref="B747">INDEX(Sheet1!B:B,$F747)</f>
        <v>Non-Pref SM</v>
      </c>
      <c r="C747" s="4">
        <f t="shared" si="46"/>
        <v>19</v>
      </c>
      <c r="D747" s="5" cm="1">
        <f t="array" aca="1" ref="D747" ca="1">OFFSET(INDIRECT("'["&amp;$H747&amp;"]"&amp;$I747&amp;"'!"&amp;$J747),$L747,$M747)*$K747</f>
        <v>1.3500000000000001E-3</v>
      </c>
      <c r="F747" s="4">
        <f t="shared" si="47"/>
        <v>8</v>
      </c>
      <c r="G747" s="4" cm="1">
        <f t="array" ref="G747">IF($C747&gt;=25,F747,IF($C747&lt;16,INDEX(Sheet1!C:C,$F747),$F747))</f>
        <v>8</v>
      </c>
      <c r="H747" s="4" t="str" cm="1">
        <f t="array" ref="H747">INDEX(Sheet1!D:D,$G747)</f>
        <v>2001-cso-preferred-class-structure-mortality-tables.xls</v>
      </c>
      <c r="I747" s="4" t="str" cm="1">
        <f t="array" ref="I747">INDEX(Sheet1!E:E,$G747)</f>
        <v>A.1.a.v</v>
      </c>
      <c r="J747" s="4" t="str" cm="1">
        <f t="array" ref="J747">IF($C747&gt;=25,INDEX(Sheet1!G:G,$G747),INDEX(Sheet1!F:F,$G747))</f>
        <v>B8</v>
      </c>
      <c r="K747" s="4" cm="1">
        <f t="array" ref="K747">INDEX(Sheet1!H:H,$G747)</f>
        <v>1E-3</v>
      </c>
      <c r="L747" s="4">
        <f t="shared" si="44"/>
        <v>0</v>
      </c>
      <c r="M747" s="4">
        <f t="shared" si="45"/>
        <v>19</v>
      </c>
    </row>
    <row r="748" spans="1:13">
      <c r="A748" s="4" t="str" cm="1">
        <f t="array" ref="A748">INDEX(Sheet1!A:A,$F748)</f>
        <v>M</v>
      </c>
      <c r="B748" s="4" t="str" cm="1">
        <f t="array" ref="B748">INDEX(Sheet1!B:B,$F748)</f>
        <v>Non-Pref SM</v>
      </c>
      <c r="C748" s="4">
        <f t="shared" si="46"/>
        <v>20</v>
      </c>
      <c r="D748" s="5" cm="1">
        <f t="array" aca="1" ref="D748" ca="1">OFFSET(INDIRECT("'["&amp;$H748&amp;"]"&amp;$I748&amp;"'!"&amp;$J748),$L748,$M748)*$K748</f>
        <v>1.4300000000000001E-3</v>
      </c>
      <c r="F748" s="4">
        <f t="shared" si="47"/>
        <v>8</v>
      </c>
      <c r="G748" s="4" cm="1">
        <f t="array" ref="G748">IF($C748&gt;=25,F748,IF($C748&lt;16,INDEX(Sheet1!C:C,$F748),$F748))</f>
        <v>8</v>
      </c>
      <c r="H748" s="4" t="str" cm="1">
        <f t="array" ref="H748">INDEX(Sheet1!D:D,$G748)</f>
        <v>2001-cso-preferred-class-structure-mortality-tables.xls</v>
      </c>
      <c r="I748" s="4" t="str" cm="1">
        <f t="array" ref="I748">INDEX(Sheet1!E:E,$G748)</f>
        <v>A.1.a.v</v>
      </c>
      <c r="J748" s="4" t="str" cm="1">
        <f t="array" ref="J748">IF($C748&gt;=25,INDEX(Sheet1!G:G,$G748),INDEX(Sheet1!F:F,$G748))</f>
        <v>B8</v>
      </c>
      <c r="K748" s="4" cm="1">
        <f t="array" ref="K748">INDEX(Sheet1!H:H,$G748)</f>
        <v>1E-3</v>
      </c>
      <c r="L748" s="4">
        <f t="shared" si="44"/>
        <v>0</v>
      </c>
      <c r="M748" s="4">
        <f t="shared" si="45"/>
        <v>20</v>
      </c>
    </row>
    <row r="749" spans="1:13">
      <c r="A749" s="4" t="str" cm="1">
        <f t="array" ref="A749">INDEX(Sheet1!A:A,$F749)</f>
        <v>M</v>
      </c>
      <c r="B749" s="4" t="str" cm="1">
        <f t="array" ref="B749">INDEX(Sheet1!B:B,$F749)</f>
        <v>Non-Pref SM</v>
      </c>
      <c r="C749" s="4">
        <f t="shared" si="46"/>
        <v>21</v>
      </c>
      <c r="D749" s="5" cm="1">
        <f t="array" aca="1" ref="D749" ca="1">OFFSET(INDIRECT("'["&amp;$H749&amp;"]"&amp;$I749&amp;"'!"&amp;$J749),$L749,$M749)*$K749</f>
        <v>1.49E-3</v>
      </c>
      <c r="F749" s="4">
        <f t="shared" si="47"/>
        <v>8</v>
      </c>
      <c r="G749" s="4" cm="1">
        <f t="array" ref="G749">IF($C749&gt;=25,F749,IF($C749&lt;16,INDEX(Sheet1!C:C,$F749),$F749))</f>
        <v>8</v>
      </c>
      <c r="H749" s="4" t="str" cm="1">
        <f t="array" ref="H749">INDEX(Sheet1!D:D,$G749)</f>
        <v>2001-cso-preferred-class-structure-mortality-tables.xls</v>
      </c>
      <c r="I749" s="4" t="str" cm="1">
        <f t="array" ref="I749">INDEX(Sheet1!E:E,$G749)</f>
        <v>A.1.a.v</v>
      </c>
      <c r="J749" s="4" t="str" cm="1">
        <f t="array" ref="J749">IF($C749&gt;=25,INDEX(Sheet1!G:G,$G749),INDEX(Sheet1!F:F,$G749))</f>
        <v>B8</v>
      </c>
      <c r="K749" s="4" cm="1">
        <f t="array" ref="K749">INDEX(Sheet1!H:H,$G749)</f>
        <v>1E-3</v>
      </c>
      <c r="L749" s="4">
        <f t="shared" si="44"/>
        <v>0</v>
      </c>
      <c r="M749" s="4">
        <f t="shared" si="45"/>
        <v>21</v>
      </c>
    </row>
    <row r="750" spans="1:13">
      <c r="A750" s="4" t="str" cm="1">
        <f t="array" ref="A750">INDEX(Sheet1!A:A,$F750)</f>
        <v>M</v>
      </c>
      <c r="B750" s="4" t="str" cm="1">
        <f t="array" ref="B750">INDEX(Sheet1!B:B,$F750)</f>
        <v>Non-Pref SM</v>
      </c>
      <c r="C750" s="4">
        <f t="shared" si="46"/>
        <v>22</v>
      </c>
      <c r="D750" s="5" cm="1">
        <f t="array" aca="1" ref="D750" ca="1">OFFSET(INDIRECT("'["&amp;$H750&amp;"]"&amp;$I750&amp;"'!"&amp;$J750),$L750,$M750)*$K750</f>
        <v>1.5600000000000002E-3</v>
      </c>
      <c r="F750" s="4">
        <f t="shared" si="47"/>
        <v>8</v>
      </c>
      <c r="G750" s="4" cm="1">
        <f t="array" ref="G750">IF($C750&gt;=25,F750,IF($C750&lt;16,INDEX(Sheet1!C:C,$F750),$F750))</f>
        <v>8</v>
      </c>
      <c r="H750" s="4" t="str" cm="1">
        <f t="array" ref="H750">INDEX(Sheet1!D:D,$G750)</f>
        <v>2001-cso-preferred-class-structure-mortality-tables.xls</v>
      </c>
      <c r="I750" s="4" t="str" cm="1">
        <f t="array" ref="I750">INDEX(Sheet1!E:E,$G750)</f>
        <v>A.1.a.v</v>
      </c>
      <c r="J750" s="4" t="str" cm="1">
        <f t="array" ref="J750">IF($C750&gt;=25,INDEX(Sheet1!G:G,$G750),INDEX(Sheet1!F:F,$G750))</f>
        <v>B8</v>
      </c>
      <c r="K750" s="4" cm="1">
        <f t="array" ref="K750">INDEX(Sheet1!H:H,$G750)</f>
        <v>1E-3</v>
      </c>
      <c r="L750" s="4">
        <f t="shared" si="44"/>
        <v>0</v>
      </c>
      <c r="M750" s="4">
        <f t="shared" si="45"/>
        <v>22</v>
      </c>
    </row>
    <row r="751" spans="1:13">
      <c r="A751" s="4" t="str" cm="1">
        <f t="array" ref="A751">INDEX(Sheet1!A:A,$F751)</f>
        <v>M</v>
      </c>
      <c r="B751" s="4" t="str" cm="1">
        <f t="array" ref="B751">INDEX(Sheet1!B:B,$F751)</f>
        <v>Non-Pref SM</v>
      </c>
      <c r="C751" s="4">
        <f t="shared" si="46"/>
        <v>23</v>
      </c>
      <c r="D751" s="5" cm="1">
        <f t="array" aca="1" ref="D751" ca="1">OFFSET(INDIRECT("'["&amp;$H751&amp;"]"&amp;$I751&amp;"'!"&amp;$J751),$L751,$M751)*$K751</f>
        <v>1.6299999999999999E-3</v>
      </c>
      <c r="F751" s="4">
        <f t="shared" si="47"/>
        <v>8</v>
      </c>
      <c r="G751" s="4" cm="1">
        <f t="array" ref="G751">IF($C751&gt;=25,F751,IF($C751&lt;16,INDEX(Sheet1!C:C,$F751),$F751))</f>
        <v>8</v>
      </c>
      <c r="H751" s="4" t="str" cm="1">
        <f t="array" ref="H751">INDEX(Sheet1!D:D,$G751)</f>
        <v>2001-cso-preferred-class-structure-mortality-tables.xls</v>
      </c>
      <c r="I751" s="4" t="str" cm="1">
        <f t="array" ref="I751">INDEX(Sheet1!E:E,$G751)</f>
        <v>A.1.a.v</v>
      </c>
      <c r="J751" s="4" t="str" cm="1">
        <f t="array" ref="J751">IF($C751&gt;=25,INDEX(Sheet1!G:G,$G751),INDEX(Sheet1!F:F,$G751))</f>
        <v>B8</v>
      </c>
      <c r="K751" s="4" cm="1">
        <f t="array" ref="K751">INDEX(Sheet1!H:H,$G751)</f>
        <v>1E-3</v>
      </c>
      <c r="L751" s="4">
        <f t="shared" si="44"/>
        <v>0</v>
      </c>
      <c r="M751" s="4">
        <f t="shared" si="45"/>
        <v>23</v>
      </c>
    </row>
    <row r="752" spans="1:13">
      <c r="A752" s="4" t="str" cm="1">
        <f t="array" ref="A752">INDEX(Sheet1!A:A,$F752)</f>
        <v>M</v>
      </c>
      <c r="B752" s="4" t="str" cm="1">
        <f t="array" ref="B752">INDEX(Sheet1!B:B,$F752)</f>
        <v>Non-Pref SM</v>
      </c>
      <c r="C752" s="4">
        <f t="shared" si="46"/>
        <v>24</v>
      </c>
      <c r="D752" s="5" cm="1">
        <f t="array" aca="1" ref="D752" ca="1">OFFSET(INDIRECT("'["&amp;$H752&amp;"]"&amp;$I752&amp;"'!"&amp;$J752),$L752,$M752)*$K752</f>
        <v>1.72E-3</v>
      </c>
      <c r="F752" s="4">
        <f t="shared" si="47"/>
        <v>8</v>
      </c>
      <c r="G752" s="4" cm="1">
        <f t="array" ref="G752">IF($C752&gt;=25,F752,IF($C752&lt;16,INDEX(Sheet1!C:C,$F752),$F752))</f>
        <v>8</v>
      </c>
      <c r="H752" s="4" t="str" cm="1">
        <f t="array" ref="H752">INDEX(Sheet1!D:D,$G752)</f>
        <v>2001-cso-preferred-class-structure-mortality-tables.xls</v>
      </c>
      <c r="I752" s="4" t="str" cm="1">
        <f t="array" ref="I752">INDEX(Sheet1!E:E,$G752)</f>
        <v>A.1.a.v</v>
      </c>
      <c r="J752" s="4" t="str" cm="1">
        <f t="array" ref="J752">IF($C752&gt;=25,INDEX(Sheet1!G:G,$G752),INDEX(Sheet1!F:F,$G752))</f>
        <v>B8</v>
      </c>
      <c r="K752" s="4" cm="1">
        <f t="array" ref="K752">INDEX(Sheet1!H:H,$G752)</f>
        <v>1E-3</v>
      </c>
      <c r="L752" s="4">
        <f t="shared" si="44"/>
        <v>0</v>
      </c>
      <c r="M752" s="4">
        <f t="shared" si="45"/>
        <v>24</v>
      </c>
    </row>
    <row r="753" spans="1:13">
      <c r="A753" s="4" t="str" cm="1">
        <f t="array" ref="A753">INDEX(Sheet1!A:A,$F753)</f>
        <v>M</v>
      </c>
      <c r="B753" s="4" t="str" cm="1">
        <f t="array" ref="B753">INDEX(Sheet1!B:B,$F753)</f>
        <v>Non-Pref SM</v>
      </c>
      <c r="C753" s="4">
        <f t="shared" si="46"/>
        <v>25</v>
      </c>
      <c r="D753" s="5" cm="1">
        <f t="array" aca="1" ref="D753" ca="1">OFFSET(INDIRECT("'["&amp;$H753&amp;"]"&amp;$I753&amp;"'!"&amp;$J753),$L753,$M753)*$K753</f>
        <v>1.82E-3</v>
      </c>
      <c r="F753" s="4">
        <f t="shared" si="47"/>
        <v>8</v>
      </c>
      <c r="G753" s="4" cm="1">
        <f t="array" ref="G753">IF($C753&gt;=25,F753,IF($C753&lt;16,INDEX(Sheet1!C:C,$F753),$F753))</f>
        <v>8</v>
      </c>
      <c r="H753" s="4" t="str" cm="1">
        <f t="array" ref="H753">INDEX(Sheet1!D:D,$G753)</f>
        <v>2001-cso-preferred-class-structure-mortality-tables.xls</v>
      </c>
      <c r="I753" s="4" t="str" cm="1">
        <f t="array" ref="I753">INDEX(Sheet1!E:E,$G753)</f>
        <v>A.1.a.v</v>
      </c>
      <c r="J753" s="4" t="str" cm="1">
        <f t="array" ref="J753">IF($C753&gt;=25,INDEX(Sheet1!G:G,$G753),INDEX(Sheet1!F:F,$G753))</f>
        <v>AA8</v>
      </c>
      <c r="K753" s="4" cm="1">
        <f t="array" ref="K753">INDEX(Sheet1!H:H,$G753)</f>
        <v>1E-3</v>
      </c>
      <c r="L753" s="4">
        <f t="shared" si="44"/>
        <v>0</v>
      </c>
      <c r="M753" s="4">
        <f t="shared" si="45"/>
        <v>0</v>
      </c>
    </row>
    <row r="754" spans="1:13">
      <c r="A754" s="4" t="str" cm="1">
        <f t="array" ref="A754">INDEX(Sheet1!A:A,$F754)</f>
        <v>M</v>
      </c>
      <c r="B754" s="4" t="str" cm="1">
        <f t="array" ref="B754">INDEX(Sheet1!B:B,$F754)</f>
        <v>Non-Pref SM</v>
      </c>
      <c r="C754" s="4">
        <f t="shared" si="46"/>
        <v>26</v>
      </c>
      <c r="D754" s="5" cm="1">
        <f t="array" aca="1" ref="D754" ca="1">OFFSET(INDIRECT("'["&amp;$H754&amp;"]"&amp;$I754&amp;"'!"&amp;$J754),$L754,$M754)*$K754</f>
        <v>1.92E-3</v>
      </c>
      <c r="F754" s="4">
        <f t="shared" si="47"/>
        <v>8</v>
      </c>
      <c r="G754" s="4" cm="1">
        <f t="array" ref="G754">IF($C754&gt;=25,F754,IF($C754&lt;16,INDEX(Sheet1!C:C,$F754),$F754))</f>
        <v>8</v>
      </c>
      <c r="H754" s="4" t="str" cm="1">
        <f t="array" ref="H754">INDEX(Sheet1!D:D,$G754)</f>
        <v>2001-cso-preferred-class-structure-mortality-tables.xls</v>
      </c>
      <c r="I754" s="4" t="str" cm="1">
        <f t="array" ref="I754">INDEX(Sheet1!E:E,$G754)</f>
        <v>A.1.a.v</v>
      </c>
      <c r="J754" s="4" t="str" cm="1">
        <f t="array" ref="J754">IF($C754&gt;=25,INDEX(Sheet1!G:G,$G754),INDEX(Sheet1!F:F,$G754))</f>
        <v>AA8</v>
      </c>
      <c r="K754" s="4" cm="1">
        <f t="array" ref="K754">INDEX(Sheet1!H:H,$G754)</f>
        <v>1E-3</v>
      </c>
      <c r="L754" s="4">
        <f t="shared" si="44"/>
        <v>1</v>
      </c>
      <c r="M754" s="4">
        <f t="shared" si="45"/>
        <v>0</v>
      </c>
    </row>
    <row r="755" spans="1:13">
      <c r="A755" s="4" t="str" cm="1">
        <f t="array" ref="A755">INDEX(Sheet1!A:A,$F755)</f>
        <v>M</v>
      </c>
      <c r="B755" s="4" t="str" cm="1">
        <f t="array" ref="B755">INDEX(Sheet1!B:B,$F755)</f>
        <v>Non-Pref SM</v>
      </c>
      <c r="C755" s="4">
        <f t="shared" si="46"/>
        <v>27</v>
      </c>
      <c r="D755" s="5" cm="1">
        <f t="array" aca="1" ref="D755" ca="1">OFFSET(INDIRECT("'["&amp;$H755&amp;"]"&amp;$I755&amp;"'!"&amp;$J755),$L755,$M755)*$K755</f>
        <v>2.0200000000000001E-3</v>
      </c>
      <c r="F755" s="4">
        <f t="shared" si="47"/>
        <v>8</v>
      </c>
      <c r="G755" s="4" cm="1">
        <f t="array" ref="G755">IF($C755&gt;=25,F755,IF($C755&lt;16,INDEX(Sheet1!C:C,$F755),$F755))</f>
        <v>8</v>
      </c>
      <c r="H755" s="4" t="str" cm="1">
        <f t="array" ref="H755">INDEX(Sheet1!D:D,$G755)</f>
        <v>2001-cso-preferred-class-structure-mortality-tables.xls</v>
      </c>
      <c r="I755" s="4" t="str" cm="1">
        <f t="array" ref="I755">INDEX(Sheet1!E:E,$G755)</f>
        <v>A.1.a.v</v>
      </c>
      <c r="J755" s="4" t="str" cm="1">
        <f t="array" ref="J755">IF($C755&gt;=25,INDEX(Sheet1!G:G,$G755),INDEX(Sheet1!F:F,$G755))</f>
        <v>AA8</v>
      </c>
      <c r="K755" s="4" cm="1">
        <f t="array" ref="K755">INDEX(Sheet1!H:H,$G755)</f>
        <v>1E-3</v>
      </c>
      <c r="L755" s="4">
        <f t="shared" si="44"/>
        <v>2</v>
      </c>
      <c r="M755" s="4">
        <f t="shared" si="45"/>
        <v>0</v>
      </c>
    </row>
    <row r="756" spans="1:13">
      <c r="A756" s="4" t="str" cm="1">
        <f t="array" ref="A756">INDEX(Sheet1!A:A,$F756)</f>
        <v>M</v>
      </c>
      <c r="B756" s="4" t="str" cm="1">
        <f t="array" ref="B756">INDEX(Sheet1!B:B,$F756)</f>
        <v>Non-Pref SM</v>
      </c>
      <c r="C756" s="4">
        <f t="shared" si="46"/>
        <v>28</v>
      </c>
      <c r="D756" s="5" cm="1">
        <f t="array" aca="1" ref="D756" ca="1">OFFSET(INDIRECT("'["&amp;$H756&amp;"]"&amp;$I756&amp;"'!"&amp;$J756),$L756,$M756)*$K756</f>
        <v>2.0299999999999997E-3</v>
      </c>
      <c r="F756" s="4">
        <f t="shared" si="47"/>
        <v>8</v>
      </c>
      <c r="G756" s="4" cm="1">
        <f t="array" ref="G756">IF($C756&gt;=25,F756,IF($C756&lt;16,INDEX(Sheet1!C:C,$F756),$F756))</f>
        <v>8</v>
      </c>
      <c r="H756" s="4" t="str" cm="1">
        <f t="array" ref="H756">INDEX(Sheet1!D:D,$G756)</f>
        <v>2001-cso-preferred-class-structure-mortality-tables.xls</v>
      </c>
      <c r="I756" s="4" t="str" cm="1">
        <f t="array" ref="I756">INDEX(Sheet1!E:E,$G756)</f>
        <v>A.1.a.v</v>
      </c>
      <c r="J756" s="4" t="str" cm="1">
        <f t="array" ref="J756">IF($C756&gt;=25,INDEX(Sheet1!G:G,$G756),INDEX(Sheet1!F:F,$G756))</f>
        <v>AA8</v>
      </c>
      <c r="K756" s="4" cm="1">
        <f t="array" ref="K756">INDEX(Sheet1!H:H,$G756)</f>
        <v>1E-3</v>
      </c>
      <c r="L756" s="4">
        <f t="shared" si="44"/>
        <v>3</v>
      </c>
      <c r="M756" s="4">
        <f t="shared" si="45"/>
        <v>0</v>
      </c>
    </row>
    <row r="757" spans="1:13">
      <c r="A757" s="4" t="str" cm="1">
        <f t="array" ref="A757">INDEX(Sheet1!A:A,$F757)</f>
        <v>M</v>
      </c>
      <c r="B757" s="4" t="str" cm="1">
        <f t="array" ref="B757">INDEX(Sheet1!B:B,$F757)</f>
        <v>Non-Pref SM</v>
      </c>
      <c r="C757" s="4">
        <f t="shared" si="46"/>
        <v>29</v>
      </c>
      <c r="D757" s="5" cm="1">
        <f t="array" aca="1" ref="D757" ca="1">OFFSET(INDIRECT("'["&amp;$H757&amp;"]"&amp;$I757&amp;"'!"&amp;$J757),$L757,$M757)*$K757</f>
        <v>2.0200000000000001E-3</v>
      </c>
      <c r="F757" s="4">
        <f t="shared" si="47"/>
        <v>8</v>
      </c>
      <c r="G757" s="4" cm="1">
        <f t="array" ref="G757">IF($C757&gt;=25,F757,IF($C757&lt;16,INDEX(Sheet1!C:C,$F757),$F757))</f>
        <v>8</v>
      </c>
      <c r="H757" s="4" t="str" cm="1">
        <f t="array" ref="H757">INDEX(Sheet1!D:D,$G757)</f>
        <v>2001-cso-preferred-class-structure-mortality-tables.xls</v>
      </c>
      <c r="I757" s="4" t="str" cm="1">
        <f t="array" ref="I757">INDEX(Sheet1!E:E,$G757)</f>
        <v>A.1.a.v</v>
      </c>
      <c r="J757" s="4" t="str" cm="1">
        <f t="array" ref="J757">IF($C757&gt;=25,INDEX(Sheet1!G:G,$G757),INDEX(Sheet1!F:F,$G757))</f>
        <v>AA8</v>
      </c>
      <c r="K757" s="4" cm="1">
        <f t="array" ref="K757">INDEX(Sheet1!H:H,$G757)</f>
        <v>1E-3</v>
      </c>
      <c r="L757" s="4">
        <f t="shared" si="44"/>
        <v>4</v>
      </c>
      <c r="M757" s="4">
        <f t="shared" si="45"/>
        <v>0</v>
      </c>
    </row>
    <row r="758" spans="1:13">
      <c r="A758" s="4" t="str" cm="1">
        <f t="array" ref="A758">INDEX(Sheet1!A:A,$F758)</f>
        <v>M</v>
      </c>
      <c r="B758" s="4" t="str" cm="1">
        <f t="array" ref="B758">INDEX(Sheet1!B:B,$F758)</f>
        <v>Non-Pref SM</v>
      </c>
      <c r="C758" s="4">
        <f t="shared" si="46"/>
        <v>30</v>
      </c>
      <c r="D758" s="5" cm="1">
        <f t="array" aca="1" ref="D758" ca="1">OFFSET(INDIRECT("'["&amp;$H758&amp;"]"&amp;$I758&amp;"'!"&amp;$J758),$L758,$M758)*$K758</f>
        <v>2.0200000000000001E-3</v>
      </c>
      <c r="F758" s="4">
        <f t="shared" si="47"/>
        <v>8</v>
      </c>
      <c r="G758" s="4" cm="1">
        <f t="array" ref="G758">IF($C758&gt;=25,F758,IF($C758&lt;16,INDEX(Sheet1!C:C,$F758),$F758))</f>
        <v>8</v>
      </c>
      <c r="H758" s="4" t="str" cm="1">
        <f t="array" ref="H758">INDEX(Sheet1!D:D,$G758)</f>
        <v>2001-cso-preferred-class-structure-mortality-tables.xls</v>
      </c>
      <c r="I758" s="4" t="str" cm="1">
        <f t="array" ref="I758">INDEX(Sheet1!E:E,$G758)</f>
        <v>A.1.a.v</v>
      </c>
      <c r="J758" s="4" t="str" cm="1">
        <f t="array" ref="J758">IF($C758&gt;=25,INDEX(Sheet1!G:G,$G758),INDEX(Sheet1!F:F,$G758))</f>
        <v>AA8</v>
      </c>
      <c r="K758" s="4" cm="1">
        <f t="array" ref="K758">INDEX(Sheet1!H:H,$G758)</f>
        <v>1E-3</v>
      </c>
      <c r="L758" s="4">
        <f t="shared" si="44"/>
        <v>5</v>
      </c>
      <c r="M758" s="4">
        <f t="shared" si="45"/>
        <v>0</v>
      </c>
    </row>
    <row r="759" spans="1:13">
      <c r="A759" s="4" t="str" cm="1">
        <f t="array" ref="A759">INDEX(Sheet1!A:A,$F759)</f>
        <v>M</v>
      </c>
      <c r="B759" s="4" t="str" cm="1">
        <f t="array" ref="B759">INDEX(Sheet1!B:B,$F759)</f>
        <v>Non-Pref SM</v>
      </c>
      <c r="C759" s="4">
        <f t="shared" si="46"/>
        <v>31</v>
      </c>
      <c r="D759" s="5" cm="1">
        <f t="array" aca="1" ref="D759" ca="1">OFFSET(INDIRECT("'["&amp;$H759&amp;"]"&amp;$I759&amp;"'!"&amp;$J759),$L759,$M759)*$K759</f>
        <v>2.0200000000000001E-3</v>
      </c>
      <c r="F759" s="4">
        <f t="shared" si="47"/>
        <v>8</v>
      </c>
      <c r="G759" s="4" cm="1">
        <f t="array" ref="G759">IF($C759&gt;=25,F759,IF($C759&lt;16,INDEX(Sheet1!C:C,$F759),$F759))</f>
        <v>8</v>
      </c>
      <c r="H759" s="4" t="str" cm="1">
        <f t="array" ref="H759">INDEX(Sheet1!D:D,$G759)</f>
        <v>2001-cso-preferred-class-structure-mortality-tables.xls</v>
      </c>
      <c r="I759" s="4" t="str" cm="1">
        <f t="array" ref="I759">INDEX(Sheet1!E:E,$G759)</f>
        <v>A.1.a.v</v>
      </c>
      <c r="J759" s="4" t="str" cm="1">
        <f t="array" ref="J759">IF($C759&gt;=25,INDEX(Sheet1!G:G,$G759),INDEX(Sheet1!F:F,$G759))</f>
        <v>AA8</v>
      </c>
      <c r="K759" s="4" cm="1">
        <f t="array" ref="K759">INDEX(Sheet1!H:H,$G759)</f>
        <v>1E-3</v>
      </c>
      <c r="L759" s="4">
        <f t="shared" si="44"/>
        <v>6</v>
      </c>
      <c r="M759" s="4">
        <f t="shared" si="45"/>
        <v>0</v>
      </c>
    </row>
    <row r="760" spans="1:13">
      <c r="A760" s="4" t="str" cm="1">
        <f t="array" ref="A760">INDEX(Sheet1!A:A,$F760)</f>
        <v>M</v>
      </c>
      <c r="B760" s="4" t="str" cm="1">
        <f t="array" ref="B760">INDEX(Sheet1!B:B,$F760)</f>
        <v>Non-Pref SM</v>
      </c>
      <c r="C760" s="4">
        <f t="shared" si="46"/>
        <v>32</v>
      </c>
      <c r="D760" s="5" cm="1">
        <f t="array" aca="1" ref="D760" ca="1">OFFSET(INDIRECT("'["&amp;$H760&amp;"]"&amp;$I760&amp;"'!"&amp;$J760),$L760,$M760)*$K760</f>
        <v>2.0299999999999997E-3</v>
      </c>
      <c r="F760" s="4">
        <f t="shared" si="47"/>
        <v>8</v>
      </c>
      <c r="G760" s="4" cm="1">
        <f t="array" ref="G760">IF($C760&gt;=25,F760,IF($C760&lt;16,INDEX(Sheet1!C:C,$F760),$F760))</f>
        <v>8</v>
      </c>
      <c r="H760" s="4" t="str" cm="1">
        <f t="array" ref="H760">INDEX(Sheet1!D:D,$G760)</f>
        <v>2001-cso-preferred-class-structure-mortality-tables.xls</v>
      </c>
      <c r="I760" s="4" t="str" cm="1">
        <f t="array" ref="I760">INDEX(Sheet1!E:E,$G760)</f>
        <v>A.1.a.v</v>
      </c>
      <c r="J760" s="4" t="str" cm="1">
        <f t="array" ref="J760">IF($C760&gt;=25,INDEX(Sheet1!G:G,$G760),INDEX(Sheet1!F:F,$G760))</f>
        <v>AA8</v>
      </c>
      <c r="K760" s="4" cm="1">
        <f t="array" ref="K760">INDEX(Sheet1!H:H,$G760)</f>
        <v>1E-3</v>
      </c>
      <c r="L760" s="4">
        <f t="shared" si="44"/>
        <v>7</v>
      </c>
      <c r="M760" s="4">
        <f t="shared" si="45"/>
        <v>0</v>
      </c>
    </row>
    <row r="761" spans="1:13">
      <c r="A761" s="4" t="str" cm="1">
        <f t="array" ref="A761">INDEX(Sheet1!A:A,$F761)</f>
        <v>M</v>
      </c>
      <c r="B761" s="4" t="str" cm="1">
        <f t="array" ref="B761">INDEX(Sheet1!B:B,$F761)</f>
        <v>Non-Pref SM</v>
      </c>
      <c r="C761" s="4">
        <f t="shared" si="46"/>
        <v>33</v>
      </c>
      <c r="D761" s="5" cm="1">
        <f t="array" aca="1" ref="D761" ca="1">OFFSET(INDIRECT("'["&amp;$H761&amp;"]"&amp;$I761&amp;"'!"&amp;$J761),$L761,$M761)*$K761</f>
        <v>2.0800000000000003E-3</v>
      </c>
      <c r="F761" s="4">
        <f t="shared" si="47"/>
        <v>8</v>
      </c>
      <c r="G761" s="4" cm="1">
        <f t="array" ref="G761">IF($C761&gt;=25,F761,IF($C761&lt;16,INDEX(Sheet1!C:C,$F761),$F761))</f>
        <v>8</v>
      </c>
      <c r="H761" s="4" t="str" cm="1">
        <f t="array" ref="H761">INDEX(Sheet1!D:D,$G761)</f>
        <v>2001-cso-preferred-class-structure-mortality-tables.xls</v>
      </c>
      <c r="I761" s="4" t="str" cm="1">
        <f t="array" ref="I761">INDEX(Sheet1!E:E,$G761)</f>
        <v>A.1.a.v</v>
      </c>
      <c r="J761" s="4" t="str" cm="1">
        <f t="array" ref="J761">IF($C761&gt;=25,INDEX(Sheet1!G:G,$G761),INDEX(Sheet1!F:F,$G761))</f>
        <v>AA8</v>
      </c>
      <c r="K761" s="4" cm="1">
        <f t="array" ref="K761">INDEX(Sheet1!H:H,$G761)</f>
        <v>1E-3</v>
      </c>
      <c r="L761" s="4">
        <f t="shared" si="44"/>
        <v>8</v>
      </c>
      <c r="M761" s="4">
        <f t="shared" si="45"/>
        <v>0</v>
      </c>
    </row>
    <row r="762" spans="1:13">
      <c r="A762" s="4" t="str" cm="1">
        <f t="array" ref="A762">INDEX(Sheet1!A:A,$F762)</f>
        <v>M</v>
      </c>
      <c r="B762" s="4" t="str" cm="1">
        <f t="array" ref="B762">INDEX(Sheet1!B:B,$F762)</f>
        <v>Non-Pref SM</v>
      </c>
      <c r="C762" s="4">
        <f t="shared" si="46"/>
        <v>34</v>
      </c>
      <c r="D762" s="5" cm="1">
        <f t="array" aca="1" ref="D762" ca="1">OFFSET(INDIRECT("'["&amp;$H762&amp;"]"&amp;$I762&amp;"'!"&amp;$J762),$L762,$M762)*$K762</f>
        <v>2.1700000000000001E-3</v>
      </c>
      <c r="F762" s="4">
        <f t="shared" si="47"/>
        <v>8</v>
      </c>
      <c r="G762" s="4" cm="1">
        <f t="array" ref="G762">IF($C762&gt;=25,F762,IF($C762&lt;16,INDEX(Sheet1!C:C,$F762),$F762))</f>
        <v>8</v>
      </c>
      <c r="H762" s="4" t="str" cm="1">
        <f t="array" ref="H762">INDEX(Sheet1!D:D,$G762)</f>
        <v>2001-cso-preferred-class-structure-mortality-tables.xls</v>
      </c>
      <c r="I762" s="4" t="str" cm="1">
        <f t="array" ref="I762">INDEX(Sheet1!E:E,$G762)</f>
        <v>A.1.a.v</v>
      </c>
      <c r="J762" s="4" t="str" cm="1">
        <f t="array" ref="J762">IF($C762&gt;=25,INDEX(Sheet1!G:G,$G762),INDEX(Sheet1!F:F,$G762))</f>
        <v>AA8</v>
      </c>
      <c r="K762" s="4" cm="1">
        <f t="array" ref="K762">INDEX(Sheet1!H:H,$G762)</f>
        <v>1E-3</v>
      </c>
      <c r="L762" s="4">
        <f t="shared" si="44"/>
        <v>9</v>
      </c>
      <c r="M762" s="4">
        <f t="shared" si="45"/>
        <v>0</v>
      </c>
    </row>
    <row r="763" spans="1:13">
      <c r="A763" s="4" t="str" cm="1">
        <f t="array" ref="A763">INDEX(Sheet1!A:A,$F763)</f>
        <v>M</v>
      </c>
      <c r="B763" s="4" t="str" cm="1">
        <f t="array" ref="B763">INDEX(Sheet1!B:B,$F763)</f>
        <v>Non-Pref SM</v>
      </c>
      <c r="C763" s="4">
        <f t="shared" si="46"/>
        <v>35</v>
      </c>
      <c r="D763" s="5" cm="1">
        <f t="array" aca="1" ref="D763" ca="1">OFFSET(INDIRECT("'["&amp;$H763&amp;"]"&amp;$I763&amp;"'!"&amp;$J763),$L763,$M763)*$K763</f>
        <v>2.2300000000000002E-3</v>
      </c>
      <c r="F763" s="4">
        <f t="shared" si="47"/>
        <v>8</v>
      </c>
      <c r="G763" s="4" cm="1">
        <f t="array" ref="G763">IF($C763&gt;=25,F763,IF($C763&lt;16,INDEX(Sheet1!C:C,$F763),$F763))</f>
        <v>8</v>
      </c>
      <c r="H763" s="4" t="str" cm="1">
        <f t="array" ref="H763">INDEX(Sheet1!D:D,$G763)</f>
        <v>2001-cso-preferred-class-structure-mortality-tables.xls</v>
      </c>
      <c r="I763" s="4" t="str" cm="1">
        <f t="array" ref="I763">INDEX(Sheet1!E:E,$G763)</f>
        <v>A.1.a.v</v>
      </c>
      <c r="J763" s="4" t="str" cm="1">
        <f t="array" ref="J763">IF($C763&gt;=25,INDEX(Sheet1!G:G,$G763),INDEX(Sheet1!F:F,$G763))</f>
        <v>AA8</v>
      </c>
      <c r="K763" s="4" cm="1">
        <f t="array" ref="K763">INDEX(Sheet1!H:H,$G763)</f>
        <v>1E-3</v>
      </c>
      <c r="L763" s="4">
        <f t="shared" si="44"/>
        <v>10</v>
      </c>
      <c r="M763" s="4">
        <f t="shared" si="45"/>
        <v>0</v>
      </c>
    </row>
    <row r="764" spans="1:13">
      <c r="A764" s="4" t="str" cm="1">
        <f t="array" ref="A764">INDEX(Sheet1!A:A,$F764)</f>
        <v>M</v>
      </c>
      <c r="B764" s="4" t="str" cm="1">
        <f t="array" ref="B764">INDEX(Sheet1!B:B,$F764)</f>
        <v>Non-Pref SM</v>
      </c>
      <c r="C764" s="4">
        <f t="shared" si="46"/>
        <v>36</v>
      </c>
      <c r="D764" s="5" cm="1">
        <f t="array" aca="1" ref="D764" ca="1">OFFSET(INDIRECT("'["&amp;$H764&amp;"]"&amp;$I764&amp;"'!"&amp;$J764),$L764,$M764)*$K764</f>
        <v>2.3600000000000001E-3</v>
      </c>
      <c r="F764" s="4">
        <f t="shared" si="47"/>
        <v>8</v>
      </c>
      <c r="G764" s="4" cm="1">
        <f t="array" ref="G764">IF($C764&gt;=25,F764,IF($C764&lt;16,INDEX(Sheet1!C:C,$F764),$F764))</f>
        <v>8</v>
      </c>
      <c r="H764" s="4" t="str" cm="1">
        <f t="array" ref="H764">INDEX(Sheet1!D:D,$G764)</f>
        <v>2001-cso-preferred-class-structure-mortality-tables.xls</v>
      </c>
      <c r="I764" s="4" t="str" cm="1">
        <f t="array" ref="I764">INDEX(Sheet1!E:E,$G764)</f>
        <v>A.1.a.v</v>
      </c>
      <c r="J764" s="4" t="str" cm="1">
        <f t="array" ref="J764">IF($C764&gt;=25,INDEX(Sheet1!G:G,$G764),INDEX(Sheet1!F:F,$G764))</f>
        <v>AA8</v>
      </c>
      <c r="K764" s="4" cm="1">
        <f t="array" ref="K764">INDEX(Sheet1!H:H,$G764)</f>
        <v>1E-3</v>
      </c>
      <c r="L764" s="4">
        <f t="shared" si="44"/>
        <v>11</v>
      </c>
      <c r="M764" s="4">
        <f t="shared" si="45"/>
        <v>0</v>
      </c>
    </row>
    <row r="765" spans="1:13">
      <c r="A765" s="4" t="str" cm="1">
        <f t="array" ref="A765">INDEX(Sheet1!A:A,$F765)</f>
        <v>M</v>
      </c>
      <c r="B765" s="4" t="str" cm="1">
        <f t="array" ref="B765">INDEX(Sheet1!B:B,$F765)</f>
        <v>Non-Pref SM</v>
      </c>
      <c r="C765" s="4">
        <f t="shared" si="46"/>
        <v>37</v>
      </c>
      <c r="D765" s="5" cm="1">
        <f t="array" aca="1" ref="D765" ca="1">OFFSET(INDIRECT("'["&amp;$H765&amp;"]"&amp;$I765&amp;"'!"&amp;$J765),$L765,$M765)*$K765</f>
        <v>2.4900000000000005E-3</v>
      </c>
      <c r="F765" s="4">
        <f t="shared" si="47"/>
        <v>8</v>
      </c>
      <c r="G765" s="4" cm="1">
        <f t="array" ref="G765">IF($C765&gt;=25,F765,IF($C765&lt;16,INDEX(Sheet1!C:C,$F765),$F765))</f>
        <v>8</v>
      </c>
      <c r="H765" s="4" t="str" cm="1">
        <f t="array" ref="H765">INDEX(Sheet1!D:D,$G765)</f>
        <v>2001-cso-preferred-class-structure-mortality-tables.xls</v>
      </c>
      <c r="I765" s="4" t="str" cm="1">
        <f t="array" ref="I765">INDEX(Sheet1!E:E,$G765)</f>
        <v>A.1.a.v</v>
      </c>
      <c r="J765" s="4" t="str" cm="1">
        <f t="array" ref="J765">IF($C765&gt;=25,INDEX(Sheet1!G:G,$G765),INDEX(Sheet1!F:F,$G765))</f>
        <v>AA8</v>
      </c>
      <c r="K765" s="4" cm="1">
        <f t="array" ref="K765">INDEX(Sheet1!H:H,$G765)</f>
        <v>1E-3</v>
      </c>
      <c r="L765" s="4">
        <f t="shared" si="44"/>
        <v>12</v>
      </c>
      <c r="M765" s="4">
        <f t="shared" si="45"/>
        <v>0</v>
      </c>
    </row>
    <row r="766" spans="1:13">
      <c r="A766" s="4" t="str" cm="1">
        <f t="array" ref="A766">INDEX(Sheet1!A:A,$F766)</f>
        <v>M</v>
      </c>
      <c r="B766" s="4" t="str" cm="1">
        <f t="array" ref="B766">INDEX(Sheet1!B:B,$F766)</f>
        <v>Non-Pref SM</v>
      </c>
      <c r="C766" s="4">
        <f t="shared" si="46"/>
        <v>38</v>
      </c>
      <c r="D766" s="5" cm="1">
        <f t="array" aca="1" ref="D766" ca="1">OFFSET(INDIRECT("'["&amp;$H766&amp;"]"&amp;$I766&amp;"'!"&amp;$J766),$L766,$M766)*$K766</f>
        <v>2.6800000000000001E-3</v>
      </c>
      <c r="F766" s="4">
        <f t="shared" si="47"/>
        <v>8</v>
      </c>
      <c r="G766" s="4" cm="1">
        <f t="array" ref="G766">IF($C766&gt;=25,F766,IF($C766&lt;16,INDEX(Sheet1!C:C,$F766),$F766))</f>
        <v>8</v>
      </c>
      <c r="H766" s="4" t="str" cm="1">
        <f t="array" ref="H766">INDEX(Sheet1!D:D,$G766)</f>
        <v>2001-cso-preferred-class-structure-mortality-tables.xls</v>
      </c>
      <c r="I766" s="4" t="str" cm="1">
        <f t="array" ref="I766">INDEX(Sheet1!E:E,$G766)</f>
        <v>A.1.a.v</v>
      </c>
      <c r="J766" s="4" t="str" cm="1">
        <f t="array" ref="J766">IF($C766&gt;=25,INDEX(Sheet1!G:G,$G766),INDEX(Sheet1!F:F,$G766))</f>
        <v>AA8</v>
      </c>
      <c r="K766" s="4" cm="1">
        <f t="array" ref="K766">INDEX(Sheet1!H:H,$G766)</f>
        <v>1E-3</v>
      </c>
      <c r="L766" s="4">
        <f t="shared" si="44"/>
        <v>13</v>
      </c>
      <c r="M766" s="4">
        <f t="shared" si="45"/>
        <v>0</v>
      </c>
    </row>
    <row r="767" spans="1:13">
      <c r="A767" s="4" t="str" cm="1">
        <f t="array" ref="A767">INDEX(Sheet1!A:A,$F767)</f>
        <v>M</v>
      </c>
      <c r="B767" s="4" t="str" cm="1">
        <f t="array" ref="B767">INDEX(Sheet1!B:B,$F767)</f>
        <v>Non-Pref SM</v>
      </c>
      <c r="C767" s="4">
        <f t="shared" si="46"/>
        <v>39</v>
      </c>
      <c r="D767" s="5" cm="1">
        <f t="array" aca="1" ref="D767" ca="1">OFFSET(INDIRECT("'["&amp;$H767&amp;"]"&amp;$I767&amp;"'!"&amp;$J767),$L767,$M767)*$K767</f>
        <v>2.8700000000000002E-3</v>
      </c>
      <c r="F767" s="4">
        <f t="shared" si="47"/>
        <v>8</v>
      </c>
      <c r="G767" s="4" cm="1">
        <f t="array" ref="G767">IF($C767&gt;=25,F767,IF($C767&lt;16,INDEX(Sheet1!C:C,$F767),$F767))</f>
        <v>8</v>
      </c>
      <c r="H767" s="4" t="str" cm="1">
        <f t="array" ref="H767">INDEX(Sheet1!D:D,$G767)</f>
        <v>2001-cso-preferred-class-structure-mortality-tables.xls</v>
      </c>
      <c r="I767" s="4" t="str" cm="1">
        <f t="array" ref="I767">INDEX(Sheet1!E:E,$G767)</f>
        <v>A.1.a.v</v>
      </c>
      <c r="J767" s="4" t="str" cm="1">
        <f t="array" ref="J767">IF($C767&gt;=25,INDEX(Sheet1!G:G,$G767),INDEX(Sheet1!F:F,$G767))</f>
        <v>AA8</v>
      </c>
      <c r="K767" s="4" cm="1">
        <f t="array" ref="K767">INDEX(Sheet1!H:H,$G767)</f>
        <v>1E-3</v>
      </c>
      <c r="L767" s="4">
        <f t="shared" si="44"/>
        <v>14</v>
      </c>
      <c r="M767" s="4">
        <f t="shared" si="45"/>
        <v>0</v>
      </c>
    </row>
    <row r="768" spans="1:13">
      <c r="A768" s="4" t="str" cm="1">
        <f t="array" ref="A768">INDEX(Sheet1!A:A,$F768)</f>
        <v>M</v>
      </c>
      <c r="B768" s="4" t="str" cm="1">
        <f t="array" ref="B768">INDEX(Sheet1!B:B,$F768)</f>
        <v>Non-Pref SM</v>
      </c>
      <c r="C768" s="4">
        <f t="shared" si="46"/>
        <v>40</v>
      </c>
      <c r="D768" s="5" cm="1">
        <f t="array" aca="1" ref="D768" ca="1">OFFSET(INDIRECT("'["&amp;$H768&amp;"]"&amp;$I768&amp;"'!"&amp;$J768),$L768,$M768)*$K768</f>
        <v>3.0899999999999999E-3</v>
      </c>
      <c r="F768" s="4">
        <f t="shared" si="47"/>
        <v>8</v>
      </c>
      <c r="G768" s="4" cm="1">
        <f t="array" ref="G768">IF($C768&gt;=25,F768,IF($C768&lt;16,INDEX(Sheet1!C:C,$F768),$F768))</f>
        <v>8</v>
      </c>
      <c r="H768" s="4" t="str" cm="1">
        <f t="array" ref="H768">INDEX(Sheet1!D:D,$G768)</f>
        <v>2001-cso-preferred-class-structure-mortality-tables.xls</v>
      </c>
      <c r="I768" s="4" t="str" cm="1">
        <f t="array" ref="I768">INDEX(Sheet1!E:E,$G768)</f>
        <v>A.1.a.v</v>
      </c>
      <c r="J768" s="4" t="str" cm="1">
        <f t="array" ref="J768">IF($C768&gt;=25,INDEX(Sheet1!G:G,$G768),INDEX(Sheet1!F:F,$G768))</f>
        <v>AA8</v>
      </c>
      <c r="K768" s="4" cm="1">
        <f t="array" ref="K768">INDEX(Sheet1!H:H,$G768)</f>
        <v>1E-3</v>
      </c>
      <c r="L768" s="4">
        <f t="shared" si="44"/>
        <v>15</v>
      </c>
      <c r="M768" s="4">
        <f t="shared" si="45"/>
        <v>0</v>
      </c>
    </row>
    <row r="769" spans="1:13">
      <c r="A769" s="4" t="str" cm="1">
        <f t="array" ref="A769">INDEX(Sheet1!A:A,$F769)</f>
        <v>M</v>
      </c>
      <c r="B769" s="4" t="str" cm="1">
        <f t="array" ref="B769">INDEX(Sheet1!B:B,$F769)</f>
        <v>Non-Pref SM</v>
      </c>
      <c r="C769" s="4">
        <f t="shared" si="46"/>
        <v>41</v>
      </c>
      <c r="D769" s="5" cm="1">
        <f t="array" aca="1" ref="D769" ca="1">OFFSET(INDIRECT("'["&amp;$H769&amp;"]"&amp;$I769&amp;"'!"&amp;$J769),$L769,$M769)*$K769</f>
        <v>3.3799999999999998E-3</v>
      </c>
      <c r="F769" s="4">
        <f t="shared" si="47"/>
        <v>8</v>
      </c>
      <c r="G769" s="4" cm="1">
        <f t="array" ref="G769">IF($C769&gt;=25,F769,IF($C769&lt;16,INDEX(Sheet1!C:C,$F769),$F769))</f>
        <v>8</v>
      </c>
      <c r="H769" s="4" t="str" cm="1">
        <f t="array" ref="H769">INDEX(Sheet1!D:D,$G769)</f>
        <v>2001-cso-preferred-class-structure-mortality-tables.xls</v>
      </c>
      <c r="I769" s="4" t="str" cm="1">
        <f t="array" ref="I769">INDEX(Sheet1!E:E,$G769)</f>
        <v>A.1.a.v</v>
      </c>
      <c r="J769" s="4" t="str" cm="1">
        <f t="array" ref="J769">IF($C769&gt;=25,INDEX(Sheet1!G:G,$G769),INDEX(Sheet1!F:F,$G769))</f>
        <v>AA8</v>
      </c>
      <c r="K769" s="4" cm="1">
        <f t="array" ref="K769">INDEX(Sheet1!H:H,$G769)</f>
        <v>1E-3</v>
      </c>
      <c r="L769" s="4">
        <f t="shared" si="44"/>
        <v>16</v>
      </c>
      <c r="M769" s="4">
        <f t="shared" si="45"/>
        <v>0</v>
      </c>
    </row>
    <row r="770" spans="1:13">
      <c r="A770" s="4" t="str" cm="1">
        <f t="array" ref="A770">INDEX(Sheet1!A:A,$F770)</f>
        <v>M</v>
      </c>
      <c r="B770" s="4" t="str" cm="1">
        <f t="array" ref="B770">INDEX(Sheet1!B:B,$F770)</f>
        <v>Non-Pref SM</v>
      </c>
      <c r="C770" s="4">
        <f t="shared" si="46"/>
        <v>42</v>
      </c>
      <c r="D770" s="5" cm="1">
        <f t="array" aca="1" ref="D770" ca="1">OFFSET(INDIRECT("'["&amp;$H770&amp;"]"&amp;$I770&amp;"'!"&amp;$J770),$L770,$M770)*$K770</f>
        <v>3.7200000000000002E-3</v>
      </c>
      <c r="F770" s="4">
        <f t="shared" si="47"/>
        <v>8</v>
      </c>
      <c r="G770" s="4" cm="1">
        <f t="array" ref="G770">IF($C770&gt;=25,F770,IF($C770&lt;16,INDEX(Sheet1!C:C,$F770),$F770))</f>
        <v>8</v>
      </c>
      <c r="H770" s="4" t="str" cm="1">
        <f t="array" ref="H770">INDEX(Sheet1!D:D,$G770)</f>
        <v>2001-cso-preferred-class-structure-mortality-tables.xls</v>
      </c>
      <c r="I770" s="4" t="str" cm="1">
        <f t="array" ref="I770">INDEX(Sheet1!E:E,$G770)</f>
        <v>A.1.a.v</v>
      </c>
      <c r="J770" s="4" t="str" cm="1">
        <f t="array" ref="J770">IF($C770&gt;=25,INDEX(Sheet1!G:G,$G770),INDEX(Sheet1!F:F,$G770))</f>
        <v>AA8</v>
      </c>
      <c r="K770" s="4" cm="1">
        <f t="array" ref="K770">INDEX(Sheet1!H:H,$G770)</f>
        <v>1E-3</v>
      </c>
      <c r="L770" s="4">
        <f t="shared" si="44"/>
        <v>17</v>
      </c>
      <c r="M770" s="4">
        <f t="shared" si="45"/>
        <v>0</v>
      </c>
    </row>
    <row r="771" spans="1:13">
      <c r="A771" s="4" t="str" cm="1">
        <f t="array" ref="A771">INDEX(Sheet1!A:A,$F771)</f>
        <v>M</v>
      </c>
      <c r="B771" s="4" t="str" cm="1">
        <f t="array" ref="B771">INDEX(Sheet1!B:B,$F771)</f>
        <v>Non-Pref SM</v>
      </c>
      <c r="C771" s="4">
        <f t="shared" si="46"/>
        <v>43</v>
      </c>
      <c r="D771" s="5" cm="1">
        <f t="array" aca="1" ref="D771" ca="1">OFFSET(INDIRECT("'["&amp;$H771&amp;"]"&amp;$I771&amp;"'!"&amp;$J771),$L771,$M771)*$K771</f>
        <v>4.1200000000000004E-3</v>
      </c>
      <c r="F771" s="4">
        <f t="shared" si="47"/>
        <v>8</v>
      </c>
      <c r="G771" s="4" cm="1">
        <f t="array" ref="G771">IF($C771&gt;=25,F771,IF($C771&lt;16,INDEX(Sheet1!C:C,$F771),$F771))</f>
        <v>8</v>
      </c>
      <c r="H771" s="4" t="str" cm="1">
        <f t="array" ref="H771">INDEX(Sheet1!D:D,$G771)</f>
        <v>2001-cso-preferred-class-structure-mortality-tables.xls</v>
      </c>
      <c r="I771" s="4" t="str" cm="1">
        <f t="array" ref="I771">INDEX(Sheet1!E:E,$G771)</f>
        <v>A.1.a.v</v>
      </c>
      <c r="J771" s="4" t="str" cm="1">
        <f t="array" ref="J771">IF($C771&gt;=25,INDEX(Sheet1!G:G,$G771),INDEX(Sheet1!F:F,$G771))</f>
        <v>AA8</v>
      </c>
      <c r="K771" s="4" cm="1">
        <f t="array" ref="K771">INDEX(Sheet1!H:H,$G771)</f>
        <v>1E-3</v>
      </c>
      <c r="L771" s="4">
        <f t="shared" ref="L771:L834" si="48">IF($C771&gt;=25,$C771-25,0)</f>
        <v>18</v>
      </c>
      <c r="M771" s="4">
        <f t="shared" ref="M771:M834" si="49">IF($C771&gt;=25,0,$C771)</f>
        <v>0</v>
      </c>
    </row>
    <row r="772" spans="1:13">
      <c r="A772" s="4" t="str" cm="1">
        <f t="array" ref="A772">INDEX(Sheet1!A:A,$F772)</f>
        <v>M</v>
      </c>
      <c r="B772" s="4" t="str" cm="1">
        <f t="array" ref="B772">INDEX(Sheet1!B:B,$F772)</f>
        <v>Non-Pref SM</v>
      </c>
      <c r="C772" s="4">
        <f t="shared" ref="C772:C835" si="50">IF(C771=120,0,C771+1)</f>
        <v>44</v>
      </c>
      <c r="D772" s="5" cm="1">
        <f t="array" aca="1" ref="D772" ca="1">OFFSET(INDIRECT("'["&amp;$H772&amp;"]"&amp;$I772&amp;"'!"&amp;$J772),$L772,$M772)*$K772</f>
        <v>4.5999999999999999E-3</v>
      </c>
      <c r="F772" s="4">
        <f t="shared" ref="F772:F835" si="51">IF(C772=0,1,0)+F771</f>
        <v>8</v>
      </c>
      <c r="G772" s="4" cm="1">
        <f t="array" ref="G772">IF($C772&gt;=25,F772,IF($C772&lt;16,INDEX(Sheet1!C:C,$F772),$F772))</f>
        <v>8</v>
      </c>
      <c r="H772" s="4" t="str" cm="1">
        <f t="array" ref="H772">INDEX(Sheet1!D:D,$G772)</f>
        <v>2001-cso-preferred-class-structure-mortality-tables.xls</v>
      </c>
      <c r="I772" s="4" t="str" cm="1">
        <f t="array" ref="I772">INDEX(Sheet1!E:E,$G772)</f>
        <v>A.1.a.v</v>
      </c>
      <c r="J772" s="4" t="str" cm="1">
        <f t="array" ref="J772">IF($C772&gt;=25,INDEX(Sheet1!G:G,$G772),INDEX(Sheet1!F:F,$G772))</f>
        <v>AA8</v>
      </c>
      <c r="K772" s="4" cm="1">
        <f t="array" ref="K772">INDEX(Sheet1!H:H,$G772)</f>
        <v>1E-3</v>
      </c>
      <c r="L772" s="4">
        <f t="shared" si="48"/>
        <v>19</v>
      </c>
      <c r="M772" s="4">
        <f t="shared" si="49"/>
        <v>0</v>
      </c>
    </row>
    <row r="773" spans="1:13">
      <c r="A773" s="4" t="str" cm="1">
        <f t="array" ref="A773">INDEX(Sheet1!A:A,$F773)</f>
        <v>M</v>
      </c>
      <c r="B773" s="4" t="str" cm="1">
        <f t="array" ref="B773">INDEX(Sheet1!B:B,$F773)</f>
        <v>Non-Pref SM</v>
      </c>
      <c r="C773" s="4">
        <f t="shared" si="50"/>
        <v>45</v>
      </c>
      <c r="D773" s="5" cm="1">
        <f t="array" aca="1" ref="D773" ca="1">OFFSET(INDIRECT("'["&amp;$H773&amp;"]"&amp;$I773&amp;"'!"&amp;$J773),$L773,$M773)*$K773</f>
        <v>5.1100000000000008E-3</v>
      </c>
      <c r="F773" s="4">
        <f t="shared" si="51"/>
        <v>8</v>
      </c>
      <c r="G773" s="4" cm="1">
        <f t="array" ref="G773">IF($C773&gt;=25,F773,IF($C773&lt;16,INDEX(Sheet1!C:C,$F773),$F773))</f>
        <v>8</v>
      </c>
      <c r="H773" s="4" t="str" cm="1">
        <f t="array" ref="H773">INDEX(Sheet1!D:D,$G773)</f>
        <v>2001-cso-preferred-class-structure-mortality-tables.xls</v>
      </c>
      <c r="I773" s="4" t="str" cm="1">
        <f t="array" ref="I773">INDEX(Sheet1!E:E,$G773)</f>
        <v>A.1.a.v</v>
      </c>
      <c r="J773" s="4" t="str" cm="1">
        <f t="array" ref="J773">IF($C773&gt;=25,INDEX(Sheet1!G:G,$G773),INDEX(Sheet1!F:F,$G773))</f>
        <v>AA8</v>
      </c>
      <c r="K773" s="4" cm="1">
        <f t="array" ref="K773">INDEX(Sheet1!H:H,$G773)</f>
        <v>1E-3</v>
      </c>
      <c r="L773" s="4">
        <f t="shared" si="48"/>
        <v>20</v>
      </c>
      <c r="M773" s="4">
        <f t="shared" si="49"/>
        <v>0</v>
      </c>
    </row>
    <row r="774" spans="1:13">
      <c r="A774" s="4" t="str" cm="1">
        <f t="array" ref="A774">INDEX(Sheet1!A:A,$F774)</f>
        <v>M</v>
      </c>
      <c r="B774" s="4" t="str" cm="1">
        <f t="array" ref="B774">INDEX(Sheet1!B:B,$F774)</f>
        <v>Non-Pref SM</v>
      </c>
      <c r="C774" s="4">
        <f t="shared" si="50"/>
        <v>46</v>
      </c>
      <c r="D774" s="5" cm="1">
        <f t="array" aca="1" ref="D774" ca="1">OFFSET(INDIRECT("'["&amp;$H774&amp;"]"&amp;$I774&amp;"'!"&amp;$J774),$L774,$M774)*$K774</f>
        <v>5.5900000000000004E-3</v>
      </c>
      <c r="F774" s="4">
        <f t="shared" si="51"/>
        <v>8</v>
      </c>
      <c r="G774" s="4" cm="1">
        <f t="array" ref="G774">IF($C774&gt;=25,F774,IF($C774&lt;16,INDEX(Sheet1!C:C,$F774),$F774))</f>
        <v>8</v>
      </c>
      <c r="H774" s="4" t="str" cm="1">
        <f t="array" ref="H774">INDEX(Sheet1!D:D,$G774)</f>
        <v>2001-cso-preferred-class-structure-mortality-tables.xls</v>
      </c>
      <c r="I774" s="4" t="str" cm="1">
        <f t="array" ref="I774">INDEX(Sheet1!E:E,$G774)</f>
        <v>A.1.a.v</v>
      </c>
      <c r="J774" s="4" t="str" cm="1">
        <f t="array" ref="J774">IF($C774&gt;=25,INDEX(Sheet1!G:G,$G774),INDEX(Sheet1!F:F,$G774))</f>
        <v>AA8</v>
      </c>
      <c r="K774" s="4" cm="1">
        <f t="array" ref="K774">INDEX(Sheet1!H:H,$G774)</f>
        <v>1E-3</v>
      </c>
      <c r="L774" s="4">
        <f t="shared" si="48"/>
        <v>21</v>
      </c>
      <c r="M774" s="4">
        <f t="shared" si="49"/>
        <v>0</v>
      </c>
    </row>
    <row r="775" spans="1:13">
      <c r="A775" s="4" t="str" cm="1">
        <f t="array" ref="A775">INDEX(Sheet1!A:A,$F775)</f>
        <v>M</v>
      </c>
      <c r="B775" s="4" t="str" cm="1">
        <f t="array" ref="B775">INDEX(Sheet1!B:B,$F775)</f>
        <v>Non-Pref SM</v>
      </c>
      <c r="C775" s="4">
        <f t="shared" si="50"/>
        <v>47</v>
      </c>
      <c r="D775" s="5" cm="1">
        <f t="array" aca="1" ref="D775" ca="1">OFFSET(INDIRECT("'["&amp;$H775&amp;"]"&amp;$I775&amp;"'!"&amp;$J775),$L775,$M775)*$K775</f>
        <v>6.1100000000000008E-3</v>
      </c>
      <c r="F775" s="4">
        <f t="shared" si="51"/>
        <v>8</v>
      </c>
      <c r="G775" s="4" cm="1">
        <f t="array" ref="G775">IF($C775&gt;=25,F775,IF($C775&lt;16,INDEX(Sheet1!C:C,$F775),$F775))</f>
        <v>8</v>
      </c>
      <c r="H775" s="4" t="str" cm="1">
        <f t="array" ref="H775">INDEX(Sheet1!D:D,$G775)</f>
        <v>2001-cso-preferred-class-structure-mortality-tables.xls</v>
      </c>
      <c r="I775" s="4" t="str" cm="1">
        <f t="array" ref="I775">INDEX(Sheet1!E:E,$G775)</f>
        <v>A.1.a.v</v>
      </c>
      <c r="J775" s="4" t="str" cm="1">
        <f t="array" ref="J775">IF($C775&gt;=25,INDEX(Sheet1!G:G,$G775),INDEX(Sheet1!F:F,$G775))</f>
        <v>AA8</v>
      </c>
      <c r="K775" s="4" cm="1">
        <f t="array" ref="K775">INDEX(Sheet1!H:H,$G775)</f>
        <v>1E-3</v>
      </c>
      <c r="L775" s="4">
        <f t="shared" si="48"/>
        <v>22</v>
      </c>
      <c r="M775" s="4">
        <f t="shared" si="49"/>
        <v>0</v>
      </c>
    </row>
    <row r="776" spans="1:13">
      <c r="A776" s="4" t="str" cm="1">
        <f t="array" ref="A776">INDEX(Sheet1!A:A,$F776)</f>
        <v>M</v>
      </c>
      <c r="B776" s="4" t="str" cm="1">
        <f t="array" ref="B776">INDEX(Sheet1!B:B,$F776)</f>
        <v>Non-Pref SM</v>
      </c>
      <c r="C776" s="4">
        <f t="shared" si="50"/>
        <v>48</v>
      </c>
      <c r="D776" s="5" cm="1">
        <f t="array" aca="1" ref="D776" ca="1">OFFSET(INDIRECT("'["&amp;$H776&amp;"]"&amp;$I776&amp;"'!"&amp;$J776),$L776,$M776)*$K776</f>
        <v>6.4000000000000003E-3</v>
      </c>
      <c r="F776" s="4">
        <f t="shared" si="51"/>
        <v>8</v>
      </c>
      <c r="G776" s="4" cm="1">
        <f t="array" ref="G776">IF($C776&gt;=25,F776,IF($C776&lt;16,INDEX(Sheet1!C:C,$F776),$F776))</f>
        <v>8</v>
      </c>
      <c r="H776" s="4" t="str" cm="1">
        <f t="array" ref="H776">INDEX(Sheet1!D:D,$G776)</f>
        <v>2001-cso-preferred-class-structure-mortality-tables.xls</v>
      </c>
      <c r="I776" s="4" t="str" cm="1">
        <f t="array" ref="I776">INDEX(Sheet1!E:E,$G776)</f>
        <v>A.1.a.v</v>
      </c>
      <c r="J776" s="4" t="str" cm="1">
        <f t="array" ref="J776">IF($C776&gt;=25,INDEX(Sheet1!G:G,$G776),INDEX(Sheet1!F:F,$G776))</f>
        <v>AA8</v>
      </c>
      <c r="K776" s="4" cm="1">
        <f t="array" ref="K776">INDEX(Sheet1!H:H,$G776)</f>
        <v>1E-3</v>
      </c>
      <c r="L776" s="4">
        <f t="shared" si="48"/>
        <v>23</v>
      </c>
      <c r="M776" s="4">
        <f t="shared" si="49"/>
        <v>0</v>
      </c>
    </row>
    <row r="777" spans="1:13">
      <c r="A777" s="4" t="str" cm="1">
        <f t="array" ref="A777">INDEX(Sheet1!A:A,$F777)</f>
        <v>M</v>
      </c>
      <c r="B777" s="4" t="str" cm="1">
        <f t="array" ref="B777">INDEX(Sheet1!B:B,$F777)</f>
        <v>Non-Pref SM</v>
      </c>
      <c r="C777" s="4">
        <f t="shared" si="50"/>
        <v>49</v>
      </c>
      <c r="D777" s="5" cm="1">
        <f t="array" aca="1" ref="D777" ca="1">OFFSET(INDIRECT("'["&amp;$H777&amp;"]"&amp;$I777&amp;"'!"&amp;$J777),$L777,$M777)*$K777</f>
        <v>6.7300000000000007E-3</v>
      </c>
      <c r="F777" s="4">
        <f t="shared" si="51"/>
        <v>8</v>
      </c>
      <c r="G777" s="4" cm="1">
        <f t="array" ref="G777">IF($C777&gt;=25,F777,IF($C777&lt;16,INDEX(Sheet1!C:C,$F777),$F777))</f>
        <v>8</v>
      </c>
      <c r="H777" s="4" t="str" cm="1">
        <f t="array" ref="H777">INDEX(Sheet1!D:D,$G777)</f>
        <v>2001-cso-preferred-class-structure-mortality-tables.xls</v>
      </c>
      <c r="I777" s="4" t="str" cm="1">
        <f t="array" ref="I777">INDEX(Sheet1!E:E,$G777)</f>
        <v>A.1.a.v</v>
      </c>
      <c r="J777" s="4" t="str" cm="1">
        <f t="array" ref="J777">IF($C777&gt;=25,INDEX(Sheet1!G:G,$G777),INDEX(Sheet1!F:F,$G777))</f>
        <v>AA8</v>
      </c>
      <c r="K777" s="4" cm="1">
        <f t="array" ref="K777">INDEX(Sheet1!H:H,$G777)</f>
        <v>1E-3</v>
      </c>
      <c r="L777" s="4">
        <f t="shared" si="48"/>
        <v>24</v>
      </c>
      <c r="M777" s="4">
        <f t="shared" si="49"/>
        <v>0</v>
      </c>
    </row>
    <row r="778" spans="1:13">
      <c r="A778" s="4" t="str" cm="1">
        <f t="array" ref="A778">INDEX(Sheet1!A:A,$F778)</f>
        <v>M</v>
      </c>
      <c r="B778" s="4" t="str" cm="1">
        <f t="array" ref="B778">INDEX(Sheet1!B:B,$F778)</f>
        <v>Non-Pref SM</v>
      </c>
      <c r="C778" s="4">
        <f t="shared" si="50"/>
        <v>50</v>
      </c>
      <c r="D778" s="5" cm="1">
        <f t="array" aca="1" ref="D778" ca="1">OFFSET(INDIRECT("'["&amp;$H778&amp;"]"&amp;$I778&amp;"'!"&amp;$J778),$L778,$M778)*$K778</f>
        <v>7.1900000000000002E-3</v>
      </c>
      <c r="F778" s="4">
        <f t="shared" si="51"/>
        <v>8</v>
      </c>
      <c r="G778" s="4" cm="1">
        <f t="array" ref="G778">IF($C778&gt;=25,F778,IF($C778&lt;16,INDEX(Sheet1!C:C,$F778),$F778))</f>
        <v>8</v>
      </c>
      <c r="H778" s="4" t="str" cm="1">
        <f t="array" ref="H778">INDEX(Sheet1!D:D,$G778)</f>
        <v>2001-cso-preferred-class-structure-mortality-tables.xls</v>
      </c>
      <c r="I778" s="4" t="str" cm="1">
        <f t="array" ref="I778">INDEX(Sheet1!E:E,$G778)</f>
        <v>A.1.a.v</v>
      </c>
      <c r="J778" s="4" t="str" cm="1">
        <f t="array" ref="J778">IF($C778&gt;=25,INDEX(Sheet1!G:G,$G778),INDEX(Sheet1!F:F,$G778))</f>
        <v>AA8</v>
      </c>
      <c r="K778" s="4" cm="1">
        <f t="array" ref="K778">INDEX(Sheet1!H:H,$G778)</f>
        <v>1E-3</v>
      </c>
      <c r="L778" s="4">
        <f t="shared" si="48"/>
        <v>25</v>
      </c>
      <c r="M778" s="4">
        <f t="shared" si="49"/>
        <v>0</v>
      </c>
    </row>
    <row r="779" spans="1:13">
      <c r="A779" s="4" t="str" cm="1">
        <f t="array" ref="A779">INDEX(Sheet1!A:A,$F779)</f>
        <v>M</v>
      </c>
      <c r="B779" s="4" t="str" cm="1">
        <f t="array" ref="B779">INDEX(Sheet1!B:B,$F779)</f>
        <v>Non-Pref SM</v>
      </c>
      <c r="C779" s="4">
        <f t="shared" si="50"/>
        <v>51</v>
      </c>
      <c r="D779" s="5" cm="1">
        <f t="array" aca="1" ref="D779" ca="1">OFFSET(INDIRECT("'["&amp;$H779&amp;"]"&amp;$I779&amp;"'!"&amp;$J779),$L779,$M779)*$K779</f>
        <v>7.7400000000000004E-3</v>
      </c>
      <c r="F779" s="4">
        <f t="shared" si="51"/>
        <v>8</v>
      </c>
      <c r="G779" s="4" cm="1">
        <f t="array" ref="G779">IF($C779&gt;=25,F779,IF($C779&lt;16,INDEX(Sheet1!C:C,$F779),$F779))</f>
        <v>8</v>
      </c>
      <c r="H779" s="4" t="str" cm="1">
        <f t="array" ref="H779">INDEX(Sheet1!D:D,$G779)</f>
        <v>2001-cso-preferred-class-structure-mortality-tables.xls</v>
      </c>
      <c r="I779" s="4" t="str" cm="1">
        <f t="array" ref="I779">INDEX(Sheet1!E:E,$G779)</f>
        <v>A.1.a.v</v>
      </c>
      <c r="J779" s="4" t="str" cm="1">
        <f t="array" ref="J779">IF($C779&gt;=25,INDEX(Sheet1!G:G,$G779),INDEX(Sheet1!F:F,$G779))</f>
        <v>AA8</v>
      </c>
      <c r="K779" s="4" cm="1">
        <f t="array" ref="K779">INDEX(Sheet1!H:H,$G779)</f>
        <v>1E-3</v>
      </c>
      <c r="L779" s="4">
        <f t="shared" si="48"/>
        <v>26</v>
      </c>
      <c r="M779" s="4">
        <f t="shared" si="49"/>
        <v>0</v>
      </c>
    </row>
    <row r="780" spans="1:13">
      <c r="A780" s="4" t="str" cm="1">
        <f t="array" ref="A780">INDEX(Sheet1!A:A,$F780)</f>
        <v>M</v>
      </c>
      <c r="B780" s="4" t="str" cm="1">
        <f t="array" ref="B780">INDEX(Sheet1!B:B,$F780)</f>
        <v>Non-Pref SM</v>
      </c>
      <c r="C780" s="4">
        <f t="shared" si="50"/>
        <v>52</v>
      </c>
      <c r="D780" s="5" cm="1">
        <f t="array" aca="1" ref="D780" ca="1">OFFSET(INDIRECT("'["&amp;$H780&amp;"]"&amp;$I780&amp;"'!"&amp;$J780),$L780,$M780)*$K780</f>
        <v>8.4800000000000014E-3</v>
      </c>
      <c r="F780" s="4">
        <f t="shared" si="51"/>
        <v>8</v>
      </c>
      <c r="G780" s="4" cm="1">
        <f t="array" ref="G780">IF($C780&gt;=25,F780,IF($C780&lt;16,INDEX(Sheet1!C:C,$F780),$F780))</f>
        <v>8</v>
      </c>
      <c r="H780" s="4" t="str" cm="1">
        <f t="array" ref="H780">INDEX(Sheet1!D:D,$G780)</f>
        <v>2001-cso-preferred-class-structure-mortality-tables.xls</v>
      </c>
      <c r="I780" s="4" t="str" cm="1">
        <f t="array" ref="I780">INDEX(Sheet1!E:E,$G780)</f>
        <v>A.1.a.v</v>
      </c>
      <c r="J780" s="4" t="str" cm="1">
        <f t="array" ref="J780">IF($C780&gt;=25,INDEX(Sheet1!G:G,$G780),INDEX(Sheet1!F:F,$G780))</f>
        <v>AA8</v>
      </c>
      <c r="K780" s="4" cm="1">
        <f t="array" ref="K780">INDEX(Sheet1!H:H,$G780)</f>
        <v>1E-3</v>
      </c>
      <c r="L780" s="4">
        <f t="shared" si="48"/>
        <v>27</v>
      </c>
      <c r="M780" s="4">
        <f t="shared" si="49"/>
        <v>0</v>
      </c>
    </row>
    <row r="781" spans="1:13">
      <c r="A781" s="4" t="str" cm="1">
        <f t="array" ref="A781">INDEX(Sheet1!A:A,$F781)</f>
        <v>M</v>
      </c>
      <c r="B781" s="4" t="str" cm="1">
        <f t="array" ref="B781">INDEX(Sheet1!B:B,$F781)</f>
        <v>Non-Pref SM</v>
      </c>
      <c r="C781" s="4">
        <f t="shared" si="50"/>
        <v>53</v>
      </c>
      <c r="D781" s="5" cm="1">
        <f t="array" aca="1" ref="D781" ca="1">OFFSET(INDIRECT("'["&amp;$H781&amp;"]"&amp;$I781&amp;"'!"&amp;$J781),$L781,$M781)*$K781</f>
        <v>9.3299999999999998E-3</v>
      </c>
      <c r="F781" s="4">
        <f t="shared" si="51"/>
        <v>8</v>
      </c>
      <c r="G781" s="4" cm="1">
        <f t="array" ref="G781">IF($C781&gt;=25,F781,IF($C781&lt;16,INDEX(Sheet1!C:C,$F781),$F781))</f>
        <v>8</v>
      </c>
      <c r="H781" s="4" t="str" cm="1">
        <f t="array" ref="H781">INDEX(Sheet1!D:D,$G781)</f>
        <v>2001-cso-preferred-class-structure-mortality-tables.xls</v>
      </c>
      <c r="I781" s="4" t="str" cm="1">
        <f t="array" ref="I781">INDEX(Sheet1!E:E,$G781)</f>
        <v>A.1.a.v</v>
      </c>
      <c r="J781" s="4" t="str" cm="1">
        <f t="array" ref="J781">IF($C781&gt;=25,INDEX(Sheet1!G:G,$G781),INDEX(Sheet1!F:F,$G781))</f>
        <v>AA8</v>
      </c>
      <c r="K781" s="4" cm="1">
        <f t="array" ref="K781">INDEX(Sheet1!H:H,$G781)</f>
        <v>1E-3</v>
      </c>
      <c r="L781" s="4">
        <f t="shared" si="48"/>
        <v>28</v>
      </c>
      <c r="M781" s="4">
        <f t="shared" si="49"/>
        <v>0</v>
      </c>
    </row>
    <row r="782" spans="1:13">
      <c r="A782" s="4" t="str" cm="1">
        <f t="array" ref="A782">INDEX(Sheet1!A:A,$F782)</f>
        <v>M</v>
      </c>
      <c r="B782" s="4" t="str" cm="1">
        <f t="array" ref="B782">INDEX(Sheet1!B:B,$F782)</f>
        <v>Non-Pref SM</v>
      </c>
      <c r="C782" s="4">
        <f t="shared" si="50"/>
        <v>54</v>
      </c>
      <c r="D782" s="5" cm="1">
        <f t="array" aca="1" ref="D782" ca="1">OFFSET(INDIRECT("'["&amp;$H782&amp;"]"&amp;$I782&amp;"'!"&amp;$J782),$L782,$M782)*$K782</f>
        <v>1.039E-2</v>
      </c>
      <c r="F782" s="4">
        <f t="shared" si="51"/>
        <v>8</v>
      </c>
      <c r="G782" s="4" cm="1">
        <f t="array" ref="G782">IF($C782&gt;=25,F782,IF($C782&lt;16,INDEX(Sheet1!C:C,$F782),$F782))</f>
        <v>8</v>
      </c>
      <c r="H782" s="4" t="str" cm="1">
        <f t="array" ref="H782">INDEX(Sheet1!D:D,$G782)</f>
        <v>2001-cso-preferred-class-structure-mortality-tables.xls</v>
      </c>
      <c r="I782" s="4" t="str" cm="1">
        <f t="array" ref="I782">INDEX(Sheet1!E:E,$G782)</f>
        <v>A.1.a.v</v>
      </c>
      <c r="J782" s="4" t="str" cm="1">
        <f t="array" ref="J782">IF($C782&gt;=25,INDEX(Sheet1!G:G,$G782),INDEX(Sheet1!F:F,$G782))</f>
        <v>AA8</v>
      </c>
      <c r="K782" s="4" cm="1">
        <f t="array" ref="K782">INDEX(Sheet1!H:H,$G782)</f>
        <v>1E-3</v>
      </c>
      <c r="L782" s="4">
        <f t="shared" si="48"/>
        <v>29</v>
      </c>
      <c r="M782" s="4">
        <f t="shared" si="49"/>
        <v>0</v>
      </c>
    </row>
    <row r="783" spans="1:13">
      <c r="A783" s="4" t="str" cm="1">
        <f t="array" ref="A783">INDEX(Sheet1!A:A,$F783)</f>
        <v>M</v>
      </c>
      <c r="B783" s="4" t="str" cm="1">
        <f t="array" ref="B783">INDEX(Sheet1!B:B,$F783)</f>
        <v>Non-Pref SM</v>
      </c>
      <c r="C783" s="4">
        <f t="shared" si="50"/>
        <v>55</v>
      </c>
      <c r="D783" s="5" cm="1">
        <f t="array" aca="1" ref="D783" ca="1">OFFSET(INDIRECT("'["&amp;$H783&amp;"]"&amp;$I783&amp;"'!"&amp;$J783),$L783,$M783)*$K783</f>
        <v>1.158E-2</v>
      </c>
      <c r="F783" s="4">
        <f t="shared" si="51"/>
        <v>8</v>
      </c>
      <c r="G783" s="4" cm="1">
        <f t="array" ref="G783">IF($C783&gt;=25,F783,IF($C783&lt;16,INDEX(Sheet1!C:C,$F783),$F783))</f>
        <v>8</v>
      </c>
      <c r="H783" s="4" t="str" cm="1">
        <f t="array" ref="H783">INDEX(Sheet1!D:D,$G783)</f>
        <v>2001-cso-preferred-class-structure-mortality-tables.xls</v>
      </c>
      <c r="I783" s="4" t="str" cm="1">
        <f t="array" ref="I783">INDEX(Sheet1!E:E,$G783)</f>
        <v>A.1.a.v</v>
      </c>
      <c r="J783" s="4" t="str" cm="1">
        <f t="array" ref="J783">IF($C783&gt;=25,INDEX(Sheet1!G:G,$G783),INDEX(Sheet1!F:F,$G783))</f>
        <v>AA8</v>
      </c>
      <c r="K783" s="4" cm="1">
        <f t="array" ref="K783">INDEX(Sheet1!H:H,$G783)</f>
        <v>1E-3</v>
      </c>
      <c r="L783" s="4">
        <f t="shared" si="48"/>
        <v>30</v>
      </c>
      <c r="M783" s="4">
        <f t="shared" si="49"/>
        <v>0</v>
      </c>
    </row>
    <row r="784" spans="1:13">
      <c r="A784" s="4" t="str" cm="1">
        <f t="array" ref="A784">INDEX(Sheet1!A:A,$F784)</f>
        <v>M</v>
      </c>
      <c r="B784" s="4" t="str" cm="1">
        <f t="array" ref="B784">INDEX(Sheet1!B:B,$F784)</f>
        <v>Non-Pref SM</v>
      </c>
      <c r="C784" s="4">
        <f t="shared" si="50"/>
        <v>56</v>
      </c>
      <c r="D784" s="5" cm="1">
        <f t="array" aca="1" ref="D784" ca="1">OFFSET(INDIRECT("'["&amp;$H784&amp;"]"&amp;$I784&amp;"'!"&amp;$J784),$L784,$M784)*$K784</f>
        <v>1.278E-2</v>
      </c>
      <c r="F784" s="4">
        <f t="shared" si="51"/>
        <v>8</v>
      </c>
      <c r="G784" s="4" cm="1">
        <f t="array" ref="G784">IF($C784&gt;=25,F784,IF($C784&lt;16,INDEX(Sheet1!C:C,$F784),$F784))</f>
        <v>8</v>
      </c>
      <c r="H784" s="4" t="str" cm="1">
        <f t="array" ref="H784">INDEX(Sheet1!D:D,$G784)</f>
        <v>2001-cso-preferred-class-structure-mortality-tables.xls</v>
      </c>
      <c r="I784" s="4" t="str" cm="1">
        <f t="array" ref="I784">INDEX(Sheet1!E:E,$G784)</f>
        <v>A.1.a.v</v>
      </c>
      <c r="J784" s="4" t="str" cm="1">
        <f t="array" ref="J784">IF($C784&gt;=25,INDEX(Sheet1!G:G,$G784),INDEX(Sheet1!F:F,$G784))</f>
        <v>AA8</v>
      </c>
      <c r="K784" s="4" cm="1">
        <f t="array" ref="K784">INDEX(Sheet1!H:H,$G784)</f>
        <v>1E-3</v>
      </c>
      <c r="L784" s="4">
        <f t="shared" si="48"/>
        <v>31</v>
      </c>
      <c r="M784" s="4">
        <f t="shared" si="49"/>
        <v>0</v>
      </c>
    </row>
    <row r="785" spans="1:13">
      <c r="A785" s="4" t="str" cm="1">
        <f t="array" ref="A785">INDEX(Sheet1!A:A,$F785)</f>
        <v>M</v>
      </c>
      <c r="B785" s="4" t="str" cm="1">
        <f t="array" ref="B785">INDEX(Sheet1!B:B,$F785)</f>
        <v>Non-Pref SM</v>
      </c>
      <c r="C785" s="4">
        <f t="shared" si="50"/>
        <v>57</v>
      </c>
      <c r="D785" s="5" cm="1">
        <f t="array" aca="1" ref="D785" ca="1">OFFSET(INDIRECT("'["&amp;$H785&amp;"]"&amp;$I785&amp;"'!"&amp;$J785),$L785,$M785)*$K785</f>
        <v>1.4050000000000002E-2</v>
      </c>
      <c r="F785" s="4">
        <f t="shared" si="51"/>
        <v>8</v>
      </c>
      <c r="G785" s="4" cm="1">
        <f t="array" ref="G785">IF($C785&gt;=25,F785,IF($C785&lt;16,INDEX(Sheet1!C:C,$F785),$F785))</f>
        <v>8</v>
      </c>
      <c r="H785" s="4" t="str" cm="1">
        <f t="array" ref="H785">INDEX(Sheet1!D:D,$G785)</f>
        <v>2001-cso-preferred-class-structure-mortality-tables.xls</v>
      </c>
      <c r="I785" s="4" t="str" cm="1">
        <f t="array" ref="I785">INDEX(Sheet1!E:E,$G785)</f>
        <v>A.1.a.v</v>
      </c>
      <c r="J785" s="4" t="str" cm="1">
        <f t="array" ref="J785">IF($C785&gt;=25,INDEX(Sheet1!G:G,$G785),INDEX(Sheet1!F:F,$G785))</f>
        <v>AA8</v>
      </c>
      <c r="K785" s="4" cm="1">
        <f t="array" ref="K785">INDEX(Sheet1!H:H,$G785)</f>
        <v>1E-3</v>
      </c>
      <c r="L785" s="4">
        <f t="shared" si="48"/>
        <v>32</v>
      </c>
      <c r="M785" s="4">
        <f t="shared" si="49"/>
        <v>0</v>
      </c>
    </row>
    <row r="786" spans="1:13">
      <c r="A786" s="4" t="str" cm="1">
        <f t="array" ref="A786">INDEX(Sheet1!A:A,$F786)</f>
        <v>M</v>
      </c>
      <c r="B786" s="4" t="str" cm="1">
        <f t="array" ref="B786">INDEX(Sheet1!B:B,$F786)</f>
        <v>Non-Pref SM</v>
      </c>
      <c r="C786" s="4">
        <f t="shared" si="50"/>
        <v>58</v>
      </c>
      <c r="D786" s="5" cm="1">
        <f t="array" aca="1" ref="D786" ca="1">OFFSET(INDIRECT("'["&amp;$H786&amp;"]"&amp;$I786&amp;"'!"&amp;$J786),$L786,$M786)*$K786</f>
        <v>1.504E-2</v>
      </c>
      <c r="F786" s="4">
        <f t="shared" si="51"/>
        <v>8</v>
      </c>
      <c r="G786" s="4" cm="1">
        <f t="array" ref="G786">IF($C786&gt;=25,F786,IF($C786&lt;16,INDEX(Sheet1!C:C,$F786),$F786))</f>
        <v>8</v>
      </c>
      <c r="H786" s="4" t="str" cm="1">
        <f t="array" ref="H786">INDEX(Sheet1!D:D,$G786)</f>
        <v>2001-cso-preferred-class-structure-mortality-tables.xls</v>
      </c>
      <c r="I786" s="4" t="str" cm="1">
        <f t="array" ref="I786">INDEX(Sheet1!E:E,$G786)</f>
        <v>A.1.a.v</v>
      </c>
      <c r="J786" s="4" t="str" cm="1">
        <f t="array" ref="J786">IF($C786&gt;=25,INDEX(Sheet1!G:G,$G786),INDEX(Sheet1!F:F,$G786))</f>
        <v>AA8</v>
      </c>
      <c r="K786" s="4" cm="1">
        <f t="array" ref="K786">INDEX(Sheet1!H:H,$G786)</f>
        <v>1E-3</v>
      </c>
      <c r="L786" s="4">
        <f t="shared" si="48"/>
        <v>33</v>
      </c>
      <c r="M786" s="4">
        <f t="shared" si="49"/>
        <v>0</v>
      </c>
    </row>
    <row r="787" spans="1:13">
      <c r="A787" s="4" t="str" cm="1">
        <f t="array" ref="A787">INDEX(Sheet1!A:A,$F787)</f>
        <v>M</v>
      </c>
      <c r="B787" s="4" t="str" cm="1">
        <f t="array" ref="B787">INDEX(Sheet1!B:B,$F787)</f>
        <v>Non-Pref SM</v>
      </c>
      <c r="C787" s="4">
        <f t="shared" si="50"/>
        <v>59</v>
      </c>
      <c r="D787" s="5" cm="1">
        <f t="array" aca="1" ref="D787" ca="1">OFFSET(INDIRECT("'["&amp;$H787&amp;"]"&amp;$I787&amp;"'!"&amp;$J787),$L787,$M787)*$K787</f>
        <v>1.617E-2</v>
      </c>
      <c r="F787" s="4">
        <f t="shared" si="51"/>
        <v>8</v>
      </c>
      <c r="G787" s="4" cm="1">
        <f t="array" ref="G787">IF($C787&gt;=25,F787,IF($C787&lt;16,INDEX(Sheet1!C:C,$F787),$F787))</f>
        <v>8</v>
      </c>
      <c r="H787" s="4" t="str" cm="1">
        <f t="array" ref="H787">INDEX(Sheet1!D:D,$G787)</f>
        <v>2001-cso-preferred-class-structure-mortality-tables.xls</v>
      </c>
      <c r="I787" s="4" t="str" cm="1">
        <f t="array" ref="I787">INDEX(Sheet1!E:E,$G787)</f>
        <v>A.1.a.v</v>
      </c>
      <c r="J787" s="4" t="str" cm="1">
        <f t="array" ref="J787">IF($C787&gt;=25,INDEX(Sheet1!G:G,$G787),INDEX(Sheet1!F:F,$G787))</f>
        <v>AA8</v>
      </c>
      <c r="K787" s="4" cm="1">
        <f t="array" ref="K787">INDEX(Sheet1!H:H,$G787)</f>
        <v>1E-3</v>
      </c>
      <c r="L787" s="4">
        <f t="shared" si="48"/>
        <v>34</v>
      </c>
      <c r="M787" s="4">
        <f t="shared" si="49"/>
        <v>0</v>
      </c>
    </row>
    <row r="788" spans="1:13">
      <c r="A788" s="4" t="str" cm="1">
        <f t="array" ref="A788">INDEX(Sheet1!A:A,$F788)</f>
        <v>M</v>
      </c>
      <c r="B788" s="4" t="str" cm="1">
        <f t="array" ref="B788">INDEX(Sheet1!B:B,$F788)</f>
        <v>Non-Pref SM</v>
      </c>
      <c r="C788" s="4">
        <f t="shared" si="50"/>
        <v>60</v>
      </c>
      <c r="D788" s="5" cm="1">
        <f t="array" aca="1" ref="D788" ca="1">OFFSET(INDIRECT("'["&amp;$H788&amp;"]"&amp;$I788&amp;"'!"&amp;$J788),$L788,$M788)*$K788</f>
        <v>1.762E-2</v>
      </c>
      <c r="F788" s="4">
        <f t="shared" si="51"/>
        <v>8</v>
      </c>
      <c r="G788" s="4" cm="1">
        <f t="array" ref="G788">IF($C788&gt;=25,F788,IF($C788&lt;16,INDEX(Sheet1!C:C,$F788),$F788))</f>
        <v>8</v>
      </c>
      <c r="H788" s="4" t="str" cm="1">
        <f t="array" ref="H788">INDEX(Sheet1!D:D,$G788)</f>
        <v>2001-cso-preferred-class-structure-mortality-tables.xls</v>
      </c>
      <c r="I788" s="4" t="str" cm="1">
        <f t="array" ref="I788">INDEX(Sheet1!E:E,$G788)</f>
        <v>A.1.a.v</v>
      </c>
      <c r="J788" s="4" t="str" cm="1">
        <f t="array" ref="J788">IF($C788&gt;=25,INDEX(Sheet1!G:G,$G788),INDEX(Sheet1!F:F,$G788))</f>
        <v>AA8</v>
      </c>
      <c r="K788" s="4" cm="1">
        <f t="array" ref="K788">INDEX(Sheet1!H:H,$G788)</f>
        <v>1E-3</v>
      </c>
      <c r="L788" s="4">
        <f t="shared" si="48"/>
        <v>35</v>
      </c>
      <c r="M788" s="4">
        <f t="shared" si="49"/>
        <v>0</v>
      </c>
    </row>
    <row r="789" spans="1:13">
      <c r="A789" s="4" t="str" cm="1">
        <f t="array" ref="A789">INDEX(Sheet1!A:A,$F789)</f>
        <v>M</v>
      </c>
      <c r="B789" s="4" t="str" cm="1">
        <f t="array" ref="B789">INDEX(Sheet1!B:B,$F789)</f>
        <v>Non-Pref SM</v>
      </c>
      <c r="C789" s="4">
        <f t="shared" si="50"/>
        <v>61</v>
      </c>
      <c r="D789" s="5" cm="1">
        <f t="array" aca="1" ref="D789" ca="1">OFFSET(INDIRECT("'["&amp;$H789&amp;"]"&amp;$I789&amp;"'!"&amp;$J789),$L789,$M789)*$K789</f>
        <v>1.9400000000000001E-2</v>
      </c>
      <c r="F789" s="4">
        <f t="shared" si="51"/>
        <v>8</v>
      </c>
      <c r="G789" s="4" cm="1">
        <f t="array" ref="G789">IF($C789&gt;=25,F789,IF($C789&lt;16,INDEX(Sheet1!C:C,$F789),$F789))</f>
        <v>8</v>
      </c>
      <c r="H789" s="4" t="str" cm="1">
        <f t="array" ref="H789">INDEX(Sheet1!D:D,$G789)</f>
        <v>2001-cso-preferred-class-structure-mortality-tables.xls</v>
      </c>
      <c r="I789" s="4" t="str" cm="1">
        <f t="array" ref="I789">INDEX(Sheet1!E:E,$G789)</f>
        <v>A.1.a.v</v>
      </c>
      <c r="J789" s="4" t="str" cm="1">
        <f t="array" ref="J789">IF($C789&gt;=25,INDEX(Sheet1!G:G,$G789),INDEX(Sheet1!F:F,$G789))</f>
        <v>AA8</v>
      </c>
      <c r="K789" s="4" cm="1">
        <f t="array" ref="K789">INDEX(Sheet1!H:H,$G789)</f>
        <v>1E-3</v>
      </c>
      <c r="L789" s="4">
        <f t="shared" si="48"/>
        <v>36</v>
      </c>
      <c r="M789" s="4">
        <f t="shared" si="49"/>
        <v>0</v>
      </c>
    </row>
    <row r="790" spans="1:13">
      <c r="A790" s="4" t="str" cm="1">
        <f t="array" ref="A790">INDEX(Sheet1!A:A,$F790)</f>
        <v>M</v>
      </c>
      <c r="B790" s="4" t="str" cm="1">
        <f t="array" ref="B790">INDEX(Sheet1!B:B,$F790)</f>
        <v>Non-Pref SM</v>
      </c>
      <c r="C790" s="4">
        <f t="shared" si="50"/>
        <v>62</v>
      </c>
      <c r="D790" s="5" cm="1">
        <f t="array" aca="1" ref="D790" ca="1">OFFSET(INDIRECT("'["&amp;$H790&amp;"]"&amp;$I790&amp;"'!"&amp;$J790),$L790,$M790)*$K790</f>
        <v>2.1559999999999999E-2</v>
      </c>
      <c r="F790" s="4">
        <f t="shared" si="51"/>
        <v>8</v>
      </c>
      <c r="G790" s="4" cm="1">
        <f t="array" ref="G790">IF($C790&gt;=25,F790,IF($C790&lt;16,INDEX(Sheet1!C:C,$F790),$F790))</f>
        <v>8</v>
      </c>
      <c r="H790" s="4" t="str" cm="1">
        <f t="array" ref="H790">INDEX(Sheet1!D:D,$G790)</f>
        <v>2001-cso-preferred-class-structure-mortality-tables.xls</v>
      </c>
      <c r="I790" s="4" t="str" cm="1">
        <f t="array" ref="I790">INDEX(Sheet1!E:E,$G790)</f>
        <v>A.1.a.v</v>
      </c>
      <c r="J790" s="4" t="str" cm="1">
        <f t="array" ref="J790">IF($C790&gt;=25,INDEX(Sheet1!G:G,$G790),INDEX(Sheet1!F:F,$G790))</f>
        <v>AA8</v>
      </c>
      <c r="K790" s="4" cm="1">
        <f t="array" ref="K790">INDEX(Sheet1!H:H,$G790)</f>
        <v>1E-3</v>
      </c>
      <c r="L790" s="4">
        <f t="shared" si="48"/>
        <v>37</v>
      </c>
      <c r="M790" s="4">
        <f t="shared" si="49"/>
        <v>0</v>
      </c>
    </row>
    <row r="791" spans="1:13">
      <c r="A791" s="4" t="str" cm="1">
        <f t="array" ref="A791">INDEX(Sheet1!A:A,$F791)</f>
        <v>M</v>
      </c>
      <c r="B791" s="4" t="str" cm="1">
        <f t="array" ref="B791">INDEX(Sheet1!B:B,$F791)</f>
        <v>Non-Pref SM</v>
      </c>
      <c r="C791" s="4">
        <f t="shared" si="50"/>
        <v>63</v>
      </c>
      <c r="D791" s="5" cm="1">
        <f t="array" aca="1" ref="D791" ca="1">OFFSET(INDIRECT("'["&amp;$H791&amp;"]"&amp;$I791&amp;"'!"&amp;$J791),$L791,$M791)*$K791</f>
        <v>2.3949999999999999E-2</v>
      </c>
      <c r="F791" s="4">
        <f t="shared" si="51"/>
        <v>8</v>
      </c>
      <c r="G791" s="4" cm="1">
        <f t="array" ref="G791">IF($C791&gt;=25,F791,IF($C791&lt;16,INDEX(Sheet1!C:C,$F791),$F791))</f>
        <v>8</v>
      </c>
      <c r="H791" s="4" t="str" cm="1">
        <f t="array" ref="H791">INDEX(Sheet1!D:D,$G791)</f>
        <v>2001-cso-preferred-class-structure-mortality-tables.xls</v>
      </c>
      <c r="I791" s="4" t="str" cm="1">
        <f t="array" ref="I791">INDEX(Sheet1!E:E,$G791)</f>
        <v>A.1.a.v</v>
      </c>
      <c r="J791" s="4" t="str" cm="1">
        <f t="array" ref="J791">IF($C791&gt;=25,INDEX(Sheet1!G:G,$G791),INDEX(Sheet1!F:F,$G791))</f>
        <v>AA8</v>
      </c>
      <c r="K791" s="4" cm="1">
        <f t="array" ref="K791">INDEX(Sheet1!H:H,$G791)</f>
        <v>1E-3</v>
      </c>
      <c r="L791" s="4">
        <f t="shared" si="48"/>
        <v>38</v>
      </c>
      <c r="M791" s="4">
        <f t="shared" si="49"/>
        <v>0</v>
      </c>
    </row>
    <row r="792" spans="1:13">
      <c r="A792" s="4" t="str" cm="1">
        <f t="array" ref="A792">INDEX(Sheet1!A:A,$F792)</f>
        <v>M</v>
      </c>
      <c r="B792" s="4" t="str" cm="1">
        <f t="array" ref="B792">INDEX(Sheet1!B:B,$F792)</f>
        <v>Non-Pref SM</v>
      </c>
      <c r="C792" s="4">
        <f t="shared" si="50"/>
        <v>64</v>
      </c>
      <c r="D792" s="5" cm="1">
        <f t="array" aca="1" ref="D792" ca="1">OFFSET(INDIRECT("'["&amp;$H792&amp;"]"&amp;$I792&amp;"'!"&amp;$J792),$L792,$M792)*$K792</f>
        <v>2.64E-2</v>
      </c>
      <c r="F792" s="4">
        <f t="shared" si="51"/>
        <v>8</v>
      </c>
      <c r="G792" s="4" cm="1">
        <f t="array" ref="G792">IF($C792&gt;=25,F792,IF($C792&lt;16,INDEX(Sheet1!C:C,$F792),$F792))</f>
        <v>8</v>
      </c>
      <c r="H792" s="4" t="str" cm="1">
        <f t="array" ref="H792">INDEX(Sheet1!D:D,$G792)</f>
        <v>2001-cso-preferred-class-structure-mortality-tables.xls</v>
      </c>
      <c r="I792" s="4" t="str" cm="1">
        <f t="array" ref="I792">INDEX(Sheet1!E:E,$G792)</f>
        <v>A.1.a.v</v>
      </c>
      <c r="J792" s="4" t="str" cm="1">
        <f t="array" ref="J792">IF($C792&gt;=25,INDEX(Sheet1!G:G,$G792),INDEX(Sheet1!F:F,$G792))</f>
        <v>AA8</v>
      </c>
      <c r="K792" s="4" cm="1">
        <f t="array" ref="K792">INDEX(Sheet1!H:H,$G792)</f>
        <v>1E-3</v>
      </c>
      <c r="L792" s="4">
        <f t="shared" si="48"/>
        <v>39</v>
      </c>
      <c r="M792" s="4">
        <f t="shared" si="49"/>
        <v>0</v>
      </c>
    </row>
    <row r="793" spans="1:13">
      <c r="A793" s="4" t="str" cm="1">
        <f t="array" ref="A793">INDEX(Sheet1!A:A,$F793)</f>
        <v>M</v>
      </c>
      <c r="B793" s="4" t="str" cm="1">
        <f t="array" ref="B793">INDEX(Sheet1!B:B,$F793)</f>
        <v>Non-Pref SM</v>
      </c>
      <c r="C793" s="4">
        <f t="shared" si="50"/>
        <v>65</v>
      </c>
      <c r="D793" s="5" cm="1">
        <f t="array" aca="1" ref="D793" ca="1">OFFSET(INDIRECT("'["&amp;$H793&amp;"]"&amp;$I793&amp;"'!"&amp;$J793),$L793,$M793)*$K793</f>
        <v>2.8820000000000002E-2</v>
      </c>
      <c r="F793" s="4">
        <f t="shared" si="51"/>
        <v>8</v>
      </c>
      <c r="G793" s="4" cm="1">
        <f t="array" ref="G793">IF($C793&gt;=25,F793,IF($C793&lt;16,INDEX(Sheet1!C:C,$F793),$F793))</f>
        <v>8</v>
      </c>
      <c r="H793" s="4" t="str" cm="1">
        <f t="array" ref="H793">INDEX(Sheet1!D:D,$G793)</f>
        <v>2001-cso-preferred-class-structure-mortality-tables.xls</v>
      </c>
      <c r="I793" s="4" t="str" cm="1">
        <f t="array" ref="I793">INDEX(Sheet1!E:E,$G793)</f>
        <v>A.1.a.v</v>
      </c>
      <c r="J793" s="4" t="str" cm="1">
        <f t="array" ref="J793">IF($C793&gt;=25,INDEX(Sheet1!G:G,$G793),INDEX(Sheet1!F:F,$G793))</f>
        <v>AA8</v>
      </c>
      <c r="K793" s="4" cm="1">
        <f t="array" ref="K793">INDEX(Sheet1!H:H,$G793)</f>
        <v>1E-3</v>
      </c>
      <c r="L793" s="4">
        <f t="shared" si="48"/>
        <v>40</v>
      </c>
      <c r="M793" s="4">
        <f t="shared" si="49"/>
        <v>0</v>
      </c>
    </row>
    <row r="794" spans="1:13">
      <c r="A794" s="4" t="str" cm="1">
        <f t="array" ref="A794">INDEX(Sheet1!A:A,$F794)</f>
        <v>M</v>
      </c>
      <c r="B794" s="4" t="str" cm="1">
        <f t="array" ref="B794">INDEX(Sheet1!B:B,$F794)</f>
        <v>Non-Pref SM</v>
      </c>
      <c r="C794" s="4">
        <f t="shared" si="50"/>
        <v>66</v>
      </c>
      <c r="D794" s="5" cm="1">
        <f t="array" aca="1" ref="D794" ca="1">OFFSET(INDIRECT("'["&amp;$H794&amp;"]"&amp;$I794&amp;"'!"&amp;$J794),$L794,$M794)*$K794</f>
        <v>3.1150000000000001E-2</v>
      </c>
      <c r="F794" s="4">
        <f t="shared" si="51"/>
        <v>8</v>
      </c>
      <c r="G794" s="4" cm="1">
        <f t="array" ref="G794">IF($C794&gt;=25,F794,IF($C794&lt;16,INDEX(Sheet1!C:C,$F794),$F794))</f>
        <v>8</v>
      </c>
      <c r="H794" s="4" t="str" cm="1">
        <f t="array" ref="H794">INDEX(Sheet1!D:D,$G794)</f>
        <v>2001-cso-preferred-class-structure-mortality-tables.xls</v>
      </c>
      <c r="I794" s="4" t="str" cm="1">
        <f t="array" ref="I794">INDEX(Sheet1!E:E,$G794)</f>
        <v>A.1.a.v</v>
      </c>
      <c r="J794" s="4" t="str" cm="1">
        <f t="array" ref="J794">IF($C794&gt;=25,INDEX(Sheet1!G:G,$G794),INDEX(Sheet1!F:F,$G794))</f>
        <v>AA8</v>
      </c>
      <c r="K794" s="4" cm="1">
        <f t="array" ref="K794">INDEX(Sheet1!H:H,$G794)</f>
        <v>1E-3</v>
      </c>
      <c r="L794" s="4">
        <f t="shared" si="48"/>
        <v>41</v>
      </c>
      <c r="M794" s="4">
        <f t="shared" si="49"/>
        <v>0</v>
      </c>
    </row>
    <row r="795" spans="1:13">
      <c r="A795" s="4" t="str" cm="1">
        <f t="array" ref="A795">INDEX(Sheet1!A:A,$F795)</f>
        <v>M</v>
      </c>
      <c r="B795" s="4" t="str" cm="1">
        <f t="array" ref="B795">INDEX(Sheet1!B:B,$F795)</f>
        <v>Non-Pref SM</v>
      </c>
      <c r="C795" s="4">
        <f t="shared" si="50"/>
        <v>67</v>
      </c>
      <c r="D795" s="5" cm="1">
        <f t="array" aca="1" ref="D795" ca="1">OFFSET(INDIRECT("'["&amp;$H795&amp;"]"&amp;$I795&amp;"'!"&amp;$J795),$L795,$M795)*$K795</f>
        <v>3.3409999999999995E-2</v>
      </c>
      <c r="F795" s="4">
        <f t="shared" si="51"/>
        <v>8</v>
      </c>
      <c r="G795" s="4" cm="1">
        <f t="array" ref="G795">IF($C795&gt;=25,F795,IF($C795&lt;16,INDEX(Sheet1!C:C,$F795),$F795))</f>
        <v>8</v>
      </c>
      <c r="H795" s="4" t="str" cm="1">
        <f t="array" ref="H795">INDEX(Sheet1!D:D,$G795)</f>
        <v>2001-cso-preferred-class-structure-mortality-tables.xls</v>
      </c>
      <c r="I795" s="4" t="str" cm="1">
        <f t="array" ref="I795">INDEX(Sheet1!E:E,$G795)</f>
        <v>A.1.a.v</v>
      </c>
      <c r="J795" s="4" t="str" cm="1">
        <f t="array" ref="J795">IF($C795&gt;=25,INDEX(Sheet1!G:G,$G795),INDEX(Sheet1!F:F,$G795))</f>
        <v>AA8</v>
      </c>
      <c r="K795" s="4" cm="1">
        <f t="array" ref="K795">INDEX(Sheet1!H:H,$G795)</f>
        <v>1E-3</v>
      </c>
      <c r="L795" s="4">
        <f t="shared" si="48"/>
        <v>42</v>
      </c>
      <c r="M795" s="4">
        <f t="shared" si="49"/>
        <v>0</v>
      </c>
    </row>
    <row r="796" spans="1:13">
      <c r="A796" s="4" t="str" cm="1">
        <f t="array" ref="A796">INDEX(Sheet1!A:A,$F796)</f>
        <v>M</v>
      </c>
      <c r="B796" s="4" t="str" cm="1">
        <f t="array" ref="B796">INDEX(Sheet1!B:B,$F796)</f>
        <v>Non-Pref SM</v>
      </c>
      <c r="C796" s="4">
        <f t="shared" si="50"/>
        <v>68</v>
      </c>
      <c r="D796" s="5" cm="1">
        <f t="array" aca="1" ref="D796" ca="1">OFFSET(INDIRECT("'["&amp;$H796&amp;"]"&amp;$I796&amp;"'!"&amp;$J796),$L796,$M796)*$K796</f>
        <v>3.5790000000000002E-2</v>
      </c>
      <c r="F796" s="4">
        <f t="shared" si="51"/>
        <v>8</v>
      </c>
      <c r="G796" s="4" cm="1">
        <f t="array" ref="G796">IF($C796&gt;=25,F796,IF($C796&lt;16,INDEX(Sheet1!C:C,$F796),$F796))</f>
        <v>8</v>
      </c>
      <c r="H796" s="4" t="str" cm="1">
        <f t="array" ref="H796">INDEX(Sheet1!D:D,$G796)</f>
        <v>2001-cso-preferred-class-structure-mortality-tables.xls</v>
      </c>
      <c r="I796" s="4" t="str" cm="1">
        <f t="array" ref="I796">INDEX(Sheet1!E:E,$G796)</f>
        <v>A.1.a.v</v>
      </c>
      <c r="J796" s="4" t="str" cm="1">
        <f t="array" ref="J796">IF($C796&gt;=25,INDEX(Sheet1!G:G,$G796),INDEX(Sheet1!F:F,$G796))</f>
        <v>AA8</v>
      </c>
      <c r="K796" s="4" cm="1">
        <f t="array" ref="K796">INDEX(Sheet1!H:H,$G796)</f>
        <v>1E-3</v>
      </c>
      <c r="L796" s="4">
        <f t="shared" si="48"/>
        <v>43</v>
      </c>
      <c r="M796" s="4">
        <f t="shared" si="49"/>
        <v>0</v>
      </c>
    </row>
    <row r="797" spans="1:13">
      <c r="A797" s="4" t="str" cm="1">
        <f t="array" ref="A797">INDEX(Sheet1!A:A,$F797)</f>
        <v>M</v>
      </c>
      <c r="B797" s="4" t="str" cm="1">
        <f t="array" ref="B797">INDEX(Sheet1!B:B,$F797)</f>
        <v>Non-Pref SM</v>
      </c>
      <c r="C797" s="4">
        <f t="shared" si="50"/>
        <v>69</v>
      </c>
      <c r="D797" s="5" cm="1">
        <f t="array" aca="1" ref="D797" ca="1">OFFSET(INDIRECT("'["&amp;$H797&amp;"]"&amp;$I797&amp;"'!"&amp;$J797),$L797,$M797)*$K797</f>
        <v>3.814E-2</v>
      </c>
      <c r="F797" s="4">
        <f t="shared" si="51"/>
        <v>8</v>
      </c>
      <c r="G797" s="4" cm="1">
        <f t="array" ref="G797">IF($C797&gt;=25,F797,IF($C797&lt;16,INDEX(Sheet1!C:C,$F797),$F797))</f>
        <v>8</v>
      </c>
      <c r="H797" s="4" t="str" cm="1">
        <f t="array" ref="H797">INDEX(Sheet1!D:D,$G797)</f>
        <v>2001-cso-preferred-class-structure-mortality-tables.xls</v>
      </c>
      <c r="I797" s="4" t="str" cm="1">
        <f t="array" ref="I797">INDEX(Sheet1!E:E,$G797)</f>
        <v>A.1.a.v</v>
      </c>
      <c r="J797" s="4" t="str" cm="1">
        <f t="array" ref="J797">IF($C797&gt;=25,INDEX(Sheet1!G:G,$G797),INDEX(Sheet1!F:F,$G797))</f>
        <v>AA8</v>
      </c>
      <c r="K797" s="4" cm="1">
        <f t="array" ref="K797">INDEX(Sheet1!H:H,$G797)</f>
        <v>1E-3</v>
      </c>
      <c r="L797" s="4">
        <f t="shared" si="48"/>
        <v>44</v>
      </c>
      <c r="M797" s="4">
        <f t="shared" si="49"/>
        <v>0</v>
      </c>
    </row>
    <row r="798" spans="1:13">
      <c r="A798" s="4" t="str" cm="1">
        <f t="array" ref="A798">INDEX(Sheet1!A:A,$F798)</f>
        <v>M</v>
      </c>
      <c r="B798" s="4" t="str" cm="1">
        <f t="array" ref="B798">INDEX(Sheet1!B:B,$F798)</f>
        <v>Non-Pref SM</v>
      </c>
      <c r="C798" s="4">
        <f t="shared" si="50"/>
        <v>70</v>
      </c>
      <c r="D798" s="5" cm="1">
        <f t="array" aca="1" ref="D798" ca="1">OFFSET(INDIRECT("'["&amp;$H798&amp;"]"&amp;$I798&amp;"'!"&amp;$J798),$L798,$M798)*$K798</f>
        <v>4.1000000000000002E-2</v>
      </c>
      <c r="F798" s="4">
        <f t="shared" si="51"/>
        <v>8</v>
      </c>
      <c r="G798" s="4" cm="1">
        <f t="array" ref="G798">IF($C798&gt;=25,F798,IF($C798&lt;16,INDEX(Sheet1!C:C,$F798),$F798))</f>
        <v>8</v>
      </c>
      <c r="H798" s="4" t="str" cm="1">
        <f t="array" ref="H798">INDEX(Sheet1!D:D,$G798)</f>
        <v>2001-cso-preferred-class-structure-mortality-tables.xls</v>
      </c>
      <c r="I798" s="4" t="str" cm="1">
        <f t="array" ref="I798">INDEX(Sheet1!E:E,$G798)</f>
        <v>A.1.a.v</v>
      </c>
      <c r="J798" s="4" t="str" cm="1">
        <f t="array" ref="J798">IF($C798&gt;=25,INDEX(Sheet1!G:G,$G798),INDEX(Sheet1!F:F,$G798))</f>
        <v>AA8</v>
      </c>
      <c r="K798" s="4" cm="1">
        <f t="array" ref="K798">INDEX(Sheet1!H:H,$G798)</f>
        <v>1E-3</v>
      </c>
      <c r="L798" s="4">
        <f t="shared" si="48"/>
        <v>45</v>
      </c>
      <c r="M798" s="4">
        <f t="shared" si="49"/>
        <v>0</v>
      </c>
    </row>
    <row r="799" spans="1:13">
      <c r="A799" s="4" t="str" cm="1">
        <f t="array" ref="A799">INDEX(Sheet1!A:A,$F799)</f>
        <v>M</v>
      </c>
      <c r="B799" s="4" t="str" cm="1">
        <f t="array" ref="B799">INDEX(Sheet1!B:B,$F799)</f>
        <v>Non-Pref SM</v>
      </c>
      <c r="C799" s="4">
        <f t="shared" si="50"/>
        <v>71</v>
      </c>
      <c r="D799" s="5" cm="1">
        <f t="array" aca="1" ref="D799" ca="1">OFFSET(INDIRECT("'["&amp;$H799&amp;"]"&amp;$I799&amp;"'!"&amp;$J799),$L799,$M799)*$K799</f>
        <v>4.4130000000000003E-2</v>
      </c>
      <c r="F799" s="4">
        <f t="shared" si="51"/>
        <v>8</v>
      </c>
      <c r="G799" s="4" cm="1">
        <f t="array" ref="G799">IF($C799&gt;=25,F799,IF($C799&lt;16,INDEX(Sheet1!C:C,$F799),$F799))</f>
        <v>8</v>
      </c>
      <c r="H799" s="4" t="str" cm="1">
        <f t="array" ref="H799">INDEX(Sheet1!D:D,$G799)</f>
        <v>2001-cso-preferred-class-structure-mortality-tables.xls</v>
      </c>
      <c r="I799" s="4" t="str" cm="1">
        <f t="array" ref="I799">INDEX(Sheet1!E:E,$G799)</f>
        <v>A.1.a.v</v>
      </c>
      <c r="J799" s="4" t="str" cm="1">
        <f t="array" ref="J799">IF($C799&gt;=25,INDEX(Sheet1!G:G,$G799),INDEX(Sheet1!F:F,$G799))</f>
        <v>AA8</v>
      </c>
      <c r="K799" s="4" cm="1">
        <f t="array" ref="K799">INDEX(Sheet1!H:H,$G799)</f>
        <v>1E-3</v>
      </c>
      <c r="L799" s="4">
        <f t="shared" si="48"/>
        <v>46</v>
      </c>
      <c r="M799" s="4">
        <f t="shared" si="49"/>
        <v>0</v>
      </c>
    </row>
    <row r="800" spans="1:13">
      <c r="A800" s="4" t="str" cm="1">
        <f t="array" ref="A800">INDEX(Sheet1!A:A,$F800)</f>
        <v>M</v>
      </c>
      <c r="B800" s="4" t="str" cm="1">
        <f t="array" ref="B800">INDEX(Sheet1!B:B,$F800)</f>
        <v>Non-Pref SM</v>
      </c>
      <c r="C800" s="4">
        <f t="shared" si="50"/>
        <v>72</v>
      </c>
      <c r="D800" s="5" cm="1">
        <f t="array" aca="1" ref="D800" ca="1">OFFSET(INDIRECT("'["&amp;$H800&amp;"]"&amp;$I800&amp;"'!"&amp;$J800),$L800,$M800)*$K800</f>
        <v>4.8380000000000006E-2</v>
      </c>
      <c r="F800" s="4">
        <f t="shared" si="51"/>
        <v>8</v>
      </c>
      <c r="G800" s="4" cm="1">
        <f t="array" ref="G800">IF($C800&gt;=25,F800,IF($C800&lt;16,INDEX(Sheet1!C:C,$F800),$F800))</f>
        <v>8</v>
      </c>
      <c r="H800" s="4" t="str" cm="1">
        <f t="array" ref="H800">INDEX(Sheet1!D:D,$G800)</f>
        <v>2001-cso-preferred-class-structure-mortality-tables.xls</v>
      </c>
      <c r="I800" s="4" t="str" cm="1">
        <f t="array" ref="I800">INDEX(Sheet1!E:E,$G800)</f>
        <v>A.1.a.v</v>
      </c>
      <c r="J800" s="4" t="str" cm="1">
        <f t="array" ref="J800">IF($C800&gt;=25,INDEX(Sheet1!G:G,$G800),INDEX(Sheet1!F:F,$G800))</f>
        <v>AA8</v>
      </c>
      <c r="K800" s="4" cm="1">
        <f t="array" ref="K800">INDEX(Sheet1!H:H,$G800)</f>
        <v>1E-3</v>
      </c>
      <c r="L800" s="4">
        <f t="shared" si="48"/>
        <v>47</v>
      </c>
      <c r="M800" s="4">
        <f t="shared" si="49"/>
        <v>0</v>
      </c>
    </row>
    <row r="801" spans="1:13">
      <c r="A801" s="4" t="str" cm="1">
        <f t="array" ref="A801">INDEX(Sheet1!A:A,$F801)</f>
        <v>M</v>
      </c>
      <c r="B801" s="4" t="str" cm="1">
        <f t="array" ref="B801">INDEX(Sheet1!B:B,$F801)</f>
        <v>Non-Pref SM</v>
      </c>
      <c r="C801" s="4">
        <f t="shared" si="50"/>
        <v>73</v>
      </c>
      <c r="D801" s="5" cm="1">
        <f t="array" aca="1" ref="D801" ca="1">OFFSET(INDIRECT("'["&amp;$H801&amp;"]"&amp;$I801&amp;"'!"&amp;$J801),$L801,$M801)*$K801</f>
        <v>5.2650000000000002E-2</v>
      </c>
      <c r="F801" s="4">
        <f t="shared" si="51"/>
        <v>8</v>
      </c>
      <c r="G801" s="4" cm="1">
        <f t="array" ref="G801">IF($C801&gt;=25,F801,IF($C801&lt;16,INDEX(Sheet1!C:C,$F801),$F801))</f>
        <v>8</v>
      </c>
      <c r="H801" s="4" t="str" cm="1">
        <f t="array" ref="H801">INDEX(Sheet1!D:D,$G801)</f>
        <v>2001-cso-preferred-class-structure-mortality-tables.xls</v>
      </c>
      <c r="I801" s="4" t="str" cm="1">
        <f t="array" ref="I801">INDEX(Sheet1!E:E,$G801)</f>
        <v>A.1.a.v</v>
      </c>
      <c r="J801" s="4" t="str" cm="1">
        <f t="array" ref="J801">IF($C801&gt;=25,INDEX(Sheet1!G:G,$G801),INDEX(Sheet1!F:F,$G801))</f>
        <v>AA8</v>
      </c>
      <c r="K801" s="4" cm="1">
        <f t="array" ref="K801">INDEX(Sheet1!H:H,$G801)</f>
        <v>1E-3</v>
      </c>
      <c r="L801" s="4">
        <f t="shared" si="48"/>
        <v>48</v>
      </c>
      <c r="M801" s="4">
        <f t="shared" si="49"/>
        <v>0</v>
      </c>
    </row>
    <row r="802" spans="1:13">
      <c r="A802" s="4" t="str" cm="1">
        <f t="array" ref="A802">INDEX(Sheet1!A:A,$F802)</f>
        <v>M</v>
      </c>
      <c r="B802" s="4" t="str" cm="1">
        <f t="array" ref="B802">INDEX(Sheet1!B:B,$F802)</f>
        <v>Non-Pref SM</v>
      </c>
      <c r="C802" s="4">
        <f t="shared" si="50"/>
        <v>74</v>
      </c>
      <c r="D802" s="5" cm="1">
        <f t="array" aca="1" ref="D802" ca="1">OFFSET(INDIRECT("'["&amp;$H802&amp;"]"&amp;$I802&amp;"'!"&amp;$J802),$L802,$M802)*$K802</f>
        <v>5.697E-2</v>
      </c>
      <c r="F802" s="4">
        <f t="shared" si="51"/>
        <v>8</v>
      </c>
      <c r="G802" s="4" cm="1">
        <f t="array" ref="G802">IF($C802&gt;=25,F802,IF($C802&lt;16,INDEX(Sheet1!C:C,$F802),$F802))</f>
        <v>8</v>
      </c>
      <c r="H802" s="4" t="str" cm="1">
        <f t="array" ref="H802">INDEX(Sheet1!D:D,$G802)</f>
        <v>2001-cso-preferred-class-structure-mortality-tables.xls</v>
      </c>
      <c r="I802" s="4" t="str" cm="1">
        <f t="array" ref="I802">INDEX(Sheet1!E:E,$G802)</f>
        <v>A.1.a.v</v>
      </c>
      <c r="J802" s="4" t="str" cm="1">
        <f t="array" ref="J802">IF($C802&gt;=25,INDEX(Sheet1!G:G,$G802),INDEX(Sheet1!F:F,$G802))</f>
        <v>AA8</v>
      </c>
      <c r="K802" s="4" cm="1">
        <f t="array" ref="K802">INDEX(Sheet1!H:H,$G802)</f>
        <v>1E-3</v>
      </c>
      <c r="L802" s="4">
        <f t="shared" si="48"/>
        <v>49</v>
      </c>
      <c r="M802" s="4">
        <f t="shared" si="49"/>
        <v>0</v>
      </c>
    </row>
    <row r="803" spans="1:13">
      <c r="A803" s="4" t="str" cm="1">
        <f t="array" ref="A803">INDEX(Sheet1!A:A,$F803)</f>
        <v>M</v>
      </c>
      <c r="B803" s="4" t="str" cm="1">
        <f t="array" ref="B803">INDEX(Sheet1!B:B,$F803)</f>
        <v>Non-Pref SM</v>
      </c>
      <c r="C803" s="4">
        <f t="shared" si="50"/>
        <v>75</v>
      </c>
      <c r="D803" s="5" cm="1">
        <f t="array" aca="1" ref="D803" ca="1">OFFSET(INDIRECT("'["&amp;$H803&amp;"]"&amp;$I803&amp;"'!"&amp;$J803),$L803,$M803)*$K803</f>
        <v>6.2E-2</v>
      </c>
      <c r="F803" s="4">
        <f t="shared" si="51"/>
        <v>8</v>
      </c>
      <c r="G803" s="4" cm="1">
        <f t="array" ref="G803">IF($C803&gt;=25,F803,IF($C803&lt;16,INDEX(Sheet1!C:C,$F803),$F803))</f>
        <v>8</v>
      </c>
      <c r="H803" s="4" t="str" cm="1">
        <f t="array" ref="H803">INDEX(Sheet1!D:D,$G803)</f>
        <v>2001-cso-preferred-class-structure-mortality-tables.xls</v>
      </c>
      <c r="I803" s="4" t="str" cm="1">
        <f t="array" ref="I803">INDEX(Sheet1!E:E,$G803)</f>
        <v>A.1.a.v</v>
      </c>
      <c r="J803" s="4" t="str" cm="1">
        <f t="array" ref="J803">IF($C803&gt;=25,INDEX(Sheet1!G:G,$G803),INDEX(Sheet1!F:F,$G803))</f>
        <v>AA8</v>
      </c>
      <c r="K803" s="4" cm="1">
        <f t="array" ref="K803">INDEX(Sheet1!H:H,$G803)</f>
        <v>1E-3</v>
      </c>
      <c r="L803" s="4">
        <f t="shared" si="48"/>
        <v>50</v>
      </c>
      <c r="M803" s="4">
        <f t="shared" si="49"/>
        <v>0</v>
      </c>
    </row>
    <row r="804" spans="1:13">
      <c r="A804" s="4" t="str" cm="1">
        <f t="array" ref="A804">INDEX(Sheet1!A:A,$F804)</f>
        <v>M</v>
      </c>
      <c r="B804" s="4" t="str" cm="1">
        <f t="array" ref="B804">INDEX(Sheet1!B:B,$F804)</f>
        <v>Non-Pref SM</v>
      </c>
      <c r="C804" s="4">
        <f t="shared" si="50"/>
        <v>76</v>
      </c>
      <c r="D804" s="5" cm="1">
        <f t="array" aca="1" ref="D804" ca="1">OFFSET(INDIRECT("'["&amp;$H804&amp;"]"&amp;$I804&amp;"'!"&amp;$J804),$L804,$M804)*$K804</f>
        <v>6.7090000000000011E-2</v>
      </c>
      <c r="F804" s="4">
        <f t="shared" si="51"/>
        <v>8</v>
      </c>
      <c r="G804" s="4" cm="1">
        <f t="array" ref="G804">IF($C804&gt;=25,F804,IF($C804&lt;16,INDEX(Sheet1!C:C,$F804),$F804))</f>
        <v>8</v>
      </c>
      <c r="H804" s="4" t="str" cm="1">
        <f t="array" ref="H804">INDEX(Sheet1!D:D,$G804)</f>
        <v>2001-cso-preferred-class-structure-mortality-tables.xls</v>
      </c>
      <c r="I804" s="4" t="str" cm="1">
        <f t="array" ref="I804">INDEX(Sheet1!E:E,$G804)</f>
        <v>A.1.a.v</v>
      </c>
      <c r="J804" s="4" t="str" cm="1">
        <f t="array" ref="J804">IF($C804&gt;=25,INDEX(Sheet1!G:G,$G804),INDEX(Sheet1!F:F,$G804))</f>
        <v>AA8</v>
      </c>
      <c r="K804" s="4" cm="1">
        <f t="array" ref="K804">INDEX(Sheet1!H:H,$G804)</f>
        <v>1E-3</v>
      </c>
      <c r="L804" s="4">
        <f t="shared" si="48"/>
        <v>51</v>
      </c>
      <c r="M804" s="4">
        <f t="shared" si="49"/>
        <v>0</v>
      </c>
    </row>
    <row r="805" spans="1:13">
      <c r="A805" s="4" t="str" cm="1">
        <f t="array" ref="A805">INDEX(Sheet1!A:A,$F805)</f>
        <v>M</v>
      </c>
      <c r="B805" s="4" t="str" cm="1">
        <f t="array" ref="B805">INDEX(Sheet1!B:B,$F805)</f>
        <v>Non-Pref SM</v>
      </c>
      <c r="C805" s="4">
        <f t="shared" si="50"/>
        <v>77</v>
      </c>
      <c r="D805" s="5" cm="1">
        <f t="array" aca="1" ref="D805" ca="1">OFFSET(INDIRECT("'["&amp;$H805&amp;"]"&amp;$I805&amp;"'!"&amp;$J805),$L805,$M805)*$K805</f>
        <v>7.2970000000000007E-2</v>
      </c>
      <c r="F805" s="4">
        <f t="shared" si="51"/>
        <v>8</v>
      </c>
      <c r="G805" s="4" cm="1">
        <f t="array" ref="G805">IF($C805&gt;=25,F805,IF($C805&lt;16,INDEX(Sheet1!C:C,$F805),$F805))</f>
        <v>8</v>
      </c>
      <c r="H805" s="4" t="str" cm="1">
        <f t="array" ref="H805">INDEX(Sheet1!D:D,$G805)</f>
        <v>2001-cso-preferred-class-structure-mortality-tables.xls</v>
      </c>
      <c r="I805" s="4" t="str" cm="1">
        <f t="array" ref="I805">INDEX(Sheet1!E:E,$G805)</f>
        <v>A.1.a.v</v>
      </c>
      <c r="J805" s="4" t="str" cm="1">
        <f t="array" ref="J805">IF($C805&gt;=25,INDEX(Sheet1!G:G,$G805),INDEX(Sheet1!F:F,$G805))</f>
        <v>AA8</v>
      </c>
      <c r="K805" s="4" cm="1">
        <f t="array" ref="K805">INDEX(Sheet1!H:H,$G805)</f>
        <v>1E-3</v>
      </c>
      <c r="L805" s="4">
        <f t="shared" si="48"/>
        <v>52</v>
      </c>
      <c r="M805" s="4">
        <f t="shared" si="49"/>
        <v>0</v>
      </c>
    </row>
    <row r="806" spans="1:13">
      <c r="A806" s="4" t="str" cm="1">
        <f t="array" ref="A806">INDEX(Sheet1!A:A,$F806)</f>
        <v>M</v>
      </c>
      <c r="B806" s="4" t="str" cm="1">
        <f t="array" ref="B806">INDEX(Sheet1!B:B,$F806)</f>
        <v>Non-Pref SM</v>
      </c>
      <c r="C806" s="4">
        <f t="shared" si="50"/>
        <v>78</v>
      </c>
      <c r="D806" s="5" cm="1">
        <f t="array" aca="1" ref="D806" ca="1">OFFSET(INDIRECT("'["&amp;$H806&amp;"]"&amp;$I806&amp;"'!"&amp;$J806),$L806,$M806)*$K806</f>
        <v>7.9760000000000011E-2</v>
      </c>
      <c r="F806" s="4">
        <f t="shared" si="51"/>
        <v>8</v>
      </c>
      <c r="G806" s="4" cm="1">
        <f t="array" ref="G806">IF($C806&gt;=25,F806,IF($C806&lt;16,INDEX(Sheet1!C:C,$F806),$F806))</f>
        <v>8</v>
      </c>
      <c r="H806" s="4" t="str" cm="1">
        <f t="array" ref="H806">INDEX(Sheet1!D:D,$G806)</f>
        <v>2001-cso-preferred-class-structure-mortality-tables.xls</v>
      </c>
      <c r="I806" s="4" t="str" cm="1">
        <f t="array" ref="I806">INDEX(Sheet1!E:E,$G806)</f>
        <v>A.1.a.v</v>
      </c>
      <c r="J806" s="4" t="str" cm="1">
        <f t="array" ref="J806">IF($C806&gt;=25,INDEX(Sheet1!G:G,$G806),INDEX(Sheet1!F:F,$G806))</f>
        <v>AA8</v>
      </c>
      <c r="K806" s="4" cm="1">
        <f t="array" ref="K806">INDEX(Sheet1!H:H,$G806)</f>
        <v>1E-3</v>
      </c>
      <c r="L806" s="4">
        <f t="shared" si="48"/>
        <v>53</v>
      </c>
      <c r="M806" s="4">
        <f t="shared" si="49"/>
        <v>0</v>
      </c>
    </row>
    <row r="807" spans="1:13">
      <c r="A807" s="4" t="str" cm="1">
        <f t="array" ref="A807">INDEX(Sheet1!A:A,$F807)</f>
        <v>M</v>
      </c>
      <c r="B807" s="4" t="str" cm="1">
        <f t="array" ref="B807">INDEX(Sheet1!B:B,$F807)</f>
        <v>Non-Pref SM</v>
      </c>
      <c r="C807" s="4">
        <f t="shared" si="50"/>
        <v>79</v>
      </c>
      <c r="D807" s="5" cm="1">
        <f t="array" aca="1" ref="D807" ca="1">OFFSET(INDIRECT("'["&amp;$H807&amp;"]"&amp;$I807&amp;"'!"&amp;$J807),$L807,$M807)*$K807</f>
        <v>8.7470000000000006E-2</v>
      </c>
      <c r="F807" s="4">
        <f t="shared" si="51"/>
        <v>8</v>
      </c>
      <c r="G807" s="4" cm="1">
        <f t="array" ref="G807">IF($C807&gt;=25,F807,IF($C807&lt;16,INDEX(Sheet1!C:C,$F807),$F807))</f>
        <v>8</v>
      </c>
      <c r="H807" s="4" t="str" cm="1">
        <f t="array" ref="H807">INDEX(Sheet1!D:D,$G807)</f>
        <v>2001-cso-preferred-class-structure-mortality-tables.xls</v>
      </c>
      <c r="I807" s="4" t="str" cm="1">
        <f t="array" ref="I807">INDEX(Sheet1!E:E,$G807)</f>
        <v>A.1.a.v</v>
      </c>
      <c r="J807" s="4" t="str" cm="1">
        <f t="array" ref="J807">IF($C807&gt;=25,INDEX(Sheet1!G:G,$G807),INDEX(Sheet1!F:F,$G807))</f>
        <v>AA8</v>
      </c>
      <c r="K807" s="4" cm="1">
        <f t="array" ref="K807">INDEX(Sheet1!H:H,$G807)</f>
        <v>1E-3</v>
      </c>
      <c r="L807" s="4">
        <f t="shared" si="48"/>
        <v>54</v>
      </c>
      <c r="M807" s="4">
        <f t="shared" si="49"/>
        <v>0</v>
      </c>
    </row>
    <row r="808" spans="1:13">
      <c r="A808" s="4" t="str" cm="1">
        <f t="array" ref="A808">INDEX(Sheet1!A:A,$F808)</f>
        <v>M</v>
      </c>
      <c r="B808" s="4" t="str" cm="1">
        <f t="array" ref="B808">INDEX(Sheet1!B:B,$F808)</f>
        <v>Non-Pref SM</v>
      </c>
      <c r="C808" s="4">
        <f t="shared" si="50"/>
        <v>80</v>
      </c>
      <c r="D808" s="5" cm="1">
        <f t="array" aca="1" ref="D808" ca="1">OFFSET(INDIRECT("'["&amp;$H808&amp;"]"&amp;$I808&amp;"'!"&amp;$J808),$L808,$M808)*$K808</f>
        <v>9.5650000000000013E-2</v>
      </c>
      <c r="F808" s="4">
        <f t="shared" si="51"/>
        <v>8</v>
      </c>
      <c r="G808" s="4" cm="1">
        <f t="array" ref="G808">IF($C808&gt;=25,F808,IF($C808&lt;16,INDEX(Sheet1!C:C,$F808),$F808))</f>
        <v>8</v>
      </c>
      <c r="H808" s="4" t="str" cm="1">
        <f t="array" ref="H808">INDEX(Sheet1!D:D,$G808)</f>
        <v>2001-cso-preferred-class-structure-mortality-tables.xls</v>
      </c>
      <c r="I808" s="4" t="str" cm="1">
        <f t="array" ref="I808">INDEX(Sheet1!E:E,$G808)</f>
        <v>A.1.a.v</v>
      </c>
      <c r="J808" s="4" t="str" cm="1">
        <f t="array" ref="J808">IF($C808&gt;=25,INDEX(Sheet1!G:G,$G808),INDEX(Sheet1!F:F,$G808))</f>
        <v>AA8</v>
      </c>
      <c r="K808" s="4" cm="1">
        <f t="array" ref="K808">INDEX(Sheet1!H:H,$G808)</f>
        <v>1E-3</v>
      </c>
      <c r="L808" s="4">
        <f t="shared" si="48"/>
        <v>55</v>
      </c>
      <c r="M808" s="4">
        <f t="shared" si="49"/>
        <v>0</v>
      </c>
    </row>
    <row r="809" spans="1:13">
      <c r="A809" s="4" t="str" cm="1">
        <f t="array" ref="A809">INDEX(Sheet1!A:A,$F809)</f>
        <v>M</v>
      </c>
      <c r="B809" s="4" t="str" cm="1">
        <f t="array" ref="B809">INDEX(Sheet1!B:B,$F809)</f>
        <v>Non-Pref SM</v>
      </c>
      <c r="C809" s="4">
        <f t="shared" si="50"/>
        <v>81</v>
      </c>
      <c r="D809" s="5" cm="1">
        <f t="array" aca="1" ref="D809" ca="1">OFFSET(INDIRECT("'["&amp;$H809&amp;"]"&amp;$I809&amp;"'!"&amp;$J809),$L809,$M809)*$K809</f>
        <v>0.10479000000000001</v>
      </c>
      <c r="F809" s="4">
        <f t="shared" si="51"/>
        <v>8</v>
      </c>
      <c r="G809" s="4" cm="1">
        <f t="array" ref="G809">IF($C809&gt;=25,F809,IF($C809&lt;16,INDEX(Sheet1!C:C,$F809),$F809))</f>
        <v>8</v>
      </c>
      <c r="H809" s="4" t="str" cm="1">
        <f t="array" ref="H809">INDEX(Sheet1!D:D,$G809)</f>
        <v>2001-cso-preferred-class-structure-mortality-tables.xls</v>
      </c>
      <c r="I809" s="4" t="str" cm="1">
        <f t="array" ref="I809">INDEX(Sheet1!E:E,$G809)</f>
        <v>A.1.a.v</v>
      </c>
      <c r="J809" s="4" t="str" cm="1">
        <f t="array" ref="J809">IF($C809&gt;=25,INDEX(Sheet1!G:G,$G809),INDEX(Sheet1!F:F,$G809))</f>
        <v>AA8</v>
      </c>
      <c r="K809" s="4" cm="1">
        <f t="array" ref="K809">INDEX(Sheet1!H:H,$G809)</f>
        <v>1E-3</v>
      </c>
      <c r="L809" s="4">
        <f t="shared" si="48"/>
        <v>56</v>
      </c>
      <c r="M809" s="4">
        <f t="shared" si="49"/>
        <v>0</v>
      </c>
    </row>
    <row r="810" spans="1:13">
      <c r="A810" s="4" t="str" cm="1">
        <f t="array" ref="A810">INDEX(Sheet1!A:A,$F810)</f>
        <v>M</v>
      </c>
      <c r="B810" s="4" t="str" cm="1">
        <f t="array" ref="B810">INDEX(Sheet1!B:B,$F810)</f>
        <v>Non-Pref SM</v>
      </c>
      <c r="C810" s="4">
        <f t="shared" si="50"/>
        <v>82</v>
      </c>
      <c r="D810" s="5" cm="1">
        <f t="array" aca="1" ref="D810" ca="1">OFFSET(INDIRECT("'["&amp;$H810&amp;"]"&amp;$I810&amp;"'!"&amp;$J810),$L810,$M810)*$K810</f>
        <v>0.11393</v>
      </c>
      <c r="F810" s="4">
        <f t="shared" si="51"/>
        <v>8</v>
      </c>
      <c r="G810" s="4" cm="1">
        <f t="array" ref="G810">IF($C810&gt;=25,F810,IF($C810&lt;16,INDEX(Sheet1!C:C,$F810),$F810))</f>
        <v>8</v>
      </c>
      <c r="H810" s="4" t="str" cm="1">
        <f t="array" ref="H810">INDEX(Sheet1!D:D,$G810)</f>
        <v>2001-cso-preferred-class-structure-mortality-tables.xls</v>
      </c>
      <c r="I810" s="4" t="str" cm="1">
        <f t="array" ref="I810">INDEX(Sheet1!E:E,$G810)</f>
        <v>A.1.a.v</v>
      </c>
      <c r="J810" s="4" t="str" cm="1">
        <f t="array" ref="J810">IF($C810&gt;=25,INDEX(Sheet1!G:G,$G810),INDEX(Sheet1!F:F,$G810))</f>
        <v>AA8</v>
      </c>
      <c r="K810" s="4" cm="1">
        <f t="array" ref="K810">INDEX(Sheet1!H:H,$G810)</f>
        <v>1E-3</v>
      </c>
      <c r="L810" s="4">
        <f t="shared" si="48"/>
        <v>57</v>
      </c>
      <c r="M810" s="4">
        <f t="shared" si="49"/>
        <v>0</v>
      </c>
    </row>
    <row r="811" spans="1:13">
      <c r="A811" s="4" t="str" cm="1">
        <f t="array" ref="A811">INDEX(Sheet1!A:A,$F811)</f>
        <v>M</v>
      </c>
      <c r="B811" s="4" t="str" cm="1">
        <f t="array" ref="B811">INDEX(Sheet1!B:B,$F811)</f>
        <v>Non-Pref SM</v>
      </c>
      <c r="C811" s="4">
        <f t="shared" si="50"/>
        <v>83</v>
      </c>
      <c r="D811" s="5" cm="1">
        <f t="array" aca="1" ref="D811" ca="1">OFFSET(INDIRECT("'["&amp;$H811&amp;"]"&amp;$I811&amp;"'!"&amp;$J811),$L811,$M811)*$K811</f>
        <v>0.12346</v>
      </c>
      <c r="F811" s="4">
        <f t="shared" si="51"/>
        <v>8</v>
      </c>
      <c r="G811" s="4" cm="1">
        <f t="array" ref="G811">IF($C811&gt;=25,F811,IF($C811&lt;16,INDEX(Sheet1!C:C,$F811),$F811))</f>
        <v>8</v>
      </c>
      <c r="H811" s="4" t="str" cm="1">
        <f t="array" ref="H811">INDEX(Sheet1!D:D,$G811)</f>
        <v>2001-cso-preferred-class-structure-mortality-tables.xls</v>
      </c>
      <c r="I811" s="4" t="str" cm="1">
        <f t="array" ref="I811">INDEX(Sheet1!E:E,$G811)</f>
        <v>A.1.a.v</v>
      </c>
      <c r="J811" s="4" t="str" cm="1">
        <f t="array" ref="J811">IF($C811&gt;=25,INDEX(Sheet1!G:G,$G811),INDEX(Sheet1!F:F,$G811))</f>
        <v>AA8</v>
      </c>
      <c r="K811" s="4" cm="1">
        <f t="array" ref="K811">INDEX(Sheet1!H:H,$G811)</f>
        <v>1E-3</v>
      </c>
      <c r="L811" s="4">
        <f t="shared" si="48"/>
        <v>58</v>
      </c>
      <c r="M811" s="4">
        <f t="shared" si="49"/>
        <v>0</v>
      </c>
    </row>
    <row r="812" spans="1:13">
      <c r="A812" s="4" t="str" cm="1">
        <f t="array" ref="A812">INDEX(Sheet1!A:A,$F812)</f>
        <v>M</v>
      </c>
      <c r="B812" s="4" t="str" cm="1">
        <f t="array" ref="B812">INDEX(Sheet1!B:B,$F812)</f>
        <v>Non-Pref SM</v>
      </c>
      <c r="C812" s="4">
        <f t="shared" si="50"/>
        <v>84</v>
      </c>
      <c r="D812" s="5" cm="1">
        <f t="array" aca="1" ref="D812" ca="1">OFFSET(INDIRECT("'["&amp;$H812&amp;"]"&amp;$I812&amp;"'!"&amp;$J812),$L812,$M812)*$K812</f>
        <v>0.13377</v>
      </c>
      <c r="F812" s="4">
        <f t="shared" si="51"/>
        <v>8</v>
      </c>
      <c r="G812" s="4" cm="1">
        <f t="array" ref="G812">IF($C812&gt;=25,F812,IF($C812&lt;16,INDEX(Sheet1!C:C,$F812),$F812))</f>
        <v>8</v>
      </c>
      <c r="H812" s="4" t="str" cm="1">
        <f t="array" ref="H812">INDEX(Sheet1!D:D,$G812)</f>
        <v>2001-cso-preferred-class-structure-mortality-tables.xls</v>
      </c>
      <c r="I812" s="4" t="str" cm="1">
        <f t="array" ref="I812">INDEX(Sheet1!E:E,$G812)</f>
        <v>A.1.a.v</v>
      </c>
      <c r="J812" s="4" t="str" cm="1">
        <f t="array" ref="J812">IF($C812&gt;=25,INDEX(Sheet1!G:G,$G812),INDEX(Sheet1!F:F,$G812))</f>
        <v>AA8</v>
      </c>
      <c r="K812" s="4" cm="1">
        <f t="array" ref="K812">INDEX(Sheet1!H:H,$G812)</f>
        <v>1E-3</v>
      </c>
      <c r="L812" s="4">
        <f t="shared" si="48"/>
        <v>59</v>
      </c>
      <c r="M812" s="4">
        <f t="shared" si="49"/>
        <v>0</v>
      </c>
    </row>
    <row r="813" spans="1:13">
      <c r="A813" s="4" t="str" cm="1">
        <f t="array" ref="A813">INDEX(Sheet1!A:A,$F813)</f>
        <v>M</v>
      </c>
      <c r="B813" s="4" t="str" cm="1">
        <f t="array" ref="B813">INDEX(Sheet1!B:B,$F813)</f>
        <v>Non-Pref SM</v>
      </c>
      <c r="C813" s="4">
        <f t="shared" si="50"/>
        <v>85</v>
      </c>
      <c r="D813" s="5" cm="1">
        <f t="array" aca="1" ref="D813" ca="1">OFFSET(INDIRECT("'["&amp;$H813&amp;"]"&amp;$I813&amp;"'!"&amp;$J813),$L813,$M813)*$K813</f>
        <v>0.1459</v>
      </c>
      <c r="F813" s="4">
        <f t="shared" si="51"/>
        <v>8</v>
      </c>
      <c r="G813" s="4" cm="1">
        <f t="array" ref="G813">IF($C813&gt;=25,F813,IF($C813&lt;16,INDEX(Sheet1!C:C,$F813),$F813))</f>
        <v>8</v>
      </c>
      <c r="H813" s="4" t="str" cm="1">
        <f t="array" ref="H813">INDEX(Sheet1!D:D,$G813)</f>
        <v>2001-cso-preferred-class-structure-mortality-tables.xls</v>
      </c>
      <c r="I813" s="4" t="str" cm="1">
        <f t="array" ref="I813">INDEX(Sheet1!E:E,$G813)</f>
        <v>A.1.a.v</v>
      </c>
      <c r="J813" s="4" t="str" cm="1">
        <f t="array" ref="J813">IF($C813&gt;=25,INDEX(Sheet1!G:G,$G813),INDEX(Sheet1!F:F,$G813))</f>
        <v>AA8</v>
      </c>
      <c r="K813" s="4" cm="1">
        <f t="array" ref="K813">INDEX(Sheet1!H:H,$G813)</f>
        <v>1E-3</v>
      </c>
      <c r="L813" s="4">
        <f t="shared" si="48"/>
        <v>60</v>
      </c>
      <c r="M813" s="4">
        <f t="shared" si="49"/>
        <v>0</v>
      </c>
    </row>
    <row r="814" spans="1:13">
      <c r="A814" s="4" t="str" cm="1">
        <f t="array" ref="A814">INDEX(Sheet1!A:A,$F814)</f>
        <v>M</v>
      </c>
      <c r="B814" s="4" t="str" cm="1">
        <f t="array" ref="B814">INDEX(Sheet1!B:B,$F814)</f>
        <v>Non-Pref SM</v>
      </c>
      <c r="C814" s="4">
        <f t="shared" si="50"/>
        <v>86</v>
      </c>
      <c r="D814" s="5" cm="1">
        <f t="array" aca="1" ref="D814" ca="1">OFFSET(INDIRECT("'["&amp;$H814&amp;"]"&amp;$I814&amp;"'!"&amp;$J814),$L814,$M814)*$K814</f>
        <v>0.15912000000000001</v>
      </c>
      <c r="F814" s="4">
        <f t="shared" si="51"/>
        <v>8</v>
      </c>
      <c r="G814" s="4" cm="1">
        <f t="array" ref="G814">IF($C814&gt;=25,F814,IF($C814&lt;16,INDEX(Sheet1!C:C,$F814),$F814))</f>
        <v>8</v>
      </c>
      <c r="H814" s="4" t="str" cm="1">
        <f t="array" ref="H814">INDEX(Sheet1!D:D,$G814)</f>
        <v>2001-cso-preferred-class-structure-mortality-tables.xls</v>
      </c>
      <c r="I814" s="4" t="str" cm="1">
        <f t="array" ref="I814">INDEX(Sheet1!E:E,$G814)</f>
        <v>A.1.a.v</v>
      </c>
      <c r="J814" s="4" t="str" cm="1">
        <f t="array" ref="J814">IF($C814&gt;=25,INDEX(Sheet1!G:G,$G814),INDEX(Sheet1!F:F,$G814))</f>
        <v>AA8</v>
      </c>
      <c r="K814" s="4" cm="1">
        <f t="array" ref="K814">INDEX(Sheet1!H:H,$G814)</f>
        <v>1E-3</v>
      </c>
      <c r="L814" s="4">
        <f t="shared" si="48"/>
        <v>61</v>
      </c>
      <c r="M814" s="4">
        <f t="shared" si="49"/>
        <v>0</v>
      </c>
    </row>
    <row r="815" spans="1:13">
      <c r="A815" s="4" t="str" cm="1">
        <f t="array" ref="A815">INDEX(Sheet1!A:A,$F815)</f>
        <v>M</v>
      </c>
      <c r="B815" s="4" t="str" cm="1">
        <f t="array" ref="B815">INDEX(Sheet1!B:B,$F815)</f>
        <v>Non-Pref SM</v>
      </c>
      <c r="C815" s="4">
        <f t="shared" si="50"/>
        <v>87</v>
      </c>
      <c r="D815" s="5" cm="1">
        <f t="array" aca="1" ref="D815" ca="1">OFFSET(INDIRECT("'["&amp;$H815&amp;"]"&amp;$I815&amp;"'!"&amp;$J815),$L815,$M815)*$K815</f>
        <v>0.17326</v>
      </c>
      <c r="F815" s="4">
        <f t="shared" si="51"/>
        <v>8</v>
      </c>
      <c r="G815" s="4" cm="1">
        <f t="array" ref="G815">IF($C815&gt;=25,F815,IF($C815&lt;16,INDEX(Sheet1!C:C,$F815),$F815))</f>
        <v>8</v>
      </c>
      <c r="H815" s="4" t="str" cm="1">
        <f t="array" ref="H815">INDEX(Sheet1!D:D,$G815)</f>
        <v>2001-cso-preferred-class-structure-mortality-tables.xls</v>
      </c>
      <c r="I815" s="4" t="str" cm="1">
        <f t="array" ref="I815">INDEX(Sheet1!E:E,$G815)</f>
        <v>A.1.a.v</v>
      </c>
      <c r="J815" s="4" t="str" cm="1">
        <f t="array" ref="J815">IF($C815&gt;=25,INDEX(Sheet1!G:G,$G815),INDEX(Sheet1!F:F,$G815))</f>
        <v>AA8</v>
      </c>
      <c r="K815" s="4" cm="1">
        <f t="array" ref="K815">INDEX(Sheet1!H:H,$G815)</f>
        <v>1E-3</v>
      </c>
      <c r="L815" s="4">
        <f t="shared" si="48"/>
        <v>62</v>
      </c>
      <c r="M815" s="4">
        <f t="shared" si="49"/>
        <v>0</v>
      </c>
    </row>
    <row r="816" spans="1:13">
      <c r="A816" s="4" t="str" cm="1">
        <f t="array" ref="A816">INDEX(Sheet1!A:A,$F816)</f>
        <v>M</v>
      </c>
      <c r="B816" s="4" t="str" cm="1">
        <f t="array" ref="B816">INDEX(Sheet1!B:B,$F816)</f>
        <v>Non-Pref SM</v>
      </c>
      <c r="C816" s="4">
        <f t="shared" si="50"/>
        <v>88</v>
      </c>
      <c r="D816" s="5" cm="1">
        <f t="array" aca="1" ref="D816" ca="1">OFFSET(INDIRECT("'["&amp;$H816&amp;"]"&amp;$I816&amp;"'!"&amp;$J816),$L816,$M816)*$K816</f>
        <v>0.18803</v>
      </c>
      <c r="F816" s="4">
        <f t="shared" si="51"/>
        <v>8</v>
      </c>
      <c r="G816" s="4" cm="1">
        <f t="array" ref="G816">IF($C816&gt;=25,F816,IF($C816&lt;16,INDEX(Sheet1!C:C,$F816),$F816))</f>
        <v>8</v>
      </c>
      <c r="H816" s="4" t="str" cm="1">
        <f t="array" ref="H816">INDEX(Sheet1!D:D,$G816)</f>
        <v>2001-cso-preferred-class-structure-mortality-tables.xls</v>
      </c>
      <c r="I816" s="4" t="str" cm="1">
        <f t="array" ref="I816">INDEX(Sheet1!E:E,$G816)</f>
        <v>A.1.a.v</v>
      </c>
      <c r="J816" s="4" t="str" cm="1">
        <f t="array" ref="J816">IF($C816&gt;=25,INDEX(Sheet1!G:G,$G816),INDEX(Sheet1!F:F,$G816))</f>
        <v>AA8</v>
      </c>
      <c r="K816" s="4" cm="1">
        <f t="array" ref="K816">INDEX(Sheet1!H:H,$G816)</f>
        <v>1E-3</v>
      </c>
      <c r="L816" s="4">
        <f t="shared" si="48"/>
        <v>63</v>
      </c>
      <c r="M816" s="4">
        <f t="shared" si="49"/>
        <v>0</v>
      </c>
    </row>
    <row r="817" spans="1:13">
      <c r="A817" s="4" t="str" cm="1">
        <f t="array" ref="A817">INDEX(Sheet1!A:A,$F817)</f>
        <v>M</v>
      </c>
      <c r="B817" s="4" t="str" cm="1">
        <f t="array" ref="B817">INDEX(Sheet1!B:B,$F817)</f>
        <v>Non-Pref SM</v>
      </c>
      <c r="C817" s="4">
        <f t="shared" si="50"/>
        <v>89</v>
      </c>
      <c r="D817" s="5" cm="1">
        <f t="array" aca="1" ref="D817" ca="1">OFFSET(INDIRECT("'["&amp;$H817&amp;"]"&amp;$I817&amp;"'!"&amp;$J817),$L817,$M817)*$K817</f>
        <v>0.20319999999999999</v>
      </c>
      <c r="F817" s="4">
        <f t="shared" si="51"/>
        <v>8</v>
      </c>
      <c r="G817" s="4" cm="1">
        <f t="array" ref="G817">IF($C817&gt;=25,F817,IF($C817&lt;16,INDEX(Sheet1!C:C,$F817),$F817))</f>
        <v>8</v>
      </c>
      <c r="H817" s="4" t="str" cm="1">
        <f t="array" ref="H817">INDEX(Sheet1!D:D,$G817)</f>
        <v>2001-cso-preferred-class-structure-mortality-tables.xls</v>
      </c>
      <c r="I817" s="4" t="str" cm="1">
        <f t="array" ref="I817">INDEX(Sheet1!E:E,$G817)</f>
        <v>A.1.a.v</v>
      </c>
      <c r="J817" s="4" t="str" cm="1">
        <f t="array" ref="J817">IF($C817&gt;=25,INDEX(Sheet1!G:G,$G817),INDEX(Sheet1!F:F,$G817))</f>
        <v>AA8</v>
      </c>
      <c r="K817" s="4" cm="1">
        <f t="array" ref="K817">INDEX(Sheet1!H:H,$G817)</f>
        <v>1E-3</v>
      </c>
      <c r="L817" s="4">
        <f t="shared" si="48"/>
        <v>64</v>
      </c>
      <c r="M817" s="4">
        <f t="shared" si="49"/>
        <v>0</v>
      </c>
    </row>
    <row r="818" spans="1:13">
      <c r="A818" s="4" t="str" cm="1">
        <f t="array" ref="A818">INDEX(Sheet1!A:A,$F818)</f>
        <v>M</v>
      </c>
      <c r="B818" s="4" t="str" cm="1">
        <f t="array" ref="B818">INDEX(Sheet1!B:B,$F818)</f>
        <v>Non-Pref SM</v>
      </c>
      <c r="C818" s="4">
        <f t="shared" si="50"/>
        <v>90</v>
      </c>
      <c r="D818" s="5" cm="1">
        <f t="array" aca="1" ref="D818" ca="1">OFFSET(INDIRECT("'["&amp;$H818&amp;"]"&amp;$I818&amp;"'!"&amp;$J818),$L818,$M818)*$K818</f>
        <v>0.21856</v>
      </c>
      <c r="F818" s="4">
        <f t="shared" si="51"/>
        <v>8</v>
      </c>
      <c r="G818" s="4" cm="1">
        <f t="array" ref="G818">IF($C818&gt;=25,F818,IF($C818&lt;16,INDEX(Sheet1!C:C,$F818),$F818))</f>
        <v>8</v>
      </c>
      <c r="H818" s="4" t="str" cm="1">
        <f t="array" ref="H818">INDEX(Sheet1!D:D,$G818)</f>
        <v>2001-cso-preferred-class-structure-mortality-tables.xls</v>
      </c>
      <c r="I818" s="4" t="str" cm="1">
        <f t="array" ref="I818">INDEX(Sheet1!E:E,$G818)</f>
        <v>A.1.a.v</v>
      </c>
      <c r="J818" s="4" t="str" cm="1">
        <f t="array" ref="J818">IF($C818&gt;=25,INDEX(Sheet1!G:G,$G818),INDEX(Sheet1!F:F,$G818))</f>
        <v>AA8</v>
      </c>
      <c r="K818" s="4" cm="1">
        <f t="array" ref="K818">INDEX(Sheet1!H:H,$G818)</f>
        <v>1E-3</v>
      </c>
      <c r="L818" s="4">
        <f t="shared" si="48"/>
        <v>65</v>
      </c>
      <c r="M818" s="4">
        <f t="shared" si="49"/>
        <v>0</v>
      </c>
    </row>
    <row r="819" spans="1:13">
      <c r="A819" s="4" t="str" cm="1">
        <f t="array" ref="A819">INDEX(Sheet1!A:A,$F819)</f>
        <v>M</v>
      </c>
      <c r="B819" s="4" t="str" cm="1">
        <f t="array" ref="B819">INDEX(Sheet1!B:B,$F819)</f>
        <v>Non-Pref SM</v>
      </c>
      <c r="C819" s="4">
        <f t="shared" si="50"/>
        <v>91</v>
      </c>
      <c r="D819" s="5" cm="1">
        <f t="array" aca="1" ref="D819" ca="1">OFFSET(INDIRECT("'["&amp;$H819&amp;"]"&amp;$I819&amp;"'!"&amp;$J819),$L819,$M819)*$K819</f>
        <v>0.23219999999999999</v>
      </c>
      <c r="F819" s="4">
        <f t="shared" si="51"/>
        <v>8</v>
      </c>
      <c r="G819" s="4" cm="1">
        <f t="array" ref="G819">IF($C819&gt;=25,F819,IF($C819&lt;16,INDEX(Sheet1!C:C,$F819),$F819))</f>
        <v>8</v>
      </c>
      <c r="H819" s="4" t="str" cm="1">
        <f t="array" ref="H819">INDEX(Sheet1!D:D,$G819)</f>
        <v>2001-cso-preferred-class-structure-mortality-tables.xls</v>
      </c>
      <c r="I819" s="4" t="str" cm="1">
        <f t="array" ref="I819">INDEX(Sheet1!E:E,$G819)</f>
        <v>A.1.a.v</v>
      </c>
      <c r="J819" s="4" t="str" cm="1">
        <f t="array" ref="J819">IF($C819&gt;=25,INDEX(Sheet1!G:G,$G819),INDEX(Sheet1!F:F,$G819))</f>
        <v>AA8</v>
      </c>
      <c r="K819" s="4" cm="1">
        <f t="array" ref="K819">INDEX(Sheet1!H:H,$G819)</f>
        <v>1E-3</v>
      </c>
      <c r="L819" s="4">
        <f t="shared" si="48"/>
        <v>66</v>
      </c>
      <c r="M819" s="4">
        <f t="shared" si="49"/>
        <v>0</v>
      </c>
    </row>
    <row r="820" spans="1:13">
      <c r="A820" s="4" t="str" cm="1">
        <f t="array" ref="A820">INDEX(Sheet1!A:A,$F820)</f>
        <v>M</v>
      </c>
      <c r="B820" s="4" t="str" cm="1">
        <f t="array" ref="B820">INDEX(Sheet1!B:B,$F820)</f>
        <v>Non-Pref SM</v>
      </c>
      <c r="C820" s="4">
        <f t="shared" si="50"/>
        <v>92</v>
      </c>
      <c r="D820" s="5" cm="1">
        <f t="array" aca="1" ref="D820" ca="1">OFFSET(INDIRECT("'["&amp;$H820&amp;"]"&amp;$I820&amp;"'!"&amp;$J820),$L820,$M820)*$K820</f>
        <v>0.24601000000000001</v>
      </c>
      <c r="F820" s="4">
        <f t="shared" si="51"/>
        <v>8</v>
      </c>
      <c r="G820" s="4" cm="1">
        <f t="array" ref="G820">IF($C820&gt;=25,F820,IF($C820&lt;16,INDEX(Sheet1!C:C,$F820),$F820))</f>
        <v>8</v>
      </c>
      <c r="H820" s="4" t="str" cm="1">
        <f t="array" ref="H820">INDEX(Sheet1!D:D,$G820)</f>
        <v>2001-cso-preferred-class-structure-mortality-tables.xls</v>
      </c>
      <c r="I820" s="4" t="str" cm="1">
        <f t="array" ref="I820">INDEX(Sheet1!E:E,$G820)</f>
        <v>A.1.a.v</v>
      </c>
      <c r="J820" s="4" t="str" cm="1">
        <f t="array" ref="J820">IF($C820&gt;=25,INDEX(Sheet1!G:G,$G820),INDEX(Sheet1!F:F,$G820))</f>
        <v>AA8</v>
      </c>
      <c r="K820" s="4" cm="1">
        <f t="array" ref="K820">INDEX(Sheet1!H:H,$G820)</f>
        <v>1E-3</v>
      </c>
      <c r="L820" s="4">
        <f t="shared" si="48"/>
        <v>67</v>
      </c>
      <c r="M820" s="4">
        <f t="shared" si="49"/>
        <v>0</v>
      </c>
    </row>
    <row r="821" spans="1:13">
      <c r="A821" s="4" t="str" cm="1">
        <f t="array" ref="A821">INDEX(Sheet1!A:A,$F821)</f>
        <v>M</v>
      </c>
      <c r="B821" s="4" t="str" cm="1">
        <f t="array" ref="B821">INDEX(Sheet1!B:B,$F821)</f>
        <v>Non-Pref SM</v>
      </c>
      <c r="C821" s="4">
        <f t="shared" si="50"/>
        <v>93</v>
      </c>
      <c r="D821" s="5" cm="1">
        <f t="array" aca="1" ref="D821" ca="1">OFFSET(INDIRECT("'["&amp;$H821&amp;"]"&amp;$I821&amp;"'!"&amp;$J821),$L821,$M821)*$K821</f>
        <v>0.26019999999999999</v>
      </c>
      <c r="F821" s="4">
        <f t="shared" si="51"/>
        <v>8</v>
      </c>
      <c r="G821" s="4" cm="1">
        <f t="array" ref="G821">IF($C821&gt;=25,F821,IF($C821&lt;16,INDEX(Sheet1!C:C,$F821),$F821))</f>
        <v>8</v>
      </c>
      <c r="H821" s="4" t="str" cm="1">
        <f t="array" ref="H821">INDEX(Sheet1!D:D,$G821)</f>
        <v>2001-cso-preferred-class-structure-mortality-tables.xls</v>
      </c>
      <c r="I821" s="4" t="str" cm="1">
        <f t="array" ref="I821">INDEX(Sheet1!E:E,$G821)</f>
        <v>A.1.a.v</v>
      </c>
      <c r="J821" s="4" t="str" cm="1">
        <f t="array" ref="J821">IF($C821&gt;=25,INDEX(Sheet1!G:G,$G821),INDEX(Sheet1!F:F,$G821))</f>
        <v>AA8</v>
      </c>
      <c r="K821" s="4" cm="1">
        <f t="array" ref="K821">INDEX(Sheet1!H:H,$G821)</f>
        <v>1E-3</v>
      </c>
      <c r="L821" s="4">
        <f t="shared" si="48"/>
        <v>68</v>
      </c>
      <c r="M821" s="4">
        <f t="shared" si="49"/>
        <v>0</v>
      </c>
    </row>
    <row r="822" spans="1:13">
      <c r="A822" s="4" t="str" cm="1">
        <f t="array" ref="A822">INDEX(Sheet1!A:A,$F822)</f>
        <v>M</v>
      </c>
      <c r="B822" s="4" t="str" cm="1">
        <f t="array" ref="B822">INDEX(Sheet1!B:B,$F822)</f>
        <v>Non-Pref SM</v>
      </c>
      <c r="C822" s="4">
        <f t="shared" si="50"/>
        <v>94</v>
      </c>
      <c r="D822" s="5" cm="1">
        <f t="array" aca="1" ref="D822" ca="1">OFFSET(INDIRECT("'["&amp;$H822&amp;"]"&amp;$I822&amp;"'!"&amp;$J822),$L822,$M822)*$K822</f>
        <v>0.27485000000000004</v>
      </c>
      <c r="F822" s="4">
        <f t="shared" si="51"/>
        <v>8</v>
      </c>
      <c r="G822" s="4" cm="1">
        <f t="array" ref="G822">IF($C822&gt;=25,F822,IF($C822&lt;16,INDEX(Sheet1!C:C,$F822),$F822))</f>
        <v>8</v>
      </c>
      <c r="H822" s="4" t="str" cm="1">
        <f t="array" ref="H822">INDEX(Sheet1!D:D,$G822)</f>
        <v>2001-cso-preferred-class-structure-mortality-tables.xls</v>
      </c>
      <c r="I822" s="4" t="str" cm="1">
        <f t="array" ref="I822">INDEX(Sheet1!E:E,$G822)</f>
        <v>A.1.a.v</v>
      </c>
      <c r="J822" s="4" t="str" cm="1">
        <f t="array" ref="J822">IF($C822&gt;=25,INDEX(Sheet1!G:G,$G822),INDEX(Sheet1!F:F,$G822))</f>
        <v>AA8</v>
      </c>
      <c r="K822" s="4" cm="1">
        <f t="array" ref="K822">INDEX(Sheet1!H:H,$G822)</f>
        <v>1E-3</v>
      </c>
      <c r="L822" s="4">
        <f t="shared" si="48"/>
        <v>69</v>
      </c>
      <c r="M822" s="4">
        <f t="shared" si="49"/>
        <v>0</v>
      </c>
    </row>
    <row r="823" spans="1:13">
      <c r="A823" s="4" t="str" cm="1">
        <f t="array" ref="A823">INDEX(Sheet1!A:A,$F823)</f>
        <v>M</v>
      </c>
      <c r="B823" s="4" t="str" cm="1">
        <f t="array" ref="B823">INDEX(Sheet1!B:B,$F823)</f>
        <v>Non-Pref SM</v>
      </c>
      <c r="C823" s="4">
        <f t="shared" si="50"/>
        <v>95</v>
      </c>
      <c r="D823" s="5" cm="1">
        <f t="array" aca="1" ref="D823" ca="1">OFFSET(INDIRECT("'["&amp;$H823&amp;"]"&amp;$I823&amp;"'!"&amp;$J823),$L823,$M823)*$K823</f>
        <v>0.29105000000000003</v>
      </c>
      <c r="F823" s="4">
        <f t="shared" si="51"/>
        <v>8</v>
      </c>
      <c r="G823" s="4" cm="1">
        <f t="array" ref="G823">IF($C823&gt;=25,F823,IF($C823&lt;16,INDEX(Sheet1!C:C,$F823),$F823))</f>
        <v>8</v>
      </c>
      <c r="H823" s="4" t="str" cm="1">
        <f t="array" ref="H823">INDEX(Sheet1!D:D,$G823)</f>
        <v>2001-cso-preferred-class-structure-mortality-tables.xls</v>
      </c>
      <c r="I823" s="4" t="str" cm="1">
        <f t="array" ref="I823">INDEX(Sheet1!E:E,$G823)</f>
        <v>A.1.a.v</v>
      </c>
      <c r="J823" s="4" t="str" cm="1">
        <f t="array" ref="J823">IF($C823&gt;=25,INDEX(Sheet1!G:G,$G823),INDEX(Sheet1!F:F,$G823))</f>
        <v>AA8</v>
      </c>
      <c r="K823" s="4" cm="1">
        <f t="array" ref="K823">INDEX(Sheet1!H:H,$G823)</f>
        <v>1E-3</v>
      </c>
      <c r="L823" s="4">
        <f t="shared" si="48"/>
        <v>70</v>
      </c>
      <c r="M823" s="4">
        <f t="shared" si="49"/>
        <v>0</v>
      </c>
    </row>
    <row r="824" spans="1:13">
      <c r="A824" s="4" t="str" cm="1">
        <f t="array" ref="A824">INDEX(Sheet1!A:A,$F824)</f>
        <v>M</v>
      </c>
      <c r="B824" s="4" t="str" cm="1">
        <f t="array" ref="B824">INDEX(Sheet1!B:B,$F824)</f>
        <v>Non-Pref SM</v>
      </c>
      <c r="C824" s="4">
        <f t="shared" si="50"/>
        <v>96</v>
      </c>
      <c r="D824" s="5" cm="1">
        <f t="array" aca="1" ref="D824" ca="1">OFFSET(INDIRECT("'["&amp;$H824&amp;"]"&amp;$I824&amp;"'!"&amp;$J824),$L824,$M824)*$K824</f>
        <v>0.30632999999999999</v>
      </c>
      <c r="F824" s="4">
        <f t="shared" si="51"/>
        <v>8</v>
      </c>
      <c r="G824" s="4" cm="1">
        <f t="array" ref="G824">IF($C824&gt;=25,F824,IF($C824&lt;16,INDEX(Sheet1!C:C,$F824),$F824))</f>
        <v>8</v>
      </c>
      <c r="H824" s="4" t="str" cm="1">
        <f t="array" ref="H824">INDEX(Sheet1!D:D,$G824)</f>
        <v>2001-cso-preferred-class-structure-mortality-tables.xls</v>
      </c>
      <c r="I824" s="4" t="str" cm="1">
        <f t="array" ref="I824">INDEX(Sheet1!E:E,$G824)</f>
        <v>A.1.a.v</v>
      </c>
      <c r="J824" s="4" t="str" cm="1">
        <f t="array" ref="J824">IF($C824&gt;=25,INDEX(Sheet1!G:G,$G824),INDEX(Sheet1!F:F,$G824))</f>
        <v>AA8</v>
      </c>
      <c r="K824" s="4" cm="1">
        <f t="array" ref="K824">INDEX(Sheet1!H:H,$G824)</f>
        <v>1E-3</v>
      </c>
      <c r="L824" s="4">
        <f t="shared" si="48"/>
        <v>71</v>
      </c>
      <c r="M824" s="4">
        <f t="shared" si="49"/>
        <v>0</v>
      </c>
    </row>
    <row r="825" spans="1:13">
      <c r="A825" s="4" t="str" cm="1">
        <f t="array" ref="A825">INDEX(Sheet1!A:A,$F825)</f>
        <v>M</v>
      </c>
      <c r="B825" s="4" t="str" cm="1">
        <f t="array" ref="B825">INDEX(Sheet1!B:B,$F825)</f>
        <v>Non-Pref SM</v>
      </c>
      <c r="C825" s="4">
        <f t="shared" si="50"/>
        <v>97</v>
      </c>
      <c r="D825" s="5" cm="1">
        <f t="array" aca="1" ref="D825" ca="1">OFFSET(INDIRECT("'["&amp;$H825&amp;"]"&amp;$I825&amp;"'!"&amp;$J825),$L825,$M825)*$K825</f>
        <v>0.32244</v>
      </c>
      <c r="F825" s="4">
        <f t="shared" si="51"/>
        <v>8</v>
      </c>
      <c r="G825" s="4" cm="1">
        <f t="array" ref="G825">IF($C825&gt;=25,F825,IF($C825&lt;16,INDEX(Sheet1!C:C,$F825),$F825))</f>
        <v>8</v>
      </c>
      <c r="H825" s="4" t="str" cm="1">
        <f t="array" ref="H825">INDEX(Sheet1!D:D,$G825)</f>
        <v>2001-cso-preferred-class-structure-mortality-tables.xls</v>
      </c>
      <c r="I825" s="4" t="str" cm="1">
        <f t="array" ref="I825">INDEX(Sheet1!E:E,$G825)</f>
        <v>A.1.a.v</v>
      </c>
      <c r="J825" s="4" t="str" cm="1">
        <f t="array" ref="J825">IF($C825&gt;=25,INDEX(Sheet1!G:G,$G825),INDEX(Sheet1!F:F,$G825))</f>
        <v>AA8</v>
      </c>
      <c r="K825" s="4" cm="1">
        <f t="array" ref="K825">INDEX(Sheet1!H:H,$G825)</f>
        <v>1E-3</v>
      </c>
      <c r="L825" s="4">
        <f t="shared" si="48"/>
        <v>72</v>
      </c>
      <c r="M825" s="4">
        <f t="shared" si="49"/>
        <v>0</v>
      </c>
    </row>
    <row r="826" spans="1:13">
      <c r="A826" s="4" t="str" cm="1">
        <f t="array" ref="A826">INDEX(Sheet1!A:A,$F826)</f>
        <v>M</v>
      </c>
      <c r="B826" s="4" t="str" cm="1">
        <f t="array" ref="B826">INDEX(Sheet1!B:B,$F826)</f>
        <v>Non-Pref SM</v>
      </c>
      <c r="C826" s="4">
        <f t="shared" si="50"/>
        <v>98</v>
      </c>
      <c r="D826" s="5" cm="1">
        <f t="array" aca="1" ref="D826" ca="1">OFFSET(INDIRECT("'["&amp;$H826&amp;"]"&amp;$I826&amp;"'!"&amp;$J826),$L826,$M826)*$K826</f>
        <v>0.33944999999999997</v>
      </c>
      <c r="F826" s="4">
        <f t="shared" si="51"/>
        <v>8</v>
      </c>
      <c r="G826" s="4" cm="1">
        <f t="array" ref="G826">IF($C826&gt;=25,F826,IF($C826&lt;16,INDEX(Sheet1!C:C,$F826),$F826))</f>
        <v>8</v>
      </c>
      <c r="H826" s="4" t="str" cm="1">
        <f t="array" ref="H826">INDEX(Sheet1!D:D,$G826)</f>
        <v>2001-cso-preferred-class-structure-mortality-tables.xls</v>
      </c>
      <c r="I826" s="4" t="str" cm="1">
        <f t="array" ref="I826">INDEX(Sheet1!E:E,$G826)</f>
        <v>A.1.a.v</v>
      </c>
      <c r="J826" s="4" t="str" cm="1">
        <f t="array" ref="J826">IF($C826&gt;=25,INDEX(Sheet1!G:G,$G826),INDEX(Sheet1!F:F,$G826))</f>
        <v>AA8</v>
      </c>
      <c r="K826" s="4" cm="1">
        <f t="array" ref="K826">INDEX(Sheet1!H:H,$G826)</f>
        <v>1E-3</v>
      </c>
      <c r="L826" s="4">
        <f t="shared" si="48"/>
        <v>73</v>
      </c>
      <c r="M826" s="4">
        <f t="shared" si="49"/>
        <v>0</v>
      </c>
    </row>
    <row r="827" spans="1:13">
      <c r="A827" s="4" t="str" cm="1">
        <f t="array" ref="A827">INDEX(Sheet1!A:A,$F827)</f>
        <v>M</v>
      </c>
      <c r="B827" s="4" t="str" cm="1">
        <f t="array" ref="B827">INDEX(Sheet1!B:B,$F827)</f>
        <v>Non-Pref SM</v>
      </c>
      <c r="C827" s="4">
        <f t="shared" si="50"/>
        <v>99</v>
      </c>
      <c r="D827" s="5" cm="1">
        <f t="array" aca="1" ref="D827" ca="1">OFFSET(INDIRECT("'["&amp;$H827&amp;"]"&amp;$I827&amp;"'!"&amp;$J827),$L827,$M827)*$K827</f>
        <v>0.35742000000000002</v>
      </c>
      <c r="F827" s="4">
        <f t="shared" si="51"/>
        <v>8</v>
      </c>
      <c r="G827" s="4" cm="1">
        <f t="array" ref="G827">IF($C827&gt;=25,F827,IF($C827&lt;16,INDEX(Sheet1!C:C,$F827),$F827))</f>
        <v>8</v>
      </c>
      <c r="H827" s="4" t="str" cm="1">
        <f t="array" ref="H827">INDEX(Sheet1!D:D,$G827)</f>
        <v>2001-cso-preferred-class-structure-mortality-tables.xls</v>
      </c>
      <c r="I827" s="4" t="str" cm="1">
        <f t="array" ref="I827">INDEX(Sheet1!E:E,$G827)</f>
        <v>A.1.a.v</v>
      </c>
      <c r="J827" s="4" t="str" cm="1">
        <f t="array" ref="J827">IF($C827&gt;=25,INDEX(Sheet1!G:G,$G827),INDEX(Sheet1!F:F,$G827))</f>
        <v>AA8</v>
      </c>
      <c r="K827" s="4" cm="1">
        <f t="array" ref="K827">INDEX(Sheet1!H:H,$G827)</f>
        <v>1E-3</v>
      </c>
      <c r="L827" s="4">
        <f t="shared" si="48"/>
        <v>74</v>
      </c>
      <c r="M827" s="4">
        <f t="shared" si="49"/>
        <v>0</v>
      </c>
    </row>
    <row r="828" spans="1:13">
      <c r="A828" s="4" t="str" cm="1">
        <f t="array" ref="A828">INDEX(Sheet1!A:A,$F828)</f>
        <v>M</v>
      </c>
      <c r="B828" s="4" t="str" cm="1">
        <f t="array" ref="B828">INDEX(Sheet1!B:B,$F828)</f>
        <v>Non-Pref SM</v>
      </c>
      <c r="C828" s="4">
        <f t="shared" si="50"/>
        <v>100</v>
      </c>
      <c r="D828" s="5" cm="1">
        <f t="array" aca="1" ref="D828" ca="1">OFFSET(INDIRECT("'["&amp;$H828&amp;"]"&amp;$I828&amp;"'!"&amp;$J828),$L828,$M828)*$K828</f>
        <v>0.37640000000000001</v>
      </c>
      <c r="F828" s="4">
        <f t="shared" si="51"/>
        <v>8</v>
      </c>
      <c r="G828" s="4" cm="1">
        <f t="array" ref="G828">IF($C828&gt;=25,F828,IF($C828&lt;16,INDEX(Sheet1!C:C,$F828),$F828))</f>
        <v>8</v>
      </c>
      <c r="H828" s="4" t="str" cm="1">
        <f t="array" ref="H828">INDEX(Sheet1!D:D,$G828)</f>
        <v>2001-cso-preferred-class-structure-mortality-tables.xls</v>
      </c>
      <c r="I828" s="4" t="str" cm="1">
        <f t="array" ref="I828">INDEX(Sheet1!E:E,$G828)</f>
        <v>A.1.a.v</v>
      </c>
      <c r="J828" s="4" t="str" cm="1">
        <f t="array" ref="J828">IF($C828&gt;=25,INDEX(Sheet1!G:G,$G828),INDEX(Sheet1!F:F,$G828))</f>
        <v>AA8</v>
      </c>
      <c r="K828" s="4" cm="1">
        <f t="array" ref="K828">INDEX(Sheet1!H:H,$G828)</f>
        <v>1E-3</v>
      </c>
      <c r="L828" s="4">
        <f t="shared" si="48"/>
        <v>75</v>
      </c>
      <c r="M828" s="4">
        <f t="shared" si="49"/>
        <v>0</v>
      </c>
    </row>
    <row r="829" spans="1:13">
      <c r="A829" s="4" t="str" cm="1">
        <f t="array" ref="A829">INDEX(Sheet1!A:A,$F829)</f>
        <v>M</v>
      </c>
      <c r="B829" s="4" t="str" cm="1">
        <f t="array" ref="B829">INDEX(Sheet1!B:B,$F829)</f>
        <v>Non-Pref SM</v>
      </c>
      <c r="C829" s="4">
        <f t="shared" si="50"/>
        <v>101</v>
      </c>
      <c r="D829" s="5" cm="1">
        <f t="array" aca="1" ref="D829" ca="1">OFFSET(INDIRECT("'["&amp;$H829&amp;"]"&amp;$I829&amp;"'!"&amp;$J829),$L829,$M829)*$K829</f>
        <v>0.39077999999999996</v>
      </c>
      <c r="F829" s="4">
        <f t="shared" si="51"/>
        <v>8</v>
      </c>
      <c r="G829" s="4" cm="1">
        <f t="array" ref="G829">IF($C829&gt;=25,F829,IF($C829&lt;16,INDEX(Sheet1!C:C,$F829),$F829))</f>
        <v>8</v>
      </c>
      <c r="H829" s="4" t="str" cm="1">
        <f t="array" ref="H829">INDEX(Sheet1!D:D,$G829)</f>
        <v>2001-cso-preferred-class-structure-mortality-tables.xls</v>
      </c>
      <c r="I829" s="4" t="str" cm="1">
        <f t="array" ref="I829">INDEX(Sheet1!E:E,$G829)</f>
        <v>A.1.a.v</v>
      </c>
      <c r="J829" s="4" t="str" cm="1">
        <f t="array" ref="J829">IF($C829&gt;=25,INDEX(Sheet1!G:G,$G829),INDEX(Sheet1!F:F,$G829))</f>
        <v>AA8</v>
      </c>
      <c r="K829" s="4" cm="1">
        <f t="array" ref="K829">INDEX(Sheet1!H:H,$G829)</f>
        <v>1E-3</v>
      </c>
      <c r="L829" s="4">
        <f t="shared" si="48"/>
        <v>76</v>
      </c>
      <c r="M829" s="4">
        <f t="shared" si="49"/>
        <v>0</v>
      </c>
    </row>
    <row r="830" spans="1:13">
      <c r="A830" s="4" t="str" cm="1">
        <f t="array" ref="A830">INDEX(Sheet1!A:A,$F830)</f>
        <v>M</v>
      </c>
      <c r="B830" s="4" t="str" cm="1">
        <f t="array" ref="B830">INDEX(Sheet1!B:B,$F830)</f>
        <v>Non-Pref SM</v>
      </c>
      <c r="C830" s="4">
        <f t="shared" si="50"/>
        <v>102</v>
      </c>
      <c r="D830" s="5" cm="1">
        <f t="array" aca="1" ref="D830" ca="1">OFFSET(INDIRECT("'["&amp;$H830&amp;"]"&amp;$I830&amp;"'!"&amp;$J830),$L830,$M830)*$K830</f>
        <v>0.40592</v>
      </c>
      <c r="F830" s="4">
        <f t="shared" si="51"/>
        <v>8</v>
      </c>
      <c r="G830" s="4" cm="1">
        <f t="array" ref="G830">IF($C830&gt;=25,F830,IF($C830&lt;16,INDEX(Sheet1!C:C,$F830),$F830))</f>
        <v>8</v>
      </c>
      <c r="H830" s="4" t="str" cm="1">
        <f t="array" ref="H830">INDEX(Sheet1!D:D,$G830)</f>
        <v>2001-cso-preferred-class-structure-mortality-tables.xls</v>
      </c>
      <c r="I830" s="4" t="str" cm="1">
        <f t="array" ref="I830">INDEX(Sheet1!E:E,$G830)</f>
        <v>A.1.a.v</v>
      </c>
      <c r="J830" s="4" t="str" cm="1">
        <f t="array" ref="J830">IF($C830&gt;=25,INDEX(Sheet1!G:G,$G830),INDEX(Sheet1!F:F,$G830))</f>
        <v>AA8</v>
      </c>
      <c r="K830" s="4" cm="1">
        <f t="array" ref="K830">INDEX(Sheet1!H:H,$G830)</f>
        <v>1E-3</v>
      </c>
      <c r="L830" s="4">
        <f t="shared" si="48"/>
        <v>77</v>
      </c>
      <c r="M830" s="4">
        <f t="shared" si="49"/>
        <v>0</v>
      </c>
    </row>
    <row r="831" spans="1:13">
      <c r="A831" s="4" t="str" cm="1">
        <f t="array" ref="A831">INDEX(Sheet1!A:A,$F831)</f>
        <v>M</v>
      </c>
      <c r="B831" s="4" t="str" cm="1">
        <f t="array" ref="B831">INDEX(Sheet1!B:B,$F831)</f>
        <v>Non-Pref SM</v>
      </c>
      <c r="C831" s="4">
        <f t="shared" si="50"/>
        <v>103</v>
      </c>
      <c r="D831" s="5" cm="1">
        <f t="array" aca="1" ref="D831" ca="1">OFFSET(INDIRECT("'["&amp;$H831&amp;"]"&amp;$I831&amp;"'!"&amp;$J831),$L831,$M831)*$K831</f>
        <v>0.42182999999999998</v>
      </c>
      <c r="F831" s="4">
        <f t="shared" si="51"/>
        <v>8</v>
      </c>
      <c r="G831" s="4" cm="1">
        <f t="array" ref="G831">IF($C831&gt;=25,F831,IF($C831&lt;16,INDEX(Sheet1!C:C,$F831),$F831))</f>
        <v>8</v>
      </c>
      <c r="H831" s="4" t="str" cm="1">
        <f t="array" ref="H831">INDEX(Sheet1!D:D,$G831)</f>
        <v>2001-cso-preferred-class-structure-mortality-tables.xls</v>
      </c>
      <c r="I831" s="4" t="str" cm="1">
        <f t="array" ref="I831">INDEX(Sheet1!E:E,$G831)</f>
        <v>A.1.a.v</v>
      </c>
      <c r="J831" s="4" t="str" cm="1">
        <f t="array" ref="J831">IF($C831&gt;=25,INDEX(Sheet1!G:G,$G831),INDEX(Sheet1!F:F,$G831))</f>
        <v>AA8</v>
      </c>
      <c r="K831" s="4" cm="1">
        <f t="array" ref="K831">INDEX(Sheet1!H:H,$G831)</f>
        <v>1E-3</v>
      </c>
      <c r="L831" s="4">
        <f t="shared" si="48"/>
        <v>78</v>
      </c>
      <c r="M831" s="4">
        <f t="shared" si="49"/>
        <v>0</v>
      </c>
    </row>
    <row r="832" spans="1:13">
      <c r="A832" s="4" t="str" cm="1">
        <f t="array" ref="A832">INDEX(Sheet1!A:A,$F832)</f>
        <v>M</v>
      </c>
      <c r="B832" s="4" t="str" cm="1">
        <f t="array" ref="B832">INDEX(Sheet1!B:B,$F832)</f>
        <v>Non-Pref SM</v>
      </c>
      <c r="C832" s="4">
        <f t="shared" si="50"/>
        <v>104</v>
      </c>
      <c r="D832" s="5" cm="1">
        <f t="array" aca="1" ref="D832" ca="1">OFFSET(INDIRECT("'["&amp;$H832&amp;"]"&amp;$I832&amp;"'!"&amp;$J832),$L832,$M832)*$K832</f>
        <v>0.43857000000000002</v>
      </c>
      <c r="F832" s="4">
        <f t="shared" si="51"/>
        <v>8</v>
      </c>
      <c r="G832" s="4" cm="1">
        <f t="array" ref="G832">IF($C832&gt;=25,F832,IF($C832&lt;16,INDEX(Sheet1!C:C,$F832),$F832))</f>
        <v>8</v>
      </c>
      <c r="H832" s="4" t="str" cm="1">
        <f t="array" ref="H832">INDEX(Sheet1!D:D,$G832)</f>
        <v>2001-cso-preferred-class-structure-mortality-tables.xls</v>
      </c>
      <c r="I832" s="4" t="str" cm="1">
        <f t="array" ref="I832">INDEX(Sheet1!E:E,$G832)</f>
        <v>A.1.a.v</v>
      </c>
      <c r="J832" s="4" t="str" cm="1">
        <f t="array" ref="J832">IF($C832&gt;=25,INDEX(Sheet1!G:G,$G832),INDEX(Sheet1!F:F,$G832))</f>
        <v>AA8</v>
      </c>
      <c r="K832" s="4" cm="1">
        <f t="array" ref="K832">INDEX(Sheet1!H:H,$G832)</f>
        <v>1E-3</v>
      </c>
      <c r="L832" s="4">
        <f t="shared" si="48"/>
        <v>79</v>
      </c>
      <c r="M832" s="4">
        <f t="shared" si="49"/>
        <v>0</v>
      </c>
    </row>
    <row r="833" spans="1:13">
      <c r="A833" s="4" t="str" cm="1">
        <f t="array" ref="A833">INDEX(Sheet1!A:A,$F833)</f>
        <v>M</v>
      </c>
      <c r="B833" s="4" t="str" cm="1">
        <f t="array" ref="B833">INDEX(Sheet1!B:B,$F833)</f>
        <v>Non-Pref SM</v>
      </c>
      <c r="C833" s="4">
        <f t="shared" si="50"/>
        <v>105</v>
      </c>
      <c r="D833" s="5" cm="1">
        <f t="array" aca="1" ref="D833" ca="1">OFFSET(INDIRECT("'["&amp;$H833&amp;"]"&amp;$I833&amp;"'!"&amp;$J833),$L833,$M833)*$K833</f>
        <v>0.46015</v>
      </c>
      <c r="F833" s="4">
        <f t="shared" si="51"/>
        <v>8</v>
      </c>
      <c r="G833" s="4" cm="1">
        <f t="array" ref="G833">IF($C833&gt;=25,F833,IF($C833&lt;16,INDEX(Sheet1!C:C,$F833),$F833))</f>
        <v>8</v>
      </c>
      <c r="H833" s="4" t="str" cm="1">
        <f t="array" ref="H833">INDEX(Sheet1!D:D,$G833)</f>
        <v>2001-cso-preferred-class-structure-mortality-tables.xls</v>
      </c>
      <c r="I833" s="4" t="str" cm="1">
        <f t="array" ref="I833">INDEX(Sheet1!E:E,$G833)</f>
        <v>A.1.a.v</v>
      </c>
      <c r="J833" s="4" t="str" cm="1">
        <f t="array" ref="J833">IF($C833&gt;=25,INDEX(Sheet1!G:G,$G833),INDEX(Sheet1!F:F,$G833))</f>
        <v>AA8</v>
      </c>
      <c r="K833" s="4" cm="1">
        <f t="array" ref="K833">INDEX(Sheet1!H:H,$G833)</f>
        <v>1E-3</v>
      </c>
      <c r="L833" s="4">
        <f t="shared" si="48"/>
        <v>80</v>
      </c>
      <c r="M833" s="4">
        <f t="shared" si="49"/>
        <v>0</v>
      </c>
    </row>
    <row r="834" spans="1:13">
      <c r="A834" s="4" t="str" cm="1">
        <f t="array" ref="A834">INDEX(Sheet1!A:A,$F834)</f>
        <v>M</v>
      </c>
      <c r="B834" s="4" t="str" cm="1">
        <f t="array" ref="B834">INDEX(Sheet1!B:B,$F834)</f>
        <v>Non-Pref SM</v>
      </c>
      <c r="C834" s="4">
        <f t="shared" si="50"/>
        <v>106</v>
      </c>
      <c r="D834" s="5" cm="1">
        <f t="array" aca="1" ref="D834" ca="1">OFFSET(INDIRECT("'["&amp;$H834&amp;"]"&amp;$I834&amp;"'!"&amp;$J834),$L834,$M834)*$K834</f>
        <v>0.48311000000000004</v>
      </c>
      <c r="F834" s="4">
        <f t="shared" si="51"/>
        <v>8</v>
      </c>
      <c r="G834" s="4" cm="1">
        <f t="array" ref="G834">IF($C834&gt;=25,F834,IF($C834&lt;16,INDEX(Sheet1!C:C,$F834),$F834))</f>
        <v>8</v>
      </c>
      <c r="H834" s="4" t="str" cm="1">
        <f t="array" ref="H834">INDEX(Sheet1!D:D,$G834)</f>
        <v>2001-cso-preferred-class-structure-mortality-tables.xls</v>
      </c>
      <c r="I834" s="4" t="str" cm="1">
        <f t="array" ref="I834">INDEX(Sheet1!E:E,$G834)</f>
        <v>A.1.a.v</v>
      </c>
      <c r="J834" s="4" t="str" cm="1">
        <f t="array" ref="J834">IF($C834&gt;=25,INDEX(Sheet1!G:G,$G834),INDEX(Sheet1!F:F,$G834))</f>
        <v>AA8</v>
      </c>
      <c r="K834" s="4" cm="1">
        <f t="array" ref="K834">INDEX(Sheet1!H:H,$G834)</f>
        <v>1E-3</v>
      </c>
      <c r="L834" s="4">
        <f t="shared" si="48"/>
        <v>81</v>
      </c>
      <c r="M834" s="4">
        <f t="shared" si="49"/>
        <v>0</v>
      </c>
    </row>
    <row r="835" spans="1:13">
      <c r="A835" s="4" t="str" cm="1">
        <f t="array" ref="A835">INDEX(Sheet1!A:A,$F835)</f>
        <v>M</v>
      </c>
      <c r="B835" s="4" t="str" cm="1">
        <f t="array" ref="B835">INDEX(Sheet1!B:B,$F835)</f>
        <v>Non-Pref SM</v>
      </c>
      <c r="C835" s="4">
        <f t="shared" si="50"/>
        <v>107</v>
      </c>
      <c r="D835" s="5" cm="1">
        <f t="array" aca="1" ref="D835" ca="1">OFFSET(INDIRECT("'["&amp;$H835&amp;"]"&amp;$I835&amp;"'!"&amp;$J835),$L835,$M835)*$K835</f>
        <v>0.50751000000000002</v>
      </c>
      <c r="F835" s="4">
        <f t="shared" si="51"/>
        <v>8</v>
      </c>
      <c r="G835" s="4" cm="1">
        <f t="array" ref="G835">IF($C835&gt;=25,F835,IF($C835&lt;16,INDEX(Sheet1!C:C,$F835),$F835))</f>
        <v>8</v>
      </c>
      <c r="H835" s="4" t="str" cm="1">
        <f t="array" ref="H835">INDEX(Sheet1!D:D,$G835)</f>
        <v>2001-cso-preferred-class-structure-mortality-tables.xls</v>
      </c>
      <c r="I835" s="4" t="str" cm="1">
        <f t="array" ref="I835">INDEX(Sheet1!E:E,$G835)</f>
        <v>A.1.a.v</v>
      </c>
      <c r="J835" s="4" t="str" cm="1">
        <f t="array" ref="J835">IF($C835&gt;=25,INDEX(Sheet1!G:G,$G835),INDEX(Sheet1!F:F,$G835))</f>
        <v>AA8</v>
      </c>
      <c r="K835" s="4" cm="1">
        <f t="array" ref="K835">INDEX(Sheet1!H:H,$G835)</f>
        <v>1E-3</v>
      </c>
      <c r="L835" s="4">
        <f t="shared" ref="L835:L898" si="52">IF($C835&gt;=25,$C835-25,0)</f>
        <v>82</v>
      </c>
      <c r="M835" s="4">
        <f t="shared" ref="M835:M898" si="53">IF($C835&gt;=25,0,$C835)</f>
        <v>0</v>
      </c>
    </row>
    <row r="836" spans="1:13">
      <c r="A836" s="4" t="str" cm="1">
        <f t="array" ref="A836">INDEX(Sheet1!A:A,$F836)</f>
        <v>M</v>
      </c>
      <c r="B836" s="4" t="str" cm="1">
        <f t="array" ref="B836">INDEX(Sheet1!B:B,$F836)</f>
        <v>Non-Pref SM</v>
      </c>
      <c r="C836" s="4">
        <f t="shared" ref="C836:C899" si="54">IF(C835=120,0,C835+1)</f>
        <v>108</v>
      </c>
      <c r="D836" s="5" cm="1">
        <f t="array" aca="1" ref="D836" ca="1">OFFSET(INDIRECT("'["&amp;$H836&amp;"]"&amp;$I836&amp;"'!"&amp;$J836),$L836,$M836)*$K836</f>
        <v>0.53344000000000003</v>
      </c>
      <c r="F836" s="4">
        <f t="shared" ref="F836:F899" si="55">IF(C836=0,1,0)+F835</f>
        <v>8</v>
      </c>
      <c r="G836" s="4" cm="1">
        <f t="array" ref="G836">IF($C836&gt;=25,F836,IF($C836&lt;16,INDEX(Sheet1!C:C,$F836),$F836))</f>
        <v>8</v>
      </c>
      <c r="H836" s="4" t="str" cm="1">
        <f t="array" ref="H836">INDEX(Sheet1!D:D,$G836)</f>
        <v>2001-cso-preferred-class-structure-mortality-tables.xls</v>
      </c>
      <c r="I836" s="4" t="str" cm="1">
        <f t="array" ref="I836">INDEX(Sheet1!E:E,$G836)</f>
        <v>A.1.a.v</v>
      </c>
      <c r="J836" s="4" t="str" cm="1">
        <f t="array" ref="J836">IF($C836&gt;=25,INDEX(Sheet1!G:G,$G836),INDEX(Sheet1!F:F,$G836))</f>
        <v>AA8</v>
      </c>
      <c r="K836" s="4" cm="1">
        <f t="array" ref="K836">INDEX(Sheet1!H:H,$G836)</f>
        <v>1E-3</v>
      </c>
      <c r="L836" s="4">
        <f t="shared" si="52"/>
        <v>83</v>
      </c>
      <c r="M836" s="4">
        <f t="shared" si="53"/>
        <v>0</v>
      </c>
    </row>
    <row r="837" spans="1:13">
      <c r="A837" s="4" t="str" cm="1">
        <f t="array" ref="A837">INDEX(Sheet1!A:A,$F837)</f>
        <v>M</v>
      </c>
      <c r="B837" s="4" t="str" cm="1">
        <f t="array" ref="B837">INDEX(Sheet1!B:B,$F837)</f>
        <v>Non-Pref SM</v>
      </c>
      <c r="C837" s="4">
        <f t="shared" si="54"/>
        <v>109</v>
      </c>
      <c r="D837" s="5" cm="1">
        <f t="array" aca="1" ref="D837" ca="1">OFFSET(INDIRECT("'["&amp;$H837&amp;"]"&amp;$I837&amp;"'!"&amp;$J837),$L837,$M837)*$K837</f>
        <v>0.56101000000000001</v>
      </c>
      <c r="F837" s="4">
        <f t="shared" si="55"/>
        <v>8</v>
      </c>
      <c r="G837" s="4" cm="1">
        <f t="array" ref="G837">IF($C837&gt;=25,F837,IF($C837&lt;16,INDEX(Sheet1!C:C,$F837),$F837))</f>
        <v>8</v>
      </c>
      <c r="H837" s="4" t="str" cm="1">
        <f t="array" ref="H837">INDEX(Sheet1!D:D,$G837)</f>
        <v>2001-cso-preferred-class-structure-mortality-tables.xls</v>
      </c>
      <c r="I837" s="4" t="str" cm="1">
        <f t="array" ref="I837">INDEX(Sheet1!E:E,$G837)</f>
        <v>A.1.a.v</v>
      </c>
      <c r="J837" s="4" t="str" cm="1">
        <f t="array" ref="J837">IF($C837&gt;=25,INDEX(Sheet1!G:G,$G837),INDEX(Sheet1!F:F,$G837))</f>
        <v>AA8</v>
      </c>
      <c r="K837" s="4" cm="1">
        <f t="array" ref="K837">INDEX(Sheet1!H:H,$G837)</f>
        <v>1E-3</v>
      </c>
      <c r="L837" s="4">
        <f t="shared" si="52"/>
        <v>84</v>
      </c>
      <c r="M837" s="4">
        <f t="shared" si="53"/>
        <v>0</v>
      </c>
    </row>
    <row r="838" spans="1:13">
      <c r="A838" s="4" t="str" cm="1">
        <f t="array" ref="A838">INDEX(Sheet1!A:A,$F838)</f>
        <v>M</v>
      </c>
      <c r="B838" s="4" t="str" cm="1">
        <f t="array" ref="B838">INDEX(Sheet1!B:B,$F838)</f>
        <v>Non-Pref SM</v>
      </c>
      <c r="C838" s="4">
        <f t="shared" si="54"/>
        <v>110</v>
      </c>
      <c r="D838" s="5" cm="1">
        <f t="array" aca="1" ref="D838" ca="1">OFFSET(INDIRECT("'["&amp;$H838&amp;"]"&amp;$I838&amp;"'!"&amp;$J838),$L838,$M838)*$K838</f>
        <v>0.59026999999999996</v>
      </c>
      <c r="F838" s="4">
        <f t="shared" si="55"/>
        <v>8</v>
      </c>
      <c r="G838" s="4" cm="1">
        <f t="array" ref="G838">IF($C838&gt;=25,F838,IF($C838&lt;16,INDEX(Sheet1!C:C,$F838),$F838))</f>
        <v>8</v>
      </c>
      <c r="H838" s="4" t="str" cm="1">
        <f t="array" ref="H838">INDEX(Sheet1!D:D,$G838)</f>
        <v>2001-cso-preferred-class-structure-mortality-tables.xls</v>
      </c>
      <c r="I838" s="4" t="str" cm="1">
        <f t="array" ref="I838">INDEX(Sheet1!E:E,$G838)</f>
        <v>A.1.a.v</v>
      </c>
      <c r="J838" s="4" t="str" cm="1">
        <f t="array" ref="J838">IF($C838&gt;=25,INDEX(Sheet1!G:G,$G838),INDEX(Sheet1!F:F,$G838))</f>
        <v>AA8</v>
      </c>
      <c r="K838" s="4" cm="1">
        <f t="array" ref="K838">INDEX(Sheet1!H:H,$G838)</f>
        <v>1E-3</v>
      </c>
      <c r="L838" s="4">
        <f t="shared" si="52"/>
        <v>85</v>
      </c>
      <c r="M838" s="4">
        <f t="shared" si="53"/>
        <v>0</v>
      </c>
    </row>
    <row r="839" spans="1:13">
      <c r="A839" s="4" t="str" cm="1">
        <f t="array" ref="A839">INDEX(Sheet1!A:A,$F839)</f>
        <v>M</v>
      </c>
      <c r="B839" s="4" t="str" cm="1">
        <f t="array" ref="B839">INDEX(Sheet1!B:B,$F839)</f>
        <v>Non-Pref SM</v>
      </c>
      <c r="C839" s="4">
        <f t="shared" si="54"/>
        <v>111</v>
      </c>
      <c r="D839" s="5" cm="1">
        <f t="array" aca="1" ref="D839" ca="1">OFFSET(INDIRECT("'["&amp;$H839&amp;"]"&amp;$I839&amp;"'!"&amp;$J839),$L839,$M839)*$K839</f>
        <v>0.62136000000000002</v>
      </c>
      <c r="F839" s="4">
        <f t="shared" si="55"/>
        <v>8</v>
      </c>
      <c r="G839" s="4" cm="1">
        <f t="array" ref="G839">IF($C839&gt;=25,F839,IF($C839&lt;16,INDEX(Sheet1!C:C,$F839),$F839))</f>
        <v>8</v>
      </c>
      <c r="H839" s="4" t="str" cm="1">
        <f t="array" ref="H839">INDEX(Sheet1!D:D,$G839)</f>
        <v>2001-cso-preferred-class-structure-mortality-tables.xls</v>
      </c>
      <c r="I839" s="4" t="str" cm="1">
        <f t="array" ref="I839">INDEX(Sheet1!E:E,$G839)</f>
        <v>A.1.a.v</v>
      </c>
      <c r="J839" s="4" t="str" cm="1">
        <f t="array" ref="J839">IF($C839&gt;=25,INDEX(Sheet1!G:G,$G839),INDEX(Sheet1!F:F,$G839))</f>
        <v>AA8</v>
      </c>
      <c r="K839" s="4" cm="1">
        <f t="array" ref="K839">INDEX(Sheet1!H:H,$G839)</f>
        <v>1E-3</v>
      </c>
      <c r="L839" s="4">
        <f t="shared" si="52"/>
        <v>86</v>
      </c>
      <c r="M839" s="4">
        <f t="shared" si="53"/>
        <v>0</v>
      </c>
    </row>
    <row r="840" spans="1:13">
      <c r="A840" s="4" t="str" cm="1">
        <f t="array" ref="A840">INDEX(Sheet1!A:A,$F840)</f>
        <v>M</v>
      </c>
      <c r="B840" s="4" t="str" cm="1">
        <f t="array" ref="B840">INDEX(Sheet1!B:B,$F840)</f>
        <v>Non-Pref SM</v>
      </c>
      <c r="C840" s="4">
        <f t="shared" si="54"/>
        <v>112</v>
      </c>
      <c r="D840" s="5" cm="1">
        <f t="array" aca="1" ref="D840" ca="1">OFFSET(INDIRECT("'["&amp;$H840&amp;"]"&amp;$I840&amp;"'!"&amp;$J840),$L840,$M840)*$K840</f>
        <v>0.65434999999999999</v>
      </c>
      <c r="F840" s="4">
        <f t="shared" si="55"/>
        <v>8</v>
      </c>
      <c r="G840" s="4" cm="1">
        <f t="array" ref="G840">IF($C840&gt;=25,F840,IF($C840&lt;16,INDEX(Sheet1!C:C,$F840),$F840))</f>
        <v>8</v>
      </c>
      <c r="H840" s="4" t="str" cm="1">
        <f t="array" ref="H840">INDEX(Sheet1!D:D,$G840)</f>
        <v>2001-cso-preferred-class-structure-mortality-tables.xls</v>
      </c>
      <c r="I840" s="4" t="str" cm="1">
        <f t="array" ref="I840">INDEX(Sheet1!E:E,$G840)</f>
        <v>A.1.a.v</v>
      </c>
      <c r="J840" s="4" t="str" cm="1">
        <f t="array" ref="J840">IF($C840&gt;=25,INDEX(Sheet1!G:G,$G840),INDEX(Sheet1!F:F,$G840))</f>
        <v>AA8</v>
      </c>
      <c r="K840" s="4" cm="1">
        <f t="array" ref="K840">INDEX(Sheet1!H:H,$G840)</f>
        <v>1E-3</v>
      </c>
      <c r="L840" s="4">
        <f t="shared" si="52"/>
        <v>87</v>
      </c>
      <c r="M840" s="4">
        <f t="shared" si="53"/>
        <v>0</v>
      </c>
    </row>
    <row r="841" spans="1:13">
      <c r="A841" s="4" t="str" cm="1">
        <f t="array" ref="A841">INDEX(Sheet1!A:A,$F841)</f>
        <v>M</v>
      </c>
      <c r="B841" s="4" t="str" cm="1">
        <f t="array" ref="B841">INDEX(Sheet1!B:B,$F841)</f>
        <v>Non-Pref SM</v>
      </c>
      <c r="C841" s="4">
        <f t="shared" si="54"/>
        <v>113</v>
      </c>
      <c r="D841" s="5" cm="1">
        <f t="array" aca="1" ref="D841" ca="1">OFFSET(INDIRECT("'["&amp;$H841&amp;"]"&amp;$I841&amp;"'!"&amp;$J841),$L841,$M841)*$K841</f>
        <v>0.68937999999999999</v>
      </c>
      <c r="F841" s="4">
        <f t="shared" si="55"/>
        <v>8</v>
      </c>
      <c r="G841" s="4" cm="1">
        <f t="array" ref="G841">IF($C841&gt;=25,F841,IF($C841&lt;16,INDEX(Sheet1!C:C,$F841),$F841))</f>
        <v>8</v>
      </c>
      <c r="H841" s="4" t="str" cm="1">
        <f t="array" ref="H841">INDEX(Sheet1!D:D,$G841)</f>
        <v>2001-cso-preferred-class-structure-mortality-tables.xls</v>
      </c>
      <c r="I841" s="4" t="str" cm="1">
        <f t="array" ref="I841">INDEX(Sheet1!E:E,$G841)</f>
        <v>A.1.a.v</v>
      </c>
      <c r="J841" s="4" t="str" cm="1">
        <f t="array" ref="J841">IF($C841&gt;=25,INDEX(Sheet1!G:G,$G841),INDEX(Sheet1!F:F,$G841))</f>
        <v>AA8</v>
      </c>
      <c r="K841" s="4" cm="1">
        <f t="array" ref="K841">INDEX(Sheet1!H:H,$G841)</f>
        <v>1E-3</v>
      </c>
      <c r="L841" s="4">
        <f t="shared" si="52"/>
        <v>88</v>
      </c>
      <c r="M841" s="4">
        <f t="shared" si="53"/>
        <v>0</v>
      </c>
    </row>
    <row r="842" spans="1:13">
      <c r="A842" s="4" t="str" cm="1">
        <f t="array" ref="A842">INDEX(Sheet1!A:A,$F842)</f>
        <v>M</v>
      </c>
      <c r="B842" s="4" t="str" cm="1">
        <f t="array" ref="B842">INDEX(Sheet1!B:B,$F842)</f>
        <v>Non-Pref SM</v>
      </c>
      <c r="C842" s="4">
        <f t="shared" si="54"/>
        <v>114</v>
      </c>
      <c r="D842" s="5" cm="1">
        <f t="array" aca="1" ref="D842" ca="1">OFFSET(INDIRECT("'["&amp;$H842&amp;"]"&amp;$I842&amp;"'!"&amp;$J842),$L842,$M842)*$K842</f>
        <v>0.72655999999999998</v>
      </c>
      <c r="F842" s="4">
        <f t="shared" si="55"/>
        <v>8</v>
      </c>
      <c r="G842" s="4" cm="1">
        <f t="array" ref="G842">IF($C842&gt;=25,F842,IF($C842&lt;16,INDEX(Sheet1!C:C,$F842),$F842))</f>
        <v>8</v>
      </c>
      <c r="H842" s="4" t="str" cm="1">
        <f t="array" ref="H842">INDEX(Sheet1!D:D,$G842)</f>
        <v>2001-cso-preferred-class-structure-mortality-tables.xls</v>
      </c>
      <c r="I842" s="4" t="str" cm="1">
        <f t="array" ref="I842">INDEX(Sheet1!E:E,$G842)</f>
        <v>A.1.a.v</v>
      </c>
      <c r="J842" s="4" t="str" cm="1">
        <f t="array" ref="J842">IF($C842&gt;=25,INDEX(Sheet1!G:G,$G842),INDEX(Sheet1!F:F,$G842))</f>
        <v>AA8</v>
      </c>
      <c r="K842" s="4" cm="1">
        <f t="array" ref="K842">INDEX(Sheet1!H:H,$G842)</f>
        <v>1E-3</v>
      </c>
      <c r="L842" s="4">
        <f t="shared" si="52"/>
        <v>89</v>
      </c>
      <c r="M842" s="4">
        <f t="shared" si="53"/>
        <v>0</v>
      </c>
    </row>
    <row r="843" spans="1:13">
      <c r="A843" s="4" t="str" cm="1">
        <f t="array" ref="A843">INDEX(Sheet1!A:A,$F843)</f>
        <v>M</v>
      </c>
      <c r="B843" s="4" t="str" cm="1">
        <f t="array" ref="B843">INDEX(Sheet1!B:B,$F843)</f>
        <v>Non-Pref SM</v>
      </c>
      <c r="C843" s="4">
        <f t="shared" si="54"/>
        <v>115</v>
      </c>
      <c r="D843" s="5" cm="1">
        <f t="array" aca="1" ref="D843" ca="1">OFFSET(INDIRECT("'["&amp;$H843&amp;"]"&amp;$I843&amp;"'!"&amp;$J843),$L843,$M843)*$K843</f>
        <v>0.76600999999999997</v>
      </c>
      <c r="F843" s="4">
        <f t="shared" si="55"/>
        <v>8</v>
      </c>
      <c r="G843" s="4" cm="1">
        <f t="array" ref="G843">IF($C843&gt;=25,F843,IF($C843&lt;16,INDEX(Sheet1!C:C,$F843),$F843))</f>
        <v>8</v>
      </c>
      <c r="H843" s="4" t="str" cm="1">
        <f t="array" ref="H843">INDEX(Sheet1!D:D,$G843)</f>
        <v>2001-cso-preferred-class-structure-mortality-tables.xls</v>
      </c>
      <c r="I843" s="4" t="str" cm="1">
        <f t="array" ref="I843">INDEX(Sheet1!E:E,$G843)</f>
        <v>A.1.a.v</v>
      </c>
      <c r="J843" s="4" t="str" cm="1">
        <f t="array" ref="J843">IF($C843&gt;=25,INDEX(Sheet1!G:G,$G843),INDEX(Sheet1!F:F,$G843))</f>
        <v>AA8</v>
      </c>
      <c r="K843" s="4" cm="1">
        <f t="array" ref="K843">INDEX(Sheet1!H:H,$G843)</f>
        <v>1E-3</v>
      </c>
      <c r="L843" s="4">
        <f t="shared" si="52"/>
        <v>90</v>
      </c>
      <c r="M843" s="4">
        <f t="shared" si="53"/>
        <v>0</v>
      </c>
    </row>
    <row r="844" spans="1:13">
      <c r="A844" s="4" t="str" cm="1">
        <f t="array" ref="A844">INDEX(Sheet1!A:A,$F844)</f>
        <v>M</v>
      </c>
      <c r="B844" s="4" t="str" cm="1">
        <f t="array" ref="B844">INDEX(Sheet1!B:B,$F844)</f>
        <v>Non-Pref SM</v>
      </c>
      <c r="C844" s="4">
        <f t="shared" si="54"/>
        <v>116</v>
      </c>
      <c r="D844" s="5" cm="1">
        <f t="array" aca="1" ref="D844" ca="1">OFFSET(INDIRECT("'["&amp;$H844&amp;"]"&amp;$I844&amp;"'!"&amp;$J844),$L844,$M844)*$K844</f>
        <v>0.80786000000000002</v>
      </c>
      <c r="F844" s="4">
        <f t="shared" si="55"/>
        <v>8</v>
      </c>
      <c r="G844" s="4" cm="1">
        <f t="array" ref="G844">IF($C844&gt;=25,F844,IF($C844&lt;16,INDEX(Sheet1!C:C,$F844),$F844))</f>
        <v>8</v>
      </c>
      <c r="H844" s="4" t="str" cm="1">
        <f t="array" ref="H844">INDEX(Sheet1!D:D,$G844)</f>
        <v>2001-cso-preferred-class-structure-mortality-tables.xls</v>
      </c>
      <c r="I844" s="4" t="str" cm="1">
        <f t="array" ref="I844">INDEX(Sheet1!E:E,$G844)</f>
        <v>A.1.a.v</v>
      </c>
      <c r="J844" s="4" t="str" cm="1">
        <f t="array" ref="J844">IF($C844&gt;=25,INDEX(Sheet1!G:G,$G844),INDEX(Sheet1!F:F,$G844))</f>
        <v>AA8</v>
      </c>
      <c r="K844" s="4" cm="1">
        <f t="array" ref="K844">INDEX(Sheet1!H:H,$G844)</f>
        <v>1E-3</v>
      </c>
      <c r="L844" s="4">
        <f t="shared" si="52"/>
        <v>91</v>
      </c>
      <c r="M844" s="4">
        <f t="shared" si="53"/>
        <v>0</v>
      </c>
    </row>
    <row r="845" spans="1:13">
      <c r="A845" s="4" t="str" cm="1">
        <f t="array" ref="A845">INDEX(Sheet1!A:A,$F845)</f>
        <v>M</v>
      </c>
      <c r="B845" s="4" t="str" cm="1">
        <f t="array" ref="B845">INDEX(Sheet1!B:B,$F845)</f>
        <v>Non-Pref SM</v>
      </c>
      <c r="C845" s="4">
        <f t="shared" si="54"/>
        <v>117</v>
      </c>
      <c r="D845" s="5" cm="1">
        <f t="array" aca="1" ref="D845" ca="1">OFFSET(INDIRECT("'["&amp;$H845&amp;"]"&amp;$I845&amp;"'!"&amp;$J845),$L845,$M845)*$K845</f>
        <v>0.85226000000000002</v>
      </c>
      <c r="F845" s="4">
        <f t="shared" si="55"/>
        <v>8</v>
      </c>
      <c r="G845" s="4" cm="1">
        <f t="array" ref="G845">IF($C845&gt;=25,F845,IF($C845&lt;16,INDEX(Sheet1!C:C,$F845),$F845))</f>
        <v>8</v>
      </c>
      <c r="H845" s="4" t="str" cm="1">
        <f t="array" ref="H845">INDEX(Sheet1!D:D,$G845)</f>
        <v>2001-cso-preferred-class-structure-mortality-tables.xls</v>
      </c>
      <c r="I845" s="4" t="str" cm="1">
        <f t="array" ref="I845">INDEX(Sheet1!E:E,$G845)</f>
        <v>A.1.a.v</v>
      </c>
      <c r="J845" s="4" t="str" cm="1">
        <f t="array" ref="J845">IF($C845&gt;=25,INDEX(Sheet1!G:G,$G845),INDEX(Sheet1!F:F,$G845))</f>
        <v>AA8</v>
      </c>
      <c r="K845" s="4" cm="1">
        <f t="array" ref="K845">INDEX(Sheet1!H:H,$G845)</f>
        <v>1E-3</v>
      </c>
      <c r="L845" s="4">
        <f t="shared" si="52"/>
        <v>92</v>
      </c>
      <c r="M845" s="4">
        <f t="shared" si="53"/>
        <v>0</v>
      </c>
    </row>
    <row r="846" spans="1:13">
      <c r="A846" s="4" t="str" cm="1">
        <f t="array" ref="A846">INDEX(Sheet1!A:A,$F846)</f>
        <v>M</v>
      </c>
      <c r="B846" s="4" t="str" cm="1">
        <f t="array" ref="B846">INDEX(Sheet1!B:B,$F846)</f>
        <v>Non-Pref SM</v>
      </c>
      <c r="C846" s="4">
        <f t="shared" si="54"/>
        <v>118</v>
      </c>
      <c r="D846" s="5" cm="1">
        <f t="array" aca="1" ref="D846" ca="1">OFFSET(INDIRECT("'["&amp;$H846&amp;"]"&amp;$I846&amp;"'!"&amp;$J846),$L846,$M846)*$K846</f>
        <v>0.89935000000000009</v>
      </c>
      <c r="F846" s="4">
        <f t="shared" si="55"/>
        <v>8</v>
      </c>
      <c r="G846" s="4" cm="1">
        <f t="array" ref="G846">IF($C846&gt;=25,F846,IF($C846&lt;16,INDEX(Sheet1!C:C,$F846),$F846))</f>
        <v>8</v>
      </c>
      <c r="H846" s="4" t="str" cm="1">
        <f t="array" ref="H846">INDEX(Sheet1!D:D,$G846)</f>
        <v>2001-cso-preferred-class-structure-mortality-tables.xls</v>
      </c>
      <c r="I846" s="4" t="str" cm="1">
        <f t="array" ref="I846">INDEX(Sheet1!E:E,$G846)</f>
        <v>A.1.a.v</v>
      </c>
      <c r="J846" s="4" t="str" cm="1">
        <f t="array" ref="J846">IF($C846&gt;=25,INDEX(Sheet1!G:G,$G846),INDEX(Sheet1!F:F,$G846))</f>
        <v>AA8</v>
      </c>
      <c r="K846" s="4" cm="1">
        <f t="array" ref="K846">INDEX(Sheet1!H:H,$G846)</f>
        <v>1E-3</v>
      </c>
      <c r="L846" s="4">
        <f t="shared" si="52"/>
        <v>93</v>
      </c>
      <c r="M846" s="4">
        <f t="shared" si="53"/>
        <v>0</v>
      </c>
    </row>
    <row r="847" spans="1:13">
      <c r="A847" s="4" t="str" cm="1">
        <f t="array" ref="A847">INDEX(Sheet1!A:A,$F847)</f>
        <v>M</v>
      </c>
      <c r="B847" s="4" t="str" cm="1">
        <f t="array" ref="B847">INDEX(Sheet1!B:B,$F847)</f>
        <v>Non-Pref SM</v>
      </c>
      <c r="C847" s="4">
        <f t="shared" si="54"/>
        <v>119</v>
      </c>
      <c r="D847" s="5" cm="1">
        <f t="array" aca="1" ref="D847" ca="1">OFFSET(INDIRECT("'["&amp;$H847&amp;"]"&amp;$I847&amp;"'!"&amp;$J847),$L847,$M847)*$K847</f>
        <v>0.94928999999999997</v>
      </c>
      <c r="F847" s="4">
        <f t="shared" si="55"/>
        <v>8</v>
      </c>
      <c r="G847" s="4" cm="1">
        <f t="array" ref="G847">IF($C847&gt;=25,F847,IF($C847&lt;16,INDEX(Sheet1!C:C,$F847),$F847))</f>
        <v>8</v>
      </c>
      <c r="H847" s="4" t="str" cm="1">
        <f t="array" ref="H847">INDEX(Sheet1!D:D,$G847)</f>
        <v>2001-cso-preferred-class-structure-mortality-tables.xls</v>
      </c>
      <c r="I847" s="4" t="str" cm="1">
        <f t="array" ref="I847">INDEX(Sheet1!E:E,$G847)</f>
        <v>A.1.a.v</v>
      </c>
      <c r="J847" s="4" t="str" cm="1">
        <f t="array" ref="J847">IF($C847&gt;=25,INDEX(Sheet1!G:G,$G847),INDEX(Sheet1!F:F,$G847))</f>
        <v>AA8</v>
      </c>
      <c r="K847" s="4" cm="1">
        <f t="array" ref="K847">INDEX(Sheet1!H:H,$G847)</f>
        <v>1E-3</v>
      </c>
      <c r="L847" s="4">
        <f t="shared" si="52"/>
        <v>94</v>
      </c>
      <c r="M847" s="4">
        <f t="shared" si="53"/>
        <v>0</v>
      </c>
    </row>
    <row r="848" spans="1:13">
      <c r="A848" s="4" t="str" cm="1">
        <f t="array" ref="A848">INDEX(Sheet1!A:A,$F848)</f>
        <v>M</v>
      </c>
      <c r="B848" s="4" t="str" cm="1">
        <f t="array" ref="B848">INDEX(Sheet1!B:B,$F848)</f>
        <v>Non-Pref SM</v>
      </c>
      <c r="C848" s="4">
        <f t="shared" si="54"/>
        <v>120</v>
      </c>
      <c r="D848" s="5" cm="1">
        <f t="array" aca="1" ref="D848" ca="1">OFFSET(INDIRECT("'["&amp;$H848&amp;"]"&amp;$I848&amp;"'!"&amp;$J848),$L848,$M848)*$K848</f>
        <v>1</v>
      </c>
      <c r="F848" s="4">
        <f t="shared" si="55"/>
        <v>8</v>
      </c>
      <c r="G848" s="4" cm="1">
        <f t="array" ref="G848">IF($C848&gt;=25,F848,IF($C848&lt;16,INDEX(Sheet1!C:C,$F848),$F848))</f>
        <v>8</v>
      </c>
      <c r="H848" s="4" t="str" cm="1">
        <f t="array" ref="H848">INDEX(Sheet1!D:D,$G848)</f>
        <v>2001-cso-preferred-class-structure-mortality-tables.xls</v>
      </c>
      <c r="I848" s="4" t="str" cm="1">
        <f t="array" ref="I848">INDEX(Sheet1!E:E,$G848)</f>
        <v>A.1.a.v</v>
      </c>
      <c r="J848" s="4" t="str" cm="1">
        <f t="array" ref="J848">IF($C848&gt;=25,INDEX(Sheet1!G:G,$G848),INDEX(Sheet1!F:F,$G848))</f>
        <v>AA8</v>
      </c>
      <c r="K848" s="4" cm="1">
        <f t="array" ref="K848">INDEX(Sheet1!H:H,$G848)</f>
        <v>1E-3</v>
      </c>
      <c r="L848" s="4">
        <f t="shared" si="52"/>
        <v>95</v>
      </c>
      <c r="M848" s="4">
        <f t="shared" si="53"/>
        <v>0</v>
      </c>
    </row>
    <row r="849" spans="1:13">
      <c r="A849" s="4" t="str" cm="1">
        <f t="array" ref="A849">INDEX(Sheet1!A:A,$F849)</f>
        <v>M</v>
      </c>
      <c r="B849" s="4" t="str" cm="1">
        <f t="array" ref="B849">INDEX(Sheet1!B:B,$F849)</f>
        <v>Undiff SM</v>
      </c>
      <c r="C849" s="4">
        <f t="shared" si="54"/>
        <v>0</v>
      </c>
      <c r="D849" s="5" cm="1">
        <f t="array" aca="1" ref="D849" ca="1">OFFSET(INDIRECT("'["&amp;$H849&amp;"]"&amp;$I849&amp;"'!"&amp;$J849),$L849,$M849)*$K849</f>
        <v>9.7000000000000005E-4</v>
      </c>
      <c r="F849" s="4">
        <f t="shared" si="55"/>
        <v>9</v>
      </c>
      <c r="G849" s="4" cm="1">
        <f t="array" ref="G849">IF($C849&gt;=25,F849,IF($C849&lt;16,INDEX(Sheet1!C:C,$F849),$F849))</f>
        <v>10</v>
      </c>
      <c r="H849" s="4" t="str" cm="1">
        <f t="array" ref="H849">INDEX(Sheet1!D:D,$G849)</f>
        <v>t1136.xlsx</v>
      </c>
      <c r="I849" s="4" t="str" cm="1">
        <f t="array" ref="I849">INDEX(Sheet1!E:E,$G849)</f>
        <v>Sheet1</v>
      </c>
      <c r="J849" s="4" t="str" cm="1">
        <f t="array" ref="J849">IF($C849&gt;=25,INDEX(Sheet1!G:G,$G849),INDEX(Sheet1!F:F,$G849))</f>
        <v>B25</v>
      </c>
      <c r="K849" s="4" cm="1">
        <f t="array" ref="K849">INDEX(Sheet1!H:H,$G849)</f>
        <v>1</v>
      </c>
      <c r="L849" s="4">
        <f t="shared" si="52"/>
        <v>0</v>
      </c>
      <c r="M849" s="4">
        <f t="shared" si="53"/>
        <v>0</v>
      </c>
    </row>
    <row r="850" spans="1:13">
      <c r="A850" s="4" t="str" cm="1">
        <f t="array" ref="A850">INDEX(Sheet1!A:A,$F850)</f>
        <v>M</v>
      </c>
      <c r="B850" s="4" t="str" cm="1">
        <f t="array" ref="B850">INDEX(Sheet1!B:B,$F850)</f>
        <v>Undiff SM</v>
      </c>
      <c r="C850" s="4">
        <f t="shared" si="54"/>
        <v>1</v>
      </c>
      <c r="D850" s="5" cm="1">
        <f t="array" aca="1" ref="D850" ca="1">OFFSET(INDIRECT("'["&amp;$H850&amp;"]"&amp;$I850&amp;"'!"&amp;$J850),$L850,$M850)*$K850</f>
        <v>5.5999999999999995E-4</v>
      </c>
      <c r="F850" s="4">
        <f t="shared" si="55"/>
        <v>9</v>
      </c>
      <c r="G850" s="4" cm="1">
        <f t="array" ref="G850">IF($C850&gt;=25,F850,IF($C850&lt;16,INDEX(Sheet1!C:C,$F850),$F850))</f>
        <v>10</v>
      </c>
      <c r="H850" s="4" t="str" cm="1">
        <f t="array" ref="H850">INDEX(Sheet1!D:D,$G850)</f>
        <v>t1136.xlsx</v>
      </c>
      <c r="I850" s="4" t="str" cm="1">
        <f t="array" ref="I850">INDEX(Sheet1!E:E,$G850)</f>
        <v>Sheet1</v>
      </c>
      <c r="J850" s="4" t="str" cm="1">
        <f t="array" ref="J850">IF($C850&gt;=25,INDEX(Sheet1!G:G,$G850),INDEX(Sheet1!F:F,$G850))</f>
        <v>B25</v>
      </c>
      <c r="K850" s="4" cm="1">
        <f t="array" ref="K850">INDEX(Sheet1!H:H,$G850)</f>
        <v>1</v>
      </c>
      <c r="L850" s="4">
        <f t="shared" si="52"/>
        <v>0</v>
      </c>
      <c r="M850" s="4">
        <f t="shared" si="53"/>
        <v>1</v>
      </c>
    </row>
    <row r="851" spans="1:13">
      <c r="A851" s="4" t="str" cm="1">
        <f t="array" ref="A851">INDEX(Sheet1!A:A,$F851)</f>
        <v>M</v>
      </c>
      <c r="B851" s="4" t="str" cm="1">
        <f t="array" ref="B851">INDEX(Sheet1!B:B,$F851)</f>
        <v>Undiff SM</v>
      </c>
      <c r="C851" s="4">
        <f t="shared" si="54"/>
        <v>2</v>
      </c>
      <c r="D851" s="5" cm="1">
        <f t="array" aca="1" ref="D851" ca="1">OFFSET(INDIRECT("'["&amp;$H851&amp;"]"&amp;$I851&amp;"'!"&amp;$J851),$L851,$M851)*$K851</f>
        <v>3.8999999999999999E-4</v>
      </c>
      <c r="F851" s="4">
        <f t="shared" si="55"/>
        <v>9</v>
      </c>
      <c r="G851" s="4" cm="1">
        <f t="array" ref="G851">IF($C851&gt;=25,F851,IF($C851&lt;16,INDEX(Sheet1!C:C,$F851),$F851))</f>
        <v>10</v>
      </c>
      <c r="H851" s="4" t="str" cm="1">
        <f t="array" ref="H851">INDEX(Sheet1!D:D,$G851)</f>
        <v>t1136.xlsx</v>
      </c>
      <c r="I851" s="4" t="str" cm="1">
        <f t="array" ref="I851">INDEX(Sheet1!E:E,$G851)</f>
        <v>Sheet1</v>
      </c>
      <c r="J851" s="4" t="str" cm="1">
        <f t="array" ref="J851">IF($C851&gt;=25,INDEX(Sheet1!G:G,$G851),INDEX(Sheet1!F:F,$G851))</f>
        <v>B25</v>
      </c>
      <c r="K851" s="4" cm="1">
        <f t="array" ref="K851">INDEX(Sheet1!H:H,$G851)</f>
        <v>1</v>
      </c>
      <c r="L851" s="4">
        <f t="shared" si="52"/>
        <v>0</v>
      </c>
      <c r="M851" s="4">
        <f t="shared" si="53"/>
        <v>2</v>
      </c>
    </row>
    <row r="852" spans="1:13">
      <c r="A852" s="4" t="str" cm="1">
        <f t="array" ref="A852">INDEX(Sheet1!A:A,$F852)</f>
        <v>M</v>
      </c>
      <c r="B852" s="4" t="str" cm="1">
        <f t="array" ref="B852">INDEX(Sheet1!B:B,$F852)</f>
        <v>Undiff SM</v>
      </c>
      <c r="C852" s="4">
        <f t="shared" si="54"/>
        <v>3</v>
      </c>
      <c r="D852" s="5" cm="1">
        <f t="array" aca="1" ref="D852" ca="1">OFFSET(INDIRECT("'["&amp;$H852&amp;"]"&amp;$I852&amp;"'!"&amp;$J852),$L852,$M852)*$K852</f>
        <v>2.7E-4</v>
      </c>
      <c r="F852" s="4">
        <f t="shared" si="55"/>
        <v>9</v>
      </c>
      <c r="G852" s="4" cm="1">
        <f t="array" ref="G852">IF($C852&gt;=25,F852,IF($C852&lt;16,INDEX(Sheet1!C:C,$F852),$F852))</f>
        <v>10</v>
      </c>
      <c r="H852" s="4" t="str" cm="1">
        <f t="array" ref="H852">INDEX(Sheet1!D:D,$G852)</f>
        <v>t1136.xlsx</v>
      </c>
      <c r="I852" s="4" t="str" cm="1">
        <f t="array" ref="I852">INDEX(Sheet1!E:E,$G852)</f>
        <v>Sheet1</v>
      </c>
      <c r="J852" s="4" t="str" cm="1">
        <f t="array" ref="J852">IF($C852&gt;=25,INDEX(Sheet1!G:G,$G852),INDEX(Sheet1!F:F,$G852))</f>
        <v>B25</v>
      </c>
      <c r="K852" s="4" cm="1">
        <f t="array" ref="K852">INDEX(Sheet1!H:H,$G852)</f>
        <v>1</v>
      </c>
      <c r="L852" s="4">
        <f t="shared" si="52"/>
        <v>0</v>
      </c>
      <c r="M852" s="4">
        <f t="shared" si="53"/>
        <v>3</v>
      </c>
    </row>
    <row r="853" spans="1:13">
      <c r="A853" s="4" t="str" cm="1">
        <f t="array" ref="A853">INDEX(Sheet1!A:A,$F853)</f>
        <v>M</v>
      </c>
      <c r="B853" s="4" t="str" cm="1">
        <f t="array" ref="B853">INDEX(Sheet1!B:B,$F853)</f>
        <v>Undiff SM</v>
      </c>
      <c r="C853" s="4">
        <f t="shared" si="54"/>
        <v>4</v>
      </c>
      <c r="D853" s="5" cm="1">
        <f t="array" aca="1" ref="D853" ca="1">OFFSET(INDIRECT("'["&amp;$H853&amp;"]"&amp;$I853&amp;"'!"&amp;$J853),$L853,$M853)*$K853</f>
        <v>2.1000000000000001E-4</v>
      </c>
      <c r="F853" s="4">
        <f t="shared" si="55"/>
        <v>9</v>
      </c>
      <c r="G853" s="4" cm="1">
        <f t="array" ref="G853">IF($C853&gt;=25,F853,IF($C853&lt;16,INDEX(Sheet1!C:C,$F853),$F853))</f>
        <v>10</v>
      </c>
      <c r="H853" s="4" t="str" cm="1">
        <f t="array" ref="H853">INDEX(Sheet1!D:D,$G853)</f>
        <v>t1136.xlsx</v>
      </c>
      <c r="I853" s="4" t="str" cm="1">
        <f t="array" ref="I853">INDEX(Sheet1!E:E,$G853)</f>
        <v>Sheet1</v>
      </c>
      <c r="J853" s="4" t="str" cm="1">
        <f t="array" ref="J853">IF($C853&gt;=25,INDEX(Sheet1!G:G,$G853),INDEX(Sheet1!F:F,$G853))</f>
        <v>B25</v>
      </c>
      <c r="K853" s="4" cm="1">
        <f t="array" ref="K853">INDEX(Sheet1!H:H,$G853)</f>
        <v>1</v>
      </c>
      <c r="L853" s="4">
        <f t="shared" si="52"/>
        <v>0</v>
      </c>
      <c r="M853" s="4">
        <f t="shared" si="53"/>
        <v>4</v>
      </c>
    </row>
    <row r="854" spans="1:13">
      <c r="A854" s="4" t="str" cm="1">
        <f t="array" ref="A854">INDEX(Sheet1!A:A,$F854)</f>
        <v>M</v>
      </c>
      <c r="B854" s="4" t="str" cm="1">
        <f t="array" ref="B854">INDEX(Sheet1!B:B,$F854)</f>
        <v>Undiff SM</v>
      </c>
      <c r="C854" s="4">
        <f t="shared" si="54"/>
        <v>5</v>
      </c>
      <c r="D854" s="5" cm="1">
        <f t="array" aca="1" ref="D854" ca="1">OFFSET(INDIRECT("'["&amp;$H854&amp;"]"&amp;$I854&amp;"'!"&amp;$J854),$L854,$M854)*$K854</f>
        <v>2.1000000000000001E-4</v>
      </c>
      <c r="F854" s="4">
        <f t="shared" si="55"/>
        <v>9</v>
      </c>
      <c r="G854" s="4" cm="1">
        <f t="array" ref="G854">IF($C854&gt;=25,F854,IF($C854&lt;16,INDEX(Sheet1!C:C,$F854),$F854))</f>
        <v>10</v>
      </c>
      <c r="H854" s="4" t="str" cm="1">
        <f t="array" ref="H854">INDEX(Sheet1!D:D,$G854)</f>
        <v>t1136.xlsx</v>
      </c>
      <c r="I854" s="4" t="str" cm="1">
        <f t="array" ref="I854">INDEX(Sheet1!E:E,$G854)</f>
        <v>Sheet1</v>
      </c>
      <c r="J854" s="4" t="str" cm="1">
        <f t="array" ref="J854">IF($C854&gt;=25,INDEX(Sheet1!G:G,$G854),INDEX(Sheet1!F:F,$G854))</f>
        <v>B25</v>
      </c>
      <c r="K854" s="4" cm="1">
        <f t="array" ref="K854">INDEX(Sheet1!H:H,$G854)</f>
        <v>1</v>
      </c>
      <c r="L854" s="4">
        <f t="shared" si="52"/>
        <v>0</v>
      </c>
      <c r="M854" s="4">
        <f t="shared" si="53"/>
        <v>5</v>
      </c>
    </row>
    <row r="855" spans="1:13">
      <c r="A855" s="4" t="str" cm="1">
        <f t="array" ref="A855">INDEX(Sheet1!A:A,$F855)</f>
        <v>M</v>
      </c>
      <c r="B855" s="4" t="str" cm="1">
        <f t="array" ref="B855">INDEX(Sheet1!B:B,$F855)</f>
        <v>Undiff SM</v>
      </c>
      <c r="C855" s="4">
        <f t="shared" si="54"/>
        <v>6</v>
      </c>
      <c r="D855" s="5" cm="1">
        <f t="array" aca="1" ref="D855" ca="1">OFFSET(INDIRECT("'["&amp;$H855&amp;"]"&amp;$I855&amp;"'!"&amp;$J855),$L855,$M855)*$K855</f>
        <v>2.2000000000000001E-4</v>
      </c>
      <c r="F855" s="4">
        <f t="shared" si="55"/>
        <v>9</v>
      </c>
      <c r="G855" s="4" cm="1">
        <f t="array" ref="G855">IF($C855&gt;=25,F855,IF($C855&lt;16,INDEX(Sheet1!C:C,$F855),$F855))</f>
        <v>10</v>
      </c>
      <c r="H855" s="4" t="str" cm="1">
        <f t="array" ref="H855">INDEX(Sheet1!D:D,$G855)</f>
        <v>t1136.xlsx</v>
      </c>
      <c r="I855" s="4" t="str" cm="1">
        <f t="array" ref="I855">INDEX(Sheet1!E:E,$G855)</f>
        <v>Sheet1</v>
      </c>
      <c r="J855" s="4" t="str" cm="1">
        <f t="array" ref="J855">IF($C855&gt;=25,INDEX(Sheet1!G:G,$G855),INDEX(Sheet1!F:F,$G855))</f>
        <v>B25</v>
      </c>
      <c r="K855" s="4" cm="1">
        <f t="array" ref="K855">INDEX(Sheet1!H:H,$G855)</f>
        <v>1</v>
      </c>
      <c r="L855" s="4">
        <f t="shared" si="52"/>
        <v>0</v>
      </c>
      <c r="M855" s="4">
        <f t="shared" si="53"/>
        <v>6</v>
      </c>
    </row>
    <row r="856" spans="1:13">
      <c r="A856" s="4" t="str" cm="1">
        <f t="array" ref="A856">INDEX(Sheet1!A:A,$F856)</f>
        <v>M</v>
      </c>
      <c r="B856" s="4" t="str" cm="1">
        <f t="array" ref="B856">INDEX(Sheet1!B:B,$F856)</f>
        <v>Undiff SM</v>
      </c>
      <c r="C856" s="4">
        <f t="shared" si="54"/>
        <v>7</v>
      </c>
      <c r="D856" s="5" cm="1">
        <f t="array" aca="1" ref="D856" ca="1">OFFSET(INDIRECT("'["&amp;$H856&amp;"]"&amp;$I856&amp;"'!"&amp;$J856),$L856,$M856)*$K856</f>
        <v>2.2000000000000001E-4</v>
      </c>
      <c r="F856" s="4">
        <f t="shared" si="55"/>
        <v>9</v>
      </c>
      <c r="G856" s="4" cm="1">
        <f t="array" ref="G856">IF($C856&gt;=25,F856,IF($C856&lt;16,INDEX(Sheet1!C:C,$F856),$F856))</f>
        <v>10</v>
      </c>
      <c r="H856" s="4" t="str" cm="1">
        <f t="array" ref="H856">INDEX(Sheet1!D:D,$G856)</f>
        <v>t1136.xlsx</v>
      </c>
      <c r="I856" s="4" t="str" cm="1">
        <f t="array" ref="I856">INDEX(Sheet1!E:E,$G856)</f>
        <v>Sheet1</v>
      </c>
      <c r="J856" s="4" t="str" cm="1">
        <f t="array" ref="J856">IF($C856&gt;=25,INDEX(Sheet1!G:G,$G856),INDEX(Sheet1!F:F,$G856))</f>
        <v>B25</v>
      </c>
      <c r="K856" s="4" cm="1">
        <f t="array" ref="K856">INDEX(Sheet1!H:H,$G856)</f>
        <v>1</v>
      </c>
      <c r="L856" s="4">
        <f t="shared" si="52"/>
        <v>0</v>
      </c>
      <c r="M856" s="4">
        <f t="shared" si="53"/>
        <v>7</v>
      </c>
    </row>
    <row r="857" spans="1:13">
      <c r="A857" s="4" t="str" cm="1">
        <f t="array" ref="A857">INDEX(Sheet1!A:A,$F857)</f>
        <v>M</v>
      </c>
      <c r="B857" s="4" t="str" cm="1">
        <f t="array" ref="B857">INDEX(Sheet1!B:B,$F857)</f>
        <v>Undiff SM</v>
      </c>
      <c r="C857" s="4">
        <f t="shared" si="54"/>
        <v>8</v>
      </c>
      <c r="D857" s="5" cm="1">
        <f t="array" aca="1" ref="D857" ca="1">OFFSET(INDIRECT("'["&amp;$H857&amp;"]"&amp;$I857&amp;"'!"&amp;$J857),$L857,$M857)*$K857</f>
        <v>2.2000000000000001E-4</v>
      </c>
      <c r="F857" s="4">
        <f t="shared" si="55"/>
        <v>9</v>
      </c>
      <c r="G857" s="4" cm="1">
        <f t="array" ref="G857">IF($C857&gt;=25,F857,IF($C857&lt;16,INDEX(Sheet1!C:C,$F857),$F857))</f>
        <v>10</v>
      </c>
      <c r="H857" s="4" t="str" cm="1">
        <f t="array" ref="H857">INDEX(Sheet1!D:D,$G857)</f>
        <v>t1136.xlsx</v>
      </c>
      <c r="I857" s="4" t="str" cm="1">
        <f t="array" ref="I857">INDEX(Sheet1!E:E,$G857)</f>
        <v>Sheet1</v>
      </c>
      <c r="J857" s="4" t="str" cm="1">
        <f t="array" ref="J857">IF($C857&gt;=25,INDEX(Sheet1!G:G,$G857),INDEX(Sheet1!F:F,$G857))</f>
        <v>B25</v>
      </c>
      <c r="K857" s="4" cm="1">
        <f t="array" ref="K857">INDEX(Sheet1!H:H,$G857)</f>
        <v>1</v>
      </c>
      <c r="L857" s="4">
        <f t="shared" si="52"/>
        <v>0</v>
      </c>
      <c r="M857" s="4">
        <f t="shared" si="53"/>
        <v>8</v>
      </c>
    </row>
    <row r="858" spans="1:13">
      <c r="A858" s="4" t="str" cm="1">
        <f t="array" ref="A858">INDEX(Sheet1!A:A,$F858)</f>
        <v>M</v>
      </c>
      <c r="B858" s="4" t="str" cm="1">
        <f t="array" ref="B858">INDEX(Sheet1!B:B,$F858)</f>
        <v>Undiff SM</v>
      </c>
      <c r="C858" s="4">
        <f t="shared" si="54"/>
        <v>9</v>
      </c>
      <c r="D858" s="5" cm="1">
        <f t="array" aca="1" ref="D858" ca="1">OFFSET(INDIRECT("'["&amp;$H858&amp;"]"&amp;$I858&amp;"'!"&amp;$J858),$L858,$M858)*$K858</f>
        <v>2.3000000000000001E-4</v>
      </c>
      <c r="F858" s="4">
        <f t="shared" si="55"/>
        <v>9</v>
      </c>
      <c r="G858" s="4" cm="1">
        <f t="array" ref="G858">IF($C858&gt;=25,F858,IF($C858&lt;16,INDEX(Sheet1!C:C,$F858),$F858))</f>
        <v>10</v>
      </c>
      <c r="H858" s="4" t="str" cm="1">
        <f t="array" ref="H858">INDEX(Sheet1!D:D,$G858)</f>
        <v>t1136.xlsx</v>
      </c>
      <c r="I858" s="4" t="str" cm="1">
        <f t="array" ref="I858">INDEX(Sheet1!E:E,$G858)</f>
        <v>Sheet1</v>
      </c>
      <c r="J858" s="4" t="str" cm="1">
        <f t="array" ref="J858">IF($C858&gt;=25,INDEX(Sheet1!G:G,$G858),INDEX(Sheet1!F:F,$G858))</f>
        <v>B25</v>
      </c>
      <c r="K858" s="4" cm="1">
        <f t="array" ref="K858">INDEX(Sheet1!H:H,$G858)</f>
        <v>1</v>
      </c>
      <c r="L858" s="4">
        <f t="shared" si="52"/>
        <v>0</v>
      </c>
      <c r="M858" s="4">
        <f t="shared" si="53"/>
        <v>9</v>
      </c>
    </row>
    <row r="859" spans="1:13">
      <c r="A859" s="4" t="str" cm="1">
        <f t="array" ref="A859">INDEX(Sheet1!A:A,$F859)</f>
        <v>M</v>
      </c>
      <c r="B859" s="4" t="str" cm="1">
        <f t="array" ref="B859">INDEX(Sheet1!B:B,$F859)</f>
        <v>Undiff SM</v>
      </c>
      <c r="C859" s="4">
        <f t="shared" si="54"/>
        <v>10</v>
      </c>
      <c r="D859" s="5" cm="1">
        <f t="array" aca="1" ref="D859" ca="1">OFFSET(INDIRECT("'["&amp;$H859&amp;"]"&amp;$I859&amp;"'!"&amp;$J859),$L859,$M859)*$K859</f>
        <v>2.3000000000000001E-4</v>
      </c>
      <c r="F859" s="4">
        <f t="shared" si="55"/>
        <v>9</v>
      </c>
      <c r="G859" s="4" cm="1">
        <f t="array" ref="G859">IF($C859&gt;=25,F859,IF($C859&lt;16,INDEX(Sheet1!C:C,$F859),$F859))</f>
        <v>10</v>
      </c>
      <c r="H859" s="4" t="str" cm="1">
        <f t="array" ref="H859">INDEX(Sheet1!D:D,$G859)</f>
        <v>t1136.xlsx</v>
      </c>
      <c r="I859" s="4" t="str" cm="1">
        <f t="array" ref="I859">INDEX(Sheet1!E:E,$G859)</f>
        <v>Sheet1</v>
      </c>
      <c r="J859" s="4" t="str" cm="1">
        <f t="array" ref="J859">IF($C859&gt;=25,INDEX(Sheet1!G:G,$G859),INDEX(Sheet1!F:F,$G859))</f>
        <v>B25</v>
      </c>
      <c r="K859" s="4" cm="1">
        <f t="array" ref="K859">INDEX(Sheet1!H:H,$G859)</f>
        <v>1</v>
      </c>
      <c r="L859" s="4">
        <f t="shared" si="52"/>
        <v>0</v>
      </c>
      <c r="M859" s="4">
        <f t="shared" si="53"/>
        <v>10</v>
      </c>
    </row>
    <row r="860" spans="1:13">
      <c r="A860" s="4" t="str" cm="1">
        <f t="array" ref="A860">INDEX(Sheet1!A:A,$F860)</f>
        <v>M</v>
      </c>
      <c r="B860" s="4" t="str" cm="1">
        <f t="array" ref="B860">INDEX(Sheet1!B:B,$F860)</f>
        <v>Undiff SM</v>
      </c>
      <c r="C860" s="4">
        <f t="shared" si="54"/>
        <v>11</v>
      </c>
      <c r="D860" s="5" cm="1">
        <f t="array" aca="1" ref="D860" ca="1">OFFSET(INDIRECT("'["&amp;$H860&amp;"]"&amp;$I860&amp;"'!"&amp;$J860),$L860,$M860)*$K860</f>
        <v>2.7E-4</v>
      </c>
      <c r="F860" s="4">
        <f t="shared" si="55"/>
        <v>9</v>
      </c>
      <c r="G860" s="4" cm="1">
        <f t="array" ref="G860">IF($C860&gt;=25,F860,IF($C860&lt;16,INDEX(Sheet1!C:C,$F860),$F860))</f>
        <v>10</v>
      </c>
      <c r="H860" s="4" t="str" cm="1">
        <f t="array" ref="H860">INDEX(Sheet1!D:D,$G860)</f>
        <v>t1136.xlsx</v>
      </c>
      <c r="I860" s="4" t="str" cm="1">
        <f t="array" ref="I860">INDEX(Sheet1!E:E,$G860)</f>
        <v>Sheet1</v>
      </c>
      <c r="J860" s="4" t="str" cm="1">
        <f t="array" ref="J860">IF($C860&gt;=25,INDEX(Sheet1!G:G,$G860),INDEX(Sheet1!F:F,$G860))</f>
        <v>B25</v>
      </c>
      <c r="K860" s="4" cm="1">
        <f t="array" ref="K860">INDEX(Sheet1!H:H,$G860)</f>
        <v>1</v>
      </c>
      <c r="L860" s="4">
        <f t="shared" si="52"/>
        <v>0</v>
      </c>
      <c r="M860" s="4">
        <f t="shared" si="53"/>
        <v>11</v>
      </c>
    </row>
    <row r="861" spans="1:13">
      <c r="A861" s="4" t="str" cm="1">
        <f t="array" ref="A861">INDEX(Sheet1!A:A,$F861)</f>
        <v>M</v>
      </c>
      <c r="B861" s="4" t="str" cm="1">
        <f t="array" ref="B861">INDEX(Sheet1!B:B,$F861)</f>
        <v>Undiff SM</v>
      </c>
      <c r="C861" s="4">
        <f t="shared" si="54"/>
        <v>12</v>
      </c>
      <c r="D861" s="5" cm="1">
        <f t="array" aca="1" ref="D861" ca="1">OFFSET(INDIRECT("'["&amp;$H861&amp;"]"&amp;$I861&amp;"'!"&amp;$J861),$L861,$M861)*$K861</f>
        <v>3.3E-4</v>
      </c>
      <c r="F861" s="4">
        <f t="shared" si="55"/>
        <v>9</v>
      </c>
      <c r="G861" s="4" cm="1">
        <f t="array" ref="G861">IF($C861&gt;=25,F861,IF($C861&lt;16,INDEX(Sheet1!C:C,$F861),$F861))</f>
        <v>10</v>
      </c>
      <c r="H861" s="4" t="str" cm="1">
        <f t="array" ref="H861">INDEX(Sheet1!D:D,$G861)</f>
        <v>t1136.xlsx</v>
      </c>
      <c r="I861" s="4" t="str" cm="1">
        <f t="array" ref="I861">INDEX(Sheet1!E:E,$G861)</f>
        <v>Sheet1</v>
      </c>
      <c r="J861" s="4" t="str" cm="1">
        <f t="array" ref="J861">IF($C861&gt;=25,INDEX(Sheet1!G:G,$G861),INDEX(Sheet1!F:F,$G861))</f>
        <v>B25</v>
      </c>
      <c r="K861" s="4" cm="1">
        <f t="array" ref="K861">INDEX(Sheet1!H:H,$G861)</f>
        <v>1</v>
      </c>
      <c r="L861" s="4">
        <f t="shared" si="52"/>
        <v>0</v>
      </c>
      <c r="M861" s="4">
        <f t="shared" si="53"/>
        <v>12</v>
      </c>
    </row>
    <row r="862" spans="1:13">
      <c r="A862" s="4" t="str" cm="1">
        <f t="array" ref="A862">INDEX(Sheet1!A:A,$F862)</f>
        <v>M</v>
      </c>
      <c r="B862" s="4" t="str" cm="1">
        <f t="array" ref="B862">INDEX(Sheet1!B:B,$F862)</f>
        <v>Undiff SM</v>
      </c>
      <c r="C862" s="4">
        <f t="shared" si="54"/>
        <v>13</v>
      </c>
      <c r="D862" s="5" cm="1">
        <f t="array" aca="1" ref="D862" ca="1">OFFSET(INDIRECT("'["&amp;$H862&amp;"]"&amp;$I862&amp;"'!"&amp;$J862),$L862,$M862)*$K862</f>
        <v>3.8999999999999999E-4</v>
      </c>
      <c r="F862" s="4">
        <f t="shared" si="55"/>
        <v>9</v>
      </c>
      <c r="G862" s="4" cm="1">
        <f t="array" ref="G862">IF($C862&gt;=25,F862,IF($C862&lt;16,INDEX(Sheet1!C:C,$F862),$F862))</f>
        <v>10</v>
      </c>
      <c r="H862" s="4" t="str" cm="1">
        <f t="array" ref="H862">INDEX(Sheet1!D:D,$G862)</f>
        <v>t1136.xlsx</v>
      </c>
      <c r="I862" s="4" t="str" cm="1">
        <f t="array" ref="I862">INDEX(Sheet1!E:E,$G862)</f>
        <v>Sheet1</v>
      </c>
      <c r="J862" s="4" t="str" cm="1">
        <f t="array" ref="J862">IF($C862&gt;=25,INDEX(Sheet1!G:G,$G862),INDEX(Sheet1!F:F,$G862))</f>
        <v>B25</v>
      </c>
      <c r="K862" s="4" cm="1">
        <f t="array" ref="K862">INDEX(Sheet1!H:H,$G862)</f>
        <v>1</v>
      </c>
      <c r="L862" s="4">
        <f t="shared" si="52"/>
        <v>0</v>
      </c>
      <c r="M862" s="4">
        <f t="shared" si="53"/>
        <v>13</v>
      </c>
    </row>
    <row r="863" spans="1:13">
      <c r="A863" s="4" t="str" cm="1">
        <f t="array" ref="A863">INDEX(Sheet1!A:A,$F863)</f>
        <v>M</v>
      </c>
      <c r="B863" s="4" t="str" cm="1">
        <f t="array" ref="B863">INDEX(Sheet1!B:B,$F863)</f>
        <v>Undiff SM</v>
      </c>
      <c r="C863" s="4">
        <f t="shared" si="54"/>
        <v>14</v>
      </c>
      <c r="D863" s="5" cm="1">
        <f t="array" aca="1" ref="D863" ca="1">OFFSET(INDIRECT("'["&amp;$H863&amp;"]"&amp;$I863&amp;"'!"&amp;$J863),$L863,$M863)*$K863</f>
        <v>4.6999999999999999E-4</v>
      </c>
      <c r="F863" s="4">
        <f t="shared" si="55"/>
        <v>9</v>
      </c>
      <c r="G863" s="4" cm="1">
        <f t="array" ref="G863">IF($C863&gt;=25,F863,IF($C863&lt;16,INDEX(Sheet1!C:C,$F863),$F863))</f>
        <v>10</v>
      </c>
      <c r="H863" s="4" t="str" cm="1">
        <f t="array" ref="H863">INDEX(Sheet1!D:D,$G863)</f>
        <v>t1136.xlsx</v>
      </c>
      <c r="I863" s="4" t="str" cm="1">
        <f t="array" ref="I863">INDEX(Sheet1!E:E,$G863)</f>
        <v>Sheet1</v>
      </c>
      <c r="J863" s="4" t="str" cm="1">
        <f t="array" ref="J863">IF($C863&gt;=25,INDEX(Sheet1!G:G,$G863),INDEX(Sheet1!F:F,$G863))</f>
        <v>B25</v>
      </c>
      <c r="K863" s="4" cm="1">
        <f t="array" ref="K863">INDEX(Sheet1!H:H,$G863)</f>
        <v>1</v>
      </c>
      <c r="L863" s="4">
        <f t="shared" si="52"/>
        <v>0</v>
      </c>
      <c r="M863" s="4">
        <f t="shared" si="53"/>
        <v>14</v>
      </c>
    </row>
    <row r="864" spans="1:13">
      <c r="A864" s="4" t="str" cm="1">
        <f t="array" ref="A864">INDEX(Sheet1!A:A,$F864)</f>
        <v>M</v>
      </c>
      <c r="B864" s="4" t="str" cm="1">
        <f t="array" ref="B864">INDEX(Sheet1!B:B,$F864)</f>
        <v>Undiff SM</v>
      </c>
      <c r="C864" s="4">
        <f t="shared" si="54"/>
        <v>15</v>
      </c>
      <c r="D864" s="5" cm="1">
        <f t="array" aca="1" ref="D864" ca="1">OFFSET(INDIRECT("'["&amp;$H864&amp;"]"&amp;$I864&amp;"'!"&amp;$J864),$L864,$M864)*$K864</f>
        <v>6.0999999999999997E-4</v>
      </c>
      <c r="F864" s="4">
        <f t="shared" si="55"/>
        <v>9</v>
      </c>
      <c r="G864" s="4" cm="1">
        <f t="array" ref="G864">IF($C864&gt;=25,F864,IF($C864&lt;16,INDEX(Sheet1!C:C,$F864),$F864))</f>
        <v>10</v>
      </c>
      <c r="H864" s="4" t="str" cm="1">
        <f t="array" ref="H864">INDEX(Sheet1!D:D,$G864)</f>
        <v>t1136.xlsx</v>
      </c>
      <c r="I864" s="4" t="str" cm="1">
        <f t="array" ref="I864">INDEX(Sheet1!E:E,$G864)</f>
        <v>Sheet1</v>
      </c>
      <c r="J864" s="4" t="str" cm="1">
        <f t="array" ref="J864">IF($C864&gt;=25,INDEX(Sheet1!G:G,$G864),INDEX(Sheet1!F:F,$G864))</f>
        <v>B25</v>
      </c>
      <c r="K864" s="4" cm="1">
        <f t="array" ref="K864">INDEX(Sheet1!H:H,$G864)</f>
        <v>1</v>
      </c>
      <c r="L864" s="4">
        <f t="shared" si="52"/>
        <v>0</v>
      </c>
      <c r="M864" s="4">
        <f t="shared" si="53"/>
        <v>15</v>
      </c>
    </row>
    <row r="865" spans="1:13">
      <c r="A865" s="4" t="str" cm="1">
        <f t="array" ref="A865">INDEX(Sheet1!A:A,$F865)</f>
        <v>M</v>
      </c>
      <c r="B865" s="4" t="str" cm="1">
        <f t="array" ref="B865">INDEX(Sheet1!B:B,$F865)</f>
        <v>Undiff SM</v>
      </c>
      <c r="C865" s="4">
        <f t="shared" si="54"/>
        <v>16</v>
      </c>
      <c r="D865" s="5" cm="1">
        <f t="array" aca="1" ref="D865" ca="1">OFFSET(INDIRECT("'["&amp;$H865&amp;"]"&amp;$I865&amp;"'!"&amp;$J865),$L865,$M865)*$K865</f>
        <v>7.9000000000000001E-4</v>
      </c>
      <c r="F865" s="4">
        <f t="shared" si="55"/>
        <v>9</v>
      </c>
      <c r="G865" s="4" cm="1">
        <f t="array" ref="G865">IF($C865&gt;=25,F865,IF($C865&lt;16,INDEX(Sheet1!C:C,$F865),$F865))</f>
        <v>9</v>
      </c>
      <c r="H865" s="4" t="str" cm="1">
        <f t="array" ref="H865">INDEX(Sheet1!D:D,$G865)</f>
        <v>t1138.xlsx</v>
      </c>
      <c r="I865" s="4" t="str" cm="1">
        <f t="array" ref="I865">INDEX(Sheet1!E:E,$G865)</f>
        <v>Sheet1</v>
      </c>
      <c r="J865" s="4" t="str" cm="1">
        <f t="array" ref="J865">IF($C865&gt;=25,INDEX(Sheet1!G:G,$G865),INDEX(Sheet1!F:F,$G865))</f>
        <v>B25</v>
      </c>
      <c r="K865" s="4" cm="1">
        <f t="array" ref="K865">INDEX(Sheet1!H:H,$G865)</f>
        <v>1</v>
      </c>
      <c r="L865" s="4">
        <f t="shared" si="52"/>
        <v>0</v>
      </c>
      <c r="M865" s="4">
        <f t="shared" si="53"/>
        <v>16</v>
      </c>
    </row>
    <row r="866" spans="1:13">
      <c r="A866" s="4" t="str" cm="1">
        <f t="array" ref="A866">INDEX(Sheet1!A:A,$F866)</f>
        <v>M</v>
      </c>
      <c r="B866" s="4" t="str" cm="1">
        <f t="array" ref="B866">INDEX(Sheet1!B:B,$F866)</f>
        <v>Undiff SM</v>
      </c>
      <c r="C866" s="4">
        <f t="shared" si="54"/>
        <v>17</v>
      </c>
      <c r="D866" s="5" cm="1">
        <f t="array" aca="1" ref="D866" ca="1">OFFSET(INDIRECT("'["&amp;$H866&amp;"]"&amp;$I866&amp;"'!"&amp;$J866),$L866,$M866)*$K866</f>
        <v>9.7000000000000005E-4</v>
      </c>
      <c r="F866" s="4">
        <f t="shared" si="55"/>
        <v>9</v>
      </c>
      <c r="G866" s="4" cm="1">
        <f t="array" ref="G866">IF($C866&gt;=25,F866,IF($C866&lt;16,INDEX(Sheet1!C:C,$F866),$F866))</f>
        <v>9</v>
      </c>
      <c r="H866" s="4" t="str" cm="1">
        <f t="array" ref="H866">INDEX(Sheet1!D:D,$G866)</f>
        <v>t1138.xlsx</v>
      </c>
      <c r="I866" s="4" t="str" cm="1">
        <f t="array" ref="I866">INDEX(Sheet1!E:E,$G866)</f>
        <v>Sheet1</v>
      </c>
      <c r="J866" s="4" t="str" cm="1">
        <f t="array" ref="J866">IF($C866&gt;=25,INDEX(Sheet1!G:G,$G866),INDEX(Sheet1!F:F,$G866))</f>
        <v>B25</v>
      </c>
      <c r="K866" s="4" cm="1">
        <f t="array" ref="K866">INDEX(Sheet1!H:H,$G866)</f>
        <v>1</v>
      </c>
      <c r="L866" s="4">
        <f t="shared" si="52"/>
        <v>0</v>
      </c>
      <c r="M866" s="4">
        <f t="shared" si="53"/>
        <v>17</v>
      </c>
    </row>
    <row r="867" spans="1:13">
      <c r="A867" s="4" t="str" cm="1">
        <f t="array" ref="A867">INDEX(Sheet1!A:A,$F867)</f>
        <v>M</v>
      </c>
      <c r="B867" s="4" t="str" cm="1">
        <f t="array" ref="B867">INDEX(Sheet1!B:B,$F867)</f>
        <v>Undiff SM</v>
      </c>
      <c r="C867" s="4">
        <f t="shared" si="54"/>
        <v>18</v>
      </c>
      <c r="D867" s="5" cm="1">
        <f t="array" aca="1" ref="D867" ca="1">OFFSET(INDIRECT("'["&amp;$H867&amp;"]"&amp;$I867&amp;"'!"&amp;$J867),$L867,$M867)*$K867</f>
        <v>1.1100000000000001E-3</v>
      </c>
      <c r="F867" s="4">
        <f t="shared" si="55"/>
        <v>9</v>
      </c>
      <c r="G867" s="4" cm="1">
        <f t="array" ref="G867">IF($C867&gt;=25,F867,IF($C867&lt;16,INDEX(Sheet1!C:C,$F867),$F867))</f>
        <v>9</v>
      </c>
      <c r="H867" s="4" t="str" cm="1">
        <f t="array" ref="H867">INDEX(Sheet1!D:D,$G867)</f>
        <v>t1138.xlsx</v>
      </c>
      <c r="I867" s="4" t="str" cm="1">
        <f t="array" ref="I867">INDEX(Sheet1!E:E,$G867)</f>
        <v>Sheet1</v>
      </c>
      <c r="J867" s="4" t="str" cm="1">
        <f t="array" ref="J867">IF($C867&gt;=25,INDEX(Sheet1!G:G,$G867),INDEX(Sheet1!F:F,$G867))</f>
        <v>B25</v>
      </c>
      <c r="K867" s="4" cm="1">
        <f t="array" ref="K867">INDEX(Sheet1!H:H,$G867)</f>
        <v>1</v>
      </c>
      <c r="L867" s="4">
        <f t="shared" si="52"/>
        <v>0</v>
      </c>
      <c r="M867" s="4">
        <f t="shared" si="53"/>
        <v>18</v>
      </c>
    </row>
    <row r="868" spans="1:13">
      <c r="A868" s="4" t="str" cm="1">
        <f t="array" ref="A868">INDEX(Sheet1!A:A,$F868)</f>
        <v>M</v>
      </c>
      <c r="B868" s="4" t="str" cm="1">
        <f t="array" ref="B868">INDEX(Sheet1!B:B,$F868)</f>
        <v>Undiff SM</v>
      </c>
      <c r="C868" s="4">
        <f t="shared" si="54"/>
        <v>19</v>
      </c>
      <c r="D868" s="5" cm="1">
        <f t="array" aca="1" ref="D868" ca="1">OFFSET(INDIRECT("'["&amp;$H868&amp;"]"&amp;$I868&amp;"'!"&amp;$J868),$L868,$M868)*$K868</f>
        <v>1.2099999999999999E-3</v>
      </c>
      <c r="F868" s="4">
        <f t="shared" si="55"/>
        <v>9</v>
      </c>
      <c r="G868" s="4" cm="1">
        <f t="array" ref="G868">IF($C868&gt;=25,F868,IF($C868&lt;16,INDEX(Sheet1!C:C,$F868),$F868))</f>
        <v>9</v>
      </c>
      <c r="H868" s="4" t="str" cm="1">
        <f t="array" ref="H868">INDEX(Sheet1!D:D,$G868)</f>
        <v>t1138.xlsx</v>
      </c>
      <c r="I868" s="4" t="str" cm="1">
        <f t="array" ref="I868">INDEX(Sheet1!E:E,$G868)</f>
        <v>Sheet1</v>
      </c>
      <c r="J868" s="4" t="str" cm="1">
        <f t="array" ref="J868">IF($C868&gt;=25,INDEX(Sheet1!G:G,$G868),INDEX(Sheet1!F:F,$G868))</f>
        <v>B25</v>
      </c>
      <c r="K868" s="4" cm="1">
        <f t="array" ref="K868">INDEX(Sheet1!H:H,$G868)</f>
        <v>1</v>
      </c>
      <c r="L868" s="4">
        <f t="shared" si="52"/>
        <v>0</v>
      </c>
      <c r="M868" s="4">
        <f t="shared" si="53"/>
        <v>19</v>
      </c>
    </row>
    <row r="869" spans="1:13">
      <c r="A869" s="4" t="str" cm="1">
        <f t="array" ref="A869">INDEX(Sheet1!A:A,$F869)</f>
        <v>M</v>
      </c>
      <c r="B869" s="4" t="str" cm="1">
        <f t="array" ref="B869">INDEX(Sheet1!B:B,$F869)</f>
        <v>Undiff SM</v>
      </c>
      <c r="C869" s="4">
        <f t="shared" si="54"/>
        <v>20</v>
      </c>
      <c r="D869" s="5" cm="1">
        <f t="array" aca="1" ref="D869" ca="1">OFFSET(INDIRECT("'["&amp;$H869&amp;"]"&amp;$I869&amp;"'!"&amp;$J869),$L869,$M869)*$K869</f>
        <v>1.2700000000000001E-3</v>
      </c>
      <c r="F869" s="4">
        <f t="shared" si="55"/>
        <v>9</v>
      </c>
      <c r="G869" s="4" cm="1">
        <f t="array" ref="G869">IF($C869&gt;=25,F869,IF($C869&lt;16,INDEX(Sheet1!C:C,$F869),$F869))</f>
        <v>9</v>
      </c>
      <c r="H869" s="4" t="str" cm="1">
        <f t="array" ref="H869">INDEX(Sheet1!D:D,$G869)</f>
        <v>t1138.xlsx</v>
      </c>
      <c r="I869" s="4" t="str" cm="1">
        <f t="array" ref="I869">INDEX(Sheet1!E:E,$G869)</f>
        <v>Sheet1</v>
      </c>
      <c r="J869" s="4" t="str" cm="1">
        <f t="array" ref="J869">IF($C869&gt;=25,INDEX(Sheet1!G:G,$G869),INDEX(Sheet1!F:F,$G869))</f>
        <v>B25</v>
      </c>
      <c r="K869" s="4" cm="1">
        <f t="array" ref="K869">INDEX(Sheet1!H:H,$G869)</f>
        <v>1</v>
      </c>
      <c r="L869" s="4">
        <f t="shared" si="52"/>
        <v>0</v>
      </c>
      <c r="M869" s="4">
        <f t="shared" si="53"/>
        <v>20</v>
      </c>
    </row>
    <row r="870" spans="1:13">
      <c r="A870" s="4" t="str" cm="1">
        <f t="array" ref="A870">INDEX(Sheet1!A:A,$F870)</f>
        <v>M</v>
      </c>
      <c r="B870" s="4" t="str" cm="1">
        <f t="array" ref="B870">INDEX(Sheet1!B:B,$F870)</f>
        <v>Undiff SM</v>
      </c>
      <c r="C870" s="4">
        <f t="shared" si="54"/>
        <v>21</v>
      </c>
      <c r="D870" s="5" cm="1">
        <f t="array" aca="1" ref="D870" ca="1">OFFSET(INDIRECT("'["&amp;$H870&amp;"]"&amp;$I870&amp;"'!"&amp;$J870),$L870,$M870)*$K870</f>
        <v>1.33E-3</v>
      </c>
      <c r="F870" s="4">
        <f t="shared" si="55"/>
        <v>9</v>
      </c>
      <c r="G870" s="4" cm="1">
        <f t="array" ref="G870">IF($C870&gt;=25,F870,IF($C870&lt;16,INDEX(Sheet1!C:C,$F870),$F870))</f>
        <v>9</v>
      </c>
      <c r="H870" s="4" t="str" cm="1">
        <f t="array" ref="H870">INDEX(Sheet1!D:D,$G870)</f>
        <v>t1138.xlsx</v>
      </c>
      <c r="I870" s="4" t="str" cm="1">
        <f t="array" ref="I870">INDEX(Sheet1!E:E,$G870)</f>
        <v>Sheet1</v>
      </c>
      <c r="J870" s="4" t="str" cm="1">
        <f t="array" ref="J870">IF($C870&gt;=25,INDEX(Sheet1!G:G,$G870),INDEX(Sheet1!F:F,$G870))</f>
        <v>B25</v>
      </c>
      <c r="K870" s="4" cm="1">
        <f t="array" ref="K870">INDEX(Sheet1!H:H,$G870)</f>
        <v>1</v>
      </c>
      <c r="L870" s="4">
        <f t="shared" si="52"/>
        <v>0</v>
      </c>
      <c r="M870" s="4">
        <f t="shared" si="53"/>
        <v>21</v>
      </c>
    </row>
    <row r="871" spans="1:13">
      <c r="A871" s="4" t="str" cm="1">
        <f t="array" ref="A871">INDEX(Sheet1!A:A,$F871)</f>
        <v>M</v>
      </c>
      <c r="B871" s="4" t="str" cm="1">
        <f t="array" ref="B871">INDEX(Sheet1!B:B,$F871)</f>
        <v>Undiff SM</v>
      </c>
      <c r="C871" s="4">
        <f t="shared" si="54"/>
        <v>22</v>
      </c>
      <c r="D871" s="5" cm="1">
        <f t="array" aca="1" ref="D871" ca="1">OFFSET(INDIRECT("'["&amp;$H871&amp;"]"&amp;$I871&amp;"'!"&amp;$J871),$L871,$M871)*$K871</f>
        <v>1.4E-3</v>
      </c>
      <c r="F871" s="4">
        <f t="shared" si="55"/>
        <v>9</v>
      </c>
      <c r="G871" s="4" cm="1">
        <f t="array" ref="G871">IF($C871&gt;=25,F871,IF($C871&lt;16,INDEX(Sheet1!C:C,$F871),$F871))</f>
        <v>9</v>
      </c>
      <c r="H871" s="4" t="str" cm="1">
        <f t="array" ref="H871">INDEX(Sheet1!D:D,$G871)</f>
        <v>t1138.xlsx</v>
      </c>
      <c r="I871" s="4" t="str" cm="1">
        <f t="array" ref="I871">INDEX(Sheet1!E:E,$G871)</f>
        <v>Sheet1</v>
      </c>
      <c r="J871" s="4" t="str" cm="1">
        <f t="array" ref="J871">IF($C871&gt;=25,INDEX(Sheet1!G:G,$G871),INDEX(Sheet1!F:F,$G871))</f>
        <v>B25</v>
      </c>
      <c r="K871" s="4" cm="1">
        <f t="array" ref="K871">INDEX(Sheet1!H:H,$G871)</f>
        <v>1</v>
      </c>
      <c r="L871" s="4">
        <f t="shared" si="52"/>
        <v>0</v>
      </c>
      <c r="M871" s="4">
        <f t="shared" si="53"/>
        <v>22</v>
      </c>
    </row>
    <row r="872" spans="1:13">
      <c r="A872" s="4" t="str" cm="1">
        <f t="array" ref="A872">INDEX(Sheet1!A:A,$F872)</f>
        <v>M</v>
      </c>
      <c r="B872" s="4" t="str" cm="1">
        <f t="array" ref="B872">INDEX(Sheet1!B:B,$F872)</f>
        <v>Undiff SM</v>
      </c>
      <c r="C872" s="4">
        <f t="shared" si="54"/>
        <v>23</v>
      </c>
      <c r="D872" s="5" cm="1">
        <f t="array" aca="1" ref="D872" ca="1">OFFSET(INDIRECT("'["&amp;$H872&amp;"]"&amp;$I872&amp;"'!"&amp;$J872),$L872,$M872)*$K872</f>
        <v>1.4599999999999999E-3</v>
      </c>
      <c r="F872" s="4">
        <f t="shared" si="55"/>
        <v>9</v>
      </c>
      <c r="G872" s="4" cm="1">
        <f t="array" ref="G872">IF($C872&gt;=25,F872,IF($C872&lt;16,INDEX(Sheet1!C:C,$F872),$F872))</f>
        <v>9</v>
      </c>
      <c r="H872" s="4" t="str" cm="1">
        <f t="array" ref="H872">INDEX(Sheet1!D:D,$G872)</f>
        <v>t1138.xlsx</v>
      </c>
      <c r="I872" s="4" t="str" cm="1">
        <f t="array" ref="I872">INDEX(Sheet1!E:E,$G872)</f>
        <v>Sheet1</v>
      </c>
      <c r="J872" s="4" t="str" cm="1">
        <f t="array" ref="J872">IF($C872&gt;=25,INDEX(Sheet1!G:G,$G872),INDEX(Sheet1!F:F,$G872))</f>
        <v>B25</v>
      </c>
      <c r="K872" s="4" cm="1">
        <f t="array" ref="K872">INDEX(Sheet1!H:H,$G872)</f>
        <v>1</v>
      </c>
      <c r="L872" s="4">
        <f t="shared" si="52"/>
        <v>0</v>
      </c>
      <c r="M872" s="4">
        <f t="shared" si="53"/>
        <v>23</v>
      </c>
    </row>
    <row r="873" spans="1:13">
      <c r="A873" s="4" t="str" cm="1">
        <f t="array" ref="A873">INDEX(Sheet1!A:A,$F873)</f>
        <v>M</v>
      </c>
      <c r="B873" s="4" t="str" cm="1">
        <f t="array" ref="B873">INDEX(Sheet1!B:B,$F873)</f>
        <v>Undiff SM</v>
      </c>
      <c r="C873" s="4">
        <f t="shared" si="54"/>
        <v>24</v>
      </c>
      <c r="D873" s="5" cm="1">
        <f t="array" aca="1" ref="D873" ca="1">OFFSET(INDIRECT("'["&amp;$H873&amp;"]"&amp;$I873&amp;"'!"&amp;$J873),$L873,$M873)*$K873</f>
        <v>1.5399999999999999E-3</v>
      </c>
      <c r="F873" s="4">
        <f t="shared" si="55"/>
        <v>9</v>
      </c>
      <c r="G873" s="4" cm="1">
        <f t="array" ref="G873">IF($C873&gt;=25,F873,IF($C873&lt;16,INDEX(Sheet1!C:C,$F873),$F873))</f>
        <v>9</v>
      </c>
      <c r="H873" s="4" t="str" cm="1">
        <f t="array" ref="H873">INDEX(Sheet1!D:D,$G873)</f>
        <v>t1138.xlsx</v>
      </c>
      <c r="I873" s="4" t="str" cm="1">
        <f t="array" ref="I873">INDEX(Sheet1!E:E,$G873)</f>
        <v>Sheet1</v>
      </c>
      <c r="J873" s="4" t="str" cm="1">
        <f t="array" ref="J873">IF($C873&gt;=25,INDEX(Sheet1!G:G,$G873),INDEX(Sheet1!F:F,$G873))</f>
        <v>B25</v>
      </c>
      <c r="K873" s="4" cm="1">
        <f t="array" ref="K873">INDEX(Sheet1!H:H,$G873)</f>
        <v>1</v>
      </c>
      <c r="L873" s="4">
        <f t="shared" si="52"/>
        <v>0</v>
      </c>
      <c r="M873" s="4">
        <f t="shared" si="53"/>
        <v>24</v>
      </c>
    </row>
    <row r="874" spans="1:13">
      <c r="A874" s="4" t="str" cm="1">
        <f t="array" ref="A874">INDEX(Sheet1!A:A,$F874)</f>
        <v>M</v>
      </c>
      <c r="B874" s="4" t="str" cm="1">
        <f t="array" ref="B874">INDEX(Sheet1!B:B,$F874)</f>
        <v>Undiff SM</v>
      </c>
      <c r="C874" s="4">
        <f t="shared" si="54"/>
        <v>25</v>
      </c>
      <c r="D874" s="5" cm="1">
        <f t="array" aca="1" ref="D874" ca="1">OFFSET(INDIRECT("'["&amp;$H874&amp;"]"&amp;$I874&amp;"'!"&amp;$J874),$L874,$M874)*$K874</f>
        <v>1.6299999999999999E-3</v>
      </c>
      <c r="F874" s="4">
        <f t="shared" si="55"/>
        <v>9</v>
      </c>
      <c r="G874" s="4" cm="1">
        <f t="array" ref="G874">IF($C874&gt;=25,F874,IF($C874&lt;16,INDEX(Sheet1!C:C,$F874),$F874))</f>
        <v>9</v>
      </c>
      <c r="H874" s="4" t="str" cm="1">
        <f t="array" ref="H874">INDEX(Sheet1!D:D,$G874)</f>
        <v>t1138.xlsx</v>
      </c>
      <c r="I874" s="4" t="str" cm="1">
        <f t="array" ref="I874">INDEX(Sheet1!E:E,$G874)</f>
        <v>Sheet1</v>
      </c>
      <c r="J874" s="4" t="str" cm="1">
        <f t="array" ref="J874">IF($C874&gt;=25,INDEX(Sheet1!G:G,$G874),INDEX(Sheet1!F:F,$G874))</f>
        <v>B139</v>
      </c>
      <c r="K874" s="4" cm="1">
        <f t="array" ref="K874">INDEX(Sheet1!H:H,$G874)</f>
        <v>1</v>
      </c>
      <c r="L874" s="4">
        <f t="shared" si="52"/>
        <v>0</v>
      </c>
      <c r="M874" s="4">
        <f t="shared" si="53"/>
        <v>0</v>
      </c>
    </row>
    <row r="875" spans="1:13">
      <c r="A875" s="4" t="str" cm="1">
        <f t="array" ref="A875">INDEX(Sheet1!A:A,$F875)</f>
        <v>M</v>
      </c>
      <c r="B875" s="4" t="str" cm="1">
        <f t="array" ref="B875">INDEX(Sheet1!B:B,$F875)</f>
        <v>Undiff SM</v>
      </c>
      <c r="C875" s="4">
        <f t="shared" si="54"/>
        <v>26</v>
      </c>
      <c r="D875" s="5" cm="1">
        <f t="array" aca="1" ref="D875" ca="1">OFFSET(INDIRECT("'["&amp;$H875&amp;"]"&amp;$I875&amp;"'!"&amp;$J875),$L875,$M875)*$K875</f>
        <v>1.7099999999999999E-3</v>
      </c>
      <c r="F875" s="4">
        <f t="shared" si="55"/>
        <v>9</v>
      </c>
      <c r="G875" s="4" cm="1">
        <f t="array" ref="G875">IF($C875&gt;=25,F875,IF($C875&lt;16,INDEX(Sheet1!C:C,$F875),$F875))</f>
        <v>9</v>
      </c>
      <c r="H875" s="4" t="str" cm="1">
        <f t="array" ref="H875">INDEX(Sheet1!D:D,$G875)</f>
        <v>t1138.xlsx</v>
      </c>
      <c r="I875" s="4" t="str" cm="1">
        <f t="array" ref="I875">INDEX(Sheet1!E:E,$G875)</f>
        <v>Sheet1</v>
      </c>
      <c r="J875" s="4" t="str" cm="1">
        <f t="array" ref="J875">IF($C875&gt;=25,INDEX(Sheet1!G:G,$G875),INDEX(Sheet1!F:F,$G875))</f>
        <v>B139</v>
      </c>
      <c r="K875" s="4" cm="1">
        <f t="array" ref="K875">INDEX(Sheet1!H:H,$G875)</f>
        <v>1</v>
      </c>
      <c r="L875" s="4">
        <f t="shared" si="52"/>
        <v>1</v>
      </c>
      <c r="M875" s="4">
        <f t="shared" si="53"/>
        <v>0</v>
      </c>
    </row>
    <row r="876" spans="1:13">
      <c r="A876" s="4" t="str" cm="1">
        <f t="array" ref="A876">INDEX(Sheet1!A:A,$F876)</f>
        <v>M</v>
      </c>
      <c r="B876" s="4" t="str" cm="1">
        <f t="array" ref="B876">INDEX(Sheet1!B:B,$F876)</f>
        <v>Undiff SM</v>
      </c>
      <c r="C876" s="4">
        <f t="shared" si="54"/>
        <v>27</v>
      </c>
      <c r="D876" s="5" cm="1">
        <f t="array" aca="1" ref="D876" ca="1">OFFSET(INDIRECT("'["&amp;$H876&amp;"]"&amp;$I876&amp;"'!"&amp;$J876),$L876,$M876)*$K876</f>
        <v>1.81E-3</v>
      </c>
      <c r="F876" s="4">
        <f t="shared" si="55"/>
        <v>9</v>
      </c>
      <c r="G876" s="4" cm="1">
        <f t="array" ref="G876">IF($C876&gt;=25,F876,IF($C876&lt;16,INDEX(Sheet1!C:C,$F876),$F876))</f>
        <v>9</v>
      </c>
      <c r="H876" s="4" t="str" cm="1">
        <f t="array" ref="H876">INDEX(Sheet1!D:D,$G876)</f>
        <v>t1138.xlsx</v>
      </c>
      <c r="I876" s="4" t="str" cm="1">
        <f t="array" ref="I876">INDEX(Sheet1!E:E,$G876)</f>
        <v>Sheet1</v>
      </c>
      <c r="J876" s="4" t="str" cm="1">
        <f t="array" ref="J876">IF($C876&gt;=25,INDEX(Sheet1!G:G,$G876),INDEX(Sheet1!F:F,$G876))</f>
        <v>B139</v>
      </c>
      <c r="K876" s="4" cm="1">
        <f t="array" ref="K876">INDEX(Sheet1!H:H,$G876)</f>
        <v>1</v>
      </c>
      <c r="L876" s="4">
        <f t="shared" si="52"/>
        <v>2</v>
      </c>
      <c r="M876" s="4">
        <f t="shared" si="53"/>
        <v>0</v>
      </c>
    </row>
    <row r="877" spans="1:13">
      <c r="A877" s="4" t="str" cm="1">
        <f t="array" ref="A877">INDEX(Sheet1!A:A,$F877)</f>
        <v>M</v>
      </c>
      <c r="B877" s="4" t="str" cm="1">
        <f t="array" ref="B877">INDEX(Sheet1!B:B,$F877)</f>
        <v>Undiff SM</v>
      </c>
      <c r="C877" s="4">
        <f t="shared" si="54"/>
        <v>28</v>
      </c>
      <c r="D877" s="5" cm="1">
        <f t="array" aca="1" ref="D877" ca="1">OFFSET(INDIRECT("'["&amp;$H877&amp;"]"&amp;$I877&amp;"'!"&amp;$J877),$L877,$M877)*$K877</f>
        <v>1.82E-3</v>
      </c>
      <c r="F877" s="4">
        <f t="shared" si="55"/>
        <v>9</v>
      </c>
      <c r="G877" s="4" cm="1">
        <f t="array" ref="G877">IF($C877&gt;=25,F877,IF($C877&lt;16,INDEX(Sheet1!C:C,$F877),$F877))</f>
        <v>9</v>
      </c>
      <c r="H877" s="4" t="str" cm="1">
        <f t="array" ref="H877">INDEX(Sheet1!D:D,$G877)</f>
        <v>t1138.xlsx</v>
      </c>
      <c r="I877" s="4" t="str" cm="1">
        <f t="array" ref="I877">INDEX(Sheet1!E:E,$G877)</f>
        <v>Sheet1</v>
      </c>
      <c r="J877" s="4" t="str" cm="1">
        <f t="array" ref="J877">IF($C877&gt;=25,INDEX(Sheet1!G:G,$G877),INDEX(Sheet1!F:F,$G877))</f>
        <v>B139</v>
      </c>
      <c r="K877" s="4" cm="1">
        <f t="array" ref="K877">INDEX(Sheet1!H:H,$G877)</f>
        <v>1</v>
      </c>
      <c r="L877" s="4">
        <f t="shared" si="52"/>
        <v>3</v>
      </c>
      <c r="M877" s="4">
        <f t="shared" si="53"/>
        <v>0</v>
      </c>
    </row>
    <row r="878" spans="1:13">
      <c r="A878" s="4" t="str" cm="1">
        <f t="array" ref="A878">INDEX(Sheet1!A:A,$F878)</f>
        <v>M</v>
      </c>
      <c r="B878" s="4" t="str" cm="1">
        <f t="array" ref="B878">INDEX(Sheet1!B:B,$F878)</f>
        <v>Undiff SM</v>
      </c>
      <c r="C878" s="4">
        <f t="shared" si="54"/>
        <v>29</v>
      </c>
      <c r="D878" s="5" cm="1">
        <f t="array" aca="1" ref="D878" ca="1">OFFSET(INDIRECT("'["&amp;$H878&amp;"]"&amp;$I878&amp;"'!"&amp;$J878),$L878,$M878)*$K878</f>
        <v>1.81E-3</v>
      </c>
      <c r="F878" s="4">
        <f t="shared" si="55"/>
        <v>9</v>
      </c>
      <c r="G878" s="4" cm="1">
        <f t="array" ref="G878">IF($C878&gt;=25,F878,IF($C878&lt;16,INDEX(Sheet1!C:C,$F878),$F878))</f>
        <v>9</v>
      </c>
      <c r="H878" s="4" t="str" cm="1">
        <f t="array" ref="H878">INDEX(Sheet1!D:D,$G878)</f>
        <v>t1138.xlsx</v>
      </c>
      <c r="I878" s="4" t="str" cm="1">
        <f t="array" ref="I878">INDEX(Sheet1!E:E,$G878)</f>
        <v>Sheet1</v>
      </c>
      <c r="J878" s="4" t="str" cm="1">
        <f t="array" ref="J878">IF($C878&gt;=25,INDEX(Sheet1!G:G,$G878),INDEX(Sheet1!F:F,$G878))</f>
        <v>B139</v>
      </c>
      <c r="K878" s="4" cm="1">
        <f t="array" ref="K878">INDEX(Sheet1!H:H,$G878)</f>
        <v>1</v>
      </c>
      <c r="L878" s="4">
        <f t="shared" si="52"/>
        <v>4</v>
      </c>
      <c r="M878" s="4">
        <f t="shared" si="53"/>
        <v>0</v>
      </c>
    </row>
    <row r="879" spans="1:13">
      <c r="A879" s="4" t="str" cm="1">
        <f t="array" ref="A879">INDEX(Sheet1!A:A,$F879)</f>
        <v>M</v>
      </c>
      <c r="B879" s="4" t="str" cm="1">
        <f t="array" ref="B879">INDEX(Sheet1!B:B,$F879)</f>
        <v>Undiff SM</v>
      </c>
      <c r="C879" s="4">
        <f t="shared" si="54"/>
        <v>30</v>
      </c>
      <c r="D879" s="5" cm="1">
        <f t="array" aca="1" ref="D879" ca="1">OFFSET(INDIRECT("'["&amp;$H879&amp;"]"&amp;$I879&amp;"'!"&amp;$J879),$L879,$M879)*$K879</f>
        <v>1.8E-3</v>
      </c>
      <c r="F879" s="4">
        <f t="shared" si="55"/>
        <v>9</v>
      </c>
      <c r="G879" s="4" cm="1">
        <f t="array" ref="G879">IF($C879&gt;=25,F879,IF($C879&lt;16,INDEX(Sheet1!C:C,$F879),$F879))</f>
        <v>9</v>
      </c>
      <c r="H879" s="4" t="str" cm="1">
        <f t="array" ref="H879">INDEX(Sheet1!D:D,$G879)</f>
        <v>t1138.xlsx</v>
      </c>
      <c r="I879" s="4" t="str" cm="1">
        <f t="array" ref="I879">INDEX(Sheet1!E:E,$G879)</f>
        <v>Sheet1</v>
      </c>
      <c r="J879" s="4" t="str" cm="1">
        <f t="array" ref="J879">IF($C879&gt;=25,INDEX(Sheet1!G:G,$G879),INDEX(Sheet1!F:F,$G879))</f>
        <v>B139</v>
      </c>
      <c r="K879" s="4" cm="1">
        <f t="array" ref="K879">INDEX(Sheet1!H:H,$G879)</f>
        <v>1</v>
      </c>
      <c r="L879" s="4">
        <f t="shared" si="52"/>
        <v>5</v>
      </c>
      <c r="M879" s="4">
        <f t="shared" si="53"/>
        <v>0</v>
      </c>
    </row>
    <row r="880" spans="1:13">
      <c r="A880" s="4" t="str" cm="1">
        <f t="array" ref="A880">INDEX(Sheet1!A:A,$F880)</f>
        <v>M</v>
      </c>
      <c r="B880" s="4" t="str" cm="1">
        <f t="array" ref="B880">INDEX(Sheet1!B:B,$F880)</f>
        <v>Undiff SM</v>
      </c>
      <c r="C880" s="4">
        <f t="shared" si="54"/>
        <v>31</v>
      </c>
      <c r="D880" s="5" cm="1">
        <f t="array" aca="1" ref="D880" ca="1">OFFSET(INDIRECT("'["&amp;$H880&amp;"]"&amp;$I880&amp;"'!"&amp;$J880),$L880,$M880)*$K880</f>
        <v>1.8E-3</v>
      </c>
      <c r="F880" s="4">
        <f t="shared" si="55"/>
        <v>9</v>
      </c>
      <c r="G880" s="4" cm="1">
        <f t="array" ref="G880">IF($C880&gt;=25,F880,IF($C880&lt;16,INDEX(Sheet1!C:C,$F880),$F880))</f>
        <v>9</v>
      </c>
      <c r="H880" s="4" t="str" cm="1">
        <f t="array" ref="H880">INDEX(Sheet1!D:D,$G880)</f>
        <v>t1138.xlsx</v>
      </c>
      <c r="I880" s="4" t="str" cm="1">
        <f t="array" ref="I880">INDEX(Sheet1!E:E,$G880)</f>
        <v>Sheet1</v>
      </c>
      <c r="J880" s="4" t="str" cm="1">
        <f t="array" ref="J880">IF($C880&gt;=25,INDEX(Sheet1!G:G,$G880),INDEX(Sheet1!F:F,$G880))</f>
        <v>B139</v>
      </c>
      <c r="K880" s="4" cm="1">
        <f t="array" ref="K880">INDEX(Sheet1!H:H,$G880)</f>
        <v>1</v>
      </c>
      <c r="L880" s="4">
        <f t="shared" si="52"/>
        <v>6</v>
      </c>
      <c r="M880" s="4">
        <f t="shared" si="53"/>
        <v>0</v>
      </c>
    </row>
    <row r="881" spans="1:13">
      <c r="A881" s="4" t="str" cm="1">
        <f t="array" ref="A881">INDEX(Sheet1!A:A,$F881)</f>
        <v>M</v>
      </c>
      <c r="B881" s="4" t="str" cm="1">
        <f t="array" ref="B881">INDEX(Sheet1!B:B,$F881)</f>
        <v>Undiff SM</v>
      </c>
      <c r="C881" s="4">
        <f t="shared" si="54"/>
        <v>32</v>
      </c>
      <c r="D881" s="5" cm="1">
        <f t="array" aca="1" ref="D881" ca="1">OFFSET(INDIRECT("'["&amp;$H881&amp;"]"&amp;$I881&amp;"'!"&amp;$J881),$L881,$M881)*$K881</f>
        <v>1.82E-3</v>
      </c>
      <c r="F881" s="4">
        <f t="shared" si="55"/>
        <v>9</v>
      </c>
      <c r="G881" s="4" cm="1">
        <f t="array" ref="G881">IF($C881&gt;=25,F881,IF($C881&lt;16,INDEX(Sheet1!C:C,$F881),$F881))</f>
        <v>9</v>
      </c>
      <c r="H881" s="4" t="str" cm="1">
        <f t="array" ref="H881">INDEX(Sheet1!D:D,$G881)</f>
        <v>t1138.xlsx</v>
      </c>
      <c r="I881" s="4" t="str" cm="1">
        <f t="array" ref="I881">INDEX(Sheet1!E:E,$G881)</f>
        <v>Sheet1</v>
      </c>
      <c r="J881" s="4" t="str" cm="1">
        <f t="array" ref="J881">IF($C881&gt;=25,INDEX(Sheet1!G:G,$G881),INDEX(Sheet1!F:F,$G881))</f>
        <v>B139</v>
      </c>
      <c r="K881" s="4" cm="1">
        <f t="array" ref="K881">INDEX(Sheet1!H:H,$G881)</f>
        <v>1</v>
      </c>
      <c r="L881" s="4">
        <f t="shared" si="52"/>
        <v>7</v>
      </c>
      <c r="M881" s="4">
        <f t="shared" si="53"/>
        <v>0</v>
      </c>
    </row>
    <row r="882" spans="1:13">
      <c r="A882" s="4" t="str" cm="1">
        <f t="array" ref="A882">INDEX(Sheet1!A:A,$F882)</f>
        <v>M</v>
      </c>
      <c r="B882" s="4" t="str" cm="1">
        <f t="array" ref="B882">INDEX(Sheet1!B:B,$F882)</f>
        <v>Undiff SM</v>
      </c>
      <c r="C882" s="4">
        <f t="shared" si="54"/>
        <v>33</v>
      </c>
      <c r="D882" s="5" cm="1">
        <f t="array" aca="1" ref="D882" ca="1">OFFSET(INDIRECT("'["&amp;$H882&amp;"]"&amp;$I882&amp;"'!"&amp;$J882),$L882,$M882)*$K882</f>
        <v>1.8699999999999999E-3</v>
      </c>
      <c r="F882" s="4">
        <f t="shared" si="55"/>
        <v>9</v>
      </c>
      <c r="G882" s="4" cm="1">
        <f t="array" ref="G882">IF($C882&gt;=25,F882,IF($C882&lt;16,INDEX(Sheet1!C:C,$F882),$F882))</f>
        <v>9</v>
      </c>
      <c r="H882" s="4" t="str" cm="1">
        <f t="array" ref="H882">INDEX(Sheet1!D:D,$G882)</f>
        <v>t1138.xlsx</v>
      </c>
      <c r="I882" s="4" t="str" cm="1">
        <f t="array" ref="I882">INDEX(Sheet1!E:E,$G882)</f>
        <v>Sheet1</v>
      </c>
      <c r="J882" s="4" t="str" cm="1">
        <f t="array" ref="J882">IF($C882&gt;=25,INDEX(Sheet1!G:G,$G882),INDEX(Sheet1!F:F,$G882))</f>
        <v>B139</v>
      </c>
      <c r="K882" s="4" cm="1">
        <f t="array" ref="K882">INDEX(Sheet1!H:H,$G882)</f>
        <v>1</v>
      </c>
      <c r="L882" s="4">
        <f t="shared" si="52"/>
        <v>8</v>
      </c>
      <c r="M882" s="4">
        <f t="shared" si="53"/>
        <v>0</v>
      </c>
    </row>
    <row r="883" spans="1:13">
      <c r="A883" s="4" t="str" cm="1">
        <f t="array" ref="A883">INDEX(Sheet1!A:A,$F883)</f>
        <v>M</v>
      </c>
      <c r="B883" s="4" t="str" cm="1">
        <f t="array" ref="B883">INDEX(Sheet1!B:B,$F883)</f>
        <v>Undiff SM</v>
      </c>
      <c r="C883" s="4">
        <f t="shared" si="54"/>
        <v>34</v>
      </c>
      <c r="D883" s="5" cm="1">
        <f t="array" aca="1" ref="D883" ca="1">OFFSET(INDIRECT("'["&amp;$H883&amp;"]"&amp;$I883&amp;"'!"&amp;$J883),$L883,$M883)*$K883</f>
        <v>1.9400000000000001E-3</v>
      </c>
      <c r="F883" s="4">
        <f t="shared" si="55"/>
        <v>9</v>
      </c>
      <c r="G883" s="4" cm="1">
        <f t="array" ref="G883">IF($C883&gt;=25,F883,IF($C883&lt;16,INDEX(Sheet1!C:C,$F883),$F883))</f>
        <v>9</v>
      </c>
      <c r="H883" s="4" t="str" cm="1">
        <f t="array" ref="H883">INDEX(Sheet1!D:D,$G883)</f>
        <v>t1138.xlsx</v>
      </c>
      <c r="I883" s="4" t="str" cm="1">
        <f t="array" ref="I883">INDEX(Sheet1!E:E,$G883)</f>
        <v>Sheet1</v>
      </c>
      <c r="J883" s="4" t="str" cm="1">
        <f t="array" ref="J883">IF($C883&gt;=25,INDEX(Sheet1!G:G,$G883),INDEX(Sheet1!F:F,$G883))</f>
        <v>B139</v>
      </c>
      <c r="K883" s="4" cm="1">
        <f t="array" ref="K883">INDEX(Sheet1!H:H,$G883)</f>
        <v>1</v>
      </c>
      <c r="L883" s="4">
        <f t="shared" si="52"/>
        <v>9</v>
      </c>
      <c r="M883" s="4">
        <f t="shared" si="53"/>
        <v>0</v>
      </c>
    </row>
    <row r="884" spans="1:13">
      <c r="A884" s="4" t="str" cm="1">
        <f t="array" ref="A884">INDEX(Sheet1!A:A,$F884)</f>
        <v>M</v>
      </c>
      <c r="B884" s="4" t="str" cm="1">
        <f t="array" ref="B884">INDEX(Sheet1!B:B,$F884)</f>
        <v>Undiff SM</v>
      </c>
      <c r="C884" s="4">
        <f t="shared" si="54"/>
        <v>35</v>
      </c>
      <c r="D884" s="5" cm="1">
        <f t="array" aca="1" ref="D884" ca="1">OFFSET(INDIRECT("'["&amp;$H884&amp;"]"&amp;$I884&amp;"'!"&amp;$J884),$L884,$M884)*$K884</f>
        <v>2E-3</v>
      </c>
      <c r="F884" s="4">
        <f t="shared" si="55"/>
        <v>9</v>
      </c>
      <c r="G884" s="4" cm="1">
        <f t="array" ref="G884">IF($C884&gt;=25,F884,IF($C884&lt;16,INDEX(Sheet1!C:C,$F884),$F884))</f>
        <v>9</v>
      </c>
      <c r="H884" s="4" t="str" cm="1">
        <f t="array" ref="H884">INDEX(Sheet1!D:D,$G884)</f>
        <v>t1138.xlsx</v>
      </c>
      <c r="I884" s="4" t="str" cm="1">
        <f t="array" ref="I884">INDEX(Sheet1!E:E,$G884)</f>
        <v>Sheet1</v>
      </c>
      <c r="J884" s="4" t="str" cm="1">
        <f t="array" ref="J884">IF($C884&gt;=25,INDEX(Sheet1!G:G,$G884),INDEX(Sheet1!F:F,$G884))</f>
        <v>B139</v>
      </c>
      <c r="K884" s="4" cm="1">
        <f t="array" ref="K884">INDEX(Sheet1!H:H,$G884)</f>
        <v>1</v>
      </c>
      <c r="L884" s="4">
        <f t="shared" si="52"/>
        <v>10</v>
      </c>
      <c r="M884" s="4">
        <f t="shared" si="53"/>
        <v>0</v>
      </c>
    </row>
    <row r="885" spans="1:13">
      <c r="A885" s="4" t="str" cm="1">
        <f t="array" ref="A885">INDEX(Sheet1!A:A,$F885)</f>
        <v>M</v>
      </c>
      <c r="B885" s="4" t="str" cm="1">
        <f t="array" ref="B885">INDEX(Sheet1!B:B,$F885)</f>
        <v>Undiff SM</v>
      </c>
      <c r="C885" s="4">
        <f t="shared" si="54"/>
        <v>36</v>
      </c>
      <c r="D885" s="5" cm="1">
        <f t="array" aca="1" ref="D885" ca="1">OFFSET(INDIRECT("'["&amp;$H885&amp;"]"&amp;$I885&amp;"'!"&amp;$J885),$L885,$M885)*$K885</f>
        <v>2.1099999999999999E-3</v>
      </c>
      <c r="F885" s="4">
        <f t="shared" si="55"/>
        <v>9</v>
      </c>
      <c r="G885" s="4" cm="1">
        <f t="array" ref="G885">IF($C885&gt;=25,F885,IF($C885&lt;16,INDEX(Sheet1!C:C,$F885),$F885))</f>
        <v>9</v>
      </c>
      <c r="H885" s="4" t="str" cm="1">
        <f t="array" ref="H885">INDEX(Sheet1!D:D,$G885)</f>
        <v>t1138.xlsx</v>
      </c>
      <c r="I885" s="4" t="str" cm="1">
        <f t="array" ref="I885">INDEX(Sheet1!E:E,$G885)</f>
        <v>Sheet1</v>
      </c>
      <c r="J885" s="4" t="str" cm="1">
        <f t="array" ref="J885">IF($C885&gt;=25,INDEX(Sheet1!G:G,$G885),INDEX(Sheet1!F:F,$G885))</f>
        <v>B139</v>
      </c>
      <c r="K885" s="4" cm="1">
        <f t="array" ref="K885">INDEX(Sheet1!H:H,$G885)</f>
        <v>1</v>
      </c>
      <c r="L885" s="4">
        <f t="shared" si="52"/>
        <v>11</v>
      </c>
      <c r="M885" s="4">
        <f t="shared" si="53"/>
        <v>0</v>
      </c>
    </row>
    <row r="886" spans="1:13">
      <c r="A886" s="4" t="str" cm="1">
        <f t="array" ref="A886">INDEX(Sheet1!A:A,$F886)</f>
        <v>M</v>
      </c>
      <c r="B886" s="4" t="str" cm="1">
        <f t="array" ref="B886">INDEX(Sheet1!B:B,$F886)</f>
        <v>Undiff SM</v>
      </c>
      <c r="C886" s="4">
        <f t="shared" si="54"/>
        <v>37</v>
      </c>
      <c r="D886" s="5" cm="1">
        <f t="array" aca="1" ref="D886" ca="1">OFFSET(INDIRECT("'["&amp;$H886&amp;"]"&amp;$I886&amp;"'!"&amp;$J886),$L886,$M886)*$K886</f>
        <v>2.2300000000000002E-3</v>
      </c>
      <c r="F886" s="4">
        <f t="shared" si="55"/>
        <v>9</v>
      </c>
      <c r="G886" s="4" cm="1">
        <f t="array" ref="G886">IF($C886&gt;=25,F886,IF($C886&lt;16,INDEX(Sheet1!C:C,$F886),$F886))</f>
        <v>9</v>
      </c>
      <c r="H886" s="4" t="str" cm="1">
        <f t="array" ref="H886">INDEX(Sheet1!D:D,$G886)</f>
        <v>t1138.xlsx</v>
      </c>
      <c r="I886" s="4" t="str" cm="1">
        <f t="array" ref="I886">INDEX(Sheet1!E:E,$G886)</f>
        <v>Sheet1</v>
      </c>
      <c r="J886" s="4" t="str" cm="1">
        <f t="array" ref="J886">IF($C886&gt;=25,INDEX(Sheet1!G:G,$G886),INDEX(Sheet1!F:F,$G886))</f>
        <v>B139</v>
      </c>
      <c r="K886" s="4" cm="1">
        <f t="array" ref="K886">INDEX(Sheet1!H:H,$G886)</f>
        <v>1</v>
      </c>
      <c r="L886" s="4">
        <f t="shared" si="52"/>
        <v>12</v>
      </c>
      <c r="M886" s="4">
        <f t="shared" si="53"/>
        <v>0</v>
      </c>
    </row>
    <row r="887" spans="1:13">
      <c r="A887" s="4" t="str" cm="1">
        <f t="array" ref="A887">INDEX(Sheet1!A:A,$F887)</f>
        <v>M</v>
      </c>
      <c r="B887" s="4" t="str" cm="1">
        <f t="array" ref="B887">INDEX(Sheet1!B:B,$F887)</f>
        <v>Undiff SM</v>
      </c>
      <c r="C887" s="4">
        <f t="shared" si="54"/>
        <v>38</v>
      </c>
      <c r="D887" s="5" cm="1">
        <f t="array" aca="1" ref="D887" ca="1">OFFSET(INDIRECT("'["&amp;$H887&amp;"]"&amp;$I887&amp;"'!"&amp;$J887),$L887,$M887)*$K887</f>
        <v>2.3999999999999998E-3</v>
      </c>
      <c r="F887" s="4">
        <f t="shared" si="55"/>
        <v>9</v>
      </c>
      <c r="G887" s="4" cm="1">
        <f t="array" ref="G887">IF($C887&gt;=25,F887,IF($C887&lt;16,INDEX(Sheet1!C:C,$F887),$F887))</f>
        <v>9</v>
      </c>
      <c r="H887" s="4" t="str" cm="1">
        <f t="array" ref="H887">INDEX(Sheet1!D:D,$G887)</f>
        <v>t1138.xlsx</v>
      </c>
      <c r="I887" s="4" t="str" cm="1">
        <f t="array" ref="I887">INDEX(Sheet1!E:E,$G887)</f>
        <v>Sheet1</v>
      </c>
      <c r="J887" s="4" t="str" cm="1">
        <f t="array" ref="J887">IF($C887&gt;=25,INDEX(Sheet1!G:G,$G887),INDEX(Sheet1!F:F,$G887))</f>
        <v>B139</v>
      </c>
      <c r="K887" s="4" cm="1">
        <f t="array" ref="K887">INDEX(Sheet1!H:H,$G887)</f>
        <v>1</v>
      </c>
      <c r="L887" s="4">
        <f t="shared" si="52"/>
        <v>13</v>
      </c>
      <c r="M887" s="4">
        <f t="shared" si="53"/>
        <v>0</v>
      </c>
    </row>
    <row r="888" spans="1:13">
      <c r="A888" s="4" t="str" cm="1">
        <f t="array" ref="A888">INDEX(Sheet1!A:A,$F888)</f>
        <v>M</v>
      </c>
      <c r="B888" s="4" t="str" cm="1">
        <f t="array" ref="B888">INDEX(Sheet1!B:B,$F888)</f>
        <v>Undiff SM</v>
      </c>
      <c r="C888" s="4">
        <f t="shared" si="54"/>
        <v>39</v>
      </c>
      <c r="D888" s="5" cm="1">
        <f t="array" aca="1" ref="D888" ca="1">OFFSET(INDIRECT("'["&amp;$H888&amp;"]"&amp;$I888&amp;"'!"&amp;$J888),$L888,$M888)*$K888</f>
        <v>2.5699999999999998E-3</v>
      </c>
      <c r="F888" s="4">
        <f t="shared" si="55"/>
        <v>9</v>
      </c>
      <c r="G888" s="4" cm="1">
        <f t="array" ref="G888">IF($C888&gt;=25,F888,IF($C888&lt;16,INDEX(Sheet1!C:C,$F888),$F888))</f>
        <v>9</v>
      </c>
      <c r="H888" s="4" t="str" cm="1">
        <f t="array" ref="H888">INDEX(Sheet1!D:D,$G888)</f>
        <v>t1138.xlsx</v>
      </c>
      <c r="I888" s="4" t="str" cm="1">
        <f t="array" ref="I888">INDEX(Sheet1!E:E,$G888)</f>
        <v>Sheet1</v>
      </c>
      <c r="J888" s="4" t="str" cm="1">
        <f t="array" ref="J888">IF($C888&gt;=25,INDEX(Sheet1!G:G,$G888),INDEX(Sheet1!F:F,$G888))</f>
        <v>B139</v>
      </c>
      <c r="K888" s="4" cm="1">
        <f t="array" ref="K888">INDEX(Sheet1!H:H,$G888)</f>
        <v>1</v>
      </c>
      <c r="L888" s="4">
        <f t="shared" si="52"/>
        <v>14</v>
      </c>
      <c r="M888" s="4">
        <f t="shared" si="53"/>
        <v>0</v>
      </c>
    </row>
    <row r="889" spans="1:13">
      <c r="A889" s="4" t="str" cm="1">
        <f t="array" ref="A889">INDEX(Sheet1!A:A,$F889)</f>
        <v>M</v>
      </c>
      <c r="B889" s="4" t="str" cm="1">
        <f t="array" ref="B889">INDEX(Sheet1!B:B,$F889)</f>
        <v>Undiff SM</v>
      </c>
      <c r="C889" s="4">
        <f t="shared" si="54"/>
        <v>40</v>
      </c>
      <c r="D889" s="5" cm="1">
        <f t="array" aca="1" ref="D889" ca="1">OFFSET(INDIRECT("'["&amp;$H889&amp;"]"&amp;$I889&amp;"'!"&amp;$J889),$L889,$M889)*$K889</f>
        <v>2.7699999999999999E-3</v>
      </c>
      <c r="F889" s="4">
        <f t="shared" si="55"/>
        <v>9</v>
      </c>
      <c r="G889" s="4" cm="1">
        <f t="array" ref="G889">IF($C889&gt;=25,F889,IF($C889&lt;16,INDEX(Sheet1!C:C,$F889),$F889))</f>
        <v>9</v>
      </c>
      <c r="H889" s="4" t="str" cm="1">
        <f t="array" ref="H889">INDEX(Sheet1!D:D,$G889)</f>
        <v>t1138.xlsx</v>
      </c>
      <c r="I889" s="4" t="str" cm="1">
        <f t="array" ref="I889">INDEX(Sheet1!E:E,$G889)</f>
        <v>Sheet1</v>
      </c>
      <c r="J889" s="4" t="str" cm="1">
        <f t="array" ref="J889">IF($C889&gt;=25,INDEX(Sheet1!G:G,$G889),INDEX(Sheet1!F:F,$G889))</f>
        <v>B139</v>
      </c>
      <c r="K889" s="4" cm="1">
        <f t="array" ref="K889">INDEX(Sheet1!H:H,$G889)</f>
        <v>1</v>
      </c>
      <c r="L889" s="4">
        <f t="shared" si="52"/>
        <v>15</v>
      </c>
      <c r="M889" s="4">
        <f t="shared" si="53"/>
        <v>0</v>
      </c>
    </row>
    <row r="890" spans="1:13">
      <c r="A890" s="4" t="str" cm="1">
        <f t="array" ref="A890">INDEX(Sheet1!A:A,$F890)</f>
        <v>M</v>
      </c>
      <c r="B890" s="4" t="str" cm="1">
        <f t="array" ref="B890">INDEX(Sheet1!B:B,$F890)</f>
        <v>Undiff SM</v>
      </c>
      <c r="C890" s="4">
        <f t="shared" si="54"/>
        <v>41</v>
      </c>
      <c r="D890" s="5" cm="1">
        <f t="array" aca="1" ref="D890" ca="1">OFFSET(INDIRECT("'["&amp;$H890&amp;"]"&amp;$I890&amp;"'!"&amp;$J890),$L890,$M890)*$K890</f>
        <v>3.0300000000000001E-3</v>
      </c>
      <c r="F890" s="4">
        <f t="shared" si="55"/>
        <v>9</v>
      </c>
      <c r="G890" s="4" cm="1">
        <f t="array" ref="G890">IF($C890&gt;=25,F890,IF($C890&lt;16,INDEX(Sheet1!C:C,$F890),$F890))</f>
        <v>9</v>
      </c>
      <c r="H890" s="4" t="str" cm="1">
        <f t="array" ref="H890">INDEX(Sheet1!D:D,$G890)</f>
        <v>t1138.xlsx</v>
      </c>
      <c r="I890" s="4" t="str" cm="1">
        <f t="array" ref="I890">INDEX(Sheet1!E:E,$G890)</f>
        <v>Sheet1</v>
      </c>
      <c r="J890" s="4" t="str" cm="1">
        <f t="array" ref="J890">IF($C890&gt;=25,INDEX(Sheet1!G:G,$G890),INDEX(Sheet1!F:F,$G890))</f>
        <v>B139</v>
      </c>
      <c r="K890" s="4" cm="1">
        <f t="array" ref="K890">INDEX(Sheet1!H:H,$G890)</f>
        <v>1</v>
      </c>
      <c r="L890" s="4">
        <f t="shared" si="52"/>
        <v>16</v>
      </c>
      <c r="M890" s="4">
        <f t="shared" si="53"/>
        <v>0</v>
      </c>
    </row>
    <row r="891" spans="1:13">
      <c r="A891" s="4" t="str" cm="1">
        <f t="array" ref="A891">INDEX(Sheet1!A:A,$F891)</f>
        <v>M</v>
      </c>
      <c r="B891" s="4" t="str" cm="1">
        <f t="array" ref="B891">INDEX(Sheet1!B:B,$F891)</f>
        <v>Undiff SM</v>
      </c>
      <c r="C891" s="4">
        <f t="shared" si="54"/>
        <v>42</v>
      </c>
      <c r="D891" s="5" cm="1">
        <f t="array" aca="1" ref="D891" ca="1">OFFSET(INDIRECT("'["&amp;$H891&amp;"]"&amp;$I891&amp;"'!"&amp;$J891),$L891,$M891)*$K891</f>
        <v>3.3300000000000001E-3</v>
      </c>
      <c r="F891" s="4">
        <f t="shared" si="55"/>
        <v>9</v>
      </c>
      <c r="G891" s="4" cm="1">
        <f t="array" ref="G891">IF($C891&gt;=25,F891,IF($C891&lt;16,INDEX(Sheet1!C:C,$F891),$F891))</f>
        <v>9</v>
      </c>
      <c r="H891" s="4" t="str" cm="1">
        <f t="array" ref="H891">INDEX(Sheet1!D:D,$G891)</f>
        <v>t1138.xlsx</v>
      </c>
      <c r="I891" s="4" t="str" cm="1">
        <f t="array" ref="I891">INDEX(Sheet1!E:E,$G891)</f>
        <v>Sheet1</v>
      </c>
      <c r="J891" s="4" t="str" cm="1">
        <f t="array" ref="J891">IF($C891&gt;=25,INDEX(Sheet1!G:G,$G891),INDEX(Sheet1!F:F,$G891))</f>
        <v>B139</v>
      </c>
      <c r="K891" s="4" cm="1">
        <f t="array" ref="K891">INDEX(Sheet1!H:H,$G891)</f>
        <v>1</v>
      </c>
      <c r="L891" s="4">
        <f t="shared" si="52"/>
        <v>17</v>
      </c>
      <c r="M891" s="4">
        <f t="shared" si="53"/>
        <v>0</v>
      </c>
    </row>
    <row r="892" spans="1:13">
      <c r="A892" s="4" t="str" cm="1">
        <f t="array" ref="A892">INDEX(Sheet1!A:A,$F892)</f>
        <v>M</v>
      </c>
      <c r="B892" s="4" t="str" cm="1">
        <f t="array" ref="B892">INDEX(Sheet1!B:B,$F892)</f>
        <v>Undiff SM</v>
      </c>
      <c r="C892" s="4">
        <f t="shared" si="54"/>
        <v>43</v>
      </c>
      <c r="D892" s="5" cm="1">
        <f t="array" aca="1" ref="D892" ca="1">OFFSET(INDIRECT("'["&amp;$H892&amp;"]"&amp;$I892&amp;"'!"&amp;$J892),$L892,$M892)*$K892</f>
        <v>3.6900000000000001E-3</v>
      </c>
      <c r="F892" s="4">
        <f t="shared" si="55"/>
        <v>9</v>
      </c>
      <c r="G892" s="4" cm="1">
        <f t="array" ref="G892">IF($C892&gt;=25,F892,IF($C892&lt;16,INDEX(Sheet1!C:C,$F892),$F892))</f>
        <v>9</v>
      </c>
      <c r="H892" s="4" t="str" cm="1">
        <f t="array" ref="H892">INDEX(Sheet1!D:D,$G892)</f>
        <v>t1138.xlsx</v>
      </c>
      <c r="I892" s="4" t="str" cm="1">
        <f t="array" ref="I892">INDEX(Sheet1!E:E,$G892)</f>
        <v>Sheet1</v>
      </c>
      <c r="J892" s="4" t="str" cm="1">
        <f t="array" ref="J892">IF($C892&gt;=25,INDEX(Sheet1!G:G,$G892),INDEX(Sheet1!F:F,$G892))</f>
        <v>B139</v>
      </c>
      <c r="K892" s="4" cm="1">
        <f t="array" ref="K892">INDEX(Sheet1!H:H,$G892)</f>
        <v>1</v>
      </c>
      <c r="L892" s="4">
        <f t="shared" si="52"/>
        <v>18</v>
      </c>
      <c r="M892" s="4">
        <f t="shared" si="53"/>
        <v>0</v>
      </c>
    </row>
    <row r="893" spans="1:13">
      <c r="A893" s="4" t="str" cm="1">
        <f t="array" ref="A893">INDEX(Sheet1!A:A,$F893)</f>
        <v>M</v>
      </c>
      <c r="B893" s="4" t="str" cm="1">
        <f t="array" ref="B893">INDEX(Sheet1!B:B,$F893)</f>
        <v>Undiff SM</v>
      </c>
      <c r="C893" s="4">
        <f t="shared" si="54"/>
        <v>44</v>
      </c>
      <c r="D893" s="5" cm="1">
        <f t="array" aca="1" ref="D893" ca="1">OFFSET(INDIRECT("'["&amp;$H893&amp;"]"&amp;$I893&amp;"'!"&amp;$J893),$L893,$M893)*$K893</f>
        <v>4.1200000000000004E-3</v>
      </c>
      <c r="F893" s="4">
        <f t="shared" si="55"/>
        <v>9</v>
      </c>
      <c r="G893" s="4" cm="1">
        <f t="array" ref="G893">IF($C893&gt;=25,F893,IF($C893&lt;16,INDEX(Sheet1!C:C,$F893),$F893))</f>
        <v>9</v>
      </c>
      <c r="H893" s="4" t="str" cm="1">
        <f t="array" ref="H893">INDEX(Sheet1!D:D,$G893)</f>
        <v>t1138.xlsx</v>
      </c>
      <c r="I893" s="4" t="str" cm="1">
        <f t="array" ref="I893">INDEX(Sheet1!E:E,$G893)</f>
        <v>Sheet1</v>
      </c>
      <c r="J893" s="4" t="str" cm="1">
        <f t="array" ref="J893">IF($C893&gt;=25,INDEX(Sheet1!G:G,$G893),INDEX(Sheet1!F:F,$G893))</f>
        <v>B139</v>
      </c>
      <c r="K893" s="4" cm="1">
        <f t="array" ref="K893">INDEX(Sheet1!H:H,$G893)</f>
        <v>1</v>
      </c>
      <c r="L893" s="4">
        <f t="shared" si="52"/>
        <v>19</v>
      </c>
      <c r="M893" s="4">
        <f t="shared" si="53"/>
        <v>0</v>
      </c>
    </row>
    <row r="894" spans="1:13">
      <c r="A894" s="4" t="str" cm="1">
        <f t="array" ref="A894">INDEX(Sheet1!A:A,$F894)</f>
        <v>M</v>
      </c>
      <c r="B894" s="4" t="str" cm="1">
        <f t="array" ref="B894">INDEX(Sheet1!B:B,$F894)</f>
        <v>Undiff SM</v>
      </c>
      <c r="C894" s="4">
        <f t="shared" si="54"/>
        <v>45</v>
      </c>
      <c r="D894" s="5" cm="1">
        <f t="array" aca="1" ref="D894" ca="1">OFFSET(INDIRECT("'["&amp;$H894&amp;"]"&amp;$I894&amp;"'!"&amp;$J894),$L894,$M894)*$K894</f>
        <v>4.5700000000000003E-3</v>
      </c>
      <c r="F894" s="4">
        <f t="shared" si="55"/>
        <v>9</v>
      </c>
      <c r="G894" s="4" cm="1">
        <f t="array" ref="G894">IF($C894&gt;=25,F894,IF($C894&lt;16,INDEX(Sheet1!C:C,$F894),$F894))</f>
        <v>9</v>
      </c>
      <c r="H894" s="4" t="str" cm="1">
        <f t="array" ref="H894">INDEX(Sheet1!D:D,$G894)</f>
        <v>t1138.xlsx</v>
      </c>
      <c r="I894" s="4" t="str" cm="1">
        <f t="array" ref="I894">INDEX(Sheet1!E:E,$G894)</f>
        <v>Sheet1</v>
      </c>
      <c r="J894" s="4" t="str" cm="1">
        <f t="array" ref="J894">IF($C894&gt;=25,INDEX(Sheet1!G:G,$G894),INDEX(Sheet1!F:F,$G894))</f>
        <v>B139</v>
      </c>
      <c r="K894" s="4" cm="1">
        <f t="array" ref="K894">INDEX(Sheet1!H:H,$G894)</f>
        <v>1</v>
      </c>
      <c r="L894" s="4">
        <f t="shared" si="52"/>
        <v>20</v>
      </c>
      <c r="M894" s="4">
        <f t="shared" si="53"/>
        <v>0</v>
      </c>
    </row>
    <row r="895" spans="1:13">
      <c r="A895" s="4" t="str" cm="1">
        <f t="array" ref="A895">INDEX(Sheet1!A:A,$F895)</f>
        <v>M</v>
      </c>
      <c r="B895" s="4" t="str" cm="1">
        <f t="array" ref="B895">INDEX(Sheet1!B:B,$F895)</f>
        <v>Undiff SM</v>
      </c>
      <c r="C895" s="4">
        <f t="shared" si="54"/>
        <v>46</v>
      </c>
      <c r="D895" s="5" cm="1">
        <f t="array" aca="1" ref="D895" ca="1">OFFSET(INDIRECT("'["&amp;$H895&amp;"]"&amp;$I895&amp;"'!"&amp;$J895),$L895,$M895)*$K895</f>
        <v>4.9899999999999996E-3</v>
      </c>
      <c r="F895" s="4">
        <f t="shared" si="55"/>
        <v>9</v>
      </c>
      <c r="G895" s="4" cm="1">
        <f t="array" ref="G895">IF($C895&gt;=25,F895,IF($C895&lt;16,INDEX(Sheet1!C:C,$F895),$F895))</f>
        <v>9</v>
      </c>
      <c r="H895" s="4" t="str" cm="1">
        <f t="array" ref="H895">INDEX(Sheet1!D:D,$G895)</f>
        <v>t1138.xlsx</v>
      </c>
      <c r="I895" s="4" t="str" cm="1">
        <f t="array" ref="I895">INDEX(Sheet1!E:E,$G895)</f>
        <v>Sheet1</v>
      </c>
      <c r="J895" s="4" t="str" cm="1">
        <f t="array" ref="J895">IF($C895&gt;=25,INDEX(Sheet1!G:G,$G895),INDEX(Sheet1!F:F,$G895))</f>
        <v>B139</v>
      </c>
      <c r="K895" s="4" cm="1">
        <f t="array" ref="K895">INDEX(Sheet1!H:H,$G895)</f>
        <v>1</v>
      </c>
      <c r="L895" s="4">
        <f t="shared" si="52"/>
        <v>21</v>
      </c>
      <c r="M895" s="4">
        <f t="shared" si="53"/>
        <v>0</v>
      </c>
    </row>
    <row r="896" spans="1:13">
      <c r="A896" s="4" t="str" cm="1">
        <f t="array" ref="A896">INDEX(Sheet1!A:A,$F896)</f>
        <v>M</v>
      </c>
      <c r="B896" s="4" t="str" cm="1">
        <f t="array" ref="B896">INDEX(Sheet1!B:B,$F896)</f>
        <v>Undiff SM</v>
      </c>
      <c r="C896" s="4">
        <f t="shared" si="54"/>
        <v>47</v>
      </c>
      <c r="D896" s="5" cm="1">
        <f t="array" aca="1" ref="D896" ca="1">OFFSET(INDIRECT("'["&amp;$H896&amp;"]"&amp;$I896&amp;"'!"&amp;$J896),$L896,$M896)*$K896</f>
        <v>5.4599999999999996E-3</v>
      </c>
      <c r="F896" s="4">
        <f t="shared" si="55"/>
        <v>9</v>
      </c>
      <c r="G896" s="4" cm="1">
        <f t="array" ref="G896">IF($C896&gt;=25,F896,IF($C896&lt;16,INDEX(Sheet1!C:C,$F896),$F896))</f>
        <v>9</v>
      </c>
      <c r="H896" s="4" t="str" cm="1">
        <f t="array" ref="H896">INDEX(Sheet1!D:D,$G896)</f>
        <v>t1138.xlsx</v>
      </c>
      <c r="I896" s="4" t="str" cm="1">
        <f t="array" ref="I896">INDEX(Sheet1!E:E,$G896)</f>
        <v>Sheet1</v>
      </c>
      <c r="J896" s="4" t="str" cm="1">
        <f t="array" ref="J896">IF($C896&gt;=25,INDEX(Sheet1!G:G,$G896),INDEX(Sheet1!F:F,$G896))</f>
        <v>B139</v>
      </c>
      <c r="K896" s="4" cm="1">
        <f t="array" ref="K896">INDEX(Sheet1!H:H,$G896)</f>
        <v>1</v>
      </c>
      <c r="L896" s="4">
        <f t="shared" si="52"/>
        <v>22</v>
      </c>
      <c r="M896" s="4">
        <f t="shared" si="53"/>
        <v>0</v>
      </c>
    </row>
    <row r="897" spans="1:13">
      <c r="A897" s="4" t="str" cm="1">
        <f t="array" ref="A897">INDEX(Sheet1!A:A,$F897)</f>
        <v>M</v>
      </c>
      <c r="B897" s="4" t="str" cm="1">
        <f t="array" ref="B897">INDEX(Sheet1!B:B,$F897)</f>
        <v>Undiff SM</v>
      </c>
      <c r="C897" s="4">
        <f t="shared" si="54"/>
        <v>48</v>
      </c>
      <c r="D897" s="5" cm="1">
        <f t="array" aca="1" ref="D897" ca="1">OFFSET(INDIRECT("'["&amp;$H897&amp;"]"&amp;$I897&amp;"'!"&amp;$J897),$L897,$M897)*$K897</f>
        <v>5.7200000000000003E-3</v>
      </c>
      <c r="F897" s="4">
        <f t="shared" si="55"/>
        <v>9</v>
      </c>
      <c r="G897" s="4" cm="1">
        <f t="array" ref="G897">IF($C897&gt;=25,F897,IF($C897&lt;16,INDEX(Sheet1!C:C,$F897),$F897))</f>
        <v>9</v>
      </c>
      <c r="H897" s="4" t="str" cm="1">
        <f t="array" ref="H897">INDEX(Sheet1!D:D,$G897)</f>
        <v>t1138.xlsx</v>
      </c>
      <c r="I897" s="4" t="str" cm="1">
        <f t="array" ref="I897">INDEX(Sheet1!E:E,$G897)</f>
        <v>Sheet1</v>
      </c>
      <c r="J897" s="4" t="str" cm="1">
        <f t="array" ref="J897">IF($C897&gt;=25,INDEX(Sheet1!G:G,$G897),INDEX(Sheet1!F:F,$G897))</f>
        <v>B139</v>
      </c>
      <c r="K897" s="4" cm="1">
        <f t="array" ref="K897">INDEX(Sheet1!H:H,$G897)</f>
        <v>1</v>
      </c>
      <c r="L897" s="4">
        <f t="shared" si="52"/>
        <v>23</v>
      </c>
      <c r="M897" s="4">
        <f t="shared" si="53"/>
        <v>0</v>
      </c>
    </row>
    <row r="898" spans="1:13">
      <c r="A898" s="4" t="str" cm="1">
        <f t="array" ref="A898">INDEX(Sheet1!A:A,$F898)</f>
        <v>M</v>
      </c>
      <c r="B898" s="4" t="str" cm="1">
        <f t="array" ref="B898">INDEX(Sheet1!B:B,$F898)</f>
        <v>Undiff SM</v>
      </c>
      <c r="C898" s="4">
        <f t="shared" si="54"/>
        <v>49</v>
      </c>
      <c r="D898" s="5" cm="1">
        <f t="array" aca="1" ref="D898" ca="1">OFFSET(INDIRECT("'["&amp;$H898&amp;"]"&amp;$I898&amp;"'!"&amp;$J898),$L898,$M898)*$K898</f>
        <v>6.0200000000000002E-3</v>
      </c>
      <c r="F898" s="4">
        <f t="shared" si="55"/>
        <v>9</v>
      </c>
      <c r="G898" s="4" cm="1">
        <f t="array" ref="G898">IF($C898&gt;=25,F898,IF($C898&lt;16,INDEX(Sheet1!C:C,$F898),$F898))</f>
        <v>9</v>
      </c>
      <c r="H898" s="4" t="str" cm="1">
        <f t="array" ref="H898">INDEX(Sheet1!D:D,$G898)</f>
        <v>t1138.xlsx</v>
      </c>
      <c r="I898" s="4" t="str" cm="1">
        <f t="array" ref="I898">INDEX(Sheet1!E:E,$G898)</f>
        <v>Sheet1</v>
      </c>
      <c r="J898" s="4" t="str" cm="1">
        <f t="array" ref="J898">IF($C898&gt;=25,INDEX(Sheet1!G:G,$G898),INDEX(Sheet1!F:F,$G898))</f>
        <v>B139</v>
      </c>
      <c r="K898" s="4" cm="1">
        <f t="array" ref="K898">INDEX(Sheet1!H:H,$G898)</f>
        <v>1</v>
      </c>
      <c r="L898" s="4">
        <f t="shared" si="52"/>
        <v>24</v>
      </c>
      <c r="M898" s="4">
        <f t="shared" si="53"/>
        <v>0</v>
      </c>
    </row>
    <row r="899" spans="1:13">
      <c r="A899" s="4" t="str" cm="1">
        <f t="array" ref="A899">INDEX(Sheet1!A:A,$F899)</f>
        <v>M</v>
      </c>
      <c r="B899" s="4" t="str" cm="1">
        <f t="array" ref="B899">INDEX(Sheet1!B:B,$F899)</f>
        <v>Undiff SM</v>
      </c>
      <c r="C899" s="4">
        <f t="shared" si="54"/>
        <v>50</v>
      </c>
      <c r="D899" s="5" cm="1">
        <f t="array" aca="1" ref="D899" ca="1">OFFSET(INDIRECT("'["&amp;$H899&amp;"]"&amp;$I899&amp;"'!"&amp;$J899),$L899,$M899)*$K899</f>
        <v>6.45E-3</v>
      </c>
      <c r="F899" s="4">
        <f t="shared" si="55"/>
        <v>9</v>
      </c>
      <c r="G899" s="4" cm="1">
        <f t="array" ref="G899">IF($C899&gt;=25,F899,IF($C899&lt;16,INDEX(Sheet1!C:C,$F899),$F899))</f>
        <v>9</v>
      </c>
      <c r="H899" s="4" t="str" cm="1">
        <f t="array" ref="H899">INDEX(Sheet1!D:D,$G899)</f>
        <v>t1138.xlsx</v>
      </c>
      <c r="I899" s="4" t="str" cm="1">
        <f t="array" ref="I899">INDEX(Sheet1!E:E,$G899)</f>
        <v>Sheet1</v>
      </c>
      <c r="J899" s="4" t="str" cm="1">
        <f t="array" ref="J899">IF($C899&gt;=25,INDEX(Sheet1!G:G,$G899),INDEX(Sheet1!F:F,$G899))</f>
        <v>B139</v>
      </c>
      <c r="K899" s="4" cm="1">
        <f t="array" ref="K899">INDEX(Sheet1!H:H,$G899)</f>
        <v>1</v>
      </c>
      <c r="L899" s="4">
        <f t="shared" ref="L899:L962" si="56">IF($C899&gt;=25,$C899-25,0)</f>
        <v>25</v>
      </c>
      <c r="M899" s="4">
        <f t="shared" ref="M899:M962" si="57">IF($C899&gt;=25,0,$C899)</f>
        <v>0</v>
      </c>
    </row>
    <row r="900" spans="1:13">
      <c r="A900" s="4" t="str" cm="1">
        <f t="array" ref="A900">INDEX(Sheet1!A:A,$F900)</f>
        <v>M</v>
      </c>
      <c r="B900" s="4" t="str" cm="1">
        <f t="array" ref="B900">INDEX(Sheet1!B:B,$F900)</f>
        <v>Undiff SM</v>
      </c>
      <c r="C900" s="4">
        <f t="shared" ref="C900:C963" si="58">IF(C899=120,0,C899+1)</f>
        <v>51</v>
      </c>
      <c r="D900" s="5" cm="1">
        <f t="array" aca="1" ref="D900" ca="1">OFFSET(INDIRECT("'["&amp;$H900&amp;"]"&amp;$I900&amp;"'!"&amp;$J900),$L900,$M900)*$K900</f>
        <v>6.96E-3</v>
      </c>
      <c r="F900" s="4">
        <f t="shared" ref="F900:F963" si="59">IF(C900=0,1,0)+F899</f>
        <v>9</v>
      </c>
      <c r="G900" s="4" cm="1">
        <f t="array" ref="G900">IF($C900&gt;=25,F900,IF($C900&lt;16,INDEX(Sheet1!C:C,$F900),$F900))</f>
        <v>9</v>
      </c>
      <c r="H900" s="4" t="str" cm="1">
        <f t="array" ref="H900">INDEX(Sheet1!D:D,$G900)</f>
        <v>t1138.xlsx</v>
      </c>
      <c r="I900" s="4" t="str" cm="1">
        <f t="array" ref="I900">INDEX(Sheet1!E:E,$G900)</f>
        <v>Sheet1</v>
      </c>
      <c r="J900" s="4" t="str" cm="1">
        <f t="array" ref="J900">IF($C900&gt;=25,INDEX(Sheet1!G:G,$G900),INDEX(Sheet1!F:F,$G900))</f>
        <v>B139</v>
      </c>
      <c r="K900" s="4" cm="1">
        <f t="array" ref="K900">INDEX(Sheet1!H:H,$G900)</f>
        <v>1</v>
      </c>
      <c r="L900" s="4">
        <f t="shared" si="56"/>
        <v>26</v>
      </c>
      <c r="M900" s="4">
        <f t="shared" si="57"/>
        <v>0</v>
      </c>
    </row>
    <row r="901" spans="1:13">
      <c r="A901" s="4" t="str" cm="1">
        <f t="array" ref="A901">INDEX(Sheet1!A:A,$F901)</f>
        <v>M</v>
      </c>
      <c r="B901" s="4" t="str" cm="1">
        <f t="array" ref="B901">INDEX(Sheet1!B:B,$F901)</f>
        <v>Undiff SM</v>
      </c>
      <c r="C901" s="4">
        <f t="shared" si="58"/>
        <v>52</v>
      </c>
      <c r="D901" s="5" cm="1">
        <f t="array" aca="1" ref="D901" ca="1">OFFSET(INDIRECT("'["&amp;$H901&amp;"]"&amp;$I901&amp;"'!"&amp;$J901),$L901,$M901)*$K901</f>
        <v>7.6600000000000001E-3</v>
      </c>
      <c r="F901" s="4">
        <f t="shared" si="59"/>
        <v>9</v>
      </c>
      <c r="G901" s="4" cm="1">
        <f t="array" ref="G901">IF($C901&gt;=25,F901,IF($C901&lt;16,INDEX(Sheet1!C:C,$F901),$F901))</f>
        <v>9</v>
      </c>
      <c r="H901" s="4" t="str" cm="1">
        <f t="array" ref="H901">INDEX(Sheet1!D:D,$G901)</f>
        <v>t1138.xlsx</v>
      </c>
      <c r="I901" s="4" t="str" cm="1">
        <f t="array" ref="I901">INDEX(Sheet1!E:E,$G901)</f>
        <v>Sheet1</v>
      </c>
      <c r="J901" s="4" t="str" cm="1">
        <f t="array" ref="J901">IF($C901&gt;=25,INDEX(Sheet1!G:G,$G901),INDEX(Sheet1!F:F,$G901))</f>
        <v>B139</v>
      </c>
      <c r="K901" s="4" cm="1">
        <f t="array" ref="K901">INDEX(Sheet1!H:H,$G901)</f>
        <v>1</v>
      </c>
      <c r="L901" s="4">
        <f t="shared" si="56"/>
        <v>27</v>
      </c>
      <c r="M901" s="4">
        <f t="shared" si="57"/>
        <v>0</v>
      </c>
    </row>
    <row r="902" spans="1:13">
      <c r="A902" s="4" t="str" cm="1">
        <f t="array" ref="A902">INDEX(Sheet1!A:A,$F902)</f>
        <v>M</v>
      </c>
      <c r="B902" s="4" t="str" cm="1">
        <f t="array" ref="B902">INDEX(Sheet1!B:B,$F902)</f>
        <v>Undiff SM</v>
      </c>
      <c r="C902" s="4">
        <f t="shared" si="58"/>
        <v>53</v>
      </c>
      <c r="D902" s="5" cm="1">
        <f t="array" aca="1" ref="D902" ca="1">OFFSET(INDIRECT("'["&amp;$H902&amp;"]"&amp;$I902&amp;"'!"&amp;$J902),$L902,$M902)*$K902</f>
        <v>8.4499999999999992E-3</v>
      </c>
      <c r="F902" s="4">
        <f t="shared" si="59"/>
        <v>9</v>
      </c>
      <c r="G902" s="4" cm="1">
        <f t="array" ref="G902">IF($C902&gt;=25,F902,IF($C902&lt;16,INDEX(Sheet1!C:C,$F902),$F902))</f>
        <v>9</v>
      </c>
      <c r="H902" s="4" t="str" cm="1">
        <f t="array" ref="H902">INDEX(Sheet1!D:D,$G902)</f>
        <v>t1138.xlsx</v>
      </c>
      <c r="I902" s="4" t="str" cm="1">
        <f t="array" ref="I902">INDEX(Sheet1!E:E,$G902)</f>
        <v>Sheet1</v>
      </c>
      <c r="J902" s="4" t="str" cm="1">
        <f t="array" ref="J902">IF($C902&gt;=25,INDEX(Sheet1!G:G,$G902),INDEX(Sheet1!F:F,$G902))</f>
        <v>B139</v>
      </c>
      <c r="K902" s="4" cm="1">
        <f t="array" ref="K902">INDEX(Sheet1!H:H,$G902)</f>
        <v>1</v>
      </c>
      <c r="L902" s="4">
        <f t="shared" si="56"/>
        <v>28</v>
      </c>
      <c r="M902" s="4">
        <f t="shared" si="57"/>
        <v>0</v>
      </c>
    </row>
    <row r="903" spans="1:13">
      <c r="A903" s="4" t="str" cm="1">
        <f t="array" ref="A903">INDEX(Sheet1!A:A,$F903)</f>
        <v>M</v>
      </c>
      <c r="B903" s="4" t="str" cm="1">
        <f t="array" ref="B903">INDEX(Sheet1!B:B,$F903)</f>
        <v>Undiff SM</v>
      </c>
      <c r="C903" s="4">
        <f t="shared" si="58"/>
        <v>54</v>
      </c>
      <c r="D903" s="5" cm="1">
        <f t="array" aca="1" ref="D903" ca="1">OFFSET(INDIRECT("'["&amp;$H903&amp;"]"&amp;$I903&amp;"'!"&amp;$J903),$L903,$M903)*$K903</f>
        <v>9.4400000000000005E-3</v>
      </c>
      <c r="F903" s="4">
        <f t="shared" si="59"/>
        <v>9</v>
      </c>
      <c r="G903" s="4" cm="1">
        <f t="array" ref="G903">IF($C903&gt;=25,F903,IF($C903&lt;16,INDEX(Sheet1!C:C,$F903),$F903))</f>
        <v>9</v>
      </c>
      <c r="H903" s="4" t="str" cm="1">
        <f t="array" ref="H903">INDEX(Sheet1!D:D,$G903)</f>
        <v>t1138.xlsx</v>
      </c>
      <c r="I903" s="4" t="str" cm="1">
        <f t="array" ref="I903">INDEX(Sheet1!E:E,$G903)</f>
        <v>Sheet1</v>
      </c>
      <c r="J903" s="4" t="str" cm="1">
        <f t="array" ref="J903">IF($C903&gt;=25,INDEX(Sheet1!G:G,$G903),INDEX(Sheet1!F:F,$G903))</f>
        <v>B139</v>
      </c>
      <c r="K903" s="4" cm="1">
        <f t="array" ref="K903">INDEX(Sheet1!H:H,$G903)</f>
        <v>1</v>
      </c>
      <c r="L903" s="4">
        <f t="shared" si="56"/>
        <v>29</v>
      </c>
      <c r="M903" s="4">
        <f t="shared" si="57"/>
        <v>0</v>
      </c>
    </row>
    <row r="904" spans="1:13">
      <c r="A904" s="4" t="str" cm="1">
        <f t="array" ref="A904">INDEX(Sheet1!A:A,$F904)</f>
        <v>M</v>
      </c>
      <c r="B904" s="4" t="str" cm="1">
        <f t="array" ref="B904">INDEX(Sheet1!B:B,$F904)</f>
        <v>Undiff SM</v>
      </c>
      <c r="C904" s="4">
        <f t="shared" si="58"/>
        <v>55</v>
      </c>
      <c r="D904" s="5" cm="1">
        <f t="array" aca="1" ref="D904" ca="1">OFFSET(INDIRECT("'["&amp;$H904&amp;"]"&amp;$I904&amp;"'!"&amp;$J904),$L904,$M904)*$K904</f>
        <v>1.056E-2</v>
      </c>
      <c r="F904" s="4">
        <f t="shared" si="59"/>
        <v>9</v>
      </c>
      <c r="G904" s="4" cm="1">
        <f t="array" ref="G904">IF($C904&gt;=25,F904,IF($C904&lt;16,INDEX(Sheet1!C:C,$F904),$F904))</f>
        <v>9</v>
      </c>
      <c r="H904" s="4" t="str" cm="1">
        <f t="array" ref="H904">INDEX(Sheet1!D:D,$G904)</f>
        <v>t1138.xlsx</v>
      </c>
      <c r="I904" s="4" t="str" cm="1">
        <f t="array" ref="I904">INDEX(Sheet1!E:E,$G904)</f>
        <v>Sheet1</v>
      </c>
      <c r="J904" s="4" t="str" cm="1">
        <f t="array" ref="J904">IF($C904&gt;=25,INDEX(Sheet1!G:G,$G904),INDEX(Sheet1!F:F,$G904))</f>
        <v>B139</v>
      </c>
      <c r="K904" s="4" cm="1">
        <f t="array" ref="K904">INDEX(Sheet1!H:H,$G904)</f>
        <v>1</v>
      </c>
      <c r="L904" s="4">
        <f t="shared" si="56"/>
        <v>30</v>
      </c>
      <c r="M904" s="4">
        <f t="shared" si="57"/>
        <v>0</v>
      </c>
    </row>
    <row r="905" spans="1:13">
      <c r="A905" s="4" t="str" cm="1">
        <f t="array" ref="A905">INDEX(Sheet1!A:A,$F905)</f>
        <v>M</v>
      </c>
      <c r="B905" s="4" t="str" cm="1">
        <f t="array" ref="B905">INDEX(Sheet1!B:B,$F905)</f>
        <v>Undiff SM</v>
      </c>
      <c r="C905" s="4">
        <f t="shared" si="58"/>
        <v>56</v>
      </c>
      <c r="D905" s="5" cm="1">
        <f t="array" aca="1" ref="D905" ca="1">OFFSET(INDIRECT("'["&amp;$H905&amp;"]"&amp;$I905&amp;"'!"&amp;$J905),$L905,$M905)*$K905</f>
        <v>1.17E-2</v>
      </c>
      <c r="F905" s="4">
        <f t="shared" si="59"/>
        <v>9</v>
      </c>
      <c r="G905" s="4" cm="1">
        <f t="array" ref="G905">IF($C905&gt;=25,F905,IF($C905&lt;16,INDEX(Sheet1!C:C,$F905),$F905))</f>
        <v>9</v>
      </c>
      <c r="H905" s="4" t="str" cm="1">
        <f t="array" ref="H905">INDEX(Sheet1!D:D,$G905)</f>
        <v>t1138.xlsx</v>
      </c>
      <c r="I905" s="4" t="str" cm="1">
        <f t="array" ref="I905">INDEX(Sheet1!E:E,$G905)</f>
        <v>Sheet1</v>
      </c>
      <c r="J905" s="4" t="str" cm="1">
        <f t="array" ref="J905">IF($C905&gt;=25,INDEX(Sheet1!G:G,$G905),INDEX(Sheet1!F:F,$G905))</f>
        <v>B139</v>
      </c>
      <c r="K905" s="4" cm="1">
        <f t="array" ref="K905">INDEX(Sheet1!H:H,$G905)</f>
        <v>1</v>
      </c>
      <c r="L905" s="4">
        <f t="shared" si="56"/>
        <v>31</v>
      </c>
      <c r="M905" s="4">
        <f t="shared" si="57"/>
        <v>0</v>
      </c>
    </row>
    <row r="906" spans="1:13">
      <c r="A906" s="4" t="str" cm="1">
        <f t="array" ref="A906">INDEX(Sheet1!A:A,$F906)</f>
        <v>M</v>
      </c>
      <c r="B906" s="4" t="str" cm="1">
        <f t="array" ref="B906">INDEX(Sheet1!B:B,$F906)</f>
        <v>Undiff SM</v>
      </c>
      <c r="C906" s="4">
        <f t="shared" si="58"/>
        <v>57</v>
      </c>
      <c r="D906" s="5" cm="1">
        <f t="array" aca="1" ref="D906" ca="1">OFFSET(INDIRECT("'["&amp;$H906&amp;"]"&amp;$I906&amp;"'!"&amp;$J906),$L906,$M906)*$K906</f>
        <v>1.291E-2</v>
      </c>
      <c r="F906" s="4">
        <f t="shared" si="59"/>
        <v>9</v>
      </c>
      <c r="G906" s="4" cm="1">
        <f t="array" ref="G906">IF($C906&gt;=25,F906,IF($C906&lt;16,INDEX(Sheet1!C:C,$F906),$F906))</f>
        <v>9</v>
      </c>
      <c r="H906" s="4" t="str" cm="1">
        <f t="array" ref="H906">INDEX(Sheet1!D:D,$G906)</f>
        <v>t1138.xlsx</v>
      </c>
      <c r="I906" s="4" t="str" cm="1">
        <f t="array" ref="I906">INDEX(Sheet1!E:E,$G906)</f>
        <v>Sheet1</v>
      </c>
      <c r="J906" s="4" t="str" cm="1">
        <f t="array" ref="J906">IF($C906&gt;=25,INDEX(Sheet1!G:G,$G906),INDEX(Sheet1!F:F,$G906))</f>
        <v>B139</v>
      </c>
      <c r="K906" s="4" cm="1">
        <f t="array" ref="K906">INDEX(Sheet1!H:H,$G906)</f>
        <v>1</v>
      </c>
      <c r="L906" s="4">
        <f t="shared" si="56"/>
        <v>32</v>
      </c>
      <c r="M906" s="4">
        <f t="shared" si="57"/>
        <v>0</v>
      </c>
    </row>
    <row r="907" spans="1:13">
      <c r="A907" s="4" t="str" cm="1">
        <f t="array" ref="A907">INDEX(Sheet1!A:A,$F907)</f>
        <v>M</v>
      </c>
      <c r="B907" s="4" t="str" cm="1">
        <f t="array" ref="B907">INDEX(Sheet1!B:B,$F907)</f>
        <v>Undiff SM</v>
      </c>
      <c r="C907" s="4">
        <f t="shared" si="58"/>
        <v>58</v>
      </c>
      <c r="D907" s="5" cm="1">
        <f t="array" aca="1" ref="D907" ca="1">OFFSET(INDIRECT("'["&amp;$H907&amp;"]"&amp;$I907&amp;"'!"&amp;$J907),$L907,$M907)*$K907</f>
        <v>1.3860000000000001E-2</v>
      </c>
      <c r="F907" s="4">
        <f t="shared" si="59"/>
        <v>9</v>
      </c>
      <c r="G907" s="4" cm="1">
        <f t="array" ref="G907">IF($C907&gt;=25,F907,IF($C907&lt;16,INDEX(Sheet1!C:C,$F907),$F907))</f>
        <v>9</v>
      </c>
      <c r="H907" s="4" t="str" cm="1">
        <f t="array" ref="H907">INDEX(Sheet1!D:D,$G907)</f>
        <v>t1138.xlsx</v>
      </c>
      <c r="I907" s="4" t="str" cm="1">
        <f t="array" ref="I907">INDEX(Sheet1!E:E,$G907)</f>
        <v>Sheet1</v>
      </c>
      <c r="J907" s="4" t="str" cm="1">
        <f t="array" ref="J907">IF($C907&gt;=25,INDEX(Sheet1!G:G,$G907),INDEX(Sheet1!F:F,$G907))</f>
        <v>B139</v>
      </c>
      <c r="K907" s="4" cm="1">
        <f t="array" ref="K907">INDEX(Sheet1!H:H,$G907)</f>
        <v>1</v>
      </c>
      <c r="L907" s="4">
        <f t="shared" si="56"/>
        <v>33</v>
      </c>
      <c r="M907" s="4">
        <f t="shared" si="57"/>
        <v>0</v>
      </c>
    </row>
    <row r="908" spans="1:13">
      <c r="A908" s="4" t="str" cm="1">
        <f t="array" ref="A908">INDEX(Sheet1!A:A,$F908)</f>
        <v>M</v>
      </c>
      <c r="B908" s="4" t="str" cm="1">
        <f t="array" ref="B908">INDEX(Sheet1!B:B,$F908)</f>
        <v>Undiff SM</v>
      </c>
      <c r="C908" s="4">
        <f t="shared" si="58"/>
        <v>59</v>
      </c>
      <c r="D908" s="5" cm="1">
        <f t="array" aca="1" ref="D908" ca="1">OFFSET(INDIRECT("'["&amp;$H908&amp;"]"&amp;$I908&amp;"'!"&amp;$J908),$L908,$M908)*$K908</f>
        <v>1.4959999999999999E-2</v>
      </c>
      <c r="F908" s="4">
        <f t="shared" si="59"/>
        <v>9</v>
      </c>
      <c r="G908" s="4" cm="1">
        <f t="array" ref="G908">IF($C908&gt;=25,F908,IF($C908&lt;16,INDEX(Sheet1!C:C,$F908),$F908))</f>
        <v>9</v>
      </c>
      <c r="H908" s="4" t="str" cm="1">
        <f t="array" ref="H908">INDEX(Sheet1!D:D,$G908)</f>
        <v>t1138.xlsx</v>
      </c>
      <c r="I908" s="4" t="str" cm="1">
        <f t="array" ref="I908">INDEX(Sheet1!E:E,$G908)</f>
        <v>Sheet1</v>
      </c>
      <c r="J908" s="4" t="str" cm="1">
        <f t="array" ref="J908">IF($C908&gt;=25,INDEX(Sheet1!G:G,$G908),INDEX(Sheet1!F:F,$G908))</f>
        <v>B139</v>
      </c>
      <c r="K908" s="4" cm="1">
        <f t="array" ref="K908">INDEX(Sheet1!H:H,$G908)</f>
        <v>1</v>
      </c>
      <c r="L908" s="4">
        <f t="shared" si="56"/>
        <v>34</v>
      </c>
      <c r="M908" s="4">
        <f t="shared" si="57"/>
        <v>0</v>
      </c>
    </row>
    <row r="909" spans="1:13">
      <c r="A909" s="4" t="str" cm="1">
        <f t="array" ref="A909">INDEX(Sheet1!A:A,$F909)</f>
        <v>M</v>
      </c>
      <c r="B909" s="4" t="str" cm="1">
        <f t="array" ref="B909">INDEX(Sheet1!B:B,$F909)</f>
        <v>Undiff SM</v>
      </c>
      <c r="C909" s="4">
        <f t="shared" si="58"/>
        <v>60</v>
      </c>
      <c r="D909" s="5" cm="1">
        <f t="array" aca="1" ref="D909" ca="1">OFFSET(INDIRECT("'["&amp;$H909&amp;"]"&amp;$I909&amp;"'!"&amp;$J909),$L909,$M909)*$K909</f>
        <v>1.6289999999999999E-2</v>
      </c>
      <c r="F909" s="4">
        <f t="shared" si="59"/>
        <v>9</v>
      </c>
      <c r="G909" s="4" cm="1">
        <f t="array" ref="G909">IF($C909&gt;=25,F909,IF($C909&lt;16,INDEX(Sheet1!C:C,$F909),$F909))</f>
        <v>9</v>
      </c>
      <c r="H909" s="4" t="str" cm="1">
        <f t="array" ref="H909">INDEX(Sheet1!D:D,$G909)</f>
        <v>t1138.xlsx</v>
      </c>
      <c r="I909" s="4" t="str" cm="1">
        <f t="array" ref="I909">INDEX(Sheet1!E:E,$G909)</f>
        <v>Sheet1</v>
      </c>
      <c r="J909" s="4" t="str" cm="1">
        <f t="array" ref="J909">IF($C909&gt;=25,INDEX(Sheet1!G:G,$G909),INDEX(Sheet1!F:F,$G909))</f>
        <v>B139</v>
      </c>
      <c r="K909" s="4" cm="1">
        <f t="array" ref="K909">INDEX(Sheet1!H:H,$G909)</f>
        <v>1</v>
      </c>
      <c r="L909" s="4">
        <f t="shared" si="56"/>
        <v>35</v>
      </c>
      <c r="M909" s="4">
        <f t="shared" si="57"/>
        <v>0</v>
      </c>
    </row>
    <row r="910" spans="1:13">
      <c r="A910" s="4" t="str" cm="1">
        <f t="array" ref="A910">INDEX(Sheet1!A:A,$F910)</f>
        <v>M</v>
      </c>
      <c r="B910" s="4" t="str" cm="1">
        <f t="array" ref="B910">INDEX(Sheet1!B:B,$F910)</f>
        <v>Undiff SM</v>
      </c>
      <c r="C910" s="4">
        <f t="shared" si="58"/>
        <v>61</v>
      </c>
      <c r="D910" s="5" cm="1">
        <f t="array" aca="1" ref="D910" ca="1">OFFSET(INDIRECT("'["&amp;$H910&amp;"]"&amp;$I910&amp;"'!"&amp;$J910),$L910,$M910)*$K910</f>
        <v>1.7940000000000001E-2</v>
      </c>
      <c r="F910" s="4">
        <f t="shared" si="59"/>
        <v>9</v>
      </c>
      <c r="G910" s="4" cm="1">
        <f t="array" ref="G910">IF($C910&gt;=25,F910,IF($C910&lt;16,INDEX(Sheet1!C:C,$F910),$F910))</f>
        <v>9</v>
      </c>
      <c r="H910" s="4" t="str" cm="1">
        <f t="array" ref="H910">INDEX(Sheet1!D:D,$G910)</f>
        <v>t1138.xlsx</v>
      </c>
      <c r="I910" s="4" t="str" cm="1">
        <f t="array" ref="I910">INDEX(Sheet1!E:E,$G910)</f>
        <v>Sheet1</v>
      </c>
      <c r="J910" s="4" t="str" cm="1">
        <f t="array" ref="J910">IF($C910&gt;=25,INDEX(Sheet1!G:G,$G910),INDEX(Sheet1!F:F,$G910))</f>
        <v>B139</v>
      </c>
      <c r="K910" s="4" cm="1">
        <f t="array" ref="K910">INDEX(Sheet1!H:H,$G910)</f>
        <v>1</v>
      </c>
      <c r="L910" s="4">
        <f t="shared" si="56"/>
        <v>36</v>
      </c>
      <c r="M910" s="4">
        <f t="shared" si="57"/>
        <v>0</v>
      </c>
    </row>
    <row r="911" spans="1:13">
      <c r="A911" s="4" t="str" cm="1">
        <f t="array" ref="A911">INDEX(Sheet1!A:A,$F911)</f>
        <v>M</v>
      </c>
      <c r="B911" s="4" t="str" cm="1">
        <f t="array" ref="B911">INDEX(Sheet1!B:B,$F911)</f>
        <v>Undiff SM</v>
      </c>
      <c r="C911" s="4">
        <f t="shared" si="58"/>
        <v>62</v>
      </c>
      <c r="D911" s="5" cm="1">
        <f t="array" aca="1" ref="D911" ca="1">OFFSET(INDIRECT("'["&amp;$H911&amp;"]"&amp;$I911&amp;"'!"&amp;$J911),$L911,$M911)*$K911</f>
        <v>1.993E-2</v>
      </c>
      <c r="F911" s="4">
        <f t="shared" si="59"/>
        <v>9</v>
      </c>
      <c r="G911" s="4" cm="1">
        <f t="array" ref="G911">IF($C911&gt;=25,F911,IF($C911&lt;16,INDEX(Sheet1!C:C,$F911),$F911))</f>
        <v>9</v>
      </c>
      <c r="H911" s="4" t="str" cm="1">
        <f t="array" ref="H911">INDEX(Sheet1!D:D,$G911)</f>
        <v>t1138.xlsx</v>
      </c>
      <c r="I911" s="4" t="str" cm="1">
        <f t="array" ref="I911">INDEX(Sheet1!E:E,$G911)</f>
        <v>Sheet1</v>
      </c>
      <c r="J911" s="4" t="str" cm="1">
        <f t="array" ref="J911">IF($C911&gt;=25,INDEX(Sheet1!G:G,$G911),INDEX(Sheet1!F:F,$G911))</f>
        <v>B139</v>
      </c>
      <c r="K911" s="4" cm="1">
        <f t="array" ref="K911">INDEX(Sheet1!H:H,$G911)</f>
        <v>1</v>
      </c>
      <c r="L911" s="4">
        <f t="shared" si="56"/>
        <v>37</v>
      </c>
      <c r="M911" s="4">
        <f t="shared" si="57"/>
        <v>0</v>
      </c>
    </row>
    <row r="912" spans="1:13">
      <c r="A912" s="4" t="str" cm="1">
        <f t="array" ref="A912">INDEX(Sheet1!A:A,$F912)</f>
        <v>M</v>
      </c>
      <c r="B912" s="4" t="str" cm="1">
        <f t="array" ref="B912">INDEX(Sheet1!B:B,$F912)</f>
        <v>Undiff SM</v>
      </c>
      <c r="C912" s="4">
        <f t="shared" si="58"/>
        <v>63</v>
      </c>
      <c r="D912" s="5" cm="1">
        <f t="array" aca="1" ref="D912" ca="1">OFFSET(INDIRECT("'["&amp;$H912&amp;"]"&amp;$I912&amp;"'!"&amp;$J912),$L912,$M912)*$K912</f>
        <v>2.214E-2</v>
      </c>
      <c r="F912" s="4">
        <f t="shared" si="59"/>
        <v>9</v>
      </c>
      <c r="G912" s="4" cm="1">
        <f t="array" ref="G912">IF($C912&gt;=25,F912,IF($C912&lt;16,INDEX(Sheet1!C:C,$F912),$F912))</f>
        <v>9</v>
      </c>
      <c r="H912" s="4" t="str" cm="1">
        <f t="array" ref="H912">INDEX(Sheet1!D:D,$G912)</f>
        <v>t1138.xlsx</v>
      </c>
      <c r="I912" s="4" t="str" cm="1">
        <f t="array" ref="I912">INDEX(Sheet1!E:E,$G912)</f>
        <v>Sheet1</v>
      </c>
      <c r="J912" s="4" t="str" cm="1">
        <f t="array" ref="J912">IF($C912&gt;=25,INDEX(Sheet1!G:G,$G912),INDEX(Sheet1!F:F,$G912))</f>
        <v>B139</v>
      </c>
      <c r="K912" s="4" cm="1">
        <f t="array" ref="K912">INDEX(Sheet1!H:H,$G912)</f>
        <v>1</v>
      </c>
      <c r="L912" s="4">
        <f t="shared" si="56"/>
        <v>38</v>
      </c>
      <c r="M912" s="4">
        <f t="shared" si="57"/>
        <v>0</v>
      </c>
    </row>
    <row r="913" spans="1:13">
      <c r="A913" s="4" t="str" cm="1">
        <f t="array" ref="A913">INDEX(Sheet1!A:A,$F913)</f>
        <v>M</v>
      </c>
      <c r="B913" s="4" t="str" cm="1">
        <f t="array" ref="B913">INDEX(Sheet1!B:B,$F913)</f>
        <v>Undiff SM</v>
      </c>
      <c r="C913" s="4">
        <f t="shared" si="58"/>
        <v>64</v>
      </c>
      <c r="D913" s="5" cm="1">
        <f t="array" aca="1" ref="D913" ca="1">OFFSET(INDIRECT("'["&amp;$H913&amp;"]"&amp;$I913&amp;"'!"&amp;$J913),$L913,$M913)*$K913</f>
        <v>2.4400000000000002E-2</v>
      </c>
      <c r="F913" s="4">
        <f t="shared" si="59"/>
        <v>9</v>
      </c>
      <c r="G913" s="4" cm="1">
        <f t="array" ref="G913">IF($C913&gt;=25,F913,IF($C913&lt;16,INDEX(Sheet1!C:C,$F913),$F913))</f>
        <v>9</v>
      </c>
      <c r="H913" s="4" t="str" cm="1">
        <f t="array" ref="H913">INDEX(Sheet1!D:D,$G913)</f>
        <v>t1138.xlsx</v>
      </c>
      <c r="I913" s="4" t="str" cm="1">
        <f t="array" ref="I913">INDEX(Sheet1!E:E,$G913)</f>
        <v>Sheet1</v>
      </c>
      <c r="J913" s="4" t="str" cm="1">
        <f t="array" ref="J913">IF($C913&gt;=25,INDEX(Sheet1!G:G,$G913),INDEX(Sheet1!F:F,$G913))</f>
        <v>B139</v>
      </c>
      <c r="K913" s="4" cm="1">
        <f t="array" ref="K913">INDEX(Sheet1!H:H,$G913)</f>
        <v>1</v>
      </c>
      <c r="L913" s="4">
        <f t="shared" si="56"/>
        <v>39</v>
      </c>
      <c r="M913" s="4">
        <f t="shared" si="57"/>
        <v>0</v>
      </c>
    </row>
    <row r="914" spans="1:13">
      <c r="A914" s="4" t="str" cm="1">
        <f t="array" ref="A914">INDEX(Sheet1!A:A,$F914)</f>
        <v>M</v>
      </c>
      <c r="B914" s="4" t="str" cm="1">
        <f t="array" ref="B914">INDEX(Sheet1!B:B,$F914)</f>
        <v>Undiff SM</v>
      </c>
      <c r="C914" s="4">
        <f t="shared" si="58"/>
        <v>65</v>
      </c>
      <c r="D914" s="5" cm="1">
        <f t="array" aca="1" ref="D914" ca="1">OFFSET(INDIRECT("'["&amp;$H914&amp;"]"&amp;$I914&amp;"'!"&amp;$J914),$L914,$M914)*$K914</f>
        <v>2.6630000000000001E-2</v>
      </c>
      <c r="F914" s="4">
        <f t="shared" si="59"/>
        <v>9</v>
      </c>
      <c r="G914" s="4" cm="1">
        <f t="array" ref="G914">IF($C914&gt;=25,F914,IF($C914&lt;16,INDEX(Sheet1!C:C,$F914),$F914))</f>
        <v>9</v>
      </c>
      <c r="H914" s="4" t="str" cm="1">
        <f t="array" ref="H914">INDEX(Sheet1!D:D,$G914)</f>
        <v>t1138.xlsx</v>
      </c>
      <c r="I914" s="4" t="str" cm="1">
        <f t="array" ref="I914">INDEX(Sheet1!E:E,$G914)</f>
        <v>Sheet1</v>
      </c>
      <c r="J914" s="4" t="str" cm="1">
        <f t="array" ref="J914">IF($C914&gt;=25,INDEX(Sheet1!G:G,$G914),INDEX(Sheet1!F:F,$G914))</f>
        <v>B139</v>
      </c>
      <c r="K914" s="4" cm="1">
        <f t="array" ref="K914">INDEX(Sheet1!H:H,$G914)</f>
        <v>1</v>
      </c>
      <c r="L914" s="4">
        <f t="shared" si="56"/>
        <v>40</v>
      </c>
      <c r="M914" s="4">
        <f t="shared" si="57"/>
        <v>0</v>
      </c>
    </row>
    <row r="915" spans="1:13">
      <c r="A915" s="4" t="str" cm="1">
        <f t="array" ref="A915">INDEX(Sheet1!A:A,$F915)</f>
        <v>M</v>
      </c>
      <c r="B915" s="4" t="str" cm="1">
        <f t="array" ref="B915">INDEX(Sheet1!B:B,$F915)</f>
        <v>Undiff SM</v>
      </c>
      <c r="C915" s="4">
        <f t="shared" si="58"/>
        <v>66</v>
      </c>
      <c r="D915" s="5" cm="1">
        <f t="array" aca="1" ref="D915" ca="1">OFFSET(INDIRECT("'["&amp;$H915&amp;"]"&amp;$I915&amp;"'!"&amp;$J915),$L915,$M915)*$K915</f>
        <v>2.878E-2</v>
      </c>
      <c r="F915" s="4">
        <f t="shared" si="59"/>
        <v>9</v>
      </c>
      <c r="G915" s="4" cm="1">
        <f t="array" ref="G915">IF($C915&gt;=25,F915,IF($C915&lt;16,INDEX(Sheet1!C:C,$F915),$F915))</f>
        <v>9</v>
      </c>
      <c r="H915" s="4" t="str" cm="1">
        <f t="array" ref="H915">INDEX(Sheet1!D:D,$G915)</f>
        <v>t1138.xlsx</v>
      </c>
      <c r="I915" s="4" t="str" cm="1">
        <f t="array" ref="I915">INDEX(Sheet1!E:E,$G915)</f>
        <v>Sheet1</v>
      </c>
      <c r="J915" s="4" t="str" cm="1">
        <f t="array" ref="J915">IF($C915&gt;=25,INDEX(Sheet1!G:G,$G915),INDEX(Sheet1!F:F,$G915))</f>
        <v>B139</v>
      </c>
      <c r="K915" s="4" cm="1">
        <f t="array" ref="K915">INDEX(Sheet1!H:H,$G915)</f>
        <v>1</v>
      </c>
      <c r="L915" s="4">
        <f t="shared" si="56"/>
        <v>41</v>
      </c>
      <c r="M915" s="4">
        <f t="shared" si="57"/>
        <v>0</v>
      </c>
    </row>
    <row r="916" spans="1:13">
      <c r="A916" s="4" t="str" cm="1">
        <f t="array" ref="A916">INDEX(Sheet1!A:A,$F916)</f>
        <v>M</v>
      </c>
      <c r="B916" s="4" t="str" cm="1">
        <f t="array" ref="B916">INDEX(Sheet1!B:B,$F916)</f>
        <v>Undiff SM</v>
      </c>
      <c r="C916" s="4">
        <f t="shared" si="58"/>
        <v>67</v>
      </c>
      <c r="D916" s="5" cm="1">
        <f t="array" aca="1" ref="D916" ca="1">OFFSET(INDIRECT("'["&amp;$H916&amp;"]"&amp;$I916&amp;"'!"&amp;$J916),$L916,$M916)*$K916</f>
        <v>3.0870000000000002E-2</v>
      </c>
      <c r="F916" s="4">
        <f t="shared" si="59"/>
        <v>9</v>
      </c>
      <c r="G916" s="4" cm="1">
        <f t="array" ref="G916">IF($C916&gt;=25,F916,IF($C916&lt;16,INDEX(Sheet1!C:C,$F916),$F916))</f>
        <v>9</v>
      </c>
      <c r="H916" s="4" t="str" cm="1">
        <f t="array" ref="H916">INDEX(Sheet1!D:D,$G916)</f>
        <v>t1138.xlsx</v>
      </c>
      <c r="I916" s="4" t="str" cm="1">
        <f t="array" ref="I916">INDEX(Sheet1!E:E,$G916)</f>
        <v>Sheet1</v>
      </c>
      <c r="J916" s="4" t="str" cm="1">
        <f t="array" ref="J916">IF($C916&gt;=25,INDEX(Sheet1!G:G,$G916),INDEX(Sheet1!F:F,$G916))</f>
        <v>B139</v>
      </c>
      <c r="K916" s="4" cm="1">
        <f t="array" ref="K916">INDEX(Sheet1!H:H,$G916)</f>
        <v>1</v>
      </c>
      <c r="L916" s="4">
        <f t="shared" si="56"/>
        <v>42</v>
      </c>
      <c r="M916" s="4">
        <f t="shared" si="57"/>
        <v>0</v>
      </c>
    </row>
    <row r="917" spans="1:13">
      <c r="A917" s="4" t="str" cm="1">
        <f t="array" ref="A917">INDEX(Sheet1!A:A,$F917)</f>
        <v>M</v>
      </c>
      <c r="B917" s="4" t="str" cm="1">
        <f t="array" ref="B917">INDEX(Sheet1!B:B,$F917)</f>
        <v>Undiff SM</v>
      </c>
      <c r="C917" s="4">
        <f t="shared" si="58"/>
        <v>68</v>
      </c>
      <c r="D917" s="5" cm="1">
        <f t="array" aca="1" ref="D917" ca="1">OFFSET(INDIRECT("'["&amp;$H917&amp;"]"&amp;$I917&amp;"'!"&amp;$J917),$L917,$M917)*$K917</f>
        <v>3.3070000000000002E-2</v>
      </c>
      <c r="F917" s="4">
        <f t="shared" si="59"/>
        <v>9</v>
      </c>
      <c r="G917" s="4" cm="1">
        <f t="array" ref="G917">IF($C917&gt;=25,F917,IF($C917&lt;16,INDEX(Sheet1!C:C,$F917),$F917))</f>
        <v>9</v>
      </c>
      <c r="H917" s="4" t="str" cm="1">
        <f t="array" ref="H917">INDEX(Sheet1!D:D,$G917)</f>
        <v>t1138.xlsx</v>
      </c>
      <c r="I917" s="4" t="str" cm="1">
        <f t="array" ref="I917">INDEX(Sheet1!E:E,$G917)</f>
        <v>Sheet1</v>
      </c>
      <c r="J917" s="4" t="str" cm="1">
        <f t="array" ref="J917">IF($C917&gt;=25,INDEX(Sheet1!G:G,$G917),INDEX(Sheet1!F:F,$G917))</f>
        <v>B139</v>
      </c>
      <c r="K917" s="4" cm="1">
        <f t="array" ref="K917">INDEX(Sheet1!H:H,$G917)</f>
        <v>1</v>
      </c>
      <c r="L917" s="4">
        <f t="shared" si="56"/>
        <v>43</v>
      </c>
      <c r="M917" s="4">
        <f t="shared" si="57"/>
        <v>0</v>
      </c>
    </row>
    <row r="918" spans="1:13">
      <c r="A918" s="4" t="str" cm="1">
        <f t="array" ref="A918">INDEX(Sheet1!A:A,$F918)</f>
        <v>M</v>
      </c>
      <c r="B918" s="4" t="str" cm="1">
        <f t="array" ref="B918">INDEX(Sheet1!B:B,$F918)</f>
        <v>Undiff SM</v>
      </c>
      <c r="C918" s="4">
        <f t="shared" si="58"/>
        <v>69</v>
      </c>
      <c r="D918" s="5" cm="1">
        <f t="array" aca="1" ref="D918" ca="1">OFFSET(INDIRECT("'["&amp;$H918&amp;"]"&amp;$I918&amp;"'!"&amp;$J918),$L918,$M918)*$K918</f>
        <v>3.5249999999999997E-2</v>
      </c>
      <c r="F918" s="4">
        <f t="shared" si="59"/>
        <v>9</v>
      </c>
      <c r="G918" s="4" cm="1">
        <f t="array" ref="G918">IF($C918&gt;=25,F918,IF($C918&lt;16,INDEX(Sheet1!C:C,$F918),$F918))</f>
        <v>9</v>
      </c>
      <c r="H918" s="4" t="str" cm="1">
        <f t="array" ref="H918">INDEX(Sheet1!D:D,$G918)</f>
        <v>t1138.xlsx</v>
      </c>
      <c r="I918" s="4" t="str" cm="1">
        <f t="array" ref="I918">INDEX(Sheet1!E:E,$G918)</f>
        <v>Sheet1</v>
      </c>
      <c r="J918" s="4" t="str" cm="1">
        <f t="array" ref="J918">IF($C918&gt;=25,INDEX(Sheet1!G:G,$G918),INDEX(Sheet1!F:F,$G918))</f>
        <v>B139</v>
      </c>
      <c r="K918" s="4" cm="1">
        <f t="array" ref="K918">INDEX(Sheet1!H:H,$G918)</f>
        <v>1</v>
      </c>
      <c r="L918" s="4">
        <f t="shared" si="56"/>
        <v>44</v>
      </c>
      <c r="M918" s="4">
        <f t="shared" si="57"/>
        <v>0</v>
      </c>
    </row>
    <row r="919" spans="1:13">
      <c r="A919" s="4" t="str" cm="1">
        <f t="array" ref="A919">INDEX(Sheet1!A:A,$F919)</f>
        <v>M</v>
      </c>
      <c r="B919" s="4" t="str" cm="1">
        <f t="array" ref="B919">INDEX(Sheet1!B:B,$F919)</f>
        <v>Undiff SM</v>
      </c>
      <c r="C919" s="4">
        <f t="shared" si="58"/>
        <v>70</v>
      </c>
      <c r="D919" s="5" cm="1">
        <f t="array" aca="1" ref="D919" ca="1">OFFSET(INDIRECT("'["&amp;$H919&amp;"]"&amp;$I919&amp;"'!"&amp;$J919),$L919,$M919)*$K919</f>
        <v>3.789E-2</v>
      </c>
      <c r="F919" s="4">
        <f t="shared" si="59"/>
        <v>9</v>
      </c>
      <c r="G919" s="4" cm="1">
        <f t="array" ref="G919">IF($C919&gt;=25,F919,IF($C919&lt;16,INDEX(Sheet1!C:C,$F919),$F919))</f>
        <v>9</v>
      </c>
      <c r="H919" s="4" t="str" cm="1">
        <f t="array" ref="H919">INDEX(Sheet1!D:D,$G919)</f>
        <v>t1138.xlsx</v>
      </c>
      <c r="I919" s="4" t="str" cm="1">
        <f t="array" ref="I919">INDEX(Sheet1!E:E,$G919)</f>
        <v>Sheet1</v>
      </c>
      <c r="J919" s="4" t="str" cm="1">
        <f t="array" ref="J919">IF($C919&gt;=25,INDEX(Sheet1!G:G,$G919),INDEX(Sheet1!F:F,$G919))</f>
        <v>B139</v>
      </c>
      <c r="K919" s="4" cm="1">
        <f t="array" ref="K919">INDEX(Sheet1!H:H,$G919)</f>
        <v>1</v>
      </c>
      <c r="L919" s="4">
        <f t="shared" si="56"/>
        <v>45</v>
      </c>
      <c r="M919" s="4">
        <f t="shared" si="57"/>
        <v>0</v>
      </c>
    </row>
    <row r="920" spans="1:13">
      <c r="A920" s="4" t="str" cm="1">
        <f t="array" ref="A920">INDEX(Sheet1!A:A,$F920)</f>
        <v>M</v>
      </c>
      <c r="B920" s="4" t="str" cm="1">
        <f t="array" ref="B920">INDEX(Sheet1!B:B,$F920)</f>
        <v>Undiff SM</v>
      </c>
      <c r="C920" s="4">
        <f t="shared" si="58"/>
        <v>71</v>
      </c>
      <c r="D920" s="5" cm="1">
        <f t="array" aca="1" ref="D920" ca="1">OFFSET(INDIRECT("'["&amp;$H920&amp;"]"&amp;$I920&amp;"'!"&amp;$J920),$L920,$M920)*$K920</f>
        <v>4.0779999999999997E-2</v>
      </c>
      <c r="F920" s="4">
        <f t="shared" si="59"/>
        <v>9</v>
      </c>
      <c r="G920" s="4" cm="1">
        <f t="array" ref="G920">IF($C920&gt;=25,F920,IF($C920&lt;16,INDEX(Sheet1!C:C,$F920),$F920))</f>
        <v>9</v>
      </c>
      <c r="H920" s="4" t="str" cm="1">
        <f t="array" ref="H920">INDEX(Sheet1!D:D,$G920)</f>
        <v>t1138.xlsx</v>
      </c>
      <c r="I920" s="4" t="str" cm="1">
        <f t="array" ref="I920">INDEX(Sheet1!E:E,$G920)</f>
        <v>Sheet1</v>
      </c>
      <c r="J920" s="4" t="str" cm="1">
        <f t="array" ref="J920">IF($C920&gt;=25,INDEX(Sheet1!G:G,$G920),INDEX(Sheet1!F:F,$G920))</f>
        <v>B139</v>
      </c>
      <c r="K920" s="4" cm="1">
        <f t="array" ref="K920">INDEX(Sheet1!H:H,$G920)</f>
        <v>1</v>
      </c>
      <c r="L920" s="4">
        <f t="shared" si="56"/>
        <v>46</v>
      </c>
      <c r="M920" s="4">
        <f t="shared" si="57"/>
        <v>0</v>
      </c>
    </row>
    <row r="921" spans="1:13">
      <c r="A921" s="4" t="str" cm="1">
        <f t="array" ref="A921">INDEX(Sheet1!A:A,$F921)</f>
        <v>M</v>
      </c>
      <c r="B921" s="4" t="str" cm="1">
        <f t="array" ref="B921">INDEX(Sheet1!B:B,$F921)</f>
        <v>Undiff SM</v>
      </c>
      <c r="C921" s="4">
        <f t="shared" si="58"/>
        <v>72</v>
      </c>
      <c r="D921" s="5" cm="1">
        <f t="array" aca="1" ref="D921" ca="1">OFFSET(INDIRECT("'["&amp;$H921&amp;"]"&amp;$I921&amp;"'!"&amp;$J921),$L921,$M921)*$K921</f>
        <v>4.471E-2</v>
      </c>
      <c r="F921" s="4">
        <f t="shared" si="59"/>
        <v>9</v>
      </c>
      <c r="G921" s="4" cm="1">
        <f t="array" ref="G921">IF($C921&gt;=25,F921,IF($C921&lt;16,INDEX(Sheet1!C:C,$F921),$F921))</f>
        <v>9</v>
      </c>
      <c r="H921" s="4" t="str" cm="1">
        <f t="array" ref="H921">INDEX(Sheet1!D:D,$G921)</f>
        <v>t1138.xlsx</v>
      </c>
      <c r="I921" s="4" t="str" cm="1">
        <f t="array" ref="I921">INDEX(Sheet1!E:E,$G921)</f>
        <v>Sheet1</v>
      </c>
      <c r="J921" s="4" t="str" cm="1">
        <f t="array" ref="J921">IF($C921&gt;=25,INDEX(Sheet1!G:G,$G921),INDEX(Sheet1!F:F,$G921))</f>
        <v>B139</v>
      </c>
      <c r="K921" s="4" cm="1">
        <f t="array" ref="K921">INDEX(Sheet1!H:H,$G921)</f>
        <v>1</v>
      </c>
      <c r="L921" s="4">
        <f t="shared" si="56"/>
        <v>47</v>
      </c>
      <c r="M921" s="4">
        <f t="shared" si="57"/>
        <v>0</v>
      </c>
    </row>
    <row r="922" spans="1:13">
      <c r="A922" s="4" t="str" cm="1">
        <f t="array" ref="A922">INDEX(Sheet1!A:A,$F922)</f>
        <v>M</v>
      </c>
      <c r="B922" s="4" t="str" cm="1">
        <f t="array" ref="B922">INDEX(Sheet1!B:B,$F922)</f>
        <v>Undiff SM</v>
      </c>
      <c r="C922" s="4">
        <f t="shared" si="58"/>
        <v>73</v>
      </c>
      <c r="D922" s="5" cm="1">
        <f t="array" aca="1" ref="D922" ca="1">OFFSET(INDIRECT("'["&amp;$H922&amp;"]"&amp;$I922&amp;"'!"&amp;$J922),$L922,$M922)*$K922</f>
        <v>4.8660000000000002E-2</v>
      </c>
      <c r="F922" s="4">
        <f t="shared" si="59"/>
        <v>9</v>
      </c>
      <c r="G922" s="4" cm="1">
        <f t="array" ref="G922">IF($C922&gt;=25,F922,IF($C922&lt;16,INDEX(Sheet1!C:C,$F922),$F922))</f>
        <v>9</v>
      </c>
      <c r="H922" s="4" t="str" cm="1">
        <f t="array" ref="H922">INDEX(Sheet1!D:D,$G922)</f>
        <v>t1138.xlsx</v>
      </c>
      <c r="I922" s="4" t="str" cm="1">
        <f t="array" ref="I922">INDEX(Sheet1!E:E,$G922)</f>
        <v>Sheet1</v>
      </c>
      <c r="J922" s="4" t="str" cm="1">
        <f t="array" ref="J922">IF($C922&gt;=25,INDEX(Sheet1!G:G,$G922),INDEX(Sheet1!F:F,$G922))</f>
        <v>B139</v>
      </c>
      <c r="K922" s="4" cm="1">
        <f t="array" ref="K922">INDEX(Sheet1!H:H,$G922)</f>
        <v>1</v>
      </c>
      <c r="L922" s="4">
        <f t="shared" si="56"/>
        <v>48</v>
      </c>
      <c r="M922" s="4">
        <f t="shared" si="57"/>
        <v>0</v>
      </c>
    </row>
    <row r="923" spans="1:13">
      <c r="A923" s="4" t="str" cm="1">
        <f t="array" ref="A923">INDEX(Sheet1!A:A,$F923)</f>
        <v>M</v>
      </c>
      <c r="B923" s="4" t="str" cm="1">
        <f t="array" ref="B923">INDEX(Sheet1!B:B,$F923)</f>
        <v>Undiff SM</v>
      </c>
      <c r="C923" s="4">
        <f t="shared" si="58"/>
        <v>74</v>
      </c>
      <c r="D923" s="5" cm="1">
        <f t="array" aca="1" ref="D923" ca="1">OFFSET(INDIRECT("'["&amp;$H923&amp;"]"&amp;$I923&amp;"'!"&amp;$J923),$L923,$M923)*$K923</f>
        <v>5.2650000000000002E-2</v>
      </c>
      <c r="F923" s="4">
        <f t="shared" si="59"/>
        <v>9</v>
      </c>
      <c r="G923" s="4" cm="1">
        <f t="array" ref="G923">IF($C923&gt;=25,F923,IF($C923&lt;16,INDEX(Sheet1!C:C,$F923),$F923))</f>
        <v>9</v>
      </c>
      <c r="H923" s="4" t="str" cm="1">
        <f t="array" ref="H923">INDEX(Sheet1!D:D,$G923)</f>
        <v>t1138.xlsx</v>
      </c>
      <c r="I923" s="4" t="str" cm="1">
        <f t="array" ref="I923">INDEX(Sheet1!E:E,$G923)</f>
        <v>Sheet1</v>
      </c>
      <c r="J923" s="4" t="str" cm="1">
        <f t="array" ref="J923">IF($C923&gt;=25,INDEX(Sheet1!G:G,$G923),INDEX(Sheet1!F:F,$G923))</f>
        <v>B139</v>
      </c>
      <c r="K923" s="4" cm="1">
        <f t="array" ref="K923">INDEX(Sheet1!H:H,$G923)</f>
        <v>1</v>
      </c>
      <c r="L923" s="4">
        <f t="shared" si="56"/>
        <v>49</v>
      </c>
      <c r="M923" s="4">
        <f t="shared" si="57"/>
        <v>0</v>
      </c>
    </row>
    <row r="924" spans="1:13">
      <c r="A924" s="4" t="str" cm="1">
        <f t="array" ref="A924">INDEX(Sheet1!A:A,$F924)</f>
        <v>M</v>
      </c>
      <c r="B924" s="4" t="str" cm="1">
        <f t="array" ref="B924">INDEX(Sheet1!B:B,$F924)</f>
        <v>Undiff SM</v>
      </c>
      <c r="C924" s="4">
        <f t="shared" si="58"/>
        <v>75</v>
      </c>
      <c r="D924" s="5" cm="1">
        <f t="array" aca="1" ref="D924" ca="1">OFFSET(INDIRECT("'["&amp;$H924&amp;"]"&amp;$I924&amp;"'!"&amp;$J924),$L924,$M924)*$K924</f>
        <v>5.7290000000000001E-2</v>
      </c>
      <c r="F924" s="4">
        <f t="shared" si="59"/>
        <v>9</v>
      </c>
      <c r="G924" s="4" cm="1">
        <f t="array" ref="G924">IF($C924&gt;=25,F924,IF($C924&lt;16,INDEX(Sheet1!C:C,$F924),$F924))</f>
        <v>9</v>
      </c>
      <c r="H924" s="4" t="str" cm="1">
        <f t="array" ref="H924">INDEX(Sheet1!D:D,$G924)</f>
        <v>t1138.xlsx</v>
      </c>
      <c r="I924" s="4" t="str" cm="1">
        <f t="array" ref="I924">INDEX(Sheet1!E:E,$G924)</f>
        <v>Sheet1</v>
      </c>
      <c r="J924" s="4" t="str" cm="1">
        <f t="array" ref="J924">IF($C924&gt;=25,INDEX(Sheet1!G:G,$G924),INDEX(Sheet1!F:F,$G924))</f>
        <v>B139</v>
      </c>
      <c r="K924" s="4" cm="1">
        <f t="array" ref="K924">INDEX(Sheet1!H:H,$G924)</f>
        <v>1</v>
      </c>
      <c r="L924" s="4">
        <f t="shared" si="56"/>
        <v>50</v>
      </c>
      <c r="M924" s="4">
        <f t="shared" si="57"/>
        <v>0</v>
      </c>
    </row>
    <row r="925" spans="1:13">
      <c r="A925" s="4" t="str" cm="1">
        <f t="array" ref="A925">INDEX(Sheet1!A:A,$F925)</f>
        <v>M</v>
      </c>
      <c r="B925" s="4" t="str" cm="1">
        <f t="array" ref="B925">INDEX(Sheet1!B:B,$F925)</f>
        <v>Undiff SM</v>
      </c>
      <c r="C925" s="4">
        <f t="shared" si="58"/>
        <v>76</v>
      </c>
      <c r="D925" s="5" cm="1">
        <f t="array" aca="1" ref="D925" ca="1">OFFSET(INDIRECT("'["&amp;$H925&amp;"]"&amp;$I925&amp;"'!"&amp;$J925),$L925,$M925)*$K925</f>
        <v>6.2230000000000001E-2</v>
      </c>
      <c r="F925" s="4">
        <f t="shared" si="59"/>
        <v>9</v>
      </c>
      <c r="G925" s="4" cm="1">
        <f t="array" ref="G925">IF($C925&gt;=25,F925,IF($C925&lt;16,INDEX(Sheet1!C:C,$F925),$F925))</f>
        <v>9</v>
      </c>
      <c r="H925" s="4" t="str" cm="1">
        <f t="array" ref="H925">INDEX(Sheet1!D:D,$G925)</f>
        <v>t1138.xlsx</v>
      </c>
      <c r="I925" s="4" t="str" cm="1">
        <f t="array" ref="I925">INDEX(Sheet1!E:E,$G925)</f>
        <v>Sheet1</v>
      </c>
      <c r="J925" s="4" t="str" cm="1">
        <f t="array" ref="J925">IF($C925&gt;=25,INDEX(Sheet1!G:G,$G925),INDEX(Sheet1!F:F,$G925))</f>
        <v>B139</v>
      </c>
      <c r="K925" s="4" cm="1">
        <f t="array" ref="K925">INDEX(Sheet1!H:H,$G925)</f>
        <v>1</v>
      </c>
      <c r="L925" s="4">
        <f t="shared" si="56"/>
        <v>51</v>
      </c>
      <c r="M925" s="4">
        <f t="shared" si="57"/>
        <v>0</v>
      </c>
    </row>
    <row r="926" spans="1:13">
      <c r="A926" s="4" t="str" cm="1">
        <f t="array" ref="A926">INDEX(Sheet1!A:A,$F926)</f>
        <v>M</v>
      </c>
      <c r="B926" s="4" t="str" cm="1">
        <f t="array" ref="B926">INDEX(Sheet1!B:B,$F926)</f>
        <v>Undiff SM</v>
      </c>
      <c r="C926" s="4">
        <f t="shared" si="58"/>
        <v>77</v>
      </c>
      <c r="D926" s="5" cm="1">
        <f t="array" aca="1" ref="D926" ca="1">OFFSET(INDIRECT("'["&amp;$H926&amp;"]"&amp;$I926&amp;"'!"&amp;$J926),$L926,$M926)*$K926</f>
        <v>6.794E-2</v>
      </c>
      <c r="F926" s="4">
        <f t="shared" si="59"/>
        <v>9</v>
      </c>
      <c r="G926" s="4" cm="1">
        <f t="array" ref="G926">IF($C926&gt;=25,F926,IF($C926&lt;16,INDEX(Sheet1!C:C,$F926),$F926))</f>
        <v>9</v>
      </c>
      <c r="H926" s="4" t="str" cm="1">
        <f t="array" ref="H926">INDEX(Sheet1!D:D,$G926)</f>
        <v>t1138.xlsx</v>
      </c>
      <c r="I926" s="4" t="str" cm="1">
        <f t="array" ref="I926">INDEX(Sheet1!E:E,$G926)</f>
        <v>Sheet1</v>
      </c>
      <c r="J926" s="4" t="str" cm="1">
        <f t="array" ref="J926">IF($C926&gt;=25,INDEX(Sheet1!G:G,$G926),INDEX(Sheet1!F:F,$G926))</f>
        <v>B139</v>
      </c>
      <c r="K926" s="4" cm="1">
        <f t="array" ref="K926">INDEX(Sheet1!H:H,$G926)</f>
        <v>1</v>
      </c>
      <c r="L926" s="4">
        <f t="shared" si="56"/>
        <v>52</v>
      </c>
      <c r="M926" s="4">
        <f t="shared" si="57"/>
        <v>0</v>
      </c>
    </row>
    <row r="927" spans="1:13">
      <c r="A927" s="4" t="str" cm="1">
        <f t="array" ref="A927">INDEX(Sheet1!A:A,$F927)</f>
        <v>M</v>
      </c>
      <c r="B927" s="4" t="str" cm="1">
        <f t="array" ref="B927">INDEX(Sheet1!B:B,$F927)</f>
        <v>Undiff SM</v>
      </c>
      <c r="C927" s="4">
        <f t="shared" si="58"/>
        <v>78</v>
      </c>
      <c r="D927" s="5" cm="1">
        <f t="array" aca="1" ref="D927" ca="1">OFFSET(INDIRECT("'["&amp;$H927&amp;"]"&amp;$I927&amp;"'!"&amp;$J927),$L927,$M927)*$K927</f>
        <v>7.4539999999999995E-2</v>
      </c>
      <c r="F927" s="4">
        <f t="shared" si="59"/>
        <v>9</v>
      </c>
      <c r="G927" s="4" cm="1">
        <f t="array" ref="G927">IF($C927&gt;=25,F927,IF($C927&lt;16,INDEX(Sheet1!C:C,$F927),$F927))</f>
        <v>9</v>
      </c>
      <c r="H927" s="4" t="str" cm="1">
        <f t="array" ref="H927">INDEX(Sheet1!D:D,$G927)</f>
        <v>t1138.xlsx</v>
      </c>
      <c r="I927" s="4" t="str" cm="1">
        <f t="array" ref="I927">INDEX(Sheet1!E:E,$G927)</f>
        <v>Sheet1</v>
      </c>
      <c r="J927" s="4" t="str" cm="1">
        <f t="array" ref="J927">IF($C927&gt;=25,INDEX(Sheet1!G:G,$G927),INDEX(Sheet1!F:F,$G927))</f>
        <v>B139</v>
      </c>
      <c r="K927" s="4" cm="1">
        <f t="array" ref="K927">INDEX(Sheet1!H:H,$G927)</f>
        <v>1</v>
      </c>
      <c r="L927" s="4">
        <f t="shared" si="56"/>
        <v>53</v>
      </c>
      <c r="M927" s="4">
        <f t="shared" si="57"/>
        <v>0</v>
      </c>
    </row>
    <row r="928" spans="1:13">
      <c r="A928" s="4" t="str" cm="1">
        <f t="array" ref="A928">INDEX(Sheet1!A:A,$F928)</f>
        <v>M</v>
      </c>
      <c r="B928" s="4" t="str" cm="1">
        <f t="array" ref="B928">INDEX(Sheet1!B:B,$F928)</f>
        <v>Undiff SM</v>
      </c>
      <c r="C928" s="4">
        <f t="shared" si="58"/>
        <v>79</v>
      </c>
      <c r="D928" s="5" cm="1">
        <f t="array" aca="1" ref="D928" ca="1">OFFSET(INDIRECT("'["&amp;$H928&amp;"]"&amp;$I928&amp;"'!"&amp;$J928),$L928,$M928)*$K928</f>
        <v>8.2049999999999998E-2</v>
      </c>
      <c r="F928" s="4">
        <f t="shared" si="59"/>
        <v>9</v>
      </c>
      <c r="G928" s="4" cm="1">
        <f t="array" ref="G928">IF($C928&gt;=25,F928,IF($C928&lt;16,INDEX(Sheet1!C:C,$F928),$F928))</f>
        <v>9</v>
      </c>
      <c r="H928" s="4" t="str" cm="1">
        <f t="array" ref="H928">INDEX(Sheet1!D:D,$G928)</f>
        <v>t1138.xlsx</v>
      </c>
      <c r="I928" s="4" t="str" cm="1">
        <f t="array" ref="I928">INDEX(Sheet1!E:E,$G928)</f>
        <v>Sheet1</v>
      </c>
      <c r="J928" s="4" t="str" cm="1">
        <f t="array" ref="J928">IF($C928&gt;=25,INDEX(Sheet1!G:G,$G928),INDEX(Sheet1!F:F,$G928))</f>
        <v>B139</v>
      </c>
      <c r="K928" s="4" cm="1">
        <f t="array" ref="K928">INDEX(Sheet1!H:H,$G928)</f>
        <v>1</v>
      </c>
      <c r="L928" s="4">
        <f t="shared" si="56"/>
        <v>54</v>
      </c>
      <c r="M928" s="4">
        <f t="shared" si="57"/>
        <v>0</v>
      </c>
    </row>
    <row r="929" spans="1:13">
      <c r="A929" s="4" t="str" cm="1">
        <f t="array" ref="A929">INDEX(Sheet1!A:A,$F929)</f>
        <v>M</v>
      </c>
      <c r="B929" s="4" t="str" cm="1">
        <f t="array" ref="B929">INDEX(Sheet1!B:B,$F929)</f>
        <v>Undiff SM</v>
      </c>
      <c r="C929" s="4">
        <f t="shared" si="58"/>
        <v>80</v>
      </c>
      <c r="D929" s="5" cm="1">
        <f t="array" aca="1" ref="D929" ca="1">OFFSET(INDIRECT("'["&amp;$H929&amp;"]"&amp;$I929&amp;"'!"&amp;$J929),$L929,$M929)*$K929</f>
        <v>9.0069999999999997E-2</v>
      </c>
      <c r="F929" s="4">
        <f t="shared" si="59"/>
        <v>9</v>
      </c>
      <c r="G929" s="4" cm="1">
        <f t="array" ref="G929">IF($C929&gt;=25,F929,IF($C929&lt;16,INDEX(Sheet1!C:C,$F929),$F929))</f>
        <v>9</v>
      </c>
      <c r="H929" s="4" t="str" cm="1">
        <f t="array" ref="H929">INDEX(Sheet1!D:D,$G929)</f>
        <v>t1138.xlsx</v>
      </c>
      <c r="I929" s="4" t="str" cm="1">
        <f t="array" ref="I929">INDEX(Sheet1!E:E,$G929)</f>
        <v>Sheet1</v>
      </c>
      <c r="J929" s="4" t="str" cm="1">
        <f t="array" ref="J929">IF($C929&gt;=25,INDEX(Sheet1!G:G,$G929),INDEX(Sheet1!F:F,$G929))</f>
        <v>B139</v>
      </c>
      <c r="K929" s="4" cm="1">
        <f t="array" ref="K929">INDEX(Sheet1!H:H,$G929)</f>
        <v>1</v>
      </c>
      <c r="L929" s="4">
        <f t="shared" si="56"/>
        <v>55</v>
      </c>
      <c r="M929" s="4">
        <f t="shared" si="57"/>
        <v>0</v>
      </c>
    </row>
    <row r="930" spans="1:13">
      <c r="A930" s="4" t="str" cm="1">
        <f t="array" ref="A930">INDEX(Sheet1!A:A,$F930)</f>
        <v>M</v>
      </c>
      <c r="B930" s="4" t="str" cm="1">
        <f t="array" ref="B930">INDEX(Sheet1!B:B,$F930)</f>
        <v>Undiff SM</v>
      </c>
      <c r="C930" s="4">
        <f t="shared" si="58"/>
        <v>81</v>
      </c>
      <c r="D930" s="5" cm="1">
        <f t="array" aca="1" ref="D930" ca="1">OFFSET(INDIRECT("'["&amp;$H930&amp;"]"&amp;$I930&amp;"'!"&amp;$J930),$L930,$M930)*$K930</f>
        <v>9.9049999999999999E-2</v>
      </c>
      <c r="F930" s="4">
        <f t="shared" si="59"/>
        <v>9</v>
      </c>
      <c r="G930" s="4" cm="1">
        <f t="array" ref="G930">IF($C930&gt;=25,F930,IF($C930&lt;16,INDEX(Sheet1!C:C,$F930),$F930))</f>
        <v>9</v>
      </c>
      <c r="H930" s="4" t="str" cm="1">
        <f t="array" ref="H930">INDEX(Sheet1!D:D,$G930)</f>
        <v>t1138.xlsx</v>
      </c>
      <c r="I930" s="4" t="str" cm="1">
        <f t="array" ref="I930">INDEX(Sheet1!E:E,$G930)</f>
        <v>Sheet1</v>
      </c>
      <c r="J930" s="4" t="str" cm="1">
        <f t="array" ref="J930">IF($C930&gt;=25,INDEX(Sheet1!G:G,$G930),INDEX(Sheet1!F:F,$G930))</f>
        <v>B139</v>
      </c>
      <c r="K930" s="4" cm="1">
        <f t="array" ref="K930">INDEX(Sheet1!H:H,$G930)</f>
        <v>1</v>
      </c>
      <c r="L930" s="4">
        <f t="shared" si="56"/>
        <v>56</v>
      </c>
      <c r="M930" s="4">
        <f t="shared" si="57"/>
        <v>0</v>
      </c>
    </row>
    <row r="931" spans="1:13">
      <c r="A931" s="4" t="str" cm="1">
        <f t="array" ref="A931">INDEX(Sheet1!A:A,$F931)</f>
        <v>M</v>
      </c>
      <c r="B931" s="4" t="str" cm="1">
        <f t="array" ref="B931">INDEX(Sheet1!B:B,$F931)</f>
        <v>Undiff SM</v>
      </c>
      <c r="C931" s="4">
        <f t="shared" si="58"/>
        <v>82</v>
      </c>
      <c r="D931" s="5" cm="1">
        <f t="array" aca="1" ref="D931" ca="1">OFFSET(INDIRECT("'["&amp;$H931&amp;"]"&amp;$I931&amp;"'!"&amp;$J931),$L931,$M931)*$K931</f>
        <v>0.10811</v>
      </c>
      <c r="F931" s="4">
        <f t="shared" si="59"/>
        <v>9</v>
      </c>
      <c r="G931" s="4" cm="1">
        <f t="array" ref="G931">IF($C931&gt;=25,F931,IF($C931&lt;16,INDEX(Sheet1!C:C,$F931),$F931))</f>
        <v>9</v>
      </c>
      <c r="H931" s="4" t="str" cm="1">
        <f t="array" ref="H931">INDEX(Sheet1!D:D,$G931)</f>
        <v>t1138.xlsx</v>
      </c>
      <c r="I931" s="4" t="str" cm="1">
        <f t="array" ref="I931">INDEX(Sheet1!E:E,$G931)</f>
        <v>Sheet1</v>
      </c>
      <c r="J931" s="4" t="str" cm="1">
        <f t="array" ref="J931">IF($C931&gt;=25,INDEX(Sheet1!G:G,$G931),INDEX(Sheet1!F:F,$G931))</f>
        <v>B139</v>
      </c>
      <c r="K931" s="4" cm="1">
        <f t="array" ref="K931">INDEX(Sheet1!H:H,$G931)</f>
        <v>1</v>
      </c>
      <c r="L931" s="4">
        <f t="shared" si="56"/>
        <v>57</v>
      </c>
      <c r="M931" s="4">
        <f t="shared" si="57"/>
        <v>0</v>
      </c>
    </row>
    <row r="932" spans="1:13">
      <c r="A932" s="4" t="str" cm="1">
        <f t="array" ref="A932">INDEX(Sheet1!A:A,$F932)</f>
        <v>M</v>
      </c>
      <c r="B932" s="4" t="str" cm="1">
        <f t="array" ref="B932">INDEX(Sheet1!B:B,$F932)</f>
        <v>Undiff SM</v>
      </c>
      <c r="C932" s="4">
        <f t="shared" si="58"/>
        <v>83</v>
      </c>
      <c r="D932" s="5" cm="1">
        <f t="array" aca="1" ref="D932" ca="1">OFFSET(INDIRECT("'["&amp;$H932&amp;"]"&amp;$I932&amp;"'!"&amp;$J932),$L932,$M932)*$K932</f>
        <v>0.11761000000000001</v>
      </c>
      <c r="F932" s="4">
        <f t="shared" si="59"/>
        <v>9</v>
      </c>
      <c r="G932" s="4" cm="1">
        <f t="array" ref="G932">IF($C932&gt;=25,F932,IF($C932&lt;16,INDEX(Sheet1!C:C,$F932),$F932))</f>
        <v>9</v>
      </c>
      <c r="H932" s="4" t="str" cm="1">
        <f t="array" ref="H932">INDEX(Sheet1!D:D,$G932)</f>
        <v>t1138.xlsx</v>
      </c>
      <c r="I932" s="4" t="str" cm="1">
        <f t="array" ref="I932">INDEX(Sheet1!E:E,$G932)</f>
        <v>Sheet1</v>
      </c>
      <c r="J932" s="4" t="str" cm="1">
        <f t="array" ref="J932">IF($C932&gt;=25,INDEX(Sheet1!G:G,$G932),INDEX(Sheet1!F:F,$G932))</f>
        <v>B139</v>
      </c>
      <c r="K932" s="4" cm="1">
        <f t="array" ref="K932">INDEX(Sheet1!H:H,$G932)</f>
        <v>1</v>
      </c>
      <c r="L932" s="4">
        <f t="shared" si="56"/>
        <v>58</v>
      </c>
      <c r="M932" s="4">
        <f t="shared" si="57"/>
        <v>0</v>
      </c>
    </row>
    <row r="933" spans="1:13">
      <c r="A933" s="4" t="str" cm="1">
        <f t="array" ref="A933">INDEX(Sheet1!A:A,$F933)</f>
        <v>M</v>
      </c>
      <c r="B933" s="4" t="str" cm="1">
        <f t="array" ref="B933">INDEX(Sheet1!B:B,$F933)</f>
        <v>Undiff SM</v>
      </c>
      <c r="C933" s="4">
        <f t="shared" si="58"/>
        <v>84</v>
      </c>
      <c r="D933" s="5" cm="1">
        <f t="array" aca="1" ref="D933" ca="1">OFFSET(INDIRECT("'["&amp;$H933&amp;"]"&amp;$I933&amp;"'!"&amp;$J933),$L933,$M933)*$K933</f>
        <v>0.12794</v>
      </c>
      <c r="F933" s="4">
        <f t="shared" si="59"/>
        <v>9</v>
      </c>
      <c r="G933" s="4" cm="1">
        <f t="array" ref="G933">IF($C933&gt;=25,F933,IF($C933&lt;16,INDEX(Sheet1!C:C,$F933),$F933))</f>
        <v>9</v>
      </c>
      <c r="H933" s="4" t="str" cm="1">
        <f t="array" ref="H933">INDEX(Sheet1!D:D,$G933)</f>
        <v>t1138.xlsx</v>
      </c>
      <c r="I933" s="4" t="str" cm="1">
        <f t="array" ref="I933">INDEX(Sheet1!E:E,$G933)</f>
        <v>Sheet1</v>
      </c>
      <c r="J933" s="4" t="str" cm="1">
        <f t="array" ref="J933">IF($C933&gt;=25,INDEX(Sheet1!G:G,$G933),INDEX(Sheet1!F:F,$G933))</f>
        <v>B139</v>
      </c>
      <c r="K933" s="4" cm="1">
        <f t="array" ref="K933">INDEX(Sheet1!H:H,$G933)</f>
        <v>1</v>
      </c>
      <c r="L933" s="4">
        <f t="shared" si="56"/>
        <v>59</v>
      </c>
      <c r="M933" s="4">
        <f t="shared" si="57"/>
        <v>0</v>
      </c>
    </row>
    <row r="934" spans="1:13">
      <c r="A934" s="4" t="str" cm="1">
        <f t="array" ref="A934">INDEX(Sheet1!A:A,$F934)</f>
        <v>M</v>
      </c>
      <c r="B934" s="4" t="str" cm="1">
        <f t="array" ref="B934">INDEX(Sheet1!B:B,$F934)</f>
        <v>Undiff SM</v>
      </c>
      <c r="C934" s="4">
        <f t="shared" si="58"/>
        <v>85</v>
      </c>
      <c r="D934" s="5" cm="1">
        <f t="array" aca="1" ref="D934" ca="1">OFFSET(INDIRECT("'["&amp;$H934&amp;"]"&amp;$I934&amp;"'!"&amp;$J934),$L934,$M934)*$K934</f>
        <v>0.14008999999999999</v>
      </c>
      <c r="F934" s="4">
        <f t="shared" si="59"/>
        <v>9</v>
      </c>
      <c r="G934" s="4" cm="1">
        <f t="array" ref="G934">IF($C934&gt;=25,F934,IF($C934&lt;16,INDEX(Sheet1!C:C,$F934),$F934))</f>
        <v>9</v>
      </c>
      <c r="H934" s="4" t="str" cm="1">
        <f t="array" ref="H934">INDEX(Sheet1!D:D,$G934)</f>
        <v>t1138.xlsx</v>
      </c>
      <c r="I934" s="4" t="str" cm="1">
        <f t="array" ref="I934">INDEX(Sheet1!E:E,$G934)</f>
        <v>Sheet1</v>
      </c>
      <c r="J934" s="4" t="str" cm="1">
        <f t="array" ref="J934">IF($C934&gt;=25,INDEX(Sheet1!G:G,$G934),INDEX(Sheet1!F:F,$G934))</f>
        <v>B139</v>
      </c>
      <c r="K934" s="4" cm="1">
        <f t="array" ref="K934">INDEX(Sheet1!H:H,$G934)</f>
        <v>1</v>
      </c>
      <c r="L934" s="4">
        <f t="shared" si="56"/>
        <v>60</v>
      </c>
      <c r="M934" s="4">
        <f t="shared" si="57"/>
        <v>0</v>
      </c>
    </row>
    <row r="935" spans="1:13">
      <c r="A935" s="4" t="str" cm="1">
        <f t="array" ref="A935">INDEX(Sheet1!A:A,$F935)</f>
        <v>M</v>
      </c>
      <c r="B935" s="4" t="str" cm="1">
        <f t="array" ref="B935">INDEX(Sheet1!B:B,$F935)</f>
        <v>Undiff SM</v>
      </c>
      <c r="C935" s="4">
        <f t="shared" si="58"/>
        <v>86</v>
      </c>
      <c r="D935" s="5" cm="1">
        <f t="array" aca="1" ref="D935" ca="1">OFFSET(INDIRECT("'["&amp;$H935&amp;"]"&amp;$I935&amp;"'!"&amp;$J935),$L935,$M935)*$K935</f>
        <v>0.15339</v>
      </c>
      <c r="F935" s="4">
        <f t="shared" si="59"/>
        <v>9</v>
      </c>
      <c r="G935" s="4" cm="1">
        <f t="array" ref="G935">IF($C935&gt;=25,F935,IF($C935&lt;16,INDEX(Sheet1!C:C,$F935),$F935))</f>
        <v>9</v>
      </c>
      <c r="H935" s="4" t="str" cm="1">
        <f t="array" ref="H935">INDEX(Sheet1!D:D,$G935)</f>
        <v>t1138.xlsx</v>
      </c>
      <c r="I935" s="4" t="str" cm="1">
        <f t="array" ref="I935">INDEX(Sheet1!E:E,$G935)</f>
        <v>Sheet1</v>
      </c>
      <c r="J935" s="4" t="str" cm="1">
        <f t="array" ref="J935">IF($C935&gt;=25,INDEX(Sheet1!G:G,$G935),INDEX(Sheet1!F:F,$G935))</f>
        <v>B139</v>
      </c>
      <c r="K935" s="4" cm="1">
        <f t="array" ref="K935">INDEX(Sheet1!H:H,$G935)</f>
        <v>1</v>
      </c>
      <c r="L935" s="4">
        <f t="shared" si="56"/>
        <v>61</v>
      </c>
      <c r="M935" s="4">
        <f t="shared" si="57"/>
        <v>0</v>
      </c>
    </row>
    <row r="936" spans="1:13">
      <c r="A936" s="4" t="str" cm="1">
        <f t="array" ref="A936">INDEX(Sheet1!A:A,$F936)</f>
        <v>M</v>
      </c>
      <c r="B936" s="4" t="str" cm="1">
        <f t="array" ref="B936">INDEX(Sheet1!B:B,$F936)</f>
        <v>Undiff SM</v>
      </c>
      <c r="C936" s="4">
        <f t="shared" si="58"/>
        <v>87</v>
      </c>
      <c r="D936" s="5" cm="1">
        <f t="array" aca="1" ref="D936" ca="1">OFFSET(INDIRECT("'["&amp;$H936&amp;"]"&amp;$I936&amp;"'!"&amp;$J936),$L936,$M936)*$K936</f>
        <v>0.16769000000000001</v>
      </c>
      <c r="F936" s="4">
        <f t="shared" si="59"/>
        <v>9</v>
      </c>
      <c r="G936" s="4" cm="1">
        <f t="array" ref="G936">IF($C936&gt;=25,F936,IF($C936&lt;16,INDEX(Sheet1!C:C,$F936),$F936))</f>
        <v>9</v>
      </c>
      <c r="H936" s="4" t="str" cm="1">
        <f t="array" ref="H936">INDEX(Sheet1!D:D,$G936)</f>
        <v>t1138.xlsx</v>
      </c>
      <c r="I936" s="4" t="str" cm="1">
        <f t="array" ref="I936">INDEX(Sheet1!E:E,$G936)</f>
        <v>Sheet1</v>
      </c>
      <c r="J936" s="4" t="str" cm="1">
        <f t="array" ref="J936">IF($C936&gt;=25,INDEX(Sheet1!G:G,$G936),INDEX(Sheet1!F:F,$G936))</f>
        <v>B139</v>
      </c>
      <c r="K936" s="4" cm="1">
        <f t="array" ref="K936">INDEX(Sheet1!H:H,$G936)</f>
        <v>1</v>
      </c>
      <c r="L936" s="4">
        <f t="shared" si="56"/>
        <v>62</v>
      </c>
      <c r="M936" s="4">
        <f t="shared" si="57"/>
        <v>0</v>
      </c>
    </row>
    <row r="937" spans="1:13">
      <c r="A937" s="4" t="str" cm="1">
        <f t="array" ref="A937">INDEX(Sheet1!A:A,$F937)</f>
        <v>M</v>
      </c>
      <c r="B937" s="4" t="str" cm="1">
        <f t="array" ref="B937">INDEX(Sheet1!B:B,$F937)</f>
        <v>Undiff SM</v>
      </c>
      <c r="C937" s="4">
        <f t="shared" si="58"/>
        <v>88</v>
      </c>
      <c r="D937" s="5" cm="1">
        <f t="array" aca="1" ref="D937" ca="1">OFFSET(INDIRECT("'["&amp;$H937&amp;"]"&amp;$I937&amp;"'!"&amp;$J937),$L937,$M937)*$K937</f>
        <v>0.18271999999999999</v>
      </c>
      <c r="F937" s="4">
        <f t="shared" si="59"/>
        <v>9</v>
      </c>
      <c r="G937" s="4" cm="1">
        <f t="array" ref="G937">IF($C937&gt;=25,F937,IF($C937&lt;16,INDEX(Sheet1!C:C,$F937),$F937))</f>
        <v>9</v>
      </c>
      <c r="H937" s="4" t="str" cm="1">
        <f t="array" ref="H937">INDEX(Sheet1!D:D,$G937)</f>
        <v>t1138.xlsx</v>
      </c>
      <c r="I937" s="4" t="str" cm="1">
        <f t="array" ref="I937">INDEX(Sheet1!E:E,$G937)</f>
        <v>Sheet1</v>
      </c>
      <c r="J937" s="4" t="str" cm="1">
        <f t="array" ref="J937">IF($C937&gt;=25,INDEX(Sheet1!G:G,$G937),INDEX(Sheet1!F:F,$G937))</f>
        <v>B139</v>
      </c>
      <c r="K937" s="4" cm="1">
        <f t="array" ref="K937">INDEX(Sheet1!H:H,$G937)</f>
        <v>1</v>
      </c>
      <c r="L937" s="4">
        <f t="shared" si="56"/>
        <v>63</v>
      </c>
      <c r="M937" s="4">
        <f t="shared" si="57"/>
        <v>0</v>
      </c>
    </row>
    <row r="938" spans="1:13">
      <c r="A938" s="4" t="str" cm="1">
        <f t="array" ref="A938">INDEX(Sheet1!A:A,$F938)</f>
        <v>M</v>
      </c>
      <c r="B938" s="4" t="str" cm="1">
        <f t="array" ref="B938">INDEX(Sheet1!B:B,$F938)</f>
        <v>Undiff SM</v>
      </c>
      <c r="C938" s="4">
        <f t="shared" si="58"/>
        <v>89</v>
      </c>
      <c r="D938" s="5" cm="1">
        <f t="array" aca="1" ref="D938" ca="1">OFFSET(INDIRECT("'["&amp;$H938&amp;"]"&amp;$I938&amp;"'!"&amp;$J938),$L938,$M938)*$K938</f>
        <v>0.19827</v>
      </c>
      <c r="F938" s="4">
        <f t="shared" si="59"/>
        <v>9</v>
      </c>
      <c r="G938" s="4" cm="1">
        <f t="array" ref="G938">IF($C938&gt;=25,F938,IF($C938&lt;16,INDEX(Sheet1!C:C,$F938),$F938))</f>
        <v>9</v>
      </c>
      <c r="H938" s="4" t="str" cm="1">
        <f t="array" ref="H938">INDEX(Sheet1!D:D,$G938)</f>
        <v>t1138.xlsx</v>
      </c>
      <c r="I938" s="4" t="str" cm="1">
        <f t="array" ref="I938">INDEX(Sheet1!E:E,$G938)</f>
        <v>Sheet1</v>
      </c>
      <c r="J938" s="4" t="str" cm="1">
        <f t="array" ref="J938">IF($C938&gt;=25,INDEX(Sheet1!G:G,$G938),INDEX(Sheet1!F:F,$G938))</f>
        <v>B139</v>
      </c>
      <c r="K938" s="4" cm="1">
        <f t="array" ref="K938">INDEX(Sheet1!H:H,$G938)</f>
        <v>1</v>
      </c>
      <c r="L938" s="4">
        <f t="shared" si="56"/>
        <v>64</v>
      </c>
      <c r="M938" s="4">
        <f t="shared" si="57"/>
        <v>0</v>
      </c>
    </row>
    <row r="939" spans="1:13">
      <c r="A939" s="4" t="str" cm="1">
        <f t="array" ref="A939">INDEX(Sheet1!A:A,$F939)</f>
        <v>M</v>
      </c>
      <c r="B939" s="4" t="str" cm="1">
        <f t="array" ref="B939">INDEX(Sheet1!B:B,$F939)</f>
        <v>Undiff SM</v>
      </c>
      <c r="C939" s="4">
        <f t="shared" si="58"/>
        <v>90</v>
      </c>
      <c r="D939" s="5" cm="1">
        <f t="array" aca="1" ref="D939" ca="1">OFFSET(INDIRECT("'["&amp;$H939&amp;"]"&amp;$I939&amp;"'!"&amp;$J939),$L939,$M939)*$K939</f>
        <v>0.21412999999999999</v>
      </c>
      <c r="F939" s="4">
        <f t="shared" si="59"/>
        <v>9</v>
      </c>
      <c r="G939" s="4" cm="1">
        <f t="array" ref="G939">IF($C939&gt;=25,F939,IF($C939&lt;16,INDEX(Sheet1!C:C,$F939),$F939))</f>
        <v>9</v>
      </c>
      <c r="H939" s="4" t="str" cm="1">
        <f t="array" ref="H939">INDEX(Sheet1!D:D,$G939)</f>
        <v>t1138.xlsx</v>
      </c>
      <c r="I939" s="4" t="str" cm="1">
        <f t="array" ref="I939">INDEX(Sheet1!E:E,$G939)</f>
        <v>Sheet1</v>
      </c>
      <c r="J939" s="4" t="str" cm="1">
        <f t="array" ref="J939">IF($C939&gt;=25,INDEX(Sheet1!G:G,$G939),INDEX(Sheet1!F:F,$G939))</f>
        <v>B139</v>
      </c>
      <c r="K939" s="4" cm="1">
        <f t="array" ref="K939">INDEX(Sheet1!H:H,$G939)</f>
        <v>1</v>
      </c>
      <c r="L939" s="4">
        <f t="shared" si="56"/>
        <v>65</v>
      </c>
      <c r="M939" s="4">
        <f t="shared" si="57"/>
        <v>0</v>
      </c>
    </row>
    <row r="940" spans="1:13">
      <c r="A940" s="4" t="str" cm="1">
        <f t="array" ref="A940">INDEX(Sheet1!A:A,$F940)</f>
        <v>M</v>
      </c>
      <c r="B940" s="4" t="str" cm="1">
        <f t="array" ref="B940">INDEX(Sheet1!B:B,$F940)</f>
        <v>Undiff SM</v>
      </c>
      <c r="C940" s="4">
        <f t="shared" si="58"/>
        <v>91</v>
      </c>
      <c r="D940" s="5" cm="1">
        <f t="array" aca="1" ref="D940" ca="1">OFFSET(INDIRECT("'["&amp;$H940&amp;"]"&amp;$I940&amp;"'!"&amp;$J940),$L940,$M940)*$K940</f>
        <v>0.22842999999999999</v>
      </c>
      <c r="F940" s="4">
        <f t="shared" si="59"/>
        <v>9</v>
      </c>
      <c r="G940" s="4" cm="1">
        <f t="array" ref="G940">IF($C940&gt;=25,F940,IF($C940&lt;16,INDEX(Sheet1!C:C,$F940),$F940))</f>
        <v>9</v>
      </c>
      <c r="H940" s="4" t="str" cm="1">
        <f t="array" ref="H940">INDEX(Sheet1!D:D,$G940)</f>
        <v>t1138.xlsx</v>
      </c>
      <c r="I940" s="4" t="str" cm="1">
        <f t="array" ref="I940">INDEX(Sheet1!E:E,$G940)</f>
        <v>Sheet1</v>
      </c>
      <c r="J940" s="4" t="str" cm="1">
        <f t="array" ref="J940">IF($C940&gt;=25,INDEX(Sheet1!G:G,$G940),INDEX(Sheet1!F:F,$G940))</f>
        <v>B139</v>
      </c>
      <c r="K940" s="4" cm="1">
        <f t="array" ref="K940">INDEX(Sheet1!H:H,$G940)</f>
        <v>1</v>
      </c>
      <c r="L940" s="4">
        <f t="shared" si="56"/>
        <v>66</v>
      </c>
      <c r="M940" s="4">
        <f t="shared" si="57"/>
        <v>0</v>
      </c>
    </row>
    <row r="941" spans="1:13">
      <c r="A941" s="4" t="str" cm="1">
        <f t="array" ref="A941">INDEX(Sheet1!A:A,$F941)</f>
        <v>M</v>
      </c>
      <c r="B941" s="4" t="str" cm="1">
        <f t="array" ref="B941">INDEX(Sheet1!B:B,$F941)</f>
        <v>Undiff SM</v>
      </c>
      <c r="C941" s="4">
        <f t="shared" si="58"/>
        <v>92</v>
      </c>
      <c r="D941" s="5" cm="1">
        <f t="array" aca="1" ref="D941" ca="1">OFFSET(INDIRECT("'["&amp;$H941&amp;"]"&amp;$I941&amp;"'!"&amp;$J941),$L941,$M941)*$K941</f>
        <v>0.24302000000000001</v>
      </c>
      <c r="F941" s="4">
        <f t="shared" si="59"/>
        <v>9</v>
      </c>
      <c r="G941" s="4" cm="1">
        <f t="array" ref="G941">IF($C941&gt;=25,F941,IF($C941&lt;16,INDEX(Sheet1!C:C,$F941),$F941))</f>
        <v>9</v>
      </c>
      <c r="H941" s="4" t="str" cm="1">
        <f t="array" ref="H941">INDEX(Sheet1!D:D,$G941)</f>
        <v>t1138.xlsx</v>
      </c>
      <c r="I941" s="4" t="str" cm="1">
        <f t="array" ref="I941">INDEX(Sheet1!E:E,$G941)</f>
        <v>Sheet1</v>
      </c>
      <c r="J941" s="4" t="str" cm="1">
        <f t="array" ref="J941">IF($C941&gt;=25,INDEX(Sheet1!G:G,$G941),INDEX(Sheet1!F:F,$G941))</f>
        <v>B139</v>
      </c>
      <c r="K941" s="4" cm="1">
        <f t="array" ref="K941">INDEX(Sheet1!H:H,$G941)</f>
        <v>1</v>
      </c>
      <c r="L941" s="4">
        <f t="shared" si="56"/>
        <v>67</v>
      </c>
      <c r="M941" s="4">
        <f t="shared" si="57"/>
        <v>0</v>
      </c>
    </row>
    <row r="942" spans="1:13">
      <c r="A942" s="4" t="str" cm="1">
        <f t="array" ref="A942">INDEX(Sheet1!A:A,$F942)</f>
        <v>M</v>
      </c>
      <c r="B942" s="4" t="str" cm="1">
        <f t="array" ref="B942">INDEX(Sheet1!B:B,$F942)</f>
        <v>Undiff SM</v>
      </c>
      <c r="C942" s="4">
        <f t="shared" si="58"/>
        <v>93</v>
      </c>
      <c r="D942" s="5" cm="1">
        <f t="array" aca="1" ref="D942" ca="1">OFFSET(INDIRECT("'["&amp;$H942&amp;"]"&amp;$I942&amp;"'!"&amp;$J942),$L942,$M942)*$K942</f>
        <v>0.2581</v>
      </c>
      <c r="F942" s="4">
        <f t="shared" si="59"/>
        <v>9</v>
      </c>
      <c r="G942" s="4" cm="1">
        <f t="array" ref="G942">IF($C942&gt;=25,F942,IF($C942&lt;16,INDEX(Sheet1!C:C,$F942),$F942))</f>
        <v>9</v>
      </c>
      <c r="H942" s="4" t="str" cm="1">
        <f t="array" ref="H942">INDEX(Sheet1!D:D,$G942)</f>
        <v>t1138.xlsx</v>
      </c>
      <c r="I942" s="4" t="str" cm="1">
        <f t="array" ref="I942">INDEX(Sheet1!E:E,$G942)</f>
        <v>Sheet1</v>
      </c>
      <c r="J942" s="4" t="str" cm="1">
        <f t="array" ref="J942">IF($C942&gt;=25,INDEX(Sheet1!G:G,$G942),INDEX(Sheet1!F:F,$G942))</f>
        <v>B139</v>
      </c>
      <c r="K942" s="4" cm="1">
        <f t="array" ref="K942">INDEX(Sheet1!H:H,$G942)</f>
        <v>1</v>
      </c>
      <c r="L942" s="4">
        <f t="shared" si="56"/>
        <v>68</v>
      </c>
      <c r="M942" s="4">
        <f t="shared" si="57"/>
        <v>0</v>
      </c>
    </row>
    <row r="943" spans="1:13">
      <c r="A943" s="4" t="str" cm="1">
        <f t="array" ref="A943">INDEX(Sheet1!A:A,$F943)</f>
        <v>M</v>
      </c>
      <c r="B943" s="4" t="str" cm="1">
        <f t="array" ref="B943">INDEX(Sheet1!B:B,$F943)</f>
        <v>Undiff SM</v>
      </c>
      <c r="C943" s="4">
        <f t="shared" si="58"/>
        <v>94</v>
      </c>
      <c r="D943" s="5" cm="1">
        <f t="array" aca="1" ref="D943" ca="1">OFFSET(INDIRECT("'["&amp;$H943&amp;"]"&amp;$I943&amp;"'!"&amp;$J943),$L943,$M943)*$K943</f>
        <v>0.27373999999999998</v>
      </c>
      <c r="F943" s="4">
        <f t="shared" si="59"/>
        <v>9</v>
      </c>
      <c r="G943" s="4" cm="1">
        <f t="array" ref="G943">IF($C943&gt;=25,F943,IF($C943&lt;16,INDEX(Sheet1!C:C,$F943),$F943))</f>
        <v>9</v>
      </c>
      <c r="H943" s="4" t="str" cm="1">
        <f t="array" ref="H943">INDEX(Sheet1!D:D,$G943)</f>
        <v>t1138.xlsx</v>
      </c>
      <c r="I943" s="4" t="str" cm="1">
        <f t="array" ref="I943">INDEX(Sheet1!E:E,$G943)</f>
        <v>Sheet1</v>
      </c>
      <c r="J943" s="4" t="str" cm="1">
        <f t="array" ref="J943">IF($C943&gt;=25,INDEX(Sheet1!G:G,$G943),INDEX(Sheet1!F:F,$G943))</f>
        <v>B139</v>
      </c>
      <c r="K943" s="4" cm="1">
        <f t="array" ref="K943">INDEX(Sheet1!H:H,$G943)</f>
        <v>1</v>
      </c>
      <c r="L943" s="4">
        <f t="shared" si="56"/>
        <v>69</v>
      </c>
      <c r="M943" s="4">
        <f t="shared" si="57"/>
        <v>0</v>
      </c>
    </row>
    <row r="944" spans="1:13">
      <c r="A944" s="4" t="str" cm="1">
        <f t="array" ref="A944">INDEX(Sheet1!A:A,$F944)</f>
        <v>M</v>
      </c>
      <c r="B944" s="4" t="str" cm="1">
        <f t="array" ref="B944">INDEX(Sheet1!B:B,$F944)</f>
        <v>Undiff SM</v>
      </c>
      <c r="C944" s="4">
        <f t="shared" si="58"/>
        <v>95</v>
      </c>
      <c r="D944" s="5" cm="1">
        <f t="array" aca="1" ref="D944" ca="1">OFFSET(INDIRECT("'["&amp;$H944&amp;"]"&amp;$I944&amp;"'!"&amp;$J944),$L944,$M944)*$K944</f>
        <v>0.29104999999999998</v>
      </c>
      <c r="F944" s="4">
        <f t="shared" si="59"/>
        <v>9</v>
      </c>
      <c r="G944" s="4" cm="1">
        <f t="array" ref="G944">IF($C944&gt;=25,F944,IF($C944&lt;16,INDEX(Sheet1!C:C,$F944),$F944))</f>
        <v>9</v>
      </c>
      <c r="H944" s="4" t="str" cm="1">
        <f t="array" ref="H944">INDEX(Sheet1!D:D,$G944)</f>
        <v>t1138.xlsx</v>
      </c>
      <c r="I944" s="4" t="str" cm="1">
        <f t="array" ref="I944">INDEX(Sheet1!E:E,$G944)</f>
        <v>Sheet1</v>
      </c>
      <c r="J944" s="4" t="str" cm="1">
        <f t="array" ref="J944">IF($C944&gt;=25,INDEX(Sheet1!G:G,$G944),INDEX(Sheet1!F:F,$G944))</f>
        <v>B139</v>
      </c>
      <c r="K944" s="4" cm="1">
        <f t="array" ref="K944">INDEX(Sheet1!H:H,$G944)</f>
        <v>1</v>
      </c>
      <c r="L944" s="4">
        <f t="shared" si="56"/>
        <v>70</v>
      </c>
      <c r="M944" s="4">
        <f t="shared" si="57"/>
        <v>0</v>
      </c>
    </row>
    <row r="945" spans="1:13">
      <c r="A945" s="4" t="str" cm="1">
        <f t="array" ref="A945">INDEX(Sheet1!A:A,$F945)</f>
        <v>M</v>
      </c>
      <c r="B945" s="4" t="str" cm="1">
        <f t="array" ref="B945">INDEX(Sheet1!B:B,$F945)</f>
        <v>Undiff SM</v>
      </c>
      <c r="C945" s="4">
        <f t="shared" si="58"/>
        <v>96</v>
      </c>
      <c r="D945" s="5" cm="1">
        <f t="array" aca="1" ref="D945" ca="1">OFFSET(INDIRECT("'["&amp;$H945&amp;"]"&amp;$I945&amp;"'!"&amp;$J945),$L945,$M945)*$K945</f>
        <v>0.30632999999999999</v>
      </c>
      <c r="F945" s="4">
        <f t="shared" si="59"/>
        <v>9</v>
      </c>
      <c r="G945" s="4" cm="1">
        <f t="array" ref="G945">IF($C945&gt;=25,F945,IF($C945&lt;16,INDEX(Sheet1!C:C,$F945),$F945))</f>
        <v>9</v>
      </c>
      <c r="H945" s="4" t="str" cm="1">
        <f t="array" ref="H945">INDEX(Sheet1!D:D,$G945)</f>
        <v>t1138.xlsx</v>
      </c>
      <c r="I945" s="4" t="str" cm="1">
        <f t="array" ref="I945">INDEX(Sheet1!E:E,$G945)</f>
        <v>Sheet1</v>
      </c>
      <c r="J945" s="4" t="str" cm="1">
        <f t="array" ref="J945">IF($C945&gt;=25,INDEX(Sheet1!G:G,$G945),INDEX(Sheet1!F:F,$G945))</f>
        <v>B139</v>
      </c>
      <c r="K945" s="4" cm="1">
        <f t="array" ref="K945">INDEX(Sheet1!H:H,$G945)</f>
        <v>1</v>
      </c>
      <c r="L945" s="4">
        <f t="shared" si="56"/>
        <v>71</v>
      </c>
      <c r="M945" s="4">
        <f t="shared" si="57"/>
        <v>0</v>
      </c>
    </row>
    <row r="946" spans="1:13">
      <c r="A946" s="4" t="str" cm="1">
        <f t="array" ref="A946">INDEX(Sheet1!A:A,$F946)</f>
        <v>M</v>
      </c>
      <c r="B946" s="4" t="str" cm="1">
        <f t="array" ref="B946">INDEX(Sheet1!B:B,$F946)</f>
        <v>Undiff SM</v>
      </c>
      <c r="C946" s="4">
        <f t="shared" si="58"/>
        <v>97</v>
      </c>
      <c r="D946" s="5" cm="1">
        <f t="array" aca="1" ref="D946" ca="1">OFFSET(INDIRECT("'["&amp;$H946&amp;"]"&amp;$I946&amp;"'!"&amp;$J946),$L946,$M946)*$K946</f>
        <v>0.32244</v>
      </c>
      <c r="F946" s="4">
        <f t="shared" si="59"/>
        <v>9</v>
      </c>
      <c r="G946" s="4" cm="1">
        <f t="array" ref="G946">IF($C946&gt;=25,F946,IF($C946&lt;16,INDEX(Sheet1!C:C,$F946),$F946))</f>
        <v>9</v>
      </c>
      <c r="H946" s="4" t="str" cm="1">
        <f t="array" ref="H946">INDEX(Sheet1!D:D,$G946)</f>
        <v>t1138.xlsx</v>
      </c>
      <c r="I946" s="4" t="str" cm="1">
        <f t="array" ref="I946">INDEX(Sheet1!E:E,$G946)</f>
        <v>Sheet1</v>
      </c>
      <c r="J946" s="4" t="str" cm="1">
        <f t="array" ref="J946">IF($C946&gt;=25,INDEX(Sheet1!G:G,$G946),INDEX(Sheet1!F:F,$G946))</f>
        <v>B139</v>
      </c>
      <c r="K946" s="4" cm="1">
        <f t="array" ref="K946">INDEX(Sheet1!H:H,$G946)</f>
        <v>1</v>
      </c>
      <c r="L946" s="4">
        <f t="shared" si="56"/>
        <v>72</v>
      </c>
      <c r="M946" s="4">
        <f t="shared" si="57"/>
        <v>0</v>
      </c>
    </row>
    <row r="947" spans="1:13">
      <c r="A947" s="4" t="str" cm="1">
        <f t="array" ref="A947">INDEX(Sheet1!A:A,$F947)</f>
        <v>M</v>
      </c>
      <c r="B947" s="4" t="str" cm="1">
        <f t="array" ref="B947">INDEX(Sheet1!B:B,$F947)</f>
        <v>Undiff SM</v>
      </c>
      <c r="C947" s="4">
        <f t="shared" si="58"/>
        <v>98</v>
      </c>
      <c r="D947" s="5" cm="1">
        <f t="array" aca="1" ref="D947" ca="1">OFFSET(INDIRECT("'["&amp;$H947&amp;"]"&amp;$I947&amp;"'!"&amp;$J947),$L947,$M947)*$K947</f>
        <v>0.33944999999999997</v>
      </c>
      <c r="F947" s="4">
        <f t="shared" si="59"/>
        <v>9</v>
      </c>
      <c r="G947" s="4" cm="1">
        <f t="array" ref="G947">IF($C947&gt;=25,F947,IF($C947&lt;16,INDEX(Sheet1!C:C,$F947),$F947))</f>
        <v>9</v>
      </c>
      <c r="H947" s="4" t="str" cm="1">
        <f t="array" ref="H947">INDEX(Sheet1!D:D,$G947)</f>
        <v>t1138.xlsx</v>
      </c>
      <c r="I947" s="4" t="str" cm="1">
        <f t="array" ref="I947">INDEX(Sheet1!E:E,$G947)</f>
        <v>Sheet1</v>
      </c>
      <c r="J947" s="4" t="str" cm="1">
        <f t="array" ref="J947">IF($C947&gt;=25,INDEX(Sheet1!G:G,$G947),INDEX(Sheet1!F:F,$G947))</f>
        <v>B139</v>
      </c>
      <c r="K947" s="4" cm="1">
        <f t="array" ref="K947">INDEX(Sheet1!H:H,$G947)</f>
        <v>1</v>
      </c>
      <c r="L947" s="4">
        <f t="shared" si="56"/>
        <v>73</v>
      </c>
      <c r="M947" s="4">
        <f t="shared" si="57"/>
        <v>0</v>
      </c>
    </row>
    <row r="948" spans="1:13">
      <c r="A948" s="4" t="str" cm="1">
        <f t="array" ref="A948">INDEX(Sheet1!A:A,$F948)</f>
        <v>M</v>
      </c>
      <c r="B948" s="4" t="str" cm="1">
        <f t="array" ref="B948">INDEX(Sheet1!B:B,$F948)</f>
        <v>Undiff SM</v>
      </c>
      <c r="C948" s="4">
        <f t="shared" si="58"/>
        <v>99</v>
      </c>
      <c r="D948" s="5" cm="1">
        <f t="array" aca="1" ref="D948" ca="1">OFFSET(INDIRECT("'["&amp;$H948&amp;"]"&amp;$I948&amp;"'!"&amp;$J948),$L948,$M948)*$K948</f>
        <v>0.35742000000000002</v>
      </c>
      <c r="F948" s="4">
        <f t="shared" si="59"/>
        <v>9</v>
      </c>
      <c r="G948" s="4" cm="1">
        <f t="array" ref="G948">IF($C948&gt;=25,F948,IF($C948&lt;16,INDEX(Sheet1!C:C,$F948),$F948))</f>
        <v>9</v>
      </c>
      <c r="H948" s="4" t="str" cm="1">
        <f t="array" ref="H948">INDEX(Sheet1!D:D,$G948)</f>
        <v>t1138.xlsx</v>
      </c>
      <c r="I948" s="4" t="str" cm="1">
        <f t="array" ref="I948">INDEX(Sheet1!E:E,$G948)</f>
        <v>Sheet1</v>
      </c>
      <c r="J948" s="4" t="str" cm="1">
        <f t="array" ref="J948">IF($C948&gt;=25,INDEX(Sheet1!G:G,$G948),INDEX(Sheet1!F:F,$G948))</f>
        <v>B139</v>
      </c>
      <c r="K948" s="4" cm="1">
        <f t="array" ref="K948">INDEX(Sheet1!H:H,$G948)</f>
        <v>1</v>
      </c>
      <c r="L948" s="4">
        <f t="shared" si="56"/>
        <v>74</v>
      </c>
      <c r="M948" s="4">
        <f t="shared" si="57"/>
        <v>0</v>
      </c>
    </row>
    <row r="949" spans="1:13">
      <c r="A949" s="4" t="str" cm="1">
        <f t="array" ref="A949">INDEX(Sheet1!A:A,$F949)</f>
        <v>M</v>
      </c>
      <c r="B949" s="4" t="str" cm="1">
        <f t="array" ref="B949">INDEX(Sheet1!B:B,$F949)</f>
        <v>Undiff SM</v>
      </c>
      <c r="C949" s="4">
        <f t="shared" si="58"/>
        <v>100</v>
      </c>
      <c r="D949" s="5" cm="1">
        <f t="array" aca="1" ref="D949" ca="1">OFFSET(INDIRECT("'["&amp;$H949&amp;"]"&amp;$I949&amp;"'!"&amp;$J949),$L949,$M949)*$K949</f>
        <v>0.37640000000000001</v>
      </c>
      <c r="F949" s="4">
        <f t="shared" si="59"/>
        <v>9</v>
      </c>
      <c r="G949" s="4" cm="1">
        <f t="array" ref="G949">IF($C949&gt;=25,F949,IF($C949&lt;16,INDEX(Sheet1!C:C,$F949),$F949))</f>
        <v>9</v>
      </c>
      <c r="H949" s="4" t="str" cm="1">
        <f t="array" ref="H949">INDEX(Sheet1!D:D,$G949)</f>
        <v>t1138.xlsx</v>
      </c>
      <c r="I949" s="4" t="str" cm="1">
        <f t="array" ref="I949">INDEX(Sheet1!E:E,$G949)</f>
        <v>Sheet1</v>
      </c>
      <c r="J949" s="4" t="str" cm="1">
        <f t="array" ref="J949">IF($C949&gt;=25,INDEX(Sheet1!G:G,$G949),INDEX(Sheet1!F:F,$G949))</f>
        <v>B139</v>
      </c>
      <c r="K949" s="4" cm="1">
        <f t="array" ref="K949">INDEX(Sheet1!H:H,$G949)</f>
        <v>1</v>
      </c>
      <c r="L949" s="4">
        <f t="shared" si="56"/>
        <v>75</v>
      </c>
      <c r="M949" s="4">
        <f t="shared" si="57"/>
        <v>0</v>
      </c>
    </row>
    <row r="950" spans="1:13">
      <c r="A950" s="4" t="str" cm="1">
        <f t="array" ref="A950">INDEX(Sheet1!A:A,$F950)</f>
        <v>M</v>
      </c>
      <c r="B950" s="4" t="str" cm="1">
        <f t="array" ref="B950">INDEX(Sheet1!B:B,$F950)</f>
        <v>Undiff SM</v>
      </c>
      <c r="C950" s="4">
        <f t="shared" si="58"/>
        <v>101</v>
      </c>
      <c r="D950" s="5" cm="1">
        <f t="array" aca="1" ref="D950" ca="1">OFFSET(INDIRECT("'["&amp;$H950&amp;"]"&amp;$I950&amp;"'!"&amp;$J950),$L950,$M950)*$K950</f>
        <v>0.39077000000000001</v>
      </c>
      <c r="F950" s="4">
        <f t="shared" si="59"/>
        <v>9</v>
      </c>
      <c r="G950" s="4" cm="1">
        <f t="array" ref="G950">IF($C950&gt;=25,F950,IF($C950&lt;16,INDEX(Sheet1!C:C,$F950),$F950))</f>
        <v>9</v>
      </c>
      <c r="H950" s="4" t="str" cm="1">
        <f t="array" ref="H950">INDEX(Sheet1!D:D,$G950)</f>
        <v>t1138.xlsx</v>
      </c>
      <c r="I950" s="4" t="str" cm="1">
        <f t="array" ref="I950">INDEX(Sheet1!E:E,$G950)</f>
        <v>Sheet1</v>
      </c>
      <c r="J950" s="4" t="str" cm="1">
        <f t="array" ref="J950">IF($C950&gt;=25,INDEX(Sheet1!G:G,$G950),INDEX(Sheet1!F:F,$G950))</f>
        <v>B139</v>
      </c>
      <c r="K950" s="4" cm="1">
        <f t="array" ref="K950">INDEX(Sheet1!H:H,$G950)</f>
        <v>1</v>
      </c>
      <c r="L950" s="4">
        <f t="shared" si="56"/>
        <v>76</v>
      </c>
      <c r="M950" s="4">
        <f t="shared" si="57"/>
        <v>0</v>
      </c>
    </row>
    <row r="951" spans="1:13">
      <c r="A951" s="4" t="str" cm="1">
        <f t="array" ref="A951">INDEX(Sheet1!A:A,$F951)</f>
        <v>M</v>
      </c>
      <c r="B951" s="4" t="str" cm="1">
        <f t="array" ref="B951">INDEX(Sheet1!B:B,$F951)</f>
        <v>Undiff SM</v>
      </c>
      <c r="C951" s="4">
        <f t="shared" si="58"/>
        <v>102</v>
      </c>
      <c r="D951" s="5" cm="1">
        <f t="array" aca="1" ref="D951" ca="1">OFFSET(INDIRECT("'["&amp;$H951&amp;"]"&amp;$I951&amp;"'!"&amp;$J951),$L951,$M951)*$K951</f>
        <v>0.40592</v>
      </c>
      <c r="F951" s="4">
        <f t="shared" si="59"/>
        <v>9</v>
      </c>
      <c r="G951" s="4" cm="1">
        <f t="array" ref="G951">IF($C951&gt;=25,F951,IF($C951&lt;16,INDEX(Sheet1!C:C,$F951),$F951))</f>
        <v>9</v>
      </c>
      <c r="H951" s="4" t="str" cm="1">
        <f t="array" ref="H951">INDEX(Sheet1!D:D,$G951)</f>
        <v>t1138.xlsx</v>
      </c>
      <c r="I951" s="4" t="str" cm="1">
        <f t="array" ref="I951">INDEX(Sheet1!E:E,$G951)</f>
        <v>Sheet1</v>
      </c>
      <c r="J951" s="4" t="str" cm="1">
        <f t="array" ref="J951">IF($C951&gt;=25,INDEX(Sheet1!G:G,$G951),INDEX(Sheet1!F:F,$G951))</f>
        <v>B139</v>
      </c>
      <c r="K951" s="4" cm="1">
        <f t="array" ref="K951">INDEX(Sheet1!H:H,$G951)</f>
        <v>1</v>
      </c>
      <c r="L951" s="4">
        <f t="shared" si="56"/>
        <v>77</v>
      </c>
      <c r="M951" s="4">
        <f t="shared" si="57"/>
        <v>0</v>
      </c>
    </row>
    <row r="952" spans="1:13">
      <c r="A952" s="4" t="str" cm="1">
        <f t="array" ref="A952">INDEX(Sheet1!A:A,$F952)</f>
        <v>M</v>
      </c>
      <c r="B952" s="4" t="str" cm="1">
        <f t="array" ref="B952">INDEX(Sheet1!B:B,$F952)</f>
        <v>Undiff SM</v>
      </c>
      <c r="C952" s="4">
        <f t="shared" si="58"/>
        <v>103</v>
      </c>
      <c r="D952" s="5" cm="1">
        <f t="array" aca="1" ref="D952" ca="1">OFFSET(INDIRECT("'["&amp;$H952&amp;"]"&amp;$I952&amp;"'!"&amp;$J952),$L952,$M952)*$K952</f>
        <v>0.42182999999999998</v>
      </c>
      <c r="F952" s="4">
        <f t="shared" si="59"/>
        <v>9</v>
      </c>
      <c r="G952" s="4" cm="1">
        <f t="array" ref="G952">IF($C952&gt;=25,F952,IF($C952&lt;16,INDEX(Sheet1!C:C,$F952),$F952))</f>
        <v>9</v>
      </c>
      <c r="H952" s="4" t="str" cm="1">
        <f t="array" ref="H952">INDEX(Sheet1!D:D,$G952)</f>
        <v>t1138.xlsx</v>
      </c>
      <c r="I952" s="4" t="str" cm="1">
        <f t="array" ref="I952">INDEX(Sheet1!E:E,$G952)</f>
        <v>Sheet1</v>
      </c>
      <c r="J952" s="4" t="str" cm="1">
        <f t="array" ref="J952">IF($C952&gt;=25,INDEX(Sheet1!G:G,$G952),INDEX(Sheet1!F:F,$G952))</f>
        <v>B139</v>
      </c>
      <c r="K952" s="4" cm="1">
        <f t="array" ref="K952">INDEX(Sheet1!H:H,$G952)</f>
        <v>1</v>
      </c>
      <c r="L952" s="4">
        <f t="shared" si="56"/>
        <v>78</v>
      </c>
      <c r="M952" s="4">
        <f t="shared" si="57"/>
        <v>0</v>
      </c>
    </row>
    <row r="953" spans="1:13">
      <c r="A953" s="4" t="str" cm="1">
        <f t="array" ref="A953">INDEX(Sheet1!A:A,$F953)</f>
        <v>M</v>
      </c>
      <c r="B953" s="4" t="str" cm="1">
        <f t="array" ref="B953">INDEX(Sheet1!B:B,$F953)</f>
        <v>Undiff SM</v>
      </c>
      <c r="C953" s="4">
        <f t="shared" si="58"/>
        <v>104</v>
      </c>
      <c r="D953" s="5" cm="1">
        <f t="array" aca="1" ref="D953" ca="1">OFFSET(INDIRECT("'["&amp;$H953&amp;"]"&amp;$I953&amp;"'!"&amp;$J953),$L953,$M953)*$K953</f>
        <v>0.43857000000000002</v>
      </c>
      <c r="F953" s="4">
        <f t="shared" si="59"/>
        <v>9</v>
      </c>
      <c r="G953" s="4" cm="1">
        <f t="array" ref="G953">IF($C953&gt;=25,F953,IF($C953&lt;16,INDEX(Sheet1!C:C,$F953),$F953))</f>
        <v>9</v>
      </c>
      <c r="H953" s="4" t="str" cm="1">
        <f t="array" ref="H953">INDEX(Sheet1!D:D,$G953)</f>
        <v>t1138.xlsx</v>
      </c>
      <c r="I953" s="4" t="str" cm="1">
        <f t="array" ref="I953">INDEX(Sheet1!E:E,$G953)</f>
        <v>Sheet1</v>
      </c>
      <c r="J953" s="4" t="str" cm="1">
        <f t="array" ref="J953">IF($C953&gt;=25,INDEX(Sheet1!G:G,$G953),INDEX(Sheet1!F:F,$G953))</f>
        <v>B139</v>
      </c>
      <c r="K953" s="4" cm="1">
        <f t="array" ref="K953">INDEX(Sheet1!H:H,$G953)</f>
        <v>1</v>
      </c>
      <c r="L953" s="4">
        <f t="shared" si="56"/>
        <v>79</v>
      </c>
      <c r="M953" s="4">
        <f t="shared" si="57"/>
        <v>0</v>
      </c>
    </row>
    <row r="954" spans="1:13">
      <c r="A954" s="4" t="str" cm="1">
        <f t="array" ref="A954">INDEX(Sheet1!A:A,$F954)</f>
        <v>M</v>
      </c>
      <c r="B954" s="4" t="str" cm="1">
        <f t="array" ref="B954">INDEX(Sheet1!B:B,$F954)</f>
        <v>Undiff SM</v>
      </c>
      <c r="C954" s="4">
        <f t="shared" si="58"/>
        <v>105</v>
      </c>
      <c r="D954" s="5" cm="1">
        <f t="array" aca="1" ref="D954" ca="1">OFFSET(INDIRECT("'["&amp;$H954&amp;"]"&amp;$I954&amp;"'!"&amp;$J954),$L954,$M954)*$K954</f>
        <v>0.46015</v>
      </c>
      <c r="F954" s="4">
        <f t="shared" si="59"/>
        <v>9</v>
      </c>
      <c r="G954" s="4" cm="1">
        <f t="array" ref="G954">IF($C954&gt;=25,F954,IF($C954&lt;16,INDEX(Sheet1!C:C,$F954),$F954))</f>
        <v>9</v>
      </c>
      <c r="H954" s="4" t="str" cm="1">
        <f t="array" ref="H954">INDEX(Sheet1!D:D,$G954)</f>
        <v>t1138.xlsx</v>
      </c>
      <c r="I954" s="4" t="str" cm="1">
        <f t="array" ref="I954">INDEX(Sheet1!E:E,$G954)</f>
        <v>Sheet1</v>
      </c>
      <c r="J954" s="4" t="str" cm="1">
        <f t="array" ref="J954">IF($C954&gt;=25,INDEX(Sheet1!G:G,$G954),INDEX(Sheet1!F:F,$G954))</f>
        <v>B139</v>
      </c>
      <c r="K954" s="4" cm="1">
        <f t="array" ref="K954">INDEX(Sheet1!H:H,$G954)</f>
        <v>1</v>
      </c>
      <c r="L954" s="4">
        <f t="shared" si="56"/>
        <v>80</v>
      </c>
      <c r="M954" s="4">
        <f t="shared" si="57"/>
        <v>0</v>
      </c>
    </row>
    <row r="955" spans="1:13">
      <c r="A955" s="4" t="str" cm="1">
        <f t="array" ref="A955">INDEX(Sheet1!A:A,$F955)</f>
        <v>M</v>
      </c>
      <c r="B955" s="4" t="str" cm="1">
        <f t="array" ref="B955">INDEX(Sheet1!B:B,$F955)</f>
        <v>Undiff SM</v>
      </c>
      <c r="C955" s="4">
        <f t="shared" si="58"/>
        <v>106</v>
      </c>
      <c r="D955" s="5" cm="1">
        <f t="array" aca="1" ref="D955" ca="1">OFFSET(INDIRECT("'["&amp;$H955&amp;"]"&amp;$I955&amp;"'!"&amp;$J955),$L955,$M955)*$K955</f>
        <v>0.48309999999999997</v>
      </c>
      <c r="F955" s="4">
        <f t="shared" si="59"/>
        <v>9</v>
      </c>
      <c r="G955" s="4" cm="1">
        <f t="array" ref="G955">IF($C955&gt;=25,F955,IF($C955&lt;16,INDEX(Sheet1!C:C,$F955),$F955))</f>
        <v>9</v>
      </c>
      <c r="H955" s="4" t="str" cm="1">
        <f t="array" ref="H955">INDEX(Sheet1!D:D,$G955)</f>
        <v>t1138.xlsx</v>
      </c>
      <c r="I955" s="4" t="str" cm="1">
        <f t="array" ref="I955">INDEX(Sheet1!E:E,$G955)</f>
        <v>Sheet1</v>
      </c>
      <c r="J955" s="4" t="str" cm="1">
        <f t="array" ref="J955">IF($C955&gt;=25,INDEX(Sheet1!G:G,$G955),INDEX(Sheet1!F:F,$G955))</f>
        <v>B139</v>
      </c>
      <c r="K955" s="4" cm="1">
        <f t="array" ref="K955">INDEX(Sheet1!H:H,$G955)</f>
        <v>1</v>
      </c>
      <c r="L955" s="4">
        <f t="shared" si="56"/>
        <v>81</v>
      </c>
      <c r="M955" s="4">
        <f t="shared" si="57"/>
        <v>0</v>
      </c>
    </row>
    <row r="956" spans="1:13">
      <c r="A956" s="4" t="str" cm="1">
        <f t="array" ref="A956">INDEX(Sheet1!A:A,$F956)</f>
        <v>M</v>
      </c>
      <c r="B956" s="4" t="str" cm="1">
        <f t="array" ref="B956">INDEX(Sheet1!B:B,$F956)</f>
        <v>Undiff SM</v>
      </c>
      <c r="C956" s="4">
        <f t="shared" si="58"/>
        <v>107</v>
      </c>
      <c r="D956" s="5" cm="1">
        <f t="array" aca="1" ref="D956" ca="1">OFFSET(INDIRECT("'["&amp;$H956&amp;"]"&amp;$I956&amp;"'!"&amp;$J956),$L956,$M956)*$K956</f>
        <v>0.50751000000000002</v>
      </c>
      <c r="F956" s="4">
        <f t="shared" si="59"/>
        <v>9</v>
      </c>
      <c r="G956" s="4" cm="1">
        <f t="array" ref="G956">IF($C956&gt;=25,F956,IF($C956&lt;16,INDEX(Sheet1!C:C,$F956),$F956))</f>
        <v>9</v>
      </c>
      <c r="H956" s="4" t="str" cm="1">
        <f t="array" ref="H956">INDEX(Sheet1!D:D,$G956)</f>
        <v>t1138.xlsx</v>
      </c>
      <c r="I956" s="4" t="str" cm="1">
        <f t="array" ref="I956">INDEX(Sheet1!E:E,$G956)</f>
        <v>Sheet1</v>
      </c>
      <c r="J956" s="4" t="str" cm="1">
        <f t="array" ref="J956">IF($C956&gt;=25,INDEX(Sheet1!G:G,$G956),INDEX(Sheet1!F:F,$G956))</f>
        <v>B139</v>
      </c>
      <c r="K956" s="4" cm="1">
        <f t="array" ref="K956">INDEX(Sheet1!H:H,$G956)</f>
        <v>1</v>
      </c>
      <c r="L956" s="4">
        <f t="shared" si="56"/>
        <v>82</v>
      </c>
      <c r="M956" s="4">
        <f t="shared" si="57"/>
        <v>0</v>
      </c>
    </row>
    <row r="957" spans="1:13">
      <c r="A957" s="4" t="str" cm="1">
        <f t="array" ref="A957">INDEX(Sheet1!A:A,$F957)</f>
        <v>M</v>
      </c>
      <c r="B957" s="4" t="str" cm="1">
        <f t="array" ref="B957">INDEX(Sheet1!B:B,$F957)</f>
        <v>Undiff SM</v>
      </c>
      <c r="C957" s="4">
        <f t="shared" si="58"/>
        <v>108</v>
      </c>
      <c r="D957" s="5" cm="1">
        <f t="array" aca="1" ref="D957" ca="1">OFFSET(INDIRECT("'["&amp;$H957&amp;"]"&amp;$I957&amp;"'!"&amp;$J957),$L957,$M957)*$K957</f>
        <v>0.53344000000000003</v>
      </c>
      <c r="F957" s="4">
        <f t="shared" si="59"/>
        <v>9</v>
      </c>
      <c r="G957" s="4" cm="1">
        <f t="array" ref="G957">IF($C957&gt;=25,F957,IF($C957&lt;16,INDEX(Sheet1!C:C,$F957),$F957))</f>
        <v>9</v>
      </c>
      <c r="H957" s="4" t="str" cm="1">
        <f t="array" ref="H957">INDEX(Sheet1!D:D,$G957)</f>
        <v>t1138.xlsx</v>
      </c>
      <c r="I957" s="4" t="str" cm="1">
        <f t="array" ref="I957">INDEX(Sheet1!E:E,$G957)</f>
        <v>Sheet1</v>
      </c>
      <c r="J957" s="4" t="str" cm="1">
        <f t="array" ref="J957">IF($C957&gt;=25,INDEX(Sheet1!G:G,$G957),INDEX(Sheet1!F:F,$G957))</f>
        <v>B139</v>
      </c>
      <c r="K957" s="4" cm="1">
        <f t="array" ref="K957">INDEX(Sheet1!H:H,$G957)</f>
        <v>1</v>
      </c>
      <c r="L957" s="4">
        <f t="shared" si="56"/>
        <v>83</v>
      </c>
      <c r="M957" s="4">
        <f t="shared" si="57"/>
        <v>0</v>
      </c>
    </row>
    <row r="958" spans="1:13">
      <c r="A958" s="4" t="str" cm="1">
        <f t="array" ref="A958">INDEX(Sheet1!A:A,$F958)</f>
        <v>M</v>
      </c>
      <c r="B958" s="4" t="str" cm="1">
        <f t="array" ref="B958">INDEX(Sheet1!B:B,$F958)</f>
        <v>Undiff SM</v>
      </c>
      <c r="C958" s="4">
        <f t="shared" si="58"/>
        <v>109</v>
      </c>
      <c r="D958" s="5" cm="1">
        <f t="array" aca="1" ref="D958" ca="1">OFFSET(INDIRECT("'["&amp;$H958&amp;"]"&amp;$I958&amp;"'!"&amp;$J958),$L958,$M958)*$K958</f>
        <v>0.56101000000000001</v>
      </c>
      <c r="F958" s="4">
        <f t="shared" si="59"/>
        <v>9</v>
      </c>
      <c r="G958" s="4" cm="1">
        <f t="array" ref="G958">IF($C958&gt;=25,F958,IF($C958&lt;16,INDEX(Sheet1!C:C,$F958),$F958))</f>
        <v>9</v>
      </c>
      <c r="H958" s="4" t="str" cm="1">
        <f t="array" ref="H958">INDEX(Sheet1!D:D,$G958)</f>
        <v>t1138.xlsx</v>
      </c>
      <c r="I958" s="4" t="str" cm="1">
        <f t="array" ref="I958">INDEX(Sheet1!E:E,$G958)</f>
        <v>Sheet1</v>
      </c>
      <c r="J958" s="4" t="str" cm="1">
        <f t="array" ref="J958">IF($C958&gt;=25,INDEX(Sheet1!G:G,$G958),INDEX(Sheet1!F:F,$G958))</f>
        <v>B139</v>
      </c>
      <c r="K958" s="4" cm="1">
        <f t="array" ref="K958">INDEX(Sheet1!H:H,$G958)</f>
        <v>1</v>
      </c>
      <c r="L958" s="4">
        <f t="shared" si="56"/>
        <v>84</v>
      </c>
      <c r="M958" s="4">
        <f t="shared" si="57"/>
        <v>0</v>
      </c>
    </row>
    <row r="959" spans="1:13">
      <c r="A959" s="4" t="str" cm="1">
        <f t="array" ref="A959">INDEX(Sheet1!A:A,$F959)</f>
        <v>M</v>
      </c>
      <c r="B959" s="4" t="str" cm="1">
        <f t="array" ref="B959">INDEX(Sheet1!B:B,$F959)</f>
        <v>Undiff SM</v>
      </c>
      <c r="C959" s="4">
        <f t="shared" si="58"/>
        <v>110</v>
      </c>
      <c r="D959" s="5" cm="1">
        <f t="array" aca="1" ref="D959" ca="1">OFFSET(INDIRECT("'["&amp;$H959&amp;"]"&amp;$I959&amp;"'!"&amp;$J959),$L959,$M959)*$K959</f>
        <v>0.59026999999999996</v>
      </c>
      <c r="F959" s="4">
        <f t="shared" si="59"/>
        <v>9</v>
      </c>
      <c r="G959" s="4" cm="1">
        <f t="array" ref="G959">IF($C959&gt;=25,F959,IF($C959&lt;16,INDEX(Sheet1!C:C,$F959),$F959))</f>
        <v>9</v>
      </c>
      <c r="H959" s="4" t="str" cm="1">
        <f t="array" ref="H959">INDEX(Sheet1!D:D,$G959)</f>
        <v>t1138.xlsx</v>
      </c>
      <c r="I959" s="4" t="str" cm="1">
        <f t="array" ref="I959">INDEX(Sheet1!E:E,$G959)</f>
        <v>Sheet1</v>
      </c>
      <c r="J959" s="4" t="str" cm="1">
        <f t="array" ref="J959">IF($C959&gt;=25,INDEX(Sheet1!G:G,$G959),INDEX(Sheet1!F:F,$G959))</f>
        <v>B139</v>
      </c>
      <c r="K959" s="4" cm="1">
        <f t="array" ref="K959">INDEX(Sheet1!H:H,$G959)</f>
        <v>1</v>
      </c>
      <c r="L959" s="4">
        <f t="shared" si="56"/>
        <v>85</v>
      </c>
      <c r="M959" s="4">
        <f t="shared" si="57"/>
        <v>0</v>
      </c>
    </row>
    <row r="960" spans="1:13">
      <c r="A960" s="4" t="str" cm="1">
        <f t="array" ref="A960">INDEX(Sheet1!A:A,$F960)</f>
        <v>M</v>
      </c>
      <c r="B960" s="4" t="str" cm="1">
        <f t="array" ref="B960">INDEX(Sheet1!B:B,$F960)</f>
        <v>Undiff SM</v>
      </c>
      <c r="C960" s="4">
        <f t="shared" si="58"/>
        <v>111</v>
      </c>
      <c r="D960" s="5" cm="1">
        <f t="array" aca="1" ref="D960" ca="1">OFFSET(INDIRECT("'["&amp;$H960&amp;"]"&amp;$I960&amp;"'!"&amp;$J960),$L960,$M960)*$K960</f>
        <v>0.62134999999999996</v>
      </c>
      <c r="F960" s="4">
        <f t="shared" si="59"/>
        <v>9</v>
      </c>
      <c r="G960" s="4" cm="1">
        <f t="array" ref="G960">IF($C960&gt;=25,F960,IF($C960&lt;16,INDEX(Sheet1!C:C,$F960),$F960))</f>
        <v>9</v>
      </c>
      <c r="H960" s="4" t="str" cm="1">
        <f t="array" ref="H960">INDEX(Sheet1!D:D,$G960)</f>
        <v>t1138.xlsx</v>
      </c>
      <c r="I960" s="4" t="str" cm="1">
        <f t="array" ref="I960">INDEX(Sheet1!E:E,$G960)</f>
        <v>Sheet1</v>
      </c>
      <c r="J960" s="4" t="str" cm="1">
        <f t="array" ref="J960">IF($C960&gt;=25,INDEX(Sheet1!G:G,$G960),INDEX(Sheet1!F:F,$G960))</f>
        <v>B139</v>
      </c>
      <c r="K960" s="4" cm="1">
        <f t="array" ref="K960">INDEX(Sheet1!H:H,$G960)</f>
        <v>1</v>
      </c>
      <c r="L960" s="4">
        <f t="shared" si="56"/>
        <v>86</v>
      </c>
      <c r="M960" s="4">
        <f t="shared" si="57"/>
        <v>0</v>
      </c>
    </row>
    <row r="961" spans="1:13">
      <c r="A961" s="4" t="str" cm="1">
        <f t="array" ref="A961">INDEX(Sheet1!A:A,$F961)</f>
        <v>M</v>
      </c>
      <c r="B961" s="4" t="str" cm="1">
        <f t="array" ref="B961">INDEX(Sheet1!B:B,$F961)</f>
        <v>Undiff SM</v>
      </c>
      <c r="C961" s="4">
        <f t="shared" si="58"/>
        <v>112</v>
      </c>
      <c r="D961" s="5" cm="1">
        <f t="array" aca="1" ref="D961" ca="1">OFFSET(INDIRECT("'["&amp;$H961&amp;"]"&amp;$I961&amp;"'!"&amp;$J961),$L961,$M961)*$K961</f>
        <v>0.65434999999999999</v>
      </c>
      <c r="F961" s="4">
        <f t="shared" si="59"/>
        <v>9</v>
      </c>
      <c r="G961" s="4" cm="1">
        <f t="array" ref="G961">IF($C961&gt;=25,F961,IF($C961&lt;16,INDEX(Sheet1!C:C,$F961),$F961))</f>
        <v>9</v>
      </c>
      <c r="H961" s="4" t="str" cm="1">
        <f t="array" ref="H961">INDEX(Sheet1!D:D,$G961)</f>
        <v>t1138.xlsx</v>
      </c>
      <c r="I961" s="4" t="str" cm="1">
        <f t="array" ref="I961">INDEX(Sheet1!E:E,$G961)</f>
        <v>Sheet1</v>
      </c>
      <c r="J961" s="4" t="str" cm="1">
        <f t="array" ref="J961">IF($C961&gt;=25,INDEX(Sheet1!G:G,$G961),INDEX(Sheet1!F:F,$G961))</f>
        <v>B139</v>
      </c>
      <c r="K961" s="4" cm="1">
        <f t="array" ref="K961">INDEX(Sheet1!H:H,$G961)</f>
        <v>1</v>
      </c>
      <c r="L961" s="4">
        <f t="shared" si="56"/>
        <v>87</v>
      </c>
      <c r="M961" s="4">
        <f t="shared" si="57"/>
        <v>0</v>
      </c>
    </row>
    <row r="962" spans="1:13">
      <c r="A962" s="4" t="str" cm="1">
        <f t="array" ref="A962">INDEX(Sheet1!A:A,$F962)</f>
        <v>M</v>
      </c>
      <c r="B962" s="4" t="str" cm="1">
        <f t="array" ref="B962">INDEX(Sheet1!B:B,$F962)</f>
        <v>Undiff SM</v>
      </c>
      <c r="C962" s="4">
        <f t="shared" si="58"/>
        <v>113</v>
      </c>
      <c r="D962" s="5" cm="1">
        <f t="array" aca="1" ref="D962" ca="1">OFFSET(INDIRECT("'["&amp;$H962&amp;"]"&amp;$I962&amp;"'!"&amp;$J962),$L962,$M962)*$K962</f>
        <v>0.68937999999999999</v>
      </c>
      <c r="F962" s="4">
        <f t="shared" si="59"/>
        <v>9</v>
      </c>
      <c r="G962" s="4" cm="1">
        <f t="array" ref="G962">IF($C962&gt;=25,F962,IF($C962&lt;16,INDEX(Sheet1!C:C,$F962),$F962))</f>
        <v>9</v>
      </c>
      <c r="H962" s="4" t="str" cm="1">
        <f t="array" ref="H962">INDEX(Sheet1!D:D,$G962)</f>
        <v>t1138.xlsx</v>
      </c>
      <c r="I962" s="4" t="str" cm="1">
        <f t="array" ref="I962">INDEX(Sheet1!E:E,$G962)</f>
        <v>Sheet1</v>
      </c>
      <c r="J962" s="4" t="str" cm="1">
        <f t="array" ref="J962">IF($C962&gt;=25,INDEX(Sheet1!G:G,$G962),INDEX(Sheet1!F:F,$G962))</f>
        <v>B139</v>
      </c>
      <c r="K962" s="4" cm="1">
        <f t="array" ref="K962">INDEX(Sheet1!H:H,$G962)</f>
        <v>1</v>
      </c>
      <c r="L962" s="4">
        <f t="shared" si="56"/>
        <v>88</v>
      </c>
      <c r="M962" s="4">
        <f t="shared" si="57"/>
        <v>0</v>
      </c>
    </row>
    <row r="963" spans="1:13">
      <c r="A963" s="4" t="str" cm="1">
        <f t="array" ref="A963">INDEX(Sheet1!A:A,$F963)</f>
        <v>M</v>
      </c>
      <c r="B963" s="4" t="str" cm="1">
        <f t="array" ref="B963">INDEX(Sheet1!B:B,$F963)</f>
        <v>Undiff SM</v>
      </c>
      <c r="C963" s="4">
        <f t="shared" si="58"/>
        <v>114</v>
      </c>
      <c r="D963" s="5" cm="1">
        <f t="array" aca="1" ref="D963" ca="1">OFFSET(INDIRECT("'["&amp;$H963&amp;"]"&amp;$I963&amp;"'!"&amp;$J963),$L963,$M963)*$K963</f>
        <v>0.72655999999999998</v>
      </c>
      <c r="F963" s="4">
        <f t="shared" si="59"/>
        <v>9</v>
      </c>
      <c r="G963" s="4" cm="1">
        <f t="array" ref="G963">IF($C963&gt;=25,F963,IF($C963&lt;16,INDEX(Sheet1!C:C,$F963),$F963))</f>
        <v>9</v>
      </c>
      <c r="H963" s="4" t="str" cm="1">
        <f t="array" ref="H963">INDEX(Sheet1!D:D,$G963)</f>
        <v>t1138.xlsx</v>
      </c>
      <c r="I963" s="4" t="str" cm="1">
        <f t="array" ref="I963">INDEX(Sheet1!E:E,$G963)</f>
        <v>Sheet1</v>
      </c>
      <c r="J963" s="4" t="str" cm="1">
        <f t="array" ref="J963">IF($C963&gt;=25,INDEX(Sheet1!G:G,$G963),INDEX(Sheet1!F:F,$G963))</f>
        <v>B139</v>
      </c>
      <c r="K963" s="4" cm="1">
        <f t="array" ref="K963">INDEX(Sheet1!H:H,$G963)</f>
        <v>1</v>
      </c>
      <c r="L963" s="4">
        <f t="shared" ref="L963:L1026" si="60">IF($C963&gt;=25,$C963-25,0)</f>
        <v>89</v>
      </c>
      <c r="M963" s="4">
        <f t="shared" ref="M963:M1026" si="61">IF($C963&gt;=25,0,$C963)</f>
        <v>0</v>
      </c>
    </row>
    <row r="964" spans="1:13">
      <c r="A964" s="4" t="str" cm="1">
        <f t="array" ref="A964">INDEX(Sheet1!A:A,$F964)</f>
        <v>M</v>
      </c>
      <c r="B964" s="4" t="str" cm="1">
        <f t="array" ref="B964">INDEX(Sheet1!B:B,$F964)</f>
        <v>Undiff SM</v>
      </c>
      <c r="C964" s="4">
        <f t="shared" ref="C964:C1027" si="62">IF(C963=120,0,C963+1)</f>
        <v>115</v>
      </c>
      <c r="D964" s="5" cm="1">
        <f t="array" aca="1" ref="D964" ca="1">OFFSET(INDIRECT("'["&amp;$H964&amp;"]"&amp;$I964&amp;"'!"&amp;$J964),$L964,$M964)*$K964</f>
        <v>0.76600999999999997</v>
      </c>
      <c r="F964" s="4">
        <f t="shared" ref="F964:F1027" si="63">IF(C964=0,1,0)+F963</f>
        <v>9</v>
      </c>
      <c r="G964" s="4" cm="1">
        <f t="array" ref="G964">IF($C964&gt;=25,F964,IF($C964&lt;16,INDEX(Sheet1!C:C,$F964),$F964))</f>
        <v>9</v>
      </c>
      <c r="H964" s="4" t="str" cm="1">
        <f t="array" ref="H964">INDEX(Sheet1!D:D,$G964)</f>
        <v>t1138.xlsx</v>
      </c>
      <c r="I964" s="4" t="str" cm="1">
        <f t="array" ref="I964">INDEX(Sheet1!E:E,$G964)</f>
        <v>Sheet1</v>
      </c>
      <c r="J964" s="4" t="str" cm="1">
        <f t="array" ref="J964">IF($C964&gt;=25,INDEX(Sheet1!G:G,$G964),INDEX(Sheet1!F:F,$G964))</f>
        <v>B139</v>
      </c>
      <c r="K964" s="4" cm="1">
        <f t="array" ref="K964">INDEX(Sheet1!H:H,$G964)</f>
        <v>1</v>
      </c>
      <c r="L964" s="4">
        <f t="shared" si="60"/>
        <v>90</v>
      </c>
      <c r="M964" s="4">
        <f t="shared" si="61"/>
        <v>0</v>
      </c>
    </row>
    <row r="965" spans="1:13">
      <c r="A965" s="4" t="str" cm="1">
        <f t="array" ref="A965">INDEX(Sheet1!A:A,$F965)</f>
        <v>M</v>
      </c>
      <c r="B965" s="4" t="str" cm="1">
        <f t="array" ref="B965">INDEX(Sheet1!B:B,$F965)</f>
        <v>Undiff SM</v>
      </c>
      <c r="C965" s="4">
        <f t="shared" si="62"/>
        <v>116</v>
      </c>
      <c r="D965" s="5" cm="1">
        <f t="array" aca="1" ref="D965" ca="1">OFFSET(INDIRECT("'["&amp;$H965&amp;"]"&amp;$I965&amp;"'!"&amp;$J965),$L965,$M965)*$K965</f>
        <v>0.80786000000000002</v>
      </c>
      <c r="F965" s="4">
        <f t="shared" si="63"/>
        <v>9</v>
      </c>
      <c r="G965" s="4" cm="1">
        <f t="array" ref="G965">IF($C965&gt;=25,F965,IF($C965&lt;16,INDEX(Sheet1!C:C,$F965),$F965))</f>
        <v>9</v>
      </c>
      <c r="H965" s="4" t="str" cm="1">
        <f t="array" ref="H965">INDEX(Sheet1!D:D,$G965)</f>
        <v>t1138.xlsx</v>
      </c>
      <c r="I965" s="4" t="str" cm="1">
        <f t="array" ref="I965">INDEX(Sheet1!E:E,$G965)</f>
        <v>Sheet1</v>
      </c>
      <c r="J965" s="4" t="str" cm="1">
        <f t="array" ref="J965">IF($C965&gt;=25,INDEX(Sheet1!G:G,$G965),INDEX(Sheet1!F:F,$G965))</f>
        <v>B139</v>
      </c>
      <c r="K965" s="4" cm="1">
        <f t="array" ref="K965">INDEX(Sheet1!H:H,$G965)</f>
        <v>1</v>
      </c>
      <c r="L965" s="4">
        <f t="shared" si="60"/>
        <v>91</v>
      </c>
      <c r="M965" s="4">
        <f t="shared" si="61"/>
        <v>0</v>
      </c>
    </row>
    <row r="966" spans="1:13">
      <c r="A966" s="4" t="str" cm="1">
        <f t="array" ref="A966">INDEX(Sheet1!A:A,$F966)</f>
        <v>M</v>
      </c>
      <c r="B966" s="4" t="str" cm="1">
        <f t="array" ref="B966">INDEX(Sheet1!B:B,$F966)</f>
        <v>Undiff SM</v>
      </c>
      <c r="C966" s="4">
        <f t="shared" si="62"/>
        <v>117</v>
      </c>
      <c r="D966" s="5" cm="1">
        <f t="array" aca="1" ref="D966" ca="1">OFFSET(INDIRECT("'["&amp;$H966&amp;"]"&amp;$I966&amp;"'!"&amp;$J966),$L966,$M966)*$K966</f>
        <v>0.85226000000000002</v>
      </c>
      <c r="F966" s="4">
        <f t="shared" si="63"/>
        <v>9</v>
      </c>
      <c r="G966" s="4" cm="1">
        <f t="array" ref="G966">IF($C966&gt;=25,F966,IF($C966&lt;16,INDEX(Sheet1!C:C,$F966),$F966))</f>
        <v>9</v>
      </c>
      <c r="H966" s="4" t="str" cm="1">
        <f t="array" ref="H966">INDEX(Sheet1!D:D,$G966)</f>
        <v>t1138.xlsx</v>
      </c>
      <c r="I966" s="4" t="str" cm="1">
        <f t="array" ref="I966">INDEX(Sheet1!E:E,$G966)</f>
        <v>Sheet1</v>
      </c>
      <c r="J966" s="4" t="str" cm="1">
        <f t="array" ref="J966">IF($C966&gt;=25,INDEX(Sheet1!G:G,$G966),INDEX(Sheet1!F:F,$G966))</f>
        <v>B139</v>
      </c>
      <c r="K966" s="4" cm="1">
        <f t="array" ref="K966">INDEX(Sheet1!H:H,$G966)</f>
        <v>1</v>
      </c>
      <c r="L966" s="4">
        <f t="shared" si="60"/>
        <v>92</v>
      </c>
      <c r="M966" s="4">
        <f t="shared" si="61"/>
        <v>0</v>
      </c>
    </row>
    <row r="967" spans="1:13">
      <c r="A967" s="4" t="str" cm="1">
        <f t="array" ref="A967">INDEX(Sheet1!A:A,$F967)</f>
        <v>M</v>
      </c>
      <c r="B967" s="4" t="str" cm="1">
        <f t="array" ref="B967">INDEX(Sheet1!B:B,$F967)</f>
        <v>Undiff SM</v>
      </c>
      <c r="C967" s="4">
        <f t="shared" si="62"/>
        <v>118</v>
      </c>
      <c r="D967" s="5" cm="1">
        <f t="array" aca="1" ref="D967" ca="1">OFFSET(INDIRECT("'["&amp;$H967&amp;"]"&amp;$I967&amp;"'!"&amp;$J967),$L967,$M967)*$K967</f>
        <v>0.89934999999999998</v>
      </c>
      <c r="F967" s="4">
        <f t="shared" si="63"/>
        <v>9</v>
      </c>
      <c r="G967" s="4" cm="1">
        <f t="array" ref="G967">IF($C967&gt;=25,F967,IF($C967&lt;16,INDEX(Sheet1!C:C,$F967),$F967))</f>
        <v>9</v>
      </c>
      <c r="H967" s="4" t="str" cm="1">
        <f t="array" ref="H967">INDEX(Sheet1!D:D,$G967)</f>
        <v>t1138.xlsx</v>
      </c>
      <c r="I967" s="4" t="str" cm="1">
        <f t="array" ref="I967">INDEX(Sheet1!E:E,$G967)</f>
        <v>Sheet1</v>
      </c>
      <c r="J967" s="4" t="str" cm="1">
        <f t="array" ref="J967">IF($C967&gt;=25,INDEX(Sheet1!G:G,$G967),INDEX(Sheet1!F:F,$G967))</f>
        <v>B139</v>
      </c>
      <c r="K967" s="4" cm="1">
        <f t="array" ref="K967">INDEX(Sheet1!H:H,$G967)</f>
        <v>1</v>
      </c>
      <c r="L967" s="4">
        <f t="shared" si="60"/>
        <v>93</v>
      </c>
      <c r="M967" s="4">
        <f t="shared" si="61"/>
        <v>0</v>
      </c>
    </row>
    <row r="968" spans="1:13">
      <c r="A968" s="4" t="str" cm="1">
        <f t="array" ref="A968">INDEX(Sheet1!A:A,$F968)</f>
        <v>M</v>
      </c>
      <c r="B968" s="4" t="str" cm="1">
        <f t="array" ref="B968">INDEX(Sheet1!B:B,$F968)</f>
        <v>Undiff SM</v>
      </c>
      <c r="C968" s="4">
        <f t="shared" si="62"/>
        <v>119</v>
      </c>
      <c r="D968" s="5" cm="1">
        <f t="array" aca="1" ref="D968" ca="1">OFFSET(INDIRECT("'["&amp;$H968&amp;"]"&amp;$I968&amp;"'!"&amp;$J968),$L968,$M968)*$K968</f>
        <v>0.94928999999999997</v>
      </c>
      <c r="F968" s="4">
        <f t="shared" si="63"/>
        <v>9</v>
      </c>
      <c r="G968" s="4" cm="1">
        <f t="array" ref="G968">IF($C968&gt;=25,F968,IF($C968&lt;16,INDEX(Sheet1!C:C,$F968),$F968))</f>
        <v>9</v>
      </c>
      <c r="H968" s="4" t="str" cm="1">
        <f t="array" ref="H968">INDEX(Sheet1!D:D,$G968)</f>
        <v>t1138.xlsx</v>
      </c>
      <c r="I968" s="4" t="str" cm="1">
        <f t="array" ref="I968">INDEX(Sheet1!E:E,$G968)</f>
        <v>Sheet1</v>
      </c>
      <c r="J968" s="4" t="str" cm="1">
        <f t="array" ref="J968">IF($C968&gt;=25,INDEX(Sheet1!G:G,$G968),INDEX(Sheet1!F:F,$G968))</f>
        <v>B139</v>
      </c>
      <c r="K968" s="4" cm="1">
        <f t="array" ref="K968">INDEX(Sheet1!H:H,$G968)</f>
        <v>1</v>
      </c>
      <c r="L968" s="4">
        <f t="shared" si="60"/>
        <v>94</v>
      </c>
      <c r="M968" s="4">
        <f t="shared" si="61"/>
        <v>0</v>
      </c>
    </row>
    <row r="969" spans="1:13">
      <c r="A969" s="4" t="str" cm="1">
        <f t="array" ref="A969">INDEX(Sheet1!A:A,$F969)</f>
        <v>M</v>
      </c>
      <c r="B969" s="4" t="str" cm="1">
        <f t="array" ref="B969">INDEX(Sheet1!B:B,$F969)</f>
        <v>Undiff SM</v>
      </c>
      <c r="C969" s="4">
        <f t="shared" si="62"/>
        <v>120</v>
      </c>
      <c r="D969" s="5" cm="1">
        <f t="array" aca="1" ref="D969" ca="1">OFFSET(INDIRECT("'["&amp;$H969&amp;"]"&amp;$I969&amp;"'!"&amp;$J969),$L969,$M969)*$K969</f>
        <v>1</v>
      </c>
      <c r="F969" s="4">
        <f t="shared" si="63"/>
        <v>9</v>
      </c>
      <c r="G969" s="4" cm="1">
        <f t="array" ref="G969">IF($C969&gt;=25,F969,IF($C969&lt;16,INDEX(Sheet1!C:C,$F969),$F969))</f>
        <v>9</v>
      </c>
      <c r="H969" s="4" t="str" cm="1">
        <f t="array" ref="H969">INDEX(Sheet1!D:D,$G969)</f>
        <v>t1138.xlsx</v>
      </c>
      <c r="I969" s="4" t="str" cm="1">
        <f t="array" ref="I969">INDEX(Sheet1!E:E,$G969)</f>
        <v>Sheet1</v>
      </c>
      <c r="J969" s="4" t="str" cm="1">
        <f t="array" ref="J969">IF($C969&gt;=25,INDEX(Sheet1!G:G,$G969),INDEX(Sheet1!F:F,$G969))</f>
        <v>B139</v>
      </c>
      <c r="K969" s="4" cm="1">
        <f t="array" ref="K969">INDEX(Sheet1!H:H,$G969)</f>
        <v>1</v>
      </c>
      <c r="L969" s="4">
        <f t="shared" si="60"/>
        <v>95</v>
      </c>
      <c r="M969" s="4">
        <f t="shared" si="61"/>
        <v>0</v>
      </c>
    </row>
    <row r="970" spans="1:13">
      <c r="A970" s="4" t="str" cm="1">
        <f t="array" ref="A970">INDEX(Sheet1!A:A,$F970)</f>
        <v>M</v>
      </c>
      <c r="B970" s="4" t="str" cm="1">
        <f t="array" ref="B970">INDEX(Sheet1!B:B,$F970)</f>
        <v>Agg/Unknown</v>
      </c>
      <c r="C970" s="4">
        <f t="shared" si="62"/>
        <v>0</v>
      </c>
      <c r="D970" s="5" cm="1">
        <f t="array" aca="1" ref="D970" ca="1">OFFSET(INDIRECT("'["&amp;$H970&amp;"]"&amp;$I970&amp;"'!"&amp;$J970),$L970,$M970)*$K970</f>
        <v>9.7000000000000005E-4</v>
      </c>
      <c r="F970" s="4">
        <f t="shared" si="63"/>
        <v>10</v>
      </c>
      <c r="G970" s="4" cm="1">
        <f t="array" ref="G970">IF($C970&gt;=25,F970,IF($C970&lt;16,INDEX(Sheet1!C:C,$F970),$F970))</f>
        <v>10</v>
      </c>
      <c r="H970" s="4" t="str" cm="1">
        <f t="array" ref="H970">INDEX(Sheet1!D:D,$G970)</f>
        <v>t1136.xlsx</v>
      </c>
      <c r="I970" s="4" t="str" cm="1">
        <f t="array" ref="I970">INDEX(Sheet1!E:E,$G970)</f>
        <v>Sheet1</v>
      </c>
      <c r="J970" s="4" t="str" cm="1">
        <f t="array" ref="J970">IF($C970&gt;=25,INDEX(Sheet1!G:G,$G970),INDEX(Sheet1!F:F,$G970))</f>
        <v>B25</v>
      </c>
      <c r="K970" s="4" cm="1">
        <f t="array" ref="K970">INDEX(Sheet1!H:H,$G970)</f>
        <v>1</v>
      </c>
      <c r="L970" s="4">
        <f t="shared" si="60"/>
        <v>0</v>
      </c>
      <c r="M970" s="4">
        <f t="shared" si="61"/>
        <v>0</v>
      </c>
    </row>
    <row r="971" spans="1:13">
      <c r="A971" s="4" t="str" cm="1">
        <f t="array" ref="A971">INDEX(Sheet1!A:A,$F971)</f>
        <v>M</v>
      </c>
      <c r="B971" s="4" t="str" cm="1">
        <f t="array" ref="B971">INDEX(Sheet1!B:B,$F971)</f>
        <v>Agg/Unknown</v>
      </c>
      <c r="C971" s="4">
        <f t="shared" si="62"/>
        <v>1</v>
      </c>
      <c r="D971" s="5" cm="1">
        <f t="array" aca="1" ref="D971" ca="1">OFFSET(INDIRECT("'["&amp;$H971&amp;"]"&amp;$I971&amp;"'!"&amp;$J971),$L971,$M971)*$K971</f>
        <v>5.5999999999999995E-4</v>
      </c>
      <c r="F971" s="4">
        <f t="shared" si="63"/>
        <v>10</v>
      </c>
      <c r="G971" s="4" cm="1">
        <f t="array" ref="G971">IF($C971&gt;=25,F971,IF($C971&lt;16,INDEX(Sheet1!C:C,$F971),$F971))</f>
        <v>10</v>
      </c>
      <c r="H971" s="4" t="str" cm="1">
        <f t="array" ref="H971">INDEX(Sheet1!D:D,$G971)</f>
        <v>t1136.xlsx</v>
      </c>
      <c r="I971" s="4" t="str" cm="1">
        <f t="array" ref="I971">INDEX(Sheet1!E:E,$G971)</f>
        <v>Sheet1</v>
      </c>
      <c r="J971" s="4" t="str" cm="1">
        <f t="array" ref="J971">IF($C971&gt;=25,INDEX(Sheet1!G:G,$G971),INDEX(Sheet1!F:F,$G971))</f>
        <v>B25</v>
      </c>
      <c r="K971" s="4" cm="1">
        <f t="array" ref="K971">INDEX(Sheet1!H:H,$G971)</f>
        <v>1</v>
      </c>
      <c r="L971" s="4">
        <f t="shared" si="60"/>
        <v>0</v>
      </c>
      <c r="M971" s="4">
        <f t="shared" si="61"/>
        <v>1</v>
      </c>
    </row>
    <row r="972" spans="1:13">
      <c r="A972" s="4" t="str" cm="1">
        <f t="array" ref="A972">INDEX(Sheet1!A:A,$F972)</f>
        <v>M</v>
      </c>
      <c r="B972" s="4" t="str" cm="1">
        <f t="array" ref="B972">INDEX(Sheet1!B:B,$F972)</f>
        <v>Agg/Unknown</v>
      </c>
      <c r="C972" s="4">
        <f t="shared" si="62"/>
        <v>2</v>
      </c>
      <c r="D972" s="5" cm="1">
        <f t="array" aca="1" ref="D972" ca="1">OFFSET(INDIRECT("'["&amp;$H972&amp;"]"&amp;$I972&amp;"'!"&amp;$J972),$L972,$M972)*$K972</f>
        <v>3.8999999999999999E-4</v>
      </c>
      <c r="F972" s="4">
        <f t="shared" si="63"/>
        <v>10</v>
      </c>
      <c r="G972" s="4" cm="1">
        <f t="array" ref="G972">IF($C972&gt;=25,F972,IF($C972&lt;16,INDEX(Sheet1!C:C,$F972),$F972))</f>
        <v>10</v>
      </c>
      <c r="H972" s="4" t="str" cm="1">
        <f t="array" ref="H972">INDEX(Sheet1!D:D,$G972)</f>
        <v>t1136.xlsx</v>
      </c>
      <c r="I972" s="4" t="str" cm="1">
        <f t="array" ref="I972">INDEX(Sheet1!E:E,$G972)</f>
        <v>Sheet1</v>
      </c>
      <c r="J972" s="4" t="str" cm="1">
        <f t="array" ref="J972">IF($C972&gt;=25,INDEX(Sheet1!G:G,$G972),INDEX(Sheet1!F:F,$G972))</f>
        <v>B25</v>
      </c>
      <c r="K972" s="4" cm="1">
        <f t="array" ref="K972">INDEX(Sheet1!H:H,$G972)</f>
        <v>1</v>
      </c>
      <c r="L972" s="4">
        <f t="shared" si="60"/>
        <v>0</v>
      </c>
      <c r="M972" s="4">
        <f t="shared" si="61"/>
        <v>2</v>
      </c>
    </row>
    <row r="973" spans="1:13">
      <c r="A973" s="4" t="str" cm="1">
        <f t="array" ref="A973">INDEX(Sheet1!A:A,$F973)</f>
        <v>M</v>
      </c>
      <c r="B973" s="4" t="str" cm="1">
        <f t="array" ref="B973">INDEX(Sheet1!B:B,$F973)</f>
        <v>Agg/Unknown</v>
      </c>
      <c r="C973" s="4">
        <f t="shared" si="62"/>
        <v>3</v>
      </c>
      <c r="D973" s="5" cm="1">
        <f t="array" aca="1" ref="D973" ca="1">OFFSET(INDIRECT("'["&amp;$H973&amp;"]"&amp;$I973&amp;"'!"&amp;$J973),$L973,$M973)*$K973</f>
        <v>2.7E-4</v>
      </c>
      <c r="F973" s="4">
        <f t="shared" si="63"/>
        <v>10</v>
      </c>
      <c r="G973" s="4" cm="1">
        <f t="array" ref="G973">IF($C973&gt;=25,F973,IF($C973&lt;16,INDEX(Sheet1!C:C,$F973),$F973))</f>
        <v>10</v>
      </c>
      <c r="H973" s="4" t="str" cm="1">
        <f t="array" ref="H973">INDEX(Sheet1!D:D,$G973)</f>
        <v>t1136.xlsx</v>
      </c>
      <c r="I973" s="4" t="str" cm="1">
        <f t="array" ref="I973">INDEX(Sheet1!E:E,$G973)</f>
        <v>Sheet1</v>
      </c>
      <c r="J973" s="4" t="str" cm="1">
        <f t="array" ref="J973">IF($C973&gt;=25,INDEX(Sheet1!G:G,$G973),INDEX(Sheet1!F:F,$G973))</f>
        <v>B25</v>
      </c>
      <c r="K973" s="4" cm="1">
        <f t="array" ref="K973">INDEX(Sheet1!H:H,$G973)</f>
        <v>1</v>
      </c>
      <c r="L973" s="4">
        <f t="shared" si="60"/>
        <v>0</v>
      </c>
      <c r="M973" s="4">
        <f t="shared" si="61"/>
        <v>3</v>
      </c>
    </row>
    <row r="974" spans="1:13">
      <c r="A974" s="4" t="str" cm="1">
        <f t="array" ref="A974">INDEX(Sheet1!A:A,$F974)</f>
        <v>M</v>
      </c>
      <c r="B974" s="4" t="str" cm="1">
        <f t="array" ref="B974">INDEX(Sheet1!B:B,$F974)</f>
        <v>Agg/Unknown</v>
      </c>
      <c r="C974" s="4">
        <f t="shared" si="62"/>
        <v>4</v>
      </c>
      <c r="D974" s="5" cm="1">
        <f t="array" aca="1" ref="D974" ca="1">OFFSET(INDIRECT("'["&amp;$H974&amp;"]"&amp;$I974&amp;"'!"&amp;$J974),$L974,$M974)*$K974</f>
        <v>2.1000000000000001E-4</v>
      </c>
      <c r="F974" s="4">
        <f t="shared" si="63"/>
        <v>10</v>
      </c>
      <c r="G974" s="4" cm="1">
        <f t="array" ref="G974">IF($C974&gt;=25,F974,IF($C974&lt;16,INDEX(Sheet1!C:C,$F974),$F974))</f>
        <v>10</v>
      </c>
      <c r="H974" s="4" t="str" cm="1">
        <f t="array" ref="H974">INDEX(Sheet1!D:D,$G974)</f>
        <v>t1136.xlsx</v>
      </c>
      <c r="I974" s="4" t="str" cm="1">
        <f t="array" ref="I974">INDEX(Sheet1!E:E,$G974)</f>
        <v>Sheet1</v>
      </c>
      <c r="J974" s="4" t="str" cm="1">
        <f t="array" ref="J974">IF($C974&gt;=25,INDEX(Sheet1!G:G,$G974),INDEX(Sheet1!F:F,$G974))</f>
        <v>B25</v>
      </c>
      <c r="K974" s="4" cm="1">
        <f t="array" ref="K974">INDEX(Sheet1!H:H,$G974)</f>
        <v>1</v>
      </c>
      <c r="L974" s="4">
        <f t="shared" si="60"/>
        <v>0</v>
      </c>
      <c r="M974" s="4">
        <f t="shared" si="61"/>
        <v>4</v>
      </c>
    </row>
    <row r="975" spans="1:13">
      <c r="A975" s="4" t="str" cm="1">
        <f t="array" ref="A975">INDEX(Sheet1!A:A,$F975)</f>
        <v>M</v>
      </c>
      <c r="B975" s="4" t="str" cm="1">
        <f t="array" ref="B975">INDEX(Sheet1!B:B,$F975)</f>
        <v>Agg/Unknown</v>
      </c>
      <c r="C975" s="4">
        <f t="shared" si="62"/>
        <v>5</v>
      </c>
      <c r="D975" s="5" cm="1">
        <f t="array" aca="1" ref="D975" ca="1">OFFSET(INDIRECT("'["&amp;$H975&amp;"]"&amp;$I975&amp;"'!"&amp;$J975),$L975,$M975)*$K975</f>
        <v>2.1000000000000001E-4</v>
      </c>
      <c r="F975" s="4">
        <f t="shared" si="63"/>
        <v>10</v>
      </c>
      <c r="G975" s="4" cm="1">
        <f t="array" ref="G975">IF($C975&gt;=25,F975,IF($C975&lt;16,INDEX(Sheet1!C:C,$F975),$F975))</f>
        <v>10</v>
      </c>
      <c r="H975" s="4" t="str" cm="1">
        <f t="array" ref="H975">INDEX(Sheet1!D:D,$G975)</f>
        <v>t1136.xlsx</v>
      </c>
      <c r="I975" s="4" t="str" cm="1">
        <f t="array" ref="I975">INDEX(Sheet1!E:E,$G975)</f>
        <v>Sheet1</v>
      </c>
      <c r="J975" s="4" t="str" cm="1">
        <f t="array" ref="J975">IF($C975&gt;=25,INDEX(Sheet1!G:G,$G975),INDEX(Sheet1!F:F,$G975))</f>
        <v>B25</v>
      </c>
      <c r="K975" s="4" cm="1">
        <f t="array" ref="K975">INDEX(Sheet1!H:H,$G975)</f>
        <v>1</v>
      </c>
      <c r="L975" s="4">
        <f t="shared" si="60"/>
        <v>0</v>
      </c>
      <c r="M975" s="4">
        <f t="shared" si="61"/>
        <v>5</v>
      </c>
    </row>
    <row r="976" spans="1:13">
      <c r="A976" s="4" t="str" cm="1">
        <f t="array" ref="A976">INDEX(Sheet1!A:A,$F976)</f>
        <v>M</v>
      </c>
      <c r="B976" s="4" t="str" cm="1">
        <f t="array" ref="B976">INDEX(Sheet1!B:B,$F976)</f>
        <v>Agg/Unknown</v>
      </c>
      <c r="C976" s="4">
        <f t="shared" si="62"/>
        <v>6</v>
      </c>
      <c r="D976" s="5" cm="1">
        <f t="array" aca="1" ref="D976" ca="1">OFFSET(INDIRECT("'["&amp;$H976&amp;"]"&amp;$I976&amp;"'!"&amp;$J976),$L976,$M976)*$K976</f>
        <v>2.2000000000000001E-4</v>
      </c>
      <c r="F976" s="4">
        <f t="shared" si="63"/>
        <v>10</v>
      </c>
      <c r="G976" s="4" cm="1">
        <f t="array" ref="G976">IF($C976&gt;=25,F976,IF($C976&lt;16,INDEX(Sheet1!C:C,$F976),$F976))</f>
        <v>10</v>
      </c>
      <c r="H976" s="4" t="str" cm="1">
        <f t="array" ref="H976">INDEX(Sheet1!D:D,$G976)</f>
        <v>t1136.xlsx</v>
      </c>
      <c r="I976" s="4" t="str" cm="1">
        <f t="array" ref="I976">INDEX(Sheet1!E:E,$G976)</f>
        <v>Sheet1</v>
      </c>
      <c r="J976" s="4" t="str" cm="1">
        <f t="array" ref="J976">IF($C976&gt;=25,INDEX(Sheet1!G:G,$G976),INDEX(Sheet1!F:F,$G976))</f>
        <v>B25</v>
      </c>
      <c r="K976" s="4" cm="1">
        <f t="array" ref="K976">INDEX(Sheet1!H:H,$G976)</f>
        <v>1</v>
      </c>
      <c r="L976" s="4">
        <f t="shared" si="60"/>
        <v>0</v>
      </c>
      <c r="M976" s="4">
        <f t="shared" si="61"/>
        <v>6</v>
      </c>
    </row>
    <row r="977" spans="1:13">
      <c r="A977" s="4" t="str" cm="1">
        <f t="array" ref="A977">INDEX(Sheet1!A:A,$F977)</f>
        <v>M</v>
      </c>
      <c r="B977" s="4" t="str" cm="1">
        <f t="array" ref="B977">INDEX(Sheet1!B:B,$F977)</f>
        <v>Agg/Unknown</v>
      </c>
      <c r="C977" s="4">
        <f t="shared" si="62"/>
        <v>7</v>
      </c>
      <c r="D977" s="5" cm="1">
        <f t="array" aca="1" ref="D977" ca="1">OFFSET(INDIRECT("'["&amp;$H977&amp;"]"&amp;$I977&amp;"'!"&amp;$J977),$L977,$M977)*$K977</f>
        <v>2.2000000000000001E-4</v>
      </c>
      <c r="F977" s="4">
        <f t="shared" si="63"/>
        <v>10</v>
      </c>
      <c r="G977" s="4" cm="1">
        <f t="array" ref="G977">IF($C977&gt;=25,F977,IF($C977&lt;16,INDEX(Sheet1!C:C,$F977),$F977))</f>
        <v>10</v>
      </c>
      <c r="H977" s="4" t="str" cm="1">
        <f t="array" ref="H977">INDEX(Sheet1!D:D,$G977)</f>
        <v>t1136.xlsx</v>
      </c>
      <c r="I977" s="4" t="str" cm="1">
        <f t="array" ref="I977">INDEX(Sheet1!E:E,$G977)</f>
        <v>Sheet1</v>
      </c>
      <c r="J977" s="4" t="str" cm="1">
        <f t="array" ref="J977">IF($C977&gt;=25,INDEX(Sheet1!G:G,$G977),INDEX(Sheet1!F:F,$G977))</f>
        <v>B25</v>
      </c>
      <c r="K977" s="4" cm="1">
        <f t="array" ref="K977">INDEX(Sheet1!H:H,$G977)</f>
        <v>1</v>
      </c>
      <c r="L977" s="4">
        <f t="shared" si="60"/>
        <v>0</v>
      </c>
      <c r="M977" s="4">
        <f t="shared" si="61"/>
        <v>7</v>
      </c>
    </row>
    <row r="978" spans="1:13">
      <c r="A978" s="4" t="str" cm="1">
        <f t="array" ref="A978">INDEX(Sheet1!A:A,$F978)</f>
        <v>M</v>
      </c>
      <c r="B978" s="4" t="str" cm="1">
        <f t="array" ref="B978">INDEX(Sheet1!B:B,$F978)</f>
        <v>Agg/Unknown</v>
      </c>
      <c r="C978" s="4">
        <f t="shared" si="62"/>
        <v>8</v>
      </c>
      <c r="D978" s="5" cm="1">
        <f t="array" aca="1" ref="D978" ca="1">OFFSET(INDIRECT("'["&amp;$H978&amp;"]"&amp;$I978&amp;"'!"&amp;$J978),$L978,$M978)*$K978</f>
        <v>2.2000000000000001E-4</v>
      </c>
      <c r="F978" s="4">
        <f t="shared" si="63"/>
        <v>10</v>
      </c>
      <c r="G978" s="4" cm="1">
        <f t="array" ref="G978">IF($C978&gt;=25,F978,IF($C978&lt;16,INDEX(Sheet1!C:C,$F978),$F978))</f>
        <v>10</v>
      </c>
      <c r="H978" s="4" t="str" cm="1">
        <f t="array" ref="H978">INDEX(Sheet1!D:D,$G978)</f>
        <v>t1136.xlsx</v>
      </c>
      <c r="I978" s="4" t="str" cm="1">
        <f t="array" ref="I978">INDEX(Sheet1!E:E,$G978)</f>
        <v>Sheet1</v>
      </c>
      <c r="J978" s="4" t="str" cm="1">
        <f t="array" ref="J978">IF($C978&gt;=25,INDEX(Sheet1!G:G,$G978),INDEX(Sheet1!F:F,$G978))</f>
        <v>B25</v>
      </c>
      <c r="K978" s="4" cm="1">
        <f t="array" ref="K978">INDEX(Sheet1!H:H,$G978)</f>
        <v>1</v>
      </c>
      <c r="L978" s="4">
        <f t="shared" si="60"/>
        <v>0</v>
      </c>
      <c r="M978" s="4">
        <f t="shared" si="61"/>
        <v>8</v>
      </c>
    </row>
    <row r="979" spans="1:13">
      <c r="A979" s="4" t="str" cm="1">
        <f t="array" ref="A979">INDEX(Sheet1!A:A,$F979)</f>
        <v>M</v>
      </c>
      <c r="B979" s="4" t="str" cm="1">
        <f t="array" ref="B979">INDEX(Sheet1!B:B,$F979)</f>
        <v>Agg/Unknown</v>
      </c>
      <c r="C979" s="4">
        <f t="shared" si="62"/>
        <v>9</v>
      </c>
      <c r="D979" s="5" cm="1">
        <f t="array" aca="1" ref="D979" ca="1">OFFSET(INDIRECT("'["&amp;$H979&amp;"]"&amp;$I979&amp;"'!"&amp;$J979),$L979,$M979)*$K979</f>
        <v>2.3000000000000001E-4</v>
      </c>
      <c r="F979" s="4">
        <f t="shared" si="63"/>
        <v>10</v>
      </c>
      <c r="G979" s="4" cm="1">
        <f t="array" ref="G979">IF($C979&gt;=25,F979,IF($C979&lt;16,INDEX(Sheet1!C:C,$F979),$F979))</f>
        <v>10</v>
      </c>
      <c r="H979" s="4" t="str" cm="1">
        <f t="array" ref="H979">INDEX(Sheet1!D:D,$G979)</f>
        <v>t1136.xlsx</v>
      </c>
      <c r="I979" s="4" t="str" cm="1">
        <f t="array" ref="I979">INDEX(Sheet1!E:E,$G979)</f>
        <v>Sheet1</v>
      </c>
      <c r="J979" s="4" t="str" cm="1">
        <f t="array" ref="J979">IF($C979&gt;=25,INDEX(Sheet1!G:G,$G979),INDEX(Sheet1!F:F,$G979))</f>
        <v>B25</v>
      </c>
      <c r="K979" s="4" cm="1">
        <f t="array" ref="K979">INDEX(Sheet1!H:H,$G979)</f>
        <v>1</v>
      </c>
      <c r="L979" s="4">
        <f t="shared" si="60"/>
        <v>0</v>
      </c>
      <c r="M979" s="4">
        <f t="shared" si="61"/>
        <v>9</v>
      </c>
    </row>
    <row r="980" spans="1:13">
      <c r="A980" s="4" t="str" cm="1">
        <f t="array" ref="A980">INDEX(Sheet1!A:A,$F980)</f>
        <v>M</v>
      </c>
      <c r="B980" s="4" t="str" cm="1">
        <f t="array" ref="B980">INDEX(Sheet1!B:B,$F980)</f>
        <v>Agg/Unknown</v>
      </c>
      <c r="C980" s="4">
        <f t="shared" si="62"/>
        <v>10</v>
      </c>
      <c r="D980" s="5" cm="1">
        <f t="array" aca="1" ref="D980" ca="1">OFFSET(INDIRECT("'["&amp;$H980&amp;"]"&amp;$I980&amp;"'!"&amp;$J980),$L980,$M980)*$K980</f>
        <v>2.3000000000000001E-4</v>
      </c>
      <c r="F980" s="4">
        <f t="shared" si="63"/>
        <v>10</v>
      </c>
      <c r="G980" s="4" cm="1">
        <f t="array" ref="G980">IF($C980&gt;=25,F980,IF($C980&lt;16,INDEX(Sheet1!C:C,$F980),$F980))</f>
        <v>10</v>
      </c>
      <c r="H980" s="4" t="str" cm="1">
        <f t="array" ref="H980">INDEX(Sheet1!D:D,$G980)</f>
        <v>t1136.xlsx</v>
      </c>
      <c r="I980" s="4" t="str" cm="1">
        <f t="array" ref="I980">INDEX(Sheet1!E:E,$G980)</f>
        <v>Sheet1</v>
      </c>
      <c r="J980" s="4" t="str" cm="1">
        <f t="array" ref="J980">IF($C980&gt;=25,INDEX(Sheet1!G:G,$G980),INDEX(Sheet1!F:F,$G980))</f>
        <v>B25</v>
      </c>
      <c r="K980" s="4" cm="1">
        <f t="array" ref="K980">INDEX(Sheet1!H:H,$G980)</f>
        <v>1</v>
      </c>
      <c r="L980" s="4">
        <f t="shared" si="60"/>
        <v>0</v>
      </c>
      <c r="M980" s="4">
        <f t="shared" si="61"/>
        <v>10</v>
      </c>
    </row>
    <row r="981" spans="1:13">
      <c r="A981" s="4" t="str" cm="1">
        <f t="array" ref="A981">INDEX(Sheet1!A:A,$F981)</f>
        <v>M</v>
      </c>
      <c r="B981" s="4" t="str" cm="1">
        <f t="array" ref="B981">INDEX(Sheet1!B:B,$F981)</f>
        <v>Agg/Unknown</v>
      </c>
      <c r="C981" s="4">
        <f t="shared" si="62"/>
        <v>11</v>
      </c>
      <c r="D981" s="5" cm="1">
        <f t="array" aca="1" ref="D981" ca="1">OFFSET(INDIRECT("'["&amp;$H981&amp;"]"&amp;$I981&amp;"'!"&amp;$J981),$L981,$M981)*$K981</f>
        <v>2.7E-4</v>
      </c>
      <c r="F981" s="4">
        <f t="shared" si="63"/>
        <v>10</v>
      </c>
      <c r="G981" s="4" cm="1">
        <f t="array" ref="G981">IF($C981&gt;=25,F981,IF($C981&lt;16,INDEX(Sheet1!C:C,$F981),$F981))</f>
        <v>10</v>
      </c>
      <c r="H981" s="4" t="str" cm="1">
        <f t="array" ref="H981">INDEX(Sheet1!D:D,$G981)</f>
        <v>t1136.xlsx</v>
      </c>
      <c r="I981" s="4" t="str" cm="1">
        <f t="array" ref="I981">INDEX(Sheet1!E:E,$G981)</f>
        <v>Sheet1</v>
      </c>
      <c r="J981" s="4" t="str" cm="1">
        <f t="array" ref="J981">IF($C981&gt;=25,INDEX(Sheet1!G:G,$G981),INDEX(Sheet1!F:F,$G981))</f>
        <v>B25</v>
      </c>
      <c r="K981" s="4" cm="1">
        <f t="array" ref="K981">INDEX(Sheet1!H:H,$G981)</f>
        <v>1</v>
      </c>
      <c r="L981" s="4">
        <f t="shared" si="60"/>
        <v>0</v>
      </c>
      <c r="M981" s="4">
        <f t="shared" si="61"/>
        <v>11</v>
      </c>
    </row>
    <row r="982" spans="1:13">
      <c r="A982" s="4" t="str" cm="1">
        <f t="array" ref="A982">INDEX(Sheet1!A:A,$F982)</f>
        <v>M</v>
      </c>
      <c r="B982" s="4" t="str" cm="1">
        <f t="array" ref="B982">INDEX(Sheet1!B:B,$F982)</f>
        <v>Agg/Unknown</v>
      </c>
      <c r="C982" s="4">
        <f t="shared" si="62"/>
        <v>12</v>
      </c>
      <c r="D982" s="5" cm="1">
        <f t="array" aca="1" ref="D982" ca="1">OFFSET(INDIRECT("'["&amp;$H982&amp;"]"&amp;$I982&amp;"'!"&amp;$J982),$L982,$M982)*$K982</f>
        <v>3.3E-4</v>
      </c>
      <c r="F982" s="4">
        <f t="shared" si="63"/>
        <v>10</v>
      </c>
      <c r="G982" s="4" cm="1">
        <f t="array" ref="G982">IF($C982&gt;=25,F982,IF($C982&lt;16,INDEX(Sheet1!C:C,$F982),$F982))</f>
        <v>10</v>
      </c>
      <c r="H982" s="4" t="str" cm="1">
        <f t="array" ref="H982">INDEX(Sheet1!D:D,$G982)</f>
        <v>t1136.xlsx</v>
      </c>
      <c r="I982" s="4" t="str" cm="1">
        <f t="array" ref="I982">INDEX(Sheet1!E:E,$G982)</f>
        <v>Sheet1</v>
      </c>
      <c r="J982" s="4" t="str" cm="1">
        <f t="array" ref="J982">IF($C982&gt;=25,INDEX(Sheet1!G:G,$G982),INDEX(Sheet1!F:F,$G982))</f>
        <v>B25</v>
      </c>
      <c r="K982" s="4" cm="1">
        <f t="array" ref="K982">INDEX(Sheet1!H:H,$G982)</f>
        <v>1</v>
      </c>
      <c r="L982" s="4">
        <f t="shared" si="60"/>
        <v>0</v>
      </c>
      <c r="M982" s="4">
        <f t="shared" si="61"/>
        <v>12</v>
      </c>
    </row>
    <row r="983" spans="1:13">
      <c r="A983" s="4" t="str" cm="1">
        <f t="array" ref="A983">INDEX(Sheet1!A:A,$F983)</f>
        <v>M</v>
      </c>
      <c r="B983" s="4" t="str" cm="1">
        <f t="array" ref="B983">INDEX(Sheet1!B:B,$F983)</f>
        <v>Agg/Unknown</v>
      </c>
      <c r="C983" s="4">
        <f t="shared" si="62"/>
        <v>13</v>
      </c>
      <c r="D983" s="5" cm="1">
        <f t="array" aca="1" ref="D983" ca="1">OFFSET(INDIRECT("'["&amp;$H983&amp;"]"&amp;$I983&amp;"'!"&amp;$J983),$L983,$M983)*$K983</f>
        <v>3.8999999999999999E-4</v>
      </c>
      <c r="F983" s="4">
        <f t="shared" si="63"/>
        <v>10</v>
      </c>
      <c r="G983" s="4" cm="1">
        <f t="array" ref="G983">IF($C983&gt;=25,F983,IF($C983&lt;16,INDEX(Sheet1!C:C,$F983),$F983))</f>
        <v>10</v>
      </c>
      <c r="H983" s="4" t="str" cm="1">
        <f t="array" ref="H983">INDEX(Sheet1!D:D,$G983)</f>
        <v>t1136.xlsx</v>
      </c>
      <c r="I983" s="4" t="str" cm="1">
        <f t="array" ref="I983">INDEX(Sheet1!E:E,$G983)</f>
        <v>Sheet1</v>
      </c>
      <c r="J983" s="4" t="str" cm="1">
        <f t="array" ref="J983">IF($C983&gt;=25,INDEX(Sheet1!G:G,$G983),INDEX(Sheet1!F:F,$G983))</f>
        <v>B25</v>
      </c>
      <c r="K983" s="4" cm="1">
        <f t="array" ref="K983">INDEX(Sheet1!H:H,$G983)</f>
        <v>1</v>
      </c>
      <c r="L983" s="4">
        <f t="shared" si="60"/>
        <v>0</v>
      </c>
      <c r="M983" s="4">
        <f t="shared" si="61"/>
        <v>13</v>
      </c>
    </row>
    <row r="984" spans="1:13">
      <c r="A984" s="4" t="str" cm="1">
        <f t="array" ref="A984">INDEX(Sheet1!A:A,$F984)</f>
        <v>M</v>
      </c>
      <c r="B984" s="4" t="str" cm="1">
        <f t="array" ref="B984">INDEX(Sheet1!B:B,$F984)</f>
        <v>Agg/Unknown</v>
      </c>
      <c r="C984" s="4">
        <f t="shared" si="62"/>
        <v>14</v>
      </c>
      <c r="D984" s="5" cm="1">
        <f t="array" aca="1" ref="D984" ca="1">OFFSET(INDIRECT("'["&amp;$H984&amp;"]"&amp;$I984&amp;"'!"&amp;$J984),$L984,$M984)*$K984</f>
        <v>4.6999999999999999E-4</v>
      </c>
      <c r="F984" s="4">
        <f t="shared" si="63"/>
        <v>10</v>
      </c>
      <c r="G984" s="4" cm="1">
        <f t="array" ref="G984">IF($C984&gt;=25,F984,IF($C984&lt;16,INDEX(Sheet1!C:C,$F984),$F984))</f>
        <v>10</v>
      </c>
      <c r="H984" s="4" t="str" cm="1">
        <f t="array" ref="H984">INDEX(Sheet1!D:D,$G984)</f>
        <v>t1136.xlsx</v>
      </c>
      <c r="I984" s="4" t="str" cm="1">
        <f t="array" ref="I984">INDEX(Sheet1!E:E,$G984)</f>
        <v>Sheet1</v>
      </c>
      <c r="J984" s="4" t="str" cm="1">
        <f t="array" ref="J984">IF($C984&gt;=25,INDEX(Sheet1!G:G,$G984),INDEX(Sheet1!F:F,$G984))</f>
        <v>B25</v>
      </c>
      <c r="K984" s="4" cm="1">
        <f t="array" ref="K984">INDEX(Sheet1!H:H,$G984)</f>
        <v>1</v>
      </c>
      <c r="L984" s="4">
        <f t="shared" si="60"/>
        <v>0</v>
      </c>
      <c r="M984" s="4">
        <f t="shared" si="61"/>
        <v>14</v>
      </c>
    </row>
    <row r="985" spans="1:13">
      <c r="A985" s="4" t="str" cm="1">
        <f t="array" ref="A985">INDEX(Sheet1!A:A,$F985)</f>
        <v>M</v>
      </c>
      <c r="B985" s="4" t="str" cm="1">
        <f t="array" ref="B985">INDEX(Sheet1!B:B,$F985)</f>
        <v>Agg/Unknown</v>
      </c>
      <c r="C985" s="4">
        <f t="shared" si="62"/>
        <v>15</v>
      </c>
      <c r="D985" s="5" cm="1">
        <f t="array" aca="1" ref="D985" ca="1">OFFSET(INDIRECT("'["&amp;$H985&amp;"]"&amp;$I985&amp;"'!"&amp;$J985),$L985,$M985)*$K985</f>
        <v>6.0999999999999997E-4</v>
      </c>
      <c r="F985" s="4">
        <f t="shared" si="63"/>
        <v>10</v>
      </c>
      <c r="G985" s="4" cm="1">
        <f t="array" ref="G985">IF($C985&gt;=25,F985,IF($C985&lt;16,INDEX(Sheet1!C:C,$F985),$F985))</f>
        <v>10</v>
      </c>
      <c r="H985" s="4" t="str" cm="1">
        <f t="array" ref="H985">INDEX(Sheet1!D:D,$G985)</f>
        <v>t1136.xlsx</v>
      </c>
      <c r="I985" s="4" t="str" cm="1">
        <f t="array" ref="I985">INDEX(Sheet1!E:E,$G985)</f>
        <v>Sheet1</v>
      </c>
      <c r="J985" s="4" t="str" cm="1">
        <f t="array" ref="J985">IF($C985&gt;=25,INDEX(Sheet1!G:G,$G985),INDEX(Sheet1!F:F,$G985))</f>
        <v>B25</v>
      </c>
      <c r="K985" s="4" cm="1">
        <f t="array" ref="K985">INDEX(Sheet1!H:H,$G985)</f>
        <v>1</v>
      </c>
      <c r="L985" s="4">
        <f t="shared" si="60"/>
        <v>0</v>
      </c>
      <c r="M985" s="4">
        <f t="shared" si="61"/>
        <v>15</v>
      </c>
    </row>
    <row r="986" spans="1:13">
      <c r="A986" s="4" t="str" cm="1">
        <f t="array" ref="A986">INDEX(Sheet1!A:A,$F986)</f>
        <v>M</v>
      </c>
      <c r="B986" s="4" t="str" cm="1">
        <f t="array" ref="B986">INDEX(Sheet1!B:B,$F986)</f>
        <v>Agg/Unknown</v>
      </c>
      <c r="C986" s="4">
        <f t="shared" si="62"/>
        <v>16</v>
      </c>
      <c r="D986" s="5" cm="1">
        <f t="array" aca="1" ref="D986" ca="1">OFFSET(INDIRECT("'["&amp;$H986&amp;"]"&amp;$I986&amp;"'!"&amp;$J986),$L986,$M986)*$K986</f>
        <v>7.3999999999999999E-4</v>
      </c>
      <c r="F986" s="4">
        <f t="shared" si="63"/>
        <v>10</v>
      </c>
      <c r="G986" s="4" cm="1">
        <f t="array" ref="G986">IF($C986&gt;=25,F986,IF($C986&lt;16,INDEX(Sheet1!C:C,$F986),$F986))</f>
        <v>10</v>
      </c>
      <c r="H986" s="4" t="str" cm="1">
        <f t="array" ref="H986">INDEX(Sheet1!D:D,$G986)</f>
        <v>t1136.xlsx</v>
      </c>
      <c r="I986" s="4" t="str" cm="1">
        <f t="array" ref="I986">INDEX(Sheet1!E:E,$G986)</f>
        <v>Sheet1</v>
      </c>
      <c r="J986" s="4" t="str" cm="1">
        <f t="array" ref="J986">IF($C986&gt;=25,INDEX(Sheet1!G:G,$G986),INDEX(Sheet1!F:F,$G986))</f>
        <v>B25</v>
      </c>
      <c r="K986" s="4" cm="1">
        <f t="array" ref="K986">INDEX(Sheet1!H:H,$G986)</f>
        <v>1</v>
      </c>
      <c r="L986" s="4">
        <f t="shared" si="60"/>
        <v>0</v>
      </c>
      <c r="M986" s="4">
        <f t="shared" si="61"/>
        <v>16</v>
      </c>
    </row>
    <row r="987" spans="1:13">
      <c r="A987" s="4" t="str" cm="1">
        <f t="array" ref="A987">INDEX(Sheet1!A:A,$F987)</f>
        <v>M</v>
      </c>
      <c r="B987" s="4" t="str" cm="1">
        <f t="array" ref="B987">INDEX(Sheet1!B:B,$F987)</f>
        <v>Agg/Unknown</v>
      </c>
      <c r="C987" s="4">
        <f t="shared" si="62"/>
        <v>17</v>
      </c>
      <c r="D987" s="5" cm="1">
        <f t="array" aca="1" ref="D987" ca="1">OFFSET(INDIRECT("'["&amp;$H987&amp;"]"&amp;$I987&amp;"'!"&amp;$J987),$L987,$M987)*$K987</f>
        <v>8.7000000000000001E-4</v>
      </c>
      <c r="F987" s="4">
        <f t="shared" si="63"/>
        <v>10</v>
      </c>
      <c r="G987" s="4" cm="1">
        <f t="array" ref="G987">IF($C987&gt;=25,F987,IF($C987&lt;16,INDEX(Sheet1!C:C,$F987),$F987))</f>
        <v>10</v>
      </c>
      <c r="H987" s="4" t="str" cm="1">
        <f t="array" ref="H987">INDEX(Sheet1!D:D,$G987)</f>
        <v>t1136.xlsx</v>
      </c>
      <c r="I987" s="4" t="str" cm="1">
        <f t="array" ref="I987">INDEX(Sheet1!E:E,$G987)</f>
        <v>Sheet1</v>
      </c>
      <c r="J987" s="4" t="str" cm="1">
        <f t="array" ref="J987">IF($C987&gt;=25,INDEX(Sheet1!G:G,$G987),INDEX(Sheet1!F:F,$G987))</f>
        <v>B25</v>
      </c>
      <c r="K987" s="4" cm="1">
        <f t="array" ref="K987">INDEX(Sheet1!H:H,$G987)</f>
        <v>1</v>
      </c>
      <c r="L987" s="4">
        <f t="shared" si="60"/>
        <v>0</v>
      </c>
      <c r="M987" s="4">
        <f t="shared" si="61"/>
        <v>17</v>
      </c>
    </row>
    <row r="988" spans="1:13">
      <c r="A988" s="4" t="str" cm="1">
        <f t="array" ref="A988">INDEX(Sheet1!A:A,$F988)</f>
        <v>M</v>
      </c>
      <c r="B988" s="4" t="str" cm="1">
        <f t="array" ref="B988">INDEX(Sheet1!B:B,$F988)</f>
        <v>Agg/Unknown</v>
      </c>
      <c r="C988" s="4">
        <f t="shared" si="62"/>
        <v>18</v>
      </c>
      <c r="D988" s="5" cm="1">
        <f t="array" aca="1" ref="D988" ca="1">OFFSET(INDIRECT("'["&amp;$H988&amp;"]"&amp;$I988&amp;"'!"&amp;$J988),$L988,$M988)*$K988</f>
        <v>9.3999999999999997E-4</v>
      </c>
      <c r="F988" s="4">
        <f t="shared" si="63"/>
        <v>10</v>
      </c>
      <c r="G988" s="4" cm="1">
        <f t="array" ref="G988">IF($C988&gt;=25,F988,IF($C988&lt;16,INDEX(Sheet1!C:C,$F988),$F988))</f>
        <v>10</v>
      </c>
      <c r="H988" s="4" t="str" cm="1">
        <f t="array" ref="H988">INDEX(Sheet1!D:D,$G988)</f>
        <v>t1136.xlsx</v>
      </c>
      <c r="I988" s="4" t="str" cm="1">
        <f t="array" ref="I988">INDEX(Sheet1!E:E,$G988)</f>
        <v>Sheet1</v>
      </c>
      <c r="J988" s="4" t="str" cm="1">
        <f t="array" ref="J988">IF($C988&gt;=25,INDEX(Sheet1!G:G,$G988),INDEX(Sheet1!F:F,$G988))</f>
        <v>B25</v>
      </c>
      <c r="K988" s="4" cm="1">
        <f t="array" ref="K988">INDEX(Sheet1!H:H,$G988)</f>
        <v>1</v>
      </c>
      <c r="L988" s="4">
        <f t="shared" si="60"/>
        <v>0</v>
      </c>
      <c r="M988" s="4">
        <f t="shared" si="61"/>
        <v>18</v>
      </c>
    </row>
    <row r="989" spans="1:13">
      <c r="A989" s="4" t="str" cm="1">
        <f t="array" ref="A989">INDEX(Sheet1!A:A,$F989)</f>
        <v>M</v>
      </c>
      <c r="B989" s="4" t="str" cm="1">
        <f t="array" ref="B989">INDEX(Sheet1!B:B,$F989)</f>
        <v>Agg/Unknown</v>
      </c>
      <c r="C989" s="4">
        <f t="shared" si="62"/>
        <v>19</v>
      </c>
      <c r="D989" s="5" cm="1">
        <f t="array" aca="1" ref="D989" ca="1">OFFSET(INDIRECT("'["&amp;$H989&amp;"]"&amp;$I989&amp;"'!"&amp;$J989),$L989,$M989)*$K989</f>
        <v>9.7999999999999997E-4</v>
      </c>
      <c r="F989" s="4">
        <f t="shared" si="63"/>
        <v>10</v>
      </c>
      <c r="G989" s="4" cm="1">
        <f t="array" ref="G989">IF($C989&gt;=25,F989,IF($C989&lt;16,INDEX(Sheet1!C:C,$F989),$F989))</f>
        <v>10</v>
      </c>
      <c r="H989" s="4" t="str" cm="1">
        <f t="array" ref="H989">INDEX(Sheet1!D:D,$G989)</f>
        <v>t1136.xlsx</v>
      </c>
      <c r="I989" s="4" t="str" cm="1">
        <f t="array" ref="I989">INDEX(Sheet1!E:E,$G989)</f>
        <v>Sheet1</v>
      </c>
      <c r="J989" s="4" t="str" cm="1">
        <f t="array" ref="J989">IF($C989&gt;=25,INDEX(Sheet1!G:G,$G989),INDEX(Sheet1!F:F,$G989))</f>
        <v>B25</v>
      </c>
      <c r="K989" s="4" cm="1">
        <f t="array" ref="K989">INDEX(Sheet1!H:H,$G989)</f>
        <v>1</v>
      </c>
      <c r="L989" s="4">
        <f t="shared" si="60"/>
        <v>0</v>
      </c>
      <c r="M989" s="4">
        <f t="shared" si="61"/>
        <v>19</v>
      </c>
    </row>
    <row r="990" spans="1:13">
      <c r="A990" s="4" t="str" cm="1">
        <f t="array" ref="A990">INDEX(Sheet1!A:A,$F990)</f>
        <v>M</v>
      </c>
      <c r="B990" s="4" t="str" cm="1">
        <f t="array" ref="B990">INDEX(Sheet1!B:B,$F990)</f>
        <v>Agg/Unknown</v>
      </c>
      <c r="C990" s="4">
        <f t="shared" si="62"/>
        <v>20</v>
      </c>
      <c r="D990" s="5" cm="1">
        <f t="array" aca="1" ref="D990" ca="1">OFFSET(INDIRECT("'["&amp;$H990&amp;"]"&amp;$I990&amp;"'!"&amp;$J990),$L990,$M990)*$K990</f>
        <v>1E-3</v>
      </c>
      <c r="F990" s="4">
        <f t="shared" si="63"/>
        <v>10</v>
      </c>
      <c r="G990" s="4" cm="1">
        <f t="array" ref="G990">IF($C990&gt;=25,F990,IF($C990&lt;16,INDEX(Sheet1!C:C,$F990),$F990))</f>
        <v>10</v>
      </c>
      <c r="H990" s="4" t="str" cm="1">
        <f t="array" ref="H990">INDEX(Sheet1!D:D,$G990)</f>
        <v>t1136.xlsx</v>
      </c>
      <c r="I990" s="4" t="str" cm="1">
        <f t="array" ref="I990">INDEX(Sheet1!E:E,$G990)</f>
        <v>Sheet1</v>
      </c>
      <c r="J990" s="4" t="str" cm="1">
        <f t="array" ref="J990">IF($C990&gt;=25,INDEX(Sheet1!G:G,$G990),INDEX(Sheet1!F:F,$G990))</f>
        <v>B25</v>
      </c>
      <c r="K990" s="4" cm="1">
        <f t="array" ref="K990">INDEX(Sheet1!H:H,$G990)</f>
        <v>1</v>
      </c>
      <c r="L990" s="4">
        <f t="shared" si="60"/>
        <v>0</v>
      </c>
      <c r="M990" s="4">
        <f t="shared" si="61"/>
        <v>20</v>
      </c>
    </row>
    <row r="991" spans="1:13">
      <c r="A991" s="4" t="str" cm="1">
        <f t="array" ref="A991">INDEX(Sheet1!A:A,$F991)</f>
        <v>M</v>
      </c>
      <c r="B991" s="4" t="str" cm="1">
        <f t="array" ref="B991">INDEX(Sheet1!B:B,$F991)</f>
        <v>Agg/Unknown</v>
      </c>
      <c r="C991" s="4">
        <f t="shared" si="62"/>
        <v>21</v>
      </c>
      <c r="D991" s="5" cm="1">
        <f t="array" aca="1" ref="D991" ca="1">OFFSET(INDIRECT("'["&amp;$H991&amp;"]"&amp;$I991&amp;"'!"&amp;$J991),$L991,$M991)*$K991</f>
        <v>1E-3</v>
      </c>
      <c r="F991" s="4">
        <f t="shared" si="63"/>
        <v>10</v>
      </c>
      <c r="G991" s="4" cm="1">
        <f t="array" ref="G991">IF($C991&gt;=25,F991,IF($C991&lt;16,INDEX(Sheet1!C:C,$F991),$F991))</f>
        <v>10</v>
      </c>
      <c r="H991" s="4" t="str" cm="1">
        <f t="array" ref="H991">INDEX(Sheet1!D:D,$G991)</f>
        <v>t1136.xlsx</v>
      </c>
      <c r="I991" s="4" t="str" cm="1">
        <f t="array" ref="I991">INDEX(Sheet1!E:E,$G991)</f>
        <v>Sheet1</v>
      </c>
      <c r="J991" s="4" t="str" cm="1">
        <f t="array" ref="J991">IF($C991&gt;=25,INDEX(Sheet1!G:G,$G991),INDEX(Sheet1!F:F,$G991))</f>
        <v>B25</v>
      </c>
      <c r="K991" s="4" cm="1">
        <f t="array" ref="K991">INDEX(Sheet1!H:H,$G991)</f>
        <v>1</v>
      </c>
      <c r="L991" s="4">
        <f t="shared" si="60"/>
        <v>0</v>
      </c>
      <c r="M991" s="4">
        <f t="shared" si="61"/>
        <v>21</v>
      </c>
    </row>
    <row r="992" spans="1:13">
      <c r="A992" s="4" t="str" cm="1">
        <f t="array" ref="A992">INDEX(Sheet1!A:A,$F992)</f>
        <v>M</v>
      </c>
      <c r="B992" s="4" t="str" cm="1">
        <f t="array" ref="B992">INDEX(Sheet1!B:B,$F992)</f>
        <v>Agg/Unknown</v>
      </c>
      <c r="C992" s="4">
        <f t="shared" si="62"/>
        <v>22</v>
      </c>
      <c r="D992" s="5" cm="1">
        <f t="array" aca="1" ref="D992" ca="1">OFFSET(INDIRECT("'["&amp;$H992&amp;"]"&amp;$I992&amp;"'!"&amp;$J992),$L992,$M992)*$K992</f>
        <v>1.0200000000000001E-3</v>
      </c>
      <c r="F992" s="4">
        <f t="shared" si="63"/>
        <v>10</v>
      </c>
      <c r="G992" s="4" cm="1">
        <f t="array" ref="G992">IF($C992&gt;=25,F992,IF($C992&lt;16,INDEX(Sheet1!C:C,$F992),$F992))</f>
        <v>10</v>
      </c>
      <c r="H992" s="4" t="str" cm="1">
        <f t="array" ref="H992">INDEX(Sheet1!D:D,$G992)</f>
        <v>t1136.xlsx</v>
      </c>
      <c r="I992" s="4" t="str" cm="1">
        <f t="array" ref="I992">INDEX(Sheet1!E:E,$G992)</f>
        <v>Sheet1</v>
      </c>
      <c r="J992" s="4" t="str" cm="1">
        <f t="array" ref="J992">IF($C992&gt;=25,INDEX(Sheet1!G:G,$G992),INDEX(Sheet1!F:F,$G992))</f>
        <v>B25</v>
      </c>
      <c r="K992" s="4" cm="1">
        <f t="array" ref="K992">INDEX(Sheet1!H:H,$G992)</f>
        <v>1</v>
      </c>
      <c r="L992" s="4">
        <f t="shared" si="60"/>
        <v>0</v>
      </c>
      <c r="M992" s="4">
        <f t="shared" si="61"/>
        <v>22</v>
      </c>
    </row>
    <row r="993" spans="1:13">
      <c r="A993" s="4" t="str" cm="1">
        <f t="array" ref="A993">INDEX(Sheet1!A:A,$F993)</f>
        <v>M</v>
      </c>
      <c r="B993" s="4" t="str" cm="1">
        <f t="array" ref="B993">INDEX(Sheet1!B:B,$F993)</f>
        <v>Agg/Unknown</v>
      </c>
      <c r="C993" s="4">
        <f t="shared" si="62"/>
        <v>23</v>
      </c>
      <c r="D993" s="5" cm="1">
        <f t="array" aca="1" ref="D993" ca="1">OFFSET(INDIRECT("'["&amp;$H993&amp;"]"&amp;$I993&amp;"'!"&amp;$J993),$L993,$M993)*$K993</f>
        <v>1.0300000000000001E-3</v>
      </c>
      <c r="F993" s="4">
        <f t="shared" si="63"/>
        <v>10</v>
      </c>
      <c r="G993" s="4" cm="1">
        <f t="array" ref="G993">IF($C993&gt;=25,F993,IF($C993&lt;16,INDEX(Sheet1!C:C,$F993),$F993))</f>
        <v>10</v>
      </c>
      <c r="H993" s="4" t="str" cm="1">
        <f t="array" ref="H993">INDEX(Sheet1!D:D,$G993)</f>
        <v>t1136.xlsx</v>
      </c>
      <c r="I993" s="4" t="str" cm="1">
        <f t="array" ref="I993">INDEX(Sheet1!E:E,$G993)</f>
        <v>Sheet1</v>
      </c>
      <c r="J993" s="4" t="str" cm="1">
        <f t="array" ref="J993">IF($C993&gt;=25,INDEX(Sheet1!G:G,$G993),INDEX(Sheet1!F:F,$G993))</f>
        <v>B25</v>
      </c>
      <c r="K993" s="4" cm="1">
        <f t="array" ref="K993">INDEX(Sheet1!H:H,$G993)</f>
        <v>1</v>
      </c>
      <c r="L993" s="4">
        <f t="shared" si="60"/>
        <v>0</v>
      </c>
      <c r="M993" s="4">
        <f t="shared" si="61"/>
        <v>23</v>
      </c>
    </row>
    <row r="994" spans="1:13">
      <c r="A994" s="4" t="str" cm="1">
        <f t="array" ref="A994">INDEX(Sheet1!A:A,$F994)</f>
        <v>M</v>
      </c>
      <c r="B994" s="4" t="str" cm="1">
        <f t="array" ref="B994">INDEX(Sheet1!B:B,$F994)</f>
        <v>Agg/Unknown</v>
      </c>
      <c r="C994" s="4">
        <f t="shared" si="62"/>
        <v>24</v>
      </c>
      <c r="D994" s="5" cm="1">
        <f t="array" aca="1" ref="D994" ca="1">OFFSET(INDIRECT("'["&amp;$H994&amp;"]"&amp;$I994&amp;"'!"&amp;$J994),$L994,$M994)*$K994</f>
        <v>1.0499999999999999E-3</v>
      </c>
      <c r="F994" s="4">
        <f t="shared" si="63"/>
        <v>10</v>
      </c>
      <c r="G994" s="4" cm="1">
        <f t="array" ref="G994">IF($C994&gt;=25,F994,IF($C994&lt;16,INDEX(Sheet1!C:C,$F994),$F994))</f>
        <v>10</v>
      </c>
      <c r="H994" s="4" t="str" cm="1">
        <f t="array" ref="H994">INDEX(Sheet1!D:D,$G994)</f>
        <v>t1136.xlsx</v>
      </c>
      <c r="I994" s="4" t="str" cm="1">
        <f t="array" ref="I994">INDEX(Sheet1!E:E,$G994)</f>
        <v>Sheet1</v>
      </c>
      <c r="J994" s="4" t="str" cm="1">
        <f t="array" ref="J994">IF($C994&gt;=25,INDEX(Sheet1!G:G,$G994),INDEX(Sheet1!F:F,$G994))</f>
        <v>B25</v>
      </c>
      <c r="K994" s="4" cm="1">
        <f t="array" ref="K994">INDEX(Sheet1!H:H,$G994)</f>
        <v>1</v>
      </c>
      <c r="L994" s="4">
        <f t="shared" si="60"/>
        <v>0</v>
      </c>
      <c r="M994" s="4">
        <f t="shared" si="61"/>
        <v>24</v>
      </c>
    </row>
    <row r="995" spans="1:13">
      <c r="A995" s="4" t="str" cm="1">
        <f t="array" ref="A995">INDEX(Sheet1!A:A,$F995)</f>
        <v>M</v>
      </c>
      <c r="B995" s="4" t="str" cm="1">
        <f t="array" ref="B995">INDEX(Sheet1!B:B,$F995)</f>
        <v>Agg/Unknown</v>
      </c>
      <c r="C995" s="4">
        <f t="shared" si="62"/>
        <v>25</v>
      </c>
      <c r="D995" s="5" cm="1">
        <f t="array" aca="1" ref="D995" ca="1">OFFSET(INDIRECT("'["&amp;$H995&amp;"]"&amp;$I995&amp;"'!"&amp;$J995),$L995,$M995)*$K995</f>
        <v>1.07E-3</v>
      </c>
      <c r="F995" s="4">
        <f t="shared" si="63"/>
        <v>10</v>
      </c>
      <c r="G995" s="4" cm="1">
        <f t="array" ref="G995">IF($C995&gt;=25,F995,IF($C995&lt;16,INDEX(Sheet1!C:C,$F995),$F995))</f>
        <v>10</v>
      </c>
      <c r="H995" s="4" t="str" cm="1">
        <f t="array" ref="H995">INDEX(Sheet1!D:D,$G995)</f>
        <v>t1136.xlsx</v>
      </c>
      <c r="I995" s="4" t="str" cm="1">
        <f t="array" ref="I995">INDEX(Sheet1!E:E,$G995)</f>
        <v>Sheet1</v>
      </c>
      <c r="J995" s="4" t="str" cm="1">
        <f t="array" ref="J995">IF($C995&gt;=25,INDEX(Sheet1!G:G,$G995),INDEX(Sheet1!F:F,$G995))</f>
        <v>B139</v>
      </c>
      <c r="K995" s="4" cm="1">
        <f t="array" ref="K995">INDEX(Sheet1!H:H,$G995)</f>
        <v>1</v>
      </c>
      <c r="L995" s="4">
        <f t="shared" si="60"/>
        <v>0</v>
      </c>
      <c r="M995" s="4">
        <f t="shared" si="61"/>
        <v>0</v>
      </c>
    </row>
    <row r="996" spans="1:13">
      <c r="A996" s="4" t="str" cm="1">
        <f t="array" ref="A996">INDEX(Sheet1!A:A,$F996)</f>
        <v>M</v>
      </c>
      <c r="B996" s="4" t="str" cm="1">
        <f t="array" ref="B996">INDEX(Sheet1!B:B,$F996)</f>
        <v>Agg/Unknown</v>
      </c>
      <c r="C996" s="4">
        <f t="shared" si="62"/>
        <v>26</v>
      </c>
      <c r="D996" s="5" cm="1">
        <f t="array" aca="1" ref="D996" ca="1">OFFSET(INDIRECT("'["&amp;$H996&amp;"]"&amp;$I996&amp;"'!"&amp;$J996),$L996,$M996)*$K996</f>
        <v>1.1199999999999999E-3</v>
      </c>
      <c r="F996" s="4">
        <f t="shared" si="63"/>
        <v>10</v>
      </c>
      <c r="G996" s="4" cm="1">
        <f t="array" ref="G996">IF($C996&gt;=25,F996,IF($C996&lt;16,INDEX(Sheet1!C:C,$F996),$F996))</f>
        <v>10</v>
      </c>
      <c r="H996" s="4" t="str" cm="1">
        <f t="array" ref="H996">INDEX(Sheet1!D:D,$G996)</f>
        <v>t1136.xlsx</v>
      </c>
      <c r="I996" s="4" t="str" cm="1">
        <f t="array" ref="I996">INDEX(Sheet1!E:E,$G996)</f>
        <v>Sheet1</v>
      </c>
      <c r="J996" s="4" t="str" cm="1">
        <f t="array" ref="J996">IF($C996&gt;=25,INDEX(Sheet1!G:G,$G996),INDEX(Sheet1!F:F,$G996))</f>
        <v>B139</v>
      </c>
      <c r="K996" s="4" cm="1">
        <f t="array" ref="K996">INDEX(Sheet1!H:H,$G996)</f>
        <v>1</v>
      </c>
      <c r="L996" s="4">
        <f t="shared" si="60"/>
        <v>1</v>
      </c>
      <c r="M996" s="4">
        <f t="shared" si="61"/>
        <v>0</v>
      </c>
    </row>
    <row r="997" spans="1:13">
      <c r="A997" s="4" t="str" cm="1">
        <f t="array" ref="A997">INDEX(Sheet1!A:A,$F997)</f>
        <v>M</v>
      </c>
      <c r="B997" s="4" t="str" cm="1">
        <f t="array" ref="B997">INDEX(Sheet1!B:B,$F997)</f>
        <v>Agg/Unknown</v>
      </c>
      <c r="C997" s="4">
        <f t="shared" si="62"/>
        <v>27</v>
      </c>
      <c r="D997" s="5" cm="1">
        <f t="array" aca="1" ref="D997" ca="1">OFFSET(INDIRECT("'["&amp;$H997&amp;"]"&amp;$I997&amp;"'!"&amp;$J997),$L997,$M997)*$K997</f>
        <v>1.17E-3</v>
      </c>
      <c r="F997" s="4">
        <f t="shared" si="63"/>
        <v>10</v>
      </c>
      <c r="G997" s="4" cm="1">
        <f t="array" ref="G997">IF($C997&gt;=25,F997,IF($C997&lt;16,INDEX(Sheet1!C:C,$F997),$F997))</f>
        <v>10</v>
      </c>
      <c r="H997" s="4" t="str" cm="1">
        <f t="array" ref="H997">INDEX(Sheet1!D:D,$G997)</f>
        <v>t1136.xlsx</v>
      </c>
      <c r="I997" s="4" t="str" cm="1">
        <f t="array" ref="I997">INDEX(Sheet1!E:E,$G997)</f>
        <v>Sheet1</v>
      </c>
      <c r="J997" s="4" t="str" cm="1">
        <f t="array" ref="J997">IF($C997&gt;=25,INDEX(Sheet1!G:G,$G997),INDEX(Sheet1!F:F,$G997))</f>
        <v>B139</v>
      </c>
      <c r="K997" s="4" cm="1">
        <f t="array" ref="K997">INDEX(Sheet1!H:H,$G997)</f>
        <v>1</v>
      </c>
      <c r="L997" s="4">
        <f t="shared" si="60"/>
        <v>2</v>
      </c>
      <c r="M997" s="4">
        <f t="shared" si="61"/>
        <v>0</v>
      </c>
    </row>
    <row r="998" spans="1:13">
      <c r="A998" s="4" t="str" cm="1">
        <f t="array" ref="A998">INDEX(Sheet1!A:A,$F998)</f>
        <v>M</v>
      </c>
      <c r="B998" s="4" t="str" cm="1">
        <f t="array" ref="B998">INDEX(Sheet1!B:B,$F998)</f>
        <v>Agg/Unknown</v>
      </c>
      <c r="C998" s="4">
        <f t="shared" si="62"/>
        <v>28</v>
      </c>
      <c r="D998" s="5" cm="1">
        <f t="array" aca="1" ref="D998" ca="1">OFFSET(INDIRECT("'["&amp;$H998&amp;"]"&amp;$I998&amp;"'!"&amp;$J998),$L998,$M998)*$K998</f>
        <v>1.17E-3</v>
      </c>
      <c r="F998" s="4">
        <f t="shared" si="63"/>
        <v>10</v>
      </c>
      <c r="G998" s="4" cm="1">
        <f t="array" ref="G998">IF($C998&gt;=25,F998,IF($C998&lt;16,INDEX(Sheet1!C:C,$F998),$F998))</f>
        <v>10</v>
      </c>
      <c r="H998" s="4" t="str" cm="1">
        <f t="array" ref="H998">INDEX(Sheet1!D:D,$G998)</f>
        <v>t1136.xlsx</v>
      </c>
      <c r="I998" s="4" t="str" cm="1">
        <f t="array" ref="I998">INDEX(Sheet1!E:E,$G998)</f>
        <v>Sheet1</v>
      </c>
      <c r="J998" s="4" t="str" cm="1">
        <f t="array" ref="J998">IF($C998&gt;=25,INDEX(Sheet1!G:G,$G998),INDEX(Sheet1!F:F,$G998))</f>
        <v>B139</v>
      </c>
      <c r="K998" s="4" cm="1">
        <f t="array" ref="K998">INDEX(Sheet1!H:H,$G998)</f>
        <v>1</v>
      </c>
      <c r="L998" s="4">
        <f t="shared" si="60"/>
        <v>3</v>
      </c>
      <c r="M998" s="4">
        <f t="shared" si="61"/>
        <v>0</v>
      </c>
    </row>
    <row r="999" spans="1:13">
      <c r="A999" s="4" t="str" cm="1">
        <f t="array" ref="A999">INDEX(Sheet1!A:A,$F999)</f>
        <v>M</v>
      </c>
      <c r="B999" s="4" t="str" cm="1">
        <f t="array" ref="B999">INDEX(Sheet1!B:B,$F999)</f>
        <v>Agg/Unknown</v>
      </c>
      <c r="C999" s="4">
        <f t="shared" si="62"/>
        <v>29</v>
      </c>
      <c r="D999" s="5" cm="1">
        <f t="array" aca="1" ref="D999" ca="1">OFFSET(INDIRECT("'["&amp;$H999&amp;"]"&amp;$I999&amp;"'!"&amp;$J999),$L999,$M999)*$K999</f>
        <v>1.15E-3</v>
      </c>
      <c r="F999" s="4">
        <f t="shared" si="63"/>
        <v>10</v>
      </c>
      <c r="G999" s="4" cm="1">
        <f t="array" ref="G999">IF($C999&gt;=25,F999,IF($C999&lt;16,INDEX(Sheet1!C:C,$F999),$F999))</f>
        <v>10</v>
      </c>
      <c r="H999" s="4" t="str" cm="1">
        <f t="array" ref="H999">INDEX(Sheet1!D:D,$G999)</f>
        <v>t1136.xlsx</v>
      </c>
      <c r="I999" s="4" t="str" cm="1">
        <f t="array" ref="I999">INDEX(Sheet1!E:E,$G999)</f>
        <v>Sheet1</v>
      </c>
      <c r="J999" s="4" t="str" cm="1">
        <f t="array" ref="J999">IF($C999&gt;=25,INDEX(Sheet1!G:G,$G999),INDEX(Sheet1!F:F,$G999))</f>
        <v>B139</v>
      </c>
      <c r="K999" s="4" cm="1">
        <f t="array" ref="K999">INDEX(Sheet1!H:H,$G999)</f>
        <v>1</v>
      </c>
      <c r="L999" s="4">
        <f t="shared" si="60"/>
        <v>4</v>
      </c>
      <c r="M999" s="4">
        <f t="shared" si="61"/>
        <v>0</v>
      </c>
    </row>
    <row r="1000" spans="1:13">
      <c r="A1000" s="4" t="str" cm="1">
        <f t="array" ref="A1000">INDEX(Sheet1!A:A,$F1000)</f>
        <v>M</v>
      </c>
      <c r="B1000" s="4" t="str" cm="1">
        <f t="array" ref="B1000">INDEX(Sheet1!B:B,$F1000)</f>
        <v>Agg/Unknown</v>
      </c>
      <c r="C1000" s="4">
        <f t="shared" si="62"/>
        <v>30</v>
      </c>
      <c r="D1000" s="5" cm="1">
        <f t="array" aca="1" ref="D1000" ca="1">OFFSET(INDIRECT("'["&amp;$H1000&amp;"]"&amp;$I1000&amp;"'!"&amp;$J1000),$L1000,$M1000)*$K1000</f>
        <v>1.14E-3</v>
      </c>
      <c r="F1000" s="4">
        <f t="shared" si="63"/>
        <v>10</v>
      </c>
      <c r="G1000" s="4" cm="1">
        <f t="array" ref="G1000">IF($C1000&gt;=25,F1000,IF($C1000&lt;16,INDEX(Sheet1!C:C,$F1000),$F1000))</f>
        <v>10</v>
      </c>
      <c r="H1000" s="4" t="str" cm="1">
        <f t="array" ref="H1000">INDEX(Sheet1!D:D,$G1000)</f>
        <v>t1136.xlsx</v>
      </c>
      <c r="I1000" s="4" t="str" cm="1">
        <f t="array" ref="I1000">INDEX(Sheet1!E:E,$G1000)</f>
        <v>Sheet1</v>
      </c>
      <c r="J1000" s="4" t="str" cm="1">
        <f t="array" ref="J1000">IF($C1000&gt;=25,INDEX(Sheet1!G:G,$G1000),INDEX(Sheet1!F:F,$G1000))</f>
        <v>B139</v>
      </c>
      <c r="K1000" s="4" cm="1">
        <f t="array" ref="K1000">INDEX(Sheet1!H:H,$G1000)</f>
        <v>1</v>
      </c>
      <c r="L1000" s="4">
        <f t="shared" si="60"/>
        <v>5</v>
      </c>
      <c r="M1000" s="4">
        <f t="shared" si="61"/>
        <v>0</v>
      </c>
    </row>
    <row r="1001" spans="1:13">
      <c r="A1001" s="4" t="str" cm="1">
        <f t="array" ref="A1001">INDEX(Sheet1!A:A,$F1001)</f>
        <v>M</v>
      </c>
      <c r="B1001" s="4" t="str" cm="1">
        <f t="array" ref="B1001">INDEX(Sheet1!B:B,$F1001)</f>
        <v>Agg/Unknown</v>
      </c>
      <c r="C1001" s="4">
        <f t="shared" si="62"/>
        <v>31</v>
      </c>
      <c r="D1001" s="5" cm="1">
        <f t="array" aca="1" ref="D1001" ca="1">OFFSET(INDIRECT("'["&amp;$H1001&amp;"]"&amp;$I1001&amp;"'!"&amp;$J1001),$L1001,$M1001)*$K1001</f>
        <v>1.1299999999999999E-3</v>
      </c>
      <c r="F1001" s="4">
        <f t="shared" si="63"/>
        <v>10</v>
      </c>
      <c r="G1001" s="4" cm="1">
        <f t="array" ref="G1001">IF($C1001&gt;=25,F1001,IF($C1001&lt;16,INDEX(Sheet1!C:C,$F1001),$F1001))</f>
        <v>10</v>
      </c>
      <c r="H1001" s="4" t="str" cm="1">
        <f t="array" ref="H1001">INDEX(Sheet1!D:D,$G1001)</f>
        <v>t1136.xlsx</v>
      </c>
      <c r="I1001" s="4" t="str" cm="1">
        <f t="array" ref="I1001">INDEX(Sheet1!E:E,$G1001)</f>
        <v>Sheet1</v>
      </c>
      <c r="J1001" s="4" t="str" cm="1">
        <f t="array" ref="J1001">IF($C1001&gt;=25,INDEX(Sheet1!G:G,$G1001),INDEX(Sheet1!F:F,$G1001))</f>
        <v>B139</v>
      </c>
      <c r="K1001" s="4" cm="1">
        <f t="array" ref="K1001">INDEX(Sheet1!H:H,$G1001)</f>
        <v>1</v>
      </c>
      <c r="L1001" s="4">
        <f t="shared" si="60"/>
        <v>6</v>
      </c>
      <c r="M1001" s="4">
        <f t="shared" si="61"/>
        <v>0</v>
      </c>
    </row>
    <row r="1002" spans="1:13">
      <c r="A1002" s="4" t="str" cm="1">
        <f t="array" ref="A1002">INDEX(Sheet1!A:A,$F1002)</f>
        <v>M</v>
      </c>
      <c r="B1002" s="4" t="str" cm="1">
        <f t="array" ref="B1002">INDEX(Sheet1!B:B,$F1002)</f>
        <v>Agg/Unknown</v>
      </c>
      <c r="C1002" s="4">
        <f t="shared" si="62"/>
        <v>32</v>
      </c>
      <c r="D1002" s="5" cm="1">
        <f t="array" aca="1" ref="D1002" ca="1">OFFSET(INDIRECT("'["&amp;$H1002&amp;"]"&amp;$I1002&amp;"'!"&amp;$J1002),$L1002,$M1002)*$K1002</f>
        <v>1.1299999999999999E-3</v>
      </c>
      <c r="F1002" s="4">
        <f t="shared" si="63"/>
        <v>10</v>
      </c>
      <c r="G1002" s="4" cm="1">
        <f t="array" ref="G1002">IF($C1002&gt;=25,F1002,IF($C1002&lt;16,INDEX(Sheet1!C:C,$F1002),$F1002))</f>
        <v>10</v>
      </c>
      <c r="H1002" s="4" t="str" cm="1">
        <f t="array" ref="H1002">INDEX(Sheet1!D:D,$G1002)</f>
        <v>t1136.xlsx</v>
      </c>
      <c r="I1002" s="4" t="str" cm="1">
        <f t="array" ref="I1002">INDEX(Sheet1!E:E,$G1002)</f>
        <v>Sheet1</v>
      </c>
      <c r="J1002" s="4" t="str" cm="1">
        <f t="array" ref="J1002">IF($C1002&gt;=25,INDEX(Sheet1!G:G,$G1002),INDEX(Sheet1!F:F,$G1002))</f>
        <v>B139</v>
      </c>
      <c r="K1002" s="4" cm="1">
        <f t="array" ref="K1002">INDEX(Sheet1!H:H,$G1002)</f>
        <v>1</v>
      </c>
      <c r="L1002" s="4">
        <f t="shared" si="60"/>
        <v>7</v>
      </c>
      <c r="M1002" s="4">
        <f t="shared" si="61"/>
        <v>0</v>
      </c>
    </row>
    <row r="1003" spans="1:13">
      <c r="A1003" s="4" t="str" cm="1">
        <f t="array" ref="A1003">INDEX(Sheet1!A:A,$F1003)</f>
        <v>M</v>
      </c>
      <c r="B1003" s="4" t="str" cm="1">
        <f t="array" ref="B1003">INDEX(Sheet1!B:B,$F1003)</f>
        <v>Agg/Unknown</v>
      </c>
      <c r="C1003" s="4">
        <f t="shared" si="62"/>
        <v>33</v>
      </c>
      <c r="D1003" s="5" cm="1">
        <f t="array" aca="1" ref="D1003" ca="1">OFFSET(INDIRECT("'["&amp;$H1003&amp;"]"&amp;$I1003&amp;"'!"&amp;$J1003),$L1003,$M1003)*$K1003</f>
        <v>1.15E-3</v>
      </c>
      <c r="F1003" s="4">
        <f t="shared" si="63"/>
        <v>10</v>
      </c>
      <c r="G1003" s="4" cm="1">
        <f t="array" ref="G1003">IF($C1003&gt;=25,F1003,IF($C1003&lt;16,INDEX(Sheet1!C:C,$F1003),$F1003))</f>
        <v>10</v>
      </c>
      <c r="H1003" s="4" t="str" cm="1">
        <f t="array" ref="H1003">INDEX(Sheet1!D:D,$G1003)</f>
        <v>t1136.xlsx</v>
      </c>
      <c r="I1003" s="4" t="str" cm="1">
        <f t="array" ref="I1003">INDEX(Sheet1!E:E,$G1003)</f>
        <v>Sheet1</v>
      </c>
      <c r="J1003" s="4" t="str" cm="1">
        <f t="array" ref="J1003">IF($C1003&gt;=25,INDEX(Sheet1!G:G,$G1003),INDEX(Sheet1!F:F,$G1003))</f>
        <v>B139</v>
      </c>
      <c r="K1003" s="4" cm="1">
        <f t="array" ref="K1003">INDEX(Sheet1!H:H,$G1003)</f>
        <v>1</v>
      </c>
      <c r="L1003" s="4">
        <f t="shared" si="60"/>
        <v>8</v>
      </c>
      <c r="M1003" s="4">
        <f t="shared" si="61"/>
        <v>0</v>
      </c>
    </row>
    <row r="1004" spans="1:13">
      <c r="A1004" s="4" t="str" cm="1">
        <f t="array" ref="A1004">INDEX(Sheet1!A:A,$F1004)</f>
        <v>M</v>
      </c>
      <c r="B1004" s="4" t="str" cm="1">
        <f t="array" ref="B1004">INDEX(Sheet1!B:B,$F1004)</f>
        <v>Agg/Unknown</v>
      </c>
      <c r="C1004" s="4">
        <f t="shared" si="62"/>
        <v>34</v>
      </c>
      <c r="D1004" s="5" cm="1">
        <f t="array" aca="1" ref="D1004" ca="1">OFFSET(INDIRECT("'["&amp;$H1004&amp;"]"&amp;$I1004&amp;"'!"&amp;$J1004),$L1004,$M1004)*$K1004</f>
        <v>1.1800000000000001E-3</v>
      </c>
      <c r="F1004" s="4">
        <f t="shared" si="63"/>
        <v>10</v>
      </c>
      <c r="G1004" s="4" cm="1">
        <f t="array" ref="G1004">IF($C1004&gt;=25,F1004,IF($C1004&lt;16,INDEX(Sheet1!C:C,$F1004),$F1004))</f>
        <v>10</v>
      </c>
      <c r="H1004" s="4" t="str" cm="1">
        <f t="array" ref="H1004">INDEX(Sheet1!D:D,$G1004)</f>
        <v>t1136.xlsx</v>
      </c>
      <c r="I1004" s="4" t="str" cm="1">
        <f t="array" ref="I1004">INDEX(Sheet1!E:E,$G1004)</f>
        <v>Sheet1</v>
      </c>
      <c r="J1004" s="4" t="str" cm="1">
        <f t="array" ref="J1004">IF($C1004&gt;=25,INDEX(Sheet1!G:G,$G1004),INDEX(Sheet1!F:F,$G1004))</f>
        <v>B139</v>
      </c>
      <c r="K1004" s="4" cm="1">
        <f t="array" ref="K1004">INDEX(Sheet1!H:H,$G1004)</f>
        <v>1</v>
      </c>
      <c r="L1004" s="4">
        <f t="shared" si="60"/>
        <v>9</v>
      </c>
      <c r="M1004" s="4">
        <f t="shared" si="61"/>
        <v>0</v>
      </c>
    </row>
    <row r="1005" spans="1:13">
      <c r="A1005" s="4" t="str" cm="1">
        <f t="array" ref="A1005">INDEX(Sheet1!A:A,$F1005)</f>
        <v>M</v>
      </c>
      <c r="B1005" s="4" t="str" cm="1">
        <f t="array" ref="B1005">INDEX(Sheet1!B:B,$F1005)</f>
        <v>Agg/Unknown</v>
      </c>
      <c r="C1005" s="4">
        <f t="shared" si="62"/>
        <v>35</v>
      </c>
      <c r="D1005" s="5" cm="1">
        <f t="array" aca="1" ref="D1005" ca="1">OFFSET(INDIRECT("'["&amp;$H1005&amp;"]"&amp;$I1005&amp;"'!"&amp;$J1005),$L1005,$M1005)*$K1005</f>
        <v>1.2099999999999999E-3</v>
      </c>
      <c r="F1005" s="4">
        <f t="shared" si="63"/>
        <v>10</v>
      </c>
      <c r="G1005" s="4" cm="1">
        <f t="array" ref="G1005">IF($C1005&gt;=25,F1005,IF($C1005&lt;16,INDEX(Sheet1!C:C,$F1005),$F1005))</f>
        <v>10</v>
      </c>
      <c r="H1005" s="4" t="str" cm="1">
        <f t="array" ref="H1005">INDEX(Sheet1!D:D,$G1005)</f>
        <v>t1136.xlsx</v>
      </c>
      <c r="I1005" s="4" t="str" cm="1">
        <f t="array" ref="I1005">INDEX(Sheet1!E:E,$G1005)</f>
        <v>Sheet1</v>
      </c>
      <c r="J1005" s="4" t="str" cm="1">
        <f t="array" ref="J1005">IF($C1005&gt;=25,INDEX(Sheet1!G:G,$G1005),INDEX(Sheet1!F:F,$G1005))</f>
        <v>B139</v>
      </c>
      <c r="K1005" s="4" cm="1">
        <f t="array" ref="K1005">INDEX(Sheet1!H:H,$G1005)</f>
        <v>1</v>
      </c>
      <c r="L1005" s="4">
        <f t="shared" si="60"/>
        <v>10</v>
      </c>
      <c r="M1005" s="4">
        <f t="shared" si="61"/>
        <v>0</v>
      </c>
    </row>
    <row r="1006" spans="1:13">
      <c r="A1006" s="4" t="str" cm="1">
        <f t="array" ref="A1006">INDEX(Sheet1!A:A,$F1006)</f>
        <v>M</v>
      </c>
      <c r="B1006" s="4" t="str" cm="1">
        <f t="array" ref="B1006">INDEX(Sheet1!B:B,$F1006)</f>
        <v>Agg/Unknown</v>
      </c>
      <c r="C1006" s="4">
        <f t="shared" si="62"/>
        <v>36</v>
      </c>
      <c r="D1006" s="5" cm="1">
        <f t="array" aca="1" ref="D1006" ca="1">OFFSET(INDIRECT("'["&amp;$H1006&amp;"]"&amp;$I1006&amp;"'!"&amp;$J1006),$L1006,$M1006)*$K1006</f>
        <v>1.2800000000000001E-3</v>
      </c>
      <c r="F1006" s="4">
        <f t="shared" si="63"/>
        <v>10</v>
      </c>
      <c r="G1006" s="4" cm="1">
        <f t="array" ref="G1006">IF($C1006&gt;=25,F1006,IF($C1006&lt;16,INDEX(Sheet1!C:C,$F1006),$F1006))</f>
        <v>10</v>
      </c>
      <c r="H1006" s="4" t="str" cm="1">
        <f t="array" ref="H1006">INDEX(Sheet1!D:D,$G1006)</f>
        <v>t1136.xlsx</v>
      </c>
      <c r="I1006" s="4" t="str" cm="1">
        <f t="array" ref="I1006">INDEX(Sheet1!E:E,$G1006)</f>
        <v>Sheet1</v>
      </c>
      <c r="J1006" s="4" t="str" cm="1">
        <f t="array" ref="J1006">IF($C1006&gt;=25,INDEX(Sheet1!G:G,$G1006),INDEX(Sheet1!F:F,$G1006))</f>
        <v>B139</v>
      </c>
      <c r="K1006" s="4" cm="1">
        <f t="array" ref="K1006">INDEX(Sheet1!H:H,$G1006)</f>
        <v>1</v>
      </c>
      <c r="L1006" s="4">
        <f t="shared" si="60"/>
        <v>11</v>
      </c>
      <c r="M1006" s="4">
        <f t="shared" si="61"/>
        <v>0</v>
      </c>
    </row>
    <row r="1007" spans="1:13">
      <c r="A1007" s="4" t="str" cm="1">
        <f t="array" ref="A1007">INDEX(Sheet1!A:A,$F1007)</f>
        <v>M</v>
      </c>
      <c r="B1007" s="4" t="str" cm="1">
        <f t="array" ref="B1007">INDEX(Sheet1!B:B,$F1007)</f>
        <v>Agg/Unknown</v>
      </c>
      <c r="C1007" s="4">
        <f t="shared" si="62"/>
        <v>37</v>
      </c>
      <c r="D1007" s="5" cm="1">
        <f t="array" aca="1" ref="D1007" ca="1">OFFSET(INDIRECT("'["&amp;$H1007&amp;"]"&amp;$I1007&amp;"'!"&amp;$J1007),$L1007,$M1007)*$K1007</f>
        <v>1.34E-3</v>
      </c>
      <c r="F1007" s="4">
        <f t="shared" si="63"/>
        <v>10</v>
      </c>
      <c r="G1007" s="4" cm="1">
        <f t="array" ref="G1007">IF($C1007&gt;=25,F1007,IF($C1007&lt;16,INDEX(Sheet1!C:C,$F1007),$F1007))</f>
        <v>10</v>
      </c>
      <c r="H1007" s="4" t="str" cm="1">
        <f t="array" ref="H1007">INDEX(Sheet1!D:D,$G1007)</f>
        <v>t1136.xlsx</v>
      </c>
      <c r="I1007" s="4" t="str" cm="1">
        <f t="array" ref="I1007">INDEX(Sheet1!E:E,$G1007)</f>
        <v>Sheet1</v>
      </c>
      <c r="J1007" s="4" t="str" cm="1">
        <f t="array" ref="J1007">IF($C1007&gt;=25,INDEX(Sheet1!G:G,$G1007),INDEX(Sheet1!F:F,$G1007))</f>
        <v>B139</v>
      </c>
      <c r="K1007" s="4" cm="1">
        <f t="array" ref="K1007">INDEX(Sheet1!H:H,$G1007)</f>
        <v>1</v>
      </c>
      <c r="L1007" s="4">
        <f t="shared" si="60"/>
        <v>12</v>
      </c>
      <c r="M1007" s="4">
        <f t="shared" si="61"/>
        <v>0</v>
      </c>
    </row>
    <row r="1008" spans="1:13">
      <c r="A1008" s="4" t="str" cm="1">
        <f t="array" ref="A1008">INDEX(Sheet1!A:A,$F1008)</f>
        <v>M</v>
      </c>
      <c r="B1008" s="4" t="str" cm="1">
        <f t="array" ref="B1008">INDEX(Sheet1!B:B,$F1008)</f>
        <v>Agg/Unknown</v>
      </c>
      <c r="C1008" s="4">
        <f t="shared" si="62"/>
        <v>38</v>
      </c>
      <c r="D1008" s="5" cm="1">
        <f t="array" aca="1" ref="D1008" ca="1">OFFSET(INDIRECT("'["&amp;$H1008&amp;"]"&amp;$I1008&amp;"'!"&amp;$J1008),$L1008,$M1008)*$K1008</f>
        <v>1.4400000000000001E-3</v>
      </c>
      <c r="F1008" s="4">
        <f t="shared" si="63"/>
        <v>10</v>
      </c>
      <c r="G1008" s="4" cm="1">
        <f t="array" ref="G1008">IF($C1008&gt;=25,F1008,IF($C1008&lt;16,INDEX(Sheet1!C:C,$F1008),$F1008))</f>
        <v>10</v>
      </c>
      <c r="H1008" s="4" t="str" cm="1">
        <f t="array" ref="H1008">INDEX(Sheet1!D:D,$G1008)</f>
        <v>t1136.xlsx</v>
      </c>
      <c r="I1008" s="4" t="str" cm="1">
        <f t="array" ref="I1008">INDEX(Sheet1!E:E,$G1008)</f>
        <v>Sheet1</v>
      </c>
      <c r="J1008" s="4" t="str" cm="1">
        <f t="array" ref="J1008">IF($C1008&gt;=25,INDEX(Sheet1!G:G,$G1008),INDEX(Sheet1!F:F,$G1008))</f>
        <v>B139</v>
      </c>
      <c r="K1008" s="4" cm="1">
        <f t="array" ref="K1008">INDEX(Sheet1!H:H,$G1008)</f>
        <v>1</v>
      </c>
      <c r="L1008" s="4">
        <f t="shared" si="60"/>
        <v>13</v>
      </c>
      <c r="M1008" s="4">
        <f t="shared" si="61"/>
        <v>0</v>
      </c>
    </row>
    <row r="1009" spans="1:13">
      <c r="A1009" s="4" t="str" cm="1">
        <f t="array" ref="A1009">INDEX(Sheet1!A:A,$F1009)</f>
        <v>M</v>
      </c>
      <c r="B1009" s="4" t="str" cm="1">
        <f t="array" ref="B1009">INDEX(Sheet1!B:B,$F1009)</f>
        <v>Agg/Unknown</v>
      </c>
      <c r="C1009" s="4">
        <f t="shared" si="62"/>
        <v>39</v>
      </c>
      <c r="D1009" s="5" cm="1">
        <f t="array" aca="1" ref="D1009" ca="1">OFFSET(INDIRECT("'["&amp;$H1009&amp;"]"&amp;$I1009&amp;"'!"&amp;$J1009),$L1009,$M1009)*$K1009</f>
        <v>1.5399999999999999E-3</v>
      </c>
      <c r="F1009" s="4">
        <f t="shared" si="63"/>
        <v>10</v>
      </c>
      <c r="G1009" s="4" cm="1">
        <f t="array" ref="G1009">IF($C1009&gt;=25,F1009,IF($C1009&lt;16,INDEX(Sheet1!C:C,$F1009),$F1009))</f>
        <v>10</v>
      </c>
      <c r="H1009" s="4" t="str" cm="1">
        <f t="array" ref="H1009">INDEX(Sheet1!D:D,$G1009)</f>
        <v>t1136.xlsx</v>
      </c>
      <c r="I1009" s="4" t="str" cm="1">
        <f t="array" ref="I1009">INDEX(Sheet1!E:E,$G1009)</f>
        <v>Sheet1</v>
      </c>
      <c r="J1009" s="4" t="str" cm="1">
        <f t="array" ref="J1009">IF($C1009&gt;=25,INDEX(Sheet1!G:G,$G1009),INDEX(Sheet1!F:F,$G1009))</f>
        <v>B139</v>
      </c>
      <c r="K1009" s="4" cm="1">
        <f t="array" ref="K1009">INDEX(Sheet1!H:H,$G1009)</f>
        <v>1</v>
      </c>
      <c r="L1009" s="4">
        <f t="shared" si="60"/>
        <v>14</v>
      </c>
      <c r="M1009" s="4">
        <f t="shared" si="61"/>
        <v>0</v>
      </c>
    </row>
    <row r="1010" spans="1:13">
      <c r="A1010" s="4" t="str" cm="1">
        <f t="array" ref="A1010">INDEX(Sheet1!A:A,$F1010)</f>
        <v>M</v>
      </c>
      <c r="B1010" s="4" t="str" cm="1">
        <f t="array" ref="B1010">INDEX(Sheet1!B:B,$F1010)</f>
        <v>Agg/Unknown</v>
      </c>
      <c r="C1010" s="4">
        <f t="shared" si="62"/>
        <v>40</v>
      </c>
      <c r="D1010" s="5" cm="1">
        <f t="array" aca="1" ref="D1010" ca="1">OFFSET(INDIRECT("'["&amp;$H1010&amp;"]"&amp;$I1010&amp;"'!"&amp;$J1010),$L1010,$M1010)*$K1010</f>
        <v>1.65E-3</v>
      </c>
      <c r="F1010" s="4">
        <f t="shared" si="63"/>
        <v>10</v>
      </c>
      <c r="G1010" s="4" cm="1">
        <f t="array" ref="G1010">IF($C1010&gt;=25,F1010,IF($C1010&lt;16,INDEX(Sheet1!C:C,$F1010),$F1010))</f>
        <v>10</v>
      </c>
      <c r="H1010" s="4" t="str" cm="1">
        <f t="array" ref="H1010">INDEX(Sheet1!D:D,$G1010)</f>
        <v>t1136.xlsx</v>
      </c>
      <c r="I1010" s="4" t="str" cm="1">
        <f t="array" ref="I1010">INDEX(Sheet1!E:E,$G1010)</f>
        <v>Sheet1</v>
      </c>
      <c r="J1010" s="4" t="str" cm="1">
        <f t="array" ref="J1010">IF($C1010&gt;=25,INDEX(Sheet1!G:G,$G1010),INDEX(Sheet1!F:F,$G1010))</f>
        <v>B139</v>
      </c>
      <c r="K1010" s="4" cm="1">
        <f t="array" ref="K1010">INDEX(Sheet1!H:H,$G1010)</f>
        <v>1</v>
      </c>
      <c r="L1010" s="4">
        <f t="shared" si="60"/>
        <v>15</v>
      </c>
      <c r="M1010" s="4">
        <f t="shared" si="61"/>
        <v>0</v>
      </c>
    </row>
    <row r="1011" spans="1:13">
      <c r="A1011" s="4" t="str" cm="1">
        <f t="array" ref="A1011">INDEX(Sheet1!A:A,$F1011)</f>
        <v>M</v>
      </c>
      <c r="B1011" s="4" t="str" cm="1">
        <f t="array" ref="B1011">INDEX(Sheet1!B:B,$F1011)</f>
        <v>Agg/Unknown</v>
      </c>
      <c r="C1011" s="4">
        <f t="shared" si="62"/>
        <v>41</v>
      </c>
      <c r="D1011" s="5" cm="1">
        <f t="array" aca="1" ref="D1011" ca="1">OFFSET(INDIRECT("'["&amp;$H1011&amp;"]"&amp;$I1011&amp;"'!"&amp;$J1011),$L1011,$M1011)*$K1011</f>
        <v>1.7899999999999999E-3</v>
      </c>
      <c r="F1011" s="4">
        <f t="shared" si="63"/>
        <v>10</v>
      </c>
      <c r="G1011" s="4" cm="1">
        <f t="array" ref="G1011">IF($C1011&gt;=25,F1011,IF($C1011&lt;16,INDEX(Sheet1!C:C,$F1011),$F1011))</f>
        <v>10</v>
      </c>
      <c r="H1011" s="4" t="str" cm="1">
        <f t="array" ref="H1011">INDEX(Sheet1!D:D,$G1011)</f>
        <v>t1136.xlsx</v>
      </c>
      <c r="I1011" s="4" t="str" cm="1">
        <f t="array" ref="I1011">INDEX(Sheet1!E:E,$G1011)</f>
        <v>Sheet1</v>
      </c>
      <c r="J1011" s="4" t="str" cm="1">
        <f t="array" ref="J1011">IF($C1011&gt;=25,INDEX(Sheet1!G:G,$G1011),INDEX(Sheet1!F:F,$G1011))</f>
        <v>B139</v>
      </c>
      <c r="K1011" s="4" cm="1">
        <f t="array" ref="K1011">INDEX(Sheet1!H:H,$G1011)</f>
        <v>1</v>
      </c>
      <c r="L1011" s="4">
        <f t="shared" si="60"/>
        <v>16</v>
      </c>
      <c r="M1011" s="4">
        <f t="shared" si="61"/>
        <v>0</v>
      </c>
    </row>
    <row r="1012" spans="1:13">
      <c r="A1012" s="4" t="str" cm="1">
        <f t="array" ref="A1012">INDEX(Sheet1!A:A,$F1012)</f>
        <v>M</v>
      </c>
      <c r="B1012" s="4" t="str" cm="1">
        <f t="array" ref="B1012">INDEX(Sheet1!B:B,$F1012)</f>
        <v>Agg/Unknown</v>
      </c>
      <c r="C1012" s="4">
        <f t="shared" si="62"/>
        <v>42</v>
      </c>
      <c r="D1012" s="5" cm="1">
        <f t="array" aca="1" ref="D1012" ca="1">OFFSET(INDIRECT("'["&amp;$H1012&amp;"]"&amp;$I1012&amp;"'!"&amp;$J1012),$L1012,$M1012)*$K1012</f>
        <v>1.9599999999999999E-3</v>
      </c>
      <c r="F1012" s="4">
        <f t="shared" si="63"/>
        <v>10</v>
      </c>
      <c r="G1012" s="4" cm="1">
        <f t="array" ref="G1012">IF($C1012&gt;=25,F1012,IF($C1012&lt;16,INDEX(Sheet1!C:C,$F1012),$F1012))</f>
        <v>10</v>
      </c>
      <c r="H1012" s="4" t="str" cm="1">
        <f t="array" ref="H1012">INDEX(Sheet1!D:D,$G1012)</f>
        <v>t1136.xlsx</v>
      </c>
      <c r="I1012" s="4" t="str" cm="1">
        <f t="array" ref="I1012">INDEX(Sheet1!E:E,$G1012)</f>
        <v>Sheet1</v>
      </c>
      <c r="J1012" s="4" t="str" cm="1">
        <f t="array" ref="J1012">IF($C1012&gt;=25,INDEX(Sheet1!G:G,$G1012),INDEX(Sheet1!F:F,$G1012))</f>
        <v>B139</v>
      </c>
      <c r="K1012" s="4" cm="1">
        <f t="array" ref="K1012">INDEX(Sheet1!H:H,$G1012)</f>
        <v>1</v>
      </c>
      <c r="L1012" s="4">
        <f t="shared" si="60"/>
        <v>17</v>
      </c>
      <c r="M1012" s="4">
        <f t="shared" si="61"/>
        <v>0</v>
      </c>
    </row>
    <row r="1013" spans="1:13">
      <c r="A1013" s="4" t="str" cm="1">
        <f t="array" ref="A1013">INDEX(Sheet1!A:A,$F1013)</f>
        <v>M</v>
      </c>
      <c r="B1013" s="4" t="str" cm="1">
        <f t="array" ref="B1013">INDEX(Sheet1!B:B,$F1013)</f>
        <v>Agg/Unknown</v>
      </c>
      <c r="C1013" s="4">
        <f t="shared" si="62"/>
        <v>43</v>
      </c>
      <c r="D1013" s="5" cm="1">
        <f t="array" aca="1" ref="D1013" ca="1">OFFSET(INDIRECT("'["&amp;$H1013&amp;"]"&amp;$I1013&amp;"'!"&amp;$J1013),$L1013,$M1013)*$K1013</f>
        <v>2.15E-3</v>
      </c>
      <c r="F1013" s="4">
        <f t="shared" si="63"/>
        <v>10</v>
      </c>
      <c r="G1013" s="4" cm="1">
        <f t="array" ref="G1013">IF($C1013&gt;=25,F1013,IF($C1013&lt;16,INDEX(Sheet1!C:C,$F1013),$F1013))</f>
        <v>10</v>
      </c>
      <c r="H1013" s="4" t="str" cm="1">
        <f t="array" ref="H1013">INDEX(Sheet1!D:D,$G1013)</f>
        <v>t1136.xlsx</v>
      </c>
      <c r="I1013" s="4" t="str" cm="1">
        <f t="array" ref="I1013">INDEX(Sheet1!E:E,$G1013)</f>
        <v>Sheet1</v>
      </c>
      <c r="J1013" s="4" t="str" cm="1">
        <f t="array" ref="J1013">IF($C1013&gt;=25,INDEX(Sheet1!G:G,$G1013),INDEX(Sheet1!F:F,$G1013))</f>
        <v>B139</v>
      </c>
      <c r="K1013" s="4" cm="1">
        <f t="array" ref="K1013">INDEX(Sheet1!H:H,$G1013)</f>
        <v>1</v>
      </c>
      <c r="L1013" s="4">
        <f t="shared" si="60"/>
        <v>18</v>
      </c>
      <c r="M1013" s="4">
        <f t="shared" si="61"/>
        <v>0</v>
      </c>
    </row>
    <row r="1014" spans="1:13">
      <c r="A1014" s="4" t="str" cm="1">
        <f t="array" ref="A1014">INDEX(Sheet1!A:A,$F1014)</f>
        <v>M</v>
      </c>
      <c r="B1014" s="4" t="str" cm="1">
        <f t="array" ref="B1014">INDEX(Sheet1!B:B,$F1014)</f>
        <v>Agg/Unknown</v>
      </c>
      <c r="C1014" s="4">
        <f t="shared" si="62"/>
        <v>44</v>
      </c>
      <c r="D1014" s="5" cm="1">
        <f t="array" aca="1" ref="D1014" ca="1">OFFSET(INDIRECT("'["&amp;$H1014&amp;"]"&amp;$I1014&amp;"'!"&amp;$J1014),$L1014,$M1014)*$K1014</f>
        <v>2.3900000000000002E-3</v>
      </c>
      <c r="F1014" s="4">
        <f t="shared" si="63"/>
        <v>10</v>
      </c>
      <c r="G1014" s="4" cm="1">
        <f t="array" ref="G1014">IF($C1014&gt;=25,F1014,IF($C1014&lt;16,INDEX(Sheet1!C:C,$F1014),$F1014))</f>
        <v>10</v>
      </c>
      <c r="H1014" s="4" t="str" cm="1">
        <f t="array" ref="H1014">INDEX(Sheet1!D:D,$G1014)</f>
        <v>t1136.xlsx</v>
      </c>
      <c r="I1014" s="4" t="str" cm="1">
        <f t="array" ref="I1014">INDEX(Sheet1!E:E,$G1014)</f>
        <v>Sheet1</v>
      </c>
      <c r="J1014" s="4" t="str" cm="1">
        <f t="array" ref="J1014">IF($C1014&gt;=25,INDEX(Sheet1!G:G,$G1014),INDEX(Sheet1!F:F,$G1014))</f>
        <v>B139</v>
      </c>
      <c r="K1014" s="4" cm="1">
        <f t="array" ref="K1014">INDEX(Sheet1!H:H,$G1014)</f>
        <v>1</v>
      </c>
      <c r="L1014" s="4">
        <f t="shared" si="60"/>
        <v>19</v>
      </c>
      <c r="M1014" s="4">
        <f t="shared" si="61"/>
        <v>0</v>
      </c>
    </row>
    <row r="1015" spans="1:13">
      <c r="A1015" s="4" t="str" cm="1">
        <f t="array" ref="A1015">INDEX(Sheet1!A:A,$F1015)</f>
        <v>M</v>
      </c>
      <c r="B1015" s="4" t="str" cm="1">
        <f t="array" ref="B1015">INDEX(Sheet1!B:B,$F1015)</f>
        <v>Agg/Unknown</v>
      </c>
      <c r="C1015" s="4">
        <f t="shared" si="62"/>
        <v>45</v>
      </c>
      <c r="D1015" s="5" cm="1">
        <f t="array" aca="1" ref="D1015" ca="1">OFFSET(INDIRECT("'["&amp;$H1015&amp;"]"&amp;$I1015&amp;"'!"&amp;$J1015),$L1015,$M1015)*$K1015</f>
        <v>2.65E-3</v>
      </c>
      <c r="F1015" s="4">
        <f t="shared" si="63"/>
        <v>10</v>
      </c>
      <c r="G1015" s="4" cm="1">
        <f t="array" ref="G1015">IF($C1015&gt;=25,F1015,IF($C1015&lt;16,INDEX(Sheet1!C:C,$F1015),$F1015))</f>
        <v>10</v>
      </c>
      <c r="H1015" s="4" t="str" cm="1">
        <f t="array" ref="H1015">INDEX(Sheet1!D:D,$G1015)</f>
        <v>t1136.xlsx</v>
      </c>
      <c r="I1015" s="4" t="str" cm="1">
        <f t="array" ref="I1015">INDEX(Sheet1!E:E,$G1015)</f>
        <v>Sheet1</v>
      </c>
      <c r="J1015" s="4" t="str" cm="1">
        <f t="array" ref="J1015">IF($C1015&gt;=25,INDEX(Sheet1!G:G,$G1015),INDEX(Sheet1!F:F,$G1015))</f>
        <v>B139</v>
      </c>
      <c r="K1015" s="4" cm="1">
        <f t="array" ref="K1015">INDEX(Sheet1!H:H,$G1015)</f>
        <v>1</v>
      </c>
      <c r="L1015" s="4">
        <f t="shared" si="60"/>
        <v>20</v>
      </c>
      <c r="M1015" s="4">
        <f t="shared" si="61"/>
        <v>0</v>
      </c>
    </row>
    <row r="1016" spans="1:13">
      <c r="A1016" s="4" t="str" cm="1">
        <f t="array" ref="A1016">INDEX(Sheet1!A:A,$F1016)</f>
        <v>M</v>
      </c>
      <c r="B1016" s="4" t="str" cm="1">
        <f t="array" ref="B1016">INDEX(Sheet1!B:B,$F1016)</f>
        <v>Agg/Unknown</v>
      </c>
      <c r="C1016" s="4">
        <f t="shared" si="62"/>
        <v>46</v>
      </c>
      <c r="D1016" s="5" cm="1">
        <f t="array" aca="1" ref="D1016" ca="1">OFFSET(INDIRECT("'["&amp;$H1016&amp;"]"&amp;$I1016&amp;"'!"&amp;$J1016),$L1016,$M1016)*$K1016</f>
        <v>2.8999999999999998E-3</v>
      </c>
      <c r="F1016" s="4">
        <f t="shared" si="63"/>
        <v>10</v>
      </c>
      <c r="G1016" s="4" cm="1">
        <f t="array" ref="G1016">IF($C1016&gt;=25,F1016,IF($C1016&lt;16,INDEX(Sheet1!C:C,$F1016),$F1016))</f>
        <v>10</v>
      </c>
      <c r="H1016" s="4" t="str" cm="1">
        <f t="array" ref="H1016">INDEX(Sheet1!D:D,$G1016)</f>
        <v>t1136.xlsx</v>
      </c>
      <c r="I1016" s="4" t="str" cm="1">
        <f t="array" ref="I1016">INDEX(Sheet1!E:E,$G1016)</f>
        <v>Sheet1</v>
      </c>
      <c r="J1016" s="4" t="str" cm="1">
        <f t="array" ref="J1016">IF($C1016&gt;=25,INDEX(Sheet1!G:G,$G1016),INDEX(Sheet1!F:F,$G1016))</f>
        <v>B139</v>
      </c>
      <c r="K1016" s="4" cm="1">
        <f t="array" ref="K1016">INDEX(Sheet1!H:H,$G1016)</f>
        <v>1</v>
      </c>
      <c r="L1016" s="4">
        <f t="shared" si="60"/>
        <v>21</v>
      </c>
      <c r="M1016" s="4">
        <f t="shared" si="61"/>
        <v>0</v>
      </c>
    </row>
    <row r="1017" spans="1:13">
      <c r="A1017" s="4" t="str" cm="1">
        <f t="array" ref="A1017">INDEX(Sheet1!A:A,$F1017)</f>
        <v>M</v>
      </c>
      <c r="B1017" s="4" t="str" cm="1">
        <f t="array" ref="B1017">INDEX(Sheet1!B:B,$F1017)</f>
        <v>Agg/Unknown</v>
      </c>
      <c r="C1017" s="4">
        <f t="shared" si="62"/>
        <v>47</v>
      </c>
      <c r="D1017" s="5" cm="1">
        <f t="array" aca="1" ref="D1017" ca="1">OFFSET(INDIRECT("'["&amp;$H1017&amp;"]"&amp;$I1017&amp;"'!"&amp;$J1017),$L1017,$M1017)*$K1017</f>
        <v>3.1700000000000001E-3</v>
      </c>
      <c r="F1017" s="4">
        <f t="shared" si="63"/>
        <v>10</v>
      </c>
      <c r="G1017" s="4" cm="1">
        <f t="array" ref="G1017">IF($C1017&gt;=25,F1017,IF($C1017&lt;16,INDEX(Sheet1!C:C,$F1017),$F1017))</f>
        <v>10</v>
      </c>
      <c r="H1017" s="4" t="str" cm="1">
        <f t="array" ref="H1017">INDEX(Sheet1!D:D,$G1017)</f>
        <v>t1136.xlsx</v>
      </c>
      <c r="I1017" s="4" t="str" cm="1">
        <f t="array" ref="I1017">INDEX(Sheet1!E:E,$G1017)</f>
        <v>Sheet1</v>
      </c>
      <c r="J1017" s="4" t="str" cm="1">
        <f t="array" ref="J1017">IF($C1017&gt;=25,INDEX(Sheet1!G:G,$G1017),INDEX(Sheet1!F:F,$G1017))</f>
        <v>B139</v>
      </c>
      <c r="K1017" s="4" cm="1">
        <f t="array" ref="K1017">INDEX(Sheet1!H:H,$G1017)</f>
        <v>1</v>
      </c>
      <c r="L1017" s="4">
        <f t="shared" si="60"/>
        <v>22</v>
      </c>
      <c r="M1017" s="4">
        <f t="shared" si="61"/>
        <v>0</v>
      </c>
    </row>
    <row r="1018" spans="1:13">
      <c r="A1018" s="4" t="str" cm="1">
        <f t="array" ref="A1018">INDEX(Sheet1!A:A,$F1018)</f>
        <v>M</v>
      </c>
      <c r="B1018" s="4" t="str" cm="1">
        <f t="array" ref="B1018">INDEX(Sheet1!B:B,$F1018)</f>
        <v>Agg/Unknown</v>
      </c>
      <c r="C1018" s="4">
        <f t="shared" si="62"/>
        <v>48</v>
      </c>
      <c r="D1018" s="5" cm="1">
        <f t="array" aca="1" ref="D1018" ca="1">OFFSET(INDIRECT("'["&amp;$H1018&amp;"]"&amp;$I1018&amp;"'!"&amp;$J1018),$L1018,$M1018)*$K1018</f>
        <v>3.3300000000000001E-3</v>
      </c>
      <c r="F1018" s="4">
        <f t="shared" si="63"/>
        <v>10</v>
      </c>
      <c r="G1018" s="4" cm="1">
        <f t="array" ref="G1018">IF($C1018&gt;=25,F1018,IF($C1018&lt;16,INDEX(Sheet1!C:C,$F1018),$F1018))</f>
        <v>10</v>
      </c>
      <c r="H1018" s="4" t="str" cm="1">
        <f t="array" ref="H1018">INDEX(Sheet1!D:D,$G1018)</f>
        <v>t1136.xlsx</v>
      </c>
      <c r="I1018" s="4" t="str" cm="1">
        <f t="array" ref="I1018">INDEX(Sheet1!E:E,$G1018)</f>
        <v>Sheet1</v>
      </c>
      <c r="J1018" s="4" t="str" cm="1">
        <f t="array" ref="J1018">IF($C1018&gt;=25,INDEX(Sheet1!G:G,$G1018),INDEX(Sheet1!F:F,$G1018))</f>
        <v>B139</v>
      </c>
      <c r="K1018" s="4" cm="1">
        <f t="array" ref="K1018">INDEX(Sheet1!H:H,$G1018)</f>
        <v>1</v>
      </c>
      <c r="L1018" s="4">
        <f t="shared" si="60"/>
        <v>23</v>
      </c>
      <c r="M1018" s="4">
        <f t="shared" si="61"/>
        <v>0</v>
      </c>
    </row>
    <row r="1019" spans="1:13">
      <c r="A1019" s="4" t="str" cm="1">
        <f t="array" ref="A1019">INDEX(Sheet1!A:A,$F1019)</f>
        <v>M</v>
      </c>
      <c r="B1019" s="4" t="str" cm="1">
        <f t="array" ref="B1019">INDEX(Sheet1!B:B,$F1019)</f>
        <v>Agg/Unknown</v>
      </c>
      <c r="C1019" s="4">
        <f t="shared" si="62"/>
        <v>49</v>
      </c>
      <c r="D1019" s="5" cm="1">
        <f t="array" aca="1" ref="D1019" ca="1">OFFSET(INDIRECT("'["&amp;$H1019&amp;"]"&amp;$I1019&amp;"'!"&amp;$J1019),$L1019,$M1019)*$K1019</f>
        <v>3.5200000000000001E-3</v>
      </c>
      <c r="F1019" s="4">
        <f t="shared" si="63"/>
        <v>10</v>
      </c>
      <c r="G1019" s="4" cm="1">
        <f t="array" ref="G1019">IF($C1019&gt;=25,F1019,IF($C1019&lt;16,INDEX(Sheet1!C:C,$F1019),$F1019))</f>
        <v>10</v>
      </c>
      <c r="H1019" s="4" t="str" cm="1">
        <f t="array" ref="H1019">INDEX(Sheet1!D:D,$G1019)</f>
        <v>t1136.xlsx</v>
      </c>
      <c r="I1019" s="4" t="str" cm="1">
        <f t="array" ref="I1019">INDEX(Sheet1!E:E,$G1019)</f>
        <v>Sheet1</v>
      </c>
      <c r="J1019" s="4" t="str" cm="1">
        <f t="array" ref="J1019">IF($C1019&gt;=25,INDEX(Sheet1!G:G,$G1019),INDEX(Sheet1!F:F,$G1019))</f>
        <v>B139</v>
      </c>
      <c r="K1019" s="4" cm="1">
        <f t="array" ref="K1019">INDEX(Sheet1!H:H,$G1019)</f>
        <v>1</v>
      </c>
      <c r="L1019" s="4">
        <f t="shared" si="60"/>
        <v>24</v>
      </c>
      <c r="M1019" s="4">
        <f t="shared" si="61"/>
        <v>0</v>
      </c>
    </row>
    <row r="1020" spans="1:13">
      <c r="A1020" s="4" t="str" cm="1">
        <f t="array" ref="A1020">INDEX(Sheet1!A:A,$F1020)</f>
        <v>M</v>
      </c>
      <c r="B1020" s="4" t="str" cm="1">
        <f t="array" ref="B1020">INDEX(Sheet1!B:B,$F1020)</f>
        <v>Agg/Unknown</v>
      </c>
      <c r="C1020" s="4">
        <f t="shared" si="62"/>
        <v>50</v>
      </c>
      <c r="D1020" s="5" cm="1">
        <f t="array" aca="1" ref="D1020" ca="1">OFFSET(INDIRECT("'["&amp;$H1020&amp;"]"&amp;$I1020&amp;"'!"&amp;$J1020),$L1020,$M1020)*$K1020</f>
        <v>3.7599999999999999E-3</v>
      </c>
      <c r="F1020" s="4">
        <f t="shared" si="63"/>
        <v>10</v>
      </c>
      <c r="G1020" s="4" cm="1">
        <f t="array" ref="G1020">IF($C1020&gt;=25,F1020,IF($C1020&lt;16,INDEX(Sheet1!C:C,$F1020),$F1020))</f>
        <v>10</v>
      </c>
      <c r="H1020" s="4" t="str" cm="1">
        <f t="array" ref="H1020">INDEX(Sheet1!D:D,$G1020)</f>
        <v>t1136.xlsx</v>
      </c>
      <c r="I1020" s="4" t="str" cm="1">
        <f t="array" ref="I1020">INDEX(Sheet1!E:E,$G1020)</f>
        <v>Sheet1</v>
      </c>
      <c r="J1020" s="4" t="str" cm="1">
        <f t="array" ref="J1020">IF($C1020&gt;=25,INDEX(Sheet1!G:G,$G1020),INDEX(Sheet1!F:F,$G1020))</f>
        <v>B139</v>
      </c>
      <c r="K1020" s="4" cm="1">
        <f t="array" ref="K1020">INDEX(Sheet1!H:H,$G1020)</f>
        <v>1</v>
      </c>
      <c r="L1020" s="4">
        <f t="shared" si="60"/>
        <v>25</v>
      </c>
      <c r="M1020" s="4">
        <f t="shared" si="61"/>
        <v>0</v>
      </c>
    </row>
    <row r="1021" spans="1:13">
      <c r="A1021" s="4" t="str" cm="1">
        <f t="array" ref="A1021">INDEX(Sheet1!A:A,$F1021)</f>
        <v>M</v>
      </c>
      <c r="B1021" s="4" t="str" cm="1">
        <f t="array" ref="B1021">INDEX(Sheet1!B:B,$F1021)</f>
        <v>Agg/Unknown</v>
      </c>
      <c r="C1021" s="4">
        <f t="shared" si="62"/>
        <v>51</v>
      </c>
      <c r="D1021" s="5" cm="1">
        <f t="array" aca="1" ref="D1021" ca="1">OFFSET(INDIRECT("'["&amp;$H1021&amp;"]"&amp;$I1021&amp;"'!"&amp;$J1021),$L1021,$M1021)*$K1021</f>
        <v>4.0600000000000002E-3</v>
      </c>
      <c r="F1021" s="4">
        <f t="shared" si="63"/>
        <v>10</v>
      </c>
      <c r="G1021" s="4" cm="1">
        <f t="array" ref="G1021">IF($C1021&gt;=25,F1021,IF($C1021&lt;16,INDEX(Sheet1!C:C,$F1021),$F1021))</f>
        <v>10</v>
      </c>
      <c r="H1021" s="4" t="str" cm="1">
        <f t="array" ref="H1021">INDEX(Sheet1!D:D,$G1021)</f>
        <v>t1136.xlsx</v>
      </c>
      <c r="I1021" s="4" t="str" cm="1">
        <f t="array" ref="I1021">INDEX(Sheet1!E:E,$G1021)</f>
        <v>Sheet1</v>
      </c>
      <c r="J1021" s="4" t="str" cm="1">
        <f t="array" ref="J1021">IF($C1021&gt;=25,INDEX(Sheet1!G:G,$G1021),INDEX(Sheet1!F:F,$G1021))</f>
        <v>B139</v>
      </c>
      <c r="K1021" s="4" cm="1">
        <f t="array" ref="K1021">INDEX(Sheet1!H:H,$G1021)</f>
        <v>1</v>
      </c>
      <c r="L1021" s="4">
        <f t="shared" si="60"/>
        <v>26</v>
      </c>
      <c r="M1021" s="4">
        <f t="shared" si="61"/>
        <v>0</v>
      </c>
    </row>
    <row r="1022" spans="1:13">
      <c r="A1022" s="4" t="str" cm="1">
        <f t="array" ref="A1022">INDEX(Sheet1!A:A,$F1022)</f>
        <v>M</v>
      </c>
      <c r="B1022" s="4" t="str" cm="1">
        <f t="array" ref="B1022">INDEX(Sheet1!B:B,$F1022)</f>
        <v>Agg/Unknown</v>
      </c>
      <c r="C1022" s="4">
        <f t="shared" si="62"/>
        <v>52</v>
      </c>
      <c r="D1022" s="5" cm="1">
        <f t="array" aca="1" ref="D1022" ca="1">OFFSET(INDIRECT("'["&amp;$H1022&amp;"]"&amp;$I1022&amp;"'!"&amp;$J1022),$L1022,$M1022)*$K1022</f>
        <v>4.47E-3</v>
      </c>
      <c r="F1022" s="4">
        <f t="shared" si="63"/>
        <v>10</v>
      </c>
      <c r="G1022" s="4" cm="1">
        <f t="array" ref="G1022">IF($C1022&gt;=25,F1022,IF($C1022&lt;16,INDEX(Sheet1!C:C,$F1022),$F1022))</f>
        <v>10</v>
      </c>
      <c r="H1022" s="4" t="str" cm="1">
        <f t="array" ref="H1022">INDEX(Sheet1!D:D,$G1022)</f>
        <v>t1136.xlsx</v>
      </c>
      <c r="I1022" s="4" t="str" cm="1">
        <f t="array" ref="I1022">INDEX(Sheet1!E:E,$G1022)</f>
        <v>Sheet1</v>
      </c>
      <c r="J1022" s="4" t="str" cm="1">
        <f t="array" ref="J1022">IF($C1022&gt;=25,INDEX(Sheet1!G:G,$G1022),INDEX(Sheet1!F:F,$G1022))</f>
        <v>B139</v>
      </c>
      <c r="K1022" s="4" cm="1">
        <f t="array" ref="K1022">INDEX(Sheet1!H:H,$G1022)</f>
        <v>1</v>
      </c>
      <c r="L1022" s="4">
        <f t="shared" si="60"/>
        <v>27</v>
      </c>
      <c r="M1022" s="4">
        <f t="shared" si="61"/>
        <v>0</v>
      </c>
    </row>
    <row r="1023" spans="1:13">
      <c r="A1023" s="4" t="str" cm="1">
        <f t="array" ref="A1023">INDEX(Sheet1!A:A,$F1023)</f>
        <v>M</v>
      </c>
      <c r="B1023" s="4" t="str" cm="1">
        <f t="array" ref="B1023">INDEX(Sheet1!B:B,$F1023)</f>
        <v>Agg/Unknown</v>
      </c>
      <c r="C1023" s="4">
        <f t="shared" si="62"/>
        <v>53</v>
      </c>
      <c r="D1023" s="5" cm="1">
        <f t="array" aca="1" ref="D1023" ca="1">OFFSET(INDIRECT("'["&amp;$H1023&amp;"]"&amp;$I1023&amp;"'!"&amp;$J1023),$L1023,$M1023)*$K1023</f>
        <v>4.9300000000000004E-3</v>
      </c>
      <c r="F1023" s="4">
        <f t="shared" si="63"/>
        <v>10</v>
      </c>
      <c r="G1023" s="4" cm="1">
        <f t="array" ref="G1023">IF($C1023&gt;=25,F1023,IF($C1023&lt;16,INDEX(Sheet1!C:C,$F1023),$F1023))</f>
        <v>10</v>
      </c>
      <c r="H1023" s="4" t="str" cm="1">
        <f t="array" ref="H1023">INDEX(Sheet1!D:D,$G1023)</f>
        <v>t1136.xlsx</v>
      </c>
      <c r="I1023" s="4" t="str" cm="1">
        <f t="array" ref="I1023">INDEX(Sheet1!E:E,$G1023)</f>
        <v>Sheet1</v>
      </c>
      <c r="J1023" s="4" t="str" cm="1">
        <f t="array" ref="J1023">IF($C1023&gt;=25,INDEX(Sheet1!G:G,$G1023),INDEX(Sheet1!F:F,$G1023))</f>
        <v>B139</v>
      </c>
      <c r="K1023" s="4" cm="1">
        <f t="array" ref="K1023">INDEX(Sheet1!H:H,$G1023)</f>
        <v>1</v>
      </c>
      <c r="L1023" s="4">
        <f t="shared" si="60"/>
        <v>28</v>
      </c>
      <c r="M1023" s="4">
        <f t="shared" si="61"/>
        <v>0</v>
      </c>
    </row>
    <row r="1024" spans="1:13">
      <c r="A1024" s="4" t="str" cm="1">
        <f t="array" ref="A1024">INDEX(Sheet1!A:A,$F1024)</f>
        <v>M</v>
      </c>
      <c r="B1024" s="4" t="str" cm="1">
        <f t="array" ref="B1024">INDEX(Sheet1!B:B,$F1024)</f>
        <v>Agg/Unknown</v>
      </c>
      <c r="C1024" s="4">
        <f t="shared" si="62"/>
        <v>54</v>
      </c>
      <c r="D1024" s="5" cm="1">
        <f t="array" aca="1" ref="D1024" ca="1">OFFSET(INDIRECT("'["&amp;$H1024&amp;"]"&amp;$I1024&amp;"'!"&amp;$J1024),$L1024,$M1024)*$K1024</f>
        <v>5.4999999999999997E-3</v>
      </c>
      <c r="F1024" s="4">
        <f t="shared" si="63"/>
        <v>10</v>
      </c>
      <c r="G1024" s="4" cm="1">
        <f t="array" ref="G1024">IF($C1024&gt;=25,F1024,IF($C1024&lt;16,INDEX(Sheet1!C:C,$F1024),$F1024))</f>
        <v>10</v>
      </c>
      <c r="H1024" s="4" t="str" cm="1">
        <f t="array" ref="H1024">INDEX(Sheet1!D:D,$G1024)</f>
        <v>t1136.xlsx</v>
      </c>
      <c r="I1024" s="4" t="str" cm="1">
        <f t="array" ref="I1024">INDEX(Sheet1!E:E,$G1024)</f>
        <v>Sheet1</v>
      </c>
      <c r="J1024" s="4" t="str" cm="1">
        <f t="array" ref="J1024">IF($C1024&gt;=25,INDEX(Sheet1!G:G,$G1024),INDEX(Sheet1!F:F,$G1024))</f>
        <v>B139</v>
      </c>
      <c r="K1024" s="4" cm="1">
        <f t="array" ref="K1024">INDEX(Sheet1!H:H,$G1024)</f>
        <v>1</v>
      </c>
      <c r="L1024" s="4">
        <f t="shared" si="60"/>
        <v>29</v>
      </c>
      <c r="M1024" s="4">
        <f t="shared" si="61"/>
        <v>0</v>
      </c>
    </row>
    <row r="1025" spans="1:13">
      <c r="A1025" s="4" t="str" cm="1">
        <f t="array" ref="A1025">INDEX(Sheet1!A:A,$F1025)</f>
        <v>M</v>
      </c>
      <c r="B1025" s="4" t="str" cm="1">
        <f t="array" ref="B1025">INDEX(Sheet1!B:B,$F1025)</f>
        <v>Agg/Unknown</v>
      </c>
      <c r="C1025" s="4">
        <f t="shared" si="62"/>
        <v>55</v>
      </c>
      <c r="D1025" s="5" cm="1">
        <f t="array" aca="1" ref="D1025" ca="1">OFFSET(INDIRECT("'["&amp;$H1025&amp;"]"&amp;$I1025&amp;"'!"&amp;$J1025),$L1025,$M1025)*$K1025</f>
        <v>6.1700000000000001E-3</v>
      </c>
      <c r="F1025" s="4">
        <f t="shared" si="63"/>
        <v>10</v>
      </c>
      <c r="G1025" s="4" cm="1">
        <f t="array" ref="G1025">IF($C1025&gt;=25,F1025,IF($C1025&lt;16,INDEX(Sheet1!C:C,$F1025),$F1025))</f>
        <v>10</v>
      </c>
      <c r="H1025" s="4" t="str" cm="1">
        <f t="array" ref="H1025">INDEX(Sheet1!D:D,$G1025)</f>
        <v>t1136.xlsx</v>
      </c>
      <c r="I1025" s="4" t="str" cm="1">
        <f t="array" ref="I1025">INDEX(Sheet1!E:E,$G1025)</f>
        <v>Sheet1</v>
      </c>
      <c r="J1025" s="4" t="str" cm="1">
        <f t="array" ref="J1025">IF($C1025&gt;=25,INDEX(Sheet1!G:G,$G1025),INDEX(Sheet1!F:F,$G1025))</f>
        <v>B139</v>
      </c>
      <c r="K1025" s="4" cm="1">
        <f t="array" ref="K1025">INDEX(Sheet1!H:H,$G1025)</f>
        <v>1</v>
      </c>
      <c r="L1025" s="4">
        <f t="shared" si="60"/>
        <v>30</v>
      </c>
      <c r="M1025" s="4">
        <f t="shared" si="61"/>
        <v>0</v>
      </c>
    </row>
    <row r="1026" spans="1:13">
      <c r="A1026" s="4" t="str" cm="1">
        <f t="array" ref="A1026">INDEX(Sheet1!A:A,$F1026)</f>
        <v>M</v>
      </c>
      <c r="B1026" s="4" t="str" cm="1">
        <f t="array" ref="B1026">INDEX(Sheet1!B:B,$F1026)</f>
        <v>Agg/Unknown</v>
      </c>
      <c r="C1026" s="4">
        <f t="shared" si="62"/>
        <v>56</v>
      </c>
      <c r="D1026" s="5" cm="1">
        <f t="array" aca="1" ref="D1026" ca="1">OFFSET(INDIRECT("'["&amp;$H1026&amp;"]"&amp;$I1026&amp;"'!"&amp;$J1026),$L1026,$M1026)*$K1026</f>
        <v>6.8799999999999998E-3</v>
      </c>
      <c r="F1026" s="4">
        <f t="shared" si="63"/>
        <v>10</v>
      </c>
      <c r="G1026" s="4" cm="1">
        <f t="array" ref="G1026">IF($C1026&gt;=25,F1026,IF($C1026&lt;16,INDEX(Sheet1!C:C,$F1026),$F1026))</f>
        <v>10</v>
      </c>
      <c r="H1026" s="4" t="str" cm="1">
        <f t="array" ref="H1026">INDEX(Sheet1!D:D,$G1026)</f>
        <v>t1136.xlsx</v>
      </c>
      <c r="I1026" s="4" t="str" cm="1">
        <f t="array" ref="I1026">INDEX(Sheet1!E:E,$G1026)</f>
        <v>Sheet1</v>
      </c>
      <c r="J1026" s="4" t="str" cm="1">
        <f t="array" ref="J1026">IF($C1026&gt;=25,INDEX(Sheet1!G:G,$G1026),INDEX(Sheet1!F:F,$G1026))</f>
        <v>B139</v>
      </c>
      <c r="K1026" s="4" cm="1">
        <f t="array" ref="K1026">INDEX(Sheet1!H:H,$G1026)</f>
        <v>1</v>
      </c>
      <c r="L1026" s="4">
        <f t="shared" si="60"/>
        <v>31</v>
      </c>
      <c r="M1026" s="4">
        <f t="shared" si="61"/>
        <v>0</v>
      </c>
    </row>
    <row r="1027" spans="1:13">
      <c r="A1027" s="4" t="str" cm="1">
        <f t="array" ref="A1027">INDEX(Sheet1!A:A,$F1027)</f>
        <v>M</v>
      </c>
      <c r="B1027" s="4" t="str" cm="1">
        <f t="array" ref="B1027">INDEX(Sheet1!B:B,$F1027)</f>
        <v>Agg/Unknown</v>
      </c>
      <c r="C1027" s="4">
        <f t="shared" si="62"/>
        <v>57</v>
      </c>
      <c r="D1027" s="5" cm="1">
        <f t="array" aca="1" ref="D1027" ca="1">OFFSET(INDIRECT("'["&amp;$H1027&amp;"]"&amp;$I1027&amp;"'!"&amp;$J1027),$L1027,$M1027)*$K1027</f>
        <v>7.6400000000000001E-3</v>
      </c>
      <c r="F1027" s="4">
        <f t="shared" si="63"/>
        <v>10</v>
      </c>
      <c r="G1027" s="4" cm="1">
        <f t="array" ref="G1027">IF($C1027&gt;=25,F1027,IF($C1027&lt;16,INDEX(Sheet1!C:C,$F1027),$F1027))</f>
        <v>10</v>
      </c>
      <c r="H1027" s="4" t="str" cm="1">
        <f t="array" ref="H1027">INDEX(Sheet1!D:D,$G1027)</f>
        <v>t1136.xlsx</v>
      </c>
      <c r="I1027" s="4" t="str" cm="1">
        <f t="array" ref="I1027">INDEX(Sheet1!E:E,$G1027)</f>
        <v>Sheet1</v>
      </c>
      <c r="J1027" s="4" t="str" cm="1">
        <f t="array" ref="J1027">IF($C1027&gt;=25,INDEX(Sheet1!G:G,$G1027),INDEX(Sheet1!F:F,$G1027))</f>
        <v>B139</v>
      </c>
      <c r="K1027" s="4" cm="1">
        <f t="array" ref="K1027">INDEX(Sheet1!H:H,$G1027)</f>
        <v>1</v>
      </c>
      <c r="L1027" s="4">
        <f t="shared" ref="L1027:L1090" si="64">IF($C1027&gt;=25,$C1027-25,0)</f>
        <v>32</v>
      </c>
      <c r="M1027" s="4">
        <f t="shared" ref="M1027:M1090" si="65">IF($C1027&gt;=25,0,$C1027)</f>
        <v>0</v>
      </c>
    </row>
    <row r="1028" spans="1:13">
      <c r="A1028" s="4" t="str" cm="1">
        <f t="array" ref="A1028">INDEX(Sheet1!A:A,$F1028)</f>
        <v>M</v>
      </c>
      <c r="B1028" s="4" t="str" cm="1">
        <f t="array" ref="B1028">INDEX(Sheet1!B:B,$F1028)</f>
        <v>Agg/Unknown</v>
      </c>
      <c r="C1028" s="4">
        <f t="shared" ref="C1028:C1091" si="66">IF(C1027=120,0,C1027+1)</f>
        <v>58</v>
      </c>
      <c r="D1028" s="5" cm="1">
        <f t="array" aca="1" ref="D1028" ca="1">OFFSET(INDIRECT("'["&amp;$H1028&amp;"]"&amp;$I1028&amp;"'!"&amp;$J1028),$L1028,$M1028)*$K1028</f>
        <v>8.2699999999999996E-3</v>
      </c>
      <c r="F1028" s="4">
        <f t="shared" ref="F1028:F1091" si="67">IF(C1028=0,1,0)+F1027</f>
        <v>10</v>
      </c>
      <c r="G1028" s="4" cm="1">
        <f t="array" ref="G1028">IF($C1028&gt;=25,F1028,IF($C1028&lt;16,INDEX(Sheet1!C:C,$F1028),$F1028))</f>
        <v>10</v>
      </c>
      <c r="H1028" s="4" t="str" cm="1">
        <f t="array" ref="H1028">INDEX(Sheet1!D:D,$G1028)</f>
        <v>t1136.xlsx</v>
      </c>
      <c r="I1028" s="4" t="str" cm="1">
        <f t="array" ref="I1028">INDEX(Sheet1!E:E,$G1028)</f>
        <v>Sheet1</v>
      </c>
      <c r="J1028" s="4" t="str" cm="1">
        <f t="array" ref="J1028">IF($C1028&gt;=25,INDEX(Sheet1!G:G,$G1028),INDEX(Sheet1!F:F,$G1028))</f>
        <v>B139</v>
      </c>
      <c r="K1028" s="4" cm="1">
        <f t="array" ref="K1028">INDEX(Sheet1!H:H,$G1028)</f>
        <v>1</v>
      </c>
      <c r="L1028" s="4">
        <f t="shared" si="64"/>
        <v>33</v>
      </c>
      <c r="M1028" s="4">
        <f t="shared" si="65"/>
        <v>0</v>
      </c>
    </row>
    <row r="1029" spans="1:13">
      <c r="A1029" s="4" t="str" cm="1">
        <f t="array" ref="A1029">INDEX(Sheet1!A:A,$F1029)</f>
        <v>M</v>
      </c>
      <c r="B1029" s="4" t="str" cm="1">
        <f t="array" ref="B1029">INDEX(Sheet1!B:B,$F1029)</f>
        <v>Agg/Unknown</v>
      </c>
      <c r="C1029" s="4">
        <f t="shared" si="66"/>
        <v>59</v>
      </c>
      <c r="D1029" s="5" cm="1">
        <f t="array" aca="1" ref="D1029" ca="1">OFFSET(INDIRECT("'["&amp;$H1029&amp;"]"&amp;$I1029&amp;"'!"&amp;$J1029),$L1029,$M1029)*$K1029</f>
        <v>8.9899999999999997E-3</v>
      </c>
      <c r="F1029" s="4">
        <f t="shared" si="67"/>
        <v>10</v>
      </c>
      <c r="G1029" s="4" cm="1">
        <f t="array" ref="G1029">IF($C1029&gt;=25,F1029,IF($C1029&lt;16,INDEX(Sheet1!C:C,$F1029),$F1029))</f>
        <v>10</v>
      </c>
      <c r="H1029" s="4" t="str" cm="1">
        <f t="array" ref="H1029">INDEX(Sheet1!D:D,$G1029)</f>
        <v>t1136.xlsx</v>
      </c>
      <c r="I1029" s="4" t="str" cm="1">
        <f t="array" ref="I1029">INDEX(Sheet1!E:E,$G1029)</f>
        <v>Sheet1</v>
      </c>
      <c r="J1029" s="4" t="str" cm="1">
        <f t="array" ref="J1029">IF($C1029&gt;=25,INDEX(Sheet1!G:G,$G1029),INDEX(Sheet1!F:F,$G1029))</f>
        <v>B139</v>
      </c>
      <c r="K1029" s="4" cm="1">
        <f t="array" ref="K1029">INDEX(Sheet1!H:H,$G1029)</f>
        <v>1</v>
      </c>
      <c r="L1029" s="4">
        <f t="shared" si="64"/>
        <v>34</v>
      </c>
      <c r="M1029" s="4">
        <f t="shared" si="65"/>
        <v>0</v>
      </c>
    </row>
    <row r="1030" spans="1:13">
      <c r="A1030" s="4" t="str" cm="1">
        <f t="array" ref="A1030">INDEX(Sheet1!A:A,$F1030)</f>
        <v>M</v>
      </c>
      <c r="B1030" s="4" t="str" cm="1">
        <f t="array" ref="B1030">INDEX(Sheet1!B:B,$F1030)</f>
        <v>Agg/Unknown</v>
      </c>
      <c r="C1030" s="4">
        <f t="shared" si="66"/>
        <v>60</v>
      </c>
      <c r="D1030" s="5" cm="1">
        <f t="array" aca="1" ref="D1030" ca="1">OFFSET(INDIRECT("'["&amp;$H1030&amp;"]"&amp;$I1030&amp;"'!"&amp;$J1030),$L1030,$M1030)*$K1030</f>
        <v>9.8600000000000007E-3</v>
      </c>
      <c r="F1030" s="4">
        <f t="shared" si="67"/>
        <v>10</v>
      </c>
      <c r="G1030" s="4" cm="1">
        <f t="array" ref="G1030">IF($C1030&gt;=25,F1030,IF($C1030&lt;16,INDEX(Sheet1!C:C,$F1030),$F1030))</f>
        <v>10</v>
      </c>
      <c r="H1030" s="4" t="str" cm="1">
        <f t="array" ref="H1030">INDEX(Sheet1!D:D,$G1030)</f>
        <v>t1136.xlsx</v>
      </c>
      <c r="I1030" s="4" t="str" cm="1">
        <f t="array" ref="I1030">INDEX(Sheet1!E:E,$G1030)</f>
        <v>Sheet1</v>
      </c>
      <c r="J1030" s="4" t="str" cm="1">
        <f t="array" ref="J1030">IF($C1030&gt;=25,INDEX(Sheet1!G:G,$G1030),INDEX(Sheet1!F:F,$G1030))</f>
        <v>B139</v>
      </c>
      <c r="K1030" s="4" cm="1">
        <f t="array" ref="K1030">INDEX(Sheet1!H:H,$G1030)</f>
        <v>1</v>
      </c>
      <c r="L1030" s="4">
        <f t="shared" si="64"/>
        <v>35</v>
      </c>
      <c r="M1030" s="4">
        <f t="shared" si="65"/>
        <v>0</v>
      </c>
    </row>
    <row r="1031" spans="1:13">
      <c r="A1031" s="4" t="str" cm="1">
        <f t="array" ref="A1031">INDEX(Sheet1!A:A,$F1031)</f>
        <v>M</v>
      </c>
      <c r="B1031" s="4" t="str" cm="1">
        <f t="array" ref="B1031">INDEX(Sheet1!B:B,$F1031)</f>
        <v>Agg/Unknown</v>
      </c>
      <c r="C1031" s="4">
        <f t="shared" si="66"/>
        <v>61</v>
      </c>
      <c r="D1031" s="5" cm="1">
        <f t="array" aca="1" ref="D1031" ca="1">OFFSET(INDIRECT("'["&amp;$H1031&amp;"]"&amp;$I1031&amp;"'!"&amp;$J1031),$L1031,$M1031)*$K1031</f>
        <v>1.094E-2</v>
      </c>
      <c r="F1031" s="4">
        <f t="shared" si="67"/>
        <v>10</v>
      </c>
      <c r="G1031" s="4" cm="1">
        <f t="array" ref="G1031">IF($C1031&gt;=25,F1031,IF($C1031&lt;16,INDEX(Sheet1!C:C,$F1031),$F1031))</f>
        <v>10</v>
      </c>
      <c r="H1031" s="4" t="str" cm="1">
        <f t="array" ref="H1031">INDEX(Sheet1!D:D,$G1031)</f>
        <v>t1136.xlsx</v>
      </c>
      <c r="I1031" s="4" t="str" cm="1">
        <f t="array" ref="I1031">INDEX(Sheet1!E:E,$G1031)</f>
        <v>Sheet1</v>
      </c>
      <c r="J1031" s="4" t="str" cm="1">
        <f t="array" ref="J1031">IF($C1031&gt;=25,INDEX(Sheet1!G:G,$G1031),INDEX(Sheet1!F:F,$G1031))</f>
        <v>B139</v>
      </c>
      <c r="K1031" s="4" cm="1">
        <f t="array" ref="K1031">INDEX(Sheet1!H:H,$G1031)</f>
        <v>1</v>
      </c>
      <c r="L1031" s="4">
        <f t="shared" si="64"/>
        <v>36</v>
      </c>
      <c r="M1031" s="4">
        <f t="shared" si="65"/>
        <v>0</v>
      </c>
    </row>
    <row r="1032" spans="1:13">
      <c r="A1032" s="4" t="str" cm="1">
        <f t="array" ref="A1032">INDEX(Sheet1!A:A,$F1032)</f>
        <v>M</v>
      </c>
      <c r="B1032" s="4" t="str" cm="1">
        <f t="array" ref="B1032">INDEX(Sheet1!B:B,$F1032)</f>
        <v>Agg/Unknown</v>
      </c>
      <c r="C1032" s="4">
        <f t="shared" si="66"/>
        <v>62</v>
      </c>
      <c r="D1032" s="5" cm="1">
        <f t="array" aca="1" ref="D1032" ca="1">OFFSET(INDIRECT("'["&amp;$H1032&amp;"]"&amp;$I1032&amp;"'!"&amp;$J1032),$L1032,$M1032)*$K1032</f>
        <v>1.225E-2</v>
      </c>
      <c r="F1032" s="4">
        <f t="shared" si="67"/>
        <v>10</v>
      </c>
      <c r="G1032" s="4" cm="1">
        <f t="array" ref="G1032">IF($C1032&gt;=25,F1032,IF($C1032&lt;16,INDEX(Sheet1!C:C,$F1032),$F1032))</f>
        <v>10</v>
      </c>
      <c r="H1032" s="4" t="str" cm="1">
        <f t="array" ref="H1032">INDEX(Sheet1!D:D,$G1032)</f>
        <v>t1136.xlsx</v>
      </c>
      <c r="I1032" s="4" t="str" cm="1">
        <f t="array" ref="I1032">INDEX(Sheet1!E:E,$G1032)</f>
        <v>Sheet1</v>
      </c>
      <c r="J1032" s="4" t="str" cm="1">
        <f t="array" ref="J1032">IF($C1032&gt;=25,INDEX(Sheet1!G:G,$G1032),INDEX(Sheet1!F:F,$G1032))</f>
        <v>B139</v>
      </c>
      <c r="K1032" s="4" cm="1">
        <f t="array" ref="K1032">INDEX(Sheet1!H:H,$G1032)</f>
        <v>1</v>
      </c>
      <c r="L1032" s="4">
        <f t="shared" si="64"/>
        <v>37</v>
      </c>
      <c r="M1032" s="4">
        <f t="shared" si="65"/>
        <v>0</v>
      </c>
    </row>
    <row r="1033" spans="1:13">
      <c r="A1033" s="4" t="str" cm="1">
        <f t="array" ref="A1033">INDEX(Sheet1!A:A,$F1033)</f>
        <v>M</v>
      </c>
      <c r="B1033" s="4" t="str" cm="1">
        <f t="array" ref="B1033">INDEX(Sheet1!B:B,$F1033)</f>
        <v>Agg/Unknown</v>
      </c>
      <c r="C1033" s="4">
        <f t="shared" si="66"/>
        <v>63</v>
      </c>
      <c r="D1033" s="5" cm="1">
        <f t="array" aca="1" ref="D1033" ca="1">OFFSET(INDIRECT("'["&amp;$H1033&amp;"]"&amp;$I1033&amp;"'!"&amp;$J1033),$L1033,$M1033)*$K1033</f>
        <v>1.371E-2</v>
      </c>
      <c r="F1033" s="4">
        <f t="shared" si="67"/>
        <v>10</v>
      </c>
      <c r="G1033" s="4" cm="1">
        <f t="array" ref="G1033">IF($C1033&gt;=25,F1033,IF($C1033&lt;16,INDEX(Sheet1!C:C,$F1033),$F1033))</f>
        <v>10</v>
      </c>
      <c r="H1033" s="4" t="str" cm="1">
        <f t="array" ref="H1033">INDEX(Sheet1!D:D,$G1033)</f>
        <v>t1136.xlsx</v>
      </c>
      <c r="I1033" s="4" t="str" cm="1">
        <f t="array" ref="I1033">INDEX(Sheet1!E:E,$G1033)</f>
        <v>Sheet1</v>
      </c>
      <c r="J1033" s="4" t="str" cm="1">
        <f t="array" ref="J1033">IF($C1033&gt;=25,INDEX(Sheet1!G:G,$G1033),INDEX(Sheet1!F:F,$G1033))</f>
        <v>B139</v>
      </c>
      <c r="K1033" s="4" cm="1">
        <f t="array" ref="K1033">INDEX(Sheet1!H:H,$G1033)</f>
        <v>1</v>
      </c>
      <c r="L1033" s="4">
        <f t="shared" si="64"/>
        <v>38</v>
      </c>
      <c r="M1033" s="4">
        <f t="shared" si="65"/>
        <v>0</v>
      </c>
    </row>
    <row r="1034" spans="1:13">
      <c r="A1034" s="4" t="str" cm="1">
        <f t="array" ref="A1034">INDEX(Sheet1!A:A,$F1034)</f>
        <v>M</v>
      </c>
      <c r="B1034" s="4" t="str" cm="1">
        <f t="array" ref="B1034">INDEX(Sheet1!B:B,$F1034)</f>
        <v>Agg/Unknown</v>
      </c>
      <c r="C1034" s="4">
        <f t="shared" si="66"/>
        <v>64</v>
      </c>
      <c r="D1034" s="5" cm="1">
        <f t="array" aca="1" ref="D1034" ca="1">OFFSET(INDIRECT("'["&amp;$H1034&amp;"]"&amp;$I1034&amp;"'!"&amp;$J1034),$L1034,$M1034)*$K1034</f>
        <v>1.524E-2</v>
      </c>
      <c r="F1034" s="4">
        <f t="shared" si="67"/>
        <v>10</v>
      </c>
      <c r="G1034" s="4" cm="1">
        <f t="array" ref="G1034">IF($C1034&gt;=25,F1034,IF($C1034&lt;16,INDEX(Sheet1!C:C,$F1034),$F1034))</f>
        <v>10</v>
      </c>
      <c r="H1034" s="4" t="str" cm="1">
        <f t="array" ref="H1034">INDEX(Sheet1!D:D,$G1034)</f>
        <v>t1136.xlsx</v>
      </c>
      <c r="I1034" s="4" t="str" cm="1">
        <f t="array" ref="I1034">INDEX(Sheet1!E:E,$G1034)</f>
        <v>Sheet1</v>
      </c>
      <c r="J1034" s="4" t="str" cm="1">
        <f t="array" ref="J1034">IF($C1034&gt;=25,INDEX(Sheet1!G:G,$G1034),INDEX(Sheet1!F:F,$G1034))</f>
        <v>B139</v>
      </c>
      <c r="K1034" s="4" cm="1">
        <f t="array" ref="K1034">INDEX(Sheet1!H:H,$G1034)</f>
        <v>1</v>
      </c>
      <c r="L1034" s="4">
        <f t="shared" si="64"/>
        <v>39</v>
      </c>
      <c r="M1034" s="4">
        <f t="shared" si="65"/>
        <v>0</v>
      </c>
    </row>
    <row r="1035" spans="1:13">
      <c r="A1035" s="4" t="str" cm="1">
        <f t="array" ref="A1035">INDEX(Sheet1!A:A,$F1035)</f>
        <v>M</v>
      </c>
      <c r="B1035" s="4" t="str" cm="1">
        <f t="array" ref="B1035">INDEX(Sheet1!B:B,$F1035)</f>
        <v>Agg/Unknown</v>
      </c>
      <c r="C1035" s="4">
        <f t="shared" si="66"/>
        <v>65</v>
      </c>
      <c r="D1035" s="5" cm="1">
        <f t="array" aca="1" ref="D1035" ca="1">OFFSET(INDIRECT("'["&amp;$H1035&amp;"]"&amp;$I1035&amp;"'!"&amp;$J1035),$L1035,$M1035)*$K1035</f>
        <v>1.685E-2</v>
      </c>
      <c r="F1035" s="4">
        <f t="shared" si="67"/>
        <v>10</v>
      </c>
      <c r="G1035" s="4" cm="1">
        <f t="array" ref="G1035">IF($C1035&gt;=25,F1035,IF($C1035&lt;16,INDEX(Sheet1!C:C,$F1035),$F1035))</f>
        <v>10</v>
      </c>
      <c r="H1035" s="4" t="str" cm="1">
        <f t="array" ref="H1035">INDEX(Sheet1!D:D,$G1035)</f>
        <v>t1136.xlsx</v>
      </c>
      <c r="I1035" s="4" t="str" cm="1">
        <f t="array" ref="I1035">INDEX(Sheet1!E:E,$G1035)</f>
        <v>Sheet1</v>
      </c>
      <c r="J1035" s="4" t="str" cm="1">
        <f t="array" ref="J1035">IF($C1035&gt;=25,INDEX(Sheet1!G:G,$G1035),INDEX(Sheet1!F:F,$G1035))</f>
        <v>B139</v>
      </c>
      <c r="K1035" s="4" cm="1">
        <f t="array" ref="K1035">INDEX(Sheet1!H:H,$G1035)</f>
        <v>1</v>
      </c>
      <c r="L1035" s="4">
        <f t="shared" si="64"/>
        <v>40</v>
      </c>
      <c r="M1035" s="4">
        <f t="shared" si="65"/>
        <v>0</v>
      </c>
    </row>
    <row r="1036" spans="1:13">
      <c r="A1036" s="4" t="str" cm="1">
        <f t="array" ref="A1036">INDEX(Sheet1!A:A,$F1036)</f>
        <v>M</v>
      </c>
      <c r="B1036" s="4" t="str" cm="1">
        <f t="array" ref="B1036">INDEX(Sheet1!B:B,$F1036)</f>
        <v>Agg/Unknown</v>
      </c>
      <c r="C1036" s="4">
        <f t="shared" si="66"/>
        <v>66</v>
      </c>
      <c r="D1036" s="5" cm="1">
        <f t="array" aca="1" ref="D1036" ca="1">OFFSET(INDIRECT("'["&amp;$H1036&amp;"]"&amp;$I1036&amp;"'!"&amp;$J1036),$L1036,$M1036)*$K1036</f>
        <v>1.847E-2</v>
      </c>
      <c r="F1036" s="4">
        <f t="shared" si="67"/>
        <v>10</v>
      </c>
      <c r="G1036" s="4" cm="1">
        <f t="array" ref="G1036">IF($C1036&gt;=25,F1036,IF($C1036&lt;16,INDEX(Sheet1!C:C,$F1036),$F1036))</f>
        <v>10</v>
      </c>
      <c r="H1036" s="4" t="str" cm="1">
        <f t="array" ref="H1036">INDEX(Sheet1!D:D,$G1036)</f>
        <v>t1136.xlsx</v>
      </c>
      <c r="I1036" s="4" t="str" cm="1">
        <f t="array" ref="I1036">INDEX(Sheet1!E:E,$G1036)</f>
        <v>Sheet1</v>
      </c>
      <c r="J1036" s="4" t="str" cm="1">
        <f t="array" ref="J1036">IF($C1036&gt;=25,INDEX(Sheet1!G:G,$G1036),INDEX(Sheet1!F:F,$G1036))</f>
        <v>B139</v>
      </c>
      <c r="K1036" s="4" cm="1">
        <f t="array" ref="K1036">INDEX(Sheet1!H:H,$G1036)</f>
        <v>1</v>
      </c>
      <c r="L1036" s="4">
        <f t="shared" si="64"/>
        <v>41</v>
      </c>
      <c r="M1036" s="4">
        <f t="shared" si="65"/>
        <v>0</v>
      </c>
    </row>
    <row r="1037" spans="1:13">
      <c r="A1037" s="4" t="str" cm="1">
        <f t="array" ref="A1037">INDEX(Sheet1!A:A,$F1037)</f>
        <v>M</v>
      </c>
      <c r="B1037" s="4" t="str" cm="1">
        <f t="array" ref="B1037">INDEX(Sheet1!B:B,$F1037)</f>
        <v>Agg/Unknown</v>
      </c>
      <c r="C1037" s="4">
        <f t="shared" si="66"/>
        <v>67</v>
      </c>
      <c r="D1037" s="5" cm="1">
        <f t="array" aca="1" ref="D1037" ca="1">OFFSET(INDIRECT("'["&amp;$H1037&amp;"]"&amp;$I1037&amp;"'!"&amp;$J1037),$L1037,$M1037)*$K1037</f>
        <v>2.009E-2</v>
      </c>
      <c r="F1037" s="4">
        <f t="shared" si="67"/>
        <v>10</v>
      </c>
      <c r="G1037" s="4" cm="1">
        <f t="array" ref="G1037">IF($C1037&gt;=25,F1037,IF($C1037&lt;16,INDEX(Sheet1!C:C,$F1037),$F1037))</f>
        <v>10</v>
      </c>
      <c r="H1037" s="4" t="str" cm="1">
        <f t="array" ref="H1037">INDEX(Sheet1!D:D,$G1037)</f>
        <v>t1136.xlsx</v>
      </c>
      <c r="I1037" s="4" t="str" cm="1">
        <f t="array" ref="I1037">INDEX(Sheet1!E:E,$G1037)</f>
        <v>Sheet1</v>
      </c>
      <c r="J1037" s="4" t="str" cm="1">
        <f t="array" ref="J1037">IF($C1037&gt;=25,INDEX(Sheet1!G:G,$G1037),INDEX(Sheet1!F:F,$G1037))</f>
        <v>B139</v>
      </c>
      <c r="K1037" s="4" cm="1">
        <f t="array" ref="K1037">INDEX(Sheet1!H:H,$G1037)</f>
        <v>1</v>
      </c>
      <c r="L1037" s="4">
        <f t="shared" si="64"/>
        <v>42</v>
      </c>
      <c r="M1037" s="4">
        <f t="shared" si="65"/>
        <v>0</v>
      </c>
    </row>
    <row r="1038" spans="1:13">
      <c r="A1038" s="4" t="str" cm="1">
        <f t="array" ref="A1038">INDEX(Sheet1!A:A,$F1038)</f>
        <v>M</v>
      </c>
      <c r="B1038" s="4" t="str" cm="1">
        <f t="array" ref="B1038">INDEX(Sheet1!B:B,$F1038)</f>
        <v>Agg/Unknown</v>
      </c>
      <c r="C1038" s="4">
        <f t="shared" si="66"/>
        <v>68</v>
      </c>
      <c r="D1038" s="5" cm="1">
        <f t="array" aca="1" ref="D1038" ca="1">OFFSET(INDIRECT("'["&amp;$H1038&amp;"]"&amp;$I1038&amp;"'!"&amp;$J1038),$L1038,$M1038)*$K1038</f>
        <v>2.1850000000000001E-2</v>
      </c>
      <c r="F1038" s="4">
        <f t="shared" si="67"/>
        <v>10</v>
      </c>
      <c r="G1038" s="4" cm="1">
        <f t="array" ref="G1038">IF($C1038&gt;=25,F1038,IF($C1038&lt;16,INDEX(Sheet1!C:C,$F1038),$F1038))</f>
        <v>10</v>
      </c>
      <c r="H1038" s="4" t="str" cm="1">
        <f t="array" ref="H1038">INDEX(Sheet1!D:D,$G1038)</f>
        <v>t1136.xlsx</v>
      </c>
      <c r="I1038" s="4" t="str" cm="1">
        <f t="array" ref="I1038">INDEX(Sheet1!E:E,$G1038)</f>
        <v>Sheet1</v>
      </c>
      <c r="J1038" s="4" t="str" cm="1">
        <f t="array" ref="J1038">IF($C1038&gt;=25,INDEX(Sheet1!G:G,$G1038),INDEX(Sheet1!F:F,$G1038))</f>
        <v>B139</v>
      </c>
      <c r="K1038" s="4" cm="1">
        <f t="array" ref="K1038">INDEX(Sheet1!H:H,$G1038)</f>
        <v>1</v>
      </c>
      <c r="L1038" s="4">
        <f t="shared" si="64"/>
        <v>43</v>
      </c>
      <c r="M1038" s="4">
        <f t="shared" si="65"/>
        <v>0</v>
      </c>
    </row>
    <row r="1039" spans="1:13">
      <c r="A1039" s="4" t="str" cm="1">
        <f t="array" ref="A1039">INDEX(Sheet1!A:A,$F1039)</f>
        <v>M</v>
      </c>
      <c r="B1039" s="4" t="str" cm="1">
        <f t="array" ref="B1039">INDEX(Sheet1!B:B,$F1039)</f>
        <v>Agg/Unknown</v>
      </c>
      <c r="C1039" s="4">
        <f t="shared" si="66"/>
        <v>69</v>
      </c>
      <c r="D1039" s="5" cm="1">
        <f t="array" aca="1" ref="D1039" ca="1">OFFSET(INDIRECT("'["&amp;$H1039&amp;"]"&amp;$I1039&amp;"'!"&amp;$J1039),$L1039,$M1039)*$K1039</f>
        <v>2.3640000000000001E-2</v>
      </c>
      <c r="F1039" s="4">
        <f t="shared" si="67"/>
        <v>10</v>
      </c>
      <c r="G1039" s="4" cm="1">
        <f t="array" ref="G1039">IF($C1039&gt;=25,F1039,IF($C1039&lt;16,INDEX(Sheet1!C:C,$F1039),$F1039))</f>
        <v>10</v>
      </c>
      <c r="H1039" s="4" t="str" cm="1">
        <f t="array" ref="H1039">INDEX(Sheet1!D:D,$G1039)</f>
        <v>t1136.xlsx</v>
      </c>
      <c r="I1039" s="4" t="str" cm="1">
        <f t="array" ref="I1039">INDEX(Sheet1!E:E,$G1039)</f>
        <v>Sheet1</v>
      </c>
      <c r="J1039" s="4" t="str" cm="1">
        <f t="array" ref="J1039">IF($C1039&gt;=25,INDEX(Sheet1!G:G,$G1039),INDEX(Sheet1!F:F,$G1039))</f>
        <v>B139</v>
      </c>
      <c r="K1039" s="4" cm="1">
        <f t="array" ref="K1039">INDEX(Sheet1!H:H,$G1039)</f>
        <v>1</v>
      </c>
      <c r="L1039" s="4">
        <f t="shared" si="64"/>
        <v>44</v>
      </c>
      <c r="M1039" s="4">
        <f t="shared" si="65"/>
        <v>0</v>
      </c>
    </row>
    <row r="1040" spans="1:13">
      <c r="A1040" s="4" t="str" cm="1">
        <f t="array" ref="A1040">INDEX(Sheet1!A:A,$F1040)</f>
        <v>M</v>
      </c>
      <c r="B1040" s="4" t="str" cm="1">
        <f t="array" ref="B1040">INDEX(Sheet1!B:B,$F1040)</f>
        <v>Agg/Unknown</v>
      </c>
      <c r="C1040" s="4">
        <f t="shared" si="66"/>
        <v>70</v>
      </c>
      <c r="D1040" s="5" cm="1">
        <f t="array" aca="1" ref="D1040" ca="1">OFFSET(INDIRECT("'["&amp;$H1040&amp;"]"&amp;$I1040&amp;"'!"&amp;$J1040),$L1040,$M1040)*$K1040</f>
        <v>2.5770000000000001E-2</v>
      </c>
      <c r="F1040" s="4">
        <f t="shared" si="67"/>
        <v>10</v>
      </c>
      <c r="G1040" s="4" cm="1">
        <f t="array" ref="G1040">IF($C1040&gt;=25,F1040,IF($C1040&lt;16,INDEX(Sheet1!C:C,$F1040),$F1040))</f>
        <v>10</v>
      </c>
      <c r="H1040" s="4" t="str" cm="1">
        <f t="array" ref="H1040">INDEX(Sheet1!D:D,$G1040)</f>
        <v>t1136.xlsx</v>
      </c>
      <c r="I1040" s="4" t="str" cm="1">
        <f t="array" ref="I1040">INDEX(Sheet1!E:E,$G1040)</f>
        <v>Sheet1</v>
      </c>
      <c r="J1040" s="4" t="str" cm="1">
        <f t="array" ref="J1040">IF($C1040&gt;=25,INDEX(Sheet1!G:G,$G1040),INDEX(Sheet1!F:F,$G1040))</f>
        <v>B139</v>
      </c>
      <c r="K1040" s="4" cm="1">
        <f t="array" ref="K1040">INDEX(Sheet1!H:H,$G1040)</f>
        <v>1</v>
      </c>
      <c r="L1040" s="4">
        <f t="shared" si="64"/>
        <v>45</v>
      </c>
      <c r="M1040" s="4">
        <f t="shared" si="65"/>
        <v>0</v>
      </c>
    </row>
    <row r="1041" spans="1:13">
      <c r="A1041" s="4" t="str" cm="1">
        <f t="array" ref="A1041">INDEX(Sheet1!A:A,$F1041)</f>
        <v>M</v>
      </c>
      <c r="B1041" s="4" t="str" cm="1">
        <f t="array" ref="B1041">INDEX(Sheet1!B:B,$F1041)</f>
        <v>Agg/Unknown</v>
      </c>
      <c r="C1041" s="4">
        <f t="shared" si="66"/>
        <v>71</v>
      </c>
      <c r="D1041" s="5" cm="1">
        <f t="array" aca="1" ref="D1041" ca="1">OFFSET(INDIRECT("'["&amp;$H1041&amp;"]"&amp;$I1041&amp;"'!"&amp;$J1041),$L1041,$M1041)*$K1041</f>
        <v>2.8150000000000001E-2</v>
      </c>
      <c r="F1041" s="4">
        <f t="shared" si="67"/>
        <v>10</v>
      </c>
      <c r="G1041" s="4" cm="1">
        <f t="array" ref="G1041">IF($C1041&gt;=25,F1041,IF($C1041&lt;16,INDEX(Sheet1!C:C,$F1041),$F1041))</f>
        <v>10</v>
      </c>
      <c r="H1041" s="4" t="str" cm="1">
        <f t="array" ref="H1041">INDEX(Sheet1!D:D,$G1041)</f>
        <v>t1136.xlsx</v>
      </c>
      <c r="I1041" s="4" t="str" cm="1">
        <f t="array" ref="I1041">INDEX(Sheet1!E:E,$G1041)</f>
        <v>Sheet1</v>
      </c>
      <c r="J1041" s="4" t="str" cm="1">
        <f t="array" ref="J1041">IF($C1041&gt;=25,INDEX(Sheet1!G:G,$G1041),INDEX(Sheet1!F:F,$G1041))</f>
        <v>B139</v>
      </c>
      <c r="K1041" s="4" cm="1">
        <f t="array" ref="K1041">INDEX(Sheet1!H:H,$G1041)</f>
        <v>1</v>
      </c>
      <c r="L1041" s="4">
        <f t="shared" si="64"/>
        <v>46</v>
      </c>
      <c r="M1041" s="4">
        <f t="shared" si="65"/>
        <v>0</v>
      </c>
    </row>
    <row r="1042" spans="1:13">
      <c r="A1042" s="4" t="str" cm="1">
        <f t="array" ref="A1042">INDEX(Sheet1!A:A,$F1042)</f>
        <v>M</v>
      </c>
      <c r="B1042" s="4" t="str" cm="1">
        <f t="array" ref="B1042">INDEX(Sheet1!B:B,$F1042)</f>
        <v>Agg/Unknown</v>
      </c>
      <c r="C1042" s="4">
        <f t="shared" si="66"/>
        <v>72</v>
      </c>
      <c r="D1042" s="5" cm="1">
        <f t="array" aca="1" ref="D1042" ca="1">OFFSET(INDIRECT("'["&amp;$H1042&amp;"]"&amp;$I1042&amp;"'!"&amp;$J1042),$L1042,$M1042)*$K1042</f>
        <v>3.1320000000000001E-2</v>
      </c>
      <c r="F1042" s="4">
        <f t="shared" si="67"/>
        <v>10</v>
      </c>
      <c r="G1042" s="4" cm="1">
        <f t="array" ref="G1042">IF($C1042&gt;=25,F1042,IF($C1042&lt;16,INDEX(Sheet1!C:C,$F1042),$F1042))</f>
        <v>10</v>
      </c>
      <c r="H1042" s="4" t="str" cm="1">
        <f t="array" ref="H1042">INDEX(Sheet1!D:D,$G1042)</f>
        <v>t1136.xlsx</v>
      </c>
      <c r="I1042" s="4" t="str" cm="1">
        <f t="array" ref="I1042">INDEX(Sheet1!E:E,$G1042)</f>
        <v>Sheet1</v>
      </c>
      <c r="J1042" s="4" t="str" cm="1">
        <f t="array" ref="J1042">IF($C1042&gt;=25,INDEX(Sheet1!G:G,$G1042),INDEX(Sheet1!F:F,$G1042))</f>
        <v>B139</v>
      </c>
      <c r="K1042" s="4" cm="1">
        <f t="array" ref="K1042">INDEX(Sheet1!H:H,$G1042)</f>
        <v>1</v>
      </c>
      <c r="L1042" s="4">
        <f t="shared" si="64"/>
        <v>47</v>
      </c>
      <c r="M1042" s="4">
        <f t="shared" si="65"/>
        <v>0</v>
      </c>
    </row>
    <row r="1043" spans="1:13">
      <c r="A1043" s="4" t="str" cm="1">
        <f t="array" ref="A1043">INDEX(Sheet1!A:A,$F1043)</f>
        <v>M</v>
      </c>
      <c r="B1043" s="4" t="str" cm="1">
        <f t="array" ref="B1043">INDEX(Sheet1!B:B,$F1043)</f>
        <v>Agg/Unknown</v>
      </c>
      <c r="C1043" s="4">
        <f t="shared" si="66"/>
        <v>73</v>
      </c>
      <c r="D1043" s="5" cm="1">
        <f t="array" aca="1" ref="D1043" ca="1">OFFSET(INDIRECT("'["&amp;$H1043&amp;"]"&amp;$I1043&amp;"'!"&amp;$J1043),$L1043,$M1043)*$K1043</f>
        <v>3.4619999999999998E-2</v>
      </c>
      <c r="F1043" s="4">
        <f t="shared" si="67"/>
        <v>10</v>
      </c>
      <c r="G1043" s="4" cm="1">
        <f t="array" ref="G1043">IF($C1043&gt;=25,F1043,IF($C1043&lt;16,INDEX(Sheet1!C:C,$F1043),$F1043))</f>
        <v>10</v>
      </c>
      <c r="H1043" s="4" t="str" cm="1">
        <f t="array" ref="H1043">INDEX(Sheet1!D:D,$G1043)</f>
        <v>t1136.xlsx</v>
      </c>
      <c r="I1043" s="4" t="str" cm="1">
        <f t="array" ref="I1043">INDEX(Sheet1!E:E,$G1043)</f>
        <v>Sheet1</v>
      </c>
      <c r="J1043" s="4" t="str" cm="1">
        <f t="array" ref="J1043">IF($C1043&gt;=25,INDEX(Sheet1!G:G,$G1043),INDEX(Sheet1!F:F,$G1043))</f>
        <v>B139</v>
      </c>
      <c r="K1043" s="4" cm="1">
        <f t="array" ref="K1043">INDEX(Sheet1!H:H,$G1043)</f>
        <v>1</v>
      </c>
      <c r="L1043" s="4">
        <f t="shared" si="64"/>
        <v>48</v>
      </c>
      <c r="M1043" s="4">
        <f t="shared" si="65"/>
        <v>0</v>
      </c>
    </row>
    <row r="1044" spans="1:13">
      <c r="A1044" s="4" t="str" cm="1">
        <f t="array" ref="A1044">INDEX(Sheet1!A:A,$F1044)</f>
        <v>M</v>
      </c>
      <c r="B1044" s="4" t="str" cm="1">
        <f t="array" ref="B1044">INDEX(Sheet1!B:B,$F1044)</f>
        <v>Agg/Unknown</v>
      </c>
      <c r="C1044" s="4">
        <f t="shared" si="66"/>
        <v>74</v>
      </c>
      <c r="D1044" s="5" cm="1">
        <f t="array" aca="1" ref="D1044" ca="1">OFFSET(INDIRECT("'["&amp;$H1044&amp;"]"&amp;$I1044&amp;"'!"&amp;$J1044),$L1044,$M1044)*$K1044</f>
        <v>3.8080000000000003E-2</v>
      </c>
      <c r="F1044" s="4">
        <f t="shared" si="67"/>
        <v>10</v>
      </c>
      <c r="G1044" s="4" cm="1">
        <f t="array" ref="G1044">IF($C1044&gt;=25,F1044,IF($C1044&lt;16,INDEX(Sheet1!C:C,$F1044),$F1044))</f>
        <v>10</v>
      </c>
      <c r="H1044" s="4" t="str" cm="1">
        <f t="array" ref="H1044">INDEX(Sheet1!D:D,$G1044)</f>
        <v>t1136.xlsx</v>
      </c>
      <c r="I1044" s="4" t="str" cm="1">
        <f t="array" ref="I1044">INDEX(Sheet1!E:E,$G1044)</f>
        <v>Sheet1</v>
      </c>
      <c r="J1044" s="4" t="str" cm="1">
        <f t="array" ref="J1044">IF($C1044&gt;=25,INDEX(Sheet1!G:G,$G1044),INDEX(Sheet1!F:F,$G1044))</f>
        <v>B139</v>
      </c>
      <c r="K1044" s="4" cm="1">
        <f t="array" ref="K1044">INDEX(Sheet1!H:H,$G1044)</f>
        <v>1</v>
      </c>
      <c r="L1044" s="4">
        <f t="shared" si="64"/>
        <v>49</v>
      </c>
      <c r="M1044" s="4">
        <f t="shared" si="65"/>
        <v>0</v>
      </c>
    </row>
    <row r="1045" spans="1:13">
      <c r="A1045" s="4" t="str" cm="1">
        <f t="array" ref="A1045">INDEX(Sheet1!A:A,$F1045)</f>
        <v>M</v>
      </c>
      <c r="B1045" s="4" t="str" cm="1">
        <f t="array" ref="B1045">INDEX(Sheet1!B:B,$F1045)</f>
        <v>Agg/Unknown</v>
      </c>
      <c r="C1045" s="4">
        <f t="shared" si="66"/>
        <v>75</v>
      </c>
      <c r="D1045" s="5" cm="1">
        <f t="array" aca="1" ref="D1045" ca="1">OFFSET(INDIRECT("'["&amp;$H1045&amp;"]"&amp;$I1045&amp;"'!"&amp;$J1045),$L1045,$M1045)*$K1045</f>
        <v>4.1910000000000003E-2</v>
      </c>
      <c r="F1045" s="4">
        <f t="shared" si="67"/>
        <v>10</v>
      </c>
      <c r="G1045" s="4" cm="1">
        <f t="array" ref="G1045">IF($C1045&gt;=25,F1045,IF($C1045&lt;16,INDEX(Sheet1!C:C,$F1045),$F1045))</f>
        <v>10</v>
      </c>
      <c r="H1045" s="4" t="str" cm="1">
        <f t="array" ref="H1045">INDEX(Sheet1!D:D,$G1045)</f>
        <v>t1136.xlsx</v>
      </c>
      <c r="I1045" s="4" t="str" cm="1">
        <f t="array" ref="I1045">INDEX(Sheet1!E:E,$G1045)</f>
        <v>Sheet1</v>
      </c>
      <c r="J1045" s="4" t="str" cm="1">
        <f t="array" ref="J1045">IF($C1045&gt;=25,INDEX(Sheet1!G:G,$G1045),INDEX(Sheet1!F:F,$G1045))</f>
        <v>B139</v>
      </c>
      <c r="K1045" s="4" cm="1">
        <f t="array" ref="K1045">INDEX(Sheet1!H:H,$G1045)</f>
        <v>1</v>
      </c>
      <c r="L1045" s="4">
        <f t="shared" si="64"/>
        <v>50</v>
      </c>
      <c r="M1045" s="4">
        <f t="shared" si="65"/>
        <v>0</v>
      </c>
    </row>
    <row r="1046" spans="1:13">
      <c r="A1046" s="4" t="str" cm="1">
        <f t="array" ref="A1046">INDEX(Sheet1!A:A,$F1046)</f>
        <v>M</v>
      </c>
      <c r="B1046" s="4" t="str" cm="1">
        <f t="array" ref="B1046">INDEX(Sheet1!B:B,$F1046)</f>
        <v>Agg/Unknown</v>
      </c>
      <c r="C1046" s="4">
        <f t="shared" si="66"/>
        <v>76</v>
      </c>
      <c r="D1046" s="5" cm="1">
        <f t="array" aca="1" ref="D1046" ca="1">OFFSET(INDIRECT("'["&amp;$H1046&amp;"]"&amp;$I1046&amp;"'!"&amp;$J1046),$L1046,$M1046)*$K1046</f>
        <v>4.6080000000000003E-2</v>
      </c>
      <c r="F1046" s="4">
        <f t="shared" si="67"/>
        <v>10</v>
      </c>
      <c r="G1046" s="4" cm="1">
        <f t="array" ref="G1046">IF($C1046&gt;=25,F1046,IF($C1046&lt;16,INDEX(Sheet1!C:C,$F1046),$F1046))</f>
        <v>10</v>
      </c>
      <c r="H1046" s="4" t="str" cm="1">
        <f t="array" ref="H1046">INDEX(Sheet1!D:D,$G1046)</f>
        <v>t1136.xlsx</v>
      </c>
      <c r="I1046" s="4" t="str" cm="1">
        <f t="array" ref="I1046">INDEX(Sheet1!E:E,$G1046)</f>
        <v>Sheet1</v>
      </c>
      <c r="J1046" s="4" t="str" cm="1">
        <f t="array" ref="J1046">IF($C1046&gt;=25,INDEX(Sheet1!G:G,$G1046),INDEX(Sheet1!F:F,$G1046))</f>
        <v>B139</v>
      </c>
      <c r="K1046" s="4" cm="1">
        <f t="array" ref="K1046">INDEX(Sheet1!H:H,$G1046)</f>
        <v>1</v>
      </c>
      <c r="L1046" s="4">
        <f t="shared" si="64"/>
        <v>51</v>
      </c>
      <c r="M1046" s="4">
        <f t="shared" si="65"/>
        <v>0</v>
      </c>
    </row>
    <row r="1047" spans="1:13">
      <c r="A1047" s="4" t="str" cm="1">
        <f t="array" ref="A1047">INDEX(Sheet1!A:A,$F1047)</f>
        <v>M</v>
      </c>
      <c r="B1047" s="4" t="str" cm="1">
        <f t="array" ref="B1047">INDEX(Sheet1!B:B,$F1047)</f>
        <v>Agg/Unknown</v>
      </c>
      <c r="C1047" s="4">
        <f t="shared" si="66"/>
        <v>77</v>
      </c>
      <c r="D1047" s="5" cm="1">
        <f t="array" aca="1" ref="D1047" ca="1">OFFSET(INDIRECT("'["&amp;$H1047&amp;"]"&amp;$I1047&amp;"'!"&amp;$J1047),$L1047,$M1047)*$K1047</f>
        <v>5.092E-2</v>
      </c>
      <c r="F1047" s="4">
        <f t="shared" si="67"/>
        <v>10</v>
      </c>
      <c r="G1047" s="4" cm="1">
        <f t="array" ref="G1047">IF($C1047&gt;=25,F1047,IF($C1047&lt;16,INDEX(Sheet1!C:C,$F1047),$F1047))</f>
        <v>10</v>
      </c>
      <c r="H1047" s="4" t="str" cm="1">
        <f t="array" ref="H1047">INDEX(Sheet1!D:D,$G1047)</f>
        <v>t1136.xlsx</v>
      </c>
      <c r="I1047" s="4" t="str" cm="1">
        <f t="array" ref="I1047">INDEX(Sheet1!E:E,$G1047)</f>
        <v>Sheet1</v>
      </c>
      <c r="J1047" s="4" t="str" cm="1">
        <f t="array" ref="J1047">IF($C1047&gt;=25,INDEX(Sheet1!G:G,$G1047),INDEX(Sheet1!F:F,$G1047))</f>
        <v>B139</v>
      </c>
      <c r="K1047" s="4" cm="1">
        <f t="array" ref="K1047">INDEX(Sheet1!H:H,$G1047)</f>
        <v>1</v>
      </c>
      <c r="L1047" s="4">
        <f t="shared" si="64"/>
        <v>52</v>
      </c>
      <c r="M1047" s="4">
        <f t="shared" si="65"/>
        <v>0</v>
      </c>
    </row>
    <row r="1048" spans="1:13">
      <c r="A1048" s="4" t="str" cm="1">
        <f t="array" ref="A1048">INDEX(Sheet1!A:A,$F1048)</f>
        <v>M</v>
      </c>
      <c r="B1048" s="4" t="str" cm="1">
        <f t="array" ref="B1048">INDEX(Sheet1!B:B,$F1048)</f>
        <v>Agg/Unknown</v>
      </c>
      <c r="C1048" s="4">
        <f t="shared" si="66"/>
        <v>78</v>
      </c>
      <c r="D1048" s="5" cm="1">
        <f t="array" aca="1" ref="D1048" ca="1">OFFSET(INDIRECT("'["&amp;$H1048&amp;"]"&amp;$I1048&amp;"'!"&amp;$J1048),$L1048,$M1048)*$K1048</f>
        <v>5.6559999999999999E-2</v>
      </c>
      <c r="F1048" s="4">
        <f t="shared" si="67"/>
        <v>10</v>
      </c>
      <c r="G1048" s="4" cm="1">
        <f t="array" ref="G1048">IF($C1048&gt;=25,F1048,IF($C1048&lt;16,INDEX(Sheet1!C:C,$F1048),$F1048))</f>
        <v>10</v>
      </c>
      <c r="H1048" s="4" t="str" cm="1">
        <f t="array" ref="H1048">INDEX(Sheet1!D:D,$G1048)</f>
        <v>t1136.xlsx</v>
      </c>
      <c r="I1048" s="4" t="str" cm="1">
        <f t="array" ref="I1048">INDEX(Sheet1!E:E,$G1048)</f>
        <v>Sheet1</v>
      </c>
      <c r="J1048" s="4" t="str" cm="1">
        <f t="array" ref="J1048">IF($C1048&gt;=25,INDEX(Sheet1!G:G,$G1048),INDEX(Sheet1!F:F,$G1048))</f>
        <v>B139</v>
      </c>
      <c r="K1048" s="4" cm="1">
        <f t="array" ref="K1048">INDEX(Sheet1!H:H,$G1048)</f>
        <v>1</v>
      </c>
      <c r="L1048" s="4">
        <f t="shared" si="64"/>
        <v>53</v>
      </c>
      <c r="M1048" s="4">
        <f t="shared" si="65"/>
        <v>0</v>
      </c>
    </row>
    <row r="1049" spans="1:13">
      <c r="A1049" s="4" t="str" cm="1">
        <f t="array" ref="A1049">INDEX(Sheet1!A:A,$F1049)</f>
        <v>M</v>
      </c>
      <c r="B1049" s="4" t="str" cm="1">
        <f t="array" ref="B1049">INDEX(Sheet1!B:B,$F1049)</f>
        <v>Agg/Unknown</v>
      </c>
      <c r="C1049" s="4">
        <f t="shared" si="66"/>
        <v>79</v>
      </c>
      <c r="D1049" s="5" cm="1">
        <f t="array" aca="1" ref="D1049" ca="1">OFFSET(INDIRECT("'["&amp;$H1049&amp;"]"&amp;$I1049&amp;"'!"&amp;$J1049),$L1049,$M1049)*$K1049</f>
        <v>6.3060000000000005E-2</v>
      </c>
      <c r="F1049" s="4">
        <f t="shared" si="67"/>
        <v>10</v>
      </c>
      <c r="G1049" s="4" cm="1">
        <f t="array" ref="G1049">IF($C1049&gt;=25,F1049,IF($C1049&lt;16,INDEX(Sheet1!C:C,$F1049),$F1049))</f>
        <v>10</v>
      </c>
      <c r="H1049" s="4" t="str" cm="1">
        <f t="array" ref="H1049">INDEX(Sheet1!D:D,$G1049)</f>
        <v>t1136.xlsx</v>
      </c>
      <c r="I1049" s="4" t="str" cm="1">
        <f t="array" ref="I1049">INDEX(Sheet1!E:E,$G1049)</f>
        <v>Sheet1</v>
      </c>
      <c r="J1049" s="4" t="str" cm="1">
        <f t="array" ref="J1049">IF($C1049&gt;=25,INDEX(Sheet1!G:G,$G1049),INDEX(Sheet1!F:F,$G1049))</f>
        <v>B139</v>
      </c>
      <c r="K1049" s="4" cm="1">
        <f t="array" ref="K1049">INDEX(Sheet1!H:H,$G1049)</f>
        <v>1</v>
      </c>
      <c r="L1049" s="4">
        <f t="shared" si="64"/>
        <v>54</v>
      </c>
      <c r="M1049" s="4">
        <f t="shared" si="65"/>
        <v>0</v>
      </c>
    </row>
    <row r="1050" spans="1:13">
      <c r="A1050" s="4" t="str" cm="1">
        <f t="array" ref="A1050">INDEX(Sheet1!A:A,$F1050)</f>
        <v>M</v>
      </c>
      <c r="B1050" s="4" t="str" cm="1">
        <f t="array" ref="B1050">INDEX(Sheet1!B:B,$F1050)</f>
        <v>Agg/Unknown</v>
      </c>
      <c r="C1050" s="4">
        <f t="shared" si="66"/>
        <v>80</v>
      </c>
      <c r="D1050" s="5" cm="1">
        <f t="array" aca="1" ref="D1050" ca="1">OFFSET(INDIRECT("'["&amp;$H1050&amp;"]"&amp;$I1050&amp;"'!"&amp;$J1050),$L1050,$M1050)*$K1050</f>
        <v>7.0139999999999994E-2</v>
      </c>
      <c r="F1050" s="4">
        <f t="shared" si="67"/>
        <v>10</v>
      </c>
      <c r="G1050" s="4" cm="1">
        <f t="array" ref="G1050">IF($C1050&gt;=25,F1050,IF($C1050&lt;16,INDEX(Sheet1!C:C,$F1050),$F1050))</f>
        <v>10</v>
      </c>
      <c r="H1050" s="4" t="str" cm="1">
        <f t="array" ref="H1050">INDEX(Sheet1!D:D,$G1050)</f>
        <v>t1136.xlsx</v>
      </c>
      <c r="I1050" s="4" t="str" cm="1">
        <f t="array" ref="I1050">INDEX(Sheet1!E:E,$G1050)</f>
        <v>Sheet1</v>
      </c>
      <c r="J1050" s="4" t="str" cm="1">
        <f t="array" ref="J1050">IF($C1050&gt;=25,INDEX(Sheet1!G:G,$G1050),INDEX(Sheet1!F:F,$G1050))</f>
        <v>B139</v>
      </c>
      <c r="K1050" s="4" cm="1">
        <f t="array" ref="K1050">INDEX(Sheet1!H:H,$G1050)</f>
        <v>1</v>
      </c>
      <c r="L1050" s="4">
        <f t="shared" si="64"/>
        <v>55</v>
      </c>
      <c r="M1050" s="4">
        <f t="shared" si="65"/>
        <v>0</v>
      </c>
    </row>
    <row r="1051" spans="1:13">
      <c r="A1051" s="4" t="str" cm="1">
        <f t="array" ref="A1051">INDEX(Sheet1!A:A,$F1051)</f>
        <v>M</v>
      </c>
      <c r="B1051" s="4" t="str" cm="1">
        <f t="array" ref="B1051">INDEX(Sheet1!B:B,$F1051)</f>
        <v>Agg/Unknown</v>
      </c>
      <c r="C1051" s="4">
        <f t="shared" si="66"/>
        <v>81</v>
      </c>
      <c r="D1051" s="5" cm="1">
        <f t="array" aca="1" ref="D1051" ca="1">OFFSET(INDIRECT("'["&amp;$H1051&amp;"]"&amp;$I1051&amp;"'!"&amp;$J1051),$L1051,$M1051)*$K1051</f>
        <v>7.8189999999999996E-2</v>
      </c>
      <c r="F1051" s="4">
        <f t="shared" si="67"/>
        <v>10</v>
      </c>
      <c r="G1051" s="4" cm="1">
        <f t="array" ref="G1051">IF($C1051&gt;=25,F1051,IF($C1051&lt;16,INDEX(Sheet1!C:C,$F1051),$F1051))</f>
        <v>10</v>
      </c>
      <c r="H1051" s="4" t="str" cm="1">
        <f t="array" ref="H1051">INDEX(Sheet1!D:D,$G1051)</f>
        <v>t1136.xlsx</v>
      </c>
      <c r="I1051" s="4" t="str" cm="1">
        <f t="array" ref="I1051">INDEX(Sheet1!E:E,$G1051)</f>
        <v>Sheet1</v>
      </c>
      <c r="J1051" s="4" t="str" cm="1">
        <f t="array" ref="J1051">IF($C1051&gt;=25,INDEX(Sheet1!G:G,$G1051),INDEX(Sheet1!F:F,$G1051))</f>
        <v>B139</v>
      </c>
      <c r="K1051" s="4" cm="1">
        <f t="array" ref="K1051">INDEX(Sheet1!H:H,$G1051)</f>
        <v>1</v>
      </c>
      <c r="L1051" s="4">
        <f t="shared" si="64"/>
        <v>56</v>
      </c>
      <c r="M1051" s="4">
        <f t="shared" si="65"/>
        <v>0</v>
      </c>
    </row>
    <row r="1052" spans="1:13">
      <c r="A1052" s="4" t="str" cm="1">
        <f t="array" ref="A1052">INDEX(Sheet1!A:A,$F1052)</f>
        <v>M</v>
      </c>
      <c r="B1052" s="4" t="str" cm="1">
        <f t="array" ref="B1052">INDEX(Sheet1!B:B,$F1052)</f>
        <v>Agg/Unknown</v>
      </c>
      <c r="C1052" s="4">
        <f t="shared" si="66"/>
        <v>82</v>
      </c>
      <c r="D1052" s="5" cm="1">
        <f t="array" aca="1" ref="D1052" ca="1">OFFSET(INDIRECT("'["&amp;$H1052&amp;"]"&amp;$I1052&amp;"'!"&amp;$J1052),$L1052,$M1052)*$K1052</f>
        <v>8.6540000000000006E-2</v>
      </c>
      <c r="F1052" s="4">
        <f t="shared" si="67"/>
        <v>10</v>
      </c>
      <c r="G1052" s="4" cm="1">
        <f t="array" ref="G1052">IF($C1052&gt;=25,F1052,IF($C1052&lt;16,INDEX(Sheet1!C:C,$F1052),$F1052))</f>
        <v>10</v>
      </c>
      <c r="H1052" s="4" t="str" cm="1">
        <f t="array" ref="H1052">INDEX(Sheet1!D:D,$G1052)</f>
        <v>t1136.xlsx</v>
      </c>
      <c r="I1052" s="4" t="str" cm="1">
        <f t="array" ref="I1052">INDEX(Sheet1!E:E,$G1052)</f>
        <v>Sheet1</v>
      </c>
      <c r="J1052" s="4" t="str" cm="1">
        <f t="array" ref="J1052">IF($C1052&gt;=25,INDEX(Sheet1!G:G,$G1052),INDEX(Sheet1!F:F,$G1052))</f>
        <v>B139</v>
      </c>
      <c r="K1052" s="4" cm="1">
        <f t="array" ref="K1052">INDEX(Sheet1!H:H,$G1052)</f>
        <v>1</v>
      </c>
      <c r="L1052" s="4">
        <f t="shared" si="64"/>
        <v>57</v>
      </c>
      <c r="M1052" s="4">
        <f t="shared" si="65"/>
        <v>0</v>
      </c>
    </row>
    <row r="1053" spans="1:13">
      <c r="A1053" s="4" t="str" cm="1">
        <f t="array" ref="A1053">INDEX(Sheet1!A:A,$F1053)</f>
        <v>M</v>
      </c>
      <c r="B1053" s="4" t="str" cm="1">
        <f t="array" ref="B1053">INDEX(Sheet1!B:B,$F1053)</f>
        <v>Agg/Unknown</v>
      </c>
      <c r="C1053" s="4">
        <f t="shared" si="66"/>
        <v>83</v>
      </c>
      <c r="D1053" s="5" cm="1">
        <f t="array" aca="1" ref="D1053" ca="1">OFFSET(INDIRECT("'["&amp;$H1053&amp;"]"&amp;$I1053&amp;"'!"&amp;$J1053),$L1053,$M1053)*$K1053</f>
        <v>9.5509999999999998E-2</v>
      </c>
      <c r="F1053" s="4">
        <f t="shared" si="67"/>
        <v>10</v>
      </c>
      <c r="G1053" s="4" cm="1">
        <f t="array" ref="G1053">IF($C1053&gt;=25,F1053,IF($C1053&lt;16,INDEX(Sheet1!C:C,$F1053),$F1053))</f>
        <v>10</v>
      </c>
      <c r="H1053" s="4" t="str" cm="1">
        <f t="array" ref="H1053">INDEX(Sheet1!D:D,$G1053)</f>
        <v>t1136.xlsx</v>
      </c>
      <c r="I1053" s="4" t="str" cm="1">
        <f t="array" ref="I1053">INDEX(Sheet1!E:E,$G1053)</f>
        <v>Sheet1</v>
      </c>
      <c r="J1053" s="4" t="str" cm="1">
        <f t="array" ref="J1053">IF($C1053&gt;=25,INDEX(Sheet1!G:G,$G1053),INDEX(Sheet1!F:F,$G1053))</f>
        <v>B139</v>
      </c>
      <c r="K1053" s="4" cm="1">
        <f t="array" ref="K1053">INDEX(Sheet1!H:H,$G1053)</f>
        <v>1</v>
      </c>
      <c r="L1053" s="4">
        <f t="shared" si="64"/>
        <v>58</v>
      </c>
      <c r="M1053" s="4">
        <f t="shared" si="65"/>
        <v>0</v>
      </c>
    </row>
    <row r="1054" spans="1:13">
      <c r="A1054" s="4" t="str" cm="1">
        <f t="array" ref="A1054">INDEX(Sheet1!A:A,$F1054)</f>
        <v>M</v>
      </c>
      <c r="B1054" s="4" t="str" cm="1">
        <f t="array" ref="B1054">INDEX(Sheet1!B:B,$F1054)</f>
        <v>Agg/Unknown</v>
      </c>
      <c r="C1054" s="4">
        <f t="shared" si="66"/>
        <v>84</v>
      </c>
      <c r="D1054" s="5" cm="1">
        <f t="array" aca="1" ref="D1054" ca="1">OFFSET(INDIRECT("'["&amp;$H1054&amp;"]"&amp;$I1054&amp;"'!"&amp;$J1054),$L1054,$M1054)*$K1054</f>
        <v>0.10543</v>
      </c>
      <c r="F1054" s="4">
        <f t="shared" si="67"/>
        <v>10</v>
      </c>
      <c r="G1054" s="4" cm="1">
        <f t="array" ref="G1054">IF($C1054&gt;=25,F1054,IF($C1054&lt;16,INDEX(Sheet1!C:C,$F1054),$F1054))</f>
        <v>10</v>
      </c>
      <c r="H1054" s="4" t="str" cm="1">
        <f t="array" ref="H1054">INDEX(Sheet1!D:D,$G1054)</f>
        <v>t1136.xlsx</v>
      </c>
      <c r="I1054" s="4" t="str" cm="1">
        <f t="array" ref="I1054">INDEX(Sheet1!E:E,$G1054)</f>
        <v>Sheet1</v>
      </c>
      <c r="J1054" s="4" t="str" cm="1">
        <f t="array" ref="J1054">IF($C1054&gt;=25,INDEX(Sheet1!G:G,$G1054),INDEX(Sheet1!F:F,$G1054))</f>
        <v>B139</v>
      </c>
      <c r="K1054" s="4" cm="1">
        <f t="array" ref="K1054">INDEX(Sheet1!H:H,$G1054)</f>
        <v>1</v>
      </c>
      <c r="L1054" s="4">
        <f t="shared" si="64"/>
        <v>59</v>
      </c>
      <c r="M1054" s="4">
        <f t="shared" si="65"/>
        <v>0</v>
      </c>
    </row>
    <row r="1055" spans="1:13">
      <c r="A1055" s="4" t="str" cm="1">
        <f t="array" ref="A1055">INDEX(Sheet1!A:A,$F1055)</f>
        <v>M</v>
      </c>
      <c r="B1055" s="4" t="str" cm="1">
        <f t="array" ref="B1055">INDEX(Sheet1!B:B,$F1055)</f>
        <v>Agg/Unknown</v>
      </c>
      <c r="C1055" s="4">
        <f t="shared" si="66"/>
        <v>85</v>
      </c>
      <c r="D1055" s="5" cm="1">
        <f t="array" aca="1" ref="D1055" ca="1">OFFSET(INDIRECT("'["&amp;$H1055&amp;"]"&amp;$I1055&amp;"'!"&amp;$J1055),$L1055,$M1055)*$K1055</f>
        <v>0.11656999999999999</v>
      </c>
      <c r="F1055" s="4">
        <f t="shared" si="67"/>
        <v>10</v>
      </c>
      <c r="G1055" s="4" cm="1">
        <f t="array" ref="G1055">IF($C1055&gt;=25,F1055,IF($C1055&lt;16,INDEX(Sheet1!C:C,$F1055),$F1055))</f>
        <v>10</v>
      </c>
      <c r="H1055" s="4" t="str" cm="1">
        <f t="array" ref="H1055">INDEX(Sheet1!D:D,$G1055)</f>
        <v>t1136.xlsx</v>
      </c>
      <c r="I1055" s="4" t="str" cm="1">
        <f t="array" ref="I1055">INDEX(Sheet1!E:E,$G1055)</f>
        <v>Sheet1</v>
      </c>
      <c r="J1055" s="4" t="str" cm="1">
        <f t="array" ref="J1055">IF($C1055&gt;=25,INDEX(Sheet1!G:G,$G1055),INDEX(Sheet1!F:F,$G1055))</f>
        <v>B139</v>
      </c>
      <c r="K1055" s="4" cm="1">
        <f t="array" ref="K1055">INDEX(Sheet1!H:H,$G1055)</f>
        <v>1</v>
      </c>
      <c r="L1055" s="4">
        <f t="shared" si="64"/>
        <v>60</v>
      </c>
      <c r="M1055" s="4">
        <f t="shared" si="65"/>
        <v>0</v>
      </c>
    </row>
    <row r="1056" spans="1:13">
      <c r="A1056" s="4" t="str" cm="1">
        <f t="array" ref="A1056">INDEX(Sheet1!A:A,$F1056)</f>
        <v>M</v>
      </c>
      <c r="B1056" s="4" t="str" cm="1">
        <f t="array" ref="B1056">INDEX(Sheet1!B:B,$F1056)</f>
        <v>Agg/Unknown</v>
      </c>
      <c r="C1056" s="4">
        <f t="shared" si="66"/>
        <v>86</v>
      </c>
      <c r="D1056" s="5" cm="1">
        <f t="array" aca="1" ref="D1056" ca="1">OFFSET(INDIRECT("'["&amp;$H1056&amp;"]"&amp;$I1056&amp;"'!"&amp;$J1056),$L1056,$M1056)*$K1056</f>
        <v>0.12891</v>
      </c>
      <c r="F1056" s="4">
        <f t="shared" si="67"/>
        <v>10</v>
      </c>
      <c r="G1056" s="4" cm="1">
        <f t="array" ref="G1056">IF($C1056&gt;=25,F1056,IF($C1056&lt;16,INDEX(Sheet1!C:C,$F1056),$F1056))</f>
        <v>10</v>
      </c>
      <c r="H1056" s="4" t="str" cm="1">
        <f t="array" ref="H1056">INDEX(Sheet1!D:D,$G1056)</f>
        <v>t1136.xlsx</v>
      </c>
      <c r="I1056" s="4" t="str" cm="1">
        <f t="array" ref="I1056">INDEX(Sheet1!E:E,$G1056)</f>
        <v>Sheet1</v>
      </c>
      <c r="J1056" s="4" t="str" cm="1">
        <f t="array" ref="J1056">IF($C1056&gt;=25,INDEX(Sheet1!G:G,$G1056),INDEX(Sheet1!F:F,$G1056))</f>
        <v>B139</v>
      </c>
      <c r="K1056" s="4" cm="1">
        <f t="array" ref="K1056">INDEX(Sheet1!H:H,$G1056)</f>
        <v>1</v>
      </c>
      <c r="L1056" s="4">
        <f t="shared" si="64"/>
        <v>61</v>
      </c>
      <c r="M1056" s="4">
        <f t="shared" si="65"/>
        <v>0</v>
      </c>
    </row>
    <row r="1057" spans="1:13">
      <c r="A1057" s="4" t="str" cm="1">
        <f t="array" ref="A1057">INDEX(Sheet1!A:A,$F1057)</f>
        <v>M</v>
      </c>
      <c r="B1057" s="4" t="str" cm="1">
        <f t="array" ref="B1057">INDEX(Sheet1!B:B,$F1057)</f>
        <v>Agg/Unknown</v>
      </c>
      <c r="C1057" s="4">
        <f t="shared" si="66"/>
        <v>87</v>
      </c>
      <c r="D1057" s="5" cm="1">
        <f t="array" aca="1" ref="D1057" ca="1">OFFSET(INDIRECT("'["&amp;$H1057&amp;"]"&amp;$I1057&amp;"'!"&amp;$J1057),$L1057,$M1057)*$K1057</f>
        <v>0.14235</v>
      </c>
      <c r="F1057" s="4">
        <f t="shared" si="67"/>
        <v>10</v>
      </c>
      <c r="G1057" s="4" cm="1">
        <f t="array" ref="G1057">IF($C1057&gt;=25,F1057,IF($C1057&lt;16,INDEX(Sheet1!C:C,$F1057),$F1057))</f>
        <v>10</v>
      </c>
      <c r="H1057" s="4" t="str" cm="1">
        <f t="array" ref="H1057">INDEX(Sheet1!D:D,$G1057)</f>
        <v>t1136.xlsx</v>
      </c>
      <c r="I1057" s="4" t="str" cm="1">
        <f t="array" ref="I1057">INDEX(Sheet1!E:E,$G1057)</f>
        <v>Sheet1</v>
      </c>
      <c r="J1057" s="4" t="str" cm="1">
        <f t="array" ref="J1057">IF($C1057&gt;=25,INDEX(Sheet1!G:G,$G1057),INDEX(Sheet1!F:F,$G1057))</f>
        <v>B139</v>
      </c>
      <c r="K1057" s="4" cm="1">
        <f t="array" ref="K1057">INDEX(Sheet1!H:H,$G1057)</f>
        <v>1</v>
      </c>
      <c r="L1057" s="4">
        <f t="shared" si="64"/>
        <v>62</v>
      </c>
      <c r="M1057" s="4">
        <f t="shared" si="65"/>
        <v>0</v>
      </c>
    </row>
    <row r="1058" spans="1:13">
      <c r="A1058" s="4" t="str" cm="1">
        <f t="array" ref="A1058">INDEX(Sheet1!A:A,$F1058)</f>
        <v>M</v>
      </c>
      <c r="B1058" s="4" t="str" cm="1">
        <f t="array" ref="B1058">INDEX(Sheet1!B:B,$F1058)</f>
        <v>Agg/Unknown</v>
      </c>
      <c r="C1058" s="4">
        <f t="shared" si="66"/>
        <v>88</v>
      </c>
      <c r="D1058" s="5" cm="1">
        <f t="array" aca="1" ref="D1058" ca="1">OFFSET(INDIRECT("'["&amp;$H1058&amp;"]"&amp;$I1058&amp;"'!"&amp;$J1058),$L1058,$M1058)*$K1058</f>
        <v>0.15673000000000001</v>
      </c>
      <c r="F1058" s="4">
        <f t="shared" si="67"/>
        <v>10</v>
      </c>
      <c r="G1058" s="4" cm="1">
        <f t="array" ref="G1058">IF($C1058&gt;=25,F1058,IF($C1058&lt;16,INDEX(Sheet1!C:C,$F1058),$F1058))</f>
        <v>10</v>
      </c>
      <c r="H1058" s="4" t="str" cm="1">
        <f t="array" ref="H1058">INDEX(Sheet1!D:D,$G1058)</f>
        <v>t1136.xlsx</v>
      </c>
      <c r="I1058" s="4" t="str" cm="1">
        <f t="array" ref="I1058">INDEX(Sheet1!E:E,$G1058)</f>
        <v>Sheet1</v>
      </c>
      <c r="J1058" s="4" t="str" cm="1">
        <f t="array" ref="J1058">IF($C1058&gt;=25,INDEX(Sheet1!G:G,$G1058),INDEX(Sheet1!F:F,$G1058))</f>
        <v>B139</v>
      </c>
      <c r="K1058" s="4" cm="1">
        <f t="array" ref="K1058">INDEX(Sheet1!H:H,$G1058)</f>
        <v>1</v>
      </c>
      <c r="L1058" s="4">
        <f t="shared" si="64"/>
        <v>63</v>
      </c>
      <c r="M1058" s="4">
        <f t="shared" si="65"/>
        <v>0</v>
      </c>
    </row>
    <row r="1059" spans="1:13">
      <c r="A1059" s="4" t="str" cm="1">
        <f t="array" ref="A1059">INDEX(Sheet1!A:A,$F1059)</f>
        <v>M</v>
      </c>
      <c r="B1059" s="4" t="str" cm="1">
        <f t="array" ref="B1059">INDEX(Sheet1!B:B,$F1059)</f>
        <v>Agg/Unknown</v>
      </c>
      <c r="C1059" s="4">
        <f t="shared" si="66"/>
        <v>89</v>
      </c>
      <c r="D1059" s="5" cm="1">
        <f t="array" aca="1" ref="D1059" ca="1">OFFSET(INDIRECT("'["&amp;$H1059&amp;"]"&amp;$I1059&amp;"'!"&amp;$J1059),$L1059,$M1059)*$K1059</f>
        <v>0.17188000000000001</v>
      </c>
      <c r="F1059" s="4">
        <f t="shared" si="67"/>
        <v>10</v>
      </c>
      <c r="G1059" s="4" cm="1">
        <f t="array" ref="G1059">IF($C1059&gt;=25,F1059,IF($C1059&lt;16,INDEX(Sheet1!C:C,$F1059),$F1059))</f>
        <v>10</v>
      </c>
      <c r="H1059" s="4" t="str" cm="1">
        <f t="array" ref="H1059">INDEX(Sheet1!D:D,$G1059)</f>
        <v>t1136.xlsx</v>
      </c>
      <c r="I1059" s="4" t="str" cm="1">
        <f t="array" ref="I1059">INDEX(Sheet1!E:E,$G1059)</f>
        <v>Sheet1</v>
      </c>
      <c r="J1059" s="4" t="str" cm="1">
        <f t="array" ref="J1059">IF($C1059&gt;=25,INDEX(Sheet1!G:G,$G1059),INDEX(Sheet1!F:F,$G1059))</f>
        <v>B139</v>
      </c>
      <c r="K1059" s="4" cm="1">
        <f t="array" ref="K1059">INDEX(Sheet1!H:H,$G1059)</f>
        <v>1</v>
      </c>
      <c r="L1059" s="4">
        <f t="shared" si="64"/>
        <v>64</v>
      </c>
      <c r="M1059" s="4">
        <f t="shared" si="65"/>
        <v>0</v>
      </c>
    </row>
    <row r="1060" spans="1:13">
      <c r="A1060" s="4" t="str" cm="1">
        <f t="array" ref="A1060">INDEX(Sheet1!A:A,$F1060)</f>
        <v>M</v>
      </c>
      <c r="B1060" s="4" t="str" cm="1">
        <f t="array" ref="B1060">INDEX(Sheet1!B:B,$F1060)</f>
        <v>Agg/Unknown</v>
      </c>
      <c r="C1060" s="4">
        <f t="shared" si="66"/>
        <v>90</v>
      </c>
      <c r="D1060" s="5" cm="1">
        <f t="array" aca="1" ref="D1060" ca="1">OFFSET(INDIRECT("'["&amp;$H1060&amp;"]"&amp;$I1060&amp;"'!"&amp;$J1060),$L1060,$M1060)*$K1060</f>
        <v>0.18765999999999999</v>
      </c>
      <c r="F1060" s="4">
        <f t="shared" si="67"/>
        <v>10</v>
      </c>
      <c r="G1060" s="4" cm="1">
        <f t="array" ref="G1060">IF($C1060&gt;=25,F1060,IF($C1060&lt;16,INDEX(Sheet1!C:C,$F1060),$F1060))</f>
        <v>10</v>
      </c>
      <c r="H1060" s="4" t="str" cm="1">
        <f t="array" ref="H1060">INDEX(Sheet1!D:D,$G1060)</f>
        <v>t1136.xlsx</v>
      </c>
      <c r="I1060" s="4" t="str" cm="1">
        <f t="array" ref="I1060">INDEX(Sheet1!E:E,$G1060)</f>
        <v>Sheet1</v>
      </c>
      <c r="J1060" s="4" t="str" cm="1">
        <f t="array" ref="J1060">IF($C1060&gt;=25,INDEX(Sheet1!G:G,$G1060),INDEX(Sheet1!F:F,$G1060))</f>
        <v>B139</v>
      </c>
      <c r="K1060" s="4" cm="1">
        <f t="array" ref="K1060">INDEX(Sheet1!H:H,$G1060)</f>
        <v>1</v>
      </c>
      <c r="L1060" s="4">
        <f t="shared" si="64"/>
        <v>65</v>
      </c>
      <c r="M1060" s="4">
        <f t="shared" si="65"/>
        <v>0</v>
      </c>
    </row>
    <row r="1061" spans="1:13">
      <c r="A1061" s="4" t="str" cm="1">
        <f t="array" ref="A1061">INDEX(Sheet1!A:A,$F1061)</f>
        <v>M</v>
      </c>
      <c r="B1061" s="4" t="str" cm="1">
        <f t="array" ref="B1061">INDEX(Sheet1!B:B,$F1061)</f>
        <v>Agg/Unknown</v>
      </c>
      <c r="C1061" s="4">
        <f t="shared" si="66"/>
        <v>91</v>
      </c>
      <c r="D1061" s="5" cm="1">
        <f t="array" aca="1" ref="D1061" ca="1">OFFSET(INDIRECT("'["&amp;$H1061&amp;"]"&amp;$I1061&amp;"'!"&amp;$J1061),$L1061,$M1061)*$K1061</f>
        <v>0.20244000000000001</v>
      </c>
      <c r="F1061" s="4">
        <f t="shared" si="67"/>
        <v>10</v>
      </c>
      <c r="G1061" s="4" cm="1">
        <f t="array" ref="G1061">IF($C1061&gt;=25,F1061,IF($C1061&lt;16,INDEX(Sheet1!C:C,$F1061),$F1061))</f>
        <v>10</v>
      </c>
      <c r="H1061" s="4" t="str" cm="1">
        <f t="array" ref="H1061">INDEX(Sheet1!D:D,$G1061)</f>
        <v>t1136.xlsx</v>
      </c>
      <c r="I1061" s="4" t="str" cm="1">
        <f t="array" ref="I1061">INDEX(Sheet1!E:E,$G1061)</f>
        <v>Sheet1</v>
      </c>
      <c r="J1061" s="4" t="str" cm="1">
        <f t="array" ref="J1061">IF($C1061&gt;=25,INDEX(Sheet1!G:G,$G1061),INDEX(Sheet1!F:F,$G1061))</f>
        <v>B139</v>
      </c>
      <c r="K1061" s="4" cm="1">
        <f t="array" ref="K1061">INDEX(Sheet1!H:H,$G1061)</f>
        <v>1</v>
      </c>
      <c r="L1061" s="4">
        <f t="shared" si="64"/>
        <v>66</v>
      </c>
      <c r="M1061" s="4">
        <f t="shared" si="65"/>
        <v>0</v>
      </c>
    </row>
    <row r="1062" spans="1:13">
      <c r="A1062" s="4" t="str" cm="1">
        <f t="array" ref="A1062">INDEX(Sheet1!A:A,$F1062)</f>
        <v>M</v>
      </c>
      <c r="B1062" s="4" t="str" cm="1">
        <f t="array" ref="B1062">INDEX(Sheet1!B:B,$F1062)</f>
        <v>Agg/Unknown</v>
      </c>
      <c r="C1062" s="4">
        <f t="shared" si="66"/>
        <v>92</v>
      </c>
      <c r="D1062" s="5" cm="1">
        <f t="array" aca="1" ref="D1062" ca="1">OFFSET(INDIRECT("'["&amp;$H1062&amp;"]"&amp;$I1062&amp;"'!"&amp;$J1062),$L1062,$M1062)*$K1062</f>
        <v>0.21783</v>
      </c>
      <c r="F1062" s="4">
        <f t="shared" si="67"/>
        <v>10</v>
      </c>
      <c r="G1062" s="4" cm="1">
        <f t="array" ref="G1062">IF($C1062&gt;=25,F1062,IF($C1062&lt;16,INDEX(Sheet1!C:C,$F1062),$F1062))</f>
        <v>10</v>
      </c>
      <c r="H1062" s="4" t="str" cm="1">
        <f t="array" ref="H1062">INDEX(Sheet1!D:D,$G1062)</f>
        <v>t1136.xlsx</v>
      </c>
      <c r="I1062" s="4" t="str" cm="1">
        <f t="array" ref="I1062">INDEX(Sheet1!E:E,$G1062)</f>
        <v>Sheet1</v>
      </c>
      <c r="J1062" s="4" t="str" cm="1">
        <f t="array" ref="J1062">IF($C1062&gt;=25,INDEX(Sheet1!G:G,$G1062),INDEX(Sheet1!F:F,$G1062))</f>
        <v>B139</v>
      </c>
      <c r="K1062" s="4" cm="1">
        <f t="array" ref="K1062">INDEX(Sheet1!H:H,$G1062)</f>
        <v>1</v>
      </c>
      <c r="L1062" s="4">
        <f t="shared" si="64"/>
        <v>67</v>
      </c>
      <c r="M1062" s="4">
        <f t="shared" si="65"/>
        <v>0</v>
      </c>
    </row>
    <row r="1063" spans="1:13">
      <c r="A1063" s="4" t="str" cm="1">
        <f t="array" ref="A1063">INDEX(Sheet1!A:A,$F1063)</f>
        <v>M</v>
      </c>
      <c r="B1063" s="4" t="str" cm="1">
        <f t="array" ref="B1063">INDEX(Sheet1!B:B,$F1063)</f>
        <v>Agg/Unknown</v>
      </c>
      <c r="C1063" s="4">
        <f t="shared" si="66"/>
        <v>93</v>
      </c>
      <c r="D1063" s="5" cm="1">
        <f t="array" aca="1" ref="D1063" ca="1">OFFSET(INDIRECT("'["&amp;$H1063&amp;"]"&amp;$I1063&amp;"'!"&amp;$J1063),$L1063,$M1063)*$K1063</f>
        <v>0.23404</v>
      </c>
      <c r="F1063" s="4">
        <f t="shared" si="67"/>
        <v>10</v>
      </c>
      <c r="G1063" s="4" cm="1">
        <f t="array" ref="G1063">IF($C1063&gt;=25,F1063,IF($C1063&lt;16,INDEX(Sheet1!C:C,$F1063),$F1063))</f>
        <v>10</v>
      </c>
      <c r="H1063" s="4" t="str" cm="1">
        <f t="array" ref="H1063">INDEX(Sheet1!D:D,$G1063)</f>
        <v>t1136.xlsx</v>
      </c>
      <c r="I1063" s="4" t="str" cm="1">
        <f t="array" ref="I1063">INDEX(Sheet1!E:E,$G1063)</f>
        <v>Sheet1</v>
      </c>
      <c r="J1063" s="4" t="str" cm="1">
        <f t="array" ref="J1063">IF($C1063&gt;=25,INDEX(Sheet1!G:G,$G1063),INDEX(Sheet1!F:F,$G1063))</f>
        <v>B139</v>
      </c>
      <c r="K1063" s="4" cm="1">
        <f t="array" ref="K1063">INDEX(Sheet1!H:H,$G1063)</f>
        <v>1</v>
      </c>
      <c r="L1063" s="4">
        <f t="shared" si="64"/>
        <v>68</v>
      </c>
      <c r="M1063" s="4">
        <f t="shared" si="65"/>
        <v>0</v>
      </c>
    </row>
    <row r="1064" spans="1:13">
      <c r="A1064" s="4" t="str" cm="1">
        <f t="array" ref="A1064">INDEX(Sheet1!A:A,$F1064)</f>
        <v>M</v>
      </c>
      <c r="B1064" s="4" t="str" cm="1">
        <f t="array" ref="B1064">INDEX(Sheet1!B:B,$F1064)</f>
        <v>Agg/Unknown</v>
      </c>
      <c r="C1064" s="4">
        <f t="shared" si="66"/>
        <v>94</v>
      </c>
      <c r="D1064" s="5" cm="1">
        <f t="array" aca="1" ref="D1064" ca="1">OFFSET(INDIRECT("'["&amp;$H1064&amp;"]"&amp;$I1064&amp;"'!"&amp;$J1064),$L1064,$M1064)*$K1064</f>
        <v>0.25113999999999997</v>
      </c>
      <c r="F1064" s="4">
        <f t="shared" si="67"/>
        <v>10</v>
      </c>
      <c r="G1064" s="4" cm="1">
        <f t="array" ref="G1064">IF($C1064&gt;=25,F1064,IF($C1064&lt;16,INDEX(Sheet1!C:C,$F1064),$F1064))</f>
        <v>10</v>
      </c>
      <c r="H1064" s="4" t="str" cm="1">
        <f t="array" ref="H1064">INDEX(Sheet1!D:D,$G1064)</f>
        <v>t1136.xlsx</v>
      </c>
      <c r="I1064" s="4" t="str" cm="1">
        <f t="array" ref="I1064">INDEX(Sheet1!E:E,$G1064)</f>
        <v>Sheet1</v>
      </c>
      <c r="J1064" s="4" t="str" cm="1">
        <f t="array" ref="J1064">IF($C1064&gt;=25,INDEX(Sheet1!G:G,$G1064),INDEX(Sheet1!F:F,$G1064))</f>
        <v>B139</v>
      </c>
      <c r="K1064" s="4" cm="1">
        <f t="array" ref="K1064">INDEX(Sheet1!H:H,$G1064)</f>
        <v>1</v>
      </c>
      <c r="L1064" s="4">
        <f t="shared" si="64"/>
        <v>69</v>
      </c>
      <c r="M1064" s="4">
        <f t="shared" si="65"/>
        <v>0</v>
      </c>
    </row>
    <row r="1065" spans="1:13">
      <c r="A1065" s="4" t="str" cm="1">
        <f t="array" ref="A1065">INDEX(Sheet1!A:A,$F1065)</f>
        <v>M</v>
      </c>
      <c r="B1065" s="4" t="str" cm="1">
        <f t="array" ref="B1065">INDEX(Sheet1!B:B,$F1065)</f>
        <v>Agg/Unknown</v>
      </c>
      <c r="C1065" s="4">
        <f t="shared" si="66"/>
        <v>95</v>
      </c>
      <c r="D1065" s="5" cm="1">
        <f t="array" aca="1" ref="D1065" ca="1">OFFSET(INDIRECT("'["&amp;$H1065&amp;"]"&amp;$I1065&amp;"'!"&amp;$J1065),$L1065,$M1065)*$K1065</f>
        <v>0.26917000000000002</v>
      </c>
      <c r="F1065" s="4">
        <f t="shared" si="67"/>
        <v>10</v>
      </c>
      <c r="G1065" s="4" cm="1">
        <f t="array" ref="G1065">IF($C1065&gt;=25,F1065,IF($C1065&lt;16,INDEX(Sheet1!C:C,$F1065),$F1065))</f>
        <v>10</v>
      </c>
      <c r="H1065" s="4" t="str" cm="1">
        <f t="array" ref="H1065">INDEX(Sheet1!D:D,$G1065)</f>
        <v>t1136.xlsx</v>
      </c>
      <c r="I1065" s="4" t="str" cm="1">
        <f t="array" ref="I1065">INDEX(Sheet1!E:E,$G1065)</f>
        <v>Sheet1</v>
      </c>
      <c r="J1065" s="4" t="str" cm="1">
        <f t="array" ref="J1065">IF($C1065&gt;=25,INDEX(Sheet1!G:G,$G1065),INDEX(Sheet1!F:F,$G1065))</f>
        <v>B139</v>
      </c>
      <c r="K1065" s="4" cm="1">
        <f t="array" ref="K1065">INDEX(Sheet1!H:H,$G1065)</f>
        <v>1</v>
      </c>
      <c r="L1065" s="4">
        <f t="shared" si="64"/>
        <v>70</v>
      </c>
      <c r="M1065" s="4">
        <f t="shared" si="65"/>
        <v>0</v>
      </c>
    </row>
    <row r="1066" spans="1:13">
      <c r="A1066" s="4" t="str" cm="1">
        <f t="array" ref="A1066">INDEX(Sheet1!A:A,$F1066)</f>
        <v>M</v>
      </c>
      <c r="B1066" s="4" t="str" cm="1">
        <f t="array" ref="B1066">INDEX(Sheet1!B:B,$F1066)</f>
        <v>Agg/Unknown</v>
      </c>
      <c r="C1066" s="4">
        <f t="shared" si="66"/>
        <v>96</v>
      </c>
      <c r="D1066" s="5" cm="1">
        <f t="array" aca="1" ref="D1066" ca="1">OFFSET(INDIRECT("'["&amp;$H1066&amp;"]"&amp;$I1066&amp;"'!"&amp;$J1066),$L1066,$M1066)*$K1066</f>
        <v>0.28564000000000001</v>
      </c>
      <c r="F1066" s="4">
        <f t="shared" si="67"/>
        <v>10</v>
      </c>
      <c r="G1066" s="4" cm="1">
        <f t="array" ref="G1066">IF($C1066&gt;=25,F1066,IF($C1066&lt;16,INDEX(Sheet1!C:C,$F1066),$F1066))</f>
        <v>10</v>
      </c>
      <c r="H1066" s="4" t="str" cm="1">
        <f t="array" ref="H1066">INDEX(Sheet1!D:D,$G1066)</f>
        <v>t1136.xlsx</v>
      </c>
      <c r="I1066" s="4" t="str" cm="1">
        <f t="array" ref="I1066">INDEX(Sheet1!E:E,$G1066)</f>
        <v>Sheet1</v>
      </c>
      <c r="J1066" s="4" t="str" cm="1">
        <f t="array" ref="J1066">IF($C1066&gt;=25,INDEX(Sheet1!G:G,$G1066),INDEX(Sheet1!F:F,$G1066))</f>
        <v>B139</v>
      </c>
      <c r="K1066" s="4" cm="1">
        <f t="array" ref="K1066">INDEX(Sheet1!H:H,$G1066)</f>
        <v>1</v>
      </c>
      <c r="L1066" s="4">
        <f t="shared" si="64"/>
        <v>71</v>
      </c>
      <c r="M1066" s="4">
        <f t="shared" si="65"/>
        <v>0</v>
      </c>
    </row>
    <row r="1067" spans="1:13">
      <c r="A1067" s="4" t="str" cm="1">
        <f t="array" ref="A1067">INDEX(Sheet1!A:A,$F1067)</f>
        <v>M</v>
      </c>
      <c r="B1067" s="4" t="str" cm="1">
        <f t="array" ref="B1067">INDEX(Sheet1!B:B,$F1067)</f>
        <v>Agg/Unknown</v>
      </c>
      <c r="C1067" s="4">
        <f t="shared" si="66"/>
        <v>97</v>
      </c>
      <c r="D1067" s="5" cm="1">
        <f t="array" aca="1" ref="D1067" ca="1">OFFSET(INDIRECT("'["&amp;$H1067&amp;"]"&amp;$I1067&amp;"'!"&amp;$J1067),$L1067,$M1067)*$K1067</f>
        <v>0.30318000000000001</v>
      </c>
      <c r="F1067" s="4">
        <f t="shared" si="67"/>
        <v>10</v>
      </c>
      <c r="G1067" s="4" cm="1">
        <f t="array" ref="G1067">IF($C1067&gt;=25,F1067,IF($C1067&lt;16,INDEX(Sheet1!C:C,$F1067),$F1067))</f>
        <v>10</v>
      </c>
      <c r="H1067" s="4" t="str" cm="1">
        <f t="array" ref="H1067">INDEX(Sheet1!D:D,$G1067)</f>
        <v>t1136.xlsx</v>
      </c>
      <c r="I1067" s="4" t="str" cm="1">
        <f t="array" ref="I1067">INDEX(Sheet1!E:E,$G1067)</f>
        <v>Sheet1</v>
      </c>
      <c r="J1067" s="4" t="str" cm="1">
        <f t="array" ref="J1067">IF($C1067&gt;=25,INDEX(Sheet1!G:G,$G1067),INDEX(Sheet1!F:F,$G1067))</f>
        <v>B139</v>
      </c>
      <c r="K1067" s="4" cm="1">
        <f t="array" ref="K1067">INDEX(Sheet1!H:H,$G1067)</f>
        <v>1</v>
      </c>
      <c r="L1067" s="4">
        <f t="shared" si="64"/>
        <v>72</v>
      </c>
      <c r="M1067" s="4">
        <f t="shared" si="65"/>
        <v>0</v>
      </c>
    </row>
    <row r="1068" spans="1:13">
      <c r="A1068" s="4" t="str" cm="1">
        <f t="array" ref="A1068">INDEX(Sheet1!A:A,$F1068)</f>
        <v>M</v>
      </c>
      <c r="B1068" s="4" t="str" cm="1">
        <f t="array" ref="B1068">INDEX(Sheet1!B:B,$F1068)</f>
        <v>Agg/Unknown</v>
      </c>
      <c r="C1068" s="4">
        <f t="shared" si="66"/>
        <v>98</v>
      </c>
      <c r="D1068" s="5" cm="1">
        <f t="array" aca="1" ref="D1068" ca="1">OFFSET(INDIRECT("'["&amp;$H1068&amp;"]"&amp;$I1068&amp;"'!"&amp;$J1068),$L1068,$M1068)*$K1068</f>
        <v>0.32188</v>
      </c>
      <c r="F1068" s="4">
        <f t="shared" si="67"/>
        <v>10</v>
      </c>
      <c r="G1068" s="4" cm="1">
        <f t="array" ref="G1068">IF($C1068&gt;=25,F1068,IF($C1068&lt;16,INDEX(Sheet1!C:C,$F1068),$F1068))</f>
        <v>10</v>
      </c>
      <c r="H1068" s="4" t="str" cm="1">
        <f t="array" ref="H1068">INDEX(Sheet1!D:D,$G1068)</f>
        <v>t1136.xlsx</v>
      </c>
      <c r="I1068" s="4" t="str" cm="1">
        <f t="array" ref="I1068">INDEX(Sheet1!E:E,$G1068)</f>
        <v>Sheet1</v>
      </c>
      <c r="J1068" s="4" t="str" cm="1">
        <f t="array" ref="J1068">IF($C1068&gt;=25,INDEX(Sheet1!G:G,$G1068),INDEX(Sheet1!F:F,$G1068))</f>
        <v>B139</v>
      </c>
      <c r="K1068" s="4" cm="1">
        <f t="array" ref="K1068">INDEX(Sheet1!H:H,$G1068)</f>
        <v>1</v>
      </c>
      <c r="L1068" s="4">
        <f t="shared" si="64"/>
        <v>73</v>
      </c>
      <c r="M1068" s="4">
        <f t="shared" si="65"/>
        <v>0</v>
      </c>
    </row>
    <row r="1069" spans="1:13">
      <c r="A1069" s="4" t="str" cm="1">
        <f t="array" ref="A1069">INDEX(Sheet1!A:A,$F1069)</f>
        <v>M</v>
      </c>
      <c r="B1069" s="4" t="str" cm="1">
        <f t="array" ref="B1069">INDEX(Sheet1!B:B,$F1069)</f>
        <v>Agg/Unknown</v>
      </c>
      <c r="C1069" s="4">
        <f t="shared" si="66"/>
        <v>99</v>
      </c>
      <c r="D1069" s="5" cm="1">
        <f t="array" aca="1" ref="D1069" ca="1">OFFSET(INDIRECT("'["&amp;$H1069&amp;"]"&amp;$I1069&amp;"'!"&amp;$J1069),$L1069,$M1069)*$K1069</f>
        <v>0.34184999999999999</v>
      </c>
      <c r="F1069" s="4">
        <f t="shared" si="67"/>
        <v>10</v>
      </c>
      <c r="G1069" s="4" cm="1">
        <f t="array" ref="G1069">IF($C1069&gt;=25,F1069,IF($C1069&lt;16,INDEX(Sheet1!C:C,$F1069),$F1069))</f>
        <v>10</v>
      </c>
      <c r="H1069" s="4" t="str" cm="1">
        <f t="array" ref="H1069">INDEX(Sheet1!D:D,$G1069)</f>
        <v>t1136.xlsx</v>
      </c>
      <c r="I1069" s="4" t="str" cm="1">
        <f t="array" ref="I1069">INDEX(Sheet1!E:E,$G1069)</f>
        <v>Sheet1</v>
      </c>
      <c r="J1069" s="4" t="str" cm="1">
        <f t="array" ref="J1069">IF($C1069&gt;=25,INDEX(Sheet1!G:G,$G1069),INDEX(Sheet1!F:F,$G1069))</f>
        <v>B139</v>
      </c>
      <c r="K1069" s="4" cm="1">
        <f t="array" ref="K1069">INDEX(Sheet1!H:H,$G1069)</f>
        <v>1</v>
      </c>
      <c r="L1069" s="4">
        <f t="shared" si="64"/>
        <v>74</v>
      </c>
      <c r="M1069" s="4">
        <f t="shared" si="65"/>
        <v>0</v>
      </c>
    </row>
    <row r="1070" spans="1:13">
      <c r="A1070" s="4" t="str" cm="1">
        <f t="array" ref="A1070">INDEX(Sheet1!A:A,$F1070)</f>
        <v>M</v>
      </c>
      <c r="B1070" s="4" t="str" cm="1">
        <f t="array" ref="B1070">INDEX(Sheet1!B:B,$F1070)</f>
        <v>Agg/Unknown</v>
      </c>
      <c r="C1070" s="4">
        <f t="shared" si="66"/>
        <v>100</v>
      </c>
      <c r="D1070" s="5" cm="1">
        <f t="array" aca="1" ref="D1070" ca="1">OFFSET(INDIRECT("'["&amp;$H1070&amp;"]"&amp;$I1070&amp;"'!"&amp;$J1070),$L1070,$M1070)*$K1070</f>
        <v>0.36319000000000001</v>
      </c>
      <c r="F1070" s="4">
        <f t="shared" si="67"/>
        <v>10</v>
      </c>
      <c r="G1070" s="4" cm="1">
        <f t="array" ref="G1070">IF($C1070&gt;=25,F1070,IF($C1070&lt;16,INDEX(Sheet1!C:C,$F1070),$F1070))</f>
        <v>10</v>
      </c>
      <c r="H1070" s="4" t="str" cm="1">
        <f t="array" ref="H1070">INDEX(Sheet1!D:D,$G1070)</f>
        <v>t1136.xlsx</v>
      </c>
      <c r="I1070" s="4" t="str" cm="1">
        <f t="array" ref="I1070">INDEX(Sheet1!E:E,$G1070)</f>
        <v>Sheet1</v>
      </c>
      <c r="J1070" s="4" t="str" cm="1">
        <f t="array" ref="J1070">IF($C1070&gt;=25,INDEX(Sheet1!G:G,$G1070),INDEX(Sheet1!F:F,$G1070))</f>
        <v>B139</v>
      </c>
      <c r="K1070" s="4" cm="1">
        <f t="array" ref="K1070">INDEX(Sheet1!H:H,$G1070)</f>
        <v>1</v>
      </c>
      <c r="L1070" s="4">
        <f t="shared" si="64"/>
        <v>75</v>
      </c>
      <c r="M1070" s="4">
        <f t="shared" si="65"/>
        <v>0</v>
      </c>
    </row>
    <row r="1071" spans="1:13">
      <c r="A1071" s="4" t="str" cm="1">
        <f t="array" ref="A1071">INDEX(Sheet1!A:A,$F1071)</f>
        <v>M</v>
      </c>
      <c r="B1071" s="4" t="str" cm="1">
        <f t="array" ref="B1071">INDEX(Sheet1!B:B,$F1071)</f>
        <v>Agg/Unknown</v>
      </c>
      <c r="C1071" s="4">
        <f t="shared" si="66"/>
        <v>101</v>
      </c>
      <c r="D1071" s="5" cm="1">
        <f t="array" aca="1" ref="D1071" ca="1">OFFSET(INDIRECT("'["&amp;$H1071&amp;"]"&amp;$I1071&amp;"'!"&amp;$J1071),$L1071,$M1071)*$K1071</f>
        <v>0.38007999999999997</v>
      </c>
      <c r="F1071" s="4">
        <f t="shared" si="67"/>
        <v>10</v>
      </c>
      <c r="G1071" s="4" cm="1">
        <f t="array" ref="G1071">IF($C1071&gt;=25,F1071,IF($C1071&lt;16,INDEX(Sheet1!C:C,$F1071),$F1071))</f>
        <v>10</v>
      </c>
      <c r="H1071" s="4" t="str" cm="1">
        <f t="array" ref="H1071">INDEX(Sheet1!D:D,$G1071)</f>
        <v>t1136.xlsx</v>
      </c>
      <c r="I1071" s="4" t="str" cm="1">
        <f t="array" ref="I1071">INDEX(Sheet1!E:E,$G1071)</f>
        <v>Sheet1</v>
      </c>
      <c r="J1071" s="4" t="str" cm="1">
        <f t="array" ref="J1071">IF($C1071&gt;=25,INDEX(Sheet1!G:G,$G1071),INDEX(Sheet1!F:F,$G1071))</f>
        <v>B139</v>
      </c>
      <c r="K1071" s="4" cm="1">
        <f t="array" ref="K1071">INDEX(Sheet1!H:H,$G1071)</f>
        <v>1</v>
      </c>
      <c r="L1071" s="4">
        <f t="shared" si="64"/>
        <v>76</v>
      </c>
      <c r="M1071" s="4">
        <f t="shared" si="65"/>
        <v>0</v>
      </c>
    </row>
    <row r="1072" spans="1:13">
      <c r="A1072" s="4" t="str" cm="1">
        <f t="array" ref="A1072">INDEX(Sheet1!A:A,$F1072)</f>
        <v>M</v>
      </c>
      <c r="B1072" s="4" t="str" cm="1">
        <f t="array" ref="B1072">INDEX(Sheet1!B:B,$F1072)</f>
        <v>Agg/Unknown</v>
      </c>
      <c r="C1072" s="4">
        <f t="shared" si="66"/>
        <v>102</v>
      </c>
      <c r="D1072" s="5" cm="1">
        <f t="array" aca="1" ref="D1072" ca="1">OFFSET(INDIRECT("'["&amp;$H1072&amp;"]"&amp;$I1072&amp;"'!"&amp;$J1072),$L1072,$M1072)*$K1072</f>
        <v>0.39806000000000002</v>
      </c>
      <c r="F1072" s="4">
        <f t="shared" si="67"/>
        <v>10</v>
      </c>
      <c r="G1072" s="4" cm="1">
        <f t="array" ref="G1072">IF($C1072&gt;=25,F1072,IF($C1072&lt;16,INDEX(Sheet1!C:C,$F1072),$F1072))</f>
        <v>10</v>
      </c>
      <c r="H1072" s="4" t="str" cm="1">
        <f t="array" ref="H1072">INDEX(Sheet1!D:D,$G1072)</f>
        <v>t1136.xlsx</v>
      </c>
      <c r="I1072" s="4" t="str" cm="1">
        <f t="array" ref="I1072">INDEX(Sheet1!E:E,$G1072)</f>
        <v>Sheet1</v>
      </c>
      <c r="J1072" s="4" t="str" cm="1">
        <f t="array" ref="J1072">IF($C1072&gt;=25,INDEX(Sheet1!G:G,$G1072),INDEX(Sheet1!F:F,$G1072))</f>
        <v>B139</v>
      </c>
      <c r="K1072" s="4" cm="1">
        <f t="array" ref="K1072">INDEX(Sheet1!H:H,$G1072)</f>
        <v>1</v>
      </c>
      <c r="L1072" s="4">
        <f t="shared" si="64"/>
        <v>77</v>
      </c>
      <c r="M1072" s="4">
        <f t="shared" si="65"/>
        <v>0</v>
      </c>
    </row>
    <row r="1073" spans="1:13">
      <c r="A1073" s="4" t="str" cm="1">
        <f t="array" ref="A1073">INDEX(Sheet1!A:A,$F1073)</f>
        <v>M</v>
      </c>
      <c r="B1073" s="4" t="str" cm="1">
        <f t="array" ref="B1073">INDEX(Sheet1!B:B,$F1073)</f>
        <v>Agg/Unknown</v>
      </c>
      <c r="C1073" s="4">
        <f t="shared" si="66"/>
        <v>103</v>
      </c>
      <c r="D1073" s="5" cm="1">
        <f t="array" aca="1" ref="D1073" ca="1">OFFSET(INDIRECT("'["&amp;$H1073&amp;"]"&amp;$I1073&amp;"'!"&amp;$J1073),$L1073,$M1073)*$K1073</f>
        <v>0.41720000000000002</v>
      </c>
      <c r="F1073" s="4">
        <f t="shared" si="67"/>
        <v>10</v>
      </c>
      <c r="G1073" s="4" cm="1">
        <f t="array" ref="G1073">IF($C1073&gt;=25,F1073,IF($C1073&lt;16,INDEX(Sheet1!C:C,$F1073),$F1073))</f>
        <v>10</v>
      </c>
      <c r="H1073" s="4" t="str" cm="1">
        <f t="array" ref="H1073">INDEX(Sheet1!D:D,$G1073)</f>
        <v>t1136.xlsx</v>
      </c>
      <c r="I1073" s="4" t="str" cm="1">
        <f t="array" ref="I1073">INDEX(Sheet1!E:E,$G1073)</f>
        <v>Sheet1</v>
      </c>
      <c r="J1073" s="4" t="str" cm="1">
        <f t="array" ref="J1073">IF($C1073&gt;=25,INDEX(Sheet1!G:G,$G1073),INDEX(Sheet1!F:F,$G1073))</f>
        <v>B139</v>
      </c>
      <c r="K1073" s="4" cm="1">
        <f t="array" ref="K1073">INDEX(Sheet1!H:H,$G1073)</f>
        <v>1</v>
      </c>
      <c r="L1073" s="4">
        <f t="shared" si="64"/>
        <v>78</v>
      </c>
      <c r="M1073" s="4">
        <f t="shared" si="65"/>
        <v>0</v>
      </c>
    </row>
    <row r="1074" spans="1:13">
      <c r="A1074" s="4" t="str" cm="1">
        <f t="array" ref="A1074">INDEX(Sheet1!A:A,$F1074)</f>
        <v>M</v>
      </c>
      <c r="B1074" s="4" t="str" cm="1">
        <f t="array" ref="B1074">INDEX(Sheet1!B:B,$F1074)</f>
        <v>Agg/Unknown</v>
      </c>
      <c r="C1074" s="4">
        <f t="shared" si="66"/>
        <v>104</v>
      </c>
      <c r="D1074" s="5" cm="1">
        <f t="array" aca="1" ref="D1074" ca="1">OFFSET(INDIRECT("'["&amp;$H1074&amp;"]"&amp;$I1074&amp;"'!"&amp;$J1074),$L1074,$M1074)*$K1074</f>
        <v>0.43756</v>
      </c>
      <c r="F1074" s="4">
        <f t="shared" si="67"/>
        <v>10</v>
      </c>
      <c r="G1074" s="4" cm="1">
        <f t="array" ref="G1074">IF($C1074&gt;=25,F1074,IF($C1074&lt;16,INDEX(Sheet1!C:C,$F1074),$F1074))</f>
        <v>10</v>
      </c>
      <c r="H1074" s="4" t="str" cm="1">
        <f t="array" ref="H1074">INDEX(Sheet1!D:D,$G1074)</f>
        <v>t1136.xlsx</v>
      </c>
      <c r="I1074" s="4" t="str" cm="1">
        <f t="array" ref="I1074">INDEX(Sheet1!E:E,$G1074)</f>
        <v>Sheet1</v>
      </c>
      <c r="J1074" s="4" t="str" cm="1">
        <f t="array" ref="J1074">IF($C1074&gt;=25,INDEX(Sheet1!G:G,$G1074),INDEX(Sheet1!F:F,$G1074))</f>
        <v>B139</v>
      </c>
      <c r="K1074" s="4" cm="1">
        <f t="array" ref="K1074">INDEX(Sheet1!H:H,$G1074)</f>
        <v>1</v>
      </c>
      <c r="L1074" s="4">
        <f t="shared" si="64"/>
        <v>79</v>
      </c>
      <c r="M1074" s="4">
        <f t="shared" si="65"/>
        <v>0</v>
      </c>
    </row>
    <row r="1075" spans="1:13">
      <c r="A1075" s="4" t="str" cm="1">
        <f t="array" ref="A1075">INDEX(Sheet1!A:A,$F1075)</f>
        <v>M</v>
      </c>
      <c r="B1075" s="4" t="str" cm="1">
        <f t="array" ref="B1075">INDEX(Sheet1!B:B,$F1075)</f>
        <v>Agg/Unknown</v>
      </c>
      <c r="C1075" s="4">
        <f t="shared" si="66"/>
        <v>105</v>
      </c>
      <c r="D1075" s="5" cm="1">
        <f t="array" aca="1" ref="D1075" ca="1">OFFSET(INDIRECT("'["&amp;$H1075&amp;"]"&amp;$I1075&amp;"'!"&amp;$J1075),$L1075,$M1075)*$K1075</f>
        <v>0.45921000000000001</v>
      </c>
      <c r="F1075" s="4">
        <f t="shared" si="67"/>
        <v>10</v>
      </c>
      <c r="G1075" s="4" cm="1">
        <f t="array" ref="G1075">IF($C1075&gt;=25,F1075,IF($C1075&lt;16,INDEX(Sheet1!C:C,$F1075),$F1075))</f>
        <v>10</v>
      </c>
      <c r="H1075" s="4" t="str" cm="1">
        <f t="array" ref="H1075">INDEX(Sheet1!D:D,$G1075)</f>
        <v>t1136.xlsx</v>
      </c>
      <c r="I1075" s="4" t="str" cm="1">
        <f t="array" ref="I1075">INDEX(Sheet1!E:E,$G1075)</f>
        <v>Sheet1</v>
      </c>
      <c r="J1075" s="4" t="str" cm="1">
        <f t="array" ref="J1075">IF($C1075&gt;=25,INDEX(Sheet1!G:G,$G1075),INDEX(Sheet1!F:F,$G1075))</f>
        <v>B139</v>
      </c>
      <c r="K1075" s="4" cm="1">
        <f t="array" ref="K1075">INDEX(Sheet1!H:H,$G1075)</f>
        <v>1</v>
      </c>
      <c r="L1075" s="4">
        <f t="shared" si="64"/>
        <v>80</v>
      </c>
      <c r="M1075" s="4">
        <f t="shared" si="65"/>
        <v>0</v>
      </c>
    </row>
    <row r="1076" spans="1:13">
      <c r="A1076" s="4" t="str" cm="1">
        <f t="array" ref="A1076">INDEX(Sheet1!A:A,$F1076)</f>
        <v>M</v>
      </c>
      <c r="B1076" s="4" t="str" cm="1">
        <f t="array" ref="B1076">INDEX(Sheet1!B:B,$F1076)</f>
        <v>Agg/Unknown</v>
      </c>
      <c r="C1076" s="4">
        <f t="shared" si="66"/>
        <v>106</v>
      </c>
      <c r="D1076" s="5" cm="1">
        <f t="array" aca="1" ref="D1076" ca="1">OFFSET(INDIRECT("'["&amp;$H1076&amp;"]"&amp;$I1076&amp;"'!"&amp;$J1076),$L1076,$M1076)*$K1076</f>
        <v>0.48221999999999998</v>
      </c>
      <c r="F1076" s="4">
        <f t="shared" si="67"/>
        <v>10</v>
      </c>
      <c r="G1076" s="4" cm="1">
        <f t="array" ref="G1076">IF($C1076&gt;=25,F1076,IF($C1076&lt;16,INDEX(Sheet1!C:C,$F1076),$F1076))</f>
        <v>10</v>
      </c>
      <c r="H1076" s="4" t="str" cm="1">
        <f t="array" ref="H1076">INDEX(Sheet1!D:D,$G1076)</f>
        <v>t1136.xlsx</v>
      </c>
      <c r="I1076" s="4" t="str" cm="1">
        <f t="array" ref="I1076">INDEX(Sheet1!E:E,$G1076)</f>
        <v>Sheet1</v>
      </c>
      <c r="J1076" s="4" t="str" cm="1">
        <f t="array" ref="J1076">IF($C1076&gt;=25,INDEX(Sheet1!G:G,$G1076),INDEX(Sheet1!F:F,$G1076))</f>
        <v>B139</v>
      </c>
      <c r="K1076" s="4" cm="1">
        <f t="array" ref="K1076">INDEX(Sheet1!H:H,$G1076)</f>
        <v>1</v>
      </c>
      <c r="L1076" s="4">
        <f t="shared" si="64"/>
        <v>81</v>
      </c>
      <c r="M1076" s="4">
        <f t="shared" si="65"/>
        <v>0</v>
      </c>
    </row>
    <row r="1077" spans="1:13">
      <c r="A1077" s="4" t="str" cm="1">
        <f t="array" ref="A1077">INDEX(Sheet1!A:A,$F1077)</f>
        <v>M</v>
      </c>
      <c r="B1077" s="4" t="str" cm="1">
        <f t="array" ref="B1077">INDEX(Sheet1!B:B,$F1077)</f>
        <v>Agg/Unknown</v>
      </c>
      <c r="C1077" s="4">
        <f t="shared" si="66"/>
        <v>107</v>
      </c>
      <c r="D1077" s="5" cm="1">
        <f t="array" aca="1" ref="D1077" ca="1">OFFSET(INDIRECT("'["&amp;$H1077&amp;"]"&amp;$I1077&amp;"'!"&amp;$J1077),$L1077,$M1077)*$K1077</f>
        <v>0.50668999999999997</v>
      </c>
      <c r="F1077" s="4">
        <f t="shared" si="67"/>
        <v>10</v>
      </c>
      <c r="G1077" s="4" cm="1">
        <f t="array" ref="G1077">IF($C1077&gt;=25,F1077,IF($C1077&lt;16,INDEX(Sheet1!C:C,$F1077),$F1077))</f>
        <v>10</v>
      </c>
      <c r="H1077" s="4" t="str" cm="1">
        <f t="array" ref="H1077">INDEX(Sheet1!D:D,$G1077)</f>
        <v>t1136.xlsx</v>
      </c>
      <c r="I1077" s="4" t="str" cm="1">
        <f t="array" ref="I1077">INDEX(Sheet1!E:E,$G1077)</f>
        <v>Sheet1</v>
      </c>
      <c r="J1077" s="4" t="str" cm="1">
        <f t="array" ref="J1077">IF($C1077&gt;=25,INDEX(Sheet1!G:G,$G1077),INDEX(Sheet1!F:F,$G1077))</f>
        <v>B139</v>
      </c>
      <c r="K1077" s="4" cm="1">
        <f t="array" ref="K1077">INDEX(Sheet1!H:H,$G1077)</f>
        <v>1</v>
      </c>
      <c r="L1077" s="4">
        <f t="shared" si="64"/>
        <v>82</v>
      </c>
      <c r="M1077" s="4">
        <f t="shared" si="65"/>
        <v>0</v>
      </c>
    </row>
    <row r="1078" spans="1:13">
      <c r="A1078" s="4" t="str" cm="1">
        <f t="array" ref="A1078">INDEX(Sheet1!A:A,$F1078)</f>
        <v>M</v>
      </c>
      <c r="B1078" s="4" t="str" cm="1">
        <f t="array" ref="B1078">INDEX(Sheet1!B:B,$F1078)</f>
        <v>Agg/Unknown</v>
      </c>
      <c r="C1078" s="4">
        <f t="shared" si="66"/>
        <v>108</v>
      </c>
      <c r="D1078" s="5" cm="1">
        <f t="array" aca="1" ref="D1078" ca="1">OFFSET(INDIRECT("'["&amp;$H1078&amp;"]"&amp;$I1078&amp;"'!"&amp;$J1078),$L1078,$M1078)*$K1078</f>
        <v>0.53269</v>
      </c>
      <c r="F1078" s="4">
        <f t="shared" si="67"/>
        <v>10</v>
      </c>
      <c r="G1078" s="4" cm="1">
        <f t="array" ref="G1078">IF($C1078&gt;=25,F1078,IF($C1078&lt;16,INDEX(Sheet1!C:C,$F1078),$F1078))</f>
        <v>10</v>
      </c>
      <c r="H1078" s="4" t="str" cm="1">
        <f t="array" ref="H1078">INDEX(Sheet1!D:D,$G1078)</f>
        <v>t1136.xlsx</v>
      </c>
      <c r="I1078" s="4" t="str" cm="1">
        <f t="array" ref="I1078">INDEX(Sheet1!E:E,$G1078)</f>
        <v>Sheet1</v>
      </c>
      <c r="J1078" s="4" t="str" cm="1">
        <f t="array" ref="J1078">IF($C1078&gt;=25,INDEX(Sheet1!G:G,$G1078),INDEX(Sheet1!F:F,$G1078))</f>
        <v>B139</v>
      </c>
      <c r="K1078" s="4" cm="1">
        <f t="array" ref="K1078">INDEX(Sheet1!H:H,$G1078)</f>
        <v>1</v>
      </c>
      <c r="L1078" s="4">
        <f t="shared" si="64"/>
        <v>83</v>
      </c>
      <c r="M1078" s="4">
        <f t="shared" si="65"/>
        <v>0</v>
      </c>
    </row>
    <row r="1079" spans="1:13">
      <c r="A1079" s="4" t="str" cm="1">
        <f t="array" ref="A1079">INDEX(Sheet1!A:A,$F1079)</f>
        <v>M</v>
      </c>
      <c r="B1079" s="4" t="str" cm="1">
        <f t="array" ref="B1079">INDEX(Sheet1!B:B,$F1079)</f>
        <v>Agg/Unknown</v>
      </c>
      <c r="C1079" s="4">
        <f t="shared" si="66"/>
        <v>109</v>
      </c>
      <c r="D1079" s="5" cm="1">
        <f t="array" aca="1" ref="D1079" ca="1">OFFSET(INDIRECT("'["&amp;$H1079&amp;"]"&amp;$I1079&amp;"'!"&amp;$J1079),$L1079,$M1079)*$K1079</f>
        <v>0.56030999999999997</v>
      </c>
      <c r="F1079" s="4">
        <f t="shared" si="67"/>
        <v>10</v>
      </c>
      <c r="G1079" s="4" cm="1">
        <f t="array" ref="G1079">IF($C1079&gt;=25,F1079,IF($C1079&lt;16,INDEX(Sheet1!C:C,$F1079),$F1079))</f>
        <v>10</v>
      </c>
      <c r="H1079" s="4" t="str" cm="1">
        <f t="array" ref="H1079">INDEX(Sheet1!D:D,$G1079)</f>
        <v>t1136.xlsx</v>
      </c>
      <c r="I1079" s="4" t="str" cm="1">
        <f t="array" ref="I1079">INDEX(Sheet1!E:E,$G1079)</f>
        <v>Sheet1</v>
      </c>
      <c r="J1079" s="4" t="str" cm="1">
        <f t="array" ref="J1079">IF($C1079&gt;=25,INDEX(Sheet1!G:G,$G1079),INDEX(Sheet1!F:F,$G1079))</f>
        <v>B139</v>
      </c>
      <c r="K1079" s="4" cm="1">
        <f t="array" ref="K1079">INDEX(Sheet1!H:H,$G1079)</f>
        <v>1</v>
      </c>
      <c r="L1079" s="4">
        <f t="shared" si="64"/>
        <v>84</v>
      </c>
      <c r="M1079" s="4">
        <f t="shared" si="65"/>
        <v>0</v>
      </c>
    </row>
    <row r="1080" spans="1:13">
      <c r="A1080" s="4" t="str" cm="1">
        <f t="array" ref="A1080">INDEX(Sheet1!A:A,$F1080)</f>
        <v>M</v>
      </c>
      <c r="B1080" s="4" t="str" cm="1">
        <f t="array" ref="B1080">INDEX(Sheet1!B:B,$F1080)</f>
        <v>Agg/Unknown</v>
      </c>
      <c r="C1080" s="4">
        <f t="shared" si="66"/>
        <v>110</v>
      </c>
      <c r="D1080" s="5" cm="1">
        <f t="array" aca="1" ref="D1080" ca="1">OFFSET(INDIRECT("'["&amp;$H1080&amp;"]"&amp;$I1080&amp;"'!"&amp;$J1080),$L1080,$M1080)*$K1080</f>
        <v>0.58964000000000005</v>
      </c>
      <c r="F1080" s="4">
        <f t="shared" si="67"/>
        <v>10</v>
      </c>
      <c r="G1080" s="4" cm="1">
        <f t="array" ref="G1080">IF($C1080&gt;=25,F1080,IF($C1080&lt;16,INDEX(Sheet1!C:C,$F1080),$F1080))</f>
        <v>10</v>
      </c>
      <c r="H1080" s="4" t="str" cm="1">
        <f t="array" ref="H1080">INDEX(Sheet1!D:D,$G1080)</f>
        <v>t1136.xlsx</v>
      </c>
      <c r="I1080" s="4" t="str" cm="1">
        <f t="array" ref="I1080">INDEX(Sheet1!E:E,$G1080)</f>
        <v>Sheet1</v>
      </c>
      <c r="J1080" s="4" t="str" cm="1">
        <f t="array" ref="J1080">IF($C1080&gt;=25,INDEX(Sheet1!G:G,$G1080),INDEX(Sheet1!F:F,$G1080))</f>
        <v>B139</v>
      </c>
      <c r="K1080" s="4" cm="1">
        <f t="array" ref="K1080">INDEX(Sheet1!H:H,$G1080)</f>
        <v>1</v>
      </c>
      <c r="L1080" s="4">
        <f t="shared" si="64"/>
        <v>85</v>
      </c>
      <c r="M1080" s="4">
        <f t="shared" si="65"/>
        <v>0</v>
      </c>
    </row>
    <row r="1081" spans="1:13">
      <c r="A1081" s="4" t="str" cm="1">
        <f t="array" ref="A1081">INDEX(Sheet1!A:A,$F1081)</f>
        <v>M</v>
      </c>
      <c r="B1081" s="4" t="str" cm="1">
        <f t="array" ref="B1081">INDEX(Sheet1!B:B,$F1081)</f>
        <v>Agg/Unknown</v>
      </c>
      <c r="C1081" s="4">
        <f t="shared" si="66"/>
        <v>111</v>
      </c>
      <c r="D1081" s="5" cm="1">
        <f t="array" aca="1" ref="D1081" ca="1">OFFSET(INDIRECT("'["&amp;$H1081&amp;"]"&amp;$I1081&amp;"'!"&amp;$J1081),$L1081,$M1081)*$K1081</f>
        <v>0.62078999999999995</v>
      </c>
      <c r="F1081" s="4">
        <f t="shared" si="67"/>
        <v>10</v>
      </c>
      <c r="G1081" s="4" cm="1">
        <f t="array" ref="G1081">IF($C1081&gt;=25,F1081,IF($C1081&lt;16,INDEX(Sheet1!C:C,$F1081),$F1081))</f>
        <v>10</v>
      </c>
      <c r="H1081" s="4" t="str" cm="1">
        <f t="array" ref="H1081">INDEX(Sheet1!D:D,$G1081)</f>
        <v>t1136.xlsx</v>
      </c>
      <c r="I1081" s="4" t="str" cm="1">
        <f t="array" ref="I1081">INDEX(Sheet1!E:E,$G1081)</f>
        <v>Sheet1</v>
      </c>
      <c r="J1081" s="4" t="str" cm="1">
        <f t="array" ref="J1081">IF($C1081&gt;=25,INDEX(Sheet1!G:G,$G1081),INDEX(Sheet1!F:F,$G1081))</f>
        <v>B139</v>
      </c>
      <c r="K1081" s="4" cm="1">
        <f t="array" ref="K1081">INDEX(Sheet1!H:H,$G1081)</f>
        <v>1</v>
      </c>
      <c r="L1081" s="4">
        <f t="shared" si="64"/>
        <v>86</v>
      </c>
      <c r="M1081" s="4">
        <f t="shared" si="65"/>
        <v>0</v>
      </c>
    </row>
    <row r="1082" spans="1:13">
      <c r="A1082" s="4" t="str" cm="1">
        <f t="array" ref="A1082">INDEX(Sheet1!A:A,$F1082)</f>
        <v>M</v>
      </c>
      <c r="B1082" s="4" t="str" cm="1">
        <f t="array" ref="B1082">INDEX(Sheet1!B:B,$F1082)</f>
        <v>Agg/Unknown</v>
      </c>
      <c r="C1082" s="4">
        <f t="shared" si="66"/>
        <v>112</v>
      </c>
      <c r="D1082" s="5" cm="1">
        <f t="array" aca="1" ref="D1082" ca="1">OFFSET(INDIRECT("'["&amp;$H1082&amp;"]"&amp;$I1082&amp;"'!"&amp;$J1082),$L1082,$M1082)*$K1082</f>
        <v>0.65383999999999998</v>
      </c>
      <c r="F1082" s="4">
        <f t="shared" si="67"/>
        <v>10</v>
      </c>
      <c r="G1082" s="4" cm="1">
        <f t="array" ref="G1082">IF($C1082&gt;=25,F1082,IF($C1082&lt;16,INDEX(Sheet1!C:C,$F1082),$F1082))</f>
        <v>10</v>
      </c>
      <c r="H1082" s="4" t="str" cm="1">
        <f t="array" ref="H1082">INDEX(Sheet1!D:D,$G1082)</f>
        <v>t1136.xlsx</v>
      </c>
      <c r="I1082" s="4" t="str" cm="1">
        <f t="array" ref="I1082">INDEX(Sheet1!E:E,$G1082)</f>
        <v>Sheet1</v>
      </c>
      <c r="J1082" s="4" t="str" cm="1">
        <f t="array" ref="J1082">IF($C1082&gt;=25,INDEX(Sheet1!G:G,$G1082),INDEX(Sheet1!F:F,$G1082))</f>
        <v>B139</v>
      </c>
      <c r="K1082" s="4" cm="1">
        <f t="array" ref="K1082">INDEX(Sheet1!H:H,$G1082)</f>
        <v>1</v>
      </c>
      <c r="L1082" s="4">
        <f t="shared" si="64"/>
        <v>87</v>
      </c>
      <c r="M1082" s="4">
        <f t="shared" si="65"/>
        <v>0</v>
      </c>
    </row>
    <row r="1083" spans="1:13">
      <c r="A1083" s="4" t="str" cm="1">
        <f t="array" ref="A1083">INDEX(Sheet1!A:A,$F1083)</f>
        <v>M</v>
      </c>
      <c r="B1083" s="4" t="str" cm="1">
        <f t="array" ref="B1083">INDEX(Sheet1!B:B,$F1083)</f>
        <v>Agg/Unknown</v>
      </c>
      <c r="C1083" s="4">
        <f t="shared" si="66"/>
        <v>113</v>
      </c>
      <c r="D1083" s="5" cm="1">
        <f t="array" aca="1" ref="D1083" ca="1">OFFSET(INDIRECT("'["&amp;$H1083&amp;"]"&amp;$I1083&amp;"'!"&amp;$J1083),$L1083,$M1083)*$K1083</f>
        <v>0.68894</v>
      </c>
      <c r="F1083" s="4">
        <f t="shared" si="67"/>
        <v>10</v>
      </c>
      <c r="G1083" s="4" cm="1">
        <f t="array" ref="G1083">IF($C1083&gt;=25,F1083,IF($C1083&lt;16,INDEX(Sheet1!C:C,$F1083),$F1083))</f>
        <v>10</v>
      </c>
      <c r="H1083" s="4" t="str" cm="1">
        <f t="array" ref="H1083">INDEX(Sheet1!D:D,$G1083)</f>
        <v>t1136.xlsx</v>
      </c>
      <c r="I1083" s="4" t="str" cm="1">
        <f t="array" ref="I1083">INDEX(Sheet1!E:E,$G1083)</f>
        <v>Sheet1</v>
      </c>
      <c r="J1083" s="4" t="str" cm="1">
        <f t="array" ref="J1083">IF($C1083&gt;=25,INDEX(Sheet1!G:G,$G1083),INDEX(Sheet1!F:F,$G1083))</f>
        <v>B139</v>
      </c>
      <c r="K1083" s="4" cm="1">
        <f t="array" ref="K1083">INDEX(Sheet1!H:H,$G1083)</f>
        <v>1</v>
      </c>
      <c r="L1083" s="4">
        <f t="shared" si="64"/>
        <v>88</v>
      </c>
      <c r="M1083" s="4">
        <f t="shared" si="65"/>
        <v>0</v>
      </c>
    </row>
    <row r="1084" spans="1:13">
      <c r="A1084" s="4" t="str" cm="1">
        <f t="array" ref="A1084">INDEX(Sheet1!A:A,$F1084)</f>
        <v>M</v>
      </c>
      <c r="B1084" s="4" t="str" cm="1">
        <f t="array" ref="B1084">INDEX(Sheet1!B:B,$F1084)</f>
        <v>Agg/Unknown</v>
      </c>
      <c r="C1084" s="4">
        <f t="shared" si="66"/>
        <v>114</v>
      </c>
      <c r="D1084" s="5" cm="1">
        <f t="array" aca="1" ref="D1084" ca="1">OFFSET(INDIRECT("'["&amp;$H1084&amp;"]"&amp;$I1084&amp;"'!"&amp;$J1084),$L1084,$M1084)*$K1084</f>
        <v>0.72618000000000005</v>
      </c>
      <c r="F1084" s="4">
        <f t="shared" si="67"/>
        <v>10</v>
      </c>
      <c r="G1084" s="4" cm="1">
        <f t="array" ref="G1084">IF($C1084&gt;=25,F1084,IF($C1084&lt;16,INDEX(Sheet1!C:C,$F1084),$F1084))</f>
        <v>10</v>
      </c>
      <c r="H1084" s="4" t="str" cm="1">
        <f t="array" ref="H1084">INDEX(Sheet1!D:D,$G1084)</f>
        <v>t1136.xlsx</v>
      </c>
      <c r="I1084" s="4" t="str" cm="1">
        <f t="array" ref="I1084">INDEX(Sheet1!E:E,$G1084)</f>
        <v>Sheet1</v>
      </c>
      <c r="J1084" s="4" t="str" cm="1">
        <f t="array" ref="J1084">IF($C1084&gt;=25,INDEX(Sheet1!G:G,$G1084),INDEX(Sheet1!F:F,$G1084))</f>
        <v>B139</v>
      </c>
      <c r="K1084" s="4" cm="1">
        <f t="array" ref="K1084">INDEX(Sheet1!H:H,$G1084)</f>
        <v>1</v>
      </c>
      <c r="L1084" s="4">
        <f t="shared" si="64"/>
        <v>89</v>
      </c>
      <c r="M1084" s="4">
        <f t="shared" si="65"/>
        <v>0</v>
      </c>
    </row>
    <row r="1085" spans="1:13">
      <c r="A1085" s="4" t="str" cm="1">
        <f t="array" ref="A1085">INDEX(Sheet1!A:A,$F1085)</f>
        <v>M</v>
      </c>
      <c r="B1085" s="4" t="str" cm="1">
        <f t="array" ref="B1085">INDEX(Sheet1!B:B,$F1085)</f>
        <v>Agg/Unknown</v>
      </c>
      <c r="C1085" s="4">
        <f t="shared" si="66"/>
        <v>115</v>
      </c>
      <c r="D1085" s="5" cm="1">
        <f t="array" aca="1" ref="D1085" ca="1">OFFSET(INDIRECT("'["&amp;$H1085&amp;"]"&amp;$I1085&amp;"'!"&amp;$J1085),$L1085,$M1085)*$K1085</f>
        <v>0.76570000000000005</v>
      </c>
      <c r="F1085" s="4">
        <f t="shared" si="67"/>
        <v>10</v>
      </c>
      <c r="G1085" s="4" cm="1">
        <f t="array" ref="G1085">IF($C1085&gt;=25,F1085,IF($C1085&lt;16,INDEX(Sheet1!C:C,$F1085),$F1085))</f>
        <v>10</v>
      </c>
      <c r="H1085" s="4" t="str" cm="1">
        <f t="array" ref="H1085">INDEX(Sheet1!D:D,$G1085)</f>
        <v>t1136.xlsx</v>
      </c>
      <c r="I1085" s="4" t="str" cm="1">
        <f t="array" ref="I1085">INDEX(Sheet1!E:E,$G1085)</f>
        <v>Sheet1</v>
      </c>
      <c r="J1085" s="4" t="str" cm="1">
        <f t="array" ref="J1085">IF($C1085&gt;=25,INDEX(Sheet1!G:G,$G1085),INDEX(Sheet1!F:F,$G1085))</f>
        <v>B139</v>
      </c>
      <c r="K1085" s="4" cm="1">
        <f t="array" ref="K1085">INDEX(Sheet1!H:H,$G1085)</f>
        <v>1</v>
      </c>
      <c r="L1085" s="4">
        <f t="shared" si="64"/>
        <v>90</v>
      </c>
      <c r="M1085" s="4">
        <f t="shared" si="65"/>
        <v>0</v>
      </c>
    </row>
    <row r="1086" spans="1:13">
      <c r="A1086" s="4" t="str" cm="1">
        <f t="array" ref="A1086">INDEX(Sheet1!A:A,$F1086)</f>
        <v>M</v>
      </c>
      <c r="B1086" s="4" t="str" cm="1">
        <f t="array" ref="B1086">INDEX(Sheet1!B:B,$F1086)</f>
        <v>Agg/Unknown</v>
      </c>
      <c r="C1086" s="4">
        <f t="shared" si="66"/>
        <v>116</v>
      </c>
      <c r="D1086" s="5" cm="1">
        <f t="array" aca="1" ref="D1086" ca="1">OFFSET(INDIRECT("'["&amp;$H1086&amp;"]"&amp;$I1086&amp;"'!"&amp;$J1086),$L1086,$M1086)*$K1086</f>
        <v>0.80761000000000005</v>
      </c>
      <c r="F1086" s="4">
        <f t="shared" si="67"/>
        <v>10</v>
      </c>
      <c r="G1086" s="4" cm="1">
        <f t="array" ref="G1086">IF($C1086&gt;=25,F1086,IF($C1086&lt;16,INDEX(Sheet1!C:C,$F1086),$F1086))</f>
        <v>10</v>
      </c>
      <c r="H1086" s="4" t="str" cm="1">
        <f t="array" ref="H1086">INDEX(Sheet1!D:D,$G1086)</f>
        <v>t1136.xlsx</v>
      </c>
      <c r="I1086" s="4" t="str" cm="1">
        <f t="array" ref="I1086">INDEX(Sheet1!E:E,$G1086)</f>
        <v>Sheet1</v>
      </c>
      <c r="J1086" s="4" t="str" cm="1">
        <f t="array" ref="J1086">IF($C1086&gt;=25,INDEX(Sheet1!G:G,$G1086),INDEX(Sheet1!F:F,$G1086))</f>
        <v>B139</v>
      </c>
      <c r="K1086" s="4" cm="1">
        <f t="array" ref="K1086">INDEX(Sheet1!H:H,$G1086)</f>
        <v>1</v>
      </c>
      <c r="L1086" s="4">
        <f t="shared" si="64"/>
        <v>91</v>
      </c>
      <c r="M1086" s="4">
        <f t="shared" si="65"/>
        <v>0</v>
      </c>
    </row>
    <row r="1087" spans="1:13">
      <c r="A1087" s="4" t="str" cm="1">
        <f t="array" ref="A1087">INDEX(Sheet1!A:A,$F1087)</f>
        <v>M</v>
      </c>
      <c r="B1087" s="4" t="str" cm="1">
        <f t="array" ref="B1087">INDEX(Sheet1!B:B,$F1087)</f>
        <v>Agg/Unknown</v>
      </c>
      <c r="C1087" s="4">
        <f t="shared" si="66"/>
        <v>117</v>
      </c>
      <c r="D1087" s="5" cm="1">
        <f t="array" aca="1" ref="D1087" ca="1">OFFSET(INDIRECT("'["&amp;$H1087&amp;"]"&amp;$I1087&amp;"'!"&amp;$J1087),$L1087,$M1087)*$K1087</f>
        <v>0.85206999999999999</v>
      </c>
      <c r="F1087" s="4">
        <f t="shared" si="67"/>
        <v>10</v>
      </c>
      <c r="G1087" s="4" cm="1">
        <f t="array" ref="G1087">IF($C1087&gt;=25,F1087,IF($C1087&lt;16,INDEX(Sheet1!C:C,$F1087),$F1087))</f>
        <v>10</v>
      </c>
      <c r="H1087" s="4" t="str" cm="1">
        <f t="array" ref="H1087">INDEX(Sheet1!D:D,$G1087)</f>
        <v>t1136.xlsx</v>
      </c>
      <c r="I1087" s="4" t="str" cm="1">
        <f t="array" ref="I1087">INDEX(Sheet1!E:E,$G1087)</f>
        <v>Sheet1</v>
      </c>
      <c r="J1087" s="4" t="str" cm="1">
        <f t="array" ref="J1087">IF($C1087&gt;=25,INDEX(Sheet1!G:G,$G1087),INDEX(Sheet1!F:F,$G1087))</f>
        <v>B139</v>
      </c>
      <c r="K1087" s="4" cm="1">
        <f t="array" ref="K1087">INDEX(Sheet1!H:H,$G1087)</f>
        <v>1</v>
      </c>
      <c r="L1087" s="4">
        <f t="shared" si="64"/>
        <v>92</v>
      </c>
      <c r="M1087" s="4">
        <f t="shared" si="65"/>
        <v>0</v>
      </c>
    </row>
    <row r="1088" spans="1:13">
      <c r="A1088" s="4" t="str" cm="1">
        <f t="array" ref="A1088">INDEX(Sheet1!A:A,$F1088)</f>
        <v>M</v>
      </c>
      <c r="B1088" s="4" t="str" cm="1">
        <f t="array" ref="B1088">INDEX(Sheet1!B:B,$F1088)</f>
        <v>Agg/Unknown</v>
      </c>
      <c r="C1088" s="4">
        <f t="shared" si="66"/>
        <v>118</v>
      </c>
      <c r="D1088" s="5" cm="1">
        <f t="array" aca="1" ref="D1088" ca="1">OFFSET(INDIRECT("'["&amp;$H1088&amp;"]"&amp;$I1088&amp;"'!"&amp;$J1088),$L1088,$M1088)*$K1088</f>
        <v>0.89922999999999997</v>
      </c>
      <c r="F1088" s="4">
        <f t="shared" si="67"/>
        <v>10</v>
      </c>
      <c r="G1088" s="4" cm="1">
        <f t="array" ref="G1088">IF($C1088&gt;=25,F1088,IF($C1088&lt;16,INDEX(Sheet1!C:C,$F1088),$F1088))</f>
        <v>10</v>
      </c>
      <c r="H1088" s="4" t="str" cm="1">
        <f t="array" ref="H1088">INDEX(Sheet1!D:D,$G1088)</f>
        <v>t1136.xlsx</v>
      </c>
      <c r="I1088" s="4" t="str" cm="1">
        <f t="array" ref="I1088">INDEX(Sheet1!E:E,$G1088)</f>
        <v>Sheet1</v>
      </c>
      <c r="J1088" s="4" t="str" cm="1">
        <f t="array" ref="J1088">IF($C1088&gt;=25,INDEX(Sheet1!G:G,$G1088),INDEX(Sheet1!F:F,$G1088))</f>
        <v>B139</v>
      </c>
      <c r="K1088" s="4" cm="1">
        <f t="array" ref="K1088">INDEX(Sheet1!H:H,$G1088)</f>
        <v>1</v>
      </c>
      <c r="L1088" s="4">
        <f t="shared" si="64"/>
        <v>93</v>
      </c>
      <c r="M1088" s="4">
        <f t="shared" si="65"/>
        <v>0</v>
      </c>
    </row>
    <row r="1089" spans="1:13">
      <c r="A1089" s="4" t="str" cm="1">
        <f t="array" ref="A1089">INDEX(Sheet1!A:A,$F1089)</f>
        <v>M</v>
      </c>
      <c r="B1089" s="4" t="str" cm="1">
        <f t="array" ref="B1089">INDEX(Sheet1!B:B,$F1089)</f>
        <v>Agg/Unknown</v>
      </c>
      <c r="C1089" s="4">
        <f t="shared" si="66"/>
        <v>119</v>
      </c>
      <c r="D1089" s="5" cm="1">
        <f t="array" aca="1" ref="D1089" ca="1">OFFSET(INDIRECT("'["&amp;$H1089&amp;"]"&amp;$I1089&amp;"'!"&amp;$J1089),$L1089,$M1089)*$K1089</f>
        <v>0.94921999999999995</v>
      </c>
      <c r="F1089" s="4">
        <f t="shared" si="67"/>
        <v>10</v>
      </c>
      <c r="G1089" s="4" cm="1">
        <f t="array" ref="G1089">IF($C1089&gt;=25,F1089,IF($C1089&lt;16,INDEX(Sheet1!C:C,$F1089),$F1089))</f>
        <v>10</v>
      </c>
      <c r="H1089" s="4" t="str" cm="1">
        <f t="array" ref="H1089">INDEX(Sheet1!D:D,$G1089)</f>
        <v>t1136.xlsx</v>
      </c>
      <c r="I1089" s="4" t="str" cm="1">
        <f t="array" ref="I1089">INDEX(Sheet1!E:E,$G1089)</f>
        <v>Sheet1</v>
      </c>
      <c r="J1089" s="4" t="str" cm="1">
        <f t="array" ref="J1089">IF($C1089&gt;=25,INDEX(Sheet1!G:G,$G1089),INDEX(Sheet1!F:F,$G1089))</f>
        <v>B139</v>
      </c>
      <c r="K1089" s="4" cm="1">
        <f t="array" ref="K1089">INDEX(Sheet1!H:H,$G1089)</f>
        <v>1</v>
      </c>
      <c r="L1089" s="4">
        <f t="shared" si="64"/>
        <v>94</v>
      </c>
      <c r="M1089" s="4">
        <f t="shared" si="65"/>
        <v>0</v>
      </c>
    </row>
    <row r="1090" spans="1:13">
      <c r="A1090" s="4" t="str" cm="1">
        <f t="array" ref="A1090">INDEX(Sheet1!A:A,$F1090)</f>
        <v>M</v>
      </c>
      <c r="B1090" s="4" t="str" cm="1">
        <f t="array" ref="B1090">INDEX(Sheet1!B:B,$F1090)</f>
        <v>Agg/Unknown</v>
      </c>
      <c r="C1090" s="4">
        <f t="shared" si="66"/>
        <v>120</v>
      </c>
      <c r="D1090" s="5" cm="1">
        <f t="array" aca="1" ref="D1090" ca="1">OFFSET(INDIRECT("'["&amp;$H1090&amp;"]"&amp;$I1090&amp;"'!"&amp;$J1090),$L1090,$M1090)*$K1090</f>
        <v>1</v>
      </c>
      <c r="F1090" s="4">
        <f t="shared" si="67"/>
        <v>10</v>
      </c>
      <c r="G1090" s="4" cm="1">
        <f t="array" ref="G1090">IF($C1090&gt;=25,F1090,IF($C1090&lt;16,INDEX(Sheet1!C:C,$F1090),$F1090))</f>
        <v>10</v>
      </c>
      <c r="H1090" s="4" t="str" cm="1">
        <f t="array" ref="H1090">INDEX(Sheet1!D:D,$G1090)</f>
        <v>t1136.xlsx</v>
      </c>
      <c r="I1090" s="4" t="str" cm="1">
        <f t="array" ref="I1090">INDEX(Sheet1!E:E,$G1090)</f>
        <v>Sheet1</v>
      </c>
      <c r="J1090" s="4" t="str" cm="1">
        <f t="array" ref="J1090">IF($C1090&gt;=25,INDEX(Sheet1!G:G,$G1090),INDEX(Sheet1!F:F,$G1090))</f>
        <v>B139</v>
      </c>
      <c r="K1090" s="4" cm="1">
        <f t="array" ref="K1090">INDEX(Sheet1!H:H,$G1090)</f>
        <v>1</v>
      </c>
      <c r="L1090" s="4">
        <f t="shared" si="64"/>
        <v>95</v>
      </c>
      <c r="M1090" s="4">
        <f t="shared" si="65"/>
        <v>0</v>
      </c>
    </row>
    <row r="1091" spans="1:13">
      <c r="A1091" s="4" t="str" cm="1">
        <f t="array" ref="A1091">INDEX(Sheet1!A:A,$F1091)</f>
        <v>F</v>
      </c>
      <c r="B1091" s="4" t="str" cm="1">
        <f t="array" ref="B1091">INDEX(Sheet1!B:B,$F1091)</f>
        <v>Super-Pref NS</v>
      </c>
      <c r="C1091" s="4">
        <f t="shared" si="66"/>
        <v>0</v>
      </c>
      <c r="D1091" s="5" cm="1">
        <f t="array" aca="1" ref="D1091" ca="1">OFFSET(INDIRECT("'["&amp;$H1091&amp;"]"&amp;$I1091&amp;"'!"&amp;$J1091),$L1091,$M1091)*$K1091</f>
        <v>4.8000000000000001E-4</v>
      </c>
      <c r="F1091" s="4">
        <f t="shared" si="67"/>
        <v>11</v>
      </c>
      <c r="G1091" s="4" cm="1">
        <f t="array" ref="G1091">IF($C1091&gt;=25,F1091,IF($C1091&lt;16,INDEX(Sheet1!C:C,$F1091),$F1091))</f>
        <v>19</v>
      </c>
      <c r="H1091" s="4" t="str" cm="1">
        <f t="array" ref="H1091">INDEX(Sheet1!D:D,$G1091)</f>
        <v>t1139.xlsx</v>
      </c>
      <c r="I1091" s="4" t="str" cm="1">
        <f t="array" ref="I1091">INDEX(Sheet1!E:E,$G1091)</f>
        <v>Sheet1</v>
      </c>
      <c r="J1091" s="4" t="str" cm="1">
        <f t="array" ref="J1091">IF($C1091&gt;=25,INDEX(Sheet1!G:G,$G1091),INDEX(Sheet1!F:F,$G1091))</f>
        <v>B25</v>
      </c>
      <c r="K1091" s="4" cm="1">
        <f t="array" ref="K1091">INDEX(Sheet1!H:H,$G1091)</f>
        <v>1</v>
      </c>
      <c r="L1091" s="4">
        <f t="shared" ref="L1091:L1154" si="68">IF($C1091&gt;=25,$C1091-25,0)</f>
        <v>0</v>
      </c>
      <c r="M1091" s="4">
        <f t="shared" ref="M1091:M1154" si="69">IF($C1091&gt;=25,0,$C1091)</f>
        <v>0</v>
      </c>
    </row>
    <row r="1092" spans="1:13">
      <c r="A1092" s="4" t="str" cm="1">
        <f t="array" ref="A1092">INDEX(Sheet1!A:A,$F1092)</f>
        <v>F</v>
      </c>
      <c r="B1092" s="4" t="str" cm="1">
        <f t="array" ref="B1092">INDEX(Sheet1!B:B,$F1092)</f>
        <v>Super-Pref NS</v>
      </c>
      <c r="C1092" s="4">
        <f t="shared" ref="C1092:C1155" si="70">IF(C1091=120,0,C1091+1)</f>
        <v>1</v>
      </c>
      <c r="D1092" s="5" cm="1">
        <f t="array" aca="1" ref="D1092" ca="1">OFFSET(INDIRECT("'["&amp;$H1092&amp;"]"&amp;$I1092&amp;"'!"&amp;$J1092),$L1092,$M1092)*$K1092</f>
        <v>3.5E-4</v>
      </c>
      <c r="F1092" s="4">
        <f t="shared" ref="F1092:F1155" si="71">IF(C1092=0,1,0)+F1091</f>
        <v>11</v>
      </c>
      <c r="G1092" s="4" cm="1">
        <f t="array" ref="G1092">IF($C1092&gt;=25,F1092,IF($C1092&lt;16,INDEX(Sheet1!C:C,$F1092),$F1092))</f>
        <v>19</v>
      </c>
      <c r="H1092" s="4" t="str" cm="1">
        <f t="array" ref="H1092">INDEX(Sheet1!D:D,$G1092)</f>
        <v>t1139.xlsx</v>
      </c>
      <c r="I1092" s="4" t="str" cm="1">
        <f t="array" ref="I1092">INDEX(Sheet1!E:E,$G1092)</f>
        <v>Sheet1</v>
      </c>
      <c r="J1092" s="4" t="str" cm="1">
        <f t="array" ref="J1092">IF($C1092&gt;=25,INDEX(Sheet1!G:G,$G1092),INDEX(Sheet1!F:F,$G1092))</f>
        <v>B25</v>
      </c>
      <c r="K1092" s="4" cm="1">
        <f t="array" ref="K1092">INDEX(Sheet1!H:H,$G1092)</f>
        <v>1</v>
      </c>
      <c r="L1092" s="4">
        <f t="shared" si="68"/>
        <v>0</v>
      </c>
      <c r="M1092" s="4">
        <f t="shared" si="69"/>
        <v>1</v>
      </c>
    </row>
    <row r="1093" spans="1:13">
      <c r="A1093" s="4" t="str" cm="1">
        <f t="array" ref="A1093">INDEX(Sheet1!A:A,$F1093)</f>
        <v>F</v>
      </c>
      <c r="B1093" s="4" t="str" cm="1">
        <f t="array" ref="B1093">INDEX(Sheet1!B:B,$F1093)</f>
        <v>Super-Pref NS</v>
      </c>
      <c r="C1093" s="4">
        <f t="shared" si="70"/>
        <v>2</v>
      </c>
      <c r="D1093" s="5" cm="1">
        <f t="array" aca="1" ref="D1093" ca="1">OFFSET(INDIRECT("'["&amp;$H1093&amp;"]"&amp;$I1093&amp;"'!"&amp;$J1093),$L1093,$M1093)*$K1093</f>
        <v>2.5999999999999998E-4</v>
      </c>
      <c r="F1093" s="4">
        <f t="shared" si="71"/>
        <v>11</v>
      </c>
      <c r="G1093" s="4" cm="1">
        <f t="array" ref="G1093">IF($C1093&gt;=25,F1093,IF($C1093&lt;16,INDEX(Sheet1!C:C,$F1093),$F1093))</f>
        <v>19</v>
      </c>
      <c r="H1093" s="4" t="str" cm="1">
        <f t="array" ref="H1093">INDEX(Sheet1!D:D,$G1093)</f>
        <v>t1139.xlsx</v>
      </c>
      <c r="I1093" s="4" t="str" cm="1">
        <f t="array" ref="I1093">INDEX(Sheet1!E:E,$G1093)</f>
        <v>Sheet1</v>
      </c>
      <c r="J1093" s="4" t="str" cm="1">
        <f t="array" ref="J1093">IF($C1093&gt;=25,INDEX(Sheet1!G:G,$G1093),INDEX(Sheet1!F:F,$G1093))</f>
        <v>B25</v>
      </c>
      <c r="K1093" s="4" cm="1">
        <f t="array" ref="K1093">INDEX(Sheet1!H:H,$G1093)</f>
        <v>1</v>
      </c>
      <c r="L1093" s="4">
        <f t="shared" si="68"/>
        <v>0</v>
      </c>
      <c r="M1093" s="4">
        <f t="shared" si="69"/>
        <v>2</v>
      </c>
    </row>
    <row r="1094" spans="1:13">
      <c r="A1094" s="4" t="str" cm="1">
        <f t="array" ref="A1094">INDEX(Sheet1!A:A,$F1094)</f>
        <v>F</v>
      </c>
      <c r="B1094" s="4" t="str" cm="1">
        <f t="array" ref="B1094">INDEX(Sheet1!B:B,$F1094)</f>
        <v>Super-Pref NS</v>
      </c>
      <c r="C1094" s="4">
        <f t="shared" si="70"/>
        <v>3</v>
      </c>
      <c r="D1094" s="5" cm="1">
        <f t="array" aca="1" ref="D1094" ca="1">OFFSET(INDIRECT("'["&amp;$H1094&amp;"]"&amp;$I1094&amp;"'!"&amp;$J1094),$L1094,$M1094)*$K1094</f>
        <v>2.0000000000000001E-4</v>
      </c>
      <c r="F1094" s="4">
        <f t="shared" si="71"/>
        <v>11</v>
      </c>
      <c r="G1094" s="4" cm="1">
        <f t="array" ref="G1094">IF($C1094&gt;=25,F1094,IF($C1094&lt;16,INDEX(Sheet1!C:C,$F1094),$F1094))</f>
        <v>19</v>
      </c>
      <c r="H1094" s="4" t="str" cm="1">
        <f t="array" ref="H1094">INDEX(Sheet1!D:D,$G1094)</f>
        <v>t1139.xlsx</v>
      </c>
      <c r="I1094" s="4" t="str" cm="1">
        <f t="array" ref="I1094">INDEX(Sheet1!E:E,$G1094)</f>
        <v>Sheet1</v>
      </c>
      <c r="J1094" s="4" t="str" cm="1">
        <f t="array" ref="J1094">IF($C1094&gt;=25,INDEX(Sheet1!G:G,$G1094),INDEX(Sheet1!F:F,$G1094))</f>
        <v>B25</v>
      </c>
      <c r="K1094" s="4" cm="1">
        <f t="array" ref="K1094">INDEX(Sheet1!H:H,$G1094)</f>
        <v>1</v>
      </c>
      <c r="L1094" s="4">
        <f t="shared" si="68"/>
        <v>0</v>
      </c>
      <c r="M1094" s="4">
        <f t="shared" si="69"/>
        <v>3</v>
      </c>
    </row>
    <row r="1095" spans="1:13">
      <c r="A1095" s="4" t="str" cm="1">
        <f t="array" ref="A1095">INDEX(Sheet1!A:A,$F1095)</f>
        <v>F</v>
      </c>
      <c r="B1095" s="4" t="str" cm="1">
        <f t="array" ref="B1095">INDEX(Sheet1!B:B,$F1095)</f>
        <v>Super-Pref NS</v>
      </c>
      <c r="C1095" s="4">
        <f t="shared" si="70"/>
        <v>4</v>
      </c>
      <c r="D1095" s="5" cm="1">
        <f t="array" aca="1" ref="D1095" ca="1">OFFSET(INDIRECT("'["&amp;$H1095&amp;"]"&amp;$I1095&amp;"'!"&amp;$J1095),$L1095,$M1095)*$K1095</f>
        <v>1.9000000000000001E-4</v>
      </c>
      <c r="F1095" s="4">
        <f t="shared" si="71"/>
        <v>11</v>
      </c>
      <c r="G1095" s="4" cm="1">
        <f t="array" ref="G1095">IF($C1095&gt;=25,F1095,IF($C1095&lt;16,INDEX(Sheet1!C:C,$F1095),$F1095))</f>
        <v>19</v>
      </c>
      <c r="H1095" s="4" t="str" cm="1">
        <f t="array" ref="H1095">INDEX(Sheet1!D:D,$G1095)</f>
        <v>t1139.xlsx</v>
      </c>
      <c r="I1095" s="4" t="str" cm="1">
        <f t="array" ref="I1095">INDEX(Sheet1!E:E,$G1095)</f>
        <v>Sheet1</v>
      </c>
      <c r="J1095" s="4" t="str" cm="1">
        <f t="array" ref="J1095">IF($C1095&gt;=25,INDEX(Sheet1!G:G,$G1095),INDEX(Sheet1!F:F,$G1095))</f>
        <v>B25</v>
      </c>
      <c r="K1095" s="4" cm="1">
        <f t="array" ref="K1095">INDEX(Sheet1!H:H,$G1095)</f>
        <v>1</v>
      </c>
      <c r="L1095" s="4">
        <f t="shared" si="68"/>
        <v>0</v>
      </c>
      <c r="M1095" s="4">
        <f t="shared" si="69"/>
        <v>4</v>
      </c>
    </row>
    <row r="1096" spans="1:13">
      <c r="A1096" s="4" t="str" cm="1">
        <f t="array" ref="A1096">INDEX(Sheet1!A:A,$F1096)</f>
        <v>F</v>
      </c>
      <c r="B1096" s="4" t="str" cm="1">
        <f t="array" ref="B1096">INDEX(Sheet1!B:B,$F1096)</f>
        <v>Super-Pref NS</v>
      </c>
      <c r="C1096" s="4">
        <f t="shared" si="70"/>
        <v>5</v>
      </c>
      <c r="D1096" s="5" cm="1">
        <f t="array" aca="1" ref="D1096" ca="1">OFFSET(INDIRECT("'["&amp;$H1096&amp;"]"&amp;$I1096&amp;"'!"&amp;$J1096),$L1096,$M1096)*$K1096</f>
        <v>1.8000000000000001E-4</v>
      </c>
      <c r="F1096" s="4">
        <f t="shared" si="71"/>
        <v>11</v>
      </c>
      <c r="G1096" s="4" cm="1">
        <f t="array" ref="G1096">IF($C1096&gt;=25,F1096,IF($C1096&lt;16,INDEX(Sheet1!C:C,$F1096),$F1096))</f>
        <v>19</v>
      </c>
      <c r="H1096" s="4" t="str" cm="1">
        <f t="array" ref="H1096">INDEX(Sheet1!D:D,$G1096)</f>
        <v>t1139.xlsx</v>
      </c>
      <c r="I1096" s="4" t="str" cm="1">
        <f t="array" ref="I1096">INDEX(Sheet1!E:E,$G1096)</f>
        <v>Sheet1</v>
      </c>
      <c r="J1096" s="4" t="str" cm="1">
        <f t="array" ref="J1096">IF($C1096&gt;=25,INDEX(Sheet1!G:G,$G1096),INDEX(Sheet1!F:F,$G1096))</f>
        <v>B25</v>
      </c>
      <c r="K1096" s="4" cm="1">
        <f t="array" ref="K1096">INDEX(Sheet1!H:H,$G1096)</f>
        <v>1</v>
      </c>
      <c r="L1096" s="4">
        <f t="shared" si="68"/>
        <v>0</v>
      </c>
      <c r="M1096" s="4">
        <f t="shared" si="69"/>
        <v>5</v>
      </c>
    </row>
    <row r="1097" spans="1:13">
      <c r="A1097" s="4" t="str" cm="1">
        <f t="array" ref="A1097">INDEX(Sheet1!A:A,$F1097)</f>
        <v>F</v>
      </c>
      <c r="B1097" s="4" t="str" cm="1">
        <f t="array" ref="B1097">INDEX(Sheet1!B:B,$F1097)</f>
        <v>Super-Pref NS</v>
      </c>
      <c r="C1097" s="4">
        <f t="shared" si="70"/>
        <v>6</v>
      </c>
      <c r="D1097" s="5" cm="1">
        <f t="array" aca="1" ref="D1097" ca="1">OFFSET(INDIRECT("'["&amp;$H1097&amp;"]"&amp;$I1097&amp;"'!"&amp;$J1097),$L1097,$M1097)*$K1097</f>
        <v>1.8000000000000001E-4</v>
      </c>
      <c r="F1097" s="4">
        <f t="shared" si="71"/>
        <v>11</v>
      </c>
      <c r="G1097" s="4" cm="1">
        <f t="array" ref="G1097">IF($C1097&gt;=25,F1097,IF($C1097&lt;16,INDEX(Sheet1!C:C,$F1097),$F1097))</f>
        <v>19</v>
      </c>
      <c r="H1097" s="4" t="str" cm="1">
        <f t="array" ref="H1097">INDEX(Sheet1!D:D,$G1097)</f>
        <v>t1139.xlsx</v>
      </c>
      <c r="I1097" s="4" t="str" cm="1">
        <f t="array" ref="I1097">INDEX(Sheet1!E:E,$G1097)</f>
        <v>Sheet1</v>
      </c>
      <c r="J1097" s="4" t="str" cm="1">
        <f t="array" ref="J1097">IF($C1097&gt;=25,INDEX(Sheet1!G:G,$G1097),INDEX(Sheet1!F:F,$G1097))</f>
        <v>B25</v>
      </c>
      <c r="K1097" s="4" cm="1">
        <f t="array" ref="K1097">INDEX(Sheet1!H:H,$G1097)</f>
        <v>1</v>
      </c>
      <c r="L1097" s="4">
        <f t="shared" si="68"/>
        <v>0</v>
      </c>
      <c r="M1097" s="4">
        <f t="shared" si="69"/>
        <v>6</v>
      </c>
    </row>
    <row r="1098" spans="1:13">
      <c r="A1098" s="4" t="str" cm="1">
        <f t="array" ref="A1098">INDEX(Sheet1!A:A,$F1098)</f>
        <v>F</v>
      </c>
      <c r="B1098" s="4" t="str" cm="1">
        <f t="array" ref="B1098">INDEX(Sheet1!B:B,$F1098)</f>
        <v>Super-Pref NS</v>
      </c>
      <c r="C1098" s="4">
        <f t="shared" si="70"/>
        <v>7</v>
      </c>
      <c r="D1098" s="5" cm="1">
        <f t="array" aca="1" ref="D1098" ca="1">OFFSET(INDIRECT("'["&amp;$H1098&amp;"]"&amp;$I1098&amp;"'!"&amp;$J1098),$L1098,$M1098)*$K1098</f>
        <v>2.1000000000000001E-4</v>
      </c>
      <c r="F1098" s="4">
        <f t="shared" si="71"/>
        <v>11</v>
      </c>
      <c r="G1098" s="4" cm="1">
        <f t="array" ref="G1098">IF($C1098&gt;=25,F1098,IF($C1098&lt;16,INDEX(Sheet1!C:C,$F1098),$F1098))</f>
        <v>19</v>
      </c>
      <c r="H1098" s="4" t="str" cm="1">
        <f t="array" ref="H1098">INDEX(Sheet1!D:D,$G1098)</f>
        <v>t1139.xlsx</v>
      </c>
      <c r="I1098" s="4" t="str" cm="1">
        <f t="array" ref="I1098">INDEX(Sheet1!E:E,$G1098)</f>
        <v>Sheet1</v>
      </c>
      <c r="J1098" s="4" t="str" cm="1">
        <f t="array" ref="J1098">IF($C1098&gt;=25,INDEX(Sheet1!G:G,$G1098),INDEX(Sheet1!F:F,$G1098))</f>
        <v>B25</v>
      </c>
      <c r="K1098" s="4" cm="1">
        <f t="array" ref="K1098">INDEX(Sheet1!H:H,$G1098)</f>
        <v>1</v>
      </c>
      <c r="L1098" s="4">
        <f t="shared" si="68"/>
        <v>0</v>
      </c>
      <c r="M1098" s="4">
        <f t="shared" si="69"/>
        <v>7</v>
      </c>
    </row>
    <row r="1099" spans="1:13">
      <c r="A1099" s="4" t="str" cm="1">
        <f t="array" ref="A1099">INDEX(Sheet1!A:A,$F1099)</f>
        <v>F</v>
      </c>
      <c r="B1099" s="4" t="str" cm="1">
        <f t="array" ref="B1099">INDEX(Sheet1!B:B,$F1099)</f>
        <v>Super-Pref NS</v>
      </c>
      <c r="C1099" s="4">
        <f t="shared" si="70"/>
        <v>8</v>
      </c>
      <c r="D1099" s="5" cm="1">
        <f t="array" aca="1" ref="D1099" ca="1">OFFSET(INDIRECT("'["&amp;$H1099&amp;"]"&amp;$I1099&amp;"'!"&amp;$J1099),$L1099,$M1099)*$K1099</f>
        <v>2.1000000000000001E-4</v>
      </c>
      <c r="F1099" s="4">
        <f t="shared" si="71"/>
        <v>11</v>
      </c>
      <c r="G1099" s="4" cm="1">
        <f t="array" ref="G1099">IF($C1099&gt;=25,F1099,IF($C1099&lt;16,INDEX(Sheet1!C:C,$F1099),$F1099))</f>
        <v>19</v>
      </c>
      <c r="H1099" s="4" t="str" cm="1">
        <f t="array" ref="H1099">INDEX(Sheet1!D:D,$G1099)</f>
        <v>t1139.xlsx</v>
      </c>
      <c r="I1099" s="4" t="str" cm="1">
        <f t="array" ref="I1099">INDEX(Sheet1!E:E,$G1099)</f>
        <v>Sheet1</v>
      </c>
      <c r="J1099" s="4" t="str" cm="1">
        <f t="array" ref="J1099">IF($C1099&gt;=25,INDEX(Sheet1!G:G,$G1099),INDEX(Sheet1!F:F,$G1099))</f>
        <v>B25</v>
      </c>
      <c r="K1099" s="4" cm="1">
        <f t="array" ref="K1099">INDEX(Sheet1!H:H,$G1099)</f>
        <v>1</v>
      </c>
      <c r="L1099" s="4">
        <f t="shared" si="68"/>
        <v>0</v>
      </c>
      <c r="M1099" s="4">
        <f t="shared" si="69"/>
        <v>8</v>
      </c>
    </row>
    <row r="1100" spans="1:13">
      <c r="A1100" s="4" t="str" cm="1">
        <f t="array" ref="A1100">INDEX(Sheet1!A:A,$F1100)</f>
        <v>F</v>
      </c>
      <c r="B1100" s="4" t="str" cm="1">
        <f t="array" ref="B1100">INDEX(Sheet1!B:B,$F1100)</f>
        <v>Super-Pref NS</v>
      </c>
      <c r="C1100" s="4">
        <f t="shared" si="70"/>
        <v>9</v>
      </c>
      <c r="D1100" s="5" cm="1">
        <f t="array" aca="1" ref="D1100" ca="1">OFFSET(INDIRECT("'["&amp;$H1100&amp;"]"&amp;$I1100&amp;"'!"&amp;$J1100),$L1100,$M1100)*$K1100</f>
        <v>2.1000000000000001E-4</v>
      </c>
      <c r="F1100" s="4">
        <f t="shared" si="71"/>
        <v>11</v>
      </c>
      <c r="G1100" s="4" cm="1">
        <f t="array" ref="G1100">IF($C1100&gt;=25,F1100,IF($C1100&lt;16,INDEX(Sheet1!C:C,$F1100),$F1100))</f>
        <v>19</v>
      </c>
      <c r="H1100" s="4" t="str" cm="1">
        <f t="array" ref="H1100">INDEX(Sheet1!D:D,$G1100)</f>
        <v>t1139.xlsx</v>
      </c>
      <c r="I1100" s="4" t="str" cm="1">
        <f t="array" ref="I1100">INDEX(Sheet1!E:E,$G1100)</f>
        <v>Sheet1</v>
      </c>
      <c r="J1100" s="4" t="str" cm="1">
        <f t="array" ref="J1100">IF($C1100&gt;=25,INDEX(Sheet1!G:G,$G1100),INDEX(Sheet1!F:F,$G1100))</f>
        <v>B25</v>
      </c>
      <c r="K1100" s="4" cm="1">
        <f t="array" ref="K1100">INDEX(Sheet1!H:H,$G1100)</f>
        <v>1</v>
      </c>
      <c r="L1100" s="4">
        <f t="shared" si="68"/>
        <v>0</v>
      </c>
      <c r="M1100" s="4">
        <f t="shared" si="69"/>
        <v>9</v>
      </c>
    </row>
    <row r="1101" spans="1:13">
      <c r="A1101" s="4" t="str" cm="1">
        <f t="array" ref="A1101">INDEX(Sheet1!A:A,$F1101)</f>
        <v>F</v>
      </c>
      <c r="B1101" s="4" t="str" cm="1">
        <f t="array" ref="B1101">INDEX(Sheet1!B:B,$F1101)</f>
        <v>Super-Pref NS</v>
      </c>
      <c r="C1101" s="4">
        <f t="shared" si="70"/>
        <v>10</v>
      </c>
      <c r="D1101" s="5" cm="1">
        <f t="array" aca="1" ref="D1101" ca="1">OFFSET(INDIRECT("'["&amp;$H1101&amp;"]"&amp;$I1101&amp;"'!"&amp;$J1101),$L1101,$M1101)*$K1101</f>
        <v>2.2000000000000001E-4</v>
      </c>
      <c r="F1101" s="4">
        <f t="shared" si="71"/>
        <v>11</v>
      </c>
      <c r="G1101" s="4" cm="1">
        <f t="array" ref="G1101">IF($C1101&gt;=25,F1101,IF($C1101&lt;16,INDEX(Sheet1!C:C,$F1101),$F1101))</f>
        <v>19</v>
      </c>
      <c r="H1101" s="4" t="str" cm="1">
        <f t="array" ref="H1101">INDEX(Sheet1!D:D,$G1101)</f>
        <v>t1139.xlsx</v>
      </c>
      <c r="I1101" s="4" t="str" cm="1">
        <f t="array" ref="I1101">INDEX(Sheet1!E:E,$G1101)</f>
        <v>Sheet1</v>
      </c>
      <c r="J1101" s="4" t="str" cm="1">
        <f t="array" ref="J1101">IF($C1101&gt;=25,INDEX(Sheet1!G:G,$G1101),INDEX(Sheet1!F:F,$G1101))</f>
        <v>B25</v>
      </c>
      <c r="K1101" s="4" cm="1">
        <f t="array" ref="K1101">INDEX(Sheet1!H:H,$G1101)</f>
        <v>1</v>
      </c>
      <c r="L1101" s="4">
        <f t="shared" si="68"/>
        <v>0</v>
      </c>
      <c r="M1101" s="4">
        <f t="shared" si="69"/>
        <v>10</v>
      </c>
    </row>
    <row r="1102" spans="1:13">
      <c r="A1102" s="4" t="str" cm="1">
        <f t="array" ref="A1102">INDEX(Sheet1!A:A,$F1102)</f>
        <v>F</v>
      </c>
      <c r="B1102" s="4" t="str" cm="1">
        <f t="array" ref="B1102">INDEX(Sheet1!B:B,$F1102)</f>
        <v>Super-Pref NS</v>
      </c>
      <c r="C1102" s="4">
        <f t="shared" si="70"/>
        <v>11</v>
      </c>
      <c r="D1102" s="5" cm="1">
        <f t="array" aca="1" ref="D1102" ca="1">OFFSET(INDIRECT("'["&amp;$H1102&amp;"]"&amp;$I1102&amp;"'!"&amp;$J1102),$L1102,$M1102)*$K1102</f>
        <v>2.3000000000000001E-4</v>
      </c>
      <c r="F1102" s="4">
        <f t="shared" si="71"/>
        <v>11</v>
      </c>
      <c r="G1102" s="4" cm="1">
        <f t="array" ref="G1102">IF($C1102&gt;=25,F1102,IF($C1102&lt;16,INDEX(Sheet1!C:C,$F1102),$F1102))</f>
        <v>19</v>
      </c>
      <c r="H1102" s="4" t="str" cm="1">
        <f t="array" ref="H1102">INDEX(Sheet1!D:D,$G1102)</f>
        <v>t1139.xlsx</v>
      </c>
      <c r="I1102" s="4" t="str" cm="1">
        <f t="array" ref="I1102">INDEX(Sheet1!E:E,$G1102)</f>
        <v>Sheet1</v>
      </c>
      <c r="J1102" s="4" t="str" cm="1">
        <f t="array" ref="J1102">IF($C1102&gt;=25,INDEX(Sheet1!G:G,$G1102),INDEX(Sheet1!F:F,$G1102))</f>
        <v>B25</v>
      </c>
      <c r="K1102" s="4" cm="1">
        <f t="array" ref="K1102">INDEX(Sheet1!H:H,$G1102)</f>
        <v>1</v>
      </c>
      <c r="L1102" s="4">
        <f t="shared" si="68"/>
        <v>0</v>
      </c>
      <c r="M1102" s="4">
        <f t="shared" si="69"/>
        <v>11</v>
      </c>
    </row>
    <row r="1103" spans="1:13">
      <c r="A1103" s="4" t="str" cm="1">
        <f t="array" ref="A1103">INDEX(Sheet1!A:A,$F1103)</f>
        <v>F</v>
      </c>
      <c r="B1103" s="4" t="str" cm="1">
        <f t="array" ref="B1103">INDEX(Sheet1!B:B,$F1103)</f>
        <v>Super-Pref NS</v>
      </c>
      <c r="C1103" s="4">
        <f t="shared" si="70"/>
        <v>12</v>
      </c>
      <c r="D1103" s="5" cm="1">
        <f t="array" aca="1" ref="D1103" ca="1">OFFSET(INDIRECT("'["&amp;$H1103&amp;"]"&amp;$I1103&amp;"'!"&amp;$J1103),$L1103,$M1103)*$K1103</f>
        <v>2.7E-4</v>
      </c>
      <c r="F1103" s="4">
        <f t="shared" si="71"/>
        <v>11</v>
      </c>
      <c r="G1103" s="4" cm="1">
        <f t="array" ref="G1103">IF($C1103&gt;=25,F1103,IF($C1103&lt;16,INDEX(Sheet1!C:C,$F1103),$F1103))</f>
        <v>19</v>
      </c>
      <c r="H1103" s="4" t="str" cm="1">
        <f t="array" ref="H1103">INDEX(Sheet1!D:D,$G1103)</f>
        <v>t1139.xlsx</v>
      </c>
      <c r="I1103" s="4" t="str" cm="1">
        <f t="array" ref="I1103">INDEX(Sheet1!E:E,$G1103)</f>
        <v>Sheet1</v>
      </c>
      <c r="J1103" s="4" t="str" cm="1">
        <f t="array" ref="J1103">IF($C1103&gt;=25,INDEX(Sheet1!G:G,$G1103),INDEX(Sheet1!F:F,$G1103))</f>
        <v>B25</v>
      </c>
      <c r="K1103" s="4" cm="1">
        <f t="array" ref="K1103">INDEX(Sheet1!H:H,$G1103)</f>
        <v>1</v>
      </c>
      <c r="L1103" s="4">
        <f t="shared" si="68"/>
        <v>0</v>
      </c>
      <c r="M1103" s="4">
        <f t="shared" si="69"/>
        <v>12</v>
      </c>
    </row>
    <row r="1104" spans="1:13">
      <c r="A1104" s="4" t="str" cm="1">
        <f t="array" ref="A1104">INDEX(Sheet1!A:A,$F1104)</f>
        <v>F</v>
      </c>
      <c r="B1104" s="4" t="str" cm="1">
        <f t="array" ref="B1104">INDEX(Sheet1!B:B,$F1104)</f>
        <v>Super-Pref NS</v>
      </c>
      <c r="C1104" s="4">
        <f t="shared" si="70"/>
        <v>13</v>
      </c>
      <c r="D1104" s="5" cm="1">
        <f t="array" aca="1" ref="D1104" ca="1">OFFSET(INDIRECT("'["&amp;$H1104&amp;"]"&amp;$I1104&amp;"'!"&amp;$J1104),$L1104,$M1104)*$K1104</f>
        <v>2.9999999999999997E-4</v>
      </c>
      <c r="F1104" s="4">
        <f t="shared" si="71"/>
        <v>11</v>
      </c>
      <c r="G1104" s="4" cm="1">
        <f t="array" ref="G1104">IF($C1104&gt;=25,F1104,IF($C1104&lt;16,INDEX(Sheet1!C:C,$F1104),$F1104))</f>
        <v>19</v>
      </c>
      <c r="H1104" s="4" t="str" cm="1">
        <f t="array" ref="H1104">INDEX(Sheet1!D:D,$G1104)</f>
        <v>t1139.xlsx</v>
      </c>
      <c r="I1104" s="4" t="str" cm="1">
        <f t="array" ref="I1104">INDEX(Sheet1!E:E,$G1104)</f>
        <v>Sheet1</v>
      </c>
      <c r="J1104" s="4" t="str" cm="1">
        <f t="array" ref="J1104">IF($C1104&gt;=25,INDEX(Sheet1!G:G,$G1104),INDEX(Sheet1!F:F,$G1104))</f>
        <v>B25</v>
      </c>
      <c r="K1104" s="4" cm="1">
        <f t="array" ref="K1104">INDEX(Sheet1!H:H,$G1104)</f>
        <v>1</v>
      </c>
      <c r="L1104" s="4">
        <f t="shared" si="68"/>
        <v>0</v>
      </c>
      <c r="M1104" s="4">
        <f t="shared" si="69"/>
        <v>13</v>
      </c>
    </row>
    <row r="1105" spans="1:13">
      <c r="A1105" s="4" t="str" cm="1">
        <f t="array" ref="A1105">INDEX(Sheet1!A:A,$F1105)</f>
        <v>F</v>
      </c>
      <c r="B1105" s="4" t="str" cm="1">
        <f t="array" ref="B1105">INDEX(Sheet1!B:B,$F1105)</f>
        <v>Super-Pref NS</v>
      </c>
      <c r="C1105" s="4">
        <f t="shared" si="70"/>
        <v>14</v>
      </c>
      <c r="D1105" s="5" cm="1">
        <f t="array" aca="1" ref="D1105" ca="1">OFFSET(INDIRECT("'["&amp;$H1105&amp;"]"&amp;$I1105&amp;"'!"&amp;$J1105),$L1105,$M1105)*$K1105</f>
        <v>3.3E-4</v>
      </c>
      <c r="F1105" s="4">
        <f t="shared" si="71"/>
        <v>11</v>
      </c>
      <c r="G1105" s="4" cm="1">
        <f t="array" ref="G1105">IF($C1105&gt;=25,F1105,IF($C1105&lt;16,INDEX(Sheet1!C:C,$F1105),$F1105))</f>
        <v>19</v>
      </c>
      <c r="H1105" s="4" t="str" cm="1">
        <f t="array" ref="H1105">INDEX(Sheet1!D:D,$G1105)</f>
        <v>t1139.xlsx</v>
      </c>
      <c r="I1105" s="4" t="str" cm="1">
        <f t="array" ref="I1105">INDEX(Sheet1!E:E,$G1105)</f>
        <v>Sheet1</v>
      </c>
      <c r="J1105" s="4" t="str" cm="1">
        <f t="array" ref="J1105">IF($C1105&gt;=25,INDEX(Sheet1!G:G,$G1105),INDEX(Sheet1!F:F,$G1105))</f>
        <v>B25</v>
      </c>
      <c r="K1105" s="4" cm="1">
        <f t="array" ref="K1105">INDEX(Sheet1!H:H,$G1105)</f>
        <v>1</v>
      </c>
      <c r="L1105" s="4">
        <f t="shared" si="68"/>
        <v>0</v>
      </c>
      <c r="M1105" s="4">
        <f t="shared" si="69"/>
        <v>14</v>
      </c>
    </row>
    <row r="1106" spans="1:13">
      <c r="A1106" s="4" t="str" cm="1">
        <f t="array" ref="A1106">INDEX(Sheet1!A:A,$F1106)</f>
        <v>F</v>
      </c>
      <c r="B1106" s="4" t="str" cm="1">
        <f t="array" ref="B1106">INDEX(Sheet1!B:B,$F1106)</f>
        <v>Super-Pref NS</v>
      </c>
      <c r="C1106" s="4">
        <f t="shared" si="70"/>
        <v>15</v>
      </c>
      <c r="D1106" s="5" cm="1">
        <f t="array" aca="1" ref="D1106" ca="1">OFFSET(INDIRECT("'["&amp;$H1106&amp;"]"&amp;$I1106&amp;"'!"&amp;$J1106),$L1106,$M1106)*$K1106</f>
        <v>3.5E-4</v>
      </c>
      <c r="F1106" s="4">
        <f t="shared" si="71"/>
        <v>11</v>
      </c>
      <c r="G1106" s="4" cm="1">
        <f t="array" ref="G1106">IF($C1106&gt;=25,F1106,IF($C1106&lt;16,INDEX(Sheet1!C:C,$F1106),$F1106))</f>
        <v>19</v>
      </c>
      <c r="H1106" s="4" t="str" cm="1">
        <f t="array" ref="H1106">INDEX(Sheet1!D:D,$G1106)</f>
        <v>t1139.xlsx</v>
      </c>
      <c r="I1106" s="4" t="str" cm="1">
        <f t="array" ref="I1106">INDEX(Sheet1!E:E,$G1106)</f>
        <v>Sheet1</v>
      </c>
      <c r="J1106" s="4" t="str" cm="1">
        <f t="array" ref="J1106">IF($C1106&gt;=25,INDEX(Sheet1!G:G,$G1106),INDEX(Sheet1!F:F,$G1106))</f>
        <v>B25</v>
      </c>
      <c r="K1106" s="4" cm="1">
        <f t="array" ref="K1106">INDEX(Sheet1!H:H,$G1106)</f>
        <v>1</v>
      </c>
      <c r="L1106" s="4">
        <f t="shared" si="68"/>
        <v>0</v>
      </c>
      <c r="M1106" s="4">
        <f t="shared" si="69"/>
        <v>15</v>
      </c>
    </row>
    <row r="1107" spans="1:13">
      <c r="A1107" s="4" t="str" cm="1">
        <f t="array" ref="A1107">INDEX(Sheet1!A:A,$F1107)</f>
        <v>F</v>
      </c>
      <c r="B1107" s="4" t="str" cm="1">
        <f t="array" ref="B1107">INDEX(Sheet1!B:B,$F1107)</f>
        <v>Super-Pref NS</v>
      </c>
      <c r="C1107" s="4">
        <f t="shared" si="70"/>
        <v>16</v>
      </c>
      <c r="D1107" s="5" cm="1">
        <f t="array" aca="1" ref="D1107" ca="1">OFFSET(INDIRECT("'["&amp;$H1107&amp;"]"&amp;$I1107&amp;"'!"&amp;$J1107),$L1107,$M1107)*$K1107</f>
        <v>2.3000000000000001E-4</v>
      </c>
      <c r="F1107" s="4">
        <f t="shared" si="71"/>
        <v>11</v>
      </c>
      <c r="G1107" s="4" cm="1">
        <f t="array" ref="G1107">IF($C1107&gt;=25,F1107,IF($C1107&lt;16,INDEX(Sheet1!C:C,$F1107),$F1107))</f>
        <v>11</v>
      </c>
      <c r="H1107" s="4" t="str" cm="1">
        <f t="array" ref="H1107">INDEX(Sheet1!D:D,$G1107)</f>
        <v>2001-cso-preferred-class-structure-mortality-tables.xls</v>
      </c>
      <c r="I1107" s="4" t="str" cm="1">
        <f t="array" ref="I1107">INDEX(Sheet1!E:E,$G1107)</f>
        <v>A.1.b.i</v>
      </c>
      <c r="J1107" s="4" t="str" cm="1">
        <f t="array" ref="J1107">IF($C1107&gt;=25,INDEX(Sheet1!G:G,$G1107),INDEX(Sheet1!F:F,$G1107))</f>
        <v>B8</v>
      </c>
      <c r="K1107" s="4" cm="1">
        <f t="array" ref="K1107">INDEX(Sheet1!H:H,$G1107)</f>
        <v>1E-3</v>
      </c>
      <c r="L1107" s="4">
        <f t="shared" si="68"/>
        <v>0</v>
      </c>
      <c r="M1107" s="4">
        <f t="shared" si="69"/>
        <v>16</v>
      </c>
    </row>
    <row r="1108" spans="1:13">
      <c r="A1108" s="4" t="str" cm="1">
        <f t="array" ref="A1108">INDEX(Sheet1!A:A,$F1108)</f>
        <v>F</v>
      </c>
      <c r="B1108" s="4" t="str" cm="1">
        <f t="array" ref="B1108">INDEX(Sheet1!B:B,$F1108)</f>
        <v>Super-Pref NS</v>
      </c>
      <c r="C1108" s="4">
        <f t="shared" si="70"/>
        <v>17</v>
      </c>
      <c r="D1108" s="5" cm="1">
        <f t="array" aca="1" ref="D1108" ca="1">OFFSET(INDIRECT("'["&amp;$H1108&amp;"]"&amp;$I1108&amp;"'!"&amp;$J1108),$L1108,$M1108)*$K1108</f>
        <v>2.5000000000000001E-4</v>
      </c>
      <c r="F1108" s="4">
        <f t="shared" si="71"/>
        <v>11</v>
      </c>
      <c r="G1108" s="4" cm="1">
        <f t="array" ref="G1108">IF($C1108&gt;=25,F1108,IF($C1108&lt;16,INDEX(Sheet1!C:C,$F1108),$F1108))</f>
        <v>11</v>
      </c>
      <c r="H1108" s="4" t="str" cm="1">
        <f t="array" ref="H1108">INDEX(Sheet1!D:D,$G1108)</f>
        <v>2001-cso-preferred-class-structure-mortality-tables.xls</v>
      </c>
      <c r="I1108" s="4" t="str" cm="1">
        <f t="array" ref="I1108">INDEX(Sheet1!E:E,$G1108)</f>
        <v>A.1.b.i</v>
      </c>
      <c r="J1108" s="4" t="str" cm="1">
        <f t="array" ref="J1108">IF($C1108&gt;=25,INDEX(Sheet1!G:G,$G1108),INDEX(Sheet1!F:F,$G1108))</f>
        <v>B8</v>
      </c>
      <c r="K1108" s="4" cm="1">
        <f t="array" ref="K1108">INDEX(Sheet1!H:H,$G1108)</f>
        <v>1E-3</v>
      </c>
      <c r="L1108" s="4">
        <f t="shared" si="68"/>
        <v>0</v>
      </c>
      <c r="M1108" s="4">
        <f t="shared" si="69"/>
        <v>17</v>
      </c>
    </row>
    <row r="1109" spans="1:13">
      <c r="A1109" s="4" t="str" cm="1">
        <f t="array" ref="A1109">INDEX(Sheet1!A:A,$F1109)</f>
        <v>F</v>
      </c>
      <c r="B1109" s="4" t="str" cm="1">
        <f t="array" ref="B1109">INDEX(Sheet1!B:B,$F1109)</f>
        <v>Super-Pref NS</v>
      </c>
      <c r="C1109" s="4">
        <f t="shared" si="70"/>
        <v>18</v>
      </c>
      <c r="D1109" s="5" cm="1">
        <f t="array" aca="1" ref="D1109" ca="1">OFFSET(INDIRECT("'["&amp;$H1109&amp;"]"&amp;$I1109&amp;"'!"&amp;$J1109),$L1109,$M1109)*$K1109</f>
        <v>2.5000000000000001E-4</v>
      </c>
      <c r="F1109" s="4">
        <f t="shared" si="71"/>
        <v>11</v>
      </c>
      <c r="G1109" s="4" cm="1">
        <f t="array" ref="G1109">IF($C1109&gt;=25,F1109,IF($C1109&lt;16,INDEX(Sheet1!C:C,$F1109),$F1109))</f>
        <v>11</v>
      </c>
      <c r="H1109" s="4" t="str" cm="1">
        <f t="array" ref="H1109">INDEX(Sheet1!D:D,$G1109)</f>
        <v>2001-cso-preferred-class-structure-mortality-tables.xls</v>
      </c>
      <c r="I1109" s="4" t="str" cm="1">
        <f t="array" ref="I1109">INDEX(Sheet1!E:E,$G1109)</f>
        <v>A.1.b.i</v>
      </c>
      <c r="J1109" s="4" t="str" cm="1">
        <f t="array" ref="J1109">IF($C1109&gt;=25,INDEX(Sheet1!G:G,$G1109),INDEX(Sheet1!F:F,$G1109))</f>
        <v>B8</v>
      </c>
      <c r="K1109" s="4" cm="1">
        <f t="array" ref="K1109">INDEX(Sheet1!H:H,$G1109)</f>
        <v>1E-3</v>
      </c>
      <c r="L1109" s="4">
        <f t="shared" si="68"/>
        <v>0</v>
      </c>
      <c r="M1109" s="4">
        <f t="shared" si="69"/>
        <v>18</v>
      </c>
    </row>
    <row r="1110" spans="1:13">
      <c r="A1110" s="4" t="str" cm="1">
        <f t="array" ref="A1110">INDEX(Sheet1!A:A,$F1110)</f>
        <v>F</v>
      </c>
      <c r="B1110" s="4" t="str" cm="1">
        <f t="array" ref="B1110">INDEX(Sheet1!B:B,$F1110)</f>
        <v>Super-Pref NS</v>
      </c>
      <c r="C1110" s="4">
        <f t="shared" si="70"/>
        <v>19</v>
      </c>
      <c r="D1110" s="5" cm="1">
        <f t="array" aca="1" ref="D1110" ca="1">OFFSET(INDIRECT("'["&amp;$H1110&amp;"]"&amp;$I1110&amp;"'!"&amp;$J1110),$L1110,$M1110)*$K1110</f>
        <v>2.6000000000000003E-4</v>
      </c>
      <c r="F1110" s="4">
        <f t="shared" si="71"/>
        <v>11</v>
      </c>
      <c r="G1110" s="4" cm="1">
        <f t="array" ref="G1110">IF($C1110&gt;=25,F1110,IF($C1110&lt;16,INDEX(Sheet1!C:C,$F1110),$F1110))</f>
        <v>11</v>
      </c>
      <c r="H1110" s="4" t="str" cm="1">
        <f t="array" ref="H1110">INDEX(Sheet1!D:D,$G1110)</f>
        <v>2001-cso-preferred-class-structure-mortality-tables.xls</v>
      </c>
      <c r="I1110" s="4" t="str" cm="1">
        <f t="array" ref="I1110">INDEX(Sheet1!E:E,$G1110)</f>
        <v>A.1.b.i</v>
      </c>
      <c r="J1110" s="4" t="str" cm="1">
        <f t="array" ref="J1110">IF($C1110&gt;=25,INDEX(Sheet1!G:G,$G1110),INDEX(Sheet1!F:F,$G1110))</f>
        <v>B8</v>
      </c>
      <c r="K1110" s="4" cm="1">
        <f t="array" ref="K1110">INDEX(Sheet1!H:H,$G1110)</f>
        <v>1E-3</v>
      </c>
      <c r="L1110" s="4">
        <f t="shared" si="68"/>
        <v>0</v>
      </c>
      <c r="M1110" s="4">
        <f t="shared" si="69"/>
        <v>19</v>
      </c>
    </row>
    <row r="1111" spans="1:13">
      <c r="A1111" s="4" t="str" cm="1">
        <f t="array" ref="A1111">INDEX(Sheet1!A:A,$F1111)</f>
        <v>F</v>
      </c>
      <c r="B1111" s="4" t="str" cm="1">
        <f t="array" ref="B1111">INDEX(Sheet1!B:B,$F1111)</f>
        <v>Super-Pref NS</v>
      </c>
      <c r="C1111" s="4">
        <f t="shared" si="70"/>
        <v>20</v>
      </c>
      <c r="D1111" s="5" cm="1">
        <f t="array" aca="1" ref="D1111" ca="1">OFFSET(INDIRECT("'["&amp;$H1111&amp;"]"&amp;$I1111&amp;"'!"&amp;$J1111),$L1111,$M1111)*$K1111</f>
        <v>2.7E-4</v>
      </c>
      <c r="F1111" s="4">
        <f t="shared" si="71"/>
        <v>11</v>
      </c>
      <c r="G1111" s="4" cm="1">
        <f t="array" ref="G1111">IF($C1111&gt;=25,F1111,IF($C1111&lt;16,INDEX(Sheet1!C:C,$F1111),$F1111))</f>
        <v>11</v>
      </c>
      <c r="H1111" s="4" t="str" cm="1">
        <f t="array" ref="H1111">INDEX(Sheet1!D:D,$G1111)</f>
        <v>2001-cso-preferred-class-structure-mortality-tables.xls</v>
      </c>
      <c r="I1111" s="4" t="str" cm="1">
        <f t="array" ref="I1111">INDEX(Sheet1!E:E,$G1111)</f>
        <v>A.1.b.i</v>
      </c>
      <c r="J1111" s="4" t="str" cm="1">
        <f t="array" ref="J1111">IF($C1111&gt;=25,INDEX(Sheet1!G:G,$G1111),INDEX(Sheet1!F:F,$G1111))</f>
        <v>B8</v>
      </c>
      <c r="K1111" s="4" cm="1">
        <f t="array" ref="K1111">INDEX(Sheet1!H:H,$G1111)</f>
        <v>1E-3</v>
      </c>
      <c r="L1111" s="4">
        <f t="shared" si="68"/>
        <v>0</v>
      </c>
      <c r="M1111" s="4">
        <f t="shared" si="69"/>
        <v>20</v>
      </c>
    </row>
    <row r="1112" spans="1:13">
      <c r="A1112" s="4" t="str" cm="1">
        <f t="array" ref="A1112">INDEX(Sheet1!A:A,$F1112)</f>
        <v>F</v>
      </c>
      <c r="B1112" s="4" t="str" cm="1">
        <f t="array" ref="B1112">INDEX(Sheet1!B:B,$F1112)</f>
        <v>Super-Pref NS</v>
      </c>
      <c r="C1112" s="4">
        <f t="shared" si="70"/>
        <v>21</v>
      </c>
      <c r="D1112" s="5" cm="1">
        <f t="array" aca="1" ref="D1112" ca="1">OFFSET(INDIRECT("'["&amp;$H1112&amp;"]"&amp;$I1112&amp;"'!"&amp;$J1112),$L1112,$M1112)*$K1112</f>
        <v>2.8000000000000003E-4</v>
      </c>
      <c r="F1112" s="4">
        <f t="shared" si="71"/>
        <v>11</v>
      </c>
      <c r="G1112" s="4" cm="1">
        <f t="array" ref="G1112">IF($C1112&gt;=25,F1112,IF($C1112&lt;16,INDEX(Sheet1!C:C,$F1112),$F1112))</f>
        <v>11</v>
      </c>
      <c r="H1112" s="4" t="str" cm="1">
        <f t="array" ref="H1112">INDEX(Sheet1!D:D,$G1112)</f>
        <v>2001-cso-preferred-class-structure-mortality-tables.xls</v>
      </c>
      <c r="I1112" s="4" t="str" cm="1">
        <f t="array" ref="I1112">INDEX(Sheet1!E:E,$G1112)</f>
        <v>A.1.b.i</v>
      </c>
      <c r="J1112" s="4" t="str" cm="1">
        <f t="array" ref="J1112">IF($C1112&gt;=25,INDEX(Sheet1!G:G,$G1112),INDEX(Sheet1!F:F,$G1112))</f>
        <v>B8</v>
      </c>
      <c r="K1112" s="4" cm="1">
        <f t="array" ref="K1112">INDEX(Sheet1!H:H,$G1112)</f>
        <v>1E-3</v>
      </c>
      <c r="L1112" s="4">
        <f t="shared" si="68"/>
        <v>0</v>
      </c>
      <c r="M1112" s="4">
        <f t="shared" si="69"/>
        <v>21</v>
      </c>
    </row>
    <row r="1113" spans="1:13">
      <c r="A1113" s="4" t="str" cm="1">
        <f t="array" ref="A1113">INDEX(Sheet1!A:A,$F1113)</f>
        <v>F</v>
      </c>
      <c r="B1113" s="4" t="str" cm="1">
        <f t="array" ref="B1113">INDEX(Sheet1!B:B,$F1113)</f>
        <v>Super-Pref NS</v>
      </c>
      <c r="C1113" s="4">
        <f t="shared" si="70"/>
        <v>22</v>
      </c>
      <c r="D1113" s="5" cm="1">
        <f t="array" aca="1" ref="D1113" ca="1">OFFSET(INDIRECT("'["&amp;$H1113&amp;"]"&amp;$I1113&amp;"'!"&amp;$J1113),$L1113,$M1113)*$K1113</f>
        <v>2.8000000000000003E-4</v>
      </c>
      <c r="F1113" s="4">
        <f t="shared" si="71"/>
        <v>11</v>
      </c>
      <c r="G1113" s="4" cm="1">
        <f t="array" ref="G1113">IF($C1113&gt;=25,F1113,IF($C1113&lt;16,INDEX(Sheet1!C:C,$F1113),$F1113))</f>
        <v>11</v>
      </c>
      <c r="H1113" s="4" t="str" cm="1">
        <f t="array" ref="H1113">INDEX(Sheet1!D:D,$G1113)</f>
        <v>2001-cso-preferred-class-structure-mortality-tables.xls</v>
      </c>
      <c r="I1113" s="4" t="str" cm="1">
        <f t="array" ref="I1113">INDEX(Sheet1!E:E,$G1113)</f>
        <v>A.1.b.i</v>
      </c>
      <c r="J1113" s="4" t="str" cm="1">
        <f t="array" ref="J1113">IF($C1113&gt;=25,INDEX(Sheet1!G:G,$G1113),INDEX(Sheet1!F:F,$G1113))</f>
        <v>B8</v>
      </c>
      <c r="K1113" s="4" cm="1">
        <f t="array" ref="K1113">INDEX(Sheet1!H:H,$G1113)</f>
        <v>1E-3</v>
      </c>
      <c r="L1113" s="4">
        <f t="shared" si="68"/>
        <v>0</v>
      </c>
      <c r="M1113" s="4">
        <f t="shared" si="69"/>
        <v>22</v>
      </c>
    </row>
    <row r="1114" spans="1:13">
      <c r="A1114" s="4" t="str" cm="1">
        <f t="array" ref="A1114">INDEX(Sheet1!A:A,$F1114)</f>
        <v>F</v>
      </c>
      <c r="B1114" s="4" t="str" cm="1">
        <f t="array" ref="B1114">INDEX(Sheet1!B:B,$F1114)</f>
        <v>Super-Pref NS</v>
      </c>
      <c r="C1114" s="4">
        <f t="shared" si="70"/>
        <v>23</v>
      </c>
      <c r="D1114" s="5" cm="1">
        <f t="array" aca="1" ref="D1114" ca="1">OFFSET(INDIRECT("'["&amp;$H1114&amp;"]"&amp;$I1114&amp;"'!"&amp;$J1114),$L1114,$M1114)*$K1114</f>
        <v>2.9E-4</v>
      </c>
      <c r="F1114" s="4">
        <f t="shared" si="71"/>
        <v>11</v>
      </c>
      <c r="G1114" s="4" cm="1">
        <f t="array" ref="G1114">IF($C1114&gt;=25,F1114,IF($C1114&lt;16,INDEX(Sheet1!C:C,$F1114),$F1114))</f>
        <v>11</v>
      </c>
      <c r="H1114" s="4" t="str" cm="1">
        <f t="array" ref="H1114">INDEX(Sheet1!D:D,$G1114)</f>
        <v>2001-cso-preferred-class-structure-mortality-tables.xls</v>
      </c>
      <c r="I1114" s="4" t="str" cm="1">
        <f t="array" ref="I1114">INDEX(Sheet1!E:E,$G1114)</f>
        <v>A.1.b.i</v>
      </c>
      <c r="J1114" s="4" t="str" cm="1">
        <f t="array" ref="J1114">IF($C1114&gt;=25,INDEX(Sheet1!G:G,$G1114),INDEX(Sheet1!F:F,$G1114))</f>
        <v>B8</v>
      </c>
      <c r="K1114" s="4" cm="1">
        <f t="array" ref="K1114">INDEX(Sheet1!H:H,$G1114)</f>
        <v>1E-3</v>
      </c>
      <c r="L1114" s="4">
        <f t="shared" si="68"/>
        <v>0</v>
      </c>
      <c r="M1114" s="4">
        <f t="shared" si="69"/>
        <v>23</v>
      </c>
    </row>
    <row r="1115" spans="1:13">
      <c r="A1115" s="4" t="str" cm="1">
        <f t="array" ref="A1115">INDEX(Sheet1!A:A,$F1115)</f>
        <v>F</v>
      </c>
      <c r="B1115" s="4" t="str" cm="1">
        <f t="array" ref="B1115">INDEX(Sheet1!B:B,$F1115)</f>
        <v>Super-Pref NS</v>
      </c>
      <c r="C1115" s="4">
        <f t="shared" si="70"/>
        <v>24</v>
      </c>
      <c r="D1115" s="5" cm="1">
        <f t="array" aca="1" ref="D1115" ca="1">OFFSET(INDIRECT("'["&amp;$H1115&amp;"]"&amp;$I1115&amp;"'!"&amp;$J1115),$L1115,$M1115)*$K1115</f>
        <v>2.9999999999999997E-4</v>
      </c>
      <c r="F1115" s="4">
        <f t="shared" si="71"/>
        <v>11</v>
      </c>
      <c r="G1115" s="4" cm="1">
        <f t="array" ref="G1115">IF($C1115&gt;=25,F1115,IF($C1115&lt;16,INDEX(Sheet1!C:C,$F1115),$F1115))</f>
        <v>11</v>
      </c>
      <c r="H1115" s="4" t="str" cm="1">
        <f t="array" ref="H1115">INDEX(Sheet1!D:D,$G1115)</f>
        <v>2001-cso-preferred-class-structure-mortality-tables.xls</v>
      </c>
      <c r="I1115" s="4" t="str" cm="1">
        <f t="array" ref="I1115">INDEX(Sheet1!E:E,$G1115)</f>
        <v>A.1.b.i</v>
      </c>
      <c r="J1115" s="4" t="str" cm="1">
        <f t="array" ref="J1115">IF($C1115&gt;=25,INDEX(Sheet1!G:G,$G1115),INDEX(Sheet1!F:F,$G1115))</f>
        <v>B8</v>
      </c>
      <c r="K1115" s="4" cm="1">
        <f t="array" ref="K1115">INDEX(Sheet1!H:H,$G1115)</f>
        <v>1E-3</v>
      </c>
      <c r="L1115" s="4">
        <f t="shared" si="68"/>
        <v>0</v>
      </c>
      <c r="M1115" s="4">
        <f t="shared" si="69"/>
        <v>24</v>
      </c>
    </row>
    <row r="1116" spans="1:13">
      <c r="A1116" s="4" t="str" cm="1">
        <f t="array" ref="A1116">INDEX(Sheet1!A:A,$F1116)</f>
        <v>F</v>
      </c>
      <c r="B1116" s="4" t="str" cm="1">
        <f t="array" ref="B1116">INDEX(Sheet1!B:B,$F1116)</f>
        <v>Super-Pref NS</v>
      </c>
      <c r="C1116" s="4">
        <f t="shared" si="70"/>
        <v>25</v>
      </c>
      <c r="D1116" s="5" cm="1">
        <f t="array" aca="1" ref="D1116" ca="1">OFFSET(INDIRECT("'["&amp;$H1116&amp;"]"&amp;$I1116&amp;"'!"&amp;$J1116),$L1116,$M1116)*$K1116</f>
        <v>3.1E-4</v>
      </c>
      <c r="F1116" s="4">
        <f t="shared" si="71"/>
        <v>11</v>
      </c>
      <c r="G1116" s="4" cm="1">
        <f t="array" ref="G1116">IF($C1116&gt;=25,F1116,IF($C1116&lt;16,INDEX(Sheet1!C:C,$F1116),$F1116))</f>
        <v>11</v>
      </c>
      <c r="H1116" s="4" t="str" cm="1">
        <f t="array" ref="H1116">INDEX(Sheet1!D:D,$G1116)</f>
        <v>2001-cso-preferred-class-structure-mortality-tables.xls</v>
      </c>
      <c r="I1116" s="4" t="str" cm="1">
        <f t="array" ref="I1116">INDEX(Sheet1!E:E,$G1116)</f>
        <v>A.1.b.i</v>
      </c>
      <c r="J1116" s="4" t="str" cm="1">
        <f t="array" ref="J1116">IF($C1116&gt;=25,INDEX(Sheet1!G:G,$G1116),INDEX(Sheet1!F:F,$G1116))</f>
        <v>AA8</v>
      </c>
      <c r="K1116" s="4" cm="1">
        <f t="array" ref="K1116">INDEX(Sheet1!H:H,$G1116)</f>
        <v>1E-3</v>
      </c>
      <c r="L1116" s="4">
        <f t="shared" si="68"/>
        <v>0</v>
      </c>
      <c r="M1116" s="4">
        <f t="shared" si="69"/>
        <v>0</v>
      </c>
    </row>
    <row r="1117" spans="1:13">
      <c r="A1117" s="4" t="str" cm="1">
        <f t="array" ref="A1117">INDEX(Sheet1!A:A,$F1117)</f>
        <v>F</v>
      </c>
      <c r="B1117" s="4" t="str" cm="1">
        <f t="array" ref="B1117">INDEX(Sheet1!B:B,$F1117)</f>
        <v>Super-Pref NS</v>
      </c>
      <c r="C1117" s="4">
        <f t="shared" si="70"/>
        <v>26</v>
      </c>
      <c r="D1117" s="5" cm="1">
        <f t="array" aca="1" ref="D1117" ca="1">OFFSET(INDIRECT("'["&amp;$H1117&amp;"]"&amp;$I1117&amp;"'!"&amp;$J1117),$L1117,$M1117)*$K1117</f>
        <v>3.2000000000000003E-4</v>
      </c>
      <c r="F1117" s="4">
        <f t="shared" si="71"/>
        <v>11</v>
      </c>
      <c r="G1117" s="4" cm="1">
        <f t="array" ref="G1117">IF($C1117&gt;=25,F1117,IF($C1117&lt;16,INDEX(Sheet1!C:C,$F1117),$F1117))</f>
        <v>11</v>
      </c>
      <c r="H1117" s="4" t="str" cm="1">
        <f t="array" ref="H1117">INDEX(Sheet1!D:D,$G1117)</f>
        <v>2001-cso-preferred-class-structure-mortality-tables.xls</v>
      </c>
      <c r="I1117" s="4" t="str" cm="1">
        <f t="array" ref="I1117">INDEX(Sheet1!E:E,$G1117)</f>
        <v>A.1.b.i</v>
      </c>
      <c r="J1117" s="4" t="str" cm="1">
        <f t="array" ref="J1117">IF($C1117&gt;=25,INDEX(Sheet1!G:G,$G1117),INDEX(Sheet1!F:F,$G1117))</f>
        <v>AA8</v>
      </c>
      <c r="K1117" s="4" cm="1">
        <f t="array" ref="K1117">INDEX(Sheet1!H:H,$G1117)</f>
        <v>1E-3</v>
      </c>
      <c r="L1117" s="4">
        <f t="shared" si="68"/>
        <v>1</v>
      </c>
      <c r="M1117" s="4">
        <f t="shared" si="69"/>
        <v>0</v>
      </c>
    </row>
    <row r="1118" spans="1:13">
      <c r="A1118" s="4" t="str" cm="1">
        <f t="array" ref="A1118">INDEX(Sheet1!A:A,$F1118)</f>
        <v>F</v>
      </c>
      <c r="B1118" s="4" t="str" cm="1">
        <f t="array" ref="B1118">INDEX(Sheet1!B:B,$F1118)</f>
        <v>Super-Pref NS</v>
      </c>
      <c r="C1118" s="4">
        <f t="shared" si="70"/>
        <v>27</v>
      </c>
      <c r="D1118" s="5" cm="1">
        <f t="array" aca="1" ref="D1118" ca="1">OFFSET(INDIRECT("'["&amp;$H1118&amp;"]"&amp;$I1118&amp;"'!"&amp;$J1118),$L1118,$M1118)*$K1118</f>
        <v>3.4000000000000002E-4</v>
      </c>
      <c r="F1118" s="4">
        <f t="shared" si="71"/>
        <v>11</v>
      </c>
      <c r="G1118" s="4" cm="1">
        <f t="array" ref="G1118">IF($C1118&gt;=25,F1118,IF($C1118&lt;16,INDEX(Sheet1!C:C,$F1118),$F1118))</f>
        <v>11</v>
      </c>
      <c r="H1118" s="4" t="str" cm="1">
        <f t="array" ref="H1118">INDEX(Sheet1!D:D,$G1118)</f>
        <v>2001-cso-preferred-class-structure-mortality-tables.xls</v>
      </c>
      <c r="I1118" s="4" t="str" cm="1">
        <f t="array" ref="I1118">INDEX(Sheet1!E:E,$G1118)</f>
        <v>A.1.b.i</v>
      </c>
      <c r="J1118" s="4" t="str" cm="1">
        <f t="array" ref="J1118">IF($C1118&gt;=25,INDEX(Sheet1!G:G,$G1118),INDEX(Sheet1!F:F,$G1118))</f>
        <v>AA8</v>
      </c>
      <c r="K1118" s="4" cm="1">
        <f t="array" ref="K1118">INDEX(Sheet1!H:H,$G1118)</f>
        <v>1E-3</v>
      </c>
      <c r="L1118" s="4">
        <f t="shared" si="68"/>
        <v>2</v>
      </c>
      <c r="M1118" s="4">
        <f t="shared" si="69"/>
        <v>0</v>
      </c>
    </row>
    <row r="1119" spans="1:13">
      <c r="A1119" s="4" t="str" cm="1">
        <f t="array" ref="A1119">INDEX(Sheet1!A:A,$F1119)</f>
        <v>F</v>
      </c>
      <c r="B1119" s="4" t="str" cm="1">
        <f t="array" ref="B1119">INDEX(Sheet1!B:B,$F1119)</f>
        <v>Super-Pref NS</v>
      </c>
      <c r="C1119" s="4">
        <f t="shared" si="70"/>
        <v>28</v>
      </c>
      <c r="D1119" s="5" cm="1">
        <f t="array" aca="1" ref="D1119" ca="1">OFFSET(INDIRECT("'["&amp;$H1119&amp;"]"&amp;$I1119&amp;"'!"&amp;$J1119),$L1119,$M1119)*$K1119</f>
        <v>3.5999999999999997E-4</v>
      </c>
      <c r="F1119" s="4">
        <f t="shared" si="71"/>
        <v>11</v>
      </c>
      <c r="G1119" s="4" cm="1">
        <f t="array" ref="G1119">IF($C1119&gt;=25,F1119,IF($C1119&lt;16,INDEX(Sheet1!C:C,$F1119),$F1119))</f>
        <v>11</v>
      </c>
      <c r="H1119" s="4" t="str" cm="1">
        <f t="array" ref="H1119">INDEX(Sheet1!D:D,$G1119)</f>
        <v>2001-cso-preferred-class-structure-mortality-tables.xls</v>
      </c>
      <c r="I1119" s="4" t="str" cm="1">
        <f t="array" ref="I1119">INDEX(Sheet1!E:E,$G1119)</f>
        <v>A.1.b.i</v>
      </c>
      <c r="J1119" s="4" t="str" cm="1">
        <f t="array" ref="J1119">IF($C1119&gt;=25,INDEX(Sheet1!G:G,$G1119),INDEX(Sheet1!F:F,$G1119))</f>
        <v>AA8</v>
      </c>
      <c r="K1119" s="4" cm="1">
        <f t="array" ref="K1119">INDEX(Sheet1!H:H,$G1119)</f>
        <v>1E-3</v>
      </c>
      <c r="L1119" s="4">
        <f t="shared" si="68"/>
        <v>3</v>
      </c>
      <c r="M1119" s="4">
        <f t="shared" si="69"/>
        <v>0</v>
      </c>
    </row>
    <row r="1120" spans="1:13">
      <c r="A1120" s="4" t="str" cm="1">
        <f t="array" ref="A1120">INDEX(Sheet1!A:A,$F1120)</f>
        <v>F</v>
      </c>
      <c r="B1120" s="4" t="str" cm="1">
        <f t="array" ref="B1120">INDEX(Sheet1!B:B,$F1120)</f>
        <v>Super-Pref NS</v>
      </c>
      <c r="C1120" s="4">
        <f t="shared" si="70"/>
        <v>29</v>
      </c>
      <c r="D1120" s="5" cm="1">
        <f t="array" aca="1" ref="D1120" ca="1">OFFSET(INDIRECT("'["&amp;$H1120&amp;"]"&amp;$I1120&amp;"'!"&amp;$J1120),$L1120,$M1120)*$K1120</f>
        <v>3.8000000000000002E-4</v>
      </c>
      <c r="F1120" s="4">
        <f t="shared" si="71"/>
        <v>11</v>
      </c>
      <c r="G1120" s="4" cm="1">
        <f t="array" ref="G1120">IF($C1120&gt;=25,F1120,IF($C1120&lt;16,INDEX(Sheet1!C:C,$F1120),$F1120))</f>
        <v>11</v>
      </c>
      <c r="H1120" s="4" t="str" cm="1">
        <f t="array" ref="H1120">INDEX(Sheet1!D:D,$G1120)</f>
        <v>2001-cso-preferred-class-structure-mortality-tables.xls</v>
      </c>
      <c r="I1120" s="4" t="str" cm="1">
        <f t="array" ref="I1120">INDEX(Sheet1!E:E,$G1120)</f>
        <v>A.1.b.i</v>
      </c>
      <c r="J1120" s="4" t="str" cm="1">
        <f t="array" ref="J1120">IF($C1120&gt;=25,INDEX(Sheet1!G:G,$G1120),INDEX(Sheet1!F:F,$G1120))</f>
        <v>AA8</v>
      </c>
      <c r="K1120" s="4" cm="1">
        <f t="array" ref="K1120">INDEX(Sheet1!H:H,$G1120)</f>
        <v>1E-3</v>
      </c>
      <c r="L1120" s="4">
        <f t="shared" si="68"/>
        <v>4</v>
      </c>
      <c r="M1120" s="4">
        <f t="shared" si="69"/>
        <v>0</v>
      </c>
    </row>
    <row r="1121" spans="1:13">
      <c r="A1121" s="4" t="str" cm="1">
        <f t="array" ref="A1121">INDEX(Sheet1!A:A,$F1121)</f>
        <v>F</v>
      </c>
      <c r="B1121" s="4" t="str" cm="1">
        <f t="array" ref="B1121">INDEX(Sheet1!B:B,$F1121)</f>
        <v>Super-Pref NS</v>
      </c>
      <c r="C1121" s="4">
        <f t="shared" si="70"/>
        <v>30</v>
      </c>
      <c r="D1121" s="5" cm="1">
        <f t="array" aca="1" ref="D1121" ca="1">OFFSET(INDIRECT("'["&amp;$H1121&amp;"]"&amp;$I1121&amp;"'!"&amp;$J1121),$L1121,$M1121)*$K1121</f>
        <v>3.9000000000000005E-4</v>
      </c>
      <c r="F1121" s="4">
        <f t="shared" si="71"/>
        <v>11</v>
      </c>
      <c r="G1121" s="4" cm="1">
        <f t="array" ref="G1121">IF($C1121&gt;=25,F1121,IF($C1121&lt;16,INDEX(Sheet1!C:C,$F1121),$F1121))</f>
        <v>11</v>
      </c>
      <c r="H1121" s="4" t="str" cm="1">
        <f t="array" ref="H1121">INDEX(Sheet1!D:D,$G1121)</f>
        <v>2001-cso-preferred-class-structure-mortality-tables.xls</v>
      </c>
      <c r="I1121" s="4" t="str" cm="1">
        <f t="array" ref="I1121">INDEX(Sheet1!E:E,$G1121)</f>
        <v>A.1.b.i</v>
      </c>
      <c r="J1121" s="4" t="str" cm="1">
        <f t="array" ref="J1121">IF($C1121&gt;=25,INDEX(Sheet1!G:G,$G1121),INDEX(Sheet1!F:F,$G1121))</f>
        <v>AA8</v>
      </c>
      <c r="K1121" s="4" cm="1">
        <f t="array" ref="K1121">INDEX(Sheet1!H:H,$G1121)</f>
        <v>1E-3</v>
      </c>
      <c r="L1121" s="4">
        <f t="shared" si="68"/>
        <v>5</v>
      </c>
      <c r="M1121" s="4">
        <f t="shared" si="69"/>
        <v>0</v>
      </c>
    </row>
    <row r="1122" spans="1:13">
      <c r="A1122" s="4" t="str" cm="1">
        <f t="array" ref="A1122">INDEX(Sheet1!A:A,$F1122)</f>
        <v>F</v>
      </c>
      <c r="B1122" s="4" t="str" cm="1">
        <f t="array" ref="B1122">INDEX(Sheet1!B:B,$F1122)</f>
        <v>Super-Pref NS</v>
      </c>
      <c r="C1122" s="4">
        <f t="shared" si="70"/>
        <v>31</v>
      </c>
      <c r="D1122" s="5" cm="1">
        <f t="array" aca="1" ref="D1122" ca="1">OFFSET(INDIRECT("'["&amp;$H1122&amp;"]"&amp;$I1122&amp;"'!"&amp;$J1122),$L1122,$M1122)*$K1122</f>
        <v>4.0999999999999999E-4</v>
      </c>
      <c r="F1122" s="4">
        <f t="shared" si="71"/>
        <v>11</v>
      </c>
      <c r="G1122" s="4" cm="1">
        <f t="array" ref="G1122">IF($C1122&gt;=25,F1122,IF($C1122&lt;16,INDEX(Sheet1!C:C,$F1122),$F1122))</f>
        <v>11</v>
      </c>
      <c r="H1122" s="4" t="str" cm="1">
        <f t="array" ref="H1122">INDEX(Sheet1!D:D,$G1122)</f>
        <v>2001-cso-preferred-class-structure-mortality-tables.xls</v>
      </c>
      <c r="I1122" s="4" t="str" cm="1">
        <f t="array" ref="I1122">INDEX(Sheet1!E:E,$G1122)</f>
        <v>A.1.b.i</v>
      </c>
      <c r="J1122" s="4" t="str" cm="1">
        <f t="array" ref="J1122">IF($C1122&gt;=25,INDEX(Sheet1!G:G,$G1122),INDEX(Sheet1!F:F,$G1122))</f>
        <v>AA8</v>
      </c>
      <c r="K1122" s="4" cm="1">
        <f t="array" ref="K1122">INDEX(Sheet1!H:H,$G1122)</f>
        <v>1E-3</v>
      </c>
      <c r="L1122" s="4">
        <f t="shared" si="68"/>
        <v>6</v>
      </c>
      <c r="M1122" s="4">
        <f t="shared" si="69"/>
        <v>0</v>
      </c>
    </row>
    <row r="1123" spans="1:13">
      <c r="A1123" s="4" t="str" cm="1">
        <f t="array" ref="A1123">INDEX(Sheet1!A:A,$F1123)</f>
        <v>F</v>
      </c>
      <c r="B1123" s="4" t="str" cm="1">
        <f t="array" ref="B1123">INDEX(Sheet1!B:B,$F1123)</f>
        <v>Super-Pref NS</v>
      </c>
      <c r="C1123" s="4">
        <f t="shared" si="70"/>
        <v>32</v>
      </c>
      <c r="D1123" s="5" cm="1">
        <f t="array" aca="1" ref="D1123" ca="1">OFFSET(INDIRECT("'["&amp;$H1123&amp;"]"&amp;$I1123&amp;"'!"&amp;$J1123),$L1123,$M1123)*$K1123</f>
        <v>4.4000000000000002E-4</v>
      </c>
      <c r="F1123" s="4">
        <f t="shared" si="71"/>
        <v>11</v>
      </c>
      <c r="G1123" s="4" cm="1">
        <f t="array" ref="G1123">IF($C1123&gt;=25,F1123,IF($C1123&lt;16,INDEX(Sheet1!C:C,$F1123),$F1123))</f>
        <v>11</v>
      </c>
      <c r="H1123" s="4" t="str" cm="1">
        <f t="array" ref="H1123">INDEX(Sheet1!D:D,$G1123)</f>
        <v>2001-cso-preferred-class-structure-mortality-tables.xls</v>
      </c>
      <c r="I1123" s="4" t="str" cm="1">
        <f t="array" ref="I1123">INDEX(Sheet1!E:E,$G1123)</f>
        <v>A.1.b.i</v>
      </c>
      <c r="J1123" s="4" t="str" cm="1">
        <f t="array" ref="J1123">IF($C1123&gt;=25,INDEX(Sheet1!G:G,$G1123),INDEX(Sheet1!F:F,$G1123))</f>
        <v>AA8</v>
      </c>
      <c r="K1123" s="4" cm="1">
        <f t="array" ref="K1123">INDEX(Sheet1!H:H,$G1123)</f>
        <v>1E-3</v>
      </c>
      <c r="L1123" s="4">
        <f t="shared" si="68"/>
        <v>7</v>
      </c>
      <c r="M1123" s="4">
        <f t="shared" si="69"/>
        <v>0</v>
      </c>
    </row>
    <row r="1124" spans="1:13">
      <c r="A1124" s="4" t="str" cm="1">
        <f t="array" ref="A1124">INDEX(Sheet1!A:A,$F1124)</f>
        <v>F</v>
      </c>
      <c r="B1124" s="4" t="str" cm="1">
        <f t="array" ref="B1124">INDEX(Sheet1!B:B,$F1124)</f>
        <v>Super-Pref NS</v>
      </c>
      <c r="C1124" s="4">
        <f t="shared" si="70"/>
        <v>33</v>
      </c>
      <c r="D1124" s="5" cm="1">
        <f t="array" aca="1" ref="D1124" ca="1">OFFSET(INDIRECT("'["&amp;$H1124&amp;"]"&amp;$I1124&amp;"'!"&amp;$J1124),$L1124,$M1124)*$K1124</f>
        <v>4.6000000000000001E-4</v>
      </c>
      <c r="F1124" s="4">
        <f t="shared" si="71"/>
        <v>11</v>
      </c>
      <c r="G1124" s="4" cm="1">
        <f t="array" ref="G1124">IF($C1124&gt;=25,F1124,IF($C1124&lt;16,INDEX(Sheet1!C:C,$F1124),$F1124))</f>
        <v>11</v>
      </c>
      <c r="H1124" s="4" t="str" cm="1">
        <f t="array" ref="H1124">INDEX(Sheet1!D:D,$G1124)</f>
        <v>2001-cso-preferred-class-structure-mortality-tables.xls</v>
      </c>
      <c r="I1124" s="4" t="str" cm="1">
        <f t="array" ref="I1124">INDEX(Sheet1!E:E,$G1124)</f>
        <v>A.1.b.i</v>
      </c>
      <c r="J1124" s="4" t="str" cm="1">
        <f t="array" ref="J1124">IF($C1124&gt;=25,INDEX(Sheet1!G:G,$G1124),INDEX(Sheet1!F:F,$G1124))</f>
        <v>AA8</v>
      </c>
      <c r="K1124" s="4" cm="1">
        <f t="array" ref="K1124">INDEX(Sheet1!H:H,$G1124)</f>
        <v>1E-3</v>
      </c>
      <c r="L1124" s="4">
        <f t="shared" si="68"/>
        <v>8</v>
      </c>
      <c r="M1124" s="4">
        <f t="shared" si="69"/>
        <v>0</v>
      </c>
    </row>
    <row r="1125" spans="1:13">
      <c r="A1125" s="4" t="str" cm="1">
        <f t="array" ref="A1125">INDEX(Sheet1!A:A,$F1125)</f>
        <v>F</v>
      </c>
      <c r="B1125" s="4" t="str" cm="1">
        <f t="array" ref="B1125">INDEX(Sheet1!B:B,$F1125)</f>
        <v>Super-Pref NS</v>
      </c>
      <c r="C1125" s="4">
        <f t="shared" si="70"/>
        <v>34</v>
      </c>
      <c r="D1125" s="5" cm="1">
        <f t="array" aca="1" ref="D1125" ca="1">OFFSET(INDIRECT("'["&amp;$H1125&amp;"]"&amp;$I1125&amp;"'!"&amp;$J1125),$L1125,$M1125)*$K1125</f>
        <v>5.0000000000000001E-4</v>
      </c>
      <c r="F1125" s="4">
        <f t="shared" si="71"/>
        <v>11</v>
      </c>
      <c r="G1125" s="4" cm="1">
        <f t="array" ref="G1125">IF($C1125&gt;=25,F1125,IF($C1125&lt;16,INDEX(Sheet1!C:C,$F1125),$F1125))</f>
        <v>11</v>
      </c>
      <c r="H1125" s="4" t="str" cm="1">
        <f t="array" ref="H1125">INDEX(Sheet1!D:D,$G1125)</f>
        <v>2001-cso-preferred-class-structure-mortality-tables.xls</v>
      </c>
      <c r="I1125" s="4" t="str" cm="1">
        <f t="array" ref="I1125">INDEX(Sheet1!E:E,$G1125)</f>
        <v>A.1.b.i</v>
      </c>
      <c r="J1125" s="4" t="str" cm="1">
        <f t="array" ref="J1125">IF($C1125&gt;=25,INDEX(Sheet1!G:G,$G1125),INDEX(Sheet1!F:F,$G1125))</f>
        <v>AA8</v>
      </c>
      <c r="K1125" s="4" cm="1">
        <f t="array" ref="K1125">INDEX(Sheet1!H:H,$G1125)</f>
        <v>1E-3</v>
      </c>
      <c r="L1125" s="4">
        <f t="shared" si="68"/>
        <v>9</v>
      </c>
      <c r="M1125" s="4">
        <f t="shared" si="69"/>
        <v>0</v>
      </c>
    </row>
    <row r="1126" spans="1:13">
      <c r="A1126" s="4" t="str" cm="1">
        <f t="array" ref="A1126">INDEX(Sheet1!A:A,$F1126)</f>
        <v>F</v>
      </c>
      <c r="B1126" s="4" t="str" cm="1">
        <f t="array" ref="B1126">INDEX(Sheet1!B:B,$F1126)</f>
        <v>Super-Pref NS</v>
      </c>
      <c r="C1126" s="4">
        <f t="shared" si="70"/>
        <v>35</v>
      </c>
      <c r="D1126" s="5" cm="1">
        <f t="array" aca="1" ref="D1126" ca="1">OFFSET(INDIRECT("'["&amp;$H1126&amp;"]"&amp;$I1126&amp;"'!"&amp;$J1126),$L1126,$M1126)*$K1126</f>
        <v>5.4000000000000001E-4</v>
      </c>
      <c r="F1126" s="4">
        <f t="shared" si="71"/>
        <v>11</v>
      </c>
      <c r="G1126" s="4" cm="1">
        <f t="array" ref="G1126">IF($C1126&gt;=25,F1126,IF($C1126&lt;16,INDEX(Sheet1!C:C,$F1126),$F1126))</f>
        <v>11</v>
      </c>
      <c r="H1126" s="4" t="str" cm="1">
        <f t="array" ref="H1126">INDEX(Sheet1!D:D,$G1126)</f>
        <v>2001-cso-preferred-class-structure-mortality-tables.xls</v>
      </c>
      <c r="I1126" s="4" t="str" cm="1">
        <f t="array" ref="I1126">INDEX(Sheet1!E:E,$G1126)</f>
        <v>A.1.b.i</v>
      </c>
      <c r="J1126" s="4" t="str" cm="1">
        <f t="array" ref="J1126">IF($C1126&gt;=25,INDEX(Sheet1!G:G,$G1126),INDEX(Sheet1!F:F,$G1126))</f>
        <v>AA8</v>
      </c>
      <c r="K1126" s="4" cm="1">
        <f t="array" ref="K1126">INDEX(Sheet1!H:H,$G1126)</f>
        <v>1E-3</v>
      </c>
      <c r="L1126" s="4">
        <f t="shared" si="68"/>
        <v>10</v>
      </c>
      <c r="M1126" s="4">
        <f t="shared" si="69"/>
        <v>0</v>
      </c>
    </row>
    <row r="1127" spans="1:13">
      <c r="A1127" s="4" t="str" cm="1">
        <f t="array" ref="A1127">INDEX(Sheet1!A:A,$F1127)</f>
        <v>F</v>
      </c>
      <c r="B1127" s="4" t="str" cm="1">
        <f t="array" ref="B1127">INDEX(Sheet1!B:B,$F1127)</f>
        <v>Super-Pref NS</v>
      </c>
      <c r="C1127" s="4">
        <f t="shared" si="70"/>
        <v>36</v>
      </c>
      <c r="D1127" s="5" cm="1">
        <f t="array" aca="1" ref="D1127" ca="1">OFFSET(INDIRECT("'["&amp;$H1127&amp;"]"&amp;$I1127&amp;"'!"&amp;$J1127),$L1127,$M1127)*$K1127</f>
        <v>5.6999999999999998E-4</v>
      </c>
      <c r="F1127" s="4">
        <f t="shared" si="71"/>
        <v>11</v>
      </c>
      <c r="G1127" s="4" cm="1">
        <f t="array" ref="G1127">IF($C1127&gt;=25,F1127,IF($C1127&lt;16,INDEX(Sheet1!C:C,$F1127),$F1127))</f>
        <v>11</v>
      </c>
      <c r="H1127" s="4" t="str" cm="1">
        <f t="array" ref="H1127">INDEX(Sheet1!D:D,$G1127)</f>
        <v>2001-cso-preferred-class-structure-mortality-tables.xls</v>
      </c>
      <c r="I1127" s="4" t="str" cm="1">
        <f t="array" ref="I1127">INDEX(Sheet1!E:E,$G1127)</f>
        <v>A.1.b.i</v>
      </c>
      <c r="J1127" s="4" t="str" cm="1">
        <f t="array" ref="J1127">IF($C1127&gt;=25,INDEX(Sheet1!G:G,$G1127),INDEX(Sheet1!F:F,$G1127))</f>
        <v>AA8</v>
      </c>
      <c r="K1127" s="4" cm="1">
        <f t="array" ref="K1127">INDEX(Sheet1!H:H,$G1127)</f>
        <v>1E-3</v>
      </c>
      <c r="L1127" s="4">
        <f t="shared" si="68"/>
        <v>11</v>
      </c>
      <c r="M1127" s="4">
        <f t="shared" si="69"/>
        <v>0</v>
      </c>
    </row>
    <row r="1128" spans="1:13">
      <c r="A1128" s="4" t="str" cm="1">
        <f t="array" ref="A1128">INDEX(Sheet1!A:A,$F1128)</f>
        <v>F</v>
      </c>
      <c r="B1128" s="4" t="str" cm="1">
        <f t="array" ref="B1128">INDEX(Sheet1!B:B,$F1128)</f>
        <v>Super-Pref NS</v>
      </c>
      <c r="C1128" s="4">
        <f t="shared" si="70"/>
        <v>37</v>
      </c>
      <c r="D1128" s="5" cm="1">
        <f t="array" aca="1" ref="D1128" ca="1">OFFSET(INDIRECT("'["&amp;$H1128&amp;"]"&amp;$I1128&amp;"'!"&amp;$J1128),$L1128,$M1128)*$K1128</f>
        <v>6.2E-4</v>
      </c>
      <c r="F1128" s="4">
        <f t="shared" si="71"/>
        <v>11</v>
      </c>
      <c r="G1128" s="4" cm="1">
        <f t="array" ref="G1128">IF($C1128&gt;=25,F1128,IF($C1128&lt;16,INDEX(Sheet1!C:C,$F1128),$F1128))</f>
        <v>11</v>
      </c>
      <c r="H1128" s="4" t="str" cm="1">
        <f t="array" ref="H1128">INDEX(Sheet1!D:D,$G1128)</f>
        <v>2001-cso-preferred-class-structure-mortality-tables.xls</v>
      </c>
      <c r="I1128" s="4" t="str" cm="1">
        <f t="array" ref="I1128">INDEX(Sheet1!E:E,$G1128)</f>
        <v>A.1.b.i</v>
      </c>
      <c r="J1128" s="4" t="str" cm="1">
        <f t="array" ref="J1128">IF($C1128&gt;=25,INDEX(Sheet1!G:G,$G1128),INDEX(Sheet1!F:F,$G1128))</f>
        <v>AA8</v>
      </c>
      <c r="K1128" s="4" cm="1">
        <f t="array" ref="K1128">INDEX(Sheet1!H:H,$G1128)</f>
        <v>1E-3</v>
      </c>
      <c r="L1128" s="4">
        <f t="shared" si="68"/>
        <v>12</v>
      </c>
      <c r="M1128" s="4">
        <f t="shared" si="69"/>
        <v>0</v>
      </c>
    </row>
    <row r="1129" spans="1:13">
      <c r="A1129" s="4" t="str" cm="1">
        <f t="array" ref="A1129">INDEX(Sheet1!A:A,$F1129)</f>
        <v>F</v>
      </c>
      <c r="B1129" s="4" t="str" cm="1">
        <f t="array" ref="B1129">INDEX(Sheet1!B:B,$F1129)</f>
        <v>Super-Pref NS</v>
      </c>
      <c r="C1129" s="4">
        <f t="shared" si="70"/>
        <v>38</v>
      </c>
      <c r="D1129" s="5" cm="1">
        <f t="array" aca="1" ref="D1129" ca="1">OFFSET(INDIRECT("'["&amp;$H1129&amp;"]"&amp;$I1129&amp;"'!"&amp;$J1129),$L1129,$M1129)*$K1129</f>
        <v>6.5000000000000008E-4</v>
      </c>
      <c r="F1129" s="4">
        <f t="shared" si="71"/>
        <v>11</v>
      </c>
      <c r="G1129" s="4" cm="1">
        <f t="array" ref="G1129">IF($C1129&gt;=25,F1129,IF($C1129&lt;16,INDEX(Sheet1!C:C,$F1129),$F1129))</f>
        <v>11</v>
      </c>
      <c r="H1129" s="4" t="str" cm="1">
        <f t="array" ref="H1129">INDEX(Sheet1!D:D,$G1129)</f>
        <v>2001-cso-preferred-class-structure-mortality-tables.xls</v>
      </c>
      <c r="I1129" s="4" t="str" cm="1">
        <f t="array" ref="I1129">INDEX(Sheet1!E:E,$G1129)</f>
        <v>A.1.b.i</v>
      </c>
      <c r="J1129" s="4" t="str" cm="1">
        <f t="array" ref="J1129">IF($C1129&gt;=25,INDEX(Sheet1!G:G,$G1129),INDEX(Sheet1!F:F,$G1129))</f>
        <v>AA8</v>
      </c>
      <c r="K1129" s="4" cm="1">
        <f t="array" ref="K1129">INDEX(Sheet1!H:H,$G1129)</f>
        <v>1E-3</v>
      </c>
      <c r="L1129" s="4">
        <f t="shared" si="68"/>
        <v>13</v>
      </c>
      <c r="M1129" s="4">
        <f t="shared" si="69"/>
        <v>0</v>
      </c>
    </row>
    <row r="1130" spans="1:13">
      <c r="A1130" s="4" t="str" cm="1">
        <f t="array" ref="A1130">INDEX(Sheet1!A:A,$F1130)</f>
        <v>F</v>
      </c>
      <c r="B1130" s="4" t="str" cm="1">
        <f t="array" ref="B1130">INDEX(Sheet1!B:B,$F1130)</f>
        <v>Super-Pref NS</v>
      </c>
      <c r="C1130" s="4">
        <f t="shared" si="70"/>
        <v>39</v>
      </c>
      <c r="D1130" s="5" cm="1">
        <f t="array" aca="1" ref="D1130" ca="1">OFFSET(INDIRECT("'["&amp;$H1130&amp;"]"&amp;$I1130&amp;"'!"&amp;$J1130),$L1130,$M1130)*$K1130</f>
        <v>6.8000000000000005E-4</v>
      </c>
      <c r="F1130" s="4">
        <f t="shared" si="71"/>
        <v>11</v>
      </c>
      <c r="G1130" s="4" cm="1">
        <f t="array" ref="G1130">IF($C1130&gt;=25,F1130,IF($C1130&lt;16,INDEX(Sheet1!C:C,$F1130),$F1130))</f>
        <v>11</v>
      </c>
      <c r="H1130" s="4" t="str" cm="1">
        <f t="array" ref="H1130">INDEX(Sheet1!D:D,$G1130)</f>
        <v>2001-cso-preferred-class-structure-mortality-tables.xls</v>
      </c>
      <c r="I1130" s="4" t="str" cm="1">
        <f t="array" ref="I1130">INDEX(Sheet1!E:E,$G1130)</f>
        <v>A.1.b.i</v>
      </c>
      <c r="J1130" s="4" t="str" cm="1">
        <f t="array" ref="J1130">IF($C1130&gt;=25,INDEX(Sheet1!G:G,$G1130),INDEX(Sheet1!F:F,$G1130))</f>
        <v>AA8</v>
      </c>
      <c r="K1130" s="4" cm="1">
        <f t="array" ref="K1130">INDEX(Sheet1!H:H,$G1130)</f>
        <v>1E-3</v>
      </c>
      <c r="L1130" s="4">
        <f t="shared" si="68"/>
        <v>14</v>
      </c>
      <c r="M1130" s="4">
        <f t="shared" si="69"/>
        <v>0</v>
      </c>
    </row>
    <row r="1131" spans="1:13">
      <c r="A1131" s="4" t="str" cm="1">
        <f t="array" ref="A1131">INDEX(Sheet1!A:A,$F1131)</f>
        <v>F</v>
      </c>
      <c r="B1131" s="4" t="str" cm="1">
        <f t="array" ref="B1131">INDEX(Sheet1!B:B,$F1131)</f>
        <v>Super-Pref NS</v>
      </c>
      <c r="C1131" s="4">
        <f t="shared" si="70"/>
        <v>40</v>
      </c>
      <c r="D1131" s="5" cm="1">
        <f t="array" aca="1" ref="D1131" ca="1">OFFSET(INDIRECT("'["&amp;$H1131&amp;"]"&amp;$I1131&amp;"'!"&amp;$J1131),$L1131,$M1131)*$K1131</f>
        <v>7.1999999999999994E-4</v>
      </c>
      <c r="F1131" s="4">
        <f t="shared" si="71"/>
        <v>11</v>
      </c>
      <c r="G1131" s="4" cm="1">
        <f t="array" ref="G1131">IF($C1131&gt;=25,F1131,IF($C1131&lt;16,INDEX(Sheet1!C:C,$F1131),$F1131))</f>
        <v>11</v>
      </c>
      <c r="H1131" s="4" t="str" cm="1">
        <f t="array" ref="H1131">INDEX(Sheet1!D:D,$G1131)</f>
        <v>2001-cso-preferred-class-structure-mortality-tables.xls</v>
      </c>
      <c r="I1131" s="4" t="str" cm="1">
        <f t="array" ref="I1131">INDEX(Sheet1!E:E,$G1131)</f>
        <v>A.1.b.i</v>
      </c>
      <c r="J1131" s="4" t="str" cm="1">
        <f t="array" ref="J1131">IF($C1131&gt;=25,INDEX(Sheet1!G:G,$G1131),INDEX(Sheet1!F:F,$G1131))</f>
        <v>AA8</v>
      </c>
      <c r="K1131" s="4" cm="1">
        <f t="array" ref="K1131">INDEX(Sheet1!H:H,$G1131)</f>
        <v>1E-3</v>
      </c>
      <c r="L1131" s="4">
        <f t="shared" si="68"/>
        <v>15</v>
      </c>
      <c r="M1131" s="4">
        <f t="shared" si="69"/>
        <v>0</v>
      </c>
    </row>
    <row r="1132" spans="1:13">
      <c r="A1132" s="4" t="str" cm="1">
        <f t="array" ref="A1132">INDEX(Sheet1!A:A,$F1132)</f>
        <v>F</v>
      </c>
      <c r="B1132" s="4" t="str" cm="1">
        <f t="array" ref="B1132">INDEX(Sheet1!B:B,$F1132)</f>
        <v>Super-Pref NS</v>
      </c>
      <c r="C1132" s="4">
        <f t="shared" si="70"/>
        <v>41</v>
      </c>
      <c r="D1132" s="5" cm="1">
        <f t="array" aca="1" ref="D1132" ca="1">OFFSET(INDIRECT("'["&amp;$H1132&amp;"]"&amp;$I1132&amp;"'!"&amp;$J1132),$L1132,$M1132)*$K1132</f>
        <v>7.7000000000000007E-4</v>
      </c>
      <c r="F1132" s="4">
        <f t="shared" si="71"/>
        <v>11</v>
      </c>
      <c r="G1132" s="4" cm="1">
        <f t="array" ref="G1132">IF($C1132&gt;=25,F1132,IF($C1132&lt;16,INDEX(Sheet1!C:C,$F1132),$F1132))</f>
        <v>11</v>
      </c>
      <c r="H1132" s="4" t="str" cm="1">
        <f t="array" ref="H1132">INDEX(Sheet1!D:D,$G1132)</f>
        <v>2001-cso-preferred-class-structure-mortality-tables.xls</v>
      </c>
      <c r="I1132" s="4" t="str" cm="1">
        <f t="array" ref="I1132">INDEX(Sheet1!E:E,$G1132)</f>
        <v>A.1.b.i</v>
      </c>
      <c r="J1132" s="4" t="str" cm="1">
        <f t="array" ref="J1132">IF($C1132&gt;=25,INDEX(Sheet1!G:G,$G1132),INDEX(Sheet1!F:F,$G1132))</f>
        <v>AA8</v>
      </c>
      <c r="K1132" s="4" cm="1">
        <f t="array" ref="K1132">INDEX(Sheet1!H:H,$G1132)</f>
        <v>1E-3</v>
      </c>
      <c r="L1132" s="4">
        <f t="shared" si="68"/>
        <v>16</v>
      </c>
      <c r="M1132" s="4">
        <f t="shared" si="69"/>
        <v>0</v>
      </c>
    </row>
    <row r="1133" spans="1:13">
      <c r="A1133" s="4" t="str" cm="1">
        <f t="array" ref="A1133">INDEX(Sheet1!A:A,$F1133)</f>
        <v>F</v>
      </c>
      <c r="B1133" s="4" t="str" cm="1">
        <f t="array" ref="B1133">INDEX(Sheet1!B:B,$F1133)</f>
        <v>Super-Pref NS</v>
      </c>
      <c r="C1133" s="4">
        <f t="shared" si="70"/>
        <v>42</v>
      </c>
      <c r="D1133" s="5" cm="1">
        <f t="array" aca="1" ref="D1133" ca="1">OFFSET(INDIRECT("'["&amp;$H1133&amp;"]"&amp;$I1133&amp;"'!"&amp;$J1133),$L1133,$M1133)*$K1133</f>
        <v>8.1000000000000006E-4</v>
      </c>
      <c r="F1133" s="4">
        <f t="shared" si="71"/>
        <v>11</v>
      </c>
      <c r="G1133" s="4" cm="1">
        <f t="array" ref="G1133">IF($C1133&gt;=25,F1133,IF($C1133&lt;16,INDEX(Sheet1!C:C,$F1133),$F1133))</f>
        <v>11</v>
      </c>
      <c r="H1133" s="4" t="str" cm="1">
        <f t="array" ref="H1133">INDEX(Sheet1!D:D,$G1133)</f>
        <v>2001-cso-preferred-class-structure-mortality-tables.xls</v>
      </c>
      <c r="I1133" s="4" t="str" cm="1">
        <f t="array" ref="I1133">INDEX(Sheet1!E:E,$G1133)</f>
        <v>A.1.b.i</v>
      </c>
      <c r="J1133" s="4" t="str" cm="1">
        <f t="array" ref="J1133">IF($C1133&gt;=25,INDEX(Sheet1!G:G,$G1133),INDEX(Sheet1!F:F,$G1133))</f>
        <v>AA8</v>
      </c>
      <c r="K1133" s="4" cm="1">
        <f t="array" ref="K1133">INDEX(Sheet1!H:H,$G1133)</f>
        <v>1E-3</v>
      </c>
      <c r="L1133" s="4">
        <f t="shared" si="68"/>
        <v>17</v>
      </c>
      <c r="M1133" s="4">
        <f t="shared" si="69"/>
        <v>0</v>
      </c>
    </row>
    <row r="1134" spans="1:13">
      <c r="A1134" s="4" t="str" cm="1">
        <f t="array" ref="A1134">INDEX(Sheet1!A:A,$F1134)</f>
        <v>F</v>
      </c>
      <c r="B1134" s="4" t="str" cm="1">
        <f t="array" ref="B1134">INDEX(Sheet1!B:B,$F1134)</f>
        <v>Super-Pref NS</v>
      </c>
      <c r="C1134" s="4">
        <f t="shared" si="70"/>
        <v>43</v>
      </c>
      <c r="D1134" s="5" cm="1">
        <f t="array" aca="1" ref="D1134" ca="1">OFFSET(INDIRECT("'["&amp;$H1134&amp;"]"&amp;$I1134&amp;"'!"&amp;$J1134),$L1134,$M1134)*$K1134</f>
        <v>8.7000000000000001E-4</v>
      </c>
      <c r="F1134" s="4">
        <f t="shared" si="71"/>
        <v>11</v>
      </c>
      <c r="G1134" s="4" cm="1">
        <f t="array" ref="G1134">IF($C1134&gt;=25,F1134,IF($C1134&lt;16,INDEX(Sheet1!C:C,$F1134),$F1134))</f>
        <v>11</v>
      </c>
      <c r="H1134" s="4" t="str" cm="1">
        <f t="array" ref="H1134">INDEX(Sheet1!D:D,$G1134)</f>
        <v>2001-cso-preferred-class-structure-mortality-tables.xls</v>
      </c>
      <c r="I1134" s="4" t="str" cm="1">
        <f t="array" ref="I1134">INDEX(Sheet1!E:E,$G1134)</f>
        <v>A.1.b.i</v>
      </c>
      <c r="J1134" s="4" t="str" cm="1">
        <f t="array" ref="J1134">IF($C1134&gt;=25,INDEX(Sheet1!G:G,$G1134),INDEX(Sheet1!F:F,$G1134))</f>
        <v>AA8</v>
      </c>
      <c r="K1134" s="4" cm="1">
        <f t="array" ref="K1134">INDEX(Sheet1!H:H,$G1134)</f>
        <v>1E-3</v>
      </c>
      <c r="L1134" s="4">
        <f t="shared" si="68"/>
        <v>18</v>
      </c>
      <c r="M1134" s="4">
        <f t="shared" si="69"/>
        <v>0</v>
      </c>
    </row>
    <row r="1135" spans="1:13">
      <c r="A1135" s="4" t="str" cm="1">
        <f t="array" ref="A1135">INDEX(Sheet1!A:A,$F1135)</f>
        <v>F</v>
      </c>
      <c r="B1135" s="4" t="str" cm="1">
        <f t="array" ref="B1135">INDEX(Sheet1!B:B,$F1135)</f>
        <v>Super-Pref NS</v>
      </c>
      <c r="C1135" s="4">
        <f t="shared" si="70"/>
        <v>44</v>
      </c>
      <c r="D1135" s="5" cm="1">
        <f t="array" aca="1" ref="D1135" ca="1">OFFSET(INDIRECT("'["&amp;$H1135&amp;"]"&amp;$I1135&amp;"'!"&amp;$J1135),$L1135,$M1135)*$K1135</f>
        <v>9.3999999999999997E-4</v>
      </c>
      <c r="F1135" s="4">
        <f t="shared" si="71"/>
        <v>11</v>
      </c>
      <c r="G1135" s="4" cm="1">
        <f t="array" ref="G1135">IF($C1135&gt;=25,F1135,IF($C1135&lt;16,INDEX(Sheet1!C:C,$F1135),$F1135))</f>
        <v>11</v>
      </c>
      <c r="H1135" s="4" t="str" cm="1">
        <f t="array" ref="H1135">INDEX(Sheet1!D:D,$G1135)</f>
        <v>2001-cso-preferred-class-structure-mortality-tables.xls</v>
      </c>
      <c r="I1135" s="4" t="str" cm="1">
        <f t="array" ref="I1135">INDEX(Sheet1!E:E,$G1135)</f>
        <v>A.1.b.i</v>
      </c>
      <c r="J1135" s="4" t="str" cm="1">
        <f t="array" ref="J1135">IF($C1135&gt;=25,INDEX(Sheet1!G:G,$G1135),INDEX(Sheet1!F:F,$G1135))</f>
        <v>AA8</v>
      </c>
      <c r="K1135" s="4" cm="1">
        <f t="array" ref="K1135">INDEX(Sheet1!H:H,$G1135)</f>
        <v>1E-3</v>
      </c>
      <c r="L1135" s="4">
        <f t="shared" si="68"/>
        <v>19</v>
      </c>
      <c r="M1135" s="4">
        <f t="shared" si="69"/>
        <v>0</v>
      </c>
    </row>
    <row r="1136" spans="1:13">
      <c r="A1136" s="4" t="str" cm="1">
        <f t="array" ref="A1136">INDEX(Sheet1!A:A,$F1136)</f>
        <v>F</v>
      </c>
      <c r="B1136" s="4" t="str" cm="1">
        <f t="array" ref="B1136">INDEX(Sheet1!B:B,$F1136)</f>
        <v>Super-Pref NS</v>
      </c>
      <c r="C1136" s="4">
        <f t="shared" si="70"/>
        <v>45</v>
      </c>
      <c r="D1136" s="5" cm="1">
        <f t="array" aca="1" ref="D1136" ca="1">OFFSET(INDIRECT("'["&amp;$H1136&amp;"]"&amp;$I1136&amp;"'!"&amp;$J1136),$L1136,$M1136)*$K1136</f>
        <v>1.0200000000000001E-3</v>
      </c>
      <c r="F1136" s="4">
        <f t="shared" si="71"/>
        <v>11</v>
      </c>
      <c r="G1136" s="4" cm="1">
        <f t="array" ref="G1136">IF($C1136&gt;=25,F1136,IF($C1136&lt;16,INDEX(Sheet1!C:C,$F1136),$F1136))</f>
        <v>11</v>
      </c>
      <c r="H1136" s="4" t="str" cm="1">
        <f t="array" ref="H1136">INDEX(Sheet1!D:D,$G1136)</f>
        <v>2001-cso-preferred-class-structure-mortality-tables.xls</v>
      </c>
      <c r="I1136" s="4" t="str" cm="1">
        <f t="array" ref="I1136">INDEX(Sheet1!E:E,$G1136)</f>
        <v>A.1.b.i</v>
      </c>
      <c r="J1136" s="4" t="str" cm="1">
        <f t="array" ref="J1136">IF($C1136&gt;=25,INDEX(Sheet1!G:G,$G1136),INDEX(Sheet1!F:F,$G1136))</f>
        <v>AA8</v>
      </c>
      <c r="K1136" s="4" cm="1">
        <f t="array" ref="K1136">INDEX(Sheet1!H:H,$G1136)</f>
        <v>1E-3</v>
      </c>
      <c r="L1136" s="4">
        <f t="shared" si="68"/>
        <v>20</v>
      </c>
      <c r="M1136" s="4">
        <f t="shared" si="69"/>
        <v>0</v>
      </c>
    </row>
    <row r="1137" spans="1:13">
      <c r="A1137" s="4" t="str" cm="1">
        <f t="array" ref="A1137">INDEX(Sheet1!A:A,$F1137)</f>
        <v>F</v>
      </c>
      <c r="B1137" s="4" t="str" cm="1">
        <f t="array" ref="B1137">INDEX(Sheet1!B:B,$F1137)</f>
        <v>Super-Pref NS</v>
      </c>
      <c r="C1137" s="4">
        <f t="shared" si="70"/>
        <v>46</v>
      </c>
      <c r="D1137" s="5" cm="1">
        <f t="array" aca="1" ref="D1137" ca="1">OFFSET(INDIRECT("'["&amp;$H1137&amp;"]"&amp;$I1137&amp;"'!"&amp;$J1137),$L1137,$M1137)*$K1137</f>
        <v>1.1200000000000001E-3</v>
      </c>
      <c r="F1137" s="4">
        <f t="shared" si="71"/>
        <v>11</v>
      </c>
      <c r="G1137" s="4" cm="1">
        <f t="array" ref="G1137">IF($C1137&gt;=25,F1137,IF($C1137&lt;16,INDEX(Sheet1!C:C,$F1137),$F1137))</f>
        <v>11</v>
      </c>
      <c r="H1137" s="4" t="str" cm="1">
        <f t="array" ref="H1137">INDEX(Sheet1!D:D,$G1137)</f>
        <v>2001-cso-preferred-class-structure-mortality-tables.xls</v>
      </c>
      <c r="I1137" s="4" t="str" cm="1">
        <f t="array" ref="I1137">INDEX(Sheet1!E:E,$G1137)</f>
        <v>A.1.b.i</v>
      </c>
      <c r="J1137" s="4" t="str" cm="1">
        <f t="array" ref="J1137">IF($C1137&gt;=25,INDEX(Sheet1!G:G,$G1137),INDEX(Sheet1!F:F,$G1137))</f>
        <v>AA8</v>
      </c>
      <c r="K1137" s="4" cm="1">
        <f t="array" ref="K1137">INDEX(Sheet1!H:H,$G1137)</f>
        <v>1E-3</v>
      </c>
      <c r="L1137" s="4">
        <f t="shared" si="68"/>
        <v>21</v>
      </c>
      <c r="M1137" s="4">
        <f t="shared" si="69"/>
        <v>0</v>
      </c>
    </row>
    <row r="1138" spans="1:13">
      <c r="A1138" s="4" t="str" cm="1">
        <f t="array" ref="A1138">INDEX(Sheet1!A:A,$F1138)</f>
        <v>F</v>
      </c>
      <c r="B1138" s="4" t="str" cm="1">
        <f t="array" ref="B1138">INDEX(Sheet1!B:B,$F1138)</f>
        <v>Super-Pref NS</v>
      </c>
      <c r="C1138" s="4">
        <f t="shared" si="70"/>
        <v>47</v>
      </c>
      <c r="D1138" s="5" cm="1">
        <f t="array" aca="1" ref="D1138" ca="1">OFFSET(INDIRECT("'["&amp;$H1138&amp;"]"&amp;$I1138&amp;"'!"&amp;$J1138),$L1138,$M1138)*$K1138</f>
        <v>1.2199999999999999E-3</v>
      </c>
      <c r="F1138" s="4">
        <f t="shared" si="71"/>
        <v>11</v>
      </c>
      <c r="G1138" s="4" cm="1">
        <f t="array" ref="G1138">IF($C1138&gt;=25,F1138,IF($C1138&lt;16,INDEX(Sheet1!C:C,$F1138),$F1138))</f>
        <v>11</v>
      </c>
      <c r="H1138" s="4" t="str" cm="1">
        <f t="array" ref="H1138">INDEX(Sheet1!D:D,$G1138)</f>
        <v>2001-cso-preferred-class-structure-mortality-tables.xls</v>
      </c>
      <c r="I1138" s="4" t="str" cm="1">
        <f t="array" ref="I1138">INDEX(Sheet1!E:E,$G1138)</f>
        <v>A.1.b.i</v>
      </c>
      <c r="J1138" s="4" t="str" cm="1">
        <f t="array" ref="J1138">IF($C1138&gt;=25,INDEX(Sheet1!G:G,$G1138),INDEX(Sheet1!F:F,$G1138))</f>
        <v>AA8</v>
      </c>
      <c r="K1138" s="4" cm="1">
        <f t="array" ref="K1138">INDEX(Sheet1!H:H,$G1138)</f>
        <v>1E-3</v>
      </c>
      <c r="L1138" s="4">
        <f t="shared" si="68"/>
        <v>22</v>
      </c>
      <c r="M1138" s="4">
        <f t="shared" si="69"/>
        <v>0</v>
      </c>
    </row>
    <row r="1139" spans="1:13">
      <c r="A1139" s="4" t="str" cm="1">
        <f t="array" ref="A1139">INDEX(Sheet1!A:A,$F1139)</f>
        <v>F</v>
      </c>
      <c r="B1139" s="4" t="str" cm="1">
        <f t="array" ref="B1139">INDEX(Sheet1!B:B,$F1139)</f>
        <v>Super-Pref NS</v>
      </c>
      <c r="C1139" s="4">
        <f t="shared" si="70"/>
        <v>48</v>
      </c>
      <c r="D1139" s="5" cm="1">
        <f t="array" aca="1" ref="D1139" ca="1">OFFSET(INDIRECT("'["&amp;$H1139&amp;"]"&amp;$I1139&amp;"'!"&amp;$J1139),$L1139,$M1139)*$K1139</f>
        <v>1.39E-3</v>
      </c>
      <c r="F1139" s="4">
        <f t="shared" si="71"/>
        <v>11</v>
      </c>
      <c r="G1139" s="4" cm="1">
        <f t="array" ref="G1139">IF($C1139&gt;=25,F1139,IF($C1139&lt;16,INDEX(Sheet1!C:C,$F1139),$F1139))</f>
        <v>11</v>
      </c>
      <c r="H1139" s="4" t="str" cm="1">
        <f t="array" ref="H1139">INDEX(Sheet1!D:D,$G1139)</f>
        <v>2001-cso-preferred-class-structure-mortality-tables.xls</v>
      </c>
      <c r="I1139" s="4" t="str" cm="1">
        <f t="array" ref="I1139">INDEX(Sheet1!E:E,$G1139)</f>
        <v>A.1.b.i</v>
      </c>
      <c r="J1139" s="4" t="str" cm="1">
        <f t="array" ref="J1139">IF($C1139&gt;=25,INDEX(Sheet1!G:G,$G1139),INDEX(Sheet1!F:F,$G1139))</f>
        <v>AA8</v>
      </c>
      <c r="K1139" s="4" cm="1">
        <f t="array" ref="K1139">INDEX(Sheet1!H:H,$G1139)</f>
        <v>1E-3</v>
      </c>
      <c r="L1139" s="4">
        <f t="shared" si="68"/>
        <v>23</v>
      </c>
      <c r="M1139" s="4">
        <f t="shared" si="69"/>
        <v>0</v>
      </c>
    </row>
    <row r="1140" spans="1:13">
      <c r="A1140" s="4" t="str" cm="1">
        <f t="array" ref="A1140">INDEX(Sheet1!A:A,$F1140)</f>
        <v>F</v>
      </c>
      <c r="B1140" s="4" t="str" cm="1">
        <f t="array" ref="B1140">INDEX(Sheet1!B:B,$F1140)</f>
        <v>Super-Pref NS</v>
      </c>
      <c r="C1140" s="4">
        <f t="shared" si="70"/>
        <v>49</v>
      </c>
      <c r="D1140" s="5" cm="1">
        <f t="array" aca="1" ref="D1140" ca="1">OFFSET(INDIRECT("'["&amp;$H1140&amp;"]"&amp;$I1140&amp;"'!"&amp;$J1140),$L1140,$M1140)*$K1140</f>
        <v>1.5200000000000001E-3</v>
      </c>
      <c r="F1140" s="4">
        <f t="shared" si="71"/>
        <v>11</v>
      </c>
      <c r="G1140" s="4" cm="1">
        <f t="array" ref="G1140">IF($C1140&gt;=25,F1140,IF($C1140&lt;16,INDEX(Sheet1!C:C,$F1140),$F1140))</f>
        <v>11</v>
      </c>
      <c r="H1140" s="4" t="str" cm="1">
        <f t="array" ref="H1140">INDEX(Sheet1!D:D,$G1140)</f>
        <v>2001-cso-preferred-class-structure-mortality-tables.xls</v>
      </c>
      <c r="I1140" s="4" t="str" cm="1">
        <f t="array" ref="I1140">INDEX(Sheet1!E:E,$G1140)</f>
        <v>A.1.b.i</v>
      </c>
      <c r="J1140" s="4" t="str" cm="1">
        <f t="array" ref="J1140">IF($C1140&gt;=25,INDEX(Sheet1!G:G,$G1140),INDEX(Sheet1!F:F,$G1140))</f>
        <v>AA8</v>
      </c>
      <c r="K1140" s="4" cm="1">
        <f t="array" ref="K1140">INDEX(Sheet1!H:H,$G1140)</f>
        <v>1E-3</v>
      </c>
      <c r="L1140" s="4">
        <f t="shared" si="68"/>
        <v>24</v>
      </c>
      <c r="M1140" s="4">
        <f t="shared" si="69"/>
        <v>0</v>
      </c>
    </row>
    <row r="1141" spans="1:13">
      <c r="A1141" s="4" t="str" cm="1">
        <f t="array" ref="A1141">INDEX(Sheet1!A:A,$F1141)</f>
        <v>F</v>
      </c>
      <c r="B1141" s="4" t="str" cm="1">
        <f t="array" ref="B1141">INDEX(Sheet1!B:B,$F1141)</f>
        <v>Super-Pref NS</v>
      </c>
      <c r="C1141" s="4">
        <f t="shared" si="70"/>
        <v>50</v>
      </c>
      <c r="D1141" s="5" cm="1">
        <f t="array" aca="1" ref="D1141" ca="1">OFFSET(INDIRECT("'["&amp;$H1141&amp;"]"&amp;$I1141&amp;"'!"&amp;$J1141),$L1141,$M1141)*$K1141</f>
        <v>1.6999999999999999E-3</v>
      </c>
      <c r="F1141" s="4">
        <f t="shared" si="71"/>
        <v>11</v>
      </c>
      <c r="G1141" s="4" cm="1">
        <f t="array" ref="G1141">IF($C1141&gt;=25,F1141,IF($C1141&lt;16,INDEX(Sheet1!C:C,$F1141),$F1141))</f>
        <v>11</v>
      </c>
      <c r="H1141" s="4" t="str" cm="1">
        <f t="array" ref="H1141">INDEX(Sheet1!D:D,$G1141)</f>
        <v>2001-cso-preferred-class-structure-mortality-tables.xls</v>
      </c>
      <c r="I1141" s="4" t="str" cm="1">
        <f t="array" ref="I1141">INDEX(Sheet1!E:E,$G1141)</f>
        <v>A.1.b.i</v>
      </c>
      <c r="J1141" s="4" t="str" cm="1">
        <f t="array" ref="J1141">IF($C1141&gt;=25,INDEX(Sheet1!G:G,$G1141),INDEX(Sheet1!F:F,$G1141))</f>
        <v>AA8</v>
      </c>
      <c r="K1141" s="4" cm="1">
        <f t="array" ref="K1141">INDEX(Sheet1!H:H,$G1141)</f>
        <v>1E-3</v>
      </c>
      <c r="L1141" s="4">
        <f t="shared" si="68"/>
        <v>25</v>
      </c>
      <c r="M1141" s="4">
        <f t="shared" si="69"/>
        <v>0</v>
      </c>
    </row>
    <row r="1142" spans="1:13">
      <c r="A1142" s="4" t="str" cm="1">
        <f t="array" ref="A1142">INDEX(Sheet1!A:A,$F1142)</f>
        <v>F</v>
      </c>
      <c r="B1142" s="4" t="str" cm="1">
        <f t="array" ref="B1142">INDEX(Sheet1!B:B,$F1142)</f>
        <v>Super-Pref NS</v>
      </c>
      <c r="C1142" s="4">
        <f t="shared" si="70"/>
        <v>51</v>
      </c>
      <c r="D1142" s="5" cm="1">
        <f t="array" aca="1" ref="D1142" ca="1">OFFSET(INDIRECT("'["&amp;$H1142&amp;"]"&amp;$I1142&amp;"'!"&amp;$J1142),$L1142,$M1142)*$K1142</f>
        <v>1.9E-3</v>
      </c>
      <c r="F1142" s="4">
        <f t="shared" si="71"/>
        <v>11</v>
      </c>
      <c r="G1142" s="4" cm="1">
        <f t="array" ref="G1142">IF($C1142&gt;=25,F1142,IF($C1142&lt;16,INDEX(Sheet1!C:C,$F1142),$F1142))</f>
        <v>11</v>
      </c>
      <c r="H1142" s="4" t="str" cm="1">
        <f t="array" ref="H1142">INDEX(Sheet1!D:D,$G1142)</f>
        <v>2001-cso-preferred-class-structure-mortality-tables.xls</v>
      </c>
      <c r="I1142" s="4" t="str" cm="1">
        <f t="array" ref="I1142">INDEX(Sheet1!E:E,$G1142)</f>
        <v>A.1.b.i</v>
      </c>
      <c r="J1142" s="4" t="str" cm="1">
        <f t="array" ref="J1142">IF($C1142&gt;=25,INDEX(Sheet1!G:G,$G1142),INDEX(Sheet1!F:F,$G1142))</f>
        <v>AA8</v>
      </c>
      <c r="K1142" s="4" cm="1">
        <f t="array" ref="K1142">INDEX(Sheet1!H:H,$G1142)</f>
        <v>1E-3</v>
      </c>
      <c r="L1142" s="4">
        <f t="shared" si="68"/>
        <v>26</v>
      </c>
      <c r="M1142" s="4">
        <f t="shared" si="69"/>
        <v>0</v>
      </c>
    </row>
    <row r="1143" spans="1:13">
      <c r="A1143" s="4" t="str" cm="1">
        <f t="array" ref="A1143">INDEX(Sheet1!A:A,$F1143)</f>
        <v>F</v>
      </c>
      <c r="B1143" s="4" t="str" cm="1">
        <f t="array" ref="B1143">INDEX(Sheet1!B:B,$F1143)</f>
        <v>Super-Pref NS</v>
      </c>
      <c r="C1143" s="4">
        <f t="shared" si="70"/>
        <v>52</v>
      </c>
      <c r="D1143" s="5" cm="1">
        <f t="array" aca="1" ref="D1143" ca="1">OFFSET(INDIRECT("'["&amp;$H1143&amp;"]"&amp;$I1143&amp;"'!"&amp;$J1143),$L1143,$M1143)*$K1143</f>
        <v>2.15E-3</v>
      </c>
      <c r="F1143" s="4">
        <f t="shared" si="71"/>
        <v>11</v>
      </c>
      <c r="G1143" s="4" cm="1">
        <f t="array" ref="G1143">IF($C1143&gt;=25,F1143,IF($C1143&lt;16,INDEX(Sheet1!C:C,$F1143),$F1143))</f>
        <v>11</v>
      </c>
      <c r="H1143" s="4" t="str" cm="1">
        <f t="array" ref="H1143">INDEX(Sheet1!D:D,$G1143)</f>
        <v>2001-cso-preferred-class-structure-mortality-tables.xls</v>
      </c>
      <c r="I1143" s="4" t="str" cm="1">
        <f t="array" ref="I1143">INDEX(Sheet1!E:E,$G1143)</f>
        <v>A.1.b.i</v>
      </c>
      <c r="J1143" s="4" t="str" cm="1">
        <f t="array" ref="J1143">IF($C1143&gt;=25,INDEX(Sheet1!G:G,$G1143),INDEX(Sheet1!F:F,$G1143))</f>
        <v>AA8</v>
      </c>
      <c r="K1143" s="4" cm="1">
        <f t="array" ref="K1143">INDEX(Sheet1!H:H,$G1143)</f>
        <v>1E-3</v>
      </c>
      <c r="L1143" s="4">
        <f t="shared" si="68"/>
        <v>27</v>
      </c>
      <c r="M1143" s="4">
        <f t="shared" si="69"/>
        <v>0</v>
      </c>
    </row>
    <row r="1144" spans="1:13">
      <c r="A1144" s="4" t="str" cm="1">
        <f t="array" ref="A1144">INDEX(Sheet1!A:A,$F1144)</f>
        <v>F</v>
      </c>
      <c r="B1144" s="4" t="str" cm="1">
        <f t="array" ref="B1144">INDEX(Sheet1!B:B,$F1144)</f>
        <v>Super-Pref NS</v>
      </c>
      <c r="C1144" s="4">
        <f t="shared" si="70"/>
        <v>53</v>
      </c>
      <c r="D1144" s="5" cm="1">
        <f t="array" aca="1" ref="D1144" ca="1">OFFSET(INDIRECT("'["&amp;$H1144&amp;"]"&amp;$I1144&amp;"'!"&amp;$J1144),$L1144,$M1144)*$K1144</f>
        <v>2.3999999999999998E-3</v>
      </c>
      <c r="F1144" s="4">
        <f t="shared" si="71"/>
        <v>11</v>
      </c>
      <c r="G1144" s="4" cm="1">
        <f t="array" ref="G1144">IF($C1144&gt;=25,F1144,IF($C1144&lt;16,INDEX(Sheet1!C:C,$F1144),$F1144))</f>
        <v>11</v>
      </c>
      <c r="H1144" s="4" t="str" cm="1">
        <f t="array" ref="H1144">INDEX(Sheet1!D:D,$G1144)</f>
        <v>2001-cso-preferred-class-structure-mortality-tables.xls</v>
      </c>
      <c r="I1144" s="4" t="str" cm="1">
        <f t="array" ref="I1144">INDEX(Sheet1!E:E,$G1144)</f>
        <v>A.1.b.i</v>
      </c>
      <c r="J1144" s="4" t="str" cm="1">
        <f t="array" ref="J1144">IF($C1144&gt;=25,INDEX(Sheet1!G:G,$G1144),INDEX(Sheet1!F:F,$G1144))</f>
        <v>AA8</v>
      </c>
      <c r="K1144" s="4" cm="1">
        <f t="array" ref="K1144">INDEX(Sheet1!H:H,$G1144)</f>
        <v>1E-3</v>
      </c>
      <c r="L1144" s="4">
        <f t="shared" si="68"/>
        <v>28</v>
      </c>
      <c r="M1144" s="4">
        <f t="shared" si="69"/>
        <v>0</v>
      </c>
    </row>
    <row r="1145" spans="1:13">
      <c r="A1145" s="4" t="str" cm="1">
        <f t="array" ref="A1145">INDEX(Sheet1!A:A,$F1145)</f>
        <v>F</v>
      </c>
      <c r="B1145" s="4" t="str" cm="1">
        <f t="array" ref="B1145">INDEX(Sheet1!B:B,$F1145)</f>
        <v>Super-Pref NS</v>
      </c>
      <c r="C1145" s="4">
        <f t="shared" si="70"/>
        <v>54</v>
      </c>
      <c r="D1145" s="5" cm="1">
        <f t="array" aca="1" ref="D1145" ca="1">OFFSET(INDIRECT("'["&amp;$H1145&amp;"]"&amp;$I1145&amp;"'!"&amp;$J1145),$L1145,$M1145)*$K1145</f>
        <v>2.7100000000000002E-3</v>
      </c>
      <c r="F1145" s="4">
        <f t="shared" si="71"/>
        <v>11</v>
      </c>
      <c r="G1145" s="4" cm="1">
        <f t="array" ref="G1145">IF($C1145&gt;=25,F1145,IF($C1145&lt;16,INDEX(Sheet1!C:C,$F1145),$F1145))</f>
        <v>11</v>
      </c>
      <c r="H1145" s="4" t="str" cm="1">
        <f t="array" ref="H1145">INDEX(Sheet1!D:D,$G1145)</f>
        <v>2001-cso-preferred-class-structure-mortality-tables.xls</v>
      </c>
      <c r="I1145" s="4" t="str" cm="1">
        <f t="array" ref="I1145">INDEX(Sheet1!E:E,$G1145)</f>
        <v>A.1.b.i</v>
      </c>
      <c r="J1145" s="4" t="str" cm="1">
        <f t="array" ref="J1145">IF($C1145&gt;=25,INDEX(Sheet1!G:G,$G1145),INDEX(Sheet1!F:F,$G1145))</f>
        <v>AA8</v>
      </c>
      <c r="K1145" s="4" cm="1">
        <f t="array" ref="K1145">INDEX(Sheet1!H:H,$G1145)</f>
        <v>1E-3</v>
      </c>
      <c r="L1145" s="4">
        <f t="shared" si="68"/>
        <v>29</v>
      </c>
      <c r="M1145" s="4">
        <f t="shared" si="69"/>
        <v>0</v>
      </c>
    </row>
    <row r="1146" spans="1:13">
      <c r="A1146" s="4" t="str" cm="1">
        <f t="array" ref="A1146">INDEX(Sheet1!A:A,$F1146)</f>
        <v>F</v>
      </c>
      <c r="B1146" s="4" t="str" cm="1">
        <f t="array" ref="B1146">INDEX(Sheet1!B:B,$F1146)</f>
        <v>Super-Pref NS</v>
      </c>
      <c r="C1146" s="4">
        <f t="shared" si="70"/>
        <v>55</v>
      </c>
      <c r="D1146" s="5" cm="1">
        <f t="array" aca="1" ref="D1146" ca="1">OFFSET(INDIRECT("'["&amp;$H1146&amp;"]"&amp;$I1146&amp;"'!"&amp;$J1146),$L1146,$M1146)*$K1146</f>
        <v>3.0400000000000002E-3</v>
      </c>
      <c r="F1146" s="4">
        <f t="shared" si="71"/>
        <v>11</v>
      </c>
      <c r="G1146" s="4" cm="1">
        <f t="array" ref="G1146">IF($C1146&gt;=25,F1146,IF($C1146&lt;16,INDEX(Sheet1!C:C,$F1146),$F1146))</f>
        <v>11</v>
      </c>
      <c r="H1146" s="4" t="str" cm="1">
        <f t="array" ref="H1146">INDEX(Sheet1!D:D,$G1146)</f>
        <v>2001-cso-preferred-class-structure-mortality-tables.xls</v>
      </c>
      <c r="I1146" s="4" t="str" cm="1">
        <f t="array" ref="I1146">INDEX(Sheet1!E:E,$G1146)</f>
        <v>A.1.b.i</v>
      </c>
      <c r="J1146" s="4" t="str" cm="1">
        <f t="array" ref="J1146">IF($C1146&gt;=25,INDEX(Sheet1!G:G,$G1146),INDEX(Sheet1!F:F,$G1146))</f>
        <v>AA8</v>
      </c>
      <c r="K1146" s="4" cm="1">
        <f t="array" ref="K1146">INDEX(Sheet1!H:H,$G1146)</f>
        <v>1E-3</v>
      </c>
      <c r="L1146" s="4">
        <f t="shared" si="68"/>
        <v>30</v>
      </c>
      <c r="M1146" s="4">
        <f t="shared" si="69"/>
        <v>0</v>
      </c>
    </row>
    <row r="1147" spans="1:13">
      <c r="A1147" s="4" t="str" cm="1">
        <f t="array" ref="A1147">INDEX(Sheet1!A:A,$F1147)</f>
        <v>F</v>
      </c>
      <c r="B1147" s="4" t="str" cm="1">
        <f t="array" ref="B1147">INDEX(Sheet1!B:B,$F1147)</f>
        <v>Super-Pref NS</v>
      </c>
      <c r="C1147" s="4">
        <f t="shared" si="70"/>
        <v>56</v>
      </c>
      <c r="D1147" s="5" cm="1">
        <f t="array" aca="1" ref="D1147" ca="1">OFFSET(INDIRECT("'["&amp;$H1147&amp;"]"&amp;$I1147&amp;"'!"&amp;$J1147),$L1147,$M1147)*$K1147</f>
        <v>3.4300000000000003E-3</v>
      </c>
      <c r="F1147" s="4">
        <f t="shared" si="71"/>
        <v>11</v>
      </c>
      <c r="G1147" s="4" cm="1">
        <f t="array" ref="G1147">IF($C1147&gt;=25,F1147,IF($C1147&lt;16,INDEX(Sheet1!C:C,$F1147),$F1147))</f>
        <v>11</v>
      </c>
      <c r="H1147" s="4" t="str" cm="1">
        <f t="array" ref="H1147">INDEX(Sheet1!D:D,$G1147)</f>
        <v>2001-cso-preferred-class-structure-mortality-tables.xls</v>
      </c>
      <c r="I1147" s="4" t="str" cm="1">
        <f t="array" ref="I1147">INDEX(Sheet1!E:E,$G1147)</f>
        <v>A.1.b.i</v>
      </c>
      <c r="J1147" s="4" t="str" cm="1">
        <f t="array" ref="J1147">IF($C1147&gt;=25,INDEX(Sheet1!G:G,$G1147),INDEX(Sheet1!F:F,$G1147))</f>
        <v>AA8</v>
      </c>
      <c r="K1147" s="4" cm="1">
        <f t="array" ref="K1147">INDEX(Sheet1!H:H,$G1147)</f>
        <v>1E-3</v>
      </c>
      <c r="L1147" s="4">
        <f t="shared" si="68"/>
        <v>31</v>
      </c>
      <c r="M1147" s="4">
        <f t="shared" si="69"/>
        <v>0</v>
      </c>
    </row>
    <row r="1148" spans="1:13">
      <c r="A1148" s="4" t="str" cm="1">
        <f t="array" ref="A1148">INDEX(Sheet1!A:A,$F1148)</f>
        <v>F</v>
      </c>
      <c r="B1148" s="4" t="str" cm="1">
        <f t="array" ref="B1148">INDEX(Sheet1!B:B,$F1148)</f>
        <v>Super-Pref NS</v>
      </c>
      <c r="C1148" s="4">
        <f t="shared" si="70"/>
        <v>57</v>
      </c>
      <c r="D1148" s="5" cm="1">
        <f t="array" aca="1" ref="D1148" ca="1">OFFSET(INDIRECT("'["&amp;$H1148&amp;"]"&amp;$I1148&amp;"'!"&amp;$J1148),$L1148,$M1148)*$K1148</f>
        <v>3.8400000000000001E-3</v>
      </c>
      <c r="F1148" s="4">
        <f t="shared" si="71"/>
        <v>11</v>
      </c>
      <c r="G1148" s="4" cm="1">
        <f t="array" ref="G1148">IF($C1148&gt;=25,F1148,IF($C1148&lt;16,INDEX(Sheet1!C:C,$F1148),$F1148))</f>
        <v>11</v>
      </c>
      <c r="H1148" s="4" t="str" cm="1">
        <f t="array" ref="H1148">INDEX(Sheet1!D:D,$G1148)</f>
        <v>2001-cso-preferred-class-structure-mortality-tables.xls</v>
      </c>
      <c r="I1148" s="4" t="str" cm="1">
        <f t="array" ref="I1148">INDEX(Sheet1!E:E,$G1148)</f>
        <v>A.1.b.i</v>
      </c>
      <c r="J1148" s="4" t="str" cm="1">
        <f t="array" ref="J1148">IF($C1148&gt;=25,INDEX(Sheet1!G:G,$G1148),INDEX(Sheet1!F:F,$G1148))</f>
        <v>AA8</v>
      </c>
      <c r="K1148" s="4" cm="1">
        <f t="array" ref="K1148">INDEX(Sheet1!H:H,$G1148)</f>
        <v>1E-3</v>
      </c>
      <c r="L1148" s="4">
        <f t="shared" si="68"/>
        <v>32</v>
      </c>
      <c r="M1148" s="4">
        <f t="shared" si="69"/>
        <v>0</v>
      </c>
    </row>
    <row r="1149" spans="1:13">
      <c r="A1149" s="4" t="str" cm="1">
        <f t="array" ref="A1149">INDEX(Sheet1!A:A,$F1149)</f>
        <v>F</v>
      </c>
      <c r="B1149" s="4" t="str" cm="1">
        <f t="array" ref="B1149">INDEX(Sheet1!B:B,$F1149)</f>
        <v>Super-Pref NS</v>
      </c>
      <c r="C1149" s="4">
        <f t="shared" si="70"/>
        <v>58</v>
      </c>
      <c r="D1149" s="5" cm="1">
        <f t="array" aca="1" ref="D1149" ca="1">OFFSET(INDIRECT("'["&amp;$H1149&amp;"]"&amp;$I1149&amp;"'!"&amp;$J1149),$L1149,$M1149)*$K1149</f>
        <v>4.3E-3</v>
      </c>
      <c r="F1149" s="4">
        <f t="shared" si="71"/>
        <v>11</v>
      </c>
      <c r="G1149" s="4" cm="1">
        <f t="array" ref="G1149">IF($C1149&gt;=25,F1149,IF($C1149&lt;16,INDEX(Sheet1!C:C,$F1149),$F1149))</f>
        <v>11</v>
      </c>
      <c r="H1149" s="4" t="str" cm="1">
        <f t="array" ref="H1149">INDEX(Sheet1!D:D,$G1149)</f>
        <v>2001-cso-preferred-class-structure-mortality-tables.xls</v>
      </c>
      <c r="I1149" s="4" t="str" cm="1">
        <f t="array" ref="I1149">INDEX(Sheet1!E:E,$G1149)</f>
        <v>A.1.b.i</v>
      </c>
      <c r="J1149" s="4" t="str" cm="1">
        <f t="array" ref="J1149">IF($C1149&gt;=25,INDEX(Sheet1!G:G,$G1149),INDEX(Sheet1!F:F,$G1149))</f>
        <v>AA8</v>
      </c>
      <c r="K1149" s="4" cm="1">
        <f t="array" ref="K1149">INDEX(Sheet1!H:H,$G1149)</f>
        <v>1E-3</v>
      </c>
      <c r="L1149" s="4">
        <f t="shared" si="68"/>
        <v>33</v>
      </c>
      <c r="M1149" s="4">
        <f t="shared" si="69"/>
        <v>0</v>
      </c>
    </row>
    <row r="1150" spans="1:13">
      <c r="A1150" s="4" t="str" cm="1">
        <f t="array" ref="A1150">INDEX(Sheet1!A:A,$F1150)</f>
        <v>F</v>
      </c>
      <c r="B1150" s="4" t="str" cm="1">
        <f t="array" ref="B1150">INDEX(Sheet1!B:B,$F1150)</f>
        <v>Super-Pref NS</v>
      </c>
      <c r="C1150" s="4">
        <f t="shared" si="70"/>
        <v>59</v>
      </c>
      <c r="D1150" s="5" cm="1">
        <f t="array" aca="1" ref="D1150" ca="1">OFFSET(INDIRECT("'["&amp;$H1150&amp;"]"&amp;$I1150&amp;"'!"&amp;$J1150),$L1150,$M1150)*$K1150</f>
        <v>4.79E-3</v>
      </c>
      <c r="F1150" s="4">
        <f t="shared" si="71"/>
        <v>11</v>
      </c>
      <c r="G1150" s="4" cm="1">
        <f t="array" ref="G1150">IF($C1150&gt;=25,F1150,IF($C1150&lt;16,INDEX(Sheet1!C:C,$F1150),$F1150))</f>
        <v>11</v>
      </c>
      <c r="H1150" s="4" t="str" cm="1">
        <f t="array" ref="H1150">INDEX(Sheet1!D:D,$G1150)</f>
        <v>2001-cso-preferred-class-structure-mortality-tables.xls</v>
      </c>
      <c r="I1150" s="4" t="str" cm="1">
        <f t="array" ref="I1150">INDEX(Sheet1!E:E,$G1150)</f>
        <v>A.1.b.i</v>
      </c>
      <c r="J1150" s="4" t="str" cm="1">
        <f t="array" ref="J1150">IF($C1150&gt;=25,INDEX(Sheet1!G:G,$G1150),INDEX(Sheet1!F:F,$G1150))</f>
        <v>AA8</v>
      </c>
      <c r="K1150" s="4" cm="1">
        <f t="array" ref="K1150">INDEX(Sheet1!H:H,$G1150)</f>
        <v>1E-3</v>
      </c>
      <c r="L1150" s="4">
        <f t="shared" si="68"/>
        <v>34</v>
      </c>
      <c r="M1150" s="4">
        <f t="shared" si="69"/>
        <v>0</v>
      </c>
    </row>
    <row r="1151" spans="1:13">
      <c r="A1151" s="4" t="str" cm="1">
        <f t="array" ref="A1151">INDEX(Sheet1!A:A,$F1151)</f>
        <v>F</v>
      </c>
      <c r="B1151" s="4" t="str" cm="1">
        <f t="array" ref="B1151">INDEX(Sheet1!B:B,$F1151)</f>
        <v>Super-Pref NS</v>
      </c>
      <c r="C1151" s="4">
        <f t="shared" si="70"/>
        <v>60</v>
      </c>
      <c r="D1151" s="5" cm="1">
        <f t="array" aca="1" ref="D1151" ca="1">OFFSET(INDIRECT("'["&amp;$H1151&amp;"]"&amp;$I1151&amp;"'!"&amp;$J1151),$L1151,$M1151)*$K1151</f>
        <v>5.1799999999999997E-3</v>
      </c>
      <c r="F1151" s="4">
        <f t="shared" si="71"/>
        <v>11</v>
      </c>
      <c r="G1151" s="4" cm="1">
        <f t="array" ref="G1151">IF($C1151&gt;=25,F1151,IF($C1151&lt;16,INDEX(Sheet1!C:C,$F1151),$F1151))</f>
        <v>11</v>
      </c>
      <c r="H1151" s="4" t="str" cm="1">
        <f t="array" ref="H1151">INDEX(Sheet1!D:D,$G1151)</f>
        <v>2001-cso-preferred-class-structure-mortality-tables.xls</v>
      </c>
      <c r="I1151" s="4" t="str" cm="1">
        <f t="array" ref="I1151">INDEX(Sheet1!E:E,$G1151)</f>
        <v>A.1.b.i</v>
      </c>
      <c r="J1151" s="4" t="str" cm="1">
        <f t="array" ref="J1151">IF($C1151&gt;=25,INDEX(Sheet1!G:G,$G1151),INDEX(Sheet1!F:F,$G1151))</f>
        <v>AA8</v>
      </c>
      <c r="K1151" s="4" cm="1">
        <f t="array" ref="K1151">INDEX(Sheet1!H:H,$G1151)</f>
        <v>1E-3</v>
      </c>
      <c r="L1151" s="4">
        <f t="shared" si="68"/>
        <v>35</v>
      </c>
      <c r="M1151" s="4">
        <f t="shared" si="69"/>
        <v>0</v>
      </c>
    </row>
    <row r="1152" spans="1:13">
      <c r="A1152" s="4" t="str" cm="1">
        <f t="array" ref="A1152">INDEX(Sheet1!A:A,$F1152)</f>
        <v>F</v>
      </c>
      <c r="B1152" s="4" t="str" cm="1">
        <f t="array" ref="B1152">INDEX(Sheet1!B:B,$F1152)</f>
        <v>Super-Pref NS</v>
      </c>
      <c r="C1152" s="4">
        <f t="shared" si="70"/>
        <v>61</v>
      </c>
      <c r="D1152" s="5" cm="1">
        <f t="array" aca="1" ref="D1152" ca="1">OFFSET(INDIRECT("'["&amp;$H1152&amp;"]"&amp;$I1152&amp;"'!"&amp;$J1152),$L1152,$M1152)*$K1152</f>
        <v>5.6299999999999996E-3</v>
      </c>
      <c r="F1152" s="4">
        <f t="shared" si="71"/>
        <v>11</v>
      </c>
      <c r="G1152" s="4" cm="1">
        <f t="array" ref="G1152">IF($C1152&gt;=25,F1152,IF($C1152&lt;16,INDEX(Sheet1!C:C,$F1152),$F1152))</f>
        <v>11</v>
      </c>
      <c r="H1152" s="4" t="str" cm="1">
        <f t="array" ref="H1152">INDEX(Sheet1!D:D,$G1152)</f>
        <v>2001-cso-preferred-class-structure-mortality-tables.xls</v>
      </c>
      <c r="I1152" s="4" t="str" cm="1">
        <f t="array" ref="I1152">INDEX(Sheet1!E:E,$G1152)</f>
        <v>A.1.b.i</v>
      </c>
      <c r="J1152" s="4" t="str" cm="1">
        <f t="array" ref="J1152">IF($C1152&gt;=25,INDEX(Sheet1!G:G,$G1152),INDEX(Sheet1!F:F,$G1152))</f>
        <v>AA8</v>
      </c>
      <c r="K1152" s="4" cm="1">
        <f t="array" ref="K1152">INDEX(Sheet1!H:H,$G1152)</f>
        <v>1E-3</v>
      </c>
      <c r="L1152" s="4">
        <f t="shared" si="68"/>
        <v>36</v>
      </c>
      <c r="M1152" s="4">
        <f t="shared" si="69"/>
        <v>0</v>
      </c>
    </row>
    <row r="1153" spans="1:13">
      <c r="A1153" s="4" t="str" cm="1">
        <f t="array" ref="A1153">INDEX(Sheet1!A:A,$F1153)</f>
        <v>F</v>
      </c>
      <c r="B1153" s="4" t="str" cm="1">
        <f t="array" ref="B1153">INDEX(Sheet1!B:B,$F1153)</f>
        <v>Super-Pref NS</v>
      </c>
      <c r="C1153" s="4">
        <f t="shared" si="70"/>
        <v>62</v>
      </c>
      <c r="D1153" s="5" cm="1">
        <f t="array" aca="1" ref="D1153" ca="1">OFFSET(INDIRECT("'["&amp;$H1153&amp;"]"&amp;$I1153&amp;"'!"&amp;$J1153),$L1153,$M1153)*$K1153</f>
        <v>6.0899999999999999E-3</v>
      </c>
      <c r="F1153" s="4">
        <f t="shared" si="71"/>
        <v>11</v>
      </c>
      <c r="G1153" s="4" cm="1">
        <f t="array" ref="G1153">IF($C1153&gt;=25,F1153,IF($C1153&lt;16,INDEX(Sheet1!C:C,$F1153),$F1153))</f>
        <v>11</v>
      </c>
      <c r="H1153" s="4" t="str" cm="1">
        <f t="array" ref="H1153">INDEX(Sheet1!D:D,$G1153)</f>
        <v>2001-cso-preferred-class-structure-mortality-tables.xls</v>
      </c>
      <c r="I1153" s="4" t="str" cm="1">
        <f t="array" ref="I1153">INDEX(Sheet1!E:E,$G1153)</f>
        <v>A.1.b.i</v>
      </c>
      <c r="J1153" s="4" t="str" cm="1">
        <f t="array" ref="J1153">IF($C1153&gt;=25,INDEX(Sheet1!G:G,$G1153),INDEX(Sheet1!F:F,$G1153))</f>
        <v>AA8</v>
      </c>
      <c r="K1153" s="4" cm="1">
        <f t="array" ref="K1153">INDEX(Sheet1!H:H,$G1153)</f>
        <v>1E-3</v>
      </c>
      <c r="L1153" s="4">
        <f t="shared" si="68"/>
        <v>37</v>
      </c>
      <c r="M1153" s="4">
        <f t="shared" si="69"/>
        <v>0</v>
      </c>
    </row>
    <row r="1154" spans="1:13">
      <c r="A1154" s="4" t="str" cm="1">
        <f t="array" ref="A1154">INDEX(Sheet1!A:A,$F1154)</f>
        <v>F</v>
      </c>
      <c r="B1154" s="4" t="str" cm="1">
        <f t="array" ref="B1154">INDEX(Sheet1!B:B,$F1154)</f>
        <v>Super-Pref NS</v>
      </c>
      <c r="C1154" s="4">
        <f t="shared" si="70"/>
        <v>63</v>
      </c>
      <c r="D1154" s="5" cm="1">
        <f t="array" aca="1" ref="D1154" ca="1">OFFSET(INDIRECT("'["&amp;$H1154&amp;"]"&amp;$I1154&amp;"'!"&amp;$J1154),$L1154,$M1154)*$K1154</f>
        <v>6.5799999999999999E-3</v>
      </c>
      <c r="F1154" s="4">
        <f t="shared" si="71"/>
        <v>11</v>
      </c>
      <c r="G1154" s="4" cm="1">
        <f t="array" ref="G1154">IF($C1154&gt;=25,F1154,IF($C1154&lt;16,INDEX(Sheet1!C:C,$F1154),$F1154))</f>
        <v>11</v>
      </c>
      <c r="H1154" s="4" t="str" cm="1">
        <f t="array" ref="H1154">INDEX(Sheet1!D:D,$G1154)</f>
        <v>2001-cso-preferred-class-structure-mortality-tables.xls</v>
      </c>
      <c r="I1154" s="4" t="str" cm="1">
        <f t="array" ref="I1154">INDEX(Sheet1!E:E,$G1154)</f>
        <v>A.1.b.i</v>
      </c>
      <c r="J1154" s="4" t="str" cm="1">
        <f t="array" ref="J1154">IF($C1154&gt;=25,INDEX(Sheet1!G:G,$G1154),INDEX(Sheet1!F:F,$G1154))</f>
        <v>AA8</v>
      </c>
      <c r="K1154" s="4" cm="1">
        <f t="array" ref="K1154">INDEX(Sheet1!H:H,$G1154)</f>
        <v>1E-3</v>
      </c>
      <c r="L1154" s="4">
        <f t="shared" si="68"/>
        <v>38</v>
      </c>
      <c r="M1154" s="4">
        <f t="shared" si="69"/>
        <v>0</v>
      </c>
    </row>
    <row r="1155" spans="1:13">
      <c r="A1155" s="4" t="str" cm="1">
        <f t="array" ref="A1155">INDEX(Sheet1!A:A,$F1155)</f>
        <v>F</v>
      </c>
      <c r="B1155" s="4" t="str" cm="1">
        <f t="array" ref="B1155">INDEX(Sheet1!B:B,$F1155)</f>
        <v>Super-Pref NS</v>
      </c>
      <c r="C1155" s="4">
        <f t="shared" si="70"/>
        <v>64</v>
      </c>
      <c r="D1155" s="5" cm="1">
        <f t="array" aca="1" ref="D1155" ca="1">OFFSET(INDIRECT("'["&amp;$H1155&amp;"]"&amp;$I1155&amp;"'!"&amp;$J1155),$L1155,$M1155)*$K1155</f>
        <v>7.1200000000000005E-3</v>
      </c>
      <c r="F1155" s="4">
        <f t="shared" si="71"/>
        <v>11</v>
      </c>
      <c r="G1155" s="4" cm="1">
        <f t="array" ref="G1155">IF($C1155&gt;=25,F1155,IF($C1155&lt;16,INDEX(Sheet1!C:C,$F1155),$F1155))</f>
        <v>11</v>
      </c>
      <c r="H1155" s="4" t="str" cm="1">
        <f t="array" ref="H1155">INDEX(Sheet1!D:D,$G1155)</f>
        <v>2001-cso-preferred-class-structure-mortality-tables.xls</v>
      </c>
      <c r="I1155" s="4" t="str" cm="1">
        <f t="array" ref="I1155">INDEX(Sheet1!E:E,$G1155)</f>
        <v>A.1.b.i</v>
      </c>
      <c r="J1155" s="4" t="str" cm="1">
        <f t="array" ref="J1155">IF($C1155&gt;=25,INDEX(Sheet1!G:G,$G1155),INDEX(Sheet1!F:F,$G1155))</f>
        <v>AA8</v>
      </c>
      <c r="K1155" s="4" cm="1">
        <f t="array" ref="K1155">INDEX(Sheet1!H:H,$G1155)</f>
        <v>1E-3</v>
      </c>
      <c r="L1155" s="4">
        <f t="shared" ref="L1155:L1218" si="72">IF($C1155&gt;=25,$C1155-25,0)</f>
        <v>39</v>
      </c>
      <c r="M1155" s="4">
        <f t="shared" ref="M1155:M1218" si="73">IF($C1155&gt;=25,0,$C1155)</f>
        <v>0</v>
      </c>
    </row>
    <row r="1156" spans="1:13">
      <c r="A1156" s="4" t="str" cm="1">
        <f t="array" ref="A1156">INDEX(Sheet1!A:A,$F1156)</f>
        <v>F</v>
      </c>
      <c r="B1156" s="4" t="str" cm="1">
        <f t="array" ref="B1156">INDEX(Sheet1!B:B,$F1156)</f>
        <v>Super-Pref NS</v>
      </c>
      <c r="C1156" s="4">
        <f t="shared" ref="C1156:C1219" si="74">IF(C1155=120,0,C1155+1)</f>
        <v>65</v>
      </c>
      <c r="D1156" s="5" cm="1">
        <f t="array" aca="1" ref="D1156" ca="1">OFFSET(INDIRECT("'["&amp;$H1156&amp;"]"&amp;$I1156&amp;"'!"&amp;$J1156),$L1156,$M1156)*$K1156</f>
        <v>7.7099999999999998E-3</v>
      </c>
      <c r="F1156" s="4">
        <f t="shared" ref="F1156:F1219" si="75">IF(C1156=0,1,0)+F1155</f>
        <v>11</v>
      </c>
      <c r="G1156" s="4" cm="1">
        <f t="array" ref="G1156">IF($C1156&gt;=25,F1156,IF($C1156&lt;16,INDEX(Sheet1!C:C,$F1156),$F1156))</f>
        <v>11</v>
      </c>
      <c r="H1156" s="4" t="str" cm="1">
        <f t="array" ref="H1156">INDEX(Sheet1!D:D,$G1156)</f>
        <v>2001-cso-preferred-class-structure-mortality-tables.xls</v>
      </c>
      <c r="I1156" s="4" t="str" cm="1">
        <f t="array" ref="I1156">INDEX(Sheet1!E:E,$G1156)</f>
        <v>A.1.b.i</v>
      </c>
      <c r="J1156" s="4" t="str" cm="1">
        <f t="array" ref="J1156">IF($C1156&gt;=25,INDEX(Sheet1!G:G,$G1156),INDEX(Sheet1!F:F,$G1156))</f>
        <v>AA8</v>
      </c>
      <c r="K1156" s="4" cm="1">
        <f t="array" ref="K1156">INDEX(Sheet1!H:H,$G1156)</f>
        <v>1E-3</v>
      </c>
      <c r="L1156" s="4">
        <f t="shared" si="72"/>
        <v>40</v>
      </c>
      <c r="M1156" s="4">
        <f t="shared" si="73"/>
        <v>0</v>
      </c>
    </row>
    <row r="1157" spans="1:13">
      <c r="A1157" s="4" t="str" cm="1">
        <f t="array" ref="A1157">INDEX(Sheet1!A:A,$F1157)</f>
        <v>F</v>
      </c>
      <c r="B1157" s="4" t="str" cm="1">
        <f t="array" ref="B1157">INDEX(Sheet1!B:B,$F1157)</f>
        <v>Super-Pref NS</v>
      </c>
      <c r="C1157" s="4">
        <f t="shared" si="74"/>
        <v>66</v>
      </c>
      <c r="D1157" s="5" cm="1">
        <f t="array" aca="1" ref="D1157" ca="1">OFFSET(INDIRECT("'["&amp;$H1157&amp;"]"&amp;$I1157&amp;"'!"&amp;$J1157),$L1157,$M1157)*$K1157</f>
        <v>8.3599999999999994E-3</v>
      </c>
      <c r="F1157" s="4">
        <f t="shared" si="75"/>
        <v>11</v>
      </c>
      <c r="G1157" s="4" cm="1">
        <f t="array" ref="G1157">IF($C1157&gt;=25,F1157,IF($C1157&lt;16,INDEX(Sheet1!C:C,$F1157),$F1157))</f>
        <v>11</v>
      </c>
      <c r="H1157" s="4" t="str" cm="1">
        <f t="array" ref="H1157">INDEX(Sheet1!D:D,$G1157)</f>
        <v>2001-cso-preferred-class-structure-mortality-tables.xls</v>
      </c>
      <c r="I1157" s="4" t="str" cm="1">
        <f t="array" ref="I1157">INDEX(Sheet1!E:E,$G1157)</f>
        <v>A.1.b.i</v>
      </c>
      <c r="J1157" s="4" t="str" cm="1">
        <f t="array" ref="J1157">IF($C1157&gt;=25,INDEX(Sheet1!G:G,$G1157),INDEX(Sheet1!F:F,$G1157))</f>
        <v>AA8</v>
      </c>
      <c r="K1157" s="4" cm="1">
        <f t="array" ref="K1157">INDEX(Sheet1!H:H,$G1157)</f>
        <v>1E-3</v>
      </c>
      <c r="L1157" s="4">
        <f t="shared" si="72"/>
        <v>41</v>
      </c>
      <c r="M1157" s="4">
        <f t="shared" si="73"/>
        <v>0</v>
      </c>
    </row>
    <row r="1158" spans="1:13">
      <c r="A1158" s="4" t="str" cm="1">
        <f t="array" ref="A1158">INDEX(Sheet1!A:A,$F1158)</f>
        <v>F</v>
      </c>
      <c r="B1158" s="4" t="str" cm="1">
        <f t="array" ref="B1158">INDEX(Sheet1!B:B,$F1158)</f>
        <v>Super-Pref NS</v>
      </c>
      <c r="C1158" s="4">
        <f t="shared" si="74"/>
        <v>67</v>
      </c>
      <c r="D1158" s="5" cm="1">
        <f t="array" aca="1" ref="D1158" ca="1">OFFSET(INDIRECT("'["&amp;$H1158&amp;"]"&amp;$I1158&amp;"'!"&amp;$J1158),$L1158,$M1158)*$K1158</f>
        <v>9.0699999999999999E-3</v>
      </c>
      <c r="F1158" s="4">
        <f t="shared" si="75"/>
        <v>11</v>
      </c>
      <c r="G1158" s="4" cm="1">
        <f t="array" ref="G1158">IF($C1158&gt;=25,F1158,IF($C1158&lt;16,INDEX(Sheet1!C:C,$F1158),$F1158))</f>
        <v>11</v>
      </c>
      <c r="H1158" s="4" t="str" cm="1">
        <f t="array" ref="H1158">INDEX(Sheet1!D:D,$G1158)</f>
        <v>2001-cso-preferred-class-structure-mortality-tables.xls</v>
      </c>
      <c r="I1158" s="4" t="str" cm="1">
        <f t="array" ref="I1158">INDEX(Sheet1!E:E,$G1158)</f>
        <v>A.1.b.i</v>
      </c>
      <c r="J1158" s="4" t="str" cm="1">
        <f t="array" ref="J1158">IF($C1158&gt;=25,INDEX(Sheet1!G:G,$G1158),INDEX(Sheet1!F:F,$G1158))</f>
        <v>AA8</v>
      </c>
      <c r="K1158" s="4" cm="1">
        <f t="array" ref="K1158">INDEX(Sheet1!H:H,$G1158)</f>
        <v>1E-3</v>
      </c>
      <c r="L1158" s="4">
        <f t="shared" si="72"/>
        <v>42</v>
      </c>
      <c r="M1158" s="4">
        <f t="shared" si="73"/>
        <v>0</v>
      </c>
    </row>
    <row r="1159" spans="1:13">
      <c r="A1159" s="4" t="str" cm="1">
        <f t="array" ref="A1159">INDEX(Sheet1!A:A,$F1159)</f>
        <v>F</v>
      </c>
      <c r="B1159" s="4" t="str" cm="1">
        <f t="array" ref="B1159">INDEX(Sheet1!B:B,$F1159)</f>
        <v>Super-Pref NS</v>
      </c>
      <c r="C1159" s="4">
        <f t="shared" si="74"/>
        <v>68</v>
      </c>
      <c r="D1159" s="5" cm="1">
        <f t="array" aca="1" ref="D1159" ca="1">OFFSET(INDIRECT("'["&amp;$H1159&amp;"]"&amp;$I1159&amp;"'!"&amp;$J1159),$L1159,$M1159)*$K1159</f>
        <v>9.8699999999999986E-3</v>
      </c>
      <c r="F1159" s="4">
        <f t="shared" si="75"/>
        <v>11</v>
      </c>
      <c r="G1159" s="4" cm="1">
        <f t="array" ref="G1159">IF($C1159&gt;=25,F1159,IF($C1159&lt;16,INDEX(Sheet1!C:C,$F1159),$F1159))</f>
        <v>11</v>
      </c>
      <c r="H1159" s="4" t="str" cm="1">
        <f t="array" ref="H1159">INDEX(Sheet1!D:D,$G1159)</f>
        <v>2001-cso-preferred-class-structure-mortality-tables.xls</v>
      </c>
      <c r="I1159" s="4" t="str" cm="1">
        <f t="array" ref="I1159">INDEX(Sheet1!E:E,$G1159)</f>
        <v>A.1.b.i</v>
      </c>
      <c r="J1159" s="4" t="str" cm="1">
        <f t="array" ref="J1159">IF($C1159&gt;=25,INDEX(Sheet1!G:G,$G1159),INDEX(Sheet1!F:F,$G1159))</f>
        <v>AA8</v>
      </c>
      <c r="K1159" s="4" cm="1">
        <f t="array" ref="K1159">INDEX(Sheet1!H:H,$G1159)</f>
        <v>1E-3</v>
      </c>
      <c r="L1159" s="4">
        <f t="shared" si="72"/>
        <v>43</v>
      </c>
      <c r="M1159" s="4">
        <f t="shared" si="73"/>
        <v>0</v>
      </c>
    </row>
    <row r="1160" spans="1:13">
      <c r="A1160" s="4" t="str" cm="1">
        <f t="array" ref="A1160">INDEX(Sheet1!A:A,$F1160)</f>
        <v>F</v>
      </c>
      <c r="B1160" s="4" t="str" cm="1">
        <f t="array" ref="B1160">INDEX(Sheet1!B:B,$F1160)</f>
        <v>Super-Pref NS</v>
      </c>
      <c r="C1160" s="4">
        <f t="shared" si="74"/>
        <v>69</v>
      </c>
      <c r="D1160" s="5" cm="1">
        <f t="array" aca="1" ref="D1160" ca="1">OFFSET(INDIRECT("'["&amp;$H1160&amp;"]"&amp;$I1160&amp;"'!"&amp;$J1160),$L1160,$M1160)*$K1160</f>
        <v>1.073E-2</v>
      </c>
      <c r="F1160" s="4">
        <f t="shared" si="75"/>
        <v>11</v>
      </c>
      <c r="G1160" s="4" cm="1">
        <f t="array" ref="G1160">IF($C1160&gt;=25,F1160,IF($C1160&lt;16,INDEX(Sheet1!C:C,$F1160),$F1160))</f>
        <v>11</v>
      </c>
      <c r="H1160" s="4" t="str" cm="1">
        <f t="array" ref="H1160">INDEX(Sheet1!D:D,$G1160)</f>
        <v>2001-cso-preferred-class-structure-mortality-tables.xls</v>
      </c>
      <c r="I1160" s="4" t="str" cm="1">
        <f t="array" ref="I1160">INDEX(Sheet1!E:E,$G1160)</f>
        <v>A.1.b.i</v>
      </c>
      <c r="J1160" s="4" t="str" cm="1">
        <f t="array" ref="J1160">IF($C1160&gt;=25,INDEX(Sheet1!G:G,$G1160),INDEX(Sheet1!F:F,$G1160))</f>
        <v>AA8</v>
      </c>
      <c r="K1160" s="4" cm="1">
        <f t="array" ref="K1160">INDEX(Sheet1!H:H,$G1160)</f>
        <v>1E-3</v>
      </c>
      <c r="L1160" s="4">
        <f t="shared" si="72"/>
        <v>44</v>
      </c>
      <c r="M1160" s="4">
        <f t="shared" si="73"/>
        <v>0</v>
      </c>
    </row>
    <row r="1161" spans="1:13">
      <c r="A1161" s="4" t="str" cm="1">
        <f t="array" ref="A1161">INDEX(Sheet1!A:A,$F1161)</f>
        <v>F</v>
      </c>
      <c r="B1161" s="4" t="str" cm="1">
        <f t="array" ref="B1161">INDEX(Sheet1!B:B,$F1161)</f>
        <v>Super-Pref NS</v>
      </c>
      <c r="C1161" s="4">
        <f t="shared" si="74"/>
        <v>70</v>
      </c>
      <c r="D1161" s="5" cm="1">
        <f t="array" aca="1" ref="D1161" ca="1">OFFSET(INDIRECT("'["&amp;$H1161&amp;"]"&amp;$I1161&amp;"'!"&amp;$J1161),$L1161,$M1161)*$K1161</f>
        <v>1.17E-2</v>
      </c>
      <c r="F1161" s="4">
        <f t="shared" si="75"/>
        <v>11</v>
      </c>
      <c r="G1161" s="4" cm="1">
        <f t="array" ref="G1161">IF($C1161&gt;=25,F1161,IF($C1161&lt;16,INDEX(Sheet1!C:C,$F1161),$F1161))</f>
        <v>11</v>
      </c>
      <c r="H1161" s="4" t="str" cm="1">
        <f t="array" ref="H1161">INDEX(Sheet1!D:D,$G1161)</f>
        <v>2001-cso-preferred-class-structure-mortality-tables.xls</v>
      </c>
      <c r="I1161" s="4" t="str" cm="1">
        <f t="array" ref="I1161">INDEX(Sheet1!E:E,$G1161)</f>
        <v>A.1.b.i</v>
      </c>
      <c r="J1161" s="4" t="str" cm="1">
        <f t="array" ref="J1161">IF($C1161&gt;=25,INDEX(Sheet1!G:G,$G1161),INDEX(Sheet1!F:F,$G1161))</f>
        <v>AA8</v>
      </c>
      <c r="K1161" s="4" cm="1">
        <f t="array" ref="K1161">INDEX(Sheet1!H:H,$G1161)</f>
        <v>1E-3</v>
      </c>
      <c r="L1161" s="4">
        <f t="shared" si="72"/>
        <v>45</v>
      </c>
      <c r="M1161" s="4">
        <f t="shared" si="73"/>
        <v>0</v>
      </c>
    </row>
    <row r="1162" spans="1:13">
      <c r="A1162" s="4" t="str" cm="1">
        <f t="array" ref="A1162">INDEX(Sheet1!A:A,$F1162)</f>
        <v>F</v>
      </c>
      <c r="B1162" s="4" t="str" cm="1">
        <f t="array" ref="B1162">INDEX(Sheet1!B:B,$F1162)</f>
        <v>Super-Pref NS</v>
      </c>
      <c r="C1162" s="4">
        <f t="shared" si="74"/>
        <v>71</v>
      </c>
      <c r="D1162" s="5" cm="1">
        <f t="array" aca="1" ref="D1162" ca="1">OFFSET(INDIRECT("'["&amp;$H1162&amp;"]"&amp;$I1162&amp;"'!"&amp;$J1162),$L1162,$M1162)*$K1162</f>
        <v>1.281E-2</v>
      </c>
      <c r="F1162" s="4">
        <f t="shared" si="75"/>
        <v>11</v>
      </c>
      <c r="G1162" s="4" cm="1">
        <f t="array" ref="G1162">IF($C1162&gt;=25,F1162,IF($C1162&lt;16,INDEX(Sheet1!C:C,$F1162),$F1162))</f>
        <v>11</v>
      </c>
      <c r="H1162" s="4" t="str" cm="1">
        <f t="array" ref="H1162">INDEX(Sheet1!D:D,$G1162)</f>
        <v>2001-cso-preferred-class-structure-mortality-tables.xls</v>
      </c>
      <c r="I1162" s="4" t="str" cm="1">
        <f t="array" ref="I1162">INDEX(Sheet1!E:E,$G1162)</f>
        <v>A.1.b.i</v>
      </c>
      <c r="J1162" s="4" t="str" cm="1">
        <f t="array" ref="J1162">IF($C1162&gt;=25,INDEX(Sheet1!G:G,$G1162),INDEX(Sheet1!F:F,$G1162))</f>
        <v>AA8</v>
      </c>
      <c r="K1162" s="4" cm="1">
        <f t="array" ref="K1162">INDEX(Sheet1!H:H,$G1162)</f>
        <v>1E-3</v>
      </c>
      <c r="L1162" s="4">
        <f t="shared" si="72"/>
        <v>46</v>
      </c>
      <c r="M1162" s="4">
        <f t="shared" si="73"/>
        <v>0</v>
      </c>
    </row>
    <row r="1163" spans="1:13">
      <c r="A1163" s="4" t="str" cm="1">
        <f t="array" ref="A1163">INDEX(Sheet1!A:A,$F1163)</f>
        <v>F</v>
      </c>
      <c r="B1163" s="4" t="str" cm="1">
        <f t="array" ref="B1163">INDEX(Sheet1!B:B,$F1163)</f>
        <v>Super-Pref NS</v>
      </c>
      <c r="C1163" s="4">
        <f t="shared" si="74"/>
        <v>72</v>
      </c>
      <c r="D1163" s="5" cm="1">
        <f t="array" aca="1" ref="D1163" ca="1">OFFSET(INDIRECT("'["&amp;$H1163&amp;"]"&amp;$I1163&amp;"'!"&amp;$J1163),$L1163,$M1163)*$K1163</f>
        <v>1.4039999999999999E-2</v>
      </c>
      <c r="F1163" s="4">
        <f t="shared" si="75"/>
        <v>11</v>
      </c>
      <c r="G1163" s="4" cm="1">
        <f t="array" ref="G1163">IF($C1163&gt;=25,F1163,IF($C1163&lt;16,INDEX(Sheet1!C:C,$F1163),$F1163))</f>
        <v>11</v>
      </c>
      <c r="H1163" s="4" t="str" cm="1">
        <f t="array" ref="H1163">INDEX(Sheet1!D:D,$G1163)</f>
        <v>2001-cso-preferred-class-structure-mortality-tables.xls</v>
      </c>
      <c r="I1163" s="4" t="str" cm="1">
        <f t="array" ref="I1163">INDEX(Sheet1!E:E,$G1163)</f>
        <v>A.1.b.i</v>
      </c>
      <c r="J1163" s="4" t="str" cm="1">
        <f t="array" ref="J1163">IF($C1163&gt;=25,INDEX(Sheet1!G:G,$G1163),INDEX(Sheet1!F:F,$G1163))</f>
        <v>AA8</v>
      </c>
      <c r="K1163" s="4" cm="1">
        <f t="array" ref="K1163">INDEX(Sheet1!H:H,$G1163)</f>
        <v>1E-3</v>
      </c>
      <c r="L1163" s="4">
        <f t="shared" si="72"/>
        <v>47</v>
      </c>
      <c r="M1163" s="4">
        <f t="shared" si="73"/>
        <v>0</v>
      </c>
    </row>
    <row r="1164" spans="1:13">
      <c r="A1164" s="4" t="str" cm="1">
        <f t="array" ref="A1164">INDEX(Sheet1!A:A,$F1164)</f>
        <v>F</v>
      </c>
      <c r="B1164" s="4" t="str" cm="1">
        <f t="array" ref="B1164">INDEX(Sheet1!B:B,$F1164)</f>
        <v>Super-Pref NS</v>
      </c>
      <c r="C1164" s="4">
        <f t="shared" si="74"/>
        <v>73</v>
      </c>
      <c r="D1164" s="5" cm="1">
        <f t="array" aca="1" ref="D1164" ca="1">OFFSET(INDIRECT("'["&amp;$H1164&amp;"]"&amp;$I1164&amp;"'!"&amp;$J1164),$L1164,$M1164)*$K1164</f>
        <v>1.537E-2</v>
      </c>
      <c r="F1164" s="4">
        <f t="shared" si="75"/>
        <v>11</v>
      </c>
      <c r="G1164" s="4" cm="1">
        <f t="array" ref="G1164">IF($C1164&gt;=25,F1164,IF($C1164&lt;16,INDEX(Sheet1!C:C,$F1164),$F1164))</f>
        <v>11</v>
      </c>
      <c r="H1164" s="4" t="str" cm="1">
        <f t="array" ref="H1164">INDEX(Sheet1!D:D,$G1164)</f>
        <v>2001-cso-preferred-class-structure-mortality-tables.xls</v>
      </c>
      <c r="I1164" s="4" t="str" cm="1">
        <f t="array" ref="I1164">INDEX(Sheet1!E:E,$G1164)</f>
        <v>A.1.b.i</v>
      </c>
      <c r="J1164" s="4" t="str" cm="1">
        <f t="array" ref="J1164">IF($C1164&gt;=25,INDEX(Sheet1!G:G,$G1164),INDEX(Sheet1!F:F,$G1164))</f>
        <v>AA8</v>
      </c>
      <c r="K1164" s="4" cm="1">
        <f t="array" ref="K1164">INDEX(Sheet1!H:H,$G1164)</f>
        <v>1E-3</v>
      </c>
      <c r="L1164" s="4">
        <f t="shared" si="72"/>
        <v>48</v>
      </c>
      <c r="M1164" s="4">
        <f t="shared" si="73"/>
        <v>0</v>
      </c>
    </row>
    <row r="1165" spans="1:13">
      <c r="A1165" s="4" t="str" cm="1">
        <f t="array" ref="A1165">INDEX(Sheet1!A:A,$F1165)</f>
        <v>F</v>
      </c>
      <c r="B1165" s="4" t="str" cm="1">
        <f t="array" ref="B1165">INDEX(Sheet1!B:B,$F1165)</f>
        <v>Super-Pref NS</v>
      </c>
      <c r="C1165" s="4">
        <f t="shared" si="74"/>
        <v>74</v>
      </c>
      <c r="D1165" s="5" cm="1">
        <f t="array" aca="1" ref="D1165" ca="1">OFFSET(INDIRECT("'["&amp;$H1165&amp;"]"&amp;$I1165&amp;"'!"&amp;$J1165),$L1165,$M1165)*$K1165</f>
        <v>1.6840000000000001E-2</v>
      </c>
      <c r="F1165" s="4">
        <f t="shared" si="75"/>
        <v>11</v>
      </c>
      <c r="G1165" s="4" cm="1">
        <f t="array" ref="G1165">IF($C1165&gt;=25,F1165,IF($C1165&lt;16,INDEX(Sheet1!C:C,$F1165),$F1165))</f>
        <v>11</v>
      </c>
      <c r="H1165" s="4" t="str" cm="1">
        <f t="array" ref="H1165">INDEX(Sheet1!D:D,$G1165)</f>
        <v>2001-cso-preferred-class-structure-mortality-tables.xls</v>
      </c>
      <c r="I1165" s="4" t="str" cm="1">
        <f t="array" ref="I1165">INDEX(Sheet1!E:E,$G1165)</f>
        <v>A.1.b.i</v>
      </c>
      <c r="J1165" s="4" t="str" cm="1">
        <f t="array" ref="J1165">IF($C1165&gt;=25,INDEX(Sheet1!G:G,$G1165),INDEX(Sheet1!F:F,$G1165))</f>
        <v>AA8</v>
      </c>
      <c r="K1165" s="4" cm="1">
        <f t="array" ref="K1165">INDEX(Sheet1!H:H,$G1165)</f>
        <v>1E-3</v>
      </c>
      <c r="L1165" s="4">
        <f t="shared" si="72"/>
        <v>49</v>
      </c>
      <c r="M1165" s="4">
        <f t="shared" si="73"/>
        <v>0</v>
      </c>
    </row>
    <row r="1166" spans="1:13">
      <c r="A1166" s="4" t="str" cm="1">
        <f t="array" ref="A1166">INDEX(Sheet1!A:A,$F1166)</f>
        <v>F</v>
      </c>
      <c r="B1166" s="4" t="str" cm="1">
        <f t="array" ref="B1166">INDEX(Sheet1!B:B,$F1166)</f>
        <v>Super-Pref NS</v>
      </c>
      <c r="C1166" s="4">
        <f t="shared" si="74"/>
        <v>75</v>
      </c>
      <c r="D1166" s="5" cm="1">
        <f t="array" aca="1" ref="D1166" ca="1">OFFSET(INDIRECT("'["&amp;$H1166&amp;"]"&amp;$I1166&amp;"'!"&amp;$J1166),$L1166,$M1166)*$K1166</f>
        <v>1.848E-2</v>
      </c>
      <c r="F1166" s="4">
        <f t="shared" si="75"/>
        <v>11</v>
      </c>
      <c r="G1166" s="4" cm="1">
        <f t="array" ref="G1166">IF($C1166&gt;=25,F1166,IF($C1166&lt;16,INDEX(Sheet1!C:C,$F1166),$F1166))</f>
        <v>11</v>
      </c>
      <c r="H1166" s="4" t="str" cm="1">
        <f t="array" ref="H1166">INDEX(Sheet1!D:D,$G1166)</f>
        <v>2001-cso-preferred-class-structure-mortality-tables.xls</v>
      </c>
      <c r="I1166" s="4" t="str" cm="1">
        <f t="array" ref="I1166">INDEX(Sheet1!E:E,$G1166)</f>
        <v>A.1.b.i</v>
      </c>
      <c r="J1166" s="4" t="str" cm="1">
        <f t="array" ref="J1166">IF($C1166&gt;=25,INDEX(Sheet1!G:G,$G1166),INDEX(Sheet1!F:F,$G1166))</f>
        <v>AA8</v>
      </c>
      <c r="K1166" s="4" cm="1">
        <f t="array" ref="K1166">INDEX(Sheet1!H:H,$G1166)</f>
        <v>1E-3</v>
      </c>
      <c r="L1166" s="4">
        <f t="shared" si="72"/>
        <v>50</v>
      </c>
      <c r="M1166" s="4">
        <f t="shared" si="73"/>
        <v>0</v>
      </c>
    </row>
    <row r="1167" spans="1:13">
      <c r="A1167" s="4" t="str" cm="1">
        <f t="array" ref="A1167">INDEX(Sheet1!A:A,$F1167)</f>
        <v>F</v>
      </c>
      <c r="B1167" s="4" t="str" cm="1">
        <f t="array" ref="B1167">INDEX(Sheet1!B:B,$F1167)</f>
        <v>Super-Pref NS</v>
      </c>
      <c r="C1167" s="4">
        <f t="shared" si="74"/>
        <v>76</v>
      </c>
      <c r="D1167" s="5" cm="1">
        <f t="array" aca="1" ref="D1167" ca="1">OFFSET(INDIRECT("'["&amp;$H1167&amp;"]"&amp;$I1167&amp;"'!"&amp;$J1167),$L1167,$M1167)*$K1167</f>
        <v>2.0710000000000003E-2</v>
      </c>
      <c r="F1167" s="4">
        <f t="shared" si="75"/>
        <v>11</v>
      </c>
      <c r="G1167" s="4" cm="1">
        <f t="array" ref="G1167">IF($C1167&gt;=25,F1167,IF($C1167&lt;16,INDEX(Sheet1!C:C,$F1167),$F1167))</f>
        <v>11</v>
      </c>
      <c r="H1167" s="4" t="str" cm="1">
        <f t="array" ref="H1167">INDEX(Sheet1!D:D,$G1167)</f>
        <v>2001-cso-preferred-class-structure-mortality-tables.xls</v>
      </c>
      <c r="I1167" s="4" t="str" cm="1">
        <f t="array" ref="I1167">INDEX(Sheet1!E:E,$G1167)</f>
        <v>A.1.b.i</v>
      </c>
      <c r="J1167" s="4" t="str" cm="1">
        <f t="array" ref="J1167">IF($C1167&gt;=25,INDEX(Sheet1!G:G,$G1167),INDEX(Sheet1!F:F,$G1167))</f>
        <v>AA8</v>
      </c>
      <c r="K1167" s="4" cm="1">
        <f t="array" ref="K1167">INDEX(Sheet1!H:H,$G1167)</f>
        <v>1E-3</v>
      </c>
      <c r="L1167" s="4">
        <f t="shared" si="72"/>
        <v>51</v>
      </c>
      <c r="M1167" s="4">
        <f t="shared" si="73"/>
        <v>0</v>
      </c>
    </row>
    <row r="1168" spans="1:13">
      <c r="A1168" s="4" t="str" cm="1">
        <f t="array" ref="A1168">INDEX(Sheet1!A:A,$F1168)</f>
        <v>F</v>
      </c>
      <c r="B1168" s="4" t="str" cm="1">
        <f t="array" ref="B1168">INDEX(Sheet1!B:B,$F1168)</f>
        <v>Super-Pref NS</v>
      </c>
      <c r="C1168" s="4">
        <f t="shared" si="74"/>
        <v>77</v>
      </c>
      <c r="D1168" s="5" cm="1">
        <f t="array" aca="1" ref="D1168" ca="1">OFFSET(INDIRECT("'["&amp;$H1168&amp;"]"&amp;$I1168&amp;"'!"&amp;$J1168),$L1168,$M1168)*$K1168</f>
        <v>2.3190000000000002E-2</v>
      </c>
      <c r="F1168" s="4">
        <f t="shared" si="75"/>
        <v>11</v>
      </c>
      <c r="G1168" s="4" cm="1">
        <f t="array" ref="G1168">IF($C1168&gt;=25,F1168,IF($C1168&lt;16,INDEX(Sheet1!C:C,$F1168),$F1168))</f>
        <v>11</v>
      </c>
      <c r="H1168" s="4" t="str" cm="1">
        <f t="array" ref="H1168">INDEX(Sheet1!D:D,$G1168)</f>
        <v>2001-cso-preferred-class-structure-mortality-tables.xls</v>
      </c>
      <c r="I1168" s="4" t="str" cm="1">
        <f t="array" ref="I1168">INDEX(Sheet1!E:E,$G1168)</f>
        <v>A.1.b.i</v>
      </c>
      <c r="J1168" s="4" t="str" cm="1">
        <f t="array" ref="J1168">IF($C1168&gt;=25,INDEX(Sheet1!G:G,$G1168),INDEX(Sheet1!F:F,$G1168))</f>
        <v>AA8</v>
      </c>
      <c r="K1168" s="4" cm="1">
        <f t="array" ref="K1168">INDEX(Sheet1!H:H,$G1168)</f>
        <v>1E-3</v>
      </c>
      <c r="L1168" s="4">
        <f t="shared" si="72"/>
        <v>52</v>
      </c>
      <c r="M1168" s="4">
        <f t="shared" si="73"/>
        <v>0</v>
      </c>
    </row>
    <row r="1169" spans="1:13">
      <c r="A1169" s="4" t="str" cm="1">
        <f t="array" ref="A1169">INDEX(Sheet1!A:A,$F1169)</f>
        <v>F</v>
      </c>
      <c r="B1169" s="4" t="str" cm="1">
        <f t="array" ref="B1169">INDEX(Sheet1!B:B,$F1169)</f>
        <v>Super-Pref NS</v>
      </c>
      <c r="C1169" s="4">
        <f t="shared" si="74"/>
        <v>78</v>
      </c>
      <c r="D1169" s="5" cm="1">
        <f t="array" aca="1" ref="D1169" ca="1">OFFSET(INDIRECT("'["&amp;$H1169&amp;"]"&amp;$I1169&amp;"'!"&amp;$J1169),$L1169,$M1169)*$K1169</f>
        <v>2.6000000000000002E-2</v>
      </c>
      <c r="F1169" s="4">
        <f t="shared" si="75"/>
        <v>11</v>
      </c>
      <c r="G1169" s="4" cm="1">
        <f t="array" ref="G1169">IF($C1169&gt;=25,F1169,IF($C1169&lt;16,INDEX(Sheet1!C:C,$F1169),$F1169))</f>
        <v>11</v>
      </c>
      <c r="H1169" s="4" t="str" cm="1">
        <f t="array" ref="H1169">INDEX(Sheet1!D:D,$G1169)</f>
        <v>2001-cso-preferred-class-structure-mortality-tables.xls</v>
      </c>
      <c r="I1169" s="4" t="str" cm="1">
        <f t="array" ref="I1169">INDEX(Sheet1!E:E,$G1169)</f>
        <v>A.1.b.i</v>
      </c>
      <c r="J1169" s="4" t="str" cm="1">
        <f t="array" ref="J1169">IF($C1169&gt;=25,INDEX(Sheet1!G:G,$G1169),INDEX(Sheet1!F:F,$G1169))</f>
        <v>AA8</v>
      </c>
      <c r="K1169" s="4" cm="1">
        <f t="array" ref="K1169">INDEX(Sheet1!H:H,$G1169)</f>
        <v>1E-3</v>
      </c>
      <c r="L1169" s="4">
        <f t="shared" si="72"/>
        <v>53</v>
      </c>
      <c r="M1169" s="4">
        <f t="shared" si="73"/>
        <v>0</v>
      </c>
    </row>
    <row r="1170" spans="1:13">
      <c r="A1170" s="4" t="str" cm="1">
        <f t="array" ref="A1170">INDEX(Sheet1!A:A,$F1170)</f>
        <v>F</v>
      </c>
      <c r="B1170" s="4" t="str" cm="1">
        <f t="array" ref="B1170">INDEX(Sheet1!B:B,$F1170)</f>
        <v>Super-Pref NS</v>
      </c>
      <c r="C1170" s="4">
        <f t="shared" si="74"/>
        <v>79</v>
      </c>
      <c r="D1170" s="5" cm="1">
        <f t="array" aca="1" ref="D1170" ca="1">OFFSET(INDIRECT("'["&amp;$H1170&amp;"]"&amp;$I1170&amp;"'!"&amp;$J1170),$L1170,$M1170)*$K1170</f>
        <v>2.9090000000000001E-2</v>
      </c>
      <c r="F1170" s="4">
        <f t="shared" si="75"/>
        <v>11</v>
      </c>
      <c r="G1170" s="4" cm="1">
        <f t="array" ref="G1170">IF($C1170&gt;=25,F1170,IF($C1170&lt;16,INDEX(Sheet1!C:C,$F1170),$F1170))</f>
        <v>11</v>
      </c>
      <c r="H1170" s="4" t="str" cm="1">
        <f t="array" ref="H1170">INDEX(Sheet1!D:D,$G1170)</f>
        <v>2001-cso-preferred-class-structure-mortality-tables.xls</v>
      </c>
      <c r="I1170" s="4" t="str" cm="1">
        <f t="array" ref="I1170">INDEX(Sheet1!E:E,$G1170)</f>
        <v>A.1.b.i</v>
      </c>
      <c r="J1170" s="4" t="str" cm="1">
        <f t="array" ref="J1170">IF($C1170&gt;=25,INDEX(Sheet1!G:G,$G1170),INDEX(Sheet1!F:F,$G1170))</f>
        <v>AA8</v>
      </c>
      <c r="K1170" s="4" cm="1">
        <f t="array" ref="K1170">INDEX(Sheet1!H:H,$G1170)</f>
        <v>1E-3</v>
      </c>
      <c r="L1170" s="4">
        <f t="shared" si="72"/>
        <v>54</v>
      </c>
      <c r="M1170" s="4">
        <f t="shared" si="73"/>
        <v>0</v>
      </c>
    </row>
    <row r="1171" spans="1:13">
      <c r="A1171" s="4" t="str" cm="1">
        <f t="array" ref="A1171">INDEX(Sheet1!A:A,$F1171)</f>
        <v>F</v>
      </c>
      <c r="B1171" s="4" t="str" cm="1">
        <f t="array" ref="B1171">INDEX(Sheet1!B:B,$F1171)</f>
        <v>Super-Pref NS</v>
      </c>
      <c r="C1171" s="4">
        <f t="shared" si="74"/>
        <v>80</v>
      </c>
      <c r="D1171" s="5" cm="1">
        <f t="array" aca="1" ref="D1171" ca="1">OFFSET(INDIRECT("'["&amp;$H1171&amp;"]"&amp;$I1171&amp;"'!"&amp;$J1171),$L1171,$M1171)*$K1171</f>
        <v>3.2579999999999998E-2</v>
      </c>
      <c r="F1171" s="4">
        <f t="shared" si="75"/>
        <v>11</v>
      </c>
      <c r="G1171" s="4" cm="1">
        <f t="array" ref="G1171">IF($C1171&gt;=25,F1171,IF($C1171&lt;16,INDEX(Sheet1!C:C,$F1171),$F1171))</f>
        <v>11</v>
      </c>
      <c r="H1171" s="4" t="str" cm="1">
        <f t="array" ref="H1171">INDEX(Sheet1!D:D,$G1171)</f>
        <v>2001-cso-preferred-class-structure-mortality-tables.xls</v>
      </c>
      <c r="I1171" s="4" t="str" cm="1">
        <f t="array" ref="I1171">INDEX(Sheet1!E:E,$G1171)</f>
        <v>A.1.b.i</v>
      </c>
      <c r="J1171" s="4" t="str" cm="1">
        <f t="array" ref="J1171">IF($C1171&gt;=25,INDEX(Sheet1!G:G,$G1171),INDEX(Sheet1!F:F,$G1171))</f>
        <v>AA8</v>
      </c>
      <c r="K1171" s="4" cm="1">
        <f t="array" ref="K1171">INDEX(Sheet1!H:H,$G1171)</f>
        <v>1E-3</v>
      </c>
      <c r="L1171" s="4">
        <f t="shared" si="72"/>
        <v>55</v>
      </c>
      <c r="M1171" s="4">
        <f t="shared" si="73"/>
        <v>0</v>
      </c>
    </row>
    <row r="1172" spans="1:13">
      <c r="A1172" s="4" t="str" cm="1">
        <f t="array" ref="A1172">INDEX(Sheet1!A:A,$F1172)</f>
        <v>F</v>
      </c>
      <c r="B1172" s="4" t="str" cm="1">
        <f t="array" ref="B1172">INDEX(Sheet1!B:B,$F1172)</f>
        <v>Super-Pref NS</v>
      </c>
      <c r="C1172" s="4">
        <f t="shared" si="74"/>
        <v>81</v>
      </c>
      <c r="D1172" s="5" cm="1">
        <f t="array" aca="1" ref="D1172" ca="1">OFFSET(INDIRECT("'["&amp;$H1172&amp;"]"&amp;$I1172&amp;"'!"&amp;$J1172),$L1172,$M1172)*$K1172</f>
        <v>3.7249999999999998E-2</v>
      </c>
      <c r="F1172" s="4">
        <f t="shared" si="75"/>
        <v>11</v>
      </c>
      <c r="G1172" s="4" cm="1">
        <f t="array" ref="G1172">IF($C1172&gt;=25,F1172,IF($C1172&lt;16,INDEX(Sheet1!C:C,$F1172),$F1172))</f>
        <v>11</v>
      </c>
      <c r="H1172" s="4" t="str" cm="1">
        <f t="array" ref="H1172">INDEX(Sheet1!D:D,$G1172)</f>
        <v>2001-cso-preferred-class-structure-mortality-tables.xls</v>
      </c>
      <c r="I1172" s="4" t="str" cm="1">
        <f t="array" ref="I1172">INDEX(Sheet1!E:E,$G1172)</f>
        <v>A.1.b.i</v>
      </c>
      <c r="J1172" s="4" t="str" cm="1">
        <f t="array" ref="J1172">IF($C1172&gt;=25,INDEX(Sheet1!G:G,$G1172),INDEX(Sheet1!F:F,$G1172))</f>
        <v>AA8</v>
      </c>
      <c r="K1172" s="4" cm="1">
        <f t="array" ref="K1172">INDEX(Sheet1!H:H,$G1172)</f>
        <v>1E-3</v>
      </c>
      <c r="L1172" s="4">
        <f t="shared" si="72"/>
        <v>56</v>
      </c>
      <c r="M1172" s="4">
        <f t="shared" si="73"/>
        <v>0</v>
      </c>
    </row>
    <row r="1173" spans="1:13">
      <c r="A1173" s="4" t="str" cm="1">
        <f t="array" ref="A1173">INDEX(Sheet1!A:A,$F1173)</f>
        <v>F</v>
      </c>
      <c r="B1173" s="4" t="str" cm="1">
        <f t="array" ref="B1173">INDEX(Sheet1!B:B,$F1173)</f>
        <v>Super-Pref NS</v>
      </c>
      <c r="C1173" s="4">
        <f t="shared" si="74"/>
        <v>82</v>
      </c>
      <c r="D1173" s="5" cm="1">
        <f t="array" aca="1" ref="D1173" ca="1">OFFSET(INDIRECT("'["&amp;$H1173&amp;"]"&amp;$I1173&amp;"'!"&amp;$J1173),$L1173,$M1173)*$K1173</f>
        <v>4.2610000000000002E-2</v>
      </c>
      <c r="F1173" s="4">
        <f t="shared" si="75"/>
        <v>11</v>
      </c>
      <c r="G1173" s="4" cm="1">
        <f t="array" ref="G1173">IF($C1173&gt;=25,F1173,IF($C1173&lt;16,INDEX(Sheet1!C:C,$F1173),$F1173))</f>
        <v>11</v>
      </c>
      <c r="H1173" s="4" t="str" cm="1">
        <f t="array" ref="H1173">INDEX(Sheet1!D:D,$G1173)</f>
        <v>2001-cso-preferred-class-structure-mortality-tables.xls</v>
      </c>
      <c r="I1173" s="4" t="str" cm="1">
        <f t="array" ref="I1173">INDEX(Sheet1!E:E,$G1173)</f>
        <v>A.1.b.i</v>
      </c>
      <c r="J1173" s="4" t="str" cm="1">
        <f t="array" ref="J1173">IF($C1173&gt;=25,INDEX(Sheet1!G:G,$G1173),INDEX(Sheet1!F:F,$G1173))</f>
        <v>AA8</v>
      </c>
      <c r="K1173" s="4" cm="1">
        <f t="array" ref="K1173">INDEX(Sheet1!H:H,$G1173)</f>
        <v>1E-3</v>
      </c>
      <c r="L1173" s="4">
        <f t="shared" si="72"/>
        <v>57</v>
      </c>
      <c r="M1173" s="4">
        <f t="shared" si="73"/>
        <v>0</v>
      </c>
    </row>
    <row r="1174" spans="1:13">
      <c r="A1174" s="4" t="str" cm="1">
        <f t="array" ref="A1174">INDEX(Sheet1!A:A,$F1174)</f>
        <v>F</v>
      </c>
      <c r="B1174" s="4" t="str" cm="1">
        <f t="array" ref="B1174">INDEX(Sheet1!B:B,$F1174)</f>
        <v>Super-Pref NS</v>
      </c>
      <c r="C1174" s="4">
        <f t="shared" si="74"/>
        <v>83</v>
      </c>
      <c r="D1174" s="5" cm="1">
        <f t="array" aca="1" ref="D1174" ca="1">OFFSET(INDIRECT("'["&amp;$H1174&amp;"]"&amp;$I1174&amp;"'!"&amp;$J1174),$L1174,$M1174)*$K1174</f>
        <v>4.8140000000000002E-2</v>
      </c>
      <c r="F1174" s="4">
        <f t="shared" si="75"/>
        <v>11</v>
      </c>
      <c r="G1174" s="4" cm="1">
        <f t="array" ref="G1174">IF($C1174&gt;=25,F1174,IF($C1174&lt;16,INDEX(Sheet1!C:C,$F1174),$F1174))</f>
        <v>11</v>
      </c>
      <c r="H1174" s="4" t="str" cm="1">
        <f t="array" ref="H1174">INDEX(Sheet1!D:D,$G1174)</f>
        <v>2001-cso-preferred-class-structure-mortality-tables.xls</v>
      </c>
      <c r="I1174" s="4" t="str" cm="1">
        <f t="array" ref="I1174">INDEX(Sheet1!E:E,$G1174)</f>
        <v>A.1.b.i</v>
      </c>
      <c r="J1174" s="4" t="str" cm="1">
        <f t="array" ref="J1174">IF($C1174&gt;=25,INDEX(Sheet1!G:G,$G1174),INDEX(Sheet1!F:F,$G1174))</f>
        <v>AA8</v>
      </c>
      <c r="K1174" s="4" cm="1">
        <f t="array" ref="K1174">INDEX(Sheet1!H:H,$G1174)</f>
        <v>1E-3</v>
      </c>
      <c r="L1174" s="4">
        <f t="shared" si="72"/>
        <v>58</v>
      </c>
      <c r="M1174" s="4">
        <f t="shared" si="73"/>
        <v>0</v>
      </c>
    </row>
    <row r="1175" spans="1:13">
      <c r="A1175" s="4" t="str" cm="1">
        <f t="array" ref="A1175">INDEX(Sheet1!A:A,$F1175)</f>
        <v>F</v>
      </c>
      <c r="B1175" s="4" t="str" cm="1">
        <f t="array" ref="B1175">INDEX(Sheet1!B:B,$F1175)</f>
        <v>Super-Pref NS</v>
      </c>
      <c r="C1175" s="4">
        <f t="shared" si="74"/>
        <v>84</v>
      </c>
      <c r="D1175" s="5" cm="1">
        <f t="array" aca="1" ref="D1175" ca="1">OFFSET(INDIRECT("'["&amp;$H1175&amp;"]"&amp;$I1175&amp;"'!"&amp;$J1175),$L1175,$M1175)*$K1175</f>
        <v>5.4350000000000002E-2</v>
      </c>
      <c r="F1175" s="4">
        <f t="shared" si="75"/>
        <v>11</v>
      </c>
      <c r="G1175" s="4" cm="1">
        <f t="array" ref="G1175">IF($C1175&gt;=25,F1175,IF($C1175&lt;16,INDEX(Sheet1!C:C,$F1175),$F1175))</f>
        <v>11</v>
      </c>
      <c r="H1175" s="4" t="str" cm="1">
        <f t="array" ref="H1175">INDEX(Sheet1!D:D,$G1175)</f>
        <v>2001-cso-preferred-class-structure-mortality-tables.xls</v>
      </c>
      <c r="I1175" s="4" t="str" cm="1">
        <f t="array" ref="I1175">INDEX(Sheet1!E:E,$G1175)</f>
        <v>A.1.b.i</v>
      </c>
      <c r="J1175" s="4" t="str" cm="1">
        <f t="array" ref="J1175">IF($C1175&gt;=25,INDEX(Sheet1!G:G,$G1175),INDEX(Sheet1!F:F,$G1175))</f>
        <v>AA8</v>
      </c>
      <c r="K1175" s="4" cm="1">
        <f t="array" ref="K1175">INDEX(Sheet1!H:H,$G1175)</f>
        <v>1E-3</v>
      </c>
      <c r="L1175" s="4">
        <f t="shared" si="72"/>
        <v>59</v>
      </c>
      <c r="M1175" s="4">
        <f t="shared" si="73"/>
        <v>0</v>
      </c>
    </row>
    <row r="1176" spans="1:13">
      <c r="A1176" s="4" t="str" cm="1">
        <f t="array" ref="A1176">INDEX(Sheet1!A:A,$F1176)</f>
        <v>F</v>
      </c>
      <c r="B1176" s="4" t="str" cm="1">
        <f t="array" ref="B1176">INDEX(Sheet1!B:B,$F1176)</f>
        <v>Super-Pref NS</v>
      </c>
      <c r="C1176" s="4">
        <f t="shared" si="74"/>
        <v>85</v>
      </c>
      <c r="D1176" s="5" cm="1">
        <f t="array" aca="1" ref="D1176" ca="1">OFFSET(INDIRECT("'["&amp;$H1176&amp;"]"&amp;$I1176&amp;"'!"&amp;$J1176),$L1176,$M1176)*$K1176</f>
        <v>6.1460000000000001E-2</v>
      </c>
      <c r="F1176" s="4">
        <f t="shared" si="75"/>
        <v>11</v>
      </c>
      <c r="G1176" s="4" cm="1">
        <f t="array" ref="G1176">IF($C1176&gt;=25,F1176,IF($C1176&lt;16,INDEX(Sheet1!C:C,$F1176),$F1176))</f>
        <v>11</v>
      </c>
      <c r="H1176" s="4" t="str" cm="1">
        <f t="array" ref="H1176">INDEX(Sheet1!D:D,$G1176)</f>
        <v>2001-cso-preferred-class-structure-mortality-tables.xls</v>
      </c>
      <c r="I1176" s="4" t="str" cm="1">
        <f t="array" ref="I1176">INDEX(Sheet1!E:E,$G1176)</f>
        <v>A.1.b.i</v>
      </c>
      <c r="J1176" s="4" t="str" cm="1">
        <f t="array" ref="J1176">IF($C1176&gt;=25,INDEX(Sheet1!G:G,$G1176),INDEX(Sheet1!F:F,$G1176))</f>
        <v>AA8</v>
      </c>
      <c r="K1176" s="4" cm="1">
        <f t="array" ref="K1176">INDEX(Sheet1!H:H,$G1176)</f>
        <v>1E-3</v>
      </c>
      <c r="L1176" s="4">
        <f t="shared" si="72"/>
        <v>60</v>
      </c>
      <c r="M1176" s="4">
        <f t="shared" si="73"/>
        <v>0</v>
      </c>
    </row>
    <row r="1177" spans="1:13">
      <c r="A1177" s="4" t="str" cm="1">
        <f t="array" ref="A1177">INDEX(Sheet1!A:A,$F1177)</f>
        <v>F</v>
      </c>
      <c r="B1177" s="4" t="str" cm="1">
        <f t="array" ref="B1177">INDEX(Sheet1!B:B,$F1177)</f>
        <v>Super-Pref NS</v>
      </c>
      <c r="C1177" s="4">
        <f t="shared" si="74"/>
        <v>86</v>
      </c>
      <c r="D1177" s="5" cm="1">
        <f t="array" aca="1" ref="D1177" ca="1">OFFSET(INDIRECT("'["&amp;$H1177&amp;"]"&amp;$I1177&amp;"'!"&amp;$J1177),$L1177,$M1177)*$K1177</f>
        <v>6.8220000000000003E-2</v>
      </c>
      <c r="F1177" s="4">
        <f t="shared" si="75"/>
        <v>11</v>
      </c>
      <c r="G1177" s="4" cm="1">
        <f t="array" ref="G1177">IF($C1177&gt;=25,F1177,IF($C1177&lt;16,INDEX(Sheet1!C:C,$F1177),$F1177))</f>
        <v>11</v>
      </c>
      <c r="H1177" s="4" t="str" cm="1">
        <f t="array" ref="H1177">INDEX(Sheet1!D:D,$G1177)</f>
        <v>2001-cso-preferred-class-structure-mortality-tables.xls</v>
      </c>
      <c r="I1177" s="4" t="str" cm="1">
        <f t="array" ref="I1177">INDEX(Sheet1!E:E,$G1177)</f>
        <v>A.1.b.i</v>
      </c>
      <c r="J1177" s="4" t="str" cm="1">
        <f t="array" ref="J1177">IF($C1177&gt;=25,INDEX(Sheet1!G:G,$G1177),INDEX(Sheet1!F:F,$G1177))</f>
        <v>AA8</v>
      </c>
      <c r="K1177" s="4" cm="1">
        <f t="array" ref="K1177">INDEX(Sheet1!H:H,$G1177)</f>
        <v>1E-3</v>
      </c>
      <c r="L1177" s="4">
        <f t="shared" si="72"/>
        <v>61</v>
      </c>
      <c r="M1177" s="4">
        <f t="shared" si="73"/>
        <v>0</v>
      </c>
    </row>
    <row r="1178" spans="1:13">
      <c r="A1178" s="4" t="str" cm="1">
        <f t="array" ref="A1178">INDEX(Sheet1!A:A,$F1178)</f>
        <v>F</v>
      </c>
      <c r="B1178" s="4" t="str" cm="1">
        <f t="array" ref="B1178">INDEX(Sheet1!B:B,$F1178)</f>
        <v>Super-Pref NS</v>
      </c>
      <c r="C1178" s="4">
        <f t="shared" si="74"/>
        <v>87</v>
      </c>
      <c r="D1178" s="5" cm="1">
        <f t="array" aca="1" ref="D1178" ca="1">OFFSET(INDIRECT("'["&amp;$H1178&amp;"]"&amp;$I1178&amp;"'!"&amp;$J1178),$L1178,$M1178)*$K1178</f>
        <v>7.8060000000000004E-2</v>
      </c>
      <c r="F1178" s="4">
        <f t="shared" si="75"/>
        <v>11</v>
      </c>
      <c r="G1178" s="4" cm="1">
        <f t="array" ref="G1178">IF($C1178&gt;=25,F1178,IF($C1178&lt;16,INDEX(Sheet1!C:C,$F1178),$F1178))</f>
        <v>11</v>
      </c>
      <c r="H1178" s="4" t="str" cm="1">
        <f t="array" ref="H1178">INDEX(Sheet1!D:D,$G1178)</f>
        <v>2001-cso-preferred-class-structure-mortality-tables.xls</v>
      </c>
      <c r="I1178" s="4" t="str" cm="1">
        <f t="array" ref="I1178">INDEX(Sheet1!E:E,$G1178)</f>
        <v>A.1.b.i</v>
      </c>
      <c r="J1178" s="4" t="str" cm="1">
        <f t="array" ref="J1178">IF($C1178&gt;=25,INDEX(Sheet1!G:G,$G1178),INDEX(Sheet1!F:F,$G1178))</f>
        <v>AA8</v>
      </c>
      <c r="K1178" s="4" cm="1">
        <f t="array" ref="K1178">INDEX(Sheet1!H:H,$G1178)</f>
        <v>1E-3</v>
      </c>
      <c r="L1178" s="4">
        <f t="shared" si="72"/>
        <v>62</v>
      </c>
      <c r="M1178" s="4">
        <f t="shared" si="73"/>
        <v>0</v>
      </c>
    </row>
    <row r="1179" spans="1:13">
      <c r="A1179" s="4" t="str" cm="1">
        <f t="array" ref="A1179">INDEX(Sheet1!A:A,$F1179)</f>
        <v>F</v>
      </c>
      <c r="B1179" s="4" t="str" cm="1">
        <f t="array" ref="B1179">INDEX(Sheet1!B:B,$F1179)</f>
        <v>Super-Pref NS</v>
      </c>
      <c r="C1179" s="4">
        <f t="shared" si="74"/>
        <v>88</v>
      </c>
      <c r="D1179" s="5" cm="1">
        <f t="array" aca="1" ref="D1179" ca="1">OFFSET(INDIRECT("'["&amp;$H1179&amp;"]"&amp;$I1179&amp;"'!"&amp;$J1179),$L1179,$M1179)*$K1179</f>
        <v>8.863E-2</v>
      </c>
      <c r="F1179" s="4">
        <f t="shared" si="75"/>
        <v>11</v>
      </c>
      <c r="G1179" s="4" cm="1">
        <f t="array" ref="G1179">IF($C1179&gt;=25,F1179,IF($C1179&lt;16,INDEX(Sheet1!C:C,$F1179),$F1179))</f>
        <v>11</v>
      </c>
      <c r="H1179" s="4" t="str" cm="1">
        <f t="array" ref="H1179">INDEX(Sheet1!D:D,$G1179)</f>
        <v>2001-cso-preferred-class-structure-mortality-tables.xls</v>
      </c>
      <c r="I1179" s="4" t="str" cm="1">
        <f t="array" ref="I1179">INDEX(Sheet1!E:E,$G1179)</f>
        <v>A.1.b.i</v>
      </c>
      <c r="J1179" s="4" t="str" cm="1">
        <f t="array" ref="J1179">IF($C1179&gt;=25,INDEX(Sheet1!G:G,$G1179),INDEX(Sheet1!F:F,$G1179))</f>
        <v>AA8</v>
      </c>
      <c r="K1179" s="4" cm="1">
        <f t="array" ref="K1179">INDEX(Sheet1!H:H,$G1179)</f>
        <v>1E-3</v>
      </c>
      <c r="L1179" s="4">
        <f t="shared" si="72"/>
        <v>63</v>
      </c>
      <c r="M1179" s="4">
        <f t="shared" si="73"/>
        <v>0</v>
      </c>
    </row>
    <row r="1180" spans="1:13">
      <c r="A1180" s="4" t="str" cm="1">
        <f t="array" ref="A1180">INDEX(Sheet1!A:A,$F1180)</f>
        <v>F</v>
      </c>
      <c r="B1180" s="4" t="str" cm="1">
        <f t="array" ref="B1180">INDEX(Sheet1!B:B,$F1180)</f>
        <v>Super-Pref NS</v>
      </c>
      <c r="C1180" s="4">
        <f t="shared" si="74"/>
        <v>89</v>
      </c>
      <c r="D1180" s="5" cm="1">
        <f t="array" aca="1" ref="D1180" ca="1">OFFSET(INDIRECT("'["&amp;$H1180&amp;"]"&amp;$I1180&amp;"'!"&amp;$J1180),$L1180,$M1180)*$K1180</f>
        <v>0.10013</v>
      </c>
      <c r="F1180" s="4">
        <f t="shared" si="75"/>
        <v>11</v>
      </c>
      <c r="G1180" s="4" cm="1">
        <f t="array" ref="G1180">IF($C1180&gt;=25,F1180,IF($C1180&lt;16,INDEX(Sheet1!C:C,$F1180),$F1180))</f>
        <v>11</v>
      </c>
      <c r="H1180" s="4" t="str" cm="1">
        <f t="array" ref="H1180">INDEX(Sheet1!D:D,$G1180)</f>
        <v>2001-cso-preferred-class-structure-mortality-tables.xls</v>
      </c>
      <c r="I1180" s="4" t="str" cm="1">
        <f t="array" ref="I1180">INDEX(Sheet1!E:E,$G1180)</f>
        <v>A.1.b.i</v>
      </c>
      <c r="J1180" s="4" t="str" cm="1">
        <f t="array" ref="J1180">IF($C1180&gt;=25,INDEX(Sheet1!G:G,$G1180),INDEX(Sheet1!F:F,$G1180))</f>
        <v>AA8</v>
      </c>
      <c r="K1180" s="4" cm="1">
        <f t="array" ref="K1180">INDEX(Sheet1!H:H,$G1180)</f>
        <v>1E-3</v>
      </c>
      <c r="L1180" s="4">
        <f t="shared" si="72"/>
        <v>64</v>
      </c>
      <c r="M1180" s="4">
        <f t="shared" si="73"/>
        <v>0</v>
      </c>
    </row>
    <row r="1181" spans="1:13">
      <c r="A1181" s="4" t="str" cm="1">
        <f t="array" ref="A1181">INDEX(Sheet1!A:A,$F1181)</f>
        <v>F</v>
      </c>
      <c r="B1181" s="4" t="str" cm="1">
        <f t="array" ref="B1181">INDEX(Sheet1!B:B,$F1181)</f>
        <v>Super-Pref NS</v>
      </c>
      <c r="C1181" s="4">
        <f t="shared" si="74"/>
        <v>90</v>
      </c>
      <c r="D1181" s="5" cm="1">
        <f t="array" aca="1" ref="D1181" ca="1">OFFSET(INDIRECT("'["&amp;$H1181&amp;"]"&amp;$I1181&amp;"'!"&amp;$J1181),$L1181,$M1181)*$K1181</f>
        <v>0.11120999999999999</v>
      </c>
      <c r="F1181" s="4">
        <f t="shared" si="75"/>
        <v>11</v>
      </c>
      <c r="G1181" s="4" cm="1">
        <f t="array" ref="G1181">IF($C1181&gt;=25,F1181,IF($C1181&lt;16,INDEX(Sheet1!C:C,$F1181),$F1181))</f>
        <v>11</v>
      </c>
      <c r="H1181" s="4" t="str" cm="1">
        <f t="array" ref="H1181">INDEX(Sheet1!D:D,$G1181)</f>
        <v>2001-cso-preferred-class-structure-mortality-tables.xls</v>
      </c>
      <c r="I1181" s="4" t="str" cm="1">
        <f t="array" ref="I1181">INDEX(Sheet1!E:E,$G1181)</f>
        <v>A.1.b.i</v>
      </c>
      <c r="J1181" s="4" t="str" cm="1">
        <f t="array" ref="J1181">IF($C1181&gt;=25,INDEX(Sheet1!G:G,$G1181),INDEX(Sheet1!F:F,$G1181))</f>
        <v>AA8</v>
      </c>
      <c r="K1181" s="4" cm="1">
        <f t="array" ref="K1181">INDEX(Sheet1!H:H,$G1181)</f>
        <v>1E-3</v>
      </c>
      <c r="L1181" s="4">
        <f t="shared" si="72"/>
        <v>65</v>
      </c>
      <c r="M1181" s="4">
        <f t="shared" si="73"/>
        <v>0</v>
      </c>
    </row>
    <row r="1182" spans="1:13">
      <c r="A1182" s="4" t="str" cm="1">
        <f t="array" ref="A1182">INDEX(Sheet1!A:A,$F1182)</f>
        <v>F</v>
      </c>
      <c r="B1182" s="4" t="str" cm="1">
        <f t="array" ref="B1182">INDEX(Sheet1!B:B,$F1182)</f>
        <v>Super-Pref NS</v>
      </c>
      <c r="C1182" s="4">
        <f t="shared" si="74"/>
        <v>91</v>
      </c>
      <c r="D1182" s="5" cm="1">
        <f t="array" aca="1" ref="D1182" ca="1">OFFSET(INDIRECT("'["&amp;$H1182&amp;"]"&amp;$I1182&amp;"'!"&amp;$J1182),$L1182,$M1182)*$K1182</f>
        <v>0.11795</v>
      </c>
      <c r="F1182" s="4">
        <f t="shared" si="75"/>
        <v>11</v>
      </c>
      <c r="G1182" s="4" cm="1">
        <f t="array" ref="G1182">IF($C1182&gt;=25,F1182,IF($C1182&lt;16,INDEX(Sheet1!C:C,$F1182),$F1182))</f>
        <v>11</v>
      </c>
      <c r="H1182" s="4" t="str" cm="1">
        <f t="array" ref="H1182">INDEX(Sheet1!D:D,$G1182)</f>
        <v>2001-cso-preferred-class-structure-mortality-tables.xls</v>
      </c>
      <c r="I1182" s="4" t="str" cm="1">
        <f t="array" ref="I1182">INDEX(Sheet1!E:E,$G1182)</f>
        <v>A.1.b.i</v>
      </c>
      <c r="J1182" s="4" t="str" cm="1">
        <f t="array" ref="J1182">IF($C1182&gt;=25,INDEX(Sheet1!G:G,$G1182),INDEX(Sheet1!F:F,$G1182))</f>
        <v>AA8</v>
      </c>
      <c r="K1182" s="4" cm="1">
        <f t="array" ref="K1182">INDEX(Sheet1!H:H,$G1182)</f>
        <v>1E-3</v>
      </c>
      <c r="L1182" s="4">
        <f t="shared" si="72"/>
        <v>66</v>
      </c>
      <c r="M1182" s="4">
        <f t="shared" si="73"/>
        <v>0</v>
      </c>
    </row>
    <row r="1183" spans="1:13">
      <c r="A1183" s="4" t="str" cm="1">
        <f t="array" ref="A1183">INDEX(Sheet1!A:A,$F1183)</f>
        <v>F</v>
      </c>
      <c r="B1183" s="4" t="str" cm="1">
        <f t="array" ref="B1183">INDEX(Sheet1!B:B,$F1183)</f>
        <v>Super-Pref NS</v>
      </c>
      <c r="C1183" s="4">
        <f t="shared" si="74"/>
        <v>92</v>
      </c>
      <c r="D1183" s="5" cm="1">
        <f t="array" aca="1" ref="D1183" ca="1">OFFSET(INDIRECT("'["&amp;$H1183&amp;"]"&amp;$I1183&amp;"'!"&amp;$J1183),$L1183,$M1183)*$K1183</f>
        <v>0.12953999999999999</v>
      </c>
      <c r="F1183" s="4">
        <f t="shared" si="75"/>
        <v>11</v>
      </c>
      <c r="G1183" s="4" cm="1">
        <f t="array" ref="G1183">IF($C1183&gt;=25,F1183,IF($C1183&lt;16,INDEX(Sheet1!C:C,$F1183),$F1183))</f>
        <v>11</v>
      </c>
      <c r="H1183" s="4" t="str" cm="1">
        <f t="array" ref="H1183">INDEX(Sheet1!D:D,$G1183)</f>
        <v>2001-cso-preferred-class-structure-mortality-tables.xls</v>
      </c>
      <c r="I1183" s="4" t="str" cm="1">
        <f t="array" ref="I1183">INDEX(Sheet1!E:E,$G1183)</f>
        <v>A.1.b.i</v>
      </c>
      <c r="J1183" s="4" t="str" cm="1">
        <f t="array" ref="J1183">IF($C1183&gt;=25,INDEX(Sheet1!G:G,$G1183),INDEX(Sheet1!F:F,$G1183))</f>
        <v>AA8</v>
      </c>
      <c r="K1183" s="4" cm="1">
        <f t="array" ref="K1183">INDEX(Sheet1!H:H,$G1183)</f>
        <v>1E-3</v>
      </c>
      <c r="L1183" s="4">
        <f t="shared" si="72"/>
        <v>67</v>
      </c>
      <c r="M1183" s="4">
        <f t="shared" si="73"/>
        <v>0</v>
      </c>
    </row>
    <row r="1184" spans="1:13">
      <c r="A1184" s="4" t="str" cm="1">
        <f t="array" ref="A1184">INDEX(Sheet1!A:A,$F1184)</f>
        <v>F</v>
      </c>
      <c r="B1184" s="4" t="str" cm="1">
        <f t="array" ref="B1184">INDEX(Sheet1!B:B,$F1184)</f>
        <v>Super-Pref NS</v>
      </c>
      <c r="C1184" s="4">
        <f t="shared" si="74"/>
        <v>93</v>
      </c>
      <c r="D1184" s="5" cm="1">
        <f t="array" aca="1" ref="D1184" ca="1">OFFSET(INDIRECT("'["&amp;$H1184&amp;"]"&amp;$I1184&amp;"'!"&amp;$J1184),$L1184,$M1184)*$K1184</f>
        <v>0.14613000000000001</v>
      </c>
      <c r="F1184" s="4">
        <f t="shared" si="75"/>
        <v>11</v>
      </c>
      <c r="G1184" s="4" cm="1">
        <f t="array" ref="G1184">IF($C1184&gt;=25,F1184,IF($C1184&lt;16,INDEX(Sheet1!C:C,$F1184),$F1184))</f>
        <v>11</v>
      </c>
      <c r="H1184" s="4" t="str" cm="1">
        <f t="array" ref="H1184">INDEX(Sheet1!D:D,$G1184)</f>
        <v>2001-cso-preferred-class-structure-mortality-tables.xls</v>
      </c>
      <c r="I1184" s="4" t="str" cm="1">
        <f t="array" ref="I1184">INDEX(Sheet1!E:E,$G1184)</f>
        <v>A.1.b.i</v>
      </c>
      <c r="J1184" s="4" t="str" cm="1">
        <f t="array" ref="J1184">IF($C1184&gt;=25,INDEX(Sheet1!G:G,$G1184),INDEX(Sheet1!F:F,$G1184))</f>
        <v>AA8</v>
      </c>
      <c r="K1184" s="4" cm="1">
        <f t="array" ref="K1184">INDEX(Sheet1!H:H,$G1184)</f>
        <v>1E-3</v>
      </c>
      <c r="L1184" s="4">
        <f t="shared" si="72"/>
        <v>68</v>
      </c>
      <c r="M1184" s="4">
        <f t="shared" si="73"/>
        <v>0</v>
      </c>
    </row>
    <row r="1185" spans="1:13">
      <c r="A1185" s="4" t="str" cm="1">
        <f t="array" ref="A1185">INDEX(Sheet1!A:A,$F1185)</f>
        <v>F</v>
      </c>
      <c r="B1185" s="4" t="str" cm="1">
        <f t="array" ref="B1185">INDEX(Sheet1!B:B,$F1185)</f>
        <v>Super-Pref NS</v>
      </c>
      <c r="C1185" s="4">
        <f t="shared" si="74"/>
        <v>94</v>
      </c>
      <c r="D1185" s="5" cm="1">
        <f t="array" aca="1" ref="D1185" ca="1">OFFSET(INDIRECT("'["&amp;$H1185&amp;"]"&amp;$I1185&amp;"'!"&amp;$J1185),$L1185,$M1185)*$K1185</f>
        <v>0.16703999999999999</v>
      </c>
      <c r="F1185" s="4">
        <f t="shared" si="75"/>
        <v>11</v>
      </c>
      <c r="G1185" s="4" cm="1">
        <f t="array" ref="G1185">IF($C1185&gt;=25,F1185,IF($C1185&lt;16,INDEX(Sheet1!C:C,$F1185),$F1185))</f>
        <v>11</v>
      </c>
      <c r="H1185" s="4" t="str" cm="1">
        <f t="array" ref="H1185">INDEX(Sheet1!D:D,$G1185)</f>
        <v>2001-cso-preferred-class-structure-mortality-tables.xls</v>
      </c>
      <c r="I1185" s="4" t="str" cm="1">
        <f t="array" ref="I1185">INDEX(Sheet1!E:E,$G1185)</f>
        <v>A.1.b.i</v>
      </c>
      <c r="J1185" s="4" t="str" cm="1">
        <f t="array" ref="J1185">IF($C1185&gt;=25,INDEX(Sheet1!G:G,$G1185),INDEX(Sheet1!F:F,$G1185))</f>
        <v>AA8</v>
      </c>
      <c r="K1185" s="4" cm="1">
        <f t="array" ref="K1185">INDEX(Sheet1!H:H,$G1185)</f>
        <v>1E-3</v>
      </c>
      <c r="L1185" s="4">
        <f t="shared" si="72"/>
        <v>69</v>
      </c>
      <c r="M1185" s="4">
        <f t="shared" si="73"/>
        <v>0</v>
      </c>
    </row>
    <row r="1186" spans="1:13">
      <c r="A1186" s="4" t="str" cm="1">
        <f t="array" ref="A1186">INDEX(Sheet1!A:A,$F1186)</f>
        <v>F</v>
      </c>
      <c r="B1186" s="4" t="str" cm="1">
        <f t="array" ref="B1186">INDEX(Sheet1!B:B,$F1186)</f>
        <v>Super-Pref NS</v>
      </c>
      <c r="C1186" s="4">
        <f t="shared" si="74"/>
        <v>95</v>
      </c>
      <c r="D1186" s="5" cm="1">
        <f t="array" aca="1" ref="D1186" ca="1">OFFSET(INDIRECT("'["&amp;$H1186&amp;"]"&amp;$I1186&amp;"'!"&amp;$J1186),$L1186,$M1186)*$K1186</f>
        <v>0.19291999999999998</v>
      </c>
      <c r="F1186" s="4">
        <f t="shared" si="75"/>
        <v>11</v>
      </c>
      <c r="G1186" s="4" cm="1">
        <f t="array" ref="G1186">IF($C1186&gt;=25,F1186,IF($C1186&lt;16,INDEX(Sheet1!C:C,$F1186),$F1186))</f>
        <v>11</v>
      </c>
      <c r="H1186" s="4" t="str" cm="1">
        <f t="array" ref="H1186">INDEX(Sheet1!D:D,$G1186)</f>
        <v>2001-cso-preferred-class-structure-mortality-tables.xls</v>
      </c>
      <c r="I1186" s="4" t="str" cm="1">
        <f t="array" ref="I1186">INDEX(Sheet1!E:E,$G1186)</f>
        <v>A.1.b.i</v>
      </c>
      <c r="J1186" s="4" t="str" cm="1">
        <f t="array" ref="J1186">IF($C1186&gt;=25,INDEX(Sheet1!G:G,$G1186),INDEX(Sheet1!F:F,$G1186))</f>
        <v>AA8</v>
      </c>
      <c r="K1186" s="4" cm="1">
        <f t="array" ref="K1186">INDEX(Sheet1!H:H,$G1186)</f>
        <v>1E-3</v>
      </c>
      <c r="L1186" s="4">
        <f t="shared" si="72"/>
        <v>70</v>
      </c>
      <c r="M1186" s="4">
        <f t="shared" si="73"/>
        <v>0</v>
      </c>
    </row>
    <row r="1187" spans="1:13">
      <c r="A1187" s="4" t="str" cm="1">
        <f t="array" ref="A1187">INDEX(Sheet1!A:A,$F1187)</f>
        <v>F</v>
      </c>
      <c r="B1187" s="4" t="str" cm="1">
        <f t="array" ref="B1187">INDEX(Sheet1!B:B,$F1187)</f>
        <v>Super-Pref NS</v>
      </c>
      <c r="C1187" s="4">
        <f t="shared" si="74"/>
        <v>96</v>
      </c>
      <c r="D1187" s="5" cm="1">
        <f t="array" aca="1" ref="D1187" ca="1">OFFSET(INDIRECT("'["&amp;$H1187&amp;"]"&amp;$I1187&amp;"'!"&amp;$J1187),$L1187,$M1187)*$K1187</f>
        <v>0.21503</v>
      </c>
      <c r="F1187" s="4">
        <f t="shared" si="75"/>
        <v>11</v>
      </c>
      <c r="G1187" s="4" cm="1">
        <f t="array" ref="G1187">IF($C1187&gt;=25,F1187,IF($C1187&lt;16,INDEX(Sheet1!C:C,$F1187),$F1187))</f>
        <v>11</v>
      </c>
      <c r="H1187" s="4" t="str" cm="1">
        <f t="array" ref="H1187">INDEX(Sheet1!D:D,$G1187)</f>
        <v>2001-cso-preferred-class-structure-mortality-tables.xls</v>
      </c>
      <c r="I1187" s="4" t="str" cm="1">
        <f t="array" ref="I1187">INDEX(Sheet1!E:E,$G1187)</f>
        <v>A.1.b.i</v>
      </c>
      <c r="J1187" s="4" t="str" cm="1">
        <f t="array" ref="J1187">IF($C1187&gt;=25,INDEX(Sheet1!G:G,$G1187),INDEX(Sheet1!F:F,$G1187))</f>
        <v>AA8</v>
      </c>
      <c r="K1187" s="4" cm="1">
        <f t="array" ref="K1187">INDEX(Sheet1!H:H,$G1187)</f>
        <v>1E-3</v>
      </c>
      <c r="L1187" s="4">
        <f t="shared" si="72"/>
        <v>71</v>
      </c>
      <c r="M1187" s="4">
        <f t="shared" si="73"/>
        <v>0</v>
      </c>
    </row>
    <row r="1188" spans="1:13">
      <c r="A1188" s="4" t="str" cm="1">
        <f t="array" ref="A1188">INDEX(Sheet1!A:A,$F1188)</f>
        <v>F</v>
      </c>
      <c r="B1188" s="4" t="str" cm="1">
        <f t="array" ref="B1188">INDEX(Sheet1!B:B,$F1188)</f>
        <v>Super-Pref NS</v>
      </c>
      <c r="C1188" s="4">
        <f t="shared" si="74"/>
        <v>97</v>
      </c>
      <c r="D1188" s="5" cm="1">
        <f t="array" aca="1" ref="D1188" ca="1">OFFSET(INDIRECT("'["&amp;$H1188&amp;"]"&amp;$I1188&amp;"'!"&amp;$J1188),$L1188,$M1188)*$K1188</f>
        <v>0.23779</v>
      </c>
      <c r="F1188" s="4">
        <f t="shared" si="75"/>
        <v>11</v>
      </c>
      <c r="G1188" s="4" cm="1">
        <f t="array" ref="G1188">IF($C1188&gt;=25,F1188,IF($C1188&lt;16,INDEX(Sheet1!C:C,$F1188),$F1188))</f>
        <v>11</v>
      </c>
      <c r="H1188" s="4" t="str" cm="1">
        <f t="array" ref="H1188">INDEX(Sheet1!D:D,$G1188)</f>
        <v>2001-cso-preferred-class-structure-mortality-tables.xls</v>
      </c>
      <c r="I1188" s="4" t="str" cm="1">
        <f t="array" ref="I1188">INDEX(Sheet1!E:E,$G1188)</f>
        <v>A.1.b.i</v>
      </c>
      <c r="J1188" s="4" t="str" cm="1">
        <f t="array" ref="J1188">IF($C1188&gt;=25,INDEX(Sheet1!G:G,$G1188),INDEX(Sheet1!F:F,$G1188))</f>
        <v>AA8</v>
      </c>
      <c r="K1188" s="4" cm="1">
        <f t="array" ref="K1188">INDEX(Sheet1!H:H,$G1188)</f>
        <v>1E-3</v>
      </c>
      <c r="L1188" s="4">
        <f t="shared" si="72"/>
        <v>72</v>
      </c>
      <c r="M1188" s="4">
        <f t="shared" si="73"/>
        <v>0</v>
      </c>
    </row>
    <row r="1189" spans="1:13">
      <c r="A1189" s="4" t="str" cm="1">
        <f t="array" ref="A1189">INDEX(Sheet1!A:A,$F1189)</f>
        <v>F</v>
      </c>
      <c r="B1189" s="4" t="str" cm="1">
        <f t="array" ref="B1189">INDEX(Sheet1!B:B,$F1189)</f>
        <v>Super-Pref NS</v>
      </c>
      <c r="C1189" s="4">
        <f t="shared" si="74"/>
        <v>98</v>
      </c>
      <c r="D1189" s="5" cm="1">
        <f t="array" aca="1" ref="D1189" ca="1">OFFSET(INDIRECT("'["&amp;$H1189&amp;"]"&amp;$I1189&amp;"'!"&amp;$J1189),$L1189,$M1189)*$K1189</f>
        <v>0.24169000000000002</v>
      </c>
      <c r="F1189" s="4">
        <f t="shared" si="75"/>
        <v>11</v>
      </c>
      <c r="G1189" s="4" cm="1">
        <f t="array" ref="G1189">IF($C1189&gt;=25,F1189,IF($C1189&lt;16,INDEX(Sheet1!C:C,$F1189),$F1189))</f>
        <v>11</v>
      </c>
      <c r="H1189" s="4" t="str" cm="1">
        <f t="array" ref="H1189">INDEX(Sheet1!D:D,$G1189)</f>
        <v>2001-cso-preferred-class-structure-mortality-tables.xls</v>
      </c>
      <c r="I1189" s="4" t="str" cm="1">
        <f t="array" ref="I1189">INDEX(Sheet1!E:E,$G1189)</f>
        <v>A.1.b.i</v>
      </c>
      <c r="J1189" s="4" t="str" cm="1">
        <f t="array" ref="J1189">IF($C1189&gt;=25,INDEX(Sheet1!G:G,$G1189),INDEX(Sheet1!F:F,$G1189))</f>
        <v>AA8</v>
      </c>
      <c r="K1189" s="4" cm="1">
        <f t="array" ref="K1189">INDEX(Sheet1!H:H,$G1189)</f>
        <v>1E-3</v>
      </c>
      <c r="L1189" s="4">
        <f t="shared" si="72"/>
        <v>73</v>
      </c>
      <c r="M1189" s="4">
        <f t="shared" si="73"/>
        <v>0</v>
      </c>
    </row>
    <row r="1190" spans="1:13">
      <c r="A1190" s="4" t="str" cm="1">
        <f t="array" ref="A1190">INDEX(Sheet1!A:A,$F1190)</f>
        <v>F</v>
      </c>
      <c r="B1190" s="4" t="str" cm="1">
        <f t="array" ref="B1190">INDEX(Sheet1!B:B,$F1190)</f>
        <v>Super-Pref NS</v>
      </c>
      <c r="C1190" s="4">
        <f t="shared" si="74"/>
        <v>99</v>
      </c>
      <c r="D1190" s="5" cm="1">
        <f t="array" aca="1" ref="D1190" ca="1">OFFSET(INDIRECT("'["&amp;$H1190&amp;"]"&amp;$I1190&amp;"'!"&amp;$J1190),$L1190,$M1190)*$K1190</f>
        <v>0.25474000000000002</v>
      </c>
      <c r="F1190" s="4">
        <f t="shared" si="75"/>
        <v>11</v>
      </c>
      <c r="G1190" s="4" cm="1">
        <f t="array" ref="G1190">IF($C1190&gt;=25,F1190,IF($C1190&lt;16,INDEX(Sheet1!C:C,$F1190),$F1190))</f>
        <v>11</v>
      </c>
      <c r="H1190" s="4" t="str" cm="1">
        <f t="array" ref="H1190">INDEX(Sheet1!D:D,$G1190)</f>
        <v>2001-cso-preferred-class-structure-mortality-tables.xls</v>
      </c>
      <c r="I1190" s="4" t="str" cm="1">
        <f t="array" ref="I1190">INDEX(Sheet1!E:E,$G1190)</f>
        <v>A.1.b.i</v>
      </c>
      <c r="J1190" s="4" t="str" cm="1">
        <f t="array" ref="J1190">IF($C1190&gt;=25,INDEX(Sheet1!G:G,$G1190),INDEX(Sheet1!F:F,$G1190))</f>
        <v>AA8</v>
      </c>
      <c r="K1190" s="4" cm="1">
        <f t="array" ref="K1190">INDEX(Sheet1!H:H,$G1190)</f>
        <v>1E-3</v>
      </c>
      <c r="L1190" s="4">
        <f t="shared" si="72"/>
        <v>74</v>
      </c>
      <c r="M1190" s="4">
        <f t="shared" si="73"/>
        <v>0</v>
      </c>
    </row>
    <row r="1191" spans="1:13">
      <c r="A1191" s="4" t="str" cm="1">
        <f t="array" ref="A1191">INDEX(Sheet1!A:A,$F1191)</f>
        <v>F</v>
      </c>
      <c r="B1191" s="4" t="str" cm="1">
        <f t="array" ref="B1191">INDEX(Sheet1!B:B,$F1191)</f>
        <v>Super-Pref NS</v>
      </c>
      <c r="C1191" s="4">
        <f t="shared" si="74"/>
        <v>100</v>
      </c>
      <c r="D1191" s="5" cm="1">
        <f t="array" aca="1" ref="D1191" ca="1">OFFSET(INDIRECT("'["&amp;$H1191&amp;"]"&amp;$I1191&amp;"'!"&amp;$J1191),$L1191,$M1191)*$K1191</f>
        <v>0.27545999999999998</v>
      </c>
      <c r="F1191" s="4">
        <f t="shared" si="75"/>
        <v>11</v>
      </c>
      <c r="G1191" s="4" cm="1">
        <f t="array" ref="G1191">IF($C1191&gt;=25,F1191,IF($C1191&lt;16,INDEX(Sheet1!C:C,$F1191),$F1191))</f>
        <v>11</v>
      </c>
      <c r="H1191" s="4" t="str" cm="1">
        <f t="array" ref="H1191">INDEX(Sheet1!D:D,$G1191)</f>
        <v>2001-cso-preferred-class-structure-mortality-tables.xls</v>
      </c>
      <c r="I1191" s="4" t="str" cm="1">
        <f t="array" ref="I1191">INDEX(Sheet1!E:E,$G1191)</f>
        <v>A.1.b.i</v>
      </c>
      <c r="J1191" s="4" t="str" cm="1">
        <f t="array" ref="J1191">IF($C1191&gt;=25,INDEX(Sheet1!G:G,$G1191),INDEX(Sheet1!F:F,$G1191))</f>
        <v>AA8</v>
      </c>
      <c r="K1191" s="4" cm="1">
        <f t="array" ref="K1191">INDEX(Sheet1!H:H,$G1191)</f>
        <v>1E-3</v>
      </c>
      <c r="L1191" s="4">
        <f t="shared" si="72"/>
        <v>75</v>
      </c>
      <c r="M1191" s="4">
        <f t="shared" si="73"/>
        <v>0</v>
      </c>
    </row>
    <row r="1192" spans="1:13">
      <c r="A1192" s="4" t="str" cm="1">
        <f t="array" ref="A1192">INDEX(Sheet1!A:A,$F1192)</f>
        <v>F</v>
      </c>
      <c r="B1192" s="4" t="str" cm="1">
        <f t="array" ref="B1192">INDEX(Sheet1!B:B,$F1192)</f>
        <v>Super-Pref NS</v>
      </c>
      <c r="C1192" s="4">
        <f t="shared" si="74"/>
        <v>101</v>
      </c>
      <c r="D1192" s="5" cm="1">
        <f t="array" aca="1" ref="D1192" ca="1">OFFSET(INDIRECT("'["&amp;$H1192&amp;"]"&amp;$I1192&amp;"'!"&amp;$J1192),$L1192,$M1192)*$K1192</f>
        <v>0.29755000000000004</v>
      </c>
      <c r="F1192" s="4">
        <f t="shared" si="75"/>
        <v>11</v>
      </c>
      <c r="G1192" s="4" cm="1">
        <f t="array" ref="G1192">IF($C1192&gt;=25,F1192,IF($C1192&lt;16,INDEX(Sheet1!C:C,$F1192),$F1192))</f>
        <v>11</v>
      </c>
      <c r="H1192" s="4" t="str" cm="1">
        <f t="array" ref="H1192">INDEX(Sheet1!D:D,$G1192)</f>
        <v>2001-cso-preferred-class-structure-mortality-tables.xls</v>
      </c>
      <c r="I1192" s="4" t="str" cm="1">
        <f t="array" ref="I1192">INDEX(Sheet1!E:E,$G1192)</f>
        <v>A.1.b.i</v>
      </c>
      <c r="J1192" s="4" t="str" cm="1">
        <f t="array" ref="J1192">IF($C1192&gt;=25,INDEX(Sheet1!G:G,$G1192),INDEX(Sheet1!F:F,$G1192))</f>
        <v>AA8</v>
      </c>
      <c r="K1192" s="4" cm="1">
        <f t="array" ref="K1192">INDEX(Sheet1!H:H,$G1192)</f>
        <v>1E-3</v>
      </c>
      <c r="L1192" s="4">
        <f t="shared" si="72"/>
        <v>76</v>
      </c>
      <c r="M1192" s="4">
        <f t="shared" si="73"/>
        <v>0</v>
      </c>
    </row>
    <row r="1193" spans="1:13">
      <c r="A1193" s="4" t="str" cm="1">
        <f t="array" ref="A1193">INDEX(Sheet1!A:A,$F1193)</f>
        <v>F</v>
      </c>
      <c r="B1193" s="4" t="str" cm="1">
        <f t="array" ref="B1193">INDEX(Sheet1!B:B,$F1193)</f>
        <v>Super-Pref NS</v>
      </c>
      <c r="C1193" s="4">
        <f t="shared" si="74"/>
        <v>102</v>
      </c>
      <c r="D1193" s="5" cm="1">
        <f t="array" aca="1" ref="D1193" ca="1">OFFSET(INDIRECT("'["&amp;$H1193&amp;"]"&amp;$I1193&amp;"'!"&amp;$J1193),$L1193,$M1193)*$K1193</f>
        <v>0.32219000000000003</v>
      </c>
      <c r="F1193" s="4">
        <f t="shared" si="75"/>
        <v>11</v>
      </c>
      <c r="G1193" s="4" cm="1">
        <f t="array" ref="G1193">IF($C1193&gt;=25,F1193,IF($C1193&lt;16,INDEX(Sheet1!C:C,$F1193),$F1193))</f>
        <v>11</v>
      </c>
      <c r="H1193" s="4" t="str" cm="1">
        <f t="array" ref="H1193">INDEX(Sheet1!D:D,$G1193)</f>
        <v>2001-cso-preferred-class-structure-mortality-tables.xls</v>
      </c>
      <c r="I1193" s="4" t="str" cm="1">
        <f t="array" ref="I1193">INDEX(Sheet1!E:E,$G1193)</f>
        <v>A.1.b.i</v>
      </c>
      <c r="J1193" s="4" t="str" cm="1">
        <f t="array" ref="J1193">IF($C1193&gt;=25,INDEX(Sheet1!G:G,$G1193),INDEX(Sheet1!F:F,$G1193))</f>
        <v>AA8</v>
      </c>
      <c r="K1193" s="4" cm="1">
        <f t="array" ref="K1193">INDEX(Sheet1!H:H,$G1193)</f>
        <v>1E-3</v>
      </c>
      <c r="L1193" s="4">
        <f t="shared" si="72"/>
        <v>77</v>
      </c>
      <c r="M1193" s="4">
        <f t="shared" si="73"/>
        <v>0</v>
      </c>
    </row>
    <row r="1194" spans="1:13">
      <c r="A1194" s="4" t="str" cm="1">
        <f t="array" ref="A1194">INDEX(Sheet1!A:A,$F1194)</f>
        <v>F</v>
      </c>
      <c r="B1194" s="4" t="str" cm="1">
        <f t="array" ref="B1194">INDEX(Sheet1!B:B,$F1194)</f>
        <v>Super-Pref NS</v>
      </c>
      <c r="C1194" s="4">
        <f t="shared" si="74"/>
        <v>103</v>
      </c>
      <c r="D1194" s="5" cm="1">
        <f t="array" aca="1" ref="D1194" ca="1">OFFSET(INDIRECT("'["&amp;$H1194&amp;"]"&amp;$I1194&amp;"'!"&amp;$J1194),$L1194,$M1194)*$K1194</f>
        <v>0.34904000000000002</v>
      </c>
      <c r="F1194" s="4">
        <f t="shared" si="75"/>
        <v>11</v>
      </c>
      <c r="G1194" s="4" cm="1">
        <f t="array" ref="G1194">IF($C1194&gt;=25,F1194,IF($C1194&lt;16,INDEX(Sheet1!C:C,$F1194),$F1194))</f>
        <v>11</v>
      </c>
      <c r="H1194" s="4" t="str" cm="1">
        <f t="array" ref="H1194">INDEX(Sheet1!D:D,$G1194)</f>
        <v>2001-cso-preferred-class-structure-mortality-tables.xls</v>
      </c>
      <c r="I1194" s="4" t="str" cm="1">
        <f t="array" ref="I1194">INDEX(Sheet1!E:E,$G1194)</f>
        <v>A.1.b.i</v>
      </c>
      <c r="J1194" s="4" t="str" cm="1">
        <f t="array" ref="J1194">IF($C1194&gt;=25,INDEX(Sheet1!G:G,$G1194),INDEX(Sheet1!F:F,$G1194))</f>
        <v>AA8</v>
      </c>
      <c r="K1194" s="4" cm="1">
        <f t="array" ref="K1194">INDEX(Sheet1!H:H,$G1194)</f>
        <v>1E-3</v>
      </c>
      <c r="L1194" s="4">
        <f t="shared" si="72"/>
        <v>78</v>
      </c>
      <c r="M1194" s="4">
        <f t="shared" si="73"/>
        <v>0</v>
      </c>
    </row>
    <row r="1195" spans="1:13">
      <c r="A1195" s="4" t="str" cm="1">
        <f t="array" ref="A1195">INDEX(Sheet1!A:A,$F1195)</f>
        <v>F</v>
      </c>
      <c r="B1195" s="4" t="str" cm="1">
        <f t="array" ref="B1195">INDEX(Sheet1!B:B,$F1195)</f>
        <v>Super-Pref NS</v>
      </c>
      <c r="C1195" s="4">
        <f t="shared" si="74"/>
        <v>104</v>
      </c>
      <c r="D1195" s="5" cm="1">
        <f t="array" aca="1" ref="D1195" ca="1">OFFSET(INDIRECT("'["&amp;$H1195&amp;"]"&amp;$I1195&amp;"'!"&amp;$J1195),$L1195,$M1195)*$K1195</f>
        <v>0.37860000000000005</v>
      </c>
      <c r="F1195" s="4">
        <f t="shared" si="75"/>
        <v>11</v>
      </c>
      <c r="G1195" s="4" cm="1">
        <f t="array" ref="G1195">IF($C1195&gt;=25,F1195,IF($C1195&lt;16,INDEX(Sheet1!C:C,$F1195),$F1195))</f>
        <v>11</v>
      </c>
      <c r="H1195" s="4" t="str" cm="1">
        <f t="array" ref="H1195">INDEX(Sheet1!D:D,$G1195)</f>
        <v>2001-cso-preferred-class-structure-mortality-tables.xls</v>
      </c>
      <c r="I1195" s="4" t="str" cm="1">
        <f t="array" ref="I1195">INDEX(Sheet1!E:E,$G1195)</f>
        <v>A.1.b.i</v>
      </c>
      <c r="J1195" s="4" t="str" cm="1">
        <f t="array" ref="J1195">IF($C1195&gt;=25,INDEX(Sheet1!G:G,$G1195),INDEX(Sheet1!F:F,$G1195))</f>
        <v>AA8</v>
      </c>
      <c r="K1195" s="4" cm="1">
        <f t="array" ref="K1195">INDEX(Sheet1!H:H,$G1195)</f>
        <v>1E-3</v>
      </c>
      <c r="L1195" s="4">
        <f t="shared" si="72"/>
        <v>79</v>
      </c>
      <c r="M1195" s="4">
        <f t="shared" si="73"/>
        <v>0</v>
      </c>
    </row>
    <row r="1196" spans="1:13">
      <c r="A1196" s="4" t="str" cm="1">
        <f t="array" ref="A1196">INDEX(Sheet1!A:A,$F1196)</f>
        <v>F</v>
      </c>
      <c r="B1196" s="4" t="str" cm="1">
        <f t="array" ref="B1196">INDEX(Sheet1!B:B,$F1196)</f>
        <v>Super-Pref NS</v>
      </c>
      <c r="C1196" s="4">
        <f t="shared" si="74"/>
        <v>105</v>
      </c>
      <c r="D1196" s="5" cm="1">
        <f t="array" aca="1" ref="D1196" ca="1">OFFSET(INDIRECT("'["&amp;$H1196&amp;"]"&amp;$I1196&amp;"'!"&amp;$J1196),$L1196,$M1196)*$K1196</f>
        <v>0.41056000000000004</v>
      </c>
      <c r="F1196" s="4">
        <f t="shared" si="75"/>
        <v>11</v>
      </c>
      <c r="G1196" s="4" cm="1">
        <f t="array" ref="G1196">IF($C1196&gt;=25,F1196,IF($C1196&lt;16,INDEX(Sheet1!C:C,$F1196),$F1196))</f>
        <v>11</v>
      </c>
      <c r="H1196" s="4" t="str" cm="1">
        <f t="array" ref="H1196">INDEX(Sheet1!D:D,$G1196)</f>
        <v>2001-cso-preferred-class-structure-mortality-tables.xls</v>
      </c>
      <c r="I1196" s="4" t="str" cm="1">
        <f t="array" ref="I1196">INDEX(Sheet1!E:E,$G1196)</f>
        <v>A.1.b.i</v>
      </c>
      <c r="J1196" s="4" t="str" cm="1">
        <f t="array" ref="J1196">IF($C1196&gt;=25,INDEX(Sheet1!G:G,$G1196),INDEX(Sheet1!F:F,$G1196))</f>
        <v>AA8</v>
      </c>
      <c r="K1196" s="4" cm="1">
        <f t="array" ref="K1196">INDEX(Sheet1!H:H,$G1196)</f>
        <v>1E-3</v>
      </c>
      <c r="L1196" s="4">
        <f t="shared" si="72"/>
        <v>80</v>
      </c>
      <c r="M1196" s="4">
        <f t="shared" si="73"/>
        <v>0</v>
      </c>
    </row>
    <row r="1197" spans="1:13">
      <c r="A1197" s="4" t="str" cm="1">
        <f t="array" ref="A1197">INDEX(Sheet1!A:A,$F1197)</f>
        <v>F</v>
      </c>
      <c r="B1197" s="4" t="str" cm="1">
        <f t="array" ref="B1197">INDEX(Sheet1!B:B,$F1197)</f>
        <v>Super-Pref NS</v>
      </c>
      <c r="C1197" s="4">
        <f t="shared" si="74"/>
        <v>106</v>
      </c>
      <c r="D1197" s="5" cm="1">
        <f t="array" aca="1" ref="D1197" ca="1">OFFSET(INDIRECT("'["&amp;$H1197&amp;"]"&amp;$I1197&amp;"'!"&amp;$J1197),$L1197,$M1197)*$K1197</f>
        <v>0.44331999999999999</v>
      </c>
      <c r="F1197" s="4">
        <f t="shared" si="75"/>
        <v>11</v>
      </c>
      <c r="G1197" s="4" cm="1">
        <f t="array" ref="G1197">IF($C1197&gt;=25,F1197,IF($C1197&lt;16,INDEX(Sheet1!C:C,$F1197),$F1197))</f>
        <v>11</v>
      </c>
      <c r="H1197" s="4" t="str" cm="1">
        <f t="array" ref="H1197">INDEX(Sheet1!D:D,$G1197)</f>
        <v>2001-cso-preferred-class-structure-mortality-tables.xls</v>
      </c>
      <c r="I1197" s="4" t="str" cm="1">
        <f t="array" ref="I1197">INDEX(Sheet1!E:E,$G1197)</f>
        <v>A.1.b.i</v>
      </c>
      <c r="J1197" s="4" t="str" cm="1">
        <f t="array" ref="J1197">IF($C1197&gt;=25,INDEX(Sheet1!G:G,$G1197),INDEX(Sheet1!F:F,$G1197))</f>
        <v>AA8</v>
      </c>
      <c r="K1197" s="4" cm="1">
        <f t="array" ref="K1197">INDEX(Sheet1!H:H,$G1197)</f>
        <v>1E-3</v>
      </c>
      <c r="L1197" s="4">
        <f t="shared" si="72"/>
        <v>81</v>
      </c>
      <c r="M1197" s="4">
        <f t="shared" si="73"/>
        <v>0</v>
      </c>
    </row>
    <row r="1198" spans="1:13">
      <c r="A1198" s="4" t="str" cm="1">
        <f t="array" ref="A1198">INDEX(Sheet1!A:A,$F1198)</f>
        <v>F</v>
      </c>
      <c r="B1198" s="4" t="str" cm="1">
        <f t="array" ref="B1198">INDEX(Sheet1!B:B,$F1198)</f>
        <v>Super-Pref NS</v>
      </c>
      <c r="C1198" s="4">
        <f t="shared" si="74"/>
        <v>107</v>
      </c>
      <c r="D1198" s="5" cm="1">
        <f t="array" aca="1" ref="D1198" ca="1">OFFSET(INDIRECT("'["&amp;$H1198&amp;"]"&amp;$I1198&amp;"'!"&amp;$J1198),$L1198,$M1198)*$K1198</f>
        <v>0.47688000000000003</v>
      </c>
      <c r="F1198" s="4">
        <f t="shared" si="75"/>
        <v>11</v>
      </c>
      <c r="G1198" s="4" cm="1">
        <f t="array" ref="G1198">IF($C1198&gt;=25,F1198,IF($C1198&lt;16,INDEX(Sheet1!C:C,$F1198),$F1198))</f>
        <v>11</v>
      </c>
      <c r="H1198" s="4" t="str" cm="1">
        <f t="array" ref="H1198">INDEX(Sheet1!D:D,$G1198)</f>
        <v>2001-cso-preferred-class-structure-mortality-tables.xls</v>
      </c>
      <c r="I1198" s="4" t="str" cm="1">
        <f t="array" ref="I1198">INDEX(Sheet1!E:E,$G1198)</f>
        <v>A.1.b.i</v>
      </c>
      <c r="J1198" s="4" t="str" cm="1">
        <f t="array" ref="J1198">IF($C1198&gt;=25,INDEX(Sheet1!G:G,$G1198),INDEX(Sheet1!F:F,$G1198))</f>
        <v>AA8</v>
      </c>
      <c r="K1198" s="4" cm="1">
        <f t="array" ref="K1198">INDEX(Sheet1!H:H,$G1198)</f>
        <v>1E-3</v>
      </c>
      <c r="L1198" s="4">
        <f t="shared" si="72"/>
        <v>82</v>
      </c>
      <c r="M1198" s="4">
        <f t="shared" si="73"/>
        <v>0</v>
      </c>
    </row>
    <row r="1199" spans="1:13">
      <c r="A1199" s="4" t="str" cm="1">
        <f t="array" ref="A1199">INDEX(Sheet1!A:A,$F1199)</f>
        <v>F</v>
      </c>
      <c r="B1199" s="4" t="str" cm="1">
        <f t="array" ref="B1199">INDEX(Sheet1!B:B,$F1199)</f>
        <v>Super-Pref NS</v>
      </c>
      <c r="C1199" s="4">
        <f t="shared" si="74"/>
        <v>108</v>
      </c>
      <c r="D1199" s="5" cm="1">
        <f t="array" aca="1" ref="D1199" ca="1">OFFSET(INDIRECT("'["&amp;$H1199&amp;"]"&amp;$I1199&amp;"'!"&amp;$J1199),$L1199,$M1199)*$K1199</f>
        <v>0.51063999999999998</v>
      </c>
      <c r="F1199" s="4">
        <f t="shared" si="75"/>
        <v>11</v>
      </c>
      <c r="G1199" s="4" cm="1">
        <f t="array" ref="G1199">IF($C1199&gt;=25,F1199,IF($C1199&lt;16,INDEX(Sheet1!C:C,$F1199),$F1199))</f>
        <v>11</v>
      </c>
      <c r="H1199" s="4" t="str" cm="1">
        <f t="array" ref="H1199">INDEX(Sheet1!D:D,$G1199)</f>
        <v>2001-cso-preferred-class-structure-mortality-tables.xls</v>
      </c>
      <c r="I1199" s="4" t="str" cm="1">
        <f t="array" ref="I1199">INDEX(Sheet1!E:E,$G1199)</f>
        <v>A.1.b.i</v>
      </c>
      <c r="J1199" s="4" t="str" cm="1">
        <f t="array" ref="J1199">IF($C1199&gt;=25,INDEX(Sheet1!G:G,$G1199),INDEX(Sheet1!F:F,$G1199))</f>
        <v>AA8</v>
      </c>
      <c r="K1199" s="4" cm="1">
        <f t="array" ref="K1199">INDEX(Sheet1!H:H,$G1199)</f>
        <v>1E-3</v>
      </c>
      <c r="L1199" s="4">
        <f t="shared" si="72"/>
        <v>83</v>
      </c>
      <c r="M1199" s="4">
        <f t="shared" si="73"/>
        <v>0</v>
      </c>
    </row>
    <row r="1200" spans="1:13">
      <c r="A1200" s="4" t="str" cm="1">
        <f t="array" ref="A1200">INDEX(Sheet1!A:A,$F1200)</f>
        <v>F</v>
      </c>
      <c r="B1200" s="4" t="str" cm="1">
        <f t="array" ref="B1200">INDEX(Sheet1!B:B,$F1200)</f>
        <v>Super-Pref NS</v>
      </c>
      <c r="C1200" s="4">
        <f t="shared" si="74"/>
        <v>109</v>
      </c>
      <c r="D1200" s="5" cm="1">
        <f t="array" aca="1" ref="D1200" ca="1">OFFSET(INDIRECT("'["&amp;$H1200&amp;"]"&amp;$I1200&amp;"'!"&amp;$J1200),$L1200,$M1200)*$K1200</f>
        <v>0.54579999999999995</v>
      </c>
      <c r="F1200" s="4">
        <f t="shared" si="75"/>
        <v>11</v>
      </c>
      <c r="G1200" s="4" cm="1">
        <f t="array" ref="G1200">IF($C1200&gt;=25,F1200,IF($C1200&lt;16,INDEX(Sheet1!C:C,$F1200),$F1200))</f>
        <v>11</v>
      </c>
      <c r="H1200" s="4" t="str" cm="1">
        <f t="array" ref="H1200">INDEX(Sheet1!D:D,$G1200)</f>
        <v>2001-cso-preferred-class-structure-mortality-tables.xls</v>
      </c>
      <c r="I1200" s="4" t="str" cm="1">
        <f t="array" ref="I1200">INDEX(Sheet1!E:E,$G1200)</f>
        <v>A.1.b.i</v>
      </c>
      <c r="J1200" s="4" t="str" cm="1">
        <f t="array" ref="J1200">IF($C1200&gt;=25,INDEX(Sheet1!G:G,$G1200),INDEX(Sheet1!F:F,$G1200))</f>
        <v>AA8</v>
      </c>
      <c r="K1200" s="4" cm="1">
        <f t="array" ref="K1200">INDEX(Sheet1!H:H,$G1200)</f>
        <v>1E-3</v>
      </c>
      <c r="L1200" s="4">
        <f t="shared" si="72"/>
        <v>84</v>
      </c>
      <c r="M1200" s="4">
        <f t="shared" si="73"/>
        <v>0</v>
      </c>
    </row>
    <row r="1201" spans="1:13">
      <c r="A1201" s="4" t="str" cm="1">
        <f t="array" ref="A1201">INDEX(Sheet1!A:A,$F1201)</f>
        <v>F</v>
      </c>
      <c r="B1201" s="4" t="str" cm="1">
        <f t="array" ref="B1201">INDEX(Sheet1!B:B,$F1201)</f>
        <v>Super-Pref NS</v>
      </c>
      <c r="C1201" s="4">
        <f t="shared" si="74"/>
        <v>110</v>
      </c>
      <c r="D1201" s="5" cm="1">
        <f t="array" aca="1" ref="D1201" ca="1">OFFSET(INDIRECT("'["&amp;$H1201&amp;"]"&amp;$I1201&amp;"'!"&amp;$J1201),$L1201,$M1201)*$K1201</f>
        <v>0.58176000000000005</v>
      </c>
      <c r="F1201" s="4">
        <f t="shared" si="75"/>
        <v>11</v>
      </c>
      <c r="G1201" s="4" cm="1">
        <f t="array" ref="G1201">IF($C1201&gt;=25,F1201,IF($C1201&lt;16,INDEX(Sheet1!C:C,$F1201),$F1201))</f>
        <v>11</v>
      </c>
      <c r="H1201" s="4" t="str" cm="1">
        <f t="array" ref="H1201">INDEX(Sheet1!D:D,$G1201)</f>
        <v>2001-cso-preferred-class-structure-mortality-tables.xls</v>
      </c>
      <c r="I1201" s="4" t="str" cm="1">
        <f t="array" ref="I1201">INDEX(Sheet1!E:E,$G1201)</f>
        <v>A.1.b.i</v>
      </c>
      <c r="J1201" s="4" t="str" cm="1">
        <f t="array" ref="J1201">IF($C1201&gt;=25,INDEX(Sheet1!G:G,$G1201),INDEX(Sheet1!F:F,$G1201))</f>
        <v>AA8</v>
      </c>
      <c r="K1201" s="4" cm="1">
        <f t="array" ref="K1201">INDEX(Sheet1!H:H,$G1201)</f>
        <v>1E-3</v>
      </c>
      <c r="L1201" s="4">
        <f t="shared" si="72"/>
        <v>85</v>
      </c>
      <c r="M1201" s="4">
        <f t="shared" si="73"/>
        <v>0</v>
      </c>
    </row>
    <row r="1202" spans="1:13">
      <c r="A1202" s="4" t="str" cm="1">
        <f t="array" ref="A1202">INDEX(Sheet1!A:A,$F1202)</f>
        <v>F</v>
      </c>
      <c r="B1202" s="4" t="str" cm="1">
        <f t="array" ref="B1202">INDEX(Sheet1!B:B,$F1202)</f>
        <v>Super-Pref NS</v>
      </c>
      <c r="C1202" s="4">
        <f t="shared" si="74"/>
        <v>111</v>
      </c>
      <c r="D1202" s="5" cm="1">
        <f t="array" aca="1" ref="D1202" ca="1">OFFSET(INDIRECT("'["&amp;$H1202&amp;"]"&amp;$I1202&amp;"'!"&amp;$J1202),$L1202,$M1202)*$K1202</f>
        <v>0.61633000000000004</v>
      </c>
      <c r="F1202" s="4">
        <f t="shared" si="75"/>
        <v>11</v>
      </c>
      <c r="G1202" s="4" cm="1">
        <f t="array" ref="G1202">IF($C1202&gt;=25,F1202,IF($C1202&lt;16,INDEX(Sheet1!C:C,$F1202),$F1202))</f>
        <v>11</v>
      </c>
      <c r="H1202" s="4" t="str" cm="1">
        <f t="array" ref="H1202">INDEX(Sheet1!D:D,$G1202)</f>
        <v>2001-cso-preferred-class-structure-mortality-tables.xls</v>
      </c>
      <c r="I1202" s="4" t="str" cm="1">
        <f t="array" ref="I1202">INDEX(Sheet1!E:E,$G1202)</f>
        <v>A.1.b.i</v>
      </c>
      <c r="J1202" s="4" t="str" cm="1">
        <f t="array" ref="J1202">IF($C1202&gt;=25,INDEX(Sheet1!G:G,$G1202),INDEX(Sheet1!F:F,$G1202))</f>
        <v>AA8</v>
      </c>
      <c r="K1202" s="4" cm="1">
        <f t="array" ref="K1202">INDEX(Sheet1!H:H,$G1202)</f>
        <v>1E-3</v>
      </c>
      <c r="L1202" s="4">
        <f t="shared" si="72"/>
        <v>86</v>
      </c>
      <c r="M1202" s="4">
        <f t="shared" si="73"/>
        <v>0</v>
      </c>
    </row>
    <row r="1203" spans="1:13">
      <c r="A1203" s="4" t="str" cm="1">
        <f t="array" ref="A1203">INDEX(Sheet1!A:A,$F1203)</f>
        <v>F</v>
      </c>
      <c r="B1203" s="4" t="str" cm="1">
        <f t="array" ref="B1203">INDEX(Sheet1!B:B,$F1203)</f>
        <v>Super-Pref NS</v>
      </c>
      <c r="C1203" s="4">
        <f t="shared" si="74"/>
        <v>112</v>
      </c>
      <c r="D1203" s="5" cm="1">
        <f t="array" aca="1" ref="D1203" ca="1">OFFSET(INDIRECT("'["&amp;$H1203&amp;"]"&amp;$I1203&amp;"'!"&amp;$J1203),$L1203,$M1203)*$K1203</f>
        <v>0.64985000000000004</v>
      </c>
      <c r="F1203" s="4">
        <f t="shared" si="75"/>
        <v>11</v>
      </c>
      <c r="G1203" s="4" cm="1">
        <f t="array" ref="G1203">IF($C1203&gt;=25,F1203,IF($C1203&lt;16,INDEX(Sheet1!C:C,$F1203),$F1203))</f>
        <v>11</v>
      </c>
      <c r="H1203" s="4" t="str" cm="1">
        <f t="array" ref="H1203">INDEX(Sheet1!D:D,$G1203)</f>
        <v>2001-cso-preferred-class-structure-mortality-tables.xls</v>
      </c>
      <c r="I1203" s="4" t="str" cm="1">
        <f t="array" ref="I1203">INDEX(Sheet1!E:E,$G1203)</f>
        <v>A.1.b.i</v>
      </c>
      <c r="J1203" s="4" t="str" cm="1">
        <f t="array" ref="J1203">IF($C1203&gt;=25,INDEX(Sheet1!G:G,$G1203),INDEX(Sheet1!F:F,$G1203))</f>
        <v>AA8</v>
      </c>
      <c r="K1203" s="4" cm="1">
        <f t="array" ref="K1203">INDEX(Sheet1!H:H,$G1203)</f>
        <v>1E-3</v>
      </c>
      <c r="L1203" s="4">
        <f t="shared" si="72"/>
        <v>87</v>
      </c>
      <c r="M1203" s="4">
        <f t="shared" si="73"/>
        <v>0</v>
      </c>
    </row>
    <row r="1204" spans="1:13">
      <c r="A1204" s="4" t="str" cm="1">
        <f t="array" ref="A1204">INDEX(Sheet1!A:A,$F1204)</f>
        <v>F</v>
      </c>
      <c r="B1204" s="4" t="str" cm="1">
        <f t="array" ref="B1204">INDEX(Sheet1!B:B,$F1204)</f>
        <v>Super-Pref NS</v>
      </c>
      <c r="C1204" s="4">
        <f t="shared" si="74"/>
        <v>113</v>
      </c>
      <c r="D1204" s="5" cm="1">
        <f t="array" aca="1" ref="D1204" ca="1">OFFSET(INDIRECT("'["&amp;$H1204&amp;"]"&amp;$I1204&amp;"'!"&amp;$J1204),$L1204,$M1204)*$K1204</f>
        <v>0.68036000000000008</v>
      </c>
      <c r="F1204" s="4">
        <f t="shared" si="75"/>
        <v>11</v>
      </c>
      <c r="G1204" s="4" cm="1">
        <f t="array" ref="G1204">IF($C1204&gt;=25,F1204,IF($C1204&lt;16,INDEX(Sheet1!C:C,$F1204),$F1204))</f>
        <v>11</v>
      </c>
      <c r="H1204" s="4" t="str" cm="1">
        <f t="array" ref="H1204">INDEX(Sheet1!D:D,$G1204)</f>
        <v>2001-cso-preferred-class-structure-mortality-tables.xls</v>
      </c>
      <c r="I1204" s="4" t="str" cm="1">
        <f t="array" ref="I1204">INDEX(Sheet1!E:E,$G1204)</f>
        <v>A.1.b.i</v>
      </c>
      <c r="J1204" s="4" t="str" cm="1">
        <f t="array" ref="J1204">IF($C1204&gt;=25,INDEX(Sheet1!G:G,$G1204),INDEX(Sheet1!F:F,$G1204))</f>
        <v>AA8</v>
      </c>
      <c r="K1204" s="4" cm="1">
        <f t="array" ref="K1204">INDEX(Sheet1!H:H,$G1204)</f>
        <v>1E-3</v>
      </c>
      <c r="L1204" s="4">
        <f t="shared" si="72"/>
        <v>88</v>
      </c>
      <c r="M1204" s="4">
        <f t="shared" si="73"/>
        <v>0</v>
      </c>
    </row>
    <row r="1205" spans="1:13">
      <c r="A1205" s="4" t="str" cm="1">
        <f t="array" ref="A1205">INDEX(Sheet1!A:A,$F1205)</f>
        <v>F</v>
      </c>
      <c r="B1205" s="4" t="str" cm="1">
        <f t="array" ref="B1205">INDEX(Sheet1!B:B,$F1205)</f>
        <v>Super-Pref NS</v>
      </c>
      <c r="C1205" s="4">
        <f t="shared" si="74"/>
        <v>114</v>
      </c>
      <c r="D1205" s="5" cm="1">
        <f t="array" aca="1" ref="D1205" ca="1">OFFSET(INDIRECT("'["&amp;$H1205&amp;"]"&amp;$I1205&amp;"'!"&amp;$J1205),$L1205,$M1205)*$K1205</f>
        <v>0.72338000000000002</v>
      </c>
      <c r="F1205" s="4">
        <f t="shared" si="75"/>
        <v>11</v>
      </c>
      <c r="G1205" s="4" cm="1">
        <f t="array" ref="G1205">IF($C1205&gt;=25,F1205,IF($C1205&lt;16,INDEX(Sheet1!C:C,$F1205),$F1205))</f>
        <v>11</v>
      </c>
      <c r="H1205" s="4" t="str" cm="1">
        <f t="array" ref="H1205">INDEX(Sheet1!D:D,$G1205)</f>
        <v>2001-cso-preferred-class-structure-mortality-tables.xls</v>
      </c>
      <c r="I1205" s="4" t="str" cm="1">
        <f t="array" ref="I1205">INDEX(Sheet1!E:E,$G1205)</f>
        <v>A.1.b.i</v>
      </c>
      <c r="J1205" s="4" t="str" cm="1">
        <f t="array" ref="J1205">IF($C1205&gt;=25,INDEX(Sheet1!G:G,$G1205),INDEX(Sheet1!F:F,$G1205))</f>
        <v>AA8</v>
      </c>
      <c r="K1205" s="4" cm="1">
        <f t="array" ref="K1205">INDEX(Sheet1!H:H,$G1205)</f>
        <v>1E-3</v>
      </c>
      <c r="L1205" s="4">
        <f t="shared" si="72"/>
        <v>89</v>
      </c>
      <c r="M1205" s="4">
        <f t="shared" si="73"/>
        <v>0</v>
      </c>
    </row>
    <row r="1206" spans="1:13">
      <c r="A1206" s="4" t="str" cm="1">
        <f t="array" ref="A1206">INDEX(Sheet1!A:A,$F1206)</f>
        <v>F</v>
      </c>
      <c r="B1206" s="4" t="str" cm="1">
        <f t="array" ref="B1206">INDEX(Sheet1!B:B,$F1206)</f>
        <v>Super-Pref NS</v>
      </c>
      <c r="C1206" s="4">
        <f t="shared" si="74"/>
        <v>115</v>
      </c>
      <c r="D1206" s="5" cm="1">
        <f t="array" aca="1" ref="D1206" ca="1">OFFSET(INDIRECT("'["&amp;$H1206&amp;"]"&amp;$I1206&amp;"'!"&amp;$J1206),$L1206,$M1206)*$K1206</f>
        <v>0.76339999999999997</v>
      </c>
      <c r="F1206" s="4">
        <f t="shared" si="75"/>
        <v>11</v>
      </c>
      <c r="G1206" s="4" cm="1">
        <f t="array" ref="G1206">IF($C1206&gt;=25,F1206,IF($C1206&lt;16,INDEX(Sheet1!C:C,$F1206),$F1206))</f>
        <v>11</v>
      </c>
      <c r="H1206" s="4" t="str" cm="1">
        <f t="array" ref="H1206">INDEX(Sheet1!D:D,$G1206)</f>
        <v>2001-cso-preferred-class-structure-mortality-tables.xls</v>
      </c>
      <c r="I1206" s="4" t="str" cm="1">
        <f t="array" ref="I1206">INDEX(Sheet1!E:E,$G1206)</f>
        <v>A.1.b.i</v>
      </c>
      <c r="J1206" s="4" t="str" cm="1">
        <f t="array" ref="J1206">IF($C1206&gt;=25,INDEX(Sheet1!G:G,$G1206),INDEX(Sheet1!F:F,$G1206))</f>
        <v>AA8</v>
      </c>
      <c r="K1206" s="4" cm="1">
        <f t="array" ref="K1206">INDEX(Sheet1!H:H,$G1206)</f>
        <v>1E-3</v>
      </c>
      <c r="L1206" s="4">
        <f t="shared" si="72"/>
        <v>90</v>
      </c>
      <c r="M1206" s="4">
        <f t="shared" si="73"/>
        <v>0</v>
      </c>
    </row>
    <row r="1207" spans="1:13">
      <c r="A1207" s="4" t="str" cm="1">
        <f t="array" ref="A1207">INDEX(Sheet1!A:A,$F1207)</f>
        <v>F</v>
      </c>
      <c r="B1207" s="4" t="str" cm="1">
        <f t="array" ref="B1207">INDEX(Sheet1!B:B,$F1207)</f>
        <v>Super-Pref NS</v>
      </c>
      <c r="C1207" s="4">
        <f t="shared" si="74"/>
        <v>116</v>
      </c>
      <c r="D1207" s="5" cm="1">
        <f t="array" aca="1" ref="D1207" ca="1">OFFSET(INDIRECT("'["&amp;$H1207&amp;"]"&amp;$I1207&amp;"'!"&amp;$J1207),$L1207,$M1207)*$K1207</f>
        <v>0.80491999999999997</v>
      </c>
      <c r="F1207" s="4">
        <f t="shared" si="75"/>
        <v>11</v>
      </c>
      <c r="G1207" s="4" cm="1">
        <f t="array" ref="G1207">IF($C1207&gt;=25,F1207,IF($C1207&lt;16,INDEX(Sheet1!C:C,$F1207),$F1207))</f>
        <v>11</v>
      </c>
      <c r="H1207" s="4" t="str" cm="1">
        <f t="array" ref="H1207">INDEX(Sheet1!D:D,$G1207)</f>
        <v>2001-cso-preferred-class-structure-mortality-tables.xls</v>
      </c>
      <c r="I1207" s="4" t="str" cm="1">
        <f t="array" ref="I1207">INDEX(Sheet1!E:E,$G1207)</f>
        <v>A.1.b.i</v>
      </c>
      <c r="J1207" s="4" t="str" cm="1">
        <f t="array" ref="J1207">IF($C1207&gt;=25,INDEX(Sheet1!G:G,$G1207),INDEX(Sheet1!F:F,$G1207))</f>
        <v>AA8</v>
      </c>
      <c r="K1207" s="4" cm="1">
        <f t="array" ref="K1207">INDEX(Sheet1!H:H,$G1207)</f>
        <v>1E-3</v>
      </c>
      <c r="L1207" s="4">
        <f t="shared" si="72"/>
        <v>91</v>
      </c>
      <c r="M1207" s="4">
        <f t="shared" si="73"/>
        <v>0</v>
      </c>
    </row>
    <row r="1208" spans="1:13">
      <c r="A1208" s="4" t="str" cm="1">
        <f t="array" ref="A1208">INDEX(Sheet1!A:A,$F1208)</f>
        <v>F</v>
      </c>
      <c r="B1208" s="4" t="str" cm="1">
        <f t="array" ref="B1208">INDEX(Sheet1!B:B,$F1208)</f>
        <v>Super-Pref NS</v>
      </c>
      <c r="C1208" s="4">
        <f t="shared" si="74"/>
        <v>117</v>
      </c>
      <c r="D1208" s="5" cm="1">
        <f t="array" aca="1" ref="D1208" ca="1">OFFSET(INDIRECT("'["&amp;$H1208&amp;"]"&amp;$I1208&amp;"'!"&amp;$J1208),$L1208,$M1208)*$K1208</f>
        <v>0.85044000000000008</v>
      </c>
      <c r="F1208" s="4">
        <f t="shared" si="75"/>
        <v>11</v>
      </c>
      <c r="G1208" s="4" cm="1">
        <f t="array" ref="G1208">IF($C1208&gt;=25,F1208,IF($C1208&lt;16,INDEX(Sheet1!C:C,$F1208),$F1208))</f>
        <v>11</v>
      </c>
      <c r="H1208" s="4" t="str" cm="1">
        <f t="array" ref="H1208">INDEX(Sheet1!D:D,$G1208)</f>
        <v>2001-cso-preferred-class-structure-mortality-tables.xls</v>
      </c>
      <c r="I1208" s="4" t="str" cm="1">
        <f t="array" ref="I1208">INDEX(Sheet1!E:E,$G1208)</f>
        <v>A.1.b.i</v>
      </c>
      <c r="J1208" s="4" t="str" cm="1">
        <f t="array" ref="J1208">IF($C1208&gt;=25,INDEX(Sheet1!G:G,$G1208),INDEX(Sheet1!F:F,$G1208))</f>
        <v>AA8</v>
      </c>
      <c r="K1208" s="4" cm="1">
        <f t="array" ref="K1208">INDEX(Sheet1!H:H,$G1208)</f>
        <v>1E-3</v>
      </c>
      <c r="L1208" s="4">
        <f t="shared" si="72"/>
        <v>92</v>
      </c>
      <c r="M1208" s="4">
        <f t="shared" si="73"/>
        <v>0</v>
      </c>
    </row>
    <row r="1209" spans="1:13">
      <c r="A1209" s="4" t="str" cm="1">
        <f t="array" ref="A1209">INDEX(Sheet1!A:A,$F1209)</f>
        <v>F</v>
      </c>
      <c r="B1209" s="4" t="str" cm="1">
        <f t="array" ref="B1209">INDEX(Sheet1!B:B,$F1209)</f>
        <v>Super-Pref NS</v>
      </c>
      <c r="C1209" s="4">
        <f t="shared" si="74"/>
        <v>118</v>
      </c>
      <c r="D1209" s="5" cm="1">
        <f t="array" aca="1" ref="D1209" ca="1">OFFSET(INDIRECT("'["&amp;$H1209&amp;"]"&amp;$I1209&amp;"'!"&amp;$J1209),$L1209,$M1209)*$K1209</f>
        <v>0.89244000000000012</v>
      </c>
      <c r="F1209" s="4">
        <f t="shared" si="75"/>
        <v>11</v>
      </c>
      <c r="G1209" s="4" cm="1">
        <f t="array" ref="G1209">IF($C1209&gt;=25,F1209,IF($C1209&lt;16,INDEX(Sheet1!C:C,$F1209),$F1209))</f>
        <v>11</v>
      </c>
      <c r="H1209" s="4" t="str" cm="1">
        <f t="array" ref="H1209">INDEX(Sheet1!D:D,$G1209)</f>
        <v>2001-cso-preferred-class-structure-mortality-tables.xls</v>
      </c>
      <c r="I1209" s="4" t="str" cm="1">
        <f t="array" ref="I1209">INDEX(Sheet1!E:E,$G1209)</f>
        <v>A.1.b.i</v>
      </c>
      <c r="J1209" s="4" t="str" cm="1">
        <f t="array" ref="J1209">IF($C1209&gt;=25,INDEX(Sheet1!G:G,$G1209),INDEX(Sheet1!F:F,$G1209))</f>
        <v>AA8</v>
      </c>
      <c r="K1209" s="4" cm="1">
        <f t="array" ref="K1209">INDEX(Sheet1!H:H,$G1209)</f>
        <v>1E-3</v>
      </c>
      <c r="L1209" s="4">
        <f t="shared" si="72"/>
        <v>93</v>
      </c>
      <c r="M1209" s="4">
        <f t="shared" si="73"/>
        <v>0</v>
      </c>
    </row>
    <row r="1210" spans="1:13">
      <c r="A1210" s="4" t="str" cm="1">
        <f t="array" ref="A1210">INDEX(Sheet1!A:A,$F1210)</f>
        <v>F</v>
      </c>
      <c r="B1210" s="4" t="str" cm="1">
        <f t="array" ref="B1210">INDEX(Sheet1!B:B,$F1210)</f>
        <v>Super-Pref NS</v>
      </c>
      <c r="C1210" s="4">
        <f t="shared" si="74"/>
        <v>119</v>
      </c>
      <c r="D1210" s="5" cm="1">
        <f t="array" aca="1" ref="D1210" ca="1">OFFSET(INDIRECT("'["&amp;$H1210&amp;"]"&amp;$I1210&amp;"'!"&amp;$J1210),$L1210,$M1210)*$K1210</f>
        <v>0.93511</v>
      </c>
      <c r="F1210" s="4">
        <f t="shared" si="75"/>
        <v>11</v>
      </c>
      <c r="G1210" s="4" cm="1">
        <f t="array" ref="G1210">IF($C1210&gt;=25,F1210,IF($C1210&lt;16,INDEX(Sheet1!C:C,$F1210),$F1210))</f>
        <v>11</v>
      </c>
      <c r="H1210" s="4" t="str" cm="1">
        <f t="array" ref="H1210">INDEX(Sheet1!D:D,$G1210)</f>
        <v>2001-cso-preferred-class-structure-mortality-tables.xls</v>
      </c>
      <c r="I1210" s="4" t="str" cm="1">
        <f t="array" ref="I1210">INDEX(Sheet1!E:E,$G1210)</f>
        <v>A.1.b.i</v>
      </c>
      <c r="J1210" s="4" t="str" cm="1">
        <f t="array" ref="J1210">IF($C1210&gt;=25,INDEX(Sheet1!G:G,$G1210),INDEX(Sheet1!F:F,$G1210))</f>
        <v>AA8</v>
      </c>
      <c r="K1210" s="4" cm="1">
        <f t="array" ref="K1210">INDEX(Sheet1!H:H,$G1210)</f>
        <v>1E-3</v>
      </c>
      <c r="L1210" s="4">
        <f t="shared" si="72"/>
        <v>94</v>
      </c>
      <c r="M1210" s="4">
        <f t="shared" si="73"/>
        <v>0</v>
      </c>
    </row>
    <row r="1211" spans="1:13">
      <c r="A1211" s="4" t="str" cm="1">
        <f t="array" ref="A1211">INDEX(Sheet1!A:A,$F1211)</f>
        <v>F</v>
      </c>
      <c r="B1211" s="4" t="str" cm="1">
        <f t="array" ref="B1211">INDEX(Sheet1!B:B,$F1211)</f>
        <v>Super-Pref NS</v>
      </c>
      <c r="C1211" s="4">
        <f t="shared" si="74"/>
        <v>120</v>
      </c>
      <c r="D1211" s="5" cm="1">
        <f t="array" aca="1" ref="D1211" ca="1">OFFSET(INDIRECT("'["&amp;$H1211&amp;"]"&amp;$I1211&amp;"'!"&amp;$J1211),$L1211,$M1211)*$K1211</f>
        <v>1</v>
      </c>
      <c r="F1211" s="4">
        <f t="shared" si="75"/>
        <v>11</v>
      </c>
      <c r="G1211" s="4" cm="1">
        <f t="array" ref="G1211">IF($C1211&gt;=25,F1211,IF($C1211&lt;16,INDEX(Sheet1!C:C,$F1211),$F1211))</f>
        <v>11</v>
      </c>
      <c r="H1211" s="4" t="str" cm="1">
        <f t="array" ref="H1211">INDEX(Sheet1!D:D,$G1211)</f>
        <v>2001-cso-preferred-class-structure-mortality-tables.xls</v>
      </c>
      <c r="I1211" s="4" t="str" cm="1">
        <f t="array" ref="I1211">INDEX(Sheet1!E:E,$G1211)</f>
        <v>A.1.b.i</v>
      </c>
      <c r="J1211" s="4" t="str" cm="1">
        <f t="array" ref="J1211">IF($C1211&gt;=25,INDEX(Sheet1!G:G,$G1211),INDEX(Sheet1!F:F,$G1211))</f>
        <v>AA8</v>
      </c>
      <c r="K1211" s="4" cm="1">
        <f t="array" ref="K1211">INDEX(Sheet1!H:H,$G1211)</f>
        <v>1E-3</v>
      </c>
      <c r="L1211" s="4">
        <f t="shared" si="72"/>
        <v>95</v>
      </c>
      <c r="M1211" s="4">
        <f t="shared" si="73"/>
        <v>0</v>
      </c>
    </row>
    <row r="1212" spans="1:13">
      <c r="A1212" s="4" t="str" cm="1">
        <f t="array" ref="A1212">INDEX(Sheet1!A:A,$F1212)</f>
        <v>F</v>
      </c>
      <c r="B1212" s="4" t="str" cm="1">
        <f t="array" ref="B1212">INDEX(Sheet1!B:B,$F1212)</f>
        <v>Pref Best NS</v>
      </c>
      <c r="C1212" s="4">
        <f t="shared" si="74"/>
        <v>0</v>
      </c>
      <c r="D1212" s="5" cm="1">
        <f t="array" aca="1" ref="D1212" ca="1">OFFSET(INDIRECT("'["&amp;$H1212&amp;"]"&amp;$I1212&amp;"'!"&amp;$J1212),$L1212,$M1212)*$K1212</f>
        <v>4.8000000000000001E-4</v>
      </c>
      <c r="F1212" s="4">
        <f t="shared" si="75"/>
        <v>12</v>
      </c>
      <c r="G1212" s="4" cm="1">
        <f t="array" ref="G1212">IF($C1212&gt;=25,F1212,IF($C1212&lt;16,INDEX(Sheet1!C:C,$F1212),$F1212))</f>
        <v>19</v>
      </c>
      <c r="H1212" s="4" t="str" cm="1">
        <f t="array" ref="H1212">INDEX(Sheet1!D:D,$G1212)</f>
        <v>t1139.xlsx</v>
      </c>
      <c r="I1212" s="4" t="str" cm="1">
        <f t="array" ref="I1212">INDEX(Sheet1!E:E,$G1212)</f>
        <v>Sheet1</v>
      </c>
      <c r="J1212" s="4" t="str" cm="1">
        <f t="array" ref="J1212">IF($C1212&gt;=25,INDEX(Sheet1!G:G,$G1212),INDEX(Sheet1!F:F,$G1212))</f>
        <v>B25</v>
      </c>
      <c r="K1212" s="4" cm="1">
        <f t="array" ref="K1212">INDEX(Sheet1!H:H,$G1212)</f>
        <v>1</v>
      </c>
      <c r="L1212" s="4">
        <f t="shared" si="72"/>
        <v>0</v>
      </c>
      <c r="M1212" s="4">
        <f t="shared" si="73"/>
        <v>0</v>
      </c>
    </row>
    <row r="1213" spans="1:13">
      <c r="A1213" s="4" t="str" cm="1">
        <f t="array" ref="A1213">INDEX(Sheet1!A:A,$F1213)</f>
        <v>F</v>
      </c>
      <c r="B1213" s="4" t="str" cm="1">
        <f t="array" ref="B1213">INDEX(Sheet1!B:B,$F1213)</f>
        <v>Pref Best NS</v>
      </c>
      <c r="C1213" s="4">
        <f t="shared" si="74"/>
        <v>1</v>
      </c>
      <c r="D1213" s="5" cm="1">
        <f t="array" aca="1" ref="D1213" ca="1">OFFSET(INDIRECT("'["&amp;$H1213&amp;"]"&amp;$I1213&amp;"'!"&amp;$J1213),$L1213,$M1213)*$K1213</f>
        <v>3.5E-4</v>
      </c>
      <c r="F1213" s="4">
        <f t="shared" si="75"/>
        <v>12</v>
      </c>
      <c r="G1213" s="4" cm="1">
        <f t="array" ref="G1213">IF($C1213&gt;=25,F1213,IF($C1213&lt;16,INDEX(Sheet1!C:C,$F1213),$F1213))</f>
        <v>19</v>
      </c>
      <c r="H1213" s="4" t="str" cm="1">
        <f t="array" ref="H1213">INDEX(Sheet1!D:D,$G1213)</f>
        <v>t1139.xlsx</v>
      </c>
      <c r="I1213" s="4" t="str" cm="1">
        <f t="array" ref="I1213">INDEX(Sheet1!E:E,$G1213)</f>
        <v>Sheet1</v>
      </c>
      <c r="J1213" s="4" t="str" cm="1">
        <f t="array" ref="J1213">IF($C1213&gt;=25,INDEX(Sheet1!G:G,$G1213),INDEX(Sheet1!F:F,$G1213))</f>
        <v>B25</v>
      </c>
      <c r="K1213" s="4" cm="1">
        <f t="array" ref="K1213">INDEX(Sheet1!H:H,$G1213)</f>
        <v>1</v>
      </c>
      <c r="L1213" s="4">
        <f t="shared" si="72"/>
        <v>0</v>
      </c>
      <c r="M1213" s="4">
        <f t="shared" si="73"/>
        <v>1</v>
      </c>
    </row>
    <row r="1214" spans="1:13">
      <c r="A1214" s="4" t="str" cm="1">
        <f t="array" ref="A1214">INDEX(Sheet1!A:A,$F1214)</f>
        <v>F</v>
      </c>
      <c r="B1214" s="4" t="str" cm="1">
        <f t="array" ref="B1214">INDEX(Sheet1!B:B,$F1214)</f>
        <v>Pref Best NS</v>
      </c>
      <c r="C1214" s="4">
        <f t="shared" si="74"/>
        <v>2</v>
      </c>
      <c r="D1214" s="5" cm="1">
        <f t="array" aca="1" ref="D1214" ca="1">OFFSET(INDIRECT("'["&amp;$H1214&amp;"]"&amp;$I1214&amp;"'!"&amp;$J1214),$L1214,$M1214)*$K1214</f>
        <v>2.5999999999999998E-4</v>
      </c>
      <c r="F1214" s="4">
        <f t="shared" si="75"/>
        <v>12</v>
      </c>
      <c r="G1214" s="4" cm="1">
        <f t="array" ref="G1214">IF($C1214&gt;=25,F1214,IF($C1214&lt;16,INDEX(Sheet1!C:C,$F1214),$F1214))</f>
        <v>19</v>
      </c>
      <c r="H1214" s="4" t="str" cm="1">
        <f t="array" ref="H1214">INDEX(Sheet1!D:D,$G1214)</f>
        <v>t1139.xlsx</v>
      </c>
      <c r="I1214" s="4" t="str" cm="1">
        <f t="array" ref="I1214">INDEX(Sheet1!E:E,$G1214)</f>
        <v>Sheet1</v>
      </c>
      <c r="J1214" s="4" t="str" cm="1">
        <f t="array" ref="J1214">IF($C1214&gt;=25,INDEX(Sheet1!G:G,$G1214),INDEX(Sheet1!F:F,$G1214))</f>
        <v>B25</v>
      </c>
      <c r="K1214" s="4" cm="1">
        <f t="array" ref="K1214">INDEX(Sheet1!H:H,$G1214)</f>
        <v>1</v>
      </c>
      <c r="L1214" s="4">
        <f t="shared" si="72"/>
        <v>0</v>
      </c>
      <c r="M1214" s="4">
        <f t="shared" si="73"/>
        <v>2</v>
      </c>
    </row>
    <row r="1215" spans="1:13">
      <c r="A1215" s="4" t="str" cm="1">
        <f t="array" ref="A1215">INDEX(Sheet1!A:A,$F1215)</f>
        <v>F</v>
      </c>
      <c r="B1215" s="4" t="str" cm="1">
        <f t="array" ref="B1215">INDEX(Sheet1!B:B,$F1215)</f>
        <v>Pref Best NS</v>
      </c>
      <c r="C1215" s="4">
        <f t="shared" si="74"/>
        <v>3</v>
      </c>
      <c r="D1215" s="5" cm="1">
        <f t="array" aca="1" ref="D1215" ca="1">OFFSET(INDIRECT("'["&amp;$H1215&amp;"]"&amp;$I1215&amp;"'!"&amp;$J1215),$L1215,$M1215)*$K1215</f>
        <v>2.0000000000000001E-4</v>
      </c>
      <c r="F1215" s="4">
        <f t="shared" si="75"/>
        <v>12</v>
      </c>
      <c r="G1215" s="4" cm="1">
        <f t="array" ref="G1215">IF($C1215&gt;=25,F1215,IF($C1215&lt;16,INDEX(Sheet1!C:C,$F1215),$F1215))</f>
        <v>19</v>
      </c>
      <c r="H1215" s="4" t="str" cm="1">
        <f t="array" ref="H1215">INDEX(Sheet1!D:D,$G1215)</f>
        <v>t1139.xlsx</v>
      </c>
      <c r="I1215" s="4" t="str" cm="1">
        <f t="array" ref="I1215">INDEX(Sheet1!E:E,$G1215)</f>
        <v>Sheet1</v>
      </c>
      <c r="J1215" s="4" t="str" cm="1">
        <f t="array" ref="J1215">IF($C1215&gt;=25,INDEX(Sheet1!G:G,$G1215),INDEX(Sheet1!F:F,$G1215))</f>
        <v>B25</v>
      </c>
      <c r="K1215" s="4" cm="1">
        <f t="array" ref="K1215">INDEX(Sheet1!H:H,$G1215)</f>
        <v>1</v>
      </c>
      <c r="L1215" s="4">
        <f t="shared" si="72"/>
        <v>0</v>
      </c>
      <c r="M1215" s="4">
        <f t="shared" si="73"/>
        <v>3</v>
      </c>
    </row>
    <row r="1216" spans="1:13">
      <c r="A1216" s="4" t="str" cm="1">
        <f t="array" ref="A1216">INDEX(Sheet1!A:A,$F1216)</f>
        <v>F</v>
      </c>
      <c r="B1216" s="4" t="str" cm="1">
        <f t="array" ref="B1216">INDEX(Sheet1!B:B,$F1216)</f>
        <v>Pref Best NS</v>
      </c>
      <c r="C1216" s="4">
        <f t="shared" si="74"/>
        <v>4</v>
      </c>
      <c r="D1216" s="5" cm="1">
        <f t="array" aca="1" ref="D1216" ca="1">OFFSET(INDIRECT("'["&amp;$H1216&amp;"]"&amp;$I1216&amp;"'!"&amp;$J1216),$L1216,$M1216)*$K1216</f>
        <v>1.9000000000000001E-4</v>
      </c>
      <c r="F1216" s="4">
        <f t="shared" si="75"/>
        <v>12</v>
      </c>
      <c r="G1216" s="4" cm="1">
        <f t="array" ref="G1216">IF($C1216&gt;=25,F1216,IF($C1216&lt;16,INDEX(Sheet1!C:C,$F1216),$F1216))</f>
        <v>19</v>
      </c>
      <c r="H1216" s="4" t="str" cm="1">
        <f t="array" ref="H1216">INDEX(Sheet1!D:D,$G1216)</f>
        <v>t1139.xlsx</v>
      </c>
      <c r="I1216" s="4" t="str" cm="1">
        <f t="array" ref="I1216">INDEX(Sheet1!E:E,$G1216)</f>
        <v>Sheet1</v>
      </c>
      <c r="J1216" s="4" t="str" cm="1">
        <f t="array" ref="J1216">IF($C1216&gt;=25,INDEX(Sheet1!G:G,$G1216),INDEX(Sheet1!F:F,$G1216))</f>
        <v>B25</v>
      </c>
      <c r="K1216" s="4" cm="1">
        <f t="array" ref="K1216">INDEX(Sheet1!H:H,$G1216)</f>
        <v>1</v>
      </c>
      <c r="L1216" s="4">
        <f t="shared" si="72"/>
        <v>0</v>
      </c>
      <c r="M1216" s="4">
        <f t="shared" si="73"/>
        <v>4</v>
      </c>
    </row>
    <row r="1217" spans="1:13">
      <c r="A1217" s="4" t="str" cm="1">
        <f t="array" ref="A1217">INDEX(Sheet1!A:A,$F1217)</f>
        <v>F</v>
      </c>
      <c r="B1217" s="4" t="str" cm="1">
        <f t="array" ref="B1217">INDEX(Sheet1!B:B,$F1217)</f>
        <v>Pref Best NS</v>
      </c>
      <c r="C1217" s="4">
        <f t="shared" si="74"/>
        <v>5</v>
      </c>
      <c r="D1217" s="5" cm="1">
        <f t="array" aca="1" ref="D1217" ca="1">OFFSET(INDIRECT("'["&amp;$H1217&amp;"]"&amp;$I1217&amp;"'!"&amp;$J1217),$L1217,$M1217)*$K1217</f>
        <v>1.8000000000000001E-4</v>
      </c>
      <c r="F1217" s="4">
        <f t="shared" si="75"/>
        <v>12</v>
      </c>
      <c r="G1217" s="4" cm="1">
        <f t="array" ref="G1217">IF($C1217&gt;=25,F1217,IF($C1217&lt;16,INDEX(Sheet1!C:C,$F1217),$F1217))</f>
        <v>19</v>
      </c>
      <c r="H1217" s="4" t="str" cm="1">
        <f t="array" ref="H1217">INDEX(Sheet1!D:D,$G1217)</f>
        <v>t1139.xlsx</v>
      </c>
      <c r="I1217" s="4" t="str" cm="1">
        <f t="array" ref="I1217">INDEX(Sheet1!E:E,$G1217)</f>
        <v>Sheet1</v>
      </c>
      <c r="J1217" s="4" t="str" cm="1">
        <f t="array" ref="J1217">IF($C1217&gt;=25,INDEX(Sheet1!G:G,$G1217),INDEX(Sheet1!F:F,$G1217))</f>
        <v>B25</v>
      </c>
      <c r="K1217" s="4" cm="1">
        <f t="array" ref="K1217">INDEX(Sheet1!H:H,$G1217)</f>
        <v>1</v>
      </c>
      <c r="L1217" s="4">
        <f t="shared" si="72"/>
        <v>0</v>
      </c>
      <c r="M1217" s="4">
        <f t="shared" si="73"/>
        <v>5</v>
      </c>
    </row>
    <row r="1218" spans="1:13">
      <c r="A1218" s="4" t="str" cm="1">
        <f t="array" ref="A1218">INDEX(Sheet1!A:A,$F1218)</f>
        <v>F</v>
      </c>
      <c r="B1218" s="4" t="str" cm="1">
        <f t="array" ref="B1218">INDEX(Sheet1!B:B,$F1218)</f>
        <v>Pref Best NS</v>
      </c>
      <c r="C1218" s="4">
        <f t="shared" si="74"/>
        <v>6</v>
      </c>
      <c r="D1218" s="5" cm="1">
        <f t="array" aca="1" ref="D1218" ca="1">OFFSET(INDIRECT("'["&amp;$H1218&amp;"]"&amp;$I1218&amp;"'!"&amp;$J1218),$L1218,$M1218)*$K1218</f>
        <v>1.8000000000000001E-4</v>
      </c>
      <c r="F1218" s="4">
        <f t="shared" si="75"/>
        <v>12</v>
      </c>
      <c r="G1218" s="4" cm="1">
        <f t="array" ref="G1218">IF($C1218&gt;=25,F1218,IF($C1218&lt;16,INDEX(Sheet1!C:C,$F1218),$F1218))</f>
        <v>19</v>
      </c>
      <c r="H1218" s="4" t="str" cm="1">
        <f t="array" ref="H1218">INDEX(Sheet1!D:D,$G1218)</f>
        <v>t1139.xlsx</v>
      </c>
      <c r="I1218" s="4" t="str" cm="1">
        <f t="array" ref="I1218">INDEX(Sheet1!E:E,$G1218)</f>
        <v>Sheet1</v>
      </c>
      <c r="J1218" s="4" t="str" cm="1">
        <f t="array" ref="J1218">IF($C1218&gt;=25,INDEX(Sheet1!G:G,$G1218),INDEX(Sheet1!F:F,$G1218))</f>
        <v>B25</v>
      </c>
      <c r="K1218" s="4" cm="1">
        <f t="array" ref="K1218">INDEX(Sheet1!H:H,$G1218)</f>
        <v>1</v>
      </c>
      <c r="L1218" s="4">
        <f t="shared" si="72"/>
        <v>0</v>
      </c>
      <c r="M1218" s="4">
        <f t="shared" si="73"/>
        <v>6</v>
      </c>
    </row>
    <row r="1219" spans="1:13">
      <c r="A1219" s="4" t="str" cm="1">
        <f t="array" ref="A1219">INDEX(Sheet1!A:A,$F1219)</f>
        <v>F</v>
      </c>
      <c r="B1219" s="4" t="str" cm="1">
        <f t="array" ref="B1219">INDEX(Sheet1!B:B,$F1219)</f>
        <v>Pref Best NS</v>
      </c>
      <c r="C1219" s="4">
        <f t="shared" si="74"/>
        <v>7</v>
      </c>
      <c r="D1219" s="5" cm="1">
        <f t="array" aca="1" ref="D1219" ca="1">OFFSET(INDIRECT("'["&amp;$H1219&amp;"]"&amp;$I1219&amp;"'!"&amp;$J1219),$L1219,$M1219)*$K1219</f>
        <v>2.1000000000000001E-4</v>
      </c>
      <c r="F1219" s="4">
        <f t="shared" si="75"/>
        <v>12</v>
      </c>
      <c r="G1219" s="4" cm="1">
        <f t="array" ref="G1219">IF($C1219&gt;=25,F1219,IF($C1219&lt;16,INDEX(Sheet1!C:C,$F1219),$F1219))</f>
        <v>19</v>
      </c>
      <c r="H1219" s="4" t="str" cm="1">
        <f t="array" ref="H1219">INDEX(Sheet1!D:D,$G1219)</f>
        <v>t1139.xlsx</v>
      </c>
      <c r="I1219" s="4" t="str" cm="1">
        <f t="array" ref="I1219">INDEX(Sheet1!E:E,$G1219)</f>
        <v>Sheet1</v>
      </c>
      <c r="J1219" s="4" t="str" cm="1">
        <f t="array" ref="J1219">IF($C1219&gt;=25,INDEX(Sheet1!G:G,$G1219),INDEX(Sheet1!F:F,$G1219))</f>
        <v>B25</v>
      </c>
      <c r="K1219" s="4" cm="1">
        <f t="array" ref="K1219">INDEX(Sheet1!H:H,$G1219)</f>
        <v>1</v>
      </c>
      <c r="L1219" s="4">
        <f t="shared" ref="L1219:L1282" si="76">IF($C1219&gt;=25,$C1219-25,0)</f>
        <v>0</v>
      </c>
      <c r="M1219" s="4">
        <f t="shared" ref="M1219:M1282" si="77">IF($C1219&gt;=25,0,$C1219)</f>
        <v>7</v>
      </c>
    </row>
    <row r="1220" spans="1:13">
      <c r="A1220" s="4" t="str" cm="1">
        <f t="array" ref="A1220">INDEX(Sheet1!A:A,$F1220)</f>
        <v>F</v>
      </c>
      <c r="B1220" s="4" t="str" cm="1">
        <f t="array" ref="B1220">INDEX(Sheet1!B:B,$F1220)</f>
        <v>Pref Best NS</v>
      </c>
      <c r="C1220" s="4">
        <f t="shared" ref="C1220:C1283" si="78">IF(C1219=120,0,C1219+1)</f>
        <v>8</v>
      </c>
      <c r="D1220" s="5" cm="1">
        <f t="array" aca="1" ref="D1220" ca="1">OFFSET(INDIRECT("'["&amp;$H1220&amp;"]"&amp;$I1220&amp;"'!"&amp;$J1220),$L1220,$M1220)*$K1220</f>
        <v>2.1000000000000001E-4</v>
      </c>
      <c r="F1220" s="4">
        <f t="shared" ref="F1220:F1283" si="79">IF(C1220=0,1,0)+F1219</f>
        <v>12</v>
      </c>
      <c r="G1220" s="4" cm="1">
        <f t="array" ref="G1220">IF($C1220&gt;=25,F1220,IF($C1220&lt;16,INDEX(Sheet1!C:C,$F1220),$F1220))</f>
        <v>19</v>
      </c>
      <c r="H1220" s="4" t="str" cm="1">
        <f t="array" ref="H1220">INDEX(Sheet1!D:D,$G1220)</f>
        <v>t1139.xlsx</v>
      </c>
      <c r="I1220" s="4" t="str" cm="1">
        <f t="array" ref="I1220">INDEX(Sheet1!E:E,$G1220)</f>
        <v>Sheet1</v>
      </c>
      <c r="J1220" s="4" t="str" cm="1">
        <f t="array" ref="J1220">IF($C1220&gt;=25,INDEX(Sheet1!G:G,$G1220),INDEX(Sheet1!F:F,$G1220))</f>
        <v>B25</v>
      </c>
      <c r="K1220" s="4" cm="1">
        <f t="array" ref="K1220">INDEX(Sheet1!H:H,$G1220)</f>
        <v>1</v>
      </c>
      <c r="L1220" s="4">
        <f t="shared" si="76"/>
        <v>0</v>
      </c>
      <c r="M1220" s="4">
        <f t="shared" si="77"/>
        <v>8</v>
      </c>
    </row>
    <row r="1221" spans="1:13">
      <c r="A1221" s="4" t="str" cm="1">
        <f t="array" ref="A1221">INDEX(Sheet1!A:A,$F1221)</f>
        <v>F</v>
      </c>
      <c r="B1221" s="4" t="str" cm="1">
        <f t="array" ref="B1221">INDEX(Sheet1!B:B,$F1221)</f>
        <v>Pref Best NS</v>
      </c>
      <c r="C1221" s="4">
        <f t="shared" si="78"/>
        <v>9</v>
      </c>
      <c r="D1221" s="5" cm="1">
        <f t="array" aca="1" ref="D1221" ca="1">OFFSET(INDIRECT("'["&amp;$H1221&amp;"]"&amp;$I1221&amp;"'!"&amp;$J1221),$L1221,$M1221)*$K1221</f>
        <v>2.1000000000000001E-4</v>
      </c>
      <c r="F1221" s="4">
        <f t="shared" si="79"/>
        <v>12</v>
      </c>
      <c r="G1221" s="4" cm="1">
        <f t="array" ref="G1221">IF($C1221&gt;=25,F1221,IF($C1221&lt;16,INDEX(Sheet1!C:C,$F1221),$F1221))</f>
        <v>19</v>
      </c>
      <c r="H1221" s="4" t="str" cm="1">
        <f t="array" ref="H1221">INDEX(Sheet1!D:D,$G1221)</f>
        <v>t1139.xlsx</v>
      </c>
      <c r="I1221" s="4" t="str" cm="1">
        <f t="array" ref="I1221">INDEX(Sheet1!E:E,$G1221)</f>
        <v>Sheet1</v>
      </c>
      <c r="J1221" s="4" t="str" cm="1">
        <f t="array" ref="J1221">IF($C1221&gt;=25,INDEX(Sheet1!G:G,$G1221),INDEX(Sheet1!F:F,$G1221))</f>
        <v>B25</v>
      </c>
      <c r="K1221" s="4" cm="1">
        <f t="array" ref="K1221">INDEX(Sheet1!H:H,$G1221)</f>
        <v>1</v>
      </c>
      <c r="L1221" s="4">
        <f t="shared" si="76"/>
        <v>0</v>
      </c>
      <c r="M1221" s="4">
        <f t="shared" si="77"/>
        <v>9</v>
      </c>
    </row>
    <row r="1222" spans="1:13">
      <c r="A1222" s="4" t="str" cm="1">
        <f t="array" ref="A1222">INDEX(Sheet1!A:A,$F1222)</f>
        <v>F</v>
      </c>
      <c r="B1222" s="4" t="str" cm="1">
        <f t="array" ref="B1222">INDEX(Sheet1!B:B,$F1222)</f>
        <v>Pref Best NS</v>
      </c>
      <c r="C1222" s="4">
        <f t="shared" si="78"/>
        <v>10</v>
      </c>
      <c r="D1222" s="5" cm="1">
        <f t="array" aca="1" ref="D1222" ca="1">OFFSET(INDIRECT("'["&amp;$H1222&amp;"]"&amp;$I1222&amp;"'!"&amp;$J1222),$L1222,$M1222)*$K1222</f>
        <v>2.2000000000000001E-4</v>
      </c>
      <c r="F1222" s="4">
        <f t="shared" si="79"/>
        <v>12</v>
      </c>
      <c r="G1222" s="4" cm="1">
        <f t="array" ref="G1222">IF($C1222&gt;=25,F1222,IF($C1222&lt;16,INDEX(Sheet1!C:C,$F1222),$F1222))</f>
        <v>19</v>
      </c>
      <c r="H1222" s="4" t="str" cm="1">
        <f t="array" ref="H1222">INDEX(Sheet1!D:D,$G1222)</f>
        <v>t1139.xlsx</v>
      </c>
      <c r="I1222" s="4" t="str" cm="1">
        <f t="array" ref="I1222">INDEX(Sheet1!E:E,$G1222)</f>
        <v>Sheet1</v>
      </c>
      <c r="J1222" s="4" t="str" cm="1">
        <f t="array" ref="J1222">IF($C1222&gt;=25,INDEX(Sheet1!G:G,$G1222),INDEX(Sheet1!F:F,$G1222))</f>
        <v>B25</v>
      </c>
      <c r="K1222" s="4" cm="1">
        <f t="array" ref="K1222">INDEX(Sheet1!H:H,$G1222)</f>
        <v>1</v>
      </c>
      <c r="L1222" s="4">
        <f t="shared" si="76"/>
        <v>0</v>
      </c>
      <c r="M1222" s="4">
        <f t="shared" si="77"/>
        <v>10</v>
      </c>
    </row>
    <row r="1223" spans="1:13">
      <c r="A1223" s="4" t="str" cm="1">
        <f t="array" ref="A1223">INDEX(Sheet1!A:A,$F1223)</f>
        <v>F</v>
      </c>
      <c r="B1223" s="4" t="str" cm="1">
        <f t="array" ref="B1223">INDEX(Sheet1!B:B,$F1223)</f>
        <v>Pref Best NS</v>
      </c>
      <c r="C1223" s="4">
        <f t="shared" si="78"/>
        <v>11</v>
      </c>
      <c r="D1223" s="5" cm="1">
        <f t="array" aca="1" ref="D1223" ca="1">OFFSET(INDIRECT("'["&amp;$H1223&amp;"]"&amp;$I1223&amp;"'!"&amp;$J1223),$L1223,$M1223)*$K1223</f>
        <v>2.3000000000000001E-4</v>
      </c>
      <c r="F1223" s="4">
        <f t="shared" si="79"/>
        <v>12</v>
      </c>
      <c r="G1223" s="4" cm="1">
        <f t="array" ref="G1223">IF($C1223&gt;=25,F1223,IF($C1223&lt;16,INDEX(Sheet1!C:C,$F1223),$F1223))</f>
        <v>19</v>
      </c>
      <c r="H1223" s="4" t="str" cm="1">
        <f t="array" ref="H1223">INDEX(Sheet1!D:D,$G1223)</f>
        <v>t1139.xlsx</v>
      </c>
      <c r="I1223" s="4" t="str" cm="1">
        <f t="array" ref="I1223">INDEX(Sheet1!E:E,$G1223)</f>
        <v>Sheet1</v>
      </c>
      <c r="J1223" s="4" t="str" cm="1">
        <f t="array" ref="J1223">IF($C1223&gt;=25,INDEX(Sheet1!G:G,$G1223),INDEX(Sheet1!F:F,$G1223))</f>
        <v>B25</v>
      </c>
      <c r="K1223" s="4" cm="1">
        <f t="array" ref="K1223">INDEX(Sheet1!H:H,$G1223)</f>
        <v>1</v>
      </c>
      <c r="L1223" s="4">
        <f t="shared" si="76"/>
        <v>0</v>
      </c>
      <c r="M1223" s="4">
        <f t="shared" si="77"/>
        <v>11</v>
      </c>
    </row>
    <row r="1224" spans="1:13">
      <c r="A1224" s="4" t="str" cm="1">
        <f t="array" ref="A1224">INDEX(Sheet1!A:A,$F1224)</f>
        <v>F</v>
      </c>
      <c r="B1224" s="4" t="str" cm="1">
        <f t="array" ref="B1224">INDEX(Sheet1!B:B,$F1224)</f>
        <v>Pref Best NS</v>
      </c>
      <c r="C1224" s="4">
        <f t="shared" si="78"/>
        <v>12</v>
      </c>
      <c r="D1224" s="5" cm="1">
        <f t="array" aca="1" ref="D1224" ca="1">OFFSET(INDIRECT("'["&amp;$H1224&amp;"]"&amp;$I1224&amp;"'!"&amp;$J1224),$L1224,$M1224)*$K1224</f>
        <v>2.7E-4</v>
      </c>
      <c r="F1224" s="4">
        <f t="shared" si="79"/>
        <v>12</v>
      </c>
      <c r="G1224" s="4" cm="1">
        <f t="array" ref="G1224">IF($C1224&gt;=25,F1224,IF($C1224&lt;16,INDEX(Sheet1!C:C,$F1224),$F1224))</f>
        <v>19</v>
      </c>
      <c r="H1224" s="4" t="str" cm="1">
        <f t="array" ref="H1224">INDEX(Sheet1!D:D,$G1224)</f>
        <v>t1139.xlsx</v>
      </c>
      <c r="I1224" s="4" t="str" cm="1">
        <f t="array" ref="I1224">INDEX(Sheet1!E:E,$G1224)</f>
        <v>Sheet1</v>
      </c>
      <c r="J1224" s="4" t="str" cm="1">
        <f t="array" ref="J1224">IF($C1224&gt;=25,INDEX(Sheet1!G:G,$G1224),INDEX(Sheet1!F:F,$G1224))</f>
        <v>B25</v>
      </c>
      <c r="K1224" s="4" cm="1">
        <f t="array" ref="K1224">INDEX(Sheet1!H:H,$G1224)</f>
        <v>1</v>
      </c>
      <c r="L1224" s="4">
        <f t="shared" si="76"/>
        <v>0</v>
      </c>
      <c r="M1224" s="4">
        <f t="shared" si="77"/>
        <v>12</v>
      </c>
    </row>
    <row r="1225" spans="1:13">
      <c r="A1225" s="4" t="str" cm="1">
        <f t="array" ref="A1225">INDEX(Sheet1!A:A,$F1225)</f>
        <v>F</v>
      </c>
      <c r="B1225" s="4" t="str" cm="1">
        <f t="array" ref="B1225">INDEX(Sheet1!B:B,$F1225)</f>
        <v>Pref Best NS</v>
      </c>
      <c r="C1225" s="4">
        <f t="shared" si="78"/>
        <v>13</v>
      </c>
      <c r="D1225" s="5" cm="1">
        <f t="array" aca="1" ref="D1225" ca="1">OFFSET(INDIRECT("'["&amp;$H1225&amp;"]"&amp;$I1225&amp;"'!"&amp;$J1225),$L1225,$M1225)*$K1225</f>
        <v>2.9999999999999997E-4</v>
      </c>
      <c r="F1225" s="4">
        <f t="shared" si="79"/>
        <v>12</v>
      </c>
      <c r="G1225" s="4" cm="1">
        <f t="array" ref="G1225">IF($C1225&gt;=25,F1225,IF($C1225&lt;16,INDEX(Sheet1!C:C,$F1225),$F1225))</f>
        <v>19</v>
      </c>
      <c r="H1225" s="4" t="str" cm="1">
        <f t="array" ref="H1225">INDEX(Sheet1!D:D,$G1225)</f>
        <v>t1139.xlsx</v>
      </c>
      <c r="I1225" s="4" t="str" cm="1">
        <f t="array" ref="I1225">INDEX(Sheet1!E:E,$G1225)</f>
        <v>Sheet1</v>
      </c>
      <c r="J1225" s="4" t="str" cm="1">
        <f t="array" ref="J1225">IF($C1225&gt;=25,INDEX(Sheet1!G:G,$G1225),INDEX(Sheet1!F:F,$G1225))</f>
        <v>B25</v>
      </c>
      <c r="K1225" s="4" cm="1">
        <f t="array" ref="K1225">INDEX(Sheet1!H:H,$G1225)</f>
        <v>1</v>
      </c>
      <c r="L1225" s="4">
        <f t="shared" si="76"/>
        <v>0</v>
      </c>
      <c r="M1225" s="4">
        <f t="shared" si="77"/>
        <v>13</v>
      </c>
    </row>
    <row r="1226" spans="1:13">
      <c r="A1226" s="4" t="str" cm="1">
        <f t="array" ref="A1226">INDEX(Sheet1!A:A,$F1226)</f>
        <v>F</v>
      </c>
      <c r="B1226" s="4" t="str" cm="1">
        <f t="array" ref="B1226">INDEX(Sheet1!B:B,$F1226)</f>
        <v>Pref Best NS</v>
      </c>
      <c r="C1226" s="4">
        <f t="shared" si="78"/>
        <v>14</v>
      </c>
      <c r="D1226" s="5" cm="1">
        <f t="array" aca="1" ref="D1226" ca="1">OFFSET(INDIRECT("'["&amp;$H1226&amp;"]"&amp;$I1226&amp;"'!"&amp;$J1226),$L1226,$M1226)*$K1226</f>
        <v>3.3E-4</v>
      </c>
      <c r="F1226" s="4">
        <f t="shared" si="79"/>
        <v>12</v>
      </c>
      <c r="G1226" s="4" cm="1">
        <f t="array" ref="G1226">IF($C1226&gt;=25,F1226,IF($C1226&lt;16,INDEX(Sheet1!C:C,$F1226),$F1226))</f>
        <v>19</v>
      </c>
      <c r="H1226" s="4" t="str" cm="1">
        <f t="array" ref="H1226">INDEX(Sheet1!D:D,$G1226)</f>
        <v>t1139.xlsx</v>
      </c>
      <c r="I1226" s="4" t="str" cm="1">
        <f t="array" ref="I1226">INDEX(Sheet1!E:E,$G1226)</f>
        <v>Sheet1</v>
      </c>
      <c r="J1226" s="4" t="str" cm="1">
        <f t="array" ref="J1226">IF($C1226&gt;=25,INDEX(Sheet1!G:G,$G1226),INDEX(Sheet1!F:F,$G1226))</f>
        <v>B25</v>
      </c>
      <c r="K1226" s="4" cm="1">
        <f t="array" ref="K1226">INDEX(Sheet1!H:H,$G1226)</f>
        <v>1</v>
      </c>
      <c r="L1226" s="4">
        <f t="shared" si="76"/>
        <v>0</v>
      </c>
      <c r="M1226" s="4">
        <f t="shared" si="77"/>
        <v>14</v>
      </c>
    </row>
    <row r="1227" spans="1:13">
      <c r="A1227" s="4" t="str" cm="1">
        <f t="array" ref="A1227">INDEX(Sheet1!A:A,$F1227)</f>
        <v>F</v>
      </c>
      <c r="B1227" s="4" t="str" cm="1">
        <f t="array" ref="B1227">INDEX(Sheet1!B:B,$F1227)</f>
        <v>Pref Best NS</v>
      </c>
      <c r="C1227" s="4">
        <f t="shared" si="78"/>
        <v>15</v>
      </c>
      <c r="D1227" s="5" cm="1">
        <f t="array" aca="1" ref="D1227" ca="1">OFFSET(INDIRECT("'["&amp;$H1227&amp;"]"&amp;$I1227&amp;"'!"&amp;$J1227),$L1227,$M1227)*$K1227</f>
        <v>3.5E-4</v>
      </c>
      <c r="F1227" s="4">
        <f t="shared" si="79"/>
        <v>12</v>
      </c>
      <c r="G1227" s="4" cm="1">
        <f t="array" ref="G1227">IF($C1227&gt;=25,F1227,IF($C1227&lt;16,INDEX(Sheet1!C:C,$F1227),$F1227))</f>
        <v>19</v>
      </c>
      <c r="H1227" s="4" t="str" cm="1">
        <f t="array" ref="H1227">INDEX(Sheet1!D:D,$G1227)</f>
        <v>t1139.xlsx</v>
      </c>
      <c r="I1227" s="4" t="str" cm="1">
        <f t="array" ref="I1227">INDEX(Sheet1!E:E,$G1227)</f>
        <v>Sheet1</v>
      </c>
      <c r="J1227" s="4" t="str" cm="1">
        <f t="array" ref="J1227">IF($C1227&gt;=25,INDEX(Sheet1!G:G,$G1227),INDEX(Sheet1!F:F,$G1227))</f>
        <v>B25</v>
      </c>
      <c r="K1227" s="4" cm="1">
        <f t="array" ref="K1227">INDEX(Sheet1!H:H,$G1227)</f>
        <v>1</v>
      </c>
      <c r="L1227" s="4">
        <f t="shared" si="76"/>
        <v>0</v>
      </c>
      <c r="M1227" s="4">
        <f t="shared" si="77"/>
        <v>15</v>
      </c>
    </row>
    <row r="1228" spans="1:13">
      <c r="A1228" s="4" t="str" cm="1">
        <f t="array" ref="A1228">INDEX(Sheet1!A:A,$F1228)</f>
        <v>F</v>
      </c>
      <c r="B1228" s="4" t="str" cm="1">
        <f t="array" ref="B1228">INDEX(Sheet1!B:B,$F1228)</f>
        <v>Pref Best NS</v>
      </c>
      <c r="C1228" s="4">
        <f t="shared" si="78"/>
        <v>16</v>
      </c>
      <c r="D1228" s="5" cm="1">
        <f t="array" aca="1" ref="D1228" ca="1">OFFSET(INDIRECT("'["&amp;$H1228&amp;"]"&amp;$I1228&amp;"'!"&amp;$J1228),$L1228,$M1228)*$K1228</f>
        <v>2.9E-4</v>
      </c>
      <c r="F1228" s="4">
        <f t="shared" si="79"/>
        <v>12</v>
      </c>
      <c r="G1228" s="4" cm="1">
        <f t="array" ref="G1228">IF($C1228&gt;=25,F1228,IF($C1228&lt;16,INDEX(Sheet1!C:C,$F1228),$F1228))</f>
        <v>12</v>
      </c>
      <c r="H1228" s="4" t="str" cm="1">
        <f t="array" ref="H1228">INDEX(Sheet1!D:D,$G1228)</f>
        <v>2001-cso-preferred-class-structure-mortality-tables.xls</v>
      </c>
      <c r="I1228" s="4" t="str" cm="1">
        <f t="array" ref="I1228">INDEX(Sheet1!E:E,$G1228)</f>
        <v>A.1.b.ii</v>
      </c>
      <c r="J1228" s="4" t="str" cm="1">
        <f t="array" ref="J1228">IF($C1228&gt;=25,INDEX(Sheet1!G:G,$G1228),INDEX(Sheet1!F:F,$G1228))</f>
        <v>B8</v>
      </c>
      <c r="K1228" s="4" cm="1">
        <f t="array" ref="K1228">INDEX(Sheet1!H:H,$G1228)</f>
        <v>1E-3</v>
      </c>
      <c r="L1228" s="4">
        <f t="shared" si="76"/>
        <v>0</v>
      </c>
      <c r="M1228" s="4">
        <f t="shared" si="77"/>
        <v>16</v>
      </c>
    </row>
    <row r="1229" spans="1:13">
      <c r="A1229" s="4" t="str" cm="1">
        <f t="array" ref="A1229">INDEX(Sheet1!A:A,$F1229)</f>
        <v>F</v>
      </c>
      <c r="B1229" s="4" t="str" cm="1">
        <f t="array" ref="B1229">INDEX(Sheet1!B:B,$F1229)</f>
        <v>Pref Best NS</v>
      </c>
      <c r="C1229" s="4">
        <f t="shared" si="78"/>
        <v>17</v>
      </c>
      <c r="D1229" s="5" cm="1">
        <f t="array" aca="1" ref="D1229" ca="1">OFFSET(INDIRECT("'["&amp;$H1229&amp;"]"&amp;$I1229&amp;"'!"&amp;$J1229),$L1229,$M1229)*$K1229</f>
        <v>3.1E-4</v>
      </c>
      <c r="F1229" s="4">
        <f t="shared" si="79"/>
        <v>12</v>
      </c>
      <c r="G1229" s="4" cm="1">
        <f t="array" ref="G1229">IF($C1229&gt;=25,F1229,IF($C1229&lt;16,INDEX(Sheet1!C:C,$F1229),$F1229))</f>
        <v>12</v>
      </c>
      <c r="H1229" s="4" t="str" cm="1">
        <f t="array" ref="H1229">INDEX(Sheet1!D:D,$G1229)</f>
        <v>2001-cso-preferred-class-structure-mortality-tables.xls</v>
      </c>
      <c r="I1229" s="4" t="str" cm="1">
        <f t="array" ref="I1229">INDEX(Sheet1!E:E,$G1229)</f>
        <v>A.1.b.ii</v>
      </c>
      <c r="J1229" s="4" t="str" cm="1">
        <f t="array" ref="J1229">IF($C1229&gt;=25,INDEX(Sheet1!G:G,$G1229),INDEX(Sheet1!F:F,$G1229))</f>
        <v>B8</v>
      </c>
      <c r="K1229" s="4" cm="1">
        <f t="array" ref="K1229">INDEX(Sheet1!H:H,$G1229)</f>
        <v>1E-3</v>
      </c>
      <c r="L1229" s="4">
        <f t="shared" si="76"/>
        <v>0</v>
      </c>
      <c r="M1229" s="4">
        <f t="shared" si="77"/>
        <v>17</v>
      </c>
    </row>
    <row r="1230" spans="1:13">
      <c r="A1230" s="4" t="str" cm="1">
        <f t="array" ref="A1230">INDEX(Sheet1!A:A,$F1230)</f>
        <v>F</v>
      </c>
      <c r="B1230" s="4" t="str" cm="1">
        <f t="array" ref="B1230">INDEX(Sheet1!B:B,$F1230)</f>
        <v>Pref Best NS</v>
      </c>
      <c r="C1230" s="4">
        <f t="shared" si="78"/>
        <v>18</v>
      </c>
      <c r="D1230" s="5" cm="1">
        <f t="array" aca="1" ref="D1230" ca="1">OFFSET(INDIRECT("'["&amp;$H1230&amp;"]"&amp;$I1230&amp;"'!"&amp;$J1230),$L1230,$M1230)*$K1230</f>
        <v>3.2000000000000003E-4</v>
      </c>
      <c r="F1230" s="4">
        <f t="shared" si="79"/>
        <v>12</v>
      </c>
      <c r="G1230" s="4" cm="1">
        <f t="array" ref="G1230">IF($C1230&gt;=25,F1230,IF($C1230&lt;16,INDEX(Sheet1!C:C,$F1230),$F1230))</f>
        <v>12</v>
      </c>
      <c r="H1230" s="4" t="str" cm="1">
        <f t="array" ref="H1230">INDEX(Sheet1!D:D,$G1230)</f>
        <v>2001-cso-preferred-class-structure-mortality-tables.xls</v>
      </c>
      <c r="I1230" s="4" t="str" cm="1">
        <f t="array" ref="I1230">INDEX(Sheet1!E:E,$G1230)</f>
        <v>A.1.b.ii</v>
      </c>
      <c r="J1230" s="4" t="str" cm="1">
        <f t="array" ref="J1230">IF($C1230&gt;=25,INDEX(Sheet1!G:G,$G1230),INDEX(Sheet1!F:F,$G1230))</f>
        <v>B8</v>
      </c>
      <c r="K1230" s="4" cm="1">
        <f t="array" ref="K1230">INDEX(Sheet1!H:H,$G1230)</f>
        <v>1E-3</v>
      </c>
      <c r="L1230" s="4">
        <f t="shared" si="76"/>
        <v>0</v>
      </c>
      <c r="M1230" s="4">
        <f t="shared" si="77"/>
        <v>18</v>
      </c>
    </row>
    <row r="1231" spans="1:13">
      <c r="A1231" s="4" t="str" cm="1">
        <f t="array" ref="A1231">INDEX(Sheet1!A:A,$F1231)</f>
        <v>F</v>
      </c>
      <c r="B1231" s="4" t="str" cm="1">
        <f t="array" ref="B1231">INDEX(Sheet1!B:B,$F1231)</f>
        <v>Pref Best NS</v>
      </c>
      <c r="C1231" s="4">
        <f t="shared" si="78"/>
        <v>19</v>
      </c>
      <c r="D1231" s="5" cm="1">
        <f t="array" aca="1" ref="D1231" ca="1">OFFSET(INDIRECT("'["&amp;$H1231&amp;"]"&amp;$I1231&amp;"'!"&amp;$J1231),$L1231,$M1231)*$K1231</f>
        <v>3.3E-4</v>
      </c>
      <c r="F1231" s="4">
        <f t="shared" si="79"/>
        <v>12</v>
      </c>
      <c r="G1231" s="4" cm="1">
        <f t="array" ref="G1231">IF($C1231&gt;=25,F1231,IF($C1231&lt;16,INDEX(Sheet1!C:C,$F1231),$F1231))</f>
        <v>12</v>
      </c>
      <c r="H1231" s="4" t="str" cm="1">
        <f t="array" ref="H1231">INDEX(Sheet1!D:D,$G1231)</f>
        <v>2001-cso-preferred-class-structure-mortality-tables.xls</v>
      </c>
      <c r="I1231" s="4" t="str" cm="1">
        <f t="array" ref="I1231">INDEX(Sheet1!E:E,$G1231)</f>
        <v>A.1.b.ii</v>
      </c>
      <c r="J1231" s="4" t="str" cm="1">
        <f t="array" ref="J1231">IF($C1231&gt;=25,INDEX(Sheet1!G:G,$G1231),INDEX(Sheet1!F:F,$G1231))</f>
        <v>B8</v>
      </c>
      <c r="K1231" s="4" cm="1">
        <f t="array" ref="K1231">INDEX(Sheet1!H:H,$G1231)</f>
        <v>1E-3</v>
      </c>
      <c r="L1231" s="4">
        <f t="shared" si="76"/>
        <v>0</v>
      </c>
      <c r="M1231" s="4">
        <f t="shared" si="77"/>
        <v>19</v>
      </c>
    </row>
    <row r="1232" spans="1:13">
      <c r="A1232" s="4" t="str" cm="1">
        <f t="array" ref="A1232">INDEX(Sheet1!A:A,$F1232)</f>
        <v>F</v>
      </c>
      <c r="B1232" s="4" t="str" cm="1">
        <f t="array" ref="B1232">INDEX(Sheet1!B:B,$F1232)</f>
        <v>Pref Best NS</v>
      </c>
      <c r="C1232" s="4">
        <f t="shared" si="78"/>
        <v>20</v>
      </c>
      <c r="D1232" s="5" cm="1">
        <f t="array" aca="1" ref="D1232" ca="1">OFFSET(INDIRECT("'["&amp;$H1232&amp;"]"&amp;$I1232&amp;"'!"&amp;$J1232),$L1232,$M1232)*$K1232</f>
        <v>3.4000000000000002E-4</v>
      </c>
      <c r="F1232" s="4">
        <f t="shared" si="79"/>
        <v>12</v>
      </c>
      <c r="G1232" s="4" cm="1">
        <f t="array" ref="G1232">IF($C1232&gt;=25,F1232,IF($C1232&lt;16,INDEX(Sheet1!C:C,$F1232),$F1232))</f>
        <v>12</v>
      </c>
      <c r="H1232" s="4" t="str" cm="1">
        <f t="array" ref="H1232">INDEX(Sheet1!D:D,$G1232)</f>
        <v>2001-cso-preferred-class-structure-mortality-tables.xls</v>
      </c>
      <c r="I1232" s="4" t="str" cm="1">
        <f t="array" ref="I1232">INDEX(Sheet1!E:E,$G1232)</f>
        <v>A.1.b.ii</v>
      </c>
      <c r="J1232" s="4" t="str" cm="1">
        <f t="array" ref="J1232">IF($C1232&gt;=25,INDEX(Sheet1!G:G,$G1232),INDEX(Sheet1!F:F,$G1232))</f>
        <v>B8</v>
      </c>
      <c r="K1232" s="4" cm="1">
        <f t="array" ref="K1232">INDEX(Sheet1!H:H,$G1232)</f>
        <v>1E-3</v>
      </c>
      <c r="L1232" s="4">
        <f t="shared" si="76"/>
        <v>0</v>
      </c>
      <c r="M1232" s="4">
        <f t="shared" si="77"/>
        <v>20</v>
      </c>
    </row>
    <row r="1233" spans="1:13">
      <c r="A1233" s="4" t="str" cm="1">
        <f t="array" ref="A1233">INDEX(Sheet1!A:A,$F1233)</f>
        <v>F</v>
      </c>
      <c r="B1233" s="4" t="str" cm="1">
        <f t="array" ref="B1233">INDEX(Sheet1!B:B,$F1233)</f>
        <v>Pref Best NS</v>
      </c>
      <c r="C1233" s="4">
        <f t="shared" si="78"/>
        <v>21</v>
      </c>
      <c r="D1233" s="5" cm="1">
        <f t="array" aca="1" ref="D1233" ca="1">OFFSET(INDIRECT("'["&amp;$H1233&amp;"]"&amp;$I1233&amp;"'!"&amp;$J1233),$L1233,$M1233)*$K1233</f>
        <v>3.5E-4</v>
      </c>
      <c r="F1233" s="4">
        <f t="shared" si="79"/>
        <v>12</v>
      </c>
      <c r="G1233" s="4" cm="1">
        <f t="array" ref="G1233">IF($C1233&gt;=25,F1233,IF($C1233&lt;16,INDEX(Sheet1!C:C,$F1233),$F1233))</f>
        <v>12</v>
      </c>
      <c r="H1233" s="4" t="str" cm="1">
        <f t="array" ref="H1233">INDEX(Sheet1!D:D,$G1233)</f>
        <v>2001-cso-preferred-class-structure-mortality-tables.xls</v>
      </c>
      <c r="I1233" s="4" t="str" cm="1">
        <f t="array" ref="I1233">INDEX(Sheet1!E:E,$G1233)</f>
        <v>A.1.b.ii</v>
      </c>
      <c r="J1233" s="4" t="str" cm="1">
        <f t="array" ref="J1233">IF($C1233&gt;=25,INDEX(Sheet1!G:G,$G1233),INDEX(Sheet1!F:F,$G1233))</f>
        <v>B8</v>
      </c>
      <c r="K1233" s="4" cm="1">
        <f t="array" ref="K1233">INDEX(Sheet1!H:H,$G1233)</f>
        <v>1E-3</v>
      </c>
      <c r="L1233" s="4">
        <f t="shared" si="76"/>
        <v>0</v>
      </c>
      <c r="M1233" s="4">
        <f t="shared" si="77"/>
        <v>21</v>
      </c>
    </row>
    <row r="1234" spans="1:13">
      <c r="A1234" s="4" t="str" cm="1">
        <f t="array" ref="A1234">INDEX(Sheet1!A:A,$F1234)</f>
        <v>F</v>
      </c>
      <c r="B1234" s="4" t="str" cm="1">
        <f t="array" ref="B1234">INDEX(Sheet1!B:B,$F1234)</f>
        <v>Pref Best NS</v>
      </c>
      <c r="C1234" s="4">
        <f t="shared" si="78"/>
        <v>22</v>
      </c>
      <c r="D1234" s="5" cm="1">
        <f t="array" aca="1" ref="D1234" ca="1">OFFSET(INDIRECT("'["&amp;$H1234&amp;"]"&amp;$I1234&amp;"'!"&amp;$J1234),$L1234,$M1234)*$K1234</f>
        <v>3.6999999999999999E-4</v>
      </c>
      <c r="F1234" s="4">
        <f t="shared" si="79"/>
        <v>12</v>
      </c>
      <c r="G1234" s="4" cm="1">
        <f t="array" ref="G1234">IF($C1234&gt;=25,F1234,IF($C1234&lt;16,INDEX(Sheet1!C:C,$F1234),$F1234))</f>
        <v>12</v>
      </c>
      <c r="H1234" s="4" t="str" cm="1">
        <f t="array" ref="H1234">INDEX(Sheet1!D:D,$G1234)</f>
        <v>2001-cso-preferred-class-structure-mortality-tables.xls</v>
      </c>
      <c r="I1234" s="4" t="str" cm="1">
        <f t="array" ref="I1234">INDEX(Sheet1!E:E,$G1234)</f>
        <v>A.1.b.ii</v>
      </c>
      <c r="J1234" s="4" t="str" cm="1">
        <f t="array" ref="J1234">IF($C1234&gt;=25,INDEX(Sheet1!G:G,$G1234),INDEX(Sheet1!F:F,$G1234))</f>
        <v>B8</v>
      </c>
      <c r="K1234" s="4" cm="1">
        <f t="array" ref="K1234">INDEX(Sheet1!H:H,$G1234)</f>
        <v>1E-3</v>
      </c>
      <c r="L1234" s="4">
        <f t="shared" si="76"/>
        <v>0</v>
      </c>
      <c r="M1234" s="4">
        <f t="shared" si="77"/>
        <v>22</v>
      </c>
    </row>
    <row r="1235" spans="1:13">
      <c r="A1235" s="4" t="str" cm="1">
        <f t="array" ref="A1235">INDEX(Sheet1!A:A,$F1235)</f>
        <v>F</v>
      </c>
      <c r="B1235" s="4" t="str" cm="1">
        <f t="array" ref="B1235">INDEX(Sheet1!B:B,$F1235)</f>
        <v>Pref Best NS</v>
      </c>
      <c r="C1235" s="4">
        <f t="shared" si="78"/>
        <v>23</v>
      </c>
      <c r="D1235" s="5" cm="1">
        <f t="array" aca="1" ref="D1235" ca="1">OFFSET(INDIRECT("'["&amp;$H1235&amp;"]"&amp;$I1235&amp;"'!"&amp;$J1235),$L1235,$M1235)*$K1235</f>
        <v>3.6999999999999999E-4</v>
      </c>
      <c r="F1235" s="4">
        <f t="shared" si="79"/>
        <v>12</v>
      </c>
      <c r="G1235" s="4" cm="1">
        <f t="array" ref="G1235">IF($C1235&gt;=25,F1235,IF($C1235&lt;16,INDEX(Sheet1!C:C,$F1235),$F1235))</f>
        <v>12</v>
      </c>
      <c r="H1235" s="4" t="str" cm="1">
        <f t="array" ref="H1235">INDEX(Sheet1!D:D,$G1235)</f>
        <v>2001-cso-preferred-class-structure-mortality-tables.xls</v>
      </c>
      <c r="I1235" s="4" t="str" cm="1">
        <f t="array" ref="I1235">INDEX(Sheet1!E:E,$G1235)</f>
        <v>A.1.b.ii</v>
      </c>
      <c r="J1235" s="4" t="str" cm="1">
        <f t="array" ref="J1235">IF($C1235&gt;=25,INDEX(Sheet1!G:G,$G1235),INDEX(Sheet1!F:F,$G1235))</f>
        <v>B8</v>
      </c>
      <c r="K1235" s="4" cm="1">
        <f t="array" ref="K1235">INDEX(Sheet1!H:H,$G1235)</f>
        <v>1E-3</v>
      </c>
      <c r="L1235" s="4">
        <f t="shared" si="76"/>
        <v>0</v>
      </c>
      <c r="M1235" s="4">
        <f t="shared" si="77"/>
        <v>23</v>
      </c>
    </row>
    <row r="1236" spans="1:13">
      <c r="A1236" s="4" t="str" cm="1">
        <f t="array" ref="A1236">INDEX(Sheet1!A:A,$F1236)</f>
        <v>F</v>
      </c>
      <c r="B1236" s="4" t="str" cm="1">
        <f t="array" ref="B1236">INDEX(Sheet1!B:B,$F1236)</f>
        <v>Pref Best NS</v>
      </c>
      <c r="C1236" s="4">
        <f t="shared" si="78"/>
        <v>24</v>
      </c>
      <c r="D1236" s="5" cm="1">
        <f t="array" aca="1" ref="D1236" ca="1">OFFSET(INDIRECT("'["&amp;$H1236&amp;"]"&amp;$I1236&amp;"'!"&amp;$J1236),$L1236,$M1236)*$K1236</f>
        <v>3.8000000000000002E-4</v>
      </c>
      <c r="F1236" s="4">
        <f t="shared" si="79"/>
        <v>12</v>
      </c>
      <c r="G1236" s="4" cm="1">
        <f t="array" ref="G1236">IF($C1236&gt;=25,F1236,IF($C1236&lt;16,INDEX(Sheet1!C:C,$F1236),$F1236))</f>
        <v>12</v>
      </c>
      <c r="H1236" s="4" t="str" cm="1">
        <f t="array" ref="H1236">INDEX(Sheet1!D:D,$G1236)</f>
        <v>2001-cso-preferred-class-structure-mortality-tables.xls</v>
      </c>
      <c r="I1236" s="4" t="str" cm="1">
        <f t="array" ref="I1236">INDEX(Sheet1!E:E,$G1236)</f>
        <v>A.1.b.ii</v>
      </c>
      <c r="J1236" s="4" t="str" cm="1">
        <f t="array" ref="J1236">IF($C1236&gt;=25,INDEX(Sheet1!G:G,$G1236),INDEX(Sheet1!F:F,$G1236))</f>
        <v>B8</v>
      </c>
      <c r="K1236" s="4" cm="1">
        <f t="array" ref="K1236">INDEX(Sheet1!H:H,$G1236)</f>
        <v>1E-3</v>
      </c>
      <c r="L1236" s="4">
        <f t="shared" si="76"/>
        <v>0</v>
      </c>
      <c r="M1236" s="4">
        <f t="shared" si="77"/>
        <v>24</v>
      </c>
    </row>
    <row r="1237" spans="1:13">
      <c r="A1237" s="4" t="str" cm="1">
        <f t="array" ref="A1237">INDEX(Sheet1!A:A,$F1237)</f>
        <v>F</v>
      </c>
      <c r="B1237" s="4" t="str" cm="1">
        <f t="array" ref="B1237">INDEX(Sheet1!B:B,$F1237)</f>
        <v>Pref Best NS</v>
      </c>
      <c r="C1237" s="4">
        <f t="shared" si="78"/>
        <v>25</v>
      </c>
      <c r="D1237" s="5" cm="1">
        <f t="array" aca="1" ref="D1237" ca="1">OFFSET(INDIRECT("'["&amp;$H1237&amp;"]"&amp;$I1237&amp;"'!"&amp;$J1237),$L1237,$M1237)*$K1237</f>
        <v>3.8000000000000002E-4</v>
      </c>
      <c r="F1237" s="4">
        <f t="shared" si="79"/>
        <v>12</v>
      </c>
      <c r="G1237" s="4" cm="1">
        <f t="array" ref="G1237">IF($C1237&gt;=25,F1237,IF($C1237&lt;16,INDEX(Sheet1!C:C,$F1237),$F1237))</f>
        <v>12</v>
      </c>
      <c r="H1237" s="4" t="str" cm="1">
        <f t="array" ref="H1237">INDEX(Sheet1!D:D,$G1237)</f>
        <v>2001-cso-preferred-class-structure-mortality-tables.xls</v>
      </c>
      <c r="I1237" s="4" t="str" cm="1">
        <f t="array" ref="I1237">INDEX(Sheet1!E:E,$G1237)</f>
        <v>A.1.b.ii</v>
      </c>
      <c r="J1237" s="4" t="str" cm="1">
        <f t="array" ref="J1237">IF($C1237&gt;=25,INDEX(Sheet1!G:G,$G1237),INDEX(Sheet1!F:F,$G1237))</f>
        <v>AA8</v>
      </c>
      <c r="K1237" s="4" cm="1">
        <f t="array" ref="K1237">INDEX(Sheet1!H:H,$G1237)</f>
        <v>1E-3</v>
      </c>
      <c r="L1237" s="4">
        <f t="shared" si="76"/>
        <v>0</v>
      </c>
      <c r="M1237" s="4">
        <f t="shared" si="77"/>
        <v>0</v>
      </c>
    </row>
    <row r="1238" spans="1:13">
      <c r="A1238" s="4" t="str" cm="1">
        <f t="array" ref="A1238">INDEX(Sheet1!A:A,$F1238)</f>
        <v>F</v>
      </c>
      <c r="B1238" s="4" t="str" cm="1">
        <f t="array" ref="B1238">INDEX(Sheet1!B:B,$F1238)</f>
        <v>Pref Best NS</v>
      </c>
      <c r="C1238" s="4">
        <f t="shared" si="78"/>
        <v>26</v>
      </c>
      <c r="D1238" s="5" cm="1">
        <f t="array" aca="1" ref="D1238" ca="1">OFFSET(INDIRECT("'["&amp;$H1238&amp;"]"&amp;$I1238&amp;"'!"&amp;$J1238),$L1238,$M1238)*$K1238</f>
        <v>4.0999999999999999E-4</v>
      </c>
      <c r="F1238" s="4">
        <f t="shared" si="79"/>
        <v>12</v>
      </c>
      <c r="G1238" s="4" cm="1">
        <f t="array" ref="G1238">IF($C1238&gt;=25,F1238,IF($C1238&lt;16,INDEX(Sheet1!C:C,$F1238),$F1238))</f>
        <v>12</v>
      </c>
      <c r="H1238" s="4" t="str" cm="1">
        <f t="array" ref="H1238">INDEX(Sheet1!D:D,$G1238)</f>
        <v>2001-cso-preferred-class-structure-mortality-tables.xls</v>
      </c>
      <c r="I1238" s="4" t="str" cm="1">
        <f t="array" ref="I1238">INDEX(Sheet1!E:E,$G1238)</f>
        <v>A.1.b.ii</v>
      </c>
      <c r="J1238" s="4" t="str" cm="1">
        <f t="array" ref="J1238">IF($C1238&gt;=25,INDEX(Sheet1!G:G,$G1238),INDEX(Sheet1!F:F,$G1238))</f>
        <v>AA8</v>
      </c>
      <c r="K1238" s="4" cm="1">
        <f t="array" ref="K1238">INDEX(Sheet1!H:H,$G1238)</f>
        <v>1E-3</v>
      </c>
      <c r="L1238" s="4">
        <f t="shared" si="76"/>
        <v>1</v>
      </c>
      <c r="M1238" s="4">
        <f t="shared" si="77"/>
        <v>0</v>
      </c>
    </row>
    <row r="1239" spans="1:13">
      <c r="A1239" s="4" t="str" cm="1">
        <f t="array" ref="A1239">INDEX(Sheet1!A:A,$F1239)</f>
        <v>F</v>
      </c>
      <c r="B1239" s="4" t="str" cm="1">
        <f t="array" ref="B1239">INDEX(Sheet1!B:B,$F1239)</f>
        <v>Pref Best NS</v>
      </c>
      <c r="C1239" s="4">
        <f t="shared" si="78"/>
        <v>27</v>
      </c>
      <c r="D1239" s="5" cm="1">
        <f t="array" aca="1" ref="D1239" ca="1">OFFSET(INDIRECT("'["&amp;$H1239&amp;"]"&amp;$I1239&amp;"'!"&amp;$J1239),$L1239,$M1239)*$K1239</f>
        <v>4.2999999999999999E-4</v>
      </c>
      <c r="F1239" s="4">
        <f t="shared" si="79"/>
        <v>12</v>
      </c>
      <c r="G1239" s="4" cm="1">
        <f t="array" ref="G1239">IF($C1239&gt;=25,F1239,IF($C1239&lt;16,INDEX(Sheet1!C:C,$F1239),$F1239))</f>
        <v>12</v>
      </c>
      <c r="H1239" s="4" t="str" cm="1">
        <f t="array" ref="H1239">INDEX(Sheet1!D:D,$G1239)</f>
        <v>2001-cso-preferred-class-structure-mortality-tables.xls</v>
      </c>
      <c r="I1239" s="4" t="str" cm="1">
        <f t="array" ref="I1239">INDEX(Sheet1!E:E,$G1239)</f>
        <v>A.1.b.ii</v>
      </c>
      <c r="J1239" s="4" t="str" cm="1">
        <f t="array" ref="J1239">IF($C1239&gt;=25,INDEX(Sheet1!G:G,$G1239),INDEX(Sheet1!F:F,$G1239))</f>
        <v>AA8</v>
      </c>
      <c r="K1239" s="4" cm="1">
        <f t="array" ref="K1239">INDEX(Sheet1!H:H,$G1239)</f>
        <v>1E-3</v>
      </c>
      <c r="L1239" s="4">
        <f t="shared" si="76"/>
        <v>2</v>
      </c>
      <c r="M1239" s="4">
        <f t="shared" si="77"/>
        <v>0</v>
      </c>
    </row>
    <row r="1240" spans="1:13">
      <c r="A1240" s="4" t="str" cm="1">
        <f t="array" ref="A1240">INDEX(Sheet1!A:A,$F1240)</f>
        <v>F</v>
      </c>
      <c r="B1240" s="4" t="str" cm="1">
        <f t="array" ref="B1240">INDEX(Sheet1!B:B,$F1240)</f>
        <v>Pref Best NS</v>
      </c>
      <c r="C1240" s="4">
        <f t="shared" si="78"/>
        <v>28</v>
      </c>
      <c r="D1240" s="5" cm="1">
        <f t="array" aca="1" ref="D1240" ca="1">OFFSET(INDIRECT("'["&amp;$H1240&amp;"]"&amp;$I1240&amp;"'!"&amp;$J1240),$L1240,$M1240)*$K1240</f>
        <v>4.5000000000000004E-4</v>
      </c>
      <c r="F1240" s="4">
        <f t="shared" si="79"/>
        <v>12</v>
      </c>
      <c r="G1240" s="4" cm="1">
        <f t="array" ref="G1240">IF($C1240&gt;=25,F1240,IF($C1240&lt;16,INDEX(Sheet1!C:C,$F1240),$F1240))</f>
        <v>12</v>
      </c>
      <c r="H1240" s="4" t="str" cm="1">
        <f t="array" ref="H1240">INDEX(Sheet1!D:D,$G1240)</f>
        <v>2001-cso-preferred-class-structure-mortality-tables.xls</v>
      </c>
      <c r="I1240" s="4" t="str" cm="1">
        <f t="array" ref="I1240">INDEX(Sheet1!E:E,$G1240)</f>
        <v>A.1.b.ii</v>
      </c>
      <c r="J1240" s="4" t="str" cm="1">
        <f t="array" ref="J1240">IF($C1240&gt;=25,INDEX(Sheet1!G:G,$G1240),INDEX(Sheet1!F:F,$G1240))</f>
        <v>AA8</v>
      </c>
      <c r="K1240" s="4" cm="1">
        <f t="array" ref="K1240">INDEX(Sheet1!H:H,$G1240)</f>
        <v>1E-3</v>
      </c>
      <c r="L1240" s="4">
        <f t="shared" si="76"/>
        <v>3</v>
      </c>
      <c r="M1240" s="4">
        <f t="shared" si="77"/>
        <v>0</v>
      </c>
    </row>
    <row r="1241" spans="1:13">
      <c r="A1241" s="4" t="str" cm="1">
        <f t="array" ref="A1241">INDEX(Sheet1!A:A,$F1241)</f>
        <v>F</v>
      </c>
      <c r="B1241" s="4" t="str" cm="1">
        <f t="array" ref="B1241">INDEX(Sheet1!B:B,$F1241)</f>
        <v>Pref Best NS</v>
      </c>
      <c r="C1241" s="4">
        <f t="shared" si="78"/>
        <v>29</v>
      </c>
      <c r="D1241" s="5" cm="1">
        <f t="array" aca="1" ref="D1241" ca="1">OFFSET(INDIRECT("'["&amp;$H1241&amp;"]"&amp;$I1241&amp;"'!"&amp;$J1241),$L1241,$M1241)*$K1241</f>
        <v>4.8000000000000001E-4</v>
      </c>
      <c r="F1241" s="4">
        <f t="shared" si="79"/>
        <v>12</v>
      </c>
      <c r="G1241" s="4" cm="1">
        <f t="array" ref="G1241">IF($C1241&gt;=25,F1241,IF($C1241&lt;16,INDEX(Sheet1!C:C,$F1241),$F1241))</f>
        <v>12</v>
      </c>
      <c r="H1241" s="4" t="str" cm="1">
        <f t="array" ref="H1241">INDEX(Sheet1!D:D,$G1241)</f>
        <v>2001-cso-preferred-class-structure-mortality-tables.xls</v>
      </c>
      <c r="I1241" s="4" t="str" cm="1">
        <f t="array" ref="I1241">INDEX(Sheet1!E:E,$G1241)</f>
        <v>A.1.b.ii</v>
      </c>
      <c r="J1241" s="4" t="str" cm="1">
        <f t="array" ref="J1241">IF($C1241&gt;=25,INDEX(Sheet1!G:G,$G1241),INDEX(Sheet1!F:F,$G1241))</f>
        <v>AA8</v>
      </c>
      <c r="K1241" s="4" cm="1">
        <f t="array" ref="K1241">INDEX(Sheet1!H:H,$G1241)</f>
        <v>1E-3</v>
      </c>
      <c r="L1241" s="4">
        <f t="shared" si="76"/>
        <v>4</v>
      </c>
      <c r="M1241" s="4">
        <f t="shared" si="77"/>
        <v>0</v>
      </c>
    </row>
    <row r="1242" spans="1:13">
      <c r="A1242" s="4" t="str" cm="1">
        <f t="array" ref="A1242">INDEX(Sheet1!A:A,$F1242)</f>
        <v>F</v>
      </c>
      <c r="B1242" s="4" t="str" cm="1">
        <f t="array" ref="B1242">INDEX(Sheet1!B:B,$F1242)</f>
        <v>Pref Best NS</v>
      </c>
      <c r="C1242" s="4">
        <f t="shared" si="78"/>
        <v>30</v>
      </c>
      <c r="D1242" s="5" cm="1">
        <f t="array" aca="1" ref="D1242" ca="1">OFFSET(INDIRECT("'["&amp;$H1242&amp;"]"&amp;$I1242&amp;"'!"&amp;$J1242),$L1242,$M1242)*$K1242</f>
        <v>4.8999999999999998E-4</v>
      </c>
      <c r="F1242" s="4">
        <f t="shared" si="79"/>
        <v>12</v>
      </c>
      <c r="G1242" s="4" cm="1">
        <f t="array" ref="G1242">IF($C1242&gt;=25,F1242,IF($C1242&lt;16,INDEX(Sheet1!C:C,$F1242),$F1242))</f>
        <v>12</v>
      </c>
      <c r="H1242" s="4" t="str" cm="1">
        <f t="array" ref="H1242">INDEX(Sheet1!D:D,$G1242)</f>
        <v>2001-cso-preferred-class-structure-mortality-tables.xls</v>
      </c>
      <c r="I1242" s="4" t="str" cm="1">
        <f t="array" ref="I1242">INDEX(Sheet1!E:E,$G1242)</f>
        <v>A.1.b.ii</v>
      </c>
      <c r="J1242" s="4" t="str" cm="1">
        <f t="array" ref="J1242">IF($C1242&gt;=25,INDEX(Sheet1!G:G,$G1242),INDEX(Sheet1!F:F,$G1242))</f>
        <v>AA8</v>
      </c>
      <c r="K1242" s="4" cm="1">
        <f t="array" ref="K1242">INDEX(Sheet1!H:H,$G1242)</f>
        <v>1E-3</v>
      </c>
      <c r="L1242" s="4">
        <f t="shared" si="76"/>
        <v>5</v>
      </c>
      <c r="M1242" s="4">
        <f t="shared" si="77"/>
        <v>0</v>
      </c>
    </row>
    <row r="1243" spans="1:13">
      <c r="A1243" s="4" t="str" cm="1">
        <f t="array" ref="A1243">INDEX(Sheet1!A:A,$F1243)</f>
        <v>F</v>
      </c>
      <c r="B1243" s="4" t="str" cm="1">
        <f t="array" ref="B1243">INDEX(Sheet1!B:B,$F1243)</f>
        <v>Pref Best NS</v>
      </c>
      <c r="C1243" s="4">
        <f t="shared" si="78"/>
        <v>31</v>
      </c>
      <c r="D1243" s="5" cm="1">
        <f t="array" aca="1" ref="D1243" ca="1">OFFSET(INDIRECT("'["&amp;$H1243&amp;"]"&amp;$I1243&amp;"'!"&amp;$J1243),$L1243,$M1243)*$K1243</f>
        <v>5.2000000000000006E-4</v>
      </c>
      <c r="F1243" s="4">
        <f t="shared" si="79"/>
        <v>12</v>
      </c>
      <c r="G1243" s="4" cm="1">
        <f t="array" ref="G1243">IF($C1243&gt;=25,F1243,IF($C1243&lt;16,INDEX(Sheet1!C:C,$F1243),$F1243))</f>
        <v>12</v>
      </c>
      <c r="H1243" s="4" t="str" cm="1">
        <f t="array" ref="H1243">INDEX(Sheet1!D:D,$G1243)</f>
        <v>2001-cso-preferred-class-structure-mortality-tables.xls</v>
      </c>
      <c r="I1243" s="4" t="str" cm="1">
        <f t="array" ref="I1243">INDEX(Sheet1!E:E,$G1243)</f>
        <v>A.1.b.ii</v>
      </c>
      <c r="J1243" s="4" t="str" cm="1">
        <f t="array" ref="J1243">IF($C1243&gt;=25,INDEX(Sheet1!G:G,$G1243),INDEX(Sheet1!F:F,$G1243))</f>
        <v>AA8</v>
      </c>
      <c r="K1243" s="4" cm="1">
        <f t="array" ref="K1243">INDEX(Sheet1!H:H,$G1243)</f>
        <v>1E-3</v>
      </c>
      <c r="L1243" s="4">
        <f t="shared" si="76"/>
        <v>6</v>
      </c>
      <c r="M1243" s="4">
        <f t="shared" si="77"/>
        <v>0</v>
      </c>
    </row>
    <row r="1244" spans="1:13">
      <c r="A1244" s="4" t="str" cm="1">
        <f t="array" ref="A1244">INDEX(Sheet1!A:A,$F1244)</f>
        <v>F</v>
      </c>
      <c r="B1244" s="4" t="str" cm="1">
        <f t="array" ref="B1244">INDEX(Sheet1!B:B,$F1244)</f>
        <v>Pref Best NS</v>
      </c>
      <c r="C1244" s="4">
        <f t="shared" si="78"/>
        <v>32</v>
      </c>
      <c r="D1244" s="5" cm="1">
        <f t="array" aca="1" ref="D1244" ca="1">OFFSET(INDIRECT("'["&amp;$H1244&amp;"]"&amp;$I1244&amp;"'!"&amp;$J1244),$L1244,$M1244)*$K1244</f>
        <v>5.5000000000000003E-4</v>
      </c>
      <c r="F1244" s="4">
        <f t="shared" si="79"/>
        <v>12</v>
      </c>
      <c r="G1244" s="4" cm="1">
        <f t="array" ref="G1244">IF($C1244&gt;=25,F1244,IF($C1244&lt;16,INDEX(Sheet1!C:C,$F1244),$F1244))</f>
        <v>12</v>
      </c>
      <c r="H1244" s="4" t="str" cm="1">
        <f t="array" ref="H1244">INDEX(Sheet1!D:D,$G1244)</f>
        <v>2001-cso-preferred-class-structure-mortality-tables.xls</v>
      </c>
      <c r="I1244" s="4" t="str" cm="1">
        <f t="array" ref="I1244">INDEX(Sheet1!E:E,$G1244)</f>
        <v>A.1.b.ii</v>
      </c>
      <c r="J1244" s="4" t="str" cm="1">
        <f t="array" ref="J1244">IF($C1244&gt;=25,INDEX(Sheet1!G:G,$G1244),INDEX(Sheet1!F:F,$G1244))</f>
        <v>AA8</v>
      </c>
      <c r="K1244" s="4" cm="1">
        <f t="array" ref="K1244">INDEX(Sheet1!H:H,$G1244)</f>
        <v>1E-3</v>
      </c>
      <c r="L1244" s="4">
        <f t="shared" si="76"/>
        <v>7</v>
      </c>
      <c r="M1244" s="4">
        <f t="shared" si="77"/>
        <v>0</v>
      </c>
    </row>
    <row r="1245" spans="1:13">
      <c r="A1245" s="4" t="str" cm="1">
        <f t="array" ref="A1245">INDEX(Sheet1!A:A,$F1245)</f>
        <v>F</v>
      </c>
      <c r="B1245" s="4" t="str" cm="1">
        <f t="array" ref="B1245">INDEX(Sheet1!B:B,$F1245)</f>
        <v>Pref Best NS</v>
      </c>
      <c r="C1245" s="4">
        <f t="shared" si="78"/>
        <v>33</v>
      </c>
      <c r="D1245" s="5" cm="1">
        <f t="array" aca="1" ref="D1245" ca="1">OFFSET(INDIRECT("'["&amp;$H1245&amp;"]"&amp;$I1245&amp;"'!"&amp;$J1245),$L1245,$M1245)*$K1245</f>
        <v>5.8E-4</v>
      </c>
      <c r="F1245" s="4">
        <f t="shared" si="79"/>
        <v>12</v>
      </c>
      <c r="G1245" s="4" cm="1">
        <f t="array" ref="G1245">IF($C1245&gt;=25,F1245,IF($C1245&lt;16,INDEX(Sheet1!C:C,$F1245),$F1245))</f>
        <v>12</v>
      </c>
      <c r="H1245" s="4" t="str" cm="1">
        <f t="array" ref="H1245">INDEX(Sheet1!D:D,$G1245)</f>
        <v>2001-cso-preferred-class-structure-mortality-tables.xls</v>
      </c>
      <c r="I1245" s="4" t="str" cm="1">
        <f t="array" ref="I1245">INDEX(Sheet1!E:E,$G1245)</f>
        <v>A.1.b.ii</v>
      </c>
      <c r="J1245" s="4" t="str" cm="1">
        <f t="array" ref="J1245">IF($C1245&gt;=25,INDEX(Sheet1!G:G,$G1245),INDEX(Sheet1!F:F,$G1245))</f>
        <v>AA8</v>
      </c>
      <c r="K1245" s="4" cm="1">
        <f t="array" ref="K1245">INDEX(Sheet1!H:H,$G1245)</f>
        <v>1E-3</v>
      </c>
      <c r="L1245" s="4">
        <f t="shared" si="76"/>
        <v>8</v>
      </c>
      <c r="M1245" s="4">
        <f t="shared" si="77"/>
        <v>0</v>
      </c>
    </row>
    <row r="1246" spans="1:13">
      <c r="A1246" s="4" t="str" cm="1">
        <f t="array" ref="A1246">INDEX(Sheet1!A:A,$F1246)</f>
        <v>F</v>
      </c>
      <c r="B1246" s="4" t="str" cm="1">
        <f t="array" ref="B1246">INDEX(Sheet1!B:B,$F1246)</f>
        <v>Pref Best NS</v>
      </c>
      <c r="C1246" s="4">
        <f t="shared" si="78"/>
        <v>34</v>
      </c>
      <c r="D1246" s="5" cm="1">
        <f t="array" aca="1" ref="D1246" ca="1">OFFSET(INDIRECT("'["&amp;$H1246&amp;"]"&amp;$I1246&amp;"'!"&amp;$J1246),$L1246,$M1246)*$K1246</f>
        <v>6.3000000000000003E-4</v>
      </c>
      <c r="F1246" s="4">
        <f t="shared" si="79"/>
        <v>12</v>
      </c>
      <c r="G1246" s="4" cm="1">
        <f t="array" ref="G1246">IF($C1246&gt;=25,F1246,IF($C1246&lt;16,INDEX(Sheet1!C:C,$F1246),$F1246))</f>
        <v>12</v>
      </c>
      <c r="H1246" s="4" t="str" cm="1">
        <f t="array" ref="H1246">INDEX(Sheet1!D:D,$G1246)</f>
        <v>2001-cso-preferred-class-structure-mortality-tables.xls</v>
      </c>
      <c r="I1246" s="4" t="str" cm="1">
        <f t="array" ref="I1246">INDEX(Sheet1!E:E,$G1246)</f>
        <v>A.1.b.ii</v>
      </c>
      <c r="J1246" s="4" t="str" cm="1">
        <f t="array" ref="J1246">IF($C1246&gt;=25,INDEX(Sheet1!G:G,$G1246),INDEX(Sheet1!F:F,$G1246))</f>
        <v>AA8</v>
      </c>
      <c r="K1246" s="4" cm="1">
        <f t="array" ref="K1246">INDEX(Sheet1!H:H,$G1246)</f>
        <v>1E-3</v>
      </c>
      <c r="L1246" s="4">
        <f t="shared" si="76"/>
        <v>9</v>
      </c>
      <c r="M1246" s="4">
        <f t="shared" si="77"/>
        <v>0</v>
      </c>
    </row>
    <row r="1247" spans="1:13">
      <c r="A1247" s="4" t="str" cm="1">
        <f t="array" ref="A1247">INDEX(Sheet1!A:A,$F1247)</f>
        <v>F</v>
      </c>
      <c r="B1247" s="4" t="str" cm="1">
        <f t="array" ref="B1247">INDEX(Sheet1!B:B,$F1247)</f>
        <v>Pref Best NS</v>
      </c>
      <c r="C1247" s="4">
        <f t="shared" si="78"/>
        <v>35</v>
      </c>
      <c r="D1247" s="5" cm="1">
        <f t="array" aca="1" ref="D1247" ca="1">OFFSET(INDIRECT("'["&amp;$H1247&amp;"]"&amp;$I1247&amp;"'!"&amp;$J1247),$L1247,$M1247)*$K1247</f>
        <v>6.8000000000000005E-4</v>
      </c>
      <c r="F1247" s="4">
        <f t="shared" si="79"/>
        <v>12</v>
      </c>
      <c r="G1247" s="4" cm="1">
        <f t="array" ref="G1247">IF($C1247&gt;=25,F1247,IF($C1247&lt;16,INDEX(Sheet1!C:C,$F1247),$F1247))</f>
        <v>12</v>
      </c>
      <c r="H1247" s="4" t="str" cm="1">
        <f t="array" ref="H1247">INDEX(Sheet1!D:D,$G1247)</f>
        <v>2001-cso-preferred-class-structure-mortality-tables.xls</v>
      </c>
      <c r="I1247" s="4" t="str" cm="1">
        <f t="array" ref="I1247">INDEX(Sheet1!E:E,$G1247)</f>
        <v>A.1.b.ii</v>
      </c>
      <c r="J1247" s="4" t="str" cm="1">
        <f t="array" ref="J1247">IF($C1247&gt;=25,INDEX(Sheet1!G:G,$G1247),INDEX(Sheet1!F:F,$G1247))</f>
        <v>AA8</v>
      </c>
      <c r="K1247" s="4" cm="1">
        <f t="array" ref="K1247">INDEX(Sheet1!H:H,$G1247)</f>
        <v>1E-3</v>
      </c>
      <c r="L1247" s="4">
        <f t="shared" si="76"/>
        <v>10</v>
      </c>
      <c r="M1247" s="4">
        <f t="shared" si="77"/>
        <v>0</v>
      </c>
    </row>
    <row r="1248" spans="1:13">
      <c r="A1248" s="4" t="str" cm="1">
        <f t="array" ref="A1248">INDEX(Sheet1!A:A,$F1248)</f>
        <v>F</v>
      </c>
      <c r="B1248" s="4" t="str" cm="1">
        <f t="array" ref="B1248">INDEX(Sheet1!B:B,$F1248)</f>
        <v>Pref Best NS</v>
      </c>
      <c r="C1248" s="4">
        <f t="shared" si="78"/>
        <v>36</v>
      </c>
      <c r="D1248" s="5" cm="1">
        <f t="array" aca="1" ref="D1248" ca="1">OFFSET(INDIRECT("'["&amp;$H1248&amp;"]"&amp;$I1248&amp;"'!"&amp;$J1248),$L1248,$M1248)*$K1248</f>
        <v>7.1999999999999994E-4</v>
      </c>
      <c r="F1248" s="4">
        <f t="shared" si="79"/>
        <v>12</v>
      </c>
      <c r="G1248" s="4" cm="1">
        <f t="array" ref="G1248">IF($C1248&gt;=25,F1248,IF($C1248&lt;16,INDEX(Sheet1!C:C,$F1248),$F1248))</f>
        <v>12</v>
      </c>
      <c r="H1248" s="4" t="str" cm="1">
        <f t="array" ref="H1248">INDEX(Sheet1!D:D,$G1248)</f>
        <v>2001-cso-preferred-class-structure-mortality-tables.xls</v>
      </c>
      <c r="I1248" s="4" t="str" cm="1">
        <f t="array" ref="I1248">INDEX(Sheet1!E:E,$G1248)</f>
        <v>A.1.b.ii</v>
      </c>
      <c r="J1248" s="4" t="str" cm="1">
        <f t="array" ref="J1248">IF($C1248&gt;=25,INDEX(Sheet1!G:G,$G1248),INDEX(Sheet1!F:F,$G1248))</f>
        <v>AA8</v>
      </c>
      <c r="K1248" s="4" cm="1">
        <f t="array" ref="K1248">INDEX(Sheet1!H:H,$G1248)</f>
        <v>1E-3</v>
      </c>
      <c r="L1248" s="4">
        <f t="shared" si="76"/>
        <v>11</v>
      </c>
      <c r="M1248" s="4">
        <f t="shared" si="77"/>
        <v>0</v>
      </c>
    </row>
    <row r="1249" spans="1:13">
      <c r="A1249" s="4" t="str" cm="1">
        <f t="array" ref="A1249">INDEX(Sheet1!A:A,$F1249)</f>
        <v>F</v>
      </c>
      <c r="B1249" s="4" t="str" cm="1">
        <f t="array" ref="B1249">INDEX(Sheet1!B:B,$F1249)</f>
        <v>Pref Best NS</v>
      </c>
      <c r="C1249" s="4">
        <f t="shared" si="78"/>
        <v>37</v>
      </c>
      <c r="D1249" s="5" cm="1">
        <f t="array" aca="1" ref="D1249" ca="1">OFFSET(INDIRECT("'["&amp;$H1249&amp;"]"&amp;$I1249&amp;"'!"&amp;$J1249),$L1249,$M1249)*$K1249</f>
        <v>7.8000000000000009E-4</v>
      </c>
      <c r="F1249" s="4">
        <f t="shared" si="79"/>
        <v>12</v>
      </c>
      <c r="G1249" s="4" cm="1">
        <f t="array" ref="G1249">IF($C1249&gt;=25,F1249,IF($C1249&lt;16,INDEX(Sheet1!C:C,$F1249),$F1249))</f>
        <v>12</v>
      </c>
      <c r="H1249" s="4" t="str" cm="1">
        <f t="array" ref="H1249">INDEX(Sheet1!D:D,$G1249)</f>
        <v>2001-cso-preferred-class-structure-mortality-tables.xls</v>
      </c>
      <c r="I1249" s="4" t="str" cm="1">
        <f t="array" ref="I1249">INDEX(Sheet1!E:E,$G1249)</f>
        <v>A.1.b.ii</v>
      </c>
      <c r="J1249" s="4" t="str" cm="1">
        <f t="array" ref="J1249">IF($C1249&gt;=25,INDEX(Sheet1!G:G,$G1249),INDEX(Sheet1!F:F,$G1249))</f>
        <v>AA8</v>
      </c>
      <c r="K1249" s="4" cm="1">
        <f t="array" ref="K1249">INDEX(Sheet1!H:H,$G1249)</f>
        <v>1E-3</v>
      </c>
      <c r="L1249" s="4">
        <f t="shared" si="76"/>
        <v>12</v>
      </c>
      <c r="M1249" s="4">
        <f t="shared" si="77"/>
        <v>0</v>
      </c>
    </row>
    <row r="1250" spans="1:13">
      <c r="A1250" s="4" t="str" cm="1">
        <f t="array" ref="A1250">INDEX(Sheet1!A:A,$F1250)</f>
        <v>F</v>
      </c>
      <c r="B1250" s="4" t="str" cm="1">
        <f t="array" ref="B1250">INDEX(Sheet1!B:B,$F1250)</f>
        <v>Pref Best NS</v>
      </c>
      <c r="C1250" s="4">
        <f t="shared" si="78"/>
        <v>38</v>
      </c>
      <c r="D1250" s="5" cm="1">
        <f t="array" aca="1" ref="D1250" ca="1">OFFSET(INDIRECT("'["&amp;$H1250&amp;"]"&amp;$I1250&amp;"'!"&amp;$J1250),$L1250,$M1250)*$K1250</f>
        <v>8.1999999999999998E-4</v>
      </c>
      <c r="F1250" s="4">
        <f t="shared" si="79"/>
        <v>12</v>
      </c>
      <c r="G1250" s="4" cm="1">
        <f t="array" ref="G1250">IF($C1250&gt;=25,F1250,IF($C1250&lt;16,INDEX(Sheet1!C:C,$F1250),$F1250))</f>
        <v>12</v>
      </c>
      <c r="H1250" s="4" t="str" cm="1">
        <f t="array" ref="H1250">INDEX(Sheet1!D:D,$G1250)</f>
        <v>2001-cso-preferred-class-structure-mortality-tables.xls</v>
      </c>
      <c r="I1250" s="4" t="str" cm="1">
        <f t="array" ref="I1250">INDEX(Sheet1!E:E,$G1250)</f>
        <v>A.1.b.ii</v>
      </c>
      <c r="J1250" s="4" t="str" cm="1">
        <f t="array" ref="J1250">IF($C1250&gt;=25,INDEX(Sheet1!G:G,$G1250),INDEX(Sheet1!F:F,$G1250))</f>
        <v>AA8</v>
      </c>
      <c r="K1250" s="4" cm="1">
        <f t="array" ref="K1250">INDEX(Sheet1!H:H,$G1250)</f>
        <v>1E-3</v>
      </c>
      <c r="L1250" s="4">
        <f t="shared" si="76"/>
        <v>13</v>
      </c>
      <c r="M1250" s="4">
        <f t="shared" si="77"/>
        <v>0</v>
      </c>
    </row>
    <row r="1251" spans="1:13">
      <c r="A1251" s="4" t="str" cm="1">
        <f t="array" ref="A1251">INDEX(Sheet1!A:A,$F1251)</f>
        <v>F</v>
      </c>
      <c r="B1251" s="4" t="str" cm="1">
        <f t="array" ref="B1251">INDEX(Sheet1!B:B,$F1251)</f>
        <v>Pref Best NS</v>
      </c>
      <c r="C1251" s="4">
        <f t="shared" si="78"/>
        <v>39</v>
      </c>
      <c r="D1251" s="5" cm="1">
        <f t="array" aca="1" ref="D1251" ca="1">OFFSET(INDIRECT("'["&amp;$H1251&amp;"]"&amp;$I1251&amp;"'!"&amp;$J1251),$L1251,$M1251)*$K1251</f>
        <v>8.5999999999999998E-4</v>
      </c>
      <c r="F1251" s="4">
        <f t="shared" si="79"/>
        <v>12</v>
      </c>
      <c r="G1251" s="4" cm="1">
        <f t="array" ref="G1251">IF($C1251&gt;=25,F1251,IF($C1251&lt;16,INDEX(Sheet1!C:C,$F1251),$F1251))</f>
        <v>12</v>
      </c>
      <c r="H1251" s="4" t="str" cm="1">
        <f t="array" ref="H1251">INDEX(Sheet1!D:D,$G1251)</f>
        <v>2001-cso-preferred-class-structure-mortality-tables.xls</v>
      </c>
      <c r="I1251" s="4" t="str" cm="1">
        <f t="array" ref="I1251">INDEX(Sheet1!E:E,$G1251)</f>
        <v>A.1.b.ii</v>
      </c>
      <c r="J1251" s="4" t="str" cm="1">
        <f t="array" ref="J1251">IF($C1251&gt;=25,INDEX(Sheet1!G:G,$G1251),INDEX(Sheet1!F:F,$G1251))</f>
        <v>AA8</v>
      </c>
      <c r="K1251" s="4" cm="1">
        <f t="array" ref="K1251">INDEX(Sheet1!H:H,$G1251)</f>
        <v>1E-3</v>
      </c>
      <c r="L1251" s="4">
        <f t="shared" si="76"/>
        <v>14</v>
      </c>
      <c r="M1251" s="4">
        <f t="shared" si="77"/>
        <v>0</v>
      </c>
    </row>
    <row r="1252" spans="1:13">
      <c r="A1252" s="4" t="str" cm="1">
        <f t="array" ref="A1252">INDEX(Sheet1!A:A,$F1252)</f>
        <v>F</v>
      </c>
      <c r="B1252" s="4" t="str" cm="1">
        <f t="array" ref="B1252">INDEX(Sheet1!B:B,$F1252)</f>
        <v>Pref Best NS</v>
      </c>
      <c r="C1252" s="4">
        <f t="shared" si="78"/>
        <v>40</v>
      </c>
      <c r="D1252" s="5" cm="1">
        <f t="array" aca="1" ref="D1252" ca="1">OFFSET(INDIRECT("'["&amp;$H1252&amp;"]"&amp;$I1252&amp;"'!"&amp;$J1252),$L1252,$M1252)*$K1252</f>
        <v>9.1E-4</v>
      </c>
      <c r="F1252" s="4">
        <f t="shared" si="79"/>
        <v>12</v>
      </c>
      <c r="G1252" s="4" cm="1">
        <f t="array" ref="G1252">IF($C1252&gt;=25,F1252,IF($C1252&lt;16,INDEX(Sheet1!C:C,$F1252),$F1252))</f>
        <v>12</v>
      </c>
      <c r="H1252" s="4" t="str" cm="1">
        <f t="array" ref="H1252">INDEX(Sheet1!D:D,$G1252)</f>
        <v>2001-cso-preferred-class-structure-mortality-tables.xls</v>
      </c>
      <c r="I1252" s="4" t="str" cm="1">
        <f t="array" ref="I1252">INDEX(Sheet1!E:E,$G1252)</f>
        <v>A.1.b.ii</v>
      </c>
      <c r="J1252" s="4" t="str" cm="1">
        <f t="array" ref="J1252">IF($C1252&gt;=25,INDEX(Sheet1!G:G,$G1252),INDEX(Sheet1!F:F,$G1252))</f>
        <v>AA8</v>
      </c>
      <c r="K1252" s="4" cm="1">
        <f t="array" ref="K1252">INDEX(Sheet1!H:H,$G1252)</f>
        <v>1E-3</v>
      </c>
      <c r="L1252" s="4">
        <f t="shared" si="76"/>
        <v>15</v>
      </c>
      <c r="M1252" s="4">
        <f t="shared" si="77"/>
        <v>0</v>
      </c>
    </row>
    <row r="1253" spans="1:13">
      <c r="A1253" s="4" t="str" cm="1">
        <f t="array" ref="A1253">INDEX(Sheet1!A:A,$F1253)</f>
        <v>F</v>
      </c>
      <c r="B1253" s="4" t="str" cm="1">
        <f t="array" ref="B1253">INDEX(Sheet1!B:B,$F1253)</f>
        <v>Pref Best NS</v>
      </c>
      <c r="C1253" s="4">
        <f t="shared" si="78"/>
        <v>41</v>
      </c>
      <c r="D1253" s="5" cm="1">
        <f t="array" aca="1" ref="D1253" ca="1">OFFSET(INDIRECT("'["&amp;$H1253&amp;"]"&amp;$I1253&amp;"'!"&amp;$J1253),$L1253,$M1253)*$K1253</f>
        <v>9.6000000000000002E-4</v>
      </c>
      <c r="F1253" s="4">
        <f t="shared" si="79"/>
        <v>12</v>
      </c>
      <c r="G1253" s="4" cm="1">
        <f t="array" ref="G1253">IF($C1253&gt;=25,F1253,IF($C1253&lt;16,INDEX(Sheet1!C:C,$F1253),$F1253))</f>
        <v>12</v>
      </c>
      <c r="H1253" s="4" t="str" cm="1">
        <f t="array" ref="H1253">INDEX(Sheet1!D:D,$G1253)</f>
        <v>2001-cso-preferred-class-structure-mortality-tables.xls</v>
      </c>
      <c r="I1253" s="4" t="str" cm="1">
        <f t="array" ref="I1253">INDEX(Sheet1!E:E,$G1253)</f>
        <v>A.1.b.ii</v>
      </c>
      <c r="J1253" s="4" t="str" cm="1">
        <f t="array" ref="J1253">IF($C1253&gt;=25,INDEX(Sheet1!G:G,$G1253),INDEX(Sheet1!F:F,$G1253))</f>
        <v>AA8</v>
      </c>
      <c r="K1253" s="4" cm="1">
        <f t="array" ref="K1253">INDEX(Sheet1!H:H,$G1253)</f>
        <v>1E-3</v>
      </c>
      <c r="L1253" s="4">
        <f t="shared" si="76"/>
        <v>16</v>
      </c>
      <c r="M1253" s="4">
        <f t="shared" si="77"/>
        <v>0</v>
      </c>
    </row>
    <row r="1254" spans="1:13">
      <c r="A1254" s="4" t="str" cm="1">
        <f t="array" ref="A1254">INDEX(Sheet1!A:A,$F1254)</f>
        <v>F</v>
      </c>
      <c r="B1254" s="4" t="str" cm="1">
        <f t="array" ref="B1254">INDEX(Sheet1!B:B,$F1254)</f>
        <v>Pref Best NS</v>
      </c>
      <c r="C1254" s="4">
        <f t="shared" si="78"/>
        <v>42</v>
      </c>
      <c r="D1254" s="5" cm="1">
        <f t="array" aca="1" ref="D1254" ca="1">OFFSET(INDIRECT("'["&amp;$H1254&amp;"]"&amp;$I1254&amp;"'!"&amp;$J1254),$L1254,$M1254)*$K1254</f>
        <v>1.0300000000000001E-3</v>
      </c>
      <c r="F1254" s="4">
        <f t="shared" si="79"/>
        <v>12</v>
      </c>
      <c r="G1254" s="4" cm="1">
        <f t="array" ref="G1254">IF($C1254&gt;=25,F1254,IF($C1254&lt;16,INDEX(Sheet1!C:C,$F1254),$F1254))</f>
        <v>12</v>
      </c>
      <c r="H1254" s="4" t="str" cm="1">
        <f t="array" ref="H1254">INDEX(Sheet1!D:D,$G1254)</f>
        <v>2001-cso-preferred-class-structure-mortality-tables.xls</v>
      </c>
      <c r="I1254" s="4" t="str" cm="1">
        <f t="array" ref="I1254">INDEX(Sheet1!E:E,$G1254)</f>
        <v>A.1.b.ii</v>
      </c>
      <c r="J1254" s="4" t="str" cm="1">
        <f t="array" ref="J1254">IF($C1254&gt;=25,INDEX(Sheet1!G:G,$G1254),INDEX(Sheet1!F:F,$G1254))</f>
        <v>AA8</v>
      </c>
      <c r="K1254" s="4" cm="1">
        <f t="array" ref="K1254">INDEX(Sheet1!H:H,$G1254)</f>
        <v>1E-3</v>
      </c>
      <c r="L1254" s="4">
        <f t="shared" si="76"/>
        <v>17</v>
      </c>
      <c r="M1254" s="4">
        <f t="shared" si="77"/>
        <v>0</v>
      </c>
    </row>
    <row r="1255" spans="1:13">
      <c r="A1255" s="4" t="str" cm="1">
        <f t="array" ref="A1255">INDEX(Sheet1!A:A,$F1255)</f>
        <v>F</v>
      </c>
      <c r="B1255" s="4" t="str" cm="1">
        <f t="array" ref="B1255">INDEX(Sheet1!B:B,$F1255)</f>
        <v>Pref Best NS</v>
      </c>
      <c r="C1255" s="4">
        <f t="shared" si="78"/>
        <v>43</v>
      </c>
      <c r="D1255" s="5" cm="1">
        <f t="array" aca="1" ref="D1255" ca="1">OFFSET(INDIRECT("'["&amp;$H1255&amp;"]"&amp;$I1255&amp;"'!"&amp;$J1255),$L1255,$M1255)*$K1255</f>
        <v>1.1000000000000001E-3</v>
      </c>
      <c r="F1255" s="4">
        <f t="shared" si="79"/>
        <v>12</v>
      </c>
      <c r="G1255" s="4" cm="1">
        <f t="array" ref="G1255">IF($C1255&gt;=25,F1255,IF($C1255&lt;16,INDEX(Sheet1!C:C,$F1255),$F1255))</f>
        <v>12</v>
      </c>
      <c r="H1255" s="4" t="str" cm="1">
        <f t="array" ref="H1255">INDEX(Sheet1!D:D,$G1255)</f>
        <v>2001-cso-preferred-class-structure-mortality-tables.xls</v>
      </c>
      <c r="I1255" s="4" t="str" cm="1">
        <f t="array" ref="I1255">INDEX(Sheet1!E:E,$G1255)</f>
        <v>A.1.b.ii</v>
      </c>
      <c r="J1255" s="4" t="str" cm="1">
        <f t="array" ref="J1255">IF($C1255&gt;=25,INDEX(Sheet1!G:G,$G1255),INDEX(Sheet1!F:F,$G1255))</f>
        <v>AA8</v>
      </c>
      <c r="K1255" s="4" cm="1">
        <f t="array" ref="K1255">INDEX(Sheet1!H:H,$G1255)</f>
        <v>1E-3</v>
      </c>
      <c r="L1255" s="4">
        <f t="shared" si="76"/>
        <v>18</v>
      </c>
      <c r="M1255" s="4">
        <f t="shared" si="77"/>
        <v>0</v>
      </c>
    </row>
    <row r="1256" spans="1:13">
      <c r="A1256" s="4" t="str" cm="1">
        <f t="array" ref="A1256">INDEX(Sheet1!A:A,$F1256)</f>
        <v>F</v>
      </c>
      <c r="B1256" s="4" t="str" cm="1">
        <f t="array" ref="B1256">INDEX(Sheet1!B:B,$F1256)</f>
        <v>Pref Best NS</v>
      </c>
      <c r="C1256" s="4">
        <f t="shared" si="78"/>
        <v>44</v>
      </c>
      <c r="D1256" s="5" cm="1">
        <f t="array" aca="1" ref="D1256" ca="1">OFFSET(INDIRECT("'["&amp;$H1256&amp;"]"&amp;$I1256&amp;"'!"&amp;$J1256),$L1256,$M1256)*$K1256</f>
        <v>1.1899999999999999E-3</v>
      </c>
      <c r="F1256" s="4">
        <f t="shared" si="79"/>
        <v>12</v>
      </c>
      <c r="G1256" s="4" cm="1">
        <f t="array" ref="G1256">IF($C1256&gt;=25,F1256,IF($C1256&lt;16,INDEX(Sheet1!C:C,$F1256),$F1256))</f>
        <v>12</v>
      </c>
      <c r="H1256" s="4" t="str" cm="1">
        <f t="array" ref="H1256">INDEX(Sheet1!D:D,$G1256)</f>
        <v>2001-cso-preferred-class-structure-mortality-tables.xls</v>
      </c>
      <c r="I1256" s="4" t="str" cm="1">
        <f t="array" ref="I1256">INDEX(Sheet1!E:E,$G1256)</f>
        <v>A.1.b.ii</v>
      </c>
      <c r="J1256" s="4" t="str" cm="1">
        <f t="array" ref="J1256">IF($C1256&gt;=25,INDEX(Sheet1!G:G,$G1256),INDEX(Sheet1!F:F,$G1256))</f>
        <v>AA8</v>
      </c>
      <c r="K1256" s="4" cm="1">
        <f t="array" ref="K1256">INDEX(Sheet1!H:H,$G1256)</f>
        <v>1E-3</v>
      </c>
      <c r="L1256" s="4">
        <f t="shared" si="76"/>
        <v>19</v>
      </c>
      <c r="M1256" s="4">
        <f t="shared" si="77"/>
        <v>0</v>
      </c>
    </row>
    <row r="1257" spans="1:13">
      <c r="A1257" s="4" t="str" cm="1">
        <f t="array" ref="A1257">INDEX(Sheet1!A:A,$F1257)</f>
        <v>F</v>
      </c>
      <c r="B1257" s="4" t="str" cm="1">
        <f t="array" ref="B1257">INDEX(Sheet1!B:B,$F1257)</f>
        <v>Pref Best NS</v>
      </c>
      <c r="C1257" s="4">
        <f t="shared" si="78"/>
        <v>45</v>
      </c>
      <c r="D1257" s="5" cm="1">
        <f t="array" aca="1" ref="D1257" ca="1">OFFSET(INDIRECT("'["&amp;$H1257&amp;"]"&amp;$I1257&amp;"'!"&amp;$J1257),$L1257,$M1257)*$K1257</f>
        <v>1.2900000000000001E-3</v>
      </c>
      <c r="F1257" s="4">
        <f t="shared" si="79"/>
        <v>12</v>
      </c>
      <c r="G1257" s="4" cm="1">
        <f t="array" ref="G1257">IF($C1257&gt;=25,F1257,IF($C1257&lt;16,INDEX(Sheet1!C:C,$F1257),$F1257))</f>
        <v>12</v>
      </c>
      <c r="H1257" s="4" t="str" cm="1">
        <f t="array" ref="H1257">INDEX(Sheet1!D:D,$G1257)</f>
        <v>2001-cso-preferred-class-structure-mortality-tables.xls</v>
      </c>
      <c r="I1257" s="4" t="str" cm="1">
        <f t="array" ref="I1257">INDEX(Sheet1!E:E,$G1257)</f>
        <v>A.1.b.ii</v>
      </c>
      <c r="J1257" s="4" t="str" cm="1">
        <f t="array" ref="J1257">IF($C1257&gt;=25,INDEX(Sheet1!G:G,$G1257),INDEX(Sheet1!F:F,$G1257))</f>
        <v>AA8</v>
      </c>
      <c r="K1257" s="4" cm="1">
        <f t="array" ref="K1257">INDEX(Sheet1!H:H,$G1257)</f>
        <v>1E-3</v>
      </c>
      <c r="L1257" s="4">
        <f t="shared" si="76"/>
        <v>20</v>
      </c>
      <c r="M1257" s="4">
        <f t="shared" si="77"/>
        <v>0</v>
      </c>
    </row>
    <row r="1258" spans="1:13">
      <c r="A1258" s="4" t="str" cm="1">
        <f t="array" ref="A1258">INDEX(Sheet1!A:A,$F1258)</f>
        <v>F</v>
      </c>
      <c r="B1258" s="4" t="str" cm="1">
        <f t="array" ref="B1258">INDEX(Sheet1!B:B,$F1258)</f>
        <v>Pref Best NS</v>
      </c>
      <c r="C1258" s="4">
        <f t="shared" si="78"/>
        <v>46</v>
      </c>
      <c r="D1258" s="5" cm="1">
        <f t="array" aca="1" ref="D1258" ca="1">OFFSET(INDIRECT("'["&amp;$H1258&amp;"]"&amp;$I1258&amp;"'!"&amp;$J1258),$L1258,$M1258)*$K1258</f>
        <v>1.42E-3</v>
      </c>
      <c r="F1258" s="4">
        <f t="shared" si="79"/>
        <v>12</v>
      </c>
      <c r="G1258" s="4" cm="1">
        <f t="array" ref="G1258">IF($C1258&gt;=25,F1258,IF($C1258&lt;16,INDEX(Sheet1!C:C,$F1258),$F1258))</f>
        <v>12</v>
      </c>
      <c r="H1258" s="4" t="str" cm="1">
        <f t="array" ref="H1258">INDEX(Sheet1!D:D,$G1258)</f>
        <v>2001-cso-preferred-class-structure-mortality-tables.xls</v>
      </c>
      <c r="I1258" s="4" t="str" cm="1">
        <f t="array" ref="I1258">INDEX(Sheet1!E:E,$G1258)</f>
        <v>A.1.b.ii</v>
      </c>
      <c r="J1258" s="4" t="str" cm="1">
        <f t="array" ref="J1258">IF($C1258&gt;=25,INDEX(Sheet1!G:G,$G1258),INDEX(Sheet1!F:F,$G1258))</f>
        <v>AA8</v>
      </c>
      <c r="K1258" s="4" cm="1">
        <f t="array" ref="K1258">INDEX(Sheet1!H:H,$G1258)</f>
        <v>1E-3</v>
      </c>
      <c r="L1258" s="4">
        <f t="shared" si="76"/>
        <v>21</v>
      </c>
      <c r="M1258" s="4">
        <f t="shared" si="77"/>
        <v>0</v>
      </c>
    </row>
    <row r="1259" spans="1:13">
      <c r="A1259" s="4" t="str" cm="1">
        <f t="array" ref="A1259">INDEX(Sheet1!A:A,$F1259)</f>
        <v>F</v>
      </c>
      <c r="B1259" s="4" t="str" cm="1">
        <f t="array" ref="B1259">INDEX(Sheet1!B:B,$F1259)</f>
        <v>Pref Best NS</v>
      </c>
      <c r="C1259" s="4">
        <f t="shared" si="78"/>
        <v>47</v>
      </c>
      <c r="D1259" s="5" cm="1">
        <f t="array" aca="1" ref="D1259" ca="1">OFFSET(INDIRECT("'["&amp;$H1259&amp;"]"&amp;$I1259&amp;"'!"&amp;$J1259),$L1259,$M1259)*$K1259</f>
        <v>1.5600000000000002E-3</v>
      </c>
      <c r="F1259" s="4">
        <f t="shared" si="79"/>
        <v>12</v>
      </c>
      <c r="G1259" s="4" cm="1">
        <f t="array" ref="G1259">IF($C1259&gt;=25,F1259,IF($C1259&lt;16,INDEX(Sheet1!C:C,$F1259),$F1259))</f>
        <v>12</v>
      </c>
      <c r="H1259" s="4" t="str" cm="1">
        <f t="array" ref="H1259">INDEX(Sheet1!D:D,$G1259)</f>
        <v>2001-cso-preferred-class-structure-mortality-tables.xls</v>
      </c>
      <c r="I1259" s="4" t="str" cm="1">
        <f t="array" ref="I1259">INDEX(Sheet1!E:E,$G1259)</f>
        <v>A.1.b.ii</v>
      </c>
      <c r="J1259" s="4" t="str" cm="1">
        <f t="array" ref="J1259">IF($C1259&gt;=25,INDEX(Sheet1!G:G,$G1259),INDEX(Sheet1!F:F,$G1259))</f>
        <v>AA8</v>
      </c>
      <c r="K1259" s="4" cm="1">
        <f t="array" ref="K1259">INDEX(Sheet1!H:H,$G1259)</f>
        <v>1E-3</v>
      </c>
      <c r="L1259" s="4">
        <f t="shared" si="76"/>
        <v>22</v>
      </c>
      <c r="M1259" s="4">
        <f t="shared" si="77"/>
        <v>0</v>
      </c>
    </row>
    <row r="1260" spans="1:13">
      <c r="A1260" s="4" t="str" cm="1">
        <f t="array" ref="A1260">INDEX(Sheet1!A:A,$F1260)</f>
        <v>F</v>
      </c>
      <c r="B1260" s="4" t="str" cm="1">
        <f t="array" ref="B1260">INDEX(Sheet1!B:B,$F1260)</f>
        <v>Pref Best NS</v>
      </c>
      <c r="C1260" s="4">
        <f t="shared" si="78"/>
        <v>48</v>
      </c>
      <c r="D1260" s="5" cm="1">
        <f t="array" aca="1" ref="D1260" ca="1">OFFSET(INDIRECT("'["&amp;$H1260&amp;"]"&amp;$I1260&amp;"'!"&amp;$J1260),$L1260,$M1260)*$K1260</f>
        <v>1.75E-3</v>
      </c>
      <c r="F1260" s="4">
        <f t="shared" si="79"/>
        <v>12</v>
      </c>
      <c r="G1260" s="4" cm="1">
        <f t="array" ref="G1260">IF($C1260&gt;=25,F1260,IF($C1260&lt;16,INDEX(Sheet1!C:C,$F1260),$F1260))</f>
        <v>12</v>
      </c>
      <c r="H1260" s="4" t="str" cm="1">
        <f t="array" ref="H1260">INDEX(Sheet1!D:D,$G1260)</f>
        <v>2001-cso-preferred-class-structure-mortality-tables.xls</v>
      </c>
      <c r="I1260" s="4" t="str" cm="1">
        <f t="array" ref="I1260">INDEX(Sheet1!E:E,$G1260)</f>
        <v>A.1.b.ii</v>
      </c>
      <c r="J1260" s="4" t="str" cm="1">
        <f t="array" ref="J1260">IF($C1260&gt;=25,INDEX(Sheet1!G:G,$G1260),INDEX(Sheet1!F:F,$G1260))</f>
        <v>AA8</v>
      </c>
      <c r="K1260" s="4" cm="1">
        <f t="array" ref="K1260">INDEX(Sheet1!H:H,$G1260)</f>
        <v>1E-3</v>
      </c>
      <c r="L1260" s="4">
        <f t="shared" si="76"/>
        <v>23</v>
      </c>
      <c r="M1260" s="4">
        <f t="shared" si="77"/>
        <v>0</v>
      </c>
    </row>
    <row r="1261" spans="1:13">
      <c r="A1261" s="4" t="str" cm="1">
        <f t="array" ref="A1261">INDEX(Sheet1!A:A,$F1261)</f>
        <v>F</v>
      </c>
      <c r="B1261" s="4" t="str" cm="1">
        <f t="array" ref="B1261">INDEX(Sheet1!B:B,$F1261)</f>
        <v>Pref Best NS</v>
      </c>
      <c r="C1261" s="4">
        <f t="shared" si="78"/>
        <v>49</v>
      </c>
      <c r="D1261" s="5" cm="1">
        <f t="array" aca="1" ref="D1261" ca="1">OFFSET(INDIRECT("'["&amp;$H1261&amp;"]"&amp;$I1261&amp;"'!"&amp;$J1261),$L1261,$M1261)*$K1261</f>
        <v>1.9300000000000001E-3</v>
      </c>
      <c r="F1261" s="4">
        <f t="shared" si="79"/>
        <v>12</v>
      </c>
      <c r="G1261" s="4" cm="1">
        <f t="array" ref="G1261">IF($C1261&gt;=25,F1261,IF($C1261&lt;16,INDEX(Sheet1!C:C,$F1261),$F1261))</f>
        <v>12</v>
      </c>
      <c r="H1261" s="4" t="str" cm="1">
        <f t="array" ref="H1261">INDEX(Sheet1!D:D,$G1261)</f>
        <v>2001-cso-preferred-class-structure-mortality-tables.xls</v>
      </c>
      <c r="I1261" s="4" t="str" cm="1">
        <f t="array" ref="I1261">INDEX(Sheet1!E:E,$G1261)</f>
        <v>A.1.b.ii</v>
      </c>
      <c r="J1261" s="4" t="str" cm="1">
        <f t="array" ref="J1261">IF($C1261&gt;=25,INDEX(Sheet1!G:G,$G1261),INDEX(Sheet1!F:F,$G1261))</f>
        <v>AA8</v>
      </c>
      <c r="K1261" s="4" cm="1">
        <f t="array" ref="K1261">INDEX(Sheet1!H:H,$G1261)</f>
        <v>1E-3</v>
      </c>
      <c r="L1261" s="4">
        <f t="shared" si="76"/>
        <v>24</v>
      </c>
      <c r="M1261" s="4">
        <f t="shared" si="77"/>
        <v>0</v>
      </c>
    </row>
    <row r="1262" spans="1:13">
      <c r="A1262" s="4" t="str" cm="1">
        <f t="array" ref="A1262">INDEX(Sheet1!A:A,$F1262)</f>
        <v>F</v>
      </c>
      <c r="B1262" s="4" t="str" cm="1">
        <f t="array" ref="B1262">INDEX(Sheet1!B:B,$F1262)</f>
        <v>Pref Best NS</v>
      </c>
      <c r="C1262" s="4">
        <f t="shared" si="78"/>
        <v>50</v>
      </c>
      <c r="D1262" s="5" cm="1">
        <f t="array" aca="1" ref="D1262" ca="1">OFFSET(INDIRECT("'["&amp;$H1262&amp;"]"&amp;$I1262&amp;"'!"&amp;$J1262),$L1262,$M1262)*$K1262</f>
        <v>2.15E-3</v>
      </c>
      <c r="F1262" s="4">
        <f t="shared" si="79"/>
        <v>12</v>
      </c>
      <c r="G1262" s="4" cm="1">
        <f t="array" ref="G1262">IF($C1262&gt;=25,F1262,IF($C1262&lt;16,INDEX(Sheet1!C:C,$F1262),$F1262))</f>
        <v>12</v>
      </c>
      <c r="H1262" s="4" t="str" cm="1">
        <f t="array" ref="H1262">INDEX(Sheet1!D:D,$G1262)</f>
        <v>2001-cso-preferred-class-structure-mortality-tables.xls</v>
      </c>
      <c r="I1262" s="4" t="str" cm="1">
        <f t="array" ref="I1262">INDEX(Sheet1!E:E,$G1262)</f>
        <v>A.1.b.ii</v>
      </c>
      <c r="J1262" s="4" t="str" cm="1">
        <f t="array" ref="J1262">IF($C1262&gt;=25,INDEX(Sheet1!G:G,$G1262),INDEX(Sheet1!F:F,$G1262))</f>
        <v>AA8</v>
      </c>
      <c r="K1262" s="4" cm="1">
        <f t="array" ref="K1262">INDEX(Sheet1!H:H,$G1262)</f>
        <v>1E-3</v>
      </c>
      <c r="L1262" s="4">
        <f t="shared" si="76"/>
        <v>25</v>
      </c>
      <c r="M1262" s="4">
        <f t="shared" si="77"/>
        <v>0</v>
      </c>
    </row>
    <row r="1263" spans="1:13">
      <c r="A1263" s="4" t="str" cm="1">
        <f t="array" ref="A1263">INDEX(Sheet1!A:A,$F1263)</f>
        <v>F</v>
      </c>
      <c r="B1263" s="4" t="str" cm="1">
        <f t="array" ref="B1263">INDEX(Sheet1!B:B,$F1263)</f>
        <v>Pref Best NS</v>
      </c>
      <c r="C1263" s="4">
        <f t="shared" si="78"/>
        <v>51</v>
      </c>
      <c r="D1263" s="5" cm="1">
        <f t="array" aca="1" ref="D1263" ca="1">OFFSET(INDIRECT("'["&amp;$H1263&amp;"]"&amp;$I1263&amp;"'!"&amp;$J1263),$L1263,$M1263)*$K1263</f>
        <v>2.3799999999999997E-3</v>
      </c>
      <c r="F1263" s="4">
        <f t="shared" si="79"/>
        <v>12</v>
      </c>
      <c r="G1263" s="4" cm="1">
        <f t="array" ref="G1263">IF($C1263&gt;=25,F1263,IF($C1263&lt;16,INDEX(Sheet1!C:C,$F1263),$F1263))</f>
        <v>12</v>
      </c>
      <c r="H1263" s="4" t="str" cm="1">
        <f t="array" ref="H1263">INDEX(Sheet1!D:D,$G1263)</f>
        <v>2001-cso-preferred-class-structure-mortality-tables.xls</v>
      </c>
      <c r="I1263" s="4" t="str" cm="1">
        <f t="array" ref="I1263">INDEX(Sheet1!E:E,$G1263)</f>
        <v>A.1.b.ii</v>
      </c>
      <c r="J1263" s="4" t="str" cm="1">
        <f t="array" ref="J1263">IF($C1263&gt;=25,INDEX(Sheet1!G:G,$G1263),INDEX(Sheet1!F:F,$G1263))</f>
        <v>AA8</v>
      </c>
      <c r="K1263" s="4" cm="1">
        <f t="array" ref="K1263">INDEX(Sheet1!H:H,$G1263)</f>
        <v>1E-3</v>
      </c>
      <c r="L1263" s="4">
        <f t="shared" si="76"/>
        <v>26</v>
      </c>
      <c r="M1263" s="4">
        <f t="shared" si="77"/>
        <v>0</v>
      </c>
    </row>
    <row r="1264" spans="1:13">
      <c r="A1264" s="4" t="str" cm="1">
        <f t="array" ref="A1264">INDEX(Sheet1!A:A,$F1264)</f>
        <v>F</v>
      </c>
      <c r="B1264" s="4" t="str" cm="1">
        <f t="array" ref="B1264">INDEX(Sheet1!B:B,$F1264)</f>
        <v>Pref Best NS</v>
      </c>
      <c r="C1264" s="4">
        <f t="shared" si="78"/>
        <v>52</v>
      </c>
      <c r="D1264" s="5" cm="1">
        <f t="array" aca="1" ref="D1264" ca="1">OFFSET(INDIRECT("'["&amp;$H1264&amp;"]"&amp;$I1264&amp;"'!"&amp;$J1264),$L1264,$M1264)*$K1264</f>
        <v>2.6800000000000001E-3</v>
      </c>
      <c r="F1264" s="4">
        <f t="shared" si="79"/>
        <v>12</v>
      </c>
      <c r="G1264" s="4" cm="1">
        <f t="array" ref="G1264">IF($C1264&gt;=25,F1264,IF($C1264&lt;16,INDEX(Sheet1!C:C,$F1264),$F1264))</f>
        <v>12</v>
      </c>
      <c r="H1264" s="4" t="str" cm="1">
        <f t="array" ref="H1264">INDEX(Sheet1!D:D,$G1264)</f>
        <v>2001-cso-preferred-class-structure-mortality-tables.xls</v>
      </c>
      <c r="I1264" s="4" t="str" cm="1">
        <f t="array" ref="I1264">INDEX(Sheet1!E:E,$G1264)</f>
        <v>A.1.b.ii</v>
      </c>
      <c r="J1264" s="4" t="str" cm="1">
        <f t="array" ref="J1264">IF($C1264&gt;=25,INDEX(Sheet1!G:G,$G1264),INDEX(Sheet1!F:F,$G1264))</f>
        <v>AA8</v>
      </c>
      <c r="K1264" s="4" cm="1">
        <f t="array" ref="K1264">INDEX(Sheet1!H:H,$G1264)</f>
        <v>1E-3</v>
      </c>
      <c r="L1264" s="4">
        <f t="shared" si="76"/>
        <v>27</v>
      </c>
      <c r="M1264" s="4">
        <f t="shared" si="77"/>
        <v>0</v>
      </c>
    </row>
    <row r="1265" spans="1:13">
      <c r="A1265" s="4" t="str" cm="1">
        <f t="array" ref="A1265">INDEX(Sheet1!A:A,$F1265)</f>
        <v>F</v>
      </c>
      <c r="B1265" s="4" t="str" cm="1">
        <f t="array" ref="B1265">INDEX(Sheet1!B:B,$F1265)</f>
        <v>Pref Best NS</v>
      </c>
      <c r="C1265" s="4">
        <f t="shared" si="78"/>
        <v>53</v>
      </c>
      <c r="D1265" s="5" cm="1">
        <f t="array" aca="1" ref="D1265" ca="1">OFFSET(INDIRECT("'["&amp;$H1265&amp;"]"&amp;$I1265&amp;"'!"&amp;$J1265),$L1265,$M1265)*$K1265</f>
        <v>2.9900000000000005E-3</v>
      </c>
      <c r="F1265" s="4">
        <f t="shared" si="79"/>
        <v>12</v>
      </c>
      <c r="G1265" s="4" cm="1">
        <f t="array" ref="G1265">IF($C1265&gt;=25,F1265,IF($C1265&lt;16,INDEX(Sheet1!C:C,$F1265),$F1265))</f>
        <v>12</v>
      </c>
      <c r="H1265" s="4" t="str" cm="1">
        <f t="array" ref="H1265">INDEX(Sheet1!D:D,$G1265)</f>
        <v>2001-cso-preferred-class-structure-mortality-tables.xls</v>
      </c>
      <c r="I1265" s="4" t="str" cm="1">
        <f t="array" ref="I1265">INDEX(Sheet1!E:E,$G1265)</f>
        <v>A.1.b.ii</v>
      </c>
      <c r="J1265" s="4" t="str" cm="1">
        <f t="array" ref="J1265">IF($C1265&gt;=25,INDEX(Sheet1!G:G,$G1265),INDEX(Sheet1!F:F,$G1265))</f>
        <v>AA8</v>
      </c>
      <c r="K1265" s="4" cm="1">
        <f t="array" ref="K1265">INDEX(Sheet1!H:H,$G1265)</f>
        <v>1E-3</v>
      </c>
      <c r="L1265" s="4">
        <f t="shared" si="76"/>
        <v>28</v>
      </c>
      <c r="M1265" s="4">
        <f t="shared" si="77"/>
        <v>0</v>
      </c>
    </row>
    <row r="1266" spans="1:13">
      <c r="A1266" s="4" t="str" cm="1">
        <f t="array" ref="A1266">INDEX(Sheet1!A:A,$F1266)</f>
        <v>F</v>
      </c>
      <c r="B1266" s="4" t="str" cm="1">
        <f t="array" ref="B1266">INDEX(Sheet1!B:B,$F1266)</f>
        <v>Pref Best NS</v>
      </c>
      <c r="C1266" s="4">
        <f t="shared" si="78"/>
        <v>54</v>
      </c>
      <c r="D1266" s="5" cm="1">
        <f t="array" aca="1" ref="D1266" ca="1">OFFSET(INDIRECT("'["&amp;$H1266&amp;"]"&amp;$I1266&amp;"'!"&amp;$J1266),$L1266,$M1266)*$K1266</f>
        <v>3.3300000000000001E-3</v>
      </c>
      <c r="F1266" s="4">
        <f t="shared" si="79"/>
        <v>12</v>
      </c>
      <c r="G1266" s="4" cm="1">
        <f t="array" ref="G1266">IF($C1266&gt;=25,F1266,IF($C1266&lt;16,INDEX(Sheet1!C:C,$F1266),$F1266))</f>
        <v>12</v>
      </c>
      <c r="H1266" s="4" t="str" cm="1">
        <f t="array" ref="H1266">INDEX(Sheet1!D:D,$G1266)</f>
        <v>2001-cso-preferred-class-structure-mortality-tables.xls</v>
      </c>
      <c r="I1266" s="4" t="str" cm="1">
        <f t="array" ref="I1266">INDEX(Sheet1!E:E,$G1266)</f>
        <v>A.1.b.ii</v>
      </c>
      <c r="J1266" s="4" t="str" cm="1">
        <f t="array" ref="J1266">IF($C1266&gt;=25,INDEX(Sheet1!G:G,$G1266),INDEX(Sheet1!F:F,$G1266))</f>
        <v>AA8</v>
      </c>
      <c r="K1266" s="4" cm="1">
        <f t="array" ref="K1266">INDEX(Sheet1!H:H,$G1266)</f>
        <v>1E-3</v>
      </c>
      <c r="L1266" s="4">
        <f t="shared" si="76"/>
        <v>29</v>
      </c>
      <c r="M1266" s="4">
        <f t="shared" si="77"/>
        <v>0</v>
      </c>
    </row>
    <row r="1267" spans="1:13">
      <c r="A1267" s="4" t="str" cm="1">
        <f t="array" ref="A1267">INDEX(Sheet1!A:A,$F1267)</f>
        <v>F</v>
      </c>
      <c r="B1267" s="4" t="str" cm="1">
        <f t="array" ref="B1267">INDEX(Sheet1!B:B,$F1267)</f>
        <v>Pref Best NS</v>
      </c>
      <c r="C1267" s="4">
        <f t="shared" si="78"/>
        <v>55</v>
      </c>
      <c r="D1267" s="5" cm="1">
        <f t="array" aca="1" ref="D1267" ca="1">OFFSET(INDIRECT("'["&amp;$H1267&amp;"]"&amp;$I1267&amp;"'!"&amp;$J1267),$L1267,$M1267)*$K1267</f>
        <v>3.7000000000000002E-3</v>
      </c>
      <c r="F1267" s="4">
        <f t="shared" si="79"/>
        <v>12</v>
      </c>
      <c r="G1267" s="4" cm="1">
        <f t="array" ref="G1267">IF($C1267&gt;=25,F1267,IF($C1267&lt;16,INDEX(Sheet1!C:C,$F1267),$F1267))</f>
        <v>12</v>
      </c>
      <c r="H1267" s="4" t="str" cm="1">
        <f t="array" ref="H1267">INDEX(Sheet1!D:D,$G1267)</f>
        <v>2001-cso-preferred-class-structure-mortality-tables.xls</v>
      </c>
      <c r="I1267" s="4" t="str" cm="1">
        <f t="array" ref="I1267">INDEX(Sheet1!E:E,$G1267)</f>
        <v>A.1.b.ii</v>
      </c>
      <c r="J1267" s="4" t="str" cm="1">
        <f t="array" ref="J1267">IF($C1267&gt;=25,INDEX(Sheet1!G:G,$G1267),INDEX(Sheet1!F:F,$G1267))</f>
        <v>AA8</v>
      </c>
      <c r="K1267" s="4" cm="1">
        <f t="array" ref="K1267">INDEX(Sheet1!H:H,$G1267)</f>
        <v>1E-3</v>
      </c>
      <c r="L1267" s="4">
        <f t="shared" si="76"/>
        <v>30</v>
      </c>
      <c r="M1267" s="4">
        <f t="shared" si="77"/>
        <v>0</v>
      </c>
    </row>
    <row r="1268" spans="1:13">
      <c r="A1268" s="4" t="str" cm="1">
        <f t="array" ref="A1268">INDEX(Sheet1!A:A,$F1268)</f>
        <v>F</v>
      </c>
      <c r="B1268" s="4" t="str" cm="1">
        <f t="array" ref="B1268">INDEX(Sheet1!B:B,$F1268)</f>
        <v>Pref Best NS</v>
      </c>
      <c r="C1268" s="4">
        <f t="shared" si="78"/>
        <v>56</v>
      </c>
      <c r="D1268" s="5" cm="1">
        <f t="array" aca="1" ref="D1268" ca="1">OFFSET(INDIRECT("'["&amp;$H1268&amp;"]"&amp;$I1268&amp;"'!"&amp;$J1268),$L1268,$M1268)*$K1268</f>
        <v>4.13E-3</v>
      </c>
      <c r="F1268" s="4">
        <f t="shared" si="79"/>
        <v>12</v>
      </c>
      <c r="G1268" s="4" cm="1">
        <f t="array" ref="G1268">IF($C1268&gt;=25,F1268,IF($C1268&lt;16,INDEX(Sheet1!C:C,$F1268),$F1268))</f>
        <v>12</v>
      </c>
      <c r="H1268" s="4" t="str" cm="1">
        <f t="array" ref="H1268">INDEX(Sheet1!D:D,$G1268)</f>
        <v>2001-cso-preferred-class-structure-mortality-tables.xls</v>
      </c>
      <c r="I1268" s="4" t="str" cm="1">
        <f t="array" ref="I1268">INDEX(Sheet1!E:E,$G1268)</f>
        <v>A.1.b.ii</v>
      </c>
      <c r="J1268" s="4" t="str" cm="1">
        <f t="array" ref="J1268">IF($C1268&gt;=25,INDEX(Sheet1!G:G,$G1268),INDEX(Sheet1!F:F,$G1268))</f>
        <v>AA8</v>
      </c>
      <c r="K1268" s="4" cm="1">
        <f t="array" ref="K1268">INDEX(Sheet1!H:H,$G1268)</f>
        <v>1E-3</v>
      </c>
      <c r="L1268" s="4">
        <f t="shared" si="76"/>
        <v>31</v>
      </c>
      <c r="M1268" s="4">
        <f t="shared" si="77"/>
        <v>0</v>
      </c>
    </row>
    <row r="1269" spans="1:13">
      <c r="A1269" s="4" t="str" cm="1">
        <f t="array" ref="A1269">INDEX(Sheet1!A:A,$F1269)</f>
        <v>F</v>
      </c>
      <c r="B1269" s="4" t="str" cm="1">
        <f t="array" ref="B1269">INDEX(Sheet1!B:B,$F1269)</f>
        <v>Pref Best NS</v>
      </c>
      <c r="C1269" s="4">
        <f t="shared" si="78"/>
        <v>57</v>
      </c>
      <c r="D1269" s="5" cm="1">
        <f t="array" aca="1" ref="D1269" ca="1">OFFSET(INDIRECT("'["&amp;$H1269&amp;"]"&amp;$I1269&amp;"'!"&amp;$J1269),$L1269,$M1269)*$K1269</f>
        <v>4.5900000000000003E-3</v>
      </c>
      <c r="F1269" s="4">
        <f t="shared" si="79"/>
        <v>12</v>
      </c>
      <c r="G1269" s="4" cm="1">
        <f t="array" ref="G1269">IF($C1269&gt;=25,F1269,IF($C1269&lt;16,INDEX(Sheet1!C:C,$F1269),$F1269))</f>
        <v>12</v>
      </c>
      <c r="H1269" s="4" t="str" cm="1">
        <f t="array" ref="H1269">INDEX(Sheet1!D:D,$G1269)</f>
        <v>2001-cso-preferred-class-structure-mortality-tables.xls</v>
      </c>
      <c r="I1269" s="4" t="str" cm="1">
        <f t="array" ref="I1269">INDEX(Sheet1!E:E,$G1269)</f>
        <v>A.1.b.ii</v>
      </c>
      <c r="J1269" s="4" t="str" cm="1">
        <f t="array" ref="J1269">IF($C1269&gt;=25,INDEX(Sheet1!G:G,$G1269),INDEX(Sheet1!F:F,$G1269))</f>
        <v>AA8</v>
      </c>
      <c r="K1269" s="4" cm="1">
        <f t="array" ref="K1269">INDEX(Sheet1!H:H,$G1269)</f>
        <v>1E-3</v>
      </c>
      <c r="L1269" s="4">
        <f t="shared" si="76"/>
        <v>32</v>
      </c>
      <c r="M1269" s="4">
        <f t="shared" si="77"/>
        <v>0</v>
      </c>
    </row>
    <row r="1270" spans="1:13">
      <c r="A1270" s="4" t="str" cm="1">
        <f t="array" ref="A1270">INDEX(Sheet1!A:A,$F1270)</f>
        <v>F</v>
      </c>
      <c r="B1270" s="4" t="str" cm="1">
        <f t="array" ref="B1270">INDEX(Sheet1!B:B,$F1270)</f>
        <v>Pref Best NS</v>
      </c>
      <c r="C1270" s="4">
        <f t="shared" si="78"/>
        <v>58</v>
      </c>
      <c r="D1270" s="5" cm="1">
        <f t="array" aca="1" ref="D1270" ca="1">OFFSET(INDIRECT("'["&amp;$H1270&amp;"]"&amp;$I1270&amp;"'!"&amp;$J1270),$L1270,$M1270)*$K1270</f>
        <v>5.0899999999999999E-3</v>
      </c>
      <c r="F1270" s="4">
        <f t="shared" si="79"/>
        <v>12</v>
      </c>
      <c r="G1270" s="4" cm="1">
        <f t="array" ref="G1270">IF($C1270&gt;=25,F1270,IF($C1270&lt;16,INDEX(Sheet1!C:C,$F1270),$F1270))</f>
        <v>12</v>
      </c>
      <c r="H1270" s="4" t="str" cm="1">
        <f t="array" ref="H1270">INDEX(Sheet1!D:D,$G1270)</f>
        <v>2001-cso-preferred-class-structure-mortality-tables.xls</v>
      </c>
      <c r="I1270" s="4" t="str" cm="1">
        <f t="array" ref="I1270">INDEX(Sheet1!E:E,$G1270)</f>
        <v>A.1.b.ii</v>
      </c>
      <c r="J1270" s="4" t="str" cm="1">
        <f t="array" ref="J1270">IF($C1270&gt;=25,INDEX(Sheet1!G:G,$G1270),INDEX(Sheet1!F:F,$G1270))</f>
        <v>AA8</v>
      </c>
      <c r="K1270" s="4" cm="1">
        <f t="array" ref="K1270">INDEX(Sheet1!H:H,$G1270)</f>
        <v>1E-3</v>
      </c>
      <c r="L1270" s="4">
        <f t="shared" si="76"/>
        <v>33</v>
      </c>
      <c r="M1270" s="4">
        <f t="shared" si="77"/>
        <v>0</v>
      </c>
    </row>
    <row r="1271" spans="1:13">
      <c r="A1271" s="4" t="str" cm="1">
        <f t="array" ref="A1271">INDEX(Sheet1!A:A,$F1271)</f>
        <v>F</v>
      </c>
      <c r="B1271" s="4" t="str" cm="1">
        <f t="array" ref="B1271">INDEX(Sheet1!B:B,$F1271)</f>
        <v>Pref Best NS</v>
      </c>
      <c r="C1271" s="4">
        <f t="shared" si="78"/>
        <v>59</v>
      </c>
      <c r="D1271" s="5" cm="1">
        <f t="array" aca="1" ref="D1271" ca="1">OFFSET(INDIRECT("'["&amp;$H1271&amp;"]"&amp;$I1271&amp;"'!"&amp;$J1271),$L1271,$M1271)*$K1271</f>
        <v>5.5999999999999999E-3</v>
      </c>
      <c r="F1271" s="4">
        <f t="shared" si="79"/>
        <v>12</v>
      </c>
      <c r="G1271" s="4" cm="1">
        <f t="array" ref="G1271">IF($C1271&gt;=25,F1271,IF($C1271&lt;16,INDEX(Sheet1!C:C,$F1271),$F1271))</f>
        <v>12</v>
      </c>
      <c r="H1271" s="4" t="str" cm="1">
        <f t="array" ref="H1271">INDEX(Sheet1!D:D,$G1271)</f>
        <v>2001-cso-preferred-class-structure-mortality-tables.xls</v>
      </c>
      <c r="I1271" s="4" t="str" cm="1">
        <f t="array" ref="I1271">INDEX(Sheet1!E:E,$G1271)</f>
        <v>A.1.b.ii</v>
      </c>
      <c r="J1271" s="4" t="str" cm="1">
        <f t="array" ref="J1271">IF($C1271&gt;=25,INDEX(Sheet1!G:G,$G1271),INDEX(Sheet1!F:F,$G1271))</f>
        <v>AA8</v>
      </c>
      <c r="K1271" s="4" cm="1">
        <f t="array" ref="K1271">INDEX(Sheet1!H:H,$G1271)</f>
        <v>1E-3</v>
      </c>
      <c r="L1271" s="4">
        <f t="shared" si="76"/>
        <v>34</v>
      </c>
      <c r="M1271" s="4">
        <f t="shared" si="77"/>
        <v>0</v>
      </c>
    </row>
    <row r="1272" spans="1:13">
      <c r="A1272" s="4" t="str" cm="1">
        <f t="array" ref="A1272">INDEX(Sheet1!A:A,$F1272)</f>
        <v>F</v>
      </c>
      <c r="B1272" s="4" t="str" cm="1">
        <f t="array" ref="B1272">INDEX(Sheet1!B:B,$F1272)</f>
        <v>Pref Best NS</v>
      </c>
      <c r="C1272" s="4">
        <f t="shared" si="78"/>
        <v>60</v>
      </c>
      <c r="D1272" s="5" cm="1">
        <f t="array" aca="1" ref="D1272" ca="1">OFFSET(INDIRECT("'["&amp;$H1272&amp;"]"&amp;$I1272&amp;"'!"&amp;$J1272),$L1272,$M1272)*$K1272</f>
        <v>6.0800000000000003E-3</v>
      </c>
      <c r="F1272" s="4">
        <f t="shared" si="79"/>
        <v>12</v>
      </c>
      <c r="G1272" s="4" cm="1">
        <f t="array" ref="G1272">IF($C1272&gt;=25,F1272,IF($C1272&lt;16,INDEX(Sheet1!C:C,$F1272),$F1272))</f>
        <v>12</v>
      </c>
      <c r="H1272" s="4" t="str" cm="1">
        <f t="array" ref="H1272">INDEX(Sheet1!D:D,$G1272)</f>
        <v>2001-cso-preferred-class-structure-mortality-tables.xls</v>
      </c>
      <c r="I1272" s="4" t="str" cm="1">
        <f t="array" ref="I1272">INDEX(Sheet1!E:E,$G1272)</f>
        <v>A.1.b.ii</v>
      </c>
      <c r="J1272" s="4" t="str" cm="1">
        <f t="array" ref="J1272">IF($C1272&gt;=25,INDEX(Sheet1!G:G,$G1272),INDEX(Sheet1!F:F,$G1272))</f>
        <v>AA8</v>
      </c>
      <c r="K1272" s="4" cm="1">
        <f t="array" ref="K1272">INDEX(Sheet1!H:H,$G1272)</f>
        <v>1E-3</v>
      </c>
      <c r="L1272" s="4">
        <f t="shared" si="76"/>
        <v>35</v>
      </c>
      <c r="M1272" s="4">
        <f t="shared" si="77"/>
        <v>0</v>
      </c>
    </row>
    <row r="1273" spans="1:13">
      <c r="A1273" s="4" t="str" cm="1">
        <f t="array" ref="A1273">INDEX(Sheet1!A:A,$F1273)</f>
        <v>F</v>
      </c>
      <c r="B1273" s="4" t="str" cm="1">
        <f t="array" ref="B1273">INDEX(Sheet1!B:B,$F1273)</f>
        <v>Pref Best NS</v>
      </c>
      <c r="C1273" s="4">
        <f t="shared" si="78"/>
        <v>61</v>
      </c>
      <c r="D1273" s="5" cm="1">
        <f t="array" aca="1" ref="D1273" ca="1">OFFSET(INDIRECT("'["&amp;$H1273&amp;"]"&amp;$I1273&amp;"'!"&amp;$J1273),$L1273,$M1273)*$K1273</f>
        <v>6.5900000000000004E-3</v>
      </c>
      <c r="F1273" s="4">
        <f t="shared" si="79"/>
        <v>12</v>
      </c>
      <c r="G1273" s="4" cm="1">
        <f t="array" ref="G1273">IF($C1273&gt;=25,F1273,IF($C1273&lt;16,INDEX(Sheet1!C:C,$F1273),$F1273))</f>
        <v>12</v>
      </c>
      <c r="H1273" s="4" t="str" cm="1">
        <f t="array" ref="H1273">INDEX(Sheet1!D:D,$G1273)</f>
        <v>2001-cso-preferred-class-structure-mortality-tables.xls</v>
      </c>
      <c r="I1273" s="4" t="str" cm="1">
        <f t="array" ref="I1273">INDEX(Sheet1!E:E,$G1273)</f>
        <v>A.1.b.ii</v>
      </c>
      <c r="J1273" s="4" t="str" cm="1">
        <f t="array" ref="J1273">IF($C1273&gt;=25,INDEX(Sheet1!G:G,$G1273),INDEX(Sheet1!F:F,$G1273))</f>
        <v>AA8</v>
      </c>
      <c r="K1273" s="4" cm="1">
        <f t="array" ref="K1273">INDEX(Sheet1!H:H,$G1273)</f>
        <v>1E-3</v>
      </c>
      <c r="L1273" s="4">
        <f t="shared" si="76"/>
        <v>36</v>
      </c>
      <c r="M1273" s="4">
        <f t="shared" si="77"/>
        <v>0</v>
      </c>
    </row>
    <row r="1274" spans="1:13">
      <c r="A1274" s="4" t="str" cm="1">
        <f t="array" ref="A1274">INDEX(Sheet1!A:A,$F1274)</f>
        <v>F</v>
      </c>
      <c r="B1274" s="4" t="str" cm="1">
        <f t="array" ref="B1274">INDEX(Sheet1!B:B,$F1274)</f>
        <v>Pref Best NS</v>
      </c>
      <c r="C1274" s="4">
        <f t="shared" si="78"/>
        <v>62</v>
      </c>
      <c r="D1274" s="5" cm="1">
        <f t="array" aca="1" ref="D1274" ca="1">OFFSET(INDIRECT("'["&amp;$H1274&amp;"]"&amp;$I1274&amp;"'!"&amp;$J1274),$L1274,$M1274)*$K1274</f>
        <v>7.1399999999999996E-3</v>
      </c>
      <c r="F1274" s="4">
        <f t="shared" si="79"/>
        <v>12</v>
      </c>
      <c r="G1274" s="4" cm="1">
        <f t="array" ref="G1274">IF($C1274&gt;=25,F1274,IF($C1274&lt;16,INDEX(Sheet1!C:C,$F1274),$F1274))</f>
        <v>12</v>
      </c>
      <c r="H1274" s="4" t="str" cm="1">
        <f t="array" ref="H1274">INDEX(Sheet1!D:D,$G1274)</f>
        <v>2001-cso-preferred-class-structure-mortality-tables.xls</v>
      </c>
      <c r="I1274" s="4" t="str" cm="1">
        <f t="array" ref="I1274">INDEX(Sheet1!E:E,$G1274)</f>
        <v>A.1.b.ii</v>
      </c>
      <c r="J1274" s="4" t="str" cm="1">
        <f t="array" ref="J1274">IF($C1274&gt;=25,INDEX(Sheet1!G:G,$G1274),INDEX(Sheet1!F:F,$G1274))</f>
        <v>AA8</v>
      </c>
      <c r="K1274" s="4" cm="1">
        <f t="array" ref="K1274">INDEX(Sheet1!H:H,$G1274)</f>
        <v>1E-3</v>
      </c>
      <c r="L1274" s="4">
        <f t="shared" si="76"/>
        <v>37</v>
      </c>
      <c r="M1274" s="4">
        <f t="shared" si="77"/>
        <v>0</v>
      </c>
    </row>
    <row r="1275" spans="1:13">
      <c r="A1275" s="4" t="str" cm="1">
        <f t="array" ref="A1275">INDEX(Sheet1!A:A,$F1275)</f>
        <v>F</v>
      </c>
      <c r="B1275" s="4" t="str" cm="1">
        <f t="array" ref="B1275">INDEX(Sheet1!B:B,$F1275)</f>
        <v>Pref Best NS</v>
      </c>
      <c r="C1275" s="4">
        <f t="shared" si="78"/>
        <v>63</v>
      </c>
      <c r="D1275" s="5" cm="1">
        <f t="array" aca="1" ref="D1275" ca="1">OFFSET(INDIRECT("'["&amp;$H1275&amp;"]"&amp;$I1275&amp;"'!"&amp;$J1275),$L1275,$M1275)*$K1275</f>
        <v>7.7200000000000003E-3</v>
      </c>
      <c r="F1275" s="4">
        <f t="shared" si="79"/>
        <v>12</v>
      </c>
      <c r="G1275" s="4" cm="1">
        <f t="array" ref="G1275">IF($C1275&gt;=25,F1275,IF($C1275&lt;16,INDEX(Sheet1!C:C,$F1275),$F1275))</f>
        <v>12</v>
      </c>
      <c r="H1275" s="4" t="str" cm="1">
        <f t="array" ref="H1275">INDEX(Sheet1!D:D,$G1275)</f>
        <v>2001-cso-preferred-class-structure-mortality-tables.xls</v>
      </c>
      <c r="I1275" s="4" t="str" cm="1">
        <f t="array" ref="I1275">INDEX(Sheet1!E:E,$G1275)</f>
        <v>A.1.b.ii</v>
      </c>
      <c r="J1275" s="4" t="str" cm="1">
        <f t="array" ref="J1275">IF($C1275&gt;=25,INDEX(Sheet1!G:G,$G1275),INDEX(Sheet1!F:F,$G1275))</f>
        <v>AA8</v>
      </c>
      <c r="K1275" s="4" cm="1">
        <f t="array" ref="K1275">INDEX(Sheet1!H:H,$G1275)</f>
        <v>1E-3</v>
      </c>
      <c r="L1275" s="4">
        <f t="shared" si="76"/>
        <v>38</v>
      </c>
      <c r="M1275" s="4">
        <f t="shared" si="77"/>
        <v>0</v>
      </c>
    </row>
    <row r="1276" spans="1:13">
      <c r="A1276" s="4" t="str" cm="1">
        <f t="array" ref="A1276">INDEX(Sheet1!A:A,$F1276)</f>
        <v>F</v>
      </c>
      <c r="B1276" s="4" t="str" cm="1">
        <f t="array" ref="B1276">INDEX(Sheet1!B:B,$F1276)</f>
        <v>Pref Best NS</v>
      </c>
      <c r="C1276" s="4">
        <f t="shared" si="78"/>
        <v>64</v>
      </c>
      <c r="D1276" s="5" cm="1">
        <f t="array" aca="1" ref="D1276" ca="1">OFFSET(INDIRECT("'["&amp;$H1276&amp;"]"&amp;$I1276&amp;"'!"&amp;$J1276),$L1276,$M1276)*$K1276</f>
        <v>8.3499999999999998E-3</v>
      </c>
      <c r="F1276" s="4">
        <f t="shared" si="79"/>
        <v>12</v>
      </c>
      <c r="G1276" s="4" cm="1">
        <f t="array" ref="G1276">IF($C1276&gt;=25,F1276,IF($C1276&lt;16,INDEX(Sheet1!C:C,$F1276),$F1276))</f>
        <v>12</v>
      </c>
      <c r="H1276" s="4" t="str" cm="1">
        <f t="array" ref="H1276">INDEX(Sheet1!D:D,$G1276)</f>
        <v>2001-cso-preferred-class-structure-mortality-tables.xls</v>
      </c>
      <c r="I1276" s="4" t="str" cm="1">
        <f t="array" ref="I1276">INDEX(Sheet1!E:E,$G1276)</f>
        <v>A.1.b.ii</v>
      </c>
      <c r="J1276" s="4" t="str" cm="1">
        <f t="array" ref="J1276">IF($C1276&gt;=25,INDEX(Sheet1!G:G,$G1276),INDEX(Sheet1!F:F,$G1276))</f>
        <v>AA8</v>
      </c>
      <c r="K1276" s="4" cm="1">
        <f t="array" ref="K1276">INDEX(Sheet1!H:H,$G1276)</f>
        <v>1E-3</v>
      </c>
      <c r="L1276" s="4">
        <f t="shared" si="76"/>
        <v>39</v>
      </c>
      <c r="M1276" s="4">
        <f t="shared" si="77"/>
        <v>0</v>
      </c>
    </row>
    <row r="1277" spans="1:13">
      <c r="A1277" s="4" t="str" cm="1">
        <f t="array" ref="A1277">INDEX(Sheet1!A:A,$F1277)</f>
        <v>F</v>
      </c>
      <c r="B1277" s="4" t="str" cm="1">
        <f t="array" ref="B1277">INDEX(Sheet1!B:B,$F1277)</f>
        <v>Pref Best NS</v>
      </c>
      <c r="C1277" s="4">
        <f t="shared" si="78"/>
        <v>65</v>
      </c>
      <c r="D1277" s="5" cm="1">
        <f t="array" aca="1" ref="D1277" ca="1">OFFSET(INDIRECT("'["&amp;$H1277&amp;"]"&amp;$I1277&amp;"'!"&amp;$J1277),$L1277,$M1277)*$K1277</f>
        <v>9.0500000000000008E-3</v>
      </c>
      <c r="F1277" s="4">
        <f t="shared" si="79"/>
        <v>12</v>
      </c>
      <c r="G1277" s="4" cm="1">
        <f t="array" ref="G1277">IF($C1277&gt;=25,F1277,IF($C1277&lt;16,INDEX(Sheet1!C:C,$F1277),$F1277))</f>
        <v>12</v>
      </c>
      <c r="H1277" s="4" t="str" cm="1">
        <f t="array" ref="H1277">INDEX(Sheet1!D:D,$G1277)</f>
        <v>2001-cso-preferred-class-structure-mortality-tables.xls</v>
      </c>
      <c r="I1277" s="4" t="str" cm="1">
        <f t="array" ref="I1277">INDEX(Sheet1!E:E,$G1277)</f>
        <v>A.1.b.ii</v>
      </c>
      <c r="J1277" s="4" t="str" cm="1">
        <f t="array" ref="J1277">IF($C1277&gt;=25,INDEX(Sheet1!G:G,$G1277),INDEX(Sheet1!F:F,$G1277))</f>
        <v>AA8</v>
      </c>
      <c r="K1277" s="4" cm="1">
        <f t="array" ref="K1277">INDEX(Sheet1!H:H,$G1277)</f>
        <v>1E-3</v>
      </c>
      <c r="L1277" s="4">
        <f t="shared" si="76"/>
        <v>40</v>
      </c>
      <c r="M1277" s="4">
        <f t="shared" si="77"/>
        <v>0</v>
      </c>
    </row>
    <row r="1278" spans="1:13">
      <c r="A1278" s="4" t="str" cm="1">
        <f t="array" ref="A1278">INDEX(Sheet1!A:A,$F1278)</f>
        <v>F</v>
      </c>
      <c r="B1278" s="4" t="str" cm="1">
        <f t="array" ref="B1278">INDEX(Sheet1!B:B,$F1278)</f>
        <v>Pref Best NS</v>
      </c>
      <c r="C1278" s="4">
        <f t="shared" si="78"/>
        <v>66</v>
      </c>
      <c r="D1278" s="5" cm="1">
        <f t="array" aca="1" ref="D1278" ca="1">OFFSET(INDIRECT("'["&amp;$H1278&amp;"]"&amp;$I1278&amp;"'!"&amp;$J1278),$L1278,$M1278)*$K1278</f>
        <v>9.8200000000000006E-3</v>
      </c>
      <c r="F1278" s="4">
        <f t="shared" si="79"/>
        <v>12</v>
      </c>
      <c r="G1278" s="4" cm="1">
        <f t="array" ref="G1278">IF($C1278&gt;=25,F1278,IF($C1278&lt;16,INDEX(Sheet1!C:C,$F1278),$F1278))</f>
        <v>12</v>
      </c>
      <c r="H1278" s="4" t="str" cm="1">
        <f t="array" ref="H1278">INDEX(Sheet1!D:D,$G1278)</f>
        <v>2001-cso-preferred-class-structure-mortality-tables.xls</v>
      </c>
      <c r="I1278" s="4" t="str" cm="1">
        <f t="array" ref="I1278">INDEX(Sheet1!E:E,$G1278)</f>
        <v>A.1.b.ii</v>
      </c>
      <c r="J1278" s="4" t="str" cm="1">
        <f t="array" ref="J1278">IF($C1278&gt;=25,INDEX(Sheet1!G:G,$G1278),INDEX(Sheet1!F:F,$G1278))</f>
        <v>AA8</v>
      </c>
      <c r="K1278" s="4" cm="1">
        <f t="array" ref="K1278">INDEX(Sheet1!H:H,$G1278)</f>
        <v>1E-3</v>
      </c>
      <c r="L1278" s="4">
        <f t="shared" si="76"/>
        <v>41</v>
      </c>
      <c r="M1278" s="4">
        <f t="shared" si="77"/>
        <v>0</v>
      </c>
    </row>
    <row r="1279" spans="1:13">
      <c r="A1279" s="4" t="str" cm="1">
        <f t="array" ref="A1279">INDEX(Sheet1!A:A,$F1279)</f>
        <v>F</v>
      </c>
      <c r="B1279" s="4" t="str" cm="1">
        <f t="array" ref="B1279">INDEX(Sheet1!B:B,$F1279)</f>
        <v>Pref Best NS</v>
      </c>
      <c r="C1279" s="4">
        <f t="shared" si="78"/>
        <v>67</v>
      </c>
      <c r="D1279" s="5" cm="1">
        <f t="array" aca="1" ref="D1279" ca="1">OFFSET(INDIRECT("'["&amp;$H1279&amp;"]"&amp;$I1279&amp;"'!"&amp;$J1279),$L1279,$M1279)*$K1279</f>
        <v>1.0660000000000001E-2</v>
      </c>
      <c r="F1279" s="4">
        <f t="shared" si="79"/>
        <v>12</v>
      </c>
      <c r="G1279" s="4" cm="1">
        <f t="array" ref="G1279">IF($C1279&gt;=25,F1279,IF($C1279&lt;16,INDEX(Sheet1!C:C,$F1279),$F1279))</f>
        <v>12</v>
      </c>
      <c r="H1279" s="4" t="str" cm="1">
        <f t="array" ref="H1279">INDEX(Sheet1!D:D,$G1279)</f>
        <v>2001-cso-preferred-class-structure-mortality-tables.xls</v>
      </c>
      <c r="I1279" s="4" t="str" cm="1">
        <f t="array" ref="I1279">INDEX(Sheet1!E:E,$G1279)</f>
        <v>A.1.b.ii</v>
      </c>
      <c r="J1279" s="4" t="str" cm="1">
        <f t="array" ref="J1279">IF($C1279&gt;=25,INDEX(Sheet1!G:G,$G1279),INDEX(Sheet1!F:F,$G1279))</f>
        <v>AA8</v>
      </c>
      <c r="K1279" s="4" cm="1">
        <f t="array" ref="K1279">INDEX(Sheet1!H:H,$G1279)</f>
        <v>1E-3</v>
      </c>
      <c r="L1279" s="4">
        <f t="shared" si="76"/>
        <v>42</v>
      </c>
      <c r="M1279" s="4">
        <f t="shared" si="77"/>
        <v>0</v>
      </c>
    </row>
    <row r="1280" spans="1:13">
      <c r="A1280" s="4" t="str" cm="1">
        <f t="array" ref="A1280">INDEX(Sheet1!A:A,$F1280)</f>
        <v>F</v>
      </c>
      <c r="B1280" s="4" t="str" cm="1">
        <f t="array" ref="B1280">INDEX(Sheet1!B:B,$F1280)</f>
        <v>Pref Best NS</v>
      </c>
      <c r="C1280" s="4">
        <f t="shared" si="78"/>
        <v>68</v>
      </c>
      <c r="D1280" s="5" cm="1">
        <f t="array" aca="1" ref="D1280" ca="1">OFFSET(INDIRECT("'["&amp;$H1280&amp;"]"&amp;$I1280&amp;"'!"&amp;$J1280),$L1280,$M1280)*$K1280</f>
        <v>1.159E-2</v>
      </c>
      <c r="F1280" s="4">
        <f t="shared" si="79"/>
        <v>12</v>
      </c>
      <c r="G1280" s="4" cm="1">
        <f t="array" ref="G1280">IF($C1280&gt;=25,F1280,IF($C1280&lt;16,INDEX(Sheet1!C:C,$F1280),$F1280))</f>
        <v>12</v>
      </c>
      <c r="H1280" s="4" t="str" cm="1">
        <f t="array" ref="H1280">INDEX(Sheet1!D:D,$G1280)</f>
        <v>2001-cso-preferred-class-structure-mortality-tables.xls</v>
      </c>
      <c r="I1280" s="4" t="str" cm="1">
        <f t="array" ref="I1280">INDEX(Sheet1!E:E,$G1280)</f>
        <v>A.1.b.ii</v>
      </c>
      <c r="J1280" s="4" t="str" cm="1">
        <f t="array" ref="J1280">IF($C1280&gt;=25,INDEX(Sheet1!G:G,$G1280),INDEX(Sheet1!F:F,$G1280))</f>
        <v>AA8</v>
      </c>
      <c r="K1280" s="4" cm="1">
        <f t="array" ref="K1280">INDEX(Sheet1!H:H,$G1280)</f>
        <v>1E-3</v>
      </c>
      <c r="L1280" s="4">
        <f t="shared" si="76"/>
        <v>43</v>
      </c>
      <c r="M1280" s="4">
        <f t="shared" si="77"/>
        <v>0</v>
      </c>
    </row>
    <row r="1281" spans="1:13">
      <c r="A1281" s="4" t="str" cm="1">
        <f t="array" ref="A1281">INDEX(Sheet1!A:A,$F1281)</f>
        <v>F</v>
      </c>
      <c r="B1281" s="4" t="str" cm="1">
        <f t="array" ref="B1281">INDEX(Sheet1!B:B,$F1281)</f>
        <v>Pref Best NS</v>
      </c>
      <c r="C1281" s="4">
        <f t="shared" si="78"/>
        <v>69</v>
      </c>
      <c r="D1281" s="5" cm="1">
        <f t="array" aca="1" ref="D1281" ca="1">OFFSET(INDIRECT("'["&amp;$H1281&amp;"]"&amp;$I1281&amp;"'!"&amp;$J1281),$L1281,$M1281)*$K1281</f>
        <v>1.261E-2</v>
      </c>
      <c r="F1281" s="4">
        <f t="shared" si="79"/>
        <v>12</v>
      </c>
      <c r="G1281" s="4" cm="1">
        <f t="array" ref="G1281">IF($C1281&gt;=25,F1281,IF($C1281&lt;16,INDEX(Sheet1!C:C,$F1281),$F1281))</f>
        <v>12</v>
      </c>
      <c r="H1281" s="4" t="str" cm="1">
        <f t="array" ref="H1281">INDEX(Sheet1!D:D,$G1281)</f>
        <v>2001-cso-preferred-class-structure-mortality-tables.xls</v>
      </c>
      <c r="I1281" s="4" t="str" cm="1">
        <f t="array" ref="I1281">INDEX(Sheet1!E:E,$G1281)</f>
        <v>A.1.b.ii</v>
      </c>
      <c r="J1281" s="4" t="str" cm="1">
        <f t="array" ref="J1281">IF($C1281&gt;=25,INDEX(Sheet1!G:G,$G1281),INDEX(Sheet1!F:F,$G1281))</f>
        <v>AA8</v>
      </c>
      <c r="K1281" s="4" cm="1">
        <f t="array" ref="K1281">INDEX(Sheet1!H:H,$G1281)</f>
        <v>1E-3</v>
      </c>
      <c r="L1281" s="4">
        <f t="shared" si="76"/>
        <v>44</v>
      </c>
      <c r="M1281" s="4">
        <f t="shared" si="77"/>
        <v>0</v>
      </c>
    </row>
    <row r="1282" spans="1:13">
      <c r="A1282" s="4" t="str" cm="1">
        <f t="array" ref="A1282">INDEX(Sheet1!A:A,$F1282)</f>
        <v>F</v>
      </c>
      <c r="B1282" s="4" t="str" cm="1">
        <f t="array" ref="B1282">INDEX(Sheet1!B:B,$F1282)</f>
        <v>Pref Best NS</v>
      </c>
      <c r="C1282" s="4">
        <f t="shared" si="78"/>
        <v>70</v>
      </c>
      <c r="D1282" s="5" cm="1">
        <f t="array" aca="1" ref="D1282" ca="1">OFFSET(INDIRECT("'["&amp;$H1282&amp;"]"&amp;$I1282&amp;"'!"&amp;$J1282),$L1282,$M1282)*$K1282</f>
        <v>1.375E-2</v>
      </c>
      <c r="F1282" s="4">
        <f t="shared" si="79"/>
        <v>12</v>
      </c>
      <c r="G1282" s="4" cm="1">
        <f t="array" ref="G1282">IF($C1282&gt;=25,F1282,IF($C1282&lt;16,INDEX(Sheet1!C:C,$F1282),$F1282))</f>
        <v>12</v>
      </c>
      <c r="H1282" s="4" t="str" cm="1">
        <f t="array" ref="H1282">INDEX(Sheet1!D:D,$G1282)</f>
        <v>2001-cso-preferred-class-structure-mortality-tables.xls</v>
      </c>
      <c r="I1282" s="4" t="str" cm="1">
        <f t="array" ref="I1282">INDEX(Sheet1!E:E,$G1282)</f>
        <v>A.1.b.ii</v>
      </c>
      <c r="J1282" s="4" t="str" cm="1">
        <f t="array" ref="J1282">IF($C1282&gt;=25,INDEX(Sheet1!G:G,$G1282),INDEX(Sheet1!F:F,$G1282))</f>
        <v>AA8</v>
      </c>
      <c r="K1282" s="4" cm="1">
        <f t="array" ref="K1282">INDEX(Sheet1!H:H,$G1282)</f>
        <v>1E-3</v>
      </c>
      <c r="L1282" s="4">
        <f t="shared" si="76"/>
        <v>45</v>
      </c>
      <c r="M1282" s="4">
        <f t="shared" si="77"/>
        <v>0</v>
      </c>
    </row>
    <row r="1283" spans="1:13">
      <c r="A1283" s="4" t="str" cm="1">
        <f t="array" ref="A1283">INDEX(Sheet1!A:A,$F1283)</f>
        <v>F</v>
      </c>
      <c r="B1283" s="4" t="str" cm="1">
        <f t="array" ref="B1283">INDEX(Sheet1!B:B,$F1283)</f>
        <v>Pref Best NS</v>
      </c>
      <c r="C1283" s="4">
        <f t="shared" si="78"/>
        <v>71</v>
      </c>
      <c r="D1283" s="5" cm="1">
        <f t="array" aca="1" ref="D1283" ca="1">OFFSET(INDIRECT("'["&amp;$H1283&amp;"]"&amp;$I1283&amp;"'!"&amp;$J1283),$L1283,$M1283)*$K1283</f>
        <v>1.5050000000000001E-2</v>
      </c>
      <c r="F1283" s="4">
        <f t="shared" si="79"/>
        <v>12</v>
      </c>
      <c r="G1283" s="4" cm="1">
        <f t="array" ref="G1283">IF($C1283&gt;=25,F1283,IF($C1283&lt;16,INDEX(Sheet1!C:C,$F1283),$F1283))</f>
        <v>12</v>
      </c>
      <c r="H1283" s="4" t="str" cm="1">
        <f t="array" ref="H1283">INDEX(Sheet1!D:D,$G1283)</f>
        <v>2001-cso-preferred-class-structure-mortality-tables.xls</v>
      </c>
      <c r="I1283" s="4" t="str" cm="1">
        <f t="array" ref="I1283">INDEX(Sheet1!E:E,$G1283)</f>
        <v>A.1.b.ii</v>
      </c>
      <c r="J1283" s="4" t="str" cm="1">
        <f t="array" ref="J1283">IF($C1283&gt;=25,INDEX(Sheet1!G:G,$G1283),INDEX(Sheet1!F:F,$G1283))</f>
        <v>AA8</v>
      </c>
      <c r="K1283" s="4" cm="1">
        <f t="array" ref="K1283">INDEX(Sheet1!H:H,$G1283)</f>
        <v>1E-3</v>
      </c>
      <c r="L1283" s="4">
        <f t="shared" ref="L1283:L1346" si="80">IF($C1283&gt;=25,$C1283-25,0)</f>
        <v>46</v>
      </c>
      <c r="M1283" s="4">
        <f t="shared" ref="M1283:M1346" si="81">IF($C1283&gt;=25,0,$C1283)</f>
        <v>0</v>
      </c>
    </row>
    <row r="1284" spans="1:13">
      <c r="A1284" s="4" t="str" cm="1">
        <f t="array" ref="A1284">INDEX(Sheet1!A:A,$F1284)</f>
        <v>F</v>
      </c>
      <c r="B1284" s="4" t="str" cm="1">
        <f t="array" ref="B1284">INDEX(Sheet1!B:B,$F1284)</f>
        <v>Pref Best NS</v>
      </c>
      <c r="C1284" s="4">
        <f t="shared" ref="C1284:C1347" si="82">IF(C1283=120,0,C1283+1)</f>
        <v>72</v>
      </c>
      <c r="D1284" s="5" cm="1">
        <f t="array" aca="1" ref="D1284" ca="1">OFFSET(INDIRECT("'["&amp;$H1284&amp;"]"&amp;$I1284&amp;"'!"&amp;$J1284),$L1284,$M1284)*$K1284</f>
        <v>1.651E-2</v>
      </c>
      <c r="F1284" s="4">
        <f t="shared" ref="F1284:F1347" si="83">IF(C1284=0,1,0)+F1283</f>
        <v>12</v>
      </c>
      <c r="G1284" s="4" cm="1">
        <f t="array" ref="G1284">IF($C1284&gt;=25,F1284,IF($C1284&lt;16,INDEX(Sheet1!C:C,$F1284),$F1284))</f>
        <v>12</v>
      </c>
      <c r="H1284" s="4" t="str" cm="1">
        <f t="array" ref="H1284">INDEX(Sheet1!D:D,$G1284)</f>
        <v>2001-cso-preferred-class-structure-mortality-tables.xls</v>
      </c>
      <c r="I1284" s="4" t="str" cm="1">
        <f t="array" ref="I1284">INDEX(Sheet1!E:E,$G1284)</f>
        <v>A.1.b.ii</v>
      </c>
      <c r="J1284" s="4" t="str" cm="1">
        <f t="array" ref="J1284">IF($C1284&gt;=25,INDEX(Sheet1!G:G,$G1284),INDEX(Sheet1!F:F,$G1284))</f>
        <v>AA8</v>
      </c>
      <c r="K1284" s="4" cm="1">
        <f t="array" ref="K1284">INDEX(Sheet1!H:H,$G1284)</f>
        <v>1E-3</v>
      </c>
      <c r="L1284" s="4">
        <f t="shared" si="80"/>
        <v>47</v>
      </c>
      <c r="M1284" s="4">
        <f t="shared" si="81"/>
        <v>0</v>
      </c>
    </row>
    <row r="1285" spans="1:13">
      <c r="A1285" s="4" t="str" cm="1">
        <f t="array" ref="A1285">INDEX(Sheet1!A:A,$F1285)</f>
        <v>F</v>
      </c>
      <c r="B1285" s="4" t="str" cm="1">
        <f t="array" ref="B1285">INDEX(Sheet1!B:B,$F1285)</f>
        <v>Pref Best NS</v>
      </c>
      <c r="C1285" s="4">
        <f t="shared" si="82"/>
        <v>73</v>
      </c>
      <c r="D1285" s="5" cm="1">
        <f t="array" aca="1" ref="D1285" ca="1">OFFSET(INDIRECT("'["&amp;$H1285&amp;"]"&amp;$I1285&amp;"'!"&amp;$J1285),$L1285,$M1285)*$K1285</f>
        <v>1.8090000000000002E-2</v>
      </c>
      <c r="F1285" s="4">
        <f t="shared" si="83"/>
        <v>12</v>
      </c>
      <c r="G1285" s="4" cm="1">
        <f t="array" ref="G1285">IF($C1285&gt;=25,F1285,IF($C1285&lt;16,INDEX(Sheet1!C:C,$F1285),$F1285))</f>
        <v>12</v>
      </c>
      <c r="H1285" s="4" t="str" cm="1">
        <f t="array" ref="H1285">INDEX(Sheet1!D:D,$G1285)</f>
        <v>2001-cso-preferred-class-structure-mortality-tables.xls</v>
      </c>
      <c r="I1285" s="4" t="str" cm="1">
        <f t="array" ref="I1285">INDEX(Sheet1!E:E,$G1285)</f>
        <v>A.1.b.ii</v>
      </c>
      <c r="J1285" s="4" t="str" cm="1">
        <f t="array" ref="J1285">IF($C1285&gt;=25,INDEX(Sheet1!G:G,$G1285),INDEX(Sheet1!F:F,$G1285))</f>
        <v>AA8</v>
      </c>
      <c r="K1285" s="4" cm="1">
        <f t="array" ref="K1285">INDEX(Sheet1!H:H,$G1285)</f>
        <v>1E-3</v>
      </c>
      <c r="L1285" s="4">
        <f t="shared" si="80"/>
        <v>48</v>
      </c>
      <c r="M1285" s="4">
        <f t="shared" si="81"/>
        <v>0</v>
      </c>
    </row>
    <row r="1286" spans="1:13">
      <c r="A1286" s="4" t="str" cm="1">
        <f t="array" ref="A1286">INDEX(Sheet1!A:A,$F1286)</f>
        <v>F</v>
      </c>
      <c r="B1286" s="4" t="str" cm="1">
        <f t="array" ref="B1286">INDEX(Sheet1!B:B,$F1286)</f>
        <v>Pref Best NS</v>
      </c>
      <c r="C1286" s="4">
        <f t="shared" si="82"/>
        <v>74</v>
      </c>
      <c r="D1286" s="5" cm="1">
        <f t="array" aca="1" ref="D1286" ca="1">OFFSET(INDIRECT("'["&amp;$H1286&amp;"]"&amp;$I1286&amp;"'!"&amp;$J1286),$L1286,$M1286)*$K1286</f>
        <v>1.9820000000000001E-2</v>
      </c>
      <c r="F1286" s="4">
        <f t="shared" si="83"/>
        <v>12</v>
      </c>
      <c r="G1286" s="4" cm="1">
        <f t="array" ref="G1286">IF($C1286&gt;=25,F1286,IF($C1286&lt;16,INDEX(Sheet1!C:C,$F1286),$F1286))</f>
        <v>12</v>
      </c>
      <c r="H1286" s="4" t="str" cm="1">
        <f t="array" ref="H1286">INDEX(Sheet1!D:D,$G1286)</f>
        <v>2001-cso-preferred-class-structure-mortality-tables.xls</v>
      </c>
      <c r="I1286" s="4" t="str" cm="1">
        <f t="array" ref="I1286">INDEX(Sheet1!E:E,$G1286)</f>
        <v>A.1.b.ii</v>
      </c>
      <c r="J1286" s="4" t="str" cm="1">
        <f t="array" ref="J1286">IF($C1286&gt;=25,INDEX(Sheet1!G:G,$G1286),INDEX(Sheet1!F:F,$G1286))</f>
        <v>AA8</v>
      </c>
      <c r="K1286" s="4" cm="1">
        <f t="array" ref="K1286">INDEX(Sheet1!H:H,$G1286)</f>
        <v>1E-3</v>
      </c>
      <c r="L1286" s="4">
        <f t="shared" si="80"/>
        <v>49</v>
      </c>
      <c r="M1286" s="4">
        <f t="shared" si="81"/>
        <v>0</v>
      </c>
    </row>
    <row r="1287" spans="1:13">
      <c r="A1287" s="4" t="str" cm="1">
        <f t="array" ref="A1287">INDEX(Sheet1!A:A,$F1287)</f>
        <v>F</v>
      </c>
      <c r="B1287" s="4" t="str" cm="1">
        <f t="array" ref="B1287">INDEX(Sheet1!B:B,$F1287)</f>
        <v>Pref Best NS</v>
      </c>
      <c r="C1287" s="4">
        <f t="shared" si="82"/>
        <v>75</v>
      </c>
      <c r="D1287" s="5" cm="1">
        <f t="array" aca="1" ref="D1287" ca="1">OFFSET(INDIRECT("'["&amp;$H1287&amp;"]"&amp;$I1287&amp;"'!"&amp;$J1287),$L1287,$M1287)*$K1287</f>
        <v>2.1739999999999999E-2</v>
      </c>
      <c r="F1287" s="4">
        <f t="shared" si="83"/>
        <v>12</v>
      </c>
      <c r="G1287" s="4" cm="1">
        <f t="array" ref="G1287">IF($C1287&gt;=25,F1287,IF($C1287&lt;16,INDEX(Sheet1!C:C,$F1287),$F1287))</f>
        <v>12</v>
      </c>
      <c r="H1287" s="4" t="str" cm="1">
        <f t="array" ref="H1287">INDEX(Sheet1!D:D,$G1287)</f>
        <v>2001-cso-preferred-class-structure-mortality-tables.xls</v>
      </c>
      <c r="I1287" s="4" t="str" cm="1">
        <f t="array" ref="I1287">INDEX(Sheet1!E:E,$G1287)</f>
        <v>A.1.b.ii</v>
      </c>
      <c r="J1287" s="4" t="str" cm="1">
        <f t="array" ref="J1287">IF($C1287&gt;=25,INDEX(Sheet1!G:G,$G1287),INDEX(Sheet1!F:F,$G1287))</f>
        <v>AA8</v>
      </c>
      <c r="K1287" s="4" cm="1">
        <f t="array" ref="K1287">INDEX(Sheet1!H:H,$G1287)</f>
        <v>1E-3</v>
      </c>
      <c r="L1287" s="4">
        <f t="shared" si="80"/>
        <v>50</v>
      </c>
      <c r="M1287" s="4">
        <f t="shared" si="81"/>
        <v>0</v>
      </c>
    </row>
    <row r="1288" spans="1:13">
      <c r="A1288" s="4" t="str" cm="1">
        <f t="array" ref="A1288">INDEX(Sheet1!A:A,$F1288)</f>
        <v>F</v>
      </c>
      <c r="B1288" s="4" t="str" cm="1">
        <f t="array" ref="B1288">INDEX(Sheet1!B:B,$F1288)</f>
        <v>Pref Best NS</v>
      </c>
      <c r="C1288" s="4">
        <f t="shared" si="82"/>
        <v>76</v>
      </c>
      <c r="D1288" s="5" cm="1">
        <f t="array" aca="1" ref="D1288" ca="1">OFFSET(INDIRECT("'["&amp;$H1288&amp;"]"&amp;$I1288&amp;"'!"&amp;$J1288),$L1288,$M1288)*$K1288</f>
        <v>2.4109999999999999E-2</v>
      </c>
      <c r="F1288" s="4">
        <f t="shared" si="83"/>
        <v>12</v>
      </c>
      <c r="G1288" s="4" cm="1">
        <f t="array" ref="G1288">IF($C1288&gt;=25,F1288,IF($C1288&lt;16,INDEX(Sheet1!C:C,$F1288),$F1288))</f>
        <v>12</v>
      </c>
      <c r="H1288" s="4" t="str" cm="1">
        <f t="array" ref="H1288">INDEX(Sheet1!D:D,$G1288)</f>
        <v>2001-cso-preferred-class-structure-mortality-tables.xls</v>
      </c>
      <c r="I1288" s="4" t="str" cm="1">
        <f t="array" ref="I1288">INDEX(Sheet1!E:E,$G1288)</f>
        <v>A.1.b.ii</v>
      </c>
      <c r="J1288" s="4" t="str" cm="1">
        <f t="array" ref="J1288">IF($C1288&gt;=25,INDEX(Sheet1!G:G,$G1288),INDEX(Sheet1!F:F,$G1288))</f>
        <v>AA8</v>
      </c>
      <c r="K1288" s="4" cm="1">
        <f t="array" ref="K1288">INDEX(Sheet1!H:H,$G1288)</f>
        <v>1E-3</v>
      </c>
      <c r="L1288" s="4">
        <f t="shared" si="80"/>
        <v>51</v>
      </c>
      <c r="M1288" s="4">
        <f t="shared" si="81"/>
        <v>0</v>
      </c>
    </row>
    <row r="1289" spans="1:13">
      <c r="A1289" s="4" t="str" cm="1">
        <f t="array" ref="A1289">INDEX(Sheet1!A:A,$F1289)</f>
        <v>F</v>
      </c>
      <c r="B1289" s="4" t="str" cm="1">
        <f t="array" ref="B1289">INDEX(Sheet1!B:B,$F1289)</f>
        <v>Pref Best NS</v>
      </c>
      <c r="C1289" s="4">
        <f t="shared" si="82"/>
        <v>77</v>
      </c>
      <c r="D1289" s="5" cm="1">
        <f t="array" aca="1" ref="D1289" ca="1">OFFSET(INDIRECT("'["&amp;$H1289&amp;"]"&amp;$I1289&amp;"'!"&amp;$J1289),$L1289,$M1289)*$K1289</f>
        <v>2.6749999999999999E-2</v>
      </c>
      <c r="F1289" s="4">
        <f t="shared" si="83"/>
        <v>12</v>
      </c>
      <c r="G1289" s="4" cm="1">
        <f t="array" ref="G1289">IF($C1289&gt;=25,F1289,IF($C1289&lt;16,INDEX(Sheet1!C:C,$F1289),$F1289))</f>
        <v>12</v>
      </c>
      <c r="H1289" s="4" t="str" cm="1">
        <f t="array" ref="H1289">INDEX(Sheet1!D:D,$G1289)</f>
        <v>2001-cso-preferred-class-structure-mortality-tables.xls</v>
      </c>
      <c r="I1289" s="4" t="str" cm="1">
        <f t="array" ref="I1289">INDEX(Sheet1!E:E,$G1289)</f>
        <v>A.1.b.ii</v>
      </c>
      <c r="J1289" s="4" t="str" cm="1">
        <f t="array" ref="J1289">IF($C1289&gt;=25,INDEX(Sheet1!G:G,$G1289),INDEX(Sheet1!F:F,$G1289))</f>
        <v>AA8</v>
      </c>
      <c r="K1289" s="4" cm="1">
        <f t="array" ref="K1289">INDEX(Sheet1!H:H,$G1289)</f>
        <v>1E-3</v>
      </c>
      <c r="L1289" s="4">
        <f t="shared" si="80"/>
        <v>52</v>
      </c>
      <c r="M1289" s="4">
        <f t="shared" si="81"/>
        <v>0</v>
      </c>
    </row>
    <row r="1290" spans="1:13">
      <c r="A1290" s="4" t="str" cm="1">
        <f t="array" ref="A1290">INDEX(Sheet1!A:A,$F1290)</f>
        <v>F</v>
      </c>
      <c r="B1290" s="4" t="str" cm="1">
        <f t="array" ref="B1290">INDEX(Sheet1!B:B,$F1290)</f>
        <v>Pref Best NS</v>
      </c>
      <c r="C1290" s="4">
        <f t="shared" si="82"/>
        <v>78</v>
      </c>
      <c r="D1290" s="5" cm="1">
        <f t="array" aca="1" ref="D1290" ca="1">OFFSET(INDIRECT("'["&amp;$H1290&amp;"]"&amp;$I1290&amp;"'!"&amp;$J1290),$L1290,$M1290)*$K1290</f>
        <v>2.9690000000000001E-2</v>
      </c>
      <c r="F1290" s="4">
        <f t="shared" si="83"/>
        <v>12</v>
      </c>
      <c r="G1290" s="4" cm="1">
        <f t="array" ref="G1290">IF($C1290&gt;=25,F1290,IF($C1290&lt;16,INDEX(Sheet1!C:C,$F1290),$F1290))</f>
        <v>12</v>
      </c>
      <c r="H1290" s="4" t="str" cm="1">
        <f t="array" ref="H1290">INDEX(Sheet1!D:D,$G1290)</f>
        <v>2001-cso-preferred-class-structure-mortality-tables.xls</v>
      </c>
      <c r="I1290" s="4" t="str" cm="1">
        <f t="array" ref="I1290">INDEX(Sheet1!E:E,$G1290)</f>
        <v>A.1.b.ii</v>
      </c>
      <c r="J1290" s="4" t="str" cm="1">
        <f t="array" ref="J1290">IF($C1290&gt;=25,INDEX(Sheet1!G:G,$G1290),INDEX(Sheet1!F:F,$G1290))</f>
        <v>AA8</v>
      </c>
      <c r="K1290" s="4" cm="1">
        <f t="array" ref="K1290">INDEX(Sheet1!H:H,$G1290)</f>
        <v>1E-3</v>
      </c>
      <c r="L1290" s="4">
        <f t="shared" si="80"/>
        <v>53</v>
      </c>
      <c r="M1290" s="4">
        <f t="shared" si="81"/>
        <v>0</v>
      </c>
    </row>
    <row r="1291" spans="1:13">
      <c r="A1291" s="4" t="str" cm="1">
        <f t="array" ref="A1291">INDEX(Sheet1!A:A,$F1291)</f>
        <v>F</v>
      </c>
      <c r="B1291" s="4" t="str" cm="1">
        <f t="array" ref="B1291">INDEX(Sheet1!B:B,$F1291)</f>
        <v>Pref Best NS</v>
      </c>
      <c r="C1291" s="4">
        <f t="shared" si="82"/>
        <v>79</v>
      </c>
      <c r="D1291" s="5" cm="1">
        <f t="array" aca="1" ref="D1291" ca="1">OFFSET(INDIRECT("'["&amp;$H1291&amp;"]"&amp;$I1291&amp;"'!"&amp;$J1291),$L1291,$M1291)*$K1291</f>
        <v>3.2909999999999995E-2</v>
      </c>
      <c r="F1291" s="4">
        <f t="shared" si="83"/>
        <v>12</v>
      </c>
      <c r="G1291" s="4" cm="1">
        <f t="array" ref="G1291">IF($C1291&gt;=25,F1291,IF($C1291&lt;16,INDEX(Sheet1!C:C,$F1291),$F1291))</f>
        <v>12</v>
      </c>
      <c r="H1291" s="4" t="str" cm="1">
        <f t="array" ref="H1291">INDEX(Sheet1!D:D,$G1291)</f>
        <v>2001-cso-preferred-class-structure-mortality-tables.xls</v>
      </c>
      <c r="I1291" s="4" t="str" cm="1">
        <f t="array" ref="I1291">INDEX(Sheet1!E:E,$G1291)</f>
        <v>A.1.b.ii</v>
      </c>
      <c r="J1291" s="4" t="str" cm="1">
        <f t="array" ref="J1291">IF($C1291&gt;=25,INDEX(Sheet1!G:G,$G1291),INDEX(Sheet1!F:F,$G1291))</f>
        <v>AA8</v>
      </c>
      <c r="K1291" s="4" cm="1">
        <f t="array" ref="K1291">INDEX(Sheet1!H:H,$G1291)</f>
        <v>1E-3</v>
      </c>
      <c r="L1291" s="4">
        <f t="shared" si="80"/>
        <v>54</v>
      </c>
      <c r="M1291" s="4">
        <f t="shared" si="81"/>
        <v>0</v>
      </c>
    </row>
    <row r="1292" spans="1:13">
      <c r="A1292" s="4" t="str" cm="1">
        <f t="array" ref="A1292">INDEX(Sheet1!A:A,$F1292)</f>
        <v>F</v>
      </c>
      <c r="B1292" s="4" t="str" cm="1">
        <f t="array" ref="B1292">INDEX(Sheet1!B:B,$F1292)</f>
        <v>Pref Best NS</v>
      </c>
      <c r="C1292" s="4">
        <f t="shared" si="82"/>
        <v>80</v>
      </c>
      <c r="D1292" s="5" cm="1">
        <f t="array" aca="1" ref="D1292" ca="1">OFFSET(INDIRECT("'["&amp;$H1292&amp;"]"&amp;$I1292&amp;"'!"&amp;$J1292),$L1292,$M1292)*$K1292</f>
        <v>3.6520000000000004E-2</v>
      </c>
      <c r="F1292" s="4">
        <f t="shared" si="83"/>
        <v>12</v>
      </c>
      <c r="G1292" s="4" cm="1">
        <f t="array" ref="G1292">IF($C1292&gt;=25,F1292,IF($C1292&lt;16,INDEX(Sheet1!C:C,$F1292),$F1292))</f>
        <v>12</v>
      </c>
      <c r="H1292" s="4" t="str" cm="1">
        <f t="array" ref="H1292">INDEX(Sheet1!D:D,$G1292)</f>
        <v>2001-cso-preferred-class-structure-mortality-tables.xls</v>
      </c>
      <c r="I1292" s="4" t="str" cm="1">
        <f t="array" ref="I1292">INDEX(Sheet1!E:E,$G1292)</f>
        <v>A.1.b.ii</v>
      </c>
      <c r="J1292" s="4" t="str" cm="1">
        <f t="array" ref="J1292">IF($C1292&gt;=25,INDEX(Sheet1!G:G,$G1292),INDEX(Sheet1!F:F,$G1292))</f>
        <v>AA8</v>
      </c>
      <c r="K1292" s="4" cm="1">
        <f t="array" ref="K1292">INDEX(Sheet1!H:H,$G1292)</f>
        <v>1E-3</v>
      </c>
      <c r="L1292" s="4">
        <f t="shared" si="80"/>
        <v>55</v>
      </c>
      <c r="M1292" s="4">
        <f t="shared" si="81"/>
        <v>0</v>
      </c>
    </row>
    <row r="1293" spans="1:13">
      <c r="A1293" s="4" t="str" cm="1">
        <f t="array" ref="A1293">INDEX(Sheet1!A:A,$F1293)</f>
        <v>F</v>
      </c>
      <c r="B1293" s="4" t="str" cm="1">
        <f t="array" ref="B1293">INDEX(Sheet1!B:B,$F1293)</f>
        <v>Pref Best NS</v>
      </c>
      <c r="C1293" s="4">
        <f t="shared" si="82"/>
        <v>81</v>
      </c>
      <c r="D1293" s="5" cm="1">
        <f t="array" aca="1" ref="D1293" ca="1">OFFSET(INDIRECT("'["&amp;$H1293&amp;"]"&amp;$I1293&amp;"'!"&amp;$J1293),$L1293,$M1293)*$K1293</f>
        <v>4.138E-2</v>
      </c>
      <c r="F1293" s="4">
        <f t="shared" si="83"/>
        <v>12</v>
      </c>
      <c r="G1293" s="4" cm="1">
        <f t="array" ref="G1293">IF($C1293&gt;=25,F1293,IF($C1293&lt;16,INDEX(Sheet1!C:C,$F1293),$F1293))</f>
        <v>12</v>
      </c>
      <c r="H1293" s="4" t="str" cm="1">
        <f t="array" ref="H1293">INDEX(Sheet1!D:D,$G1293)</f>
        <v>2001-cso-preferred-class-structure-mortality-tables.xls</v>
      </c>
      <c r="I1293" s="4" t="str" cm="1">
        <f t="array" ref="I1293">INDEX(Sheet1!E:E,$G1293)</f>
        <v>A.1.b.ii</v>
      </c>
      <c r="J1293" s="4" t="str" cm="1">
        <f t="array" ref="J1293">IF($C1293&gt;=25,INDEX(Sheet1!G:G,$G1293),INDEX(Sheet1!F:F,$G1293))</f>
        <v>AA8</v>
      </c>
      <c r="K1293" s="4" cm="1">
        <f t="array" ref="K1293">INDEX(Sheet1!H:H,$G1293)</f>
        <v>1E-3</v>
      </c>
      <c r="L1293" s="4">
        <f t="shared" si="80"/>
        <v>56</v>
      </c>
      <c r="M1293" s="4">
        <f t="shared" si="81"/>
        <v>0</v>
      </c>
    </row>
    <row r="1294" spans="1:13">
      <c r="A1294" s="4" t="str" cm="1">
        <f t="array" ref="A1294">INDEX(Sheet1!A:A,$F1294)</f>
        <v>F</v>
      </c>
      <c r="B1294" s="4" t="str" cm="1">
        <f t="array" ref="B1294">INDEX(Sheet1!B:B,$F1294)</f>
        <v>Pref Best NS</v>
      </c>
      <c r="C1294" s="4">
        <f t="shared" si="82"/>
        <v>82</v>
      </c>
      <c r="D1294" s="5" cm="1">
        <f t="array" aca="1" ref="D1294" ca="1">OFFSET(INDIRECT("'["&amp;$H1294&amp;"]"&amp;$I1294&amp;"'!"&amp;$J1294),$L1294,$M1294)*$K1294</f>
        <v>4.6929999999999999E-2</v>
      </c>
      <c r="F1294" s="4">
        <f t="shared" si="83"/>
        <v>12</v>
      </c>
      <c r="G1294" s="4" cm="1">
        <f t="array" ref="G1294">IF($C1294&gt;=25,F1294,IF($C1294&lt;16,INDEX(Sheet1!C:C,$F1294),$F1294))</f>
        <v>12</v>
      </c>
      <c r="H1294" s="4" t="str" cm="1">
        <f t="array" ref="H1294">INDEX(Sheet1!D:D,$G1294)</f>
        <v>2001-cso-preferred-class-structure-mortality-tables.xls</v>
      </c>
      <c r="I1294" s="4" t="str" cm="1">
        <f t="array" ref="I1294">INDEX(Sheet1!E:E,$G1294)</f>
        <v>A.1.b.ii</v>
      </c>
      <c r="J1294" s="4" t="str" cm="1">
        <f t="array" ref="J1294">IF($C1294&gt;=25,INDEX(Sheet1!G:G,$G1294),INDEX(Sheet1!F:F,$G1294))</f>
        <v>AA8</v>
      </c>
      <c r="K1294" s="4" cm="1">
        <f t="array" ref="K1294">INDEX(Sheet1!H:H,$G1294)</f>
        <v>1E-3</v>
      </c>
      <c r="L1294" s="4">
        <f t="shared" si="80"/>
        <v>57</v>
      </c>
      <c r="M1294" s="4">
        <f t="shared" si="81"/>
        <v>0</v>
      </c>
    </row>
    <row r="1295" spans="1:13">
      <c r="A1295" s="4" t="str" cm="1">
        <f t="array" ref="A1295">INDEX(Sheet1!A:A,$F1295)</f>
        <v>F</v>
      </c>
      <c r="B1295" s="4" t="str" cm="1">
        <f t="array" ref="B1295">INDEX(Sheet1!B:B,$F1295)</f>
        <v>Pref Best NS</v>
      </c>
      <c r="C1295" s="4">
        <f t="shared" si="82"/>
        <v>83</v>
      </c>
      <c r="D1295" s="5" cm="1">
        <f t="array" aca="1" ref="D1295" ca="1">OFFSET(INDIRECT("'["&amp;$H1295&amp;"]"&amp;$I1295&amp;"'!"&amp;$J1295),$L1295,$M1295)*$K1295</f>
        <v>5.2560000000000003E-2</v>
      </c>
      <c r="F1295" s="4">
        <f t="shared" si="83"/>
        <v>12</v>
      </c>
      <c r="G1295" s="4" cm="1">
        <f t="array" ref="G1295">IF($C1295&gt;=25,F1295,IF($C1295&lt;16,INDEX(Sheet1!C:C,$F1295),$F1295))</f>
        <v>12</v>
      </c>
      <c r="H1295" s="4" t="str" cm="1">
        <f t="array" ref="H1295">INDEX(Sheet1!D:D,$G1295)</f>
        <v>2001-cso-preferred-class-structure-mortality-tables.xls</v>
      </c>
      <c r="I1295" s="4" t="str" cm="1">
        <f t="array" ref="I1295">INDEX(Sheet1!E:E,$G1295)</f>
        <v>A.1.b.ii</v>
      </c>
      <c r="J1295" s="4" t="str" cm="1">
        <f t="array" ref="J1295">IF($C1295&gt;=25,INDEX(Sheet1!G:G,$G1295),INDEX(Sheet1!F:F,$G1295))</f>
        <v>AA8</v>
      </c>
      <c r="K1295" s="4" cm="1">
        <f t="array" ref="K1295">INDEX(Sheet1!H:H,$G1295)</f>
        <v>1E-3</v>
      </c>
      <c r="L1295" s="4">
        <f t="shared" si="80"/>
        <v>58</v>
      </c>
      <c r="M1295" s="4">
        <f t="shared" si="81"/>
        <v>0</v>
      </c>
    </row>
    <row r="1296" spans="1:13">
      <c r="A1296" s="4" t="str" cm="1">
        <f t="array" ref="A1296">INDEX(Sheet1!A:A,$F1296)</f>
        <v>F</v>
      </c>
      <c r="B1296" s="4" t="str" cm="1">
        <f t="array" ref="B1296">INDEX(Sheet1!B:B,$F1296)</f>
        <v>Pref Best NS</v>
      </c>
      <c r="C1296" s="4">
        <f t="shared" si="82"/>
        <v>84</v>
      </c>
      <c r="D1296" s="5" cm="1">
        <f t="array" aca="1" ref="D1296" ca="1">OFFSET(INDIRECT("'["&amp;$H1296&amp;"]"&amp;$I1296&amp;"'!"&amp;$J1296),$L1296,$M1296)*$K1296</f>
        <v>5.8860000000000003E-2</v>
      </c>
      <c r="F1296" s="4">
        <f t="shared" si="83"/>
        <v>12</v>
      </c>
      <c r="G1296" s="4" cm="1">
        <f t="array" ref="G1296">IF($C1296&gt;=25,F1296,IF($C1296&lt;16,INDEX(Sheet1!C:C,$F1296),$F1296))</f>
        <v>12</v>
      </c>
      <c r="H1296" s="4" t="str" cm="1">
        <f t="array" ref="H1296">INDEX(Sheet1!D:D,$G1296)</f>
        <v>2001-cso-preferred-class-structure-mortality-tables.xls</v>
      </c>
      <c r="I1296" s="4" t="str" cm="1">
        <f t="array" ref="I1296">INDEX(Sheet1!E:E,$G1296)</f>
        <v>A.1.b.ii</v>
      </c>
      <c r="J1296" s="4" t="str" cm="1">
        <f t="array" ref="J1296">IF($C1296&gt;=25,INDEX(Sheet1!G:G,$G1296),INDEX(Sheet1!F:F,$G1296))</f>
        <v>AA8</v>
      </c>
      <c r="K1296" s="4" cm="1">
        <f t="array" ref="K1296">INDEX(Sheet1!H:H,$G1296)</f>
        <v>1E-3</v>
      </c>
      <c r="L1296" s="4">
        <f t="shared" si="80"/>
        <v>59</v>
      </c>
      <c r="M1296" s="4">
        <f t="shared" si="81"/>
        <v>0</v>
      </c>
    </row>
    <row r="1297" spans="1:13">
      <c r="A1297" s="4" t="str" cm="1">
        <f t="array" ref="A1297">INDEX(Sheet1!A:A,$F1297)</f>
        <v>F</v>
      </c>
      <c r="B1297" s="4" t="str" cm="1">
        <f t="array" ref="B1297">INDEX(Sheet1!B:B,$F1297)</f>
        <v>Pref Best NS</v>
      </c>
      <c r="C1297" s="4">
        <f t="shared" si="82"/>
        <v>85</v>
      </c>
      <c r="D1297" s="5" cm="1">
        <f t="array" aca="1" ref="D1297" ca="1">OFFSET(INDIRECT("'["&amp;$H1297&amp;"]"&amp;$I1297&amp;"'!"&amp;$J1297),$L1297,$M1297)*$K1297</f>
        <v>6.6000000000000003E-2</v>
      </c>
      <c r="F1297" s="4">
        <f t="shared" si="83"/>
        <v>12</v>
      </c>
      <c r="G1297" s="4" cm="1">
        <f t="array" ref="G1297">IF($C1297&gt;=25,F1297,IF($C1297&lt;16,INDEX(Sheet1!C:C,$F1297),$F1297))</f>
        <v>12</v>
      </c>
      <c r="H1297" s="4" t="str" cm="1">
        <f t="array" ref="H1297">INDEX(Sheet1!D:D,$G1297)</f>
        <v>2001-cso-preferred-class-structure-mortality-tables.xls</v>
      </c>
      <c r="I1297" s="4" t="str" cm="1">
        <f t="array" ref="I1297">INDEX(Sheet1!E:E,$G1297)</f>
        <v>A.1.b.ii</v>
      </c>
      <c r="J1297" s="4" t="str" cm="1">
        <f t="array" ref="J1297">IF($C1297&gt;=25,INDEX(Sheet1!G:G,$G1297),INDEX(Sheet1!F:F,$G1297))</f>
        <v>AA8</v>
      </c>
      <c r="K1297" s="4" cm="1">
        <f t="array" ref="K1297">INDEX(Sheet1!H:H,$G1297)</f>
        <v>1E-3</v>
      </c>
      <c r="L1297" s="4">
        <f t="shared" si="80"/>
        <v>60</v>
      </c>
      <c r="M1297" s="4">
        <f t="shared" si="81"/>
        <v>0</v>
      </c>
    </row>
    <row r="1298" spans="1:13">
      <c r="A1298" s="4" t="str" cm="1">
        <f t="array" ref="A1298">INDEX(Sheet1!A:A,$F1298)</f>
        <v>F</v>
      </c>
      <c r="B1298" s="4" t="str" cm="1">
        <f t="array" ref="B1298">INDEX(Sheet1!B:B,$F1298)</f>
        <v>Pref Best NS</v>
      </c>
      <c r="C1298" s="4">
        <f t="shared" si="82"/>
        <v>86</v>
      </c>
      <c r="D1298" s="5" cm="1">
        <f t="array" aca="1" ref="D1298" ca="1">OFFSET(INDIRECT("'["&amp;$H1298&amp;"]"&amp;$I1298&amp;"'!"&amp;$J1298),$L1298,$M1298)*$K1298</f>
        <v>7.2690000000000005E-2</v>
      </c>
      <c r="F1298" s="4">
        <f t="shared" si="83"/>
        <v>12</v>
      </c>
      <c r="G1298" s="4" cm="1">
        <f t="array" ref="G1298">IF($C1298&gt;=25,F1298,IF($C1298&lt;16,INDEX(Sheet1!C:C,$F1298),$F1298))</f>
        <v>12</v>
      </c>
      <c r="H1298" s="4" t="str" cm="1">
        <f t="array" ref="H1298">INDEX(Sheet1!D:D,$G1298)</f>
        <v>2001-cso-preferred-class-structure-mortality-tables.xls</v>
      </c>
      <c r="I1298" s="4" t="str" cm="1">
        <f t="array" ref="I1298">INDEX(Sheet1!E:E,$G1298)</f>
        <v>A.1.b.ii</v>
      </c>
      <c r="J1298" s="4" t="str" cm="1">
        <f t="array" ref="J1298">IF($C1298&gt;=25,INDEX(Sheet1!G:G,$G1298),INDEX(Sheet1!F:F,$G1298))</f>
        <v>AA8</v>
      </c>
      <c r="K1298" s="4" cm="1">
        <f t="array" ref="K1298">INDEX(Sheet1!H:H,$G1298)</f>
        <v>1E-3</v>
      </c>
      <c r="L1298" s="4">
        <f t="shared" si="80"/>
        <v>61</v>
      </c>
      <c r="M1298" s="4">
        <f t="shared" si="81"/>
        <v>0</v>
      </c>
    </row>
    <row r="1299" spans="1:13">
      <c r="A1299" s="4" t="str" cm="1">
        <f t="array" ref="A1299">INDEX(Sheet1!A:A,$F1299)</f>
        <v>F</v>
      </c>
      <c r="B1299" s="4" t="str" cm="1">
        <f t="array" ref="B1299">INDEX(Sheet1!B:B,$F1299)</f>
        <v>Pref Best NS</v>
      </c>
      <c r="C1299" s="4">
        <f t="shared" si="82"/>
        <v>87</v>
      </c>
      <c r="D1299" s="5" cm="1">
        <f t="array" aca="1" ref="D1299" ca="1">OFFSET(INDIRECT("'["&amp;$H1299&amp;"]"&amp;$I1299&amp;"'!"&amp;$J1299),$L1299,$M1299)*$K1299</f>
        <v>8.2540000000000002E-2</v>
      </c>
      <c r="F1299" s="4">
        <f t="shared" si="83"/>
        <v>12</v>
      </c>
      <c r="G1299" s="4" cm="1">
        <f t="array" ref="G1299">IF($C1299&gt;=25,F1299,IF($C1299&lt;16,INDEX(Sheet1!C:C,$F1299),$F1299))</f>
        <v>12</v>
      </c>
      <c r="H1299" s="4" t="str" cm="1">
        <f t="array" ref="H1299">INDEX(Sheet1!D:D,$G1299)</f>
        <v>2001-cso-preferred-class-structure-mortality-tables.xls</v>
      </c>
      <c r="I1299" s="4" t="str" cm="1">
        <f t="array" ref="I1299">INDEX(Sheet1!E:E,$G1299)</f>
        <v>A.1.b.ii</v>
      </c>
      <c r="J1299" s="4" t="str" cm="1">
        <f t="array" ref="J1299">IF($C1299&gt;=25,INDEX(Sheet1!G:G,$G1299),INDEX(Sheet1!F:F,$G1299))</f>
        <v>AA8</v>
      </c>
      <c r="K1299" s="4" cm="1">
        <f t="array" ref="K1299">INDEX(Sheet1!H:H,$G1299)</f>
        <v>1E-3</v>
      </c>
      <c r="L1299" s="4">
        <f t="shared" si="80"/>
        <v>62</v>
      </c>
      <c r="M1299" s="4">
        <f t="shared" si="81"/>
        <v>0</v>
      </c>
    </row>
    <row r="1300" spans="1:13">
      <c r="A1300" s="4" t="str" cm="1">
        <f t="array" ref="A1300">INDEX(Sheet1!A:A,$F1300)</f>
        <v>F</v>
      </c>
      <c r="B1300" s="4" t="str" cm="1">
        <f t="array" ref="B1300">INDEX(Sheet1!B:B,$F1300)</f>
        <v>Pref Best NS</v>
      </c>
      <c r="C1300" s="4">
        <f t="shared" si="82"/>
        <v>88</v>
      </c>
      <c r="D1300" s="5" cm="1">
        <f t="array" aca="1" ref="D1300" ca="1">OFFSET(INDIRECT("'["&amp;$H1300&amp;"]"&amp;$I1300&amp;"'!"&amp;$J1300),$L1300,$M1300)*$K1300</f>
        <v>9.2999999999999999E-2</v>
      </c>
      <c r="F1300" s="4">
        <f t="shared" si="83"/>
        <v>12</v>
      </c>
      <c r="G1300" s="4" cm="1">
        <f t="array" ref="G1300">IF($C1300&gt;=25,F1300,IF($C1300&lt;16,INDEX(Sheet1!C:C,$F1300),$F1300))</f>
        <v>12</v>
      </c>
      <c r="H1300" s="4" t="str" cm="1">
        <f t="array" ref="H1300">INDEX(Sheet1!D:D,$G1300)</f>
        <v>2001-cso-preferred-class-structure-mortality-tables.xls</v>
      </c>
      <c r="I1300" s="4" t="str" cm="1">
        <f t="array" ref="I1300">INDEX(Sheet1!E:E,$G1300)</f>
        <v>A.1.b.ii</v>
      </c>
      <c r="J1300" s="4" t="str" cm="1">
        <f t="array" ref="J1300">IF($C1300&gt;=25,INDEX(Sheet1!G:G,$G1300),INDEX(Sheet1!F:F,$G1300))</f>
        <v>AA8</v>
      </c>
      <c r="K1300" s="4" cm="1">
        <f t="array" ref="K1300">INDEX(Sheet1!H:H,$G1300)</f>
        <v>1E-3</v>
      </c>
      <c r="L1300" s="4">
        <f t="shared" si="80"/>
        <v>63</v>
      </c>
      <c r="M1300" s="4">
        <f t="shared" si="81"/>
        <v>0</v>
      </c>
    </row>
    <row r="1301" spans="1:13">
      <c r="A1301" s="4" t="str" cm="1">
        <f t="array" ref="A1301">INDEX(Sheet1!A:A,$F1301)</f>
        <v>F</v>
      </c>
      <c r="B1301" s="4" t="str" cm="1">
        <f t="array" ref="B1301">INDEX(Sheet1!B:B,$F1301)</f>
        <v>Pref Best NS</v>
      </c>
      <c r="C1301" s="4">
        <f t="shared" si="82"/>
        <v>89</v>
      </c>
      <c r="D1301" s="5" cm="1">
        <f t="array" aca="1" ref="D1301" ca="1">OFFSET(INDIRECT("'["&amp;$H1301&amp;"]"&amp;$I1301&amp;"'!"&amp;$J1301),$L1301,$M1301)*$K1301</f>
        <v>0.10429000000000001</v>
      </c>
      <c r="F1301" s="4">
        <f t="shared" si="83"/>
        <v>12</v>
      </c>
      <c r="G1301" s="4" cm="1">
        <f t="array" ref="G1301">IF($C1301&gt;=25,F1301,IF($C1301&lt;16,INDEX(Sheet1!C:C,$F1301),$F1301))</f>
        <v>12</v>
      </c>
      <c r="H1301" s="4" t="str" cm="1">
        <f t="array" ref="H1301">INDEX(Sheet1!D:D,$G1301)</f>
        <v>2001-cso-preferred-class-structure-mortality-tables.xls</v>
      </c>
      <c r="I1301" s="4" t="str" cm="1">
        <f t="array" ref="I1301">INDEX(Sheet1!E:E,$G1301)</f>
        <v>A.1.b.ii</v>
      </c>
      <c r="J1301" s="4" t="str" cm="1">
        <f t="array" ref="J1301">IF($C1301&gt;=25,INDEX(Sheet1!G:G,$G1301),INDEX(Sheet1!F:F,$G1301))</f>
        <v>AA8</v>
      </c>
      <c r="K1301" s="4" cm="1">
        <f t="array" ref="K1301">INDEX(Sheet1!H:H,$G1301)</f>
        <v>1E-3</v>
      </c>
      <c r="L1301" s="4">
        <f t="shared" si="80"/>
        <v>64</v>
      </c>
      <c r="M1301" s="4">
        <f t="shared" si="81"/>
        <v>0</v>
      </c>
    </row>
    <row r="1302" spans="1:13">
      <c r="A1302" s="4" t="str" cm="1">
        <f t="array" ref="A1302">INDEX(Sheet1!A:A,$F1302)</f>
        <v>F</v>
      </c>
      <c r="B1302" s="4" t="str" cm="1">
        <f t="array" ref="B1302">INDEX(Sheet1!B:B,$F1302)</f>
        <v>Pref Best NS</v>
      </c>
      <c r="C1302" s="4">
        <f t="shared" si="82"/>
        <v>90</v>
      </c>
      <c r="D1302" s="5" cm="1">
        <f t="array" aca="1" ref="D1302" ca="1">OFFSET(INDIRECT("'["&amp;$H1302&amp;"]"&amp;$I1302&amp;"'!"&amp;$J1302),$L1302,$M1302)*$K1302</f>
        <v>0.11498000000000001</v>
      </c>
      <c r="F1302" s="4">
        <f t="shared" si="83"/>
        <v>12</v>
      </c>
      <c r="G1302" s="4" cm="1">
        <f t="array" ref="G1302">IF($C1302&gt;=25,F1302,IF($C1302&lt;16,INDEX(Sheet1!C:C,$F1302),$F1302))</f>
        <v>12</v>
      </c>
      <c r="H1302" s="4" t="str" cm="1">
        <f t="array" ref="H1302">INDEX(Sheet1!D:D,$G1302)</f>
        <v>2001-cso-preferred-class-structure-mortality-tables.xls</v>
      </c>
      <c r="I1302" s="4" t="str" cm="1">
        <f t="array" ref="I1302">INDEX(Sheet1!E:E,$G1302)</f>
        <v>A.1.b.ii</v>
      </c>
      <c r="J1302" s="4" t="str" cm="1">
        <f t="array" ref="J1302">IF($C1302&gt;=25,INDEX(Sheet1!G:G,$G1302),INDEX(Sheet1!F:F,$G1302))</f>
        <v>AA8</v>
      </c>
      <c r="K1302" s="4" cm="1">
        <f t="array" ref="K1302">INDEX(Sheet1!H:H,$G1302)</f>
        <v>1E-3</v>
      </c>
      <c r="L1302" s="4">
        <f t="shared" si="80"/>
        <v>65</v>
      </c>
      <c r="M1302" s="4">
        <f t="shared" si="81"/>
        <v>0</v>
      </c>
    </row>
    <row r="1303" spans="1:13">
      <c r="A1303" s="4" t="str" cm="1">
        <f t="array" ref="A1303">INDEX(Sheet1!A:A,$F1303)</f>
        <v>F</v>
      </c>
      <c r="B1303" s="4" t="str" cm="1">
        <f t="array" ref="B1303">INDEX(Sheet1!B:B,$F1303)</f>
        <v>Pref Best NS</v>
      </c>
      <c r="C1303" s="4">
        <f t="shared" si="82"/>
        <v>91</v>
      </c>
      <c r="D1303" s="5" cm="1">
        <f t="array" aca="1" ref="D1303" ca="1">OFFSET(INDIRECT("'["&amp;$H1303&amp;"]"&amp;$I1303&amp;"'!"&amp;$J1303),$L1303,$M1303)*$K1303</f>
        <v>0.12108000000000001</v>
      </c>
      <c r="F1303" s="4">
        <f t="shared" si="83"/>
        <v>12</v>
      </c>
      <c r="G1303" s="4" cm="1">
        <f t="array" ref="G1303">IF($C1303&gt;=25,F1303,IF($C1303&lt;16,INDEX(Sheet1!C:C,$F1303),$F1303))</f>
        <v>12</v>
      </c>
      <c r="H1303" s="4" t="str" cm="1">
        <f t="array" ref="H1303">INDEX(Sheet1!D:D,$G1303)</f>
        <v>2001-cso-preferred-class-structure-mortality-tables.xls</v>
      </c>
      <c r="I1303" s="4" t="str" cm="1">
        <f t="array" ref="I1303">INDEX(Sheet1!E:E,$G1303)</f>
        <v>A.1.b.ii</v>
      </c>
      <c r="J1303" s="4" t="str" cm="1">
        <f t="array" ref="J1303">IF($C1303&gt;=25,INDEX(Sheet1!G:G,$G1303),INDEX(Sheet1!F:F,$G1303))</f>
        <v>AA8</v>
      </c>
      <c r="K1303" s="4" cm="1">
        <f t="array" ref="K1303">INDEX(Sheet1!H:H,$G1303)</f>
        <v>1E-3</v>
      </c>
      <c r="L1303" s="4">
        <f t="shared" si="80"/>
        <v>66</v>
      </c>
      <c r="M1303" s="4">
        <f t="shared" si="81"/>
        <v>0</v>
      </c>
    </row>
    <row r="1304" spans="1:13">
      <c r="A1304" s="4" t="str" cm="1">
        <f t="array" ref="A1304">INDEX(Sheet1!A:A,$F1304)</f>
        <v>F</v>
      </c>
      <c r="B1304" s="4" t="str" cm="1">
        <f t="array" ref="B1304">INDEX(Sheet1!B:B,$F1304)</f>
        <v>Pref Best NS</v>
      </c>
      <c r="C1304" s="4">
        <f t="shared" si="82"/>
        <v>92</v>
      </c>
      <c r="D1304" s="5" cm="1">
        <f t="array" aca="1" ref="D1304" ca="1">OFFSET(INDIRECT("'["&amp;$H1304&amp;"]"&amp;$I1304&amp;"'!"&amp;$J1304),$L1304,$M1304)*$K1304</f>
        <v>0.13206000000000001</v>
      </c>
      <c r="F1304" s="4">
        <f t="shared" si="83"/>
        <v>12</v>
      </c>
      <c r="G1304" s="4" cm="1">
        <f t="array" ref="G1304">IF($C1304&gt;=25,F1304,IF($C1304&lt;16,INDEX(Sheet1!C:C,$F1304),$F1304))</f>
        <v>12</v>
      </c>
      <c r="H1304" s="4" t="str" cm="1">
        <f t="array" ref="H1304">INDEX(Sheet1!D:D,$G1304)</f>
        <v>2001-cso-preferred-class-structure-mortality-tables.xls</v>
      </c>
      <c r="I1304" s="4" t="str" cm="1">
        <f t="array" ref="I1304">INDEX(Sheet1!E:E,$G1304)</f>
        <v>A.1.b.ii</v>
      </c>
      <c r="J1304" s="4" t="str" cm="1">
        <f t="array" ref="J1304">IF($C1304&gt;=25,INDEX(Sheet1!G:G,$G1304),INDEX(Sheet1!F:F,$G1304))</f>
        <v>AA8</v>
      </c>
      <c r="K1304" s="4" cm="1">
        <f t="array" ref="K1304">INDEX(Sheet1!H:H,$G1304)</f>
        <v>1E-3</v>
      </c>
      <c r="L1304" s="4">
        <f t="shared" si="80"/>
        <v>67</v>
      </c>
      <c r="M1304" s="4">
        <f t="shared" si="81"/>
        <v>0</v>
      </c>
    </row>
    <row r="1305" spans="1:13">
      <c r="A1305" s="4" t="str" cm="1">
        <f t="array" ref="A1305">INDEX(Sheet1!A:A,$F1305)</f>
        <v>F</v>
      </c>
      <c r="B1305" s="4" t="str" cm="1">
        <f t="array" ref="B1305">INDEX(Sheet1!B:B,$F1305)</f>
        <v>Pref Best NS</v>
      </c>
      <c r="C1305" s="4">
        <f t="shared" si="82"/>
        <v>93</v>
      </c>
      <c r="D1305" s="5" cm="1">
        <f t="array" aca="1" ref="D1305" ca="1">OFFSET(INDIRECT("'["&amp;$H1305&amp;"]"&amp;$I1305&amp;"'!"&amp;$J1305),$L1305,$M1305)*$K1305</f>
        <v>0.14798</v>
      </c>
      <c r="F1305" s="4">
        <f t="shared" si="83"/>
        <v>12</v>
      </c>
      <c r="G1305" s="4" cm="1">
        <f t="array" ref="G1305">IF($C1305&gt;=25,F1305,IF($C1305&lt;16,INDEX(Sheet1!C:C,$F1305),$F1305))</f>
        <v>12</v>
      </c>
      <c r="H1305" s="4" t="str" cm="1">
        <f t="array" ref="H1305">INDEX(Sheet1!D:D,$G1305)</f>
        <v>2001-cso-preferred-class-structure-mortality-tables.xls</v>
      </c>
      <c r="I1305" s="4" t="str" cm="1">
        <f t="array" ref="I1305">INDEX(Sheet1!E:E,$G1305)</f>
        <v>A.1.b.ii</v>
      </c>
      <c r="J1305" s="4" t="str" cm="1">
        <f t="array" ref="J1305">IF($C1305&gt;=25,INDEX(Sheet1!G:G,$G1305),INDEX(Sheet1!F:F,$G1305))</f>
        <v>AA8</v>
      </c>
      <c r="K1305" s="4" cm="1">
        <f t="array" ref="K1305">INDEX(Sheet1!H:H,$G1305)</f>
        <v>1E-3</v>
      </c>
      <c r="L1305" s="4">
        <f t="shared" si="80"/>
        <v>68</v>
      </c>
      <c r="M1305" s="4">
        <f t="shared" si="81"/>
        <v>0</v>
      </c>
    </row>
    <row r="1306" spans="1:13">
      <c r="A1306" s="4" t="str" cm="1">
        <f t="array" ref="A1306">INDEX(Sheet1!A:A,$F1306)</f>
        <v>F</v>
      </c>
      <c r="B1306" s="4" t="str" cm="1">
        <f t="array" ref="B1306">INDEX(Sheet1!B:B,$F1306)</f>
        <v>Pref Best NS</v>
      </c>
      <c r="C1306" s="4">
        <f t="shared" si="82"/>
        <v>94</v>
      </c>
      <c r="D1306" s="5" cm="1">
        <f t="array" aca="1" ref="D1306" ca="1">OFFSET(INDIRECT("'["&amp;$H1306&amp;"]"&amp;$I1306&amp;"'!"&amp;$J1306),$L1306,$M1306)*$K1306</f>
        <v>0.16809000000000002</v>
      </c>
      <c r="F1306" s="4">
        <f t="shared" si="83"/>
        <v>12</v>
      </c>
      <c r="G1306" s="4" cm="1">
        <f t="array" ref="G1306">IF($C1306&gt;=25,F1306,IF($C1306&lt;16,INDEX(Sheet1!C:C,$F1306),$F1306))</f>
        <v>12</v>
      </c>
      <c r="H1306" s="4" t="str" cm="1">
        <f t="array" ref="H1306">INDEX(Sheet1!D:D,$G1306)</f>
        <v>2001-cso-preferred-class-structure-mortality-tables.xls</v>
      </c>
      <c r="I1306" s="4" t="str" cm="1">
        <f t="array" ref="I1306">INDEX(Sheet1!E:E,$G1306)</f>
        <v>A.1.b.ii</v>
      </c>
      <c r="J1306" s="4" t="str" cm="1">
        <f t="array" ref="J1306">IF($C1306&gt;=25,INDEX(Sheet1!G:G,$G1306),INDEX(Sheet1!F:F,$G1306))</f>
        <v>AA8</v>
      </c>
      <c r="K1306" s="4" cm="1">
        <f t="array" ref="K1306">INDEX(Sheet1!H:H,$G1306)</f>
        <v>1E-3</v>
      </c>
      <c r="L1306" s="4">
        <f t="shared" si="80"/>
        <v>69</v>
      </c>
      <c r="M1306" s="4">
        <f t="shared" si="81"/>
        <v>0</v>
      </c>
    </row>
    <row r="1307" spans="1:13">
      <c r="A1307" s="4" t="str" cm="1">
        <f t="array" ref="A1307">INDEX(Sheet1!A:A,$F1307)</f>
        <v>F</v>
      </c>
      <c r="B1307" s="4" t="str" cm="1">
        <f t="array" ref="B1307">INDEX(Sheet1!B:B,$F1307)</f>
        <v>Pref Best NS</v>
      </c>
      <c r="C1307" s="4">
        <f t="shared" si="82"/>
        <v>95</v>
      </c>
      <c r="D1307" s="5" cm="1">
        <f t="array" aca="1" ref="D1307" ca="1">OFFSET(INDIRECT("'["&amp;$H1307&amp;"]"&amp;$I1307&amp;"'!"&amp;$J1307),$L1307,$M1307)*$K1307</f>
        <v>0.19291999999999998</v>
      </c>
      <c r="F1307" s="4">
        <f t="shared" si="83"/>
        <v>12</v>
      </c>
      <c r="G1307" s="4" cm="1">
        <f t="array" ref="G1307">IF($C1307&gt;=25,F1307,IF($C1307&lt;16,INDEX(Sheet1!C:C,$F1307),$F1307))</f>
        <v>12</v>
      </c>
      <c r="H1307" s="4" t="str" cm="1">
        <f t="array" ref="H1307">INDEX(Sheet1!D:D,$G1307)</f>
        <v>2001-cso-preferred-class-structure-mortality-tables.xls</v>
      </c>
      <c r="I1307" s="4" t="str" cm="1">
        <f t="array" ref="I1307">INDEX(Sheet1!E:E,$G1307)</f>
        <v>A.1.b.ii</v>
      </c>
      <c r="J1307" s="4" t="str" cm="1">
        <f t="array" ref="J1307">IF($C1307&gt;=25,INDEX(Sheet1!G:G,$G1307),INDEX(Sheet1!F:F,$G1307))</f>
        <v>AA8</v>
      </c>
      <c r="K1307" s="4" cm="1">
        <f t="array" ref="K1307">INDEX(Sheet1!H:H,$G1307)</f>
        <v>1E-3</v>
      </c>
      <c r="L1307" s="4">
        <f t="shared" si="80"/>
        <v>70</v>
      </c>
      <c r="M1307" s="4">
        <f t="shared" si="81"/>
        <v>0</v>
      </c>
    </row>
    <row r="1308" spans="1:13">
      <c r="A1308" s="4" t="str" cm="1">
        <f t="array" ref="A1308">INDEX(Sheet1!A:A,$F1308)</f>
        <v>F</v>
      </c>
      <c r="B1308" s="4" t="str" cm="1">
        <f t="array" ref="B1308">INDEX(Sheet1!B:B,$F1308)</f>
        <v>Pref Best NS</v>
      </c>
      <c r="C1308" s="4">
        <f t="shared" si="82"/>
        <v>96</v>
      </c>
      <c r="D1308" s="5" cm="1">
        <f t="array" aca="1" ref="D1308" ca="1">OFFSET(INDIRECT("'["&amp;$H1308&amp;"]"&amp;$I1308&amp;"'!"&amp;$J1308),$L1308,$M1308)*$K1308</f>
        <v>0.21503</v>
      </c>
      <c r="F1308" s="4">
        <f t="shared" si="83"/>
        <v>12</v>
      </c>
      <c r="G1308" s="4" cm="1">
        <f t="array" ref="G1308">IF($C1308&gt;=25,F1308,IF($C1308&lt;16,INDEX(Sheet1!C:C,$F1308),$F1308))</f>
        <v>12</v>
      </c>
      <c r="H1308" s="4" t="str" cm="1">
        <f t="array" ref="H1308">INDEX(Sheet1!D:D,$G1308)</f>
        <v>2001-cso-preferred-class-structure-mortality-tables.xls</v>
      </c>
      <c r="I1308" s="4" t="str" cm="1">
        <f t="array" ref="I1308">INDEX(Sheet1!E:E,$G1308)</f>
        <v>A.1.b.ii</v>
      </c>
      <c r="J1308" s="4" t="str" cm="1">
        <f t="array" ref="J1308">IF($C1308&gt;=25,INDEX(Sheet1!G:G,$G1308),INDEX(Sheet1!F:F,$G1308))</f>
        <v>AA8</v>
      </c>
      <c r="K1308" s="4" cm="1">
        <f t="array" ref="K1308">INDEX(Sheet1!H:H,$G1308)</f>
        <v>1E-3</v>
      </c>
      <c r="L1308" s="4">
        <f t="shared" si="80"/>
        <v>71</v>
      </c>
      <c r="M1308" s="4">
        <f t="shared" si="81"/>
        <v>0</v>
      </c>
    </row>
    <row r="1309" spans="1:13">
      <c r="A1309" s="4" t="str" cm="1">
        <f t="array" ref="A1309">INDEX(Sheet1!A:A,$F1309)</f>
        <v>F</v>
      </c>
      <c r="B1309" s="4" t="str" cm="1">
        <f t="array" ref="B1309">INDEX(Sheet1!B:B,$F1309)</f>
        <v>Pref Best NS</v>
      </c>
      <c r="C1309" s="4">
        <f t="shared" si="82"/>
        <v>97</v>
      </c>
      <c r="D1309" s="5" cm="1">
        <f t="array" aca="1" ref="D1309" ca="1">OFFSET(INDIRECT("'["&amp;$H1309&amp;"]"&amp;$I1309&amp;"'!"&amp;$J1309),$L1309,$M1309)*$K1309</f>
        <v>0.23779</v>
      </c>
      <c r="F1309" s="4">
        <f t="shared" si="83"/>
        <v>12</v>
      </c>
      <c r="G1309" s="4" cm="1">
        <f t="array" ref="G1309">IF($C1309&gt;=25,F1309,IF($C1309&lt;16,INDEX(Sheet1!C:C,$F1309),$F1309))</f>
        <v>12</v>
      </c>
      <c r="H1309" s="4" t="str" cm="1">
        <f t="array" ref="H1309">INDEX(Sheet1!D:D,$G1309)</f>
        <v>2001-cso-preferred-class-structure-mortality-tables.xls</v>
      </c>
      <c r="I1309" s="4" t="str" cm="1">
        <f t="array" ref="I1309">INDEX(Sheet1!E:E,$G1309)</f>
        <v>A.1.b.ii</v>
      </c>
      <c r="J1309" s="4" t="str" cm="1">
        <f t="array" ref="J1309">IF($C1309&gt;=25,INDEX(Sheet1!G:G,$G1309),INDEX(Sheet1!F:F,$G1309))</f>
        <v>AA8</v>
      </c>
      <c r="K1309" s="4" cm="1">
        <f t="array" ref="K1309">INDEX(Sheet1!H:H,$G1309)</f>
        <v>1E-3</v>
      </c>
      <c r="L1309" s="4">
        <f t="shared" si="80"/>
        <v>72</v>
      </c>
      <c r="M1309" s="4">
        <f t="shared" si="81"/>
        <v>0</v>
      </c>
    </row>
    <row r="1310" spans="1:13">
      <c r="A1310" s="4" t="str" cm="1">
        <f t="array" ref="A1310">INDEX(Sheet1!A:A,$F1310)</f>
        <v>F</v>
      </c>
      <c r="B1310" s="4" t="str" cm="1">
        <f t="array" ref="B1310">INDEX(Sheet1!B:B,$F1310)</f>
        <v>Pref Best NS</v>
      </c>
      <c r="C1310" s="4">
        <f t="shared" si="82"/>
        <v>98</v>
      </c>
      <c r="D1310" s="5" cm="1">
        <f t="array" aca="1" ref="D1310" ca="1">OFFSET(INDIRECT("'["&amp;$H1310&amp;"]"&amp;$I1310&amp;"'!"&amp;$J1310),$L1310,$M1310)*$K1310</f>
        <v>0.24169000000000002</v>
      </c>
      <c r="F1310" s="4">
        <f t="shared" si="83"/>
        <v>12</v>
      </c>
      <c r="G1310" s="4" cm="1">
        <f t="array" ref="G1310">IF($C1310&gt;=25,F1310,IF($C1310&lt;16,INDEX(Sheet1!C:C,$F1310),$F1310))</f>
        <v>12</v>
      </c>
      <c r="H1310" s="4" t="str" cm="1">
        <f t="array" ref="H1310">INDEX(Sheet1!D:D,$G1310)</f>
        <v>2001-cso-preferred-class-structure-mortality-tables.xls</v>
      </c>
      <c r="I1310" s="4" t="str" cm="1">
        <f t="array" ref="I1310">INDEX(Sheet1!E:E,$G1310)</f>
        <v>A.1.b.ii</v>
      </c>
      <c r="J1310" s="4" t="str" cm="1">
        <f t="array" ref="J1310">IF($C1310&gt;=25,INDEX(Sheet1!G:G,$G1310),INDEX(Sheet1!F:F,$G1310))</f>
        <v>AA8</v>
      </c>
      <c r="K1310" s="4" cm="1">
        <f t="array" ref="K1310">INDEX(Sheet1!H:H,$G1310)</f>
        <v>1E-3</v>
      </c>
      <c r="L1310" s="4">
        <f t="shared" si="80"/>
        <v>73</v>
      </c>
      <c r="M1310" s="4">
        <f t="shared" si="81"/>
        <v>0</v>
      </c>
    </row>
    <row r="1311" spans="1:13">
      <c r="A1311" s="4" t="str" cm="1">
        <f t="array" ref="A1311">INDEX(Sheet1!A:A,$F1311)</f>
        <v>F</v>
      </c>
      <c r="B1311" s="4" t="str" cm="1">
        <f t="array" ref="B1311">INDEX(Sheet1!B:B,$F1311)</f>
        <v>Pref Best NS</v>
      </c>
      <c r="C1311" s="4">
        <f t="shared" si="82"/>
        <v>99</v>
      </c>
      <c r="D1311" s="5" cm="1">
        <f t="array" aca="1" ref="D1311" ca="1">OFFSET(INDIRECT("'["&amp;$H1311&amp;"]"&amp;$I1311&amp;"'!"&amp;$J1311),$L1311,$M1311)*$K1311</f>
        <v>0.25474000000000002</v>
      </c>
      <c r="F1311" s="4">
        <f t="shared" si="83"/>
        <v>12</v>
      </c>
      <c r="G1311" s="4" cm="1">
        <f t="array" ref="G1311">IF($C1311&gt;=25,F1311,IF($C1311&lt;16,INDEX(Sheet1!C:C,$F1311),$F1311))</f>
        <v>12</v>
      </c>
      <c r="H1311" s="4" t="str" cm="1">
        <f t="array" ref="H1311">INDEX(Sheet1!D:D,$G1311)</f>
        <v>2001-cso-preferred-class-structure-mortality-tables.xls</v>
      </c>
      <c r="I1311" s="4" t="str" cm="1">
        <f t="array" ref="I1311">INDEX(Sheet1!E:E,$G1311)</f>
        <v>A.1.b.ii</v>
      </c>
      <c r="J1311" s="4" t="str" cm="1">
        <f t="array" ref="J1311">IF($C1311&gt;=25,INDEX(Sheet1!G:G,$G1311),INDEX(Sheet1!F:F,$G1311))</f>
        <v>AA8</v>
      </c>
      <c r="K1311" s="4" cm="1">
        <f t="array" ref="K1311">INDEX(Sheet1!H:H,$G1311)</f>
        <v>1E-3</v>
      </c>
      <c r="L1311" s="4">
        <f t="shared" si="80"/>
        <v>74</v>
      </c>
      <c r="M1311" s="4">
        <f t="shared" si="81"/>
        <v>0</v>
      </c>
    </row>
    <row r="1312" spans="1:13">
      <c r="A1312" s="4" t="str" cm="1">
        <f t="array" ref="A1312">INDEX(Sheet1!A:A,$F1312)</f>
        <v>F</v>
      </c>
      <c r="B1312" s="4" t="str" cm="1">
        <f t="array" ref="B1312">INDEX(Sheet1!B:B,$F1312)</f>
        <v>Pref Best NS</v>
      </c>
      <c r="C1312" s="4">
        <f t="shared" si="82"/>
        <v>100</v>
      </c>
      <c r="D1312" s="5" cm="1">
        <f t="array" aca="1" ref="D1312" ca="1">OFFSET(INDIRECT("'["&amp;$H1312&amp;"]"&amp;$I1312&amp;"'!"&amp;$J1312),$L1312,$M1312)*$K1312</f>
        <v>0.27545999999999998</v>
      </c>
      <c r="F1312" s="4">
        <f t="shared" si="83"/>
        <v>12</v>
      </c>
      <c r="G1312" s="4" cm="1">
        <f t="array" ref="G1312">IF($C1312&gt;=25,F1312,IF($C1312&lt;16,INDEX(Sheet1!C:C,$F1312),$F1312))</f>
        <v>12</v>
      </c>
      <c r="H1312" s="4" t="str" cm="1">
        <f t="array" ref="H1312">INDEX(Sheet1!D:D,$G1312)</f>
        <v>2001-cso-preferred-class-structure-mortality-tables.xls</v>
      </c>
      <c r="I1312" s="4" t="str" cm="1">
        <f t="array" ref="I1312">INDEX(Sheet1!E:E,$G1312)</f>
        <v>A.1.b.ii</v>
      </c>
      <c r="J1312" s="4" t="str" cm="1">
        <f t="array" ref="J1312">IF($C1312&gt;=25,INDEX(Sheet1!G:G,$G1312),INDEX(Sheet1!F:F,$G1312))</f>
        <v>AA8</v>
      </c>
      <c r="K1312" s="4" cm="1">
        <f t="array" ref="K1312">INDEX(Sheet1!H:H,$G1312)</f>
        <v>1E-3</v>
      </c>
      <c r="L1312" s="4">
        <f t="shared" si="80"/>
        <v>75</v>
      </c>
      <c r="M1312" s="4">
        <f t="shared" si="81"/>
        <v>0</v>
      </c>
    </row>
    <row r="1313" spans="1:13">
      <c r="A1313" s="4" t="str" cm="1">
        <f t="array" ref="A1313">INDEX(Sheet1!A:A,$F1313)</f>
        <v>F</v>
      </c>
      <c r="B1313" s="4" t="str" cm="1">
        <f t="array" ref="B1313">INDEX(Sheet1!B:B,$F1313)</f>
        <v>Pref Best NS</v>
      </c>
      <c r="C1313" s="4">
        <f t="shared" si="82"/>
        <v>101</v>
      </c>
      <c r="D1313" s="5" cm="1">
        <f t="array" aca="1" ref="D1313" ca="1">OFFSET(INDIRECT("'["&amp;$H1313&amp;"]"&amp;$I1313&amp;"'!"&amp;$J1313),$L1313,$M1313)*$K1313</f>
        <v>0.29755000000000004</v>
      </c>
      <c r="F1313" s="4">
        <f t="shared" si="83"/>
        <v>12</v>
      </c>
      <c r="G1313" s="4" cm="1">
        <f t="array" ref="G1313">IF($C1313&gt;=25,F1313,IF($C1313&lt;16,INDEX(Sheet1!C:C,$F1313),$F1313))</f>
        <v>12</v>
      </c>
      <c r="H1313" s="4" t="str" cm="1">
        <f t="array" ref="H1313">INDEX(Sheet1!D:D,$G1313)</f>
        <v>2001-cso-preferred-class-structure-mortality-tables.xls</v>
      </c>
      <c r="I1313" s="4" t="str" cm="1">
        <f t="array" ref="I1313">INDEX(Sheet1!E:E,$G1313)</f>
        <v>A.1.b.ii</v>
      </c>
      <c r="J1313" s="4" t="str" cm="1">
        <f t="array" ref="J1313">IF($C1313&gt;=25,INDEX(Sheet1!G:G,$G1313),INDEX(Sheet1!F:F,$G1313))</f>
        <v>AA8</v>
      </c>
      <c r="K1313" s="4" cm="1">
        <f t="array" ref="K1313">INDEX(Sheet1!H:H,$G1313)</f>
        <v>1E-3</v>
      </c>
      <c r="L1313" s="4">
        <f t="shared" si="80"/>
        <v>76</v>
      </c>
      <c r="M1313" s="4">
        <f t="shared" si="81"/>
        <v>0</v>
      </c>
    </row>
    <row r="1314" spans="1:13">
      <c r="A1314" s="4" t="str" cm="1">
        <f t="array" ref="A1314">INDEX(Sheet1!A:A,$F1314)</f>
        <v>F</v>
      </c>
      <c r="B1314" s="4" t="str" cm="1">
        <f t="array" ref="B1314">INDEX(Sheet1!B:B,$F1314)</f>
        <v>Pref Best NS</v>
      </c>
      <c r="C1314" s="4">
        <f t="shared" si="82"/>
        <v>102</v>
      </c>
      <c r="D1314" s="5" cm="1">
        <f t="array" aca="1" ref="D1314" ca="1">OFFSET(INDIRECT("'["&amp;$H1314&amp;"]"&amp;$I1314&amp;"'!"&amp;$J1314),$L1314,$M1314)*$K1314</f>
        <v>0.32219000000000003</v>
      </c>
      <c r="F1314" s="4">
        <f t="shared" si="83"/>
        <v>12</v>
      </c>
      <c r="G1314" s="4" cm="1">
        <f t="array" ref="G1314">IF($C1314&gt;=25,F1314,IF($C1314&lt;16,INDEX(Sheet1!C:C,$F1314),$F1314))</f>
        <v>12</v>
      </c>
      <c r="H1314" s="4" t="str" cm="1">
        <f t="array" ref="H1314">INDEX(Sheet1!D:D,$G1314)</f>
        <v>2001-cso-preferred-class-structure-mortality-tables.xls</v>
      </c>
      <c r="I1314" s="4" t="str" cm="1">
        <f t="array" ref="I1314">INDEX(Sheet1!E:E,$G1314)</f>
        <v>A.1.b.ii</v>
      </c>
      <c r="J1314" s="4" t="str" cm="1">
        <f t="array" ref="J1314">IF($C1314&gt;=25,INDEX(Sheet1!G:G,$G1314),INDEX(Sheet1!F:F,$G1314))</f>
        <v>AA8</v>
      </c>
      <c r="K1314" s="4" cm="1">
        <f t="array" ref="K1314">INDEX(Sheet1!H:H,$G1314)</f>
        <v>1E-3</v>
      </c>
      <c r="L1314" s="4">
        <f t="shared" si="80"/>
        <v>77</v>
      </c>
      <c r="M1314" s="4">
        <f t="shared" si="81"/>
        <v>0</v>
      </c>
    </row>
    <row r="1315" spans="1:13">
      <c r="A1315" s="4" t="str" cm="1">
        <f t="array" ref="A1315">INDEX(Sheet1!A:A,$F1315)</f>
        <v>F</v>
      </c>
      <c r="B1315" s="4" t="str" cm="1">
        <f t="array" ref="B1315">INDEX(Sheet1!B:B,$F1315)</f>
        <v>Pref Best NS</v>
      </c>
      <c r="C1315" s="4">
        <f t="shared" si="82"/>
        <v>103</v>
      </c>
      <c r="D1315" s="5" cm="1">
        <f t="array" aca="1" ref="D1315" ca="1">OFFSET(INDIRECT("'["&amp;$H1315&amp;"]"&amp;$I1315&amp;"'!"&amp;$J1315),$L1315,$M1315)*$K1315</f>
        <v>0.34904000000000002</v>
      </c>
      <c r="F1315" s="4">
        <f t="shared" si="83"/>
        <v>12</v>
      </c>
      <c r="G1315" s="4" cm="1">
        <f t="array" ref="G1315">IF($C1315&gt;=25,F1315,IF($C1315&lt;16,INDEX(Sheet1!C:C,$F1315),$F1315))</f>
        <v>12</v>
      </c>
      <c r="H1315" s="4" t="str" cm="1">
        <f t="array" ref="H1315">INDEX(Sheet1!D:D,$G1315)</f>
        <v>2001-cso-preferred-class-structure-mortality-tables.xls</v>
      </c>
      <c r="I1315" s="4" t="str" cm="1">
        <f t="array" ref="I1315">INDEX(Sheet1!E:E,$G1315)</f>
        <v>A.1.b.ii</v>
      </c>
      <c r="J1315" s="4" t="str" cm="1">
        <f t="array" ref="J1315">IF($C1315&gt;=25,INDEX(Sheet1!G:G,$G1315),INDEX(Sheet1!F:F,$G1315))</f>
        <v>AA8</v>
      </c>
      <c r="K1315" s="4" cm="1">
        <f t="array" ref="K1315">INDEX(Sheet1!H:H,$G1315)</f>
        <v>1E-3</v>
      </c>
      <c r="L1315" s="4">
        <f t="shared" si="80"/>
        <v>78</v>
      </c>
      <c r="M1315" s="4">
        <f t="shared" si="81"/>
        <v>0</v>
      </c>
    </row>
    <row r="1316" spans="1:13">
      <c r="A1316" s="4" t="str" cm="1">
        <f t="array" ref="A1316">INDEX(Sheet1!A:A,$F1316)</f>
        <v>F</v>
      </c>
      <c r="B1316" s="4" t="str" cm="1">
        <f t="array" ref="B1316">INDEX(Sheet1!B:B,$F1316)</f>
        <v>Pref Best NS</v>
      </c>
      <c r="C1316" s="4">
        <f t="shared" si="82"/>
        <v>104</v>
      </c>
      <c r="D1316" s="5" cm="1">
        <f t="array" aca="1" ref="D1316" ca="1">OFFSET(INDIRECT("'["&amp;$H1316&amp;"]"&amp;$I1316&amp;"'!"&amp;$J1316),$L1316,$M1316)*$K1316</f>
        <v>0.37860000000000005</v>
      </c>
      <c r="F1316" s="4">
        <f t="shared" si="83"/>
        <v>12</v>
      </c>
      <c r="G1316" s="4" cm="1">
        <f t="array" ref="G1316">IF($C1316&gt;=25,F1316,IF($C1316&lt;16,INDEX(Sheet1!C:C,$F1316),$F1316))</f>
        <v>12</v>
      </c>
      <c r="H1316" s="4" t="str" cm="1">
        <f t="array" ref="H1316">INDEX(Sheet1!D:D,$G1316)</f>
        <v>2001-cso-preferred-class-structure-mortality-tables.xls</v>
      </c>
      <c r="I1316" s="4" t="str" cm="1">
        <f t="array" ref="I1316">INDEX(Sheet1!E:E,$G1316)</f>
        <v>A.1.b.ii</v>
      </c>
      <c r="J1316" s="4" t="str" cm="1">
        <f t="array" ref="J1316">IF($C1316&gt;=25,INDEX(Sheet1!G:G,$G1316),INDEX(Sheet1!F:F,$G1316))</f>
        <v>AA8</v>
      </c>
      <c r="K1316" s="4" cm="1">
        <f t="array" ref="K1316">INDEX(Sheet1!H:H,$G1316)</f>
        <v>1E-3</v>
      </c>
      <c r="L1316" s="4">
        <f t="shared" si="80"/>
        <v>79</v>
      </c>
      <c r="M1316" s="4">
        <f t="shared" si="81"/>
        <v>0</v>
      </c>
    </row>
    <row r="1317" spans="1:13">
      <c r="A1317" s="4" t="str" cm="1">
        <f t="array" ref="A1317">INDEX(Sheet1!A:A,$F1317)</f>
        <v>F</v>
      </c>
      <c r="B1317" s="4" t="str" cm="1">
        <f t="array" ref="B1317">INDEX(Sheet1!B:B,$F1317)</f>
        <v>Pref Best NS</v>
      </c>
      <c r="C1317" s="4">
        <f t="shared" si="82"/>
        <v>105</v>
      </c>
      <c r="D1317" s="5" cm="1">
        <f t="array" aca="1" ref="D1317" ca="1">OFFSET(INDIRECT("'["&amp;$H1317&amp;"]"&amp;$I1317&amp;"'!"&amp;$J1317),$L1317,$M1317)*$K1317</f>
        <v>0.41056000000000004</v>
      </c>
      <c r="F1317" s="4">
        <f t="shared" si="83"/>
        <v>12</v>
      </c>
      <c r="G1317" s="4" cm="1">
        <f t="array" ref="G1317">IF($C1317&gt;=25,F1317,IF($C1317&lt;16,INDEX(Sheet1!C:C,$F1317),$F1317))</f>
        <v>12</v>
      </c>
      <c r="H1317" s="4" t="str" cm="1">
        <f t="array" ref="H1317">INDEX(Sheet1!D:D,$G1317)</f>
        <v>2001-cso-preferred-class-structure-mortality-tables.xls</v>
      </c>
      <c r="I1317" s="4" t="str" cm="1">
        <f t="array" ref="I1317">INDEX(Sheet1!E:E,$G1317)</f>
        <v>A.1.b.ii</v>
      </c>
      <c r="J1317" s="4" t="str" cm="1">
        <f t="array" ref="J1317">IF($C1317&gt;=25,INDEX(Sheet1!G:G,$G1317),INDEX(Sheet1!F:F,$G1317))</f>
        <v>AA8</v>
      </c>
      <c r="K1317" s="4" cm="1">
        <f t="array" ref="K1317">INDEX(Sheet1!H:H,$G1317)</f>
        <v>1E-3</v>
      </c>
      <c r="L1317" s="4">
        <f t="shared" si="80"/>
        <v>80</v>
      </c>
      <c r="M1317" s="4">
        <f t="shared" si="81"/>
        <v>0</v>
      </c>
    </row>
    <row r="1318" spans="1:13">
      <c r="A1318" s="4" t="str" cm="1">
        <f t="array" ref="A1318">INDEX(Sheet1!A:A,$F1318)</f>
        <v>F</v>
      </c>
      <c r="B1318" s="4" t="str" cm="1">
        <f t="array" ref="B1318">INDEX(Sheet1!B:B,$F1318)</f>
        <v>Pref Best NS</v>
      </c>
      <c r="C1318" s="4">
        <f t="shared" si="82"/>
        <v>106</v>
      </c>
      <c r="D1318" s="5" cm="1">
        <f t="array" aca="1" ref="D1318" ca="1">OFFSET(INDIRECT("'["&amp;$H1318&amp;"]"&amp;$I1318&amp;"'!"&amp;$J1318),$L1318,$M1318)*$K1318</f>
        <v>0.44331999999999999</v>
      </c>
      <c r="F1318" s="4">
        <f t="shared" si="83"/>
        <v>12</v>
      </c>
      <c r="G1318" s="4" cm="1">
        <f t="array" ref="G1318">IF($C1318&gt;=25,F1318,IF($C1318&lt;16,INDEX(Sheet1!C:C,$F1318),$F1318))</f>
        <v>12</v>
      </c>
      <c r="H1318" s="4" t="str" cm="1">
        <f t="array" ref="H1318">INDEX(Sheet1!D:D,$G1318)</f>
        <v>2001-cso-preferred-class-structure-mortality-tables.xls</v>
      </c>
      <c r="I1318" s="4" t="str" cm="1">
        <f t="array" ref="I1318">INDEX(Sheet1!E:E,$G1318)</f>
        <v>A.1.b.ii</v>
      </c>
      <c r="J1318" s="4" t="str" cm="1">
        <f t="array" ref="J1318">IF($C1318&gt;=25,INDEX(Sheet1!G:G,$G1318),INDEX(Sheet1!F:F,$G1318))</f>
        <v>AA8</v>
      </c>
      <c r="K1318" s="4" cm="1">
        <f t="array" ref="K1318">INDEX(Sheet1!H:H,$G1318)</f>
        <v>1E-3</v>
      </c>
      <c r="L1318" s="4">
        <f t="shared" si="80"/>
        <v>81</v>
      </c>
      <c r="M1318" s="4">
        <f t="shared" si="81"/>
        <v>0</v>
      </c>
    </row>
    <row r="1319" spans="1:13">
      <c r="A1319" s="4" t="str" cm="1">
        <f t="array" ref="A1319">INDEX(Sheet1!A:A,$F1319)</f>
        <v>F</v>
      </c>
      <c r="B1319" s="4" t="str" cm="1">
        <f t="array" ref="B1319">INDEX(Sheet1!B:B,$F1319)</f>
        <v>Pref Best NS</v>
      </c>
      <c r="C1319" s="4">
        <f t="shared" si="82"/>
        <v>107</v>
      </c>
      <c r="D1319" s="5" cm="1">
        <f t="array" aca="1" ref="D1319" ca="1">OFFSET(INDIRECT("'["&amp;$H1319&amp;"]"&amp;$I1319&amp;"'!"&amp;$J1319),$L1319,$M1319)*$K1319</f>
        <v>0.47688000000000003</v>
      </c>
      <c r="F1319" s="4">
        <f t="shared" si="83"/>
        <v>12</v>
      </c>
      <c r="G1319" s="4" cm="1">
        <f t="array" ref="G1319">IF($C1319&gt;=25,F1319,IF($C1319&lt;16,INDEX(Sheet1!C:C,$F1319),$F1319))</f>
        <v>12</v>
      </c>
      <c r="H1319" s="4" t="str" cm="1">
        <f t="array" ref="H1319">INDEX(Sheet1!D:D,$G1319)</f>
        <v>2001-cso-preferred-class-structure-mortality-tables.xls</v>
      </c>
      <c r="I1319" s="4" t="str" cm="1">
        <f t="array" ref="I1319">INDEX(Sheet1!E:E,$G1319)</f>
        <v>A.1.b.ii</v>
      </c>
      <c r="J1319" s="4" t="str" cm="1">
        <f t="array" ref="J1319">IF($C1319&gt;=25,INDEX(Sheet1!G:G,$G1319),INDEX(Sheet1!F:F,$G1319))</f>
        <v>AA8</v>
      </c>
      <c r="K1319" s="4" cm="1">
        <f t="array" ref="K1319">INDEX(Sheet1!H:H,$G1319)</f>
        <v>1E-3</v>
      </c>
      <c r="L1319" s="4">
        <f t="shared" si="80"/>
        <v>82</v>
      </c>
      <c r="M1319" s="4">
        <f t="shared" si="81"/>
        <v>0</v>
      </c>
    </row>
    <row r="1320" spans="1:13">
      <c r="A1320" s="4" t="str" cm="1">
        <f t="array" ref="A1320">INDEX(Sheet1!A:A,$F1320)</f>
        <v>F</v>
      </c>
      <c r="B1320" s="4" t="str" cm="1">
        <f t="array" ref="B1320">INDEX(Sheet1!B:B,$F1320)</f>
        <v>Pref Best NS</v>
      </c>
      <c r="C1320" s="4">
        <f t="shared" si="82"/>
        <v>108</v>
      </c>
      <c r="D1320" s="5" cm="1">
        <f t="array" aca="1" ref="D1320" ca="1">OFFSET(INDIRECT("'["&amp;$H1320&amp;"]"&amp;$I1320&amp;"'!"&amp;$J1320),$L1320,$M1320)*$K1320</f>
        <v>0.51063999999999998</v>
      </c>
      <c r="F1320" s="4">
        <f t="shared" si="83"/>
        <v>12</v>
      </c>
      <c r="G1320" s="4" cm="1">
        <f t="array" ref="G1320">IF($C1320&gt;=25,F1320,IF($C1320&lt;16,INDEX(Sheet1!C:C,$F1320),$F1320))</f>
        <v>12</v>
      </c>
      <c r="H1320" s="4" t="str" cm="1">
        <f t="array" ref="H1320">INDEX(Sheet1!D:D,$G1320)</f>
        <v>2001-cso-preferred-class-structure-mortality-tables.xls</v>
      </c>
      <c r="I1320" s="4" t="str" cm="1">
        <f t="array" ref="I1320">INDEX(Sheet1!E:E,$G1320)</f>
        <v>A.1.b.ii</v>
      </c>
      <c r="J1320" s="4" t="str" cm="1">
        <f t="array" ref="J1320">IF($C1320&gt;=25,INDEX(Sheet1!G:G,$G1320),INDEX(Sheet1!F:F,$G1320))</f>
        <v>AA8</v>
      </c>
      <c r="K1320" s="4" cm="1">
        <f t="array" ref="K1320">INDEX(Sheet1!H:H,$G1320)</f>
        <v>1E-3</v>
      </c>
      <c r="L1320" s="4">
        <f t="shared" si="80"/>
        <v>83</v>
      </c>
      <c r="M1320" s="4">
        <f t="shared" si="81"/>
        <v>0</v>
      </c>
    </row>
    <row r="1321" spans="1:13">
      <c r="A1321" s="4" t="str" cm="1">
        <f t="array" ref="A1321">INDEX(Sheet1!A:A,$F1321)</f>
        <v>F</v>
      </c>
      <c r="B1321" s="4" t="str" cm="1">
        <f t="array" ref="B1321">INDEX(Sheet1!B:B,$F1321)</f>
        <v>Pref Best NS</v>
      </c>
      <c r="C1321" s="4">
        <f t="shared" si="82"/>
        <v>109</v>
      </c>
      <c r="D1321" s="5" cm="1">
        <f t="array" aca="1" ref="D1321" ca="1">OFFSET(INDIRECT("'["&amp;$H1321&amp;"]"&amp;$I1321&amp;"'!"&amp;$J1321),$L1321,$M1321)*$K1321</f>
        <v>0.54579999999999995</v>
      </c>
      <c r="F1321" s="4">
        <f t="shared" si="83"/>
        <v>12</v>
      </c>
      <c r="G1321" s="4" cm="1">
        <f t="array" ref="G1321">IF($C1321&gt;=25,F1321,IF($C1321&lt;16,INDEX(Sheet1!C:C,$F1321),$F1321))</f>
        <v>12</v>
      </c>
      <c r="H1321" s="4" t="str" cm="1">
        <f t="array" ref="H1321">INDEX(Sheet1!D:D,$G1321)</f>
        <v>2001-cso-preferred-class-structure-mortality-tables.xls</v>
      </c>
      <c r="I1321" s="4" t="str" cm="1">
        <f t="array" ref="I1321">INDEX(Sheet1!E:E,$G1321)</f>
        <v>A.1.b.ii</v>
      </c>
      <c r="J1321" s="4" t="str" cm="1">
        <f t="array" ref="J1321">IF($C1321&gt;=25,INDEX(Sheet1!G:G,$G1321),INDEX(Sheet1!F:F,$G1321))</f>
        <v>AA8</v>
      </c>
      <c r="K1321" s="4" cm="1">
        <f t="array" ref="K1321">INDEX(Sheet1!H:H,$G1321)</f>
        <v>1E-3</v>
      </c>
      <c r="L1321" s="4">
        <f t="shared" si="80"/>
        <v>84</v>
      </c>
      <c r="M1321" s="4">
        <f t="shared" si="81"/>
        <v>0</v>
      </c>
    </row>
    <row r="1322" spans="1:13">
      <c r="A1322" s="4" t="str" cm="1">
        <f t="array" ref="A1322">INDEX(Sheet1!A:A,$F1322)</f>
        <v>F</v>
      </c>
      <c r="B1322" s="4" t="str" cm="1">
        <f t="array" ref="B1322">INDEX(Sheet1!B:B,$F1322)</f>
        <v>Pref Best NS</v>
      </c>
      <c r="C1322" s="4">
        <f t="shared" si="82"/>
        <v>110</v>
      </c>
      <c r="D1322" s="5" cm="1">
        <f t="array" aca="1" ref="D1322" ca="1">OFFSET(INDIRECT("'["&amp;$H1322&amp;"]"&amp;$I1322&amp;"'!"&amp;$J1322),$L1322,$M1322)*$K1322</f>
        <v>0.58176000000000005</v>
      </c>
      <c r="F1322" s="4">
        <f t="shared" si="83"/>
        <v>12</v>
      </c>
      <c r="G1322" s="4" cm="1">
        <f t="array" ref="G1322">IF($C1322&gt;=25,F1322,IF($C1322&lt;16,INDEX(Sheet1!C:C,$F1322),$F1322))</f>
        <v>12</v>
      </c>
      <c r="H1322" s="4" t="str" cm="1">
        <f t="array" ref="H1322">INDEX(Sheet1!D:D,$G1322)</f>
        <v>2001-cso-preferred-class-structure-mortality-tables.xls</v>
      </c>
      <c r="I1322" s="4" t="str" cm="1">
        <f t="array" ref="I1322">INDEX(Sheet1!E:E,$G1322)</f>
        <v>A.1.b.ii</v>
      </c>
      <c r="J1322" s="4" t="str" cm="1">
        <f t="array" ref="J1322">IF($C1322&gt;=25,INDEX(Sheet1!G:G,$G1322),INDEX(Sheet1!F:F,$G1322))</f>
        <v>AA8</v>
      </c>
      <c r="K1322" s="4" cm="1">
        <f t="array" ref="K1322">INDEX(Sheet1!H:H,$G1322)</f>
        <v>1E-3</v>
      </c>
      <c r="L1322" s="4">
        <f t="shared" si="80"/>
        <v>85</v>
      </c>
      <c r="M1322" s="4">
        <f t="shared" si="81"/>
        <v>0</v>
      </c>
    </row>
    <row r="1323" spans="1:13">
      <c r="A1323" s="4" t="str" cm="1">
        <f t="array" ref="A1323">INDEX(Sheet1!A:A,$F1323)</f>
        <v>F</v>
      </c>
      <c r="B1323" s="4" t="str" cm="1">
        <f t="array" ref="B1323">INDEX(Sheet1!B:B,$F1323)</f>
        <v>Pref Best NS</v>
      </c>
      <c r="C1323" s="4">
        <f t="shared" si="82"/>
        <v>111</v>
      </c>
      <c r="D1323" s="5" cm="1">
        <f t="array" aca="1" ref="D1323" ca="1">OFFSET(INDIRECT("'["&amp;$H1323&amp;"]"&amp;$I1323&amp;"'!"&amp;$J1323),$L1323,$M1323)*$K1323</f>
        <v>0.61633000000000004</v>
      </c>
      <c r="F1323" s="4">
        <f t="shared" si="83"/>
        <v>12</v>
      </c>
      <c r="G1323" s="4" cm="1">
        <f t="array" ref="G1323">IF($C1323&gt;=25,F1323,IF($C1323&lt;16,INDEX(Sheet1!C:C,$F1323),$F1323))</f>
        <v>12</v>
      </c>
      <c r="H1323" s="4" t="str" cm="1">
        <f t="array" ref="H1323">INDEX(Sheet1!D:D,$G1323)</f>
        <v>2001-cso-preferred-class-structure-mortality-tables.xls</v>
      </c>
      <c r="I1323" s="4" t="str" cm="1">
        <f t="array" ref="I1323">INDEX(Sheet1!E:E,$G1323)</f>
        <v>A.1.b.ii</v>
      </c>
      <c r="J1323" s="4" t="str" cm="1">
        <f t="array" ref="J1323">IF($C1323&gt;=25,INDEX(Sheet1!G:G,$G1323),INDEX(Sheet1!F:F,$G1323))</f>
        <v>AA8</v>
      </c>
      <c r="K1323" s="4" cm="1">
        <f t="array" ref="K1323">INDEX(Sheet1!H:H,$G1323)</f>
        <v>1E-3</v>
      </c>
      <c r="L1323" s="4">
        <f t="shared" si="80"/>
        <v>86</v>
      </c>
      <c r="M1323" s="4">
        <f t="shared" si="81"/>
        <v>0</v>
      </c>
    </row>
    <row r="1324" spans="1:13">
      <c r="A1324" s="4" t="str" cm="1">
        <f t="array" ref="A1324">INDEX(Sheet1!A:A,$F1324)</f>
        <v>F</v>
      </c>
      <c r="B1324" s="4" t="str" cm="1">
        <f t="array" ref="B1324">INDEX(Sheet1!B:B,$F1324)</f>
        <v>Pref Best NS</v>
      </c>
      <c r="C1324" s="4">
        <f t="shared" si="82"/>
        <v>112</v>
      </c>
      <c r="D1324" s="5" cm="1">
        <f t="array" aca="1" ref="D1324" ca="1">OFFSET(INDIRECT("'["&amp;$H1324&amp;"]"&amp;$I1324&amp;"'!"&amp;$J1324),$L1324,$M1324)*$K1324</f>
        <v>0.64985000000000004</v>
      </c>
      <c r="F1324" s="4">
        <f t="shared" si="83"/>
        <v>12</v>
      </c>
      <c r="G1324" s="4" cm="1">
        <f t="array" ref="G1324">IF($C1324&gt;=25,F1324,IF($C1324&lt;16,INDEX(Sheet1!C:C,$F1324),$F1324))</f>
        <v>12</v>
      </c>
      <c r="H1324" s="4" t="str" cm="1">
        <f t="array" ref="H1324">INDEX(Sheet1!D:D,$G1324)</f>
        <v>2001-cso-preferred-class-structure-mortality-tables.xls</v>
      </c>
      <c r="I1324" s="4" t="str" cm="1">
        <f t="array" ref="I1324">INDEX(Sheet1!E:E,$G1324)</f>
        <v>A.1.b.ii</v>
      </c>
      <c r="J1324" s="4" t="str" cm="1">
        <f t="array" ref="J1324">IF($C1324&gt;=25,INDEX(Sheet1!G:G,$G1324),INDEX(Sheet1!F:F,$G1324))</f>
        <v>AA8</v>
      </c>
      <c r="K1324" s="4" cm="1">
        <f t="array" ref="K1324">INDEX(Sheet1!H:H,$G1324)</f>
        <v>1E-3</v>
      </c>
      <c r="L1324" s="4">
        <f t="shared" si="80"/>
        <v>87</v>
      </c>
      <c r="M1324" s="4">
        <f t="shared" si="81"/>
        <v>0</v>
      </c>
    </row>
    <row r="1325" spans="1:13">
      <c r="A1325" s="4" t="str" cm="1">
        <f t="array" ref="A1325">INDEX(Sheet1!A:A,$F1325)</f>
        <v>F</v>
      </c>
      <c r="B1325" s="4" t="str" cm="1">
        <f t="array" ref="B1325">INDEX(Sheet1!B:B,$F1325)</f>
        <v>Pref Best NS</v>
      </c>
      <c r="C1325" s="4">
        <f t="shared" si="82"/>
        <v>113</v>
      </c>
      <c r="D1325" s="5" cm="1">
        <f t="array" aca="1" ref="D1325" ca="1">OFFSET(INDIRECT("'["&amp;$H1325&amp;"]"&amp;$I1325&amp;"'!"&amp;$J1325),$L1325,$M1325)*$K1325</f>
        <v>0.68036000000000008</v>
      </c>
      <c r="F1325" s="4">
        <f t="shared" si="83"/>
        <v>12</v>
      </c>
      <c r="G1325" s="4" cm="1">
        <f t="array" ref="G1325">IF($C1325&gt;=25,F1325,IF($C1325&lt;16,INDEX(Sheet1!C:C,$F1325),$F1325))</f>
        <v>12</v>
      </c>
      <c r="H1325" s="4" t="str" cm="1">
        <f t="array" ref="H1325">INDEX(Sheet1!D:D,$G1325)</f>
        <v>2001-cso-preferred-class-structure-mortality-tables.xls</v>
      </c>
      <c r="I1325" s="4" t="str" cm="1">
        <f t="array" ref="I1325">INDEX(Sheet1!E:E,$G1325)</f>
        <v>A.1.b.ii</v>
      </c>
      <c r="J1325" s="4" t="str" cm="1">
        <f t="array" ref="J1325">IF($C1325&gt;=25,INDEX(Sheet1!G:G,$G1325),INDEX(Sheet1!F:F,$G1325))</f>
        <v>AA8</v>
      </c>
      <c r="K1325" s="4" cm="1">
        <f t="array" ref="K1325">INDEX(Sheet1!H:H,$G1325)</f>
        <v>1E-3</v>
      </c>
      <c r="L1325" s="4">
        <f t="shared" si="80"/>
        <v>88</v>
      </c>
      <c r="M1325" s="4">
        <f t="shared" si="81"/>
        <v>0</v>
      </c>
    </row>
    <row r="1326" spans="1:13">
      <c r="A1326" s="4" t="str" cm="1">
        <f t="array" ref="A1326">INDEX(Sheet1!A:A,$F1326)</f>
        <v>F</v>
      </c>
      <c r="B1326" s="4" t="str" cm="1">
        <f t="array" ref="B1326">INDEX(Sheet1!B:B,$F1326)</f>
        <v>Pref Best NS</v>
      </c>
      <c r="C1326" s="4">
        <f t="shared" si="82"/>
        <v>114</v>
      </c>
      <c r="D1326" s="5" cm="1">
        <f t="array" aca="1" ref="D1326" ca="1">OFFSET(INDIRECT("'["&amp;$H1326&amp;"]"&amp;$I1326&amp;"'!"&amp;$J1326),$L1326,$M1326)*$K1326</f>
        <v>0.72338000000000002</v>
      </c>
      <c r="F1326" s="4">
        <f t="shared" si="83"/>
        <v>12</v>
      </c>
      <c r="G1326" s="4" cm="1">
        <f t="array" ref="G1326">IF($C1326&gt;=25,F1326,IF($C1326&lt;16,INDEX(Sheet1!C:C,$F1326),$F1326))</f>
        <v>12</v>
      </c>
      <c r="H1326" s="4" t="str" cm="1">
        <f t="array" ref="H1326">INDEX(Sheet1!D:D,$G1326)</f>
        <v>2001-cso-preferred-class-structure-mortality-tables.xls</v>
      </c>
      <c r="I1326" s="4" t="str" cm="1">
        <f t="array" ref="I1326">INDEX(Sheet1!E:E,$G1326)</f>
        <v>A.1.b.ii</v>
      </c>
      <c r="J1326" s="4" t="str" cm="1">
        <f t="array" ref="J1326">IF($C1326&gt;=25,INDEX(Sheet1!G:G,$G1326),INDEX(Sheet1!F:F,$G1326))</f>
        <v>AA8</v>
      </c>
      <c r="K1326" s="4" cm="1">
        <f t="array" ref="K1326">INDEX(Sheet1!H:H,$G1326)</f>
        <v>1E-3</v>
      </c>
      <c r="L1326" s="4">
        <f t="shared" si="80"/>
        <v>89</v>
      </c>
      <c r="M1326" s="4">
        <f t="shared" si="81"/>
        <v>0</v>
      </c>
    </row>
    <row r="1327" spans="1:13">
      <c r="A1327" s="4" t="str" cm="1">
        <f t="array" ref="A1327">INDEX(Sheet1!A:A,$F1327)</f>
        <v>F</v>
      </c>
      <c r="B1327" s="4" t="str" cm="1">
        <f t="array" ref="B1327">INDEX(Sheet1!B:B,$F1327)</f>
        <v>Pref Best NS</v>
      </c>
      <c r="C1327" s="4">
        <f t="shared" si="82"/>
        <v>115</v>
      </c>
      <c r="D1327" s="5" cm="1">
        <f t="array" aca="1" ref="D1327" ca="1">OFFSET(INDIRECT("'["&amp;$H1327&amp;"]"&amp;$I1327&amp;"'!"&amp;$J1327),$L1327,$M1327)*$K1327</f>
        <v>0.76339999999999997</v>
      </c>
      <c r="F1327" s="4">
        <f t="shared" si="83"/>
        <v>12</v>
      </c>
      <c r="G1327" s="4" cm="1">
        <f t="array" ref="G1327">IF($C1327&gt;=25,F1327,IF($C1327&lt;16,INDEX(Sheet1!C:C,$F1327),$F1327))</f>
        <v>12</v>
      </c>
      <c r="H1327" s="4" t="str" cm="1">
        <f t="array" ref="H1327">INDEX(Sheet1!D:D,$G1327)</f>
        <v>2001-cso-preferred-class-structure-mortality-tables.xls</v>
      </c>
      <c r="I1327" s="4" t="str" cm="1">
        <f t="array" ref="I1327">INDEX(Sheet1!E:E,$G1327)</f>
        <v>A.1.b.ii</v>
      </c>
      <c r="J1327" s="4" t="str" cm="1">
        <f t="array" ref="J1327">IF($C1327&gt;=25,INDEX(Sheet1!G:G,$G1327),INDEX(Sheet1!F:F,$G1327))</f>
        <v>AA8</v>
      </c>
      <c r="K1327" s="4" cm="1">
        <f t="array" ref="K1327">INDEX(Sheet1!H:H,$G1327)</f>
        <v>1E-3</v>
      </c>
      <c r="L1327" s="4">
        <f t="shared" si="80"/>
        <v>90</v>
      </c>
      <c r="M1327" s="4">
        <f t="shared" si="81"/>
        <v>0</v>
      </c>
    </row>
    <row r="1328" spans="1:13">
      <c r="A1328" s="4" t="str" cm="1">
        <f t="array" ref="A1328">INDEX(Sheet1!A:A,$F1328)</f>
        <v>F</v>
      </c>
      <c r="B1328" s="4" t="str" cm="1">
        <f t="array" ref="B1328">INDEX(Sheet1!B:B,$F1328)</f>
        <v>Pref Best NS</v>
      </c>
      <c r="C1328" s="4">
        <f t="shared" si="82"/>
        <v>116</v>
      </c>
      <c r="D1328" s="5" cm="1">
        <f t="array" aca="1" ref="D1328" ca="1">OFFSET(INDIRECT("'["&amp;$H1328&amp;"]"&amp;$I1328&amp;"'!"&amp;$J1328),$L1328,$M1328)*$K1328</f>
        <v>0.80491999999999997</v>
      </c>
      <c r="F1328" s="4">
        <f t="shared" si="83"/>
        <v>12</v>
      </c>
      <c r="G1328" s="4" cm="1">
        <f t="array" ref="G1328">IF($C1328&gt;=25,F1328,IF($C1328&lt;16,INDEX(Sheet1!C:C,$F1328),$F1328))</f>
        <v>12</v>
      </c>
      <c r="H1328" s="4" t="str" cm="1">
        <f t="array" ref="H1328">INDEX(Sheet1!D:D,$G1328)</f>
        <v>2001-cso-preferred-class-structure-mortality-tables.xls</v>
      </c>
      <c r="I1328" s="4" t="str" cm="1">
        <f t="array" ref="I1328">INDEX(Sheet1!E:E,$G1328)</f>
        <v>A.1.b.ii</v>
      </c>
      <c r="J1328" s="4" t="str" cm="1">
        <f t="array" ref="J1328">IF($C1328&gt;=25,INDEX(Sheet1!G:G,$G1328),INDEX(Sheet1!F:F,$G1328))</f>
        <v>AA8</v>
      </c>
      <c r="K1328" s="4" cm="1">
        <f t="array" ref="K1328">INDEX(Sheet1!H:H,$G1328)</f>
        <v>1E-3</v>
      </c>
      <c r="L1328" s="4">
        <f t="shared" si="80"/>
        <v>91</v>
      </c>
      <c r="M1328" s="4">
        <f t="shared" si="81"/>
        <v>0</v>
      </c>
    </row>
    <row r="1329" spans="1:13">
      <c r="A1329" s="4" t="str" cm="1">
        <f t="array" ref="A1329">INDEX(Sheet1!A:A,$F1329)</f>
        <v>F</v>
      </c>
      <c r="B1329" s="4" t="str" cm="1">
        <f t="array" ref="B1329">INDEX(Sheet1!B:B,$F1329)</f>
        <v>Pref Best NS</v>
      </c>
      <c r="C1329" s="4">
        <f t="shared" si="82"/>
        <v>117</v>
      </c>
      <c r="D1329" s="5" cm="1">
        <f t="array" aca="1" ref="D1329" ca="1">OFFSET(INDIRECT("'["&amp;$H1329&amp;"]"&amp;$I1329&amp;"'!"&amp;$J1329),$L1329,$M1329)*$K1329</f>
        <v>0.85044000000000008</v>
      </c>
      <c r="F1329" s="4">
        <f t="shared" si="83"/>
        <v>12</v>
      </c>
      <c r="G1329" s="4" cm="1">
        <f t="array" ref="G1329">IF($C1329&gt;=25,F1329,IF($C1329&lt;16,INDEX(Sheet1!C:C,$F1329),$F1329))</f>
        <v>12</v>
      </c>
      <c r="H1329" s="4" t="str" cm="1">
        <f t="array" ref="H1329">INDEX(Sheet1!D:D,$G1329)</f>
        <v>2001-cso-preferred-class-structure-mortality-tables.xls</v>
      </c>
      <c r="I1329" s="4" t="str" cm="1">
        <f t="array" ref="I1329">INDEX(Sheet1!E:E,$G1329)</f>
        <v>A.1.b.ii</v>
      </c>
      <c r="J1329" s="4" t="str" cm="1">
        <f t="array" ref="J1329">IF($C1329&gt;=25,INDEX(Sheet1!G:G,$G1329),INDEX(Sheet1!F:F,$G1329))</f>
        <v>AA8</v>
      </c>
      <c r="K1329" s="4" cm="1">
        <f t="array" ref="K1329">INDEX(Sheet1!H:H,$G1329)</f>
        <v>1E-3</v>
      </c>
      <c r="L1329" s="4">
        <f t="shared" si="80"/>
        <v>92</v>
      </c>
      <c r="M1329" s="4">
        <f t="shared" si="81"/>
        <v>0</v>
      </c>
    </row>
    <row r="1330" spans="1:13">
      <c r="A1330" s="4" t="str" cm="1">
        <f t="array" ref="A1330">INDEX(Sheet1!A:A,$F1330)</f>
        <v>F</v>
      </c>
      <c r="B1330" s="4" t="str" cm="1">
        <f t="array" ref="B1330">INDEX(Sheet1!B:B,$F1330)</f>
        <v>Pref Best NS</v>
      </c>
      <c r="C1330" s="4">
        <f t="shared" si="82"/>
        <v>118</v>
      </c>
      <c r="D1330" s="5" cm="1">
        <f t="array" aca="1" ref="D1330" ca="1">OFFSET(INDIRECT("'["&amp;$H1330&amp;"]"&amp;$I1330&amp;"'!"&amp;$J1330),$L1330,$M1330)*$K1330</f>
        <v>0.89244000000000012</v>
      </c>
      <c r="F1330" s="4">
        <f t="shared" si="83"/>
        <v>12</v>
      </c>
      <c r="G1330" s="4" cm="1">
        <f t="array" ref="G1330">IF($C1330&gt;=25,F1330,IF($C1330&lt;16,INDEX(Sheet1!C:C,$F1330),$F1330))</f>
        <v>12</v>
      </c>
      <c r="H1330" s="4" t="str" cm="1">
        <f t="array" ref="H1330">INDEX(Sheet1!D:D,$G1330)</f>
        <v>2001-cso-preferred-class-structure-mortality-tables.xls</v>
      </c>
      <c r="I1330" s="4" t="str" cm="1">
        <f t="array" ref="I1330">INDEX(Sheet1!E:E,$G1330)</f>
        <v>A.1.b.ii</v>
      </c>
      <c r="J1330" s="4" t="str" cm="1">
        <f t="array" ref="J1330">IF($C1330&gt;=25,INDEX(Sheet1!G:G,$G1330),INDEX(Sheet1!F:F,$G1330))</f>
        <v>AA8</v>
      </c>
      <c r="K1330" s="4" cm="1">
        <f t="array" ref="K1330">INDEX(Sheet1!H:H,$G1330)</f>
        <v>1E-3</v>
      </c>
      <c r="L1330" s="4">
        <f t="shared" si="80"/>
        <v>93</v>
      </c>
      <c r="M1330" s="4">
        <f t="shared" si="81"/>
        <v>0</v>
      </c>
    </row>
    <row r="1331" spans="1:13">
      <c r="A1331" s="4" t="str" cm="1">
        <f t="array" ref="A1331">INDEX(Sheet1!A:A,$F1331)</f>
        <v>F</v>
      </c>
      <c r="B1331" s="4" t="str" cm="1">
        <f t="array" ref="B1331">INDEX(Sheet1!B:B,$F1331)</f>
        <v>Pref Best NS</v>
      </c>
      <c r="C1331" s="4">
        <f t="shared" si="82"/>
        <v>119</v>
      </c>
      <c r="D1331" s="5" cm="1">
        <f t="array" aca="1" ref="D1331" ca="1">OFFSET(INDIRECT("'["&amp;$H1331&amp;"]"&amp;$I1331&amp;"'!"&amp;$J1331),$L1331,$M1331)*$K1331</f>
        <v>0.93511</v>
      </c>
      <c r="F1331" s="4">
        <f t="shared" si="83"/>
        <v>12</v>
      </c>
      <c r="G1331" s="4" cm="1">
        <f t="array" ref="G1331">IF($C1331&gt;=25,F1331,IF($C1331&lt;16,INDEX(Sheet1!C:C,$F1331),$F1331))</f>
        <v>12</v>
      </c>
      <c r="H1331" s="4" t="str" cm="1">
        <f t="array" ref="H1331">INDEX(Sheet1!D:D,$G1331)</f>
        <v>2001-cso-preferred-class-structure-mortality-tables.xls</v>
      </c>
      <c r="I1331" s="4" t="str" cm="1">
        <f t="array" ref="I1331">INDEX(Sheet1!E:E,$G1331)</f>
        <v>A.1.b.ii</v>
      </c>
      <c r="J1331" s="4" t="str" cm="1">
        <f t="array" ref="J1331">IF($C1331&gt;=25,INDEX(Sheet1!G:G,$G1331),INDEX(Sheet1!F:F,$G1331))</f>
        <v>AA8</v>
      </c>
      <c r="K1331" s="4" cm="1">
        <f t="array" ref="K1331">INDEX(Sheet1!H:H,$G1331)</f>
        <v>1E-3</v>
      </c>
      <c r="L1331" s="4">
        <f t="shared" si="80"/>
        <v>94</v>
      </c>
      <c r="M1331" s="4">
        <f t="shared" si="81"/>
        <v>0</v>
      </c>
    </row>
    <row r="1332" spans="1:13">
      <c r="A1332" s="4" t="str" cm="1">
        <f t="array" ref="A1332">INDEX(Sheet1!A:A,$F1332)</f>
        <v>F</v>
      </c>
      <c r="B1332" s="4" t="str" cm="1">
        <f t="array" ref="B1332">INDEX(Sheet1!B:B,$F1332)</f>
        <v>Pref Best NS</v>
      </c>
      <c r="C1332" s="4">
        <f t="shared" si="82"/>
        <v>120</v>
      </c>
      <c r="D1332" s="5" cm="1">
        <f t="array" aca="1" ref="D1332" ca="1">OFFSET(INDIRECT("'["&amp;$H1332&amp;"]"&amp;$I1332&amp;"'!"&amp;$J1332),$L1332,$M1332)*$K1332</f>
        <v>1</v>
      </c>
      <c r="F1332" s="4">
        <f t="shared" si="83"/>
        <v>12</v>
      </c>
      <c r="G1332" s="4" cm="1">
        <f t="array" ref="G1332">IF($C1332&gt;=25,F1332,IF($C1332&lt;16,INDEX(Sheet1!C:C,$F1332),$F1332))</f>
        <v>12</v>
      </c>
      <c r="H1332" s="4" t="str" cm="1">
        <f t="array" ref="H1332">INDEX(Sheet1!D:D,$G1332)</f>
        <v>2001-cso-preferred-class-structure-mortality-tables.xls</v>
      </c>
      <c r="I1332" s="4" t="str" cm="1">
        <f t="array" ref="I1332">INDEX(Sheet1!E:E,$G1332)</f>
        <v>A.1.b.ii</v>
      </c>
      <c r="J1332" s="4" t="str" cm="1">
        <f t="array" ref="J1332">IF($C1332&gt;=25,INDEX(Sheet1!G:G,$G1332),INDEX(Sheet1!F:F,$G1332))</f>
        <v>AA8</v>
      </c>
      <c r="K1332" s="4" cm="1">
        <f t="array" ref="K1332">INDEX(Sheet1!H:H,$G1332)</f>
        <v>1E-3</v>
      </c>
      <c r="L1332" s="4">
        <f t="shared" si="80"/>
        <v>95</v>
      </c>
      <c r="M1332" s="4">
        <f t="shared" si="81"/>
        <v>0</v>
      </c>
    </row>
    <row r="1333" spans="1:13">
      <c r="A1333" s="4" t="str" cm="1">
        <f t="array" ref="A1333">INDEX(Sheet1!A:A,$F1333)</f>
        <v>F</v>
      </c>
      <c r="B1333" s="4" t="str" cm="1">
        <f t="array" ref="B1333">INDEX(Sheet1!B:B,$F1333)</f>
        <v>Pref Resid NS</v>
      </c>
      <c r="C1333" s="4">
        <f t="shared" si="82"/>
        <v>0</v>
      </c>
      <c r="D1333" s="5" cm="1">
        <f t="array" aca="1" ref="D1333" ca="1">OFFSET(INDIRECT("'["&amp;$H1333&amp;"]"&amp;$I1333&amp;"'!"&amp;$J1333),$L1333,$M1333)*$K1333</f>
        <v>4.8000000000000001E-4</v>
      </c>
      <c r="F1333" s="4">
        <f t="shared" si="83"/>
        <v>13</v>
      </c>
      <c r="G1333" s="4" cm="1">
        <f t="array" ref="G1333">IF($C1333&gt;=25,F1333,IF($C1333&lt;16,INDEX(Sheet1!C:C,$F1333),$F1333))</f>
        <v>19</v>
      </c>
      <c r="H1333" s="4" t="str" cm="1">
        <f t="array" ref="H1333">INDEX(Sheet1!D:D,$G1333)</f>
        <v>t1139.xlsx</v>
      </c>
      <c r="I1333" s="4" t="str" cm="1">
        <f t="array" ref="I1333">INDEX(Sheet1!E:E,$G1333)</f>
        <v>Sheet1</v>
      </c>
      <c r="J1333" s="4" t="str" cm="1">
        <f t="array" ref="J1333">IF($C1333&gt;=25,INDEX(Sheet1!G:G,$G1333),INDEX(Sheet1!F:F,$G1333))</f>
        <v>B25</v>
      </c>
      <c r="K1333" s="4" cm="1">
        <f t="array" ref="K1333">INDEX(Sheet1!H:H,$G1333)</f>
        <v>1</v>
      </c>
      <c r="L1333" s="4">
        <f t="shared" si="80"/>
        <v>0</v>
      </c>
      <c r="M1333" s="4">
        <f t="shared" si="81"/>
        <v>0</v>
      </c>
    </row>
    <row r="1334" spans="1:13">
      <c r="A1334" s="4" t="str" cm="1">
        <f t="array" ref="A1334">INDEX(Sheet1!A:A,$F1334)</f>
        <v>F</v>
      </c>
      <c r="B1334" s="4" t="str" cm="1">
        <f t="array" ref="B1334">INDEX(Sheet1!B:B,$F1334)</f>
        <v>Pref Resid NS</v>
      </c>
      <c r="C1334" s="4">
        <f t="shared" si="82"/>
        <v>1</v>
      </c>
      <c r="D1334" s="5" cm="1">
        <f t="array" aca="1" ref="D1334" ca="1">OFFSET(INDIRECT("'["&amp;$H1334&amp;"]"&amp;$I1334&amp;"'!"&amp;$J1334),$L1334,$M1334)*$K1334</f>
        <v>3.5E-4</v>
      </c>
      <c r="F1334" s="4">
        <f t="shared" si="83"/>
        <v>13</v>
      </c>
      <c r="G1334" s="4" cm="1">
        <f t="array" ref="G1334">IF($C1334&gt;=25,F1334,IF($C1334&lt;16,INDEX(Sheet1!C:C,$F1334),$F1334))</f>
        <v>19</v>
      </c>
      <c r="H1334" s="4" t="str" cm="1">
        <f t="array" ref="H1334">INDEX(Sheet1!D:D,$G1334)</f>
        <v>t1139.xlsx</v>
      </c>
      <c r="I1334" s="4" t="str" cm="1">
        <f t="array" ref="I1334">INDEX(Sheet1!E:E,$G1334)</f>
        <v>Sheet1</v>
      </c>
      <c r="J1334" s="4" t="str" cm="1">
        <f t="array" ref="J1334">IF($C1334&gt;=25,INDEX(Sheet1!G:G,$G1334),INDEX(Sheet1!F:F,$G1334))</f>
        <v>B25</v>
      </c>
      <c r="K1334" s="4" cm="1">
        <f t="array" ref="K1334">INDEX(Sheet1!H:H,$G1334)</f>
        <v>1</v>
      </c>
      <c r="L1334" s="4">
        <f t="shared" si="80"/>
        <v>0</v>
      </c>
      <c r="M1334" s="4">
        <f t="shared" si="81"/>
        <v>1</v>
      </c>
    </row>
    <row r="1335" spans="1:13">
      <c r="A1335" s="4" t="str" cm="1">
        <f t="array" ref="A1335">INDEX(Sheet1!A:A,$F1335)</f>
        <v>F</v>
      </c>
      <c r="B1335" s="4" t="str" cm="1">
        <f t="array" ref="B1335">INDEX(Sheet1!B:B,$F1335)</f>
        <v>Pref Resid NS</v>
      </c>
      <c r="C1335" s="4">
        <f t="shared" si="82"/>
        <v>2</v>
      </c>
      <c r="D1335" s="5" cm="1">
        <f t="array" aca="1" ref="D1335" ca="1">OFFSET(INDIRECT("'["&amp;$H1335&amp;"]"&amp;$I1335&amp;"'!"&amp;$J1335),$L1335,$M1335)*$K1335</f>
        <v>2.5999999999999998E-4</v>
      </c>
      <c r="F1335" s="4">
        <f t="shared" si="83"/>
        <v>13</v>
      </c>
      <c r="G1335" s="4" cm="1">
        <f t="array" ref="G1335">IF($C1335&gt;=25,F1335,IF($C1335&lt;16,INDEX(Sheet1!C:C,$F1335),$F1335))</f>
        <v>19</v>
      </c>
      <c r="H1335" s="4" t="str" cm="1">
        <f t="array" ref="H1335">INDEX(Sheet1!D:D,$G1335)</f>
        <v>t1139.xlsx</v>
      </c>
      <c r="I1335" s="4" t="str" cm="1">
        <f t="array" ref="I1335">INDEX(Sheet1!E:E,$G1335)</f>
        <v>Sheet1</v>
      </c>
      <c r="J1335" s="4" t="str" cm="1">
        <f t="array" ref="J1335">IF($C1335&gt;=25,INDEX(Sheet1!G:G,$G1335),INDEX(Sheet1!F:F,$G1335))</f>
        <v>B25</v>
      </c>
      <c r="K1335" s="4" cm="1">
        <f t="array" ref="K1335">INDEX(Sheet1!H:H,$G1335)</f>
        <v>1</v>
      </c>
      <c r="L1335" s="4">
        <f t="shared" si="80"/>
        <v>0</v>
      </c>
      <c r="M1335" s="4">
        <f t="shared" si="81"/>
        <v>2</v>
      </c>
    </row>
    <row r="1336" spans="1:13">
      <c r="A1336" s="4" t="str" cm="1">
        <f t="array" ref="A1336">INDEX(Sheet1!A:A,$F1336)</f>
        <v>F</v>
      </c>
      <c r="B1336" s="4" t="str" cm="1">
        <f t="array" ref="B1336">INDEX(Sheet1!B:B,$F1336)</f>
        <v>Pref Resid NS</v>
      </c>
      <c r="C1336" s="4">
        <f t="shared" si="82"/>
        <v>3</v>
      </c>
      <c r="D1336" s="5" cm="1">
        <f t="array" aca="1" ref="D1336" ca="1">OFFSET(INDIRECT("'["&amp;$H1336&amp;"]"&amp;$I1336&amp;"'!"&amp;$J1336),$L1336,$M1336)*$K1336</f>
        <v>2.0000000000000001E-4</v>
      </c>
      <c r="F1336" s="4">
        <f t="shared" si="83"/>
        <v>13</v>
      </c>
      <c r="G1336" s="4" cm="1">
        <f t="array" ref="G1336">IF($C1336&gt;=25,F1336,IF($C1336&lt;16,INDEX(Sheet1!C:C,$F1336),$F1336))</f>
        <v>19</v>
      </c>
      <c r="H1336" s="4" t="str" cm="1">
        <f t="array" ref="H1336">INDEX(Sheet1!D:D,$G1336)</f>
        <v>t1139.xlsx</v>
      </c>
      <c r="I1336" s="4" t="str" cm="1">
        <f t="array" ref="I1336">INDEX(Sheet1!E:E,$G1336)</f>
        <v>Sheet1</v>
      </c>
      <c r="J1336" s="4" t="str" cm="1">
        <f t="array" ref="J1336">IF($C1336&gt;=25,INDEX(Sheet1!G:G,$G1336),INDEX(Sheet1!F:F,$G1336))</f>
        <v>B25</v>
      </c>
      <c r="K1336" s="4" cm="1">
        <f t="array" ref="K1336">INDEX(Sheet1!H:H,$G1336)</f>
        <v>1</v>
      </c>
      <c r="L1336" s="4">
        <f t="shared" si="80"/>
        <v>0</v>
      </c>
      <c r="M1336" s="4">
        <f t="shared" si="81"/>
        <v>3</v>
      </c>
    </row>
    <row r="1337" spans="1:13">
      <c r="A1337" s="4" t="str" cm="1">
        <f t="array" ref="A1337">INDEX(Sheet1!A:A,$F1337)</f>
        <v>F</v>
      </c>
      <c r="B1337" s="4" t="str" cm="1">
        <f t="array" ref="B1337">INDEX(Sheet1!B:B,$F1337)</f>
        <v>Pref Resid NS</v>
      </c>
      <c r="C1337" s="4">
        <f t="shared" si="82"/>
        <v>4</v>
      </c>
      <c r="D1337" s="5" cm="1">
        <f t="array" aca="1" ref="D1337" ca="1">OFFSET(INDIRECT("'["&amp;$H1337&amp;"]"&amp;$I1337&amp;"'!"&amp;$J1337),$L1337,$M1337)*$K1337</f>
        <v>1.9000000000000001E-4</v>
      </c>
      <c r="F1337" s="4">
        <f t="shared" si="83"/>
        <v>13</v>
      </c>
      <c r="G1337" s="4" cm="1">
        <f t="array" ref="G1337">IF($C1337&gt;=25,F1337,IF($C1337&lt;16,INDEX(Sheet1!C:C,$F1337),$F1337))</f>
        <v>19</v>
      </c>
      <c r="H1337" s="4" t="str" cm="1">
        <f t="array" ref="H1337">INDEX(Sheet1!D:D,$G1337)</f>
        <v>t1139.xlsx</v>
      </c>
      <c r="I1337" s="4" t="str" cm="1">
        <f t="array" ref="I1337">INDEX(Sheet1!E:E,$G1337)</f>
        <v>Sheet1</v>
      </c>
      <c r="J1337" s="4" t="str" cm="1">
        <f t="array" ref="J1337">IF($C1337&gt;=25,INDEX(Sheet1!G:G,$G1337),INDEX(Sheet1!F:F,$G1337))</f>
        <v>B25</v>
      </c>
      <c r="K1337" s="4" cm="1">
        <f t="array" ref="K1337">INDEX(Sheet1!H:H,$G1337)</f>
        <v>1</v>
      </c>
      <c r="L1337" s="4">
        <f t="shared" si="80"/>
        <v>0</v>
      </c>
      <c r="M1337" s="4">
        <f t="shared" si="81"/>
        <v>4</v>
      </c>
    </row>
    <row r="1338" spans="1:13">
      <c r="A1338" s="4" t="str" cm="1">
        <f t="array" ref="A1338">INDEX(Sheet1!A:A,$F1338)</f>
        <v>F</v>
      </c>
      <c r="B1338" s="4" t="str" cm="1">
        <f t="array" ref="B1338">INDEX(Sheet1!B:B,$F1338)</f>
        <v>Pref Resid NS</v>
      </c>
      <c r="C1338" s="4">
        <f t="shared" si="82"/>
        <v>5</v>
      </c>
      <c r="D1338" s="5" cm="1">
        <f t="array" aca="1" ref="D1338" ca="1">OFFSET(INDIRECT("'["&amp;$H1338&amp;"]"&amp;$I1338&amp;"'!"&amp;$J1338),$L1338,$M1338)*$K1338</f>
        <v>1.8000000000000001E-4</v>
      </c>
      <c r="F1338" s="4">
        <f t="shared" si="83"/>
        <v>13</v>
      </c>
      <c r="G1338" s="4" cm="1">
        <f t="array" ref="G1338">IF($C1338&gt;=25,F1338,IF($C1338&lt;16,INDEX(Sheet1!C:C,$F1338),$F1338))</f>
        <v>19</v>
      </c>
      <c r="H1338" s="4" t="str" cm="1">
        <f t="array" ref="H1338">INDEX(Sheet1!D:D,$G1338)</f>
        <v>t1139.xlsx</v>
      </c>
      <c r="I1338" s="4" t="str" cm="1">
        <f t="array" ref="I1338">INDEX(Sheet1!E:E,$G1338)</f>
        <v>Sheet1</v>
      </c>
      <c r="J1338" s="4" t="str" cm="1">
        <f t="array" ref="J1338">IF($C1338&gt;=25,INDEX(Sheet1!G:G,$G1338),INDEX(Sheet1!F:F,$G1338))</f>
        <v>B25</v>
      </c>
      <c r="K1338" s="4" cm="1">
        <f t="array" ref="K1338">INDEX(Sheet1!H:H,$G1338)</f>
        <v>1</v>
      </c>
      <c r="L1338" s="4">
        <f t="shared" si="80"/>
        <v>0</v>
      </c>
      <c r="M1338" s="4">
        <f t="shared" si="81"/>
        <v>5</v>
      </c>
    </row>
    <row r="1339" spans="1:13">
      <c r="A1339" s="4" t="str" cm="1">
        <f t="array" ref="A1339">INDEX(Sheet1!A:A,$F1339)</f>
        <v>F</v>
      </c>
      <c r="B1339" s="4" t="str" cm="1">
        <f t="array" ref="B1339">INDEX(Sheet1!B:B,$F1339)</f>
        <v>Pref Resid NS</v>
      </c>
      <c r="C1339" s="4">
        <f t="shared" si="82"/>
        <v>6</v>
      </c>
      <c r="D1339" s="5" cm="1">
        <f t="array" aca="1" ref="D1339" ca="1">OFFSET(INDIRECT("'["&amp;$H1339&amp;"]"&amp;$I1339&amp;"'!"&amp;$J1339),$L1339,$M1339)*$K1339</f>
        <v>1.8000000000000001E-4</v>
      </c>
      <c r="F1339" s="4">
        <f t="shared" si="83"/>
        <v>13</v>
      </c>
      <c r="G1339" s="4" cm="1">
        <f t="array" ref="G1339">IF($C1339&gt;=25,F1339,IF($C1339&lt;16,INDEX(Sheet1!C:C,$F1339),$F1339))</f>
        <v>19</v>
      </c>
      <c r="H1339" s="4" t="str" cm="1">
        <f t="array" ref="H1339">INDEX(Sheet1!D:D,$G1339)</f>
        <v>t1139.xlsx</v>
      </c>
      <c r="I1339" s="4" t="str" cm="1">
        <f t="array" ref="I1339">INDEX(Sheet1!E:E,$G1339)</f>
        <v>Sheet1</v>
      </c>
      <c r="J1339" s="4" t="str" cm="1">
        <f t="array" ref="J1339">IF($C1339&gt;=25,INDEX(Sheet1!G:G,$G1339),INDEX(Sheet1!F:F,$G1339))</f>
        <v>B25</v>
      </c>
      <c r="K1339" s="4" cm="1">
        <f t="array" ref="K1339">INDEX(Sheet1!H:H,$G1339)</f>
        <v>1</v>
      </c>
      <c r="L1339" s="4">
        <f t="shared" si="80"/>
        <v>0</v>
      </c>
      <c r="M1339" s="4">
        <f t="shared" si="81"/>
        <v>6</v>
      </c>
    </row>
    <row r="1340" spans="1:13">
      <c r="A1340" s="4" t="str" cm="1">
        <f t="array" ref="A1340">INDEX(Sheet1!A:A,$F1340)</f>
        <v>F</v>
      </c>
      <c r="B1340" s="4" t="str" cm="1">
        <f t="array" ref="B1340">INDEX(Sheet1!B:B,$F1340)</f>
        <v>Pref Resid NS</v>
      </c>
      <c r="C1340" s="4">
        <f t="shared" si="82"/>
        <v>7</v>
      </c>
      <c r="D1340" s="5" cm="1">
        <f t="array" aca="1" ref="D1340" ca="1">OFFSET(INDIRECT("'["&amp;$H1340&amp;"]"&amp;$I1340&amp;"'!"&amp;$J1340),$L1340,$M1340)*$K1340</f>
        <v>2.1000000000000001E-4</v>
      </c>
      <c r="F1340" s="4">
        <f t="shared" si="83"/>
        <v>13</v>
      </c>
      <c r="G1340" s="4" cm="1">
        <f t="array" ref="G1340">IF($C1340&gt;=25,F1340,IF($C1340&lt;16,INDEX(Sheet1!C:C,$F1340),$F1340))</f>
        <v>19</v>
      </c>
      <c r="H1340" s="4" t="str" cm="1">
        <f t="array" ref="H1340">INDEX(Sheet1!D:D,$G1340)</f>
        <v>t1139.xlsx</v>
      </c>
      <c r="I1340" s="4" t="str" cm="1">
        <f t="array" ref="I1340">INDEX(Sheet1!E:E,$G1340)</f>
        <v>Sheet1</v>
      </c>
      <c r="J1340" s="4" t="str" cm="1">
        <f t="array" ref="J1340">IF($C1340&gt;=25,INDEX(Sheet1!G:G,$G1340),INDEX(Sheet1!F:F,$G1340))</f>
        <v>B25</v>
      </c>
      <c r="K1340" s="4" cm="1">
        <f t="array" ref="K1340">INDEX(Sheet1!H:H,$G1340)</f>
        <v>1</v>
      </c>
      <c r="L1340" s="4">
        <f t="shared" si="80"/>
        <v>0</v>
      </c>
      <c r="M1340" s="4">
        <f t="shared" si="81"/>
        <v>7</v>
      </c>
    </row>
    <row r="1341" spans="1:13">
      <c r="A1341" s="4" t="str" cm="1">
        <f t="array" ref="A1341">INDEX(Sheet1!A:A,$F1341)</f>
        <v>F</v>
      </c>
      <c r="B1341" s="4" t="str" cm="1">
        <f t="array" ref="B1341">INDEX(Sheet1!B:B,$F1341)</f>
        <v>Pref Resid NS</v>
      </c>
      <c r="C1341" s="4">
        <f t="shared" si="82"/>
        <v>8</v>
      </c>
      <c r="D1341" s="5" cm="1">
        <f t="array" aca="1" ref="D1341" ca="1">OFFSET(INDIRECT("'["&amp;$H1341&amp;"]"&amp;$I1341&amp;"'!"&amp;$J1341),$L1341,$M1341)*$K1341</f>
        <v>2.1000000000000001E-4</v>
      </c>
      <c r="F1341" s="4">
        <f t="shared" si="83"/>
        <v>13</v>
      </c>
      <c r="G1341" s="4" cm="1">
        <f t="array" ref="G1341">IF($C1341&gt;=25,F1341,IF($C1341&lt;16,INDEX(Sheet1!C:C,$F1341),$F1341))</f>
        <v>19</v>
      </c>
      <c r="H1341" s="4" t="str" cm="1">
        <f t="array" ref="H1341">INDEX(Sheet1!D:D,$G1341)</f>
        <v>t1139.xlsx</v>
      </c>
      <c r="I1341" s="4" t="str" cm="1">
        <f t="array" ref="I1341">INDEX(Sheet1!E:E,$G1341)</f>
        <v>Sheet1</v>
      </c>
      <c r="J1341" s="4" t="str" cm="1">
        <f t="array" ref="J1341">IF($C1341&gt;=25,INDEX(Sheet1!G:G,$G1341),INDEX(Sheet1!F:F,$G1341))</f>
        <v>B25</v>
      </c>
      <c r="K1341" s="4" cm="1">
        <f t="array" ref="K1341">INDEX(Sheet1!H:H,$G1341)</f>
        <v>1</v>
      </c>
      <c r="L1341" s="4">
        <f t="shared" si="80"/>
        <v>0</v>
      </c>
      <c r="M1341" s="4">
        <f t="shared" si="81"/>
        <v>8</v>
      </c>
    </row>
    <row r="1342" spans="1:13">
      <c r="A1342" s="4" t="str" cm="1">
        <f t="array" ref="A1342">INDEX(Sheet1!A:A,$F1342)</f>
        <v>F</v>
      </c>
      <c r="B1342" s="4" t="str" cm="1">
        <f t="array" ref="B1342">INDEX(Sheet1!B:B,$F1342)</f>
        <v>Pref Resid NS</v>
      </c>
      <c r="C1342" s="4">
        <f t="shared" si="82"/>
        <v>9</v>
      </c>
      <c r="D1342" s="5" cm="1">
        <f t="array" aca="1" ref="D1342" ca="1">OFFSET(INDIRECT("'["&amp;$H1342&amp;"]"&amp;$I1342&amp;"'!"&amp;$J1342),$L1342,$M1342)*$K1342</f>
        <v>2.1000000000000001E-4</v>
      </c>
      <c r="F1342" s="4">
        <f t="shared" si="83"/>
        <v>13</v>
      </c>
      <c r="G1342" s="4" cm="1">
        <f t="array" ref="G1342">IF($C1342&gt;=25,F1342,IF($C1342&lt;16,INDEX(Sheet1!C:C,$F1342),$F1342))</f>
        <v>19</v>
      </c>
      <c r="H1342" s="4" t="str" cm="1">
        <f t="array" ref="H1342">INDEX(Sheet1!D:D,$G1342)</f>
        <v>t1139.xlsx</v>
      </c>
      <c r="I1342" s="4" t="str" cm="1">
        <f t="array" ref="I1342">INDEX(Sheet1!E:E,$G1342)</f>
        <v>Sheet1</v>
      </c>
      <c r="J1342" s="4" t="str" cm="1">
        <f t="array" ref="J1342">IF($C1342&gt;=25,INDEX(Sheet1!G:G,$G1342),INDEX(Sheet1!F:F,$G1342))</f>
        <v>B25</v>
      </c>
      <c r="K1342" s="4" cm="1">
        <f t="array" ref="K1342">INDEX(Sheet1!H:H,$G1342)</f>
        <v>1</v>
      </c>
      <c r="L1342" s="4">
        <f t="shared" si="80"/>
        <v>0</v>
      </c>
      <c r="M1342" s="4">
        <f t="shared" si="81"/>
        <v>9</v>
      </c>
    </row>
    <row r="1343" spans="1:13">
      <c r="A1343" s="4" t="str" cm="1">
        <f t="array" ref="A1343">INDEX(Sheet1!A:A,$F1343)</f>
        <v>F</v>
      </c>
      <c r="B1343" s="4" t="str" cm="1">
        <f t="array" ref="B1343">INDEX(Sheet1!B:B,$F1343)</f>
        <v>Pref Resid NS</v>
      </c>
      <c r="C1343" s="4">
        <f t="shared" si="82"/>
        <v>10</v>
      </c>
      <c r="D1343" s="5" cm="1">
        <f t="array" aca="1" ref="D1343" ca="1">OFFSET(INDIRECT("'["&amp;$H1343&amp;"]"&amp;$I1343&amp;"'!"&amp;$J1343),$L1343,$M1343)*$K1343</f>
        <v>2.2000000000000001E-4</v>
      </c>
      <c r="F1343" s="4">
        <f t="shared" si="83"/>
        <v>13</v>
      </c>
      <c r="G1343" s="4" cm="1">
        <f t="array" ref="G1343">IF($C1343&gt;=25,F1343,IF($C1343&lt;16,INDEX(Sheet1!C:C,$F1343),$F1343))</f>
        <v>19</v>
      </c>
      <c r="H1343" s="4" t="str" cm="1">
        <f t="array" ref="H1343">INDEX(Sheet1!D:D,$G1343)</f>
        <v>t1139.xlsx</v>
      </c>
      <c r="I1343" s="4" t="str" cm="1">
        <f t="array" ref="I1343">INDEX(Sheet1!E:E,$G1343)</f>
        <v>Sheet1</v>
      </c>
      <c r="J1343" s="4" t="str" cm="1">
        <f t="array" ref="J1343">IF($C1343&gt;=25,INDEX(Sheet1!G:G,$G1343),INDEX(Sheet1!F:F,$G1343))</f>
        <v>B25</v>
      </c>
      <c r="K1343" s="4" cm="1">
        <f t="array" ref="K1343">INDEX(Sheet1!H:H,$G1343)</f>
        <v>1</v>
      </c>
      <c r="L1343" s="4">
        <f t="shared" si="80"/>
        <v>0</v>
      </c>
      <c r="M1343" s="4">
        <f t="shared" si="81"/>
        <v>10</v>
      </c>
    </row>
    <row r="1344" spans="1:13">
      <c r="A1344" s="4" t="str" cm="1">
        <f t="array" ref="A1344">INDEX(Sheet1!A:A,$F1344)</f>
        <v>F</v>
      </c>
      <c r="B1344" s="4" t="str" cm="1">
        <f t="array" ref="B1344">INDEX(Sheet1!B:B,$F1344)</f>
        <v>Pref Resid NS</v>
      </c>
      <c r="C1344" s="4">
        <f t="shared" si="82"/>
        <v>11</v>
      </c>
      <c r="D1344" s="5" cm="1">
        <f t="array" aca="1" ref="D1344" ca="1">OFFSET(INDIRECT("'["&amp;$H1344&amp;"]"&amp;$I1344&amp;"'!"&amp;$J1344),$L1344,$M1344)*$K1344</f>
        <v>2.3000000000000001E-4</v>
      </c>
      <c r="F1344" s="4">
        <f t="shared" si="83"/>
        <v>13</v>
      </c>
      <c r="G1344" s="4" cm="1">
        <f t="array" ref="G1344">IF($C1344&gt;=25,F1344,IF($C1344&lt;16,INDEX(Sheet1!C:C,$F1344),$F1344))</f>
        <v>19</v>
      </c>
      <c r="H1344" s="4" t="str" cm="1">
        <f t="array" ref="H1344">INDEX(Sheet1!D:D,$G1344)</f>
        <v>t1139.xlsx</v>
      </c>
      <c r="I1344" s="4" t="str" cm="1">
        <f t="array" ref="I1344">INDEX(Sheet1!E:E,$G1344)</f>
        <v>Sheet1</v>
      </c>
      <c r="J1344" s="4" t="str" cm="1">
        <f t="array" ref="J1344">IF($C1344&gt;=25,INDEX(Sheet1!G:G,$G1344),INDEX(Sheet1!F:F,$G1344))</f>
        <v>B25</v>
      </c>
      <c r="K1344" s="4" cm="1">
        <f t="array" ref="K1344">INDEX(Sheet1!H:H,$G1344)</f>
        <v>1</v>
      </c>
      <c r="L1344" s="4">
        <f t="shared" si="80"/>
        <v>0</v>
      </c>
      <c r="M1344" s="4">
        <f t="shared" si="81"/>
        <v>11</v>
      </c>
    </row>
    <row r="1345" spans="1:13">
      <c r="A1345" s="4" t="str" cm="1">
        <f t="array" ref="A1345">INDEX(Sheet1!A:A,$F1345)</f>
        <v>F</v>
      </c>
      <c r="B1345" s="4" t="str" cm="1">
        <f t="array" ref="B1345">INDEX(Sheet1!B:B,$F1345)</f>
        <v>Pref Resid NS</v>
      </c>
      <c r="C1345" s="4">
        <f t="shared" si="82"/>
        <v>12</v>
      </c>
      <c r="D1345" s="5" cm="1">
        <f t="array" aca="1" ref="D1345" ca="1">OFFSET(INDIRECT("'["&amp;$H1345&amp;"]"&amp;$I1345&amp;"'!"&amp;$J1345),$L1345,$M1345)*$K1345</f>
        <v>2.7E-4</v>
      </c>
      <c r="F1345" s="4">
        <f t="shared" si="83"/>
        <v>13</v>
      </c>
      <c r="G1345" s="4" cm="1">
        <f t="array" ref="G1345">IF($C1345&gt;=25,F1345,IF($C1345&lt;16,INDEX(Sheet1!C:C,$F1345),$F1345))</f>
        <v>19</v>
      </c>
      <c r="H1345" s="4" t="str" cm="1">
        <f t="array" ref="H1345">INDEX(Sheet1!D:D,$G1345)</f>
        <v>t1139.xlsx</v>
      </c>
      <c r="I1345" s="4" t="str" cm="1">
        <f t="array" ref="I1345">INDEX(Sheet1!E:E,$G1345)</f>
        <v>Sheet1</v>
      </c>
      <c r="J1345" s="4" t="str" cm="1">
        <f t="array" ref="J1345">IF($C1345&gt;=25,INDEX(Sheet1!G:G,$G1345),INDEX(Sheet1!F:F,$G1345))</f>
        <v>B25</v>
      </c>
      <c r="K1345" s="4" cm="1">
        <f t="array" ref="K1345">INDEX(Sheet1!H:H,$G1345)</f>
        <v>1</v>
      </c>
      <c r="L1345" s="4">
        <f t="shared" si="80"/>
        <v>0</v>
      </c>
      <c r="M1345" s="4">
        <f t="shared" si="81"/>
        <v>12</v>
      </c>
    </row>
    <row r="1346" spans="1:13">
      <c r="A1346" s="4" t="str" cm="1">
        <f t="array" ref="A1346">INDEX(Sheet1!A:A,$F1346)</f>
        <v>F</v>
      </c>
      <c r="B1346" s="4" t="str" cm="1">
        <f t="array" ref="B1346">INDEX(Sheet1!B:B,$F1346)</f>
        <v>Pref Resid NS</v>
      </c>
      <c r="C1346" s="4">
        <f t="shared" si="82"/>
        <v>13</v>
      </c>
      <c r="D1346" s="5" cm="1">
        <f t="array" aca="1" ref="D1346" ca="1">OFFSET(INDIRECT("'["&amp;$H1346&amp;"]"&amp;$I1346&amp;"'!"&amp;$J1346),$L1346,$M1346)*$K1346</f>
        <v>2.9999999999999997E-4</v>
      </c>
      <c r="F1346" s="4">
        <f t="shared" si="83"/>
        <v>13</v>
      </c>
      <c r="G1346" s="4" cm="1">
        <f t="array" ref="G1346">IF($C1346&gt;=25,F1346,IF($C1346&lt;16,INDEX(Sheet1!C:C,$F1346),$F1346))</f>
        <v>19</v>
      </c>
      <c r="H1346" s="4" t="str" cm="1">
        <f t="array" ref="H1346">INDEX(Sheet1!D:D,$G1346)</f>
        <v>t1139.xlsx</v>
      </c>
      <c r="I1346" s="4" t="str" cm="1">
        <f t="array" ref="I1346">INDEX(Sheet1!E:E,$G1346)</f>
        <v>Sheet1</v>
      </c>
      <c r="J1346" s="4" t="str" cm="1">
        <f t="array" ref="J1346">IF($C1346&gt;=25,INDEX(Sheet1!G:G,$G1346),INDEX(Sheet1!F:F,$G1346))</f>
        <v>B25</v>
      </c>
      <c r="K1346" s="4" cm="1">
        <f t="array" ref="K1346">INDEX(Sheet1!H:H,$G1346)</f>
        <v>1</v>
      </c>
      <c r="L1346" s="4">
        <f t="shared" si="80"/>
        <v>0</v>
      </c>
      <c r="M1346" s="4">
        <f t="shared" si="81"/>
        <v>13</v>
      </c>
    </row>
    <row r="1347" spans="1:13">
      <c r="A1347" s="4" t="str" cm="1">
        <f t="array" ref="A1347">INDEX(Sheet1!A:A,$F1347)</f>
        <v>F</v>
      </c>
      <c r="B1347" s="4" t="str" cm="1">
        <f t="array" ref="B1347">INDEX(Sheet1!B:B,$F1347)</f>
        <v>Pref Resid NS</v>
      </c>
      <c r="C1347" s="4">
        <f t="shared" si="82"/>
        <v>14</v>
      </c>
      <c r="D1347" s="5" cm="1">
        <f t="array" aca="1" ref="D1347" ca="1">OFFSET(INDIRECT("'["&amp;$H1347&amp;"]"&amp;$I1347&amp;"'!"&amp;$J1347),$L1347,$M1347)*$K1347</f>
        <v>3.3E-4</v>
      </c>
      <c r="F1347" s="4">
        <f t="shared" si="83"/>
        <v>13</v>
      </c>
      <c r="G1347" s="4" cm="1">
        <f t="array" ref="G1347">IF($C1347&gt;=25,F1347,IF($C1347&lt;16,INDEX(Sheet1!C:C,$F1347),$F1347))</f>
        <v>19</v>
      </c>
      <c r="H1347" s="4" t="str" cm="1">
        <f t="array" ref="H1347">INDEX(Sheet1!D:D,$G1347)</f>
        <v>t1139.xlsx</v>
      </c>
      <c r="I1347" s="4" t="str" cm="1">
        <f t="array" ref="I1347">INDEX(Sheet1!E:E,$G1347)</f>
        <v>Sheet1</v>
      </c>
      <c r="J1347" s="4" t="str" cm="1">
        <f t="array" ref="J1347">IF($C1347&gt;=25,INDEX(Sheet1!G:G,$G1347),INDEX(Sheet1!F:F,$G1347))</f>
        <v>B25</v>
      </c>
      <c r="K1347" s="4" cm="1">
        <f t="array" ref="K1347">INDEX(Sheet1!H:H,$G1347)</f>
        <v>1</v>
      </c>
      <c r="L1347" s="4">
        <f t="shared" ref="L1347:L1410" si="84">IF($C1347&gt;=25,$C1347-25,0)</f>
        <v>0</v>
      </c>
      <c r="M1347" s="4">
        <f t="shared" ref="M1347:M1410" si="85">IF($C1347&gt;=25,0,$C1347)</f>
        <v>14</v>
      </c>
    </row>
    <row r="1348" spans="1:13">
      <c r="A1348" s="4" t="str" cm="1">
        <f t="array" ref="A1348">INDEX(Sheet1!A:A,$F1348)</f>
        <v>F</v>
      </c>
      <c r="B1348" s="4" t="str" cm="1">
        <f t="array" ref="B1348">INDEX(Sheet1!B:B,$F1348)</f>
        <v>Pref Resid NS</v>
      </c>
      <c r="C1348" s="4">
        <f t="shared" ref="C1348:C1411" si="86">IF(C1347=120,0,C1347+1)</f>
        <v>15</v>
      </c>
      <c r="D1348" s="5" cm="1">
        <f t="array" aca="1" ref="D1348" ca="1">OFFSET(INDIRECT("'["&amp;$H1348&amp;"]"&amp;$I1348&amp;"'!"&amp;$J1348),$L1348,$M1348)*$K1348</f>
        <v>3.5E-4</v>
      </c>
      <c r="F1348" s="4">
        <f t="shared" ref="F1348:F1411" si="87">IF(C1348=0,1,0)+F1347</f>
        <v>13</v>
      </c>
      <c r="G1348" s="4" cm="1">
        <f t="array" ref="G1348">IF($C1348&gt;=25,F1348,IF($C1348&lt;16,INDEX(Sheet1!C:C,$F1348),$F1348))</f>
        <v>19</v>
      </c>
      <c r="H1348" s="4" t="str" cm="1">
        <f t="array" ref="H1348">INDEX(Sheet1!D:D,$G1348)</f>
        <v>t1139.xlsx</v>
      </c>
      <c r="I1348" s="4" t="str" cm="1">
        <f t="array" ref="I1348">INDEX(Sheet1!E:E,$G1348)</f>
        <v>Sheet1</v>
      </c>
      <c r="J1348" s="4" t="str" cm="1">
        <f t="array" ref="J1348">IF($C1348&gt;=25,INDEX(Sheet1!G:G,$G1348),INDEX(Sheet1!F:F,$G1348))</f>
        <v>B25</v>
      </c>
      <c r="K1348" s="4" cm="1">
        <f t="array" ref="K1348">INDEX(Sheet1!H:H,$G1348)</f>
        <v>1</v>
      </c>
      <c r="L1348" s="4">
        <f t="shared" si="84"/>
        <v>0</v>
      </c>
      <c r="M1348" s="4">
        <f t="shared" si="85"/>
        <v>15</v>
      </c>
    </row>
    <row r="1349" spans="1:13">
      <c r="A1349" s="4" t="str" cm="1">
        <f t="array" ref="A1349">INDEX(Sheet1!A:A,$F1349)</f>
        <v>F</v>
      </c>
      <c r="B1349" s="4" t="str" cm="1">
        <f t="array" ref="B1349">INDEX(Sheet1!B:B,$F1349)</f>
        <v>Pref Resid NS</v>
      </c>
      <c r="C1349" s="4">
        <f t="shared" si="86"/>
        <v>16</v>
      </c>
      <c r="D1349" s="5" cm="1">
        <f t="array" aca="1" ref="D1349" ca="1">OFFSET(INDIRECT("'["&amp;$H1349&amp;"]"&amp;$I1349&amp;"'!"&amp;$J1349),$L1349,$M1349)*$K1349</f>
        <v>2.9E-4</v>
      </c>
      <c r="F1349" s="4">
        <f t="shared" si="87"/>
        <v>13</v>
      </c>
      <c r="G1349" s="4" cm="1">
        <f t="array" ref="G1349">IF($C1349&gt;=25,F1349,IF($C1349&lt;16,INDEX(Sheet1!C:C,$F1349),$F1349))</f>
        <v>13</v>
      </c>
      <c r="H1349" s="4" t="str" cm="1">
        <f t="array" ref="H1349">INDEX(Sheet1!D:D,$G1349)</f>
        <v>2001-cso-preferred-class-structure-mortality-tables.xls</v>
      </c>
      <c r="I1349" s="4" t="str" cm="1">
        <f t="array" ref="I1349">INDEX(Sheet1!E:E,$G1349)</f>
        <v>A.1.b.ii</v>
      </c>
      <c r="J1349" s="4" t="str" cm="1">
        <f t="array" ref="J1349">IF($C1349&gt;=25,INDEX(Sheet1!G:G,$G1349),INDEX(Sheet1!F:F,$G1349))</f>
        <v>B8</v>
      </c>
      <c r="K1349" s="4" cm="1">
        <f t="array" ref="K1349">INDEX(Sheet1!H:H,$G1349)</f>
        <v>1E-3</v>
      </c>
      <c r="L1349" s="4">
        <f t="shared" si="84"/>
        <v>0</v>
      </c>
      <c r="M1349" s="4">
        <f t="shared" si="85"/>
        <v>16</v>
      </c>
    </row>
    <row r="1350" spans="1:13">
      <c r="A1350" s="4" t="str" cm="1">
        <f t="array" ref="A1350">INDEX(Sheet1!A:A,$F1350)</f>
        <v>F</v>
      </c>
      <c r="B1350" s="4" t="str" cm="1">
        <f t="array" ref="B1350">INDEX(Sheet1!B:B,$F1350)</f>
        <v>Pref Resid NS</v>
      </c>
      <c r="C1350" s="4">
        <f t="shared" si="86"/>
        <v>17</v>
      </c>
      <c r="D1350" s="5" cm="1">
        <f t="array" aca="1" ref="D1350" ca="1">OFFSET(INDIRECT("'["&amp;$H1350&amp;"]"&amp;$I1350&amp;"'!"&amp;$J1350),$L1350,$M1350)*$K1350</f>
        <v>3.1E-4</v>
      </c>
      <c r="F1350" s="4">
        <f t="shared" si="87"/>
        <v>13</v>
      </c>
      <c r="G1350" s="4" cm="1">
        <f t="array" ref="G1350">IF($C1350&gt;=25,F1350,IF($C1350&lt;16,INDEX(Sheet1!C:C,$F1350),$F1350))</f>
        <v>13</v>
      </c>
      <c r="H1350" s="4" t="str" cm="1">
        <f t="array" ref="H1350">INDEX(Sheet1!D:D,$G1350)</f>
        <v>2001-cso-preferred-class-structure-mortality-tables.xls</v>
      </c>
      <c r="I1350" s="4" t="str" cm="1">
        <f t="array" ref="I1350">INDEX(Sheet1!E:E,$G1350)</f>
        <v>A.1.b.ii</v>
      </c>
      <c r="J1350" s="4" t="str" cm="1">
        <f t="array" ref="J1350">IF($C1350&gt;=25,INDEX(Sheet1!G:G,$G1350),INDEX(Sheet1!F:F,$G1350))</f>
        <v>B8</v>
      </c>
      <c r="K1350" s="4" cm="1">
        <f t="array" ref="K1350">INDEX(Sheet1!H:H,$G1350)</f>
        <v>1E-3</v>
      </c>
      <c r="L1350" s="4">
        <f t="shared" si="84"/>
        <v>0</v>
      </c>
      <c r="M1350" s="4">
        <f t="shared" si="85"/>
        <v>17</v>
      </c>
    </row>
    <row r="1351" spans="1:13">
      <c r="A1351" s="4" t="str" cm="1">
        <f t="array" ref="A1351">INDEX(Sheet1!A:A,$F1351)</f>
        <v>F</v>
      </c>
      <c r="B1351" s="4" t="str" cm="1">
        <f t="array" ref="B1351">INDEX(Sheet1!B:B,$F1351)</f>
        <v>Pref Resid NS</v>
      </c>
      <c r="C1351" s="4">
        <f t="shared" si="86"/>
        <v>18</v>
      </c>
      <c r="D1351" s="5" cm="1">
        <f t="array" aca="1" ref="D1351" ca="1">OFFSET(INDIRECT("'["&amp;$H1351&amp;"]"&amp;$I1351&amp;"'!"&amp;$J1351),$L1351,$M1351)*$K1351</f>
        <v>3.2000000000000003E-4</v>
      </c>
      <c r="F1351" s="4">
        <f t="shared" si="87"/>
        <v>13</v>
      </c>
      <c r="G1351" s="4" cm="1">
        <f t="array" ref="G1351">IF($C1351&gt;=25,F1351,IF($C1351&lt;16,INDEX(Sheet1!C:C,$F1351),$F1351))</f>
        <v>13</v>
      </c>
      <c r="H1351" s="4" t="str" cm="1">
        <f t="array" ref="H1351">INDEX(Sheet1!D:D,$G1351)</f>
        <v>2001-cso-preferred-class-structure-mortality-tables.xls</v>
      </c>
      <c r="I1351" s="4" t="str" cm="1">
        <f t="array" ref="I1351">INDEX(Sheet1!E:E,$G1351)</f>
        <v>A.1.b.ii</v>
      </c>
      <c r="J1351" s="4" t="str" cm="1">
        <f t="array" ref="J1351">IF($C1351&gt;=25,INDEX(Sheet1!G:G,$G1351),INDEX(Sheet1!F:F,$G1351))</f>
        <v>B8</v>
      </c>
      <c r="K1351" s="4" cm="1">
        <f t="array" ref="K1351">INDEX(Sheet1!H:H,$G1351)</f>
        <v>1E-3</v>
      </c>
      <c r="L1351" s="4">
        <f t="shared" si="84"/>
        <v>0</v>
      </c>
      <c r="M1351" s="4">
        <f t="shared" si="85"/>
        <v>18</v>
      </c>
    </row>
    <row r="1352" spans="1:13">
      <c r="A1352" s="4" t="str" cm="1">
        <f t="array" ref="A1352">INDEX(Sheet1!A:A,$F1352)</f>
        <v>F</v>
      </c>
      <c r="B1352" s="4" t="str" cm="1">
        <f t="array" ref="B1352">INDEX(Sheet1!B:B,$F1352)</f>
        <v>Pref Resid NS</v>
      </c>
      <c r="C1352" s="4">
        <f t="shared" si="86"/>
        <v>19</v>
      </c>
      <c r="D1352" s="5" cm="1">
        <f t="array" aca="1" ref="D1352" ca="1">OFFSET(INDIRECT("'["&amp;$H1352&amp;"]"&amp;$I1352&amp;"'!"&amp;$J1352),$L1352,$M1352)*$K1352</f>
        <v>3.3E-4</v>
      </c>
      <c r="F1352" s="4">
        <f t="shared" si="87"/>
        <v>13</v>
      </c>
      <c r="G1352" s="4" cm="1">
        <f t="array" ref="G1352">IF($C1352&gt;=25,F1352,IF($C1352&lt;16,INDEX(Sheet1!C:C,$F1352),$F1352))</f>
        <v>13</v>
      </c>
      <c r="H1352" s="4" t="str" cm="1">
        <f t="array" ref="H1352">INDEX(Sheet1!D:D,$G1352)</f>
        <v>2001-cso-preferred-class-structure-mortality-tables.xls</v>
      </c>
      <c r="I1352" s="4" t="str" cm="1">
        <f t="array" ref="I1352">INDEX(Sheet1!E:E,$G1352)</f>
        <v>A.1.b.ii</v>
      </c>
      <c r="J1352" s="4" t="str" cm="1">
        <f t="array" ref="J1352">IF($C1352&gt;=25,INDEX(Sheet1!G:G,$G1352),INDEX(Sheet1!F:F,$G1352))</f>
        <v>B8</v>
      </c>
      <c r="K1352" s="4" cm="1">
        <f t="array" ref="K1352">INDEX(Sheet1!H:H,$G1352)</f>
        <v>1E-3</v>
      </c>
      <c r="L1352" s="4">
        <f t="shared" si="84"/>
        <v>0</v>
      </c>
      <c r="M1352" s="4">
        <f t="shared" si="85"/>
        <v>19</v>
      </c>
    </row>
    <row r="1353" spans="1:13">
      <c r="A1353" s="4" t="str" cm="1">
        <f t="array" ref="A1353">INDEX(Sheet1!A:A,$F1353)</f>
        <v>F</v>
      </c>
      <c r="B1353" s="4" t="str" cm="1">
        <f t="array" ref="B1353">INDEX(Sheet1!B:B,$F1353)</f>
        <v>Pref Resid NS</v>
      </c>
      <c r="C1353" s="4">
        <f t="shared" si="86"/>
        <v>20</v>
      </c>
      <c r="D1353" s="5" cm="1">
        <f t="array" aca="1" ref="D1353" ca="1">OFFSET(INDIRECT("'["&amp;$H1353&amp;"]"&amp;$I1353&amp;"'!"&amp;$J1353),$L1353,$M1353)*$K1353</f>
        <v>3.4000000000000002E-4</v>
      </c>
      <c r="F1353" s="4">
        <f t="shared" si="87"/>
        <v>13</v>
      </c>
      <c r="G1353" s="4" cm="1">
        <f t="array" ref="G1353">IF($C1353&gt;=25,F1353,IF($C1353&lt;16,INDEX(Sheet1!C:C,$F1353),$F1353))</f>
        <v>13</v>
      </c>
      <c r="H1353" s="4" t="str" cm="1">
        <f t="array" ref="H1353">INDEX(Sheet1!D:D,$G1353)</f>
        <v>2001-cso-preferred-class-structure-mortality-tables.xls</v>
      </c>
      <c r="I1353" s="4" t="str" cm="1">
        <f t="array" ref="I1353">INDEX(Sheet1!E:E,$G1353)</f>
        <v>A.1.b.ii</v>
      </c>
      <c r="J1353" s="4" t="str" cm="1">
        <f t="array" ref="J1353">IF($C1353&gt;=25,INDEX(Sheet1!G:G,$G1353),INDEX(Sheet1!F:F,$G1353))</f>
        <v>B8</v>
      </c>
      <c r="K1353" s="4" cm="1">
        <f t="array" ref="K1353">INDEX(Sheet1!H:H,$G1353)</f>
        <v>1E-3</v>
      </c>
      <c r="L1353" s="4">
        <f t="shared" si="84"/>
        <v>0</v>
      </c>
      <c r="M1353" s="4">
        <f t="shared" si="85"/>
        <v>20</v>
      </c>
    </row>
    <row r="1354" spans="1:13">
      <c r="A1354" s="4" t="str" cm="1">
        <f t="array" ref="A1354">INDEX(Sheet1!A:A,$F1354)</f>
        <v>F</v>
      </c>
      <c r="B1354" s="4" t="str" cm="1">
        <f t="array" ref="B1354">INDEX(Sheet1!B:B,$F1354)</f>
        <v>Pref Resid NS</v>
      </c>
      <c r="C1354" s="4">
        <f t="shared" si="86"/>
        <v>21</v>
      </c>
      <c r="D1354" s="5" cm="1">
        <f t="array" aca="1" ref="D1354" ca="1">OFFSET(INDIRECT("'["&amp;$H1354&amp;"]"&amp;$I1354&amp;"'!"&amp;$J1354),$L1354,$M1354)*$K1354</f>
        <v>3.5E-4</v>
      </c>
      <c r="F1354" s="4">
        <f t="shared" si="87"/>
        <v>13</v>
      </c>
      <c r="G1354" s="4" cm="1">
        <f t="array" ref="G1354">IF($C1354&gt;=25,F1354,IF($C1354&lt;16,INDEX(Sheet1!C:C,$F1354),$F1354))</f>
        <v>13</v>
      </c>
      <c r="H1354" s="4" t="str" cm="1">
        <f t="array" ref="H1354">INDEX(Sheet1!D:D,$G1354)</f>
        <v>2001-cso-preferred-class-structure-mortality-tables.xls</v>
      </c>
      <c r="I1354" s="4" t="str" cm="1">
        <f t="array" ref="I1354">INDEX(Sheet1!E:E,$G1354)</f>
        <v>A.1.b.ii</v>
      </c>
      <c r="J1354" s="4" t="str" cm="1">
        <f t="array" ref="J1354">IF($C1354&gt;=25,INDEX(Sheet1!G:G,$G1354),INDEX(Sheet1!F:F,$G1354))</f>
        <v>B8</v>
      </c>
      <c r="K1354" s="4" cm="1">
        <f t="array" ref="K1354">INDEX(Sheet1!H:H,$G1354)</f>
        <v>1E-3</v>
      </c>
      <c r="L1354" s="4">
        <f t="shared" si="84"/>
        <v>0</v>
      </c>
      <c r="M1354" s="4">
        <f t="shared" si="85"/>
        <v>21</v>
      </c>
    </row>
    <row r="1355" spans="1:13">
      <c r="A1355" s="4" t="str" cm="1">
        <f t="array" ref="A1355">INDEX(Sheet1!A:A,$F1355)</f>
        <v>F</v>
      </c>
      <c r="B1355" s="4" t="str" cm="1">
        <f t="array" ref="B1355">INDEX(Sheet1!B:B,$F1355)</f>
        <v>Pref Resid NS</v>
      </c>
      <c r="C1355" s="4">
        <f t="shared" si="86"/>
        <v>22</v>
      </c>
      <c r="D1355" s="5" cm="1">
        <f t="array" aca="1" ref="D1355" ca="1">OFFSET(INDIRECT("'["&amp;$H1355&amp;"]"&amp;$I1355&amp;"'!"&amp;$J1355),$L1355,$M1355)*$K1355</f>
        <v>3.6999999999999999E-4</v>
      </c>
      <c r="F1355" s="4">
        <f t="shared" si="87"/>
        <v>13</v>
      </c>
      <c r="G1355" s="4" cm="1">
        <f t="array" ref="G1355">IF($C1355&gt;=25,F1355,IF($C1355&lt;16,INDEX(Sheet1!C:C,$F1355),$F1355))</f>
        <v>13</v>
      </c>
      <c r="H1355" s="4" t="str" cm="1">
        <f t="array" ref="H1355">INDEX(Sheet1!D:D,$G1355)</f>
        <v>2001-cso-preferred-class-structure-mortality-tables.xls</v>
      </c>
      <c r="I1355" s="4" t="str" cm="1">
        <f t="array" ref="I1355">INDEX(Sheet1!E:E,$G1355)</f>
        <v>A.1.b.ii</v>
      </c>
      <c r="J1355" s="4" t="str" cm="1">
        <f t="array" ref="J1355">IF($C1355&gt;=25,INDEX(Sheet1!G:G,$G1355),INDEX(Sheet1!F:F,$G1355))</f>
        <v>B8</v>
      </c>
      <c r="K1355" s="4" cm="1">
        <f t="array" ref="K1355">INDEX(Sheet1!H:H,$G1355)</f>
        <v>1E-3</v>
      </c>
      <c r="L1355" s="4">
        <f t="shared" si="84"/>
        <v>0</v>
      </c>
      <c r="M1355" s="4">
        <f t="shared" si="85"/>
        <v>22</v>
      </c>
    </row>
    <row r="1356" spans="1:13">
      <c r="A1356" s="4" t="str" cm="1">
        <f t="array" ref="A1356">INDEX(Sheet1!A:A,$F1356)</f>
        <v>F</v>
      </c>
      <c r="B1356" s="4" t="str" cm="1">
        <f t="array" ref="B1356">INDEX(Sheet1!B:B,$F1356)</f>
        <v>Pref Resid NS</v>
      </c>
      <c r="C1356" s="4">
        <f t="shared" si="86"/>
        <v>23</v>
      </c>
      <c r="D1356" s="5" cm="1">
        <f t="array" aca="1" ref="D1356" ca="1">OFFSET(INDIRECT("'["&amp;$H1356&amp;"]"&amp;$I1356&amp;"'!"&amp;$J1356),$L1356,$M1356)*$K1356</f>
        <v>3.6999999999999999E-4</v>
      </c>
      <c r="F1356" s="4">
        <f t="shared" si="87"/>
        <v>13</v>
      </c>
      <c r="G1356" s="4" cm="1">
        <f t="array" ref="G1356">IF($C1356&gt;=25,F1356,IF($C1356&lt;16,INDEX(Sheet1!C:C,$F1356),$F1356))</f>
        <v>13</v>
      </c>
      <c r="H1356" s="4" t="str" cm="1">
        <f t="array" ref="H1356">INDEX(Sheet1!D:D,$G1356)</f>
        <v>2001-cso-preferred-class-structure-mortality-tables.xls</v>
      </c>
      <c r="I1356" s="4" t="str" cm="1">
        <f t="array" ref="I1356">INDEX(Sheet1!E:E,$G1356)</f>
        <v>A.1.b.ii</v>
      </c>
      <c r="J1356" s="4" t="str" cm="1">
        <f t="array" ref="J1356">IF($C1356&gt;=25,INDEX(Sheet1!G:G,$G1356),INDEX(Sheet1!F:F,$G1356))</f>
        <v>B8</v>
      </c>
      <c r="K1356" s="4" cm="1">
        <f t="array" ref="K1356">INDEX(Sheet1!H:H,$G1356)</f>
        <v>1E-3</v>
      </c>
      <c r="L1356" s="4">
        <f t="shared" si="84"/>
        <v>0</v>
      </c>
      <c r="M1356" s="4">
        <f t="shared" si="85"/>
        <v>23</v>
      </c>
    </row>
    <row r="1357" spans="1:13">
      <c r="A1357" s="4" t="str" cm="1">
        <f t="array" ref="A1357">INDEX(Sheet1!A:A,$F1357)</f>
        <v>F</v>
      </c>
      <c r="B1357" s="4" t="str" cm="1">
        <f t="array" ref="B1357">INDEX(Sheet1!B:B,$F1357)</f>
        <v>Pref Resid NS</v>
      </c>
      <c r="C1357" s="4">
        <f t="shared" si="86"/>
        <v>24</v>
      </c>
      <c r="D1357" s="5" cm="1">
        <f t="array" aca="1" ref="D1357" ca="1">OFFSET(INDIRECT("'["&amp;$H1357&amp;"]"&amp;$I1357&amp;"'!"&amp;$J1357),$L1357,$M1357)*$K1357</f>
        <v>3.8000000000000002E-4</v>
      </c>
      <c r="F1357" s="4">
        <f t="shared" si="87"/>
        <v>13</v>
      </c>
      <c r="G1357" s="4" cm="1">
        <f t="array" ref="G1357">IF($C1357&gt;=25,F1357,IF($C1357&lt;16,INDEX(Sheet1!C:C,$F1357),$F1357))</f>
        <v>13</v>
      </c>
      <c r="H1357" s="4" t="str" cm="1">
        <f t="array" ref="H1357">INDEX(Sheet1!D:D,$G1357)</f>
        <v>2001-cso-preferred-class-structure-mortality-tables.xls</v>
      </c>
      <c r="I1357" s="4" t="str" cm="1">
        <f t="array" ref="I1357">INDEX(Sheet1!E:E,$G1357)</f>
        <v>A.1.b.ii</v>
      </c>
      <c r="J1357" s="4" t="str" cm="1">
        <f t="array" ref="J1357">IF($C1357&gt;=25,INDEX(Sheet1!G:G,$G1357),INDEX(Sheet1!F:F,$G1357))</f>
        <v>B8</v>
      </c>
      <c r="K1357" s="4" cm="1">
        <f t="array" ref="K1357">INDEX(Sheet1!H:H,$G1357)</f>
        <v>1E-3</v>
      </c>
      <c r="L1357" s="4">
        <f t="shared" si="84"/>
        <v>0</v>
      </c>
      <c r="M1357" s="4">
        <f t="shared" si="85"/>
        <v>24</v>
      </c>
    </row>
    <row r="1358" spans="1:13">
      <c r="A1358" s="4" t="str" cm="1">
        <f t="array" ref="A1358">INDEX(Sheet1!A:A,$F1358)</f>
        <v>F</v>
      </c>
      <c r="B1358" s="4" t="str" cm="1">
        <f t="array" ref="B1358">INDEX(Sheet1!B:B,$F1358)</f>
        <v>Pref Resid NS</v>
      </c>
      <c r="C1358" s="4">
        <f t="shared" si="86"/>
        <v>25</v>
      </c>
      <c r="D1358" s="5" cm="1">
        <f t="array" aca="1" ref="D1358" ca="1">OFFSET(INDIRECT("'["&amp;$H1358&amp;"]"&amp;$I1358&amp;"'!"&amp;$J1358),$L1358,$M1358)*$K1358</f>
        <v>3.8000000000000002E-4</v>
      </c>
      <c r="F1358" s="4">
        <f t="shared" si="87"/>
        <v>13</v>
      </c>
      <c r="G1358" s="4" cm="1">
        <f t="array" ref="G1358">IF($C1358&gt;=25,F1358,IF($C1358&lt;16,INDEX(Sheet1!C:C,$F1358),$F1358))</f>
        <v>13</v>
      </c>
      <c r="H1358" s="4" t="str" cm="1">
        <f t="array" ref="H1358">INDEX(Sheet1!D:D,$G1358)</f>
        <v>2001-cso-preferred-class-structure-mortality-tables.xls</v>
      </c>
      <c r="I1358" s="4" t="str" cm="1">
        <f t="array" ref="I1358">INDEX(Sheet1!E:E,$G1358)</f>
        <v>A.1.b.ii</v>
      </c>
      <c r="J1358" s="4" t="str" cm="1">
        <f t="array" ref="J1358">IF($C1358&gt;=25,INDEX(Sheet1!G:G,$G1358),INDEX(Sheet1!F:F,$G1358))</f>
        <v>AA8</v>
      </c>
      <c r="K1358" s="4" cm="1">
        <f t="array" ref="K1358">INDEX(Sheet1!H:H,$G1358)</f>
        <v>1E-3</v>
      </c>
      <c r="L1358" s="4">
        <f t="shared" si="84"/>
        <v>0</v>
      </c>
      <c r="M1358" s="4">
        <f t="shared" si="85"/>
        <v>0</v>
      </c>
    </row>
    <row r="1359" spans="1:13">
      <c r="A1359" s="4" t="str" cm="1">
        <f t="array" ref="A1359">INDEX(Sheet1!A:A,$F1359)</f>
        <v>F</v>
      </c>
      <c r="B1359" s="4" t="str" cm="1">
        <f t="array" ref="B1359">INDEX(Sheet1!B:B,$F1359)</f>
        <v>Pref Resid NS</v>
      </c>
      <c r="C1359" s="4">
        <f t="shared" si="86"/>
        <v>26</v>
      </c>
      <c r="D1359" s="5" cm="1">
        <f t="array" aca="1" ref="D1359" ca="1">OFFSET(INDIRECT("'["&amp;$H1359&amp;"]"&amp;$I1359&amp;"'!"&amp;$J1359),$L1359,$M1359)*$K1359</f>
        <v>4.0999999999999999E-4</v>
      </c>
      <c r="F1359" s="4">
        <f t="shared" si="87"/>
        <v>13</v>
      </c>
      <c r="G1359" s="4" cm="1">
        <f t="array" ref="G1359">IF($C1359&gt;=25,F1359,IF($C1359&lt;16,INDEX(Sheet1!C:C,$F1359),$F1359))</f>
        <v>13</v>
      </c>
      <c r="H1359" s="4" t="str" cm="1">
        <f t="array" ref="H1359">INDEX(Sheet1!D:D,$G1359)</f>
        <v>2001-cso-preferred-class-structure-mortality-tables.xls</v>
      </c>
      <c r="I1359" s="4" t="str" cm="1">
        <f t="array" ref="I1359">INDEX(Sheet1!E:E,$G1359)</f>
        <v>A.1.b.ii</v>
      </c>
      <c r="J1359" s="4" t="str" cm="1">
        <f t="array" ref="J1359">IF($C1359&gt;=25,INDEX(Sheet1!G:G,$G1359),INDEX(Sheet1!F:F,$G1359))</f>
        <v>AA8</v>
      </c>
      <c r="K1359" s="4" cm="1">
        <f t="array" ref="K1359">INDEX(Sheet1!H:H,$G1359)</f>
        <v>1E-3</v>
      </c>
      <c r="L1359" s="4">
        <f t="shared" si="84"/>
        <v>1</v>
      </c>
      <c r="M1359" s="4">
        <f t="shared" si="85"/>
        <v>0</v>
      </c>
    </row>
    <row r="1360" spans="1:13">
      <c r="A1360" s="4" t="str" cm="1">
        <f t="array" ref="A1360">INDEX(Sheet1!A:A,$F1360)</f>
        <v>F</v>
      </c>
      <c r="B1360" s="4" t="str" cm="1">
        <f t="array" ref="B1360">INDEX(Sheet1!B:B,$F1360)</f>
        <v>Pref Resid NS</v>
      </c>
      <c r="C1360" s="4">
        <f t="shared" si="86"/>
        <v>27</v>
      </c>
      <c r="D1360" s="5" cm="1">
        <f t="array" aca="1" ref="D1360" ca="1">OFFSET(INDIRECT("'["&amp;$H1360&amp;"]"&amp;$I1360&amp;"'!"&amp;$J1360),$L1360,$M1360)*$K1360</f>
        <v>4.2999999999999999E-4</v>
      </c>
      <c r="F1360" s="4">
        <f t="shared" si="87"/>
        <v>13</v>
      </c>
      <c r="G1360" s="4" cm="1">
        <f t="array" ref="G1360">IF($C1360&gt;=25,F1360,IF($C1360&lt;16,INDEX(Sheet1!C:C,$F1360),$F1360))</f>
        <v>13</v>
      </c>
      <c r="H1360" s="4" t="str" cm="1">
        <f t="array" ref="H1360">INDEX(Sheet1!D:D,$G1360)</f>
        <v>2001-cso-preferred-class-structure-mortality-tables.xls</v>
      </c>
      <c r="I1360" s="4" t="str" cm="1">
        <f t="array" ref="I1360">INDEX(Sheet1!E:E,$G1360)</f>
        <v>A.1.b.ii</v>
      </c>
      <c r="J1360" s="4" t="str" cm="1">
        <f t="array" ref="J1360">IF($C1360&gt;=25,INDEX(Sheet1!G:G,$G1360),INDEX(Sheet1!F:F,$G1360))</f>
        <v>AA8</v>
      </c>
      <c r="K1360" s="4" cm="1">
        <f t="array" ref="K1360">INDEX(Sheet1!H:H,$G1360)</f>
        <v>1E-3</v>
      </c>
      <c r="L1360" s="4">
        <f t="shared" si="84"/>
        <v>2</v>
      </c>
      <c r="M1360" s="4">
        <f t="shared" si="85"/>
        <v>0</v>
      </c>
    </row>
    <row r="1361" spans="1:13">
      <c r="A1361" s="4" t="str" cm="1">
        <f t="array" ref="A1361">INDEX(Sheet1!A:A,$F1361)</f>
        <v>F</v>
      </c>
      <c r="B1361" s="4" t="str" cm="1">
        <f t="array" ref="B1361">INDEX(Sheet1!B:B,$F1361)</f>
        <v>Pref Resid NS</v>
      </c>
      <c r="C1361" s="4">
        <f t="shared" si="86"/>
        <v>28</v>
      </c>
      <c r="D1361" s="5" cm="1">
        <f t="array" aca="1" ref="D1361" ca="1">OFFSET(INDIRECT("'["&amp;$H1361&amp;"]"&amp;$I1361&amp;"'!"&amp;$J1361),$L1361,$M1361)*$K1361</f>
        <v>4.5000000000000004E-4</v>
      </c>
      <c r="F1361" s="4">
        <f t="shared" si="87"/>
        <v>13</v>
      </c>
      <c r="G1361" s="4" cm="1">
        <f t="array" ref="G1361">IF($C1361&gt;=25,F1361,IF($C1361&lt;16,INDEX(Sheet1!C:C,$F1361),$F1361))</f>
        <v>13</v>
      </c>
      <c r="H1361" s="4" t="str" cm="1">
        <f t="array" ref="H1361">INDEX(Sheet1!D:D,$G1361)</f>
        <v>2001-cso-preferred-class-structure-mortality-tables.xls</v>
      </c>
      <c r="I1361" s="4" t="str" cm="1">
        <f t="array" ref="I1361">INDEX(Sheet1!E:E,$G1361)</f>
        <v>A.1.b.ii</v>
      </c>
      <c r="J1361" s="4" t="str" cm="1">
        <f t="array" ref="J1361">IF($C1361&gt;=25,INDEX(Sheet1!G:G,$G1361),INDEX(Sheet1!F:F,$G1361))</f>
        <v>AA8</v>
      </c>
      <c r="K1361" s="4" cm="1">
        <f t="array" ref="K1361">INDEX(Sheet1!H:H,$G1361)</f>
        <v>1E-3</v>
      </c>
      <c r="L1361" s="4">
        <f t="shared" si="84"/>
        <v>3</v>
      </c>
      <c r="M1361" s="4">
        <f t="shared" si="85"/>
        <v>0</v>
      </c>
    </row>
    <row r="1362" spans="1:13">
      <c r="A1362" s="4" t="str" cm="1">
        <f t="array" ref="A1362">INDEX(Sheet1!A:A,$F1362)</f>
        <v>F</v>
      </c>
      <c r="B1362" s="4" t="str" cm="1">
        <f t="array" ref="B1362">INDEX(Sheet1!B:B,$F1362)</f>
        <v>Pref Resid NS</v>
      </c>
      <c r="C1362" s="4">
        <f t="shared" si="86"/>
        <v>29</v>
      </c>
      <c r="D1362" s="5" cm="1">
        <f t="array" aca="1" ref="D1362" ca="1">OFFSET(INDIRECT("'["&amp;$H1362&amp;"]"&amp;$I1362&amp;"'!"&amp;$J1362),$L1362,$M1362)*$K1362</f>
        <v>4.8000000000000001E-4</v>
      </c>
      <c r="F1362" s="4">
        <f t="shared" si="87"/>
        <v>13</v>
      </c>
      <c r="G1362" s="4" cm="1">
        <f t="array" ref="G1362">IF($C1362&gt;=25,F1362,IF($C1362&lt;16,INDEX(Sheet1!C:C,$F1362),$F1362))</f>
        <v>13</v>
      </c>
      <c r="H1362" s="4" t="str" cm="1">
        <f t="array" ref="H1362">INDEX(Sheet1!D:D,$G1362)</f>
        <v>2001-cso-preferred-class-structure-mortality-tables.xls</v>
      </c>
      <c r="I1362" s="4" t="str" cm="1">
        <f t="array" ref="I1362">INDEX(Sheet1!E:E,$G1362)</f>
        <v>A.1.b.ii</v>
      </c>
      <c r="J1362" s="4" t="str" cm="1">
        <f t="array" ref="J1362">IF($C1362&gt;=25,INDEX(Sheet1!G:G,$G1362),INDEX(Sheet1!F:F,$G1362))</f>
        <v>AA8</v>
      </c>
      <c r="K1362" s="4" cm="1">
        <f t="array" ref="K1362">INDEX(Sheet1!H:H,$G1362)</f>
        <v>1E-3</v>
      </c>
      <c r="L1362" s="4">
        <f t="shared" si="84"/>
        <v>4</v>
      </c>
      <c r="M1362" s="4">
        <f t="shared" si="85"/>
        <v>0</v>
      </c>
    </row>
    <row r="1363" spans="1:13">
      <c r="A1363" s="4" t="str" cm="1">
        <f t="array" ref="A1363">INDEX(Sheet1!A:A,$F1363)</f>
        <v>F</v>
      </c>
      <c r="B1363" s="4" t="str" cm="1">
        <f t="array" ref="B1363">INDEX(Sheet1!B:B,$F1363)</f>
        <v>Pref Resid NS</v>
      </c>
      <c r="C1363" s="4">
        <f t="shared" si="86"/>
        <v>30</v>
      </c>
      <c r="D1363" s="5" cm="1">
        <f t="array" aca="1" ref="D1363" ca="1">OFFSET(INDIRECT("'["&amp;$H1363&amp;"]"&amp;$I1363&amp;"'!"&amp;$J1363),$L1363,$M1363)*$K1363</f>
        <v>4.8999999999999998E-4</v>
      </c>
      <c r="F1363" s="4">
        <f t="shared" si="87"/>
        <v>13</v>
      </c>
      <c r="G1363" s="4" cm="1">
        <f t="array" ref="G1363">IF($C1363&gt;=25,F1363,IF($C1363&lt;16,INDEX(Sheet1!C:C,$F1363),$F1363))</f>
        <v>13</v>
      </c>
      <c r="H1363" s="4" t="str" cm="1">
        <f t="array" ref="H1363">INDEX(Sheet1!D:D,$G1363)</f>
        <v>2001-cso-preferred-class-structure-mortality-tables.xls</v>
      </c>
      <c r="I1363" s="4" t="str" cm="1">
        <f t="array" ref="I1363">INDEX(Sheet1!E:E,$G1363)</f>
        <v>A.1.b.ii</v>
      </c>
      <c r="J1363" s="4" t="str" cm="1">
        <f t="array" ref="J1363">IF($C1363&gt;=25,INDEX(Sheet1!G:G,$G1363),INDEX(Sheet1!F:F,$G1363))</f>
        <v>AA8</v>
      </c>
      <c r="K1363" s="4" cm="1">
        <f t="array" ref="K1363">INDEX(Sheet1!H:H,$G1363)</f>
        <v>1E-3</v>
      </c>
      <c r="L1363" s="4">
        <f t="shared" si="84"/>
        <v>5</v>
      </c>
      <c r="M1363" s="4">
        <f t="shared" si="85"/>
        <v>0</v>
      </c>
    </row>
    <row r="1364" spans="1:13">
      <c r="A1364" s="4" t="str" cm="1">
        <f t="array" ref="A1364">INDEX(Sheet1!A:A,$F1364)</f>
        <v>F</v>
      </c>
      <c r="B1364" s="4" t="str" cm="1">
        <f t="array" ref="B1364">INDEX(Sheet1!B:B,$F1364)</f>
        <v>Pref Resid NS</v>
      </c>
      <c r="C1364" s="4">
        <f t="shared" si="86"/>
        <v>31</v>
      </c>
      <c r="D1364" s="5" cm="1">
        <f t="array" aca="1" ref="D1364" ca="1">OFFSET(INDIRECT("'["&amp;$H1364&amp;"]"&amp;$I1364&amp;"'!"&amp;$J1364),$L1364,$M1364)*$K1364</f>
        <v>5.2000000000000006E-4</v>
      </c>
      <c r="F1364" s="4">
        <f t="shared" si="87"/>
        <v>13</v>
      </c>
      <c r="G1364" s="4" cm="1">
        <f t="array" ref="G1364">IF($C1364&gt;=25,F1364,IF($C1364&lt;16,INDEX(Sheet1!C:C,$F1364),$F1364))</f>
        <v>13</v>
      </c>
      <c r="H1364" s="4" t="str" cm="1">
        <f t="array" ref="H1364">INDEX(Sheet1!D:D,$G1364)</f>
        <v>2001-cso-preferred-class-structure-mortality-tables.xls</v>
      </c>
      <c r="I1364" s="4" t="str" cm="1">
        <f t="array" ref="I1364">INDEX(Sheet1!E:E,$G1364)</f>
        <v>A.1.b.ii</v>
      </c>
      <c r="J1364" s="4" t="str" cm="1">
        <f t="array" ref="J1364">IF($C1364&gt;=25,INDEX(Sheet1!G:G,$G1364),INDEX(Sheet1!F:F,$G1364))</f>
        <v>AA8</v>
      </c>
      <c r="K1364" s="4" cm="1">
        <f t="array" ref="K1364">INDEX(Sheet1!H:H,$G1364)</f>
        <v>1E-3</v>
      </c>
      <c r="L1364" s="4">
        <f t="shared" si="84"/>
        <v>6</v>
      </c>
      <c r="M1364" s="4">
        <f t="shared" si="85"/>
        <v>0</v>
      </c>
    </row>
    <row r="1365" spans="1:13">
      <c r="A1365" s="4" t="str" cm="1">
        <f t="array" ref="A1365">INDEX(Sheet1!A:A,$F1365)</f>
        <v>F</v>
      </c>
      <c r="B1365" s="4" t="str" cm="1">
        <f t="array" ref="B1365">INDEX(Sheet1!B:B,$F1365)</f>
        <v>Pref Resid NS</v>
      </c>
      <c r="C1365" s="4">
        <f t="shared" si="86"/>
        <v>32</v>
      </c>
      <c r="D1365" s="5" cm="1">
        <f t="array" aca="1" ref="D1365" ca="1">OFFSET(INDIRECT("'["&amp;$H1365&amp;"]"&amp;$I1365&amp;"'!"&amp;$J1365),$L1365,$M1365)*$K1365</f>
        <v>5.5000000000000003E-4</v>
      </c>
      <c r="F1365" s="4">
        <f t="shared" si="87"/>
        <v>13</v>
      </c>
      <c r="G1365" s="4" cm="1">
        <f t="array" ref="G1365">IF($C1365&gt;=25,F1365,IF($C1365&lt;16,INDEX(Sheet1!C:C,$F1365),$F1365))</f>
        <v>13</v>
      </c>
      <c r="H1365" s="4" t="str" cm="1">
        <f t="array" ref="H1365">INDEX(Sheet1!D:D,$G1365)</f>
        <v>2001-cso-preferred-class-structure-mortality-tables.xls</v>
      </c>
      <c r="I1365" s="4" t="str" cm="1">
        <f t="array" ref="I1365">INDEX(Sheet1!E:E,$G1365)</f>
        <v>A.1.b.ii</v>
      </c>
      <c r="J1365" s="4" t="str" cm="1">
        <f t="array" ref="J1365">IF($C1365&gt;=25,INDEX(Sheet1!G:G,$G1365),INDEX(Sheet1!F:F,$G1365))</f>
        <v>AA8</v>
      </c>
      <c r="K1365" s="4" cm="1">
        <f t="array" ref="K1365">INDEX(Sheet1!H:H,$G1365)</f>
        <v>1E-3</v>
      </c>
      <c r="L1365" s="4">
        <f t="shared" si="84"/>
        <v>7</v>
      </c>
      <c r="M1365" s="4">
        <f t="shared" si="85"/>
        <v>0</v>
      </c>
    </row>
    <row r="1366" spans="1:13">
      <c r="A1366" s="4" t="str" cm="1">
        <f t="array" ref="A1366">INDEX(Sheet1!A:A,$F1366)</f>
        <v>F</v>
      </c>
      <c r="B1366" s="4" t="str" cm="1">
        <f t="array" ref="B1366">INDEX(Sheet1!B:B,$F1366)</f>
        <v>Pref Resid NS</v>
      </c>
      <c r="C1366" s="4">
        <f t="shared" si="86"/>
        <v>33</v>
      </c>
      <c r="D1366" s="5" cm="1">
        <f t="array" aca="1" ref="D1366" ca="1">OFFSET(INDIRECT("'["&amp;$H1366&amp;"]"&amp;$I1366&amp;"'!"&amp;$J1366),$L1366,$M1366)*$K1366</f>
        <v>5.8E-4</v>
      </c>
      <c r="F1366" s="4">
        <f t="shared" si="87"/>
        <v>13</v>
      </c>
      <c r="G1366" s="4" cm="1">
        <f t="array" ref="G1366">IF($C1366&gt;=25,F1366,IF($C1366&lt;16,INDEX(Sheet1!C:C,$F1366),$F1366))</f>
        <v>13</v>
      </c>
      <c r="H1366" s="4" t="str" cm="1">
        <f t="array" ref="H1366">INDEX(Sheet1!D:D,$G1366)</f>
        <v>2001-cso-preferred-class-structure-mortality-tables.xls</v>
      </c>
      <c r="I1366" s="4" t="str" cm="1">
        <f t="array" ref="I1366">INDEX(Sheet1!E:E,$G1366)</f>
        <v>A.1.b.ii</v>
      </c>
      <c r="J1366" s="4" t="str" cm="1">
        <f t="array" ref="J1366">IF($C1366&gt;=25,INDEX(Sheet1!G:G,$G1366),INDEX(Sheet1!F:F,$G1366))</f>
        <v>AA8</v>
      </c>
      <c r="K1366" s="4" cm="1">
        <f t="array" ref="K1366">INDEX(Sheet1!H:H,$G1366)</f>
        <v>1E-3</v>
      </c>
      <c r="L1366" s="4">
        <f t="shared" si="84"/>
        <v>8</v>
      </c>
      <c r="M1366" s="4">
        <f t="shared" si="85"/>
        <v>0</v>
      </c>
    </row>
    <row r="1367" spans="1:13">
      <c r="A1367" s="4" t="str" cm="1">
        <f t="array" ref="A1367">INDEX(Sheet1!A:A,$F1367)</f>
        <v>F</v>
      </c>
      <c r="B1367" s="4" t="str" cm="1">
        <f t="array" ref="B1367">INDEX(Sheet1!B:B,$F1367)</f>
        <v>Pref Resid NS</v>
      </c>
      <c r="C1367" s="4">
        <f t="shared" si="86"/>
        <v>34</v>
      </c>
      <c r="D1367" s="5" cm="1">
        <f t="array" aca="1" ref="D1367" ca="1">OFFSET(INDIRECT("'["&amp;$H1367&amp;"]"&amp;$I1367&amp;"'!"&amp;$J1367),$L1367,$M1367)*$K1367</f>
        <v>6.3000000000000003E-4</v>
      </c>
      <c r="F1367" s="4">
        <f t="shared" si="87"/>
        <v>13</v>
      </c>
      <c r="G1367" s="4" cm="1">
        <f t="array" ref="G1367">IF($C1367&gt;=25,F1367,IF($C1367&lt;16,INDEX(Sheet1!C:C,$F1367),$F1367))</f>
        <v>13</v>
      </c>
      <c r="H1367" s="4" t="str" cm="1">
        <f t="array" ref="H1367">INDEX(Sheet1!D:D,$G1367)</f>
        <v>2001-cso-preferred-class-structure-mortality-tables.xls</v>
      </c>
      <c r="I1367" s="4" t="str" cm="1">
        <f t="array" ref="I1367">INDEX(Sheet1!E:E,$G1367)</f>
        <v>A.1.b.ii</v>
      </c>
      <c r="J1367" s="4" t="str" cm="1">
        <f t="array" ref="J1367">IF($C1367&gt;=25,INDEX(Sheet1!G:G,$G1367),INDEX(Sheet1!F:F,$G1367))</f>
        <v>AA8</v>
      </c>
      <c r="K1367" s="4" cm="1">
        <f t="array" ref="K1367">INDEX(Sheet1!H:H,$G1367)</f>
        <v>1E-3</v>
      </c>
      <c r="L1367" s="4">
        <f t="shared" si="84"/>
        <v>9</v>
      </c>
      <c r="M1367" s="4">
        <f t="shared" si="85"/>
        <v>0</v>
      </c>
    </row>
    <row r="1368" spans="1:13">
      <c r="A1368" s="4" t="str" cm="1">
        <f t="array" ref="A1368">INDEX(Sheet1!A:A,$F1368)</f>
        <v>F</v>
      </c>
      <c r="B1368" s="4" t="str" cm="1">
        <f t="array" ref="B1368">INDEX(Sheet1!B:B,$F1368)</f>
        <v>Pref Resid NS</v>
      </c>
      <c r="C1368" s="4">
        <f t="shared" si="86"/>
        <v>35</v>
      </c>
      <c r="D1368" s="5" cm="1">
        <f t="array" aca="1" ref="D1368" ca="1">OFFSET(INDIRECT("'["&amp;$H1368&amp;"]"&amp;$I1368&amp;"'!"&amp;$J1368),$L1368,$M1368)*$K1368</f>
        <v>6.8000000000000005E-4</v>
      </c>
      <c r="F1368" s="4">
        <f t="shared" si="87"/>
        <v>13</v>
      </c>
      <c r="G1368" s="4" cm="1">
        <f t="array" ref="G1368">IF($C1368&gt;=25,F1368,IF($C1368&lt;16,INDEX(Sheet1!C:C,$F1368),$F1368))</f>
        <v>13</v>
      </c>
      <c r="H1368" s="4" t="str" cm="1">
        <f t="array" ref="H1368">INDEX(Sheet1!D:D,$G1368)</f>
        <v>2001-cso-preferred-class-structure-mortality-tables.xls</v>
      </c>
      <c r="I1368" s="4" t="str" cm="1">
        <f t="array" ref="I1368">INDEX(Sheet1!E:E,$G1368)</f>
        <v>A.1.b.ii</v>
      </c>
      <c r="J1368" s="4" t="str" cm="1">
        <f t="array" ref="J1368">IF($C1368&gt;=25,INDEX(Sheet1!G:G,$G1368),INDEX(Sheet1!F:F,$G1368))</f>
        <v>AA8</v>
      </c>
      <c r="K1368" s="4" cm="1">
        <f t="array" ref="K1368">INDEX(Sheet1!H:H,$G1368)</f>
        <v>1E-3</v>
      </c>
      <c r="L1368" s="4">
        <f t="shared" si="84"/>
        <v>10</v>
      </c>
      <c r="M1368" s="4">
        <f t="shared" si="85"/>
        <v>0</v>
      </c>
    </row>
    <row r="1369" spans="1:13">
      <c r="A1369" s="4" t="str" cm="1">
        <f t="array" ref="A1369">INDEX(Sheet1!A:A,$F1369)</f>
        <v>F</v>
      </c>
      <c r="B1369" s="4" t="str" cm="1">
        <f t="array" ref="B1369">INDEX(Sheet1!B:B,$F1369)</f>
        <v>Pref Resid NS</v>
      </c>
      <c r="C1369" s="4">
        <f t="shared" si="86"/>
        <v>36</v>
      </c>
      <c r="D1369" s="5" cm="1">
        <f t="array" aca="1" ref="D1369" ca="1">OFFSET(INDIRECT("'["&amp;$H1369&amp;"]"&amp;$I1369&amp;"'!"&amp;$J1369),$L1369,$M1369)*$K1369</f>
        <v>7.1999999999999994E-4</v>
      </c>
      <c r="F1369" s="4">
        <f t="shared" si="87"/>
        <v>13</v>
      </c>
      <c r="G1369" s="4" cm="1">
        <f t="array" ref="G1369">IF($C1369&gt;=25,F1369,IF($C1369&lt;16,INDEX(Sheet1!C:C,$F1369),$F1369))</f>
        <v>13</v>
      </c>
      <c r="H1369" s="4" t="str" cm="1">
        <f t="array" ref="H1369">INDEX(Sheet1!D:D,$G1369)</f>
        <v>2001-cso-preferred-class-structure-mortality-tables.xls</v>
      </c>
      <c r="I1369" s="4" t="str" cm="1">
        <f t="array" ref="I1369">INDEX(Sheet1!E:E,$G1369)</f>
        <v>A.1.b.ii</v>
      </c>
      <c r="J1369" s="4" t="str" cm="1">
        <f t="array" ref="J1369">IF($C1369&gt;=25,INDEX(Sheet1!G:G,$G1369),INDEX(Sheet1!F:F,$G1369))</f>
        <v>AA8</v>
      </c>
      <c r="K1369" s="4" cm="1">
        <f t="array" ref="K1369">INDEX(Sheet1!H:H,$G1369)</f>
        <v>1E-3</v>
      </c>
      <c r="L1369" s="4">
        <f t="shared" si="84"/>
        <v>11</v>
      </c>
      <c r="M1369" s="4">
        <f t="shared" si="85"/>
        <v>0</v>
      </c>
    </row>
    <row r="1370" spans="1:13">
      <c r="A1370" s="4" t="str" cm="1">
        <f t="array" ref="A1370">INDEX(Sheet1!A:A,$F1370)</f>
        <v>F</v>
      </c>
      <c r="B1370" s="4" t="str" cm="1">
        <f t="array" ref="B1370">INDEX(Sheet1!B:B,$F1370)</f>
        <v>Pref Resid NS</v>
      </c>
      <c r="C1370" s="4">
        <f t="shared" si="86"/>
        <v>37</v>
      </c>
      <c r="D1370" s="5" cm="1">
        <f t="array" aca="1" ref="D1370" ca="1">OFFSET(INDIRECT("'["&amp;$H1370&amp;"]"&amp;$I1370&amp;"'!"&amp;$J1370),$L1370,$M1370)*$K1370</f>
        <v>7.8000000000000009E-4</v>
      </c>
      <c r="F1370" s="4">
        <f t="shared" si="87"/>
        <v>13</v>
      </c>
      <c r="G1370" s="4" cm="1">
        <f t="array" ref="G1370">IF($C1370&gt;=25,F1370,IF($C1370&lt;16,INDEX(Sheet1!C:C,$F1370),$F1370))</f>
        <v>13</v>
      </c>
      <c r="H1370" s="4" t="str" cm="1">
        <f t="array" ref="H1370">INDEX(Sheet1!D:D,$G1370)</f>
        <v>2001-cso-preferred-class-structure-mortality-tables.xls</v>
      </c>
      <c r="I1370" s="4" t="str" cm="1">
        <f t="array" ref="I1370">INDEX(Sheet1!E:E,$G1370)</f>
        <v>A.1.b.ii</v>
      </c>
      <c r="J1370" s="4" t="str" cm="1">
        <f t="array" ref="J1370">IF($C1370&gt;=25,INDEX(Sheet1!G:G,$G1370),INDEX(Sheet1!F:F,$G1370))</f>
        <v>AA8</v>
      </c>
      <c r="K1370" s="4" cm="1">
        <f t="array" ref="K1370">INDEX(Sheet1!H:H,$G1370)</f>
        <v>1E-3</v>
      </c>
      <c r="L1370" s="4">
        <f t="shared" si="84"/>
        <v>12</v>
      </c>
      <c r="M1370" s="4">
        <f t="shared" si="85"/>
        <v>0</v>
      </c>
    </row>
    <row r="1371" spans="1:13">
      <c r="A1371" s="4" t="str" cm="1">
        <f t="array" ref="A1371">INDEX(Sheet1!A:A,$F1371)</f>
        <v>F</v>
      </c>
      <c r="B1371" s="4" t="str" cm="1">
        <f t="array" ref="B1371">INDEX(Sheet1!B:B,$F1371)</f>
        <v>Pref Resid NS</v>
      </c>
      <c r="C1371" s="4">
        <f t="shared" si="86"/>
        <v>38</v>
      </c>
      <c r="D1371" s="5" cm="1">
        <f t="array" aca="1" ref="D1371" ca="1">OFFSET(INDIRECT("'["&amp;$H1371&amp;"]"&amp;$I1371&amp;"'!"&amp;$J1371),$L1371,$M1371)*$K1371</f>
        <v>8.1999999999999998E-4</v>
      </c>
      <c r="F1371" s="4">
        <f t="shared" si="87"/>
        <v>13</v>
      </c>
      <c r="G1371" s="4" cm="1">
        <f t="array" ref="G1371">IF($C1371&gt;=25,F1371,IF($C1371&lt;16,INDEX(Sheet1!C:C,$F1371),$F1371))</f>
        <v>13</v>
      </c>
      <c r="H1371" s="4" t="str" cm="1">
        <f t="array" ref="H1371">INDEX(Sheet1!D:D,$G1371)</f>
        <v>2001-cso-preferred-class-structure-mortality-tables.xls</v>
      </c>
      <c r="I1371" s="4" t="str" cm="1">
        <f t="array" ref="I1371">INDEX(Sheet1!E:E,$G1371)</f>
        <v>A.1.b.ii</v>
      </c>
      <c r="J1371" s="4" t="str" cm="1">
        <f t="array" ref="J1371">IF($C1371&gt;=25,INDEX(Sheet1!G:G,$G1371),INDEX(Sheet1!F:F,$G1371))</f>
        <v>AA8</v>
      </c>
      <c r="K1371" s="4" cm="1">
        <f t="array" ref="K1371">INDEX(Sheet1!H:H,$G1371)</f>
        <v>1E-3</v>
      </c>
      <c r="L1371" s="4">
        <f t="shared" si="84"/>
        <v>13</v>
      </c>
      <c r="M1371" s="4">
        <f t="shared" si="85"/>
        <v>0</v>
      </c>
    </row>
    <row r="1372" spans="1:13">
      <c r="A1372" s="4" t="str" cm="1">
        <f t="array" ref="A1372">INDEX(Sheet1!A:A,$F1372)</f>
        <v>F</v>
      </c>
      <c r="B1372" s="4" t="str" cm="1">
        <f t="array" ref="B1372">INDEX(Sheet1!B:B,$F1372)</f>
        <v>Pref Resid NS</v>
      </c>
      <c r="C1372" s="4">
        <f t="shared" si="86"/>
        <v>39</v>
      </c>
      <c r="D1372" s="5" cm="1">
        <f t="array" aca="1" ref="D1372" ca="1">OFFSET(INDIRECT("'["&amp;$H1372&amp;"]"&amp;$I1372&amp;"'!"&amp;$J1372),$L1372,$M1372)*$K1372</f>
        <v>8.5999999999999998E-4</v>
      </c>
      <c r="F1372" s="4">
        <f t="shared" si="87"/>
        <v>13</v>
      </c>
      <c r="G1372" s="4" cm="1">
        <f t="array" ref="G1372">IF($C1372&gt;=25,F1372,IF($C1372&lt;16,INDEX(Sheet1!C:C,$F1372),$F1372))</f>
        <v>13</v>
      </c>
      <c r="H1372" s="4" t="str" cm="1">
        <f t="array" ref="H1372">INDEX(Sheet1!D:D,$G1372)</f>
        <v>2001-cso-preferred-class-structure-mortality-tables.xls</v>
      </c>
      <c r="I1372" s="4" t="str" cm="1">
        <f t="array" ref="I1372">INDEX(Sheet1!E:E,$G1372)</f>
        <v>A.1.b.ii</v>
      </c>
      <c r="J1372" s="4" t="str" cm="1">
        <f t="array" ref="J1372">IF($C1372&gt;=25,INDEX(Sheet1!G:G,$G1372),INDEX(Sheet1!F:F,$G1372))</f>
        <v>AA8</v>
      </c>
      <c r="K1372" s="4" cm="1">
        <f t="array" ref="K1372">INDEX(Sheet1!H:H,$G1372)</f>
        <v>1E-3</v>
      </c>
      <c r="L1372" s="4">
        <f t="shared" si="84"/>
        <v>14</v>
      </c>
      <c r="M1372" s="4">
        <f t="shared" si="85"/>
        <v>0</v>
      </c>
    </row>
    <row r="1373" spans="1:13">
      <c r="A1373" s="4" t="str" cm="1">
        <f t="array" ref="A1373">INDEX(Sheet1!A:A,$F1373)</f>
        <v>F</v>
      </c>
      <c r="B1373" s="4" t="str" cm="1">
        <f t="array" ref="B1373">INDEX(Sheet1!B:B,$F1373)</f>
        <v>Pref Resid NS</v>
      </c>
      <c r="C1373" s="4">
        <f t="shared" si="86"/>
        <v>40</v>
      </c>
      <c r="D1373" s="5" cm="1">
        <f t="array" aca="1" ref="D1373" ca="1">OFFSET(INDIRECT("'["&amp;$H1373&amp;"]"&amp;$I1373&amp;"'!"&amp;$J1373),$L1373,$M1373)*$K1373</f>
        <v>9.1E-4</v>
      </c>
      <c r="F1373" s="4">
        <f t="shared" si="87"/>
        <v>13</v>
      </c>
      <c r="G1373" s="4" cm="1">
        <f t="array" ref="G1373">IF($C1373&gt;=25,F1373,IF($C1373&lt;16,INDEX(Sheet1!C:C,$F1373),$F1373))</f>
        <v>13</v>
      </c>
      <c r="H1373" s="4" t="str" cm="1">
        <f t="array" ref="H1373">INDEX(Sheet1!D:D,$G1373)</f>
        <v>2001-cso-preferred-class-structure-mortality-tables.xls</v>
      </c>
      <c r="I1373" s="4" t="str" cm="1">
        <f t="array" ref="I1373">INDEX(Sheet1!E:E,$G1373)</f>
        <v>A.1.b.ii</v>
      </c>
      <c r="J1373" s="4" t="str" cm="1">
        <f t="array" ref="J1373">IF($C1373&gt;=25,INDEX(Sheet1!G:G,$G1373),INDEX(Sheet1!F:F,$G1373))</f>
        <v>AA8</v>
      </c>
      <c r="K1373" s="4" cm="1">
        <f t="array" ref="K1373">INDEX(Sheet1!H:H,$G1373)</f>
        <v>1E-3</v>
      </c>
      <c r="L1373" s="4">
        <f t="shared" si="84"/>
        <v>15</v>
      </c>
      <c r="M1373" s="4">
        <f t="shared" si="85"/>
        <v>0</v>
      </c>
    </row>
    <row r="1374" spans="1:13">
      <c r="A1374" s="4" t="str" cm="1">
        <f t="array" ref="A1374">INDEX(Sheet1!A:A,$F1374)</f>
        <v>F</v>
      </c>
      <c r="B1374" s="4" t="str" cm="1">
        <f t="array" ref="B1374">INDEX(Sheet1!B:B,$F1374)</f>
        <v>Pref Resid NS</v>
      </c>
      <c r="C1374" s="4">
        <f t="shared" si="86"/>
        <v>41</v>
      </c>
      <c r="D1374" s="5" cm="1">
        <f t="array" aca="1" ref="D1374" ca="1">OFFSET(INDIRECT("'["&amp;$H1374&amp;"]"&amp;$I1374&amp;"'!"&amp;$J1374),$L1374,$M1374)*$K1374</f>
        <v>9.6000000000000002E-4</v>
      </c>
      <c r="F1374" s="4">
        <f t="shared" si="87"/>
        <v>13</v>
      </c>
      <c r="G1374" s="4" cm="1">
        <f t="array" ref="G1374">IF($C1374&gt;=25,F1374,IF($C1374&lt;16,INDEX(Sheet1!C:C,$F1374),$F1374))</f>
        <v>13</v>
      </c>
      <c r="H1374" s="4" t="str" cm="1">
        <f t="array" ref="H1374">INDEX(Sheet1!D:D,$G1374)</f>
        <v>2001-cso-preferred-class-structure-mortality-tables.xls</v>
      </c>
      <c r="I1374" s="4" t="str" cm="1">
        <f t="array" ref="I1374">INDEX(Sheet1!E:E,$G1374)</f>
        <v>A.1.b.ii</v>
      </c>
      <c r="J1374" s="4" t="str" cm="1">
        <f t="array" ref="J1374">IF($C1374&gt;=25,INDEX(Sheet1!G:G,$G1374),INDEX(Sheet1!F:F,$G1374))</f>
        <v>AA8</v>
      </c>
      <c r="K1374" s="4" cm="1">
        <f t="array" ref="K1374">INDEX(Sheet1!H:H,$G1374)</f>
        <v>1E-3</v>
      </c>
      <c r="L1374" s="4">
        <f t="shared" si="84"/>
        <v>16</v>
      </c>
      <c r="M1374" s="4">
        <f t="shared" si="85"/>
        <v>0</v>
      </c>
    </row>
    <row r="1375" spans="1:13">
      <c r="A1375" s="4" t="str" cm="1">
        <f t="array" ref="A1375">INDEX(Sheet1!A:A,$F1375)</f>
        <v>F</v>
      </c>
      <c r="B1375" s="4" t="str" cm="1">
        <f t="array" ref="B1375">INDEX(Sheet1!B:B,$F1375)</f>
        <v>Pref Resid NS</v>
      </c>
      <c r="C1375" s="4">
        <f t="shared" si="86"/>
        <v>42</v>
      </c>
      <c r="D1375" s="5" cm="1">
        <f t="array" aca="1" ref="D1375" ca="1">OFFSET(INDIRECT("'["&amp;$H1375&amp;"]"&amp;$I1375&amp;"'!"&amp;$J1375),$L1375,$M1375)*$K1375</f>
        <v>1.0300000000000001E-3</v>
      </c>
      <c r="F1375" s="4">
        <f t="shared" si="87"/>
        <v>13</v>
      </c>
      <c r="G1375" s="4" cm="1">
        <f t="array" ref="G1375">IF($C1375&gt;=25,F1375,IF($C1375&lt;16,INDEX(Sheet1!C:C,$F1375),$F1375))</f>
        <v>13</v>
      </c>
      <c r="H1375" s="4" t="str" cm="1">
        <f t="array" ref="H1375">INDEX(Sheet1!D:D,$G1375)</f>
        <v>2001-cso-preferred-class-structure-mortality-tables.xls</v>
      </c>
      <c r="I1375" s="4" t="str" cm="1">
        <f t="array" ref="I1375">INDEX(Sheet1!E:E,$G1375)</f>
        <v>A.1.b.ii</v>
      </c>
      <c r="J1375" s="4" t="str" cm="1">
        <f t="array" ref="J1375">IF($C1375&gt;=25,INDEX(Sheet1!G:G,$G1375),INDEX(Sheet1!F:F,$G1375))</f>
        <v>AA8</v>
      </c>
      <c r="K1375" s="4" cm="1">
        <f t="array" ref="K1375">INDEX(Sheet1!H:H,$G1375)</f>
        <v>1E-3</v>
      </c>
      <c r="L1375" s="4">
        <f t="shared" si="84"/>
        <v>17</v>
      </c>
      <c r="M1375" s="4">
        <f t="shared" si="85"/>
        <v>0</v>
      </c>
    </row>
    <row r="1376" spans="1:13">
      <c r="A1376" s="4" t="str" cm="1">
        <f t="array" ref="A1376">INDEX(Sheet1!A:A,$F1376)</f>
        <v>F</v>
      </c>
      <c r="B1376" s="4" t="str" cm="1">
        <f t="array" ref="B1376">INDEX(Sheet1!B:B,$F1376)</f>
        <v>Pref Resid NS</v>
      </c>
      <c r="C1376" s="4">
        <f t="shared" si="86"/>
        <v>43</v>
      </c>
      <c r="D1376" s="5" cm="1">
        <f t="array" aca="1" ref="D1376" ca="1">OFFSET(INDIRECT("'["&amp;$H1376&amp;"]"&amp;$I1376&amp;"'!"&amp;$J1376),$L1376,$M1376)*$K1376</f>
        <v>1.1000000000000001E-3</v>
      </c>
      <c r="F1376" s="4">
        <f t="shared" si="87"/>
        <v>13</v>
      </c>
      <c r="G1376" s="4" cm="1">
        <f t="array" ref="G1376">IF($C1376&gt;=25,F1376,IF($C1376&lt;16,INDEX(Sheet1!C:C,$F1376),$F1376))</f>
        <v>13</v>
      </c>
      <c r="H1376" s="4" t="str" cm="1">
        <f t="array" ref="H1376">INDEX(Sheet1!D:D,$G1376)</f>
        <v>2001-cso-preferred-class-structure-mortality-tables.xls</v>
      </c>
      <c r="I1376" s="4" t="str" cm="1">
        <f t="array" ref="I1376">INDEX(Sheet1!E:E,$G1376)</f>
        <v>A.1.b.ii</v>
      </c>
      <c r="J1376" s="4" t="str" cm="1">
        <f t="array" ref="J1376">IF($C1376&gt;=25,INDEX(Sheet1!G:G,$G1376),INDEX(Sheet1!F:F,$G1376))</f>
        <v>AA8</v>
      </c>
      <c r="K1376" s="4" cm="1">
        <f t="array" ref="K1376">INDEX(Sheet1!H:H,$G1376)</f>
        <v>1E-3</v>
      </c>
      <c r="L1376" s="4">
        <f t="shared" si="84"/>
        <v>18</v>
      </c>
      <c r="M1376" s="4">
        <f t="shared" si="85"/>
        <v>0</v>
      </c>
    </row>
    <row r="1377" spans="1:13">
      <c r="A1377" s="4" t="str" cm="1">
        <f t="array" ref="A1377">INDEX(Sheet1!A:A,$F1377)</f>
        <v>F</v>
      </c>
      <c r="B1377" s="4" t="str" cm="1">
        <f t="array" ref="B1377">INDEX(Sheet1!B:B,$F1377)</f>
        <v>Pref Resid NS</v>
      </c>
      <c r="C1377" s="4">
        <f t="shared" si="86"/>
        <v>44</v>
      </c>
      <c r="D1377" s="5" cm="1">
        <f t="array" aca="1" ref="D1377" ca="1">OFFSET(INDIRECT("'["&amp;$H1377&amp;"]"&amp;$I1377&amp;"'!"&amp;$J1377),$L1377,$M1377)*$K1377</f>
        <v>1.1899999999999999E-3</v>
      </c>
      <c r="F1377" s="4">
        <f t="shared" si="87"/>
        <v>13</v>
      </c>
      <c r="G1377" s="4" cm="1">
        <f t="array" ref="G1377">IF($C1377&gt;=25,F1377,IF($C1377&lt;16,INDEX(Sheet1!C:C,$F1377),$F1377))</f>
        <v>13</v>
      </c>
      <c r="H1377" s="4" t="str" cm="1">
        <f t="array" ref="H1377">INDEX(Sheet1!D:D,$G1377)</f>
        <v>2001-cso-preferred-class-structure-mortality-tables.xls</v>
      </c>
      <c r="I1377" s="4" t="str" cm="1">
        <f t="array" ref="I1377">INDEX(Sheet1!E:E,$G1377)</f>
        <v>A.1.b.ii</v>
      </c>
      <c r="J1377" s="4" t="str" cm="1">
        <f t="array" ref="J1377">IF($C1377&gt;=25,INDEX(Sheet1!G:G,$G1377),INDEX(Sheet1!F:F,$G1377))</f>
        <v>AA8</v>
      </c>
      <c r="K1377" s="4" cm="1">
        <f t="array" ref="K1377">INDEX(Sheet1!H:H,$G1377)</f>
        <v>1E-3</v>
      </c>
      <c r="L1377" s="4">
        <f t="shared" si="84"/>
        <v>19</v>
      </c>
      <c r="M1377" s="4">
        <f t="shared" si="85"/>
        <v>0</v>
      </c>
    </row>
    <row r="1378" spans="1:13">
      <c r="A1378" s="4" t="str" cm="1">
        <f t="array" ref="A1378">INDEX(Sheet1!A:A,$F1378)</f>
        <v>F</v>
      </c>
      <c r="B1378" s="4" t="str" cm="1">
        <f t="array" ref="B1378">INDEX(Sheet1!B:B,$F1378)</f>
        <v>Pref Resid NS</v>
      </c>
      <c r="C1378" s="4">
        <f t="shared" si="86"/>
        <v>45</v>
      </c>
      <c r="D1378" s="5" cm="1">
        <f t="array" aca="1" ref="D1378" ca="1">OFFSET(INDIRECT("'["&amp;$H1378&amp;"]"&amp;$I1378&amp;"'!"&amp;$J1378),$L1378,$M1378)*$K1378</f>
        <v>1.2900000000000001E-3</v>
      </c>
      <c r="F1378" s="4">
        <f t="shared" si="87"/>
        <v>13</v>
      </c>
      <c r="G1378" s="4" cm="1">
        <f t="array" ref="G1378">IF($C1378&gt;=25,F1378,IF($C1378&lt;16,INDEX(Sheet1!C:C,$F1378),$F1378))</f>
        <v>13</v>
      </c>
      <c r="H1378" s="4" t="str" cm="1">
        <f t="array" ref="H1378">INDEX(Sheet1!D:D,$G1378)</f>
        <v>2001-cso-preferred-class-structure-mortality-tables.xls</v>
      </c>
      <c r="I1378" s="4" t="str" cm="1">
        <f t="array" ref="I1378">INDEX(Sheet1!E:E,$G1378)</f>
        <v>A.1.b.ii</v>
      </c>
      <c r="J1378" s="4" t="str" cm="1">
        <f t="array" ref="J1378">IF($C1378&gt;=25,INDEX(Sheet1!G:G,$G1378),INDEX(Sheet1!F:F,$G1378))</f>
        <v>AA8</v>
      </c>
      <c r="K1378" s="4" cm="1">
        <f t="array" ref="K1378">INDEX(Sheet1!H:H,$G1378)</f>
        <v>1E-3</v>
      </c>
      <c r="L1378" s="4">
        <f t="shared" si="84"/>
        <v>20</v>
      </c>
      <c r="M1378" s="4">
        <f t="shared" si="85"/>
        <v>0</v>
      </c>
    </row>
    <row r="1379" spans="1:13">
      <c r="A1379" s="4" t="str" cm="1">
        <f t="array" ref="A1379">INDEX(Sheet1!A:A,$F1379)</f>
        <v>F</v>
      </c>
      <c r="B1379" s="4" t="str" cm="1">
        <f t="array" ref="B1379">INDEX(Sheet1!B:B,$F1379)</f>
        <v>Pref Resid NS</v>
      </c>
      <c r="C1379" s="4">
        <f t="shared" si="86"/>
        <v>46</v>
      </c>
      <c r="D1379" s="5" cm="1">
        <f t="array" aca="1" ref="D1379" ca="1">OFFSET(INDIRECT("'["&amp;$H1379&amp;"]"&amp;$I1379&amp;"'!"&amp;$J1379),$L1379,$M1379)*$K1379</f>
        <v>1.42E-3</v>
      </c>
      <c r="F1379" s="4">
        <f t="shared" si="87"/>
        <v>13</v>
      </c>
      <c r="G1379" s="4" cm="1">
        <f t="array" ref="G1379">IF($C1379&gt;=25,F1379,IF($C1379&lt;16,INDEX(Sheet1!C:C,$F1379),$F1379))</f>
        <v>13</v>
      </c>
      <c r="H1379" s="4" t="str" cm="1">
        <f t="array" ref="H1379">INDEX(Sheet1!D:D,$G1379)</f>
        <v>2001-cso-preferred-class-structure-mortality-tables.xls</v>
      </c>
      <c r="I1379" s="4" t="str" cm="1">
        <f t="array" ref="I1379">INDEX(Sheet1!E:E,$G1379)</f>
        <v>A.1.b.ii</v>
      </c>
      <c r="J1379" s="4" t="str" cm="1">
        <f t="array" ref="J1379">IF($C1379&gt;=25,INDEX(Sheet1!G:G,$G1379),INDEX(Sheet1!F:F,$G1379))</f>
        <v>AA8</v>
      </c>
      <c r="K1379" s="4" cm="1">
        <f t="array" ref="K1379">INDEX(Sheet1!H:H,$G1379)</f>
        <v>1E-3</v>
      </c>
      <c r="L1379" s="4">
        <f t="shared" si="84"/>
        <v>21</v>
      </c>
      <c r="M1379" s="4">
        <f t="shared" si="85"/>
        <v>0</v>
      </c>
    </row>
    <row r="1380" spans="1:13">
      <c r="A1380" s="4" t="str" cm="1">
        <f t="array" ref="A1380">INDEX(Sheet1!A:A,$F1380)</f>
        <v>F</v>
      </c>
      <c r="B1380" s="4" t="str" cm="1">
        <f t="array" ref="B1380">INDEX(Sheet1!B:B,$F1380)</f>
        <v>Pref Resid NS</v>
      </c>
      <c r="C1380" s="4">
        <f t="shared" si="86"/>
        <v>47</v>
      </c>
      <c r="D1380" s="5" cm="1">
        <f t="array" aca="1" ref="D1380" ca="1">OFFSET(INDIRECT("'["&amp;$H1380&amp;"]"&amp;$I1380&amp;"'!"&amp;$J1380),$L1380,$M1380)*$K1380</f>
        <v>1.5600000000000002E-3</v>
      </c>
      <c r="F1380" s="4">
        <f t="shared" si="87"/>
        <v>13</v>
      </c>
      <c r="G1380" s="4" cm="1">
        <f t="array" ref="G1380">IF($C1380&gt;=25,F1380,IF($C1380&lt;16,INDEX(Sheet1!C:C,$F1380),$F1380))</f>
        <v>13</v>
      </c>
      <c r="H1380" s="4" t="str" cm="1">
        <f t="array" ref="H1380">INDEX(Sheet1!D:D,$G1380)</f>
        <v>2001-cso-preferred-class-structure-mortality-tables.xls</v>
      </c>
      <c r="I1380" s="4" t="str" cm="1">
        <f t="array" ref="I1380">INDEX(Sheet1!E:E,$G1380)</f>
        <v>A.1.b.ii</v>
      </c>
      <c r="J1380" s="4" t="str" cm="1">
        <f t="array" ref="J1380">IF($C1380&gt;=25,INDEX(Sheet1!G:G,$G1380),INDEX(Sheet1!F:F,$G1380))</f>
        <v>AA8</v>
      </c>
      <c r="K1380" s="4" cm="1">
        <f t="array" ref="K1380">INDEX(Sheet1!H:H,$G1380)</f>
        <v>1E-3</v>
      </c>
      <c r="L1380" s="4">
        <f t="shared" si="84"/>
        <v>22</v>
      </c>
      <c r="M1380" s="4">
        <f t="shared" si="85"/>
        <v>0</v>
      </c>
    </row>
    <row r="1381" spans="1:13">
      <c r="A1381" s="4" t="str" cm="1">
        <f t="array" ref="A1381">INDEX(Sheet1!A:A,$F1381)</f>
        <v>F</v>
      </c>
      <c r="B1381" s="4" t="str" cm="1">
        <f t="array" ref="B1381">INDEX(Sheet1!B:B,$F1381)</f>
        <v>Pref Resid NS</v>
      </c>
      <c r="C1381" s="4">
        <f t="shared" si="86"/>
        <v>48</v>
      </c>
      <c r="D1381" s="5" cm="1">
        <f t="array" aca="1" ref="D1381" ca="1">OFFSET(INDIRECT("'["&amp;$H1381&amp;"]"&amp;$I1381&amp;"'!"&amp;$J1381),$L1381,$M1381)*$K1381</f>
        <v>1.75E-3</v>
      </c>
      <c r="F1381" s="4">
        <f t="shared" si="87"/>
        <v>13</v>
      </c>
      <c r="G1381" s="4" cm="1">
        <f t="array" ref="G1381">IF($C1381&gt;=25,F1381,IF($C1381&lt;16,INDEX(Sheet1!C:C,$F1381),$F1381))</f>
        <v>13</v>
      </c>
      <c r="H1381" s="4" t="str" cm="1">
        <f t="array" ref="H1381">INDEX(Sheet1!D:D,$G1381)</f>
        <v>2001-cso-preferred-class-structure-mortality-tables.xls</v>
      </c>
      <c r="I1381" s="4" t="str" cm="1">
        <f t="array" ref="I1381">INDEX(Sheet1!E:E,$G1381)</f>
        <v>A.1.b.ii</v>
      </c>
      <c r="J1381" s="4" t="str" cm="1">
        <f t="array" ref="J1381">IF($C1381&gt;=25,INDEX(Sheet1!G:G,$G1381),INDEX(Sheet1!F:F,$G1381))</f>
        <v>AA8</v>
      </c>
      <c r="K1381" s="4" cm="1">
        <f t="array" ref="K1381">INDEX(Sheet1!H:H,$G1381)</f>
        <v>1E-3</v>
      </c>
      <c r="L1381" s="4">
        <f t="shared" si="84"/>
        <v>23</v>
      </c>
      <c r="M1381" s="4">
        <f t="shared" si="85"/>
        <v>0</v>
      </c>
    </row>
    <row r="1382" spans="1:13">
      <c r="A1382" s="4" t="str" cm="1">
        <f t="array" ref="A1382">INDEX(Sheet1!A:A,$F1382)</f>
        <v>F</v>
      </c>
      <c r="B1382" s="4" t="str" cm="1">
        <f t="array" ref="B1382">INDEX(Sheet1!B:B,$F1382)</f>
        <v>Pref Resid NS</v>
      </c>
      <c r="C1382" s="4">
        <f t="shared" si="86"/>
        <v>49</v>
      </c>
      <c r="D1382" s="5" cm="1">
        <f t="array" aca="1" ref="D1382" ca="1">OFFSET(INDIRECT("'["&amp;$H1382&amp;"]"&amp;$I1382&amp;"'!"&amp;$J1382),$L1382,$M1382)*$K1382</f>
        <v>1.9300000000000001E-3</v>
      </c>
      <c r="F1382" s="4">
        <f t="shared" si="87"/>
        <v>13</v>
      </c>
      <c r="G1382" s="4" cm="1">
        <f t="array" ref="G1382">IF($C1382&gt;=25,F1382,IF($C1382&lt;16,INDEX(Sheet1!C:C,$F1382),$F1382))</f>
        <v>13</v>
      </c>
      <c r="H1382" s="4" t="str" cm="1">
        <f t="array" ref="H1382">INDEX(Sheet1!D:D,$G1382)</f>
        <v>2001-cso-preferred-class-structure-mortality-tables.xls</v>
      </c>
      <c r="I1382" s="4" t="str" cm="1">
        <f t="array" ref="I1382">INDEX(Sheet1!E:E,$G1382)</f>
        <v>A.1.b.ii</v>
      </c>
      <c r="J1382" s="4" t="str" cm="1">
        <f t="array" ref="J1382">IF($C1382&gt;=25,INDEX(Sheet1!G:G,$G1382),INDEX(Sheet1!F:F,$G1382))</f>
        <v>AA8</v>
      </c>
      <c r="K1382" s="4" cm="1">
        <f t="array" ref="K1382">INDEX(Sheet1!H:H,$G1382)</f>
        <v>1E-3</v>
      </c>
      <c r="L1382" s="4">
        <f t="shared" si="84"/>
        <v>24</v>
      </c>
      <c r="M1382" s="4">
        <f t="shared" si="85"/>
        <v>0</v>
      </c>
    </row>
    <row r="1383" spans="1:13">
      <c r="A1383" s="4" t="str" cm="1">
        <f t="array" ref="A1383">INDEX(Sheet1!A:A,$F1383)</f>
        <v>F</v>
      </c>
      <c r="B1383" s="4" t="str" cm="1">
        <f t="array" ref="B1383">INDEX(Sheet1!B:B,$F1383)</f>
        <v>Pref Resid NS</v>
      </c>
      <c r="C1383" s="4">
        <f t="shared" si="86"/>
        <v>50</v>
      </c>
      <c r="D1383" s="5" cm="1">
        <f t="array" aca="1" ref="D1383" ca="1">OFFSET(INDIRECT("'["&amp;$H1383&amp;"]"&amp;$I1383&amp;"'!"&amp;$J1383),$L1383,$M1383)*$K1383</f>
        <v>2.15E-3</v>
      </c>
      <c r="F1383" s="4">
        <f t="shared" si="87"/>
        <v>13</v>
      </c>
      <c r="G1383" s="4" cm="1">
        <f t="array" ref="G1383">IF($C1383&gt;=25,F1383,IF($C1383&lt;16,INDEX(Sheet1!C:C,$F1383),$F1383))</f>
        <v>13</v>
      </c>
      <c r="H1383" s="4" t="str" cm="1">
        <f t="array" ref="H1383">INDEX(Sheet1!D:D,$G1383)</f>
        <v>2001-cso-preferred-class-structure-mortality-tables.xls</v>
      </c>
      <c r="I1383" s="4" t="str" cm="1">
        <f t="array" ref="I1383">INDEX(Sheet1!E:E,$G1383)</f>
        <v>A.1.b.ii</v>
      </c>
      <c r="J1383" s="4" t="str" cm="1">
        <f t="array" ref="J1383">IF($C1383&gt;=25,INDEX(Sheet1!G:G,$G1383),INDEX(Sheet1!F:F,$G1383))</f>
        <v>AA8</v>
      </c>
      <c r="K1383" s="4" cm="1">
        <f t="array" ref="K1383">INDEX(Sheet1!H:H,$G1383)</f>
        <v>1E-3</v>
      </c>
      <c r="L1383" s="4">
        <f t="shared" si="84"/>
        <v>25</v>
      </c>
      <c r="M1383" s="4">
        <f t="shared" si="85"/>
        <v>0</v>
      </c>
    </row>
    <row r="1384" spans="1:13">
      <c r="A1384" s="4" t="str" cm="1">
        <f t="array" ref="A1384">INDEX(Sheet1!A:A,$F1384)</f>
        <v>F</v>
      </c>
      <c r="B1384" s="4" t="str" cm="1">
        <f t="array" ref="B1384">INDEX(Sheet1!B:B,$F1384)</f>
        <v>Pref Resid NS</v>
      </c>
      <c r="C1384" s="4">
        <f t="shared" si="86"/>
        <v>51</v>
      </c>
      <c r="D1384" s="5" cm="1">
        <f t="array" aca="1" ref="D1384" ca="1">OFFSET(INDIRECT("'["&amp;$H1384&amp;"]"&amp;$I1384&amp;"'!"&amp;$J1384),$L1384,$M1384)*$K1384</f>
        <v>2.3799999999999997E-3</v>
      </c>
      <c r="F1384" s="4">
        <f t="shared" si="87"/>
        <v>13</v>
      </c>
      <c r="G1384" s="4" cm="1">
        <f t="array" ref="G1384">IF($C1384&gt;=25,F1384,IF($C1384&lt;16,INDEX(Sheet1!C:C,$F1384),$F1384))</f>
        <v>13</v>
      </c>
      <c r="H1384" s="4" t="str" cm="1">
        <f t="array" ref="H1384">INDEX(Sheet1!D:D,$G1384)</f>
        <v>2001-cso-preferred-class-structure-mortality-tables.xls</v>
      </c>
      <c r="I1384" s="4" t="str" cm="1">
        <f t="array" ref="I1384">INDEX(Sheet1!E:E,$G1384)</f>
        <v>A.1.b.ii</v>
      </c>
      <c r="J1384" s="4" t="str" cm="1">
        <f t="array" ref="J1384">IF($C1384&gt;=25,INDEX(Sheet1!G:G,$G1384),INDEX(Sheet1!F:F,$G1384))</f>
        <v>AA8</v>
      </c>
      <c r="K1384" s="4" cm="1">
        <f t="array" ref="K1384">INDEX(Sheet1!H:H,$G1384)</f>
        <v>1E-3</v>
      </c>
      <c r="L1384" s="4">
        <f t="shared" si="84"/>
        <v>26</v>
      </c>
      <c r="M1384" s="4">
        <f t="shared" si="85"/>
        <v>0</v>
      </c>
    </row>
    <row r="1385" spans="1:13">
      <c r="A1385" s="4" t="str" cm="1">
        <f t="array" ref="A1385">INDEX(Sheet1!A:A,$F1385)</f>
        <v>F</v>
      </c>
      <c r="B1385" s="4" t="str" cm="1">
        <f t="array" ref="B1385">INDEX(Sheet1!B:B,$F1385)</f>
        <v>Pref Resid NS</v>
      </c>
      <c r="C1385" s="4">
        <f t="shared" si="86"/>
        <v>52</v>
      </c>
      <c r="D1385" s="5" cm="1">
        <f t="array" aca="1" ref="D1385" ca="1">OFFSET(INDIRECT("'["&amp;$H1385&amp;"]"&amp;$I1385&amp;"'!"&amp;$J1385),$L1385,$M1385)*$K1385</f>
        <v>2.6800000000000001E-3</v>
      </c>
      <c r="F1385" s="4">
        <f t="shared" si="87"/>
        <v>13</v>
      </c>
      <c r="G1385" s="4" cm="1">
        <f t="array" ref="G1385">IF($C1385&gt;=25,F1385,IF($C1385&lt;16,INDEX(Sheet1!C:C,$F1385),$F1385))</f>
        <v>13</v>
      </c>
      <c r="H1385" s="4" t="str" cm="1">
        <f t="array" ref="H1385">INDEX(Sheet1!D:D,$G1385)</f>
        <v>2001-cso-preferred-class-structure-mortality-tables.xls</v>
      </c>
      <c r="I1385" s="4" t="str" cm="1">
        <f t="array" ref="I1385">INDEX(Sheet1!E:E,$G1385)</f>
        <v>A.1.b.ii</v>
      </c>
      <c r="J1385" s="4" t="str" cm="1">
        <f t="array" ref="J1385">IF($C1385&gt;=25,INDEX(Sheet1!G:G,$G1385),INDEX(Sheet1!F:F,$G1385))</f>
        <v>AA8</v>
      </c>
      <c r="K1385" s="4" cm="1">
        <f t="array" ref="K1385">INDEX(Sheet1!H:H,$G1385)</f>
        <v>1E-3</v>
      </c>
      <c r="L1385" s="4">
        <f t="shared" si="84"/>
        <v>27</v>
      </c>
      <c r="M1385" s="4">
        <f t="shared" si="85"/>
        <v>0</v>
      </c>
    </row>
    <row r="1386" spans="1:13">
      <c r="A1386" s="4" t="str" cm="1">
        <f t="array" ref="A1386">INDEX(Sheet1!A:A,$F1386)</f>
        <v>F</v>
      </c>
      <c r="B1386" s="4" t="str" cm="1">
        <f t="array" ref="B1386">INDEX(Sheet1!B:B,$F1386)</f>
        <v>Pref Resid NS</v>
      </c>
      <c r="C1386" s="4">
        <f t="shared" si="86"/>
        <v>53</v>
      </c>
      <c r="D1386" s="5" cm="1">
        <f t="array" aca="1" ref="D1386" ca="1">OFFSET(INDIRECT("'["&amp;$H1386&amp;"]"&amp;$I1386&amp;"'!"&amp;$J1386),$L1386,$M1386)*$K1386</f>
        <v>2.9900000000000005E-3</v>
      </c>
      <c r="F1386" s="4">
        <f t="shared" si="87"/>
        <v>13</v>
      </c>
      <c r="G1386" s="4" cm="1">
        <f t="array" ref="G1386">IF($C1386&gt;=25,F1386,IF($C1386&lt;16,INDEX(Sheet1!C:C,$F1386),$F1386))</f>
        <v>13</v>
      </c>
      <c r="H1386" s="4" t="str" cm="1">
        <f t="array" ref="H1386">INDEX(Sheet1!D:D,$G1386)</f>
        <v>2001-cso-preferred-class-structure-mortality-tables.xls</v>
      </c>
      <c r="I1386" s="4" t="str" cm="1">
        <f t="array" ref="I1386">INDEX(Sheet1!E:E,$G1386)</f>
        <v>A.1.b.ii</v>
      </c>
      <c r="J1386" s="4" t="str" cm="1">
        <f t="array" ref="J1386">IF($C1386&gt;=25,INDEX(Sheet1!G:G,$G1386),INDEX(Sheet1!F:F,$G1386))</f>
        <v>AA8</v>
      </c>
      <c r="K1386" s="4" cm="1">
        <f t="array" ref="K1386">INDEX(Sheet1!H:H,$G1386)</f>
        <v>1E-3</v>
      </c>
      <c r="L1386" s="4">
        <f t="shared" si="84"/>
        <v>28</v>
      </c>
      <c r="M1386" s="4">
        <f t="shared" si="85"/>
        <v>0</v>
      </c>
    </row>
    <row r="1387" spans="1:13">
      <c r="A1387" s="4" t="str" cm="1">
        <f t="array" ref="A1387">INDEX(Sheet1!A:A,$F1387)</f>
        <v>F</v>
      </c>
      <c r="B1387" s="4" t="str" cm="1">
        <f t="array" ref="B1387">INDEX(Sheet1!B:B,$F1387)</f>
        <v>Pref Resid NS</v>
      </c>
      <c r="C1387" s="4">
        <f t="shared" si="86"/>
        <v>54</v>
      </c>
      <c r="D1387" s="5" cm="1">
        <f t="array" aca="1" ref="D1387" ca="1">OFFSET(INDIRECT("'["&amp;$H1387&amp;"]"&amp;$I1387&amp;"'!"&amp;$J1387),$L1387,$M1387)*$K1387</f>
        <v>3.3300000000000001E-3</v>
      </c>
      <c r="F1387" s="4">
        <f t="shared" si="87"/>
        <v>13</v>
      </c>
      <c r="G1387" s="4" cm="1">
        <f t="array" ref="G1387">IF($C1387&gt;=25,F1387,IF($C1387&lt;16,INDEX(Sheet1!C:C,$F1387),$F1387))</f>
        <v>13</v>
      </c>
      <c r="H1387" s="4" t="str" cm="1">
        <f t="array" ref="H1387">INDEX(Sheet1!D:D,$G1387)</f>
        <v>2001-cso-preferred-class-structure-mortality-tables.xls</v>
      </c>
      <c r="I1387" s="4" t="str" cm="1">
        <f t="array" ref="I1387">INDEX(Sheet1!E:E,$G1387)</f>
        <v>A.1.b.ii</v>
      </c>
      <c r="J1387" s="4" t="str" cm="1">
        <f t="array" ref="J1387">IF($C1387&gt;=25,INDEX(Sheet1!G:G,$G1387),INDEX(Sheet1!F:F,$G1387))</f>
        <v>AA8</v>
      </c>
      <c r="K1387" s="4" cm="1">
        <f t="array" ref="K1387">INDEX(Sheet1!H:H,$G1387)</f>
        <v>1E-3</v>
      </c>
      <c r="L1387" s="4">
        <f t="shared" si="84"/>
        <v>29</v>
      </c>
      <c r="M1387" s="4">
        <f t="shared" si="85"/>
        <v>0</v>
      </c>
    </row>
    <row r="1388" spans="1:13">
      <c r="A1388" s="4" t="str" cm="1">
        <f t="array" ref="A1388">INDEX(Sheet1!A:A,$F1388)</f>
        <v>F</v>
      </c>
      <c r="B1388" s="4" t="str" cm="1">
        <f t="array" ref="B1388">INDEX(Sheet1!B:B,$F1388)</f>
        <v>Pref Resid NS</v>
      </c>
      <c r="C1388" s="4">
        <f t="shared" si="86"/>
        <v>55</v>
      </c>
      <c r="D1388" s="5" cm="1">
        <f t="array" aca="1" ref="D1388" ca="1">OFFSET(INDIRECT("'["&amp;$H1388&amp;"]"&amp;$I1388&amp;"'!"&amp;$J1388),$L1388,$M1388)*$K1388</f>
        <v>3.7000000000000002E-3</v>
      </c>
      <c r="F1388" s="4">
        <f t="shared" si="87"/>
        <v>13</v>
      </c>
      <c r="G1388" s="4" cm="1">
        <f t="array" ref="G1388">IF($C1388&gt;=25,F1388,IF($C1388&lt;16,INDEX(Sheet1!C:C,$F1388),$F1388))</f>
        <v>13</v>
      </c>
      <c r="H1388" s="4" t="str" cm="1">
        <f t="array" ref="H1388">INDEX(Sheet1!D:D,$G1388)</f>
        <v>2001-cso-preferred-class-structure-mortality-tables.xls</v>
      </c>
      <c r="I1388" s="4" t="str" cm="1">
        <f t="array" ref="I1388">INDEX(Sheet1!E:E,$G1388)</f>
        <v>A.1.b.ii</v>
      </c>
      <c r="J1388" s="4" t="str" cm="1">
        <f t="array" ref="J1388">IF($C1388&gt;=25,INDEX(Sheet1!G:G,$G1388),INDEX(Sheet1!F:F,$G1388))</f>
        <v>AA8</v>
      </c>
      <c r="K1388" s="4" cm="1">
        <f t="array" ref="K1388">INDEX(Sheet1!H:H,$G1388)</f>
        <v>1E-3</v>
      </c>
      <c r="L1388" s="4">
        <f t="shared" si="84"/>
        <v>30</v>
      </c>
      <c r="M1388" s="4">
        <f t="shared" si="85"/>
        <v>0</v>
      </c>
    </row>
    <row r="1389" spans="1:13">
      <c r="A1389" s="4" t="str" cm="1">
        <f t="array" ref="A1389">INDEX(Sheet1!A:A,$F1389)</f>
        <v>F</v>
      </c>
      <c r="B1389" s="4" t="str" cm="1">
        <f t="array" ref="B1389">INDEX(Sheet1!B:B,$F1389)</f>
        <v>Pref Resid NS</v>
      </c>
      <c r="C1389" s="4">
        <f t="shared" si="86"/>
        <v>56</v>
      </c>
      <c r="D1389" s="5" cm="1">
        <f t="array" aca="1" ref="D1389" ca="1">OFFSET(INDIRECT("'["&amp;$H1389&amp;"]"&amp;$I1389&amp;"'!"&amp;$J1389),$L1389,$M1389)*$K1389</f>
        <v>4.13E-3</v>
      </c>
      <c r="F1389" s="4">
        <f t="shared" si="87"/>
        <v>13</v>
      </c>
      <c r="G1389" s="4" cm="1">
        <f t="array" ref="G1389">IF($C1389&gt;=25,F1389,IF($C1389&lt;16,INDEX(Sheet1!C:C,$F1389),$F1389))</f>
        <v>13</v>
      </c>
      <c r="H1389" s="4" t="str" cm="1">
        <f t="array" ref="H1389">INDEX(Sheet1!D:D,$G1389)</f>
        <v>2001-cso-preferred-class-structure-mortality-tables.xls</v>
      </c>
      <c r="I1389" s="4" t="str" cm="1">
        <f t="array" ref="I1389">INDEX(Sheet1!E:E,$G1389)</f>
        <v>A.1.b.ii</v>
      </c>
      <c r="J1389" s="4" t="str" cm="1">
        <f t="array" ref="J1389">IF($C1389&gt;=25,INDEX(Sheet1!G:G,$G1389),INDEX(Sheet1!F:F,$G1389))</f>
        <v>AA8</v>
      </c>
      <c r="K1389" s="4" cm="1">
        <f t="array" ref="K1389">INDEX(Sheet1!H:H,$G1389)</f>
        <v>1E-3</v>
      </c>
      <c r="L1389" s="4">
        <f t="shared" si="84"/>
        <v>31</v>
      </c>
      <c r="M1389" s="4">
        <f t="shared" si="85"/>
        <v>0</v>
      </c>
    </row>
    <row r="1390" spans="1:13">
      <c r="A1390" s="4" t="str" cm="1">
        <f t="array" ref="A1390">INDEX(Sheet1!A:A,$F1390)</f>
        <v>F</v>
      </c>
      <c r="B1390" s="4" t="str" cm="1">
        <f t="array" ref="B1390">INDEX(Sheet1!B:B,$F1390)</f>
        <v>Pref Resid NS</v>
      </c>
      <c r="C1390" s="4">
        <f t="shared" si="86"/>
        <v>57</v>
      </c>
      <c r="D1390" s="5" cm="1">
        <f t="array" aca="1" ref="D1390" ca="1">OFFSET(INDIRECT("'["&amp;$H1390&amp;"]"&amp;$I1390&amp;"'!"&amp;$J1390),$L1390,$M1390)*$K1390</f>
        <v>4.5900000000000003E-3</v>
      </c>
      <c r="F1390" s="4">
        <f t="shared" si="87"/>
        <v>13</v>
      </c>
      <c r="G1390" s="4" cm="1">
        <f t="array" ref="G1390">IF($C1390&gt;=25,F1390,IF($C1390&lt;16,INDEX(Sheet1!C:C,$F1390),$F1390))</f>
        <v>13</v>
      </c>
      <c r="H1390" s="4" t="str" cm="1">
        <f t="array" ref="H1390">INDEX(Sheet1!D:D,$G1390)</f>
        <v>2001-cso-preferred-class-structure-mortality-tables.xls</v>
      </c>
      <c r="I1390" s="4" t="str" cm="1">
        <f t="array" ref="I1390">INDEX(Sheet1!E:E,$G1390)</f>
        <v>A.1.b.ii</v>
      </c>
      <c r="J1390" s="4" t="str" cm="1">
        <f t="array" ref="J1390">IF($C1390&gt;=25,INDEX(Sheet1!G:G,$G1390),INDEX(Sheet1!F:F,$G1390))</f>
        <v>AA8</v>
      </c>
      <c r="K1390" s="4" cm="1">
        <f t="array" ref="K1390">INDEX(Sheet1!H:H,$G1390)</f>
        <v>1E-3</v>
      </c>
      <c r="L1390" s="4">
        <f t="shared" si="84"/>
        <v>32</v>
      </c>
      <c r="M1390" s="4">
        <f t="shared" si="85"/>
        <v>0</v>
      </c>
    </row>
    <row r="1391" spans="1:13">
      <c r="A1391" s="4" t="str" cm="1">
        <f t="array" ref="A1391">INDEX(Sheet1!A:A,$F1391)</f>
        <v>F</v>
      </c>
      <c r="B1391" s="4" t="str" cm="1">
        <f t="array" ref="B1391">INDEX(Sheet1!B:B,$F1391)</f>
        <v>Pref Resid NS</v>
      </c>
      <c r="C1391" s="4">
        <f t="shared" si="86"/>
        <v>58</v>
      </c>
      <c r="D1391" s="5" cm="1">
        <f t="array" aca="1" ref="D1391" ca="1">OFFSET(INDIRECT("'["&amp;$H1391&amp;"]"&amp;$I1391&amp;"'!"&amp;$J1391),$L1391,$M1391)*$K1391</f>
        <v>5.0899999999999999E-3</v>
      </c>
      <c r="F1391" s="4">
        <f t="shared" si="87"/>
        <v>13</v>
      </c>
      <c r="G1391" s="4" cm="1">
        <f t="array" ref="G1391">IF($C1391&gt;=25,F1391,IF($C1391&lt;16,INDEX(Sheet1!C:C,$F1391),$F1391))</f>
        <v>13</v>
      </c>
      <c r="H1391" s="4" t="str" cm="1">
        <f t="array" ref="H1391">INDEX(Sheet1!D:D,$G1391)</f>
        <v>2001-cso-preferred-class-structure-mortality-tables.xls</v>
      </c>
      <c r="I1391" s="4" t="str" cm="1">
        <f t="array" ref="I1391">INDEX(Sheet1!E:E,$G1391)</f>
        <v>A.1.b.ii</v>
      </c>
      <c r="J1391" s="4" t="str" cm="1">
        <f t="array" ref="J1391">IF($C1391&gt;=25,INDEX(Sheet1!G:G,$G1391),INDEX(Sheet1!F:F,$G1391))</f>
        <v>AA8</v>
      </c>
      <c r="K1391" s="4" cm="1">
        <f t="array" ref="K1391">INDEX(Sheet1!H:H,$G1391)</f>
        <v>1E-3</v>
      </c>
      <c r="L1391" s="4">
        <f t="shared" si="84"/>
        <v>33</v>
      </c>
      <c r="M1391" s="4">
        <f t="shared" si="85"/>
        <v>0</v>
      </c>
    </row>
    <row r="1392" spans="1:13">
      <c r="A1392" s="4" t="str" cm="1">
        <f t="array" ref="A1392">INDEX(Sheet1!A:A,$F1392)</f>
        <v>F</v>
      </c>
      <c r="B1392" s="4" t="str" cm="1">
        <f t="array" ref="B1392">INDEX(Sheet1!B:B,$F1392)</f>
        <v>Pref Resid NS</v>
      </c>
      <c r="C1392" s="4">
        <f t="shared" si="86"/>
        <v>59</v>
      </c>
      <c r="D1392" s="5" cm="1">
        <f t="array" aca="1" ref="D1392" ca="1">OFFSET(INDIRECT("'["&amp;$H1392&amp;"]"&amp;$I1392&amp;"'!"&amp;$J1392),$L1392,$M1392)*$K1392</f>
        <v>5.5999999999999999E-3</v>
      </c>
      <c r="F1392" s="4">
        <f t="shared" si="87"/>
        <v>13</v>
      </c>
      <c r="G1392" s="4" cm="1">
        <f t="array" ref="G1392">IF($C1392&gt;=25,F1392,IF($C1392&lt;16,INDEX(Sheet1!C:C,$F1392),$F1392))</f>
        <v>13</v>
      </c>
      <c r="H1392" s="4" t="str" cm="1">
        <f t="array" ref="H1392">INDEX(Sheet1!D:D,$G1392)</f>
        <v>2001-cso-preferred-class-structure-mortality-tables.xls</v>
      </c>
      <c r="I1392" s="4" t="str" cm="1">
        <f t="array" ref="I1392">INDEX(Sheet1!E:E,$G1392)</f>
        <v>A.1.b.ii</v>
      </c>
      <c r="J1392" s="4" t="str" cm="1">
        <f t="array" ref="J1392">IF($C1392&gt;=25,INDEX(Sheet1!G:G,$G1392),INDEX(Sheet1!F:F,$G1392))</f>
        <v>AA8</v>
      </c>
      <c r="K1392" s="4" cm="1">
        <f t="array" ref="K1392">INDEX(Sheet1!H:H,$G1392)</f>
        <v>1E-3</v>
      </c>
      <c r="L1392" s="4">
        <f t="shared" si="84"/>
        <v>34</v>
      </c>
      <c r="M1392" s="4">
        <f t="shared" si="85"/>
        <v>0</v>
      </c>
    </row>
    <row r="1393" spans="1:13">
      <c r="A1393" s="4" t="str" cm="1">
        <f t="array" ref="A1393">INDEX(Sheet1!A:A,$F1393)</f>
        <v>F</v>
      </c>
      <c r="B1393" s="4" t="str" cm="1">
        <f t="array" ref="B1393">INDEX(Sheet1!B:B,$F1393)</f>
        <v>Pref Resid NS</v>
      </c>
      <c r="C1393" s="4">
        <f t="shared" si="86"/>
        <v>60</v>
      </c>
      <c r="D1393" s="5" cm="1">
        <f t="array" aca="1" ref="D1393" ca="1">OFFSET(INDIRECT("'["&amp;$H1393&amp;"]"&amp;$I1393&amp;"'!"&amp;$J1393),$L1393,$M1393)*$K1393</f>
        <v>6.0800000000000003E-3</v>
      </c>
      <c r="F1393" s="4">
        <f t="shared" si="87"/>
        <v>13</v>
      </c>
      <c r="G1393" s="4" cm="1">
        <f t="array" ref="G1393">IF($C1393&gt;=25,F1393,IF($C1393&lt;16,INDEX(Sheet1!C:C,$F1393),$F1393))</f>
        <v>13</v>
      </c>
      <c r="H1393" s="4" t="str" cm="1">
        <f t="array" ref="H1393">INDEX(Sheet1!D:D,$G1393)</f>
        <v>2001-cso-preferred-class-structure-mortality-tables.xls</v>
      </c>
      <c r="I1393" s="4" t="str" cm="1">
        <f t="array" ref="I1393">INDEX(Sheet1!E:E,$G1393)</f>
        <v>A.1.b.ii</v>
      </c>
      <c r="J1393" s="4" t="str" cm="1">
        <f t="array" ref="J1393">IF($C1393&gt;=25,INDEX(Sheet1!G:G,$G1393),INDEX(Sheet1!F:F,$G1393))</f>
        <v>AA8</v>
      </c>
      <c r="K1393" s="4" cm="1">
        <f t="array" ref="K1393">INDEX(Sheet1!H:H,$G1393)</f>
        <v>1E-3</v>
      </c>
      <c r="L1393" s="4">
        <f t="shared" si="84"/>
        <v>35</v>
      </c>
      <c r="M1393" s="4">
        <f t="shared" si="85"/>
        <v>0</v>
      </c>
    </row>
    <row r="1394" spans="1:13">
      <c r="A1394" s="4" t="str" cm="1">
        <f t="array" ref="A1394">INDEX(Sheet1!A:A,$F1394)</f>
        <v>F</v>
      </c>
      <c r="B1394" s="4" t="str" cm="1">
        <f t="array" ref="B1394">INDEX(Sheet1!B:B,$F1394)</f>
        <v>Pref Resid NS</v>
      </c>
      <c r="C1394" s="4">
        <f t="shared" si="86"/>
        <v>61</v>
      </c>
      <c r="D1394" s="5" cm="1">
        <f t="array" aca="1" ref="D1394" ca="1">OFFSET(INDIRECT("'["&amp;$H1394&amp;"]"&amp;$I1394&amp;"'!"&amp;$J1394),$L1394,$M1394)*$K1394</f>
        <v>6.5900000000000004E-3</v>
      </c>
      <c r="F1394" s="4">
        <f t="shared" si="87"/>
        <v>13</v>
      </c>
      <c r="G1394" s="4" cm="1">
        <f t="array" ref="G1394">IF($C1394&gt;=25,F1394,IF($C1394&lt;16,INDEX(Sheet1!C:C,$F1394),$F1394))</f>
        <v>13</v>
      </c>
      <c r="H1394" s="4" t="str" cm="1">
        <f t="array" ref="H1394">INDEX(Sheet1!D:D,$G1394)</f>
        <v>2001-cso-preferred-class-structure-mortality-tables.xls</v>
      </c>
      <c r="I1394" s="4" t="str" cm="1">
        <f t="array" ref="I1394">INDEX(Sheet1!E:E,$G1394)</f>
        <v>A.1.b.ii</v>
      </c>
      <c r="J1394" s="4" t="str" cm="1">
        <f t="array" ref="J1394">IF($C1394&gt;=25,INDEX(Sheet1!G:G,$G1394),INDEX(Sheet1!F:F,$G1394))</f>
        <v>AA8</v>
      </c>
      <c r="K1394" s="4" cm="1">
        <f t="array" ref="K1394">INDEX(Sheet1!H:H,$G1394)</f>
        <v>1E-3</v>
      </c>
      <c r="L1394" s="4">
        <f t="shared" si="84"/>
        <v>36</v>
      </c>
      <c r="M1394" s="4">
        <f t="shared" si="85"/>
        <v>0</v>
      </c>
    </row>
    <row r="1395" spans="1:13">
      <c r="A1395" s="4" t="str" cm="1">
        <f t="array" ref="A1395">INDEX(Sheet1!A:A,$F1395)</f>
        <v>F</v>
      </c>
      <c r="B1395" s="4" t="str" cm="1">
        <f t="array" ref="B1395">INDEX(Sheet1!B:B,$F1395)</f>
        <v>Pref Resid NS</v>
      </c>
      <c r="C1395" s="4">
        <f t="shared" si="86"/>
        <v>62</v>
      </c>
      <c r="D1395" s="5" cm="1">
        <f t="array" aca="1" ref="D1395" ca="1">OFFSET(INDIRECT("'["&amp;$H1395&amp;"]"&amp;$I1395&amp;"'!"&amp;$J1395),$L1395,$M1395)*$K1395</f>
        <v>7.1399999999999996E-3</v>
      </c>
      <c r="F1395" s="4">
        <f t="shared" si="87"/>
        <v>13</v>
      </c>
      <c r="G1395" s="4" cm="1">
        <f t="array" ref="G1395">IF($C1395&gt;=25,F1395,IF($C1395&lt;16,INDEX(Sheet1!C:C,$F1395),$F1395))</f>
        <v>13</v>
      </c>
      <c r="H1395" s="4" t="str" cm="1">
        <f t="array" ref="H1395">INDEX(Sheet1!D:D,$G1395)</f>
        <v>2001-cso-preferred-class-structure-mortality-tables.xls</v>
      </c>
      <c r="I1395" s="4" t="str" cm="1">
        <f t="array" ref="I1395">INDEX(Sheet1!E:E,$G1395)</f>
        <v>A.1.b.ii</v>
      </c>
      <c r="J1395" s="4" t="str" cm="1">
        <f t="array" ref="J1395">IF($C1395&gt;=25,INDEX(Sheet1!G:G,$G1395),INDEX(Sheet1!F:F,$G1395))</f>
        <v>AA8</v>
      </c>
      <c r="K1395" s="4" cm="1">
        <f t="array" ref="K1395">INDEX(Sheet1!H:H,$G1395)</f>
        <v>1E-3</v>
      </c>
      <c r="L1395" s="4">
        <f t="shared" si="84"/>
        <v>37</v>
      </c>
      <c r="M1395" s="4">
        <f t="shared" si="85"/>
        <v>0</v>
      </c>
    </row>
    <row r="1396" spans="1:13">
      <c r="A1396" s="4" t="str" cm="1">
        <f t="array" ref="A1396">INDEX(Sheet1!A:A,$F1396)</f>
        <v>F</v>
      </c>
      <c r="B1396" s="4" t="str" cm="1">
        <f t="array" ref="B1396">INDEX(Sheet1!B:B,$F1396)</f>
        <v>Pref Resid NS</v>
      </c>
      <c r="C1396" s="4">
        <f t="shared" si="86"/>
        <v>63</v>
      </c>
      <c r="D1396" s="5" cm="1">
        <f t="array" aca="1" ref="D1396" ca="1">OFFSET(INDIRECT("'["&amp;$H1396&amp;"]"&amp;$I1396&amp;"'!"&amp;$J1396),$L1396,$M1396)*$K1396</f>
        <v>7.7200000000000003E-3</v>
      </c>
      <c r="F1396" s="4">
        <f t="shared" si="87"/>
        <v>13</v>
      </c>
      <c r="G1396" s="4" cm="1">
        <f t="array" ref="G1396">IF($C1396&gt;=25,F1396,IF($C1396&lt;16,INDEX(Sheet1!C:C,$F1396),$F1396))</f>
        <v>13</v>
      </c>
      <c r="H1396" s="4" t="str" cm="1">
        <f t="array" ref="H1396">INDEX(Sheet1!D:D,$G1396)</f>
        <v>2001-cso-preferred-class-structure-mortality-tables.xls</v>
      </c>
      <c r="I1396" s="4" t="str" cm="1">
        <f t="array" ref="I1396">INDEX(Sheet1!E:E,$G1396)</f>
        <v>A.1.b.ii</v>
      </c>
      <c r="J1396" s="4" t="str" cm="1">
        <f t="array" ref="J1396">IF($C1396&gt;=25,INDEX(Sheet1!G:G,$G1396),INDEX(Sheet1!F:F,$G1396))</f>
        <v>AA8</v>
      </c>
      <c r="K1396" s="4" cm="1">
        <f t="array" ref="K1396">INDEX(Sheet1!H:H,$G1396)</f>
        <v>1E-3</v>
      </c>
      <c r="L1396" s="4">
        <f t="shared" si="84"/>
        <v>38</v>
      </c>
      <c r="M1396" s="4">
        <f t="shared" si="85"/>
        <v>0</v>
      </c>
    </row>
    <row r="1397" spans="1:13">
      <c r="A1397" s="4" t="str" cm="1">
        <f t="array" ref="A1397">INDEX(Sheet1!A:A,$F1397)</f>
        <v>F</v>
      </c>
      <c r="B1397" s="4" t="str" cm="1">
        <f t="array" ref="B1397">INDEX(Sheet1!B:B,$F1397)</f>
        <v>Pref Resid NS</v>
      </c>
      <c r="C1397" s="4">
        <f t="shared" si="86"/>
        <v>64</v>
      </c>
      <c r="D1397" s="5" cm="1">
        <f t="array" aca="1" ref="D1397" ca="1">OFFSET(INDIRECT("'["&amp;$H1397&amp;"]"&amp;$I1397&amp;"'!"&amp;$J1397),$L1397,$M1397)*$K1397</f>
        <v>8.3499999999999998E-3</v>
      </c>
      <c r="F1397" s="4">
        <f t="shared" si="87"/>
        <v>13</v>
      </c>
      <c r="G1397" s="4" cm="1">
        <f t="array" ref="G1397">IF($C1397&gt;=25,F1397,IF($C1397&lt;16,INDEX(Sheet1!C:C,$F1397),$F1397))</f>
        <v>13</v>
      </c>
      <c r="H1397" s="4" t="str" cm="1">
        <f t="array" ref="H1397">INDEX(Sheet1!D:D,$G1397)</f>
        <v>2001-cso-preferred-class-structure-mortality-tables.xls</v>
      </c>
      <c r="I1397" s="4" t="str" cm="1">
        <f t="array" ref="I1397">INDEX(Sheet1!E:E,$G1397)</f>
        <v>A.1.b.ii</v>
      </c>
      <c r="J1397" s="4" t="str" cm="1">
        <f t="array" ref="J1397">IF($C1397&gt;=25,INDEX(Sheet1!G:G,$G1397),INDEX(Sheet1!F:F,$G1397))</f>
        <v>AA8</v>
      </c>
      <c r="K1397" s="4" cm="1">
        <f t="array" ref="K1397">INDEX(Sheet1!H:H,$G1397)</f>
        <v>1E-3</v>
      </c>
      <c r="L1397" s="4">
        <f t="shared" si="84"/>
        <v>39</v>
      </c>
      <c r="M1397" s="4">
        <f t="shared" si="85"/>
        <v>0</v>
      </c>
    </row>
    <row r="1398" spans="1:13">
      <c r="A1398" s="4" t="str" cm="1">
        <f t="array" ref="A1398">INDEX(Sheet1!A:A,$F1398)</f>
        <v>F</v>
      </c>
      <c r="B1398" s="4" t="str" cm="1">
        <f t="array" ref="B1398">INDEX(Sheet1!B:B,$F1398)</f>
        <v>Pref Resid NS</v>
      </c>
      <c r="C1398" s="4">
        <f t="shared" si="86"/>
        <v>65</v>
      </c>
      <c r="D1398" s="5" cm="1">
        <f t="array" aca="1" ref="D1398" ca="1">OFFSET(INDIRECT("'["&amp;$H1398&amp;"]"&amp;$I1398&amp;"'!"&amp;$J1398),$L1398,$M1398)*$K1398</f>
        <v>9.0500000000000008E-3</v>
      </c>
      <c r="F1398" s="4">
        <f t="shared" si="87"/>
        <v>13</v>
      </c>
      <c r="G1398" s="4" cm="1">
        <f t="array" ref="G1398">IF($C1398&gt;=25,F1398,IF($C1398&lt;16,INDEX(Sheet1!C:C,$F1398),$F1398))</f>
        <v>13</v>
      </c>
      <c r="H1398" s="4" t="str" cm="1">
        <f t="array" ref="H1398">INDEX(Sheet1!D:D,$G1398)</f>
        <v>2001-cso-preferred-class-structure-mortality-tables.xls</v>
      </c>
      <c r="I1398" s="4" t="str" cm="1">
        <f t="array" ref="I1398">INDEX(Sheet1!E:E,$G1398)</f>
        <v>A.1.b.ii</v>
      </c>
      <c r="J1398" s="4" t="str" cm="1">
        <f t="array" ref="J1398">IF($C1398&gt;=25,INDEX(Sheet1!G:G,$G1398),INDEX(Sheet1!F:F,$G1398))</f>
        <v>AA8</v>
      </c>
      <c r="K1398" s="4" cm="1">
        <f t="array" ref="K1398">INDEX(Sheet1!H:H,$G1398)</f>
        <v>1E-3</v>
      </c>
      <c r="L1398" s="4">
        <f t="shared" si="84"/>
        <v>40</v>
      </c>
      <c r="M1398" s="4">
        <f t="shared" si="85"/>
        <v>0</v>
      </c>
    </row>
    <row r="1399" spans="1:13">
      <c r="A1399" s="4" t="str" cm="1">
        <f t="array" ref="A1399">INDEX(Sheet1!A:A,$F1399)</f>
        <v>F</v>
      </c>
      <c r="B1399" s="4" t="str" cm="1">
        <f t="array" ref="B1399">INDEX(Sheet1!B:B,$F1399)</f>
        <v>Pref Resid NS</v>
      </c>
      <c r="C1399" s="4">
        <f t="shared" si="86"/>
        <v>66</v>
      </c>
      <c r="D1399" s="5" cm="1">
        <f t="array" aca="1" ref="D1399" ca="1">OFFSET(INDIRECT("'["&amp;$H1399&amp;"]"&amp;$I1399&amp;"'!"&amp;$J1399),$L1399,$M1399)*$K1399</f>
        <v>9.8200000000000006E-3</v>
      </c>
      <c r="F1399" s="4">
        <f t="shared" si="87"/>
        <v>13</v>
      </c>
      <c r="G1399" s="4" cm="1">
        <f t="array" ref="G1399">IF($C1399&gt;=25,F1399,IF($C1399&lt;16,INDEX(Sheet1!C:C,$F1399),$F1399))</f>
        <v>13</v>
      </c>
      <c r="H1399" s="4" t="str" cm="1">
        <f t="array" ref="H1399">INDEX(Sheet1!D:D,$G1399)</f>
        <v>2001-cso-preferred-class-structure-mortality-tables.xls</v>
      </c>
      <c r="I1399" s="4" t="str" cm="1">
        <f t="array" ref="I1399">INDEX(Sheet1!E:E,$G1399)</f>
        <v>A.1.b.ii</v>
      </c>
      <c r="J1399" s="4" t="str" cm="1">
        <f t="array" ref="J1399">IF($C1399&gt;=25,INDEX(Sheet1!G:G,$G1399),INDEX(Sheet1!F:F,$G1399))</f>
        <v>AA8</v>
      </c>
      <c r="K1399" s="4" cm="1">
        <f t="array" ref="K1399">INDEX(Sheet1!H:H,$G1399)</f>
        <v>1E-3</v>
      </c>
      <c r="L1399" s="4">
        <f t="shared" si="84"/>
        <v>41</v>
      </c>
      <c r="M1399" s="4">
        <f t="shared" si="85"/>
        <v>0</v>
      </c>
    </row>
    <row r="1400" spans="1:13">
      <c r="A1400" s="4" t="str" cm="1">
        <f t="array" ref="A1400">INDEX(Sheet1!A:A,$F1400)</f>
        <v>F</v>
      </c>
      <c r="B1400" s="4" t="str" cm="1">
        <f t="array" ref="B1400">INDEX(Sheet1!B:B,$F1400)</f>
        <v>Pref Resid NS</v>
      </c>
      <c r="C1400" s="4">
        <f t="shared" si="86"/>
        <v>67</v>
      </c>
      <c r="D1400" s="5" cm="1">
        <f t="array" aca="1" ref="D1400" ca="1">OFFSET(INDIRECT("'["&amp;$H1400&amp;"]"&amp;$I1400&amp;"'!"&amp;$J1400),$L1400,$M1400)*$K1400</f>
        <v>1.0660000000000001E-2</v>
      </c>
      <c r="F1400" s="4">
        <f t="shared" si="87"/>
        <v>13</v>
      </c>
      <c r="G1400" s="4" cm="1">
        <f t="array" ref="G1400">IF($C1400&gt;=25,F1400,IF($C1400&lt;16,INDEX(Sheet1!C:C,$F1400),$F1400))</f>
        <v>13</v>
      </c>
      <c r="H1400" s="4" t="str" cm="1">
        <f t="array" ref="H1400">INDEX(Sheet1!D:D,$G1400)</f>
        <v>2001-cso-preferred-class-structure-mortality-tables.xls</v>
      </c>
      <c r="I1400" s="4" t="str" cm="1">
        <f t="array" ref="I1400">INDEX(Sheet1!E:E,$G1400)</f>
        <v>A.1.b.ii</v>
      </c>
      <c r="J1400" s="4" t="str" cm="1">
        <f t="array" ref="J1400">IF($C1400&gt;=25,INDEX(Sheet1!G:G,$G1400),INDEX(Sheet1!F:F,$G1400))</f>
        <v>AA8</v>
      </c>
      <c r="K1400" s="4" cm="1">
        <f t="array" ref="K1400">INDEX(Sheet1!H:H,$G1400)</f>
        <v>1E-3</v>
      </c>
      <c r="L1400" s="4">
        <f t="shared" si="84"/>
        <v>42</v>
      </c>
      <c r="M1400" s="4">
        <f t="shared" si="85"/>
        <v>0</v>
      </c>
    </row>
    <row r="1401" spans="1:13">
      <c r="A1401" s="4" t="str" cm="1">
        <f t="array" ref="A1401">INDEX(Sheet1!A:A,$F1401)</f>
        <v>F</v>
      </c>
      <c r="B1401" s="4" t="str" cm="1">
        <f t="array" ref="B1401">INDEX(Sheet1!B:B,$F1401)</f>
        <v>Pref Resid NS</v>
      </c>
      <c r="C1401" s="4">
        <f t="shared" si="86"/>
        <v>68</v>
      </c>
      <c r="D1401" s="5" cm="1">
        <f t="array" aca="1" ref="D1401" ca="1">OFFSET(INDIRECT("'["&amp;$H1401&amp;"]"&amp;$I1401&amp;"'!"&amp;$J1401),$L1401,$M1401)*$K1401</f>
        <v>1.159E-2</v>
      </c>
      <c r="F1401" s="4">
        <f t="shared" si="87"/>
        <v>13</v>
      </c>
      <c r="G1401" s="4" cm="1">
        <f t="array" ref="G1401">IF($C1401&gt;=25,F1401,IF($C1401&lt;16,INDEX(Sheet1!C:C,$F1401),$F1401))</f>
        <v>13</v>
      </c>
      <c r="H1401" s="4" t="str" cm="1">
        <f t="array" ref="H1401">INDEX(Sheet1!D:D,$G1401)</f>
        <v>2001-cso-preferred-class-structure-mortality-tables.xls</v>
      </c>
      <c r="I1401" s="4" t="str" cm="1">
        <f t="array" ref="I1401">INDEX(Sheet1!E:E,$G1401)</f>
        <v>A.1.b.ii</v>
      </c>
      <c r="J1401" s="4" t="str" cm="1">
        <f t="array" ref="J1401">IF($C1401&gt;=25,INDEX(Sheet1!G:G,$G1401),INDEX(Sheet1!F:F,$G1401))</f>
        <v>AA8</v>
      </c>
      <c r="K1401" s="4" cm="1">
        <f t="array" ref="K1401">INDEX(Sheet1!H:H,$G1401)</f>
        <v>1E-3</v>
      </c>
      <c r="L1401" s="4">
        <f t="shared" si="84"/>
        <v>43</v>
      </c>
      <c r="M1401" s="4">
        <f t="shared" si="85"/>
        <v>0</v>
      </c>
    </row>
    <row r="1402" spans="1:13">
      <c r="A1402" s="4" t="str" cm="1">
        <f t="array" ref="A1402">INDEX(Sheet1!A:A,$F1402)</f>
        <v>F</v>
      </c>
      <c r="B1402" s="4" t="str" cm="1">
        <f t="array" ref="B1402">INDEX(Sheet1!B:B,$F1402)</f>
        <v>Pref Resid NS</v>
      </c>
      <c r="C1402" s="4">
        <f t="shared" si="86"/>
        <v>69</v>
      </c>
      <c r="D1402" s="5" cm="1">
        <f t="array" aca="1" ref="D1402" ca="1">OFFSET(INDIRECT("'["&amp;$H1402&amp;"]"&amp;$I1402&amp;"'!"&amp;$J1402),$L1402,$M1402)*$K1402</f>
        <v>1.261E-2</v>
      </c>
      <c r="F1402" s="4">
        <f t="shared" si="87"/>
        <v>13</v>
      </c>
      <c r="G1402" s="4" cm="1">
        <f t="array" ref="G1402">IF($C1402&gt;=25,F1402,IF($C1402&lt;16,INDEX(Sheet1!C:C,$F1402),$F1402))</f>
        <v>13</v>
      </c>
      <c r="H1402" s="4" t="str" cm="1">
        <f t="array" ref="H1402">INDEX(Sheet1!D:D,$G1402)</f>
        <v>2001-cso-preferred-class-structure-mortality-tables.xls</v>
      </c>
      <c r="I1402" s="4" t="str" cm="1">
        <f t="array" ref="I1402">INDEX(Sheet1!E:E,$G1402)</f>
        <v>A.1.b.ii</v>
      </c>
      <c r="J1402" s="4" t="str" cm="1">
        <f t="array" ref="J1402">IF($C1402&gt;=25,INDEX(Sheet1!G:G,$G1402),INDEX(Sheet1!F:F,$G1402))</f>
        <v>AA8</v>
      </c>
      <c r="K1402" s="4" cm="1">
        <f t="array" ref="K1402">INDEX(Sheet1!H:H,$G1402)</f>
        <v>1E-3</v>
      </c>
      <c r="L1402" s="4">
        <f t="shared" si="84"/>
        <v>44</v>
      </c>
      <c r="M1402" s="4">
        <f t="shared" si="85"/>
        <v>0</v>
      </c>
    </row>
    <row r="1403" spans="1:13">
      <c r="A1403" s="4" t="str" cm="1">
        <f t="array" ref="A1403">INDEX(Sheet1!A:A,$F1403)</f>
        <v>F</v>
      </c>
      <c r="B1403" s="4" t="str" cm="1">
        <f t="array" ref="B1403">INDEX(Sheet1!B:B,$F1403)</f>
        <v>Pref Resid NS</v>
      </c>
      <c r="C1403" s="4">
        <f t="shared" si="86"/>
        <v>70</v>
      </c>
      <c r="D1403" s="5" cm="1">
        <f t="array" aca="1" ref="D1403" ca="1">OFFSET(INDIRECT("'["&amp;$H1403&amp;"]"&amp;$I1403&amp;"'!"&amp;$J1403),$L1403,$M1403)*$K1403</f>
        <v>1.375E-2</v>
      </c>
      <c r="F1403" s="4">
        <f t="shared" si="87"/>
        <v>13</v>
      </c>
      <c r="G1403" s="4" cm="1">
        <f t="array" ref="G1403">IF($C1403&gt;=25,F1403,IF($C1403&lt;16,INDEX(Sheet1!C:C,$F1403),$F1403))</f>
        <v>13</v>
      </c>
      <c r="H1403" s="4" t="str" cm="1">
        <f t="array" ref="H1403">INDEX(Sheet1!D:D,$G1403)</f>
        <v>2001-cso-preferred-class-structure-mortality-tables.xls</v>
      </c>
      <c r="I1403" s="4" t="str" cm="1">
        <f t="array" ref="I1403">INDEX(Sheet1!E:E,$G1403)</f>
        <v>A.1.b.ii</v>
      </c>
      <c r="J1403" s="4" t="str" cm="1">
        <f t="array" ref="J1403">IF($C1403&gt;=25,INDEX(Sheet1!G:G,$G1403),INDEX(Sheet1!F:F,$G1403))</f>
        <v>AA8</v>
      </c>
      <c r="K1403" s="4" cm="1">
        <f t="array" ref="K1403">INDEX(Sheet1!H:H,$G1403)</f>
        <v>1E-3</v>
      </c>
      <c r="L1403" s="4">
        <f t="shared" si="84"/>
        <v>45</v>
      </c>
      <c r="M1403" s="4">
        <f t="shared" si="85"/>
        <v>0</v>
      </c>
    </row>
    <row r="1404" spans="1:13">
      <c r="A1404" s="4" t="str" cm="1">
        <f t="array" ref="A1404">INDEX(Sheet1!A:A,$F1404)</f>
        <v>F</v>
      </c>
      <c r="B1404" s="4" t="str" cm="1">
        <f t="array" ref="B1404">INDEX(Sheet1!B:B,$F1404)</f>
        <v>Pref Resid NS</v>
      </c>
      <c r="C1404" s="4">
        <f t="shared" si="86"/>
        <v>71</v>
      </c>
      <c r="D1404" s="5" cm="1">
        <f t="array" aca="1" ref="D1404" ca="1">OFFSET(INDIRECT("'["&amp;$H1404&amp;"]"&amp;$I1404&amp;"'!"&amp;$J1404),$L1404,$M1404)*$K1404</f>
        <v>1.5050000000000001E-2</v>
      </c>
      <c r="F1404" s="4">
        <f t="shared" si="87"/>
        <v>13</v>
      </c>
      <c r="G1404" s="4" cm="1">
        <f t="array" ref="G1404">IF($C1404&gt;=25,F1404,IF($C1404&lt;16,INDEX(Sheet1!C:C,$F1404),$F1404))</f>
        <v>13</v>
      </c>
      <c r="H1404" s="4" t="str" cm="1">
        <f t="array" ref="H1404">INDEX(Sheet1!D:D,$G1404)</f>
        <v>2001-cso-preferred-class-structure-mortality-tables.xls</v>
      </c>
      <c r="I1404" s="4" t="str" cm="1">
        <f t="array" ref="I1404">INDEX(Sheet1!E:E,$G1404)</f>
        <v>A.1.b.ii</v>
      </c>
      <c r="J1404" s="4" t="str" cm="1">
        <f t="array" ref="J1404">IF($C1404&gt;=25,INDEX(Sheet1!G:G,$G1404),INDEX(Sheet1!F:F,$G1404))</f>
        <v>AA8</v>
      </c>
      <c r="K1404" s="4" cm="1">
        <f t="array" ref="K1404">INDEX(Sheet1!H:H,$G1404)</f>
        <v>1E-3</v>
      </c>
      <c r="L1404" s="4">
        <f t="shared" si="84"/>
        <v>46</v>
      </c>
      <c r="M1404" s="4">
        <f t="shared" si="85"/>
        <v>0</v>
      </c>
    </row>
    <row r="1405" spans="1:13">
      <c r="A1405" s="4" t="str" cm="1">
        <f t="array" ref="A1405">INDEX(Sheet1!A:A,$F1405)</f>
        <v>F</v>
      </c>
      <c r="B1405" s="4" t="str" cm="1">
        <f t="array" ref="B1405">INDEX(Sheet1!B:B,$F1405)</f>
        <v>Pref Resid NS</v>
      </c>
      <c r="C1405" s="4">
        <f t="shared" si="86"/>
        <v>72</v>
      </c>
      <c r="D1405" s="5" cm="1">
        <f t="array" aca="1" ref="D1405" ca="1">OFFSET(INDIRECT("'["&amp;$H1405&amp;"]"&amp;$I1405&amp;"'!"&amp;$J1405),$L1405,$M1405)*$K1405</f>
        <v>1.651E-2</v>
      </c>
      <c r="F1405" s="4">
        <f t="shared" si="87"/>
        <v>13</v>
      </c>
      <c r="G1405" s="4" cm="1">
        <f t="array" ref="G1405">IF($C1405&gt;=25,F1405,IF($C1405&lt;16,INDEX(Sheet1!C:C,$F1405),$F1405))</f>
        <v>13</v>
      </c>
      <c r="H1405" s="4" t="str" cm="1">
        <f t="array" ref="H1405">INDEX(Sheet1!D:D,$G1405)</f>
        <v>2001-cso-preferred-class-structure-mortality-tables.xls</v>
      </c>
      <c r="I1405" s="4" t="str" cm="1">
        <f t="array" ref="I1405">INDEX(Sheet1!E:E,$G1405)</f>
        <v>A.1.b.ii</v>
      </c>
      <c r="J1405" s="4" t="str" cm="1">
        <f t="array" ref="J1405">IF($C1405&gt;=25,INDEX(Sheet1!G:G,$G1405),INDEX(Sheet1!F:F,$G1405))</f>
        <v>AA8</v>
      </c>
      <c r="K1405" s="4" cm="1">
        <f t="array" ref="K1405">INDEX(Sheet1!H:H,$G1405)</f>
        <v>1E-3</v>
      </c>
      <c r="L1405" s="4">
        <f t="shared" si="84"/>
        <v>47</v>
      </c>
      <c r="M1405" s="4">
        <f t="shared" si="85"/>
        <v>0</v>
      </c>
    </row>
    <row r="1406" spans="1:13">
      <c r="A1406" s="4" t="str" cm="1">
        <f t="array" ref="A1406">INDEX(Sheet1!A:A,$F1406)</f>
        <v>F</v>
      </c>
      <c r="B1406" s="4" t="str" cm="1">
        <f t="array" ref="B1406">INDEX(Sheet1!B:B,$F1406)</f>
        <v>Pref Resid NS</v>
      </c>
      <c r="C1406" s="4">
        <f t="shared" si="86"/>
        <v>73</v>
      </c>
      <c r="D1406" s="5" cm="1">
        <f t="array" aca="1" ref="D1406" ca="1">OFFSET(INDIRECT("'["&amp;$H1406&amp;"]"&amp;$I1406&amp;"'!"&amp;$J1406),$L1406,$M1406)*$K1406</f>
        <v>1.8090000000000002E-2</v>
      </c>
      <c r="F1406" s="4">
        <f t="shared" si="87"/>
        <v>13</v>
      </c>
      <c r="G1406" s="4" cm="1">
        <f t="array" ref="G1406">IF($C1406&gt;=25,F1406,IF($C1406&lt;16,INDEX(Sheet1!C:C,$F1406),$F1406))</f>
        <v>13</v>
      </c>
      <c r="H1406" s="4" t="str" cm="1">
        <f t="array" ref="H1406">INDEX(Sheet1!D:D,$G1406)</f>
        <v>2001-cso-preferred-class-structure-mortality-tables.xls</v>
      </c>
      <c r="I1406" s="4" t="str" cm="1">
        <f t="array" ref="I1406">INDEX(Sheet1!E:E,$G1406)</f>
        <v>A.1.b.ii</v>
      </c>
      <c r="J1406" s="4" t="str" cm="1">
        <f t="array" ref="J1406">IF($C1406&gt;=25,INDEX(Sheet1!G:G,$G1406),INDEX(Sheet1!F:F,$G1406))</f>
        <v>AA8</v>
      </c>
      <c r="K1406" s="4" cm="1">
        <f t="array" ref="K1406">INDEX(Sheet1!H:H,$G1406)</f>
        <v>1E-3</v>
      </c>
      <c r="L1406" s="4">
        <f t="shared" si="84"/>
        <v>48</v>
      </c>
      <c r="M1406" s="4">
        <f t="shared" si="85"/>
        <v>0</v>
      </c>
    </row>
    <row r="1407" spans="1:13">
      <c r="A1407" s="4" t="str" cm="1">
        <f t="array" ref="A1407">INDEX(Sheet1!A:A,$F1407)</f>
        <v>F</v>
      </c>
      <c r="B1407" s="4" t="str" cm="1">
        <f t="array" ref="B1407">INDEX(Sheet1!B:B,$F1407)</f>
        <v>Pref Resid NS</v>
      </c>
      <c r="C1407" s="4">
        <f t="shared" si="86"/>
        <v>74</v>
      </c>
      <c r="D1407" s="5" cm="1">
        <f t="array" aca="1" ref="D1407" ca="1">OFFSET(INDIRECT("'["&amp;$H1407&amp;"]"&amp;$I1407&amp;"'!"&amp;$J1407),$L1407,$M1407)*$K1407</f>
        <v>1.9820000000000001E-2</v>
      </c>
      <c r="F1407" s="4">
        <f t="shared" si="87"/>
        <v>13</v>
      </c>
      <c r="G1407" s="4" cm="1">
        <f t="array" ref="G1407">IF($C1407&gt;=25,F1407,IF($C1407&lt;16,INDEX(Sheet1!C:C,$F1407),$F1407))</f>
        <v>13</v>
      </c>
      <c r="H1407" s="4" t="str" cm="1">
        <f t="array" ref="H1407">INDEX(Sheet1!D:D,$G1407)</f>
        <v>2001-cso-preferred-class-structure-mortality-tables.xls</v>
      </c>
      <c r="I1407" s="4" t="str" cm="1">
        <f t="array" ref="I1407">INDEX(Sheet1!E:E,$G1407)</f>
        <v>A.1.b.ii</v>
      </c>
      <c r="J1407" s="4" t="str" cm="1">
        <f t="array" ref="J1407">IF($C1407&gt;=25,INDEX(Sheet1!G:G,$G1407),INDEX(Sheet1!F:F,$G1407))</f>
        <v>AA8</v>
      </c>
      <c r="K1407" s="4" cm="1">
        <f t="array" ref="K1407">INDEX(Sheet1!H:H,$G1407)</f>
        <v>1E-3</v>
      </c>
      <c r="L1407" s="4">
        <f t="shared" si="84"/>
        <v>49</v>
      </c>
      <c r="M1407" s="4">
        <f t="shared" si="85"/>
        <v>0</v>
      </c>
    </row>
    <row r="1408" spans="1:13">
      <c r="A1408" s="4" t="str" cm="1">
        <f t="array" ref="A1408">INDEX(Sheet1!A:A,$F1408)</f>
        <v>F</v>
      </c>
      <c r="B1408" s="4" t="str" cm="1">
        <f t="array" ref="B1408">INDEX(Sheet1!B:B,$F1408)</f>
        <v>Pref Resid NS</v>
      </c>
      <c r="C1408" s="4">
        <f t="shared" si="86"/>
        <v>75</v>
      </c>
      <c r="D1408" s="5" cm="1">
        <f t="array" aca="1" ref="D1408" ca="1">OFFSET(INDIRECT("'["&amp;$H1408&amp;"]"&amp;$I1408&amp;"'!"&amp;$J1408),$L1408,$M1408)*$K1408</f>
        <v>2.1739999999999999E-2</v>
      </c>
      <c r="F1408" s="4">
        <f t="shared" si="87"/>
        <v>13</v>
      </c>
      <c r="G1408" s="4" cm="1">
        <f t="array" ref="G1408">IF($C1408&gt;=25,F1408,IF($C1408&lt;16,INDEX(Sheet1!C:C,$F1408),$F1408))</f>
        <v>13</v>
      </c>
      <c r="H1408" s="4" t="str" cm="1">
        <f t="array" ref="H1408">INDEX(Sheet1!D:D,$G1408)</f>
        <v>2001-cso-preferred-class-structure-mortality-tables.xls</v>
      </c>
      <c r="I1408" s="4" t="str" cm="1">
        <f t="array" ref="I1408">INDEX(Sheet1!E:E,$G1408)</f>
        <v>A.1.b.ii</v>
      </c>
      <c r="J1408" s="4" t="str" cm="1">
        <f t="array" ref="J1408">IF($C1408&gt;=25,INDEX(Sheet1!G:G,$G1408),INDEX(Sheet1!F:F,$G1408))</f>
        <v>AA8</v>
      </c>
      <c r="K1408" s="4" cm="1">
        <f t="array" ref="K1408">INDEX(Sheet1!H:H,$G1408)</f>
        <v>1E-3</v>
      </c>
      <c r="L1408" s="4">
        <f t="shared" si="84"/>
        <v>50</v>
      </c>
      <c r="M1408" s="4">
        <f t="shared" si="85"/>
        <v>0</v>
      </c>
    </row>
    <row r="1409" spans="1:13">
      <c r="A1409" s="4" t="str" cm="1">
        <f t="array" ref="A1409">INDEX(Sheet1!A:A,$F1409)</f>
        <v>F</v>
      </c>
      <c r="B1409" s="4" t="str" cm="1">
        <f t="array" ref="B1409">INDEX(Sheet1!B:B,$F1409)</f>
        <v>Pref Resid NS</v>
      </c>
      <c r="C1409" s="4">
        <f t="shared" si="86"/>
        <v>76</v>
      </c>
      <c r="D1409" s="5" cm="1">
        <f t="array" aca="1" ref="D1409" ca="1">OFFSET(INDIRECT("'["&amp;$H1409&amp;"]"&amp;$I1409&amp;"'!"&amp;$J1409),$L1409,$M1409)*$K1409</f>
        <v>2.4109999999999999E-2</v>
      </c>
      <c r="F1409" s="4">
        <f t="shared" si="87"/>
        <v>13</v>
      </c>
      <c r="G1409" s="4" cm="1">
        <f t="array" ref="G1409">IF($C1409&gt;=25,F1409,IF($C1409&lt;16,INDEX(Sheet1!C:C,$F1409),$F1409))</f>
        <v>13</v>
      </c>
      <c r="H1409" s="4" t="str" cm="1">
        <f t="array" ref="H1409">INDEX(Sheet1!D:D,$G1409)</f>
        <v>2001-cso-preferred-class-structure-mortality-tables.xls</v>
      </c>
      <c r="I1409" s="4" t="str" cm="1">
        <f t="array" ref="I1409">INDEX(Sheet1!E:E,$G1409)</f>
        <v>A.1.b.ii</v>
      </c>
      <c r="J1409" s="4" t="str" cm="1">
        <f t="array" ref="J1409">IF($C1409&gt;=25,INDEX(Sheet1!G:G,$G1409),INDEX(Sheet1!F:F,$G1409))</f>
        <v>AA8</v>
      </c>
      <c r="K1409" s="4" cm="1">
        <f t="array" ref="K1409">INDEX(Sheet1!H:H,$G1409)</f>
        <v>1E-3</v>
      </c>
      <c r="L1409" s="4">
        <f t="shared" si="84"/>
        <v>51</v>
      </c>
      <c r="M1409" s="4">
        <f t="shared" si="85"/>
        <v>0</v>
      </c>
    </row>
    <row r="1410" spans="1:13">
      <c r="A1410" s="4" t="str" cm="1">
        <f t="array" ref="A1410">INDEX(Sheet1!A:A,$F1410)</f>
        <v>F</v>
      </c>
      <c r="B1410" s="4" t="str" cm="1">
        <f t="array" ref="B1410">INDEX(Sheet1!B:B,$F1410)</f>
        <v>Pref Resid NS</v>
      </c>
      <c r="C1410" s="4">
        <f t="shared" si="86"/>
        <v>77</v>
      </c>
      <c r="D1410" s="5" cm="1">
        <f t="array" aca="1" ref="D1410" ca="1">OFFSET(INDIRECT("'["&amp;$H1410&amp;"]"&amp;$I1410&amp;"'!"&amp;$J1410),$L1410,$M1410)*$K1410</f>
        <v>2.6749999999999999E-2</v>
      </c>
      <c r="F1410" s="4">
        <f t="shared" si="87"/>
        <v>13</v>
      </c>
      <c r="G1410" s="4" cm="1">
        <f t="array" ref="G1410">IF($C1410&gt;=25,F1410,IF($C1410&lt;16,INDEX(Sheet1!C:C,$F1410),$F1410))</f>
        <v>13</v>
      </c>
      <c r="H1410" s="4" t="str" cm="1">
        <f t="array" ref="H1410">INDEX(Sheet1!D:D,$G1410)</f>
        <v>2001-cso-preferred-class-structure-mortality-tables.xls</v>
      </c>
      <c r="I1410" s="4" t="str" cm="1">
        <f t="array" ref="I1410">INDEX(Sheet1!E:E,$G1410)</f>
        <v>A.1.b.ii</v>
      </c>
      <c r="J1410" s="4" t="str" cm="1">
        <f t="array" ref="J1410">IF($C1410&gt;=25,INDEX(Sheet1!G:G,$G1410),INDEX(Sheet1!F:F,$G1410))</f>
        <v>AA8</v>
      </c>
      <c r="K1410" s="4" cm="1">
        <f t="array" ref="K1410">INDEX(Sheet1!H:H,$G1410)</f>
        <v>1E-3</v>
      </c>
      <c r="L1410" s="4">
        <f t="shared" si="84"/>
        <v>52</v>
      </c>
      <c r="M1410" s="4">
        <f t="shared" si="85"/>
        <v>0</v>
      </c>
    </row>
    <row r="1411" spans="1:13">
      <c r="A1411" s="4" t="str" cm="1">
        <f t="array" ref="A1411">INDEX(Sheet1!A:A,$F1411)</f>
        <v>F</v>
      </c>
      <c r="B1411" s="4" t="str" cm="1">
        <f t="array" ref="B1411">INDEX(Sheet1!B:B,$F1411)</f>
        <v>Pref Resid NS</v>
      </c>
      <c r="C1411" s="4">
        <f t="shared" si="86"/>
        <v>78</v>
      </c>
      <c r="D1411" s="5" cm="1">
        <f t="array" aca="1" ref="D1411" ca="1">OFFSET(INDIRECT("'["&amp;$H1411&amp;"]"&amp;$I1411&amp;"'!"&amp;$J1411),$L1411,$M1411)*$K1411</f>
        <v>2.9690000000000001E-2</v>
      </c>
      <c r="F1411" s="4">
        <f t="shared" si="87"/>
        <v>13</v>
      </c>
      <c r="G1411" s="4" cm="1">
        <f t="array" ref="G1411">IF($C1411&gt;=25,F1411,IF($C1411&lt;16,INDEX(Sheet1!C:C,$F1411),$F1411))</f>
        <v>13</v>
      </c>
      <c r="H1411" s="4" t="str" cm="1">
        <f t="array" ref="H1411">INDEX(Sheet1!D:D,$G1411)</f>
        <v>2001-cso-preferred-class-structure-mortality-tables.xls</v>
      </c>
      <c r="I1411" s="4" t="str" cm="1">
        <f t="array" ref="I1411">INDEX(Sheet1!E:E,$G1411)</f>
        <v>A.1.b.ii</v>
      </c>
      <c r="J1411" s="4" t="str" cm="1">
        <f t="array" ref="J1411">IF($C1411&gt;=25,INDEX(Sheet1!G:G,$G1411),INDEX(Sheet1!F:F,$G1411))</f>
        <v>AA8</v>
      </c>
      <c r="K1411" s="4" cm="1">
        <f t="array" ref="K1411">INDEX(Sheet1!H:H,$G1411)</f>
        <v>1E-3</v>
      </c>
      <c r="L1411" s="4">
        <f t="shared" ref="L1411:L1474" si="88">IF($C1411&gt;=25,$C1411-25,0)</f>
        <v>53</v>
      </c>
      <c r="M1411" s="4">
        <f t="shared" ref="M1411:M1474" si="89">IF($C1411&gt;=25,0,$C1411)</f>
        <v>0</v>
      </c>
    </row>
    <row r="1412" spans="1:13">
      <c r="A1412" s="4" t="str" cm="1">
        <f t="array" ref="A1412">INDEX(Sheet1!A:A,$F1412)</f>
        <v>F</v>
      </c>
      <c r="B1412" s="4" t="str" cm="1">
        <f t="array" ref="B1412">INDEX(Sheet1!B:B,$F1412)</f>
        <v>Pref Resid NS</v>
      </c>
      <c r="C1412" s="4">
        <f t="shared" ref="C1412:C1475" si="90">IF(C1411=120,0,C1411+1)</f>
        <v>79</v>
      </c>
      <c r="D1412" s="5" cm="1">
        <f t="array" aca="1" ref="D1412" ca="1">OFFSET(INDIRECT("'["&amp;$H1412&amp;"]"&amp;$I1412&amp;"'!"&amp;$J1412),$L1412,$M1412)*$K1412</f>
        <v>3.2909999999999995E-2</v>
      </c>
      <c r="F1412" s="4">
        <f t="shared" ref="F1412:F1475" si="91">IF(C1412=0,1,0)+F1411</f>
        <v>13</v>
      </c>
      <c r="G1412" s="4" cm="1">
        <f t="array" ref="G1412">IF($C1412&gt;=25,F1412,IF($C1412&lt;16,INDEX(Sheet1!C:C,$F1412),$F1412))</f>
        <v>13</v>
      </c>
      <c r="H1412" s="4" t="str" cm="1">
        <f t="array" ref="H1412">INDEX(Sheet1!D:D,$G1412)</f>
        <v>2001-cso-preferred-class-structure-mortality-tables.xls</v>
      </c>
      <c r="I1412" s="4" t="str" cm="1">
        <f t="array" ref="I1412">INDEX(Sheet1!E:E,$G1412)</f>
        <v>A.1.b.ii</v>
      </c>
      <c r="J1412" s="4" t="str" cm="1">
        <f t="array" ref="J1412">IF($C1412&gt;=25,INDEX(Sheet1!G:G,$G1412),INDEX(Sheet1!F:F,$G1412))</f>
        <v>AA8</v>
      </c>
      <c r="K1412" s="4" cm="1">
        <f t="array" ref="K1412">INDEX(Sheet1!H:H,$G1412)</f>
        <v>1E-3</v>
      </c>
      <c r="L1412" s="4">
        <f t="shared" si="88"/>
        <v>54</v>
      </c>
      <c r="M1412" s="4">
        <f t="shared" si="89"/>
        <v>0</v>
      </c>
    </row>
    <row r="1413" spans="1:13">
      <c r="A1413" s="4" t="str" cm="1">
        <f t="array" ref="A1413">INDEX(Sheet1!A:A,$F1413)</f>
        <v>F</v>
      </c>
      <c r="B1413" s="4" t="str" cm="1">
        <f t="array" ref="B1413">INDEX(Sheet1!B:B,$F1413)</f>
        <v>Pref Resid NS</v>
      </c>
      <c r="C1413" s="4">
        <f t="shared" si="90"/>
        <v>80</v>
      </c>
      <c r="D1413" s="5" cm="1">
        <f t="array" aca="1" ref="D1413" ca="1">OFFSET(INDIRECT("'["&amp;$H1413&amp;"]"&amp;$I1413&amp;"'!"&amp;$J1413),$L1413,$M1413)*$K1413</f>
        <v>3.6520000000000004E-2</v>
      </c>
      <c r="F1413" s="4">
        <f t="shared" si="91"/>
        <v>13</v>
      </c>
      <c r="G1413" s="4" cm="1">
        <f t="array" ref="G1413">IF($C1413&gt;=25,F1413,IF($C1413&lt;16,INDEX(Sheet1!C:C,$F1413),$F1413))</f>
        <v>13</v>
      </c>
      <c r="H1413" s="4" t="str" cm="1">
        <f t="array" ref="H1413">INDEX(Sheet1!D:D,$G1413)</f>
        <v>2001-cso-preferred-class-structure-mortality-tables.xls</v>
      </c>
      <c r="I1413" s="4" t="str" cm="1">
        <f t="array" ref="I1413">INDEX(Sheet1!E:E,$G1413)</f>
        <v>A.1.b.ii</v>
      </c>
      <c r="J1413" s="4" t="str" cm="1">
        <f t="array" ref="J1413">IF($C1413&gt;=25,INDEX(Sheet1!G:G,$G1413),INDEX(Sheet1!F:F,$G1413))</f>
        <v>AA8</v>
      </c>
      <c r="K1413" s="4" cm="1">
        <f t="array" ref="K1413">INDEX(Sheet1!H:H,$G1413)</f>
        <v>1E-3</v>
      </c>
      <c r="L1413" s="4">
        <f t="shared" si="88"/>
        <v>55</v>
      </c>
      <c r="M1413" s="4">
        <f t="shared" si="89"/>
        <v>0</v>
      </c>
    </row>
    <row r="1414" spans="1:13">
      <c r="A1414" s="4" t="str" cm="1">
        <f t="array" ref="A1414">INDEX(Sheet1!A:A,$F1414)</f>
        <v>F</v>
      </c>
      <c r="B1414" s="4" t="str" cm="1">
        <f t="array" ref="B1414">INDEX(Sheet1!B:B,$F1414)</f>
        <v>Pref Resid NS</v>
      </c>
      <c r="C1414" s="4">
        <f t="shared" si="90"/>
        <v>81</v>
      </c>
      <c r="D1414" s="5" cm="1">
        <f t="array" aca="1" ref="D1414" ca="1">OFFSET(INDIRECT("'["&amp;$H1414&amp;"]"&amp;$I1414&amp;"'!"&amp;$J1414),$L1414,$M1414)*$K1414</f>
        <v>4.138E-2</v>
      </c>
      <c r="F1414" s="4">
        <f t="shared" si="91"/>
        <v>13</v>
      </c>
      <c r="G1414" s="4" cm="1">
        <f t="array" ref="G1414">IF($C1414&gt;=25,F1414,IF($C1414&lt;16,INDEX(Sheet1!C:C,$F1414),$F1414))</f>
        <v>13</v>
      </c>
      <c r="H1414" s="4" t="str" cm="1">
        <f t="array" ref="H1414">INDEX(Sheet1!D:D,$G1414)</f>
        <v>2001-cso-preferred-class-structure-mortality-tables.xls</v>
      </c>
      <c r="I1414" s="4" t="str" cm="1">
        <f t="array" ref="I1414">INDEX(Sheet1!E:E,$G1414)</f>
        <v>A.1.b.ii</v>
      </c>
      <c r="J1414" s="4" t="str" cm="1">
        <f t="array" ref="J1414">IF($C1414&gt;=25,INDEX(Sheet1!G:G,$G1414),INDEX(Sheet1!F:F,$G1414))</f>
        <v>AA8</v>
      </c>
      <c r="K1414" s="4" cm="1">
        <f t="array" ref="K1414">INDEX(Sheet1!H:H,$G1414)</f>
        <v>1E-3</v>
      </c>
      <c r="L1414" s="4">
        <f t="shared" si="88"/>
        <v>56</v>
      </c>
      <c r="M1414" s="4">
        <f t="shared" si="89"/>
        <v>0</v>
      </c>
    </row>
    <row r="1415" spans="1:13">
      <c r="A1415" s="4" t="str" cm="1">
        <f t="array" ref="A1415">INDEX(Sheet1!A:A,$F1415)</f>
        <v>F</v>
      </c>
      <c r="B1415" s="4" t="str" cm="1">
        <f t="array" ref="B1415">INDEX(Sheet1!B:B,$F1415)</f>
        <v>Pref Resid NS</v>
      </c>
      <c r="C1415" s="4">
        <f t="shared" si="90"/>
        <v>82</v>
      </c>
      <c r="D1415" s="5" cm="1">
        <f t="array" aca="1" ref="D1415" ca="1">OFFSET(INDIRECT("'["&amp;$H1415&amp;"]"&amp;$I1415&amp;"'!"&amp;$J1415),$L1415,$M1415)*$K1415</f>
        <v>4.6929999999999999E-2</v>
      </c>
      <c r="F1415" s="4">
        <f t="shared" si="91"/>
        <v>13</v>
      </c>
      <c r="G1415" s="4" cm="1">
        <f t="array" ref="G1415">IF($C1415&gt;=25,F1415,IF($C1415&lt;16,INDEX(Sheet1!C:C,$F1415),$F1415))</f>
        <v>13</v>
      </c>
      <c r="H1415" s="4" t="str" cm="1">
        <f t="array" ref="H1415">INDEX(Sheet1!D:D,$G1415)</f>
        <v>2001-cso-preferred-class-structure-mortality-tables.xls</v>
      </c>
      <c r="I1415" s="4" t="str" cm="1">
        <f t="array" ref="I1415">INDEX(Sheet1!E:E,$G1415)</f>
        <v>A.1.b.ii</v>
      </c>
      <c r="J1415" s="4" t="str" cm="1">
        <f t="array" ref="J1415">IF($C1415&gt;=25,INDEX(Sheet1!G:G,$G1415),INDEX(Sheet1!F:F,$G1415))</f>
        <v>AA8</v>
      </c>
      <c r="K1415" s="4" cm="1">
        <f t="array" ref="K1415">INDEX(Sheet1!H:H,$G1415)</f>
        <v>1E-3</v>
      </c>
      <c r="L1415" s="4">
        <f t="shared" si="88"/>
        <v>57</v>
      </c>
      <c r="M1415" s="4">
        <f t="shared" si="89"/>
        <v>0</v>
      </c>
    </row>
    <row r="1416" spans="1:13">
      <c r="A1416" s="4" t="str" cm="1">
        <f t="array" ref="A1416">INDEX(Sheet1!A:A,$F1416)</f>
        <v>F</v>
      </c>
      <c r="B1416" s="4" t="str" cm="1">
        <f t="array" ref="B1416">INDEX(Sheet1!B:B,$F1416)</f>
        <v>Pref Resid NS</v>
      </c>
      <c r="C1416" s="4">
        <f t="shared" si="90"/>
        <v>83</v>
      </c>
      <c r="D1416" s="5" cm="1">
        <f t="array" aca="1" ref="D1416" ca="1">OFFSET(INDIRECT("'["&amp;$H1416&amp;"]"&amp;$I1416&amp;"'!"&amp;$J1416),$L1416,$M1416)*$K1416</f>
        <v>5.2560000000000003E-2</v>
      </c>
      <c r="F1416" s="4">
        <f t="shared" si="91"/>
        <v>13</v>
      </c>
      <c r="G1416" s="4" cm="1">
        <f t="array" ref="G1416">IF($C1416&gt;=25,F1416,IF($C1416&lt;16,INDEX(Sheet1!C:C,$F1416),$F1416))</f>
        <v>13</v>
      </c>
      <c r="H1416" s="4" t="str" cm="1">
        <f t="array" ref="H1416">INDEX(Sheet1!D:D,$G1416)</f>
        <v>2001-cso-preferred-class-structure-mortality-tables.xls</v>
      </c>
      <c r="I1416" s="4" t="str" cm="1">
        <f t="array" ref="I1416">INDEX(Sheet1!E:E,$G1416)</f>
        <v>A.1.b.ii</v>
      </c>
      <c r="J1416" s="4" t="str" cm="1">
        <f t="array" ref="J1416">IF($C1416&gt;=25,INDEX(Sheet1!G:G,$G1416),INDEX(Sheet1!F:F,$G1416))</f>
        <v>AA8</v>
      </c>
      <c r="K1416" s="4" cm="1">
        <f t="array" ref="K1416">INDEX(Sheet1!H:H,$G1416)</f>
        <v>1E-3</v>
      </c>
      <c r="L1416" s="4">
        <f t="shared" si="88"/>
        <v>58</v>
      </c>
      <c r="M1416" s="4">
        <f t="shared" si="89"/>
        <v>0</v>
      </c>
    </row>
    <row r="1417" spans="1:13">
      <c r="A1417" s="4" t="str" cm="1">
        <f t="array" ref="A1417">INDEX(Sheet1!A:A,$F1417)</f>
        <v>F</v>
      </c>
      <c r="B1417" s="4" t="str" cm="1">
        <f t="array" ref="B1417">INDEX(Sheet1!B:B,$F1417)</f>
        <v>Pref Resid NS</v>
      </c>
      <c r="C1417" s="4">
        <f t="shared" si="90"/>
        <v>84</v>
      </c>
      <c r="D1417" s="5" cm="1">
        <f t="array" aca="1" ref="D1417" ca="1">OFFSET(INDIRECT("'["&amp;$H1417&amp;"]"&amp;$I1417&amp;"'!"&amp;$J1417),$L1417,$M1417)*$K1417</f>
        <v>5.8860000000000003E-2</v>
      </c>
      <c r="F1417" s="4">
        <f t="shared" si="91"/>
        <v>13</v>
      </c>
      <c r="G1417" s="4" cm="1">
        <f t="array" ref="G1417">IF($C1417&gt;=25,F1417,IF($C1417&lt;16,INDEX(Sheet1!C:C,$F1417),$F1417))</f>
        <v>13</v>
      </c>
      <c r="H1417" s="4" t="str" cm="1">
        <f t="array" ref="H1417">INDEX(Sheet1!D:D,$G1417)</f>
        <v>2001-cso-preferred-class-structure-mortality-tables.xls</v>
      </c>
      <c r="I1417" s="4" t="str" cm="1">
        <f t="array" ref="I1417">INDEX(Sheet1!E:E,$G1417)</f>
        <v>A.1.b.ii</v>
      </c>
      <c r="J1417" s="4" t="str" cm="1">
        <f t="array" ref="J1417">IF($C1417&gt;=25,INDEX(Sheet1!G:G,$G1417),INDEX(Sheet1!F:F,$G1417))</f>
        <v>AA8</v>
      </c>
      <c r="K1417" s="4" cm="1">
        <f t="array" ref="K1417">INDEX(Sheet1!H:H,$G1417)</f>
        <v>1E-3</v>
      </c>
      <c r="L1417" s="4">
        <f t="shared" si="88"/>
        <v>59</v>
      </c>
      <c r="M1417" s="4">
        <f t="shared" si="89"/>
        <v>0</v>
      </c>
    </row>
    <row r="1418" spans="1:13">
      <c r="A1418" s="4" t="str" cm="1">
        <f t="array" ref="A1418">INDEX(Sheet1!A:A,$F1418)</f>
        <v>F</v>
      </c>
      <c r="B1418" s="4" t="str" cm="1">
        <f t="array" ref="B1418">INDEX(Sheet1!B:B,$F1418)</f>
        <v>Pref Resid NS</v>
      </c>
      <c r="C1418" s="4">
        <f t="shared" si="90"/>
        <v>85</v>
      </c>
      <c r="D1418" s="5" cm="1">
        <f t="array" aca="1" ref="D1418" ca="1">OFFSET(INDIRECT("'["&amp;$H1418&amp;"]"&amp;$I1418&amp;"'!"&amp;$J1418),$L1418,$M1418)*$K1418</f>
        <v>6.6000000000000003E-2</v>
      </c>
      <c r="F1418" s="4">
        <f t="shared" si="91"/>
        <v>13</v>
      </c>
      <c r="G1418" s="4" cm="1">
        <f t="array" ref="G1418">IF($C1418&gt;=25,F1418,IF($C1418&lt;16,INDEX(Sheet1!C:C,$F1418),$F1418))</f>
        <v>13</v>
      </c>
      <c r="H1418" s="4" t="str" cm="1">
        <f t="array" ref="H1418">INDEX(Sheet1!D:D,$G1418)</f>
        <v>2001-cso-preferred-class-structure-mortality-tables.xls</v>
      </c>
      <c r="I1418" s="4" t="str" cm="1">
        <f t="array" ref="I1418">INDEX(Sheet1!E:E,$G1418)</f>
        <v>A.1.b.ii</v>
      </c>
      <c r="J1418" s="4" t="str" cm="1">
        <f t="array" ref="J1418">IF($C1418&gt;=25,INDEX(Sheet1!G:G,$G1418),INDEX(Sheet1!F:F,$G1418))</f>
        <v>AA8</v>
      </c>
      <c r="K1418" s="4" cm="1">
        <f t="array" ref="K1418">INDEX(Sheet1!H:H,$G1418)</f>
        <v>1E-3</v>
      </c>
      <c r="L1418" s="4">
        <f t="shared" si="88"/>
        <v>60</v>
      </c>
      <c r="M1418" s="4">
        <f t="shared" si="89"/>
        <v>0</v>
      </c>
    </row>
    <row r="1419" spans="1:13">
      <c r="A1419" s="4" t="str" cm="1">
        <f t="array" ref="A1419">INDEX(Sheet1!A:A,$F1419)</f>
        <v>F</v>
      </c>
      <c r="B1419" s="4" t="str" cm="1">
        <f t="array" ref="B1419">INDEX(Sheet1!B:B,$F1419)</f>
        <v>Pref Resid NS</v>
      </c>
      <c r="C1419" s="4">
        <f t="shared" si="90"/>
        <v>86</v>
      </c>
      <c r="D1419" s="5" cm="1">
        <f t="array" aca="1" ref="D1419" ca="1">OFFSET(INDIRECT("'["&amp;$H1419&amp;"]"&amp;$I1419&amp;"'!"&amp;$J1419),$L1419,$M1419)*$K1419</f>
        <v>7.2690000000000005E-2</v>
      </c>
      <c r="F1419" s="4">
        <f t="shared" si="91"/>
        <v>13</v>
      </c>
      <c r="G1419" s="4" cm="1">
        <f t="array" ref="G1419">IF($C1419&gt;=25,F1419,IF($C1419&lt;16,INDEX(Sheet1!C:C,$F1419),$F1419))</f>
        <v>13</v>
      </c>
      <c r="H1419" s="4" t="str" cm="1">
        <f t="array" ref="H1419">INDEX(Sheet1!D:D,$G1419)</f>
        <v>2001-cso-preferred-class-structure-mortality-tables.xls</v>
      </c>
      <c r="I1419" s="4" t="str" cm="1">
        <f t="array" ref="I1419">INDEX(Sheet1!E:E,$G1419)</f>
        <v>A.1.b.ii</v>
      </c>
      <c r="J1419" s="4" t="str" cm="1">
        <f t="array" ref="J1419">IF($C1419&gt;=25,INDEX(Sheet1!G:G,$G1419),INDEX(Sheet1!F:F,$G1419))</f>
        <v>AA8</v>
      </c>
      <c r="K1419" s="4" cm="1">
        <f t="array" ref="K1419">INDEX(Sheet1!H:H,$G1419)</f>
        <v>1E-3</v>
      </c>
      <c r="L1419" s="4">
        <f t="shared" si="88"/>
        <v>61</v>
      </c>
      <c r="M1419" s="4">
        <f t="shared" si="89"/>
        <v>0</v>
      </c>
    </row>
    <row r="1420" spans="1:13">
      <c r="A1420" s="4" t="str" cm="1">
        <f t="array" ref="A1420">INDEX(Sheet1!A:A,$F1420)</f>
        <v>F</v>
      </c>
      <c r="B1420" s="4" t="str" cm="1">
        <f t="array" ref="B1420">INDEX(Sheet1!B:B,$F1420)</f>
        <v>Pref Resid NS</v>
      </c>
      <c r="C1420" s="4">
        <f t="shared" si="90"/>
        <v>87</v>
      </c>
      <c r="D1420" s="5" cm="1">
        <f t="array" aca="1" ref="D1420" ca="1">OFFSET(INDIRECT("'["&amp;$H1420&amp;"]"&amp;$I1420&amp;"'!"&amp;$J1420),$L1420,$M1420)*$K1420</f>
        <v>8.2540000000000002E-2</v>
      </c>
      <c r="F1420" s="4">
        <f t="shared" si="91"/>
        <v>13</v>
      </c>
      <c r="G1420" s="4" cm="1">
        <f t="array" ref="G1420">IF($C1420&gt;=25,F1420,IF($C1420&lt;16,INDEX(Sheet1!C:C,$F1420),$F1420))</f>
        <v>13</v>
      </c>
      <c r="H1420" s="4" t="str" cm="1">
        <f t="array" ref="H1420">INDEX(Sheet1!D:D,$G1420)</f>
        <v>2001-cso-preferred-class-structure-mortality-tables.xls</v>
      </c>
      <c r="I1420" s="4" t="str" cm="1">
        <f t="array" ref="I1420">INDEX(Sheet1!E:E,$G1420)</f>
        <v>A.1.b.ii</v>
      </c>
      <c r="J1420" s="4" t="str" cm="1">
        <f t="array" ref="J1420">IF($C1420&gt;=25,INDEX(Sheet1!G:G,$G1420),INDEX(Sheet1!F:F,$G1420))</f>
        <v>AA8</v>
      </c>
      <c r="K1420" s="4" cm="1">
        <f t="array" ref="K1420">INDEX(Sheet1!H:H,$G1420)</f>
        <v>1E-3</v>
      </c>
      <c r="L1420" s="4">
        <f t="shared" si="88"/>
        <v>62</v>
      </c>
      <c r="M1420" s="4">
        <f t="shared" si="89"/>
        <v>0</v>
      </c>
    </row>
    <row r="1421" spans="1:13">
      <c r="A1421" s="4" t="str" cm="1">
        <f t="array" ref="A1421">INDEX(Sheet1!A:A,$F1421)</f>
        <v>F</v>
      </c>
      <c r="B1421" s="4" t="str" cm="1">
        <f t="array" ref="B1421">INDEX(Sheet1!B:B,$F1421)</f>
        <v>Pref Resid NS</v>
      </c>
      <c r="C1421" s="4">
        <f t="shared" si="90"/>
        <v>88</v>
      </c>
      <c r="D1421" s="5" cm="1">
        <f t="array" aca="1" ref="D1421" ca="1">OFFSET(INDIRECT("'["&amp;$H1421&amp;"]"&amp;$I1421&amp;"'!"&amp;$J1421),$L1421,$M1421)*$K1421</f>
        <v>9.2999999999999999E-2</v>
      </c>
      <c r="F1421" s="4">
        <f t="shared" si="91"/>
        <v>13</v>
      </c>
      <c r="G1421" s="4" cm="1">
        <f t="array" ref="G1421">IF($C1421&gt;=25,F1421,IF($C1421&lt;16,INDEX(Sheet1!C:C,$F1421),$F1421))</f>
        <v>13</v>
      </c>
      <c r="H1421" s="4" t="str" cm="1">
        <f t="array" ref="H1421">INDEX(Sheet1!D:D,$G1421)</f>
        <v>2001-cso-preferred-class-structure-mortality-tables.xls</v>
      </c>
      <c r="I1421" s="4" t="str" cm="1">
        <f t="array" ref="I1421">INDEX(Sheet1!E:E,$G1421)</f>
        <v>A.1.b.ii</v>
      </c>
      <c r="J1421" s="4" t="str" cm="1">
        <f t="array" ref="J1421">IF($C1421&gt;=25,INDEX(Sheet1!G:G,$G1421),INDEX(Sheet1!F:F,$G1421))</f>
        <v>AA8</v>
      </c>
      <c r="K1421" s="4" cm="1">
        <f t="array" ref="K1421">INDEX(Sheet1!H:H,$G1421)</f>
        <v>1E-3</v>
      </c>
      <c r="L1421" s="4">
        <f t="shared" si="88"/>
        <v>63</v>
      </c>
      <c r="M1421" s="4">
        <f t="shared" si="89"/>
        <v>0</v>
      </c>
    </row>
    <row r="1422" spans="1:13">
      <c r="A1422" s="4" t="str" cm="1">
        <f t="array" ref="A1422">INDEX(Sheet1!A:A,$F1422)</f>
        <v>F</v>
      </c>
      <c r="B1422" s="4" t="str" cm="1">
        <f t="array" ref="B1422">INDEX(Sheet1!B:B,$F1422)</f>
        <v>Pref Resid NS</v>
      </c>
      <c r="C1422" s="4">
        <f t="shared" si="90"/>
        <v>89</v>
      </c>
      <c r="D1422" s="5" cm="1">
        <f t="array" aca="1" ref="D1422" ca="1">OFFSET(INDIRECT("'["&amp;$H1422&amp;"]"&amp;$I1422&amp;"'!"&amp;$J1422),$L1422,$M1422)*$K1422</f>
        <v>0.10429000000000001</v>
      </c>
      <c r="F1422" s="4">
        <f t="shared" si="91"/>
        <v>13</v>
      </c>
      <c r="G1422" s="4" cm="1">
        <f t="array" ref="G1422">IF($C1422&gt;=25,F1422,IF($C1422&lt;16,INDEX(Sheet1!C:C,$F1422),$F1422))</f>
        <v>13</v>
      </c>
      <c r="H1422" s="4" t="str" cm="1">
        <f t="array" ref="H1422">INDEX(Sheet1!D:D,$G1422)</f>
        <v>2001-cso-preferred-class-structure-mortality-tables.xls</v>
      </c>
      <c r="I1422" s="4" t="str" cm="1">
        <f t="array" ref="I1422">INDEX(Sheet1!E:E,$G1422)</f>
        <v>A.1.b.ii</v>
      </c>
      <c r="J1422" s="4" t="str" cm="1">
        <f t="array" ref="J1422">IF($C1422&gt;=25,INDEX(Sheet1!G:G,$G1422),INDEX(Sheet1!F:F,$G1422))</f>
        <v>AA8</v>
      </c>
      <c r="K1422" s="4" cm="1">
        <f t="array" ref="K1422">INDEX(Sheet1!H:H,$G1422)</f>
        <v>1E-3</v>
      </c>
      <c r="L1422" s="4">
        <f t="shared" si="88"/>
        <v>64</v>
      </c>
      <c r="M1422" s="4">
        <f t="shared" si="89"/>
        <v>0</v>
      </c>
    </row>
    <row r="1423" spans="1:13">
      <c r="A1423" s="4" t="str" cm="1">
        <f t="array" ref="A1423">INDEX(Sheet1!A:A,$F1423)</f>
        <v>F</v>
      </c>
      <c r="B1423" s="4" t="str" cm="1">
        <f t="array" ref="B1423">INDEX(Sheet1!B:B,$F1423)</f>
        <v>Pref Resid NS</v>
      </c>
      <c r="C1423" s="4">
        <f t="shared" si="90"/>
        <v>90</v>
      </c>
      <c r="D1423" s="5" cm="1">
        <f t="array" aca="1" ref="D1423" ca="1">OFFSET(INDIRECT("'["&amp;$H1423&amp;"]"&amp;$I1423&amp;"'!"&amp;$J1423),$L1423,$M1423)*$K1423</f>
        <v>0.11498000000000001</v>
      </c>
      <c r="F1423" s="4">
        <f t="shared" si="91"/>
        <v>13</v>
      </c>
      <c r="G1423" s="4" cm="1">
        <f t="array" ref="G1423">IF($C1423&gt;=25,F1423,IF($C1423&lt;16,INDEX(Sheet1!C:C,$F1423),$F1423))</f>
        <v>13</v>
      </c>
      <c r="H1423" s="4" t="str" cm="1">
        <f t="array" ref="H1423">INDEX(Sheet1!D:D,$G1423)</f>
        <v>2001-cso-preferred-class-structure-mortality-tables.xls</v>
      </c>
      <c r="I1423" s="4" t="str" cm="1">
        <f t="array" ref="I1423">INDEX(Sheet1!E:E,$G1423)</f>
        <v>A.1.b.ii</v>
      </c>
      <c r="J1423" s="4" t="str" cm="1">
        <f t="array" ref="J1423">IF($C1423&gt;=25,INDEX(Sheet1!G:G,$G1423),INDEX(Sheet1!F:F,$G1423))</f>
        <v>AA8</v>
      </c>
      <c r="K1423" s="4" cm="1">
        <f t="array" ref="K1423">INDEX(Sheet1!H:H,$G1423)</f>
        <v>1E-3</v>
      </c>
      <c r="L1423" s="4">
        <f t="shared" si="88"/>
        <v>65</v>
      </c>
      <c r="M1423" s="4">
        <f t="shared" si="89"/>
        <v>0</v>
      </c>
    </row>
    <row r="1424" spans="1:13">
      <c r="A1424" s="4" t="str" cm="1">
        <f t="array" ref="A1424">INDEX(Sheet1!A:A,$F1424)</f>
        <v>F</v>
      </c>
      <c r="B1424" s="4" t="str" cm="1">
        <f t="array" ref="B1424">INDEX(Sheet1!B:B,$F1424)</f>
        <v>Pref Resid NS</v>
      </c>
      <c r="C1424" s="4">
        <f t="shared" si="90"/>
        <v>91</v>
      </c>
      <c r="D1424" s="5" cm="1">
        <f t="array" aca="1" ref="D1424" ca="1">OFFSET(INDIRECT("'["&amp;$H1424&amp;"]"&amp;$I1424&amp;"'!"&amp;$J1424),$L1424,$M1424)*$K1424</f>
        <v>0.12108000000000001</v>
      </c>
      <c r="F1424" s="4">
        <f t="shared" si="91"/>
        <v>13</v>
      </c>
      <c r="G1424" s="4" cm="1">
        <f t="array" ref="G1424">IF($C1424&gt;=25,F1424,IF($C1424&lt;16,INDEX(Sheet1!C:C,$F1424),$F1424))</f>
        <v>13</v>
      </c>
      <c r="H1424" s="4" t="str" cm="1">
        <f t="array" ref="H1424">INDEX(Sheet1!D:D,$G1424)</f>
        <v>2001-cso-preferred-class-structure-mortality-tables.xls</v>
      </c>
      <c r="I1424" s="4" t="str" cm="1">
        <f t="array" ref="I1424">INDEX(Sheet1!E:E,$G1424)</f>
        <v>A.1.b.ii</v>
      </c>
      <c r="J1424" s="4" t="str" cm="1">
        <f t="array" ref="J1424">IF($C1424&gt;=25,INDEX(Sheet1!G:G,$G1424),INDEX(Sheet1!F:F,$G1424))</f>
        <v>AA8</v>
      </c>
      <c r="K1424" s="4" cm="1">
        <f t="array" ref="K1424">INDEX(Sheet1!H:H,$G1424)</f>
        <v>1E-3</v>
      </c>
      <c r="L1424" s="4">
        <f t="shared" si="88"/>
        <v>66</v>
      </c>
      <c r="M1424" s="4">
        <f t="shared" si="89"/>
        <v>0</v>
      </c>
    </row>
    <row r="1425" spans="1:13">
      <c r="A1425" s="4" t="str" cm="1">
        <f t="array" ref="A1425">INDEX(Sheet1!A:A,$F1425)</f>
        <v>F</v>
      </c>
      <c r="B1425" s="4" t="str" cm="1">
        <f t="array" ref="B1425">INDEX(Sheet1!B:B,$F1425)</f>
        <v>Pref Resid NS</v>
      </c>
      <c r="C1425" s="4">
        <f t="shared" si="90"/>
        <v>92</v>
      </c>
      <c r="D1425" s="5" cm="1">
        <f t="array" aca="1" ref="D1425" ca="1">OFFSET(INDIRECT("'["&amp;$H1425&amp;"]"&amp;$I1425&amp;"'!"&amp;$J1425),$L1425,$M1425)*$K1425</f>
        <v>0.13206000000000001</v>
      </c>
      <c r="F1425" s="4">
        <f t="shared" si="91"/>
        <v>13</v>
      </c>
      <c r="G1425" s="4" cm="1">
        <f t="array" ref="G1425">IF($C1425&gt;=25,F1425,IF($C1425&lt;16,INDEX(Sheet1!C:C,$F1425),$F1425))</f>
        <v>13</v>
      </c>
      <c r="H1425" s="4" t="str" cm="1">
        <f t="array" ref="H1425">INDEX(Sheet1!D:D,$G1425)</f>
        <v>2001-cso-preferred-class-structure-mortality-tables.xls</v>
      </c>
      <c r="I1425" s="4" t="str" cm="1">
        <f t="array" ref="I1425">INDEX(Sheet1!E:E,$G1425)</f>
        <v>A.1.b.ii</v>
      </c>
      <c r="J1425" s="4" t="str" cm="1">
        <f t="array" ref="J1425">IF($C1425&gt;=25,INDEX(Sheet1!G:G,$G1425),INDEX(Sheet1!F:F,$G1425))</f>
        <v>AA8</v>
      </c>
      <c r="K1425" s="4" cm="1">
        <f t="array" ref="K1425">INDEX(Sheet1!H:H,$G1425)</f>
        <v>1E-3</v>
      </c>
      <c r="L1425" s="4">
        <f t="shared" si="88"/>
        <v>67</v>
      </c>
      <c r="M1425" s="4">
        <f t="shared" si="89"/>
        <v>0</v>
      </c>
    </row>
    <row r="1426" spans="1:13">
      <c r="A1426" s="4" t="str" cm="1">
        <f t="array" ref="A1426">INDEX(Sheet1!A:A,$F1426)</f>
        <v>F</v>
      </c>
      <c r="B1426" s="4" t="str" cm="1">
        <f t="array" ref="B1426">INDEX(Sheet1!B:B,$F1426)</f>
        <v>Pref Resid NS</v>
      </c>
      <c r="C1426" s="4">
        <f t="shared" si="90"/>
        <v>93</v>
      </c>
      <c r="D1426" s="5" cm="1">
        <f t="array" aca="1" ref="D1426" ca="1">OFFSET(INDIRECT("'["&amp;$H1426&amp;"]"&amp;$I1426&amp;"'!"&amp;$J1426),$L1426,$M1426)*$K1426</f>
        <v>0.14798</v>
      </c>
      <c r="F1426" s="4">
        <f t="shared" si="91"/>
        <v>13</v>
      </c>
      <c r="G1426" s="4" cm="1">
        <f t="array" ref="G1426">IF($C1426&gt;=25,F1426,IF($C1426&lt;16,INDEX(Sheet1!C:C,$F1426),$F1426))</f>
        <v>13</v>
      </c>
      <c r="H1426" s="4" t="str" cm="1">
        <f t="array" ref="H1426">INDEX(Sheet1!D:D,$G1426)</f>
        <v>2001-cso-preferred-class-structure-mortality-tables.xls</v>
      </c>
      <c r="I1426" s="4" t="str" cm="1">
        <f t="array" ref="I1426">INDEX(Sheet1!E:E,$G1426)</f>
        <v>A.1.b.ii</v>
      </c>
      <c r="J1426" s="4" t="str" cm="1">
        <f t="array" ref="J1426">IF($C1426&gt;=25,INDEX(Sheet1!G:G,$G1426),INDEX(Sheet1!F:F,$G1426))</f>
        <v>AA8</v>
      </c>
      <c r="K1426" s="4" cm="1">
        <f t="array" ref="K1426">INDEX(Sheet1!H:H,$G1426)</f>
        <v>1E-3</v>
      </c>
      <c r="L1426" s="4">
        <f t="shared" si="88"/>
        <v>68</v>
      </c>
      <c r="M1426" s="4">
        <f t="shared" si="89"/>
        <v>0</v>
      </c>
    </row>
    <row r="1427" spans="1:13">
      <c r="A1427" s="4" t="str" cm="1">
        <f t="array" ref="A1427">INDEX(Sheet1!A:A,$F1427)</f>
        <v>F</v>
      </c>
      <c r="B1427" s="4" t="str" cm="1">
        <f t="array" ref="B1427">INDEX(Sheet1!B:B,$F1427)</f>
        <v>Pref Resid NS</v>
      </c>
      <c r="C1427" s="4">
        <f t="shared" si="90"/>
        <v>94</v>
      </c>
      <c r="D1427" s="5" cm="1">
        <f t="array" aca="1" ref="D1427" ca="1">OFFSET(INDIRECT("'["&amp;$H1427&amp;"]"&amp;$I1427&amp;"'!"&amp;$J1427),$L1427,$M1427)*$K1427</f>
        <v>0.16809000000000002</v>
      </c>
      <c r="F1427" s="4">
        <f t="shared" si="91"/>
        <v>13</v>
      </c>
      <c r="G1427" s="4" cm="1">
        <f t="array" ref="G1427">IF($C1427&gt;=25,F1427,IF($C1427&lt;16,INDEX(Sheet1!C:C,$F1427),$F1427))</f>
        <v>13</v>
      </c>
      <c r="H1427" s="4" t="str" cm="1">
        <f t="array" ref="H1427">INDEX(Sheet1!D:D,$G1427)</f>
        <v>2001-cso-preferred-class-structure-mortality-tables.xls</v>
      </c>
      <c r="I1427" s="4" t="str" cm="1">
        <f t="array" ref="I1427">INDEX(Sheet1!E:E,$G1427)</f>
        <v>A.1.b.ii</v>
      </c>
      <c r="J1427" s="4" t="str" cm="1">
        <f t="array" ref="J1427">IF($C1427&gt;=25,INDEX(Sheet1!G:G,$G1427),INDEX(Sheet1!F:F,$G1427))</f>
        <v>AA8</v>
      </c>
      <c r="K1427" s="4" cm="1">
        <f t="array" ref="K1427">INDEX(Sheet1!H:H,$G1427)</f>
        <v>1E-3</v>
      </c>
      <c r="L1427" s="4">
        <f t="shared" si="88"/>
        <v>69</v>
      </c>
      <c r="M1427" s="4">
        <f t="shared" si="89"/>
        <v>0</v>
      </c>
    </row>
    <row r="1428" spans="1:13">
      <c r="A1428" s="4" t="str" cm="1">
        <f t="array" ref="A1428">INDEX(Sheet1!A:A,$F1428)</f>
        <v>F</v>
      </c>
      <c r="B1428" s="4" t="str" cm="1">
        <f t="array" ref="B1428">INDEX(Sheet1!B:B,$F1428)</f>
        <v>Pref Resid NS</v>
      </c>
      <c r="C1428" s="4">
        <f t="shared" si="90"/>
        <v>95</v>
      </c>
      <c r="D1428" s="5" cm="1">
        <f t="array" aca="1" ref="D1428" ca="1">OFFSET(INDIRECT("'["&amp;$H1428&amp;"]"&amp;$I1428&amp;"'!"&amp;$J1428),$L1428,$M1428)*$K1428</f>
        <v>0.19291999999999998</v>
      </c>
      <c r="F1428" s="4">
        <f t="shared" si="91"/>
        <v>13</v>
      </c>
      <c r="G1428" s="4" cm="1">
        <f t="array" ref="G1428">IF($C1428&gt;=25,F1428,IF($C1428&lt;16,INDEX(Sheet1!C:C,$F1428),$F1428))</f>
        <v>13</v>
      </c>
      <c r="H1428" s="4" t="str" cm="1">
        <f t="array" ref="H1428">INDEX(Sheet1!D:D,$G1428)</f>
        <v>2001-cso-preferred-class-structure-mortality-tables.xls</v>
      </c>
      <c r="I1428" s="4" t="str" cm="1">
        <f t="array" ref="I1428">INDEX(Sheet1!E:E,$G1428)</f>
        <v>A.1.b.ii</v>
      </c>
      <c r="J1428" s="4" t="str" cm="1">
        <f t="array" ref="J1428">IF($C1428&gt;=25,INDEX(Sheet1!G:G,$G1428),INDEX(Sheet1!F:F,$G1428))</f>
        <v>AA8</v>
      </c>
      <c r="K1428" s="4" cm="1">
        <f t="array" ref="K1428">INDEX(Sheet1!H:H,$G1428)</f>
        <v>1E-3</v>
      </c>
      <c r="L1428" s="4">
        <f t="shared" si="88"/>
        <v>70</v>
      </c>
      <c r="M1428" s="4">
        <f t="shared" si="89"/>
        <v>0</v>
      </c>
    </row>
    <row r="1429" spans="1:13">
      <c r="A1429" s="4" t="str" cm="1">
        <f t="array" ref="A1429">INDEX(Sheet1!A:A,$F1429)</f>
        <v>F</v>
      </c>
      <c r="B1429" s="4" t="str" cm="1">
        <f t="array" ref="B1429">INDEX(Sheet1!B:B,$F1429)</f>
        <v>Pref Resid NS</v>
      </c>
      <c r="C1429" s="4">
        <f t="shared" si="90"/>
        <v>96</v>
      </c>
      <c r="D1429" s="5" cm="1">
        <f t="array" aca="1" ref="D1429" ca="1">OFFSET(INDIRECT("'["&amp;$H1429&amp;"]"&amp;$I1429&amp;"'!"&amp;$J1429),$L1429,$M1429)*$K1429</f>
        <v>0.21503</v>
      </c>
      <c r="F1429" s="4">
        <f t="shared" si="91"/>
        <v>13</v>
      </c>
      <c r="G1429" s="4" cm="1">
        <f t="array" ref="G1429">IF($C1429&gt;=25,F1429,IF($C1429&lt;16,INDEX(Sheet1!C:C,$F1429),$F1429))</f>
        <v>13</v>
      </c>
      <c r="H1429" s="4" t="str" cm="1">
        <f t="array" ref="H1429">INDEX(Sheet1!D:D,$G1429)</f>
        <v>2001-cso-preferred-class-structure-mortality-tables.xls</v>
      </c>
      <c r="I1429" s="4" t="str" cm="1">
        <f t="array" ref="I1429">INDEX(Sheet1!E:E,$G1429)</f>
        <v>A.1.b.ii</v>
      </c>
      <c r="J1429" s="4" t="str" cm="1">
        <f t="array" ref="J1429">IF($C1429&gt;=25,INDEX(Sheet1!G:G,$G1429),INDEX(Sheet1!F:F,$G1429))</f>
        <v>AA8</v>
      </c>
      <c r="K1429" s="4" cm="1">
        <f t="array" ref="K1429">INDEX(Sheet1!H:H,$G1429)</f>
        <v>1E-3</v>
      </c>
      <c r="L1429" s="4">
        <f t="shared" si="88"/>
        <v>71</v>
      </c>
      <c r="M1429" s="4">
        <f t="shared" si="89"/>
        <v>0</v>
      </c>
    </row>
    <row r="1430" spans="1:13">
      <c r="A1430" s="4" t="str" cm="1">
        <f t="array" ref="A1430">INDEX(Sheet1!A:A,$F1430)</f>
        <v>F</v>
      </c>
      <c r="B1430" s="4" t="str" cm="1">
        <f t="array" ref="B1430">INDEX(Sheet1!B:B,$F1430)</f>
        <v>Pref Resid NS</v>
      </c>
      <c r="C1430" s="4">
        <f t="shared" si="90"/>
        <v>97</v>
      </c>
      <c r="D1430" s="5" cm="1">
        <f t="array" aca="1" ref="D1430" ca="1">OFFSET(INDIRECT("'["&amp;$H1430&amp;"]"&amp;$I1430&amp;"'!"&amp;$J1430),$L1430,$M1430)*$K1430</f>
        <v>0.23779</v>
      </c>
      <c r="F1430" s="4">
        <f t="shared" si="91"/>
        <v>13</v>
      </c>
      <c r="G1430" s="4" cm="1">
        <f t="array" ref="G1430">IF($C1430&gt;=25,F1430,IF($C1430&lt;16,INDEX(Sheet1!C:C,$F1430),$F1430))</f>
        <v>13</v>
      </c>
      <c r="H1430" s="4" t="str" cm="1">
        <f t="array" ref="H1430">INDEX(Sheet1!D:D,$G1430)</f>
        <v>2001-cso-preferred-class-structure-mortality-tables.xls</v>
      </c>
      <c r="I1430" s="4" t="str" cm="1">
        <f t="array" ref="I1430">INDEX(Sheet1!E:E,$G1430)</f>
        <v>A.1.b.ii</v>
      </c>
      <c r="J1430" s="4" t="str" cm="1">
        <f t="array" ref="J1430">IF($C1430&gt;=25,INDEX(Sheet1!G:G,$G1430),INDEX(Sheet1!F:F,$G1430))</f>
        <v>AA8</v>
      </c>
      <c r="K1430" s="4" cm="1">
        <f t="array" ref="K1430">INDEX(Sheet1!H:H,$G1430)</f>
        <v>1E-3</v>
      </c>
      <c r="L1430" s="4">
        <f t="shared" si="88"/>
        <v>72</v>
      </c>
      <c r="M1430" s="4">
        <f t="shared" si="89"/>
        <v>0</v>
      </c>
    </row>
    <row r="1431" spans="1:13">
      <c r="A1431" s="4" t="str" cm="1">
        <f t="array" ref="A1431">INDEX(Sheet1!A:A,$F1431)</f>
        <v>F</v>
      </c>
      <c r="B1431" s="4" t="str" cm="1">
        <f t="array" ref="B1431">INDEX(Sheet1!B:B,$F1431)</f>
        <v>Pref Resid NS</v>
      </c>
      <c r="C1431" s="4">
        <f t="shared" si="90"/>
        <v>98</v>
      </c>
      <c r="D1431" s="5" cm="1">
        <f t="array" aca="1" ref="D1431" ca="1">OFFSET(INDIRECT("'["&amp;$H1431&amp;"]"&amp;$I1431&amp;"'!"&amp;$J1431),$L1431,$M1431)*$K1431</f>
        <v>0.24169000000000002</v>
      </c>
      <c r="F1431" s="4">
        <f t="shared" si="91"/>
        <v>13</v>
      </c>
      <c r="G1431" s="4" cm="1">
        <f t="array" ref="G1431">IF($C1431&gt;=25,F1431,IF($C1431&lt;16,INDEX(Sheet1!C:C,$F1431),$F1431))</f>
        <v>13</v>
      </c>
      <c r="H1431" s="4" t="str" cm="1">
        <f t="array" ref="H1431">INDEX(Sheet1!D:D,$G1431)</f>
        <v>2001-cso-preferred-class-structure-mortality-tables.xls</v>
      </c>
      <c r="I1431" s="4" t="str" cm="1">
        <f t="array" ref="I1431">INDEX(Sheet1!E:E,$G1431)</f>
        <v>A.1.b.ii</v>
      </c>
      <c r="J1431" s="4" t="str" cm="1">
        <f t="array" ref="J1431">IF($C1431&gt;=25,INDEX(Sheet1!G:G,$G1431),INDEX(Sheet1!F:F,$G1431))</f>
        <v>AA8</v>
      </c>
      <c r="K1431" s="4" cm="1">
        <f t="array" ref="K1431">INDEX(Sheet1!H:H,$G1431)</f>
        <v>1E-3</v>
      </c>
      <c r="L1431" s="4">
        <f t="shared" si="88"/>
        <v>73</v>
      </c>
      <c r="M1431" s="4">
        <f t="shared" si="89"/>
        <v>0</v>
      </c>
    </row>
    <row r="1432" spans="1:13">
      <c r="A1432" s="4" t="str" cm="1">
        <f t="array" ref="A1432">INDEX(Sheet1!A:A,$F1432)</f>
        <v>F</v>
      </c>
      <c r="B1432" s="4" t="str" cm="1">
        <f t="array" ref="B1432">INDEX(Sheet1!B:B,$F1432)</f>
        <v>Pref Resid NS</v>
      </c>
      <c r="C1432" s="4">
        <f t="shared" si="90"/>
        <v>99</v>
      </c>
      <c r="D1432" s="5" cm="1">
        <f t="array" aca="1" ref="D1432" ca="1">OFFSET(INDIRECT("'["&amp;$H1432&amp;"]"&amp;$I1432&amp;"'!"&amp;$J1432),$L1432,$M1432)*$K1432</f>
        <v>0.25474000000000002</v>
      </c>
      <c r="F1432" s="4">
        <f t="shared" si="91"/>
        <v>13</v>
      </c>
      <c r="G1432" s="4" cm="1">
        <f t="array" ref="G1432">IF($C1432&gt;=25,F1432,IF($C1432&lt;16,INDEX(Sheet1!C:C,$F1432),$F1432))</f>
        <v>13</v>
      </c>
      <c r="H1432" s="4" t="str" cm="1">
        <f t="array" ref="H1432">INDEX(Sheet1!D:D,$G1432)</f>
        <v>2001-cso-preferred-class-structure-mortality-tables.xls</v>
      </c>
      <c r="I1432" s="4" t="str" cm="1">
        <f t="array" ref="I1432">INDEX(Sheet1!E:E,$G1432)</f>
        <v>A.1.b.ii</v>
      </c>
      <c r="J1432" s="4" t="str" cm="1">
        <f t="array" ref="J1432">IF($C1432&gt;=25,INDEX(Sheet1!G:G,$G1432),INDEX(Sheet1!F:F,$G1432))</f>
        <v>AA8</v>
      </c>
      <c r="K1432" s="4" cm="1">
        <f t="array" ref="K1432">INDEX(Sheet1!H:H,$G1432)</f>
        <v>1E-3</v>
      </c>
      <c r="L1432" s="4">
        <f t="shared" si="88"/>
        <v>74</v>
      </c>
      <c r="M1432" s="4">
        <f t="shared" si="89"/>
        <v>0</v>
      </c>
    </row>
    <row r="1433" spans="1:13">
      <c r="A1433" s="4" t="str" cm="1">
        <f t="array" ref="A1433">INDEX(Sheet1!A:A,$F1433)</f>
        <v>F</v>
      </c>
      <c r="B1433" s="4" t="str" cm="1">
        <f t="array" ref="B1433">INDEX(Sheet1!B:B,$F1433)</f>
        <v>Pref Resid NS</v>
      </c>
      <c r="C1433" s="4">
        <f t="shared" si="90"/>
        <v>100</v>
      </c>
      <c r="D1433" s="5" cm="1">
        <f t="array" aca="1" ref="D1433" ca="1">OFFSET(INDIRECT("'["&amp;$H1433&amp;"]"&amp;$I1433&amp;"'!"&amp;$J1433),$L1433,$M1433)*$K1433</f>
        <v>0.27545999999999998</v>
      </c>
      <c r="F1433" s="4">
        <f t="shared" si="91"/>
        <v>13</v>
      </c>
      <c r="G1433" s="4" cm="1">
        <f t="array" ref="G1433">IF($C1433&gt;=25,F1433,IF($C1433&lt;16,INDEX(Sheet1!C:C,$F1433),$F1433))</f>
        <v>13</v>
      </c>
      <c r="H1433" s="4" t="str" cm="1">
        <f t="array" ref="H1433">INDEX(Sheet1!D:D,$G1433)</f>
        <v>2001-cso-preferred-class-structure-mortality-tables.xls</v>
      </c>
      <c r="I1433" s="4" t="str" cm="1">
        <f t="array" ref="I1433">INDEX(Sheet1!E:E,$G1433)</f>
        <v>A.1.b.ii</v>
      </c>
      <c r="J1433" s="4" t="str" cm="1">
        <f t="array" ref="J1433">IF($C1433&gt;=25,INDEX(Sheet1!G:G,$G1433),INDEX(Sheet1!F:F,$G1433))</f>
        <v>AA8</v>
      </c>
      <c r="K1433" s="4" cm="1">
        <f t="array" ref="K1433">INDEX(Sheet1!H:H,$G1433)</f>
        <v>1E-3</v>
      </c>
      <c r="L1433" s="4">
        <f t="shared" si="88"/>
        <v>75</v>
      </c>
      <c r="M1433" s="4">
        <f t="shared" si="89"/>
        <v>0</v>
      </c>
    </row>
    <row r="1434" spans="1:13">
      <c r="A1434" s="4" t="str" cm="1">
        <f t="array" ref="A1434">INDEX(Sheet1!A:A,$F1434)</f>
        <v>F</v>
      </c>
      <c r="B1434" s="4" t="str" cm="1">
        <f t="array" ref="B1434">INDEX(Sheet1!B:B,$F1434)</f>
        <v>Pref Resid NS</v>
      </c>
      <c r="C1434" s="4">
        <f t="shared" si="90"/>
        <v>101</v>
      </c>
      <c r="D1434" s="5" cm="1">
        <f t="array" aca="1" ref="D1434" ca="1">OFFSET(INDIRECT("'["&amp;$H1434&amp;"]"&amp;$I1434&amp;"'!"&amp;$J1434),$L1434,$M1434)*$K1434</f>
        <v>0.29755000000000004</v>
      </c>
      <c r="F1434" s="4">
        <f t="shared" si="91"/>
        <v>13</v>
      </c>
      <c r="G1434" s="4" cm="1">
        <f t="array" ref="G1434">IF($C1434&gt;=25,F1434,IF($C1434&lt;16,INDEX(Sheet1!C:C,$F1434),$F1434))</f>
        <v>13</v>
      </c>
      <c r="H1434" s="4" t="str" cm="1">
        <f t="array" ref="H1434">INDEX(Sheet1!D:D,$G1434)</f>
        <v>2001-cso-preferred-class-structure-mortality-tables.xls</v>
      </c>
      <c r="I1434" s="4" t="str" cm="1">
        <f t="array" ref="I1434">INDEX(Sheet1!E:E,$G1434)</f>
        <v>A.1.b.ii</v>
      </c>
      <c r="J1434" s="4" t="str" cm="1">
        <f t="array" ref="J1434">IF($C1434&gt;=25,INDEX(Sheet1!G:G,$G1434),INDEX(Sheet1!F:F,$G1434))</f>
        <v>AA8</v>
      </c>
      <c r="K1434" s="4" cm="1">
        <f t="array" ref="K1434">INDEX(Sheet1!H:H,$G1434)</f>
        <v>1E-3</v>
      </c>
      <c r="L1434" s="4">
        <f t="shared" si="88"/>
        <v>76</v>
      </c>
      <c r="M1434" s="4">
        <f t="shared" si="89"/>
        <v>0</v>
      </c>
    </row>
    <row r="1435" spans="1:13">
      <c r="A1435" s="4" t="str" cm="1">
        <f t="array" ref="A1435">INDEX(Sheet1!A:A,$F1435)</f>
        <v>F</v>
      </c>
      <c r="B1435" s="4" t="str" cm="1">
        <f t="array" ref="B1435">INDEX(Sheet1!B:B,$F1435)</f>
        <v>Pref Resid NS</v>
      </c>
      <c r="C1435" s="4">
        <f t="shared" si="90"/>
        <v>102</v>
      </c>
      <c r="D1435" s="5" cm="1">
        <f t="array" aca="1" ref="D1435" ca="1">OFFSET(INDIRECT("'["&amp;$H1435&amp;"]"&amp;$I1435&amp;"'!"&amp;$J1435),$L1435,$M1435)*$K1435</f>
        <v>0.32219000000000003</v>
      </c>
      <c r="F1435" s="4">
        <f t="shared" si="91"/>
        <v>13</v>
      </c>
      <c r="G1435" s="4" cm="1">
        <f t="array" ref="G1435">IF($C1435&gt;=25,F1435,IF($C1435&lt;16,INDEX(Sheet1!C:C,$F1435),$F1435))</f>
        <v>13</v>
      </c>
      <c r="H1435" s="4" t="str" cm="1">
        <f t="array" ref="H1435">INDEX(Sheet1!D:D,$G1435)</f>
        <v>2001-cso-preferred-class-structure-mortality-tables.xls</v>
      </c>
      <c r="I1435" s="4" t="str" cm="1">
        <f t="array" ref="I1435">INDEX(Sheet1!E:E,$G1435)</f>
        <v>A.1.b.ii</v>
      </c>
      <c r="J1435" s="4" t="str" cm="1">
        <f t="array" ref="J1435">IF($C1435&gt;=25,INDEX(Sheet1!G:G,$G1435),INDEX(Sheet1!F:F,$G1435))</f>
        <v>AA8</v>
      </c>
      <c r="K1435" s="4" cm="1">
        <f t="array" ref="K1435">INDEX(Sheet1!H:H,$G1435)</f>
        <v>1E-3</v>
      </c>
      <c r="L1435" s="4">
        <f t="shared" si="88"/>
        <v>77</v>
      </c>
      <c r="M1435" s="4">
        <f t="shared" si="89"/>
        <v>0</v>
      </c>
    </row>
    <row r="1436" spans="1:13">
      <c r="A1436" s="4" t="str" cm="1">
        <f t="array" ref="A1436">INDEX(Sheet1!A:A,$F1436)</f>
        <v>F</v>
      </c>
      <c r="B1436" s="4" t="str" cm="1">
        <f t="array" ref="B1436">INDEX(Sheet1!B:B,$F1436)</f>
        <v>Pref Resid NS</v>
      </c>
      <c r="C1436" s="4">
        <f t="shared" si="90"/>
        <v>103</v>
      </c>
      <c r="D1436" s="5" cm="1">
        <f t="array" aca="1" ref="D1436" ca="1">OFFSET(INDIRECT("'["&amp;$H1436&amp;"]"&amp;$I1436&amp;"'!"&amp;$J1436),$L1436,$M1436)*$K1436</f>
        <v>0.34904000000000002</v>
      </c>
      <c r="F1436" s="4">
        <f t="shared" si="91"/>
        <v>13</v>
      </c>
      <c r="G1436" s="4" cm="1">
        <f t="array" ref="G1436">IF($C1436&gt;=25,F1436,IF($C1436&lt;16,INDEX(Sheet1!C:C,$F1436),$F1436))</f>
        <v>13</v>
      </c>
      <c r="H1436" s="4" t="str" cm="1">
        <f t="array" ref="H1436">INDEX(Sheet1!D:D,$G1436)</f>
        <v>2001-cso-preferred-class-structure-mortality-tables.xls</v>
      </c>
      <c r="I1436" s="4" t="str" cm="1">
        <f t="array" ref="I1436">INDEX(Sheet1!E:E,$G1436)</f>
        <v>A.1.b.ii</v>
      </c>
      <c r="J1436" s="4" t="str" cm="1">
        <f t="array" ref="J1436">IF($C1436&gt;=25,INDEX(Sheet1!G:G,$G1436),INDEX(Sheet1!F:F,$G1436))</f>
        <v>AA8</v>
      </c>
      <c r="K1436" s="4" cm="1">
        <f t="array" ref="K1436">INDEX(Sheet1!H:H,$G1436)</f>
        <v>1E-3</v>
      </c>
      <c r="L1436" s="4">
        <f t="shared" si="88"/>
        <v>78</v>
      </c>
      <c r="M1436" s="4">
        <f t="shared" si="89"/>
        <v>0</v>
      </c>
    </row>
    <row r="1437" spans="1:13">
      <c r="A1437" s="4" t="str" cm="1">
        <f t="array" ref="A1437">INDEX(Sheet1!A:A,$F1437)</f>
        <v>F</v>
      </c>
      <c r="B1437" s="4" t="str" cm="1">
        <f t="array" ref="B1437">INDEX(Sheet1!B:B,$F1437)</f>
        <v>Pref Resid NS</v>
      </c>
      <c r="C1437" s="4">
        <f t="shared" si="90"/>
        <v>104</v>
      </c>
      <c r="D1437" s="5" cm="1">
        <f t="array" aca="1" ref="D1437" ca="1">OFFSET(INDIRECT("'["&amp;$H1437&amp;"]"&amp;$I1437&amp;"'!"&amp;$J1437),$L1437,$M1437)*$K1437</f>
        <v>0.37860000000000005</v>
      </c>
      <c r="F1437" s="4">
        <f t="shared" si="91"/>
        <v>13</v>
      </c>
      <c r="G1437" s="4" cm="1">
        <f t="array" ref="G1437">IF($C1437&gt;=25,F1437,IF($C1437&lt;16,INDEX(Sheet1!C:C,$F1437),$F1437))</f>
        <v>13</v>
      </c>
      <c r="H1437" s="4" t="str" cm="1">
        <f t="array" ref="H1437">INDEX(Sheet1!D:D,$G1437)</f>
        <v>2001-cso-preferred-class-structure-mortality-tables.xls</v>
      </c>
      <c r="I1437" s="4" t="str" cm="1">
        <f t="array" ref="I1437">INDEX(Sheet1!E:E,$G1437)</f>
        <v>A.1.b.ii</v>
      </c>
      <c r="J1437" s="4" t="str" cm="1">
        <f t="array" ref="J1437">IF($C1437&gt;=25,INDEX(Sheet1!G:G,$G1437),INDEX(Sheet1!F:F,$G1437))</f>
        <v>AA8</v>
      </c>
      <c r="K1437" s="4" cm="1">
        <f t="array" ref="K1437">INDEX(Sheet1!H:H,$G1437)</f>
        <v>1E-3</v>
      </c>
      <c r="L1437" s="4">
        <f t="shared" si="88"/>
        <v>79</v>
      </c>
      <c r="M1437" s="4">
        <f t="shared" si="89"/>
        <v>0</v>
      </c>
    </row>
    <row r="1438" spans="1:13">
      <c r="A1438" s="4" t="str" cm="1">
        <f t="array" ref="A1438">INDEX(Sheet1!A:A,$F1438)</f>
        <v>F</v>
      </c>
      <c r="B1438" s="4" t="str" cm="1">
        <f t="array" ref="B1438">INDEX(Sheet1!B:B,$F1438)</f>
        <v>Pref Resid NS</v>
      </c>
      <c r="C1438" s="4">
        <f t="shared" si="90"/>
        <v>105</v>
      </c>
      <c r="D1438" s="5" cm="1">
        <f t="array" aca="1" ref="D1438" ca="1">OFFSET(INDIRECT("'["&amp;$H1438&amp;"]"&amp;$I1438&amp;"'!"&amp;$J1438),$L1438,$M1438)*$K1438</f>
        <v>0.41056000000000004</v>
      </c>
      <c r="F1438" s="4">
        <f t="shared" si="91"/>
        <v>13</v>
      </c>
      <c r="G1438" s="4" cm="1">
        <f t="array" ref="G1438">IF($C1438&gt;=25,F1438,IF($C1438&lt;16,INDEX(Sheet1!C:C,$F1438),$F1438))</f>
        <v>13</v>
      </c>
      <c r="H1438" s="4" t="str" cm="1">
        <f t="array" ref="H1438">INDEX(Sheet1!D:D,$G1438)</f>
        <v>2001-cso-preferred-class-structure-mortality-tables.xls</v>
      </c>
      <c r="I1438" s="4" t="str" cm="1">
        <f t="array" ref="I1438">INDEX(Sheet1!E:E,$G1438)</f>
        <v>A.1.b.ii</v>
      </c>
      <c r="J1438" s="4" t="str" cm="1">
        <f t="array" ref="J1438">IF($C1438&gt;=25,INDEX(Sheet1!G:G,$G1438),INDEX(Sheet1!F:F,$G1438))</f>
        <v>AA8</v>
      </c>
      <c r="K1438" s="4" cm="1">
        <f t="array" ref="K1438">INDEX(Sheet1!H:H,$G1438)</f>
        <v>1E-3</v>
      </c>
      <c r="L1438" s="4">
        <f t="shared" si="88"/>
        <v>80</v>
      </c>
      <c r="M1438" s="4">
        <f t="shared" si="89"/>
        <v>0</v>
      </c>
    </row>
    <row r="1439" spans="1:13">
      <c r="A1439" s="4" t="str" cm="1">
        <f t="array" ref="A1439">INDEX(Sheet1!A:A,$F1439)</f>
        <v>F</v>
      </c>
      <c r="B1439" s="4" t="str" cm="1">
        <f t="array" ref="B1439">INDEX(Sheet1!B:B,$F1439)</f>
        <v>Pref Resid NS</v>
      </c>
      <c r="C1439" s="4">
        <f t="shared" si="90"/>
        <v>106</v>
      </c>
      <c r="D1439" s="5" cm="1">
        <f t="array" aca="1" ref="D1439" ca="1">OFFSET(INDIRECT("'["&amp;$H1439&amp;"]"&amp;$I1439&amp;"'!"&amp;$J1439),$L1439,$M1439)*$K1439</f>
        <v>0.44331999999999999</v>
      </c>
      <c r="F1439" s="4">
        <f t="shared" si="91"/>
        <v>13</v>
      </c>
      <c r="G1439" s="4" cm="1">
        <f t="array" ref="G1439">IF($C1439&gt;=25,F1439,IF($C1439&lt;16,INDEX(Sheet1!C:C,$F1439),$F1439))</f>
        <v>13</v>
      </c>
      <c r="H1439" s="4" t="str" cm="1">
        <f t="array" ref="H1439">INDEX(Sheet1!D:D,$G1439)</f>
        <v>2001-cso-preferred-class-structure-mortality-tables.xls</v>
      </c>
      <c r="I1439" s="4" t="str" cm="1">
        <f t="array" ref="I1439">INDEX(Sheet1!E:E,$G1439)</f>
        <v>A.1.b.ii</v>
      </c>
      <c r="J1439" s="4" t="str" cm="1">
        <f t="array" ref="J1439">IF($C1439&gt;=25,INDEX(Sheet1!G:G,$G1439),INDEX(Sheet1!F:F,$G1439))</f>
        <v>AA8</v>
      </c>
      <c r="K1439" s="4" cm="1">
        <f t="array" ref="K1439">INDEX(Sheet1!H:H,$G1439)</f>
        <v>1E-3</v>
      </c>
      <c r="L1439" s="4">
        <f t="shared" si="88"/>
        <v>81</v>
      </c>
      <c r="M1439" s="4">
        <f t="shared" si="89"/>
        <v>0</v>
      </c>
    </row>
    <row r="1440" spans="1:13">
      <c r="A1440" s="4" t="str" cm="1">
        <f t="array" ref="A1440">INDEX(Sheet1!A:A,$F1440)</f>
        <v>F</v>
      </c>
      <c r="B1440" s="4" t="str" cm="1">
        <f t="array" ref="B1440">INDEX(Sheet1!B:B,$F1440)</f>
        <v>Pref Resid NS</v>
      </c>
      <c r="C1440" s="4">
        <f t="shared" si="90"/>
        <v>107</v>
      </c>
      <c r="D1440" s="5" cm="1">
        <f t="array" aca="1" ref="D1440" ca="1">OFFSET(INDIRECT("'["&amp;$H1440&amp;"]"&amp;$I1440&amp;"'!"&amp;$J1440),$L1440,$M1440)*$K1440</f>
        <v>0.47688000000000003</v>
      </c>
      <c r="F1440" s="4">
        <f t="shared" si="91"/>
        <v>13</v>
      </c>
      <c r="G1440" s="4" cm="1">
        <f t="array" ref="G1440">IF($C1440&gt;=25,F1440,IF($C1440&lt;16,INDEX(Sheet1!C:C,$F1440),$F1440))</f>
        <v>13</v>
      </c>
      <c r="H1440" s="4" t="str" cm="1">
        <f t="array" ref="H1440">INDEX(Sheet1!D:D,$G1440)</f>
        <v>2001-cso-preferred-class-structure-mortality-tables.xls</v>
      </c>
      <c r="I1440" s="4" t="str" cm="1">
        <f t="array" ref="I1440">INDEX(Sheet1!E:E,$G1440)</f>
        <v>A.1.b.ii</v>
      </c>
      <c r="J1440" s="4" t="str" cm="1">
        <f t="array" ref="J1440">IF($C1440&gt;=25,INDEX(Sheet1!G:G,$G1440),INDEX(Sheet1!F:F,$G1440))</f>
        <v>AA8</v>
      </c>
      <c r="K1440" s="4" cm="1">
        <f t="array" ref="K1440">INDEX(Sheet1!H:H,$G1440)</f>
        <v>1E-3</v>
      </c>
      <c r="L1440" s="4">
        <f t="shared" si="88"/>
        <v>82</v>
      </c>
      <c r="M1440" s="4">
        <f t="shared" si="89"/>
        <v>0</v>
      </c>
    </row>
    <row r="1441" spans="1:13">
      <c r="A1441" s="4" t="str" cm="1">
        <f t="array" ref="A1441">INDEX(Sheet1!A:A,$F1441)</f>
        <v>F</v>
      </c>
      <c r="B1441" s="4" t="str" cm="1">
        <f t="array" ref="B1441">INDEX(Sheet1!B:B,$F1441)</f>
        <v>Pref Resid NS</v>
      </c>
      <c r="C1441" s="4">
        <f t="shared" si="90"/>
        <v>108</v>
      </c>
      <c r="D1441" s="5" cm="1">
        <f t="array" aca="1" ref="D1441" ca="1">OFFSET(INDIRECT("'["&amp;$H1441&amp;"]"&amp;$I1441&amp;"'!"&amp;$J1441),$L1441,$M1441)*$K1441</f>
        <v>0.51063999999999998</v>
      </c>
      <c r="F1441" s="4">
        <f t="shared" si="91"/>
        <v>13</v>
      </c>
      <c r="G1441" s="4" cm="1">
        <f t="array" ref="G1441">IF($C1441&gt;=25,F1441,IF($C1441&lt;16,INDEX(Sheet1!C:C,$F1441),$F1441))</f>
        <v>13</v>
      </c>
      <c r="H1441" s="4" t="str" cm="1">
        <f t="array" ref="H1441">INDEX(Sheet1!D:D,$G1441)</f>
        <v>2001-cso-preferred-class-structure-mortality-tables.xls</v>
      </c>
      <c r="I1441" s="4" t="str" cm="1">
        <f t="array" ref="I1441">INDEX(Sheet1!E:E,$G1441)</f>
        <v>A.1.b.ii</v>
      </c>
      <c r="J1441" s="4" t="str" cm="1">
        <f t="array" ref="J1441">IF($C1441&gt;=25,INDEX(Sheet1!G:G,$G1441),INDEX(Sheet1!F:F,$G1441))</f>
        <v>AA8</v>
      </c>
      <c r="K1441" s="4" cm="1">
        <f t="array" ref="K1441">INDEX(Sheet1!H:H,$G1441)</f>
        <v>1E-3</v>
      </c>
      <c r="L1441" s="4">
        <f t="shared" si="88"/>
        <v>83</v>
      </c>
      <c r="M1441" s="4">
        <f t="shared" si="89"/>
        <v>0</v>
      </c>
    </row>
    <row r="1442" spans="1:13">
      <c r="A1442" s="4" t="str" cm="1">
        <f t="array" ref="A1442">INDEX(Sheet1!A:A,$F1442)</f>
        <v>F</v>
      </c>
      <c r="B1442" s="4" t="str" cm="1">
        <f t="array" ref="B1442">INDEX(Sheet1!B:B,$F1442)</f>
        <v>Pref Resid NS</v>
      </c>
      <c r="C1442" s="4">
        <f t="shared" si="90"/>
        <v>109</v>
      </c>
      <c r="D1442" s="5" cm="1">
        <f t="array" aca="1" ref="D1442" ca="1">OFFSET(INDIRECT("'["&amp;$H1442&amp;"]"&amp;$I1442&amp;"'!"&amp;$J1442),$L1442,$M1442)*$K1442</f>
        <v>0.54579999999999995</v>
      </c>
      <c r="F1442" s="4">
        <f t="shared" si="91"/>
        <v>13</v>
      </c>
      <c r="G1442" s="4" cm="1">
        <f t="array" ref="G1442">IF($C1442&gt;=25,F1442,IF($C1442&lt;16,INDEX(Sheet1!C:C,$F1442),$F1442))</f>
        <v>13</v>
      </c>
      <c r="H1442" s="4" t="str" cm="1">
        <f t="array" ref="H1442">INDEX(Sheet1!D:D,$G1442)</f>
        <v>2001-cso-preferred-class-structure-mortality-tables.xls</v>
      </c>
      <c r="I1442" s="4" t="str" cm="1">
        <f t="array" ref="I1442">INDEX(Sheet1!E:E,$G1442)</f>
        <v>A.1.b.ii</v>
      </c>
      <c r="J1442" s="4" t="str" cm="1">
        <f t="array" ref="J1442">IF($C1442&gt;=25,INDEX(Sheet1!G:G,$G1442),INDEX(Sheet1!F:F,$G1442))</f>
        <v>AA8</v>
      </c>
      <c r="K1442" s="4" cm="1">
        <f t="array" ref="K1442">INDEX(Sheet1!H:H,$G1442)</f>
        <v>1E-3</v>
      </c>
      <c r="L1442" s="4">
        <f t="shared" si="88"/>
        <v>84</v>
      </c>
      <c r="M1442" s="4">
        <f t="shared" si="89"/>
        <v>0</v>
      </c>
    </row>
    <row r="1443" spans="1:13">
      <c r="A1443" s="4" t="str" cm="1">
        <f t="array" ref="A1443">INDEX(Sheet1!A:A,$F1443)</f>
        <v>F</v>
      </c>
      <c r="B1443" s="4" t="str" cm="1">
        <f t="array" ref="B1443">INDEX(Sheet1!B:B,$F1443)</f>
        <v>Pref Resid NS</v>
      </c>
      <c r="C1443" s="4">
        <f t="shared" si="90"/>
        <v>110</v>
      </c>
      <c r="D1443" s="5" cm="1">
        <f t="array" aca="1" ref="D1443" ca="1">OFFSET(INDIRECT("'["&amp;$H1443&amp;"]"&amp;$I1443&amp;"'!"&amp;$J1443),$L1443,$M1443)*$K1443</f>
        <v>0.58176000000000005</v>
      </c>
      <c r="F1443" s="4">
        <f t="shared" si="91"/>
        <v>13</v>
      </c>
      <c r="G1443" s="4" cm="1">
        <f t="array" ref="G1443">IF($C1443&gt;=25,F1443,IF($C1443&lt;16,INDEX(Sheet1!C:C,$F1443),$F1443))</f>
        <v>13</v>
      </c>
      <c r="H1443" s="4" t="str" cm="1">
        <f t="array" ref="H1443">INDEX(Sheet1!D:D,$G1443)</f>
        <v>2001-cso-preferred-class-structure-mortality-tables.xls</v>
      </c>
      <c r="I1443" s="4" t="str" cm="1">
        <f t="array" ref="I1443">INDEX(Sheet1!E:E,$G1443)</f>
        <v>A.1.b.ii</v>
      </c>
      <c r="J1443" s="4" t="str" cm="1">
        <f t="array" ref="J1443">IF($C1443&gt;=25,INDEX(Sheet1!G:G,$G1443),INDEX(Sheet1!F:F,$G1443))</f>
        <v>AA8</v>
      </c>
      <c r="K1443" s="4" cm="1">
        <f t="array" ref="K1443">INDEX(Sheet1!H:H,$G1443)</f>
        <v>1E-3</v>
      </c>
      <c r="L1443" s="4">
        <f t="shared" si="88"/>
        <v>85</v>
      </c>
      <c r="M1443" s="4">
        <f t="shared" si="89"/>
        <v>0</v>
      </c>
    </row>
    <row r="1444" spans="1:13">
      <c r="A1444" s="4" t="str" cm="1">
        <f t="array" ref="A1444">INDEX(Sheet1!A:A,$F1444)</f>
        <v>F</v>
      </c>
      <c r="B1444" s="4" t="str" cm="1">
        <f t="array" ref="B1444">INDEX(Sheet1!B:B,$F1444)</f>
        <v>Pref Resid NS</v>
      </c>
      <c r="C1444" s="4">
        <f t="shared" si="90"/>
        <v>111</v>
      </c>
      <c r="D1444" s="5" cm="1">
        <f t="array" aca="1" ref="D1444" ca="1">OFFSET(INDIRECT("'["&amp;$H1444&amp;"]"&amp;$I1444&amp;"'!"&amp;$J1444),$L1444,$M1444)*$K1444</f>
        <v>0.61633000000000004</v>
      </c>
      <c r="F1444" s="4">
        <f t="shared" si="91"/>
        <v>13</v>
      </c>
      <c r="G1444" s="4" cm="1">
        <f t="array" ref="G1444">IF($C1444&gt;=25,F1444,IF($C1444&lt;16,INDEX(Sheet1!C:C,$F1444),$F1444))</f>
        <v>13</v>
      </c>
      <c r="H1444" s="4" t="str" cm="1">
        <f t="array" ref="H1444">INDEX(Sheet1!D:D,$G1444)</f>
        <v>2001-cso-preferred-class-structure-mortality-tables.xls</v>
      </c>
      <c r="I1444" s="4" t="str" cm="1">
        <f t="array" ref="I1444">INDEX(Sheet1!E:E,$G1444)</f>
        <v>A.1.b.ii</v>
      </c>
      <c r="J1444" s="4" t="str" cm="1">
        <f t="array" ref="J1444">IF($C1444&gt;=25,INDEX(Sheet1!G:G,$G1444),INDEX(Sheet1!F:F,$G1444))</f>
        <v>AA8</v>
      </c>
      <c r="K1444" s="4" cm="1">
        <f t="array" ref="K1444">INDEX(Sheet1!H:H,$G1444)</f>
        <v>1E-3</v>
      </c>
      <c r="L1444" s="4">
        <f t="shared" si="88"/>
        <v>86</v>
      </c>
      <c r="M1444" s="4">
        <f t="shared" si="89"/>
        <v>0</v>
      </c>
    </row>
    <row r="1445" spans="1:13">
      <c r="A1445" s="4" t="str" cm="1">
        <f t="array" ref="A1445">INDEX(Sheet1!A:A,$F1445)</f>
        <v>F</v>
      </c>
      <c r="B1445" s="4" t="str" cm="1">
        <f t="array" ref="B1445">INDEX(Sheet1!B:B,$F1445)</f>
        <v>Pref Resid NS</v>
      </c>
      <c r="C1445" s="4">
        <f t="shared" si="90"/>
        <v>112</v>
      </c>
      <c r="D1445" s="5" cm="1">
        <f t="array" aca="1" ref="D1445" ca="1">OFFSET(INDIRECT("'["&amp;$H1445&amp;"]"&amp;$I1445&amp;"'!"&amp;$J1445),$L1445,$M1445)*$K1445</f>
        <v>0.64985000000000004</v>
      </c>
      <c r="F1445" s="4">
        <f t="shared" si="91"/>
        <v>13</v>
      </c>
      <c r="G1445" s="4" cm="1">
        <f t="array" ref="G1445">IF($C1445&gt;=25,F1445,IF($C1445&lt;16,INDEX(Sheet1!C:C,$F1445),$F1445))</f>
        <v>13</v>
      </c>
      <c r="H1445" s="4" t="str" cm="1">
        <f t="array" ref="H1445">INDEX(Sheet1!D:D,$G1445)</f>
        <v>2001-cso-preferred-class-structure-mortality-tables.xls</v>
      </c>
      <c r="I1445" s="4" t="str" cm="1">
        <f t="array" ref="I1445">INDEX(Sheet1!E:E,$G1445)</f>
        <v>A.1.b.ii</v>
      </c>
      <c r="J1445" s="4" t="str" cm="1">
        <f t="array" ref="J1445">IF($C1445&gt;=25,INDEX(Sheet1!G:G,$G1445),INDEX(Sheet1!F:F,$G1445))</f>
        <v>AA8</v>
      </c>
      <c r="K1445" s="4" cm="1">
        <f t="array" ref="K1445">INDEX(Sheet1!H:H,$G1445)</f>
        <v>1E-3</v>
      </c>
      <c r="L1445" s="4">
        <f t="shared" si="88"/>
        <v>87</v>
      </c>
      <c r="M1445" s="4">
        <f t="shared" si="89"/>
        <v>0</v>
      </c>
    </row>
    <row r="1446" spans="1:13">
      <c r="A1446" s="4" t="str" cm="1">
        <f t="array" ref="A1446">INDEX(Sheet1!A:A,$F1446)</f>
        <v>F</v>
      </c>
      <c r="B1446" s="4" t="str" cm="1">
        <f t="array" ref="B1446">INDEX(Sheet1!B:B,$F1446)</f>
        <v>Pref Resid NS</v>
      </c>
      <c r="C1446" s="4">
        <f t="shared" si="90"/>
        <v>113</v>
      </c>
      <c r="D1446" s="5" cm="1">
        <f t="array" aca="1" ref="D1446" ca="1">OFFSET(INDIRECT("'["&amp;$H1446&amp;"]"&amp;$I1446&amp;"'!"&amp;$J1446),$L1446,$M1446)*$K1446</f>
        <v>0.68036000000000008</v>
      </c>
      <c r="F1446" s="4">
        <f t="shared" si="91"/>
        <v>13</v>
      </c>
      <c r="G1446" s="4" cm="1">
        <f t="array" ref="G1446">IF($C1446&gt;=25,F1446,IF($C1446&lt;16,INDEX(Sheet1!C:C,$F1446),$F1446))</f>
        <v>13</v>
      </c>
      <c r="H1446" s="4" t="str" cm="1">
        <f t="array" ref="H1446">INDEX(Sheet1!D:D,$G1446)</f>
        <v>2001-cso-preferred-class-structure-mortality-tables.xls</v>
      </c>
      <c r="I1446" s="4" t="str" cm="1">
        <f t="array" ref="I1446">INDEX(Sheet1!E:E,$G1446)</f>
        <v>A.1.b.ii</v>
      </c>
      <c r="J1446" s="4" t="str" cm="1">
        <f t="array" ref="J1446">IF($C1446&gt;=25,INDEX(Sheet1!G:G,$G1446),INDEX(Sheet1!F:F,$G1446))</f>
        <v>AA8</v>
      </c>
      <c r="K1446" s="4" cm="1">
        <f t="array" ref="K1446">INDEX(Sheet1!H:H,$G1446)</f>
        <v>1E-3</v>
      </c>
      <c r="L1446" s="4">
        <f t="shared" si="88"/>
        <v>88</v>
      </c>
      <c r="M1446" s="4">
        <f t="shared" si="89"/>
        <v>0</v>
      </c>
    </row>
    <row r="1447" spans="1:13">
      <c r="A1447" s="4" t="str" cm="1">
        <f t="array" ref="A1447">INDEX(Sheet1!A:A,$F1447)</f>
        <v>F</v>
      </c>
      <c r="B1447" s="4" t="str" cm="1">
        <f t="array" ref="B1447">INDEX(Sheet1!B:B,$F1447)</f>
        <v>Pref Resid NS</v>
      </c>
      <c r="C1447" s="4">
        <f t="shared" si="90"/>
        <v>114</v>
      </c>
      <c r="D1447" s="5" cm="1">
        <f t="array" aca="1" ref="D1447" ca="1">OFFSET(INDIRECT("'["&amp;$H1447&amp;"]"&amp;$I1447&amp;"'!"&amp;$J1447),$L1447,$M1447)*$K1447</f>
        <v>0.72338000000000002</v>
      </c>
      <c r="F1447" s="4">
        <f t="shared" si="91"/>
        <v>13</v>
      </c>
      <c r="G1447" s="4" cm="1">
        <f t="array" ref="G1447">IF($C1447&gt;=25,F1447,IF($C1447&lt;16,INDEX(Sheet1!C:C,$F1447),$F1447))</f>
        <v>13</v>
      </c>
      <c r="H1447" s="4" t="str" cm="1">
        <f t="array" ref="H1447">INDEX(Sheet1!D:D,$G1447)</f>
        <v>2001-cso-preferred-class-structure-mortality-tables.xls</v>
      </c>
      <c r="I1447" s="4" t="str" cm="1">
        <f t="array" ref="I1447">INDEX(Sheet1!E:E,$G1447)</f>
        <v>A.1.b.ii</v>
      </c>
      <c r="J1447" s="4" t="str" cm="1">
        <f t="array" ref="J1447">IF($C1447&gt;=25,INDEX(Sheet1!G:G,$G1447),INDEX(Sheet1!F:F,$G1447))</f>
        <v>AA8</v>
      </c>
      <c r="K1447" s="4" cm="1">
        <f t="array" ref="K1447">INDEX(Sheet1!H:H,$G1447)</f>
        <v>1E-3</v>
      </c>
      <c r="L1447" s="4">
        <f t="shared" si="88"/>
        <v>89</v>
      </c>
      <c r="M1447" s="4">
        <f t="shared" si="89"/>
        <v>0</v>
      </c>
    </row>
    <row r="1448" spans="1:13">
      <c r="A1448" s="4" t="str" cm="1">
        <f t="array" ref="A1448">INDEX(Sheet1!A:A,$F1448)</f>
        <v>F</v>
      </c>
      <c r="B1448" s="4" t="str" cm="1">
        <f t="array" ref="B1448">INDEX(Sheet1!B:B,$F1448)</f>
        <v>Pref Resid NS</v>
      </c>
      <c r="C1448" s="4">
        <f t="shared" si="90"/>
        <v>115</v>
      </c>
      <c r="D1448" s="5" cm="1">
        <f t="array" aca="1" ref="D1448" ca="1">OFFSET(INDIRECT("'["&amp;$H1448&amp;"]"&amp;$I1448&amp;"'!"&amp;$J1448),$L1448,$M1448)*$K1448</f>
        <v>0.76339999999999997</v>
      </c>
      <c r="F1448" s="4">
        <f t="shared" si="91"/>
        <v>13</v>
      </c>
      <c r="G1448" s="4" cm="1">
        <f t="array" ref="G1448">IF($C1448&gt;=25,F1448,IF($C1448&lt;16,INDEX(Sheet1!C:C,$F1448),$F1448))</f>
        <v>13</v>
      </c>
      <c r="H1448" s="4" t="str" cm="1">
        <f t="array" ref="H1448">INDEX(Sheet1!D:D,$G1448)</f>
        <v>2001-cso-preferred-class-structure-mortality-tables.xls</v>
      </c>
      <c r="I1448" s="4" t="str" cm="1">
        <f t="array" ref="I1448">INDEX(Sheet1!E:E,$G1448)</f>
        <v>A.1.b.ii</v>
      </c>
      <c r="J1448" s="4" t="str" cm="1">
        <f t="array" ref="J1448">IF($C1448&gt;=25,INDEX(Sheet1!G:G,$G1448),INDEX(Sheet1!F:F,$G1448))</f>
        <v>AA8</v>
      </c>
      <c r="K1448" s="4" cm="1">
        <f t="array" ref="K1448">INDEX(Sheet1!H:H,$G1448)</f>
        <v>1E-3</v>
      </c>
      <c r="L1448" s="4">
        <f t="shared" si="88"/>
        <v>90</v>
      </c>
      <c r="M1448" s="4">
        <f t="shared" si="89"/>
        <v>0</v>
      </c>
    </row>
    <row r="1449" spans="1:13">
      <c r="A1449" s="4" t="str" cm="1">
        <f t="array" ref="A1449">INDEX(Sheet1!A:A,$F1449)</f>
        <v>F</v>
      </c>
      <c r="B1449" s="4" t="str" cm="1">
        <f t="array" ref="B1449">INDEX(Sheet1!B:B,$F1449)</f>
        <v>Pref Resid NS</v>
      </c>
      <c r="C1449" s="4">
        <f t="shared" si="90"/>
        <v>116</v>
      </c>
      <c r="D1449" s="5" cm="1">
        <f t="array" aca="1" ref="D1449" ca="1">OFFSET(INDIRECT("'["&amp;$H1449&amp;"]"&amp;$I1449&amp;"'!"&amp;$J1449),$L1449,$M1449)*$K1449</f>
        <v>0.80491999999999997</v>
      </c>
      <c r="F1449" s="4">
        <f t="shared" si="91"/>
        <v>13</v>
      </c>
      <c r="G1449" s="4" cm="1">
        <f t="array" ref="G1449">IF($C1449&gt;=25,F1449,IF($C1449&lt;16,INDEX(Sheet1!C:C,$F1449),$F1449))</f>
        <v>13</v>
      </c>
      <c r="H1449" s="4" t="str" cm="1">
        <f t="array" ref="H1449">INDEX(Sheet1!D:D,$G1449)</f>
        <v>2001-cso-preferred-class-structure-mortality-tables.xls</v>
      </c>
      <c r="I1449" s="4" t="str" cm="1">
        <f t="array" ref="I1449">INDEX(Sheet1!E:E,$G1449)</f>
        <v>A.1.b.ii</v>
      </c>
      <c r="J1449" s="4" t="str" cm="1">
        <f t="array" ref="J1449">IF($C1449&gt;=25,INDEX(Sheet1!G:G,$G1449),INDEX(Sheet1!F:F,$G1449))</f>
        <v>AA8</v>
      </c>
      <c r="K1449" s="4" cm="1">
        <f t="array" ref="K1449">INDEX(Sheet1!H:H,$G1449)</f>
        <v>1E-3</v>
      </c>
      <c r="L1449" s="4">
        <f t="shared" si="88"/>
        <v>91</v>
      </c>
      <c r="M1449" s="4">
        <f t="shared" si="89"/>
        <v>0</v>
      </c>
    </row>
    <row r="1450" spans="1:13">
      <c r="A1450" s="4" t="str" cm="1">
        <f t="array" ref="A1450">INDEX(Sheet1!A:A,$F1450)</f>
        <v>F</v>
      </c>
      <c r="B1450" s="4" t="str" cm="1">
        <f t="array" ref="B1450">INDEX(Sheet1!B:B,$F1450)</f>
        <v>Pref Resid NS</v>
      </c>
      <c r="C1450" s="4">
        <f t="shared" si="90"/>
        <v>117</v>
      </c>
      <c r="D1450" s="5" cm="1">
        <f t="array" aca="1" ref="D1450" ca="1">OFFSET(INDIRECT("'["&amp;$H1450&amp;"]"&amp;$I1450&amp;"'!"&amp;$J1450),$L1450,$M1450)*$K1450</f>
        <v>0.85044000000000008</v>
      </c>
      <c r="F1450" s="4">
        <f t="shared" si="91"/>
        <v>13</v>
      </c>
      <c r="G1450" s="4" cm="1">
        <f t="array" ref="G1450">IF($C1450&gt;=25,F1450,IF($C1450&lt;16,INDEX(Sheet1!C:C,$F1450),$F1450))</f>
        <v>13</v>
      </c>
      <c r="H1450" s="4" t="str" cm="1">
        <f t="array" ref="H1450">INDEX(Sheet1!D:D,$G1450)</f>
        <v>2001-cso-preferred-class-structure-mortality-tables.xls</v>
      </c>
      <c r="I1450" s="4" t="str" cm="1">
        <f t="array" ref="I1450">INDEX(Sheet1!E:E,$G1450)</f>
        <v>A.1.b.ii</v>
      </c>
      <c r="J1450" s="4" t="str" cm="1">
        <f t="array" ref="J1450">IF($C1450&gt;=25,INDEX(Sheet1!G:G,$G1450),INDEX(Sheet1!F:F,$G1450))</f>
        <v>AA8</v>
      </c>
      <c r="K1450" s="4" cm="1">
        <f t="array" ref="K1450">INDEX(Sheet1!H:H,$G1450)</f>
        <v>1E-3</v>
      </c>
      <c r="L1450" s="4">
        <f t="shared" si="88"/>
        <v>92</v>
      </c>
      <c r="M1450" s="4">
        <f t="shared" si="89"/>
        <v>0</v>
      </c>
    </row>
    <row r="1451" spans="1:13">
      <c r="A1451" s="4" t="str" cm="1">
        <f t="array" ref="A1451">INDEX(Sheet1!A:A,$F1451)</f>
        <v>F</v>
      </c>
      <c r="B1451" s="4" t="str" cm="1">
        <f t="array" ref="B1451">INDEX(Sheet1!B:B,$F1451)</f>
        <v>Pref Resid NS</v>
      </c>
      <c r="C1451" s="4">
        <f t="shared" si="90"/>
        <v>118</v>
      </c>
      <c r="D1451" s="5" cm="1">
        <f t="array" aca="1" ref="D1451" ca="1">OFFSET(INDIRECT("'["&amp;$H1451&amp;"]"&amp;$I1451&amp;"'!"&amp;$J1451),$L1451,$M1451)*$K1451</f>
        <v>0.89244000000000012</v>
      </c>
      <c r="F1451" s="4">
        <f t="shared" si="91"/>
        <v>13</v>
      </c>
      <c r="G1451" s="4" cm="1">
        <f t="array" ref="G1451">IF($C1451&gt;=25,F1451,IF($C1451&lt;16,INDEX(Sheet1!C:C,$F1451),$F1451))</f>
        <v>13</v>
      </c>
      <c r="H1451" s="4" t="str" cm="1">
        <f t="array" ref="H1451">INDEX(Sheet1!D:D,$G1451)</f>
        <v>2001-cso-preferred-class-structure-mortality-tables.xls</v>
      </c>
      <c r="I1451" s="4" t="str" cm="1">
        <f t="array" ref="I1451">INDEX(Sheet1!E:E,$G1451)</f>
        <v>A.1.b.ii</v>
      </c>
      <c r="J1451" s="4" t="str" cm="1">
        <f t="array" ref="J1451">IF($C1451&gt;=25,INDEX(Sheet1!G:G,$G1451),INDEX(Sheet1!F:F,$G1451))</f>
        <v>AA8</v>
      </c>
      <c r="K1451" s="4" cm="1">
        <f t="array" ref="K1451">INDEX(Sheet1!H:H,$G1451)</f>
        <v>1E-3</v>
      </c>
      <c r="L1451" s="4">
        <f t="shared" si="88"/>
        <v>93</v>
      </c>
      <c r="M1451" s="4">
        <f t="shared" si="89"/>
        <v>0</v>
      </c>
    </row>
    <row r="1452" spans="1:13">
      <c r="A1452" s="4" t="str" cm="1">
        <f t="array" ref="A1452">INDEX(Sheet1!A:A,$F1452)</f>
        <v>F</v>
      </c>
      <c r="B1452" s="4" t="str" cm="1">
        <f t="array" ref="B1452">INDEX(Sheet1!B:B,$F1452)</f>
        <v>Pref Resid NS</v>
      </c>
      <c r="C1452" s="4">
        <f t="shared" si="90"/>
        <v>119</v>
      </c>
      <c r="D1452" s="5" cm="1">
        <f t="array" aca="1" ref="D1452" ca="1">OFFSET(INDIRECT("'["&amp;$H1452&amp;"]"&amp;$I1452&amp;"'!"&amp;$J1452),$L1452,$M1452)*$K1452</f>
        <v>0.93511</v>
      </c>
      <c r="F1452" s="4">
        <f t="shared" si="91"/>
        <v>13</v>
      </c>
      <c r="G1452" s="4" cm="1">
        <f t="array" ref="G1452">IF($C1452&gt;=25,F1452,IF($C1452&lt;16,INDEX(Sheet1!C:C,$F1452),$F1452))</f>
        <v>13</v>
      </c>
      <c r="H1452" s="4" t="str" cm="1">
        <f t="array" ref="H1452">INDEX(Sheet1!D:D,$G1452)</f>
        <v>2001-cso-preferred-class-structure-mortality-tables.xls</v>
      </c>
      <c r="I1452" s="4" t="str" cm="1">
        <f t="array" ref="I1452">INDEX(Sheet1!E:E,$G1452)</f>
        <v>A.1.b.ii</v>
      </c>
      <c r="J1452" s="4" t="str" cm="1">
        <f t="array" ref="J1452">IF($C1452&gt;=25,INDEX(Sheet1!G:G,$G1452),INDEX(Sheet1!F:F,$G1452))</f>
        <v>AA8</v>
      </c>
      <c r="K1452" s="4" cm="1">
        <f t="array" ref="K1452">INDEX(Sheet1!H:H,$G1452)</f>
        <v>1E-3</v>
      </c>
      <c r="L1452" s="4">
        <f t="shared" si="88"/>
        <v>94</v>
      </c>
      <c r="M1452" s="4">
        <f t="shared" si="89"/>
        <v>0</v>
      </c>
    </row>
    <row r="1453" spans="1:13">
      <c r="A1453" s="4" t="str" cm="1">
        <f t="array" ref="A1453">INDEX(Sheet1!A:A,$F1453)</f>
        <v>F</v>
      </c>
      <c r="B1453" s="4" t="str" cm="1">
        <f t="array" ref="B1453">INDEX(Sheet1!B:B,$F1453)</f>
        <v>Pref Resid NS</v>
      </c>
      <c r="C1453" s="4">
        <f t="shared" si="90"/>
        <v>120</v>
      </c>
      <c r="D1453" s="5" cm="1">
        <f t="array" aca="1" ref="D1453" ca="1">OFFSET(INDIRECT("'["&amp;$H1453&amp;"]"&amp;$I1453&amp;"'!"&amp;$J1453),$L1453,$M1453)*$K1453</f>
        <v>1</v>
      </c>
      <c r="F1453" s="4">
        <f t="shared" si="91"/>
        <v>13</v>
      </c>
      <c r="G1453" s="4" cm="1">
        <f t="array" ref="G1453">IF($C1453&gt;=25,F1453,IF($C1453&lt;16,INDEX(Sheet1!C:C,$F1453),$F1453))</f>
        <v>13</v>
      </c>
      <c r="H1453" s="4" t="str" cm="1">
        <f t="array" ref="H1453">INDEX(Sheet1!D:D,$G1453)</f>
        <v>2001-cso-preferred-class-structure-mortality-tables.xls</v>
      </c>
      <c r="I1453" s="4" t="str" cm="1">
        <f t="array" ref="I1453">INDEX(Sheet1!E:E,$G1453)</f>
        <v>A.1.b.ii</v>
      </c>
      <c r="J1453" s="4" t="str" cm="1">
        <f t="array" ref="J1453">IF($C1453&gt;=25,INDEX(Sheet1!G:G,$G1453),INDEX(Sheet1!F:F,$G1453))</f>
        <v>AA8</v>
      </c>
      <c r="K1453" s="4" cm="1">
        <f t="array" ref="K1453">INDEX(Sheet1!H:H,$G1453)</f>
        <v>1E-3</v>
      </c>
      <c r="L1453" s="4">
        <f t="shared" si="88"/>
        <v>95</v>
      </c>
      <c r="M1453" s="4">
        <f t="shared" si="89"/>
        <v>0</v>
      </c>
    </row>
    <row r="1454" spans="1:13">
      <c r="A1454" s="4" t="str" cm="1">
        <f t="array" ref="A1454">INDEX(Sheet1!A:A,$F1454)</f>
        <v>F</v>
      </c>
      <c r="B1454" s="4" t="str" cm="1">
        <f t="array" ref="B1454">INDEX(Sheet1!B:B,$F1454)</f>
        <v>Non-Pref NS</v>
      </c>
      <c r="C1454" s="4">
        <f t="shared" si="90"/>
        <v>0</v>
      </c>
      <c r="D1454" s="5" cm="1">
        <f t="array" aca="1" ref="D1454" ca="1">OFFSET(INDIRECT("'["&amp;$H1454&amp;"]"&amp;$I1454&amp;"'!"&amp;$J1454),$L1454,$M1454)*$K1454</f>
        <v>4.8000000000000001E-4</v>
      </c>
      <c r="F1454" s="4">
        <f t="shared" si="91"/>
        <v>14</v>
      </c>
      <c r="G1454" s="4" cm="1">
        <f t="array" ref="G1454">IF($C1454&gt;=25,F1454,IF($C1454&lt;16,INDEX(Sheet1!C:C,$F1454),$F1454))</f>
        <v>19</v>
      </c>
      <c r="H1454" s="4" t="str" cm="1">
        <f t="array" ref="H1454">INDEX(Sheet1!D:D,$G1454)</f>
        <v>t1139.xlsx</v>
      </c>
      <c r="I1454" s="4" t="str" cm="1">
        <f t="array" ref="I1454">INDEX(Sheet1!E:E,$G1454)</f>
        <v>Sheet1</v>
      </c>
      <c r="J1454" s="4" t="str" cm="1">
        <f t="array" ref="J1454">IF($C1454&gt;=25,INDEX(Sheet1!G:G,$G1454),INDEX(Sheet1!F:F,$G1454))</f>
        <v>B25</v>
      </c>
      <c r="K1454" s="4" cm="1">
        <f t="array" ref="K1454">INDEX(Sheet1!H:H,$G1454)</f>
        <v>1</v>
      </c>
      <c r="L1454" s="4">
        <f t="shared" si="88"/>
        <v>0</v>
      </c>
      <c r="M1454" s="4">
        <f t="shared" si="89"/>
        <v>0</v>
      </c>
    </row>
    <row r="1455" spans="1:13">
      <c r="A1455" s="4" t="str" cm="1">
        <f t="array" ref="A1455">INDEX(Sheet1!A:A,$F1455)</f>
        <v>F</v>
      </c>
      <c r="B1455" s="4" t="str" cm="1">
        <f t="array" ref="B1455">INDEX(Sheet1!B:B,$F1455)</f>
        <v>Non-Pref NS</v>
      </c>
      <c r="C1455" s="4">
        <f t="shared" si="90"/>
        <v>1</v>
      </c>
      <c r="D1455" s="5" cm="1">
        <f t="array" aca="1" ref="D1455" ca="1">OFFSET(INDIRECT("'["&amp;$H1455&amp;"]"&amp;$I1455&amp;"'!"&amp;$J1455),$L1455,$M1455)*$K1455</f>
        <v>3.5E-4</v>
      </c>
      <c r="F1455" s="4">
        <f t="shared" si="91"/>
        <v>14</v>
      </c>
      <c r="G1455" s="4" cm="1">
        <f t="array" ref="G1455">IF($C1455&gt;=25,F1455,IF($C1455&lt;16,INDEX(Sheet1!C:C,$F1455),$F1455))</f>
        <v>19</v>
      </c>
      <c r="H1455" s="4" t="str" cm="1">
        <f t="array" ref="H1455">INDEX(Sheet1!D:D,$G1455)</f>
        <v>t1139.xlsx</v>
      </c>
      <c r="I1455" s="4" t="str" cm="1">
        <f t="array" ref="I1455">INDEX(Sheet1!E:E,$G1455)</f>
        <v>Sheet1</v>
      </c>
      <c r="J1455" s="4" t="str" cm="1">
        <f t="array" ref="J1455">IF($C1455&gt;=25,INDEX(Sheet1!G:G,$G1455),INDEX(Sheet1!F:F,$G1455))</f>
        <v>B25</v>
      </c>
      <c r="K1455" s="4" cm="1">
        <f t="array" ref="K1455">INDEX(Sheet1!H:H,$G1455)</f>
        <v>1</v>
      </c>
      <c r="L1455" s="4">
        <f t="shared" si="88"/>
        <v>0</v>
      </c>
      <c r="M1455" s="4">
        <f t="shared" si="89"/>
        <v>1</v>
      </c>
    </row>
    <row r="1456" spans="1:13">
      <c r="A1456" s="4" t="str" cm="1">
        <f t="array" ref="A1456">INDEX(Sheet1!A:A,$F1456)</f>
        <v>F</v>
      </c>
      <c r="B1456" s="4" t="str" cm="1">
        <f t="array" ref="B1456">INDEX(Sheet1!B:B,$F1456)</f>
        <v>Non-Pref NS</v>
      </c>
      <c r="C1456" s="4">
        <f t="shared" si="90"/>
        <v>2</v>
      </c>
      <c r="D1456" s="5" cm="1">
        <f t="array" aca="1" ref="D1456" ca="1">OFFSET(INDIRECT("'["&amp;$H1456&amp;"]"&amp;$I1456&amp;"'!"&amp;$J1456),$L1456,$M1456)*$K1456</f>
        <v>2.5999999999999998E-4</v>
      </c>
      <c r="F1456" s="4">
        <f t="shared" si="91"/>
        <v>14</v>
      </c>
      <c r="G1456" s="4" cm="1">
        <f t="array" ref="G1456">IF($C1456&gt;=25,F1456,IF($C1456&lt;16,INDEX(Sheet1!C:C,$F1456),$F1456))</f>
        <v>19</v>
      </c>
      <c r="H1456" s="4" t="str" cm="1">
        <f t="array" ref="H1456">INDEX(Sheet1!D:D,$G1456)</f>
        <v>t1139.xlsx</v>
      </c>
      <c r="I1456" s="4" t="str" cm="1">
        <f t="array" ref="I1456">INDEX(Sheet1!E:E,$G1456)</f>
        <v>Sheet1</v>
      </c>
      <c r="J1456" s="4" t="str" cm="1">
        <f t="array" ref="J1456">IF($C1456&gt;=25,INDEX(Sheet1!G:G,$G1456),INDEX(Sheet1!F:F,$G1456))</f>
        <v>B25</v>
      </c>
      <c r="K1456" s="4" cm="1">
        <f t="array" ref="K1456">INDEX(Sheet1!H:H,$G1456)</f>
        <v>1</v>
      </c>
      <c r="L1456" s="4">
        <f t="shared" si="88"/>
        <v>0</v>
      </c>
      <c r="M1456" s="4">
        <f t="shared" si="89"/>
        <v>2</v>
      </c>
    </row>
    <row r="1457" spans="1:13">
      <c r="A1457" s="4" t="str" cm="1">
        <f t="array" ref="A1457">INDEX(Sheet1!A:A,$F1457)</f>
        <v>F</v>
      </c>
      <c r="B1457" s="4" t="str" cm="1">
        <f t="array" ref="B1457">INDEX(Sheet1!B:B,$F1457)</f>
        <v>Non-Pref NS</v>
      </c>
      <c r="C1457" s="4">
        <f t="shared" si="90"/>
        <v>3</v>
      </c>
      <c r="D1457" s="5" cm="1">
        <f t="array" aca="1" ref="D1457" ca="1">OFFSET(INDIRECT("'["&amp;$H1457&amp;"]"&amp;$I1457&amp;"'!"&amp;$J1457),$L1457,$M1457)*$K1457</f>
        <v>2.0000000000000001E-4</v>
      </c>
      <c r="F1457" s="4">
        <f t="shared" si="91"/>
        <v>14</v>
      </c>
      <c r="G1457" s="4" cm="1">
        <f t="array" ref="G1457">IF($C1457&gt;=25,F1457,IF($C1457&lt;16,INDEX(Sheet1!C:C,$F1457),$F1457))</f>
        <v>19</v>
      </c>
      <c r="H1457" s="4" t="str" cm="1">
        <f t="array" ref="H1457">INDEX(Sheet1!D:D,$G1457)</f>
        <v>t1139.xlsx</v>
      </c>
      <c r="I1457" s="4" t="str" cm="1">
        <f t="array" ref="I1457">INDEX(Sheet1!E:E,$G1457)</f>
        <v>Sheet1</v>
      </c>
      <c r="J1457" s="4" t="str" cm="1">
        <f t="array" ref="J1457">IF($C1457&gt;=25,INDEX(Sheet1!G:G,$G1457),INDEX(Sheet1!F:F,$G1457))</f>
        <v>B25</v>
      </c>
      <c r="K1457" s="4" cm="1">
        <f t="array" ref="K1457">INDEX(Sheet1!H:H,$G1457)</f>
        <v>1</v>
      </c>
      <c r="L1457" s="4">
        <f t="shared" si="88"/>
        <v>0</v>
      </c>
      <c r="M1457" s="4">
        <f t="shared" si="89"/>
        <v>3</v>
      </c>
    </row>
    <row r="1458" spans="1:13">
      <c r="A1458" s="4" t="str" cm="1">
        <f t="array" ref="A1458">INDEX(Sheet1!A:A,$F1458)</f>
        <v>F</v>
      </c>
      <c r="B1458" s="4" t="str" cm="1">
        <f t="array" ref="B1458">INDEX(Sheet1!B:B,$F1458)</f>
        <v>Non-Pref NS</v>
      </c>
      <c r="C1458" s="4">
        <f t="shared" si="90"/>
        <v>4</v>
      </c>
      <c r="D1458" s="5" cm="1">
        <f t="array" aca="1" ref="D1458" ca="1">OFFSET(INDIRECT("'["&amp;$H1458&amp;"]"&amp;$I1458&amp;"'!"&amp;$J1458),$L1458,$M1458)*$K1458</f>
        <v>1.9000000000000001E-4</v>
      </c>
      <c r="F1458" s="4">
        <f t="shared" si="91"/>
        <v>14</v>
      </c>
      <c r="G1458" s="4" cm="1">
        <f t="array" ref="G1458">IF($C1458&gt;=25,F1458,IF($C1458&lt;16,INDEX(Sheet1!C:C,$F1458),$F1458))</f>
        <v>19</v>
      </c>
      <c r="H1458" s="4" t="str" cm="1">
        <f t="array" ref="H1458">INDEX(Sheet1!D:D,$G1458)</f>
        <v>t1139.xlsx</v>
      </c>
      <c r="I1458" s="4" t="str" cm="1">
        <f t="array" ref="I1458">INDEX(Sheet1!E:E,$G1458)</f>
        <v>Sheet1</v>
      </c>
      <c r="J1458" s="4" t="str" cm="1">
        <f t="array" ref="J1458">IF($C1458&gt;=25,INDEX(Sheet1!G:G,$G1458),INDEX(Sheet1!F:F,$G1458))</f>
        <v>B25</v>
      </c>
      <c r="K1458" s="4" cm="1">
        <f t="array" ref="K1458">INDEX(Sheet1!H:H,$G1458)</f>
        <v>1</v>
      </c>
      <c r="L1458" s="4">
        <f t="shared" si="88"/>
        <v>0</v>
      </c>
      <c r="M1458" s="4">
        <f t="shared" si="89"/>
        <v>4</v>
      </c>
    </row>
    <row r="1459" spans="1:13">
      <c r="A1459" s="4" t="str" cm="1">
        <f t="array" ref="A1459">INDEX(Sheet1!A:A,$F1459)</f>
        <v>F</v>
      </c>
      <c r="B1459" s="4" t="str" cm="1">
        <f t="array" ref="B1459">INDEX(Sheet1!B:B,$F1459)</f>
        <v>Non-Pref NS</v>
      </c>
      <c r="C1459" s="4">
        <f t="shared" si="90"/>
        <v>5</v>
      </c>
      <c r="D1459" s="5" cm="1">
        <f t="array" aca="1" ref="D1459" ca="1">OFFSET(INDIRECT("'["&amp;$H1459&amp;"]"&amp;$I1459&amp;"'!"&amp;$J1459),$L1459,$M1459)*$K1459</f>
        <v>1.8000000000000001E-4</v>
      </c>
      <c r="F1459" s="4">
        <f t="shared" si="91"/>
        <v>14</v>
      </c>
      <c r="G1459" s="4" cm="1">
        <f t="array" ref="G1459">IF($C1459&gt;=25,F1459,IF($C1459&lt;16,INDEX(Sheet1!C:C,$F1459),$F1459))</f>
        <v>19</v>
      </c>
      <c r="H1459" s="4" t="str" cm="1">
        <f t="array" ref="H1459">INDEX(Sheet1!D:D,$G1459)</f>
        <v>t1139.xlsx</v>
      </c>
      <c r="I1459" s="4" t="str" cm="1">
        <f t="array" ref="I1459">INDEX(Sheet1!E:E,$G1459)</f>
        <v>Sheet1</v>
      </c>
      <c r="J1459" s="4" t="str" cm="1">
        <f t="array" ref="J1459">IF($C1459&gt;=25,INDEX(Sheet1!G:G,$G1459),INDEX(Sheet1!F:F,$G1459))</f>
        <v>B25</v>
      </c>
      <c r="K1459" s="4" cm="1">
        <f t="array" ref="K1459">INDEX(Sheet1!H:H,$G1459)</f>
        <v>1</v>
      </c>
      <c r="L1459" s="4">
        <f t="shared" si="88"/>
        <v>0</v>
      </c>
      <c r="M1459" s="4">
        <f t="shared" si="89"/>
        <v>5</v>
      </c>
    </row>
    <row r="1460" spans="1:13">
      <c r="A1460" s="4" t="str" cm="1">
        <f t="array" ref="A1460">INDEX(Sheet1!A:A,$F1460)</f>
        <v>F</v>
      </c>
      <c r="B1460" s="4" t="str" cm="1">
        <f t="array" ref="B1460">INDEX(Sheet1!B:B,$F1460)</f>
        <v>Non-Pref NS</v>
      </c>
      <c r="C1460" s="4">
        <f t="shared" si="90"/>
        <v>6</v>
      </c>
      <c r="D1460" s="5" cm="1">
        <f t="array" aca="1" ref="D1460" ca="1">OFFSET(INDIRECT("'["&amp;$H1460&amp;"]"&amp;$I1460&amp;"'!"&amp;$J1460),$L1460,$M1460)*$K1460</f>
        <v>1.8000000000000001E-4</v>
      </c>
      <c r="F1460" s="4">
        <f t="shared" si="91"/>
        <v>14</v>
      </c>
      <c r="G1460" s="4" cm="1">
        <f t="array" ref="G1460">IF($C1460&gt;=25,F1460,IF($C1460&lt;16,INDEX(Sheet1!C:C,$F1460),$F1460))</f>
        <v>19</v>
      </c>
      <c r="H1460" s="4" t="str" cm="1">
        <f t="array" ref="H1460">INDEX(Sheet1!D:D,$G1460)</f>
        <v>t1139.xlsx</v>
      </c>
      <c r="I1460" s="4" t="str" cm="1">
        <f t="array" ref="I1460">INDEX(Sheet1!E:E,$G1460)</f>
        <v>Sheet1</v>
      </c>
      <c r="J1460" s="4" t="str" cm="1">
        <f t="array" ref="J1460">IF($C1460&gt;=25,INDEX(Sheet1!G:G,$G1460),INDEX(Sheet1!F:F,$G1460))</f>
        <v>B25</v>
      </c>
      <c r="K1460" s="4" cm="1">
        <f t="array" ref="K1460">INDEX(Sheet1!H:H,$G1460)</f>
        <v>1</v>
      </c>
      <c r="L1460" s="4">
        <f t="shared" si="88"/>
        <v>0</v>
      </c>
      <c r="M1460" s="4">
        <f t="shared" si="89"/>
        <v>6</v>
      </c>
    </row>
    <row r="1461" spans="1:13">
      <c r="A1461" s="4" t="str" cm="1">
        <f t="array" ref="A1461">INDEX(Sheet1!A:A,$F1461)</f>
        <v>F</v>
      </c>
      <c r="B1461" s="4" t="str" cm="1">
        <f t="array" ref="B1461">INDEX(Sheet1!B:B,$F1461)</f>
        <v>Non-Pref NS</v>
      </c>
      <c r="C1461" s="4">
        <f t="shared" si="90"/>
        <v>7</v>
      </c>
      <c r="D1461" s="5" cm="1">
        <f t="array" aca="1" ref="D1461" ca="1">OFFSET(INDIRECT("'["&amp;$H1461&amp;"]"&amp;$I1461&amp;"'!"&amp;$J1461),$L1461,$M1461)*$K1461</f>
        <v>2.1000000000000001E-4</v>
      </c>
      <c r="F1461" s="4">
        <f t="shared" si="91"/>
        <v>14</v>
      </c>
      <c r="G1461" s="4" cm="1">
        <f t="array" ref="G1461">IF($C1461&gt;=25,F1461,IF($C1461&lt;16,INDEX(Sheet1!C:C,$F1461),$F1461))</f>
        <v>19</v>
      </c>
      <c r="H1461" s="4" t="str" cm="1">
        <f t="array" ref="H1461">INDEX(Sheet1!D:D,$G1461)</f>
        <v>t1139.xlsx</v>
      </c>
      <c r="I1461" s="4" t="str" cm="1">
        <f t="array" ref="I1461">INDEX(Sheet1!E:E,$G1461)</f>
        <v>Sheet1</v>
      </c>
      <c r="J1461" s="4" t="str" cm="1">
        <f t="array" ref="J1461">IF($C1461&gt;=25,INDEX(Sheet1!G:G,$G1461),INDEX(Sheet1!F:F,$G1461))</f>
        <v>B25</v>
      </c>
      <c r="K1461" s="4" cm="1">
        <f t="array" ref="K1461">INDEX(Sheet1!H:H,$G1461)</f>
        <v>1</v>
      </c>
      <c r="L1461" s="4">
        <f t="shared" si="88"/>
        <v>0</v>
      </c>
      <c r="M1461" s="4">
        <f t="shared" si="89"/>
        <v>7</v>
      </c>
    </row>
    <row r="1462" spans="1:13">
      <c r="A1462" s="4" t="str" cm="1">
        <f t="array" ref="A1462">INDEX(Sheet1!A:A,$F1462)</f>
        <v>F</v>
      </c>
      <c r="B1462" s="4" t="str" cm="1">
        <f t="array" ref="B1462">INDEX(Sheet1!B:B,$F1462)</f>
        <v>Non-Pref NS</v>
      </c>
      <c r="C1462" s="4">
        <f t="shared" si="90"/>
        <v>8</v>
      </c>
      <c r="D1462" s="5" cm="1">
        <f t="array" aca="1" ref="D1462" ca="1">OFFSET(INDIRECT("'["&amp;$H1462&amp;"]"&amp;$I1462&amp;"'!"&amp;$J1462),$L1462,$M1462)*$K1462</f>
        <v>2.1000000000000001E-4</v>
      </c>
      <c r="F1462" s="4">
        <f t="shared" si="91"/>
        <v>14</v>
      </c>
      <c r="G1462" s="4" cm="1">
        <f t="array" ref="G1462">IF($C1462&gt;=25,F1462,IF($C1462&lt;16,INDEX(Sheet1!C:C,$F1462),$F1462))</f>
        <v>19</v>
      </c>
      <c r="H1462" s="4" t="str" cm="1">
        <f t="array" ref="H1462">INDEX(Sheet1!D:D,$G1462)</f>
        <v>t1139.xlsx</v>
      </c>
      <c r="I1462" s="4" t="str" cm="1">
        <f t="array" ref="I1462">INDEX(Sheet1!E:E,$G1462)</f>
        <v>Sheet1</v>
      </c>
      <c r="J1462" s="4" t="str" cm="1">
        <f t="array" ref="J1462">IF($C1462&gt;=25,INDEX(Sheet1!G:G,$G1462),INDEX(Sheet1!F:F,$G1462))</f>
        <v>B25</v>
      </c>
      <c r="K1462" s="4" cm="1">
        <f t="array" ref="K1462">INDEX(Sheet1!H:H,$G1462)</f>
        <v>1</v>
      </c>
      <c r="L1462" s="4">
        <f t="shared" si="88"/>
        <v>0</v>
      </c>
      <c r="M1462" s="4">
        <f t="shared" si="89"/>
        <v>8</v>
      </c>
    </row>
    <row r="1463" spans="1:13">
      <c r="A1463" s="4" t="str" cm="1">
        <f t="array" ref="A1463">INDEX(Sheet1!A:A,$F1463)</f>
        <v>F</v>
      </c>
      <c r="B1463" s="4" t="str" cm="1">
        <f t="array" ref="B1463">INDEX(Sheet1!B:B,$F1463)</f>
        <v>Non-Pref NS</v>
      </c>
      <c r="C1463" s="4">
        <f t="shared" si="90"/>
        <v>9</v>
      </c>
      <c r="D1463" s="5" cm="1">
        <f t="array" aca="1" ref="D1463" ca="1">OFFSET(INDIRECT("'["&amp;$H1463&amp;"]"&amp;$I1463&amp;"'!"&amp;$J1463),$L1463,$M1463)*$K1463</f>
        <v>2.1000000000000001E-4</v>
      </c>
      <c r="F1463" s="4">
        <f t="shared" si="91"/>
        <v>14</v>
      </c>
      <c r="G1463" s="4" cm="1">
        <f t="array" ref="G1463">IF($C1463&gt;=25,F1463,IF($C1463&lt;16,INDEX(Sheet1!C:C,$F1463),$F1463))</f>
        <v>19</v>
      </c>
      <c r="H1463" s="4" t="str" cm="1">
        <f t="array" ref="H1463">INDEX(Sheet1!D:D,$G1463)</f>
        <v>t1139.xlsx</v>
      </c>
      <c r="I1463" s="4" t="str" cm="1">
        <f t="array" ref="I1463">INDEX(Sheet1!E:E,$G1463)</f>
        <v>Sheet1</v>
      </c>
      <c r="J1463" s="4" t="str" cm="1">
        <f t="array" ref="J1463">IF($C1463&gt;=25,INDEX(Sheet1!G:G,$G1463),INDEX(Sheet1!F:F,$G1463))</f>
        <v>B25</v>
      </c>
      <c r="K1463" s="4" cm="1">
        <f t="array" ref="K1463">INDEX(Sheet1!H:H,$G1463)</f>
        <v>1</v>
      </c>
      <c r="L1463" s="4">
        <f t="shared" si="88"/>
        <v>0</v>
      </c>
      <c r="M1463" s="4">
        <f t="shared" si="89"/>
        <v>9</v>
      </c>
    </row>
    <row r="1464" spans="1:13">
      <c r="A1464" s="4" t="str" cm="1">
        <f t="array" ref="A1464">INDEX(Sheet1!A:A,$F1464)</f>
        <v>F</v>
      </c>
      <c r="B1464" s="4" t="str" cm="1">
        <f t="array" ref="B1464">INDEX(Sheet1!B:B,$F1464)</f>
        <v>Non-Pref NS</v>
      </c>
      <c r="C1464" s="4">
        <f t="shared" si="90"/>
        <v>10</v>
      </c>
      <c r="D1464" s="5" cm="1">
        <f t="array" aca="1" ref="D1464" ca="1">OFFSET(INDIRECT("'["&amp;$H1464&amp;"]"&amp;$I1464&amp;"'!"&amp;$J1464),$L1464,$M1464)*$K1464</f>
        <v>2.2000000000000001E-4</v>
      </c>
      <c r="F1464" s="4">
        <f t="shared" si="91"/>
        <v>14</v>
      </c>
      <c r="G1464" s="4" cm="1">
        <f t="array" ref="G1464">IF($C1464&gt;=25,F1464,IF($C1464&lt;16,INDEX(Sheet1!C:C,$F1464),$F1464))</f>
        <v>19</v>
      </c>
      <c r="H1464" s="4" t="str" cm="1">
        <f t="array" ref="H1464">INDEX(Sheet1!D:D,$G1464)</f>
        <v>t1139.xlsx</v>
      </c>
      <c r="I1464" s="4" t="str" cm="1">
        <f t="array" ref="I1464">INDEX(Sheet1!E:E,$G1464)</f>
        <v>Sheet1</v>
      </c>
      <c r="J1464" s="4" t="str" cm="1">
        <f t="array" ref="J1464">IF($C1464&gt;=25,INDEX(Sheet1!G:G,$G1464),INDEX(Sheet1!F:F,$G1464))</f>
        <v>B25</v>
      </c>
      <c r="K1464" s="4" cm="1">
        <f t="array" ref="K1464">INDEX(Sheet1!H:H,$G1464)</f>
        <v>1</v>
      </c>
      <c r="L1464" s="4">
        <f t="shared" si="88"/>
        <v>0</v>
      </c>
      <c r="M1464" s="4">
        <f t="shared" si="89"/>
        <v>10</v>
      </c>
    </row>
    <row r="1465" spans="1:13">
      <c r="A1465" s="4" t="str" cm="1">
        <f t="array" ref="A1465">INDEX(Sheet1!A:A,$F1465)</f>
        <v>F</v>
      </c>
      <c r="B1465" s="4" t="str" cm="1">
        <f t="array" ref="B1465">INDEX(Sheet1!B:B,$F1465)</f>
        <v>Non-Pref NS</v>
      </c>
      <c r="C1465" s="4">
        <f t="shared" si="90"/>
        <v>11</v>
      </c>
      <c r="D1465" s="5" cm="1">
        <f t="array" aca="1" ref="D1465" ca="1">OFFSET(INDIRECT("'["&amp;$H1465&amp;"]"&amp;$I1465&amp;"'!"&amp;$J1465),$L1465,$M1465)*$K1465</f>
        <v>2.3000000000000001E-4</v>
      </c>
      <c r="F1465" s="4">
        <f t="shared" si="91"/>
        <v>14</v>
      </c>
      <c r="G1465" s="4" cm="1">
        <f t="array" ref="G1465">IF($C1465&gt;=25,F1465,IF($C1465&lt;16,INDEX(Sheet1!C:C,$F1465),$F1465))</f>
        <v>19</v>
      </c>
      <c r="H1465" s="4" t="str" cm="1">
        <f t="array" ref="H1465">INDEX(Sheet1!D:D,$G1465)</f>
        <v>t1139.xlsx</v>
      </c>
      <c r="I1465" s="4" t="str" cm="1">
        <f t="array" ref="I1465">INDEX(Sheet1!E:E,$G1465)</f>
        <v>Sheet1</v>
      </c>
      <c r="J1465" s="4" t="str" cm="1">
        <f t="array" ref="J1465">IF($C1465&gt;=25,INDEX(Sheet1!G:G,$G1465),INDEX(Sheet1!F:F,$G1465))</f>
        <v>B25</v>
      </c>
      <c r="K1465" s="4" cm="1">
        <f t="array" ref="K1465">INDEX(Sheet1!H:H,$G1465)</f>
        <v>1</v>
      </c>
      <c r="L1465" s="4">
        <f t="shared" si="88"/>
        <v>0</v>
      </c>
      <c r="M1465" s="4">
        <f t="shared" si="89"/>
        <v>11</v>
      </c>
    </row>
    <row r="1466" spans="1:13">
      <c r="A1466" s="4" t="str" cm="1">
        <f t="array" ref="A1466">INDEX(Sheet1!A:A,$F1466)</f>
        <v>F</v>
      </c>
      <c r="B1466" s="4" t="str" cm="1">
        <f t="array" ref="B1466">INDEX(Sheet1!B:B,$F1466)</f>
        <v>Non-Pref NS</v>
      </c>
      <c r="C1466" s="4">
        <f t="shared" si="90"/>
        <v>12</v>
      </c>
      <c r="D1466" s="5" cm="1">
        <f t="array" aca="1" ref="D1466" ca="1">OFFSET(INDIRECT("'["&amp;$H1466&amp;"]"&amp;$I1466&amp;"'!"&amp;$J1466),$L1466,$M1466)*$K1466</f>
        <v>2.7E-4</v>
      </c>
      <c r="F1466" s="4">
        <f t="shared" si="91"/>
        <v>14</v>
      </c>
      <c r="G1466" s="4" cm="1">
        <f t="array" ref="G1466">IF($C1466&gt;=25,F1466,IF($C1466&lt;16,INDEX(Sheet1!C:C,$F1466),$F1466))</f>
        <v>19</v>
      </c>
      <c r="H1466" s="4" t="str" cm="1">
        <f t="array" ref="H1466">INDEX(Sheet1!D:D,$G1466)</f>
        <v>t1139.xlsx</v>
      </c>
      <c r="I1466" s="4" t="str" cm="1">
        <f t="array" ref="I1466">INDEX(Sheet1!E:E,$G1466)</f>
        <v>Sheet1</v>
      </c>
      <c r="J1466" s="4" t="str" cm="1">
        <f t="array" ref="J1466">IF($C1466&gt;=25,INDEX(Sheet1!G:G,$G1466),INDEX(Sheet1!F:F,$G1466))</f>
        <v>B25</v>
      </c>
      <c r="K1466" s="4" cm="1">
        <f t="array" ref="K1466">INDEX(Sheet1!H:H,$G1466)</f>
        <v>1</v>
      </c>
      <c r="L1466" s="4">
        <f t="shared" si="88"/>
        <v>0</v>
      </c>
      <c r="M1466" s="4">
        <f t="shared" si="89"/>
        <v>12</v>
      </c>
    </row>
    <row r="1467" spans="1:13">
      <c r="A1467" s="4" t="str" cm="1">
        <f t="array" ref="A1467">INDEX(Sheet1!A:A,$F1467)</f>
        <v>F</v>
      </c>
      <c r="B1467" s="4" t="str" cm="1">
        <f t="array" ref="B1467">INDEX(Sheet1!B:B,$F1467)</f>
        <v>Non-Pref NS</v>
      </c>
      <c r="C1467" s="4">
        <f t="shared" si="90"/>
        <v>13</v>
      </c>
      <c r="D1467" s="5" cm="1">
        <f t="array" aca="1" ref="D1467" ca="1">OFFSET(INDIRECT("'["&amp;$H1467&amp;"]"&amp;$I1467&amp;"'!"&amp;$J1467),$L1467,$M1467)*$K1467</f>
        <v>2.9999999999999997E-4</v>
      </c>
      <c r="F1467" s="4">
        <f t="shared" si="91"/>
        <v>14</v>
      </c>
      <c r="G1467" s="4" cm="1">
        <f t="array" ref="G1467">IF($C1467&gt;=25,F1467,IF($C1467&lt;16,INDEX(Sheet1!C:C,$F1467),$F1467))</f>
        <v>19</v>
      </c>
      <c r="H1467" s="4" t="str" cm="1">
        <f t="array" ref="H1467">INDEX(Sheet1!D:D,$G1467)</f>
        <v>t1139.xlsx</v>
      </c>
      <c r="I1467" s="4" t="str" cm="1">
        <f t="array" ref="I1467">INDEX(Sheet1!E:E,$G1467)</f>
        <v>Sheet1</v>
      </c>
      <c r="J1467" s="4" t="str" cm="1">
        <f t="array" ref="J1467">IF($C1467&gt;=25,INDEX(Sheet1!G:G,$G1467),INDEX(Sheet1!F:F,$G1467))</f>
        <v>B25</v>
      </c>
      <c r="K1467" s="4" cm="1">
        <f t="array" ref="K1467">INDEX(Sheet1!H:H,$G1467)</f>
        <v>1</v>
      </c>
      <c r="L1467" s="4">
        <f t="shared" si="88"/>
        <v>0</v>
      </c>
      <c r="M1467" s="4">
        <f t="shared" si="89"/>
        <v>13</v>
      </c>
    </row>
    <row r="1468" spans="1:13">
      <c r="A1468" s="4" t="str" cm="1">
        <f t="array" ref="A1468">INDEX(Sheet1!A:A,$F1468)</f>
        <v>F</v>
      </c>
      <c r="B1468" s="4" t="str" cm="1">
        <f t="array" ref="B1468">INDEX(Sheet1!B:B,$F1468)</f>
        <v>Non-Pref NS</v>
      </c>
      <c r="C1468" s="4">
        <f t="shared" si="90"/>
        <v>14</v>
      </c>
      <c r="D1468" s="5" cm="1">
        <f t="array" aca="1" ref="D1468" ca="1">OFFSET(INDIRECT("'["&amp;$H1468&amp;"]"&amp;$I1468&amp;"'!"&amp;$J1468),$L1468,$M1468)*$K1468</f>
        <v>3.3E-4</v>
      </c>
      <c r="F1468" s="4">
        <f t="shared" si="91"/>
        <v>14</v>
      </c>
      <c r="G1468" s="4" cm="1">
        <f t="array" ref="G1468">IF($C1468&gt;=25,F1468,IF($C1468&lt;16,INDEX(Sheet1!C:C,$F1468),$F1468))</f>
        <v>19</v>
      </c>
      <c r="H1468" s="4" t="str" cm="1">
        <f t="array" ref="H1468">INDEX(Sheet1!D:D,$G1468)</f>
        <v>t1139.xlsx</v>
      </c>
      <c r="I1468" s="4" t="str" cm="1">
        <f t="array" ref="I1468">INDEX(Sheet1!E:E,$G1468)</f>
        <v>Sheet1</v>
      </c>
      <c r="J1468" s="4" t="str" cm="1">
        <f t="array" ref="J1468">IF($C1468&gt;=25,INDEX(Sheet1!G:G,$G1468),INDEX(Sheet1!F:F,$G1468))</f>
        <v>B25</v>
      </c>
      <c r="K1468" s="4" cm="1">
        <f t="array" ref="K1468">INDEX(Sheet1!H:H,$G1468)</f>
        <v>1</v>
      </c>
      <c r="L1468" s="4">
        <f t="shared" si="88"/>
        <v>0</v>
      </c>
      <c r="M1468" s="4">
        <f t="shared" si="89"/>
        <v>14</v>
      </c>
    </row>
    <row r="1469" spans="1:13">
      <c r="A1469" s="4" t="str" cm="1">
        <f t="array" ref="A1469">INDEX(Sheet1!A:A,$F1469)</f>
        <v>F</v>
      </c>
      <c r="B1469" s="4" t="str" cm="1">
        <f t="array" ref="B1469">INDEX(Sheet1!B:B,$F1469)</f>
        <v>Non-Pref NS</v>
      </c>
      <c r="C1469" s="4">
        <f t="shared" si="90"/>
        <v>15</v>
      </c>
      <c r="D1469" s="5" cm="1">
        <f t="array" aca="1" ref="D1469" ca="1">OFFSET(INDIRECT("'["&amp;$H1469&amp;"]"&amp;$I1469&amp;"'!"&amp;$J1469),$L1469,$M1469)*$K1469</f>
        <v>3.5E-4</v>
      </c>
      <c r="F1469" s="4">
        <f t="shared" si="91"/>
        <v>14</v>
      </c>
      <c r="G1469" s="4" cm="1">
        <f t="array" ref="G1469">IF($C1469&gt;=25,F1469,IF($C1469&lt;16,INDEX(Sheet1!C:C,$F1469),$F1469))</f>
        <v>19</v>
      </c>
      <c r="H1469" s="4" t="str" cm="1">
        <f t="array" ref="H1469">INDEX(Sheet1!D:D,$G1469)</f>
        <v>t1139.xlsx</v>
      </c>
      <c r="I1469" s="4" t="str" cm="1">
        <f t="array" ref="I1469">INDEX(Sheet1!E:E,$G1469)</f>
        <v>Sheet1</v>
      </c>
      <c r="J1469" s="4" t="str" cm="1">
        <f t="array" ref="J1469">IF($C1469&gt;=25,INDEX(Sheet1!G:G,$G1469),INDEX(Sheet1!F:F,$G1469))</f>
        <v>B25</v>
      </c>
      <c r="K1469" s="4" cm="1">
        <f t="array" ref="K1469">INDEX(Sheet1!H:H,$G1469)</f>
        <v>1</v>
      </c>
      <c r="L1469" s="4">
        <f t="shared" si="88"/>
        <v>0</v>
      </c>
      <c r="M1469" s="4">
        <f t="shared" si="89"/>
        <v>15</v>
      </c>
    </row>
    <row r="1470" spans="1:13">
      <c r="A1470" s="4" t="str" cm="1">
        <f t="array" ref="A1470">INDEX(Sheet1!A:A,$F1470)</f>
        <v>F</v>
      </c>
      <c r="B1470" s="4" t="str" cm="1">
        <f t="array" ref="B1470">INDEX(Sheet1!B:B,$F1470)</f>
        <v>Non-Pref NS</v>
      </c>
      <c r="C1470" s="4">
        <f t="shared" si="90"/>
        <v>16</v>
      </c>
      <c r="D1470" s="5" cm="1">
        <f t="array" aca="1" ref="D1470" ca="1">OFFSET(INDIRECT("'["&amp;$H1470&amp;"]"&amp;$I1470&amp;"'!"&amp;$J1470),$L1470,$M1470)*$K1470</f>
        <v>4.4000000000000002E-4</v>
      </c>
      <c r="F1470" s="4">
        <f t="shared" si="91"/>
        <v>14</v>
      </c>
      <c r="G1470" s="4" cm="1">
        <f t="array" ref="G1470">IF($C1470&gt;=25,F1470,IF($C1470&lt;16,INDEX(Sheet1!C:C,$F1470),$F1470))</f>
        <v>14</v>
      </c>
      <c r="H1470" s="4" t="str" cm="1">
        <f t="array" ref="H1470">INDEX(Sheet1!D:D,$G1470)</f>
        <v>2001-cso-preferred-class-structure-mortality-tables.xls</v>
      </c>
      <c r="I1470" s="4" t="str" cm="1">
        <f t="array" ref="I1470">INDEX(Sheet1!E:E,$G1470)</f>
        <v>A.1.b.iii</v>
      </c>
      <c r="J1470" s="4" t="str" cm="1">
        <f t="array" ref="J1470">IF($C1470&gt;=25,INDEX(Sheet1!G:G,$G1470),INDEX(Sheet1!F:F,$G1470))</f>
        <v>B8</v>
      </c>
      <c r="K1470" s="4" cm="1">
        <f t="array" ref="K1470">INDEX(Sheet1!H:H,$G1470)</f>
        <v>1E-3</v>
      </c>
      <c r="L1470" s="4">
        <f t="shared" si="88"/>
        <v>0</v>
      </c>
      <c r="M1470" s="4">
        <f t="shared" si="89"/>
        <v>16</v>
      </c>
    </row>
    <row r="1471" spans="1:13">
      <c r="A1471" s="4" t="str" cm="1">
        <f t="array" ref="A1471">INDEX(Sheet1!A:A,$F1471)</f>
        <v>F</v>
      </c>
      <c r="B1471" s="4" t="str" cm="1">
        <f t="array" ref="B1471">INDEX(Sheet1!B:B,$F1471)</f>
        <v>Non-Pref NS</v>
      </c>
      <c r="C1471" s="4">
        <f t="shared" si="90"/>
        <v>17</v>
      </c>
      <c r="D1471" s="5" cm="1">
        <f t="array" aca="1" ref="D1471" ca="1">OFFSET(INDIRECT("'["&amp;$H1471&amp;"]"&amp;$I1471&amp;"'!"&amp;$J1471),$L1471,$M1471)*$K1471</f>
        <v>4.6999999999999999E-4</v>
      </c>
      <c r="F1471" s="4">
        <f t="shared" si="91"/>
        <v>14</v>
      </c>
      <c r="G1471" s="4" cm="1">
        <f t="array" ref="G1471">IF($C1471&gt;=25,F1471,IF($C1471&lt;16,INDEX(Sheet1!C:C,$F1471),$F1471))</f>
        <v>14</v>
      </c>
      <c r="H1471" s="4" t="str" cm="1">
        <f t="array" ref="H1471">INDEX(Sheet1!D:D,$G1471)</f>
        <v>2001-cso-preferred-class-structure-mortality-tables.xls</v>
      </c>
      <c r="I1471" s="4" t="str" cm="1">
        <f t="array" ref="I1471">INDEX(Sheet1!E:E,$G1471)</f>
        <v>A.1.b.iii</v>
      </c>
      <c r="J1471" s="4" t="str" cm="1">
        <f t="array" ref="J1471">IF($C1471&gt;=25,INDEX(Sheet1!G:G,$G1471),INDEX(Sheet1!F:F,$G1471))</f>
        <v>B8</v>
      </c>
      <c r="K1471" s="4" cm="1">
        <f t="array" ref="K1471">INDEX(Sheet1!H:H,$G1471)</f>
        <v>1E-3</v>
      </c>
      <c r="L1471" s="4">
        <f t="shared" si="88"/>
        <v>0</v>
      </c>
      <c r="M1471" s="4">
        <f t="shared" si="89"/>
        <v>17</v>
      </c>
    </row>
    <row r="1472" spans="1:13">
      <c r="A1472" s="4" t="str" cm="1">
        <f t="array" ref="A1472">INDEX(Sheet1!A:A,$F1472)</f>
        <v>F</v>
      </c>
      <c r="B1472" s="4" t="str" cm="1">
        <f t="array" ref="B1472">INDEX(Sheet1!B:B,$F1472)</f>
        <v>Non-Pref NS</v>
      </c>
      <c r="C1472" s="4">
        <f t="shared" si="90"/>
        <v>18</v>
      </c>
      <c r="D1472" s="5" cm="1">
        <f t="array" aca="1" ref="D1472" ca="1">OFFSET(INDIRECT("'["&amp;$H1472&amp;"]"&amp;$I1472&amp;"'!"&amp;$J1472),$L1472,$M1472)*$K1472</f>
        <v>4.8000000000000001E-4</v>
      </c>
      <c r="F1472" s="4">
        <f t="shared" si="91"/>
        <v>14</v>
      </c>
      <c r="G1472" s="4" cm="1">
        <f t="array" ref="G1472">IF($C1472&gt;=25,F1472,IF($C1472&lt;16,INDEX(Sheet1!C:C,$F1472),$F1472))</f>
        <v>14</v>
      </c>
      <c r="H1472" s="4" t="str" cm="1">
        <f t="array" ref="H1472">INDEX(Sheet1!D:D,$G1472)</f>
        <v>2001-cso-preferred-class-structure-mortality-tables.xls</v>
      </c>
      <c r="I1472" s="4" t="str" cm="1">
        <f t="array" ref="I1472">INDEX(Sheet1!E:E,$G1472)</f>
        <v>A.1.b.iii</v>
      </c>
      <c r="J1472" s="4" t="str" cm="1">
        <f t="array" ref="J1472">IF($C1472&gt;=25,INDEX(Sheet1!G:G,$G1472),INDEX(Sheet1!F:F,$G1472))</f>
        <v>B8</v>
      </c>
      <c r="K1472" s="4" cm="1">
        <f t="array" ref="K1472">INDEX(Sheet1!H:H,$G1472)</f>
        <v>1E-3</v>
      </c>
      <c r="L1472" s="4">
        <f t="shared" si="88"/>
        <v>0</v>
      </c>
      <c r="M1472" s="4">
        <f t="shared" si="89"/>
        <v>18</v>
      </c>
    </row>
    <row r="1473" spans="1:13">
      <c r="A1473" s="4" t="str" cm="1">
        <f t="array" ref="A1473">INDEX(Sheet1!A:A,$F1473)</f>
        <v>F</v>
      </c>
      <c r="B1473" s="4" t="str" cm="1">
        <f t="array" ref="B1473">INDEX(Sheet1!B:B,$F1473)</f>
        <v>Non-Pref NS</v>
      </c>
      <c r="C1473" s="4">
        <f t="shared" si="90"/>
        <v>19</v>
      </c>
      <c r="D1473" s="5" cm="1">
        <f t="array" aca="1" ref="D1473" ca="1">OFFSET(INDIRECT("'["&amp;$H1473&amp;"]"&amp;$I1473&amp;"'!"&amp;$J1473),$L1473,$M1473)*$K1473</f>
        <v>5.1000000000000004E-4</v>
      </c>
      <c r="F1473" s="4">
        <f t="shared" si="91"/>
        <v>14</v>
      </c>
      <c r="G1473" s="4" cm="1">
        <f t="array" ref="G1473">IF($C1473&gt;=25,F1473,IF($C1473&lt;16,INDEX(Sheet1!C:C,$F1473),$F1473))</f>
        <v>14</v>
      </c>
      <c r="H1473" s="4" t="str" cm="1">
        <f t="array" ref="H1473">INDEX(Sheet1!D:D,$G1473)</f>
        <v>2001-cso-preferred-class-structure-mortality-tables.xls</v>
      </c>
      <c r="I1473" s="4" t="str" cm="1">
        <f t="array" ref="I1473">INDEX(Sheet1!E:E,$G1473)</f>
        <v>A.1.b.iii</v>
      </c>
      <c r="J1473" s="4" t="str" cm="1">
        <f t="array" ref="J1473">IF($C1473&gt;=25,INDEX(Sheet1!G:G,$G1473),INDEX(Sheet1!F:F,$G1473))</f>
        <v>B8</v>
      </c>
      <c r="K1473" s="4" cm="1">
        <f t="array" ref="K1473">INDEX(Sheet1!H:H,$G1473)</f>
        <v>1E-3</v>
      </c>
      <c r="L1473" s="4">
        <f t="shared" si="88"/>
        <v>0</v>
      </c>
      <c r="M1473" s="4">
        <f t="shared" si="89"/>
        <v>19</v>
      </c>
    </row>
    <row r="1474" spans="1:13">
      <c r="A1474" s="4" t="str" cm="1">
        <f t="array" ref="A1474">INDEX(Sheet1!A:A,$F1474)</f>
        <v>F</v>
      </c>
      <c r="B1474" s="4" t="str" cm="1">
        <f t="array" ref="B1474">INDEX(Sheet1!B:B,$F1474)</f>
        <v>Non-Pref NS</v>
      </c>
      <c r="C1474" s="4">
        <f t="shared" si="90"/>
        <v>20</v>
      </c>
      <c r="D1474" s="5" cm="1">
        <f t="array" aca="1" ref="D1474" ca="1">OFFSET(INDIRECT("'["&amp;$H1474&amp;"]"&amp;$I1474&amp;"'!"&amp;$J1474),$L1474,$M1474)*$K1474</f>
        <v>5.1000000000000004E-4</v>
      </c>
      <c r="F1474" s="4">
        <f t="shared" si="91"/>
        <v>14</v>
      </c>
      <c r="G1474" s="4" cm="1">
        <f t="array" ref="G1474">IF($C1474&gt;=25,F1474,IF($C1474&lt;16,INDEX(Sheet1!C:C,$F1474),$F1474))</f>
        <v>14</v>
      </c>
      <c r="H1474" s="4" t="str" cm="1">
        <f t="array" ref="H1474">INDEX(Sheet1!D:D,$G1474)</f>
        <v>2001-cso-preferred-class-structure-mortality-tables.xls</v>
      </c>
      <c r="I1474" s="4" t="str" cm="1">
        <f t="array" ref="I1474">INDEX(Sheet1!E:E,$G1474)</f>
        <v>A.1.b.iii</v>
      </c>
      <c r="J1474" s="4" t="str" cm="1">
        <f t="array" ref="J1474">IF($C1474&gt;=25,INDEX(Sheet1!G:G,$G1474),INDEX(Sheet1!F:F,$G1474))</f>
        <v>B8</v>
      </c>
      <c r="K1474" s="4" cm="1">
        <f t="array" ref="K1474">INDEX(Sheet1!H:H,$G1474)</f>
        <v>1E-3</v>
      </c>
      <c r="L1474" s="4">
        <f t="shared" si="88"/>
        <v>0</v>
      </c>
      <c r="M1474" s="4">
        <f t="shared" si="89"/>
        <v>20</v>
      </c>
    </row>
    <row r="1475" spans="1:13">
      <c r="A1475" s="4" t="str" cm="1">
        <f t="array" ref="A1475">INDEX(Sheet1!A:A,$F1475)</f>
        <v>F</v>
      </c>
      <c r="B1475" s="4" t="str" cm="1">
        <f t="array" ref="B1475">INDEX(Sheet1!B:B,$F1475)</f>
        <v>Non-Pref NS</v>
      </c>
      <c r="C1475" s="4">
        <f t="shared" si="90"/>
        <v>21</v>
      </c>
      <c r="D1475" s="5" cm="1">
        <f t="array" aca="1" ref="D1475" ca="1">OFFSET(INDIRECT("'["&amp;$H1475&amp;"]"&amp;$I1475&amp;"'!"&amp;$J1475),$L1475,$M1475)*$K1475</f>
        <v>5.2000000000000006E-4</v>
      </c>
      <c r="F1475" s="4">
        <f t="shared" si="91"/>
        <v>14</v>
      </c>
      <c r="G1475" s="4" cm="1">
        <f t="array" ref="G1475">IF($C1475&gt;=25,F1475,IF($C1475&lt;16,INDEX(Sheet1!C:C,$F1475),$F1475))</f>
        <v>14</v>
      </c>
      <c r="H1475" s="4" t="str" cm="1">
        <f t="array" ref="H1475">INDEX(Sheet1!D:D,$G1475)</f>
        <v>2001-cso-preferred-class-structure-mortality-tables.xls</v>
      </c>
      <c r="I1475" s="4" t="str" cm="1">
        <f t="array" ref="I1475">INDEX(Sheet1!E:E,$G1475)</f>
        <v>A.1.b.iii</v>
      </c>
      <c r="J1475" s="4" t="str" cm="1">
        <f t="array" ref="J1475">IF($C1475&gt;=25,INDEX(Sheet1!G:G,$G1475),INDEX(Sheet1!F:F,$G1475))</f>
        <v>B8</v>
      </c>
      <c r="K1475" s="4" cm="1">
        <f t="array" ref="K1475">INDEX(Sheet1!H:H,$G1475)</f>
        <v>1E-3</v>
      </c>
      <c r="L1475" s="4">
        <f t="shared" ref="L1475:L1538" si="92">IF($C1475&gt;=25,$C1475-25,0)</f>
        <v>0</v>
      </c>
      <c r="M1475" s="4">
        <f t="shared" ref="M1475:M1538" si="93">IF($C1475&gt;=25,0,$C1475)</f>
        <v>21</v>
      </c>
    </row>
    <row r="1476" spans="1:13">
      <c r="A1476" s="4" t="str" cm="1">
        <f t="array" ref="A1476">INDEX(Sheet1!A:A,$F1476)</f>
        <v>F</v>
      </c>
      <c r="B1476" s="4" t="str" cm="1">
        <f t="array" ref="B1476">INDEX(Sheet1!B:B,$F1476)</f>
        <v>Non-Pref NS</v>
      </c>
      <c r="C1476" s="4">
        <f t="shared" ref="C1476:C1539" si="94">IF(C1475=120,0,C1475+1)</f>
        <v>22</v>
      </c>
      <c r="D1476" s="5" cm="1">
        <f t="array" aca="1" ref="D1476" ca="1">OFFSET(INDIRECT("'["&amp;$H1476&amp;"]"&amp;$I1476&amp;"'!"&amp;$J1476),$L1476,$M1476)*$K1476</f>
        <v>5.5000000000000003E-4</v>
      </c>
      <c r="F1476" s="4">
        <f t="shared" ref="F1476:F1539" si="95">IF(C1476=0,1,0)+F1475</f>
        <v>14</v>
      </c>
      <c r="G1476" s="4" cm="1">
        <f t="array" ref="G1476">IF($C1476&gt;=25,F1476,IF($C1476&lt;16,INDEX(Sheet1!C:C,$F1476),$F1476))</f>
        <v>14</v>
      </c>
      <c r="H1476" s="4" t="str" cm="1">
        <f t="array" ref="H1476">INDEX(Sheet1!D:D,$G1476)</f>
        <v>2001-cso-preferred-class-structure-mortality-tables.xls</v>
      </c>
      <c r="I1476" s="4" t="str" cm="1">
        <f t="array" ref="I1476">INDEX(Sheet1!E:E,$G1476)</f>
        <v>A.1.b.iii</v>
      </c>
      <c r="J1476" s="4" t="str" cm="1">
        <f t="array" ref="J1476">IF($C1476&gt;=25,INDEX(Sheet1!G:G,$G1476),INDEX(Sheet1!F:F,$G1476))</f>
        <v>B8</v>
      </c>
      <c r="K1476" s="4" cm="1">
        <f t="array" ref="K1476">INDEX(Sheet1!H:H,$G1476)</f>
        <v>1E-3</v>
      </c>
      <c r="L1476" s="4">
        <f t="shared" si="92"/>
        <v>0</v>
      </c>
      <c r="M1476" s="4">
        <f t="shared" si="93"/>
        <v>22</v>
      </c>
    </row>
    <row r="1477" spans="1:13">
      <c r="A1477" s="4" t="str" cm="1">
        <f t="array" ref="A1477">INDEX(Sheet1!A:A,$F1477)</f>
        <v>F</v>
      </c>
      <c r="B1477" s="4" t="str" cm="1">
        <f t="array" ref="B1477">INDEX(Sheet1!B:B,$F1477)</f>
        <v>Non-Pref NS</v>
      </c>
      <c r="C1477" s="4">
        <f t="shared" si="94"/>
        <v>23</v>
      </c>
      <c r="D1477" s="5" cm="1">
        <f t="array" aca="1" ref="D1477" ca="1">OFFSET(INDIRECT("'["&amp;$H1477&amp;"]"&amp;$I1477&amp;"'!"&amp;$J1477),$L1477,$M1477)*$K1477</f>
        <v>5.5000000000000003E-4</v>
      </c>
      <c r="F1477" s="4">
        <f t="shared" si="95"/>
        <v>14</v>
      </c>
      <c r="G1477" s="4" cm="1">
        <f t="array" ref="G1477">IF($C1477&gt;=25,F1477,IF($C1477&lt;16,INDEX(Sheet1!C:C,$F1477),$F1477))</f>
        <v>14</v>
      </c>
      <c r="H1477" s="4" t="str" cm="1">
        <f t="array" ref="H1477">INDEX(Sheet1!D:D,$G1477)</f>
        <v>2001-cso-preferred-class-structure-mortality-tables.xls</v>
      </c>
      <c r="I1477" s="4" t="str" cm="1">
        <f t="array" ref="I1477">INDEX(Sheet1!E:E,$G1477)</f>
        <v>A.1.b.iii</v>
      </c>
      <c r="J1477" s="4" t="str" cm="1">
        <f t="array" ref="J1477">IF($C1477&gt;=25,INDEX(Sheet1!G:G,$G1477),INDEX(Sheet1!F:F,$G1477))</f>
        <v>B8</v>
      </c>
      <c r="K1477" s="4" cm="1">
        <f t="array" ref="K1477">INDEX(Sheet1!H:H,$G1477)</f>
        <v>1E-3</v>
      </c>
      <c r="L1477" s="4">
        <f t="shared" si="92"/>
        <v>0</v>
      </c>
      <c r="M1477" s="4">
        <f t="shared" si="93"/>
        <v>23</v>
      </c>
    </row>
    <row r="1478" spans="1:13">
      <c r="A1478" s="4" t="str" cm="1">
        <f t="array" ref="A1478">INDEX(Sheet1!A:A,$F1478)</f>
        <v>F</v>
      </c>
      <c r="B1478" s="4" t="str" cm="1">
        <f t="array" ref="B1478">INDEX(Sheet1!B:B,$F1478)</f>
        <v>Non-Pref NS</v>
      </c>
      <c r="C1478" s="4">
        <f t="shared" si="94"/>
        <v>24</v>
      </c>
      <c r="D1478" s="5" cm="1">
        <f t="array" aca="1" ref="D1478" ca="1">OFFSET(INDIRECT("'["&amp;$H1478&amp;"]"&amp;$I1478&amp;"'!"&amp;$J1478),$L1478,$M1478)*$K1478</f>
        <v>5.6999999999999998E-4</v>
      </c>
      <c r="F1478" s="4">
        <f t="shared" si="95"/>
        <v>14</v>
      </c>
      <c r="G1478" s="4" cm="1">
        <f t="array" ref="G1478">IF($C1478&gt;=25,F1478,IF($C1478&lt;16,INDEX(Sheet1!C:C,$F1478),$F1478))</f>
        <v>14</v>
      </c>
      <c r="H1478" s="4" t="str" cm="1">
        <f t="array" ref="H1478">INDEX(Sheet1!D:D,$G1478)</f>
        <v>2001-cso-preferred-class-structure-mortality-tables.xls</v>
      </c>
      <c r="I1478" s="4" t="str" cm="1">
        <f t="array" ref="I1478">INDEX(Sheet1!E:E,$G1478)</f>
        <v>A.1.b.iii</v>
      </c>
      <c r="J1478" s="4" t="str" cm="1">
        <f t="array" ref="J1478">IF($C1478&gt;=25,INDEX(Sheet1!G:G,$G1478),INDEX(Sheet1!F:F,$G1478))</f>
        <v>B8</v>
      </c>
      <c r="K1478" s="4" cm="1">
        <f t="array" ref="K1478">INDEX(Sheet1!H:H,$G1478)</f>
        <v>1E-3</v>
      </c>
      <c r="L1478" s="4">
        <f t="shared" si="92"/>
        <v>0</v>
      </c>
      <c r="M1478" s="4">
        <f t="shared" si="93"/>
        <v>24</v>
      </c>
    </row>
    <row r="1479" spans="1:13">
      <c r="A1479" s="4" t="str" cm="1">
        <f t="array" ref="A1479">INDEX(Sheet1!A:A,$F1479)</f>
        <v>F</v>
      </c>
      <c r="B1479" s="4" t="str" cm="1">
        <f t="array" ref="B1479">INDEX(Sheet1!B:B,$F1479)</f>
        <v>Non-Pref NS</v>
      </c>
      <c r="C1479" s="4">
        <f t="shared" si="94"/>
        <v>25</v>
      </c>
      <c r="D1479" s="5" cm="1">
        <f t="array" aca="1" ref="D1479" ca="1">OFFSET(INDIRECT("'["&amp;$H1479&amp;"]"&amp;$I1479&amp;"'!"&amp;$J1479),$L1479,$M1479)*$K1479</f>
        <v>5.8E-4</v>
      </c>
      <c r="F1479" s="4">
        <f t="shared" si="95"/>
        <v>14</v>
      </c>
      <c r="G1479" s="4" cm="1">
        <f t="array" ref="G1479">IF($C1479&gt;=25,F1479,IF($C1479&lt;16,INDEX(Sheet1!C:C,$F1479),$F1479))</f>
        <v>14</v>
      </c>
      <c r="H1479" s="4" t="str" cm="1">
        <f t="array" ref="H1479">INDEX(Sheet1!D:D,$G1479)</f>
        <v>2001-cso-preferred-class-structure-mortality-tables.xls</v>
      </c>
      <c r="I1479" s="4" t="str" cm="1">
        <f t="array" ref="I1479">INDEX(Sheet1!E:E,$G1479)</f>
        <v>A.1.b.iii</v>
      </c>
      <c r="J1479" s="4" t="str" cm="1">
        <f t="array" ref="J1479">IF($C1479&gt;=25,INDEX(Sheet1!G:G,$G1479),INDEX(Sheet1!F:F,$G1479))</f>
        <v>AA8</v>
      </c>
      <c r="K1479" s="4" cm="1">
        <f t="array" ref="K1479">INDEX(Sheet1!H:H,$G1479)</f>
        <v>1E-3</v>
      </c>
      <c r="L1479" s="4">
        <f t="shared" si="92"/>
        <v>0</v>
      </c>
      <c r="M1479" s="4">
        <f t="shared" si="93"/>
        <v>0</v>
      </c>
    </row>
    <row r="1480" spans="1:13">
      <c r="A1480" s="4" t="str" cm="1">
        <f t="array" ref="A1480">INDEX(Sheet1!A:A,$F1480)</f>
        <v>F</v>
      </c>
      <c r="B1480" s="4" t="str" cm="1">
        <f t="array" ref="B1480">INDEX(Sheet1!B:B,$F1480)</f>
        <v>Non-Pref NS</v>
      </c>
      <c r="C1480" s="4">
        <f t="shared" si="94"/>
        <v>26</v>
      </c>
      <c r="D1480" s="5" cm="1">
        <f t="array" aca="1" ref="D1480" ca="1">OFFSET(INDIRECT("'["&amp;$H1480&amp;"]"&amp;$I1480&amp;"'!"&amp;$J1480),$L1480,$M1480)*$K1480</f>
        <v>5.9999999999999995E-4</v>
      </c>
      <c r="F1480" s="4">
        <f t="shared" si="95"/>
        <v>14</v>
      </c>
      <c r="G1480" s="4" cm="1">
        <f t="array" ref="G1480">IF($C1480&gt;=25,F1480,IF($C1480&lt;16,INDEX(Sheet1!C:C,$F1480),$F1480))</f>
        <v>14</v>
      </c>
      <c r="H1480" s="4" t="str" cm="1">
        <f t="array" ref="H1480">INDEX(Sheet1!D:D,$G1480)</f>
        <v>2001-cso-preferred-class-structure-mortality-tables.xls</v>
      </c>
      <c r="I1480" s="4" t="str" cm="1">
        <f t="array" ref="I1480">INDEX(Sheet1!E:E,$G1480)</f>
        <v>A.1.b.iii</v>
      </c>
      <c r="J1480" s="4" t="str" cm="1">
        <f t="array" ref="J1480">IF($C1480&gt;=25,INDEX(Sheet1!G:G,$G1480),INDEX(Sheet1!F:F,$G1480))</f>
        <v>AA8</v>
      </c>
      <c r="K1480" s="4" cm="1">
        <f t="array" ref="K1480">INDEX(Sheet1!H:H,$G1480)</f>
        <v>1E-3</v>
      </c>
      <c r="L1480" s="4">
        <f t="shared" si="92"/>
        <v>1</v>
      </c>
      <c r="M1480" s="4">
        <f t="shared" si="93"/>
        <v>0</v>
      </c>
    </row>
    <row r="1481" spans="1:13">
      <c r="A1481" s="4" t="str" cm="1">
        <f t="array" ref="A1481">INDEX(Sheet1!A:A,$F1481)</f>
        <v>F</v>
      </c>
      <c r="B1481" s="4" t="str" cm="1">
        <f t="array" ref="B1481">INDEX(Sheet1!B:B,$F1481)</f>
        <v>Non-Pref NS</v>
      </c>
      <c r="C1481" s="4">
        <f t="shared" si="94"/>
        <v>27</v>
      </c>
      <c r="D1481" s="5" cm="1">
        <f t="array" aca="1" ref="D1481" ca="1">OFFSET(INDIRECT("'["&amp;$H1481&amp;"]"&amp;$I1481&amp;"'!"&amp;$J1481),$L1481,$M1481)*$K1481</f>
        <v>6.5000000000000008E-4</v>
      </c>
      <c r="F1481" s="4">
        <f t="shared" si="95"/>
        <v>14</v>
      </c>
      <c r="G1481" s="4" cm="1">
        <f t="array" ref="G1481">IF($C1481&gt;=25,F1481,IF($C1481&lt;16,INDEX(Sheet1!C:C,$F1481),$F1481))</f>
        <v>14</v>
      </c>
      <c r="H1481" s="4" t="str" cm="1">
        <f t="array" ref="H1481">INDEX(Sheet1!D:D,$G1481)</f>
        <v>2001-cso-preferred-class-structure-mortality-tables.xls</v>
      </c>
      <c r="I1481" s="4" t="str" cm="1">
        <f t="array" ref="I1481">INDEX(Sheet1!E:E,$G1481)</f>
        <v>A.1.b.iii</v>
      </c>
      <c r="J1481" s="4" t="str" cm="1">
        <f t="array" ref="J1481">IF($C1481&gt;=25,INDEX(Sheet1!G:G,$G1481),INDEX(Sheet1!F:F,$G1481))</f>
        <v>AA8</v>
      </c>
      <c r="K1481" s="4" cm="1">
        <f t="array" ref="K1481">INDEX(Sheet1!H:H,$G1481)</f>
        <v>1E-3</v>
      </c>
      <c r="L1481" s="4">
        <f t="shared" si="92"/>
        <v>2</v>
      </c>
      <c r="M1481" s="4">
        <f t="shared" si="93"/>
        <v>0</v>
      </c>
    </row>
    <row r="1482" spans="1:13">
      <c r="A1482" s="4" t="str" cm="1">
        <f t="array" ref="A1482">INDEX(Sheet1!A:A,$F1482)</f>
        <v>F</v>
      </c>
      <c r="B1482" s="4" t="str" cm="1">
        <f t="array" ref="B1482">INDEX(Sheet1!B:B,$F1482)</f>
        <v>Non-Pref NS</v>
      </c>
      <c r="C1482" s="4">
        <f t="shared" si="94"/>
        <v>28</v>
      </c>
      <c r="D1482" s="5" cm="1">
        <f t="array" aca="1" ref="D1482" ca="1">OFFSET(INDIRECT("'["&amp;$H1482&amp;"]"&amp;$I1482&amp;"'!"&amp;$J1482),$L1482,$M1482)*$K1482</f>
        <v>6.7000000000000002E-4</v>
      </c>
      <c r="F1482" s="4">
        <f t="shared" si="95"/>
        <v>14</v>
      </c>
      <c r="G1482" s="4" cm="1">
        <f t="array" ref="G1482">IF($C1482&gt;=25,F1482,IF($C1482&lt;16,INDEX(Sheet1!C:C,$F1482),$F1482))</f>
        <v>14</v>
      </c>
      <c r="H1482" s="4" t="str" cm="1">
        <f t="array" ref="H1482">INDEX(Sheet1!D:D,$G1482)</f>
        <v>2001-cso-preferred-class-structure-mortality-tables.xls</v>
      </c>
      <c r="I1482" s="4" t="str" cm="1">
        <f t="array" ref="I1482">INDEX(Sheet1!E:E,$G1482)</f>
        <v>A.1.b.iii</v>
      </c>
      <c r="J1482" s="4" t="str" cm="1">
        <f t="array" ref="J1482">IF($C1482&gt;=25,INDEX(Sheet1!G:G,$G1482),INDEX(Sheet1!F:F,$G1482))</f>
        <v>AA8</v>
      </c>
      <c r="K1482" s="4" cm="1">
        <f t="array" ref="K1482">INDEX(Sheet1!H:H,$G1482)</f>
        <v>1E-3</v>
      </c>
      <c r="L1482" s="4">
        <f t="shared" si="92"/>
        <v>3</v>
      </c>
      <c r="M1482" s="4">
        <f t="shared" si="93"/>
        <v>0</v>
      </c>
    </row>
    <row r="1483" spans="1:13">
      <c r="A1483" s="4" t="str" cm="1">
        <f t="array" ref="A1483">INDEX(Sheet1!A:A,$F1483)</f>
        <v>F</v>
      </c>
      <c r="B1483" s="4" t="str" cm="1">
        <f t="array" ref="B1483">INDEX(Sheet1!B:B,$F1483)</f>
        <v>Non-Pref NS</v>
      </c>
      <c r="C1483" s="4">
        <f t="shared" si="94"/>
        <v>29</v>
      </c>
      <c r="D1483" s="5" cm="1">
        <f t="array" aca="1" ref="D1483" ca="1">OFFSET(INDIRECT("'["&amp;$H1483&amp;"]"&amp;$I1483&amp;"'!"&amp;$J1483),$L1483,$M1483)*$K1483</f>
        <v>7.1000000000000002E-4</v>
      </c>
      <c r="F1483" s="4">
        <f t="shared" si="95"/>
        <v>14</v>
      </c>
      <c r="G1483" s="4" cm="1">
        <f t="array" ref="G1483">IF($C1483&gt;=25,F1483,IF($C1483&lt;16,INDEX(Sheet1!C:C,$F1483),$F1483))</f>
        <v>14</v>
      </c>
      <c r="H1483" s="4" t="str" cm="1">
        <f t="array" ref="H1483">INDEX(Sheet1!D:D,$G1483)</f>
        <v>2001-cso-preferred-class-structure-mortality-tables.xls</v>
      </c>
      <c r="I1483" s="4" t="str" cm="1">
        <f t="array" ref="I1483">INDEX(Sheet1!E:E,$G1483)</f>
        <v>A.1.b.iii</v>
      </c>
      <c r="J1483" s="4" t="str" cm="1">
        <f t="array" ref="J1483">IF($C1483&gt;=25,INDEX(Sheet1!G:G,$G1483),INDEX(Sheet1!F:F,$G1483))</f>
        <v>AA8</v>
      </c>
      <c r="K1483" s="4" cm="1">
        <f t="array" ref="K1483">INDEX(Sheet1!H:H,$G1483)</f>
        <v>1E-3</v>
      </c>
      <c r="L1483" s="4">
        <f t="shared" si="92"/>
        <v>4</v>
      </c>
      <c r="M1483" s="4">
        <f t="shared" si="93"/>
        <v>0</v>
      </c>
    </row>
    <row r="1484" spans="1:13">
      <c r="A1484" s="4" t="str" cm="1">
        <f t="array" ref="A1484">INDEX(Sheet1!A:A,$F1484)</f>
        <v>F</v>
      </c>
      <c r="B1484" s="4" t="str" cm="1">
        <f t="array" ref="B1484">INDEX(Sheet1!B:B,$F1484)</f>
        <v>Non-Pref NS</v>
      </c>
      <c r="C1484" s="4">
        <f t="shared" si="94"/>
        <v>30</v>
      </c>
      <c r="D1484" s="5" cm="1">
        <f t="array" aca="1" ref="D1484" ca="1">OFFSET(INDIRECT("'["&amp;$H1484&amp;"]"&amp;$I1484&amp;"'!"&amp;$J1484),$L1484,$M1484)*$K1484</f>
        <v>7.1999999999999994E-4</v>
      </c>
      <c r="F1484" s="4">
        <f t="shared" si="95"/>
        <v>14</v>
      </c>
      <c r="G1484" s="4" cm="1">
        <f t="array" ref="G1484">IF($C1484&gt;=25,F1484,IF($C1484&lt;16,INDEX(Sheet1!C:C,$F1484),$F1484))</f>
        <v>14</v>
      </c>
      <c r="H1484" s="4" t="str" cm="1">
        <f t="array" ref="H1484">INDEX(Sheet1!D:D,$G1484)</f>
        <v>2001-cso-preferred-class-structure-mortality-tables.xls</v>
      </c>
      <c r="I1484" s="4" t="str" cm="1">
        <f t="array" ref="I1484">INDEX(Sheet1!E:E,$G1484)</f>
        <v>A.1.b.iii</v>
      </c>
      <c r="J1484" s="4" t="str" cm="1">
        <f t="array" ref="J1484">IF($C1484&gt;=25,INDEX(Sheet1!G:G,$G1484),INDEX(Sheet1!F:F,$G1484))</f>
        <v>AA8</v>
      </c>
      <c r="K1484" s="4" cm="1">
        <f t="array" ref="K1484">INDEX(Sheet1!H:H,$G1484)</f>
        <v>1E-3</v>
      </c>
      <c r="L1484" s="4">
        <f t="shared" si="92"/>
        <v>5</v>
      </c>
      <c r="M1484" s="4">
        <f t="shared" si="93"/>
        <v>0</v>
      </c>
    </row>
    <row r="1485" spans="1:13">
      <c r="A1485" s="4" t="str" cm="1">
        <f t="array" ref="A1485">INDEX(Sheet1!A:A,$F1485)</f>
        <v>F</v>
      </c>
      <c r="B1485" s="4" t="str" cm="1">
        <f t="array" ref="B1485">INDEX(Sheet1!B:B,$F1485)</f>
        <v>Non-Pref NS</v>
      </c>
      <c r="C1485" s="4">
        <f t="shared" si="94"/>
        <v>31</v>
      </c>
      <c r="D1485" s="5" cm="1">
        <f t="array" aca="1" ref="D1485" ca="1">OFFSET(INDIRECT("'["&amp;$H1485&amp;"]"&amp;$I1485&amp;"'!"&amp;$J1485),$L1485,$M1485)*$K1485</f>
        <v>7.7000000000000007E-4</v>
      </c>
      <c r="F1485" s="4">
        <f t="shared" si="95"/>
        <v>14</v>
      </c>
      <c r="G1485" s="4" cm="1">
        <f t="array" ref="G1485">IF($C1485&gt;=25,F1485,IF($C1485&lt;16,INDEX(Sheet1!C:C,$F1485),$F1485))</f>
        <v>14</v>
      </c>
      <c r="H1485" s="4" t="str" cm="1">
        <f t="array" ref="H1485">INDEX(Sheet1!D:D,$G1485)</f>
        <v>2001-cso-preferred-class-structure-mortality-tables.xls</v>
      </c>
      <c r="I1485" s="4" t="str" cm="1">
        <f t="array" ref="I1485">INDEX(Sheet1!E:E,$G1485)</f>
        <v>A.1.b.iii</v>
      </c>
      <c r="J1485" s="4" t="str" cm="1">
        <f t="array" ref="J1485">IF($C1485&gt;=25,INDEX(Sheet1!G:G,$G1485),INDEX(Sheet1!F:F,$G1485))</f>
        <v>AA8</v>
      </c>
      <c r="K1485" s="4" cm="1">
        <f t="array" ref="K1485">INDEX(Sheet1!H:H,$G1485)</f>
        <v>1E-3</v>
      </c>
      <c r="L1485" s="4">
        <f t="shared" si="92"/>
        <v>6</v>
      </c>
      <c r="M1485" s="4">
        <f t="shared" si="93"/>
        <v>0</v>
      </c>
    </row>
    <row r="1486" spans="1:13">
      <c r="A1486" s="4" t="str" cm="1">
        <f t="array" ref="A1486">INDEX(Sheet1!A:A,$F1486)</f>
        <v>F</v>
      </c>
      <c r="B1486" s="4" t="str" cm="1">
        <f t="array" ref="B1486">INDEX(Sheet1!B:B,$F1486)</f>
        <v>Non-Pref NS</v>
      </c>
      <c r="C1486" s="4">
        <f t="shared" si="94"/>
        <v>32</v>
      </c>
      <c r="D1486" s="5" cm="1">
        <f t="array" aca="1" ref="D1486" ca="1">OFFSET(INDIRECT("'["&amp;$H1486&amp;"]"&amp;$I1486&amp;"'!"&amp;$J1486),$L1486,$M1486)*$K1486</f>
        <v>8.1000000000000006E-4</v>
      </c>
      <c r="F1486" s="4">
        <f t="shared" si="95"/>
        <v>14</v>
      </c>
      <c r="G1486" s="4" cm="1">
        <f t="array" ref="G1486">IF($C1486&gt;=25,F1486,IF($C1486&lt;16,INDEX(Sheet1!C:C,$F1486),$F1486))</f>
        <v>14</v>
      </c>
      <c r="H1486" s="4" t="str" cm="1">
        <f t="array" ref="H1486">INDEX(Sheet1!D:D,$G1486)</f>
        <v>2001-cso-preferred-class-structure-mortality-tables.xls</v>
      </c>
      <c r="I1486" s="4" t="str" cm="1">
        <f t="array" ref="I1486">INDEX(Sheet1!E:E,$G1486)</f>
        <v>A.1.b.iii</v>
      </c>
      <c r="J1486" s="4" t="str" cm="1">
        <f t="array" ref="J1486">IF($C1486&gt;=25,INDEX(Sheet1!G:G,$G1486),INDEX(Sheet1!F:F,$G1486))</f>
        <v>AA8</v>
      </c>
      <c r="K1486" s="4" cm="1">
        <f t="array" ref="K1486">INDEX(Sheet1!H:H,$G1486)</f>
        <v>1E-3</v>
      </c>
      <c r="L1486" s="4">
        <f t="shared" si="92"/>
        <v>7</v>
      </c>
      <c r="M1486" s="4">
        <f t="shared" si="93"/>
        <v>0</v>
      </c>
    </row>
    <row r="1487" spans="1:13">
      <c r="A1487" s="4" t="str" cm="1">
        <f t="array" ref="A1487">INDEX(Sheet1!A:A,$F1487)</f>
        <v>F</v>
      </c>
      <c r="B1487" s="4" t="str" cm="1">
        <f t="array" ref="B1487">INDEX(Sheet1!B:B,$F1487)</f>
        <v>Non-Pref NS</v>
      </c>
      <c r="C1487" s="4">
        <f t="shared" si="94"/>
        <v>33</v>
      </c>
      <c r="D1487" s="5" cm="1">
        <f t="array" aca="1" ref="D1487" ca="1">OFFSET(INDIRECT("'["&amp;$H1487&amp;"]"&amp;$I1487&amp;"'!"&amp;$J1487),$L1487,$M1487)*$K1487</f>
        <v>8.5999999999999998E-4</v>
      </c>
      <c r="F1487" s="4">
        <f t="shared" si="95"/>
        <v>14</v>
      </c>
      <c r="G1487" s="4" cm="1">
        <f t="array" ref="G1487">IF($C1487&gt;=25,F1487,IF($C1487&lt;16,INDEX(Sheet1!C:C,$F1487),$F1487))</f>
        <v>14</v>
      </c>
      <c r="H1487" s="4" t="str" cm="1">
        <f t="array" ref="H1487">INDEX(Sheet1!D:D,$G1487)</f>
        <v>2001-cso-preferred-class-structure-mortality-tables.xls</v>
      </c>
      <c r="I1487" s="4" t="str" cm="1">
        <f t="array" ref="I1487">INDEX(Sheet1!E:E,$G1487)</f>
        <v>A.1.b.iii</v>
      </c>
      <c r="J1487" s="4" t="str" cm="1">
        <f t="array" ref="J1487">IF($C1487&gt;=25,INDEX(Sheet1!G:G,$G1487),INDEX(Sheet1!F:F,$G1487))</f>
        <v>AA8</v>
      </c>
      <c r="K1487" s="4" cm="1">
        <f t="array" ref="K1487">INDEX(Sheet1!H:H,$G1487)</f>
        <v>1E-3</v>
      </c>
      <c r="L1487" s="4">
        <f t="shared" si="92"/>
        <v>8</v>
      </c>
      <c r="M1487" s="4">
        <f t="shared" si="93"/>
        <v>0</v>
      </c>
    </row>
    <row r="1488" spans="1:13">
      <c r="A1488" s="4" t="str" cm="1">
        <f t="array" ref="A1488">INDEX(Sheet1!A:A,$F1488)</f>
        <v>F</v>
      </c>
      <c r="B1488" s="4" t="str" cm="1">
        <f t="array" ref="B1488">INDEX(Sheet1!B:B,$F1488)</f>
        <v>Non-Pref NS</v>
      </c>
      <c r="C1488" s="4">
        <f t="shared" si="94"/>
        <v>34</v>
      </c>
      <c r="D1488" s="5" cm="1">
        <f t="array" aca="1" ref="D1488" ca="1">OFFSET(INDIRECT("'["&amp;$H1488&amp;"]"&amp;$I1488&amp;"'!"&amp;$J1488),$L1488,$M1488)*$K1488</f>
        <v>9.3999999999999997E-4</v>
      </c>
      <c r="F1488" s="4">
        <f t="shared" si="95"/>
        <v>14</v>
      </c>
      <c r="G1488" s="4" cm="1">
        <f t="array" ref="G1488">IF($C1488&gt;=25,F1488,IF($C1488&lt;16,INDEX(Sheet1!C:C,$F1488),$F1488))</f>
        <v>14</v>
      </c>
      <c r="H1488" s="4" t="str" cm="1">
        <f t="array" ref="H1488">INDEX(Sheet1!D:D,$G1488)</f>
        <v>2001-cso-preferred-class-structure-mortality-tables.xls</v>
      </c>
      <c r="I1488" s="4" t="str" cm="1">
        <f t="array" ref="I1488">INDEX(Sheet1!E:E,$G1488)</f>
        <v>A.1.b.iii</v>
      </c>
      <c r="J1488" s="4" t="str" cm="1">
        <f t="array" ref="J1488">IF($C1488&gt;=25,INDEX(Sheet1!G:G,$G1488),INDEX(Sheet1!F:F,$G1488))</f>
        <v>AA8</v>
      </c>
      <c r="K1488" s="4" cm="1">
        <f t="array" ref="K1488">INDEX(Sheet1!H:H,$G1488)</f>
        <v>1E-3</v>
      </c>
      <c r="L1488" s="4">
        <f t="shared" si="92"/>
        <v>9</v>
      </c>
      <c r="M1488" s="4">
        <f t="shared" si="93"/>
        <v>0</v>
      </c>
    </row>
    <row r="1489" spans="1:13">
      <c r="A1489" s="4" t="str" cm="1">
        <f t="array" ref="A1489">INDEX(Sheet1!A:A,$F1489)</f>
        <v>F</v>
      </c>
      <c r="B1489" s="4" t="str" cm="1">
        <f t="array" ref="B1489">INDEX(Sheet1!B:B,$F1489)</f>
        <v>Non-Pref NS</v>
      </c>
      <c r="C1489" s="4">
        <f t="shared" si="94"/>
        <v>35</v>
      </c>
      <c r="D1489" s="5" cm="1">
        <f t="array" aca="1" ref="D1489" ca="1">OFFSET(INDIRECT("'["&amp;$H1489&amp;"]"&amp;$I1489&amp;"'!"&amp;$J1489),$L1489,$M1489)*$K1489</f>
        <v>1.0200000000000001E-3</v>
      </c>
      <c r="F1489" s="4">
        <f t="shared" si="95"/>
        <v>14</v>
      </c>
      <c r="G1489" s="4" cm="1">
        <f t="array" ref="G1489">IF($C1489&gt;=25,F1489,IF($C1489&lt;16,INDEX(Sheet1!C:C,$F1489),$F1489))</f>
        <v>14</v>
      </c>
      <c r="H1489" s="4" t="str" cm="1">
        <f t="array" ref="H1489">INDEX(Sheet1!D:D,$G1489)</f>
        <v>2001-cso-preferred-class-structure-mortality-tables.xls</v>
      </c>
      <c r="I1489" s="4" t="str" cm="1">
        <f t="array" ref="I1489">INDEX(Sheet1!E:E,$G1489)</f>
        <v>A.1.b.iii</v>
      </c>
      <c r="J1489" s="4" t="str" cm="1">
        <f t="array" ref="J1489">IF($C1489&gt;=25,INDEX(Sheet1!G:G,$G1489),INDEX(Sheet1!F:F,$G1489))</f>
        <v>AA8</v>
      </c>
      <c r="K1489" s="4" cm="1">
        <f t="array" ref="K1489">INDEX(Sheet1!H:H,$G1489)</f>
        <v>1E-3</v>
      </c>
      <c r="L1489" s="4">
        <f t="shared" si="92"/>
        <v>10</v>
      </c>
      <c r="M1489" s="4">
        <f t="shared" si="93"/>
        <v>0</v>
      </c>
    </row>
    <row r="1490" spans="1:13">
      <c r="A1490" s="4" t="str" cm="1">
        <f t="array" ref="A1490">INDEX(Sheet1!A:A,$F1490)</f>
        <v>F</v>
      </c>
      <c r="B1490" s="4" t="str" cm="1">
        <f t="array" ref="B1490">INDEX(Sheet1!B:B,$F1490)</f>
        <v>Non-Pref NS</v>
      </c>
      <c r="C1490" s="4">
        <f t="shared" si="94"/>
        <v>36</v>
      </c>
      <c r="D1490" s="5" cm="1">
        <f t="array" aca="1" ref="D1490" ca="1">OFFSET(INDIRECT("'["&amp;$H1490&amp;"]"&amp;$I1490&amp;"'!"&amp;$J1490),$L1490,$M1490)*$K1490</f>
        <v>1.08E-3</v>
      </c>
      <c r="F1490" s="4">
        <f t="shared" si="95"/>
        <v>14</v>
      </c>
      <c r="G1490" s="4" cm="1">
        <f t="array" ref="G1490">IF($C1490&gt;=25,F1490,IF($C1490&lt;16,INDEX(Sheet1!C:C,$F1490),$F1490))</f>
        <v>14</v>
      </c>
      <c r="H1490" s="4" t="str" cm="1">
        <f t="array" ref="H1490">INDEX(Sheet1!D:D,$G1490)</f>
        <v>2001-cso-preferred-class-structure-mortality-tables.xls</v>
      </c>
      <c r="I1490" s="4" t="str" cm="1">
        <f t="array" ref="I1490">INDEX(Sheet1!E:E,$G1490)</f>
        <v>A.1.b.iii</v>
      </c>
      <c r="J1490" s="4" t="str" cm="1">
        <f t="array" ref="J1490">IF($C1490&gt;=25,INDEX(Sheet1!G:G,$G1490),INDEX(Sheet1!F:F,$G1490))</f>
        <v>AA8</v>
      </c>
      <c r="K1490" s="4" cm="1">
        <f t="array" ref="K1490">INDEX(Sheet1!H:H,$G1490)</f>
        <v>1E-3</v>
      </c>
      <c r="L1490" s="4">
        <f t="shared" si="92"/>
        <v>11</v>
      </c>
      <c r="M1490" s="4">
        <f t="shared" si="93"/>
        <v>0</v>
      </c>
    </row>
    <row r="1491" spans="1:13">
      <c r="A1491" s="4" t="str" cm="1">
        <f t="array" ref="A1491">INDEX(Sheet1!A:A,$F1491)</f>
        <v>F</v>
      </c>
      <c r="B1491" s="4" t="str" cm="1">
        <f t="array" ref="B1491">INDEX(Sheet1!B:B,$F1491)</f>
        <v>Non-Pref NS</v>
      </c>
      <c r="C1491" s="4">
        <f t="shared" si="94"/>
        <v>37</v>
      </c>
      <c r="D1491" s="5" cm="1">
        <f t="array" aca="1" ref="D1491" ca="1">OFFSET(INDIRECT("'["&amp;$H1491&amp;"]"&amp;$I1491&amp;"'!"&amp;$J1491),$L1491,$M1491)*$K1491</f>
        <v>1.17E-3</v>
      </c>
      <c r="F1491" s="4">
        <f t="shared" si="95"/>
        <v>14</v>
      </c>
      <c r="G1491" s="4" cm="1">
        <f t="array" ref="G1491">IF($C1491&gt;=25,F1491,IF($C1491&lt;16,INDEX(Sheet1!C:C,$F1491),$F1491))</f>
        <v>14</v>
      </c>
      <c r="H1491" s="4" t="str" cm="1">
        <f t="array" ref="H1491">INDEX(Sheet1!D:D,$G1491)</f>
        <v>2001-cso-preferred-class-structure-mortality-tables.xls</v>
      </c>
      <c r="I1491" s="4" t="str" cm="1">
        <f t="array" ref="I1491">INDEX(Sheet1!E:E,$G1491)</f>
        <v>A.1.b.iii</v>
      </c>
      <c r="J1491" s="4" t="str" cm="1">
        <f t="array" ref="J1491">IF($C1491&gt;=25,INDEX(Sheet1!G:G,$G1491),INDEX(Sheet1!F:F,$G1491))</f>
        <v>AA8</v>
      </c>
      <c r="K1491" s="4" cm="1">
        <f t="array" ref="K1491">INDEX(Sheet1!H:H,$G1491)</f>
        <v>1E-3</v>
      </c>
      <c r="L1491" s="4">
        <f t="shared" si="92"/>
        <v>12</v>
      </c>
      <c r="M1491" s="4">
        <f t="shared" si="93"/>
        <v>0</v>
      </c>
    </row>
    <row r="1492" spans="1:13">
      <c r="A1492" s="4" t="str" cm="1">
        <f t="array" ref="A1492">INDEX(Sheet1!A:A,$F1492)</f>
        <v>F</v>
      </c>
      <c r="B1492" s="4" t="str" cm="1">
        <f t="array" ref="B1492">INDEX(Sheet1!B:B,$F1492)</f>
        <v>Non-Pref NS</v>
      </c>
      <c r="C1492" s="4">
        <f t="shared" si="94"/>
        <v>38</v>
      </c>
      <c r="D1492" s="5" cm="1">
        <f t="array" aca="1" ref="D1492" ca="1">OFFSET(INDIRECT("'["&amp;$H1492&amp;"]"&amp;$I1492&amp;"'!"&amp;$J1492),$L1492,$M1492)*$K1492</f>
        <v>1.2199999999999999E-3</v>
      </c>
      <c r="F1492" s="4">
        <f t="shared" si="95"/>
        <v>14</v>
      </c>
      <c r="G1492" s="4" cm="1">
        <f t="array" ref="G1492">IF($C1492&gt;=25,F1492,IF($C1492&lt;16,INDEX(Sheet1!C:C,$F1492),$F1492))</f>
        <v>14</v>
      </c>
      <c r="H1492" s="4" t="str" cm="1">
        <f t="array" ref="H1492">INDEX(Sheet1!D:D,$G1492)</f>
        <v>2001-cso-preferred-class-structure-mortality-tables.xls</v>
      </c>
      <c r="I1492" s="4" t="str" cm="1">
        <f t="array" ref="I1492">INDEX(Sheet1!E:E,$G1492)</f>
        <v>A.1.b.iii</v>
      </c>
      <c r="J1492" s="4" t="str" cm="1">
        <f t="array" ref="J1492">IF($C1492&gt;=25,INDEX(Sheet1!G:G,$G1492),INDEX(Sheet1!F:F,$G1492))</f>
        <v>AA8</v>
      </c>
      <c r="K1492" s="4" cm="1">
        <f t="array" ref="K1492">INDEX(Sheet1!H:H,$G1492)</f>
        <v>1E-3</v>
      </c>
      <c r="L1492" s="4">
        <f t="shared" si="92"/>
        <v>13</v>
      </c>
      <c r="M1492" s="4">
        <f t="shared" si="93"/>
        <v>0</v>
      </c>
    </row>
    <row r="1493" spans="1:13">
      <c r="A1493" s="4" t="str" cm="1">
        <f t="array" ref="A1493">INDEX(Sheet1!A:A,$F1493)</f>
        <v>F</v>
      </c>
      <c r="B1493" s="4" t="str" cm="1">
        <f t="array" ref="B1493">INDEX(Sheet1!B:B,$F1493)</f>
        <v>Non-Pref NS</v>
      </c>
      <c r="C1493" s="4">
        <f t="shared" si="94"/>
        <v>39</v>
      </c>
      <c r="D1493" s="5" cm="1">
        <f t="array" aca="1" ref="D1493" ca="1">OFFSET(INDIRECT("'["&amp;$H1493&amp;"]"&amp;$I1493&amp;"'!"&amp;$J1493),$L1493,$M1493)*$K1493</f>
        <v>1.2900000000000001E-3</v>
      </c>
      <c r="F1493" s="4">
        <f t="shared" si="95"/>
        <v>14</v>
      </c>
      <c r="G1493" s="4" cm="1">
        <f t="array" ref="G1493">IF($C1493&gt;=25,F1493,IF($C1493&lt;16,INDEX(Sheet1!C:C,$F1493),$F1493))</f>
        <v>14</v>
      </c>
      <c r="H1493" s="4" t="str" cm="1">
        <f t="array" ref="H1493">INDEX(Sheet1!D:D,$G1493)</f>
        <v>2001-cso-preferred-class-structure-mortality-tables.xls</v>
      </c>
      <c r="I1493" s="4" t="str" cm="1">
        <f t="array" ref="I1493">INDEX(Sheet1!E:E,$G1493)</f>
        <v>A.1.b.iii</v>
      </c>
      <c r="J1493" s="4" t="str" cm="1">
        <f t="array" ref="J1493">IF($C1493&gt;=25,INDEX(Sheet1!G:G,$G1493),INDEX(Sheet1!F:F,$G1493))</f>
        <v>AA8</v>
      </c>
      <c r="K1493" s="4" cm="1">
        <f t="array" ref="K1493">INDEX(Sheet1!H:H,$G1493)</f>
        <v>1E-3</v>
      </c>
      <c r="L1493" s="4">
        <f t="shared" si="92"/>
        <v>14</v>
      </c>
      <c r="M1493" s="4">
        <f t="shared" si="93"/>
        <v>0</v>
      </c>
    </row>
    <row r="1494" spans="1:13">
      <c r="A1494" s="4" t="str" cm="1">
        <f t="array" ref="A1494">INDEX(Sheet1!A:A,$F1494)</f>
        <v>F</v>
      </c>
      <c r="B1494" s="4" t="str" cm="1">
        <f t="array" ref="B1494">INDEX(Sheet1!B:B,$F1494)</f>
        <v>Non-Pref NS</v>
      </c>
      <c r="C1494" s="4">
        <f t="shared" si="94"/>
        <v>40</v>
      </c>
      <c r="D1494" s="5" cm="1">
        <f t="array" aca="1" ref="D1494" ca="1">OFFSET(INDIRECT("'["&amp;$H1494&amp;"]"&amp;$I1494&amp;"'!"&amp;$J1494),$L1494,$M1494)*$K1494</f>
        <v>1.3600000000000001E-3</v>
      </c>
      <c r="F1494" s="4">
        <f t="shared" si="95"/>
        <v>14</v>
      </c>
      <c r="G1494" s="4" cm="1">
        <f t="array" ref="G1494">IF($C1494&gt;=25,F1494,IF($C1494&lt;16,INDEX(Sheet1!C:C,$F1494),$F1494))</f>
        <v>14</v>
      </c>
      <c r="H1494" s="4" t="str" cm="1">
        <f t="array" ref="H1494">INDEX(Sheet1!D:D,$G1494)</f>
        <v>2001-cso-preferred-class-structure-mortality-tables.xls</v>
      </c>
      <c r="I1494" s="4" t="str" cm="1">
        <f t="array" ref="I1494">INDEX(Sheet1!E:E,$G1494)</f>
        <v>A.1.b.iii</v>
      </c>
      <c r="J1494" s="4" t="str" cm="1">
        <f t="array" ref="J1494">IF($C1494&gt;=25,INDEX(Sheet1!G:G,$G1494),INDEX(Sheet1!F:F,$G1494))</f>
        <v>AA8</v>
      </c>
      <c r="K1494" s="4" cm="1">
        <f t="array" ref="K1494">INDEX(Sheet1!H:H,$G1494)</f>
        <v>1E-3</v>
      </c>
      <c r="L1494" s="4">
        <f t="shared" si="92"/>
        <v>15</v>
      </c>
      <c r="M1494" s="4">
        <f t="shared" si="93"/>
        <v>0</v>
      </c>
    </row>
    <row r="1495" spans="1:13">
      <c r="A1495" s="4" t="str" cm="1">
        <f t="array" ref="A1495">INDEX(Sheet1!A:A,$F1495)</f>
        <v>F</v>
      </c>
      <c r="B1495" s="4" t="str" cm="1">
        <f t="array" ref="B1495">INDEX(Sheet1!B:B,$F1495)</f>
        <v>Non-Pref NS</v>
      </c>
      <c r="C1495" s="4">
        <f t="shared" si="94"/>
        <v>41</v>
      </c>
      <c r="D1495" s="5" cm="1">
        <f t="array" aca="1" ref="D1495" ca="1">OFFSET(INDIRECT("'["&amp;$H1495&amp;"]"&amp;$I1495&amp;"'!"&amp;$J1495),$L1495,$M1495)*$K1495</f>
        <v>1.4399999999999999E-3</v>
      </c>
      <c r="F1495" s="4">
        <f t="shared" si="95"/>
        <v>14</v>
      </c>
      <c r="G1495" s="4" cm="1">
        <f t="array" ref="G1495">IF($C1495&gt;=25,F1495,IF($C1495&lt;16,INDEX(Sheet1!C:C,$F1495),$F1495))</f>
        <v>14</v>
      </c>
      <c r="H1495" s="4" t="str" cm="1">
        <f t="array" ref="H1495">INDEX(Sheet1!D:D,$G1495)</f>
        <v>2001-cso-preferred-class-structure-mortality-tables.xls</v>
      </c>
      <c r="I1495" s="4" t="str" cm="1">
        <f t="array" ref="I1495">INDEX(Sheet1!E:E,$G1495)</f>
        <v>A.1.b.iii</v>
      </c>
      <c r="J1495" s="4" t="str" cm="1">
        <f t="array" ref="J1495">IF($C1495&gt;=25,INDEX(Sheet1!G:G,$G1495),INDEX(Sheet1!F:F,$G1495))</f>
        <v>AA8</v>
      </c>
      <c r="K1495" s="4" cm="1">
        <f t="array" ref="K1495">INDEX(Sheet1!H:H,$G1495)</f>
        <v>1E-3</v>
      </c>
      <c r="L1495" s="4">
        <f t="shared" si="92"/>
        <v>16</v>
      </c>
      <c r="M1495" s="4">
        <f t="shared" si="93"/>
        <v>0</v>
      </c>
    </row>
    <row r="1496" spans="1:13">
      <c r="A1496" s="4" t="str" cm="1">
        <f t="array" ref="A1496">INDEX(Sheet1!A:A,$F1496)</f>
        <v>F</v>
      </c>
      <c r="B1496" s="4" t="str" cm="1">
        <f t="array" ref="B1496">INDEX(Sheet1!B:B,$F1496)</f>
        <v>Non-Pref NS</v>
      </c>
      <c r="C1496" s="4">
        <f t="shared" si="94"/>
        <v>42</v>
      </c>
      <c r="D1496" s="5" cm="1">
        <f t="array" aca="1" ref="D1496" ca="1">OFFSET(INDIRECT("'["&amp;$H1496&amp;"]"&amp;$I1496&amp;"'!"&amp;$J1496),$L1496,$M1496)*$K1496</f>
        <v>1.5400000000000001E-3</v>
      </c>
      <c r="F1496" s="4">
        <f t="shared" si="95"/>
        <v>14</v>
      </c>
      <c r="G1496" s="4" cm="1">
        <f t="array" ref="G1496">IF($C1496&gt;=25,F1496,IF($C1496&lt;16,INDEX(Sheet1!C:C,$F1496),$F1496))</f>
        <v>14</v>
      </c>
      <c r="H1496" s="4" t="str" cm="1">
        <f t="array" ref="H1496">INDEX(Sheet1!D:D,$G1496)</f>
        <v>2001-cso-preferred-class-structure-mortality-tables.xls</v>
      </c>
      <c r="I1496" s="4" t="str" cm="1">
        <f t="array" ref="I1496">INDEX(Sheet1!E:E,$G1496)</f>
        <v>A.1.b.iii</v>
      </c>
      <c r="J1496" s="4" t="str" cm="1">
        <f t="array" ref="J1496">IF($C1496&gt;=25,INDEX(Sheet1!G:G,$G1496),INDEX(Sheet1!F:F,$G1496))</f>
        <v>AA8</v>
      </c>
      <c r="K1496" s="4" cm="1">
        <f t="array" ref="K1496">INDEX(Sheet1!H:H,$G1496)</f>
        <v>1E-3</v>
      </c>
      <c r="L1496" s="4">
        <f t="shared" si="92"/>
        <v>17</v>
      </c>
      <c r="M1496" s="4">
        <f t="shared" si="93"/>
        <v>0</v>
      </c>
    </row>
    <row r="1497" spans="1:13">
      <c r="A1497" s="4" t="str" cm="1">
        <f t="array" ref="A1497">INDEX(Sheet1!A:A,$F1497)</f>
        <v>F</v>
      </c>
      <c r="B1497" s="4" t="str" cm="1">
        <f t="array" ref="B1497">INDEX(Sheet1!B:B,$F1497)</f>
        <v>Non-Pref NS</v>
      </c>
      <c r="C1497" s="4">
        <f t="shared" si="94"/>
        <v>43</v>
      </c>
      <c r="D1497" s="5" cm="1">
        <f t="array" aca="1" ref="D1497" ca="1">OFFSET(INDIRECT("'["&amp;$H1497&amp;"]"&amp;$I1497&amp;"'!"&amp;$J1497),$L1497,$M1497)*$K1497</f>
        <v>1.65E-3</v>
      </c>
      <c r="F1497" s="4">
        <f t="shared" si="95"/>
        <v>14</v>
      </c>
      <c r="G1497" s="4" cm="1">
        <f t="array" ref="G1497">IF($C1497&gt;=25,F1497,IF($C1497&lt;16,INDEX(Sheet1!C:C,$F1497),$F1497))</f>
        <v>14</v>
      </c>
      <c r="H1497" s="4" t="str" cm="1">
        <f t="array" ref="H1497">INDEX(Sheet1!D:D,$G1497)</f>
        <v>2001-cso-preferred-class-structure-mortality-tables.xls</v>
      </c>
      <c r="I1497" s="4" t="str" cm="1">
        <f t="array" ref="I1497">INDEX(Sheet1!E:E,$G1497)</f>
        <v>A.1.b.iii</v>
      </c>
      <c r="J1497" s="4" t="str" cm="1">
        <f t="array" ref="J1497">IF($C1497&gt;=25,INDEX(Sheet1!G:G,$G1497),INDEX(Sheet1!F:F,$G1497))</f>
        <v>AA8</v>
      </c>
      <c r="K1497" s="4" cm="1">
        <f t="array" ref="K1497">INDEX(Sheet1!H:H,$G1497)</f>
        <v>1E-3</v>
      </c>
      <c r="L1497" s="4">
        <f t="shared" si="92"/>
        <v>18</v>
      </c>
      <c r="M1497" s="4">
        <f t="shared" si="93"/>
        <v>0</v>
      </c>
    </row>
    <row r="1498" spans="1:13">
      <c r="A1498" s="4" t="str" cm="1">
        <f t="array" ref="A1498">INDEX(Sheet1!A:A,$F1498)</f>
        <v>F</v>
      </c>
      <c r="B1498" s="4" t="str" cm="1">
        <f t="array" ref="B1498">INDEX(Sheet1!B:B,$F1498)</f>
        <v>Non-Pref NS</v>
      </c>
      <c r="C1498" s="4">
        <f t="shared" si="94"/>
        <v>44</v>
      </c>
      <c r="D1498" s="5" cm="1">
        <f t="array" aca="1" ref="D1498" ca="1">OFFSET(INDIRECT("'["&amp;$H1498&amp;"]"&amp;$I1498&amp;"'!"&amp;$J1498),$L1498,$M1498)*$K1498</f>
        <v>1.7800000000000001E-3</v>
      </c>
      <c r="F1498" s="4">
        <f t="shared" si="95"/>
        <v>14</v>
      </c>
      <c r="G1498" s="4" cm="1">
        <f t="array" ref="G1498">IF($C1498&gt;=25,F1498,IF($C1498&lt;16,INDEX(Sheet1!C:C,$F1498),$F1498))</f>
        <v>14</v>
      </c>
      <c r="H1498" s="4" t="str" cm="1">
        <f t="array" ref="H1498">INDEX(Sheet1!D:D,$G1498)</f>
        <v>2001-cso-preferred-class-structure-mortality-tables.xls</v>
      </c>
      <c r="I1498" s="4" t="str" cm="1">
        <f t="array" ref="I1498">INDEX(Sheet1!E:E,$G1498)</f>
        <v>A.1.b.iii</v>
      </c>
      <c r="J1498" s="4" t="str" cm="1">
        <f t="array" ref="J1498">IF($C1498&gt;=25,INDEX(Sheet1!G:G,$G1498),INDEX(Sheet1!F:F,$G1498))</f>
        <v>AA8</v>
      </c>
      <c r="K1498" s="4" cm="1">
        <f t="array" ref="K1498">INDEX(Sheet1!H:H,$G1498)</f>
        <v>1E-3</v>
      </c>
      <c r="L1498" s="4">
        <f t="shared" si="92"/>
        <v>19</v>
      </c>
      <c r="M1498" s="4">
        <f t="shared" si="93"/>
        <v>0</v>
      </c>
    </row>
    <row r="1499" spans="1:13">
      <c r="A1499" s="4" t="str" cm="1">
        <f t="array" ref="A1499">INDEX(Sheet1!A:A,$F1499)</f>
        <v>F</v>
      </c>
      <c r="B1499" s="4" t="str" cm="1">
        <f t="array" ref="B1499">INDEX(Sheet1!B:B,$F1499)</f>
        <v>Non-Pref NS</v>
      </c>
      <c r="C1499" s="4">
        <f t="shared" si="94"/>
        <v>45</v>
      </c>
      <c r="D1499" s="5" cm="1">
        <f t="array" aca="1" ref="D1499" ca="1">OFFSET(INDIRECT("'["&amp;$H1499&amp;"]"&amp;$I1499&amp;"'!"&amp;$J1499),$L1499,$M1499)*$K1499</f>
        <v>1.9499999999999999E-3</v>
      </c>
      <c r="F1499" s="4">
        <f t="shared" si="95"/>
        <v>14</v>
      </c>
      <c r="G1499" s="4" cm="1">
        <f t="array" ref="G1499">IF($C1499&gt;=25,F1499,IF($C1499&lt;16,INDEX(Sheet1!C:C,$F1499),$F1499))</f>
        <v>14</v>
      </c>
      <c r="H1499" s="4" t="str" cm="1">
        <f t="array" ref="H1499">INDEX(Sheet1!D:D,$G1499)</f>
        <v>2001-cso-preferred-class-structure-mortality-tables.xls</v>
      </c>
      <c r="I1499" s="4" t="str" cm="1">
        <f t="array" ref="I1499">INDEX(Sheet1!E:E,$G1499)</f>
        <v>A.1.b.iii</v>
      </c>
      <c r="J1499" s="4" t="str" cm="1">
        <f t="array" ref="J1499">IF($C1499&gt;=25,INDEX(Sheet1!G:G,$G1499),INDEX(Sheet1!F:F,$G1499))</f>
        <v>AA8</v>
      </c>
      <c r="K1499" s="4" cm="1">
        <f t="array" ref="K1499">INDEX(Sheet1!H:H,$G1499)</f>
        <v>1E-3</v>
      </c>
      <c r="L1499" s="4">
        <f t="shared" si="92"/>
        <v>20</v>
      </c>
      <c r="M1499" s="4">
        <f t="shared" si="93"/>
        <v>0</v>
      </c>
    </row>
    <row r="1500" spans="1:13">
      <c r="A1500" s="4" t="str" cm="1">
        <f t="array" ref="A1500">INDEX(Sheet1!A:A,$F1500)</f>
        <v>F</v>
      </c>
      <c r="B1500" s="4" t="str" cm="1">
        <f t="array" ref="B1500">INDEX(Sheet1!B:B,$F1500)</f>
        <v>Non-Pref NS</v>
      </c>
      <c r="C1500" s="4">
        <f t="shared" si="94"/>
        <v>46</v>
      </c>
      <c r="D1500" s="5" cm="1">
        <f t="array" aca="1" ref="D1500" ca="1">OFFSET(INDIRECT("'["&amp;$H1500&amp;"]"&amp;$I1500&amp;"'!"&amp;$J1500),$L1500,$M1500)*$K1500</f>
        <v>2.1299999999999999E-3</v>
      </c>
      <c r="F1500" s="4">
        <f t="shared" si="95"/>
        <v>14</v>
      </c>
      <c r="G1500" s="4" cm="1">
        <f t="array" ref="G1500">IF($C1500&gt;=25,F1500,IF($C1500&lt;16,INDEX(Sheet1!C:C,$F1500),$F1500))</f>
        <v>14</v>
      </c>
      <c r="H1500" s="4" t="str" cm="1">
        <f t="array" ref="H1500">INDEX(Sheet1!D:D,$G1500)</f>
        <v>2001-cso-preferred-class-structure-mortality-tables.xls</v>
      </c>
      <c r="I1500" s="4" t="str" cm="1">
        <f t="array" ref="I1500">INDEX(Sheet1!E:E,$G1500)</f>
        <v>A.1.b.iii</v>
      </c>
      <c r="J1500" s="4" t="str" cm="1">
        <f t="array" ref="J1500">IF($C1500&gt;=25,INDEX(Sheet1!G:G,$G1500),INDEX(Sheet1!F:F,$G1500))</f>
        <v>AA8</v>
      </c>
      <c r="K1500" s="4" cm="1">
        <f t="array" ref="K1500">INDEX(Sheet1!H:H,$G1500)</f>
        <v>1E-3</v>
      </c>
      <c r="L1500" s="4">
        <f t="shared" si="92"/>
        <v>21</v>
      </c>
      <c r="M1500" s="4">
        <f t="shared" si="93"/>
        <v>0</v>
      </c>
    </row>
    <row r="1501" spans="1:13">
      <c r="A1501" s="4" t="str" cm="1">
        <f t="array" ref="A1501">INDEX(Sheet1!A:A,$F1501)</f>
        <v>F</v>
      </c>
      <c r="B1501" s="4" t="str" cm="1">
        <f t="array" ref="B1501">INDEX(Sheet1!B:B,$F1501)</f>
        <v>Non-Pref NS</v>
      </c>
      <c r="C1501" s="4">
        <f t="shared" si="94"/>
        <v>47</v>
      </c>
      <c r="D1501" s="5" cm="1">
        <f t="array" aca="1" ref="D1501" ca="1">OFFSET(INDIRECT("'["&amp;$H1501&amp;"]"&amp;$I1501&amp;"'!"&amp;$J1501),$L1501,$M1501)*$K1501</f>
        <v>2.3600000000000001E-3</v>
      </c>
      <c r="F1501" s="4">
        <f t="shared" si="95"/>
        <v>14</v>
      </c>
      <c r="G1501" s="4" cm="1">
        <f t="array" ref="G1501">IF($C1501&gt;=25,F1501,IF($C1501&lt;16,INDEX(Sheet1!C:C,$F1501),$F1501))</f>
        <v>14</v>
      </c>
      <c r="H1501" s="4" t="str" cm="1">
        <f t="array" ref="H1501">INDEX(Sheet1!D:D,$G1501)</f>
        <v>2001-cso-preferred-class-structure-mortality-tables.xls</v>
      </c>
      <c r="I1501" s="4" t="str" cm="1">
        <f t="array" ref="I1501">INDEX(Sheet1!E:E,$G1501)</f>
        <v>A.1.b.iii</v>
      </c>
      <c r="J1501" s="4" t="str" cm="1">
        <f t="array" ref="J1501">IF($C1501&gt;=25,INDEX(Sheet1!G:G,$G1501),INDEX(Sheet1!F:F,$G1501))</f>
        <v>AA8</v>
      </c>
      <c r="K1501" s="4" cm="1">
        <f t="array" ref="K1501">INDEX(Sheet1!H:H,$G1501)</f>
        <v>1E-3</v>
      </c>
      <c r="L1501" s="4">
        <f t="shared" si="92"/>
        <v>22</v>
      </c>
      <c r="M1501" s="4">
        <f t="shared" si="93"/>
        <v>0</v>
      </c>
    </row>
    <row r="1502" spans="1:13">
      <c r="A1502" s="4" t="str" cm="1">
        <f t="array" ref="A1502">INDEX(Sheet1!A:A,$F1502)</f>
        <v>F</v>
      </c>
      <c r="B1502" s="4" t="str" cm="1">
        <f t="array" ref="B1502">INDEX(Sheet1!B:B,$F1502)</f>
        <v>Non-Pref NS</v>
      </c>
      <c r="C1502" s="4">
        <f t="shared" si="94"/>
        <v>48</v>
      </c>
      <c r="D1502" s="5" cm="1">
        <f t="array" aca="1" ref="D1502" ca="1">OFFSET(INDIRECT("'["&amp;$H1502&amp;"]"&amp;$I1502&amp;"'!"&amp;$J1502),$L1502,$M1502)*$K1502</f>
        <v>2.6099999999999999E-3</v>
      </c>
      <c r="F1502" s="4">
        <f t="shared" si="95"/>
        <v>14</v>
      </c>
      <c r="G1502" s="4" cm="1">
        <f t="array" ref="G1502">IF($C1502&gt;=25,F1502,IF($C1502&lt;16,INDEX(Sheet1!C:C,$F1502),$F1502))</f>
        <v>14</v>
      </c>
      <c r="H1502" s="4" t="str" cm="1">
        <f t="array" ref="H1502">INDEX(Sheet1!D:D,$G1502)</f>
        <v>2001-cso-preferred-class-structure-mortality-tables.xls</v>
      </c>
      <c r="I1502" s="4" t="str" cm="1">
        <f t="array" ref="I1502">INDEX(Sheet1!E:E,$G1502)</f>
        <v>A.1.b.iii</v>
      </c>
      <c r="J1502" s="4" t="str" cm="1">
        <f t="array" ref="J1502">IF($C1502&gt;=25,INDEX(Sheet1!G:G,$G1502),INDEX(Sheet1!F:F,$G1502))</f>
        <v>AA8</v>
      </c>
      <c r="K1502" s="4" cm="1">
        <f t="array" ref="K1502">INDEX(Sheet1!H:H,$G1502)</f>
        <v>1E-3</v>
      </c>
      <c r="L1502" s="4">
        <f t="shared" si="92"/>
        <v>23</v>
      </c>
      <c r="M1502" s="4">
        <f t="shared" si="93"/>
        <v>0</v>
      </c>
    </row>
    <row r="1503" spans="1:13">
      <c r="A1503" s="4" t="str" cm="1">
        <f t="array" ref="A1503">INDEX(Sheet1!A:A,$F1503)</f>
        <v>F</v>
      </c>
      <c r="B1503" s="4" t="str" cm="1">
        <f t="array" ref="B1503">INDEX(Sheet1!B:B,$F1503)</f>
        <v>Non-Pref NS</v>
      </c>
      <c r="C1503" s="4">
        <f t="shared" si="94"/>
        <v>49</v>
      </c>
      <c r="D1503" s="5" cm="1">
        <f t="array" aca="1" ref="D1503" ca="1">OFFSET(INDIRECT("'["&amp;$H1503&amp;"]"&amp;$I1503&amp;"'!"&amp;$J1503),$L1503,$M1503)*$K1503</f>
        <v>2.8900000000000002E-3</v>
      </c>
      <c r="F1503" s="4">
        <f t="shared" si="95"/>
        <v>14</v>
      </c>
      <c r="G1503" s="4" cm="1">
        <f t="array" ref="G1503">IF($C1503&gt;=25,F1503,IF($C1503&lt;16,INDEX(Sheet1!C:C,$F1503),$F1503))</f>
        <v>14</v>
      </c>
      <c r="H1503" s="4" t="str" cm="1">
        <f t="array" ref="H1503">INDEX(Sheet1!D:D,$G1503)</f>
        <v>2001-cso-preferred-class-structure-mortality-tables.xls</v>
      </c>
      <c r="I1503" s="4" t="str" cm="1">
        <f t="array" ref="I1503">INDEX(Sheet1!E:E,$G1503)</f>
        <v>A.1.b.iii</v>
      </c>
      <c r="J1503" s="4" t="str" cm="1">
        <f t="array" ref="J1503">IF($C1503&gt;=25,INDEX(Sheet1!G:G,$G1503),INDEX(Sheet1!F:F,$G1503))</f>
        <v>AA8</v>
      </c>
      <c r="K1503" s="4" cm="1">
        <f t="array" ref="K1503">INDEX(Sheet1!H:H,$G1503)</f>
        <v>1E-3</v>
      </c>
      <c r="L1503" s="4">
        <f t="shared" si="92"/>
        <v>24</v>
      </c>
      <c r="M1503" s="4">
        <f t="shared" si="93"/>
        <v>0</v>
      </c>
    </row>
    <row r="1504" spans="1:13">
      <c r="A1504" s="4" t="str" cm="1">
        <f t="array" ref="A1504">INDEX(Sheet1!A:A,$F1504)</f>
        <v>F</v>
      </c>
      <c r="B1504" s="4" t="str" cm="1">
        <f t="array" ref="B1504">INDEX(Sheet1!B:B,$F1504)</f>
        <v>Non-Pref NS</v>
      </c>
      <c r="C1504" s="4">
        <f t="shared" si="94"/>
        <v>50</v>
      </c>
      <c r="D1504" s="5" cm="1">
        <f t="array" aca="1" ref="D1504" ca="1">OFFSET(INDIRECT("'["&amp;$H1504&amp;"]"&amp;$I1504&amp;"'!"&amp;$J1504),$L1504,$M1504)*$K1504</f>
        <v>3.2000000000000002E-3</v>
      </c>
      <c r="F1504" s="4">
        <f t="shared" si="95"/>
        <v>14</v>
      </c>
      <c r="G1504" s="4" cm="1">
        <f t="array" ref="G1504">IF($C1504&gt;=25,F1504,IF($C1504&lt;16,INDEX(Sheet1!C:C,$F1504),$F1504))</f>
        <v>14</v>
      </c>
      <c r="H1504" s="4" t="str" cm="1">
        <f t="array" ref="H1504">INDEX(Sheet1!D:D,$G1504)</f>
        <v>2001-cso-preferred-class-structure-mortality-tables.xls</v>
      </c>
      <c r="I1504" s="4" t="str" cm="1">
        <f t="array" ref="I1504">INDEX(Sheet1!E:E,$G1504)</f>
        <v>A.1.b.iii</v>
      </c>
      <c r="J1504" s="4" t="str" cm="1">
        <f t="array" ref="J1504">IF($C1504&gt;=25,INDEX(Sheet1!G:G,$G1504),INDEX(Sheet1!F:F,$G1504))</f>
        <v>AA8</v>
      </c>
      <c r="K1504" s="4" cm="1">
        <f t="array" ref="K1504">INDEX(Sheet1!H:H,$G1504)</f>
        <v>1E-3</v>
      </c>
      <c r="L1504" s="4">
        <f t="shared" si="92"/>
        <v>25</v>
      </c>
      <c r="M1504" s="4">
        <f t="shared" si="93"/>
        <v>0</v>
      </c>
    </row>
    <row r="1505" spans="1:13">
      <c r="A1505" s="4" t="str" cm="1">
        <f t="array" ref="A1505">INDEX(Sheet1!A:A,$F1505)</f>
        <v>F</v>
      </c>
      <c r="B1505" s="4" t="str" cm="1">
        <f t="array" ref="B1505">INDEX(Sheet1!B:B,$F1505)</f>
        <v>Non-Pref NS</v>
      </c>
      <c r="C1505" s="4">
        <f t="shared" si="94"/>
        <v>51</v>
      </c>
      <c r="D1505" s="5" cm="1">
        <f t="array" aca="1" ref="D1505" ca="1">OFFSET(INDIRECT("'["&amp;$H1505&amp;"]"&amp;$I1505&amp;"'!"&amp;$J1505),$L1505,$M1505)*$K1505</f>
        <v>3.5400000000000002E-3</v>
      </c>
      <c r="F1505" s="4">
        <f t="shared" si="95"/>
        <v>14</v>
      </c>
      <c r="G1505" s="4" cm="1">
        <f t="array" ref="G1505">IF($C1505&gt;=25,F1505,IF($C1505&lt;16,INDEX(Sheet1!C:C,$F1505),$F1505))</f>
        <v>14</v>
      </c>
      <c r="H1505" s="4" t="str" cm="1">
        <f t="array" ref="H1505">INDEX(Sheet1!D:D,$G1505)</f>
        <v>2001-cso-preferred-class-structure-mortality-tables.xls</v>
      </c>
      <c r="I1505" s="4" t="str" cm="1">
        <f t="array" ref="I1505">INDEX(Sheet1!E:E,$G1505)</f>
        <v>A.1.b.iii</v>
      </c>
      <c r="J1505" s="4" t="str" cm="1">
        <f t="array" ref="J1505">IF($C1505&gt;=25,INDEX(Sheet1!G:G,$G1505),INDEX(Sheet1!F:F,$G1505))</f>
        <v>AA8</v>
      </c>
      <c r="K1505" s="4" cm="1">
        <f t="array" ref="K1505">INDEX(Sheet1!H:H,$G1505)</f>
        <v>1E-3</v>
      </c>
      <c r="L1505" s="4">
        <f t="shared" si="92"/>
        <v>26</v>
      </c>
      <c r="M1505" s="4">
        <f t="shared" si="93"/>
        <v>0</v>
      </c>
    </row>
    <row r="1506" spans="1:13">
      <c r="A1506" s="4" t="str" cm="1">
        <f t="array" ref="A1506">INDEX(Sheet1!A:A,$F1506)</f>
        <v>F</v>
      </c>
      <c r="B1506" s="4" t="str" cm="1">
        <f t="array" ref="B1506">INDEX(Sheet1!B:B,$F1506)</f>
        <v>Non-Pref NS</v>
      </c>
      <c r="C1506" s="4">
        <f t="shared" si="94"/>
        <v>52</v>
      </c>
      <c r="D1506" s="5" cm="1">
        <f t="array" aca="1" ref="D1506" ca="1">OFFSET(INDIRECT("'["&amp;$H1506&amp;"]"&amp;$I1506&amp;"'!"&amp;$J1506),$L1506,$M1506)*$K1506</f>
        <v>3.9300000000000003E-3</v>
      </c>
      <c r="F1506" s="4">
        <f t="shared" si="95"/>
        <v>14</v>
      </c>
      <c r="G1506" s="4" cm="1">
        <f t="array" ref="G1506">IF($C1506&gt;=25,F1506,IF($C1506&lt;16,INDEX(Sheet1!C:C,$F1506),$F1506))</f>
        <v>14</v>
      </c>
      <c r="H1506" s="4" t="str" cm="1">
        <f t="array" ref="H1506">INDEX(Sheet1!D:D,$G1506)</f>
        <v>2001-cso-preferred-class-structure-mortality-tables.xls</v>
      </c>
      <c r="I1506" s="4" t="str" cm="1">
        <f t="array" ref="I1506">INDEX(Sheet1!E:E,$G1506)</f>
        <v>A.1.b.iii</v>
      </c>
      <c r="J1506" s="4" t="str" cm="1">
        <f t="array" ref="J1506">IF($C1506&gt;=25,INDEX(Sheet1!G:G,$G1506),INDEX(Sheet1!F:F,$G1506))</f>
        <v>AA8</v>
      </c>
      <c r="K1506" s="4" cm="1">
        <f t="array" ref="K1506">INDEX(Sheet1!H:H,$G1506)</f>
        <v>1E-3</v>
      </c>
      <c r="L1506" s="4">
        <f t="shared" si="92"/>
        <v>27</v>
      </c>
      <c r="M1506" s="4">
        <f t="shared" si="93"/>
        <v>0</v>
      </c>
    </row>
    <row r="1507" spans="1:13">
      <c r="A1507" s="4" t="str" cm="1">
        <f t="array" ref="A1507">INDEX(Sheet1!A:A,$F1507)</f>
        <v>F</v>
      </c>
      <c r="B1507" s="4" t="str" cm="1">
        <f t="array" ref="B1507">INDEX(Sheet1!B:B,$F1507)</f>
        <v>Non-Pref NS</v>
      </c>
      <c r="C1507" s="4">
        <f t="shared" si="94"/>
        <v>53</v>
      </c>
      <c r="D1507" s="5" cm="1">
        <f t="array" aca="1" ref="D1507" ca="1">OFFSET(INDIRECT("'["&amp;$H1507&amp;"]"&amp;$I1507&amp;"'!"&amp;$J1507),$L1507,$M1507)*$K1507</f>
        <v>4.3499999999999997E-3</v>
      </c>
      <c r="F1507" s="4">
        <f t="shared" si="95"/>
        <v>14</v>
      </c>
      <c r="G1507" s="4" cm="1">
        <f t="array" ref="G1507">IF($C1507&gt;=25,F1507,IF($C1507&lt;16,INDEX(Sheet1!C:C,$F1507),$F1507))</f>
        <v>14</v>
      </c>
      <c r="H1507" s="4" t="str" cm="1">
        <f t="array" ref="H1507">INDEX(Sheet1!D:D,$G1507)</f>
        <v>2001-cso-preferred-class-structure-mortality-tables.xls</v>
      </c>
      <c r="I1507" s="4" t="str" cm="1">
        <f t="array" ref="I1507">INDEX(Sheet1!E:E,$G1507)</f>
        <v>A.1.b.iii</v>
      </c>
      <c r="J1507" s="4" t="str" cm="1">
        <f t="array" ref="J1507">IF($C1507&gt;=25,INDEX(Sheet1!G:G,$G1507),INDEX(Sheet1!F:F,$G1507))</f>
        <v>AA8</v>
      </c>
      <c r="K1507" s="4" cm="1">
        <f t="array" ref="K1507">INDEX(Sheet1!H:H,$G1507)</f>
        <v>1E-3</v>
      </c>
      <c r="L1507" s="4">
        <f t="shared" si="92"/>
        <v>28</v>
      </c>
      <c r="M1507" s="4">
        <f t="shared" si="93"/>
        <v>0</v>
      </c>
    </row>
    <row r="1508" spans="1:13">
      <c r="A1508" s="4" t="str" cm="1">
        <f t="array" ref="A1508">INDEX(Sheet1!A:A,$F1508)</f>
        <v>F</v>
      </c>
      <c r="B1508" s="4" t="str" cm="1">
        <f t="array" ref="B1508">INDEX(Sheet1!B:B,$F1508)</f>
        <v>Non-Pref NS</v>
      </c>
      <c r="C1508" s="4">
        <f t="shared" si="94"/>
        <v>54</v>
      </c>
      <c r="D1508" s="5" cm="1">
        <f t="array" aca="1" ref="D1508" ca="1">OFFSET(INDIRECT("'["&amp;$H1508&amp;"]"&amp;$I1508&amp;"'!"&amp;$J1508),$L1508,$M1508)*$K1508</f>
        <v>4.7800000000000004E-3</v>
      </c>
      <c r="F1508" s="4">
        <f t="shared" si="95"/>
        <v>14</v>
      </c>
      <c r="G1508" s="4" cm="1">
        <f t="array" ref="G1508">IF($C1508&gt;=25,F1508,IF($C1508&lt;16,INDEX(Sheet1!C:C,$F1508),$F1508))</f>
        <v>14</v>
      </c>
      <c r="H1508" s="4" t="str" cm="1">
        <f t="array" ref="H1508">INDEX(Sheet1!D:D,$G1508)</f>
        <v>2001-cso-preferred-class-structure-mortality-tables.xls</v>
      </c>
      <c r="I1508" s="4" t="str" cm="1">
        <f t="array" ref="I1508">INDEX(Sheet1!E:E,$G1508)</f>
        <v>A.1.b.iii</v>
      </c>
      <c r="J1508" s="4" t="str" cm="1">
        <f t="array" ref="J1508">IF($C1508&gt;=25,INDEX(Sheet1!G:G,$G1508),INDEX(Sheet1!F:F,$G1508))</f>
        <v>AA8</v>
      </c>
      <c r="K1508" s="4" cm="1">
        <f t="array" ref="K1508">INDEX(Sheet1!H:H,$G1508)</f>
        <v>1E-3</v>
      </c>
      <c r="L1508" s="4">
        <f t="shared" si="92"/>
        <v>29</v>
      </c>
      <c r="M1508" s="4">
        <f t="shared" si="93"/>
        <v>0</v>
      </c>
    </row>
    <row r="1509" spans="1:13">
      <c r="A1509" s="4" t="str" cm="1">
        <f t="array" ref="A1509">INDEX(Sheet1!A:A,$F1509)</f>
        <v>F</v>
      </c>
      <c r="B1509" s="4" t="str" cm="1">
        <f t="array" ref="B1509">INDEX(Sheet1!B:B,$F1509)</f>
        <v>Non-Pref NS</v>
      </c>
      <c r="C1509" s="4">
        <f t="shared" si="94"/>
        <v>55</v>
      </c>
      <c r="D1509" s="5" cm="1">
        <f t="array" aca="1" ref="D1509" ca="1">OFFSET(INDIRECT("'["&amp;$H1509&amp;"]"&amp;$I1509&amp;"'!"&amp;$J1509),$L1509,$M1509)*$K1509</f>
        <v>5.2400000000000007E-3</v>
      </c>
      <c r="F1509" s="4">
        <f t="shared" si="95"/>
        <v>14</v>
      </c>
      <c r="G1509" s="4" cm="1">
        <f t="array" ref="G1509">IF($C1509&gt;=25,F1509,IF($C1509&lt;16,INDEX(Sheet1!C:C,$F1509),$F1509))</f>
        <v>14</v>
      </c>
      <c r="H1509" s="4" t="str" cm="1">
        <f t="array" ref="H1509">INDEX(Sheet1!D:D,$G1509)</f>
        <v>2001-cso-preferred-class-structure-mortality-tables.xls</v>
      </c>
      <c r="I1509" s="4" t="str" cm="1">
        <f t="array" ref="I1509">INDEX(Sheet1!E:E,$G1509)</f>
        <v>A.1.b.iii</v>
      </c>
      <c r="J1509" s="4" t="str" cm="1">
        <f t="array" ref="J1509">IF($C1509&gt;=25,INDEX(Sheet1!G:G,$G1509),INDEX(Sheet1!F:F,$G1509))</f>
        <v>AA8</v>
      </c>
      <c r="K1509" s="4" cm="1">
        <f t="array" ref="K1509">INDEX(Sheet1!H:H,$G1509)</f>
        <v>1E-3</v>
      </c>
      <c r="L1509" s="4">
        <f t="shared" si="92"/>
        <v>30</v>
      </c>
      <c r="M1509" s="4">
        <f t="shared" si="93"/>
        <v>0</v>
      </c>
    </row>
    <row r="1510" spans="1:13">
      <c r="A1510" s="4" t="str" cm="1">
        <f t="array" ref="A1510">INDEX(Sheet1!A:A,$F1510)</f>
        <v>F</v>
      </c>
      <c r="B1510" s="4" t="str" cm="1">
        <f t="array" ref="B1510">INDEX(Sheet1!B:B,$F1510)</f>
        <v>Non-Pref NS</v>
      </c>
      <c r="C1510" s="4">
        <f t="shared" si="94"/>
        <v>56</v>
      </c>
      <c r="D1510" s="5" cm="1">
        <f t="array" aca="1" ref="D1510" ca="1">OFFSET(INDIRECT("'["&amp;$H1510&amp;"]"&amp;$I1510&amp;"'!"&amp;$J1510),$L1510,$M1510)*$K1510</f>
        <v>5.7800000000000004E-3</v>
      </c>
      <c r="F1510" s="4">
        <f t="shared" si="95"/>
        <v>14</v>
      </c>
      <c r="G1510" s="4" cm="1">
        <f t="array" ref="G1510">IF($C1510&gt;=25,F1510,IF($C1510&lt;16,INDEX(Sheet1!C:C,$F1510),$F1510))</f>
        <v>14</v>
      </c>
      <c r="H1510" s="4" t="str" cm="1">
        <f t="array" ref="H1510">INDEX(Sheet1!D:D,$G1510)</f>
        <v>2001-cso-preferred-class-structure-mortality-tables.xls</v>
      </c>
      <c r="I1510" s="4" t="str" cm="1">
        <f t="array" ref="I1510">INDEX(Sheet1!E:E,$G1510)</f>
        <v>A.1.b.iii</v>
      </c>
      <c r="J1510" s="4" t="str" cm="1">
        <f t="array" ref="J1510">IF($C1510&gt;=25,INDEX(Sheet1!G:G,$G1510),INDEX(Sheet1!F:F,$G1510))</f>
        <v>AA8</v>
      </c>
      <c r="K1510" s="4" cm="1">
        <f t="array" ref="K1510">INDEX(Sheet1!H:H,$G1510)</f>
        <v>1E-3</v>
      </c>
      <c r="L1510" s="4">
        <f t="shared" si="92"/>
        <v>31</v>
      </c>
      <c r="M1510" s="4">
        <f t="shared" si="93"/>
        <v>0</v>
      </c>
    </row>
    <row r="1511" spans="1:13">
      <c r="A1511" s="4" t="str" cm="1">
        <f t="array" ref="A1511">INDEX(Sheet1!A:A,$F1511)</f>
        <v>F</v>
      </c>
      <c r="B1511" s="4" t="str" cm="1">
        <f t="array" ref="B1511">INDEX(Sheet1!B:B,$F1511)</f>
        <v>Non-Pref NS</v>
      </c>
      <c r="C1511" s="4">
        <f t="shared" si="94"/>
        <v>57</v>
      </c>
      <c r="D1511" s="5" cm="1">
        <f t="array" aca="1" ref="D1511" ca="1">OFFSET(INDIRECT("'["&amp;$H1511&amp;"]"&amp;$I1511&amp;"'!"&amp;$J1511),$L1511,$M1511)*$K1511</f>
        <v>6.3300000000000006E-3</v>
      </c>
      <c r="F1511" s="4">
        <f t="shared" si="95"/>
        <v>14</v>
      </c>
      <c r="G1511" s="4" cm="1">
        <f t="array" ref="G1511">IF($C1511&gt;=25,F1511,IF($C1511&lt;16,INDEX(Sheet1!C:C,$F1511),$F1511))</f>
        <v>14</v>
      </c>
      <c r="H1511" s="4" t="str" cm="1">
        <f t="array" ref="H1511">INDEX(Sheet1!D:D,$G1511)</f>
        <v>2001-cso-preferred-class-structure-mortality-tables.xls</v>
      </c>
      <c r="I1511" s="4" t="str" cm="1">
        <f t="array" ref="I1511">INDEX(Sheet1!E:E,$G1511)</f>
        <v>A.1.b.iii</v>
      </c>
      <c r="J1511" s="4" t="str" cm="1">
        <f t="array" ref="J1511">IF($C1511&gt;=25,INDEX(Sheet1!G:G,$G1511),INDEX(Sheet1!F:F,$G1511))</f>
        <v>AA8</v>
      </c>
      <c r="K1511" s="4" cm="1">
        <f t="array" ref="K1511">INDEX(Sheet1!H:H,$G1511)</f>
        <v>1E-3</v>
      </c>
      <c r="L1511" s="4">
        <f t="shared" si="92"/>
        <v>32</v>
      </c>
      <c r="M1511" s="4">
        <f t="shared" si="93"/>
        <v>0</v>
      </c>
    </row>
    <row r="1512" spans="1:13">
      <c r="A1512" s="4" t="str" cm="1">
        <f t="array" ref="A1512">INDEX(Sheet1!A:A,$F1512)</f>
        <v>F</v>
      </c>
      <c r="B1512" s="4" t="str" cm="1">
        <f t="array" ref="B1512">INDEX(Sheet1!B:B,$F1512)</f>
        <v>Non-Pref NS</v>
      </c>
      <c r="C1512" s="4">
        <f t="shared" si="94"/>
        <v>58</v>
      </c>
      <c r="D1512" s="5" cm="1">
        <f t="array" aca="1" ref="D1512" ca="1">OFFSET(INDIRECT("'["&amp;$H1512&amp;"]"&amp;$I1512&amp;"'!"&amp;$J1512),$L1512,$M1512)*$K1512</f>
        <v>6.9400000000000009E-3</v>
      </c>
      <c r="F1512" s="4">
        <f t="shared" si="95"/>
        <v>14</v>
      </c>
      <c r="G1512" s="4" cm="1">
        <f t="array" ref="G1512">IF($C1512&gt;=25,F1512,IF($C1512&lt;16,INDEX(Sheet1!C:C,$F1512),$F1512))</f>
        <v>14</v>
      </c>
      <c r="H1512" s="4" t="str" cm="1">
        <f t="array" ref="H1512">INDEX(Sheet1!D:D,$G1512)</f>
        <v>2001-cso-preferred-class-structure-mortality-tables.xls</v>
      </c>
      <c r="I1512" s="4" t="str" cm="1">
        <f t="array" ref="I1512">INDEX(Sheet1!E:E,$G1512)</f>
        <v>A.1.b.iii</v>
      </c>
      <c r="J1512" s="4" t="str" cm="1">
        <f t="array" ref="J1512">IF($C1512&gt;=25,INDEX(Sheet1!G:G,$G1512),INDEX(Sheet1!F:F,$G1512))</f>
        <v>AA8</v>
      </c>
      <c r="K1512" s="4" cm="1">
        <f t="array" ref="K1512">INDEX(Sheet1!H:H,$G1512)</f>
        <v>1E-3</v>
      </c>
      <c r="L1512" s="4">
        <f t="shared" si="92"/>
        <v>33</v>
      </c>
      <c r="M1512" s="4">
        <f t="shared" si="93"/>
        <v>0</v>
      </c>
    </row>
    <row r="1513" spans="1:13">
      <c r="A1513" s="4" t="str" cm="1">
        <f t="array" ref="A1513">INDEX(Sheet1!A:A,$F1513)</f>
        <v>F</v>
      </c>
      <c r="B1513" s="4" t="str" cm="1">
        <f t="array" ref="B1513">INDEX(Sheet1!B:B,$F1513)</f>
        <v>Non-Pref NS</v>
      </c>
      <c r="C1513" s="4">
        <f t="shared" si="94"/>
        <v>59</v>
      </c>
      <c r="D1513" s="5" cm="1">
        <f t="array" aca="1" ref="D1513" ca="1">OFFSET(INDIRECT("'["&amp;$H1513&amp;"]"&amp;$I1513&amp;"'!"&amp;$J1513),$L1513,$M1513)*$K1513</f>
        <v>7.5199999999999998E-3</v>
      </c>
      <c r="F1513" s="4">
        <f t="shared" si="95"/>
        <v>14</v>
      </c>
      <c r="G1513" s="4" cm="1">
        <f t="array" ref="G1513">IF($C1513&gt;=25,F1513,IF($C1513&lt;16,INDEX(Sheet1!C:C,$F1513),$F1513))</f>
        <v>14</v>
      </c>
      <c r="H1513" s="4" t="str" cm="1">
        <f t="array" ref="H1513">INDEX(Sheet1!D:D,$G1513)</f>
        <v>2001-cso-preferred-class-structure-mortality-tables.xls</v>
      </c>
      <c r="I1513" s="4" t="str" cm="1">
        <f t="array" ref="I1513">INDEX(Sheet1!E:E,$G1513)</f>
        <v>A.1.b.iii</v>
      </c>
      <c r="J1513" s="4" t="str" cm="1">
        <f t="array" ref="J1513">IF($C1513&gt;=25,INDEX(Sheet1!G:G,$G1513),INDEX(Sheet1!F:F,$G1513))</f>
        <v>AA8</v>
      </c>
      <c r="K1513" s="4" cm="1">
        <f t="array" ref="K1513">INDEX(Sheet1!H:H,$G1513)</f>
        <v>1E-3</v>
      </c>
      <c r="L1513" s="4">
        <f t="shared" si="92"/>
        <v>34</v>
      </c>
      <c r="M1513" s="4">
        <f t="shared" si="93"/>
        <v>0</v>
      </c>
    </row>
    <row r="1514" spans="1:13">
      <c r="A1514" s="4" t="str" cm="1">
        <f t="array" ref="A1514">INDEX(Sheet1!A:A,$F1514)</f>
        <v>F</v>
      </c>
      <c r="B1514" s="4" t="str" cm="1">
        <f t="array" ref="B1514">INDEX(Sheet1!B:B,$F1514)</f>
        <v>Non-Pref NS</v>
      </c>
      <c r="C1514" s="4">
        <f t="shared" si="94"/>
        <v>60</v>
      </c>
      <c r="D1514" s="5" cm="1">
        <f t="array" aca="1" ref="D1514" ca="1">OFFSET(INDIRECT("'["&amp;$H1514&amp;"]"&amp;$I1514&amp;"'!"&amp;$J1514),$L1514,$M1514)*$K1514</f>
        <v>8.1600000000000006E-3</v>
      </c>
      <c r="F1514" s="4">
        <f t="shared" si="95"/>
        <v>14</v>
      </c>
      <c r="G1514" s="4" cm="1">
        <f t="array" ref="G1514">IF($C1514&gt;=25,F1514,IF($C1514&lt;16,INDEX(Sheet1!C:C,$F1514),$F1514))</f>
        <v>14</v>
      </c>
      <c r="H1514" s="4" t="str" cm="1">
        <f t="array" ref="H1514">INDEX(Sheet1!D:D,$G1514)</f>
        <v>2001-cso-preferred-class-structure-mortality-tables.xls</v>
      </c>
      <c r="I1514" s="4" t="str" cm="1">
        <f t="array" ref="I1514">INDEX(Sheet1!E:E,$G1514)</f>
        <v>A.1.b.iii</v>
      </c>
      <c r="J1514" s="4" t="str" cm="1">
        <f t="array" ref="J1514">IF($C1514&gt;=25,INDEX(Sheet1!G:G,$G1514),INDEX(Sheet1!F:F,$G1514))</f>
        <v>AA8</v>
      </c>
      <c r="K1514" s="4" cm="1">
        <f t="array" ref="K1514">INDEX(Sheet1!H:H,$G1514)</f>
        <v>1E-3</v>
      </c>
      <c r="L1514" s="4">
        <f t="shared" si="92"/>
        <v>35</v>
      </c>
      <c r="M1514" s="4">
        <f t="shared" si="93"/>
        <v>0</v>
      </c>
    </row>
    <row r="1515" spans="1:13">
      <c r="A1515" s="4" t="str" cm="1">
        <f t="array" ref="A1515">INDEX(Sheet1!A:A,$F1515)</f>
        <v>F</v>
      </c>
      <c r="B1515" s="4" t="str" cm="1">
        <f t="array" ref="B1515">INDEX(Sheet1!B:B,$F1515)</f>
        <v>Non-Pref NS</v>
      </c>
      <c r="C1515" s="4">
        <f t="shared" si="94"/>
        <v>61</v>
      </c>
      <c r="D1515" s="5" cm="1">
        <f t="array" aca="1" ref="D1515" ca="1">OFFSET(INDIRECT("'["&amp;$H1515&amp;"]"&amp;$I1515&amp;"'!"&amp;$J1515),$L1515,$M1515)*$K1515</f>
        <v>8.8599999999999998E-3</v>
      </c>
      <c r="F1515" s="4">
        <f t="shared" si="95"/>
        <v>14</v>
      </c>
      <c r="G1515" s="4" cm="1">
        <f t="array" ref="G1515">IF($C1515&gt;=25,F1515,IF($C1515&lt;16,INDEX(Sheet1!C:C,$F1515),$F1515))</f>
        <v>14</v>
      </c>
      <c r="H1515" s="4" t="str" cm="1">
        <f t="array" ref="H1515">INDEX(Sheet1!D:D,$G1515)</f>
        <v>2001-cso-preferred-class-structure-mortality-tables.xls</v>
      </c>
      <c r="I1515" s="4" t="str" cm="1">
        <f t="array" ref="I1515">INDEX(Sheet1!E:E,$G1515)</f>
        <v>A.1.b.iii</v>
      </c>
      <c r="J1515" s="4" t="str" cm="1">
        <f t="array" ref="J1515">IF($C1515&gt;=25,INDEX(Sheet1!G:G,$G1515),INDEX(Sheet1!F:F,$G1515))</f>
        <v>AA8</v>
      </c>
      <c r="K1515" s="4" cm="1">
        <f t="array" ref="K1515">INDEX(Sheet1!H:H,$G1515)</f>
        <v>1E-3</v>
      </c>
      <c r="L1515" s="4">
        <f t="shared" si="92"/>
        <v>36</v>
      </c>
      <c r="M1515" s="4">
        <f t="shared" si="93"/>
        <v>0</v>
      </c>
    </row>
    <row r="1516" spans="1:13">
      <c r="A1516" s="4" t="str" cm="1">
        <f t="array" ref="A1516">INDEX(Sheet1!A:A,$F1516)</f>
        <v>F</v>
      </c>
      <c r="B1516" s="4" t="str" cm="1">
        <f t="array" ref="B1516">INDEX(Sheet1!B:B,$F1516)</f>
        <v>Non-Pref NS</v>
      </c>
      <c r="C1516" s="4">
        <f t="shared" si="94"/>
        <v>62</v>
      </c>
      <c r="D1516" s="5" cm="1">
        <f t="array" aca="1" ref="D1516" ca="1">OFFSET(INDIRECT("'["&amp;$H1516&amp;"]"&amp;$I1516&amp;"'!"&amp;$J1516),$L1516,$M1516)*$K1516</f>
        <v>9.6200000000000001E-3</v>
      </c>
      <c r="F1516" s="4">
        <f t="shared" si="95"/>
        <v>14</v>
      </c>
      <c r="G1516" s="4" cm="1">
        <f t="array" ref="G1516">IF($C1516&gt;=25,F1516,IF($C1516&lt;16,INDEX(Sheet1!C:C,$F1516),$F1516))</f>
        <v>14</v>
      </c>
      <c r="H1516" s="4" t="str" cm="1">
        <f t="array" ref="H1516">INDEX(Sheet1!D:D,$G1516)</f>
        <v>2001-cso-preferred-class-structure-mortality-tables.xls</v>
      </c>
      <c r="I1516" s="4" t="str" cm="1">
        <f t="array" ref="I1516">INDEX(Sheet1!E:E,$G1516)</f>
        <v>A.1.b.iii</v>
      </c>
      <c r="J1516" s="4" t="str" cm="1">
        <f t="array" ref="J1516">IF($C1516&gt;=25,INDEX(Sheet1!G:G,$G1516),INDEX(Sheet1!F:F,$G1516))</f>
        <v>AA8</v>
      </c>
      <c r="K1516" s="4" cm="1">
        <f t="array" ref="K1516">INDEX(Sheet1!H:H,$G1516)</f>
        <v>1E-3</v>
      </c>
      <c r="L1516" s="4">
        <f t="shared" si="92"/>
        <v>37</v>
      </c>
      <c r="M1516" s="4">
        <f t="shared" si="93"/>
        <v>0</v>
      </c>
    </row>
    <row r="1517" spans="1:13">
      <c r="A1517" s="4" t="str" cm="1">
        <f t="array" ref="A1517">INDEX(Sheet1!A:A,$F1517)</f>
        <v>F</v>
      </c>
      <c r="B1517" s="4" t="str" cm="1">
        <f t="array" ref="B1517">INDEX(Sheet1!B:B,$F1517)</f>
        <v>Non-Pref NS</v>
      </c>
      <c r="C1517" s="4">
        <f t="shared" si="94"/>
        <v>63</v>
      </c>
      <c r="D1517" s="5" cm="1">
        <f t="array" aca="1" ref="D1517" ca="1">OFFSET(INDIRECT("'["&amp;$H1517&amp;"]"&amp;$I1517&amp;"'!"&amp;$J1517),$L1517,$M1517)*$K1517</f>
        <v>1.0400000000000001E-2</v>
      </c>
      <c r="F1517" s="4">
        <f t="shared" si="95"/>
        <v>14</v>
      </c>
      <c r="G1517" s="4" cm="1">
        <f t="array" ref="G1517">IF($C1517&gt;=25,F1517,IF($C1517&lt;16,INDEX(Sheet1!C:C,$F1517),$F1517))</f>
        <v>14</v>
      </c>
      <c r="H1517" s="4" t="str" cm="1">
        <f t="array" ref="H1517">INDEX(Sheet1!D:D,$G1517)</f>
        <v>2001-cso-preferred-class-structure-mortality-tables.xls</v>
      </c>
      <c r="I1517" s="4" t="str" cm="1">
        <f t="array" ref="I1517">INDEX(Sheet1!E:E,$G1517)</f>
        <v>A.1.b.iii</v>
      </c>
      <c r="J1517" s="4" t="str" cm="1">
        <f t="array" ref="J1517">IF($C1517&gt;=25,INDEX(Sheet1!G:G,$G1517),INDEX(Sheet1!F:F,$G1517))</f>
        <v>AA8</v>
      </c>
      <c r="K1517" s="4" cm="1">
        <f t="array" ref="K1517">INDEX(Sheet1!H:H,$G1517)</f>
        <v>1E-3</v>
      </c>
      <c r="L1517" s="4">
        <f t="shared" si="92"/>
        <v>38</v>
      </c>
      <c r="M1517" s="4">
        <f t="shared" si="93"/>
        <v>0</v>
      </c>
    </row>
    <row r="1518" spans="1:13">
      <c r="A1518" s="4" t="str" cm="1">
        <f t="array" ref="A1518">INDEX(Sheet1!A:A,$F1518)</f>
        <v>F</v>
      </c>
      <c r="B1518" s="4" t="str" cm="1">
        <f t="array" ref="B1518">INDEX(Sheet1!B:B,$F1518)</f>
        <v>Non-Pref NS</v>
      </c>
      <c r="C1518" s="4">
        <f t="shared" si="94"/>
        <v>64</v>
      </c>
      <c r="D1518" s="5" cm="1">
        <f t="array" aca="1" ref="D1518" ca="1">OFFSET(INDIRECT("'["&amp;$H1518&amp;"]"&amp;$I1518&amp;"'!"&amp;$J1518),$L1518,$M1518)*$K1518</f>
        <v>1.1259999999999999E-2</v>
      </c>
      <c r="F1518" s="4">
        <f t="shared" si="95"/>
        <v>14</v>
      </c>
      <c r="G1518" s="4" cm="1">
        <f t="array" ref="G1518">IF($C1518&gt;=25,F1518,IF($C1518&lt;16,INDEX(Sheet1!C:C,$F1518),$F1518))</f>
        <v>14</v>
      </c>
      <c r="H1518" s="4" t="str" cm="1">
        <f t="array" ref="H1518">INDEX(Sheet1!D:D,$G1518)</f>
        <v>2001-cso-preferred-class-structure-mortality-tables.xls</v>
      </c>
      <c r="I1518" s="4" t="str" cm="1">
        <f t="array" ref="I1518">INDEX(Sheet1!E:E,$G1518)</f>
        <v>A.1.b.iii</v>
      </c>
      <c r="J1518" s="4" t="str" cm="1">
        <f t="array" ref="J1518">IF($C1518&gt;=25,INDEX(Sheet1!G:G,$G1518),INDEX(Sheet1!F:F,$G1518))</f>
        <v>AA8</v>
      </c>
      <c r="K1518" s="4" cm="1">
        <f t="array" ref="K1518">INDEX(Sheet1!H:H,$G1518)</f>
        <v>1E-3</v>
      </c>
      <c r="L1518" s="4">
        <f t="shared" si="92"/>
        <v>39</v>
      </c>
      <c r="M1518" s="4">
        <f t="shared" si="93"/>
        <v>0</v>
      </c>
    </row>
    <row r="1519" spans="1:13">
      <c r="A1519" s="4" t="str" cm="1">
        <f t="array" ref="A1519">INDEX(Sheet1!A:A,$F1519)</f>
        <v>F</v>
      </c>
      <c r="B1519" s="4" t="str" cm="1">
        <f t="array" ref="B1519">INDEX(Sheet1!B:B,$F1519)</f>
        <v>Non-Pref NS</v>
      </c>
      <c r="C1519" s="4">
        <f t="shared" si="94"/>
        <v>65</v>
      </c>
      <c r="D1519" s="5" cm="1">
        <f t="array" aca="1" ref="D1519" ca="1">OFFSET(INDIRECT("'["&amp;$H1519&amp;"]"&amp;$I1519&amp;"'!"&amp;$J1519),$L1519,$M1519)*$K1519</f>
        <v>1.2189999999999999E-2</v>
      </c>
      <c r="F1519" s="4">
        <f t="shared" si="95"/>
        <v>14</v>
      </c>
      <c r="G1519" s="4" cm="1">
        <f t="array" ref="G1519">IF($C1519&gt;=25,F1519,IF($C1519&lt;16,INDEX(Sheet1!C:C,$F1519),$F1519))</f>
        <v>14</v>
      </c>
      <c r="H1519" s="4" t="str" cm="1">
        <f t="array" ref="H1519">INDEX(Sheet1!D:D,$G1519)</f>
        <v>2001-cso-preferred-class-structure-mortality-tables.xls</v>
      </c>
      <c r="I1519" s="4" t="str" cm="1">
        <f t="array" ref="I1519">INDEX(Sheet1!E:E,$G1519)</f>
        <v>A.1.b.iii</v>
      </c>
      <c r="J1519" s="4" t="str" cm="1">
        <f t="array" ref="J1519">IF($C1519&gt;=25,INDEX(Sheet1!G:G,$G1519),INDEX(Sheet1!F:F,$G1519))</f>
        <v>AA8</v>
      </c>
      <c r="K1519" s="4" cm="1">
        <f t="array" ref="K1519">INDEX(Sheet1!H:H,$G1519)</f>
        <v>1E-3</v>
      </c>
      <c r="L1519" s="4">
        <f t="shared" si="92"/>
        <v>40</v>
      </c>
      <c r="M1519" s="4">
        <f t="shared" si="93"/>
        <v>0</v>
      </c>
    </row>
    <row r="1520" spans="1:13">
      <c r="A1520" s="4" t="str" cm="1">
        <f t="array" ref="A1520">INDEX(Sheet1!A:A,$F1520)</f>
        <v>F</v>
      </c>
      <c r="B1520" s="4" t="str" cm="1">
        <f t="array" ref="B1520">INDEX(Sheet1!B:B,$F1520)</f>
        <v>Non-Pref NS</v>
      </c>
      <c r="C1520" s="4">
        <f t="shared" si="94"/>
        <v>66</v>
      </c>
      <c r="D1520" s="5" cm="1">
        <f t="array" aca="1" ref="D1520" ca="1">OFFSET(INDIRECT("'["&amp;$H1520&amp;"]"&amp;$I1520&amp;"'!"&amp;$J1520),$L1520,$M1520)*$K1520</f>
        <v>1.324E-2</v>
      </c>
      <c r="F1520" s="4">
        <f t="shared" si="95"/>
        <v>14</v>
      </c>
      <c r="G1520" s="4" cm="1">
        <f t="array" ref="G1520">IF($C1520&gt;=25,F1520,IF($C1520&lt;16,INDEX(Sheet1!C:C,$F1520),$F1520))</f>
        <v>14</v>
      </c>
      <c r="H1520" s="4" t="str" cm="1">
        <f t="array" ref="H1520">INDEX(Sheet1!D:D,$G1520)</f>
        <v>2001-cso-preferred-class-structure-mortality-tables.xls</v>
      </c>
      <c r="I1520" s="4" t="str" cm="1">
        <f t="array" ref="I1520">INDEX(Sheet1!E:E,$G1520)</f>
        <v>A.1.b.iii</v>
      </c>
      <c r="J1520" s="4" t="str" cm="1">
        <f t="array" ref="J1520">IF($C1520&gt;=25,INDEX(Sheet1!G:G,$G1520),INDEX(Sheet1!F:F,$G1520))</f>
        <v>AA8</v>
      </c>
      <c r="K1520" s="4" cm="1">
        <f t="array" ref="K1520">INDEX(Sheet1!H:H,$G1520)</f>
        <v>1E-3</v>
      </c>
      <c r="L1520" s="4">
        <f t="shared" si="92"/>
        <v>41</v>
      </c>
      <c r="M1520" s="4">
        <f t="shared" si="93"/>
        <v>0</v>
      </c>
    </row>
    <row r="1521" spans="1:13">
      <c r="A1521" s="4" t="str" cm="1">
        <f t="array" ref="A1521">INDEX(Sheet1!A:A,$F1521)</f>
        <v>F</v>
      </c>
      <c r="B1521" s="4" t="str" cm="1">
        <f t="array" ref="B1521">INDEX(Sheet1!B:B,$F1521)</f>
        <v>Non-Pref NS</v>
      </c>
      <c r="C1521" s="4">
        <f t="shared" si="94"/>
        <v>67</v>
      </c>
      <c r="D1521" s="5" cm="1">
        <f t="array" aca="1" ref="D1521" ca="1">OFFSET(INDIRECT("'["&amp;$H1521&amp;"]"&amp;$I1521&amp;"'!"&amp;$J1521),$L1521,$M1521)*$K1521</f>
        <v>1.438E-2</v>
      </c>
      <c r="F1521" s="4">
        <f t="shared" si="95"/>
        <v>14</v>
      </c>
      <c r="G1521" s="4" cm="1">
        <f t="array" ref="G1521">IF($C1521&gt;=25,F1521,IF($C1521&lt;16,INDEX(Sheet1!C:C,$F1521),$F1521))</f>
        <v>14</v>
      </c>
      <c r="H1521" s="4" t="str" cm="1">
        <f t="array" ref="H1521">INDEX(Sheet1!D:D,$G1521)</f>
        <v>2001-cso-preferred-class-structure-mortality-tables.xls</v>
      </c>
      <c r="I1521" s="4" t="str" cm="1">
        <f t="array" ref="I1521">INDEX(Sheet1!E:E,$G1521)</f>
        <v>A.1.b.iii</v>
      </c>
      <c r="J1521" s="4" t="str" cm="1">
        <f t="array" ref="J1521">IF($C1521&gt;=25,INDEX(Sheet1!G:G,$G1521),INDEX(Sheet1!F:F,$G1521))</f>
        <v>AA8</v>
      </c>
      <c r="K1521" s="4" cm="1">
        <f t="array" ref="K1521">INDEX(Sheet1!H:H,$G1521)</f>
        <v>1E-3</v>
      </c>
      <c r="L1521" s="4">
        <f t="shared" si="92"/>
        <v>42</v>
      </c>
      <c r="M1521" s="4">
        <f t="shared" si="93"/>
        <v>0</v>
      </c>
    </row>
    <row r="1522" spans="1:13">
      <c r="A1522" s="4" t="str" cm="1">
        <f t="array" ref="A1522">INDEX(Sheet1!A:A,$F1522)</f>
        <v>F</v>
      </c>
      <c r="B1522" s="4" t="str" cm="1">
        <f t="array" ref="B1522">INDEX(Sheet1!B:B,$F1522)</f>
        <v>Non-Pref NS</v>
      </c>
      <c r="C1522" s="4">
        <f t="shared" si="94"/>
        <v>68</v>
      </c>
      <c r="D1522" s="5" cm="1">
        <f t="array" aca="1" ref="D1522" ca="1">OFFSET(INDIRECT("'["&amp;$H1522&amp;"]"&amp;$I1522&amp;"'!"&amp;$J1522),$L1522,$M1522)*$K1522</f>
        <v>1.5640000000000001E-2</v>
      </c>
      <c r="F1522" s="4">
        <f t="shared" si="95"/>
        <v>14</v>
      </c>
      <c r="G1522" s="4" cm="1">
        <f t="array" ref="G1522">IF($C1522&gt;=25,F1522,IF($C1522&lt;16,INDEX(Sheet1!C:C,$F1522),$F1522))</f>
        <v>14</v>
      </c>
      <c r="H1522" s="4" t="str" cm="1">
        <f t="array" ref="H1522">INDEX(Sheet1!D:D,$G1522)</f>
        <v>2001-cso-preferred-class-structure-mortality-tables.xls</v>
      </c>
      <c r="I1522" s="4" t="str" cm="1">
        <f t="array" ref="I1522">INDEX(Sheet1!E:E,$G1522)</f>
        <v>A.1.b.iii</v>
      </c>
      <c r="J1522" s="4" t="str" cm="1">
        <f t="array" ref="J1522">IF($C1522&gt;=25,INDEX(Sheet1!G:G,$G1522),INDEX(Sheet1!F:F,$G1522))</f>
        <v>AA8</v>
      </c>
      <c r="K1522" s="4" cm="1">
        <f t="array" ref="K1522">INDEX(Sheet1!H:H,$G1522)</f>
        <v>1E-3</v>
      </c>
      <c r="L1522" s="4">
        <f t="shared" si="92"/>
        <v>43</v>
      </c>
      <c r="M1522" s="4">
        <f t="shared" si="93"/>
        <v>0</v>
      </c>
    </row>
    <row r="1523" spans="1:13">
      <c r="A1523" s="4" t="str" cm="1">
        <f t="array" ref="A1523">INDEX(Sheet1!A:A,$F1523)</f>
        <v>F</v>
      </c>
      <c r="B1523" s="4" t="str" cm="1">
        <f t="array" ref="B1523">INDEX(Sheet1!B:B,$F1523)</f>
        <v>Non-Pref NS</v>
      </c>
      <c r="C1523" s="4">
        <f t="shared" si="94"/>
        <v>69</v>
      </c>
      <c r="D1523" s="5" cm="1">
        <f t="array" aca="1" ref="D1523" ca="1">OFFSET(INDIRECT("'["&amp;$H1523&amp;"]"&amp;$I1523&amp;"'!"&amp;$J1523),$L1523,$M1523)*$K1523</f>
        <v>1.703E-2</v>
      </c>
      <c r="F1523" s="4">
        <f t="shared" si="95"/>
        <v>14</v>
      </c>
      <c r="G1523" s="4" cm="1">
        <f t="array" ref="G1523">IF($C1523&gt;=25,F1523,IF($C1523&lt;16,INDEX(Sheet1!C:C,$F1523),$F1523))</f>
        <v>14</v>
      </c>
      <c r="H1523" s="4" t="str" cm="1">
        <f t="array" ref="H1523">INDEX(Sheet1!D:D,$G1523)</f>
        <v>2001-cso-preferred-class-structure-mortality-tables.xls</v>
      </c>
      <c r="I1523" s="4" t="str" cm="1">
        <f t="array" ref="I1523">INDEX(Sheet1!E:E,$G1523)</f>
        <v>A.1.b.iii</v>
      </c>
      <c r="J1523" s="4" t="str" cm="1">
        <f t="array" ref="J1523">IF($C1523&gt;=25,INDEX(Sheet1!G:G,$G1523),INDEX(Sheet1!F:F,$G1523))</f>
        <v>AA8</v>
      </c>
      <c r="K1523" s="4" cm="1">
        <f t="array" ref="K1523">INDEX(Sheet1!H:H,$G1523)</f>
        <v>1E-3</v>
      </c>
      <c r="L1523" s="4">
        <f t="shared" si="92"/>
        <v>44</v>
      </c>
      <c r="M1523" s="4">
        <f t="shared" si="93"/>
        <v>0</v>
      </c>
    </row>
    <row r="1524" spans="1:13">
      <c r="A1524" s="4" t="str" cm="1">
        <f t="array" ref="A1524">INDEX(Sheet1!A:A,$F1524)</f>
        <v>F</v>
      </c>
      <c r="B1524" s="4" t="str" cm="1">
        <f t="array" ref="B1524">INDEX(Sheet1!B:B,$F1524)</f>
        <v>Non-Pref NS</v>
      </c>
      <c r="C1524" s="4">
        <f t="shared" si="94"/>
        <v>70</v>
      </c>
      <c r="D1524" s="5" cm="1">
        <f t="array" aca="1" ref="D1524" ca="1">OFFSET(INDIRECT("'["&amp;$H1524&amp;"]"&amp;$I1524&amp;"'!"&amp;$J1524),$L1524,$M1524)*$K1524</f>
        <v>1.8589999999999999E-2</v>
      </c>
      <c r="F1524" s="4">
        <f t="shared" si="95"/>
        <v>14</v>
      </c>
      <c r="G1524" s="4" cm="1">
        <f t="array" ref="G1524">IF($C1524&gt;=25,F1524,IF($C1524&lt;16,INDEX(Sheet1!C:C,$F1524),$F1524))</f>
        <v>14</v>
      </c>
      <c r="H1524" s="4" t="str" cm="1">
        <f t="array" ref="H1524">INDEX(Sheet1!D:D,$G1524)</f>
        <v>2001-cso-preferred-class-structure-mortality-tables.xls</v>
      </c>
      <c r="I1524" s="4" t="str" cm="1">
        <f t="array" ref="I1524">INDEX(Sheet1!E:E,$G1524)</f>
        <v>A.1.b.iii</v>
      </c>
      <c r="J1524" s="4" t="str" cm="1">
        <f t="array" ref="J1524">IF($C1524&gt;=25,INDEX(Sheet1!G:G,$G1524),INDEX(Sheet1!F:F,$G1524))</f>
        <v>AA8</v>
      </c>
      <c r="K1524" s="4" cm="1">
        <f t="array" ref="K1524">INDEX(Sheet1!H:H,$G1524)</f>
        <v>1E-3</v>
      </c>
      <c r="L1524" s="4">
        <f t="shared" si="92"/>
        <v>45</v>
      </c>
      <c r="M1524" s="4">
        <f t="shared" si="93"/>
        <v>0</v>
      </c>
    </row>
    <row r="1525" spans="1:13">
      <c r="A1525" s="4" t="str" cm="1">
        <f t="array" ref="A1525">INDEX(Sheet1!A:A,$F1525)</f>
        <v>F</v>
      </c>
      <c r="B1525" s="4" t="str" cm="1">
        <f t="array" ref="B1525">INDEX(Sheet1!B:B,$F1525)</f>
        <v>Non-Pref NS</v>
      </c>
      <c r="C1525" s="4">
        <f t="shared" si="94"/>
        <v>71</v>
      </c>
      <c r="D1525" s="5" cm="1">
        <f t="array" aca="1" ref="D1525" ca="1">OFFSET(INDIRECT("'["&amp;$H1525&amp;"]"&amp;$I1525&amp;"'!"&amp;$J1525),$L1525,$M1525)*$K1525</f>
        <v>2.0350000000000004E-2</v>
      </c>
      <c r="F1525" s="4">
        <f t="shared" si="95"/>
        <v>14</v>
      </c>
      <c r="G1525" s="4" cm="1">
        <f t="array" ref="G1525">IF($C1525&gt;=25,F1525,IF($C1525&lt;16,INDEX(Sheet1!C:C,$F1525),$F1525))</f>
        <v>14</v>
      </c>
      <c r="H1525" s="4" t="str" cm="1">
        <f t="array" ref="H1525">INDEX(Sheet1!D:D,$G1525)</f>
        <v>2001-cso-preferred-class-structure-mortality-tables.xls</v>
      </c>
      <c r="I1525" s="4" t="str" cm="1">
        <f t="array" ref="I1525">INDEX(Sheet1!E:E,$G1525)</f>
        <v>A.1.b.iii</v>
      </c>
      <c r="J1525" s="4" t="str" cm="1">
        <f t="array" ref="J1525">IF($C1525&gt;=25,INDEX(Sheet1!G:G,$G1525),INDEX(Sheet1!F:F,$G1525))</f>
        <v>AA8</v>
      </c>
      <c r="K1525" s="4" cm="1">
        <f t="array" ref="K1525">INDEX(Sheet1!H:H,$G1525)</f>
        <v>1E-3</v>
      </c>
      <c r="L1525" s="4">
        <f t="shared" si="92"/>
        <v>46</v>
      </c>
      <c r="M1525" s="4">
        <f t="shared" si="93"/>
        <v>0</v>
      </c>
    </row>
    <row r="1526" spans="1:13">
      <c r="A1526" s="4" t="str" cm="1">
        <f t="array" ref="A1526">INDEX(Sheet1!A:A,$F1526)</f>
        <v>F</v>
      </c>
      <c r="B1526" s="4" t="str" cm="1">
        <f t="array" ref="B1526">INDEX(Sheet1!B:B,$F1526)</f>
        <v>Non-Pref NS</v>
      </c>
      <c r="C1526" s="4">
        <f t="shared" si="94"/>
        <v>72</v>
      </c>
      <c r="D1526" s="5" cm="1">
        <f t="array" aca="1" ref="D1526" ca="1">OFFSET(INDIRECT("'["&amp;$H1526&amp;"]"&amp;$I1526&amp;"'!"&amp;$J1526),$L1526,$M1526)*$K1526</f>
        <v>2.2329999999999999E-2</v>
      </c>
      <c r="F1526" s="4">
        <f t="shared" si="95"/>
        <v>14</v>
      </c>
      <c r="G1526" s="4" cm="1">
        <f t="array" ref="G1526">IF($C1526&gt;=25,F1526,IF($C1526&lt;16,INDEX(Sheet1!C:C,$F1526),$F1526))</f>
        <v>14</v>
      </c>
      <c r="H1526" s="4" t="str" cm="1">
        <f t="array" ref="H1526">INDEX(Sheet1!D:D,$G1526)</f>
        <v>2001-cso-preferred-class-structure-mortality-tables.xls</v>
      </c>
      <c r="I1526" s="4" t="str" cm="1">
        <f t="array" ref="I1526">INDEX(Sheet1!E:E,$G1526)</f>
        <v>A.1.b.iii</v>
      </c>
      <c r="J1526" s="4" t="str" cm="1">
        <f t="array" ref="J1526">IF($C1526&gt;=25,INDEX(Sheet1!G:G,$G1526),INDEX(Sheet1!F:F,$G1526))</f>
        <v>AA8</v>
      </c>
      <c r="K1526" s="4" cm="1">
        <f t="array" ref="K1526">INDEX(Sheet1!H:H,$G1526)</f>
        <v>1E-3</v>
      </c>
      <c r="L1526" s="4">
        <f t="shared" si="92"/>
        <v>47</v>
      </c>
      <c r="M1526" s="4">
        <f t="shared" si="93"/>
        <v>0</v>
      </c>
    </row>
    <row r="1527" spans="1:13">
      <c r="A1527" s="4" t="str" cm="1">
        <f t="array" ref="A1527">INDEX(Sheet1!A:A,$F1527)</f>
        <v>F</v>
      </c>
      <c r="B1527" s="4" t="str" cm="1">
        <f t="array" ref="B1527">INDEX(Sheet1!B:B,$F1527)</f>
        <v>Non-Pref NS</v>
      </c>
      <c r="C1527" s="4">
        <f t="shared" si="94"/>
        <v>73</v>
      </c>
      <c r="D1527" s="5" cm="1">
        <f t="array" aca="1" ref="D1527" ca="1">OFFSET(INDIRECT("'["&amp;$H1527&amp;"]"&amp;$I1527&amp;"'!"&amp;$J1527),$L1527,$M1527)*$K1527</f>
        <v>2.4480000000000002E-2</v>
      </c>
      <c r="F1527" s="4">
        <f t="shared" si="95"/>
        <v>14</v>
      </c>
      <c r="G1527" s="4" cm="1">
        <f t="array" ref="G1527">IF($C1527&gt;=25,F1527,IF($C1527&lt;16,INDEX(Sheet1!C:C,$F1527),$F1527))</f>
        <v>14</v>
      </c>
      <c r="H1527" s="4" t="str" cm="1">
        <f t="array" ref="H1527">INDEX(Sheet1!D:D,$G1527)</f>
        <v>2001-cso-preferred-class-structure-mortality-tables.xls</v>
      </c>
      <c r="I1527" s="4" t="str" cm="1">
        <f t="array" ref="I1527">INDEX(Sheet1!E:E,$G1527)</f>
        <v>A.1.b.iii</v>
      </c>
      <c r="J1527" s="4" t="str" cm="1">
        <f t="array" ref="J1527">IF($C1527&gt;=25,INDEX(Sheet1!G:G,$G1527),INDEX(Sheet1!F:F,$G1527))</f>
        <v>AA8</v>
      </c>
      <c r="K1527" s="4" cm="1">
        <f t="array" ref="K1527">INDEX(Sheet1!H:H,$G1527)</f>
        <v>1E-3</v>
      </c>
      <c r="L1527" s="4">
        <f t="shared" si="92"/>
        <v>48</v>
      </c>
      <c r="M1527" s="4">
        <f t="shared" si="93"/>
        <v>0</v>
      </c>
    </row>
    <row r="1528" spans="1:13">
      <c r="A1528" s="4" t="str" cm="1">
        <f t="array" ref="A1528">INDEX(Sheet1!A:A,$F1528)</f>
        <v>F</v>
      </c>
      <c r="B1528" s="4" t="str" cm="1">
        <f t="array" ref="B1528">INDEX(Sheet1!B:B,$F1528)</f>
        <v>Non-Pref NS</v>
      </c>
      <c r="C1528" s="4">
        <f t="shared" si="94"/>
        <v>74</v>
      </c>
      <c r="D1528" s="5" cm="1">
        <f t="array" aca="1" ref="D1528" ca="1">OFFSET(INDIRECT("'["&amp;$H1528&amp;"]"&amp;$I1528&amp;"'!"&amp;$J1528),$L1528,$M1528)*$K1528</f>
        <v>2.683E-2</v>
      </c>
      <c r="F1528" s="4">
        <f t="shared" si="95"/>
        <v>14</v>
      </c>
      <c r="G1528" s="4" cm="1">
        <f t="array" ref="G1528">IF($C1528&gt;=25,F1528,IF($C1528&lt;16,INDEX(Sheet1!C:C,$F1528),$F1528))</f>
        <v>14</v>
      </c>
      <c r="H1528" s="4" t="str" cm="1">
        <f t="array" ref="H1528">INDEX(Sheet1!D:D,$G1528)</f>
        <v>2001-cso-preferred-class-structure-mortality-tables.xls</v>
      </c>
      <c r="I1528" s="4" t="str" cm="1">
        <f t="array" ref="I1528">INDEX(Sheet1!E:E,$G1528)</f>
        <v>A.1.b.iii</v>
      </c>
      <c r="J1528" s="4" t="str" cm="1">
        <f t="array" ref="J1528">IF($C1528&gt;=25,INDEX(Sheet1!G:G,$G1528),INDEX(Sheet1!F:F,$G1528))</f>
        <v>AA8</v>
      </c>
      <c r="K1528" s="4" cm="1">
        <f t="array" ref="K1528">INDEX(Sheet1!H:H,$G1528)</f>
        <v>1E-3</v>
      </c>
      <c r="L1528" s="4">
        <f t="shared" si="92"/>
        <v>49</v>
      </c>
      <c r="M1528" s="4">
        <f t="shared" si="93"/>
        <v>0</v>
      </c>
    </row>
    <row r="1529" spans="1:13">
      <c r="A1529" s="4" t="str" cm="1">
        <f t="array" ref="A1529">INDEX(Sheet1!A:A,$F1529)</f>
        <v>F</v>
      </c>
      <c r="B1529" s="4" t="str" cm="1">
        <f t="array" ref="B1529">INDEX(Sheet1!B:B,$F1529)</f>
        <v>Non-Pref NS</v>
      </c>
      <c r="C1529" s="4">
        <f t="shared" si="94"/>
        <v>75</v>
      </c>
      <c r="D1529" s="5" cm="1">
        <f t="array" aca="1" ref="D1529" ca="1">OFFSET(INDIRECT("'["&amp;$H1529&amp;"]"&amp;$I1529&amp;"'!"&amp;$J1529),$L1529,$M1529)*$K1529</f>
        <v>2.9440000000000001E-2</v>
      </c>
      <c r="F1529" s="4">
        <f t="shared" si="95"/>
        <v>14</v>
      </c>
      <c r="G1529" s="4" cm="1">
        <f t="array" ref="G1529">IF($C1529&gt;=25,F1529,IF($C1529&lt;16,INDEX(Sheet1!C:C,$F1529),$F1529))</f>
        <v>14</v>
      </c>
      <c r="H1529" s="4" t="str" cm="1">
        <f t="array" ref="H1529">INDEX(Sheet1!D:D,$G1529)</f>
        <v>2001-cso-preferred-class-structure-mortality-tables.xls</v>
      </c>
      <c r="I1529" s="4" t="str" cm="1">
        <f t="array" ref="I1529">INDEX(Sheet1!E:E,$G1529)</f>
        <v>A.1.b.iii</v>
      </c>
      <c r="J1529" s="4" t="str" cm="1">
        <f t="array" ref="J1529">IF($C1529&gt;=25,INDEX(Sheet1!G:G,$G1529),INDEX(Sheet1!F:F,$G1529))</f>
        <v>AA8</v>
      </c>
      <c r="K1529" s="4" cm="1">
        <f t="array" ref="K1529">INDEX(Sheet1!H:H,$G1529)</f>
        <v>1E-3</v>
      </c>
      <c r="L1529" s="4">
        <f t="shared" si="92"/>
        <v>50</v>
      </c>
      <c r="M1529" s="4">
        <f t="shared" si="93"/>
        <v>0</v>
      </c>
    </row>
    <row r="1530" spans="1:13">
      <c r="A1530" s="4" t="str" cm="1">
        <f t="array" ref="A1530">INDEX(Sheet1!A:A,$F1530)</f>
        <v>F</v>
      </c>
      <c r="B1530" s="4" t="str" cm="1">
        <f t="array" ref="B1530">INDEX(Sheet1!B:B,$F1530)</f>
        <v>Non-Pref NS</v>
      </c>
      <c r="C1530" s="4">
        <f t="shared" si="94"/>
        <v>76</v>
      </c>
      <c r="D1530" s="5" cm="1">
        <f t="array" aca="1" ref="D1530" ca="1">OFFSET(INDIRECT("'["&amp;$H1530&amp;"]"&amp;$I1530&amp;"'!"&amp;$J1530),$L1530,$M1530)*$K1530</f>
        <v>3.2149999999999998E-2</v>
      </c>
      <c r="F1530" s="4">
        <f t="shared" si="95"/>
        <v>14</v>
      </c>
      <c r="G1530" s="4" cm="1">
        <f t="array" ref="G1530">IF($C1530&gt;=25,F1530,IF($C1530&lt;16,INDEX(Sheet1!C:C,$F1530),$F1530))</f>
        <v>14</v>
      </c>
      <c r="H1530" s="4" t="str" cm="1">
        <f t="array" ref="H1530">INDEX(Sheet1!D:D,$G1530)</f>
        <v>2001-cso-preferred-class-structure-mortality-tables.xls</v>
      </c>
      <c r="I1530" s="4" t="str" cm="1">
        <f t="array" ref="I1530">INDEX(Sheet1!E:E,$G1530)</f>
        <v>A.1.b.iii</v>
      </c>
      <c r="J1530" s="4" t="str" cm="1">
        <f t="array" ref="J1530">IF($C1530&gt;=25,INDEX(Sheet1!G:G,$G1530),INDEX(Sheet1!F:F,$G1530))</f>
        <v>AA8</v>
      </c>
      <c r="K1530" s="4" cm="1">
        <f t="array" ref="K1530">INDEX(Sheet1!H:H,$G1530)</f>
        <v>1E-3</v>
      </c>
      <c r="L1530" s="4">
        <f t="shared" si="92"/>
        <v>51</v>
      </c>
      <c r="M1530" s="4">
        <f t="shared" si="93"/>
        <v>0</v>
      </c>
    </row>
    <row r="1531" spans="1:13">
      <c r="A1531" s="4" t="str" cm="1">
        <f t="array" ref="A1531">INDEX(Sheet1!A:A,$F1531)</f>
        <v>F</v>
      </c>
      <c r="B1531" s="4" t="str" cm="1">
        <f t="array" ref="B1531">INDEX(Sheet1!B:B,$F1531)</f>
        <v>Non-Pref NS</v>
      </c>
      <c r="C1531" s="4">
        <f t="shared" si="94"/>
        <v>77</v>
      </c>
      <c r="D1531" s="5" cm="1">
        <f t="array" aca="1" ref="D1531" ca="1">OFFSET(INDIRECT("'["&amp;$H1531&amp;"]"&amp;$I1531&amp;"'!"&amp;$J1531),$L1531,$M1531)*$K1531</f>
        <v>3.5130000000000002E-2</v>
      </c>
      <c r="F1531" s="4">
        <f t="shared" si="95"/>
        <v>14</v>
      </c>
      <c r="G1531" s="4" cm="1">
        <f t="array" ref="G1531">IF($C1531&gt;=25,F1531,IF($C1531&lt;16,INDEX(Sheet1!C:C,$F1531),$F1531))</f>
        <v>14</v>
      </c>
      <c r="H1531" s="4" t="str" cm="1">
        <f t="array" ref="H1531">INDEX(Sheet1!D:D,$G1531)</f>
        <v>2001-cso-preferred-class-structure-mortality-tables.xls</v>
      </c>
      <c r="I1531" s="4" t="str" cm="1">
        <f t="array" ref="I1531">INDEX(Sheet1!E:E,$G1531)</f>
        <v>A.1.b.iii</v>
      </c>
      <c r="J1531" s="4" t="str" cm="1">
        <f t="array" ref="J1531">IF($C1531&gt;=25,INDEX(Sheet1!G:G,$G1531),INDEX(Sheet1!F:F,$G1531))</f>
        <v>AA8</v>
      </c>
      <c r="K1531" s="4" cm="1">
        <f t="array" ref="K1531">INDEX(Sheet1!H:H,$G1531)</f>
        <v>1E-3</v>
      </c>
      <c r="L1531" s="4">
        <f t="shared" si="92"/>
        <v>52</v>
      </c>
      <c r="M1531" s="4">
        <f t="shared" si="93"/>
        <v>0</v>
      </c>
    </row>
    <row r="1532" spans="1:13">
      <c r="A1532" s="4" t="str" cm="1">
        <f t="array" ref="A1532">INDEX(Sheet1!A:A,$F1532)</f>
        <v>F</v>
      </c>
      <c r="B1532" s="4" t="str" cm="1">
        <f t="array" ref="B1532">INDEX(Sheet1!B:B,$F1532)</f>
        <v>Non-Pref NS</v>
      </c>
      <c r="C1532" s="4">
        <f t="shared" si="94"/>
        <v>78</v>
      </c>
      <c r="D1532" s="5" cm="1">
        <f t="array" aca="1" ref="D1532" ca="1">OFFSET(INDIRECT("'["&amp;$H1532&amp;"]"&amp;$I1532&amp;"'!"&amp;$J1532),$L1532,$M1532)*$K1532</f>
        <v>3.8390000000000001E-2</v>
      </c>
      <c r="F1532" s="4">
        <f t="shared" si="95"/>
        <v>14</v>
      </c>
      <c r="G1532" s="4" cm="1">
        <f t="array" ref="G1532">IF($C1532&gt;=25,F1532,IF($C1532&lt;16,INDEX(Sheet1!C:C,$F1532),$F1532))</f>
        <v>14</v>
      </c>
      <c r="H1532" s="4" t="str" cm="1">
        <f t="array" ref="H1532">INDEX(Sheet1!D:D,$G1532)</f>
        <v>2001-cso-preferred-class-structure-mortality-tables.xls</v>
      </c>
      <c r="I1532" s="4" t="str" cm="1">
        <f t="array" ref="I1532">INDEX(Sheet1!E:E,$G1532)</f>
        <v>A.1.b.iii</v>
      </c>
      <c r="J1532" s="4" t="str" cm="1">
        <f t="array" ref="J1532">IF($C1532&gt;=25,INDEX(Sheet1!G:G,$G1532),INDEX(Sheet1!F:F,$G1532))</f>
        <v>AA8</v>
      </c>
      <c r="K1532" s="4" cm="1">
        <f t="array" ref="K1532">INDEX(Sheet1!H:H,$G1532)</f>
        <v>1E-3</v>
      </c>
      <c r="L1532" s="4">
        <f t="shared" si="92"/>
        <v>53</v>
      </c>
      <c r="M1532" s="4">
        <f t="shared" si="93"/>
        <v>0</v>
      </c>
    </row>
    <row r="1533" spans="1:13">
      <c r="A1533" s="4" t="str" cm="1">
        <f t="array" ref="A1533">INDEX(Sheet1!A:A,$F1533)</f>
        <v>F</v>
      </c>
      <c r="B1533" s="4" t="str" cm="1">
        <f t="array" ref="B1533">INDEX(Sheet1!B:B,$F1533)</f>
        <v>Non-Pref NS</v>
      </c>
      <c r="C1533" s="4">
        <f t="shared" si="94"/>
        <v>79</v>
      </c>
      <c r="D1533" s="5" cm="1">
        <f t="array" aca="1" ref="D1533" ca="1">OFFSET(INDIRECT("'["&amp;$H1533&amp;"]"&amp;$I1533&amp;"'!"&amp;$J1533),$L1533,$M1533)*$K1533</f>
        <v>4.1909999999999996E-2</v>
      </c>
      <c r="F1533" s="4">
        <f t="shared" si="95"/>
        <v>14</v>
      </c>
      <c r="G1533" s="4" cm="1">
        <f t="array" ref="G1533">IF($C1533&gt;=25,F1533,IF($C1533&lt;16,INDEX(Sheet1!C:C,$F1533),$F1533))</f>
        <v>14</v>
      </c>
      <c r="H1533" s="4" t="str" cm="1">
        <f t="array" ref="H1533">INDEX(Sheet1!D:D,$G1533)</f>
        <v>2001-cso-preferred-class-structure-mortality-tables.xls</v>
      </c>
      <c r="I1533" s="4" t="str" cm="1">
        <f t="array" ref="I1533">INDEX(Sheet1!E:E,$G1533)</f>
        <v>A.1.b.iii</v>
      </c>
      <c r="J1533" s="4" t="str" cm="1">
        <f t="array" ref="J1533">IF($C1533&gt;=25,INDEX(Sheet1!G:G,$G1533),INDEX(Sheet1!F:F,$G1533))</f>
        <v>AA8</v>
      </c>
      <c r="K1533" s="4" cm="1">
        <f t="array" ref="K1533">INDEX(Sheet1!H:H,$G1533)</f>
        <v>1E-3</v>
      </c>
      <c r="L1533" s="4">
        <f t="shared" si="92"/>
        <v>54</v>
      </c>
      <c r="M1533" s="4">
        <f t="shared" si="93"/>
        <v>0</v>
      </c>
    </row>
    <row r="1534" spans="1:13">
      <c r="A1534" s="4" t="str" cm="1">
        <f t="array" ref="A1534">INDEX(Sheet1!A:A,$F1534)</f>
        <v>F</v>
      </c>
      <c r="B1534" s="4" t="str" cm="1">
        <f t="array" ref="B1534">INDEX(Sheet1!B:B,$F1534)</f>
        <v>Non-Pref NS</v>
      </c>
      <c r="C1534" s="4">
        <f t="shared" si="94"/>
        <v>80</v>
      </c>
      <c r="D1534" s="5" cm="1">
        <f t="array" aca="1" ref="D1534" ca="1">OFFSET(INDIRECT("'["&amp;$H1534&amp;"]"&amp;$I1534&amp;"'!"&amp;$J1534),$L1534,$M1534)*$K1534</f>
        <v>4.58E-2</v>
      </c>
      <c r="F1534" s="4">
        <f t="shared" si="95"/>
        <v>14</v>
      </c>
      <c r="G1534" s="4" cm="1">
        <f t="array" ref="G1534">IF($C1534&gt;=25,F1534,IF($C1534&lt;16,INDEX(Sheet1!C:C,$F1534),$F1534))</f>
        <v>14</v>
      </c>
      <c r="H1534" s="4" t="str" cm="1">
        <f t="array" ref="H1534">INDEX(Sheet1!D:D,$G1534)</f>
        <v>2001-cso-preferred-class-structure-mortality-tables.xls</v>
      </c>
      <c r="I1534" s="4" t="str" cm="1">
        <f t="array" ref="I1534">INDEX(Sheet1!E:E,$G1534)</f>
        <v>A.1.b.iii</v>
      </c>
      <c r="J1534" s="4" t="str" cm="1">
        <f t="array" ref="J1534">IF($C1534&gt;=25,INDEX(Sheet1!G:G,$G1534),INDEX(Sheet1!F:F,$G1534))</f>
        <v>AA8</v>
      </c>
      <c r="K1534" s="4" cm="1">
        <f t="array" ref="K1534">INDEX(Sheet1!H:H,$G1534)</f>
        <v>1E-3</v>
      </c>
      <c r="L1534" s="4">
        <f t="shared" si="92"/>
        <v>55</v>
      </c>
      <c r="M1534" s="4">
        <f t="shared" si="93"/>
        <v>0</v>
      </c>
    </row>
    <row r="1535" spans="1:13">
      <c r="A1535" s="4" t="str" cm="1">
        <f t="array" ref="A1535">INDEX(Sheet1!A:A,$F1535)</f>
        <v>F</v>
      </c>
      <c r="B1535" s="4" t="str" cm="1">
        <f t="array" ref="B1535">INDEX(Sheet1!B:B,$F1535)</f>
        <v>Non-Pref NS</v>
      </c>
      <c r="C1535" s="4">
        <f t="shared" si="94"/>
        <v>81</v>
      </c>
      <c r="D1535" s="5" cm="1">
        <f t="array" aca="1" ref="D1535" ca="1">OFFSET(INDIRECT("'["&amp;$H1535&amp;"]"&amp;$I1535&amp;"'!"&amp;$J1535),$L1535,$M1535)*$K1535</f>
        <v>5.1140000000000005E-2</v>
      </c>
      <c r="F1535" s="4">
        <f t="shared" si="95"/>
        <v>14</v>
      </c>
      <c r="G1535" s="4" cm="1">
        <f t="array" ref="G1535">IF($C1535&gt;=25,F1535,IF($C1535&lt;16,INDEX(Sheet1!C:C,$F1535),$F1535))</f>
        <v>14</v>
      </c>
      <c r="H1535" s="4" t="str" cm="1">
        <f t="array" ref="H1535">INDEX(Sheet1!D:D,$G1535)</f>
        <v>2001-cso-preferred-class-structure-mortality-tables.xls</v>
      </c>
      <c r="I1535" s="4" t="str" cm="1">
        <f t="array" ref="I1535">INDEX(Sheet1!E:E,$G1535)</f>
        <v>A.1.b.iii</v>
      </c>
      <c r="J1535" s="4" t="str" cm="1">
        <f t="array" ref="J1535">IF($C1535&gt;=25,INDEX(Sheet1!G:G,$G1535),INDEX(Sheet1!F:F,$G1535))</f>
        <v>AA8</v>
      </c>
      <c r="K1535" s="4" cm="1">
        <f t="array" ref="K1535">INDEX(Sheet1!H:H,$G1535)</f>
        <v>1E-3</v>
      </c>
      <c r="L1535" s="4">
        <f t="shared" si="92"/>
        <v>56</v>
      </c>
      <c r="M1535" s="4">
        <f t="shared" si="93"/>
        <v>0</v>
      </c>
    </row>
    <row r="1536" spans="1:13">
      <c r="A1536" s="4" t="str" cm="1">
        <f t="array" ref="A1536">INDEX(Sheet1!A:A,$F1536)</f>
        <v>F</v>
      </c>
      <c r="B1536" s="4" t="str" cm="1">
        <f t="array" ref="B1536">INDEX(Sheet1!B:B,$F1536)</f>
        <v>Non-Pref NS</v>
      </c>
      <c r="C1536" s="4">
        <f t="shared" si="94"/>
        <v>82</v>
      </c>
      <c r="D1536" s="5" cm="1">
        <f t="array" aca="1" ref="D1536" ca="1">OFFSET(INDIRECT("'["&amp;$H1536&amp;"]"&amp;$I1536&amp;"'!"&amp;$J1536),$L1536,$M1536)*$K1536</f>
        <v>5.7119999999999997E-2</v>
      </c>
      <c r="F1536" s="4">
        <f t="shared" si="95"/>
        <v>14</v>
      </c>
      <c r="G1536" s="4" cm="1">
        <f t="array" ref="G1536">IF($C1536&gt;=25,F1536,IF($C1536&lt;16,INDEX(Sheet1!C:C,$F1536),$F1536))</f>
        <v>14</v>
      </c>
      <c r="H1536" s="4" t="str" cm="1">
        <f t="array" ref="H1536">INDEX(Sheet1!D:D,$G1536)</f>
        <v>2001-cso-preferred-class-structure-mortality-tables.xls</v>
      </c>
      <c r="I1536" s="4" t="str" cm="1">
        <f t="array" ref="I1536">INDEX(Sheet1!E:E,$G1536)</f>
        <v>A.1.b.iii</v>
      </c>
      <c r="J1536" s="4" t="str" cm="1">
        <f t="array" ref="J1536">IF($C1536&gt;=25,INDEX(Sheet1!G:G,$G1536),INDEX(Sheet1!F:F,$G1536))</f>
        <v>AA8</v>
      </c>
      <c r="K1536" s="4" cm="1">
        <f t="array" ref="K1536">INDEX(Sheet1!H:H,$G1536)</f>
        <v>1E-3</v>
      </c>
      <c r="L1536" s="4">
        <f t="shared" si="92"/>
        <v>57</v>
      </c>
      <c r="M1536" s="4">
        <f t="shared" si="93"/>
        <v>0</v>
      </c>
    </row>
    <row r="1537" spans="1:13">
      <c r="A1537" s="4" t="str" cm="1">
        <f t="array" ref="A1537">INDEX(Sheet1!A:A,$F1537)</f>
        <v>F</v>
      </c>
      <c r="B1537" s="4" t="str" cm="1">
        <f t="array" ref="B1537">INDEX(Sheet1!B:B,$F1537)</f>
        <v>Non-Pref NS</v>
      </c>
      <c r="C1537" s="4">
        <f t="shared" si="94"/>
        <v>83</v>
      </c>
      <c r="D1537" s="5" cm="1">
        <f t="array" aca="1" ref="D1537" ca="1">OFFSET(INDIRECT("'["&amp;$H1537&amp;"]"&amp;$I1537&amp;"'!"&amp;$J1537),$L1537,$M1537)*$K1537</f>
        <v>6.3009999999999997E-2</v>
      </c>
      <c r="F1537" s="4">
        <f t="shared" si="95"/>
        <v>14</v>
      </c>
      <c r="G1537" s="4" cm="1">
        <f t="array" ref="G1537">IF($C1537&gt;=25,F1537,IF($C1537&lt;16,INDEX(Sheet1!C:C,$F1537),$F1537))</f>
        <v>14</v>
      </c>
      <c r="H1537" s="4" t="str" cm="1">
        <f t="array" ref="H1537">INDEX(Sheet1!D:D,$G1537)</f>
        <v>2001-cso-preferred-class-structure-mortality-tables.xls</v>
      </c>
      <c r="I1537" s="4" t="str" cm="1">
        <f t="array" ref="I1537">INDEX(Sheet1!E:E,$G1537)</f>
        <v>A.1.b.iii</v>
      </c>
      <c r="J1537" s="4" t="str" cm="1">
        <f t="array" ref="J1537">IF($C1537&gt;=25,INDEX(Sheet1!G:G,$G1537),INDEX(Sheet1!F:F,$G1537))</f>
        <v>AA8</v>
      </c>
      <c r="K1537" s="4" cm="1">
        <f t="array" ref="K1537">INDEX(Sheet1!H:H,$G1537)</f>
        <v>1E-3</v>
      </c>
      <c r="L1537" s="4">
        <f t="shared" si="92"/>
        <v>58</v>
      </c>
      <c r="M1537" s="4">
        <f t="shared" si="93"/>
        <v>0</v>
      </c>
    </row>
    <row r="1538" spans="1:13">
      <c r="A1538" s="4" t="str" cm="1">
        <f t="array" ref="A1538">INDEX(Sheet1!A:A,$F1538)</f>
        <v>F</v>
      </c>
      <c r="B1538" s="4" t="str" cm="1">
        <f t="array" ref="B1538">INDEX(Sheet1!B:B,$F1538)</f>
        <v>Non-Pref NS</v>
      </c>
      <c r="C1538" s="4">
        <f t="shared" si="94"/>
        <v>84</v>
      </c>
      <c r="D1538" s="5" cm="1">
        <f t="array" aca="1" ref="D1538" ca="1">OFFSET(INDIRECT("'["&amp;$H1538&amp;"]"&amp;$I1538&amp;"'!"&amp;$J1538),$L1538,$M1538)*$K1538</f>
        <v>6.9489999999999996E-2</v>
      </c>
      <c r="F1538" s="4">
        <f t="shared" si="95"/>
        <v>14</v>
      </c>
      <c r="G1538" s="4" cm="1">
        <f t="array" ref="G1538">IF($C1538&gt;=25,F1538,IF($C1538&lt;16,INDEX(Sheet1!C:C,$F1538),$F1538))</f>
        <v>14</v>
      </c>
      <c r="H1538" s="4" t="str" cm="1">
        <f t="array" ref="H1538">INDEX(Sheet1!D:D,$G1538)</f>
        <v>2001-cso-preferred-class-structure-mortality-tables.xls</v>
      </c>
      <c r="I1538" s="4" t="str" cm="1">
        <f t="array" ref="I1538">INDEX(Sheet1!E:E,$G1538)</f>
        <v>A.1.b.iii</v>
      </c>
      <c r="J1538" s="4" t="str" cm="1">
        <f t="array" ref="J1538">IF($C1538&gt;=25,INDEX(Sheet1!G:G,$G1538),INDEX(Sheet1!F:F,$G1538))</f>
        <v>AA8</v>
      </c>
      <c r="K1538" s="4" cm="1">
        <f t="array" ref="K1538">INDEX(Sheet1!H:H,$G1538)</f>
        <v>1E-3</v>
      </c>
      <c r="L1538" s="4">
        <f t="shared" si="92"/>
        <v>59</v>
      </c>
      <c r="M1538" s="4">
        <f t="shared" si="93"/>
        <v>0</v>
      </c>
    </row>
    <row r="1539" spans="1:13">
      <c r="A1539" s="4" t="str" cm="1">
        <f t="array" ref="A1539">INDEX(Sheet1!A:A,$F1539)</f>
        <v>F</v>
      </c>
      <c r="B1539" s="4" t="str" cm="1">
        <f t="array" ref="B1539">INDEX(Sheet1!B:B,$F1539)</f>
        <v>Non-Pref NS</v>
      </c>
      <c r="C1539" s="4">
        <f t="shared" si="94"/>
        <v>85</v>
      </c>
      <c r="D1539" s="5" cm="1">
        <f t="array" aca="1" ref="D1539" ca="1">OFFSET(INDIRECT("'["&amp;$H1539&amp;"]"&amp;$I1539&amp;"'!"&amp;$J1539),$L1539,$M1539)*$K1539</f>
        <v>7.6749999999999999E-2</v>
      </c>
      <c r="F1539" s="4">
        <f t="shared" si="95"/>
        <v>14</v>
      </c>
      <c r="G1539" s="4" cm="1">
        <f t="array" ref="G1539">IF($C1539&gt;=25,F1539,IF($C1539&lt;16,INDEX(Sheet1!C:C,$F1539),$F1539))</f>
        <v>14</v>
      </c>
      <c r="H1539" s="4" t="str" cm="1">
        <f t="array" ref="H1539">INDEX(Sheet1!D:D,$G1539)</f>
        <v>2001-cso-preferred-class-structure-mortality-tables.xls</v>
      </c>
      <c r="I1539" s="4" t="str" cm="1">
        <f t="array" ref="I1539">INDEX(Sheet1!E:E,$G1539)</f>
        <v>A.1.b.iii</v>
      </c>
      <c r="J1539" s="4" t="str" cm="1">
        <f t="array" ref="J1539">IF($C1539&gt;=25,INDEX(Sheet1!G:G,$G1539),INDEX(Sheet1!F:F,$G1539))</f>
        <v>AA8</v>
      </c>
      <c r="K1539" s="4" cm="1">
        <f t="array" ref="K1539">INDEX(Sheet1!H:H,$G1539)</f>
        <v>1E-3</v>
      </c>
      <c r="L1539" s="4">
        <f t="shared" ref="L1539:L1602" si="96">IF($C1539&gt;=25,$C1539-25,0)</f>
        <v>60</v>
      </c>
      <c r="M1539" s="4">
        <f t="shared" ref="M1539:M1602" si="97">IF($C1539&gt;=25,0,$C1539)</f>
        <v>0</v>
      </c>
    </row>
    <row r="1540" spans="1:13">
      <c r="A1540" s="4" t="str" cm="1">
        <f t="array" ref="A1540">INDEX(Sheet1!A:A,$F1540)</f>
        <v>F</v>
      </c>
      <c r="B1540" s="4" t="str" cm="1">
        <f t="array" ref="B1540">INDEX(Sheet1!B:B,$F1540)</f>
        <v>Non-Pref NS</v>
      </c>
      <c r="C1540" s="4">
        <f t="shared" ref="C1540:C1603" si="98">IF(C1539=120,0,C1539+1)</f>
        <v>86</v>
      </c>
      <c r="D1540" s="5" cm="1">
        <f t="array" aca="1" ref="D1540" ca="1">OFFSET(INDIRECT("'["&amp;$H1540&amp;"]"&amp;$I1540&amp;"'!"&amp;$J1540),$L1540,$M1540)*$K1540</f>
        <v>8.3220000000000002E-2</v>
      </c>
      <c r="F1540" s="4">
        <f t="shared" ref="F1540:F1603" si="99">IF(C1540=0,1,0)+F1539</f>
        <v>14</v>
      </c>
      <c r="G1540" s="4" cm="1">
        <f t="array" ref="G1540">IF($C1540&gt;=25,F1540,IF($C1540&lt;16,INDEX(Sheet1!C:C,$F1540),$F1540))</f>
        <v>14</v>
      </c>
      <c r="H1540" s="4" t="str" cm="1">
        <f t="array" ref="H1540">INDEX(Sheet1!D:D,$G1540)</f>
        <v>2001-cso-preferred-class-structure-mortality-tables.xls</v>
      </c>
      <c r="I1540" s="4" t="str" cm="1">
        <f t="array" ref="I1540">INDEX(Sheet1!E:E,$G1540)</f>
        <v>A.1.b.iii</v>
      </c>
      <c r="J1540" s="4" t="str" cm="1">
        <f t="array" ref="J1540">IF($C1540&gt;=25,INDEX(Sheet1!G:G,$G1540),INDEX(Sheet1!F:F,$G1540))</f>
        <v>AA8</v>
      </c>
      <c r="K1540" s="4" cm="1">
        <f t="array" ref="K1540">INDEX(Sheet1!H:H,$G1540)</f>
        <v>1E-3</v>
      </c>
      <c r="L1540" s="4">
        <f t="shared" si="96"/>
        <v>61</v>
      </c>
      <c r="M1540" s="4">
        <f t="shared" si="97"/>
        <v>0</v>
      </c>
    </row>
    <row r="1541" spans="1:13">
      <c r="A1541" s="4" t="str" cm="1">
        <f t="array" ref="A1541">INDEX(Sheet1!A:A,$F1541)</f>
        <v>F</v>
      </c>
      <c r="B1541" s="4" t="str" cm="1">
        <f t="array" ref="B1541">INDEX(Sheet1!B:B,$F1541)</f>
        <v>Non-Pref NS</v>
      </c>
      <c r="C1541" s="4">
        <f t="shared" si="98"/>
        <v>87</v>
      </c>
      <c r="D1541" s="5" cm="1">
        <f t="array" aca="1" ref="D1541" ca="1">OFFSET(INDIRECT("'["&amp;$H1541&amp;"]"&amp;$I1541&amp;"'!"&amp;$J1541),$L1541,$M1541)*$K1541</f>
        <v>9.3090000000000006E-2</v>
      </c>
      <c r="F1541" s="4">
        <f t="shared" si="99"/>
        <v>14</v>
      </c>
      <c r="G1541" s="4" cm="1">
        <f t="array" ref="G1541">IF($C1541&gt;=25,F1541,IF($C1541&lt;16,INDEX(Sheet1!C:C,$F1541),$F1541))</f>
        <v>14</v>
      </c>
      <c r="H1541" s="4" t="str" cm="1">
        <f t="array" ref="H1541">INDEX(Sheet1!D:D,$G1541)</f>
        <v>2001-cso-preferred-class-structure-mortality-tables.xls</v>
      </c>
      <c r="I1541" s="4" t="str" cm="1">
        <f t="array" ref="I1541">INDEX(Sheet1!E:E,$G1541)</f>
        <v>A.1.b.iii</v>
      </c>
      <c r="J1541" s="4" t="str" cm="1">
        <f t="array" ref="J1541">IF($C1541&gt;=25,INDEX(Sheet1!G:G,$G1541),INDEX(Sheet1!F:F,$G1541))</f>
        <v>AA8</v>
      </c>
      <c r="K1541" s="4" cm="1">
        <f t="array" ref="K1541">INDEX(Sheet1!H:H,$G1541)</f>
        <v>1E-3</v>
      </c>
      <c r="L1541" s="4">
        <f t="shared" si="96"/>
        <v>62</v>
      </c>
      <c r="M1541" s="4">
        <f t="shared" si="97"/>
        <v>0</v>
      </c>
    </row>
    <row r="1542" spans="1:13">
      <c r="A1542" s="4" t="str" cm="1">
        <f t="array" ref="A1542">INDEX(Sheet1!A:A,$F1542)</f>
        <v>F</v>
      </c>
      <c r="B1542" s="4" t="str" cm="1">
        <f t="array" ref="B1542">INDEX(Sheet1!B:B,$F1542)</f>
        <v>Non-Pref NS</v>
      </c>
      <c r="C1542" s="4">
        <f t="shared" si="98"/>
        <v>88</v>
      </c>
      <c r="D1542" s="5" cm="1">
        <f t="array" aca="1" ref="D1542" ca="1">OFFSET(INDIRECT("'["&amp;$H1542&amp;"]"&amp;$I1542&amp;"'!"&amp;$J1542),$L1542,$M1542)*$K1542</f>
        <v>0.1033</v>
      </c>
      <c r="F1542" s="4">
        <f t="shared" si="99"/>
        <v>14</v>
      </c>
      <c r="G1542" s="4" cm="1">
        <f t="array" ref="G1542">IF($C1542&gt;=25,F1542,IF($C1542&lt;16,INDEX(Sheet1!C:C,$F1542),$F1542))</f>
        <v>14</v>
      </c>
      <c r="H1542" s="4" t="str" cm="1">
        <f t="array" ref="H1542">INDEX(Sheet1!D:D,$G1542)</f>
        <v>2001-cso-preferred-class-structure-mortality-tables.xls</v>
      </c>
      <c r="I1542" s="4" t="str" cm="1">
        <f t="array" ref="I1542">INDEX(Sheet1!E:E,$G1542)</f>
        <v>A.1.b.iii</v>
      </c>
      <c r="J1542" s="4" t="str" cm="1">
        <f t="array" ref="J1542">IF($C1542&gt;=25,INDEX(Sheet1!G:G,$G1542),INDEX(Sheet1!F:F,$G1542))</f>
        <v>AA8</v>
      </c>
      <c r="K1542" s="4" cm="1">
        <f t="array" ref="K1542">INDEX(Sheet1!H:H,$G1542)</f>
        <v>1E-3</v>
      </c>
      <c r="L1542" s="4">
        <f t="shared" si="96"/>
        <v>63</v>
      </c>
      <c r="M1542" s="4">
        <f t="shared" si="97"/>
        <v>0</v>
      </c>
    </row>
    <row r="1543" spans="1:13">
      <c r="A1543" s="4" t="str" cm="1">
        <f t="array" ref="A1543">INDEX(Sheet1!A:A,$F1543)</f>
        <v>F</v>
      </c>
      <c r="B1543" s="4" t="str" cm="1">
        <f t="array" ref="B1543">INDEX(Sheet1!B:B,$F1543)</f>
        <v>Non-Pref NS</v>
      </c>
      <c r="C1543" s="4">
        <f t="shared" si="98"/>
        <v>89</v>
      </c>
      <c r="D1543" s="5" cm="1">
        <f t="array" aca="1" ref="D1543" ca="1">OFFSET(INDIRECT("'["&amp;$H1543&amp;"]"&amp;$I1543&amp;"'!"&amp;$J1543),$L1543,$M1543)*$K1543</f>
        <v>0.11409000000000001</v>
      </c>
      <c r="F1543" s="4">
        <f t="shared" si="99"/>
        <v>14</v>
      </c>
      <c r="G1543" s="4" cm="1">
        <f t="array" ref="G1543">IF($C1543&gt;=25,F1543,IF($C1543&lt;16,INDEX(Sheet1!C:C,$F1543),$F1543))</f>
        <v>14</v>
      </c>
      <c r="H1543" s="4" t="str" cm="1">
        <f t="array" ref="H1543">INDEX(Sheet1!D:D,$G1543)</f>
        <v>2001-cso-preferred-class-structure-mortality-tables.xls</v>
      </c>
      <c r="I1543" s="4" t="str" cm="1">
        <f t="array" ref="I1543">INDEX(Sheet1!E:E,$G1543)</f>
        <v>A.1.b.iii</v>
      </c>
      <c r="J1543" s="4" t="str" cm="1">
        <f t="array" ref="J1543">IF($C1543&gt;=25,INDEX(Sheet1!G:G,$G1543),INDEX(Sheet1!F:F,$G1543))</f>
        <v>AA8</v>
      </c>
      <c r="K1543" s="4" cm="1">
        <f t="array" ref="K1543">INDEX(Sheet1!H:H,$G1543)</f>
        <v>1E-3</v>
      </c>
      <c r="L1543" s="4">
        <f t="shared" si="96"/>
        <v>64</v>
      </c>
      <c r="M1543" s="4">
        <f t="shared" si="97"/>
        <v>0</v>
      </c>
    </row>
    <row r="1544" spans="1:13">
      <c r="A1544" s="4" t="str" cm="1">
        <f t="array" ref="A1544">INDEX(Sheet1!A:A,$F1544)</f>
        <v>F</v>
      </c>
      <c r="B1544" s="4" t="str" cm="1">
        <f t="array" ref="B1544">INDEX(Sheet1!B:B,$F1544)</f>
        <v>Non-Pref NS</v>
      </c>
      <c r="C1544" s="4">
        <f t="shared" si="98"/>
        <v>90</v>
      </c>
      <c r="D1544" s="5" cm="1">
        <f t="array" aca="1" ref="D1544" ca="1">OFFSET(INDIRECT("'["&amp;$H1544&amp;"]"&amp;$I1544&amp;"'!"&amp;$J1544),$L1544,$M1544)*$K1544</f>
        <v>0.12389</v>
      </c>
      <c r="F1544" s="4">
        <f t="shared" si="99"/>
        <v>14</v>
      </c>
      <c r="G1544" s="4" cm="1">
        <f t="array" ref="G1544">IF($C1544&gt;=25,F1544,IF($C1544&lt;16,INDEX(Sheet1!C:C,$F1544),$F1544))</f>
        <v>14</v>
      </c>
      <c r="H1544" s="4" t="str" cm="1">
        <f t="array" ref="H1544">INDEX(Sheet1!D:D,$G1544)</f>
        <v>2001-cso-preferred-class-structure-mortality-tables.xls</v>
      </c>
      <c r="I1544" s="4" t="str" cm="1">
        <f t="array" ref="I1544">INDEX(Sheet1!E:E,$G1544)</f>
        <v>A.1.b.iii</v>
      </c>
      <c r="J1544" s="4" t="str" cm="1">
        <f t="array" ref="J1544">IF($C1544&gt;=25,INDEX(Sheet1!G:G,$G1544),INDEX(Sheet1!F:F,$G1544))</f>
        <v>AA8</v>
      </c>
      <c r="K1544" s="4" cm="1">
        <f t="array" ref="K1544">INDEX(Sheet1!H:H,$G1544)</f>
        <v>1E-3</v>
      </c>
      <c r="L1544" s="4">
        <f t="shared" si="96"/>
        <v>65</v>
      </c>
      <c r="M1544" s="4">
        <f t="shared" si="97"/>
        <v>0</v>
      </c>
    </row>
    <row r="1545" spans="1:13">
      <c r="A1545" s="4" t="str" cm="1">
        <f t="array" ref="A1545">INDEX(Sheet1!A:A,$F1545)</f>
        <v>F</v>
      </c>
      <c r="B1545" s="4" t="str" cm="1">
        <f t="array" ref="B1545">INDEX(Sheet1!B:B,$F1545)</f>
        <v>Non-Pref NS</v>
      </c>
      <c r="C1545" s="4">
        <f t="shared" si="98"/>
        <v>91</v>
      </c>
      <c r="D1545" s="5" cm="1">
        <f t="array" aca="1" ref="D1545" ca="1">OFFSET(INDIRECT("'["&amp;$H1545&amp;"]"&amp;$I1545&amp;"'!"&amp;$J1545),$L1545,$M1545)*$K1545</f>
        <v>0.12846000000000002</v>
      </c>
      <c r="F1545" s="4">
        <f t="shared" si="99"/>
        <v>14</v>
      </c>
      <c r="G1545" s="4" cm="1">
        <f t="array" ref="G1545">IF($C1545&gt;=25,F1545,IF($C1545&lt;16,INDEX(Sheet1!C:C,$F1545),$F1545))</f>
        <v>14</v>
      </c>
      <c r="H1545" s="4" t="str" cm="1">
        <f t="array" ref="H1545">INDEX(Sheet1!D:D,$G1545)</f>
        <v>2001-cso-preferred-class-structure-mortality-tables.xls</v>
      </c>
      <c r="I1545" s="4" t="str" cm="1">
        <f t="array" ref="I1545">INDEX(Sheet1!E:E,$G1545)</f>
        <v>A.1.b.iii</v>
      </c>
      <c r="J1545" s="4" t="str" cm="1">
        <f t="array" ref="J1545">IF($C1545&gt;=25,INDEX(Sheet1!G:G,$G1545),INDEX(Sheet1!F:F,$G1545))</f>
        <v>AA8</v>
      </c>
      <c r="K1545" s="4" cm="1">
        <f t="array" ref="K1545">INDEX(Sheet1!H:H,$G1545)</f>
        <v>1E-3</v>
      </c>
      <c r="L1545" s="4">
        <f t="shared" si="96"/>
        <v>66</v>
      </c>
      <c r="M1545" s="4">
        <f t="shared" si="97"/>
        <v>0</v>
      </c>
    </row>
    <row r="1546" spans="1:13">
      <c r="A1546" s="4" t="str" cm="1">
        <f t="array" ref="A1546">INDEX(Sheet1!A:A,$F1546)</f>
        <v>F</v>
      </c>
      <c r="B1546" s="4" t="str" cm="1">
        <f t="array" ref="B1546">INDEX(Sheet1!B:B,$F1546)</f>
        <v>Non-Pref NS</v>
      </c>
      <c r="C1546" s="4">
        <f t="shared" si="98"/>
        <v>92</v>
      </c>
      <c r="D1546" s="5" cm="1">
        <f t="array" aca="1" ref="D1546" ca="1">OFFSET(INDIRECT("'["&amp;$H1546&amp;"]"&amp;$I1546&amp;"'!"&amp;$J1546),$L1546,$M1546)*$K1546</f>
        <v>0.13800999999999999</v>
      </c>
      <c r="F1546" s="4">
        <f t="shared" si="99"/>
        <v>14</v>
      </c>
      <c r="G1546" s="4" cm="1">
        <f t="array" ref="G1546">IF($C1546&gt;=25,F1546,IF($C1546&lt;16,INDEX(Sheet1!C:C,$F1546),$F1546))</f>
        <v>14</v>
      </c>
      <c r="H1546" s="4" t="str" cm="1">
        <f t="array" ref="H1546">INDEX(Sheet1!D:D,$G1546)</f>
        <v>2001-cso-preferred-class-structure-mortality-tables.xls</v>
      </c>
      <c r="I1546" s="4" t="str" cm="1">
        <f t="array" ref="I1546">INDEX(Sheet1!E:E,$G1546)</f>
        <v>A.1.b.iii</v>
      </c>
      <c r="J1546" s="4" t="str" cm="1">
        <f t="array" ref="J1546">IF($C1546&gt;=25,INDEX(Sheet1!G:G,$G1546),INDEX(Sheet1!F:F,$G1546))</f>
        <v>AA8</v>
      </c>
      <c r="K1546" s="4" cm="1">
        <f t="array" ref="K1546">INDEX(Sheet1!H:H,$G1546)</f>
        <v>1E-3</v>
      </c>
      <c r="L1546" s="4">
        <f t="shared" si="96"/>
        <v>67</v>
      </c>
      <c r="M1546" s="4">
        <f t="shared" si="97"/>
        <v>0</v>
      </c>
    </row>
    <row r="1547" spans="1:13">
      <c r="A1547" s="4" t="str" cm="1">
        <f t="array" ref="A1547">INDEX(Sheet1!A:A,$F1547)</f>
        <v>F</v>
      </c>
      <c r="B1547" s="4" t="str" cm="1">
        <f t="array" ref="B1547">INDEX(Sheet1!B:B,$F1547)</f>
        <v>Non-Pref NS</v>
      </c>
      <c r="C1547" s="4">
        <f t="shared" si="98"/>
        <v>93</v>
      </c>
      <c r="D1547" s="5" cm="1">
        <f t="array" aca="1" ref="D1547" ca="1">OFFSET(INDIRECT("'["&amp;$H1547&amp;"]"&amp;$I1547&amp;"'!"&amp;$J1547),$L1547,$M1547)*$K1547</f>
        <v>0.15237999999999999</v>
      </c>
      <c r="F1547" s="4">
        <f t="shared" si="99"/>
        <v>14</v>
      </c>
      <c r="G1547" s="4" cm="1">
        <f t="array" ref="G1547">IF($C1547&gt;=25,F1547,IF($C1547&lt;16,INDEX(Sheet1!C:C,$F1547),$F1547))</f>
        <v>14</v>
      </c>
      <c r="H1547" s="4" t="str" cm="1">
        <f t="array" ref="H1547">INDEX(Sheet1!D:D,$G1547)</f>
        <v>2001-cso-preferred-class-structure-mortality-tables.xls</v>
      </c>
      <c r="I1547" s="4" t="str" cm="1">
        <f t="array" ref="I1547">INDEX(Sheet1!E:E,$G1547)</f>
        <v>A.1.b.iii</v>
      </c>
      <c r="J1547" s="4" t="str" cm="1">
        <f t="array" ref="J1547">IF($C1547&gt;=25,INDEX(Sheet1!G:G,$G1547),INDEX(Sheet1!F:F,$G1547))</f>
        <v>AA8</v>
      </c>
      <c r="K1547" s="4" cm="1">
        <f t="array" ref="K1547">INDEX(Sheet1!H:H,$G1547)</f>
        <v>1E-3</v>
      </c>
      <c r="L1547" s="4">
        <f t="shared" si="96"/>
        <v>68</v>
      </c>
      <c r="M1547" s="4">
        <f t="shared" si="97"/>
        <v>0</v>
      </c>
    </row>
    <row r="1548" spans="1:13">
      <c r="A1548" s="4" t="str" cm="1">
        <f t="array" ref="A1548">INDEX(Sheet1!A:A,$F1548)</f>
        <v>F</v>
      </c>
      <c r="B1548" s="4" t="str" cm="1">
        <f t="array" ref="B1548">INDEX(Sheet1!B:B,$F1548)</f>
        <v>Non-Pref NS</v>
      </c>
      <c r="C1548" s="4">
        <f t="shared" si="98"/>
        <v>94</v>
      </c>
      <c r="D1548" s="5" cm="1">
        <f t="array" aca="1" ref="D1548" ca="1">OFFSET(INDIRECT("'["&amp;$H1548&amp;"]"&amp;$I1548&amp;"'!"&amp;$J1548),$L1548,$M1548)*$K1548</f>
        <v>0.17054</v>
      </c>
      <c r="F1548" s="4">
        <f t="shared" si="99"/>
        <v>14</v>
      </c>
      <c r="G1548" s="4" cm="1">
        <f t="array" ref="G1548">IF($C1548&gt;=25,F1548,IF($C1548&lt;16,INDEX(Sheet1!C:C,$F1548),$F1548))</f>
        <v>14</v>
      </c>
      <c r="H1548" s="4" t="str" cm="1">
        <f t="array" ref="H1548">INDEX(Sheet1!D:D,$G1548)</f>
        <v>2001-cso-preferred-class-structure-mortality-tables.xls</v>
      </c>
      <c r="I1548" s="4" t="str" cm="1">
        <f t="array" ref="I1548">INDEX(Sheet1!E:E,$G1548)</f>
        <v>A.1.b.iii</v>
      </c>
      <c r="J1548" s="4" t="str" cm="1">
        <f t="array" ref="J1548">IF($C1548&gt;=25,INDEX(Sheet1!G:G,$G1548),INDEX(Sheet1!F:F,$G1548))</f>
        <v>AA8</v>
      </c>
      <c r="K1548" s="4" cm="1">
        <f t="array" ref="K1548">INDEX(Sheet1!H:H,$G1548)</f>
        <v>1E-3</v>
      </c>
      <c r="L1548" s="4">
        <f t="shared" si="96"/>
        <v>69</v>
      </c>
      <c r="M1548" s="4">
        <f t="shared" si="97"/>
        <v>0</v>
      </c>
    </row>
    <row r="1549" spans="1:13">
      <c r="A1549" s="4" t="str" cm="1">
        <f t="array" ref="A1549">INDEX(Sheet1!A:A,$F1549)</f>
        <v>F</v>
      </c>
      <c r="B1549" s="4" t="str" cm="1">
        <f t="array" ref="B1549">INDEX(Sheet1!B:B,$F1549)</f>
        <v>Non-Pref NS</v>
      </c>
      <c r="C1549" s="4">
        <f t="shared" si="98"/>
        <v>95</v>
      </c>
      <c r="D1549" s="5" cm="1">
        <f t="array" aca="1" ref="D1549" ca="1">OFFSET(INDIRECT("'["&amp;$H1549&amp;"]"&amp;$I1549&amp;"'!"&amp;$J1549),$L1549,$M1549)*$K1549</f>
        <v>0.19291999999999998</v>
      </c>
      <c r="F1549" s="4">
        <f t="shared" si="99"/>
        <v>14</v>
      </c>
      <c r="G1549" s="4" cm="1">
        <f t="array" ref="G1549">IF($C1549&gt;=25,F1549,IF($C1549&lt;16,INDEX(Sheet1!C:C,$F1549),$F1549))</f>
        <v>14</v>
      </c>
      <c r="H1549" s="4" t="str" cm="1">
        <f t="array" ref="H1549">INDEX(Sheet1!D:D,$G1549)</f>
        <v>2001-cso-preferred-class-structure-mortality-tables.xls</v>
      </c>
      <c r="I1549" s="4" t="str" cm="1">
        <f t="array" ref="I1549">INDEX(Sheet1!E:E,$G1549)</f>
        <v>A.1.b.iii</v>
      </c>
      <c r="J1549" s="4" t="str" cm="1">
        <f t="array" ref="J1549">IF($C1549&gt;=25,INDEX(Sheet1!G:G,$G1549),INDEX(Sheet1!F:F,$G1549))</f>
        <v>AA8</v>
      </c>
      <c r="K1549" s="4" cm="1">
        <f t="array" ref="K1549">INDEX(Sheet1!H:H,$G1549)</f>
        <v>1E-3</v>
      </c>
      <c r="L1549" s="4">
        <f t="shared" si="96"/>
        <v>70</v>
      </c>
      <c r="M1549" s="4">
        <f t="shared" si="97"/>
        <v>0</v>
      </c>
    </row>
    <row r="1550" spans="1:13">
      <c r="A1550" s="4" t="str" cm="1">
        <f t="array" ref="A1550">INDEX(Sheet1!A:A,$F1550)</f>
        <v>F</v>
      </c>
      <c r="B1550" s="4" t="str" cm="1">
        <f t="array" ref="B1550">INDEX(Sheet1!B:B,$F1550)</f>
        <v>Non-Pref NS</v>
      </c>
      <c r="C1550" s="4">
        <f t="shared" si="98"/>
        <v>96</v>
      </c>
      <c r="D1550" s="5" cm="1">
        <f t="array" aca="1" ref="D1550" ca="1">OFFSET(INDIRECT("'["&amp;$H1550&amp;"]"&amp;$I1550&amp;"'!"&amp;$J1550),$L1550,$M1550)*$K1550</f>
        <v>0.21503</v>
      </c>
      <c r="F1550" s="4">
        <f t="shared" si="99"/>
        <v>14</v>
      </c>
      <c r="G1550" s="4" cm="1">
        <f t="array" ref="G1550">IF($C1550&gt;=25,F1550,IF($C1550&lt;16,INDEX(Sheet1!C:C,$F1550),$F1550))</f>
        <v>14</v>
      </c>
      <c r="H1550" s="4" t="str" cm="1">
        <f t="array" ref="H1550">INDEX(Sheet1!D:D,$G1550)</f>
        <v>2001-cso-preferred-class-structure-mortality-tables.xls</v>
      </c>
      <c r="I1550" s="4" t="str" cm="1">
        <f t="array" ref="I1550">INDEX(Sheet1!E:E,$G1550)</f>
        <v>A.1.b.iii</v>
      </c>
      <c r="J1550" s="4" t="str" cm="1">
        <f t="array" ref="J1550">IF($C1550&gt;=25,INDEX(Sheet1!G:G,$G1550),INDEX(Sheet1!F:F,$G1550))</f>
        <v>AA8</v>
      </c>
      <c r="K1550" s="4" cm="1">
        <f t="array" ref="K1550">INDEX(Sheet1!H:H,$G1550)</f>
        <v>1E-3</v>
      </c>
      <c r="L1550" s="4">
        <f t="shared" si="96"/>
        <v>71</v>
      </c>
      <c r="M1550" s="4">
        <f t="shared" si="97"/>
        <v>0</v>
      </c>
    </row>
    <row r="1551" spans="1:13">
      <c r="A1551" s="4" t="str" cm="1">
        <f t="array" ref="A1551">INDEX(Sheet1!A:A,$F1551)</f>
        <v>F</v>
      </c>
      <c r="B1551" s="4" t="str" cm="1">
        <f t="array" ref="B1551">INDEX(Sheet1!B:B,$F1551)</f>
        <v>Non-Pref NS</v>
      </c>
      <c r="C1551" s="4">
        <f t="shared" si="98"/>
        <v>97</v>
      </c>
      <c r="D1551" s="5" cm="1">
        <f t="array" aca="1" ref="D1551" ca="1">OFFSET(INDIRECT("'["&amp;$H1551&amp;"]"&amp;$I1551&amp;"'!"&amp;$J1551),$L1551,$M1551)*$K1551</f>
        <v>0.23779</v>
      </c>
      <c r="F1551" s="4">
        <f t="shared" si="99"/>
        <v>14</v>
      </c>
      <c r="G1551" s="4" cm="1">
        <f t="array" ref="G1551">IF($C1551&gt;=25,F1551,IF($C1551&lt;16,INDEX(Sheet1!C:C,$F1551),$F1551))</f>
        <v>14</v>
      </c>
      <c r="H1551" s="4" t="str" cm="1">
        <f t="array" ref="H1551">INDEX(Sheet1!D:D,$G1551)</f>
        <v>2001-cso-preferred-class-structure-mortality-tables.xls</v>
      </c>
      <c r="I1551" s="4" t="str" cm="1">
        <f t="array" ref="I1551">INDEX(Sheet1!E:E,$G1551)</f>
        <v>A.1.b.iii</v>
      </c>
      <c r="J1551" s="4" t="str" cm="1">
        <f t="array" ref="J1551">IF($C1551&gt;=25,INDEX(Sheet1!G:G,$G1551),INDEX(Sheet1!F:F,$G1551))</f>
        <v>AA8</v>
      </c>
      <c r="K1551" s="4" cm="1">
        <f t="array" ref="K1551">INDEX(Sheet1!H:H,$G1551)</f>
        <v>1E-3</v>
      </c>
      <c r="L1551" s="4">
        <f t="shared" si="96"/>
        <v>72</v>
      </c>
      <c r="M1551" s="4">
        <f t="shared" si="97"/>
        <v>0</v>
      </c>
    </row>
    <row r="1552" spans="1:13">
      <c r="A1552" s="4" t="str" cm="1">
        <f t="array" ref="A1552">INDEX(Sheet1!A:A,$F1552)</f>
        <v>F</v>
      </c>
      <c r="B1552" s="4" t="str" cm="1">
        <f t="array" ref="B1552">INDEX(Sheet1!B:B,$F1552)</f>
        <v>Non-Pref NS</v>
      </c>
      <c r="C1552" s="4">
        <f t="shared" si="98"/>
        <v>98</v>
      </c>
      <c r="D1552" s="5" cm="1">
        <f t="array" aca="1" ref="D1552" ca="1">OFFSET(INDIRECT("'["&amp;$H1552&amp;"]"&amp;$I1552&amp;"'!"&amp;$J1552),$L1552,$M1552)*$K1552</f>
        <v>0.24169000000000002</v>
      </c>
      <c r="F1552" s="4">
        <f t="shared" si="99"/>
        <v>14</v>
      </c>
      <c r="G1552" s="4" cm="1">
        <f t="array" ref="G1552">IF($C1552&gt;=25,F1552,IF($C1552&lt;16,INDEX(Sheet1!C:C,$F1552),$F1552))</f>
        <v>14</v>
      </c>
      <c r="H1552" s="4" t="str" cm="1">
        <f t="array" ref="H1552">INDEX(Sheet1!D:D,$G1552)</f>
        <v>2001-cso-preferred-class-structure-mortality-tables.xls</v>
      </c>
      <c r="I1552" s="4" t="str" cm="1">
        <f t="array" ref="I1552">INDEX(Sheet1!E:E,$G1552)</f>
        <v>A.1.b.iii</v>
      </c>
      <c r="J1552" s="4" t="str" cm="1">
        <f t="array" ref="J1552">IF($C1552&gt;=25,INDEX(Sheet1!G:G,$G1552),INDEX(Sheet1!F:F,$G1552))</f>
        <v>AA8</v>
      </c>
      <c r="K1552" s="4" cm="1">
        <f t="array" ref="K1552">INDEX(Sheet1!H:H,$G1552)</f>
        <v>1E-3</v>
      </c>
      <c r="L1552" s="4">
        <f t="shared" si="96"/>
        <v>73</v>
      </c>
      <c r="M1552" s="4">
        <f t="shared" si="97"/>
        <v>0</v>
      </c>
    </row>
    <row r="1553" spans="1:13">
      <c r="A1553" s="4" t="str" cm="1">
        <f t="array" ref="A1553">INDEX(Sheet1!A:A,$F1553)</f>
        <v>F</v>
      </c>
      <c r="B1553" s="4" t="str" cm="1">
        <f t="array" ref="B1553">INDEX(Sheet1!B:B,$F1553)</f>
        <v>Non-Pref NS</v>
      </c>
      <c r="C1553" s="4">
        <f t="shared" si="98"/>
        <v>99</v>
      </c>
      <c r="D1553" s="5" cm="1">
        <f t="array" aca="1" ref="D1553" ca="1">OFFSET(INDIRECT("'["&amp;$H1553&amp;"]"&amp;$I1553&amp;"'!"&amp;$J1553),$L1553,$M1553)*$K1553</f>
        <v>0.25474000000000002</v>
      </c>
      <c r="F1553" s="4">
        <f t="shared" si="99"/>
        <v>14</v>
      </c>
      <c r="G1553" s="4" cm="1">
        <f t="array" ref="G1553">IF($C1553&gt;=25,F1553,IF($C1553&lt;16,INDEX(Sheet1!C:C,$F1553),$F1553))</f>
        <v>14</v>
      </c>
      <c r="H1553" s="4" t="str" cm="1">
        <f t="array" ref="H1553">INDEX(Sheet1!D:D,$G1553)</f>
        <v>2001-cso-preferred-class-structure-mortality-tables.xls</v>
      </c>
      <c r="I1553" s="4" t="str" cm="1">
        <f t="array" ref="I1553">INDEX(Sheet1!E:E,$G1553)</f>
        <v>A.1.b.iii</v>
      </c>
      <c r="J1553" s="4" t="str" cm="1">
        <f t="array" ref="J1553">IF($C1553&gt;=25,INDEX(Sheet1!G:G,$G1553),INDEX(Sheet1!F:F,$G1553))</f>
        <v>AA8</v>
      </c>
      <c r="K1553" s="4" cm="1">
        <f t="array" ref="K1553">INDEX(Sheet1!H:H,$G1553)</f>
        <v>1E-3</v>
      </c>
      <c r="L1553" s="4">
        <f t="shared" si="96"/>
        <v>74</v>
      </c>
      <c r="M1553" s="4">
        <f t="shared" si="97"/>
        <v>0</v>
      </c>
    </row>
    <row r="1554" spans="1:13">
      <c r="A1554" s="4" t="str" cm="1">
        <f t="array" ref="A1554">INDEX(Sheet1!A:A,$F1554)</f>
        <v>F</v>
      </c>
      <c r="B1554" s="4" t="str" cm="1">
        <f t="array" ref="B1554">INDEX(Sheet1!B:B,$F1554)</f>
        <v>Non-Pref NS</v>
      </c>
      <c r="C1554" s="4">
        <f t="shared" si="98"/>
        <v>100</v>
      </c>
      <c r="D1554" s="5" cm="1">
        <f t="array" aca="1" ref="D1554" ca="1">OFFSET(INDIRECT("'["&amp;$H1554&amp;"]"&amp;$I1554&amp;"'!"&amp;$J1554),$L1554,$M1554)*$K1554</f>
        <v>0.27545999999999998</v>
      </c>
      <c r="F1554" s="4">
        <f t="shared" si="99"/>
        <v>14</v>
      </c>
      <c r="G1554" s="4" cm="1">
        <f t="array" ref="G1554">IF($C1554&gt;=25,F1554,IF($C1554&lt;16,INDEX(Sheet1!C:C,$F1554),$F1554))</f>
        <v>14</v>
      </c>
      <c r="H1554" s="4" t="str" cm="1">
        <f t="array" ref="H1554">INDEX(Sheet1!D:D,$G1554)</f>
        <v>2001-cso-preferred-class-structure-mortality-tables.xls</v>
      </c>
      <c r="I1554" s="4" t="str" cm="1">
        <f t="array" ref="I1554">INDEX(Sheet1!E:E,$G1554)</f>
        <v>A.1.b.iii</v>
      </c>
      <c r="J1554" s="4" t="str" cm="1">
        <f t="array" ref="J1554">IF($C1554&gt;=25,INDEX(Sheet1!G:G,$G1554),INDEX(Sheet1!F:F,$G1554))</f>
        <v>AA8</v>
      </c>
      <c r="K1554" s="4" cm="1">
        <f t="array" ref="K1554">INDEX(Sheet1!H:H,$G1554)</f>
        <v>1E-3</v>
      </c>
      <c r="L1554" s="4">
        <f t="shared" si="96"/>
        <v>75</v>
      </c>
      <c r="M1554" s="4">
        <f t="shared" si="97"/>
        <v>0</v>
      </c>
    </row>
    <row r="1555" spans="1:13">
      <c r="A1555" s="4" t="str" cm="1">
        <f t="array" ref="A1555">INDEX(Sheet1!A:A,$F1555)</f>
        <v>F</v>
      </c>
      <c r="B1555" s="4" t="str" cm="1">
        <f t="array" ref="B1555">INDEX(Sheet1!B:B,$F1555)</f>
        <v>Non-Pref NS</v>
      </c>
      <c r="C1555" s="4">
        <f t="shared" si="98"/>
        <v>101</v>
      </c>
      <c r="D1555" s="5" cm="1">
        <f t="array" aca="1" ref="D1555" ca="1">OFFSET(INDIRECT("'["&amp;$H1555&amp;"]"&amp;$I1555&amp;"'!"&amp;$J1555),$L1555,$M1555)*$K1555</f>
        <v>0.29755000000000004</v>
      </c>
      <c r="F1555" s="4">
        <f t="shared" si="99"/>
        <v>14</v>
      </c>
      <c r="G1555" s="4" cm="1">
        <f t="array" ref="G1555">IF($C1555&gt;=25,F1555,IF($C1555&lt;16,INDEX(Sheet1!C:C,$F1555),$F1555))</f>
        <v>14</v>
      </c>
      <c r="H1555" s="4" t="str" cm="1">
        <f t="array" ref="H1555">INDEX(Sheet1!D:D,$G1555)</f>
        <v>2001-cso-preferred-class-structure-mortality-tables.xls</v>
      </c>
      <c r="I1555" s="4" t="str" cm="1">
        <f t="array" ref="I1555">INDEX(Sheet1!E:E,$G1555)</f>
        <v>A.1.b.iii</v>
      </c>
      <c r="J1555" s="4" t="str" cm="1">
        <f t="array" ref="J1555">IF($C1555&gt;=25,INDEX(Sheet1!G:G,$G1555),INDEX(Sheet1!F:F,$G1555))</f>
        <v>AA8</v>
      </c>
      <c r="K1555" s="4" cm="1">
        <f t="array" ref="K1555">INDEX(Sheet1!H:H,$G1555)</f>
        <v>1E-3</v>
      </c>
      <c r="L1555" s="4">
        <f t="shared" si="96"/>
        <v>76</v>
      </c>
      <c r="M1555" s="4">
        <f t="shared" si="97"/>
        <v>0</v>
      </c>
    </row>
    <row r="1556" spans="1:13">
      <c r="A1556" s="4" t="str" cm="1">
        <f t="array" ref="A1556">INDEX(Sheet1!A:A,$F1556)</f>
        <v>F</v>
      </c>
      <c r="B1556" s="4" t="str" cm="1">
        <f t="array" ref="B1556">INDEX(Sheet1!B:B,$F1556)</f>
        <v>Non-Pref NS</v>
      </c>
      <c r="C1556" s="4">
        <f t="shared" si="98"/>
        <v>102</v>
      </c>
      <c r="D1556" s="5" cm="1">
        <f t="array" aca="1" ref="D1556" ca="1">OFFSET(INDIRECT("'["&amp;$H1556&amp;"]"&amp;$I1556&amp;"'!"&amp;$J1556),$L1556,$M1556)*$K1556</f>
        <v>0.32219000000000003</v>
      </c>
      <c r="F1556" s="4">
        <f t="shared" si="99"/>
        <v>14</v>
      </c>
      <c r="G1556" s="4" cm="1">
        <f t="array" ref="G1556">IF($C1556&gt;=25,F1556,IF($C1556&lt;16,INDEX(Sheet1!C:C,$F1556),$F1556))</f>
        <v>14</v>
      </c>
      <c r="H1556" s="4" t="str" cm="1">
        <f t="array" ref="H1556">INDEX(Sheet1!D:D,$G1556)</f>
        <v>2001-cso-preferred-class-structure-mortality-tables.xls</v>
      </c>
      <c r="I1556" s="4" t="str" cm="1">
        <f t="array" ref="I1556">INDEX(Sheet1!E:E,$G1556)</f>
        <v>A.1.b.iii</v>
      </c>
      <c r="J1556" s="4" t="str" cm="1">
        <f t="array" ref="J1556">IF($C1556&gt;=25,INDEX(Sheet1!G:G,$G1556),INDEX(Sheet1!F:F,$G1556))</f>
        <v>AA8</v>
      </c>
      <c r="K1556" s="4" cm="1">
        <f t="array" ref="K1556">INDEX(Sheet1!H:H,$G1556)</f>
        <v>1E-3</v>
      </c>
      <c r="L1556" s="4">
        <f t="shared" si="96"/>
        <v>77</v>
      </c>
      <c r="M1556" s="4">
        <f t="shared" si="97"/>
        <v>0</v>
      </c>
    </row>
    <row r="1557" spans="1:13">
      <c r="A1557" s="4" t="str" cm="1">
        <f t="array" ref="A1557">INDEX(Sheet1!A:A,$F1557)</f>
        <v>F</v>
      </c>
      <c r="B1557" s="4" t="str" cm="1">
        <f t="array" ref="B1557">INDEX(Sheet1!B:B,$F1557)</f>
        <v>Non-Pref NS</v>
      </c>
      <c r="C1557" s="4">
        <f t="shared" si="98"/>
        <v>103</v>
      </c>
      <c r="D1557" s="5" cm="1">
        <f t="array" aca="1" ref="D1557" ca="1">OFFSET(INDIRECT("'["&amp;$H1557&amp;"]"&amp;$I1557&amp;"'!"&amp;$J1557),$L1557,$M1557)*$K1557</f>
        <v>0.34904000000000002</v>
      </c>
      <c r="F1557" s="4">
        <f t="shared" si="99"/>
        <v>14</v>
      </c>
      <c r="G1557" s="4" cm="1">
        <f t="array" ref="G1557">IF($C1557&gt;=25,F1557,IF($C1557&lt;16,INDEX(Sheet1!C:C,$F1557),$F1557))</f>
        <v>14</v>
      </c>
      <c r="H1557" s="4" t="str" cm="1">
        <f t="array" ref="H1557">INDEX(Sheet1!D:D,$G1557)</f>
        <v>2001-cso-preferred-class-structure-mortality-tables.xls</v>
      </c>
      <c r="I1557" s="4" t="str" cm="1">
        <f t="array" ref="I1557">INDEX(Sheet1!E:E,$G1557)</f>
        <v>A.1.b.iii</v>
      </c>
      <c r="J1557" s="4" t="str" cm="1">
        <f t="array" ref="J1557">IF($C1557&gt;=25,INDEX(Sheet1!G:G,$G1557),INDEX(Sheet1!F:F,$G1557))</f>
        <v>AA8</v>
      </c>
      <c r="K1557" s="4" cm="1">
        <f t="array" ref="K1557">INDEX(Sheet1!H:H,$G1557)</f>
        <v>1E-3</v>
      </c>
      <c r="L1557" s="4">
        <f t="shared" si="96"/>
        <v>78</v>
      </c>
      <c r="M1557" s="4">
        <f t="shared" si="97"/>
        <v>0</v>
      </c>
    </row>
    <row r="1558" spans="1:13">
      <c r="A1558" s="4" t="str" cm="1">
        <f t="array" ref="A1558">INDEX(Sheet1!A:A,$F1558)</f>
        <v>F</v>
      </c>
      <c r="B1558" s="4" t="str" cm="1">
        <f t="array" ref="B1558">INDEX(Sheet1!B:B,$F1558)</f>
        <v>Non-Pref NS</v>
      </c>
      <c r="C1558" s="4">
        <f t="shared" si="98"/>
        <v>104</v>
      </c>
      <c r="D1558" s="5" cm="1">
        <f t="array" aca="1" ref="D1558" ca="1">OFFSET(INDIRECT("'["&amp;$H1558&amp;"]"&amp;$I1558&amp;"'!"&amp;$J1558),$L1558,$M1558)*$K1558</f>
        <v>0.37860000000000005</v>
      </c>
      <c r="F1558" s="4">
        <f t="shared" si="99"/>
        <v>14</v>
      </c>
      <c r="G1558" s="4" cm="1">
        <f t="array" ref="G1558">IF($C1558&gt;=25,F1558,IF($C1558&lt;16,INDEX(Sheet1!C:C,$F1558),$F1558))</f>
        <v>14</v>
      </c>
      <c r="H1558" s="4" t="str" cm="1">
        <f t="array" ref="H1558">INDEX(Sheet1!D:D,$G1558)</f>
        <v>2001-cso-preferred-class-structure-mortality-tables.xls</v>
      </c>
      <c r="I1558" s="4" t="str" cm="1">
        <f t="array" ref="I1558">INDEX(Sheet1!E:E,$G1558)</f>
        <v>A.1.b.iii</v>
      </c>
      <c r="J1558" s="4" t="str" cm="1">
        <f t="array" ref="J1558">IF($C1558&gt;=25,INDEX(Sheet1!G:G,$G1558),INDEX(Sheet1!F:F,$G1558))</f>
        <v>AA8</v>
      </c>
      <c r="K1558" s="4" cm="1">
        <f t="array" ref="K1558">INDEX(Sheet1!H:H,$G1558)</f>
        <v>1E-3</v>
      </c>
      <c r="L1558" s="4">
        <f t="shared" si="96"/>
        <v>79</v>
      </c>
      <c r="M1558" s="4">
        <f t="shared" si="97"/>
        <v>0</v>
      </c>
    </row>
    <row r="1559" spans="1:13">
      <c r="A1559" s="4" t="str" cm="1">
        <f t="array" ref="A1559">INDEX(Sheet1!A:A,$F1559)</f>
        <v>F</v>
      </c>
      <c r="B1559" s="4" t="str" cm="1">
        <f t="array" ref="B1559">INDEX(Sheet1!B:B,$F1559)</f>
        <v>Non-Pref NS</v>
      </c>
      <c r="C1559" s="4">
        <f t="shared" si="98"/>
        <v>105</v>
      </c>
      <c r="D1559" s="5" cm="1">
        <f t="array" aca="1" ref="D1559" ca="1">OFFSET(INDIRECT("'["&amp;$H1559&amp;"]"&amp;$I1559&amp;"'!"&amp;$J1559),$L1559,$M1559)*$K1559</f>
        <v>0.41056000000000004</v>
      </c>
      <c r="F1559" s="4">
        <f t="shared" si="99"/>
        <v>14</v>
      </c>
      <c r="G1559" s="4" cm="1">
        <f t="array" ref="G1559">IF($C1559&gt;=25,F1559,IF($C1559&lt;16,INDEX(Sheet1!C:C,$F1559),$F1559))</f>
        <v>14</v>
      </c>
      <c r="H1559" s="4" t="str" cm="1">
        <f t="array" ref="H1559">INDEX(Sheet1!D:D,$G1559)</f>
        <v>2001-cso-preferred-class-structure-mortality-tables.xls</v>
      </c>
      <c r="I1559" s="4" t="str" cm="1">
        <f t="array" ref="I1559">INDEX(Sheet1!E:E,$G1559)</f>
        <v>A.1.b.iii</v>
      </c>
      <c r="J1559" s="4" t="str" cm="1">
        <f t="array" ref="J1559">IF($C1559&gt;=25,INDEX(Sheet1!G:G,$G1559),INDEX(Sheet1!F:F,$G1559))</f>
        <v>AA8</v>
      </c>
      <c r="K1559" s="4" cm="1">
        <f t="array" ref="K1559">INDEX(Sheet1!H:H,$G1559)</f>
        <v>1E-3</v>
      </c>
      <c r="L1559" s="4">
        <f t="shared" si="96"/>
        <v>80</v>
      </c>
      <c r="M1559" s="4">
        <f t="shared" si="97"/>
        <v>0</v>
      </c>
    </row>
    <row r="1560" spans="1:13">
      <c r="A1560" s="4" t="str" cm="1">
        <f t="array" ref="A1560">INDEX(Sheet1!A:A,$F1560)</f>
        <v>F</v>
      </c>
      <c r="B1560" s="4" t="str" cm="1">
        <f t="array" ref="B1560">INDEX(Sheet1!B:B,$F1560)</f>
        <v>Non-Pref NS</v>
      </c>
      <c r="C1560" s="4">
        <f t="shared" si="98"/>
        <v>106</v>
      </c>
      <c r="D1560" s="5" cm="1">
        <f t="array" aca="1" ref="D1560" ca="1">OFFSET(INDIRECT("'["&amp;$H1560&amp;"]"&amp;$I1560&amp;"'!"&amp;$J1560),$L1560,$M1560)*$K1560</f>
        <v>0.44331999999999999</v>
      </c>
      <c r="F1560" s="4">
        <f t="shared" si="99"/>
        <v>14</v>
      </c>
      <c r="G1560" s="4" cm="1">
        <f t="array" ref="G1560">IF($C1560&gt;=25,F1560,IF($C1560&lt;16,INDEX(Sheet1!C:C,$F1560),$F1560))</f>
        <v>14</v>
      </c>
      <c r="H1560" s="4" t="str" cm="1">
        <f t="array" ref="H1560">INDEX(Sheet1!D:D,$G1560)</f>
        <v>2001-cso-preferred-class-structure-mortality-tables.xls</v>
      </c>
      <c r="I1560" s="4" t="str" cm="1">
        <f t="array" ref="I1560">INDEX(Sheet1!E:E,$G1560)</f>
        <v>A.1.b.iii</v>
      </c>
      <c r="J1560" s="4" t="str" cm="1">
        <f t="array" ref="J1560">IF($C1560&gt;=25,INDEX(Sheet1!G:G,$G1560),INDEX(Sheet1!F:F,$G1560))</f>
        <v>AA8</v>
      </c>
      <c r="K1560" s="4" cm="1">
        <f t="array" ref="K1560">INDEX(Sheet1!H:H,$G1560)</f>
        <v>1E-3</v>
      </c>
      <c r="L1560" s="4">
        <f t="shared" si="96"/>
        <v>81</v>
      </c>
      <c r="M1560" s="4">
        <f t="shared" si="97"/>
        <v>0</v>
      </c>
    </row>
    <row r="1561" spans="1:13">
      <c r="A1561" s="4" t="str" cm="1">
        <f t="array" ref="A1561">INDEX(Sheet1!A:A,$F1561)</f>
        <v>F</v>
      </c>
      <c r="B1561" s="4" t="str" cm="1">
        <f t="array" ref="B1561">INDEX(Sheet1!B:B,$F1561)</f>
        <v>Non-Pref NS</v>
      </c>
      <c r="C1561" s="4">
        <f t="shared" si="98"/>
        <v>107</v>
      </c>
      <c r="D1561" s="5" cm="1">
        <f t="array" aca="1" ref="D1561" ca="1">OFFSET(INDIRECT("'["&amp;$H1561&amp;"]"&amp;$I1561&amp;"'!"&amp;$J1561),$L1561,$M1561)*$K1561</f>
        <v>0.47688000000000003</v>
      </c>
      <c r="F1561" s="4">
        <f t="shared" si="99"/>
        <v>14</v>
      </c>
      <c r="G1561" s="4" cm="1">
        <f t="array" ref="G1561">IF($C1561&gt;=25,F1561,IF($C1561&lt;16,INDEX(Sheet1!C:C,$F1561),$F1561))</f>
        <v>14</v>
      </c>
      <c r="H1561" s="4" t="str" cm="1">
        <f t="array" ref="H1561">INDEX(Sheet1!D:D,$G1561)</f>
        <v>2001-cso-preferred-class-structure-mortality-tables.xls</v>
      </c>
      <c r="I1561" s="4" t="str" cm="1">
        <f t="array" ref="I1561">INDEX(Sheet1!E:E,$G1561)</f>
        <v>A.1.b.iii</v>
      </c>
      <c r="J1561" s="4" t="str" cm="1">
        <f t="array" ref="J1561">IF($C1561&gt;=25,INDEX(Sheet1!G:G,$G1561),INDEX(Sheet1!F:F,$G1561))</f>
        <v>AA8</v>
      </c>
      <c r="K1561" s="4" cm="1">
        <f t="array" ref="K1561">INDEX(Sheet1!H:H,$G1561)</f>
        <v>1E-3</v>
      </c>
      <c r="L1561" s="4">
        <f t="shared" si="96"/>
        <v>82</v>
      </c>
      <c r="M1561" s="4">
        <f t="shared" si="97"/>
        <v>0</v>
      </c>
    </row>
    <row r="1562" spans="1:13">
      <c r="A1562" s="4" t="str" cm="1">
        <f t="array" ref="A1562">INDEX(Sheet1!A:A,$F1562)</f>
        <v>F</v>
      </c>
      <c r="B1562" s="4" t="str" cm="1">
        <f t="array" ref="B1562">INDEX(Sheet1!B:B,$F1562)</f>
        <v>Non-Pref NS</v>
      </c>
      <c r="C1562" s="4">
        <f t="shared" si="98"/>
        <v>108</v>
      </c>
      <c r="D1562" s="5" cm="1">
        <f t="array" aca="1" ref="D1562" ca="1">OFFSET(INDIRECT("'["&amp;$H1562&amp;"]"&amp;$I1562&amp;"'!"&amp;$J1562),$L1562,$M1562)*$K1562</f>
        <v>0.51063999999999998</v>
      </c>
      <c r="F1562" s="4">
        <f t="shared" si="99"/>
        <v>14</v>
      </c>
      <c r="G1562" s="4" cm="1">
        <f t="array" ref="G1562">IF($C1562&gt;=25,F1562,IF($C1562&lt;16,INDEX(Sheet1!C:C,$F1562),$F1562))</f>
        <v>14</v>
      </c>
      <c r="H1562" s="4" t="str" cm="1">
        <f t="array" ref="H1562">INDEX(Sheet1!D:D,$G1562)</f>
        <v>2001-cso-preferred-class-structure-mortality-tables.xls</v>
      </c>
      <c r="I1562" s="4" t="str" cm="1">
        <f t="array" ref="I1562">INDEX(Sheet1!E:E,$G1562)</f>
        <v>A.1.b.iii</v>
      </c>
      <c r="J1562" s="4" t="str" cm="1">
        <f t="array" ref="J1562">IF($C1562&gt;=25,INDEX(Sheet1!G:G,$G1562),INDEX(Sheet1!F:F,$G1562))</f>
        <v>AA8</v>
      </c>
      <c r="K1562" s="4" cm="1">
        <f t="array" ref="K1562">INDEX(Sheet1!H:H,$G1562)</f>
        <v>1E-3</v>
      </c>
      <c r="L1562" s="4">
        <f t="shared" si="96"/>
        <v>83</v>
      </c>
      <c r="M1562" s="4">
        <f t="shared" si="97"/>
        <v>0</v>
      </c>
    </row>
    <row r="1563" spans="1:13">
      <c r="A1563" s="4" t="str" cm="1">
        <f t="array" ref="A1563">INDEX(Sheet1!A:A,$F1563)</f>
        <v>F</v>
      </c>
      <c r="B1563" s="4" t="str" cm="1">
        <f t="array" ref="B1563">INDEX(Sheet1!B:B,$F1563)</f>
        <v>Non-Pref NS</v>
      </c>
      <c r="C1563" s="4">
        <f t="shared" si="98"/>
        <v>109</v>
      </c>
      <c r="D1563" s="5" cm="1">
        <f t="array" aca="1" ref="D1563" ca="1">OFFSET(INDIRECT("'["&amp;$H1563&amp;"]"&amp;$I1563&amp;"'!"&amp;$J1563),$L1563,$M1563)*$K1563</f>
        <v>0.54579999999999995</v>
      </c>
      <c r="F1563" s="4">
        <f t="shared" si="99"/>
        <v>14</v>
      </c>
      <c r="G1563" s="4" cm="1">
        <f t="array" ref="G1563">IF($C1563&gt;=25,F1563,IF($C1563&lt;16,INDEX(Sheet1!C:C,$F1563),$F1563))</f>
        <v>14</v>
      </c>
      <c r="H1563" s="4" t="str" cm="1">
        <f t="array" ref="H1563">INDEX(Sheet1!D:D,$G1563)</f>
        <v>2001-cso-preferred-class-structure-mortality-tables.xls</v>
      </c>
      <c r="I1563" s="4" t="str" cm="1">
        <f t="array" ref="I1563">INDEX(Sheet1!E:E,$G1563)</f>
        <v>A.1.b.iii</v>
      </c>
      <c r="J1563" s="4" t="str" cm="1">
        <f t="array" ref="J1563">IF($C1563&gt;=25,INDEX(Sheet1!G:G,$G1563),INDEX(Sheet1!F:F,$G1563))</f>
        <v>AA8</v>
      </c>
      <c r="K1563" s="4" cm="1">
        <f t="array" ref="K1563">INDEX(Sheet1!H:H,$G1563)</f>
        <v>1E-3</v>
      </c>
      <c r="L1563" s="4">
        <f t="shared" si="96"/>
        <v>84</v>
      </c>
      <c r="M1563" s="4">
        <f t="shared" si="97"/>
        <v>0</v>
      </c>
    </row>
    <row r="1564" spans="1:13">
      <c r="A1564" s="4" t="str" cm="1">
        <f t="array" ref="A1564">INDEX(Sheet1!A:A,$F1564)</f>
        <v>F</v>
      </c>
      <c r="B1564" s="4" t="str" cm="1">
        <f t="array" ref="B1564">INDEX(Sheet1!B:B,$F1564)</f>
        <v>Non-Pref NS</v>
      </c>
      <c r="C1564" s="4">
        <f t="shared" si="98"/>
        <v>110</v>
      </c>
      <c r="D1564" s="5" cm="1">
        <f t="array" aca="1" ref="D1564" ca="1">OFFSET(INDIRECT("'["&amp;$H1564&amp;"]"&amp;$I1564&amp;"'!"&amp;$J1564),$L1564,$M1564)*$K1564</f>
        <v>0.58176000000000005</v>
      </c>
      <c r="F1564" s="4">
        <f t="shared" si="99"/>
        <v>14</v>
      </c>
      <c r="G1564" s="4" cm="1">
        <f t="array" ref="G1564">IF($C1564&gt;=25,F1564,IF($C1564&lt;16,INDEX(Sheet1!C:C,$F1564),$F1564))</f>
        <v>14</v>
      </c>
      <c r="H1564" s="4" t="str" cm="1">
        <f t="array" ref="H1564">INDEX(Sheet1!D:D,$G1564)</f>
        <v>2001-cso-preferred-class-structure-mortality-tables.xls</v>
      </c>
      <c r="I1564" s="4" t="str" cm="1">
        <f t="array" ref="I1564">INDEX(Sheet1!E:E,$G1564)</f>
        <v>A.1.b.iii</v>
      </c>
      <c r="J1564" s="4" t="str" cm="1">
        <f t="array" ref="J1564">IF($C1564&gt;=25,INDEX(Sheet1!G:G,$G1564),INDEX(Sheet1!F:F,$G1564))</f>
        <v>AA8</v>
      </c>
      <c r="K1564" s="4" cm="1">
        <f t="array" ref="K1564">INDEX(Sheet1!H:H,$G1564)</f>
        <v>1E-3</v>
      </c>
      <c r="L1564" s="4">
        <f t="shared" si="96"/>
        <v>85</v>
      </c>
      <c r="M1564" s="4">
        <f t="shared" si="97"/>
        <v>0</v>
      </c>
    </row>
    <row r="1565" spans="1:13">
      <c r="A1565" s="4" t="str" cm="1">
        <f t="array" ref="A1565">INDEX(Sheet1!A:A,$F1565)</f>
        <v>F</v>
      </c>
      <c r="B1565" s="4" t="str" cm="1">
        <f t="array" ref="B1565">INDEX(Sheet1!B:B,$F1565)</f>
        <v>Non-Pref NS</v>
      </c>
      <c r="C1565" s="4">
        <f t="shared" si="98"/>
        <v>111</v>
      </c>
      <c r="D1565" s="5" cm="1">
        <f t="array" aca="1" ref="D1565" ca="1">OFFSET(INDIRECT("'["&amp;$H1565&amp;"]"&amp;$I1565&amp;"'!"&amp;$J1565),$L1565,$M1565)*$K1565</f>
        <v>0.61633000000000004</v>
      </c>
      <c r="F1565" s="4">
        <f t="shared" si="99"/>
        <v>14</v>
      </c>
      <c r="G1565" s="4" cm="1">
        <f t="array" ref="G1565">IF($C1565&gt;=25,F1565,IF($C1565&lt;16,INDEX(Sheet1!C:C,$F1565),$F1565))</f>
        <v>14</v>
      </c>
      <c r="H1565" s="4" t="str" cm="1">
        <f t="array" ref="H1565">INDEX(Sheet1!D:D,$G1565)</f>
        <v>2001-cso-preferred-class-structure-mortality-tables.xls</v>
      </c>
      <c r="I1565" s="4" t="str" cm="1">
        <f t="array" ref="I1565">INDEX(Sheet1!E:E,$G1565)</f>
        <v>A.1.b.iii</v>
      </c>
      <c r="J1565" s="4" t="str" cm="1">
        <f t="array" ref="J1565">IF($C1565&gt;=25,INDEX(Sheet1!G:G,$G1565),INDEX(Sheet1!F:F,$G1565))</f>
        <v>AA8</v>
      </c>
      <c r="K1565" s="4" cm="1">
        <f t="array" ref="K1565">INDEX(Sheet1!H:H,$G1565)</f>
        <v>1E-3</v>
      </c>
      <c r="L1565" s="4">
        <f t="shared" si="96"/>
        <v>86</v>
      </c>
      <c r="M1565" s="4">
        <f t="shared" si="97"/>
        <v>0</v>
      </c>
    </row>
    <row r="1566" spans="1:13">
      <c r="A1566" s="4" t="str" cm="1">
        <f t="array" ref="A1566">INDEX(Sheet1!A:A,$F1566)</f>
        <v>F</v>
      </c>
      <c r="B1566" s="4" t="str" cm="1">
        <f t="array" ref="B1566">INDEX(Sheet1!B:B,$F1566)</f>
        <v>Non-Pref NS</v>
      </c>
      <c r="C1566" s="4">
        <f t="shared" si="98"/>
        <v>112</v>
      </c>
      <c r="D1566" s="5" cm="1">
        <f t="array" aca="1" ref="D1566" ca="1">OFFSET(INDIRECT("'["&amp;$H1566&amp;"]"&amp;$I1566&amp;"'!"&amp;$J1566),$L1566,$M1566)*$K1566</f>
        <v>0.64985000000000004</v>
      </c>
      <c r="F1566" s="4">
        <f t="shared" si="99"/>
        <v>14</v>
      </c>
      <c r="G1566" s="4" cm="1">
        <f t="array" ref="G1566">IF($C1566&gt;=25,F1566,IF($C1566&lt;16,INDEX(Sheet1!C:C,$F1566),$F1566))</f>
        <v>14</v>
      </c>
      <c r="H1566" s="4" t="str" cm="1">
        <f t="array" ref="H1566">INDEX(Sheet1!D:D,$G1566)</f>
        <v>2001-cso-preferred-class-structure-mortality-tables.xls</v>
      </c>
      <c r="I1566" s="4" t="str" cm="1">
        <f t="array" ref="I1566">INDEX(Sheet1!E:E,$G1566)</f>
        <v>A.1.b.iii</v>
      </c>
      <c r="J1566" s="4" t="str" cm="1">
        <f t="array" ref="J1566">IF($C1566&gt;=25,INDEX(Sheet1!G:G,$G1566),INDEX(Sheet1!F:F,$G1566))</f>
        <v>AA8</v>
      </c>
      <c r="K1566" s="4" cm="1">
        <f t="array" ref="K1566">INDEX(Sheet1!H:H,$G1566)</f>
        <v>1E-3</v>
      </c>
      <c r="L1566" s="4">
        <f t="shared" si="96"/>
        <v>87</v>
      </c>
      <c r="M1566" s="4">
        <f t="shared" si="97"/>
        <v>0</v>
      </c>
    </row>
    <row r="1567" spans="1:13">
      <c r="A1567" s="4" t="str" cm="1">
        <f t="array" ref="A1567">INDEX(Sheet1!A:A,$F1567)</f>
        <v>F</v>
      </c>
      <c r="B1567" s="4" t="str" cm="1">
        <f t="array" ref="B1567">INDEX(Sheet1!B:B,$F1567)</f>
        <v>Non-Pref NS</v>
      </c>
      <c r="C1567" s="4">
        <f t="shared" si="98"/>
        <v>113</v>
      </c>
      <c r="D1567" s="5" cm="1">
        <f t="array" aca="1" ref="D1567" ca="1">OFFSET(INDIRECT("'["&amp;$H1567&amp;"]"&amp;$I1567&amp;"'!"&amp;$J1567),$L1567,$M1567)*$K1567</f>
        <v>0.68036000000000008</v>
      </c>
      <c r="F1567" s="4">
        <f t="shared" si="99"/>
        <v>14</v>
      </c>
      <c r="G1567" s="4" cm="1">
        <f t="array" ref="G1567">IF($C1567&gt;=25,F1567,IF($C1567&lt;16,INDEX(Sheet1!C:C,$F1567),$F1567))</f>
        <v>14</v>
      </c>
      <c r="H1567" s="4" t="str" cm="1">
        <f t="array" ref="H1567">INDEX(Sheet1!D:D,$G1567)</f>
        <v>2001-cso-preferred-class-structure-mortality-tables.xls</v>
      </c>
      <c r="I1567" s="4" t="str" cm="1">
        <f t="array" ref="I1567">INDEX(Sheet1!E:E,$G1567)</f>
        <v>A.1.b.iii</v>
      </c>
      <c r="J1567" s="4" t="str" cm="1">
        <f t="array" ref="J1567">IF($C1567&gt;=25,INDEX(Sheet1!G:G,$G1567),INDEX(Sheet1!F:F,$G1567))</f>
        <v>AA8</v>
      </c>
      <c r="K1567" s="4" cm="1">
        <f t="array" ref="K1567">INDEX(Sheet1!H:H,$G1567)</f>
        <v>1E-3</v>
      </c>
      <c r="L1567" s="4">
        <f t="shared" si="96"/>
        <v>88</v>
      </c>
      <c r="M1567" s="4">
        <f t="shared" si="97"/>
        <v>0</v>
      </c>
    </row>
    <row r="1568" spans="1:13">
      <c r="A1568" s="4" t="str" cm="1">
        <f t="array" ref="A1568">INDEX(Sheet1!A:A,$F1568)</f>
        <v>F</v>
      </c>
      <c r="B1568" s="4" t="str" cm="1">
        <f t="array" ref="B1568">INDEX(Sheet1!B:B,$F1568)</f>
        <v>Non-Pref NS</v>
      </c>
      <c r="C1568" s="4">
        <f t="shared" si="98"/>
        <v>114</v>
      </c>
      <c r="D1568" s="5" cm="1">
        <f t="array" aca="1" ref="D1568" ca="1">OFFSET(INDIRECT("'["&amp;$H1568&amp;"]"&amp;$I1568&amp;"'!"&amp;$J1568),$L1568,$M1568)*$K1568</f>
        <v>0.72338000000000002</v>
      </c>
      <c r="F1568" s="4">
        <f t="shared" si="99"/>
        <v>14</v>
      </c>
      <c r="G1568" s="4" cm="1">
        <f t="array" ref="G1568">IF($C1568&gt;=25,F1568,IF($C1568&lt;16,INDEX(Sheet1!C:C,$F1568),$F1568))</f>
        <v>14</v>
      </c>
      <c r="H1568" s="4" t="str" cm="1">
        <f t="array" ref="H1568">INDEX(Sheet1!D:D,$G1568)</f>
        <v>2001-cso-preferred-class-structure-mortality-tables.xls</v>
      </c>
      <c r="I1568" s="4" t="str" cm="1">
        <f t="array" ref="I1568">INDEX(Sheet1!E:E,$G1568)</f>
        <v>A.1.b.iii</v>
      </c>
      <c r="J1568" s="4" t="str" cm="1">
        <f t="array" ref="J1568">IF($C1568&gt;=25,INDEX(Sheet1!G:G,$G1568),INDEX(Sheet1!F:F,$G1568))</f>
        <v>AA8</v>
      </c>
      <c r="K1568" s="4" cm="1">
        <f t="array" ref="K1568">INDEX(Sheet1!H:H,$G1568)</f>
        <v>1E-3</v>
      </c>
      <c r="L1568" s="4">
        <f t="shared" si="96"/>
        <v>89</v>
      </c>
      <c r="M1568" s="4">
        <f t="shared" si="97"/>
        <v>0</v>
      </c>
    </row>
    <row r="1569" spans="1:13">
      <c r="A1569" s="4" t="str" cm="1">
        <f t="array" ref="A1569">INDEX(Sheet1!A:A,$F1569)</f>
        <v>F</v>
      </c>
      <c r="B1569" s="4" t="str" cm="1">
        <f t="array" ref="B1569">INDEX(Sheet1!B:B,$F1569)</f>
        <v>Non-Pref NS</v>
      </c>
      <c r="C1569" s="4">
        <f t="shared" si="98"/>
        <v>115</v>
      </c>
      <c r="D1569" s="5" cm="1">
        <f t="array" aca="1" ref="D1569" ca="1">OFFSET(INDIRECT("'["&amp;$H1569&amp;"]"&amp;$I1569&amp;"'!"&amp;$J1569),$L1569,$M1569)*$K1569</f>
        <v>0.76339999999999997</v>
      </c>
      <c r="F1569" s="4">
        <f t="shared" si="99"/>
        <v>14</v>
      </c>
      <c r="G1569" s="4" cm="1">
        <f t="array" ref="G1569">IF($C1569&gt;=25,F1569,IF($C1569&lt;16,INDEX(Sheet1!C:C,$F1569),$F1569))</f>
        <v>14</v>
      </c>
      <c r="H1569" s="4" t="str" cm="1">
        <f t="array" ref="H1569">INDEX(Sheet1!D:D,$G1569)</f>
        <v>2001-cso-preferred-class-structure-mortality-tables.xls</v>
      </c>
      <c r="I1569" s="4" t="str" cm="1">
        <f t="array" ref="I1569">INDEX(Sheet1!E:E,$G1569)</f>
        <v>A.1.b.iii</v>
      </c>
      <c r="J1569" s="4" t="str" cm="1">
        <f t="array" ref="J1569">IF($C1569&gt;=25,INDEX(Sheet1!G:G,$G1569),INDEX(Sheet1!F:F,$G1569))</f>
        <v>AA8</v>
      </c>
      <c r="K1569" s="4" cm="1">
        <f t="array" ref="K1569">INDEX(Sheet1!H:H,$G1569)</f>
        <v>1E-3</v>
      </c>
      <c r="L1569" s="4">
        <f t="shared" si="96"/>
        <v>90</v>
      </c>
      <c r="M1569" s="4">
        <f t="shared" si="97"/>
        <v>0</v>
      </c>
    </row>
    <row r="1570" spans="1:13">
      <c r="A1570" s="4" t="str" cm="1">
        <f t="array" ref="A1570">INDEX(Sheet1!A:A,$F1570)</f>
        <v>F</v>
      </c>
      <c r="B1570" s="4" t="str" cm="1">
        <f t="array" ref="B1570">INDEX(Sheet1!B:B,$F1570)</f>
        <v>Non-Pref NS</v>
      </c>
      <c r="C1570" s="4">
        <f t="shared" si="98"/>
        <v>116</v>
      </c>
      <c r="D1570" s="5" cm="1">
        <f t="array" aca="1" ref="D1570" ca="1">OFFSET(INDIRECT("'["&amp;$H1570&amp;"]"&amp;$I1570&amp;"'!"&amp;$J1570),$L1570,$M1570)*$K1570</f>
        <v>0.80491999999999997</v>
      </c>
      <c r="F1570" s="4">
        <f t="shared" si="99"/>
        <v>14</v>
      </c>
      <c r="G1570" s="4" cm="1">
        <f t="array" ref="G1570">IF($C1570&gt;=25,F1570,IF($C1570&lt;16,INDEX(Sheet1!C:C,$F1570),$F1570))</f>
        <v>14</v>
      </c>
      <c r="H1570" s="4" t="str" cm="1">
        <f t="array" ref="H1570">INDEX(Sheet1!D:D,$G1570)</f>
        <v>2001-cso-preferred-class-structure-mortality-tables.xls</v>
      </c>
      <c r="I1570" s="4" t="str" cm="1">
        <f t="array" ref="I1570">INDEX(Sheet1!E:E,$G1570)</f>
        <v>A.1.b.iii</v>
      </c>
      <c r="J1570" s="4" t="str" cm="1">
        <f t="array" ref="J1570">IF($C1570&gt;=25,INDEX(Sheet1!G:G,$G1570),INDEX(Sheet1!F:F,$G1570))</f>
        <v>AA8</v>
      </c>
      <c r="K1570" s="4" cm="1">
        <f t="array" ref="K1570">INDEX(Sheet1!H:H,$G1570)</f>
        <v>1E-3</v>
      </c>
      <c r="L1570" s="4">
        <f t="shared" si="96"/>
        <v>91</v>
      </c>
      <c r="M1570" s="4">
        <f t="shared" si="97"/>
        <v>0</v>
      </c>
    </row>
    <row r="1571" spans="1:13">
      <c r="A1571" s="4" t="str" cm="1">
        <f t="array" ref="A1571">INDEX(Sheet1!A:A,$F1571)</f>
        <v>F</v>
      </c>
      <c r="B1571" s="4" t="str" cm="1">
        <f t="array" ref="B1571">INDEX(Sheet1!B:B,$F1571)</f>
        <v>Non-Pref NS</v>
      </c>
      <c r="C1571" s="4">
        <f t="shared" si="98"/>
        <v>117</v>
      </c>
      <c r="D1571" s="5" cm="1">
        <f t="array" aca="1" ref="D1571" ca="1">OFFSET(INDIRECT("'["&amp;$H1571&amp;"]"&amp;$I1571&amp;"'!"&amp;$J1571),$L1571,$M1571)*$K1571</f>
        <v>0.85044000000000008</v>
      </c>
      <c r="F1571" s="4">
        <f t="shared" si="99"/>
        <v>14</v>
      </c>
      <c r="G1571" s="4" cm="1">
        <f t="array" ref="G1571">IF($C1571&gt;=25,F1571,IF($C1571&lt;16,INDEX(Sheet1!C:C,$F1571),$F1571))</f>
        <v>14</v>
      </c>
      <c r="H1571" s="4" t="str" cm="1">
        <f t="array" ref="H1571">INDEX(Sheet1!D:D,$G1571)</f>
        <v>2001-cso-preferred-class-structure-mortality-tables.xls</v>
      </c>
      <c r="I1571" s="4" t="str" cm="1">
        <f t="array" ref="I1571">INDEX(Sheet1!E:E,$G1571)</f>
        <v>A.1.b.iii</v>
      </c>
      <c r="J1571" s="4" t="str" cm="1">
        <f t="array" ref="J1571">IF($C1571&gt;=25,INDEX(Sheet1!G:G,$G1571),INDEX(Sheet1!F:F,$G1571))</f>
        <v>AA8</v>
      </c>
      <c r="K1571" s="4" cm="1">
        <f t="array" ref="K1571">INDEX(Sheet1!H:H,$G1571)</f>
        <v>1E-3</v>
      </c>
      <c r="L1571" s="4">
        <f t="shared" si="96"/>
        <v>92</v>
      </c>
      <c r="M1571" s="4">
        <f t="shared" si="97"/>
        <v>0</v>
      </c>
    </row>
    <row r="1572" spans="1:13">
      <c r="A1572" s="4" t="str" cm="1">
        <f t="array" ref="A1572">INDEX(Sheet1!A:A,$F1572)</f>
        <v>F</v>
      </c>
      <c r="B1572" s="4" t="str" cm="1">
        <f t="array" ref="B1572">INDEX(Sheet1!B:B,$F1572)</f>
        <v>Non-Pref NS</v>
      </c>
      <c r="C1572" s="4">
        <f t="shared" si="98"/>
        <v>118</v>
      </c>
      <c r="D1572" s="5" cm="1">
        <f t="array" aca="1" ref="D1572" ca="1">OFFSET(INDIRECT("'["&amp;$H1572&amp;"]"&amp;$I1572&amp;"'!"&amp;$J1572),$L1572,$M1572)*$K1572</f>
        <v>0.89244000000000012</v>
      </c>
      <c r="F1572" s="4">
        <f t="shared" si="99"/>
        <v>14</v>
      </c>
      <c r="G1572" s="4" cm="1">
        <f t="array" ref="G1572">IF($C1572&gt;=25,F1572,IF($C1572&lt;16,INDEX(Sheet1!C:C,$F1572),$F1572))</f>
        <v>14</v>
      </c>
      <c r="H1572" s="4" t="str" cm="1">
        <f t="array" ref="H1572">INDEX(Sheet1!D:D,$G1572)</f>
        <v>2001-cso-preferred-class-structure-mortality-tables.xls</v>
      </c>
      <c r="I1572" s="4" t="str" cm="1">
        <f t="array" ref="I1572">INDEX(Sheet1!E:E,$G1572)</f>
        <v>A.1.b.iii</v>
      </c>
      <c r="J1572" s="4" t="str" cm="1">
        <f t="array" ref="J1572">IF($C1572&gt;=25,INDEX(Sheet1!G:G,$G1572),INDEX(Sheet1!F:F,$G1572))</f>
        <v>AA8</v>
      </c>
      <c r="K1572" s="4" cm="1">
        <f t="array" ref="K1572">INDEX(Sheet1!H:H,$G1572)</f>
        <v>1E-3</v>
      </c>
      <c r="L1572" s="4">
        <f t="shared" si="96"/>
        <v>93</v>
      </c>
      <c r="M1572" s="4">
        <f t="shared" si="97"/>
        <v>0</v>
      </c>
    </row>
    <row r="1573" spans="1:13">
      <c r="A1573" s="4" t="str" cm="1">
        <f t="array" ref="A1573">INDEX(Sheet1!A:A,$F1573)</f>
        <v>F</v>
      </c>
      <c r="B1573" s="4" t="str" cm="1">
        <f t="array" ref="B1573">INDEX(Sheet1!B:B,$F1573)</f>
        <v>Non-Pref NS</v>
      </c>
      <c r="C1573" s="4">
        <f t="shared" si="98"/>
        <v>119</v>
      </c>
      <c r="D1573" s="5" cm="1">
        <f t="array" aca="1" ref="D1573" ca="1">OFFSET(INDIRECT("'["&amp;$H1573&amp;"]"&amp;$I1573&amp;"'!"&amp;$J1573),$L1573,$M1573)*$K1573</f>
        <v>0.93511</v>
      </c>
      <c r="F1573" s="4">
        <f t="shared" si="99"/>
        <v>14</v>
      </c>
      <c r="G1573" s="4" cm="1">
        <f t="array" ref="G1573">IF($C1573&gt;=25,F1573,IF($C1573&lt;16,INDEX(Sheet1!C:C,$F1573),$F1573))</f>
        <v>14</v>
      </c>
      <c r="H1573" s="4" t="str" cm="1">
        <f t="array" ref="H1573">INDEX(Sheet1!D:D,$G1573)</f>
        <v>2001-cso-preferred-class-structure-mortality-tables.xls</v>
      </c>
      <c r="I1573" s="4" t="str" cm="1">
        <f t="array" ref="I1573">INDEX(Sheet1!E:E,$G1573)</f>
        <v>A.1.b.iii</v>
      </c>
      <c r="J1573" s="4" t="str" cm="1">
        <f t="array" ref="J1573">IF($C1573&gt;=25,INDEX(Sheet1!G:G,$G1573),INDEX(Sheet1!F:F,$G1573))</f>
        <v>AA8</v>
      </c>
      <c r="K1573" s="4" cm="1">
        <f t="array" ref="K1573">INDEX(Sheet1!H:H,$G1573)</f>
        <v>1E-3</v>
      </c>
      <c r="L1573" s="4">
        <f t="shared" si="96"/>
        <v>94</v>
      </c>
      <c r="M1573" s="4">
        <f t="shared" si="97"/>
        <v>0</v>
      </c>
    </row>
    <row r="1574" spans="1:13">
      <c r="A1574" s="4" t="str" cm="1">
        <f t="array" ref="A1574">INDEX(Sheet1!A:A,$F1574)</f>
        <v>F</v>
      </c>
      <c r="B1574" s="4" t="str" cm="1">
        <f t="array" ref="B1574">INDEX(Sheet1!B:B,$F1574)</f>
        <v>Non-Pref NS</v>
      </c>
      <c r="C1574" s="4">
        <f t="shared" si="98"/>
        <v>120</v>
      </c>
      <c r="D1574" s="5" cm="1">
        <f t="array" aca="1" ref="D1574" ca="1">OFFSET(INDIRECT("'["&amp;$H1574&amp;"]"&amp;$I1574&amp;"'!"&amp;$J1574),$L1574,$M1574)*$K1574</f>
        <v>1</v>
      </c>
      <c r="F1574" s="4">
        <f t="shared" si="99"/>
        <v>14</v>
      </c>
      <c r="G1574" s="4" cm="1">
        <f t="array" ref="G1574">IF($C1574&gt;=25,F1574,IF($C1574&lt;16,INDEX(Sheet1!C:C,$F1574),$F1574))</f>
        <v>14</v>
      </c>
      <c r="H1574" s="4" t="str" cm="1">
        <f t="array" ref="H1574">INDEX(Sheet1!D:D,$G1574)</f>
        <v>2001-cso-preferred-class-structure-mortality-tables.xls</v>
      </c>
      <c r="I1574" s="4" t="str" cm="1">
        <f t="array" ref="I1574">INDEX(Sheet1!E:E,$G1574)</f>
        <v>A.1.b.iii</v>
      </c>
      <c r="J1574" s="4" t="str" cm="1">
        <f t="array" ref="J1574">IF($C1574&gt;=25,INDEX(Sheet1!G:G,$G1574),INDEX(Sheet1!F:F,$G1574))</f>
        <v>AA8</v>
      </c>
      <c r="K1574" s="4" cm="1">
        <f t="array" ref="K1574">INDEX(Sheet1!H:H,$G1574)</f>
        <v>1E-3</v>
      </c>
      <c r="L1574" s="4">
        <f t="shared" si="96"/>
        <v>95</v>
      </c>
      <c r="M1574" s="4">
        <f t="shared" si="97"/>
        <v>0</v>
      </c>
    </row>
    <row r="1575" spans="1:13">
      <c r="A1575" s="4" t="str" cm="1">
        <f t="array" ref="A1575">INDEX(Sheet1!A:A,$F1575)</f>
        <v>F</v>
      </c>
      <c r="B1575" s="4" t="str" cm="1">
        <f t="array" ref="B1575">INDEX(Sheet1!B:B,$F1575)</f>
        <v>Undiff NS</v>
      </c>
      <c r="C1575" s="4">
        <f t="shared" si="98"/>
        <v>0</v>
      </c>
      <c r="D1575" s="5" cm="1">
        <f t="array" aca="1" ref="D1575" ca="1">OFFSET(INDIRECT("'["&amp;$H1575&amp;"]"&amp;$I1575&amp;"'!"&amp;$J1575),$L1575,$M1575)*$K1575</f>
        <v>4.8000000000000001E-4</v>
      </c>
      <c r="F1575" s="4">
        <f t="shared" si="99"/>
        <v>15</v>
      </c>
      <c r="G1575" s="4" cm="1">
        <f t="array" ref="G1575">IF($C1575&gt;=25,F1575,IF($C1575&lt;16,INDEX(Sheet1!C:C,$F1575),$F1575))</f>
        <v>19</v>
      </c>
      <c r="H1575" s="4" t="str" cm="1">
        <f t="array" ref="H1575">INDEX(Sheet1!D:D,$G1575)</f>
        <v>t1139.xlsx</v>
      </c>
      <c r="I1575" s="4" t="str" cm="1">
        <f t="array" ref="I1575">INDEX(Sheet1!E:E,$G1575)</f>
        <v>Sheet1</v>
      </c>
      <c r="J1575" s="4" t="str" cm="1">
        <f t="array" ref="J1575">IF($C1575&gt;=25,INDEX(Sheet1!G:G,$G1575),INDEX(Sheet1!F:F,$G1575))</f>
        <v>B25</v>
      </c>
      <c r="K1575" s="4" cm="1">
        <f t="array" ref="K1575">INDEX(Sheet1!H:H,$G1575)</f>
        <v>1</v>
      </c>
      <c r="L1575" s="4">
        <f t="shared" si="96"/>
        <v>0</v>
      </c>
      <c r="M1575" s="4">
        <f t="shared" si="97"/>
        <v>0</v>
      </c>
    </row>
    <row r="1576" spans="1:13">
      <c r="A1576" s="4" t="str" cm="1">
        <f t="array" ref="A1576">INDEX(Sheet1!A:A,$F1576)</f>
        <v>F</v>
      </c>
      <c r="B1576" s="4" t="str" cm="1">
        <f t="array" ref="B1576">INDEX(Sheet1!B:B,$F1576)</f>
        <v>Undiff NS</v>
      </c>
      <c r="C1576" s="4">
        <f t="shared" si="98"/>
        <v>1</v>
      </c>
      <c r="D1576" s="5" cm="1">
        <f t="array" aca="1" ref="D1576" ca="1">OFFSET(INDIRECT("'["&amp;$H1576&amp;"]"&amp;$I1576&amp;"'!"&amp;$J1576),$L1576,$M1576)*$K1576</f>
        <v>3.5E-4</v>
      </c>
      <c r="F1576" s="4">
        <f t="shared" si="99"/>
        <v>15</v>
      </c>
      <c r="G1576" s="4" cm="1">
        <f t="array" ref="G1576">IF($C1576&gt;=25,F1576,IF($C1576&lt;16,INDEX(Sheet1!C:C,$F1576),$F1576))</f>
        <v>19</v>
      </c>
      <c r="H1576" s="4" t="str" cm="1">
        <f t="array" ref="H1576">INDEX(Sheet1!D:D,$G1576)</f>
        <v>t1139.xlsx</v>
      </c>
      <c r="I1576" s="4" t="str" cm="1">
        <f t="array" ref="I1576">INDEX(Sheet1!E:E,$G1576)</f>
        <v>Sheet1</v>
      </c>
      <c r="J1576" s="4" t="str" cm="1">
        <f t="array" ref="J1576">IF($C1576&gt;=25,INDEX(Sheet1!G:G,$G1576),INDEX(Sheet1!F:F,$G1576))</f>
        <v>B25</v>
      </c>
      <c r="K1576" s="4" cm="1">
        <f t="array" ref="K1576">INDEX(Sheet1!H:H,$G1576)</f>
        <v>1</v>
      </c>
      <c r="L1576" s="4">
        <f t="shared" si="96"/>
        <v>0</v>
      </c>
      <c r="M1576" s="4">
        <f t="shared" si="97"/>
        <v>1</v>
      </c>
    </row>
    <row r="1577" spans="1:13">
      <c r="A1577" s="4" t="str" cm="1">
        <f t="array" ref="A1577">INDEX(Sheet1!A:A,$F1577)</f>
        <v>F</v>
      </c>
      <c r="B1577" s="4" t="str" cm="1">
        <f t="array" ref="B1577">INDEX(Sheet1!B:B,$F1577)</f>
        <v>Undiff NS</v>
      </c>
      <c r="C1577" s="4">
        <f t="shared" si="98"/>
        <v>2</v>
      </c>
      <c r="D1577" s="5" cm="1">
        <f t="array" aca="1" ref="D1577" ca="1">OFFSET(INDIRECT("'["&amp;$H1577&amp;"]"&amp;$I1577&amp;"'!"&amp;$J1577),$L1577,$M1577)*$K1577</f>
        <v>2.5999999999999998E-4</v>
      </c>
      <c r="F1577" s="4">
        <f t="shared" si="99"/>
        <v>15</v>
      </c>
      <c r="G1577" s="4" cm="1">
        <f t="array" ref="G1577">IF($C1577&gt;=25,F1577,IF($C1577&lt;16,INDEX(Sheet1!C:C,$F1577),$F1577))</f>
        <v>19</v>
      </c>
      <c r="H1577" s="4" t="str" cm="1">
        <f t="array" ref="H1577">INDEX(Sheet1!D:D,$G1577)</f>
        <v>t1139.xlsx</v>
      </c>
      <c r="I1577" s="4" t="str" cm="1">
        <f t="array" ref="I1577">INDEX(Sheet1!E:E,$G1577)</f>
        <v>Sheet1</v>
      </c>
      <c r="J1577" s="4" t="str" cm="1">
        <f t="array" ref="J1577">IF($C1577&gt;=25,INDEX(Sheet1!G:G,$G1577),INDEX(Sheet1!F:F,$G1577))</f>
        <v>B25</v>
      </c>
      <c r="K1577" s="4" cm="1">
        <f t="array" ref="K1577">INDEX(Sheet1!H:H,$G1577)</f>
        <v>1</v>
      </c>
      <c r="L1577" s="4">
        <f t="shared" si="96"/>
        <v>0</v>
      </c>
      <c r="M1577" s="4">
        <f t="shared" si="97"/>
        <v>2</v>
      </c>
    </row>
    <row r="1578" spans="1:13">
      <c r="A1578" s="4" t="str" cm="1">
        <f t="array" ref="A1578">INDEX(Sheet1!A:A,$F1578)</f>
        <v>F</v>
      </c>
      <c r="B1578" s="4" t="str" cm="1">
        <f t="array" ref="B1578">INDEX(Sheet1!B:B,$F1578)</f>
        <v>Undiff NS</v>
      </c>
      <c r="C1578" s="4">
        <f t="shared" si="98"/>
        <v>3</v>
      </c>
      <c r="D1578" s="5" cm="1">
        <f t="array" aca="1" ref="D1578" ca="1">OFFSET(INDIRECT("'["&amp;$H1578&amp;"]"&amp;$I1578&amp;"'!"&amp;$J1578),$L1578,$M1578)*$K1578</f>
        <v>2.0000000000000001E-4</v>
      </c>
      <c r="F1578" s="4">
        <f t="shared" si="99"/>
        <v>15</v>
      </c>
      <c r="G1578" s="4" cm="1">
        <f t="array" ref="G1578">IF($C1578&gt;=25,F1578,IF($C1578&lt;16,INDEX(Sheet1!C:C,$F1578),$F1578))</f>
        <v>19</v>
      </c>
      <c r="H1578" s="4" t="str" cm="1">
        <f t="array" ref="H1578">INDEX(Sheet1!D:D,$G1578)</f>
        <v>t1139.xlsx</v>
      </c>
      <c r="I1578" s="4" t="str" cm="1">
        <f t="array" ref="I1578">INDEX(Sheet1!E:E,$G1578)</f>
        <v>Sheet1</v>
      </c>
      <c r="J1578" s="4" t="str" cm="1">
        <f t="array" ref="J1578">IF($C1578&gt;=25,INDEX(Sheet1!G:G,$G1578),INDEX(Sheet1!F:F,$G1578))</f>
        <v>B25</v>
      </c>
      <c r="K1578" s="4" cm="1">
        <f t="array" ref="K1578">INDEX(Sheet1!H:H,$G1578)</f>
        <v>1</v>
      </c>
      <c r="L1578" s="4">
        <f t="shared" si="96"/>
        <v>0</v>
      </c>
      <c r="M1578" s="4">
        <f t="shared" si="97"/>
        <v>3</v>
      </c>
    </row>
    <row r="1579" spans="1:13">
      <c r="A1579" s="4" t="str" cm="1">
        <f t="array" ref="A1579">INDEX(Sheet1!A:A,$F1579)</f>
        <v>F</v>
      </c>
      <c r="B1579" s="4" t="str" cm="1">
        <f t="array" ref="B1579">INDEX(Sheet1!B:B,$F1579)</f>
        <v>Undiff NS</v>
      </c>
      <c r="C1579" s="4">
        <f t="shared" si="98"/>
        <v>4</v>
      </c>
      <c r="D1579" s="5" cm="1">
        <f t="array" aca="1" ref="D1579" ca="1">OFFSET(INDIRECT("'["&amp;$H1579&amp;"]"&amp;$I1579&amp;"'!"&amp;$J1579),$L1579,$M1579)*$K1579</f>
        <v>1.9000000000000001E-4</v>
      </c>
      <c r="F1579" s="4">
        <f t="shared" si="99"/>
        <v>15</v>
      </c>
      <c r="G1579" s="4" cm="1">
        <f t="array" ref="G1579">IF($C1579&gt;=25,F1579,IF($C1579&lt;16,INDEX(Sheet1!C:C,$F1579),$F1579))</f>
        <v>19</v>
      </c>
      <c r="H1579" s="4" t="str" cm="1">
        <f t="array" ref="H1579">INDEX(Sheet1!D:D,$G1579)</f>
        <v>t1139.xlsx</v>
      </c>
      <c r="I1579" s="4" t="str" cm="1">
        <f t="array" ref="I1579">INDEX(Sheet1!E:E,$G1579)</f>
        <v>Sheet1</v>
      </c>
      <c r="J1579" s="4" t="str" cm="1">
        <f t="array" ref="J1579">IF($C1579&gt;=25,INDEX(Sheet1!G:G,$G1579),INDEX(Sheet1!F:F,$G1579))</f>
        <v>B25</v>
      </c>
      <c r="K1579" s="4" cm="1">
        <f t="array" ref="K1579">INDEX(Sheet1!H:H,$G1579)</f>
        <v>1</v>
      </c>
      <c r="L1579" s="4">
        <f t="shared" si="96"/>
        <v>0</v>
      </c>
      <c r="M1579" s="4">
        <f t="shared" si="97"/>
        <v>4</v>
      </c>
    </row>
    <row r="1580" spans="1:13">
      <c r="A1580" s="4" t="str" cm="1">
        <f t="array" ref="A1580">INDEX(Sheet1!A:A,$F1580)</f>
        <v>F</v>
      </c>
      <c r="B1580" s="4" t="str" cm="1">
        <f t="array" ref="B1580">INDEX(Sheet1!B:B,$F1580)</f>
        <v>Undiff NS</v>
      </c>
      <c r="C1580" s="4">
        <f t="shared" si="98"/>
        <v>5</v>
      </c>
      <c r="D1580" s="5" cm="1">
        <f t="array" aca="1" ref="D1580" ca="1">OFFSET(INDIRECT("'["&amp;$H1580&amp;"]"&amp;$I1580&amp;"'!"&amp;$J1580),$L1580,$M1580)*$K1580</f>
        <v>1.8000000000000001E-4</v>
      </c>
      <c r="F1580" s="4">
        <f t="shared" si="99"/>
        <v>15</v>
      </c>
      <c r="G1580" s="4" cm="1">
        <f t="array" ref="G1580">IF($C1580&gt;=25,F1580,IF($C1580&lt;16,INDEX(Sheet1!C:C,$F1580),$F1580))</f>
        <v>19</v>
      </c>
      <c r="H1580" s="4" t="str" cm="1">
        <f t="array" ref="H1580">INDEX(Sheet1!D:D,$G1580)</f>
        <v>t1139.xlsx</v>
      </c>
      <c r="I1580" s="4" t="str" cm="1">
        <f t="array" ref="I1580">INDEX(Sheet1!E:E,$G1580)</f>
        <v>Sheet1</v>
      </c>
      <c r="J1580" s="4" t="str" cm="1">
        <f t="array" ref="J1580">IF($C1580&gt;=25,INDEX(Sheet1!G:G,$G1580),INDEX(Sheet1!F:F,$G1580))</f>
        <v>B25</v>
      </c>
      <c r="K1580" s="4" cm="1">
        <f t="array" ref="K1580">INDEX(Sheet1!H:H,$G1580)</f>
        <v>1</v>
      </c>
      <c r="L1580" s="4">
        <f t="shared" si="96"/>
        <v>0</v>
      </c>
      <c r="M1580" s="4">
        <f t="shared" si="97"/>
        <v>5</v>
      </c>
    </row>
    <row r="1581" spans="1:13">
      <c r="A1581" s="4" t="str" cm="1">
        <f t="array" ref="A1581">INDEX(Sheet1!A:A,$F1581)</f>
        <v>F</v>
      </c>
      <c r="B1581" s="4" t="str" cm="1">
        <f t="array" ref="B1581">INDEX(Sheet1!B:B,$F1581)</f>
        <v>Undiff NS</v>
      </c>
      <c r="C1581" s="4">
        <f t="shared" si="98"/>
        <v>6</v>
      </c>
      <c r="D1581" s="5" cm="1">
        <f t="array" aca="1" ref="D1581" ca="1">OFFSET(INDIRECT("'["&amp;$H1581&amp;"]"&amp;$I1581&amp;"'!"&amp;$J1581),$L1581,$M1581)*$K1581</f>
        <v>1.8000000000000001E-4</v>
      </c>
      <c r="F1581" s="4">
        <f t="shared" si="99"/>
        <v>15</v>
      </c>
      <c r="G1581" s="4" cm="1">
        <f t="array" ref="G1581">IF($C1581&gt;=25,F1581,IF($C1581&lt;16,INDEX(Sheet1!C:C,$F1581),$F1581))</f>
        <v>19</v>
      </c>
      <c r="H1581" s="4" t="str" cm="1">
        <f t="array" ref="H1581">INDEX(Sheet1!D:D,$G1581)</f>
        <v>t1139.xlsx</v>
      </c>
      <c r="I1581" s="4" t="str" cm="1">
        <f t="array" ref="I1581">INDEX(Sheet1!E:E,$G1581)</f>
        <v>Sheet1</v>
      </c>
      <c r="J1581" s="4" t="str" cm="1">
        <f t="array" ref="J1581">IF($C1581&gt;=25,INDEX(Sheet1!G:G,$G1581),INDEX(Sheet1!F:F,$G1581))</f>
        <v>B25</v>
      </c>
      <c r="K1581" s="4" cm="1">
        <f t="array" ref="K1581">INDEX(Sheet1!H:H,$G1581)</f>
        <v>1</v>
      </c>
      <c r="L1581" s="4">
        <f t="shared" si="96"/>
        <v>0</v>
      </c>
      <c r="M1581" s="4">
        <f t="shared" si="97"/>
        <v>6</v>
      </c>
    </row>
    <row r="1582" spans="1:13">
      <c r="A1582" s="4" t="str" cm="1">
        <f t="array" ref="A1582">INDEX(Sheet1!A:A,$F1582)</f>
        <v>F</v>
      </c>
      <c r="B1582" s="4" t="str" cm="1">
        <f t="array" ref="B1582">INDEX(Sheet1!B:B,$F1582)</f>
        <v>Undiff NS</v>
      </c>
      <c r="C1582" s="4">
        <f t="shared" si="98"/>
        <v>7</v>
      </c>
      <c r="D1582" s="5" cm="1">
        <f t="array" aca="1" ref="D1582" ca="1">OFFSET(INDIRECT("'["&amp;$H1582&amp;"]"&amp;$I1582&amp;"'!"&amp;$J1582),$L1582,$M1582)*$K1582</f>
        <v>2.1000000000000001E-4</v>
      </c>
      <c r="F1582" s="4">
        <f t="shared" si="99"/>
        <v>15</v>
      </c>
      <c r="G1582" s="4" cm="1">
        <f t="array" ref="G1582">IF($C1582&gt;=25,F1582,IF($C1582&lt;16,INDEX(Sheet1!C:C,$F1582),$F1582))</f>
        <v>19</v>
      </c>
      <c r="H1582" s="4" t="str" cm="1">
        <f t="array" ref="H1582">INDEX(Sheet1!D:D,$G1582)</f>
        <v>t1139.xlsx</v>
      </c>
      <c r="I1582" s="4" t="str" cm="1">
        <f t="array" ref="I1582">INDEX(Sheet1!E:E,$G1582)</f>
        <v>Sheet1</v>
      </c>
      <c r="J1582" s="4" t="str" cm="1">
        <f t="array" ref="J1582">IF($C1582&gt;=25,INDEX(Sheet1!G:G,$G1582),INDEX(Sheet1!F:F,$G1582))</f>
        <v>B25</v>
      </c>
      <c r="K1582" s="4" cm="1">
        <f t="array" ref="K1582">INDEX(Sheet1!H:H,$G1582)</f>
        <v>1</v>
      </c>
      <c r="L1582" s="4">
        <f t="shared" si="96"/>
        <v>0</v>
      </c>
      <c r="M1582" s="4">
        <f t="shared" si="97"/>
        <v>7</v>
      </c>
    </row>
    <row r="1583" spans="1:13">
      <c r="A1583" s="4" t="str" cm="1">
        <f t="array" ref="A1583">INDEX(Sheet1!A:A,$F1583)</f>
        <v>F</v>
      </c>
      <c r="B1583" s="4" t="str" cm="1">
        <f t="array" ref="B1583">INDEX(Sheet1!B:B,$F1583)</f>
        <v>Undiff NS</v>
      </c>
      <c r="C1583" s="4">
        <f t="shared" si="98"/>
        <v>8</v>
      </c>
      <c r="D1583" s="5" cm="1">
        <f t="array" aca="1" ref="D1583" ca="1">OFFSET(INDIRECT("'["&amp;$H1583&amp;"]"&amp;$I1583&amp;"'!"&amp;$J1583),$L1583,$M1583)*$K1583</f>
        <v>2.1000000000000001E-4</v>
      </c>
      <c r="F1583" s="4">
        <f t="shared" si="99"/>
        <v>15</v>
      </c>
      <c r="G1583" s="4" cm="1">
        <f t="array" ref="G1583">IF($C1583&gt;=25,F1583,IF($C1583&lt;16,INDEX(Sheet1!C:C,$F1583),$F1583))</f>
        <v>19</v>
      </c>
      <c r="H1583" s="4" t="str" cm="1">
        <f t="array" ref="H1583">INDEX(Sheet1!D:D,$G1583)</f>
        <v>t1139.xlsx</v>
      </c>
      <c r="I1583" s="4" t="str" cm="1">
        <f t="array" ref="I1583">INDEX(Sheet1!E:E,$G1583)</f>
        <v>Sheet1</v>
      </c>
      <c r="J1583" s="4" t="str" cm="1">
        <f t="array" ref="J1583">IF($C1583&gt;=25,INDEX(Sheet1!G:G,$G1583),INDEX(Sheet1!F:F,$G1583))</f>
        <v>B25</v>
      </c>
      <c r="K1583" s="4" cm="1">
        <f t="array" ref="K1583">INDEX(Sheet1!H:H,$G1583)</f>
        <v>1</v>
      </c>
      <c r="L1583" s="4">
        <f t="shared" si="96"/>
        <v>0</v>
      </c>
      <c r="M1583" s="4">
        <f t="shared" si="97"/>
        <v>8</v>
      </c>
    </row>
    <row r="1584" spans="1:13">
      <c r="A1584" s="4" t="str" cm="1">
        <f t="array" ref="A1584">INDEX(Sheet1!A:A,$F1584)</f>
        <v>F</v>
      </c>
      <c r="B1584" s="4" t="str" cm="1">
        <f t="array" ref="B1584">INDEX(Sheet1!B:B,$F1584)</f>
        <v>Undiff NS</v>
      </c>
      <c r="C1584" s="4">
        <f t="shared" si="98"/>
        <v>9</v>
      </c>
      <c r="D1584" s="5" cm="1">
        <f t="array" aca="1" ref="D1584" ca="1">OFFSET(INDIRECT("'["&amp;$H1584&amp;"]"&amp;$I1584&amp;"'!"&amp;$J1584),$L1584,$M1584)*$K1584</f>
        <v>2.1000000000000001E-4</v>
      </c>
      <c r="F1584" s="4">
        <f t="shared" si="99"/>
        <v>15</v>
      </c>
      <c r="G1584" s="4" cm="1">
        <f t="array" ref="G1584">IF($C1584&gt;=25,F1584,IF($C1584&lt;16,INDEX(Sheet1!C:C,$F1584),$F1584))</f>
        <v>19</v>
      </c>
      <c r="H1584" s="4" t="str" cm="1">
        <f t="array" ref="H1584">INDEX(Sheet1!D:D,$G1584)</f>
        <v>t1139.xlsx</v>
      </c>
      <c r="I1584" s="4" t="str" cm="1">
        <f t="array" ref="I1584">INDEX(Sheet1!E:E,$G1584)</f>
        <v>Sheet1</v>
      </c>
      <c r="J1584" s="4" t="str" cm="1">
        <f t="array" ref="J1584">IF($C1584&gt;=25,INDEX(Sheet1!G:G,$G1584),INDEX(Sheet1!F:F,$G1584))</f>
        <v>B25</v>
      </c>
      <c r="K1584" s="4" cm="1">
        <f t="array" ref="K1584">INDEX(Sheet1!H:H,$G1584)</f>
        <v>1</v>
      </c>
      <c r="L1584" s="4">
        <f t="shared" si="96"/>
        <v>0</v>
      </c>
      <c r="M1584" s="4">
        <f t="shared" si="97"/>
        <v>9</v>
      </c>
    </row>
    <row r="1585" spans="1:13">
      <c r="A1585" s="4" t="str" cm="1">
        <f t="array" ref="A1585">INDEX(Sheet1!A:A,$F1585)</f>
        <v>F</v>
      </c>
      <c r="B1585" s="4" t="str" cm="1">
        <f t="array" ref="B1585">INDEX(Sheet1!B:B,$F1585)</f>
        <v>Undiff NS</v>
      </c>
      <c r="C1585" s="4">
        <f t="shared" si="98"/>
        <v>10</v>
      </c>
      <c r="D1585" s="5" cm="1">
        <f t="array" aca="1" ref="D1585" ca="1">OFFSET(INDIRECT("'["&amp;$H1585&amp;"]"&amp;$I1585&amp;"'!"&amp;$J1585),$L1585,$M1585)*$K1585</f>
        <v>2.2000000000000001E-4</v>
      </c>
      <c r="F1585" s="4">
        <f t="shared" si="99"/>
        <v>15</v>
      </c>
      <c r="G1585" s="4" cm="1">
        <f t="array" ref="G1585">IF($C1585&gt;=25,F1585,IF($C1585&lt;16,INDEX(Sheet1!C:C,$F1585),$F1585))</f>
        <v>19</v>
      </c>
      <c r="H1585" s="4" t="str" cm="1">
        <f t="array" ref="H1585">INDEX(Sheet1!D:D,$G1585)</f>
        <v>t1139.xlsx</v>
      </c>
      <c r="I1585" s="4" t="str" cm="1">
        <f t="array" ref="I1585">INDEX(Sheet1!E:E,$G1585)</f>
        <v>Sheet1</v>
      </c>
      <c r="J1585" s="4" t="str" cm="1">
        <f t="array" ref="J1585">IF($C1585&gt;=25,INDEX(Sheet1!G:G,$G1585),INDEX(Sheet1!F:F,$G1585))</f>
        <v>B25</v>
      </c>
      <c r="K1585" s="4" cm="1">
        <f t="array" ref="K1585">INDEX(Sheet1!H:H,$G1585)</f>
        <v>1</v>
      </c>
      <c r="L1585" s="4">
        <f t="shared" si="96"/>
        <v>0</v>
      </c>
      <c r="M1585" s="4">
        <f t="shared" si="97"/>
        <v>10</v>
      </c>
    </row>
    <row r="1586" spans="1:13">
      <c r="A1586" s="4" t="str" cm="1">
        <f t="array" ref="A1586">INDEX(Sheet1!A:A,$F1586)</f>
        <v>F</v>
      </c>
      <c r="B1586" s="4" t="str" cm="1">
        <f t="array" ref="B1586">INDEX(Sheet1!B:B,$F1586)</f>
        <v>Undiff NS</v>
      </c>
      <c r="C1586" s="4">
        <f t="shared" si="98"/>
        <v>11</v>
      </c>
      <c r="D1586" s="5" cm="1">
        <f t="array" aca="1" ref="D1586" ca="1">OFFSET(INDIRECT("'["&amp;$H1586&amp;"]"&amp;$I1586&amp;"'!"&amp;$J1586),$L1586,$M1586)*$K1586</f>
        <v>2.3000000000000001E-4</v>
      </c>
      <c r="F1586" s="4">
        <f t="shared" si="99"/>
        <v>15</v>
      </c>
      <c r="G1586" s="4" cm="1">
        <f t="array" ref="G1586">IF($C1586&gt;=25,F1586,IF($C1586&lt;16,INDEX(Sheet1!C:C,$F1586),$F1586))</f>
        <v>19</v>
      </c>
      <c r="H1586" s="4" t="str" cm="1">
        <f t="array" ref="H1586">INDEX(Sheet1!D:D,$G1586)</f>
        <v>t1139.xlsx</v>
      </c>
      <c r="I1586" s="4" t="str" cm="1">
        <f t="array" ref="I1586">INDEX(Sheet1!E:E,$G1586)</f>
        <v>Sheet1</v>
      </c>
      <c r="J1586" s="4" t="str" cm="1">
        <f t="array" ref="J1586">IF($C1586&gt;=25,INDEX(Sheet1!G:G,$G1586),INDEX(Sheet1!F:F,$G1586))</f>
        <v>B25</v>
      </c>
      <c r="K1586" s="4" cm="1">
        <f t="array" ref="K1586">INDEX(Sheet1!H:H,$G1586)</f>
        <v>1</v>
      </c>
      <c r="L1586" s="4">
        <f t="shared" si="96"/>
        <v>0</v>
      </c>
      <c r="M1586" s="4">
        <f t="shared" si="97"/>
        <v>11</v>
      </c>
    </row>
    <row r="1587" spans="1:13">
      <c r="A1587" s="4" t="str" cm="1">
        <f t="array" ref="A1587">INDEX(Sheet1!A:A,$F1587)</f>
        <v>F</v>
      </c>
      <c r="B1587" s="4" t="str" cm="1">
        <f t="array" ref="B1587">INDEX(Sheet1!B:B,$F1587)</f>
        <v>Undiff NS</v>
      </c>
      <c r="C1587" s="4">
        <f t="shared" si="98"/>
        <v>12</v>
      </c>
      <c r="D1587" s="5" cm="1">
        <f t="array" aca="1" ref="D1587" ca="1">OFFSET(INDIRECT("'["&amp;$H1587&amp;"]"&amp;$I1587&amp;"'!"&amp;$J1587),$L1587,$M1587)*$K1587</f>
        <v>2.7E-4</v>
      </c>
      <c r="F1587" s="4">
        <f t="shared" si="99"/>
        <v>15</v>
      </c>
      <c r="G1587" s="4" cm="1">
        <f t="array" ref="G1587">IF($C1587&gt;=25,F1587,IF($C1587&lt;16,INDEX(Sheet1!C:C,$F1587),$F1587))</f>
        <v>19</v>
      </c>
      <c r="H1587" s="4" t="str" cm="1">
        <f t="array" ref="H1587">INDEX(Sheet1!D:D,$G1587)</f>
        <v>t1139.xlsx</v>
      </c>
      <c r="I1587" s="4" t="str" cm="1">
        <f t="array" ref="I1587">INDEX(Sheet1!E:E,$G1587)</f>
        <v>Sheet1</v>
      </c>
      <c r="J1587" s="4" t="str" cm="1">
        <f t="array" ref="J1587">IF($C1587&gt;=25,INDEX(Sheet1!G:G,$G1587),INDEX(Sheet1!F:F,$G1587))</f>
        <v>B25</v>
      </c>
      <c r="K1587" s="4" cm="1">
        <f t="array" ref="K1587">INDEX(Sheet1!H:H,$G1587)</f>
        <v>1</v>
      </c>
      <c r="L1587" s="4">
        <f t="shared" si="96"/>
        <v>0</v>
      </c>
      <c r="M1587" s="4">
        <f t="shared" si="97"/>
        <v>12</v>
      </c>
    </row>
    <row r="1588" spans="1:13">
      <c r="A1588" s="4" t="str" cm="1">
        <f t="array" ref="A1588">INDEX(Sheet1!A:A,$F1588)</f>
        <v>F</v>
      </c>
      <c r="B1588" s="4" t="str" cm="1">
        <f t="array" ref="B1588">INDEX(Sheet1!B:B,$F1588)</f>
        <v>Undiff NS</v>
      </c>
      <c r="C1588" s="4">
        <f t="shared" si="98"/>
        <v>13</v>
      </c>
      <c r="D1588" s="5" cm="1">
        <f t="array" aca="1" ref="D1588" ca="1">OFFSET(INDIRECT("'["&amp;$H1588&amp;"]"&amp;$I1588&amp;"'!"&amp;$J1588),$L1588,$M1588)*$K1588</f>
        <v>2.9999999999999997E-4</v>
      </c>
      <c r="F1588" s="4">
        <f t="shared" si="99"/>
        <v>15</v>
      </c>
      <c r="G1588" s="4" cm="1">
        <f t="array" ref="G1588">IF($C1588&gt;=25,F1588,IF($C1588&lt;16,INDEX(Sheet1!C:C,$F1588),$F1588))</f>
        <v>19</v>
      </c>
      <c r="H1588" s="4" t="str" cm="1">
        <f t="array" ref="H1588">INDEX(Sheet1!D:D,$G1588)</f>
        <v>t1139.xlsx</v>
      </c>
      <c r="I1588" s="4" t="str" cm="1">
        <f t="array" ref="I1588">INDEX(Sheet1!E:E,$G1588)</f>
        <v>Sheet1</v>
      </c>
      <c r="J1588" s="4" t="str" cm="1">
        <f t="array" ref="J1588">IF($C1588&gt;=25,INDEX(Sheet1!G:G,$G1588),INDEX(Sheet1!F:F,$G1588))</f>
        <v>B25</v>
      </c>
      <c r="K1588" s="4" cm="1">
        <f t="array" ref="K1588">INDEX(Sheet1!H:H,$G1588)</f>
        <v>1</v>
      </c>
      <c r="L1588" s="4">
        <f t="shared" si="96"/>
        <v>0</v>
      </c>
      <c r="M1588" s="4">
        <f t="shared" si="97"/>
        <v>13</v>
      </c>
    </row>
    <row r="1589" spans="1:13">
      <c r="A1589" s="4" t="str" cm="1">
        <f t="array" ref="A1589">INDEX(Sheet1!A:A,$F1589)</f>
        <v>F</v>
      </c>
      <c r="B1589" s="4" t="str" cm="1">
        <f t="array" ref="B1589">INDEX(Sheet1!B:B,$F1589)</f>
        <v>Undiff NS</v>
      </c>
      <c r="C1589" s="4">
        <f t="shared" si="98"/>
        <v>14</v>
      </c>
      <c r="D1589" s="5" cm="1">
        <f t="array" aca="1" ref="D1589" ca="1">OFFSET(INDIRECT("'["&amp;$H1589&amp;"]"&amp;$I1589&amp;"'!"&amp;$J1589),$L1589,$M1589)*$K1589</f>
        <v>3.3E-4</v>
      </c>
      <c r="F1589" s="4">
        <f t="shared" si="99"/>
        <v>15</v>
      </c>
      <c r="G1589" s="4" cm="1">
        <f t="array" ref="G1589">IF($C1589&gt;=25,F1589,IF($C1589&lt;16,INDEX(Sheet1!C:C,$F1589),$F1589))</f>
        <v>19</v>
      </c>
      <c r="H1589" s="4" t="str" cm="1">
        <f t="array" ref="H1589">INDEX(Sheet1!D:D,$G1589)</f>
        <v>t1139.xlsx</v>
      </c>
      <c r="I1589" s="4" t="str" cm="1">
        <f t="array" ref="I1589">INDEX(Sheet1!E:E,$G1589)</f>
        <v>Sheet1</v>
      </c>
      <c r="J1589" s="4" t="str" cm="1">
        <f t="array" ref="J1589">IF($C1589&gt;=25,INDEX(Sheet1!G:G,$G1589),INDEX(Sheet1!F:F,$G1589))</f>
        <v>B25</v>
      </c>
      <c r="K1589" s="4" cm="1">
        <f t="array" ref="K1589">INDEX(Sheet1!H:H,$G1589)</f>
        <v>1</v>
      </c>
      <c r="L1589" s="4">
        <f t="shared" si="96"/>
        <v>0</v>
      </c>
      <c r="M1589" s="4">
        <f t="shared" si="97"/>
        <v>14</v>
      </c>
    </row>
    <row r="1590" spans="1:13">
      <c r="A1590" s="4" t="str" cm="1">
        <f t="array" ref="A1590">INDEX(Sheet1!A:A,$F1590)</f>
        <v>F</v>
      </c>
      <c r="B1590" s="4" t="str" cm="1">
        <f t="array" ref="B1590">INDEX(Sheet1!B:B,$F1590)</f>
        <v>Undiff NS</v>
      </c>
      <c r="C1590" s="4">
        <f t="shared" si="98"/>
        <v>15</v>
      </c>
      <c r="D1590" s="5" cm="1">
        <f t="array" aca="1" ref="D1590" ca="1">OFFSET(INDIRECT("'["&amp;$H1590&amp;"]"&amp;$I1590&amp;"'!"&amp;$J1590),$L1590,$M1590)*$K1590</f>
        <v>3.5E-4</v>
      </c>
      <c r="F1590" s="4">
        <f t="shared" si="99"/>
        <v>15</v>
      </c>
      <c r="G1590" s="4" cm="1">
        <f t="array" ref="G1590">IF($C1590&gt;=25,F1590,IF($C1590&lt;16,INDEX(Sheet1!C:C,$F1590),$F1590))</f>
        <v>19</v>
      </c>
      <c r="H1590" s="4" t="str" cm="1">
        <f t="array" ref="H1590">INDEX(Sheet1!D:D,$G1590)</f>
        <v>t1139.xlsx</v>
      </c>
      <c r="I1590" s="4" t="str" cm="1">
        <f t="array" ref="I1590">INDEX(Sheet1!E:E,$G1590)</f>
        <v>Sheet1</v>
      </c>
      <c r="J1590" s="4" t="str" cm="1">
        <f t="array" ref="J1590">IF($C1590&gt;=25,INDEX(Sheet1!G:G,$G1590),INDEX(Sheet1!F:F,$G1590))</f>
        <v>B25</v>
      </c>
      <c r="K1590" s="4" cm="1">
        <f t="array" ref="K1590">INDEX(Sheet1!H:H,$G1590)</f>
        <v>1</v>
      </c>
      <c r="L1590" s="4">
        <f t="shared" si="96"/>
        <v>0</v>
      </c>
      <c r="M1590" s="4">
        <f t="shared" si="97"/>
        <v>15</v>
      </c>
    </row>
    <row r="1591" spans="1:13">
      <c r="A1591" s="4" t="str" cm="1">
        <f t="array" ref="A1591">INDEX(Sheet1!A:A,$F1591)</f>
        <v>F</v>
      </c>
      <c r="B1591" s="4" t="str" cm="1">
        <f t="array" ref="B1591">INDEX(Sheet1!B:B,$F1591)</f>
        <v>Undiff NS</v>
      </c>
      <c r="C1591" s="4">
        <f t="shared" si="98"/>
        <v>16</v>
      </c>
      <c r="D1591" s="5" cm="1">
        <f t="array" aca="1" ref="D1591" ca="1">OFFSET(INDIRECT("'["&amp;$H1591&amp;"]"&amp;$I1591&amp;"'!"&amp;$J1591),$L1591,$M1591)*$K1591</f>
        <v>3.8999999999999999E-4</v>
      </c>
      <c r="F1591" s="4">
        <f t="shared" si="99"/>
        <v>15</v>
      </c>
      <c r="G1591" s="4" cm="1">
        <f t="array" ref="G1591">IF($C1591&gt;=25,F1591,IF($C1591&lt;16,INDEX(Sheet1!C:C,$F1591),$F1591))</f>
        <v>15</v>
      </c>
      <c r="H1591" s="4" t="str" cm="1">
        <f t="array" ref="H1591">INDEX(Sheet1!D:D,$G1591)</f>
        <v>t1140.xlsx</v>
      </c>
      <c r="I1591" s="4" t="str" cm="1">
        <f t="array" ref="I1591">INDEX(Sheet1!E:E,$G1591)</f>
        <v>Sheet1</v>
      </c>
      <c r="J1591" s="4" t="str" cm="1">
        <f t="array" ref="J1591">IF($C1591&gt;=25,INDEX(Sheet1!G:G,$G1591),INDEX(Sheet1!F:F,$G1591))</f>
        <v>B25</v>
      </c>
      <c r="K1591" s="4" cm="1">
        <f t="array" ref="K1591">INDEX(Sheet1!H:H,$G1591)</f>
        <v>1</v>
      </c>
      <c r="L1591" s="4">
        <f t="shared" si="96"/>
        <v>0</v>
      </c>
      <c r="M1591" s="4">
        <f t="shared" si="97"/>
        <v>16</v>
      </c>
    </row>
    <row r="1592" spans="1:13">
      <c r="A1592" s="4" t="str" cm="1">
        <f t="array" ref="A1592">INDEX(Sheet1!A:A,$F1592)</f>
        <v>F</v>
      </c>
      <c r="B1592" s="4" t="str" cm="1">
        <f t="array" ref="B1592">INDEX(Sheet1!B:B,$F1592)</f>
        <v>Undiff NS</v>
      </c>
      <c r="C1592" s="4">
        <f t="shared" si="98"/>
        <v>17</v>
      </c>
      <c r="D1592" s="5" cm="1">
        <f t="array" aca="1" ref="D1592" ca="1">OFFSET(INDIRECT("'["&amp;$H1592&amp;"]"&amp;$I1592&amp;"'!"&amp;$J1592),$L1592,$M1592)*$K1592</f>
        <v>4.0999999999999999E-4</v>
      </c>
      <c r="F1592" s="4">
        <f t="shared" si="99"/>
        <v>15</v>
      </c>
      <c r="G1592" s="4" cm="1">
        <f t="array" ref="G1592">IF($C1592&gt;=25,F1592,IF($C1592&lt;16,INDEX(Sheet1!C:C,$F1592),$F1592))</f>
        <v>15</v>
      </c>
      <c r="H1592" s="4" t="str" cm="1">
        <f t="array" ref="H1592">INDEX(Sheet1!D:D,$G1592)</f>
        <v>t1140.xlsx</v>
      </c>
      <c r="I1592" s="4" t="str" cm="1">
        <f t="array" ref="I1592">INDEX(Sheet1!E:E,$G1592)</f>
        <v>Sheet1</v>
      </c>
      <c r="J1592" s="4" t="str" cm="1">
        <f t="array" ref="J1592">IF($C1592&gt;=25,INDEX(Sheet1!G:G,$G1592),INDEX(Sheet1!F:F,$G1592))</f>
        <v>B25</v>
      </c>
      <c r="K1592" s="4" cm="1">
        <f t="array" ref="K1592">INDEX(Sheet1!H:H,$G1592)</f>
        <v>1</v>
      </c>
      <c r="L1592" s="4">
        <f t="shared" si="96"/>
        <v>0</v>
      </c>
      <c r="M1592" s="4">
        <f t="shared" si="97"/>
        <v>17</v>
      </c>
    </row>
    <row r="1593" spans="1:13">
      <c r="A1593" s="4" t="str" cm="1">
        <f t="array" ref="A1593">INDEX(Sheet1!A:A,$F1593)</f>
        <v>F</v>
      </c>
      <c r="B1593" s="4" t="str" cm="1">
        <f t="array" ref="B1593">INDEX(Sheet1!B:B,$F1593)</f>
        <v>Undiff NS</v>
      </c>
      <c r="C1593" s="4">
        <f t="shared" si="98"/>
        <v>18</v>
      </c>
      <c r="D1593" s="5" cm="1">
        <f t="array" aca="1" ref="D1593" ca="1">OFFSET(INDIRECT("'["&amp;$H1593&amp;"]"&amp;$I1593&amp;"'!"&amp;$J1593),$L1593,$M1593)*$K1593</f>
        <v>4.2000000000000002E-4</v>
      </c>
      <c r="F1593" s="4">
        <f t="shared" si="99"/>
        <v>15</v>
      </c>
      <c r="G1593" s="4" cm="1">
        <f t="array" ref="G1593">IF($C1593&gt;=25,F1593,IF($C1593&lt;16,INDEX(Sheet1!C:C,$F1593),$F1593))</f>
        <v>15</v>
      </c>
      <c r="H1593" s="4" t="str" cm="1">
        <f t="array" ref="H1593">INDEX(Sheet1!D:D,$G1593)</f>
        <v>t1140.xlsx</v>
      </c>
      <c r="I1593" s="4" t="str" cm="1">
        <f t="array" ref="I1593">INDEX(Sheet1!E:E,$G1593)</f>
        <v>Sheet1</v>
      </c>
      <c r="J1593" s="4" t="str" cm="1">
        <f t="array" ref="J1593">IF($C1593&gt;=25,INDEX(Sheet1!G:G,$G1593),INDEX(Sheet1!F:F,$G1593))</f>
        <v>B25</v>
      </c>
      <c r="K1593" s="4" cm="1">
        <f t="array" ref="K1593">INDEX(Sheet1!H:H,$G1593)</f>
        <v>1</v>
      </c>
      <c r="L1593" s="4">
        <f t="shared" si="96"/>
        <v>0</v>
      </c>
      <c r="M1593" s="4">
        <f t="shared" si="97"/>
        <v>18</v>
      </c>
    </row>
    <row r="1594" spans="1:13">
      <c r="A1594" s="4" t="str" cm="1">
        <f t="array" ref="A1594">INDEX(Sheet1!A:A,$F1594)</f>
        <v>F</v>
      </c>
      <c r="B1594" s="4" t="str" cm="1">
        <f t="array" ref="B1594">INDEX(Sheet1!B:B,$F1594)</f>
        <v>Undiff NS</v>
      </c>
      <c r="C1594" s="4">
        <f t="shared" si="98"/>
        <v>19</v>
      </c>
      <c r="D1594" s="5" cm="1">
        <f t="array" aca="1" ref="D1594" ca="1">OFFSET(INDIRECT("'["&amp;$H1594&amp;"]"&amp;$I1594&amp;"'!"&amp;$J1594),$L1594,$M1594)*$K1594</f>
        <v>4.4999999999999999E-4</v>
      </c>
      <c r="F1594" s="4">
        <f t="shared" si="99"/>
        <v>15</v>
      </c>
      <c r="G1594" s="4" cm="1">
        <f t="array" ref="G1594">IF($C1594&gt;=25,F1594,IF($C1594&lt;16,INDEX(Sheet1!C:C,$F1594),$F1594))</f>
        <v>15</v>
      </c>
      <c r="H1594" s="4" t="str" cm="1">
        <f t="array" ref="H1594">INDEX(Sheet1!D:D,$G1594)</f>
        <v>t1140.xlsx</v>
      </c>
      <c r="I1594" s="4" t="str" cm="1">
        <f t="array" ref="I1594">INDEX(Sheet1!E:E,$G1594)</f>
        <v>Sheet1</v>
      </c>
      <c r="J1594" s="4" t="str" cm="1">
        <f t="array" ref="J1594">IF($C1594&gt;=25,INDEX(Sheet1!G:G,$G1594),INDEX(Sheet1!F:F,$G1594))</f>
        <v>B25</v>
      </c>
      <c r="K1594" s="4" cm="1">
        <f t="array" ref="K1594">INDEX(Sheet1!H:H,$G1594)</f>
        <v>1</v>
      </c>
      <c r="L1594" s="4">
        <f t="shared" si="96"/>
        <v>0</v>
      </c>
      <c r="M1594" s="4">
        <f t="shared" si="97"/>
        <v>19</v>
      </c>
    </row>
    <row r="1595" spans="1:13">
      <c r="A1595" s="4" t="str" cm="1">
        <f t="array" ref="A1595">INDEX(Sheet1!A:A,$F1595)</f>
        <v>F</v>
      </c>
      <c r="B1595" s="4" t="str" cm="1">
        <f t="array" ref="B1595">INDEX(Sheet1!B:B,$F1595)</f>
        <v>Undiff NS</v>
      </c>
      <c r="C1595" s="4">
        <f t="shared" si="98"/>
        <v>20</v>
      </c>
      <c r="D1595" s="5" cm="1">
        <f t="array" aca="1" ref="D1595" ca="1">OFFSET(INDIRECT("'["&amp;$H1595&amp;"]"&amp;$I1595&amp;"'!"&amp;$J1595),$L1595,$M1595)*$K1595</f>
        <v>4.4999999999999999E-4</v>
      </c>
      <c r="F1595" s="4">
        <f t="shared" si="99"/>
        <v>15</v>
      </c>
      <c r="G1595" s="4" cm="1">
        <f t="array" ref="G1595">IF($C1595&gt;=25,F1595,IF($C1595&lt;16,INDEX(Sheet1!C:C,$F1595),$F1595))</f>
        <v>15</v>
      </c>
      <c r="H1595" s="4" t="str" cm="1">
        <f t="array" ref="H1595">INDEX(Sheet1!D:D,$G1595)</f>
        <v>t1140.xlsx</v>
      </c>
      <c r="I1595" s="4" t="str" cm="1">
        <f t="array" ref="I1595">INDEX(Sheet1!E:E,$G1595)</f>
        <v>Sheet1</v>
      </c>
      <c r="J1595" s="4" t="str" cm="1">
        <f t="array" ref="J1595">IF($C1595&gt;=25,INDEX(Sheet1!G:G,$G1595),INDEX(Sheet1!F:F,$G1595))</f>
        <v>B25</v>
      </c>
      <c r="K1595" s="4" cm="1">
        <f t="array" ref="K1595">INDEX(Sheet1!H:H,$G1595)</f>
        <v>1</v>
      </c>
      <c r="L1595" s="4">
        <f t="shared" si="96"/>
        <v>0</v>
      </c>
      <c r="M1595" s="4">
        <f t="shared" si="97"/>
        <v>20</v>
      </c>
    </row>
    <row r="1596" spans="1:13">
      <c r="A1596" s="4" t="str" cm="1">
        <f t="array" ref="A1596">INDEX(Sheet1!A:A,$F1596)</f>
        <v>F</v>
      </c>
      <c r="B1596" s="4" t="str" cm="1">
        <f t="array" ref="B1596">INDEX(Sheet1!B:B,$F1596)</f>
        <v>Undiff NS</v>
      </c>
      <c r="C1596" s="4">
        <f t="shared" si="98"/>
        <v>21</v>
      </c>
      <c r="D1596" s="5" cm="1">
        <f t="array" aca="1" ref="D1596" ca="1">OFFSET(INDIRECT("'["&amp;$H1596&amp;"]"&amp;$I1596&amp;"'!"&amp;$J1596),$L1596,$M1596)*$K1596</f>
        <v>4.6000000000000001E-4</v>
      </c>
      <c r="F1596" s="4">
        <f t="shared" si="99"/>
        <v>15</v>
      </c>
      <c r="G1596" s="4" cm="1">
        <f t="array" ref="G1596">IF($C1596&gt;=25,F1596,IF($C1596&lt;16,INDEX(Sheet1!C:C,$F1596),$F1596))</f>
        <v>15</v>
      </c>
      <c r="H1596" s="4" t="str" cm="1">
        <f t="array" ref="H1596">INDEX(Sheet1!D:D,$G1596)</f>
        <v>t1140.xlsx</v>
      </c>
      <c r="I1596" s="4" t="str" cm="1">
        <f t="array" ref="I1596">INDEX(Sheet1!E:E,$G1596)</f>
        <v>Sheet1</v>
      </c>
      <c r="J1596" s="4" t="str" cm="1">
        <f t="array" ref="J1596">IF($C1596&gt;=25,INDEX(Sheet1!G:G,$G1596),INDEX(Sheet1!F:F,$G1596))</f>
        <v>B25</v>
      </c>
      <c r="K1596" s="4" cm="1">
        <f t="array" ref="K1596">INDEX(Sheet1!H:H,$G1596)</f>
        <v>1</v>
      </c>
      <c r="L1596" s="4">
        <f t="shared" si="96"/>
        <v>0</v>
      </c>
      <c r="M1596" s="4">
        <f t="shared" si="97"/>
        <v>21</v>
      </c>
    </row>
    <row r="1597" spans="1:13">
      <c r="A1597" s="4" t="str" cm="1">
        <f t="array" ref="A1597">INDEX(Sheet1!A:A,$F1597)</f>
        <v>F</v>
      </c>
      <c r="B1597" s="4" t="str" cm="1">
        <f t="array" ref="B1597">INDEX(Sheet1!B:B,$F1597)</f>
        <v>Undiff NS</v>
      </c>
      <c r="C1597" s="4">
        <f t="shared" si="98"/>
        <v>22</v>
      </c>
      <c r="D1597" s="5" cm="1">
        <f t="array" aca="1" ref="D1597" ca="1">OFFSET(INDIRECT("'["&amp;$H1597&amp;"]"&amp;$I1597&amp;"'!"&amp;$J1597),$L1597,$M1597)*$K1597</f>
        <v>4.8000000000000001E-4</v>
      </c>
      <c r="F1597" s="4">
        <f t="shared" si="99"/>
        <v>15</v>
      </c>
      <c r="G1597" s="4" cm="1">
        <f t="array" ref="G1597">IF($C1597&gt;=25,F1597,IF($C1597&lt;16,INDEX(Sheet1!C:C,$F1597),$F1597))</f>
        <v>15</v>
      </c>
      <c r="H1597" s="4" t="str" cm="1">
        <f t="array" ref="H1597">INDEX(Sheet1!D:D,$G1597)</f>
        <v>t1140.xlsx</v>
      </c>
      <c r="I1597" s="4" t="str" cm="1">
        <f t="array" ref="I1597">INDEX(Sheet1!E:E,$G1597)</f>
        <v>Sheet1</v>
      </c>
      <c r="J1597" s="4" t="str" cm="1">
        <f t="array" ref="J1597">IF($C1597&gt;=25,INDEX(Sheet1!G:G,$G1597),INDEX(Sheet1!F:F,$G1597))</f>
        <v>B25</v>
      </c>
      <c r="K1597" s="4" cm="1">
        <f t="array" ref="K1597">INDEX(Sheet1!H:H,$G1597)</f>
        <v>1</v>
      </c>
      <c r="L1597" s="4">
        <f t="shared" si="96"/>
        <v>0</v>
      </c>
      <c r="M1597" s="4">
        <f t="shared" si="97"/>
        <v>22</v>
      </c>
    </row>
    <row r="1598" spans="1:13">
      <c r="A1598" s="4" t="str" cm="1">
        <f t="array" ref="A1598">INDEX(Sheet1!A:A,$F1598)</f>
        <v>F</v>
      </c>
      <c r="B1598" s="4" t="str" cm="1">
        <f t="array" ref="B1598">INDEX(Sheet1!B:B,$F1598)</f>
        <v>Undiff NS</v>
      </c>
      <c r="C1598" s="4">
        <f t="shared" si="98"/>
        <v>23</v>
      </c>
      <c r="D1598" s="5" cm="1">
        <f t="array" aca="1" ref="D1598" ca="1">OFFSET(INDIRECT("'["&amp;$H1598&amp;"]"&amp;$I1598&amp;"'!"&amp;$J1598),$L1598,$M1598)*$K1598</f>
        <v>4.8000000000000001E-4</v>
      </c>
      <c r="F1598" s="4">
        <f t="shared" si="99"/>
        <v>15</v>
      </c>
      <c r="G1598" s="4" cm="1">
        <f t="array" ref="G1598">IF($C1598&gt;=25,F1598,IF($C1598&lt;16,INDEX(Sheet1!C:C,$F1598),$F1598))</f>
        <v>15</v>
      </c>
      <c r="H1598" s="4" t="str" cm="1">
        <f t="array" ref="H1598">INDEX(Sheet1!D:D,$G1598)</f>
        <v>t1140.xlsx</v>
      </c>
      <c r="I1598" s="4" t="str" cm="1">
        <f t="array" ref="I1598">INDEX(Sheet1!E:E,$G1598)</f>
        <v>Sheet1</v>
      </c>
      <c r="J1598" s="4" t="str" cm="1">
        <f t="array" ref="J1598">IF($C1598&gt;=25,INDEX(Sheet1!G:G,$G1598),INDEX(Sheet1!F:F,$G1598))</f>
        <v>B25</v>
      </c>
      <c r="K1598" s="4" cm="1">
        <f t="array" ref="K1598">INDEX(Sheet1!H:H,$G1598)</f>
        <v>1</v>
      </c>
      <c r="L1598" s="4">
        <f t="shared" si="96"/>
        <v>0</v>
      </c>
      <c r="M1598" s="4">
        <f t="shared" si="97"/>
        <v>23</v>
      </c>
    </row>
    <row r="1599" spans="1:13">
      <c r="A1599" s="4" t="str" cm="1">
        <f t="array" ref="A1599">INDEX(Sheet1!A:A,$F1599)</f>
        <v>F</v>
      </c>
      <c r="B1599" s="4" t="str" cm="1">
        <f t="array" ref="B1599">INDEX(Sheet1!B:B,$F1599)</f>
        <v>Undiff NS</v>
      </c>
      <c r="C1599" s="4">
        <f t="shared" si="98"/>
        <v>24</v>
      </c>
      <c r="D1599" s="5" cm="1">
        <f t="array" aca="1" ref="D1599" ca="1">OFFSET(INDIRECT("'["&amp;$H1599&amp;"]"&amp;$I1599&amp;"'!"&amp;$J1599),$L1599,$M1599)*$K1599</f>
        <v>5.0000000000000001E-4</v>
      </c>
      <c r="F1599" s="4">
        <f t="shared" si="99"/>
        <v>15</v>
      </c>
      <c r="G1599" s="4" cm="1">
        <f t="array" ref="G1599">IF($C1599&gt;=25,F1599,IF($C1599&lt;16,INDEX(Sheet1!C:C,$F1599),$F1599))</f>
        <v>15</v>
      </c>
      <c r="H1599" s="4" t="str" cm="1">
        <f t="array" ref="H1599">INDEX(Sheet1!D:D,$G1599)</f>
        <v>t1140.xlsx</v>
      </c>
      <c r="I1599" s="4" t="str" cm="1">
        <f t="array" ref="I1599">INDEX(Sheet1!E:E,$G1599)</f>
        <v>Sheet1</v>
      </c>
      <c r="J1599" s="4" t="str" cm="1">
        <f t="array" ref="J1599">IF($C1599&gt;=25,INDEX(Sheet1!G:G,$G1599),INDEX(Sheet1!F:F,$G1599))</f>
        <v>B25</v>
      </c>
      <c r="K1599" s="4" cm="1">
        <f t="array" ref="K1599">INDEX(Sheet1!H:H,$G1599)</f>
        <v>1</v>
      </c>
      <c r="L1599" s="4">
        <f t="shared" si="96"/>
        <v>0</v>
      </c>
      <c r="M1599" s="4">
        <f t="shared" si="97"/>
        <v>24</v>
      </c>
    </row>
    <row r="1600" spans="1:13">
      <c r="A1600" s="4" t="str" cm="1">
        <f t="array" ref="A1600">INDEX(Sheet1!A:A,$F1600)</f>
        <v>F</v>
      </c>
      <c r="B1600" s="4" t="str" cm="1">
        <f t="array" ref="B1600">INDEX(Sheet1!B:B,$F1600)</f>
        <v>Undiff NS</v>
      </c>
      <c r="C1600" s="4">
        <f t="shared" si="98"/>
        <v>25</v>
      </c>
      <c r="D1600" s="5" cm="1">
        <f t="array" aca="1" ref="D1600" ca="1">OFFSET(INDIRECT("'["&amp;$H1600&amp;"]"&amp;$I1600&amp;"'!"&amp;$J1600),$L1600,$M1600)*$K1600</f>
        <v>5.0000000000000001E-4</v>
      </c>
      <c r="F1600" s="4">
        <f t="shared" si="99"/>
        <v>15</v>
      </c>
      <c r="G1600" s="4" cm="1">
        <f t="array" ref="G1600">IF($C1600&gt;=25,F1600,IF($C1600&lt;16,INDEX(Sheet1!C:C,$F1600),$F1600))</f>
        <v>15</v>
      </c>
      <c r="H1600" s="4" t="str" cm="1">
        <f t="array" ref="H1600">INDEX(Sheet1!D:D,$G1600)</f>
        <v>t1140.xlsx</v>
      </c>
      <c r="I1600" s="4" t="str" cm="1">
        <f t="array" ref="I1600">INDEX(Sheet1!E:E,$G1600)</f>
        <v>Sheet1</v>
      </c>
      <c r="J1600" s="4" t="str" cm="1">
        <f t="array" ref="J1600">IF($C1600&gt;=25,INDEX(Sheet1!G:G,$G1600),INDEX(Sheet1!F:F,$G1600))</f>
        <v>B139</v>
      </c>
      <c r="K1600" s="4" cm="1">
        <f t="array" ref="K1600">INDEX(Sheet1!H:H,$G1600)</f>
        <v>1</v>
      </c>
      <c r="L1600" s="4">
        <f t="shared" si="96"/>
        <v>0</v>
      </c>
      <c r="M1600" s="4">
        <f t="shared" si="97"/>
        <v>0</v>
      </c>
    </row>
    <row r="1601" spans="1:13">
      <c r="A1601" s="4" t="str" cm="1">
        <f t="array" ref="A1601">INDEX(Sheet1!A:A,$F1601)</f>
        <v>F</v>
      </c>
      <c r="B1601" s="4" t="str" cm="1">
        <f t="array" ref="B1601">INDEX(Sheet1!B:B,$F1601)</f>
        <v>Undiff NS</v>
      </c>
      <c r="C1601" s="4">
        <f t="shared" si="98"/>
        <v>26</v>
      </c>
      <c r="D1601" s="5" cm="1">
        <f t="array" aca="1" ref="D1601" ca="1">OFFSET(INDIRECT("'["&amp;$H1601&amp;"]"&amp;$I1601&amp;"'!"&amp;$J1601),$L1601,$M1601)*$K1601</f>
        <v>5.2999999999999998E-4</v>
      </c>
      <c r="F1601" s="4">
        <f t="shared" si="99"/>
        <v>15</v>
      </c>
      <c r="G1601" s="4" cm="1">
        <f t="array" ref="G1601">IF($C1601&gt;=25,F1601,IF($C1601&lt;16,INDEX(Sheet1!C:C,$F1601),$F1601))</f>
        <v>15</v>
      </c>
      <c r="H1601" s="4" t="str" cm="1">
        <f t="array" ref="H1601">INDEX(Sheet1!D:D,$G1601)</f>
        <v>t1140.xlsx</v>
      </c>
      <c r="I1601" s="4" t="str" cm="1">
        <f t="array" ref="I1601">INDEX(Sheet1!E:E,$G1601)</f>
        <v>Sheet1</v>
      </c>
      <c r="J1601" s="4" t="str" cm="1">
        <f t="array" ref="J1601">IF($C1601&gt;=25,INDEX(Sheet1!G:G,$G1601),INDEX(Sheet1!F:F,$G1601))</f>
        <v>B139</v>
      </c>
      <c r="K1601" s="4" cm="1">
        <f t="array" ref="K1601">INDEX(Sheet1!H:H,$G1601)</f>
        <v>1</v>
      </c>
      <c r="L1601" s="4">
        <f t="shared" si="96"/>
        <v>1</v>
      </c>
      <c r="M1601" s="4">
        <f t="shared" si="97"/>
        <v>0</v>
      </c>
    </row>
    <row r="1602" spans="1:13">
      <c r="A1602" s="4" t="str" cm="1">
        <f t="array" ref="A1602">INDEX(Sheet1!A:A,$F1602)</f>
        <v>F</v>
      </c>
      <c r="B1602" s="4" t="str" cm="1">
        <f t="array" ref="B1602">INDEX(Sheet1!B:B,$F1602)</f>
        <v>Undiff NS</v>
      </c>
      <c r="C1602" s="4">
        <f t="shared" si="98"/>
        <v>27</v>
      </c>
      <c r="D1602" s="5" cm="1">
        <f t="array" aca="1" ref="D1602" ca="1">OFFSET(INDIRECT("'["&amp;$H1602&amp;"]"&amp;$I1602&amp;"'!"&amp;$J1602),$L1602,$M1602)*$K1602</f>
        <v>5.6999999999999998E-4</v>
      </c>
      <c r="F1602" s="4">
        <f t="shared" si="99"/>
        <v>15</v>
      </c>
      <c r="G1602" s="4" cm="1">
        <f t="array" ref="G1602">IF($C1602&gt;=25,F1602,IF($C1602&lt;16,INDEX(Sheet1!C:C,$F1602),$F1602))</f>
        <v>15</v>
      </c>
      <c r="H1602" s="4" t="str" cm="1">
        <f t="array" ref="H1602">INDEX(Sheet1!D:D,$G1602)</f>
        <v>t1140.xlsx</v>
      </c>
      <c r="I1602" s="4" t="str" cm="1">
        <f t="array" ref="I1602">INDEX(Sheet1!E:E,$G1602)</f>
        <v>Sheet1</v>
      </c>
      <c r="J1602" s="4" t="str" cm="1">
        <f t="array" ref="J1602">IF($C1602&gt;=25,INDEX(Sheet1!G:G,$G1602),INDEX(Sheet1!F:F,$G1602))</f>
        <v>B139</v>
      </c>
      <c r="K1602" s="4" cm="1">
        <f t="array" ref="K1602">INDEX(Sheet1!H:H,$G1602)</f>
        <v>1</v>
      </c>
      <c r="L1602" s="4">
        <f t="shared" si="96"/>
        <v>2</v>
      </c>
      <c r="M1602" s="4">
        <f t="shared" si="97"/>
        <v>0</v>
      </c>
    </row>
    <row r="1603" spans="1:13">
      <c r="A1603" s="4" t="str" cm="1">
        <f t="array" ref="A1603">INDEX(Sheet1!A:A,$F1603)</f>
        <v>F</v>
      </c>
      <c r="B1603" s="4" t="str" cm="1">
        <f t="array" ref="B1603">INDEX(Sheet1!B:B,$F1603)</f>
        <v>Undiff NS</v>
      </c>
      <c r="C1603" s="4">
        <f t="shared" si="98"/>
        <v>28</v>
      </c>
      <c r="D1603" s="5" cm="1">
        <f t="array" aca="1" ref="D1603" ca="1">OFFSET(INDIRECT("'["&amp;$H1603&amp;"]"&amp;$I1603&amp;"'!"&amp;$J1603),$L1603,$M1603)*$K1603</f>
        <v>5.8E-4</v>
      </c>
      <c r="F1603" s="4">
        <f t="shared" si="99"/>
        <v>15</v>
      </c>
      <c r="G1603" s="4" cm="1">
        <f t="array" ref="G1603">IF($C1603&gt;=25,F1603,IF($C1603&lt;16,INDEX(Sheet1!C:C,$F1603),$F1603))</f>
        <v>15</v>
      </c>
      <c r="H1603" s="4" t="str" cm="1">
        <f t="array" ref="H1603">INDEX(Sheet1!D:D,$G1603)</f>
        <v>t1140.xlsx</v>
      </c>
      <c r="I1603" s="4" t="str" cm="1">
        <f t="array" ref="I1603">INDEX(Sheet1!E:E,$G1603)</f>
        <v>Sheet1</v>
      </c>
      <c r="J1603" s="4" t="str" cm="1">
        <f t="array" ref="J1603">IF($C1603&gt;=25,INDEX(Sheet1!G:G,$G1603),INDEX(Sheet1!F:F,$G1603))</f>
        <v>B139</v>
      </c>
      <c r="K1603" s="4" cm="1">
        <f t="array" ref="K1603">INDEX(Sheet1!H:H,$G1603)</f>
        <v>1</v>
      </c>
      <c r="L1603" s="4">
        <f t="shared" ref="L1603:L1666" si="100">IF($C1603&gt;=25,$C1603-25,0)</f>
        <v>3</v>
      </c>
      <c r="M1603" s="4">
        <f t="shared" ref="M1603:M1666" si="101">IF($C1603&gt;=25,0,$C1603)</f>
        <v>0</v>
      </c>
    </row>
    <row r="1604" spans="1:13">
      <c r="A1604" s="4" t="str" cm="1">
        <f t="array" ref="A1604">INDEX(Sheet1!A:A,$F1604)</f>
        <v>F</v>
      </c>
      <c r="B1604" s="4" t="str" cm="1">
        <f t="array" ref="B1604">INDEX(Sheet1!B:B,$F1604)</f>
        <v>Undiff NS</v>
      </c>
      <c r="C1604" s="4">
        <f t="shared" ref="C1604:C1667" si="102">IF(C1603=120,0,C1603+1)</f>
        <v>29</v>
      </c>
      <c r="D1604" s="5" cm="1">
        <f t="array" aca="1" ref="D1604" ca="1">OFFSET(INDIRECT("'["&amp;$H1604&amp;"]"&amp;$I1604&amp;"'!"&amp;$J1604),$L1604,$M1604)*$K1604</f>
        <v>6.2E-4</v>
      </c>
      <c r="F1604" s="4">
        <f t="shared" ref="F1604:F1667" si="103">IF(C1604=0,1,0)+F1603</f>
        <v>15</v>
      </c>
      <c r="G1604" s="4" cm="1">
        <f t="array" ref="G1604">IF($C1604&gt;=25,F1604,IF($C1604&lt;16,INDEX(Sheet1!C:C,$F1604),$F1604))</f>
        <v>15</v>
      </c>
      <c r="H1604" s="4" t="str" cm="1">
        <f t="array" ref="H1604">INDEX(Sheet1!D:D,$G1604)</f>
        <v>t1140.xlsx</v>
      </c>
      <c r="I1604" s="4" t="str" cm="1">
        <f t="array" ref="I1604">INDEX(Sheet1!E:E,$G1604)</f>
        <v>Sheet1</v>
      </c>
      <c r="J1604" s="4" t="str" cm="1">
        <f t="array" ref="J1604">IF($C1604&gt;=25,INDEX(Sheet1!G:G,$G1604),INDEX(Sheet1!F:F,$G1604))</f>
        <v>B139</v>
      </c>
      <c r="K1604" s="4" cm="1">
        <f t="array" ref="K1604">INDEX(Sheet1!H:H,$G1604)</f>
        <v>1</v>
      </c>
      <c r="L1604" s="4">
        <f t="shared" si="100"/>
        <v>4</v>
      </c>
      <c r="M1604" s="4">
        <f t="shared" si="101"/>
        <v>0</v>
      </c>
    </row>
    <row r="1605" spans="1:13">
      <c r="A1605" s="4" t="str" cm="1">
        <f t="array" ref="A1605">INDEX(Sheet1!A:A,$F1605)</f>
        <v>F</v>
      </c>
      <c r="B1605" s="4" t="str" cm="1">
        <f t="array" ref="B1605">INDEX(Sheet1!B:B,$F1605)</f>
        <v>Undiff NS</v>
      </c>
      <c r="C1605" s="4">
        <f t="shared" si="102"/>
        <v>30</v>
      </c>
      <c r="D1605" s="5" cm="1">
        <f t="array" aca="1" ref="D1605" ca="1">OFFSET(INDIRECT("'["&amp;$H1605&amp;"]"&amp;$I1605&amp;"'!"&amp;$J1605),$L1605,$M1605)*$K1605</f>
        <v>6.4000000000000005E-4</v>
      </c>
      <c r="F1605" s="4">
        <f t="shared" si="103"/>
        <v>15</v>
      </c>
      <c r="G1605" s="4" cm="1">
        <f t="array" ref="G1605">IF($C1605&gt;=25,F1605,IF($C1605&lt;16,INDEX(Sheet1!C:C,$F1605),$F1605))</f>
        <v>15</v>
      </c>
      <c r="H1605" s="4" t="str" cm="1">
        <f t="array" ref="H1605">INDEX(Sheet1!D:D,$G1605)</f>
        <v>t1140.xlsx</v>
      </c>
      <c r="I1605" s="4" t="str" cm="1">
        <f t="array" ref="I1605">INDEX(Sheet1!E:E,$G1605)</f>
        <v>Sheet1</v>
      </c>
      <c r="J1605" s="4" t="str" cm="1">
        <f t="array" ref="J1605">IF($C1605&gt;=25,INDEX(Sheet1!G:G,$G1605),INDEX(Sheet1!F:F,$G1605))</f>
        <v>B139</v>
      </c>
      <c r="K1605" s="4" cm="1">
        <f t="array" ref="K1605">INDEX(Sheet1!H:H,$G1605)</f>
        <v>1</v>
      </c>
      <c r="L1605" s="4">
        <f t="shared" si="100"/>
        <v>5</v>
      </c>
      <c r="M1605" s="4">
        <f t="shared" si="101"/>
        <v>0</v>
      </c>
    </row>
    <row r="1606" spans="1:13">
      <c r="A1606" s="4" t="str" cm="1">
        <f t="array" ref="A1606">INDEX(Sheet1!A:A,$F1606)</f>
        <v>F</v>
      </c>
      <c r="B1606" s="4" t="str" cm="1">
        <f t="array" ref="B1606">INDEX(Sheet1!B:B,$F1606)</f>
        <v>Undiff NS</v>
      </c>
      <c r="C1606" s="4">
        <f t="shared" si="102"/>
        <v>31</v>
      </c>
      <c r="D1606" s="5" cm="1">
        <f t="array" aca="1" ref="D1606" ca="1">OFFSET(INDIRECT("'["&amp;$H1606&amp;"]"&amp;$I1606&amp;"'!"&amp;$J1606),$L1606,$M1606)*$K1606</f>
        <v>6.8000000000000005E-4</v>
      </c>
      <c r="F1606" s="4">
        <f t="shared" si="103"/>
        <v>15</v>
      </c>
      <c r="G1606" s="4" cm="1">
        <f t="array" ref="G1606">IF($C1606&gt;=25,F1606,IF($C1606&lt;16,INDEX(Sheet1!C:C,$F1606),$F1606))</f>
        <v>15</v>
      </c>
      <c r="H1606" s="4" t="str" cm="1">
        <f t="array" ref="H1606">INDEX(Sheet1!D:D,$G1606)</f>
        <v>t1140.xlsx</v>
      </c>
      <c r="I1606" s="4" t="str" cm="1">
        <f t="array" ref="I1606">INDEX(Sheet1!E:E,$G1606)</f>
        <v>Sheet1</v>
      </c>
      <c r="J1606" s="4" t="str" cm="1">
        <f t="array" ref="J1606">IF($C1606&gt;=25,INDEX(Sheet1!G:G,$G1606),INDEX(Sheet1!F:F,$G1606))</f>
        <v>B139</v>
      </c>
      <c r="K1606" s="4" cm="1">
        <f t="array" ref="K1606">INDEX(Sheet1!H:H,$G1606)</f>
        <v>1</v>
      </c>
      <c r="L1606" s="4">
        <f t="shared" si="100"/>
        <v>6</v>
      </c>
      <c r="M1606" s="4">
        <f t="shared" si="101"/>
        <v>0</v>
      </c>
    </row>
    <row r="1607" spans="1:13">
      <c r="A1607" s="4" t="str" cm="1">
        <f t="array" ref="A1607">INDEX(Sheet1!A:A,$F1607)</f>
        <v>F</v>
      </c>
      <c r="B1607" s="4" t="str" cm="1">
        <f t="array" ref="B1607">INDEX(Sheet1!B:B,$F1607)</f>
        <v>Undiff NS</v>
      </c>
      <c r="C1607" s="4">
        <f t="shared" si="102"/>
        <v>32</v>
      </c>
      <c r="D1607" s="5" cm="1">
        <f t="array" aca="1" ref="D1607" ca="1">OFFSET(INDIRECT("'["&amp;$H1607&amp;"]"&amp;$I1607&amp;"'!"&amp;$J1607),$L1607,$M1607)*$K1607</f>
        <v>7.2000000000000005E-4</v>
      </c>
      <c r="F1607" s="4">
        <f t="shared" si="103"/>
        <v>15</v>
      </c>
      <c r="G1607" s="4" cm="1">
        <f t="array" ref="G1607">IF($C1607&gt;=25,F1607,IF($C1607&lt;16,INDEX(Sheet1!C:C,$F1607),$F1607))</f>
        <v>15</v>
      </c>
      <c r="H1607" s="4" t="str" cm="1">
        <f t="array" ref="H1607">INDEX(Sheet1!D:D,$G1607)</f>
        <v>t1140.xlsx</v>
      </c>
      <c r="I1607" s="4" t="str" cm="1">
        <f t="array" ref="I1607">INDEX(Sheet1!E:E,$G1607)</f>
        <v>Sheet1</v>
      </c>
      <c r="J1607" s="4" t="str" cm="1">
        <f t="array" ref="J1607">IF($C1607&gt;=25,INDEX(Sheet1!G:G,$G1607),INDEX(Sheet1!F:F,$G1607))</f>
        <v>B139</v>
      </c>
      <c r="K1607" s="4" cm="1">
        <f t="array" ref="K1607">INDEX(Sheet1!H:H,$G1607)</f>
        <v>1</v>
      </c>
      <c r="L1607" s="4">
        <f t="shared" si="100"/>
        <v>7</v>
      </c>
      <c r="M1607" s="4">
        <f t="shared" si="101"/>
        <v>0</v>
      </c>
    </row>
    <row r="1608" spans="1:13">
      <c r="A1608" s="4" t="str" cm="1">
        <f t="array" ref="A1608">INDEX(Sheet1!A:A,$F1608)</f>
        <v>F</v>
      </c>
      <c r="B1608" s="4" t="str" cm="1">
        <f t="array" ref="B1608">INDEX(Sheet1!B:B,$F1608)</f>
        <v>Undiff NS</v>
      </c>
      <c r="C1608" s="4">
        <f t="shared" si="102"/>
        <v>33</v>
      </c>
      <c r="D1608" s="5" cm="1">
        <f t="array" aca="1" ref="D1608" ca="1">OFFSET(INDIRECT("'["&amp;$H1608&amp;"]"&amp;$I1608&amp;"'!"&amp;$J1608),$L1608,$M1608)*$K1608</f>
        <v>7.6000000000000004E-4</v>
      </c>
      <c r="F1608" s="4">
        <f t="shared" si="103"/>
        <v>15</v>
      </c>
      <c r="G1608" s="4" cm="1">
        <f t="array" ref="G1608">IF($C1608&gt;=25,F1608,IF($C1608&lt;16,INDEX(Sheet1!C:C,$F1608),$F1608))</f>
        <v>15</v>
      </c>
      <c r="H1608" s="4" t="str" cm="1">
        <f t="array" ref="H1608">INDEX(Sheet1!D:D,$G1608)</f>
        <v>t1140.xlsx</v>
      </c>
      <c r="I1608" s="4" t="str" cm="1">
        <f t="array" ref="I1608">INDEX(Sheet1!E:E,$G1608)</f>
        <v>Sheet1</v>
      </c>
      <c r="J1608" s="4" t="str" cm="1">
        <f t="array" ref="J1608">IF($C1608&gt;=25,INDEX(Sheet1!G:G,$G1608),INDEX(Sheet1!F:F,$G1608))</f>
        <v>B139</v>
      </c>
      <c r="K1608" s="4" cm="1">
        <f t="array" ref="K1608">INDEX(Sheet1!H:H,$G1608)</f>
        <v>1</v>
      </c>
      <c r="L1608" s="4">
        <f t="shared" si="100"/>
        <v>8</v>
      </c>
      <c r="M1608" s="4">
        <f t="shared" si="101"/>
        <v>0</v>
      </c>
    </row>
    <row r="1609" spans="1:13">
      <c r="A1609" s="4" t="str" cm="1">
        <f t="array" ref="A1609">INDEX(Sheet1!A:A,$F1609)</f>
        <v>F</v>
      </c>
      <c r="B1609" s="4" t="str" cm="1">
        <f t="array" ref="B1609">INDEX(Sheet1!B:B,$F1609)</f>
        <v>Undiff NS</v>
      </c>
      <c r="C1609" s="4">
        <f t="shared" si="102"/>
        <v>34</v>
      </c>
      <c r="D1609" s="5" cm="1">
        <f t="array" aca="1" ref="D1609" ca="1">OFFSET(INDIRECT("'["&amp;$H1609&amp;"]"&amp;$I1609&amp;"'!"&amp;$J1609),$L1609,$M1609)*$K1609</f>
        <v>8.1999999999999998E-4</v>
      </c>
      <c r="F1609" s="4">
        <f t="shared" si="103"/>
        <v>15</v>
      </c>
      <c r="G1609" s="4" cm="1">
        <f t="array" ref="G1609">IF($C1609&gt;=25,F1609,IF($C1609&lt;16,INDEX(Sheet1!C:C,$F1609),$F1609))</f>
        <v>15</v>
      </c>
      <c r="H1609" s="4" t="str" cm="1">
        <f t="array" ref="H1609">INDEX(Sheet1!D:D,$G1609)</f>
        <v>t1140.xlsx</v>
      </c>
      <c r="I1609" s="4" t="str" cm="1">
        <f t="array" ref="I1609">INDEX(Sheet1!E:E,$G1609)</f>
        <v>Sheet1</v>
      </c>
      <c r="J1609" s="4" t="str" cm="1">
        <f t="array" ref="J1609">IF($C1609&gt;=25,INDEX(Sheet1!G:G,$G1609),INDEX(Sheet1!F:F,$G1609))</f>
        <v>B139</v>
      </c>
      <c r="K1609" s="4" cm="1">
        <f t="array" ref="K1609">INDEX(Sheet1!H:H,$G1609)</f>
        <v>1</v>
      </c>
      <c r="L1609" s="4">
        <f t="shared" si="100"/>
        <v>9</v>
      </c>
      <c r="M1609" s="4">
        <f t="shared" si="101"/>
        <v>0</v>
      </c>
    </row>
    <row r="1610" spans="1:13">
      <c r="A1610" s="4" t="str" cm="1">
        <f t="array" ref="A1610">INDEX(Sheet1!A:A,$F1610)</f>
        <v>F</v>
      </c>
      <c r="B1610" s="4" t="str" cm="1">
        <f t="array" ref="B1610">INDEX(Sheet1!B:B,$F1610)</f>
        <v>Undiff NS</v>
      </c>
      <c r="C1610" s="4">
        <f t="shared" si="102"/>
        <v>35</v>
      </c>
      <c r="D1610" s="5" cm="1">
        <f t="array" aca="1" ref="D1610" ca="1">OFFSET(INDIRECT("'["&amp;$H1610&amp;"]"&amp;$I1610&amp;"'!"&amp;$J1610),$L1610,$M1610)*$K1610</f>
        <v>8.8999999999999995E-4</v>
      </c>
      <c r="F1610" s="4">
        <f t="shared" si="103"/>
        <v>15</v>
      </c>
      <c r="G1610" s="4" cm="1">
        <f t="array" ref="G1610">IF($C1610&gt;=25,F1610,IF($C1610&lt;16,INDEX(Sheet1!C:C,$F1610),$F1610))</f>
        <v>15</v>
      </c>
      <c r="H1610" s="4" t="str" cm="1">
        <f t="array" ref="H1610">INDEX(Sheet1!D:D,$G1610)</f>
        <v>t1140.xlsx</v>
      </c>
      <c r="I1610" s="4" t="str" cm="1">
        <f t="array" ref="I1610">INDEX(Sheet1!E:E,$G1610)</f>
        <v>Sheet1</v>
      </c>
      <c r="J1610" s="4" t="str" cm="1">
        <f t="array" ref="J1610">IF($C1610&gt;=25,INDEX(Sheet1!G:G,$G1610),INDEX(Sheet1!F:F,$G1610))</f>
        <v>B139</v>
      </c>
      <c r="K1610" s="4" cm="1">
        <f t="array" ref="K1610">INDEX(Sheet1!H:H,$G1610)</f>
        <v>1</v>
      </c>
      <c r="L1610" s="4">
        <f t="shared" si="100"/>
        <v>10</v>
      </c>
      <c r="M1610" s="4">
        <f t="shared" si="101"/>
        <v>0</v>
      </c>
    </row>
    <row r="1611" spans="1:13">
      <c r="A1611" s="4" t="str" cm="1">
        <f t="array" ref="A1611">INDEX(Sheet1!A:A,$F1611)</f>
        <v>F</v>
      </c>
      <c r="B1611" s="4" t="str" cm="1">
        <f t="array" ref="B1611">INDEX(Sheet1!B:B,$F1611)</f>
        <v>Undiff NS</v>
      </c>
      <c r="C1611" s="4">
        <f t="shared" si="102"/>
        <v>36</v>
      </c>
      <c r="D1611" s="5" cm="1">
        <f t="array" aca="1" ref="D1611" ca="1">OFFSET(INDIRECT("'["&amp;$H1611&amp;"]"&amp;$I1611&amp;"'!"&amp;$J1611),$L1611,$M1611)*$K1611</f>
        <v>9.5E-4</v>
      </c>
      <c r="F1611" s="4">
        <f t="shared" si="103"/>
        <v>15</v>
      </c>
      <c r="G1611" s="4" cm="1">
        <f t="array" ref="G1611">IF($C1611&gt;=25,F1611,IF($C1611&lt;16,INDEX(Sheet1!C:C,$F1611),$F1611))</f>
        <v>15</v>
      </c>
      <c r="H1611" s="4" t="str" cm="1">
        <f t="array" ref="H1611">INDEX(Sheet1!D:D,$G1611)</f>
        <v>t1140.xlsx</v>
      </c>
      <c r="I1611" s="4" t="str" cm="1">
        <f t="array" ref="I1611">INDEX(Sheet1!E:E,$G1611)</f>
        <v>Sheet1</v>
      </c>
      <c r="J1611" s="4" t="str" cm="1">
        <f t="array" ref="J1611">IF($C1611&gt;=25,INDEX(Sheet1!G:G,$G1611),INDEX(Sheet1!F:F,$G1611))</f>
        <v>B139</v>
      </c>
      <c r="K1611" s="4" cm="1">
        <f t="array" ref="K1611">INDEX(Sheet1!H:H,$G1611)</f>
        <v>1</v>
      </c>
      <c r="L1611" s="4">
        <f t="shared" si="100"/>
        <v>11</v>
      </c>
      <c r="M1611" s="4">
        <f t="shared" si="101"/>
        <v>0</v>
      </c>
    </row>
    <row r="1612" spans="1:13">
      <c r="A1612" s="4" t="str" cm="1">
        <f t="array" ref="A1612">INDEX(Sheet1!A:A,$F1612)</f>
        <v>F</v>
      </c>
      <c r="B1612" s="4" t="str" cm="1">
        <f t="array" ref="B1612">INDEX(Sheet1!B:B,$F1612)</f>
        <v>Undiff NS</v>
      </c>
      <c r="C1612" s="4">
        <f t="shared" si="102"/>
        <v>37</v>
      </c>
      <c r="D1612" s="5" cm="1">
        <f t="array" aca="1" ref="D1612" ca="1">OFFSET(INDIRECT("'["&amp;$H1612&amp;"]"&amp;$I1612&amp;"'!"&amp;$J1612),$L1612,$M1612)*$K1612</f>
        <v>1.0300000000000001E-3</v>
      </c>
      <c r="F1612" s="4">
        <f t="shared" si="103"/>
        <v>15</v>
      </c>
      <c r="G1612" s="4" cm="1">
        <f t="array" ref="G1612">IF($C1612&gt;=25,F1612,IF($C1612&lt;16,INDEX(Sheet1!C:C,$F1612),$F1612))</f>
        <v>15</v>
      </c>
      <c r="H1612" s="4" t="str" cm="1">
        <f t="array" ref="H1612">INDEX(Sheet1!D:D,$G1612)</f>
        <v>t1140.xlsx</v>
      </c>
      <c r="I1612" s="4" t="str" cm="1">
        <f t="array" ref="I1612">INDEX(Sheet1!E:E,$G1612)</f>
        <v>Sheet1</v>
      </c>
      <c r="J1612" s="4" t="str" cm="1">
        <f t="array" ref="J1612">IF($C1612&gt;=25,INDEX(Sheet1!G:G,$G1612),INDEX(Sheet1!F:F,$G1612))</f>
        <v>B139</v>
      </c>
      <c r="K1612" s="4" cm="1">
        <f t="array" ref="K1612">INDEX(Sheet1!H:H,$G1612)</f>
        <v>1</v>
      </c>
      <c r="L1612" s="4">
        <f t="shared" si="100"/>
        <v>12</v>
      </c>
      <c r="M1612" s="4">
        <f t="shared" si="101"/>
        <v>0</v>
      </c>
    </row>
    <row r="1613" spans="1:13">
      <c r="A1613" s="4" t="str" cm="1">
        <f t="array" ref="A1613">INDEX(Sheet1!A:A,$F1613)</f>
        <v>F</v>
      </c>
      <c r="B1613" s="4" t="str" cm="1">
        <f t="array" ref="B1613">INDEX(Sheet1!B:B,$F1613)</f>
        <v>Undiff NS</v>
      </c>
      <c r="C1613" s="4">
        <f t="shared" si="102"/>
        <v>38</v>
      </c>
      <c r="D1613" s="5" cm="1">
        <f t="array" aca="1" ref="D1613" ca="1">OFFSET(INDIRECT("'["&amp;$H1613&amp;"]"&amp;$I1613&amp;"'!"&amp;$J1613),$L1613,$M1613)*$K1613</f>
        <v>1.07E-3</v>
      </c>
      <c r="F1613" s="4">
        <f t="shared" si="103"/>
        <v>15</v>
      </c>
      <c r="G1613" s="4" cm="1">
        <f t="array" ref="G1613">IF($C1613&gt;=25,F1613,IF($C1613&lt;16,INDEX(Sheet1!C:C,$F1613),$F1613))</f>
        <v>15</v>
      </c>
      <c r="H1613" s="4" t="str" cm="1">
        <f t="array" ref="H1613">INDEX(Sheet1!D:D,$G1613)</f>
        <v>t1140.xlsx</v>
      </c>
      <c r="I1613" s="4" t="str" cm="1">
        <f t="array" ref="I1613">INDEX(Sheet1!E:E,$G1613)</f>
        <v>Sheet1</v>
      </c>
      <c r="J1613" s="4" t="str" cm="1">
        <f t="array" ref="J1613">IF($C1613&gt;=25,INDEX(Sheet1!G:G,$G1613),INDEX(Sheet1!F:F,$G1613))</f>
        <v>B139</v>
      </c>
      <c r="K1613" s="4" cm="1">
        <f t="array" ref="K1613">INDEX(Sheet1!H:H,$G1613)</f>
        <v>1</v>
      </c>
      <c r="L1613" s="4">
        <f t="shared" si="100"/>
        <v>13</v>
      </c>
      <c r="M1613" s="4">
        <f t="shared" si="101"/>
        <v>0</v>
      </c>
    </row>
    <row r="1614" spans="1:13">
      <c r="A1614" s="4" t="str" cm="1">
        <f t="array" ref="A1614">INDEX(Sheet1!A:A,$F1614)</f>
        <v>F</v>
      </c>
      <c r="B1614" s="4" t="str" cm="1">
        <f t="array" ref="B1614">INDEX(Sheet1!B:B,$F1614)</f>
        <v>Undiff NS</v>
      </c>
      <c r="C1614" s="4">
        <f t="shared" si="102"/>
        <v>39</v>
      </c>
      <c r="D1614" s="5" cm="1">
        <f t="array" aca="1" ref="D1614" ca="1">OFFSET(INDIRECT("'["&amp;$H1614&amp;"]"&amp;$I1614&amp;"'!"&amp;$J1614),$L1614,$M1614)*$K1614</f>
        <v>1.1299999999999999E-3</v>
      </c>
      <c r="F1614" s="4">
        <f t="shared" si="103"/>
        <v>15</v>
      </c>
      <c r="G1614" s="4" cm="1">
        <f t="array" ref="G1614">IF($C1614&gt;=25,F1614,IF($C1614&lt;16,INDEX(Sheet1!C:C,$F1614),$F1614))</f>
        <v>15</v>
      </c>
      <c r="H1614" s="4" t="str" cm="1">
        <f t="array" ref="H1614">INDEX(Sheet1!D:D,$G1614)</f>
        <v>t1140.xlsx</v>
      </c>
      <c r="I1614" s="4" t="str" cm="1">
        <f t="array" ref="I1614">INDEX(Sheet1!E:E,$G1614)</f>
        <v>Sheet1</v>
      </c>
      <c r="J1614" s="4" t="str" cm="1">
        <f t="array" ref="J1614">IF($C1614&gt;=25,INDEX(Sheet1!G:G,$G1614),INDEX(Sheet1!F:F,$G1614))</f>
        <v>B139</v>
      </c>
      <c r="K1614" s="4" cm="1">
        <f t="array" ref="K1614">INDEX(Sheet1!H:H,$G1614)</f>
        <v>1</v>
      </c>
      <c r="L1614" s="4">
        <f t="shared" si="100"/>
        <v>14</v>
      </c>
      <c r="M1614" s="4">
        <f t="shared" si="101"/>
        <v>0</v>
      </c>
    </row>
    <row r="1615" spans="1:13">
      <c r="A1615" s="4" t="str" cm="1">
        <f t="array" ref="A1615">INDEX(Sheet1!A:A,$F1615)</f>
        <v>F</v>
      </c>
      <c r="B1615" s="4" t="str" cm="1">
        <f t="array" ref="B1615">INDEX(Sheet1!B:B,$F1615)</f>
        <v>Undiff NS</v>
      </c>
      <c r="C1615" s="4">
        <f t="shared" si="102"/>
        <v>40</v>
      </c>
      <c r="D1615" s="5" cm="1">
        <f t="array" aca="1" ref="D1615" ca="1">OFFSET(INDIRECT("'["&amp;$H1615&amp;"]"&amp;$I1615&amp;"'!"&amp;$J1615),$L1615,$M1615)*$K1615</f>
        <v>1.1999999999999999E-3</v>
      </c>
      <c r="F1615" s="4">
        <f t="shared" si="103"/>
        <v>15</v>
      </c>
      <c r="G1615" s="4" cm="1">
        <f t="array" ref="G1615">IF($C1615&gt;=25,F1615,IF($C1615&lt;16,INDEX(Sheet1!C:C,$F1615),$F1615))</f>
        <v>15</v>
      </c>
      <c r="H1615" s="4" t="str" cm="1">
        <f t="array" ref="H1615">INDEX(Sheet1!D:D,$G1615)</f>
        <v>t1140.xlsx</v>
      </c>
      <c r="I1615" s="4" t="str" cm="1">
        <f t="array" ref="I1615">INDEX(Sheet1!E:E,$G1615)</f>
        <v>Sheet1</v>
      </c>
      <c r="J1615" s="4" t="str" cm="1">
        <f t="array" ref="J1615">IF($C1615&gt;=25,INDEX(Sheet1!G:G,$G1615),INDEX(Sheet1!F:F,$G1615))</f>
        <v>B139</v>
      </c>
      <c r="K1615" s="4" cm="1">
        <f t="array" ref="K1615">INDEX(Sheet1!H:H,$G1615)</f>
        <v>1</v>
      </c>
      <c r="L1615" s="4">
        <f t="shared" si="100"/>
        <v>15</v>
      </c>
      <c r="M1615" s="4">
        <f t="shared" si="101"/>
        <v>0</v>
      </c>
    </row>
    <row r="1616" spans="1:13">
      <c r="A1616" s="4" t="str" cm="1">
        <f t="array" ref="A1616">INDEX(Sheet1!A:A,$F1616)</f>
        <v>F</v>
      </c>
      <c r="B1616" s="4" t="str" cm="1">
        <f t="array" ref="B1616">INDEX(Sheet1!B:B,$F1616)</f>
        <v>Undiff NS</v>
      </c>
      <c r="C1616" s="4">
        <f t="shared" si="102"/>
        <v>41</v>
      </c>
      <c r="D1616" s="5" cm="1">
        <f t="array" aca="1" ref="D1616" ca="1">OFFSET(INDIRECT("'["&amp;$H1616&amp;"]"&amp;$I1616&amp;"'!"&amp;$J1616),$L1616,$M1616)*$K1616</f>
        <v>1.2700000000000001E-3</v>
      </c>
      <c r="F1616" s="4">
        <f t="shared" si="103"/>
        <v>15</v>
      </c>
      <c r="G1616" s="4" cm="1">
        <f t="array" ref="G1616">IF($C1616&gt;=25,F1616,IF($C1616&lt;16,INDEX(Sheet1!C:C,$F1616),$F1616))</f>
        <v>15</v>
      </c>
      <c r="H1616" s="4" t="str" cm="1">
        <f t="array" ref="H1616">INDEX(Sheet1!D:D,$G1616)</f>
        <v>t1140.xlsx</v>
      </c>
      <c r="I1616" s="4" t="str" cm="1">
        <f t="array" ref="I1616">INDEX(Sheet1!E:E,$G1616)</f>
        <v>Sheet1</v>
      </c>
      <c r="J1616" s="4" t="str" cm="1">
        <f t="array" ref="J1616">IF($C1616&gt;=25,INDEX(Sheet1!G:G,$G1616),INDEX(Sheet1!F:F,$G1616))</f>
        <v>B139</v>
      </c>
      <c r="K1616" s="4" cm="1">
        <f t="array" ref="K1616">INDEX(Sheet1!H:H,$G1616)</f>
        <v>1</v>
      </c>
      <c r="L1616" s="4">
        <f t="shared" si="100"/>
        <v>16</v>
      </c>
      <c r="M1616" s="4">
        <f t="shared" si="101"/>
        <v>0</v>
      </c>
    </row>
    <row r="1617" spans="1:13">
      <c r="A1617" s="4" t="str" cm="1">
        <f t="array" ref="A1617">INDEX(Sheet1!A:A,$F1617)</f>
        <v>F</v>
      </c>
      <c r="B1617" s="4" t="str" cm="1">
        <f t="array" ref="B1617">INDEX(Sheet1!B:B,$F1617)</f>
        <v>Undiff NS</v>
      </c>
      <c r="C1617" s="4">
        <f t="shared" si="102"/>
        <v>42</v>
      </c>
      <c r="D1617" s="5" cm="1">
        <f t="array" aca="1" ref="D1617" ca="1">OFFSET(INDIRECT("'["&amp;$H1617&amp;"]"&amp;$I1617&amp;"'!"&amp;$J1617),$L1617,$M1617)*$K1617</f>
        <v>1.3500000000000001E-3</v>
      </c>
      <c r="F1617" s="4">
        <f t="shared" si="103"/>
        <v>15</v>
      </c>
      <c r="G1617" s="4" cm="1">
        <f t="array" ref="G1617">IF($C1617&gt;=25,F1617,IF($C1617&lt;16,INDEX(Sheet1!C:C,$F1617),$F1617))</f>
        <v>15</v>
      </c>
      <c r="H1617" s="4" t="str" cm="1">
        <f t="array" ref="H1617">INDEX(Sheet1!D:D,$G1617)</f>
        <v>t1140.xlsx</v>
      </c>
      <c r="I1617" s="4" t="str" cm="1">
        <f t="array" ref="I1617">INDEX(Sheet1!E:E,$G1617)</f>
        <v>Sheet1</v>
      </c>
      <c r="J1617" s="4" t="str" cm="1">
        <f t="array" ref="J1617">IF($C1617&gt;=25,INDEX(Sheet1!G:G,$G1617),INDEX(Sheet1!F:F,$G1617))</f>
        <v>B139</v>
      </c>
      <c r="K1617" s="4" cm="1">
        <f t="array" ref="K1617">INDEX(Sheet1!H:H,$G1617)</f>
        <v>1</v>
      </c>
      <c r="L1617" s="4">
        <f t="shared" si="100"/>
        <v>17</v>
      </c>
      <c r="M1617" s="4">
        <f t="shared" si="101"/>
        <v>0</v>
      </c>
    </row>
    <row r="1618" spans="1:13">
      <c r="A1618" s="4" t="str" cm="1">
        <f t="array" ref="A1618">INDEX(Sheet1!A:A,$F1618)</f>
        <v>F</v>
      </c>
      <c r="B1618" s="4" t="str" cm="1">
        <f t="array" ref="B1618">INDEX(Sheet1!B:B,$F1618)</f>
        <v>Undiff NS</v>
      </c>
      <c r="C1618" s="4">
        <f t="shared" si="102"/>
        <v>43</v>
      </c>
      <c r="D1618" s="5" cm="1">
        <f t="array" aca="1" ref="D1618" ca="1">OFFSET(INDIRECT("'["&amp;$H1618&amp;"]"&amp;$I1618&amp;"'!"&amp;$J1618),$L1618,$M1618)*$K1618</f>
        <v>1.4499999999999999E-3</v>
      </c>
      <c r="F1618" s="4">
        <f t="shared" si="103"/>
        <v>15</v>
      </c>
      <c r="G1618" s="4" cm="1">
        <f t="array" ref="G1618">IF($C1618&gt;=25,F1618,IF($C1618&lt;16,INDEX(Sheet1!C:C,$F1618),$F1618))</f>
        <v>15</v>
      </c>
      <c r="H1618" s="4" t="str" cm="1">
        <f t="array" ref="H1618">INDEX(Sheet1!D:D,$G1618)</f>
        <v>t1140.xlsx</v>
      </c>
      <c r="I1618" s="4" t="str" cm="1">
        <f t="array" ref="I1618">INDEX(Sheet1!E:E,$G1618)</f>
        <v>Sheet1</v>
      </c>
      <c r="J1618" s="4" t="str" cm="1">
        <f t="array" ref="J1618">IF($C1618&gt;=25,INDEX(Sheet1!G:G,$G1618),INDEX(Sheet1!F:F,$G1618))</f>
        <v>B139</v>
      </c>
      <c r="K1618" s="4" cm="1">
        <f t="array" ref="K1618">INDEX(Sheet1!H:H,$G1618)</f>
        <v>1</v>
      </c>
      <c r="L1618" s="4">
        <f t="shared" si="100"/>
        <v>18</v>
      </c>
      <c r="M1618" s="4">
        <f t="shared" si="101"/>
        <v>0</v>
      </c>
    </row>
    <row r="1619" spans="1:13">
      <c r="A1619" s="4" t="str" cm="1">
        <f t="array" ref="A1619">INDEX(Sheet1!A:A,$F1619)</f>
        <v>F</v>
      </c>
      <c r="B1619" s="4" t="str" cm="1">
        <f t="array" ref="B1619">INDEX(Sheet1!B:B,$F1619)</f>
        <v>Undiff NS</v>
      </c>
      <c r="C1619" s="4">
        <f t="shared" si="102"/>
        <v>44</v>
      </c>
      <c r="D1619" s="5" cm="1">
        <f t="array" aca="1" ref="D1619" ca="1">OFFSET(INDIRECT("'["&amp;$H1619&amp;"]"&amp;$I1619&amp;"'!"&amp;$J1619),$L1619,$M1619)*$K1619</f>
        <v>1.57E-3</v>
      </c>
      <c r="F1619" s="4">
        <f t="shared" si="103"/>
        <v>15</v>
      </c>
      <c r="G1619" s="4" cm="1">
        <f t="array" ref="G1619">IF($C1619&gt;=25,F1619,IF($C1619&lt;16,INDEX(Sheet1!C:C,$F1619),$F1619))</f>
        <v>15</v>
      </c>
      <c r="H1619" s="4" t="str" cm="1">
        <f t="array" ref="H1619">INDEX(Sheet1!D:D,$G1619)</f>
        <v>t1140.xlsx</v>
      </c>
      <c r="I1619" s="4" t="str" cm="1">
        <f t="array" ref="I1619">INDEX(Sheet1!E:E,$G1619)</f>
        <v>Sheet1</v>
      </c>
      <c r="J1619" s="4" t="str" cm="1">
        <f t="array" ref="J1619">IF($C1619&gt;=25,INDEX(Sheet1!G:G,$G1619),INDEX(Sheet1!F:F,$G1619))</f>
        <v>B139</v>
      </c>
      <c r="K1619" s="4" cm="1">
        <f t="array" ref="K1619">INDEX(Sheet1!H:H,$G1619)</f>
        <v>1</v>
      </c>
      <c r="L1619" s="4">
        <f t="shared" si="100"/>
        <v>19</v>
      </c>
      <c r="M1619" s="4">
        <f t="shared" si="101"/>
        <v>0</v>
      </c>
    </row>
    <row r="1620" spans="1:13">
      <c r="A1620" s="4" t="str" cm="1">
        <f t="array" ref="A1620">INDEX(Sheet1!A:A,$F1620)</f>
        <v>F</v>
      </c>
      <c r="B1620" s="4" t="str" cm="1">
        <f t="array" ref="B1620">INDEX(Sheet1!B:B,$F1620)</f>
        <v>Undiff NS</v>
      </c>
      <c r="C1620" s="4">
        <f t="shared" si="102"/>
        <v>45</v>
      </c>
      <c r="D1620" s="5" cm="1">
        <f t="array" aca="1" ref="D1620" ca="1">OFFSET(INDIRECT("'["&amp;$H1620&amp;"]"&amp;$I1620&amp;"'!"&amp;$J1620),$L1620,$M1620)*$K1620</f>
        <v>1.7099999999999999E-3</v>
      </c>
      <c r="F1620" s="4">
        <f t="shared" si="103"/>
        <v>15</v>
      </c>
      <c r="G1620" s="4" cm="1">
        <f t="array" ref="G1620">IF($C1620&gt;=25,F1620,IF($C1620&lt;16,INDEX(Sheet1!C:C,$F1620),$F1620))</f>
        <v>15</v>
      </c>
      <c r="H1620" s="4" t="str" cm="1">
        <f t="array" ref="H1620">INDEX(Sheet1!D:D,$G1620)</f>
        <v>t1140.xlsx</v>
      </c>
      <c r="I1620" s="4" t="str" cm="1">
        <f t="array" ref="I1620">INDEX(Sheet1!E:E,$G1620)</f>
        <v>Sheet1</v>
      </c>
      <c r="J1620" s="4" t="str" cm="1">
        <f t="array" ref="J1620">IF($C1620&gt;=25,INDEX(Sheet1!G:G,$G1620),INDEX(Sheet1!F:F,$G1620))</f>
        <v>B139</v>
      </c>
      <c r="K1620" s="4" cm="1">
        <f t="array" ref="K1620">INDEX(Sheet1!H:H,$G1620)</f>
        <v>1</v>
      </c>
      <c r="L1620" s="4">
        <f t="shared" si="100"/>
        <v>20</v>
      </c>
      <c r="M1620" s="4">
        <f t="shared" si="101"/>
        <v>0</v>
      </c>
    </row>
    <row r="1621" spans="1:13">
      <c r="A1621" s="4" t="str" cm="1">
        <f t="array" ref="A1621">INDEX(Sheet1!A:A,$F1621)</f>
        <v>F</v>
      </c>
      <c r="B1621" s="4" t="str" cm="1">
        <f t="array" ref="B1621">INDEX(Sheet1!B:B,$F1621)</f>
        <v>Undiff NS</v>
      </c>
      <c r="C1621" s="4">
        <f t="shared" si="102"/>
        <v>46</v>
      </c>
      <c r="D1621" s="5" cm="1">
        <f t="array" aca="1" ref="D1621" ca="1">OFFSET(INDIRECT("'["&amp;$H1621&amp;"]"&amp;$I1621&amp;"'!"&amp;$J1621),$L1621,$M1621)*$K1621</f>
        <v>1.8699999999999999E-3</v>
      </c>
      <c r="F1621" s="4">
        <f t="shared" si="103"/>
        <v>15</v>
      </c>
      <c r="G1621" s="4" cm="1">
        <f t="array" ref="G1621">IF($C1621&gt;=25,F1621,IF($C1621&lt;16,INDEX(Sheet1!C:C,$F1621),$F1621))</f>
        <v>15</v>
      </c>
      <c r="H1621" s="4" t="str" cm="1">
        <f t="array" ref="H1621">INDEX(Sheet1!D:D,$G1621)</f>
        <v>t1140.xlsx</v>
      </c>
      <c r="I1621" s="4" t="str" cm="1">
        <f t="array" ref="I1621">INDEX(Sheet1!E:E,$G1621)</f>
        <v>Sheet1</v>
      </c>
      <c r="J1621" s="4" t="str" cm="1">
        <f t="array" ref="J1621">IF($C1621&gt;=25,INDEX(Sheet1!G:G,$G1621),INDEX(Sheet1!F:F,$G1621))</f>
        <v>B139</v>
      </c>
      <c r="K1621" s="4" cm="1">
        <f t="array" ref="K1621">INDEX(Sheet1!H:H,$G1621)</f>
        <v>1</v>
      </c>
      <c r="L1621" s="4">
        <f t="shared" si="100"/>
        <v>21</v>
      </c>
      <c r="M1621" s="4">
        <f t="shared" si="101"/>
        <v>0</v>
      </c>
    </row>
    <row r="1622" spans="1:13">
      <c r="A1622" s="4" t="str" cm="1">
        <f t="array" ref="A1622">INDEX(Sheet1!A:A,$F1622)</f>
        <v>F</v>
      </c>
      <c r="B1622" s="4" t="str" cm="1">
        <f t="array" ref="B1622">INDEX(Sheet1!B:B,$F1622)</f>
        <v>Undiff NS</v>
      </c>
      <c r="C1622" s="4">
        <f t="shared" si="102"/>
        <v>47</v>
      </c>
      <c r="D1622" s="5" cm="1">
        <f t="array" aca="1" ref="D1622" ca="1">OFFSET(INDIRECT("'["&amp;$H1622&amp;"]"&amp;$I1622&amp;"'!"&amp;$J1622),$L1622,$M1622)*$K1622</f>
        <v>2.0699999999999998E-3</v>
      </c>
      <c r="F1622" s="4">
        <f t="shared" si="103"/>
        <v>15</v>
      </c>
      <c r="G1622" s="4" cm="1">
        <f t="array" ref="G1622">IF($C1622&gt;=25,F1622,IF($C1622&lt;16,INDEX(Sheet1!C:C,$F1622),$F1622))</f>
        <v>15</v>
      </c>
      <c r="H1622" s="4" t="str" cm="1">
        <f t="array" ref="H1622">INDEX(Sheet1!D:D,$G1622)</f>
        <v>t1140.xlsx</v>
      </c>
      <c r="I1622" s="4" t="str" cm="1">
        <f t="array" ref="I1622">INDEX(Sheet1!E:E,$G1622)</f>
        <v>Sheet1</v>
      </c>
      <c r="J1622" s="4" t="str" cm="1">
        <f t="array" ref="J1622">IF($C1622&gt;=25,INDEX(Sheet1!G:G,$G1622),INDEX(Sheet1!F:F,$G1622))</f>
        <v>B139</v>
      </c>
      <c r="K1622" s="4" cm="1">
        <f t="array" ref="K1622">INDEX(Sheet1!H:H,$G1622)</f>
        <v>1</v>
      </c>
      <c r="L1622" s="4">
        <f t="shared" si="100"/>
        <v>22</v>
      </c>
      <c r="M1622" s="4">
        <f t="shared" si="101"/>
        <v>0</v>
      </c>
    </row>
    <row r="1623" spans="1:13">
      <c r="A1623" s="4" t="str" cm="1">
        <f t="array" ref="A1623">INDEX(Sheet1!A:A,$F1623)</f>
        <v>F</v>
      </c>
      <c r="B1623" s="4" t="str" cm="1">
        <f t="array" ref="B1623">INDEX(Sheet1!B:B,$F1623)</f>
        <v>Undiff NS</v>
      </c>
      <c r="C1623" s="4">
        <f t="shared" si="102"/>
        <v>48</v>
      </c>
      <c r="D1623" s="5" cm="1">
        <f t="array" aca="1" ref="D1623" ca="1">OFFSET(INDIRECT("'["&amp;$H1623&amp;"]"&amp;$I1623&amp;"'!"&amp;$J1623),$L1623,$M1623)*$K1623</f>
        <v>2.2899999999999999E-3</v>
      </c>
      <c r="F1623" s="4">
        <f t="shared" si="103"/>
        <v>15</v>
      </c>
      <c r="G1623" s="4" cm="1">
        <f t="array" ref="G1623">IF($C1623&gt;=25,F1623,IF($C1623&lt;16,INDEX(Sheet1!C:C,$F1623),$F1623))</f>
        <v>15</v>
      </c>
      <c r="H1623" s="4" t="str" cm="1">
        <f t="array" ref="H1623">INDEX(Sheet1!D:D,$G1623)</f>
        <v>t1140.xlsx</v>
      </c>
      <c r="I1623" s="4" t="str" cm="1">
        <f t="array" ref="I1623">INDEX(Sheet1!E:E,$G1623)</f>
        <v>Sheet1</v>
      </c>
      <c r="J1623" s="4" t="str" cm="1">
        <f t="array" ref="J1623">IF($C1623&gt;=25,INDEX(Sheet1!G:G,$G1623),INDEX(Sheet1!F:F,$G1623))</f>
        <v>B139</v>
      </c>
      <c r="K1623" s="4" cm="1">
        <f t="array" ref="K1623">INDEX(Sheet1!H:H,$G1623)</f>
        <v>1</v>
      </c>
      <c r="L1623" s="4">
        <f t="shared" si="100"/>
        <v>23</v>
      </c>
      <c r="M1623" s="4">
        <f t="shared" si="101"/>
        <v>0</v>
      </c>
    </row>
    <row r="1624" spans="1:13">
      <c r="A1624" s="4" t="str" cm="1">
        <f t="array" ref="A1624">INDEX(Sheet1!A:A,$F1624)</f>
        <v>F</v>
      </c>
      <c r="B1624" s="4" t="str" cm="1">
        <f t="array" ref="B1624">INDEX(Sheet1!B:B,$F1624)</f>
        <v>Undiff NS</v>
      </c>
      <c r="C1624" s="4">
        <f t="shared" si="102"/>
        <v>49</v>
      </c>
      <c r="D1624" s="5" cm="1">
        <f t="array" aca="1" ref="D1624" ca="1">OFFSET(INDIRECT("'["&amp;$H1624&amp;"]"&amp;$I1624&amp;"'!"&amp;$J1624),$L1624,$M1624)*$K1624</f>
        <v>2.5300000000000001E-3</v>
      </c>
      <c r="F1624" s="4">
        <f t="shared" si="103"/>
        <v>15</v>
      </c>
      <c r="G1624" s="4" cm="1">
        <f t="array" ref="G1624">IF($C1624&gt;=25,F1624,IF($C1624&lt;16,INDEX(Sheet1!C:C,$F1624),$F1624))</f>
        <v>15</v>
      </c>
      <c r="H1624" s="4" t="str" cm="1">
        <f t="array" ref="H1624">INDEX(Sheet1!D:D,$G1624)</f>
        <v>t1140.xlsx</v>
      </c>
      <c r="I1624" s="4" t="str" cm="1">
        <f t="array" ref="I1624">INDEX(Sheet1!E:E,$G1624)</f>
        <v>Sheet1</v>
      </c>
      <c r="J1624" s="4" t="str" cm="1">
        <f t="array" ref="J1624">IF($C1624&gt;=25,INDEX(Sheet1!G:G,$G1624),INDEX(Sheet1!F:F,$G1624))</f>
        <v>B139</v>
      </c>
      <c r="K1624" s="4" cm="1">
        <f t="array" ref="K1624">INDEX(Sheet1!H:H,$G1624)</f>
        <v>1</v>
      </c>
      <c r="L1624" s="4">
        <f t="shared" si="100"/>
        <v>24</v>
      </c>
      <c r="M1624" s="4">
        <f t="shared" si="101"/>
        <v>0</v>
      </c>
    </row>
    <row r="1625" spans="1:13">
      <c r="A1625" s="4" t="str" cm="1">
        <f t="array" ref="A1625">INDEX(Sheet1!A:A,$F1625)</f>
        <v>F</v>
      </c>
      <c r="B1625" s="4" t="str" cm="1">
        <f t="array" ref="B1625">INDEX(Sheet1!B:B,$F1625)</f>
        <v>Undiff NS</v>
      </c>
      <c r="C1625" s="4">
        <f t="shared" si="102"/>
        <v>50</v>
      </c>
      <c r="D1625" s="5" cm="1">
        <f t="array" aca="1" ref="D1625" ca="1">OFFSET(INDIRECT("'["&amp;$H1625&amp;"]"&amp;$I1625&amp;"'!"&amp;$J1625),$L1625,$M1625)*$K1625</f>
        <v>2.81E-3</v>
      </c>
      <c r="F1625" s="4">
        <f t="shared" si="103"/>
        <v>15</v>
      </c>
      <c r="G1625" s="4" cm="1">
        <f t="array" ref="G1625">IF($C1625&gt;=25,F1625,IF($C1625&lt;16,INDEX(Sheet1!C:C,$F1625),$F1625))</f>
        <v>15</v>
      </c>
      <c r="H1625" s="4" t="str" cm="1">
        <f t="array" ref="H1625">INDEX(Sheet1!D:D,$G1625)</f>
        <v>t1140.xlsx</v>
      </c>
      <c r="I1625" s="4" t="str" cm="1">
        <f t="array" ref="I1625">INDEX(Sheet1!E:E,$G1625)</f>
        <v>Sheet1</v>
      </c>
      <c r="J1625" s="4" t="str" cm="1">
        <f t="array" ref="J1625">IF($C1625&gt;=25,INDEX(Sheet1!G:G,$G1625),INDEX(Sheet1!F:F,$G1625))</f>
        <v>B139</v>
      </c>
      <c r="K1625" s="4" cm="1">
        <f t="array" ref="K1625">INDEX(Sheet1!H:H,$G1625)</f>
        <v>1</v>
      </c>
      <c r="L1625" s="4">
        <f t="shared" si="100"/>
        <v>25</v>
      </c>
      <c r="M1625" s="4">
        <f t="shared" si="101"/>
        <v>0</v>
      </c>
    </row>
    <row r="1626" spans="1:13">
      <c r="A1626" s="4" t="str" cm="1">
        <f t="array" ref="A1626">INDEX(Sheet1!A:A,$F1626)</f>
        <v>F</v>
      </c>
      <c r="B1626" s="4" t="str" cm="1">
        <f t="array" ref="B1626">INDEX(Sheet1!B:B,$F1626)</f>
        <v>Undiff NS</v>
      </c>
      <c r="C1626" s="4">
        <f t="shared" si="102"/>
        <v>51</v>
      </c>
      <c r="D1626" s="5" cm="1">
        <f t="array" aca="1" ref="D1626" ca="1">OFFSET(INDIRECT("'["&amp;$H1626&amp;"]"&amp;$I1626&amp;"'!"&amp;$J1626),$L1626,$M1626)*$K1626</f>
        <v>3.1199999999999999E-3</v>
      </c>
      <c r="F1626" s="4">
        <f t="shared" si="103"/>
        <v>15</v>
      </c>
      <c r="G1626" s="4" cm="1">
        <f t="array" ref="G1626">IF($C1626&gt;=25,F1626,IF($C1626&lt;16,INDEX(Sheet1!C:C,$F1626),$F1626))</f>
        <v>15</v>
      </c>
      <c r="H1626" s="4" t="str" cm="1">
        <f t="array" ref="H1626">INDEX(Sheet1!D:D,$G1626)</f>
        <v>t1140.xlsx</v>
      </c>
      <c r="I1626" s="4" t="str" cm="1">
        <f t="array" ref="I1626">INDEX(Sheet1!E:E,$G1626)</f>
        <v>Sheet1</v>
      </c>
      <c r="J1626" s="4" t="str" cm="1">
        <f t="array" ref="J1626">IF($C1626&gt;=25,INDEX(Sheet1!G:G,$G1626),INDEX(Sheet1!F:F,$G1626))</f>
        <v>B139</v>
      </c>
      <c r="K1626" s="4" cm="1">
        <f t="array" ref="K1626">INDEX(Sheet1!H:H,$G1626)</f>
        <v>1</v>
      </c>
      <c r="L1626" s="4">
        <f t="shared" si="100"/>
        <v>26</v>
      </c>
      <c r="M1626" s="4">
        <f t="shared" si="101"/>
        <v>0</v>
      </c>
    </row>
    <row r="1627" spans="1:13">
      <c r="A1627" s="4" t="str" cm="1">
        <f t="array" ref="A1627">INDEX(Sheet1!A:A,$F1627)</f>
        <v>F</v>
      </c>
      <c r="B1627" s="4" t="str" cm="1">
        <f t="array" ref="B1627">INDEX(Sheet1!B:B,$F1627)</f>
        <v>Undiff NS</v>
      </c>
      <c r="C1627" s="4">
        <f t="shared" si="102"/>
        <v>52</v>
      </c>
      <c r="D1627" s="5" cm="1">
        <f t="array" aca="1" ref="D1627" ca="1">OFFSET(INDIRECT("'["&amp;$H1627&amp;"]"&amp;$I1627&amp;"'!"&amp;$J1627),$L1627,$M1627)*$K1627</f>
        <v>3.47E-3</v>
      </c>
      <c r="F1627" s="4">
        <f t="shared" si="103"/>
        <v>15</v>
      </c>
      <c r="G1627" s="4" cm="1">
        <f t="array" ref="G1627">IF($C1627&gt;=25,F1627,IF($C1627&lt;16,INDEX(Sheet1!C:C,$F1627),$F1627))</f>
        <v>15</v>
      </c>
      <c r="H1627" s="4" t="str" cm="1">
        <f t="array" ref="H1627">INDEX(Sheet1!D:D,$G1627)</f>
        <v>t1140.xlsx</v>
      </c>
      <c r="I1627" s="4" t="str" cm="1">
        <f t="array" ref="I1627">INDEX(Sheet1!E:E,$G1627)</f>
        <v>Sheet1</v>
      </c>
      <c r="J1627" s="4" t="str" cm="1">
        <f t="array" ref="J1627">IF($C1627&gt;=25,INDEX(Sheet1!G:G,$G1627),INDEX(Sheet1!F:F,$G1627))</f>
        <v>B139</v>
      </c>
      <c r="K1627" s="4" cm="1">
        <f t="array" ref="K1627">INDEX(Sheet1!H:H,$G1627)</f>
        <v>1</v>
      </c>
      <c r="L1627" s="4">
        <f t="shared" si="100"/>
        <v>27</v>
      </c>
      <c r="M1627" s="4">
        <f t="shared" si="101"/>
        <v>0</v>
      </c>
    </row>
    <row r="1628" spans="1:13">
      <c r="A1628" s="4" t="str" cm="1">
        <f t="array" ref="A1628">INDEX(Sheet1!A:A,$F1628)</f>
        <v>F</v>
      </c>
      <c r="B1628" s="4" t="str" cm="1">
        <f t="array" ref="B1628">INDEX(Sheet1!B:B,$F1628)</f>
        <v>Undiff NS</v>
      </c>
      <c r="C1628" s="4">
        <f t="shared" si="102"/>
        <v>53</v>
      </c>
      <c r="D1628" s="5" cm="1">
        <f t="array" aca="1" ref="D1628" ca="1">OFFSET(INDIRECT("'["&amp;$H1628&amp;"]"&amp;$I1628&amp;"'!"&amp;$J1628),$L1628,$M1628)*$K1628</f>
        <v>3.8500000000000001E-3</v>
      </c>
      <c r="F1628" s="4">
        <f t="shared" si="103"/>
        <v>15</v>
      </c>
      <c r="G1628" s="4" cm="1">
        <f t="array" ref="G1628">IF($C1628&gt;=25,F1628,IF($C1628&lt;16,INDEX(Sheet1!C:C,$F1628),$F1628))</f>
        <v>15</v>
      </c>
      <c r="H1628" s="4" t="str" cm="1">
        <f t="array" ref="H1628">INDEX(Sheet1!D:D,$G1628)</f>
        <v>t1140.xlsx</v>
      </c>
      <c r="I1628" s="4" t="str" cm="1">
        <f t="array" ref="I1628">INDEX(Sheet1!E:E,$G1628)</f>
        <v>Sheet1</v>
      </c>
      <c r="J1628" s="4" t="str" cm="1">
        <f t="array" ref="J1628">IF($C1628&gt;=25,INDEX(Sheet1!G:G,$G1628),INDEX(Sheet1!F:F,$G1628))</f>
        <v>B139</v>
      </c>
      <c r="K1628" s="4" cm="1">
        <f t="array" ref="K1628">INDEX(Sheet1!H:H,$G1628)</f>
        <v>1</v>
      </c>
      <c r="L1628" s="4">
        <f t="shared" si="100"/>
        <v>28</v>
      </c>
      <c r="M1628" s="4">
        <f t="shared" si="101"/>
        <v>0</v>
      </c>
    </row>
    <row r="1629" spans="1:13">
      <c r="A1629" s="4" t="str" cm="1">
        <f t="array" ref="A1629">INDEX(Sheet1!A:A,$F1629)</f>
        <v>F</v>
      </c>
      <c r="B1629" s="4" t="str" cm="1">
        <f t="array" ref="B1629">INDEX(Sheet1!B:B,$F1629)</f>
        <v>Undiff NS</v>
      </c>
      <c r="C1629" s="4">
        <f t="shared" si="102"/>
        <v>54</v>
      </c>
      <c r="D1629" s="5" cm="1">
        <f t="array" aca="1" ref="D1629" ca="1">OFFSET(INDIRECT("'["&amp;$H1629&amp;"]"&amp;$I1629&amp;"'!"&amp;$J1629),$L1629,$M1629)*$K1629</f>
        <v>4.2500000000000003E-3</v>
      </c>
      <c r="F1629" s="4">
        <f t="shared" si="103"/>
        <v>15</v>
      </c>
      <c r="G1629" s="4" cm="1">
        <f t="array" ref="G1629">IF($C1629&gt;=25,F1629,IF($C1629&lt;16,INDEX(Sheet1!C:C,$F1629),$F1629))</f>
        <v>15</v>
      </c>
      <c r="H1629" s="4" t="str" cm="1">
        <f t="array" ref="H1629">INDEX(Sheet1!D:D,$G1629)</f>
        <v>t1140.xlsx</v>
      </c>
      <c r="I1629" s="4" t="str" cm="1">
        <f t="array" ref="I1629">INDEX(Sheet1!E:E,$G1629)</f>
        <v>Sheet1</v>
      </c>
      <c r="J1629" s="4" t="str" cm="1">
        <f t="array" ref="J1629">IF($C1629&gt;=25,INDEX(Sheet1!G:G,$G1629),INDEX(Sheet1!F:F,$G1629))</f>
        <v>B139</v>
      </c>
      <c r="K1629" s="4" cm="1">
        <f t="array" ref="K1629">INDEX(Sheet1!H:H,$G1629)</f>
        <v>1</v>
      </c>
      <c r="L1629" s="4">
        <f t="shared" si="100"/>
        <v>29</v>
      </c>
      <c r="M1629" s="4">
        <f t="shared" si="101"/>
        <v>0</v>
      </c>
    </row>
    <row r="1630" spans="1:13">
      <c r="A1630" s="4" t="str" cm="1">
        <f t="array" ref="A1630">INDEX(Sheet1!A:A,$F1630)</f>
        <v>F</v>
      </c>
      <c r="B1630" s="4" t="str" cm="1">
        <f t="array" ref="B1630">INDEX(Sheet1!B:B,$F1630)</f>
        <v>Undiff NS</v>
      </c>
      <c r="C1630" s="4">
        <f t="shared" si="102"/>
        <v>55</v>
      </c>
      <c r="D1630" s="5" cm="1">
        <f t="array" aca="1" ref="D1630" ca="1">OFFSET(INDIRECT("'["&amp;$H1630&amp;"]"&amp;$I1630&amp;"'!"&amp;$J1630),$L1630,$M1630)*$K1630</f>
        <v>4.6800000000000001E-3</v>
      </c>
      <c r="F1630" s="4">
        <f t="shared" si="103"/>
        <v>15</v>
      </c>
      <c r="G1630" s="4" cm="1">
        <f t="array" ref="G1630">IF($C1630&gt;=25,F1630,IF($C1630&lt;16,INDEX(Sheet1!C:C,$F1630),$F1630))</f>
        <v>15</v>
      </c>
      <c r="H1630" s="4" t="str" cm="1">
        <f t="array" ref="H1630">INDEX(Sheet1!D:D,$G1630)</f>
        <v>t1140.xlsx</v>
      </c>
      <c r="I1630" s="4" t="str" cm="1">
        <f t="array" ref="I1630">INDEX(Sheet1!E:E,$G1630)</f>
        <v>Sheet1</v>
      </c>
      <c r="J1630" s="4" t="str" cm="1">
        <f t="array" ref="J1630">IF($C1630&gt;=25,INDEX(Sheet1!G:G,$G1630),INDEX(Sheet1!F:F,$G1630))</f>
        <v>B139</v>
      </c>
      <c r="K1630" s="4" cm="1">
        <f t="array" ref="K1630">INDEX(Sheet1!H:H,$G1630)</f>
        <v>1</v>
      </c>
      <c r="L1630" s="4">
        <f t="shared" si="100"/>
        <v>30</v>
      </c>
      <c r="M1630" s="4">
        <f t="shared" si="101"/>
        <v>0</v>
      </c>
    </row>
    <row r="1631" spans="1:13">
      <c r="A1631" s="4" t="str" cm="1">
        <f t="array" ref="A1631">INDEX(Sheet1!A:A,$F1631)</f>
        <v>F</v>
      </c>
      <c r="B1631" s="4" t="str" cm="1">
        <f t="array" ref="B1631">INDEX(Sheet1!B:B,$F1631)</f>
        <v>Undiff NS</v>
      </c>
      <c r="C1631" s="4">
        <f t="shared" si="102"/>
        <v>56</v>
      </c>
      <c r="D1631" s="5" cm="1">
        <f t="array" aca="1" ref="D1631" ca="1">OFFSET(INDIRECT("'["&amp;$H1631&amp;"]"&amp;$I1631&amp;"'!"&amp;$J1631),$L1631,$M1631)*$K1631</f>
        <v>5.1799999999999997E-3</v>
      </c>
      <c r="F1631" s="4">
        <f t="shared" si="103"/>
        <v>15</v>
      </c>
      <c r="G1631" s="4" cm="1">
        <f t="array" ref="G1631">IF($C1631&gt;=25,F1631,IF($C1631&lt;16,INDEX(Sheet1!C:C,$F1631),$F1631))</f>
        <v>15</v>
      </c>
      <c r="H1631" s="4" t="str" cm="1">
        <f t="array" ref="H1631">INDEX(Sheet1!D:D,$G1631)</f>
        <v>t1140.xlsx</v>
      </c>
      <c r="I1631" s="4" t="str" cm="1">
        <f t="array" ref="I1631">INDEX(Sheet1!E:E,$G1631)</f>
        <v>Sheet1</v>
      </c>
      <c r="J1631" s="4" t="str" cm="1">
        <f t="array" ref="J1631">IF($C1631&gt;=25,INDEX(Sheet1!G:G,$G1631),INDEX(Sheet1!F:F,$G1631))</f>
        <v>B139</v>
      </c>
      <c r="K1631" s="4" cm="1">
        <f t="array" ref="K1631">INDEX(Sheet1!H:H,$G1631)</f>
        <v>1</v>
      </c>
      <c r="L1631" s="4">
        <f t="shared" si="100"/>
        <v>31</v>
      </c>
      <c r="M1631" s="4">
        <f t="shared" si="101"/>
        <v>0</v>
      </c>
    </row>
    <row r="1632" spans="1:13">
      <c r="A1632" s="4" t="str" cm="1">
        <f t="array" ref="A1632">INDEX(Sheet1!A:A,$F1632)</f>
        <v>F</v>
      </c>
      <c r="B1632" s="4" t="str" cm="1">
        <f t="array" ref="B1632">INDEX(Sheet1!B:B,$F1632)</f>
        <v>Undiff NS</v>
      </c>
      <c r="C1632" s="4">
        <f t="shared" si="102"/>
        <v>57</v>
      </c>
      <c r="D1632" s="5" cm="1">
        <f t="array" aca="1" ref="D1632" ca="1">OFFSET(INDIRECT("'["&amp;$H1632&amp;"]"&amp;$I1632&amp;"'!"&amp;$J1632),$L1632,$M1632)*$K1632</f>
        <v>5.7000000000000002E-3</v>
      </c>
      <c r="F1632" s="4">
        <f t="shared" si="103"/>
        <v>15</v>
      </c>
      <c r="G1632" s="4" cm="1">
        <f t="array" ref="G1632">IF($C1632&gt;=25,F1632,IF($C1632&lt;16,INDEX(Sheet1!C:C,$F1632),$F1632))</f>
        <v>15</v>
      </c>
      <c r="H1632" s="4" t="str" cm="1">
        <f t="array" ref="H1632">INDEX(Sheet1!D:D,$G1632)</f>
        <v>t1140.xlsx</v>
      </c>
      <c r="I1632" s="4" t="str" cm="1">
        <f t="array" ref="I1632">INDEX(Sheet1!E:E,$G1632)</f>
        <v>Sheet1</v>
      </c>
      <c r="J1632" s="4" t="str" cm="1">
        <f t="array" ref="J1632">IF($C1632&gt;=25,INDEX(Sheet1!G:G,$G1632),INDEX(Sheet1!F:F,$G1632))</f>
        <v>B139</v>
      </c>
      <c r="K1632" s="4" cm="1">
        <f t="array" ref="K1632">INDEX(Sheet1!H:H,$G1632)</f>
        <v>1</v>
      </c>
      <c r="L1632" s="4">
        <f t="shared" si="100"/>
        <v>32</v>
      </c>
      <c r="M1632" s="4">
        <f t="shared" si="101"/>
        <v>0</v>
      </c>
    </row>
    <row r="1633" spans="1:13">
      <c r="A1633" s="4" t="str" cm="1">
        <f t="array" ref="A1633">INDEX(Sheet1!A:A,$F1633)</f>
        <v>F</v>
      </c>
      <c r="B1633" s="4" t="str" cm="1">
        <f t="array" ref="B1633">INDEX(Sheet1!B:B,$F1633)</f>
        <v>Undiff NS</v>
      </c>
      <c r="C1633" s="4">
        <f t="shared" si="102"/>
        <v>58</v>
      </c>
      <c r="D1633" s="5" cm="1">
        <f t="array" aca="1" ref="D1633" ca="1">OFFSET(INDIRECT("'["&amp;$H1633&amp;"]"&amp;$I1633&amp;"'!"&amp;$J1633),$L1633,$M1633)*$K1633</f>
        <v>6.2599999999999999E-3</v>
      </c>
      <c r="F1633" s="4">
        <f t="shared" si="103"/>
        <v>15</v>
      </c>
      <c r="G1633" s="4" cm="1">
        <f t="array" ref="G1633">IF($C1633&gt;=25,F1633,IF($C1633&lt;16,INDEX(Sheet1!C:C,$F1633),$F1633))</f>
        <v>15</v>
      </c>
      <c r="H1633" s="4" t="str" cm="1">
        <f t="array" ref="H1633">INDEX(Sheet1!D:D,$G1633)</f>
        <v>t1140.xlsx</v>
      </c>
      <c r="I1633" s="4" t="str" cm="1">
        <f t="array" ref="I1633">INDEX(Sheet1!E:E,$G1633)</f>
        <v>Sheet1</v>
      </c>
      <c r="J1633" s="4" t="str" cm="1">
        <f t="array" ref="J1633">IF($C1633&gt;=25,INDEX(Sheet1!G:G,$G1633),INDEX(Sheet1!F:F,$G1633))</f>
        <v>B139</v>
      </c>
      <c r="K1633" s="4" cm="1">
        <f t="array" ref="K1633">INDEX(Sheet1!H:H,$G1633)</f>
        <v>1</v>
      </c>
      <c r="L1633" s="4">
        <f t="shared" si="100"/>
        <v>33</v>
      </c>
      <c r="M1633" s="4">
        <f t="shared" si="101"/>
        <v>0</v>
      </c>
    </row>
    <row r="1634" spans="1:13">
      <c r="A1634" s="4" t="str" cm="1">
        <f t="array" ref="A1634">INDEX(Sheet1!A:A,$F1634)</f>
        <v>F</v>
      </c>
      <c r="B1634" s="4" t="str" cm="1">
        <f t="array" ref="B1634">INDEX(Sheet1!B:B,$F1634)</f>
        <v>Undiff NS</v>
      </c>
      <c r="C1634" s="4">
        <f t="shared" si="102"/>
        <v>59</v>
      </c>
      <c r="D1634" s="5" cm="1">
        <f t="array" aca="1" ref="D1634" ca="1">OFFSET(INDIRECT("'["&amp;$H1634&amp;"]"&amp;$I1634&amp;"'!"&amp;$J1634),$L1634,$M1634)*$K1634</f>
        <v>6.8199999999999997E-3</v>
      </c>
      <c r="F1634" s="4">
        <f t="shared" si="103"/>
        <v>15</v>
      </c>
      <c r="G1634" s="4" cm="1">
        <f t="array" ref="G1634">IF($C1634&gt;=25,F1634,IF($C1634&lt;16,INDEX(Sheet1!C:C,$F1634),$F1634))</f>
        <v>15</v>
      </c>
      <c r="H1634" s="4" t="str" cm="1">
        <f t="array" ref="H1634">INDEX(Sheet1!D:D,$G1634)</f>
        <v>t1140.xlsx</v>
      </c>
      <c r="I1634" s="4" t="str" cm="1">
        <f t="array" ref="I1634">INDEX(Sheet1!E:E,$G1634)</f>
        <v>Sheet1</v>
      </c>
      <c r="J1634" s="4" t="str" cm="1">
        <f t="array" ref="J1634">IF($C1634&gt;=25,INDEX(Sheet1!G:G,$G1634),INDEX(Sheet1!F:F,$G1634))</f>
        <v>B139</v>
      </c>
      <c r="K1634" s="4" cm="1">
        <f t="array" ref="K1634">INDEX(Sheet1!H:H,$G1634)</f>
        <v>1</v>
      </c>
      <c r="L1634" s="4">
        <f t="shared" si="100"/>
        <v>34</v>
      </c>
      <c r="M1634" s="4">
        <f t="shared" si="101"/>
        <v>0</v>
      </c>
    </row>
    <row r="1635" spans="1:13">
      <c r="A1635" s="4" t="str" cm="1">
        <f t="array" ref="A1635">INDEX(Sheet1!A:A,$F1635)</f>
        <v>F</v>
      </c>
      <c r="B1635" s="4" t="str" cm="1">
        <f t="array" ref="B1635">INDEX(Sheet1!B:B,$F1635)</f>
        <v>Undiff NS</v>
      </c>
      <c r="C1635" s="4">
        <f t="shared" si="102"/>
        <v>60</v>
      </c>
      <c r="D1635" s="5" cm="1">
        <f t="array" aca="1" ref="D1635" ca="1">OFFSET(INDIRECT("'["&amp;$H1635&amp;"]"&amp;$I1635&amp;"'!"&amp;$J1635),$L1635,$M1635)*$K1635</f>
        <v>7.4000000000000003E-3</v>
      </c>
      <c r="F1635" s="4">
        <f t="shared" si="103"/>
        <v>15</v>
      </c>
      <c r="G1635" s="4" cm="1">
        <f t="array" ref="G1635">IF($C1635&gt;=25,F1635,IF($C1635&lt;16,INDEX(Sheet1!C:C,$F1635),$F1635))</f>
        <v>15</v>
      </c>
      <c r="H1635" s="4" t="str" cm="1">
        <f t="array" ref="H1635">INDEX(Sheet1!D:D,$G1635)</f>
        <v>t1140.xlsx</v>
      </c>
      <c r="I1635" s="4" t="str" cm="1">
        <f t="array" ref="I1635">INDEX(Sheet1!E:E,$G1635)</f>
        <v>Sheet1</v>
      </c>
      <c r="J1635" s="4" t="str" cm="1">
        <f t="array" ref="J1635">IF($C1635&gt;=25,INDEX(Sheet1!G:G,$G1635),INDEX(Sheet1!F:F,$G1635))</f>
        <v>B139</v>
      </c>
      <c r="K1635" s="4" cm="1">
        <f t="array" ref="K1635">INDEX(Sheet1!H:H,$G1635)</f>
        <v>1</v>
      </c>
      <c r="L1635" s="4">
        <f t="shared" si="100"/>
        <v>35</v>
      </c>
      <c r="M1635" s="4">
        <f t="shared" si="101"/>
        <v>0</v>
      </c>
    </row>
    <row r="1636" spans="1:13">
      <c r="A1636" s="4" t="str" cm="1">
        <f t="array" ref="A1636">INDEX(Sheet1!A:A,$F1636)</f>
        <v>F</v>
      </c>
      <c r="B1636" s="4" t="str" cm="1">
        <f t="array" ref="B1636">INDEX(Sheet1!B:B,$F1636)</f>
        <v>Undiff NS</v>
      </c>
      <c r="C1636" s="4">
        <f t="shared" si="102"/>
        <v>61</v>
      </c>
      <c r="D1636" s="5" cm="1">
        <f t="array" aca="1" ref="D1636" ca="1">OFFSET(INDIRECT("'["&amp;$H1636&amp;"]"&amp;$I1636&amp;"'!"&amp;$J1636),$L1636,$M1636)*$K1636</f>
        <v>8.0300000000000007E-3</v>
      </c>
      <c r="F1636" s="4">
        <f t="shared" si="103"/>
        <v>15</v>
      </c>
      <c r="G1636" s="4" cm="1">
        <f t="array" ref="G1636">IF($C1636&gt;=25,F1636,IF($C1636&lt;16,INDEX(Sheet1!C:C,$F1636),$F1636))</f>
        <v>15</v>
      </c>
      <c r="H1636" s="4" t="str" cm="1">
        <f t="array" ref="H1636">INDEX(Sheet1!D:D,$G1636)</f>
        <v>t1140.xlsx</v>
      </c>
      <c r="I1636" s="4" t="str" cm="1">
        <f t="array" ref="I1636">INDEX(Sheet1!E:E,$G1636)</f>
        <v>Sheet1</v>
      </c>
      <c r="J1636" s="4" t="str" cm="1">
        <f t="array" ref="J1636">IF($C1636&gt;=25,INDEX(Sheet1!G:G,$G1636),INDEX(Sheet1!F:F,$G1636))</f>
        <v>B139</v>
      </c>
      <c r="K1636" s="4" cm="1">
        <f t="array" ref="K1636">INDEX(Sheet1!H:H,$G1636)</f>
        <v>1</v>
      </c>
      <c r="L1636" s="4">
        <f t="shared" si="100"/>
        <v>36</v>
      </c>
      <c r="M1636" s="4">
        <f t="shared" si="101"/>
        <v>0</v>
      </c>
    </row>
    <row r="1637" spans="1:13">
      <c r="A1637" s="4" t="str" cm="1">
        <f t="array" ref="A1637">INDEX(Sheet1!A:A,$F1637)</f>
        <v>F</v>
      </c>
      <c r="B1637" s="4" t="str" cm="1">
        <f t="array" ref="B1637">INDEX(Sheet1!B:B,$F1637)</f>
        <v>Undiff NS</v>
      </c>
      <c r="C1637" s="4">
        <f t="shared" si="102"/>
        <v>62</v>
      </c>
      <c r="D1637" s="5" cm="1">
        <f t="array" aca="1" ref="D1637" ca="1">OFFSET(INDIRECT("'["&amp;$H1637&amp;"]"&amp;$I1637&amp;"'!"&amp;$J1637),$L1637,$M1637)*$K1637</f>
        <v>8.7200000000000003E-3</v>
      </c>
      <c r="F1637" s="4">
        <f t="shared" si="103"/>
        <v>15</v>
      </c>
      <c r="G1637" s="4" cm="1">
        <f t="array" ref="G1637">IF($C1637&gt;=25,F1637,IF($C1637&lt;16,INDEX(Sheet1!C:C,$F1637),$F1637))</f>
        <v>15</v>
      </c>
      <c r="H1637" s="4" t="str" cm="1">
        <f t="array" ref="H1637">INDEX(Sheet1!D:D,$G1637)</f>
        <v>t1140.xlsx</v>
      </c>
      <c r="I1637" s="4" t="str" cm="1">
        <f t="array" ref="I1637">INDEX(Sheet1!E:E,$G1637)</f>
        <v>Sheet1</v>
      </c>
      <c r="J1637" s="4" t="str" cm="1">
        <f t="array" ref="J1637">IF($C1637&gt;=25,INDEX(Sheet1!G:G,$G1637),INDEX(Sheet1!F:F,$G1637))</f>
        <v>B139</v>
      </c>
      <c r="K1637" s="4" cm="1">
        <f t="array" ref="K1637">INDEX(Sheet1!H:H,$G1637)</f>
        <v>1</v>
      </c>
      <c r="L1637" s="4">
        <f t="shared" si="100"/>
        <v>37</v>
      </c>
      <c r="M1637" s="4">
        <f t="shared" si="101"/>
        <v>0</v>
      </c>
    </row>
    <row r="1638" spans="1:13">
      <c r="A1638" s="4" t="str" cm="1">
        <f t="array" ref="A1638">INDEX(Sheet1!A:A,$F1638)</f>
        <v>F</v>
      </c>
      <c r="B1638" s="4" t="str" cm="1">
        <f t="array" ref="B1638">INDEX(Sheet1!B:B,$F1638)</f>
        <v>Undiff NS</v>
      </c>
      <c r="C1638" s="4">
        <f t="shared" si="102"/>
        <v>63</v>
      </c>
      <c r="D1638" s="5" cm="1">
        <f t="array" aca="1" ref="D1638" ca="1">OFFSET(INDIRECT("'["&amp;$H1638&amp;"]"&amp;$I1638&amp;"'!"&amp;$J1638),$L1638,$M1638)*$K1638</f>
        <v>9.4299999999999991E-3</v>
      </c>
      <c r="F1638" s="4">
        <f t="shared" si="103"/>
        <v>15</v>
      </c>
      <c r="G1638" s="4" cm="1">
        <f t="array" ref="G1638">IF($C1638&gt;=25,F1638,IF($C1638&lt;16,INDEX(Sheet1!C:C,$F1638),$F1638))</f>
        <v>15</v>
      </c>
      <c r="H1638" s="4" t="str" cm="1">
        <f t="array" ref="H1638">INDEX(Sheet1!D:D,$G1638)</f>
        <v>t1140.xlsx</v>
      </c>
      <c r="I1638" s="4" t="str" cm="1">
        <f t="array" ref="I1638">INDEX(Sheet1!E:E,$G1638)</f>
        <v>Sheet1</v>
      </c>
      <c r="J1638" s="4" t="str" cm="1">
        <f t="array" ref="J1638">IF($C1638&gt;=25,INDEX(Sheet1!G:G,$G1638),INDEX(Sheet1!F:F,$G1638))</f>
        <v>B139</v>
      </c>
      <c r="K1638" s="4" cm="1">
        <f t="array" ref="K1638">INDEX(Sheet1!H:H,$G1638)</f>
        <v>1</v>
      </c>
      <c r="L1638" s="4">
        <f t="shared" si="100"/>
        <v>38</v>
      </c>
      <c r="M1638" s="4">
        <f t="shared" si="101"/>
        <v>0</v>
      </c>
    </row>
    <row r="1639" spans="1:13">
      <c r="A1639" s="4" t="str" cm="1">
        <f t="array" ref="A1639">INDEX(Sheet1!A:A,$F1639)</f>
        <v>F</v>
      </c>
      <c r="B1639" s="4" t="str" cm="1">
        <f t="array" ref="B1639">INDEX(Sheet1!B:B,$F1639)</f>
        <v>Undiff NS</v>
      </c>
      <c r="C1639" s="4">
        <f t="shared" si="102"/>
        <v>64</v>
      </c>
      <c r="D1639" s="5" cm="1">
        <f t="array" aca="1" ref="D1639" ca="1">OFFSET(INDIRECT("'["&amp;$H1639&amp;"]"&amp;$I1639&amp;"'!"&amp;$J1639),$L1639,$M1639)*$K1639</f>
        <v>1.0200000000000001E-2</v>
      </c>
      <c r="F1639" s="4">
        <f t="shared" si="103"/>
        <v>15</v>
      </c>
      <c r="G1639" s="4" cm="1">
        <f t="array" ref="G1639">IF($C1639&gt;=25,F1639,IF($C1639&lt;16,INDEX(Sheet1!C:C,$F1639),$F1639))</f>
        <v>15</v>
      </c>
      <c r="H1639" s="4" t="str" cm="1">
        <f t="array" ref="H1639">INDEX(Sheet1!D:D,$G1639)</f>
        <v>t1140.xlsx</v>
      </c>
      <c r="I1639" s="4" t="str" cm="1">
        <f t="array" ref="I1639">INDEX(Sheet1!E:E,$G1639)</f>
        <v>Sheet1</v>
      </c>
      <c r="J1639" s="4" t="str" cm="1">
        <f t="array" ref="J1639">IF($C1639&gt;=25,INDEX(Sheet1!G:G,$G1639),INDEX(Sheet1!F:F,$G1639))</f>
        <v>B139</v>
      </c>
      <c r="K1639" s="4" cm="1">
        <f t="array" ref="K1639">INDEX(Sheet1!H:H,$G1639)</f>
        <v>1</v>
      </c>
      <c r="L1639" s="4">
        <f t="shared" si="100"/>
        <v>39</v>
      </c>
      <c r="M1639" s="4">
        <f t="shared" si="101"/>
        <v>0</v>
      </c>
    </row>
    <row r="1640" spans="1:13">
      <c r="A1640" s="4" t="str" cm="1">
        <f t="array" ref="A1640">INDEX(Sheet1!A:A,$F1640)</f>
        <v>F</v>
      </c>
      <c r="B1640" s="4" t="str" cm="1">
        <f t="array" ref="B1640">INDEX(Sheet1!B:B,$F1640)</f>
        <v>Undiff NS</v>
      </c>
      <c r="C1640" s="4">
        <f t="shared" si="102"/>
        <v>65</v>
      </c>
      <c r="D1640" s="5" cm="1">
        <f t="array" aca="1" ref="D1640" ca="1">OFFSET(INDIRECT("'["&amp;$H1640&amp;"]"&amp;$I1640&amp;"'!"&amp;$J1640),$L1640,$M1640)*$K1640</f>
        <v>1.1050000000000001E-2</v>
      </c>
      <c r="F1640" s="4">
        <f t="shared" si="103"/>
        <v>15</v>
      </c>
      <c r="G1640" s="4" cm="1">
        <f t="array" ref="G1640">IF($C1640&gt;=25,F1640,IF($C1640&lt;16,INDEX(Sheet1!C:C,$F1640),$F1640))</f>
        <v>15</v>
      </c>
      <c r="H1640" s="4" t="str" cm="1">
        <f t="array" ref="H1640">INDEX(Sheet1!D:D,$G1640)</f>
        <v>t1140.xlsx</v>
      </c>
      <c r="I1640" s="4" t="str" cm="1">
        <f t="array" ref="I1640">INDEX(Sheet1!E:E,$G1640)</f>
        <v>Sheet1</v>
      </c>
      <c r="J1640" s="4" t="str" cm="1">
        <f t="array" ref="J1640">IF($C1640&gt;=25,INDEX(Sheet1!G:G,$G1640),INDEX(Sheet1!F:F,$G1640))</f>
        <v>B139</v>
      </c>
      <c r="K1640" s="4" cm="1">
        <f t="array" ref="K1640">INDEX(Sheet1!H:H,$G1640)</f>
        <v>1</v>
      </c>
      <c r="L1640" s="4">
        <f t="shared" si="100"/>
        <v>40</v>
      </c>
      <c r="M1640" s="4">
        <f t="shared" si="101"/>
        <v>0</v>
      </c>
    </row>
    <row r="1641" spans="1:13">
      <c r="A1641" s="4" t="str" cm="1">
        <f t="array" ref="A1641">INDEX(Sheet1!A:A,$F1641)</f>
        <v>F</v>
      </c>
      <c r="B1641" s="4" t="str" cm="1">
        <f t="array" ref="B1641">INDEX(Sheet1!B:B,$F1641)</f>
        <v>Undiff NS</v>
      </c>
      <c r="C1641" s="4">
        <f t="shared" si="102"/>
        <v>66</v>
      </c>
      <c r="D1641" s="5" cm="1">
        <f t="array" aca="1" ref="D1641" ca="1">OFFSET(INDIRECT("'["&amp;$H1641&amp;"]"&amp;$I1641&amp;"'!"&amp;$J1641),$L1641,$M1641)*$K1641</f>
        <v>1.1990000000000001E-2</v>
      </c>
      <c r="F1641" s="4">
        <f t="shared" si="103"/>
        <v>15</v>
      </c>
      <c r="G1641" s="4" cm="1">
        <f t="array" ref="G1641">IF($C1641&gt;=25,F1641,IF($C1641&lt;16,INDEX(Sheet1!C:C,$F1641),$F1641))</f>
        <v>15</v>
      </c>
      <c r="H1641" s="4" t="str" cm="1">
        <f t="array" ref="H1641">INDEX(Sheet1!D:D,$G1641)</f>
        <v>t1140.xlsx</v>
      </c>
      <c r="I1641" s="4" t="str" cm="1">
        <f t="array" ref="I1641">INDEX(Sheet1!E:E,$G1641)</f>
        <v>Sheet1</v>
      </c>
      <c r="J1641" s="4" t="str" cm="1">
        <f t="array" ref="J1641">IF($C1641&gt;=25,INDEX(Sheet1!G:G,$G1641),INDEX(Sheet1!F:F,$G1641))</f>
        <v>B139</v>
      </c>
      <c r="K1641" s="4" cm="1">
        <f t="array" ref="K1641">INDEX(Sheet1!H:H,$G1641)</f>
        <v>1</v>
      </c>
      <c r="L1641" s="4">
        <f t="shared" si="100"/>
        <v>41</v>
      </c>
      <c r="M1641" s="4">
        <f t="shared" si="101"/>
        <v>0</v>
      </c>
    </row>
    <row r="1642" spans="1:13">
      <c r="A1642" s="4" t="str" cm="1">
        <f t="array" ref="A1642">INDEX(Sheet1!A:A,$F1642)</f>
        <v>F</v>
      </c>
      <c r="B1642" s="4" t="str" cm="1">
        <f t="array" ref="B1642">INDEX(Sheet1!B:B,$F1642)</f>
        <v>Undiff NS</v>
      </c>
      <c r="C1642" s="4">
        <f t="shared" si="102"/>
        <v>67</v>
      </c>
      <c r="D1642" s="5" cm="1">
        <f t="array" aca="1" ref="D1642" ca="1">OFFSET(INDIRECT("'["&amp;$H1642&amp;"]"&amp;$I1642&amp;"'!"&amp;$J1642),$L1642,$M1642)*$K1642</f>
        <v>1.302E-2</v>
      </c>
      <c r="F1642" s="4">
        <f t="shared" si="103"/>
        <v>15</v>
      </c>
      <c r="G1642" s="4" cm="1">
        <f t="array" ref="G1642">IF($C1642&gt;=25,F1642,IF($C1642&lt;16,INDEX(Sheet1!C:C,$F1642),$F1642))</f>
        <v>15</v>
      </c>
      <c r="H1642" s="4" t="str" cm="1">
        <f t="array" ref="H1642">INDEX(Sheet1!D:D,$G1642)</f>
        <v>t1140.xlsx</v>
      </c>
      <c r="I1642" s="4" t="str" cm="1">
        <f t="array" ref="I1642">INDEX(Sheet1!E:E,$G1642)</f>
        <v>Sheet1</v>
      </c>
      <c r="J1642" s="4" t="str" cm="1">
        <f t="array" ref="J1642">IF($C1642&gt;=25,INDEX(Sheet1!G:G,$G1642),INDEX(Sheet1!F:F,$G1642))</f>
        <v>B139</v>
      </c>
      <c r="K1642" s="4" cm="1">
        <f t="array" ref="K1642">INDEX(Sheet1!H:H,$G1642)</f>
        <v>1</v>
      </c>
      <c r="L1642" s="4">
        <f t="shared" si="100"/>
        <v>42</v>
      </c>
      <c r="M1642" s="4">
        <f t="shared" si="101"/>
        <v>0</v>
      </c>
    </row>
    <row r="1643" spans="1:13">
      <c r="A1643" s="4" t="str" cm="1">
        <f t="array" ref="A1643">INDEX(Sheet1!A:A,$F1643)</f>
        <v>F</v>
      </c>
      <c r="B1643" s="4" t="str" cm="1">
        <f t="array" ref="B1643">INDEX(Sheet1!B:B,$F1643)</f>
        <v>Undiff NS</v>
      </c>
      <c r="C1643" s="4">
        <f t="shared" si="102"/>
        <v>68</v>
      </c>
      <c r="D1643" s="5" cm="1">
        <f t="array" aca="1" ref="D1643" ca="1">OFFSET(INDIRECT("'["&amp;$H1643&amp;"]"&amp;$I1643&amp;"'!"&amp;$J1643),$L1643,$M1643)*$K1643</f>
        <v>1.417E-2</v>
      </c>
      <c r="F1643" s="4">
        <f t="shared" si="103"/>
        <v>15</v>
      </c>
      <c r="G1643" s="4" cm="1">
        <f t="array" ref="G1643">IF($C1643&gt;=25,F1643,IF($C1643&lt;16,INDEX(Sheet1!C:C,$F1643),$F1643))</f>
        <v>15</v>
      </c>
      <c r="H1643" s="4" t="str" cm="1">
        <f t="array" ref="H1643">INDEX(Sheet1!D:D,$G1643)</f>
        <v>t1140.xlsx</v>
      </c>
      <c r="I1643" s="4" t="str" cm="1">
        <f t="array" ref="I1643">INDEX(Sheet1!E:E,$G1643)</f>
        <v>Sheet1</v>
      </c>
      <c r="J1643" s="4" t="str" cm="1">
        <f t="array" ref="J1643">IF($C1643&gt;=25,INDEX(Sheet1!G:G,$G1643),INDEX(Sheet1!F:F,$G1643))</f>
        <v>B139</v>
      </c>
      <c r="K1643" s="4" cm="1">
        <f t="array" ref="K1643">INDEX(Sheet1!H:H,$G1643)</f>
        <v>1</v>
      </c>
      <c r="L1643" s="4">
        <f t="shared" si="100"/>
        <v>43</v>
      </c>
      <c r="M1643" s="4">
        <f t="shared" si="101"/>
        <v>0</v>
      </c>
    </row>
    <row r="1644" spans="1:13">
      <c r="A1644" s="4" t="str" cm="1">
        <f t="array" ref="A1644">INDEX(Sheet1!A:A,$F1644)</f>
        <v>F</v>
      </c>
      <c r="B1644" s="4" t="str" cm="1">
        <f t="array" ref="B1644">INDEX(Sheet1!B:B,$F1644)</f>
        <v>Undiff NS</v>
      </c>
      <c r="C1644" s="4">
        <f t="shared" si="102"/>
        <v>69</v>
      </c>
      <c r="D1644" s="5" cm="1">
        <f t="array" aca="1" ref="D1644" ca="1">OFFSET(INDIRECT("'["&amp;$H1644&amp;"]"&amp;$I1644&amp;"'!"&amp;$J1644),$L1644,$M1644)*$K1644</f>
        <v>1.5429999999999999E-2</v>
      </c>
      <c r="F1644" s="4">
        <f t="shared" si="103"/>
        <v>15</v>
      </c>
      <c r="G1644" s="4" cm="1">
        <f t="array" ref="G1644">IF($C1644&gt;=25,F1644,IF($C1644&lt;16,INDEX(Sheet1!C:C,$F1644),$F1644))</f>
        <v>15</v>
      </c>
      <c r="H1644" s="4" t="str" cm="1">
        <f t="array" ref="H1644">INDEX(Sheet1!D:D,$G1644)</f>
        <v>t1140.xlsx</v>
      </c>
      <c r="I1644" s="4" t="str" cm="1">
        <f t="array" ref="I1644">INDEX(Sheet1!E:E,$G1644)</f>
        <v>Sheet1</v>
      </c>
      <c r="J1644" s="4" t="str" cm="1">
        <f t="array" ref="J1644">IF($C1644&gt;=25,INDEX(Sheet1!G:G,$G1644),INDEX(Sheet1!F:F,$G1644))</f>
        <v>B139</v>
      </c>
      <c r="K1644" s="4" cm="1">
        <f t="array" ref="K1644">INDEX(Sheet1!H:H,$G1644)</f>
        <v>1</v>
      </c>
      <c r="L1644" s="4">
        <f t="shared" si="100"/>
        <v>44</v>
      </c>
      <c r="M1644" s="4">
        <f t="shared" si="101"/>
        <v>0</v>
      </c>
    </row>
    <row r="1645" spans="1:13">
      <c r="A1645" s="4" t="str" cm="1">
        <f t="array" ref="A1645">INDEX(Sheet1!A:A,$F1645)</f>
        <v>F</v>
      </c>
      <c r="B1645" s="4" t="str" cm="1">
        <f t="array" ref="B1645">INDEX(Sheet1!B:B,$F1645)</f>
        <v>Undiff NS</v>
      </c>
      <c r="C1645" s="4">
        <f t="shared" si="102"/>
        <v>70</v>
      </c>
      <c r="D1645" s="5" cm="1">
        <f t="array" aca="1" ref="D1645" ca="1">OFFSET(INDIRECT("'["&amp;$H1645&amp;"]"&amp;$I1645&amp;"'!"&amp;$J1645),$L1645,$M1645)*$K1645</f>
        <v>1.6820000000000002E-2</v>
      </c>
      <c r="F1645" s="4">
        <f t="shared" si="103"/>
        <v>15</v>
      </c>
      <c r="G1645" s="4" cm="1">
        <f t="array" ref="G1645">IF($C1645&gt;=25,F1645,IF($C1645&lt;16,INDEX(Sheet1!C:C,$F1645),$F1645))</f>
        <v>15</v>
      </c>
      <c r="H1645" s="4" t="str" cm="1">
        <f t="array" ref="H1645">INDEX(Sheet1!D:D,$G1645)</f>
        <v>t1140.xlsx</v>
      </c>
      <c r="I1645" s="4" t="str" cm="1">
        <f t="array" ref="I1645">INDEX(Sheet1!E:E,$G1645)</f>
        <v>Sheet1</v>
      </c>
      <c r="J1645" s="4" t="str" cm="1">
        <f t="array" ref="J1645">IF($C1645&gt;=25,INDEX(Sheet1!G:G,$G1645),INDEX(Sheet1!F:F,$G1645))</f>
        <v>B139</v>
      </c>
      <c r="K1645" s="4" cm="1">
        <f t="array" ref="K1645">INDEX(Sheet1!H:H,$G1645)</f>
        <v>1</v>
      </c>
      <c r="L1645" s="4">
        <f t="shared" si="100"/>
        <v>45</v>
      </c>
      <c r="M1645" s="4">
        <f t="shared" si="101"/>
        <v>0</v>
      </c>
    </row>
    <row r="1646" spans="1:13">
      <c r="A1646" s="4" t="str" cm="1">
        <f t="array" ref="A1646">INDEX(Sheet1!A:A,$F1646)</f>
        <v>F</v>
      </c>
      <c r="B1646" s="4" t="str" cm="1">
        <f t="array" ref="B1646">INDEX(Sheet1!B:B,$F1646)</f>
        <v>Undiff NS</v>
      </c>
      <c r="C1646" s="4">
        <f t="shared" si="102"/>
        <v>71</v>
      </c>
      <c r="D1646" s="5" cm="1">
        <f t="array" aca="1" ref="D1646" ca="1">OFFSET(INDIRECT("'["&amp;$H1646&amp;"]"&amp;$I1646&amp;"'!"&amp;$J1646),$L1646,$M1646)*$K1646</f>
        <v>1.8419999999999999E-2</v>
      </c>
      <c r="F1646" s="4">
        <f t="shared" si="103"/>
        <v>15</v>
      </c>
      <c r="G1646" s="4" cm="1">
        <f t="array" ref="G1646">IF($C1646&gt;=25,F1646,IF($C1646&lt;16,INDEX(Sheet1!C:C,$F1646),$F1646))</f>
        <v>15</v>
      </c>
      <c r="H1646" s="4" t="str" cm="1">
        <f t="array" ref="H1646">INDEX(Sheet1!D:D,$G1646)</f>
        <v>t1140.xlsx</v>
      </c>
      <c r="I1646" s="4" t="str" cm="1">
        <f t="array" ref="I1646">INDEX(Sheet1!E:E,$G1646)</f>
        <v>Sheet1</v>
      </c>
      <c r="J1646" s="4" t="str" cm="1">
        <f t="array" ref="J1646">IF($C1646&gt;=25,INDEX(Sheet1!G:G,$G1646),INDEX(Sheet1!F:F,$G1646))</f>
        <v>B139</v>
      </c>
      <c r="K1646" s="4" cm="1">
        <f t="array" ref="K1646">INDEX(Sheet1!H:H,$G1646)</f>
        <v>1</v>
      </c>
      <c r="L1646" s="4">
        <f t="shared" si="100"/>
        <v>46</v>
      </c>
      <c r="M1646" s="4">
        <f t="shared" si="101"/>
        <v>0</v>
      </c>
    </row>
    <row r="1647" spans="1:13">
      <c r="A1647" s="4" t="str" cm="1">
        <f t="array" ref="A1647">INDEX(Sheet1!A:A,$F1647)</f>
        <v>F</v>
      </c>
      <c r="B1647" s="4" t="str" cm="1">
        <f t="array" ref="B1647">INDEX(Sheet1!B:B,$F1647)</f>
        <v>Undiff NS</v>
      </c>
      <c r="C1647" s="4">
        <f t="shared" si="102"/>
        <v>72</v>
      </c>
      <c r="D1647" s="5" cm="1">
        <f t="array" aca="1" ref="D1647" ca="1">OFFSET(INDIRECT("'["&amp;$H1647&amp;"]"&amp;$I1647&amp;"'!"&amp;$J1647),$L1647,$M1647)*$K1647</f>
        <v>2.0209999999999999E-2</v>
      </c>
      <c r="F1647" s="4">
        <f t="shared" si="103"/>
        <v>15</v>
      </c>
      <c r="G1647" s="4" cm="1">
        <f t="array" ref="G1647">IF($C1647&gt;=25,F1647,IF($C1647&lt;16,INDEX(Sheet1!C:C,$F1647),$F1647))</f>
        <v>15</v>
      </c>
      <c r="H1647" s="4" t="str" cm="1">
        <f t="array" ref="H1647">INDEX(Sheet1!D:D,$G1647)</f>
        <v>t1140.xlsx</v>
      </c>
      <c r="I1647" s="4" t="str" cm="1">
        <f t="array" ref="I1647">INDEX(Sheet1!E:E,$G1647)</f>
        <v>Sheet1</v>
      </c>
      <c r="J1647" s="4" t="str" cm="1">
        <f t="array" ref="J1647">IF($C1647&gt;=25,INDEX(Sheet1!G:G,$G1647),INDEX(Sheet1!F:F,$G1647))</f>
        <v>B139</v>
      </c>
      <c r="K1647" s="4" cm="1">
        <f t="array" ref="K1647">INDEX(Sheet1!H:H,$G1647)</f>
        <v>1</v>
      </c>
      <c r="L1647" s="4">
        <f t="shared" si="100"/>
        <v>47</v>
      </c>
      <c r="M1647" s="4">
        <f t="shared" si="101"/>
        <v>0</v>
      </c>
    </row>
    <row r="1648" spans="1:13">
      <c r="A1648" s="4" t="str" cm="1">
        <f t="array" ref="A1648">INDEX(Sheet1!A:A,$F1648)</f>
        <v>F</v>
      </c>
      <c r="B1648" s="4" t="str" cm="1">
        <f t="array" ref="B1648">INDEX(Sheet1!B:B,$F1648)</f>
        <v>Undiff NS</v>
      </c>
      <c r="C1648" s="4">
        <f t="shared" si="102"/>
        <v>73</v>
      </c>
      <c r="D1648" s="5" cm="1">
        <f t="array" aca="1" ref="D1648" ca="1">OFFSET(INDIRECT("'["&amp;$H1648&amp;"]"&amp;$I1648&amp;"'!"&amp;$J1648),$L1648,$M1648)*$K1648</f>
        <v>2.215E-2</v>
      </c>
      <c r="F1648" s="4">
        <f t="shared" si="103"/>
        <v>15</v>
      </c>
      <c r="G1648" s="4" cm="1">
        <f t="array" ref="G1648">IF($C1648&gt;=25,F1648,IF($C1648&lt;16,INDEX(Sheet1!C:C,$F1648),$F1648))</f>
        <v>15</v>
      </c>
      <c r="H1648" s="4" t="str" cm="1">
        <f t="array" ref="H1648">INDEX(Sheet1!D:D,$G1648)</f>
        <v>t1140.xlsx</v>
      </c>
      <c r="I1648" s="4" t="str" cm="1">
        <f t="array" ref="I1648">INDEX(Sheet1!E:E,$G1648)</f>
        <v>Sheet1</v>
      </c>
      <c r="J1648" s="4" t="str" cm="1">
        <f t="array" ref="J1648">IF($C1648&gt;=25,INDEX(Sheet1!G:G,$G1648),INDEX(Sheet1!F:F,$G1648))</f>
        <v>B139</v>
      </c>
      <c r="K1648" s="4" cm="1">
        <f t="array" ref="K1648">INDEX(Sheet1!H:H,$G1648)</f>
        <v>1</v>
      </c>
      <c r="L1648" s="4">
        <f t="shared" si="100"/>
        <v>48</v>
      </c>
      <c r="M1648" s="4">
        <f t="shared" si="101"/>
        <v>0</v>
      </c>
    </row>
    <row r="1649" spans="1:13">
      <c r="A1649" s="4" t="str" cm="1">
        <f t="array" ref="A1649">INDEX(Sheet1!A:A,$F1649)</f>
        <v>F</v>
      </c>
      <c r="B1649" s="4" t="str" cm="1">
        <f t="array" ref="B1649">INDEX(Sheet1!B:B,$F1649)</f>
        <v>Undiff NS</v>
      </c>
      <c r="C1649" s="4">
        <f t="shared" si="102"/>
        <v>74</v>
      </c>
      <c r="D1649" s="5" cm="1">
        <f t="array" aca="1" ref="D1649" ca="1">OFFSET(INDIRECT("'["&amp;$H1649&amp;"]"&amp;$I1649&amp;"'!"&amp;$J1649),$L1649,$M1649)*$K1649</f>
        <v>2.4279999999999999E-2</v>
      </c>
      <c r="F1649" s="4">
        <f t="shared" si="103"/>
        <v>15</v>
      </c>
      <c r="G1649" s="4" cm="1">
        <f t="array" ref="G1649">IF($C1649&gt;=25,F1649,IF($C1649&lt;16,INDEX(Sheet1!C:C,$F1649),$F1649))</f>
        <v>15</v>
      </c>
      <c r="H1649" s="4" t="str" cm="1">
        <f t="array" ref="H1649">INDEX(Sheet1!D:D,$G1649)</f>
        <v>t1140.xlsx</v>
      </c>
      <c r="I1649" s="4" t="str" cm="1">
        <f t="array" ref="I1649">INDEX(Sheet1!E:E,$G1649)</f>
        <v>Sheet1</v>
      </c>
      <c r="J1649" s="4" t="str" cm="1">
        <f t="array" ref="J1649">IF($C1649&gt;=25,INDEX(Sheet1!G:G,$G1649),INDEX(Sheet1!F:F,$G1649))</f>
        <v>B139</v>
      </c>
      <c r="K1649" s="4" cm="1">
        <f t="array" ref="K1649">INDEX(Sheet1!H:H,$G1649)</f>
        <v>1</v>
      </c>
      <c r="L1649" s="4">
        <f t="shared" si="100"/>
        <v>49</v>
      </c>
      <c r="M1649" s="4">
        <f t="shared" si="101"/>
        <v>0</v>
      </c>
    </row>
    <row r="1650" spans="1:13">
      <c r="A1650" s="4" t="str" cm="1">
        <f t="array" ref="A1650">INDEX(Sheet1!A:A,$F1650)</f>
        <v>F</v>
      </c>
      <c r="B1650" s="4" t="str" cm="1">
        <f t="array" ref="B1650">INDEX(Sheet1!B:B,$F1650)</f>
        <v>Undiff NS</v>
      </c>
      <c r="C1650" s="4">
        <f t="shared" si="102"/>
        <v>75</v>
      </c>
      <c r="D1650" s="5" cm="1">
        <f t="array" aca="1" ref="D1650" ca="1">OFFSET(INDIRECT("'["&amp;$H1650&amp;"]"&amp;$I1650&amp;"'!"&amp;$J1650),$L1650,$M1650)*$K1650</f>
        <v>2.664E-2</v>
      </c>
      <c r="F1650" s="4">
        <f t="shared" si="103"/>
        <v>15</v>
      </c>
      <c r="G1650" s="4" cm="1">
        <f t="array" ref="G1650">IF($C1650&gt;=25,F1650,IF($C1650&lt;16,INDEX(Sheet1!C:C,$F1650),$F1650))</f>
        <v>15</v>
      </c>
      <c r="H1650" s="4" t="str" cm="1">
        <f t="array" ref="H1650">INDEX(Sheet1!D:D,$G1650)</f>
        <v>t1140.xlsx</v>
      </c>
      <c r="I1650" s="4" t="str" cm="1">
        <f t="array" ref="I1650">INDEX(Sheet1!E:E,$G1650)</f>
        <v>Sheet1</v>
      </c>
      <c r="J1650" s="4" t="str" cm="1">
        <f t="array" ref="J1650">IF($C1650&gt;=25,INDEX(Sheet1!G:G,$G1650),INDEX(Sheet1!F:F,$G1650))</f>
        <v>B139</v>
      </c>
      <c r="K1650" s="4" cm="1">
        <f t="array" ref="K1650">INDEX(Sheet1!H:H,$G1650)</f>
        <v>1</v>
      </c>
      <c r="L1650" s="4">
        <f t="shared" si="100"/>
        <v>50</v>
      </c>
      <c r="M1650" s="4">
        <f t="shared" si="101"/>
        <v>0</v>
      </c>
    </row>
    <row r="1651" spans="1:13">
      <c r="A1651" s="4" t="str" cm="1">
        <f t="array" ref="A1651">INDEX(Sheet1!A:A,$F1651)</f>
        <v>F</v>
      </c>
      <c r="B1651" s="4" t="str" cm="1">
        <f t="array" ref="B1651">INDEX(Sheet1!B:B,$F1651)</f>
        <v>Undiff NS</v>
      </c>
      <c r="C1651" s="4">
        <f t="shared" si="102"/>
        <v>76</v>
      </c>
      <c r="D1651" s="5" cm="1">
        <f t="array" aca="1" ref="D1651" ca="1">OFFSET(INDIRECT("'["&amp;$H1651&amp;"]"&amp;$I1651&amp;"'!"&amp;$J1651),$L1651,$M1651)*$K1651</f>
        <v>2.9229999999999999E-2</v>
      </c>
      <c r="F1651" s="4">
        <f t="shared" si="103"/>
        <v>15</v>
      </c>
      <c r="G1651" s="4" cm="1">
        <f t="array" ref="G1651">IF($C1651&gt;=25,F1651,IF($C1651&lt;16,INDEX(Sheet1!C:C,$F1651),$F1651))</f>
        <v>15</v>
      </c>
      <c r="H1651" s="4" t="str" cm="1">
        <f t="array" ref="H1651">INDEX(Sheet1!D:D,$G1651)</f>
        <v>t1140.xlsx</v>
      </c>
      <c r="I1651" s="4" t="str" cm="1">
        <f t="array" ref="I1651">INDEX(Sheet1!E:E,$G1651)</f>
        <v>Sheet1</v>
      </c>
      <c r="J1651" s="4" t="str" cm="1">
        <f t="array" ref="J1651">IF($C1651&gt;=25,INDEX(Sheet1!G:G,$G1651),INDEX(Sheet1!F:F,$G1651))</f>
        <v>B139</v>
      </c>
      <c r="K1651" s="4" cm="1">
        <f t="array" ref="K1651">INDEX(Sheet1!H:H,$G1651)</f>
        <v>1</v>
      </c>
      <c r="L1651" s="4">
        <f t="shared" si="100"/>
        <v>51</v>
      </c>
      <c r="M1651" s="4">
        <f t="shared" si="101"/>
        <v>0</v>
      </c>
    </row>
    <row r="1652" spans="1:13">
      <c r="A1652" s="4" t="str" cm="1">
        <f t="array" ref="A1652">INDEX(Sheet1!A:A,$F1652)</f>
        <v>F</v>
      </c>
      <c r="B1652" s="4" t="str" cm="1">
        <f t="array" ref="B1652">INDEX(Sheet1!B:B,$F1652)</f>
        <v>Undiff NS</v>
      </c>
      <c r="C1652" s="4">
        <f t="shared" si="102"/>
        <v>77</v>
      </c>
      <c r="D1652" s="5" cm="1">
        <f t="array" aca="1" ref="D1652" ca="1">OFFSET(INDIRECT("'["&amp;$H1652&amp;"]"&amp;$I1652&amp;"'!"&amp;$J1652),$L1652,$M1652)*$K1652</f>
        <v>3.2079999999999997E-2</v>
      </c>
      <c r="F1652" s="4">
        <f t="shared" si="103"/>
        <v>15</v>
      </c>
      <c r="G1652" s="4" cm="1">
        <f t="array" ref="G1652">IF($C1652&gt;=25,F1652,IF($C1652&lt;16,INDEX(Sheet1!C:C,$F1652),$F1652))</f>
        <v>15</v>
      </c>
      <c r="H1652" s="4" t="str" cm="1">
        <f t="array" ref="H1652">INDEX(Sheet1!D:D,$G1652)</f>
        <v>t1140.xlsx</v>
      </c>
      <c r="I1652" s="4" t="str" cm="1">
        <f t="array" ref="I1652">INDEX(Sheet1!E:E,$G1652)</f>
        <v>Sheet1</v>
      </c>
      <c r="J1652" s="4" t="str" cm="1">
        <f t="array" ref="J1652">IF($C1652&gt;=25,INDEX(Sheet1!G:G,$G1652),INDEX(Sheet1!F:F,$G1652))</f>
        <v>B139</v>
      </c>
      <c r="K1652" s="4" cm="1">
        <f t="array" ref="K1652">INDEX(Sheet1!H:H,$G1652)</f>
        <v>1</v>
      </c>
      <c r="L1652" s="4">
        <f t="shared" si="100"/>
        <v>52</v>
      </c>
      <c r="M1652" s="4">
        <f t="shared" si="101"/>
        <v>0</v>
      </c>
    </row>
    <row r="1653" spans="1:13">
      <c r="A1653" s="4" t="str" cm="1">
        <f t="array" ref="A1653">INDEX(Sheet1!A:A,$F1653)</f>
        <v>F</v>
      </c>
      <c r="B1653" s="4" t="str" cm="1">
        <f t="array" ref="B1653">INDEX(Sheet1!B:B,$F1653)</f>
        <v>Undiff NS</v>
      </c>
      <c r="C1653" s="4">
        <f t="shared" si="102"/>
        <v>78</v>
      </c>
      <c r="D1653" s="5" cm="1">
        <f t="array" aca="1" ref="D1653" ca="1">OFFSET(INDIRECT("'["&amp;$H1653&amp;"]"&amp;$I1653&amp;"'!"&amp;$J1653),$L1653,$M1653)*$K1653</f>
        <v>3.5229999999999997E-2</v>
      </c>
      <c r="F1653" s="4">
        <f t="shared" si="103"/>
        <v>15</v>
      </c>
      <c r="G1653" s="4" cm="1">
        <f t="array" ref="G1653">IF($C1653&gt;=25,F1653,IF($C1653&lt;16,INDEX(Sheet1!C:C,$F1653),$F1653))</f>
        <v>15</v>
      </c>
      <c r="H1653" s="4" t="str" cm="1">
        <f t="array" ref="H1653">INDEX(Sheet1!D:D,$G1653)</f>
        <v>t1140.xlsx</v>
      </c>
      <c r="I1653" s="4" t="str" cm="1">
        <f t="array" ref="I1653">INDEX(Sheet1!E:E,$G1653)</f>
        <v>Sheet1</v>
      </c>
      <c r="J1653" s="4" t="str" cm="1">
        <f t="array" ref="J1653">IF($C1653&gt;=25,INDEX(Sheet1!G:G,$G1653),INDEX(Sheet1!F:F,$G1653))</f>
        <v>B139</v>
      </c>
      <c r="K1653" s="4" cm="1">
        <f t="array" ref="K1653">INDEX(Sheet1!H:H,$G1653)</f>
        <v>1</v>
      </c>
      <c r="L1653" s="4">
        <f t="shared" si="100"/>
        <v>53</v>
      </c>
      <c r="M1653" s="4">
        <f t="shared" si="101"/>
        <v>0</v>
      </c>
    </row>
    <row r="1654" spans="1:13">
      <c r="A1654" s="4" t="str" cm="1">
        <f t="array" ref="A1654">INDEX(Sheet1!A:A,$F1654)</f>
        <v>F</v>
      </c>
      <c r="B1654" s="4" t="str" cm="1">
        <f t="array" ref="B1654">INDEX(Sheet1!B:B,$F1654)</f>
        <v>Undiff NS</v>
      </c>
      <c r="C1654" s="4">
        <f t="shared" si="102"/>
        <v>79</v>
      </c>
      <c r="D1654" s="5" cm="1">
        <f t="array" aca="1" ref="D1654" ca="1">OFFSET(INDIRECT("'["&amp;$H1654&amp;"]"&amp;$I1654&amp;"'!"&amp;$J1654),$L1654,$M1654)*$K1654</f>
        <v>3.8629999999999998E-2</v>
      </c>
      <c r="F1654" s="4">
        <f t="shared" si="103"/>
        <v>15</v>
      </c>
      <c r="G1654" s="4" cm="1">
        <f t="array" ref="G1654">IF($C1654&gt;=25,F1654,IF($C1654&lt;16,INDEX(Sheet1!C:C,$F1654),$F1654))</f>
        <v>15</v>
      </c>
      <c r="H1654" s="4" t="str" cm="1">
        <f t="array" ref="H1654">INDEX(Sheet1!D:D,$G1654)</f>
        <v>t1140.xlsx</v>
      </c>
      <c r="I1654" s="4" t="str" cm="1">
        <f t="array" ref="I1654">INDEX(Sheet1!E:E,$G1654)</f>
        <v>Sheet1</v>
      </c>
      <c r="J1654" s="4" t="str" cm="1">
        <f t="array" ref="J1654">IF($C1654&gt;=25,INDEX(Sheet1!G:G,$G1654),INDEX(Sheet1!F:F,$G1654))</f>
        <v>B139</v>
      </c>
      <c r="K1654" s="4" cm="1">
        <f t="array" ref="K1654">INDEX(Sheet1!H:H,$G1654)</f>
        <v>1</v>
      </c>
      <c r="L1654" s="4">
        <f t="shared" si="100"/>
        <v>54</v>
      </c>
      <c r="M1654" s="4">
        <f t="shared" si="101"/>
        <v>0</v>
      </c>
    </row>
    <row r="1655" spans="1:13">
      <c r="A1655" s="4" t="str" cm="1">
        <f t="array" ref="A1655">INDEX(Sheet1!A:A,$F1655)</f>
        <v>F</v>
      </c>
      <c r="B1655" s="4" t="str" cm="1">
        <f t="array" ref="B1655">INDEX(Sheet1!B:B,$F1655)</f>
        <v>Undiff NS</v>
      </c>
      <c r="C1655" s="4">
        <f t="shared" si="102"/>
        <v>80</v>
      </c>
      <c r="D1655" s="5" cm="1">
        <f t="array" aca="1" ref="D1655" ca="1">OFFSET(INDIRECT("'["&amp;$H1655&amp;"]"&amp;$I1655&amp;"'!"&amp;$J1655),$L1655,$M1655)*$K1655</f>
        <v>4.2430000000000002E-2</v>
      </c>
      <c r="F1655" s="4">
        <f t="shared" si="103"/>
        <v>15</v>
      </c>
      <c r="G1655" s="4" cm="1">
        <f t="array" ref="G1655">IF($C1655&gt;=25,F1655,IF($C1655&lt;16,INDEX(Sheet1!C:C,$F1655),$F1655))</f>
        <v>15</v>
      </c>
      <c r="H1655" s="4" t="str" cm="1">
        <f t="array" ref="H1655">INDEX(Sheet1!D:D,$G1655)</f>
        <v>t1140.xlsx</v>
      </c>
      <c r="I1655" s="4" t="str" cm="1">
        <f t="array" ref="I1655">INDEX(Sheet1!E:E,$G1655)</f>
        <v>Sheet1</v>
      </c>
      <c r="J1655" s="4" t="str" cm="1">
        <f t="array" ref="J1655">IF($C1655&gt;=25,INDEX(Sheet1!G:G,$G1655),INDEX(Sheet1!F:F,$G1655))</f>
        <v>B139</v>
      </c>
      <c r="K1655" s="4" cm="1">
        <f t="array" ref="K1655">INDEX(Sheet1!H:H,$G1655)</f>
        <v>1</v>
      </c>
      <c r="L1655" s="4">
        <f t="shared" si="100"/>
        <v>55</v>
      </c>
      <c r="M1655" s="4">
        <f t="shared" si="101"/>
        <v>0</v>
      </c>
    </row>
    <row r="1656" spans="1:13">
      <c r="A1656" s="4" t="str" cm="1">
        <f t="array" ref="A1656">INDEX(Sheet1!A:A,$F1656)</f>
        <v>F</v>
      </c>
      <c r="B1656" s="4" t="str" cm="1">
        <f t="array" ref="B1656">INDEX(Sheet1!B:B,$F1656)</f>
        <v>Undiff NS</v>
      </c>
      <c r="C1656" s="4">
        <f t="shared" si="102"/>
        <v>81</v>
      </c>
      <c r="D1656" s="5" cm="1">
        <f t="array" aca="1" ref="D1656" ca="1">OFFSET(INDIRECT("'["&amp;$H1656&amp;"]"&amp;$I1656&amp;"'!"&amp;$J1656),$L1656,$M1656)*$K1656</f>
        <v>4.759E-2</v>
      </c>
      <c r="F1656" s="4">
        <f t="shared" si="103"/>
        <v>15</v>
      </c>
      <c r="G1656" s="4" cm="1">
        <f t="array" ref="G1656">IF($C1656&gt;=25,F1656,IF($C1656&lt;16,INDEX(Sheet1!C:C,$F1656),$F1656))</f>
        <v>15</v>
      </c>
      <c r="H1656" s="4" t="str" cm="1">
        <f t="array" ref="H1656">INDEX(Sheet1!D:D,$G1656)</f>
        <v>t1140.xlsx</v>
      </c>
      <c r="I1656" s="4" t="str" cm="1">
        <f t="array" ref="I1656">INDEX(Sheet1!E:E,$G1656)</f>
        <v>Sheet1</v>
      </c>
      <c r="J1656" s="4" t="str" cm="1">
        <f t="array" ref="J1656">IF($C1656&gt;=25,INDEX(Sheet1!G:G,$G1656),INDEX(Sheet1!F:F,$G1656))</f>
        <v>B139</v>
      </c>
      <c r="K1656" s="4" cm="1">
        <f t="array" ref="K1656">INDEX(Sheet1!H:H,$G1656)</f>
        <v>1</v>
      </c>
      <c r="L1656" s="4">
        <f t="shared" si="100"/>
        <v>56</v>
      </c>
      <c r="M1656" s="4">
        <f t="shared" si="101"/>
        <v>0</v>
      </c>
    </row>
    <row r="1657" spans="1:13">
      <c r="A1657" s="4" t="str" cm="1">
        <f t="array" ref="A1657">INDEX(Sheet1!A:A,$F1657)</f>
        <v>F</v>
      </c>
      <c r="B1657" s="4" t="str" cm="1">
        <f t="array" ref="B1657">INDEX(Sheet1!B:B,$F1657)</f>
        <v>Undiff NS</v>
      </c>
      <c r="C1657" s="4">
        <f t="shared" si="102"/>
        <v>82</v>
      </c>
      <c r="D1657" s="5" cm="1">
        <f t="array" aca="1" ref="D1657" ca="1">OFFSET(INDIRECT("'["&amp;$H1657&amp;"]"&amp;$I1657&amp;"'!"&amp;$J1657),$L1657,$M1657)*$K1657</f>
        <v>5.3409999999999999E-2</v>
      </c>
      <c r="F1657" s="4">
        <f t="shared" si="103"/>
        <v>15</v>
      </c>
      <c r="G1657" s="4" cm="1">
        <f t="array" ref="G1657">IF($C1657&gt;=25,F1657,IF($C1657&lt;16,INDEX(Sheet1!C:C,$F1657),$F1657))</f>
        <v>15</v>
      </c>
      <c r="H1657" s="4" t="str" cm="1">
        <f t="array" ref="H1657">INDEX(Sheet1!D:D,$G1657)</f>
        <v>t1140.xlsx</v>
      </c>
      <c r="I1657" s="4" t="str" cm="1">
        <f t="array" ref="I1657">INDEX(Sheet1!E:E,$G1657)</f>
        <v>Sheet1</v>
      </c>
      <c r="J1657" s="4" t="str" cm="1">
        <f t="array" ref="J1657">IF($C1657&gt;=25,INDEX(Sheet1!G:G,$G1657),INDEX(Sheet1!F:F,$G1657))</f>
        <v>B139</v>
      </c>
      <c r="K1657" s="4" cm="1">
        <f t="array" ref="K1657">INDEX(Sheet1!H:H,$G1657)</f>
        <v>1</v>
      </c>
      <c r="L1657" s="4">
        <f t="shared" si="100"/>
        <v>57</v>
      </c>
      <c r="M1657" s="4">
        <f t="shared" si="101"/>
        <v>0</v>
      </c>
    </row>
    <row r="1658" spans="1:13">
      <c r="A1658" s="4" t="str" cm="1">
        <f t="array" ref="A1658">INDEX(Sheet1!A:A,$F1658)</f>
        <v>F</v>
      </c>
      <c r="B1658" s="4" t="str" cm="1">
        <f t="array" ref="B1658">INDEX(Sheet1!B:B,$F1658)</f>
        <v>Undiff NS</v>
      </c>
      <c r="C1658" s="4">
        <f t="shared" si="102"/>
        <v>83</v>
      </c>
      <c r="D1658" s="5" cm="1">
        <f t="array" aca="1" ref="D1658" ca="1">OFFSET(INDIRECT("'["&amp;$H1658&amp;"]"&amp;$I1658&amp;"'!"&amp;$J1658),$L1658,$M1658)*$K1658</f>
        <v>5.9209999999999999E-2</v>
      </c>
      <c r="F1658" s="4">
        <f t="shared" si="103"/>
        <v>15</v>
      </c>
      <c r="G1658" s="4" cm="1">
        <f t="array" ref="G1658">IF($C1658&gt;=25,F1658,IF($C1658&lt;16,INDEX(Sheet1!C:C,$F1658),$F1658))</f>
        <v>15</v>
      </c>
      <c r="H1658" s="4" t="str" cm="1">
        <f t="array" ref="H1658">INDEX(Sheet1!D:D,$G1658)</f>
        <v>t1140.xlsx</v>
      </c>
      <c r="I1658" s="4" t="str" cm="1">
        <f t="array" ref="I1658">INDEX(Sheet1!E:E,$G1658)</f>
        <v>Sheet1</v>
      </c>
      <c r="J1658" s="4" t="str" cm="1">
        <f t="array" ref="J1658">IF($C1658&gt;=25,INDEX(Sheet1!G:G,$G1658),INDEX(Sheet1!F:F,$G1658))</f>
        <v>B139</v>
      </c>
      <c r="K1658" s="4" cm="1">
        <f t="array" ref="K1658">INDEX(Sheet1!H:H,$G1658)</f>
        <v>1</v>
      </c>
      <c r="L1658" s="4">
        <f t="shared" si="100"/>
        <v>58</v>
      </c>
      <c r="M1658" s="4">
        <f t="shared" si="101"/>
        <v>0</v>
      </c>
    </row>
    <row r="1659" spans="1:13">
      <c r="A1659" s="4" t="str" cm="1">
        <f t="array" ref="A1659">INDEX(Sheet1!A:A,$F1659)</f>
        <v>F</v>
      </c>
      <c r="B1659" s="4" t="str" cm="1">
        <f t="array" ref="B1659">INDEX(Sheet1!B:B,$F1659)</f>
        <v>Undiff NS</v>
      </c>
      <c r="C1659" s="4">
        <f t="shared" si="102"/>
        <v>84</v>
      </c>
      <c r="D1659" s="5" cm="1">
        <f t="array" aca="1" ref="D1659" ca="1">OFFSET(INDIRECT("'["&amp;$H1659&amp;"]"&amp;$I1659&amp;"'!"&amp;$J1659),$L1659,$M1659)*$K1659</f>
        <v>6.5619999999999998E-2</v>
      </c>
      <c r="F1659" s="4">
        <f t="shared" si="103"/>
        <v>15</v>
      </c>
      <c r="G1659" s="4" cm="1">
        <f t="array" ref="G1659">IF($C1659&gt;=25,F1659,IF($C1659&lt;16,INDEX(Sheet1!C:C,$F1659),$F1659))</f>
        <v>15</v>
      </c>
      <c r="H1659" s="4" t="str" cm="1">
        <f t="array" ref="H1659">INDEX(Sheet1!D:D,$G1659)</f>
        <v>t1140.xlsx</v>
      </c>
      <c r="I1659" s="4" t="str" cm="1">
        <f t="array" ref="I1659">INDEX(Sheet1!E:E,$G1659)</f>
        <v>Sheet1</v>
      </c>
      <c r="J1659" s="4" t="str" cm="1">
        <f t="array" ref="J1659">IF($C1659&gt;=25,INDEX(Sheet1!G:G,$G1659),INDEX(Sheet1!F:F,$G1659))</f>
        <v>B139</v>
      </c>
      <c r="K1659" s="4" cm="1">
        <f t="array" ref="K1659">INDEX(Sheet1!H:H,$G1659)</f>
        <v>1</v>
      </c>
      <c r="L1659" s="4">
        <f t="shared" si="100"/>
        <v>59</v>
      </c>
      <c r="M1659" s="4">
        <f t="shared" si="101"/>
        <v>0</v>
      </c>
    </row>
    <row r="1660" spans="1:13">
      <c r="A1660" s="4" t="str" cm="1">
        <f t="array" ref="A1660">INDEX(Sheet1!A:A,$F1660)</f>
        <v>F</v>
      </c>
      <c r="B1660" s="4" t="str" cm="1">
        <f t="array" ref="B1660">INDEX(Sheet1!B:B,$F1660)</f>
        <v>Undiff NS</v>
      </c>
      <c r="C1660" s="4">
        <f t="shared" si="102"/>
        <v>85</v>
      </c>
      <c r="D1660" s="5" cm="1">
        <f t="array" aca="1" ref="D1660" ca="1">OFFSET(INDIRECT("'["&amp;$H1660&amp;"]"&amp;$I1660&amp;"'!"&amp;$J1660),$L1660,$M1660)*$K1660</f>
        <v>7.2840000000000002E-2</v>
      </c>
      <c r="F1660" s="4">
        <f t="shared" si="103"/>
        <v>15</v>
      </c>
      <c r="G1660" s="4" cm="1">
        <f t="array" ref="G1660">IF($C1660&gt;=25,F1660,IF($C1660&lt;16,INDEX(Sheet1!C:C,$F1660),$F1660))</f>
        <v>15</v>
      </c>
      <c r="H1660" s="4" t="str" cm="1">
        <f t="array" ref="H1660">INDEX(Sheet1!D:D,$G1660)</f>
        <v>t1140.xlsx</v>
      </c>
      <c r="I1660" s="4" t="str" cm="1">
        <f t="array" ref="I1660">INDEX(Sheet1!E:E,$G1660)</f>
        <v>Sheet1</v>
      </c>
      <c r="J1660" s="4" t="str" cm="1">
        <f t="array" ref="J1660">IF($C1660&gt;=25,INDEX(Sheet1!G:G,$G1660),INDEX(Sheet1!F:F,$G1660))</f>
        <v>B139</v>
      </c>
      <c r="K1660" s="4" cm="1">
        <f t="array" ref="K1660">INDEX(Sheet1!H:H,$G1660)</f>
        <v>1</v>
      </c>
      <c r="L1660" s="4">
        <f t="shared" si="100"/>
        <v>60</v>
      </c>
      <c r="M1660" s="4">
        <f t="shared" si="101"/>
        <v>0</v>
      </c>
    </row>
    <row r="1661" spans="1:13">
      <c r="A1661" s="4" t="str" cm="1">
        <f t="array" ref="A1661">INDEX(Sheet1!A:A,$F1661)</f>
        <v>F</v>
      </c>
      <c r="B1661" s="4" t="str" cm="1">
        <f t="array" ref="B1661">INDEX(Sheet1!B:B,$F1661)</f>
        <v>Undiff NS</v>
      </c>
      <c r="C1661" s="4">
        <f t="shared" si="102"/>
        <v>86</v>
      </c>
      <c r="D1661" s="5" cm="1">
        <f t="array" aca="1" ref="D1661" ca="1">OFFSET(INDIRECT("'["&amp;$H1661&amp;"]"&amp;$I1661&amp;"'!"&amp;$J1661),$L1661,$M1661)*$K1661</f>
        <v>7.9390000000000002E-2</v>
      </c>
      <c r="F1661" s="4">
        <f t="shared" si="103"/>
        <v>15</v>
      </c>
      <c r="G1661" s="4" cm="1">
        <f t="array" ref="G1661">IF($C1661&gt;=25,F1661,IF($C1661&lt;16,INDEX(Sheet1!C:C,$F1661),$F1661))</f>
        <v>15</v>
      </c>
      <c r="H1661" s="4" t="str" cm="1">
        <f t="array" ref="H1661">INDEX(Sheet1!D:D,$G1661)</f>
        <v>t1140.xlsx</v>
      </c>
      <c r="I1661" s="4" t="str" cm="1">
        <f t="array" ref="I1661">INDEX(Sheet1!E:E,$G1661)</f>
        <v>Sheet1</v>
      </c>
      <c r="J1661" s="4" t="str" cm="1">
        <f t="array" ref="J1661">IF($C1661&gt;=25,INDEX(Sheet1!G:G,$G1661),INDEX(Sheet1!F:F,$G1661))</f>
        <v>B139</v>
      </c>
      <c r="K1661" s="4" cm="1">
        <f t="array" ref="K1661">INDEX(Sheet1!H:H,$G1661)</f>
        <v>1</v>
      </c>
      <c r="L1661" s="4">
        <f t="shared" si="100"/>
        <v>61</v>
      </c>
      <c r="M1661" s="4">
        <f t="shared" si="101"/>
        <v>0</v>
      </c>
    </row>
    <row r="1662" spans="1:13">
      <c r="A1662" s="4" t="str" cm="1">
        <f t="array" ref="A1662">INDEX(Sheet1!A:A,$F1662)</f>
        <v>F</v>
      </c>
      <c r="B1662" s="4" t="str" cm="1">
        <f t="array" ref="B1662">INDEX(Sheet1!B:B,$F1662)</f>
        <v>Undiff NS</v>
      </c>
      <c r="C1662" s="4">
        <f t="shared" si="102"/>
        <v>87</v>
      </c>
      <c r="D1662" s="5" cm="1">
        <f t="array" aca="1" ref="D1662" ca="1">OFFSET(INDIRECT("'["&amp;$H1662&amp;"]"&amp;$I1662&amp;"'!"&amp;$J1662),$L1662,$M1662)*$K1662</f>
        <v>8.9249999999999996E-2</v>
      </c>
      <c r="F1662" s="4">
        <f t="shared" si="103"/>
        <v>15</v>
      </c>
      <c r="G1662" s="4" cm="1">
        <f t="array" ref="G1662">IF($C1662&gt;=25,F1662,IF($C1662&lt;16,INDEX(Sheet1!C:C,$F1662),$F1662))</f>
        <v>15</v>
      </c>
      <c r="H1662" s="4" t="str" cm="1">
        <f t="array" ref="H1662">INDEX(Sheet1!D:D,$G1662)</f>
        <v>t1140.xlsx</v>
      </c>
      <c r="I1662" s="4" t="str" cm="1">
        <f t="array" ref="I1662">INDEX(Sheet1!E:E,$G1662)</f>
        <v>Sheet1</v>
      </c>
      <c r="J1662" s="4" t="str" cm="1">
        <f t="array" ref="J1662">IF($C1662&gt;=25,INDEX(Sheet1!G:G,$G1662),INDEX(Sheet1!F:F,$G1662))</f>
        <v>B139</v>
      </c>
      <c r="K1662" s="4" cm="1">
        <f t="array" ref="K1662">INDEX(Sheet1!H:H,$G1662)</f>
        <v>1</v>
      </c>
      <c r="L1662" s="4">
        <f t="shared" si="100"/>
        <v>62</v>
      </c>
      <c r="M1662" s="4">
        <f t="shared" si="101"/>
        <v>0</v>
      </c>
    </row>
    <row r="1663" spans="1:13">
      <c r="A1663" s="4" t="str" cm="1">
        <f t="array" ref="A1663">INDEX(Sheet1!A:A,$F1663)</f>
        <v>F</v>
      </c>
      <c r="B1663" s="4" t="str" cm="1">
        <f t="array" ref="B1663">INDEX(Sheet1!B:B,$F1663)</f>
        <v>Undiff NS</v>
      </c>
      <c r="C1663" s="4">
        <f t="shared" si="102"/>
        <v>88</v>
      </c>
      <c r="D1663" s="5" cm="1">
        <f t="array" aca="1" ref="D1663" ca="1">OFFSET(INDIRECT("'["&amp;$H1663&amp;"]"&amp;$I1663&amp;"'!"&amp;$J1663),$L1663,$M1663)*$K1663</f>
        <v>9.955E-2</v>
      </c>
      <c r="F1663" s="4">
        <f t="shared" si="103"/>
        <v>15</v>
      </c>
      <c r="G1663" s="4" cm="1">
        <f t="array" ref="G1663">IF($C1663&gt;=25,F1663,IF($C1663&lt;16,INDEX(Sheet1!C:C,$F1663),$F1663))</f>
        <v>15</v>
      </c>
      <c r="H1663" s="4" t="str" cm="1">
        <f t="array" ref="H1663">INDEX(Sheet1!D:D,$G1663)</f>
        <v>t1140.xlsx</v>
      </c>
      <c r="I1663" s="4" t="str" cm="1">
        <f t="array" ref="I1663">INDEX(Sheet1!E:E,$G1663)</f>
        <v>Sheet1</v>
      </c>
      <c r="J1663" s="4" t="str" cm="1">
        <f t="array" ref="J1663">IF($C1663&gt;=25,INDEX(Sheet1!G:G,$G1663),INDEX(Sheet1!F:F,$G1663))</f>
        <v>B139</v>
      </c>
      <c r="K1663" s="4" cm="1">
        <f t="array" ref="K1663">INDEX(Sheet1!H:H,$G1663)</f>
        <v>1</v>
      </c>
      <c r="L1663" s="4">
        <f t="shared" si="100"/>
        <v>63</v>
      </c>
      <c r="M1663" s="4">
        <f t="shared" si="101"/>
        <v>0</v>
      </c>
    </row>
    <row r="1664" spans="1:13">
      <c r="A1664" s="4" t="str" cm="1">
        <f t="array" ref="A1664">INDEX(Sheet1!A:A,$F1664)</f>
        <v>F</v>
      </c>
      <c r="B1664" s="4" t="str" cm="1">
        <f t="array" ref="B1664">INDEX(Sheet1!B:B,$F1664)</f>
        <v>Undiff NS</v>
      </c>
      <c r="C1664" s="4">
        <f t="shared" si="102"/>
        <v>89</v>
      </c>
      <c r="D1664" s="5" cm="1">
        <f t="array" aca="1" ref="D1664" ca="1">OFFSET(INDIRECT("'["&amp;$H1664&amp;"]"&amp;$I1664&amp;"'!"&amp;$J1664),$L1664,$M1664)*$K1664</f>
        <v>0.11053</v>
      </c>
      <c r="F1664" s="4">
        <f t="shared" si="103"/>
        <v>15</v>
      </c>
      <c r="G1664" s="4" cm="1">
        <f t="array" ref="G1664">IF($C1664&gt;=25,F1664,IF($C1664&lt;16,INDEX(Sheet1!C:C,$F1664),$F1664))</f>
        <v>15</v>
      </c>
      <c r="H1664" s="4" t="str" cm="1">
        <f t="array" ref="H1664">INDEX(Sheet1!D:D,$G1664)</f>
        <v>t1140.xlsx</v>
      </c>
      <c r="I1664" s="4" t="str" cm="1">
        <f t="array" ref="I1664">INDEX(Sheet1!E:E,$G1664)</f>
        <v>Sheet1</v>
      </c>
      <c r="J1664" s="4" t="str" cm="1">
        <f t="array" ref="J1664">IF($C1664&gt;=25,INDEX(Sheet1!G:G,$G1664),INDEX(Sheet1!F:F,$G1664))</f>
        <v>B139</v>
      </c>
      <c r="K1664" s="4" cm="1">
        <f t="array" ref="K1664">INDEX(Sheet1!H:H,$G1664)</f>
        <v>1</v>
      </c>
      <c r="L1664" s="4">
        <f t="shared" si="100"/>
        <v>64</v>
      </c>
      <c r="M1664" s="4">
        <f t="shared" si="101"/>
        <v>0</v>
      </c>
    </row>
    <row r="1665" spans="1:13">
      <c r="A1665" s="4" t="str" cm="1">
        <f t="array" ref="A1665">INDEX(Sheet1!A:A,$F1665)</f>
        <v>F</v>
      </c>
      <c r="B1665" s="4" t="str" cm="1">
        <f t="array" ref="B1665">INDEX(Sheet1!B:B,$F1665)</f>
        <v>Undiff NS</v>
      </c>
      <c r="C1665" s="4">
        <f t="shared" si="102"/>
        <v>90</v>
      </c>
      <c r="D1665" s="5" cm="1">
        <f t="array" aca="1" ref="D1665" ca="1">OFFSET(INDIRECT("'["&amp;$H1665&amp;"]"&amp;$I1665&amp;"'!"&amp;$J1665),$L1665,$M1665)*$K1665</f>
        <v>0.12064999999999999</v>
      </c>
      <c r="F1665" s="4">
        <f t="shared" si="103"/>
        <v>15</v>
      </c>
      <c r="G1665" s="4" cm="1">
        <f t="array" ref="G1665">IF($C1665&gt;=25,F1665,IF($C1665&lt;16,INDEX(Sheet1!C:C,$F1665),$F1665))</f>
        <v>15</v>
      </c>
      <c r="H1665" s="4" t="str" cm="1">
        <f t="array" ref="H1665">INDEX(Sheet1!D:D,$G1665)</f>
        <v>t1140.xlsx</v>
      </c>
      <c r="I1665" s="4" t="str" cm="1">
        <f t="array" ref="I1665">INDEX(Sheet1!E:E,$G1665)</f>
        <v>Sheet1</v>
      </c>
      <c r="J1665" s="4" t="str" cm="1">
        <f t="array" ref="J1665">IF($C1665&gt;=25,INDEX(Sheet1!G:G,$G1665),INDEX(Sheet1!F:F,$G1665))</f>
        <v>B139</v>
      </c>
      <c r="K1665" s="4" cm="1">
        <f t="array" ref="K1665">INDEX(Sheet1!H:H,$G1665)</f>
        <v>1</v>
      </c>
      <c r="L1665" s="4">
        <f t="shared" si="100"/>
        <v>65</v>
      </c>
      <c r="M1665" s="4">
        <f t="shared" si="101"/>
        <v>0</v>
      </c>
    </row>
    <row r="1666" spans="1:13">
      <c r="A1666" s="4" t="str" cm="1">
        <f t="array" ref="A1666">INDEX(Sheet1!A:A,$F1666)</f>
        <v>F</v>
      </c>
      <c r="B1666" s="4" t="str" cm="1">
        <f t="array" ref="B1666">INDEX(Sheet1!B:B,$F1666)</f>
        <v>Undiff NS</v>
      </c>
      <c r="C1666" s="4">
        <f t="shared" si="102"/>
        <v>91</v>
      </c>
      <c r="D1666" s="5" cm="1">
        <f t="array" aca="1" ref="D1666" ca="1">OFFSET(INDIRECT("'["&amp;$H1666&amp;"]"&amp;$I1666&amp;"'!"&amp;$J1666),$L1666,$M1666)*$K1666</f>
        <v>0.12576999999999999</v>
      </c>
      <c r="F1666" s="4">
        <f t="shared" si="103"/>
        <v>15</v>
      </c>
      <c r="G1666" s="4" cm="1">
        <f t="array" ref="G1666">IF($C1666&gt;=25,F1666,IF($C1666&lt;16,INDEX(Sheet1!C:C,$F1666),$F1666))</f>
        <v>15</v>
      </c>
      <c r="H1666" s="4" t="str" cm="1">
        <f t="array" ref="H1666">INDEX(Sheet1!D:D,$G1666)</f>
        <v>t1140.xlsx</v>
      </c>
      <c r="I1666" s="4" t="str" cm="1">
        <f t="array" ref="I1666">INDEX(Sheet1!E:E,$G1666)</f>
        <v>Sheet1</v>
      </c>
      <c r="J1666" s="4" t="str" cm="1">
        <f t="array" ref="J1666">IF($C1666&gt;=25,INDEX(Sheet1!G:G,$G1666),INDEX(Sheet1!F:F,$G1666))</f>
        <v>B139</v>
      </c>
      <c r="K1666" s="4" cm="1">
        <f t="array" ref="K1666">INDEX(Sheet1!H:H,$G1666)</f>
        <v>1</v>
      </c>
      <c r="L1666" s="4">
        <f t="shared" si="100"/>
        <v>66</v>
      </c>
      <c r="M1666" s="4">
        <f t="shared" si="101"/>
        <v>0</v>
      </c>
    </row>
    <row r="1667" spans="1:13">
      <c r="A1667" s="4" t="str" cm="1">
        <f t="array" ref="A1667">INDEX(Sheet1!A:A,$F1667)</f>
        <v>F</v>
      </c>
      <c r="B1667" s="4" t="str" cm="1">
        <f t="array" ref="B1667">INDEX(Sheet1!B:B,$F1667)</f>
        <v>Undiff NS</v>
      </c>
      <c r="C1667" s="4">
        <f t="shared" si="102"/>
        <v>92</v>
      </c>
      <c r="D1667" s="5" cm="1">
        <f t="array" aca="1" ref="D1667" ca="1">OFFSET(INDIRECT("'["&amp;$H1667&amp;"]"&amp;$I1667&amp;"'!"&amp;$J1667),$L1667,$M1667)*$K1667</f>
        <v>0.13583999999999999</v>
      </c>
      <c r="F1667" s="4">
        <f t="shared" si="103"/>
        <v>15</v>
      </c>
      <c r="G1667" s="4" cm="1">
        <f t="array" ref="G1667">IF($C1667&gt;=25,F1667,IF($C1667&lt;16,INDEX(Sheet1!C:C,$F1667),$F1667))</f>
        <v>15</v>
      </c>
      <c r="H1667" s="4" t="str" cm="1">
        <f t="array" ref="H1667">INDEX(Sheet1!D:D,$G1667)</f>
        <v>t1140.xlsx</v>
      </c>
      <c r="I1667" s="4" t="str" cm="1">
        <f t="array" ref="I1667">INDEX(Sheet1!E:E,$G1667)</f>
        <v>Sheet1</v>
      </c>
      <c r="J1667" s="4" t="str" cm="1">
        <f t="array" ref="J1667">IF($C1667&gt;=25,INDEX(Sheet1!G:G,$G1667),INDEX(Sheet1!F:F,$G1667))</f>
        <v>B139</v>
      </c>
      <c r="K1667" s="4" cm="1">
        <f t="array" ref="K1667">INDEX(Sheet1!H:H,$G1667)</f>
        <v>1</v>
      </c>
      <c r="L1667" s="4">
        <f t="shared" ref="L1667:L1921" si="104">IF($C1667&gt;=25,$C1667-25,0)</f>
        <v>67</v>
      </c>
      <c r="M1667" s="4">
        <f t="shared" ref="M1667:M1921" si="105">IF($C1667&gt;=25,0,$C1667)</f>
        <v>0</v>
      </c>
    </row>
    <row r="1668" spans="1:13">
      <c r="A1668" s="4" t="str" cm="1">
        <f t="array" ref="A1668">INDEX(Sheet1!A:A,$F1668)</f>
        <v>F</v>
      </c>
      <c r="B1668" s="4" t="str" cm="1">
        <f t="array" ref="B1668">INDEX(Sheet1!B:B,$F1668)</f>
        <v>Undiff NS</v>
      </c>
      <c r="C1668" s="4">
        <f t="shared" ref="C1668:C1729" si="106">IF(C1667=120,0,C1667+1)</f>
        <v>93</v>
      </c>
      <c r="D1668" s="5" cm="1">
        <f t="array" aca="1" ref="D1668" ca="1">OFFSET(INDIRECT("'["&amp;$H1668&amp;"]"&amp;$I1668&amp;"'!"&amp;$J1668),$L1668,$M1668)*$K1668</f>
        <v>0.15078</v>
      </c>
      <c r="F1668" s="4">
        <f t="shared" ref="F1668:F1729" si="107">IF(C1668=0,1,0)+F1667</f>
        <v>15</v>
      </c>
      <c r="G1668" s="4" cm="1">
        <f t="array" ref="G1668">IF($C1668&gt;=25,F1668,IF($C1668&lt;16,INDEX(Sheet1!C:C,$F1668),$F1668))</f>
        <v>15</v>
      </c>
      <c r="H1668" s="4" t="str" cm="1">
        <f t="array" ref="H1668">INDEX(Sheet1!D:D,$G1668)</f>
        <v>t1140.xlsx</v>
      </c>
      <c r="I1668" s="4" t="str" cm="1">
        <f t="array" ref="I1668">INDEX(Sheet1!E:E,$G1668)</f>
        <v>Sheet1</v>
      </c>
      <c r="J1668" s="4" t="str" cm="1">
        <f t="array" ref="J1668">IF($C1668&gt;=25,INDEX(Sheet1!G:G,$G1668),INDEX(Sheet1!F:F,$G1668))</f>
        <v>B139</v>
      </c>
      <c r="K1668" s="4" cm="1">
        <f t="array" ref="K1668">INDEX(Sheet1!H:H,$G1668)</f>
        <v>1</v>
      </c>
      <c r="L1668" s="4">
        <f t="shared" si="104"/>
        <v>68</v>
      </c>
      <c r="M1668" s="4">
        <f t="shared" si="105"/>
        <v>0</v>
      </c>
    </row>
    <row r="1669" spans="1:13">
      <c r="A1669" s="4" t="str" cm="1">
        <f t="array" ref="A1669">INDEX(Sheet1!A:A,$F1669)</f>
        <v>F</v>
      </c>
      <c r="B1669" s="4" t="str" cm="1">
        <f t="array" ref="B1669">INDEX(Sheet1!B:B,$F1669)</f>
        <v>Undiff NS</v>
      </c>
      <c r="C1669" s="4">
        <f t="shared" si="106"/>
        <v>94</v>
      </c>
      <c r="D1669" s="5" cm="1">
        <f t="array" aca="1" ref="D1669" ca="1">OFFSET(INDIRECT("'["&amp;$H1669&amp;"]"&amp;$I1669&amp;"'!"&amp;$J1669),$L1669,$M1669)*$K1669</f>
        <v>0.16964000000000001</v>
      </c>
      <c r="F1669" s="4">
        <f t="shared" si="107"/>
        <v>15</v>
      </c>
      <c r="G1669" s="4" cm="1">
        <f t="array" ref="G1669">IF($C1669&gt;=25,F1669,IF($C1669&lt;16,INDEX(Sheet1!C:C,$F1669),$F1669))</f>
        <v>15</v>
      </c>
      <c r="H1669" s="4" t="str" cm="1">
        <f t="array" ref="H1669">INDEX(Sheet1!D:D,$G1669)</f>
        <v>t1140.xlsx</v>
      </c>
      <c r="I1669" s="4" t="str" cm="1">
        <f t="array" ref="I1669">INDEX(Sheet1!E:E,$G1669)</f>
        <v>Sheet1</v>
      </c>
      <c r="J1669" s="4" t="str" cm="1">
        <f t="array" ref="J1669">IF($C1669&gt;=25,INDEX(Sheet1!G:G,$G1669),INDEX(Sheet1!F:F,$G1669))</f>
        <v>B139</v>
      </c>
      <c r="K1669" s="4" cm="1">
        <f t="array" ref="K1669">INDEX(Sheet1!H:H,$G1669)</f>
        <v>1</v>
      </c>
      <c r="L1669" s="4">
        <f t="shared" si="104"/>
        <v>69</v>
      </c>
      <c r="M1669" s="4">
        <f t="shared" si="105"/>
        <v>0</v>
      </c>
    </row>
    <row r="1670" spans="1:13">
      <c r="A1670" s="4" t="str" cm="1">
        <f t="array" ref="A1670">INDEX(Sheet1!A:A,$F1670)</f>
        <v>F</v>
      </c>
      <c r="B1670" s="4" t="str" cm="1">
        <f t="array" ref="B1670">INDEX(Sheet1!B:B,$F1670)</f>
        <v>Undiff NS</v>
      </c>
      <c r="C1670" s="4">
        <f t="shared" si="106"/>
        <v>95</v>
      </c>
      <c r="D1670" s="5" cm="1">
        <f t="array" aca="1" ref="D1670" ca="1">OFFSET(INDIRECT("'["&amp;$H1670&amp;"]"&amp;$I1670&amp;"'!"&amp;$J1670),$L1670,$M1670)*$K1670</f>
        <v>0.19292000000000001</v>
      </c>
      <c r="F1670" s="4">
        <f t="shared" si="107"/>
        <v>15</v>
      </c>
      <c r="G1670" s="4" cm="1">
        <f t="array" ref="G1670">IF($C1670&gt;=25,F1670,IF($C1670&lt;16,INDEX(Sheet1!C:C,$F1670),$F1670))</f>
        <v>15</v>
      </c>
      <c r="H1670" s="4" t="str" cm="1">
        <f t="array" ref="H1670">INDEX(Sheet1!D:D,$G1670)</f>
        <v>t1140.xlsx</v>
      </c>
      <c r="I1670" s="4" t="str" cm="1">
        <f t="array" ref="I1670">INDEX(Sheet1!E:E,$G1670)</f>
        <v>Sheet1</v>
      </c>
      <c r="J1670" s="4" t="str" cm="1">
        <f t="array" ref="J1670">IF($C1670&gt;=25,INDEX(Sheet1!G:G,$G1670),INDEX(Sheet1!F:F,$G1670))</f>
        <v>B139</v>
      </c>
      <c r="K1670" s="4" cm="1">
        <f t="array" ref="K1670">INDEX(Sheet1!H:H,$G1670)</f>
        <v>1</v>
      </c>
      <c r="L1670" s="4">
        <f t="shared" si="104"/>
        <v>70</v>
      </c>
      <c r="M1670" s="4">
        <f t="shared" si="105"/>
        <v>0</v>
      </c>
    </row>
    <row r="1671" spans="1:13">
      <c r="A1671" s="4" t="str" cm="1">
        <f t="array" ref="A1671">INDEX(Sheet1!A:A,$F1671)</f>
        <v>F</v>
      </c>
      <c r="B1671" s="4" t="str" cm="1">
        <f t="array" ref="B1671">INDEX(Sheet1!B:B,$F1671)</f>
        <v>Undiff NS</v>
      </c>
      <c r="C1671" s="4">
        <f t="shared" si="106"/>
        <v>96</v>
      </c>
      <c r="D1671" s="5" cm="1">
        <f t="array" aca="1" ref="D1671" ca="1">OFFSET(INDIRECT("'["&amp;$H1671&amp;"]"&amp;$I1671&amp;"'!"&amp;$J1671),$L1671,$M1671)*$K1671</f>
        <v>0.21503</v>
      </c>
      <c r="F1671" s="4">
        <f t="shared" si="107"/>
        <v>15</v>
      </c>
      <c r="G1671" s="4" cm="1">
        <f t="array" ref="G1671">IF($C1671&gt;=25,F1671,IF($C1671&lt;16,INDEX(Sheet1!C:C,$F1671),$F1671))</f>
        <v>15</v>
      </c>
      <c r="H1671" s="4" t="str" cm="1">
        <f t="array" ref="H1671">INDEX(Sheet1!D:D,$G1671)</f>
        <v>t1140.xlsx</v>
      </c>
      <c r="I1671" s="4" t="str" cm="1">
        <f t="array" ref="I1671">INDEX(Sheet1!E:E,$G1671)</f>
        <v>Sheet1</v>
      </c>
      <c r="J1671" s="4" t="str" cm="1">
        <f t="array" ref="J1671">IF($C1671&gt;=25,INDEX(Sheet1!G:G,$G1671),INDEX(Sheet1!F:F,$G1671))</f>
        <v>B139</v>
      </c>
      <c r="K1671" s="4" cm="1">
        <f t="array" ref="K1671">INDEX(Sheet1!H:H,$G1671)</f>
        <v>1</v>
      </c>
      <c r="L1671" s="4">
        <f t="shared" si="104"/>
        <v>71</v>
      </c>
      <c r="M1671" s="4">
        <f t="shared" si="105"/>
        <v>0</v>
      </c>
    </row>
    <row r="1672" spans="1:13">
      <c r="A1672" s="4" t="str" cm="1">
        <f t="array" ref="A1672">INDEX(Sheet1!A:A,$F1672)</f>
        <v>F</v>
      </c>
      <c r="B1672" s="4" t="str" cm="1">
        <f t="array" ref="B1672">INDEX(Sheet1!B:B,$F1672)</f>
        <v>Undiff NS</v>
      </c>
      <c r="C1672" s="4">
        <f t="shared" si="106"/>
        <v>97</v>
      </c>
      <c r="D1672" s="5" cm="1">
        <f t="array" aca="1" ref="D1672" ca="1">OFFSET(INDIRECT("'["&amp;$H1672&amp;"]"&amp;$I1672&amp;"'!"&amp;$J1672),$L1672,$M1672)*$K1672</f>
        <v>0.23779</v>
      </c>
      <c r="F1672" s="4">
        <f t="shared" si="107"/>
        <v>15</v>
      </c>
      <c r="G1672" s="4" cm="1">
        <f t="array" ref="G1672">IF($C1672&gt;=25,F1672,IF($C1672&lt;16,INDEX(Sheet1!C:C,$F1672),$F1672))</f>
        <v>15</v>
      </c>
      <c r="H1672" s="4" t="str" cm="1">
        <f t="array" ref="H1672">INDEX(Sheet1!D:D,$G1672)</f>
        <v>t1140.xlsx</v>
      </c>
      <c r="I1672" s="4" t="str" cm="1">
        <f t="array" ref="I1672">INDEX(Sheet1!E:E,$G1672)</f>
        <v>Sheet1</v>
      </c>
      <c r="J1672" s="4" t="str" cm="1">
        <f t="array" ref="J1672">IF($C1672&gt;=25,INDEX(Sheet1!G:G,$G1672),INDEX(Sheet1!F:F,$G1672))</f>
        <v>B139</v>
      </c>
      <c r="K1672" s="4" cm="1">
        <f t="array" ref="K1672">INDEX(Sheet1!H:H,$G1672)</f>
        <v>1</v>
      </c>
      <c r="L1672" s="4">
        <f t="shared" si="104"/>
        <v>72</v>
      </c>
      <c r="M1672" s="4">
        <f t="shared" si="105"/>
        <v>0</v>
      </c>
    </row>
    <row r="1673" spans="1:13">
      <c r="A1673" s="4" t="str" cm="1">
        <f t="array" ref="A1673">INDEX(Sheet1!A:A,$F1673)</f>
        <v>F</v>
      </c>
      <c r="B1673" s="4" t="str" cm="1">
        <f t="array" ref="B1673">INDEX(Sheet1!B:B,$F1673)</f>
        <v>Undiff NS</v>
      </c>
      <c r="C1673" s="4">
        <f t="shared" si="106"/>
        <v>98</v>
      </c>
      <c r="D1673" s="5" cm="1">
        <f t="array" aca="1" ref="D1673" ca="1">OFFSET(INDIRECT("'["&amp;$H1673&amp;"]"&amp;$I1673&amp;"'!"&amp;$J1673),$L1673,$M1673)*$K1673</f>
        <v>0.24168999999999999</v>
      </c>
      <c r="F1673" s="4">
        <f t="shared" si="107"/>
        <v>15</v>
      </c>
      <c r="G1673" s="4" cm="1">
        <f t="array" ref="G1673">IF($C1673&gt;=25,F1673,IF($C1673&lt;16,INDEX(Sheet1!C:C,$F1673),$F1673))</f>
        <v>15</v>
      </c>
      <c r="H1673" s="4" t="str" cm="1">
        <f t="array" ref="H1673">INDEX(Sheet1!D:D,$G1673)</f>
        <v>t1140.xlsx</v>
      </c>
      <c r="I1673" s="4" t="str" cm="1">
        <f t="array" ref="I1673">INDEX(Sheet1!E:E,$G1673)</f>
        <v>Sheet1</v>
      </c>
      <c r="J1673" s="4" t="str" cm="1">
        <f t="array" ref="J1673">IF($C1673&gt;=25,INDEX(Sheet1!G:G,$G1673),INDEX(Sheet1!F:F,$G1673))</f>
        <v>B139</v>
      </c>
      <c r="K1673" s="4" cm="1">
        <f t="array" ref="K1673">INDEX(Sheet1!H:H,$G1673)</f>
        <v>1</v>
      </c>
      <c r="L1673" s="4">
        <f t="shared" si="104"/>
        <v>73</v>
      </c>
      <c r="M1673" s="4">
        <f t="shared" si="105"/>
        <v>0</v>
      </c>
    </row>
    <row r="1674" spans="1:13">
      <c r="A1674" s="4" t="str" cm="1">
        <f t="array" ref="A1674">INDEX(Sheet1!A:A,$F1674)</f>
        <v>F</v>
      </c>
      <c r="B1674" s="4" t="str" cm="1">
        <f t="array" ref="B1674">INDEX(Sheet1!B:B,$F1674)</f>
        <v>Undiff NS</v>
      </c>
      <c r="C1674" s="4">
        <f t="shared" si="106"/>
        <v>99</v>
      </c>
      <c r="D1674" s="5" cm="1">
        <f t="array" aca="1" ref="D1674" ca="1">OFFSET(INDIRECT("'["&amp;$H1674&amp;"]"&amp;$I1674&amp;"'!"&amp;$J1674),$L1674,$M1674)*$K1674</f>
        <v>0.25474000000000002</v>
      </c>
      <c r="F1674" s="4">
        <f t="shared" si="107"/>
        <v>15</v>
      </c>
      <c r="G1674" s="4" cm="1">
        <f t="array" ref="G1674">IF($C1674&gt;=25,F1674,IF($C1674&lt;16,INDEX(Sheet1!C:C,$F1674),$F1674))</f>
        <v>15</v>
      </c>
      <c r="H1674" s="4" t="str" cm="1">
        <f t="array" ref="H1674">INDEX(Sheet1!D:D,$G1674)</f>
        <v>t1140.xlsx</v>
      </c>
      <c r="I1674" s="4" t="str" cm="1">
        <f t="array" ref="I1674">INDEX(Sheet1!E:E,$G1674)</f>
        <v>Sheet1</v>
      </c>
      <c r="J1674" s="4" t="str" cm="1">
        <f t="array" ref="J1674">IF($C1674&gt;=25,INDEX(Sheet1!G:G,$G1674),INDEX(Sheet1!F:F,$G1674))</f>
        <v>B139</v>
      </c>
      <c r="K1674" s="4" cm="1">
        <f t="array" ref="K1674">INDEX(Sheet1!H:H,$G1674)</f>
        <v>1</v>
      </c>
      <c r="L1674" s="4">
        <f t="shared" si="104"/>
        <v>74</v>
      </c>
      <c r="M1674" s="4">
        <f t="shared" si="105"/>
        <v>0</v>
      </c>
    </row>
    <row r="1675" spans="1:13">
      <c r="A1675" s="4" t="str" cm="1">
        <f t="array" ref="A1675">INDEX(Sheet1!A:A,$F1675)</f>
        <v>F</v>
      </c>
      <c r="B1675" s="4" t="str" cm="1">
        <f t="array" ref="B1675">INDEX(Sheet1!B:B,$F1675)</f>
        <v>Undiff NS</v>
      </c>
      <c r="C1675" s="4">
        <f t="shared" si="106"/>
        <v>100</v>
      </c>
      <c r="D1675" s="5" cm="1">
        <f t="array" aca="1" ref="D1675" ca="1">OFFSET(INDIRECT("'["&amp;$H1675&amp;"]"&amp;$I1675&amp;"'!"&amp;$J1675),$L1675,$M1675)*$K1675</f>
        <v>0.27545999999999998</v>
      </c>
      <c r="F1675" s="4">
        <f t="shared" si="107"/>
        <v>15</v>
      </c>
      <c r="G1675" s="4" cm="1">
        <f t="array" ref="G1675">IF($C1675&gt;=25,F1675,IF($C1675&lt;16,INDEX(Sheet1!C:C,$F1675),$F1675))</f>
        <v>15</v>
      </c>
      <c r="H1675" s="4" t="str" cm="1">
        <f t="array" ref="H1675">INDEX(Sheet1!D:D,$G1675)</f>
        <v>t1140.xlsx</v>
      </c>
      <c r="I1675" s="4" t="str" cm="1">
        <f t="array" ref="I1675">INDEX(Sheet1!E:E,$G1675)</f>
        <v>Sheet1</v>
      </c>
      <c r="J1675" s="4" t="str" cm="1">
        <f t="array" ref="J1675">IF($C1675&gt;=25,INDEX(Sheet1!G:G,$G1675),INDEX(Sheet1!F:F,$G1675))</f>
        <v>B139</v>
      </c>
      <c r="K1675" s="4" cm="1">
        <f t="array" ref="K1675">INDEX(Sheet1!H:H,$G1675)</f>
        <v>1</v>
      </c>
      <c r="L1675" s="4">
        <f t="shared" si="104"/>
        <v>75</v>
      </c>
      <c r="M1675" s="4">
        <f t="shared" si="105"/>
        <v>0</v>
      </c>
    </row>
    <row r="1676" spans="1:13">
      <c r="A1676" s="4" t="str" cm="1">
        <f t="array" ref="A1676">INDEX(Sheet1!A:A,$F1676)</f>
        <v>F</v>
      </c>
      <c r="B1676" s="4" t="str" cm="1">
        <f t="array" ref="B1676">INDEX(Sheet1!B:B,$F1676)</f>
        <v>Undiff NS</v>
      </c>
      <c r="C1676" s="4">
        <f t="shared" si="106"/>
        <v>101</v>
      </c>
      <c r="D1676" s="5" cm="1">
        <f t="array" aca="1" ref="D1676" ca="1">OFFSET(INDIRECT("'["&amp;$H1676&amp;"]"&amp;$I1676&amp;"'!"&amp;$J1676),$L1676,$M1676)*$K1676</f>
        <v>0.29754999999999998</v>
      </c>
      <c r="F1676" s="4">
        <f t="shared" si="107"/>
        <v>15</v>
      </c>
      <c r="G1676" s="4" cm="1">
        <f t="array" ref="G1676">IF($C1676&gt;=25,F1676,IF($C1676&lt;16,INDEX(Sheet1!C:C,$F1676),$F1676))</f>
        <v>15</v>
      </c>
      <c r="H1676" s="4" t="str" cm="1">
        <f t="array" ref="H1676">INDEX(Sheet1!D:D,$G1676)</f>
        <v>t1140.xlsx</v>
      </c>
      <c r="I1676" s="4" t="str" cm="1">
        <f t="array" ref="I1676">INDEX(Sheet1!E:E,$G1676)</f>
        <v>Sheet1</v>
      </c>
      <c r="J1676" s="4" t="str" cm="1">
        <f t="array" ref="J1676">IF($C1676&gt;=25,INDEX(Sheet1!G:G,$G1676),INDEX(Sheet1!F:F,$G1676))</f>
        <v>B139</v>
      </c>
      <c r="K1676" s="4" cm="1">
        <f t="array" ref="K1676">INDEX(Sheet1!H:H,$G1676)</f>
        <v>1</v>
      </c>
      <c r="L1676" s="4">
        <f t="shared" si="104"/>
        <v>76</v>
      </c>
      <c r="M1676" s="4">
        <f t="shared" si="105"/>
        <v>0</v>
      </c>
    </row>
    <row r="1677" spans="1:13">
      <c r="A1677" s="4" t="str" cm="1">
        <f t="array" ref="A1677">INDEX(Sheet1!A:A,$F1677)</f>
        <v>F</v>
      </c>
      <c r="B1677" s="4" t="str" cm="1">
        <f t="array" ref="B1677">INDEX(Sheet1!B:B,$F1677)</f>
        <v>Undiff NS</v>
      </c>
      <c r="C1677" s="4">
        <f t="shared" si="106"/>
        <v>102</v>
      </c>
      <c r="D1677" s="5" cm="1">
        <f t="array" aca="1" ref="D1677" ca="1">OFFSET(INDIRECT("'["&amp;$H1677&amp;"]"&amp;$I1677&amp;"'!"&amp;$J1677),$L1677,$M1677)*$K1677</f>
        <v>0.32218999999999998</v>
      </c>
      <c r="F1677" s="4">
        <f t="shared" si="107"/>
        <v>15</v>
      </c>
      <c r="G1677" s="4" cm="1">
        <f t="array" ref="G1677">IF($C1677&gt;=25,F1677,IF($C1677&lt;16,INDEX(Sheet1!C:C,$F1677),$F1677))</f>
        <v>15</v>
      </c>
      <c r="H1677" s="4" t="str" cm="1">
        <f t="array" ref="H1677">INDEX(Sheet1!D:D,$G1677)</f>
        <v>t1140.xlsx</v>
      </c>
      <c r="I1677" s="4" t="str" cm="1">
        <f t="array" ref="I1677">INDEX(Sheet1!E:E,$G1677)</f>
        <v>Sheet1</v>
      </c>
      <c r="J1677" s="4" t="str" cm="1">
        <f t="array" ref="J1677">IF($C1677&gt;=25,INDEX(Sheet1!G:G,$G1677),INDEX(Sheet1!F:F,$G1677))</f>
        <v>B139</v>
      </c>
      <c r="K1677" s="4" cm="1">
        <f t="array" ref="K1677">INDEX(Sheet1!H:H,$G1677)</f>
        <v>1</v>
      </c>
      <c r="L1677" s="4">
        <f t="shared" si="104"/>
        <v>77</v>
      </c>
      <c r="M1677" s="4">
        <f t="shared" si="105"/>
        <v>0</v>
      </c>
    </row>
    <row r="1678" spans="1:13">
      <c r="A1678" s="4" t="str" cm="1">
        <f t="array" ref="A1678">INDEX(Sheet1!A:A,$F1678)</f>
        <v>F</v>
      </c>
      <c r="B1678" s="4" t="str" cm="1">
        <f t="array" ref="B1678">INDEX(Sheet1!B:B,$F1678)</f>
        <v>Undiff NS</v>
      </c>
      <c r="C1678" s="4">
        <f t="shared" si="106"/>
        <v>103</v>
      </c>
      <c r="D1678" s="5" cm="1">
        <f t="array" aca="1" ref="D1678" ca="1">OFFSET(INDIRECT("'["&amp;$H1678&amp;"]"&amp;$I1678&amp;"'!"&amp;$J1678),$L1678,$M1678)*$K1678</f>
        <v>0.34904000000000002</v>
      </c>
      <c r="F1678" s="4">
        <f t="shared" si="107"/>
        <v>15</v>
      </c>
      <c r="G1678" s="4" cm="1">
        <f t="array" ref="G1678">IF($C1678&gt;=25,F1678,IF($C1678&lt;16,INDEX(Sheet1!C:C,$F1678),$F1678))</f>
        <v>15</v>
      </c>
      <c r="H1678" s="4" t="str" cm="1">
        <f t="array" ref="H1678">INDEX(Sheet1!D:D,$G1678)</f>
        <v>t1140.xlsx</v>
      </c>
      <c r="I1678" s="4" t="str" cm="1">
        <f t="array" ref="I1678">INDEX(Sheet1!E:E,$G1678)</f>
        <v>Sheet1</v>
      </c>
      <c r="J1678" s="4" t="str" cm="1">
        <f t="array" ref="J1678">IF($C1678&gt;=25,INDEX(Sheet1!G:G,$G1678),INDEX(Sheet1!F:F,$G1678))</f>
        <v>B139</v>
      </c>
      <c r="K1678" s="4" cm="1">
        <f t="array" ref="K1678">INDEX(Sheet1!H:H,$G1678)</f>
        <v>1</v>
      </c>
      <c r="L1678" s="4">
        <f t="shared" si="104"/>
        <v>78</v>
      </c>
      <c r="M1678" s="4">
        <f t="shared" si="105"/>
        <v>0</v>
      </c>
    </row>
    <row r="1679" spans="1:13">
      <c r="A1679" s="4" t="str" cm="1">
        <f t="array" ref="A1679">INDEX(Sheet1!A:A,$F1679)</f>
        <v>F</v>
      </c>
      <c r="B1679" s="4" t="str" cm="1">
        <f t="array" ref="B1679">INDEX(Sheet1!B:B,$F1679)</f>
        <v>Undiff NS</v>
      </c>
      <c r="C1679" s="4">
        <f t="shared" si="106"/>
        <v>104</v>
      </c>
      <c r="D1679" s="5" cm="1">
        <f t="array" aca="1" ref="D1679" ca="1">OFFSET(INDIRECT("'["&amp;$H1679&amp;"]"&amp;$I1679&amp;"'!"&amp;$J1679),$L1679,$M1679)*$K1679</f>
        <v>0.37859999999999999</v>
      </c>
      <c r="F1679" s="4">
        <f t="shared" si="107"/>
        <v>15</v>
      </c>
      <c r="G1679" s="4" cm="1">
        <f t="array" ref="G1679">IF($C1679&gt;=25,F1679,IF($C1679&lt;16,INDEX(Sheet1!C:C,$F1679),$F1679))</f>
        <v>15</v>
      </c>
      <c r="H1679" s="4" t="str" cm="1">
        <f t="array" ref="H1679">INDEX(Sheet1!D:D,$G1679)</f>
        <v>t1140.xlsx</v>
      </c>
      <c r="I1679" s="4" t="str" cm="1">
        <f t="array" ref="I1679">INDEX(Sheet1!E:E,$G1679)</f>
        <v>Sheet1</v>
      </c>
      <c r="J1679" s="4" t="str" cm="1">
        <f t="array" ref="J1679">IF($C1679&gt;=25,INDEX(Sheet1!G:G,$G1679),INDEX(Sheet1!F:F,$G1679))</f>
        <v>B139</v>
      </c>
      <c r="K1679" s="4" cm="1">
        <f t="array" ref="K1679">INDEX(Sheet1!H:H,$G1679)</f>
        <v>1</v>
      </c>
      <c r="L1679" s="4">
        <f t="shared" si="104"/>
        <v>79</v>
      </c>
      <c r="M1679" s="4">
        <f t="shared" si="105"/>
        <v>0</v>
      </c>
    </row>
    <row r="1680" spans="1:13">
      <c r="A1680" s="4" t="str" cm="1">
        <f t="array" ref="A1680">INDEX(Sheet1!A:A,$F1680)</f>
        <v>F</v>
      </c>
      <c r="B1680" s="4" t="str" cm="1">
        <f t="array" ref="B1680">INDEX(Sheet1!B:B,$F1680)</f>
        <v>Undiff NS</v>
      </c>
      <c r="C1680" s="4">
        <f t="shared" si="106"/>
        <v>105</v>
      </c>
      <c r="D1680" s="5" cm="1">
        <f t="array" aca="1" ref="D1680" ca="1">OFFSET(INDIRECT("'["&amp;$H1680&amp;"]"&amp;$I1680&amp;"'!"&amp;$J1680),$L1680,$M1680)*$K1680</f>
        <v>0.41055999999999998</v>
      </c>
      <c r="F1680" s="4">
        <f t="shared" si="107"/>
        <v>15</v>
      </c>
      <c r="G1680" s="4" cm="1">
        <f t="array" ref="G1680">IF($C1680&gt;=25,F1680,IF($C1680&lt;16,INDEX(Sheet1!C:C,$F1680),$F1680))</f>
        <v>15</v>
      </c>
      <c r="H1680" s="4" t="str" cm="1">
        <f t="array" ref="H1680">INDEX(Sheet1!D:D,$G1680)</f>
        <v>t1140.xlsx</v>
      </c>
      <c r="I1680" s="4" t="str" cm="1">
        <f t="array" ref="I1680">INDEX(Sheet1!E:E,$G1680)</f>
        <v>Sheet1</v>
      </c>
      <c r="J1680" s="4" t="str" cm="1">
        <f t="array" ref="J1680">IF($C1680&gt;=25,INDEX(Sheet1!G:G,$G1680),INDEX(Sheet1!F:F,$G1680))</f>
        <v>B139</v>
      </c>
      <c r="K1680" s="4" cm="1">
        <f t="array" ref="K1680">INDEX(Sheet1!H:H,$G1680)</f>
        <v>1</v>
      </c>
      <c r="L1680" s="4">
        <f t="shared" si="104"/>
        <v>80</v>
      </c>
      <c r="M1680" s="4">
        <f t="shared" si="105"/>
        <v>0</v>
      </c>
    </row>
    <row r="1681" spans="1:13">
      <c r="A1681" s="4" t="str" cm="1">
        <f t="array" ref="A1681">INDEX(Sheet1!A:A,$F1681)</f>
        <v>F</v>
      </c>
      <c r="B1681" s="4" t="str" cm="1">
        <f t="array" ref="B1681">INDEX(Sheet1!B:B,$F1681)</f>
        <v>Undiff NS</v>
      </c>
      <c r="C1681" s="4">
        <f t="shared" si="106"/>
        <v>106</v>
      </c>
      <c r="D1681" s="5" cm="1">
        <f t="array" aca="1" ref="D1681" ca="1">OFFSET(INDIRECT("'["&amp;$H1681&amp;"]"&amp;$I1681&amp;"'!"&amp;$J1681),$L1681,$M1681)*$K1681</f>
        <v>0.44331999999999999</v>
      </c>
      <c r="F1681" s="4">
        <f t="shared" si="107"/>
        <v>15</v>
      </c>
      <c r="G1681" s="4" cm="1">
        <f t="array" ref="G1681">IF($C1681&gt;=25,F1681,IF($C1681&lt;16,INDEX(Sheet1!C:C,$F1681),$F1681))</f>
        <v>15</v>
      </c>
      <c r="H1681" s="4" t="str" cm="1">
        <f t="array" ref="H1681">INDEX(Sheet1!D:D,$G1681)</f>
        <v>t1140.xlsx</v>
      </c>
      <c r="I1681" s="4" t="str" cm="1">
        <f t="array" ref="I1681">INDEX(Sheet1!E:E,$G1681)</f>
        <v>Sheet1</v>
      </c>
      <c r="J1681" s="4" t="str" cm="1">
        <f t="array" ref="J1681">IF($C1681&gt;=25,INDEX(Sheet1!G:G,$G1681),INDEX(Sheet1!F:F,$G1681))</f>
        <v>B139</v>
      </c>
      <c r="K1681" s="4" cm="1">
        <f t="array" ref="K1681">INDEX(Sheet1!H:H,$G1681)</f>
        <v>1</v>
      </c>
      <c r="L1681" s="4">
        <f t="shared" si="104"/>
        <v>81</v>
      </c>
      <c r="M1681" s="4">
        <f t="shared" si="105"/>
        <v>0</v>
      </c>
    </row>
    <row r="1682" spans="1:13">
      <c r="A1682" s="4" t="str" cm="1">
        <f t="array" ref="A1682">INDEX(Sheet1!A:A,$F1682)</f>
        <v>F</v>
      </c>
      <c r="B1682" s="4" t="str" cm="1">
        <f t="array" ref="B1682">INDEX(Sheet1!B:B,$F1682)</f>
        <v>Undiff NS</v>
      </c>
      <c r="C1682" s="4">
        <f t="shared" si="106"/>
        <v>107</v>
      </c>
      <c r="D1682" s="5" cm="1">
        <f t="array" aca="1" ref="D1682" ca="1">OFFSET(INDIRECT("'["&amp;$H1682&amp;"]"&amp;$I1682&amp;"'!"&amp;$J1682),$L1682,$M1682)*$K1682</f>
        <v>0.47688000000000003</v>
      </c>
      <c r="F1682" s="4">
        <f t="shared" si="107"/>
        <v>15</v>
      </c>
      <c r="G1682" s="4" cm="1">
        <f t="array" ref="G1682">IF($C1682&gt;=25,F1682,IF($C1682&lt;16,INDEX(Sheet1!C:C,$F1682),$F1682))</f>
        <v>15</v>
      </c>
      <c r="H1682" s="4" t="str" cm="1">
        <f t="array" ref="H1682">INDEX(Sheet1!D:D,$G1682)</f>
        <v>t1140.xlsx</v>
      </c>
      <c r="I1682" s="4" t="str" cm="1">
        <f t="array" ref="I1682">INDEX(Sheet1!E:E,$G1682)</f>
        <v>Sheet1</v>
      </c>
      <c r="J1682" s="4" t="str" cm="1">
        <f t="array" ref="J1682">IF($C1682&gt;=25,INDEX(Sheet1!G:G,$G1682),INDEX(Sheet1!F:F,$G1682))</f>
        <v>B139</v>
      </c>
      <c r="K1682" s="4" cm="1">
        <f t="array" ref="K1682">INDEX(Sheet1!H:H,$G1682)</f>
        <v>1</v>
      </c>
      <c r="L1682" s="4">
        <f t="shared" si="104"/>
        <v>82</v>
      </c>
      <c r="M1682" s="4">
        <f t="shared" si="105"/>
        <v>0</v>
      </c>
    </row>
    <row r="1683" spans="1:13">
      <c r="A1683" s="4" t="str" cm="1">
        <f t="array" ref="A1683">INDEX(Sheet1!A:A,$F1683)</f>
        <v>F</v>
      </c>
      <c r="B1683" s="4" t="str" cm="1">
        <f t="array" ref="B1683">INDEX(Sheet1!B:B,$F1683)</f>
        <v>Undiff NS</v>
      </c>
      <c r="C1683" s="4">
        <f t="shared" si="106"/>
        <v>108</v>
      </c>
      <c r="D1683" s="5" cm="1">
        <f t="array" aca="1" ref="D1683" ca="1">OFFSET(INDIRECT("'["&amp;$H1683&amp;"]"&amp;$I1683&amp;"'!"&amp;$J1683),$L1683,$M1683)*$K1683</f>
        <v>0.51063999999999998</v>
      </c>
      <c r="F1683" s="4">
        <f t="shared" si="107"/>
        <v>15</v>
      </c>
      <c r="G1683" s="4" cm="1">
        <f t="array" ref="G1683">IF($C1683&gt;=25,F1683,IF($C1683&lt;16,INDEX(Sheet1!C:C,$F1683),$F1683))</f>
        <v>15</v>
      </c>
      <c r="H1683" s="4" t="str" cm="1">
        <f t="array" ref="H1683">INDEX(Sheet1!D:D,$G1683)</f>
        <v>t1140.xlsx</v>
      </c>
      <c r="I1683" s="4" t="str" cm="1">
        <f t="array" ref="I1683">INDEX(Sheet1!E:E,$G1683)</f>
        <v>Sheet1</v>
      </c>
      <c r="J1683" s="4" t="str" cm="1">
        <f t="array" ref="J1683">IF($C1683&gt;=25,INDEX(Sheet1!G:G,$G1683),INDEX(Sheet1!F:F,$G1683))</f>
        <v>B139</v>
      </c>
      <c r="K1683" s="4" cm="1">
        <f t="array" ref="K1683">INDEX(Sheet1!H:H,$G1683)</f>
        <v>1</v>
      </c>
      <c r="L1683" s="4">
        <f t="shared" si="104"/>
        <v>83</v>
      </c>
      <c r="M1683" s="4">
        <f t="shared" si="105"/>
        <v>0</v>
      </c>
    </row>
    <row r="1684" spans="1:13">
      <c r="A1684" s="4" t="str" cm="1">
        <f t="array" ref="A1684">INDEX(Sheet1!A:A,$F1684)</f>
        <v>F</v>
      </c>
      <c r="B1684" s="4" t="str" cm="1">
        <f t="array" ref="B1684">INDEX(Sheet1!B:B,$F1684)</f>
        <v>Undiff NS</v>
      </c>
      <c r="C1684" s="4">
        <f t="shared" si="106"/>
        <v>109</v>
      </c>
      <c r="D1684" s="5" cm="1">
        <f t="array" aca="1" ref="D1684" ca="1">OFFSET(INDIRECT("'["&amp;$H1684&amp;"]"&amp;$I1684&amp;"'!"&amp;$J1684),$L1684,$M1684)*$K1684</f>
        <v>0.54579999999999995</v>
      </c>
      <c r="F1684" s="4">
        <f t="shared" si="107"/>
        <v>15</v>
      </c>
      <c r="G1684" s="4" cm="1">
        <f t="array" ref="G1684">IF($C1684&gt;=25,F1684,IF($C1684&lt;16,INDEX(Sheet1!C:C,$F1684),$F1684))</f>
        <v>15</v>
      </c>
      <c r="H1684" s="4" t="str" cm="1">
        <f t="array" ref="H1684">INDEX(Sheet1!D:D,$G1684)</f>
        <v>t1140.xlsx</v>
      </c>
      <c r="I1684" s="4" t="str" cm="1">
        <f t="array" ref="I1684">INDEX(Sheet1!E:E,$G1684)</f>
        <v>Sheet1</v>
      </c>
      <c r="J1684" s="4" t="str" cm="1">
        <f t="array" ref="J1684">IF($C1684&gt;=25,INDEX(Sheet1!G:G,$G1684),INDEX(Sheet1!F:F,$G1684))</f>
        <v>B139</v>
      </c>
      <c r="K1684" s="4" cm="1">
        <f t="array" ref="K1684">INDEX(Sheet1!H:H,$G1684)</f>
        <v>1</v>
      </c>
      <c r="L1684" s="4">
        <f t="shared" si="104"/>
        <v>84</v>
      </c>
      <c r="M1684" s="4">
        <f t="shared" si="105"/>
        <v>0</v>
      </c>
    </row>
    <row r="1685" spans="1:13">
      <c r="A1685" s="4" t="str" cm="1">
        <f t="array" ref="A1685">INDEX(Sheet1!A:A,$F1685)</f>
        <v>F</v>
      </c>
      <c r="B1685" s="4" t="str" cm="1">
        <f t="array" ref="B1685">INDEX(Sheet1!B:B,$F1685)</f>
        <v>Undiff NS</v>
      </c>
      <c r="C1685" s="4">
        <f t="shared" si="106"/>
        <v>110</v>
      </c>
      <c r="D1685" s="5" cm="1">
        <f t="array" aca="1" ref="D1685" ca="1">OFFSET(INDIRECT("'["&amp;$H1685&amp;"]"&amp;$I1685&amp;"'!"&amp;$J1685),$L1685,$M1685)*$K1685</f>
        <v>0.58176000000000005</v>
      </c>
      <c r="F1685" s="4">
        <f t="shared" si="107"/>
        <v>15</v>
      </c>
      <c r="G1685" s="4" cm="1">
        <f t="array" ref="G1685">IF($C1685&gt;=25,F1685,IF($C1685&lt;16,INDEX(Sheet1!C:C,$F1685),$F1685))</f>
        <v>15</v>
      </c>
      <c r="H1685" s="4" t="str" cm="1">
        <f t="array" ref="H1685">INDEX(Sheet1!D:D,$G1685)</f>
        <v>t1140.xlsx</v>
      </c>
      <c r="I1685" s="4" t="str" cm="1">
        <f t="array" ref="I1685">INDEX(Sheet1!E:E,$G1685)</f>
        <v>Sheet1</v>
      </c>
      <c r="J1685" s="4" t="str" cm="1">
        <f t="array" ref="J1685">IF($C1685&gt;=25,INDEX(Sheet1!G:G,$G1685),INDEX(Sheet1!F:F,$G1685))</f>
        <v>B139</v>
      </c>
      <c r="K1685" s="4" cm="1">
        <f t="array" ref="K1685">INDEX(Sheet1!H:H,$G1685)</f>
        <v>1</v>
      </c>
      <c r="L1685" s="4">
        <f t="shared" si="104"/>
        <v>85</v>
      </c>
      <c r="M1685" s="4">
        <f t="shared" si="105"/>
        <v>0</v>
      </c>
    </row>
    <row r="1686" spans="1:13">
      <c r="A1686" s="4" t="str" cm="1">
        <f t="array" ref="A1686">INDEX(Sheet1!A:A,$F1686)</f>
        <v>F</v>
      </c>
      <c r="B1686" s="4" t="str" cm="1">
        <f t="array" ref="B1686">INDEX(Sheet1!B:B,$F1686)</f>
        <v>Undiff NS</v>
      </c>
      <c r="C1686" s="4">
        <f t="shared" si="106"/>
        <v>111</v>
      </c>
      <c r="D1686" s="5" cm="1">
        <f t="array" aca="1" ref="D1686" ca="1">OFFSET(INDIRECT("'["&amp;$H1686&amp;"]"&amp;$I1686&amp;"'!"&amp;$J1686),$L1686,$M1686)*$K1686</f>
        <v>0.61631999999999998</v>
      </c>
      <c r="F1686" s="4">
        <f t="shared" si="107"/>
        <v>15</v>
      </c>
      <c r="G1686" s="4" cm="1">
        <f t="array" ref="G1686">IF($C1686&gt;=25,F1686,IF($C1686&lt;16,INDEX(Sheet1!C:C,$F1686),$F1686))</f>
        <v>15</v>
      </c>
      <c r="H1686" s="4" t="str" cm="1">
        <f t="array" ref="H1686">INDEX(Sheet1!D:D,$G1686)</f>
        <v>t1140.xlsx</v>
      </c>
      <c r="I1686" s="4" t="str" cm="1">
        <f t="array" ref="I1686">INDEX(Sheet1!E:E,$G1686)</f>
        <v>Sheet1</v>
      </c>
      <c r="J1686" s="4" t="str" cm="1">
        <f t="array" ref="J1686">IF($C1686&gt;=25,INDEX(Sheet1!G:G,$G1686),INDEX(Sheet1!F:F,$G1686))</f>
        <v>B139</v>
      </c>
      <c r="K1686" s="4" cm="1">
        <f t="array" ref="K1686">INDEX(Sheet1!H:H,$G1686)</f>
        <v>1</v>
      </c>
      <c r="L1686" s="4">
        <f t="shared" si="104"/>
        <v>86</v>
      </c>
      <c r="M1686" s="4">
        <f t="shared" si="105"/>
        <v>0</v>
      </c>
    </row>
    <row r="1687" spans="1:13">
      <c r="A1687" s="4" t="str" cm="1">
        <f t="array" ref="A1687">INDEX(Sheet1!A:A,$F1687)</f>
        <v>F</v>
      </c>
      <c r="B1687" s="4" t="str" cm="1">
        <f t="array" ref="B1687">INDEX(Sheet1!B:B,$F1687)</f>
        <v>Undiff NS</v>
      </c>
      <c r="C1687" s="4">
        <f t="shared" si="106"/>
        <v>112</v>
      </c>
      <c r="D1687" s="5" cm="1">
        <f t="array" aca="1" ref="D1687" ca="1">OFFSET(INDIRECT("'["&amp;$H1687&amp;"]"&amp;$I1687&amp;"'!"&amp;$J1687),$L1687,$M1687)*$K1687</f>
        <v>0.64983999999999997</v>
      </c>
      <c r="F1687" s="4">
        <f t="shared" si="107"/>
        <v>15</v>
      </c>
      <c r="G1687" s="4" cm="1">
        <f t="array" ref="G1687">IF($C1687&gt;=25,F1687,IF($C1687&lt;16,INDEX(Sheet1!C:C,$F1687),$F1687))</f>
        <v>15</v>
      </c>
      <c r="H1687" s="4" t="str" cm="1">
        <f t="array" ref="H1687">INDEX(Sheet1!D:D,$G1687)</f>
        <v>t1140.xlsx</v>
      </c>
      <c r="I1687" s="4" t="str" cm="1">
        <f t="array" ref="I1687">INDEX(Sheet1!E:E,$G1687)</f>
        <v>Sheet1</v>
      </c>
      <c r="J1687" s="4" t="str" cm="1">
        <f t="array" ref="J1687">IF($C1687&gt;=25,INDEX(Sheet1!G:G,$G1687),INDEX(Sheet1!F:F,$G1687))</f>
        <v>B139</v>
      </c>
      <c r="K1687" s="4" cm="1">
        <f t="array" ref="K1687">INDEX(Sheet1!H:H,$G1687)</f>
        <v>1</v>
      </c>
      <c r="L1687" s="4">
        <f t="shared" si="104"/>
        <v>87</v>
      </c>
      <c r="M1687" s="4">
        <f t="shared" si="105"/>
        <v>0</v>
      </c>
    </row>
    <row r="1688" spans="1:13">
      <c r="A1688" s="4" t="str" cm="1">
        <f t="array" ref="A1688">INDEX(Sheet1!A:A,$F1688)</f>
        <v>F</v>
      </c>
      <c r="B1688" s="4" t="str" cm="1">
        <f t="array" ref="B1688">INDEX(Sheet1!B:B,$F1688)</f>
        <v>Undiff NS</v>
      </c>
      <c r="C1688" s="4">
        <f t="shared" si="106"/>
        <v>113</v>
      </c>
      <c r="D1688" s="5" cm="1">
        <f t="array" aca="1" ref="D1688" ca="1">OFFSET(INDIRECT("'["&amp;$H1688&amp;"]"&amp;$I1688&amp;"'!"&amp;$J1688),$L1688,$M1688)*$K1688</f>
        <v>0.68035999999999996</v>
      </c>
      <c r="F1688" s="4">
        <f t="shared" si="107"/>
        <v>15</v>
      </c>
      <c r="G1688" s="4" cm="1">
        <f t="array" ref="G1688">IF($C1688&gt;=25,F1688,IF($C1688&lt;16,INDEX(Sheet1!C:C,$F1688),$F1688))</f>
        <v>15</v>
      </c>
      <c r="H1688" s="4" t="str" cm="1">
        <f t="array" ref="H1688">INDEX(Sheet1!D:D,$G1688)</f>
        <v>t1140.xlsx</v>
      </c>
      <c r="I1688" s="4" t="str" cm="1">
        <f t="array" ref="I1688">INDEX(Sheet1!E:E,$G1688)</f>
        <v>Sheet1</v>
      </c>
      <c r="J1688" s="4" t="str" cm="1">
        <f t="array" ref="J1688">IF($C1688&gt;=25,INDEX(Sheet1!G:G,$G1688),INDEX(Sheet1!F:F,$G1688))</f>
        <v>B139</v>
      </c>
      <c r="K1688" s="4" cm="1">
        <f t="array" ref="K1688">INDEX(Sheet1!H:H,$G1688)</f>
        <v>1</v>
      </c>
      <c r="L1688" s="4">
        <f t="shared" si="104"/>
        <v>88</v>
      </c>
      <c r="M1688" s="4">
        <f t="shared" si="105"/>
        <v>0</v>
      </c>
    </row>
    <row r="1689" spans="1:13">
      <c r="A1689" s="4" t="str" cm="1">
        <f t="array" ref="A1689">INDEX(Sheet1!A:A,$F1689)</f>
        <v>F</v>
      </c>
      <c r="B1689" s="4" t="str" cm="1">
        <f t="array" ref="B1689">INDEX(Sheet1!B:B,$F1689)</f>
        <v>Undiff NS</v>
      </c>
      <c r="C1689" s="4">
        <f t="shared" si="106"/>
        <v>114</v>
      </c>
      <c r="D1689" s="5" cm="1">
        <f t="array" aca="1" ref="D1689" ca="1">OFFSET(INDIRECT("'["&amp;$H1689&amp;"]"&amp;$I1689&amp;"'!"&amp;$J1689),$L1689,$M1689)*$K1689</f>
        <v>0.72338000000000002</v>
      </c>
      <c r="F1689" s="4">
        <f t="shared" si="107"/>
        <v>15</v>
      </c>
      <c r="G1689" s="4" cm="1">
        <f t="array" ref="G1689">IF($C1689&gt;=25,F1689,IF($C1689&lt;16,INDEX(Sheet1!C:C,$F1689),$F1689))</f>
        <v>15</v>
      </c>
      <c r="H1689" s="4" t="str" cm="1">
        <f t="array" ref="H1689">INDEX(Sheet1!D:D,$G1689)</f>
        <v>t1140.xlsx</v>
      </c>
      <c r="I1689" s="4" t="str" cm="1">
        <f t="array" ref="I1689">INDEX(Sheet1!E:E,$G1689)</f>
        <v>Sheet1</v>
      </c>
      <c r="J1689" s="4" t="str" cm="1">
        <f t="array" ref="J1689">IF($C1689&gt;=25,INDEX(Sheet1!G:G,$G1689),INDEX(Sheet1!F:F,$G1689))</f>
        <v>B139</v>
      </c>
      <c r="K1689" s="4" cm="1">
        <f t="array" ref="K1689">INDEX(Sheet1!H:H,$G1689)</f>
        <v>1</v>
      </c>
      <c r="L1689" s="4">
        <f t="shared" si="104"/>
        <v>89</v>
      </c>
      <c r="M1689" s="4">
        <f t="shared" si="105"/>
        <v>0</v>
      </c>
    </row>
    <row r="1690" spans="1:13">
      <c r="A1690" s="4" t="str" cm="1">
        <f t="array" ref="A1690">INDEX(Sheet1!A:A,$F1690)</f>
        <v>F</v>
      </c>
      <c r="B1690" s="4" t="str" cm="1">
        <f t="array" ref="B1690">INDEX(Sheet1!B:B,$F1690)</f>
        <v>Undiff NS</v>
      </c>
      <c r="C1690" s="4">
        <f t="shared" si="106"/>
        <v>115</v>
      </c>
      <c r="D1690" s="5" cm="1">
        <f t="array" aca="1" ref="D1690" ca="1">OFFSET(INDIRECT("'["&amp;$H1690&amp;"]"&amp;$I1690&amp;"'!"&amp;$J1690),$L1690,$M1690)*$K1690</f>
        <v>0.76339999999999997</v>
      </c>
      <c r="F1690" s="4">
        <f t="shared" si="107"/>
        <v>15</v>
      </c>
      <c r="G1690" s="4" cm="1">
        <f t="array" ref="G1690">IF($C1690&gt;=25,F1690,IF($C1690&lt;16,INDEX(Sheet1!C:C,$F1690),$F1690))</f>
        <v>15</v>
      </c>
      <c r="H1690" s="4" t="str" cm="1">
        <f t="array" ref="H1690">INDEX(Sheet1!D:D,$G1690)</f>
        <v>t1140.xlsx</v>
      </c>
      <c r="I1690" s="4" t="str" cm="1">
        <f t="array" ref="I1690">INDEX(Sheet1!E:E,$G1690)</f>
        <v>Sheet1</v>
      </c>
      <c r="J1690" s="4" t="str" cm="1">
        <f t="array" ref="J1690">IF($C1690&gt;=25,INDEX(Sheet1!G:G,$G1690),INDEX(Sheet1!F:F,$G1690))</f>
        <v>B139</v>
      </c>
      <c r="K1690" s="4" cm="1">
        <f t="array" ref="K1690">INDEX(Sheet1!H:H,$G1690)</f>
        <v>1</v>
      </c>
      <c r="L1690" s="4">
        <f t="shared" si="104"/>
        <v>90</v>
      </c>
      <c r="M1690" s="4">
        <f t="shared" si="105"/>
        <v>0</v>
      </c>
    </row>
    <row r="1691" spans="1:13">
      <c r="A1691" s="4" t="str" cm="1">
        <f t="array" ref="A1691">INDEX(Sheet1!A:A,$F1691)</f>
        <v>F</v>
      </c>
      <c r="B1691" s="4" t="str" cm="1">
        <f t="array" ref="B1691">INDEX(Sheet1!B:B,$F1691)</f>
        <v>Undiff NS</v>
      </c>
      <c r="C1691" s="4">
        <f t="shared" si="106"/>
        <v>116</v>
      </c>
      <c r="D1691" s="5" cm="1">
        <f t="array" aca="1" ref="D1691" ca="1">OFFSET(INDIRECT("'["&amp;$H1691&amp;"]"&amp;$I1691&amp;"'!"&amp;$J1691),$L1691,$M1691)*$K1691</f>
        <v>0.80491999999999997</v>
      </c>
      <c r="F1691" s="4">
        <f t="shared" si="107"/>
        <v>15</v>
      </c>
      <c r="G1691" s="4" cm="1">
        <f t="array" ref="G1691">IF($C1691&gt;=25,F1691,IF($C1691&lt;16,INDEX(Sheet1!C:C,$F1691),$F1691))</f>
        <v>15</v>
      </c>
      <c r="H1691" s="4" t="str" cm="1">
        <f t="array" ref="H1691">INDEX(Sheet1!D:D,$G1691)</f>
        <v>t1140.xlsx</v>
      </c>
      <c r="I1691" s="4" t="str" cm="1">
        <f t="array" ref="I1691">INDEX(Sheet1!E:E,$G1691)</f>
        <v>Sheet1</v>
      </c>
      <c r="J1691" s="4" t="str" cm="1">
        <f t="array" ref="J1691">IF($C1691&gt;=25,INDEX(Sheet1!G:G,$G1691),INDEX(Sheet1!F:F,$G1691))</f>
        <v>B139</v>
      </c>
      <c r="K1691" s="4" cm="1">
        <f t="array" ref="K1691">INDEX(Sheet1!H:H,$G1691)</f>
        <v>1</v>
      </c>
      <c r="L1691" s="4">
        <f t="shared" si="104"/>
        <v>91</v>
      </c>
      <c r="M1691" s="4">
        <f t="shared" si="105"/>
        <v>0</v>
      </c>
    </row>
    <row r="1692" spans="1:13">
      <c r="A1692" s="4" t="str" cm="1">
        <f t="array" ref="A1692">INDEX(Sheet1!A:A,$F1692)</f>
        <v>F</v>
      </c>
      <c r="B1692" s="4" t="str" cm="1">
        <f t="array" ref="B1692">INDEX(Sheet1!B:B,$F1692)</f>
        <v>Undiff NS</v>
      </c>
      <c r="C1692" s="4">
        <f t="shared" si="106"/>
        <v>117</v>
      </c>
      <c r="D1692" s="5" cm="1">
        <f t="array" aca="1" ref="D1692" ca="1">OFFSET(INDIRECT("'["&amp;$H1692&amp;"]"&amp;$I1692&amp;"'!"&amp;$J1692),$L1692,$M1692)*$K1692</f>
        <v>0.85043999999999997</v>
      </c>
      <c r="F1692" s="4">
        <f t="shared" si="107"/>
        <v>15</v>
      </c>
      <c r="G1692" s="4" cm="1">
        <f t="array" ref="G1692">IF($C1692&gt;=25,F1692,IF($C1692&lt;16,INDEX(Sheet1!C:C,$F1692),$F1692))</f>
        <v>15</v>
      </c>
      <c r="H1692" s="4" t="str" cm="1">
        <f t="array" ref="H1692">INDEX(Sheet1!D:D,$G1692)</f>
        <v>t1140.xlsx</v>
      </c>
      <c r="I1692" s="4" t="str" cm="1">
        <f t="array" ref="I1692">INDEX(Sheet1!E:E,$G1692)</f>
        <v>Sheet1</v>
      </c>
      <c r="J1692" s="4" t="str" cm="1">
        <f t="array" ref="J1692">IF($C1692&gt;=25,INDEX(Sheet1!G:G,$G1692),INDEX(Sheet1!F:F,$G1692))</f>
        <v>B139</v>
      </c>
      <c r="K1692" s="4" cm="1">
        <f t="array" ref="K1692">INDEX(Sheet1!H:H,$G1692)</f>
        <v>1</v>
      </c>
      <c r="L1692" s="4">
        <f t="shared" si="104"/>
        <v>92</v>
      </c>
      <c r="M1692" s="4">
        <f t="shared" si="105"/>
        <v>0</v>
      </c>
    </row>
    <row r="1693" spans="1:13">
      <c r="A1693" s="4" t="str" cm="1">
        <f t="array" ref="A1693">INDEX(Sheet1!A:A,$F1693)</f>
        <v>F</v>
      </c>
      <c r="B1693" s="4" t="str" cm="1">
        <f t="array" ref="B1693">INDEX(Sheet1!B:B,$F1693)</f>
        <v>Undiff NS</v>
      </c>
      <c r="C1693" s="4">
        <f t="shared" si="106"/>
        <v>118</v>
      </c>
      <c r="D1693" s="5" cm="1">
        <f t="array" aca="1" ref="D1693" ca="1">OFFSET(INDIRECT("'["&amp;$H1693&amp;"]"&amp;$I1693&amp;"'!"&amp;$J1693),$L1693,$M1693)*$K1693</f>
        <v>0.89244000000000001</v>
      </c>
      <c r="F1693" s="4">
        <f t="shared" si="107"/>
        <v>15</v>
      </c>
      <c r="G1693" s="4" cm="1">
        <f t="array" ref="G1693">IF($C1693&gt;=25,F1693,IF($C1693&lt;16,INDEX(Sheet1!C:C,$F1693),$F1693))</f>
        <v>15</v>
      </c>
      <c r="H1693" s="4" t="str" cm="1">
        <f t="array" ref="H1693">INDEX(Sheet1!D:D,$G1693)</f>
        <v>t1140.xlsx</v>
      </c>
      <c r="I1693" s="4" t="str" cm="1">
        <f t="array" ref="I1693">INDEX(Sheet1!E:E,$G1693)</f>
        <v>Sheet1</v>
      </c>
      <c r="J1693" s="4" t="str" cm="1">
        <f t="array" ref="J1693">IF($C1693&gt;=25,INDEX(Sheet1!G:G,$G1693),INDEX(Sheet1!F:F,$G1693))</f>
        <v>B139</v>
      </c>
      <c r="K1693" s="4" cm="1">
        <f t="array" ref="K1693">INDEX(Sheet1!H:H,$G1693)</f>
        <v>1</v>
      </c>
      <c r="L1693" s="4">
        <f t="shared" si="104"/>
        <v>93</v>
      </c>
      <c r="M1693" s="4">
        <f t="shared" si="105"/>
        <v>0</v>
      </c>
    </row>
    <row r="1694" spans="1:13">
      <c r="A1694" s="4" t="str" cm="1">
        <f t="array" ref="A1694">INDEX(Sheet1!A:A,$F1694)</f>
        <v>F</v>
      </c>
      <c r="B1694" s="4" t="str" cm="1">
        <f t="array" ref="B1694">INDEX(Sheet1!B:B,$F1694)</f>
        <v>Undiff NS</v>
      </c>
      <c r="C1694" s="4">
        <f t="shared" si="106"/>
        <v>119</v>
      </c>
      <c r="D1694" s="5" cm="1">
        <f t="array" aca="1" ref="D1694" ca="1">OFFSET(INDIRECT("'["&amp;$H1694&amp;"]"&amp;$I1694&amp;"'!"&amp;$J1694),$L1694,$M1694)*$K1694</f>
        <v>0.93511</v>
      </c>
      <c r="F1694" s="4">
        <f t="shared" si="107"/>
        <v>15</v>
      </c>
      <c r="G1694" s="4" cm="1">
        <f t="array" ref="G1694">IF($C1694&gt;=25,F1694,IF($C1694&lt;16,INDEX(Sheet1!C:C,$F1694),$F1694))</f>
        <v>15</v>
      </c>
      <c r="H1694" s="4" t="str" cm="1">
        <f t="array" ref="H1694">INDEX(Sheet1!D:D,$G1694)</f>
        <v>t1140.xlsx</v>
      </c>
      <c r="I1694" s="4" t="str" cm="1">
        <f t="array" ref="I1694">INDEX(Sheet1!E:E,$G1694)</f>
        <v>Sheet1</v>
      </c>
      <c r="J1694" s="4" t="str" cm="1">
        <f t="array" ref="J1694">IF($C1694&gt;=25,INDEX(Sheet1!G:G,$G1694),INDEX(Sheet1!F:F,$G1694))</f>
        <v>B139</v>
      </c>
      <c r="K1694" s="4" cm="1">
        <f t="array" ref="K1694">INDEX(Sheet1!H:H,$G1694)</f>
        <v>1</v>
      </c>
      <c r="L1694" s="4">
        <f t="shared" si="104"/>
        <v>94</v>
      </c>
      <c r="M1694" s="4">
        <f t="shared" si="105"/>
        <v>0</v>
      </c>
    </row>
    <row r="1695" spans="1:13">
      <c r="A1695" s="4" t="str" cm="1">
        <f t="array" ref="A1695">INDEX(Sheet1!A:A,$F1695)</f>
        <v>F</v>
      </c>
      <c r="B1695" s="4" t="str" cm="1">
        <f t="array" ref="B1695">INDEX(Sheet1!B:B,$F1695)</f>
        <v>Undiff NS</v>
      </c>
      <c r="C1695" s="4">
        <f t="shared" si="106"/>
        <v>120</v>
      </c>
      <c r="D1695" s="5" cm="1">
        <f t="array" aca="1" ref="D1695" ca="1">OFFSET(INDIRECT("'["&amp;$H1695&amp;"]"&amp;$I1695&amp;"'!"&amp;$J1695),$L1695,$M1695)*$K1695</f>
        <v>1</v>
      </c>
      <c r="F1695" s="4">
        <f t="shared" si="107"/>
        <v>15</v>
      </c>
      <c r="G1695" s="4" cm="1">
        <f t="array" ref="G1695">IF($C1695&gt;=25,F1695,IF($C1695&lt;16,INDEX(Sheet1!C:C,$F1695),$F1695))</f>
        <v>15</v>
      </c>
      <c r="H1695" s="4" t="str" cm="1">
        <f t="array" ref="H1695">INDEX(Sheet1!D:D,$G1695)</f>
        <v>t1140.xlsx</v>
      </c>
      <c r="I1695" s="4" t="str" cm="1">
        <f t="array" ref="I1695">INDEX(Sheet1!E:E,$G1695)</f>
        <v>Sheet1</v>
      </c>
      <c r="J1695" s="4" t="str" cm="1">
        <f t="array" ref="J1695">IF($C1695&gt;=25,INDEX(Sheet1!G:G,$G1695),INDEX(Sheet1!F:F,$G1695))</f>
        <v>B139</v>
      </c>
      <c r="K1695" s="4" cm="1">
        <f t="array" ref="K1695">INDEX(Sheet1!H:H,$G1695)</f>
        <v>1</v>
      </c>
      <c r="L1695" s="4">
        <f t="shared" si="104"/>
        <v>95</v>
      </c>
      <c r="M1695" s="4">
        <f t="shared" si="105"/>
        <v>0</v>
      </c>
    </row>
    <row r="1696" spans="1:13">
      <c r="A1696" s="4" t="str" cm="1">
        <f t="array" ref="A1696">INDEX(Sheet1!A:A,$F1696)</f>
        <v>F</v>
      </c>
      <c r="B1696" s="4" t="str" cm="1">
        <f t="array" ref="B1696">INDEX(Sheet1!B:B,$F1696)</f>
        <v>Pref SM</v>
      </c>
      <c r="C1696" s="4">
        <f t="shared" si="106"/>
        <v>0</v>
      </c>
      <c r="D1696" s="5" cm="1">
        <f t="array" aca="1" ref="D1696" ca="1">OFFSET(INDIRECT("'["&amp;$H1696&amp;"]"&amp;$I1696&amp;"'!"&amp;$J1696),$L1696,$M1696)*$K1696</f>
        <v>4.8000000000000001E-4</v>
      </c>
      <c r="F1696" s="4">
        <f t="shared" si="107"/>
        <v>16</v>
      </c>
      <c r="G1696" s="4" cm="1">
        <f t="array" ref="G1696">IF($C1696&gt;=25,F1696,IF($C1696&lt;16,INDEX(Sheet1!C:C,$F1696),$F1696))</f>
        <v>19</v>
      </c>
      <c r="H1696" s="4" t="str" cm="1">
        <f t="array" ref="H1696">INDEX(Sheet1!D:D,$G1696)</f>
        <v>t1139.xlsx</v>
      </c>
      <c r="I1696" s="4" t="str" cm="1">
        <f t="array" ref="I1696">INDEX(Sheet1!E:E,$G1696)</f>
        <v>Sheet1</v>
      </c>
      <c r="J1696" s="4" t="str" cm="1">
        <f t="array" ref="J1696">IF($C1696&gt;=25,INDEX(Sheet1!G:G,$G1696),INDEX(Sheet1!F:F,$G1696))</f>
        <v>B25</v>
      </c>
      <c r="K1696" s="4" cm="1">
        <f t="array" ref="K1696">INDEX(Sheet1!H:H,$G1696)</f>
        <v>1</v>
      </c>
      <c r="L1696" s="4">
        <f t="shared" si="104"/>
        <v>0</v>
      </c>
      <c r="M1696" s="4">
        <f t="shared" si="105"/>
        <v>0</v>
      </c>
    </row>
    <row r="1697" spans="1:13">
      <c r="A1697" s="4" t="str" cm="1">
        <f t="array" ref="A1697">INDEX(Sheet1!A:A,$F1697)</f>
        <v>F</v>
      </c>
      <c r="B1697" s="4" t="str" cm="1">
        <f t="array" ref="B1697">INDEX(Sheet1!B:B,$F1697)</f>
        <v>Pref SM</v>
      </c>
      <c r="C1697" s="4">
        <f t="shared" si="106"/>
        <v>1</v>
      </c>
      <c r="D1697" s="5" cm="1">
        <f t="array" aca="1" ref="D1697" ca="1">OFFSET(INDIRECT("'["&amp;$H1697&amp;"]"&amp;$I1697&amp;"'!"&amp;$J1697),$L1697,$M1697)*$K1697</f>
        <v>3.5E-4</v>
      </c>
      <c r="F1697" s="4">
        <f t="shared" si="107"/>
        <v>16</v>
      </c>
      <c r="G1697" s="4" cm="1">
        <f t="array" ref="G1697">IF($C1697&gt;=25,F1697,IF($C1697&lt;16,INDEX(Sheet1!C:C,$F1697),$F1697))</f>
        <v>19</v>
      </c>
      <c r="H1697" s="4" t="str" cm="1">
        <f t="array" ref="H1697">INDEX(Sheet1!D:D,$G1697)</f>
        <v>t1139.xlsx</v>
      </c>
      <c r="I1697" s="4" t="str" cm="1">
        <f t="array" ref="I1697">INDEX(Sheet1!E:E,$G1697)</f>
        <v>Sheet1</v>
      </c>
      <c r="J1697" s="4" t="str" cm="1">
        <f t="array" ref="J1697">IF($C1697&gt;=25,INDEX(Sheet1!G:G,$G1697),INDEX(Sheet1!F:F,$G1697))</f>
        <v>B25</v>
      </c>
      <c r="K1697" s="4" cm="1">
        <f t="array" ref="K1697">INDEX(Sheet1!H:H,$G1697)</f>
        <v>1</v>
      </c>
      <c r="L1697" s="4">
        <f t="shared" si="104"/>
        <v>0</v>
      </c>
      <c r="M1697" s="4">
        <f t="shared" si="105"/>
        <v>1</v>
      </c>
    </row>
    <row r="1698" spans="1:13">
      <c r="A1698" s="4" t="str" cm="1">
        <f t="array" ref="A1698">INDEX(Sheet1!A:A,$F1698)</f>
        <v>F</v>
      </c>
      <c r="B1698" s="4" t="str" cm="1">
        <f t="array" ref="B1698">INDEX(Sheet1!B:B,$F1698)</f>
        <v>Pref SM</v>
      </c>
      <c r="C1698" s="4">
        <f t="shared" si="106"/>
        <v>2</v>
      </c>
      <c r="D1698" s="5" cm="1">
        <f t="array" aca="1" ref="D1698" ca="1">OFFSET(INDIRECT("'["&amp;$H1698&amp;"]"&amp;$I1698&amp;"'!"&amp;$J1698),$L1698,$M1698)*$K1698</f>
        <v>2.5999999999999998E-4</v>
      </c>
      <c r="F1698" s="4">
        <f t="shared" si="107"/>
        <v>16</v>
      </c>
      <c r="G1698" s="4" cm="1">
        <f t="array" ref="G1698">IF($C1698&gt;=25,F1698,IF($C1698&lt;16,INDEX(Sheet1!C:C,$F1698),$F1698))</f>
        <v>19</v>
      </c>
      <c r="H1698" s="4" t="str" cm="1">
        <f t="array" ref="H1698">INDEX(Sheet1!D:D,$G1698)</f>
        <v>t1139.xlsx</v>
      </c>
      <c r="I1698" s="4" t="str" cm="1">
        <f t="array" ref="I1698">INDEX(Sheet1!E:E,$G1698)</f>
        <v>Sheet1</v>
      </c>
      <c r="J1698" s="4" t="str" cm="1">
        <f t="array" ref="J1698">IF($C1698&gt;=25,INDEX(Sheet1!G:G,$G1698),INDEX(Sheet1!F:F,$G1698))</f>
        <v>B25</v>
      </c>
      <c r="K1698" s="4" cm="1">
        <f t="array" ref="K1698">INDEX(Sheet1!H:H,$G1698)</f>
        <v>1</v>
      </c>
      <c r="L1698" s="4">
        <f t="shared" si="104"/>
        <v>0</v>
      </c>
      <c r="M1698" s="4">
        <f t="shared" si="105"/>
        <v>2</v>
      </c>
    </row>
    <row r="1699" spans="1:13">
      <c r="A1699" s="4" t="str" cm="1">
        <f t="array" ref="A1699">INDEX(Sheet1!A:A,$F1699)</f>
        <v>F</v>
      </c>
      <c r="B1699" s="4" t="str" cm="1">
        <f t="array" ref="B1699">INDEX(Sheet1!B:B,$F1699)</f>
        <v>Pref SM</v>
      </c>
      <c r="C1699" s="4">
        <f t="shared" si="106"/>
        <v>3</v>
      </c>
      <c r="D1699" s="5" cm="1">
        <f t="array" aca="1" ref="D1699" ca="1">OFFSET(INDIRECT("'["&amp;$H1699&amp;"]"&amp;$I1699&amp;"'!"&amp;$J1699),$L1699,$M1699)*$K1699</f>
        <v>2.0000000000000001E-4</v>
      </c>
      <c r="F1699" s="4">
        <f t="shared" si="107"/>
        <v>16</v>
      </c>
      <c r="G1699" s="4" cm="1">
        <f t="array" ref="G1699">IF($C1699&gt;=25,F1699,IF($C1699&lt;16,INDEX(Sheet1!C:C,$F1699),$F1699))</f>
        <v>19</v>
      </c>
      <c r="H1699" s="4" t="str" cm="1">
        <f t="array" ref="H1699">INDEX(Sheet1!D:D,$G1699)</f>
        <v>t1139.xlsx</v>
      </c>
      <c r="I1699" s="4" t="str" cm="1">
        <f t="array" ref="I1699">INDEX(Sheet1!E:E,$G1699)</f>
        <v>Sheet1</v>
      </c>
      <c r="J1699" s="4" t="str" cm="1">
        <f t="array" ref="J1699">IF($C1699&gt;=25,INDEX(Sheet1!G:G,$G1699),INDEX(Sheet1!F:F,$G1699))</f>
        <v>B25</v>
      </c>
      <c r="K1699" s="4" cm="1">
        <f t="array" ref="K1699">INDEX(Sheet1!H:H,$G1699)</f>
        <v>1</v>
      </c>
      <c r="L1699" s="4">
        <f t="shared" si="104"/>
        <v>0</v>
      </c>
      <c r="M1699" s="4">
        <f t="shared" si="105"/>
        <v>3</v>
      </c>
    </row>
    <row r="1700" spans="1:13">
      <c r="A1700" s="4" t="str" cm="1">
        <f t="array" ref="A1700">INDEX(Sheet1!A:A,$F1700)</f>
        <v>F</v>
      </c>
      <c r="B1700" s="4" t="str" cm="1">
        <f t="array" ref="B1700">INDEX(Sheet1!B:B,$F1700)</f>
        <v>Pref SM</v>
      </c>
      <c r="C1700" s="4">
        <f t="shared" si="106"/>
        <v>4</v>
      </c>
      <c r="D1700" s="5" cm="1">
        <f t="array" aca="1" ref="D1700" ca="1">OFFSET(INDIRECT("'["&amp;$H1700&amp;"]"&amp;$I1700&amp;"'!"&amp;$J1700),$L1700,$M1700)*$K1700</f>
        <v>1.9000000000000001E-4</v>
      </c>
      <c r="F1700" s="4">
        <f t="shared" si="107"/>
        <v>16</v>
      </c>
      <c r="G1700" s="4" cm="1">
        <f t="array" ref="G1700">IF($C1700&gt;=25,F1700,IF($C1700&lt;16,INDEX(Sheet1!C:C,$F1700),$F1700))</f>
        <v>19</v>
      </c>
      <c r="H1700" s="4" t="str" cm="1">
        <f t="array" ref="H1700">INDEX(Sheet1!D:D,$G1700)</f>
        <v>t1139.xlsx</v>
      </c>
      <c r="I1700" s="4" t="str" cm="1">
        <f t="array" ref="I1700">INDEX(Sheet1!E:E,$G1700)</f>
        <v>Sheet1</v>
      </c>
      <c r="J1700" s="4" t="str" cm="1">
        <f t="array" ref="J1700">IF($C1700&gt;=25,INDEX(Sheet1!G:G,$G1700),INDEX(Sheet1!F:F,$G1700))</f>
        <v>B25</v>
      </c>
      <c r="K1700" s="4" cm="1">
        <f t="array" ref="K1700">INDEX(Sheet1!H:H,$G1700)</f>
        <v>1</v>
      </c>
      <c r="L1700" s="4">
        <f t="shared" si="104"/>
        <v>0</v>
      </c>
      <c r="M1700" s="4">
        <f t="shared" si="105"/>
        <v>4</v>
      </c>
    </row>
    <row r="1701" spans="1:13">
      <c r="A1701" s="4" t="str" cm="1">
        <f t="array" ref="A1701">INDEX(Sheet1!A:A,$F1701)</f>
        <v>F</v>
      </c>
      <c r="B1701" s="4" t="str" cm="1">
        <f t="array" ref="B1701">INDEX(Sheet1!B:B,$F1701)</f>
        <v>Pref SM</v>
      </c>
      <c r="C1701" s="4">
        <f t="shared" si="106"/>
        <v>5</v>
      </c>
      <c r="D1701" s="5" cm="1">
        <f t="array" aca="1" ref="D1701" ca="1">OFFSET(INDIRECT("'["&amp;$H1701&amp;"]"&amp;$I1701&amp;"'!"&amp;$J1701),$L1701,$M1701)*$K1701</f>
        <v>1.8000000000000001E-4</v>
      </c>
      <c r="F1701" s="4">
        <f t="shared" si="107"/>
        <v>16</v>
      </c>
      <c r="G1701" s="4" cm="1">
        <f t="array" ref="G1701">IF($C1701&gt;=25,F1701,IF($C1701&lt;16,INDEX(Sheet1!C:C,$F1701),$F1701))</f>
        <v>19</v>
      </c>
      <c r="H1701" s="4" t="str" cm="1">
        <f t="array" ref="H1701">INDEX(Sheet1!D:D,$G1701)</f>
        <v>t1139.xlsx</v>
      </c>
      <c r="I1701" s="4" t="str" cm="1">
        <f t="array" ref="I1701">INDEX(Sheet1!E:E,$G1701)</f>
        <v>Sheet1</v>
      </c>
      <c r="J1701" s="4" t="str" cm="1">
        <f t="array" ref="J1701">IF($C1701&gt;=25,INDEX(Sheet1!G:G,$G1701),INDEX(Sheet1!F:F,$G1701))</f>
        <v>B25</v>
      </c>
      <c r="K1701" s="4" cm="1">
        <f t="array" ref="K1701">INDEX(Sheet1!H:H,$G1701)</f>
        <v>1</v>
      </c>
      <c r="L1701" s="4">
        <f t="shared" si="104"/>
        <v>0</v>
      </c>
      <c r="M1701" s="4">
        <f t="shared" si="105"/>
        <v>5</v>
      </c>
    </row>
    <row r="1702" spans="1:13">
      <c r="A1702" s="4" t="str" cm="1">
        <f t="array" ref="A1702">INDEX(Sheet1!A:A,$F1702)</f>
        <v>F</v>
      </c>
      <c r="B1702" s="4" t="str" cm="1">
        <f t="array" ref="B1702">INDEX(Sheet1!B:B,$F1702)</f>
        <v>Pref SM</v>
      </c>
      <c r="C1702" s="4">
        <f t="shared" si="106"/>
        <v>6</v>
      </c>
      <c r="D1702" s="5" cm="1">
        <f t="array" aca="1" ref="D1702" ca="1">OFFSET(INDIRECT("'["&amp;$H1702&amp;"]"&amp;$I1702&amp;"'!"&amp;$J1702),$L1702,$M1702)*$K1702</f>
        <v>1.8000000000000001E-4</v>
      </c>
      <c r="F1702" s="4">
        <f t="shared" si="107"/>
        <v>16</v>
      </c>
      <c r="G1702" s="4" cm="1">
        <f t="array" ref="G1702">IF($C1702&gt;=25,F1702,IF($C1702&lt;16,INDEX(Sheet1!C:C,$F1702),$F1702))</f>
        <v>19</v>
      </c>
      <c r="H1702" s="4" t="str" cm="1">
        <f t="array" ref="H1702">INDEX(Sheet1!D:D,$G1702)</f>
        <v>t1139.xlsx</v>
      </c>
      <c r="I1702" s="4" t="str" cm="1">
        <f t="array" ref="I1702">INDEX(Sheet1!E:E,$G1702)</f>
        <v>Sheet1</v>
      </c>
      <c r="J1702" s="4" t="str" cm="1">
        <f t="array" ref="J1702">IF($C1702&gt;=25,INDEX(Sheet1!G:G,$G1702),INDEX(Sheet1!F:F,$G1702))</f>
        <v>B25</v>
      </c>
      <c r="K1702" s="4" cm="1">
        <f t="array" ref="K1702">INDEX(Sheet1!H:H,$G1702)</f>
        <v>1</v>
      </c>
      <c r="L1702" s="4">
        <f t="shared" si="104"/>
        <v>0</v>
      </c>
      <c r="M1702" s="4">
        <f t="shared" si="105"/>
        <v>6</v>
      </c>
    </row>
    <row r="1703" spans="1:13">
      <c r="A1703" s="4" t="str" cm="1">
        <f t="array" ref="A1703">INDEX(Sheet1!A:A,$F1703)</f>
        <v>F</v>
      </c>
      <c r="B1703" s="4" t="str" cm="1">
        <f t="array" ref="B1703">INDEX(Sheet1!B:B,$F1703)</f>
        <v>Pref SM</v>
      </c>
      <c r="C1703" s="4">
        <f t="shared" si="106"/>
        <v>7</v>
      </c>
      <c r="D1703" s="5" cm="1">
        <f t="array" aca="1" ref="D1703" ca="1">OFFSET(INDIRECT("'["&amp;$H1703&amp;"]"&amp;$I1703&amp;"'!"&amp;$J1703),$L1703,$M1703)*$K1703</f>
        <v>2.1000000000000001E-4</v>
      </c>
      <c r="F1703" s="4">
        <f t="shared" si="107"/>
        <v>16</v>
      </c>
      <c r="G1703" s="4" cm="1">
        <f t="array" ref="G1703">IF($C1703&gt;=25,F1703,IF($C1703&lt;16,INDEX(Sheet1!C:C,$F1703),$F1703))</f>
        <v>19</v>
      </c>
      <c r="H1703" s="4" t="str" cm="1">
        <f t="array" ref="H1703">INDEX(Sheet1!D:D,$G1703)</f>
        <v>t1139.xlsx</v>
      </c>
      <c r="I1703" s="4" t="str" cm="1">
        <f t="array" ref="I1703">INDEX(Sheet1!E:E,$G1703)</f>
        <v>Sheet1</v>
      </c>
      <c r="J1703" s="4" t="str" cm="1">
        <f t="array" ref="J1703">IF($C1703&gt;=25,INDEX(Sheet1!G:G,$G1703),INDEX(Sheet1!F:F,$G1703))</f>
        <v>B25</v>
      </c>
      <c r="K1703" s="4" cm="1">
        <f t="array" ref="K1703">INDEX(Sheet1!H:H,$G1703)</f>
        <v>1</v>
      </c>
      <c r="L1703" s="4">
        <f t="shared" si="104"/>
        <v>0</v>
      </c>
      <c r="M1703" s="4">
        <f t="shared" si="105"/>
        <v>7</v>
      </c>
    </row>
    <row r="1704" spans="1:13">
      <c r="A1704" s="4" t="str" cm="1">
        <f t="array" ref="A1704">INDEX(Sheet1!A:A,$F1704)</f>
        <v>F</v>
      </c>
      <c r="B1704" s="4" t="str" cm="1">
        <f t="array" ref="B1704">INDEX(Sheet1!B:B,$F1704)</f>
        <v>Pref SM</v>
      </c>
      <c r="C1704" s="4">
        <f t="shared" si="106"/>
        <v>8</v>
      </c>
      <c r="D1704" s="5" cm="1">
        <f t="array" aca="1" ref="D1704" ca="1">OFFSET(INDIRECT("'["&amp;$H1704&amp;"]"&amp;$I1704&amp;"'!"&amp;$J1704),$L1704,$M1704)*$K1704</f>
        <v>2.1000000000000001E-4</v>
      </c>
      <c r="F1704" s="4">
        <f t="shared" si="107"/>
        <v>16</v>
      </c>
      <c r="G1704" s="4" cm="1">
        <f t="array" ref="G1704">IF($C1704&gt;=25,F1704,IF($C1704&lt;16,INDEX(Sheet1!C:C,$F1704),$F1704))</f>
        <v>19</v>
      </c>
      <c r="H1704" s="4" t="str" cm="1">
        <f t="array" ref="H1704">INDEX(Sheet1!D:D,$G1704)</f>
        <v>t1139.xlsx</v>
      </c>
      <c r="I1704" s="4" t="str" cm="1">
        <f t="array" ref="I1704">INDEX(Sheet1!E:E,$G1704)</f>
        <v>Sheet1</v>
      </c>
      <c r="J1704" s="4" t="str" cm="1">
        <f t="array" ref="J1704">IF($C1704&gt;=25,INDEX(Sheet1!G:G,$G1704),INDEX(Sheet1!F:F,$G1704))</f>
        <v>B25</v>
      </c>
      <c r="K1704" s="4" cm="1">
        <f t="array" ref="K1704">INDEX(Sheet1!H:H,$G1704)</f>
        <v>1</v>
      </c>
      <c r="L1704" s="4">
        <f t="shared" si="104"/>
        <v>0</v>
      </c>
      <c r="M1704" s="4">
        <f t="shared" si="105"/>
        <v>8</v>
      </c>
    </row>
    <row r="1705" spans="1:13">
      <c r="A1705" s="4" t="str" cm="1">
        <f t="array" ref="A1705">INDEX(Sheet1!A:A,$F1705)</f>
        <v>F</v>
      </c>
      <c r="B1705" s="4" t="str" cm="1">
        <f t="array" ref="B1705">INDEX(Sheet1!B:B,$F1705)</f>
        <v>Pref SM</v>
      </c>
      <c r="C1705" s="4">
        <f t="shared" si="106"/>
        <v>9</v>
      </c>
      <c r="D1705" s="5" cm="1">
        <f t="array" aca="1" ref="D1705" ca="1">OFFSET(INDIRECT("'["&amp;$H1705&amp;"]"&amp;$I1705&amp;"'!"&amp;$J1705),$L1705,$M1705)*$K1705</f>
        <v>2.1000000000000001E-4</v>
      </c>
      <c r="F1705" s="4">
        <f t="shared" si="107"/>
        <v>16</v>
      </c>
      <c r="G1705" s="4" cm="1">
        <f t="array" ref="G1705">IF($C1705&gt;=25,F1705,IF($C1705&lt;16,INDEX(Sheet1!C:C,$F1705),$F1705))</f>
        <v>19</v>
      </c>
      <c r="H1705" s="4" t="str" cm="1">
        <f t="array" ref="H1705">INDEX(Sheet1!D:D,$G1705)</f>
        <v>t1139.xlsx</v>
      </c>
      <c r="I1705" s="4" t="str" cm="1">
        <f t="array" ref="I1705">INDEX(Sheet1!E:E,$G1705)</f>
        <v>Sheet1</v>
      </c>
      <c r="J1705" s="4" t="str" cm="1">
        <f t="array" ref="J1705">IF($C1705&gt;=25,INDEX(Sheet1!G:G,$G1705),INDEX(Sheet1!F:F,$G1705))</f>
        <v>B25</v>
      </c>
      <c r="K1705" s="4" cm="1">
        <f t="array" ref="K1705">INDEX(Sheet1!H:H,$G1705)</f>
        <v>1</v>
      </c>
      <c r="L1705" s="4">
        <f t="shared" si="104"/>
        <v>0</v>
      </c>
      <c r="M1705" s="4">
        <f t="shared" si="105"/>
        <v>9</v>
      </c>
    </row>
    <row r="1706" spans="1:13">
      <c r="A1706" s="4" t="str" cm="1">
        <f t="array" ref="A1706">INDEX(Sheet1!A:A,$F1706)</f>
        <v>F</v>
      </c>
      <c r="B1706" s="4" t="str" cm="1">
        <f t="array" ref="B1706">INDEX(Sheet1!B:B,$F1706)</f>
        <v>Pref SM</v>
      </c>
      <c r="C1706" s="4">
        <f t="shared" si="106"/>
        <v>10</v>
      </c>
      <c r="D1706" s="5" cm="1">
        <f t="array" aca="1" ref="D1706" ca="1">OFFSET(INDIRECT("'["&amp;$H1706&amp;"]"&amp;$I1706&amp;"'!"&amp;$J1706),$L1706,$M1706)*$K1706</f>
        <v>2.2000000000000001E-4</v>
      </c>
      <c r="F1706" s="4">
        <f t="shared" si="107"/>
        <v>16</v>
      </c>
      <c r="G1706" s="4" cm="1">
        <f t="array" ref="G1706">IF($C1706&gt;=25,F1706,IF($C1706&lt;16,INDEX(Sheet1!C:C,$F1706),$F1706))</f>
        <v>19</v>
      </c>
      <c r="H1706" s="4" t="str" cm="1">
        <f t="array" ref="H1706">INDEX(Sheet1!D:D,$G1706)</f>
        <v>t1139.xlsx</v>
      </c>
      <c r="I1706" s="4" t="str" cm="1">
        <f t="array" ref="I1706">INDEX(Sheet1!E:E,$G1706)</f>
        <v>Sheet1</v>
      </c>
      <c r="J1706" s="4" t="str" cm="1">
        <f t="array" ref="J1706">IF($C1706&gt;=25,INDEX(Sheet1!G:G,$G1706),INDEX(Sheet1!F:F,$G1706))</f>
        <v>B25</v>
      </c>
      <c r="K1706" s="4" cm="1">
        <f t="array" ref="K1706">INDEX(Sheet1!H:H,$G1706)</f>
        <v>1</v>
      </c>
      <c r="L1706" s="4">
        <f t="shared" si="104"/>
        <v>0</v>
      </c>
      <c r="M1706" s="4">
        <f t="shared" si="105"/>
        <v>10</v>
      </c>
    </row>
    <row r="1707" spans="1:13">
      <c r="A1707" s="4" t="str" cm="1">
        <f t="array" ref="A1707">INDEX(Sheet1!A:A,$F1707)</f>
        <v>F</v>
      </c>
      <c r="B1707" s="4" t="str" cm="1">
        <f t="array" ref="B1707">INDEX(Sheet1!B:B,$F1707)</f>
        <v>Pref SM</v>
      </c>
      <c r="C1707" s="4">
        <f t="shared" si="106"/>
        <v>11</v>
      </c>
      <c r="D1707" s="5" cm="1">
        <f t="array" aca="1" ref="D1707" ca="1">OFFSET(INDIRECT("'["&amp;$H1707&amp;"]"&amp;$I1707&amp;"'!"&amp;$J1707),$L1707,$M1707)*$K1707</f>
        <v>2.3000000000000001E-4</v>
      </c>
      <c r="F1707" s="4">
        <f t="shared" si="107"/>
        <v>16</v>
      </c>
      <c r="G1707" s="4" cm="1">
        <f t="array" ref="G1707">IF($C1707&gt;=25,F1707,IF($C1707&lt;16,INDEX(Sheet1!C:C,$F1707),$F1707))</f>
        <v>19</v>
      </c>
      <c r="H1707" s="4" t="str" cm="1">
        <f t="array" ref="H1707">INDEX(Sheet1!D:D,$G1707)</f>
        <v>t1139.xlsx</v>
      </c>
      <c r="I1707" s="4" t="str" cm="1">
        <f t="array" ref="I1707">INDEX(Sheet1!E:E,$G1707)</f>
        <v>Sheet1</v>
      </c>
      <c r="J1707" s="4" t="str" cm="1">
        <f t="array" ref="J1707">IF($C1707&gt;=25,INDEX(Sheet1!G:G,$G1707),INDEX(Sheet1!F:F,$G1707))</f>
        <v>B25</v>
      </c>
      <c r="K1707" s="4" cm="1">
        <f t="array" ref="K1707">INDEX(Sheet1!H:H,$G1707)</f>
        <v>1</v>
      </c>
      <c r="L1707" s="4">
        <f t="shared" si="104"/>
        <v>0</v>
      </c>
      <c r="M1707" s="4">
        <f t="shared" si="105"/>
        <v>11</v>
      </c>
    </row>
    <row r="1708" spans="1:13">
      <c r="A1708" s="4" t="str" cm="1">
        <f t="array" ref="A1708">INDEX(Sheet1!A:A,$F1708)</f>
        <v>F</v>
      </c>
      <c r="B1708" s="4" t="str" cm="1">
        <f t="array" ref="B1708">INDEX(Sheet1!B:B,$F1708)</f>
        <v>Pref SM</v>
      </c>
      <c r="C1708" s="4">
        <f t="shared" si="106"/>
        <v>12</v>
      </c>
      <c r="D1708" s="5" cm="1">
        <f t="array" aca="1" ref="D1708" ca="1">OFFSET(INDIRECT("'["&amp;$H1708&amp;"]"&amp;$I1708&amp;"'!"&amp;$J1708),$L1708,$M1708)*$K1708</f>
        <v>2.7E-4</v>
      </c>
      <c r="F1708" s="4">
        <f t="shared" si="107"/>
        <v>16</v>
      </c>
      <c r="G1708" s="4" cm="1">
        <f t="array" ref="G1708">IF($C1708&gt;=25,F1708,IF($C1708&lt;16,INDEX(Sheet1!C:C,$F1708),$F1708))</f>
        <v>19</v>
      </c>
      <c r="H1708" s="4" t="str" cm="1">
        <f t="array" ref="H1708">INDEX(Sheet1!D:D,$G1708)</f>
        <v>t1139.xlsx</v>
      </c>
      <c r="I1708" s="4" t="str" cm="1">
        <f t="array" ref="I1708">INDEX(Sheet1!E:E,$G1708)</f>
        <v>Sheet1</v>
      </c>
      <c r="J1708" s="4" t="str" cm="1">
        <f t="array" ref="J1708">IF($C1708&gt;=25,INDEX(Sheet1!G:G,$G1708),INDEX(Sheet1!F:F,$G1708))</f>
        <v>B25</v>
      </c>
      <c r="K1708" s="4" cm="1">
        <f t="array" ref="K1708">INDEX(Sheet1!H:H,$G1708)</f>
        <v>1</v>
      </c>
      <c r="L1708" s="4">
        <f t="shared" si="104"/>
        <v>0</v>
      </c>
      <c r="M1708" s="4">
        <f t="shared" si="105"/>
        <v>12</v>
      </c>
    </row>
    <row r="1709" spans="1:13">
      <c r="A1709" s="4" t="str" cm="1">
        <f t="array" ref="A1709">INDEX(Sheet1!A:A,$F1709)</f>
        <v>F</v>
      </c>
      <c r="B1709" s="4" t="str" cm="1">
        <f t="array" ref="B1709">INDEX(Sheet1!B:B,$F1709)</f>
        <v>Pref SM</v>
      </c>
      <c r="C1709" s="4">
        <f t="shared" si="106"/>
        <v>13</v>
      </c>
      <c r="D1709" s="5" cm="1">
        <f t="array" aca="1" ref="D1709" ca="1">OFFSET(INDIRECT("'["&amp;$H1709&amp;"]"&amp;$I1709&amp;"'!"&amp;$J1709),$L1709,$M1709)*$K1709</f>
        <v>2.9999999999999997E-4</v>
      </c>
      <c r="F1709" s="4">
        <f t="shared" si="107"/>
        <v>16</v>
      </c>
      <c r="G1709" s="4" cm="1">
        <f t="array" ref="G1709">IF($C1709&gt;=25,F1709,IF($C1709&lt;16,INDEX(Sheet1!C:C,$F1709),$F1709))</f>
        <v>19</v>
      </c>
      <c r="H1709" s="4" t="str" cm="1">
        <f t="array" ref="H1709">INDEX(Sheet1!D:D,$G1709)</f>
        <v>t1139.xlsx</v>
      </c>
      <c r="I1709" s="4" t="str" cm="1">
        <f t="array" ref="I1709">INDEX(Sheet1!E:E,$G1709)</f>
        <v>Sheet1</v>
      </c>
      <c r="J1709" s="4" t="str" cm="1">
        <f t="array" ref="J1709">IF($C1709&gt;=25,INDEX(Sheet1!G:G,$G1709),INDEX(Sheet1!F:F,$G1709))</f>
        <v>B25</v>
      </c>
      <c r="K1709" s="4" cm="1">
        <f t="array" ref="K1709">INDEX(Sheet1!H:H,$G1709)</f>
        <v>1</v>
      </c>
      <c r="L1709" s="4">
        <f t="shared" si="104"/>
        <v>0</v>
      </c>
      <c r="M1709" s="4">
        <f t="shared" si="105"/>
        <v>13</v>
      </c>
    </row>
    <row r="1710" spans="1:13">
      <c r="A1710" s="4" t="str" cm="1">
        <f t="array" ref="A1710">INDEX(Sheet1!A:A,$F1710)</f>
        <v>F</v>
      </c>
      <c r="B1710" s="4" t="str" cm="1">
        <f t="array" ref="B1710">INDEX(Sheet1!B:B,$F1710)</f>
        <v>Pref SM</v>
      </c>
      <c r="C1710" s="4">
        <f t="shared" si="106"/>
        <v>14</v>
      </c>
      <c r="D1710" s="5" cm="1">
        <f t="array" aca="1" ref="D1710" ca="1">OFFSET(INDIRECT("'["&amp;$H1710&amp;"]"&amp;$I1710&amp;"'!"&amp;$J1710),$L1710,$M1710)*$K1710</f>
        <v>3.3E-4</v>
      </c>
      <c r="F1710" s="4">
        <f t="shared" si="107"/>
        <v>16</v>
      </c>
      <c r="G1710" s="4" cm="1">
        <f t="array" ref="G1710">IF($C1710&gt;=25,F1710,IF($C1710&lt;16,INDEX(Sheet1!C:C,$F1710),$F1710))</f>
        <v>19</v>
      </c>
      <c r="H1710" s="4" t="str" cm="1">
        <f t="array" ref="H1710">INDEX(Sheet1!D:D,$G1710)</f>
        <v>t1139.xlsx</v>
      </c>
      <c r="I1710" s="4" t="str" cm="1">
        <f t="array" ref="I1710">INDEX(Sheet1!E:E,$G1710)</f>
        <v>Sheet1</v>
      </c>
      <c r="J1710" s="4" t="str" cm="1">
        <f t="array" ref="J1710">IF($C1710&gt;=25,INDEX(Sheet1!G:G,$G1710),INDEX(Sheet1!F:F,$G1710))</f>
        <v>B25</v>
      </c>
      <c r="K1710" s="4" cm="1">
        <f t="array" ref="K1710">INDEX(Sheet1!H:H,$G1710)</f>
        <v>1</v>
      </c>
      <c r="L1710" s="4">
        <f t="shared" si="104"/>
        <v>0</v>
      </c>
      <c r="M1710" s="4">
        <f t="shared" si="105"/>
        <v>14</v>
      </c>
    </row>
    <row r="1711" spans="1:13">
      <c r="A1711" s="4" t="str" cm="1">
        <f t="array" ref="A1711">INDEX(Sheet1!A:A,$F1711)</f>
        <v>F</v>
      </c>
      <c r="B1711" s="4" t="str" cm="1">
        <f t="array" ref="B1711">INDEX(Sheet1!B:B,$F1711)</f>
        <v>Pref SM</v>
      </c>
      <c r="C1711" s="4">
        <f t="shared" si="106"/>
        <v>15</v>
      </c>
      <c r="D1711" s="5" cm="1">
        <f t="array" aca="1" ref="D1711" ca="1">OFFSET(INDIRECT("'["&amp;$H1711&amp;"]"&amp;$I1711&amp;"'!"&amp;$J1711),$L1711,$M1711)*$K1711</f>
        <v>3.5E-4</v>
      </c>
      <c r="F1711" s="4">
        <f t="shared" si="107"/>
        <v>16</v>
      </c>
      <c r="G1711" s="4" cm="1">
        <f t="array" ref="G1711">IF($C1711&gt;=25,F1711,IF($C1711&lt;16,INDEX(Sheet1!C:C,$F1711),$F1711))</f>
        <v>19</v>
      </c>
      <c r="H1711" s="4" t="str" cm="1">
        <f t="array" ref="H1711">INDEX(Sheet1!D:D,$G1711)</f>
        <v>t1139.xlsx</v>
      </c>
      <c r="I1711" s="4" t="str" cm="1">
        <f t="array" ref="I1711">INDEX(Sheet1!E:E,$G1711)</f>
        <v>Sheet1</v>
      </c>
      <c r="J1711" s="4" t="str" cm="1">
        <f t="array" ref="J1711">IF($C1711&gt;=25,INDEX(Sheet1!G:G,$G1711),INDEX(Sheet1!F:F,$G1711))</f>
        <v>B25</v>
      </c>
      <c r="K1711" s="4" cm="1">
        <f t="array" ref="K1711">INDEX(Sheet1!H:H,$G1711)</f>
        <v>1</v>
      </c>
      <c r="L1711" s="4">
        <f t="shared" si="104"/>
        <v>0</v>
      </c>
      <c r="M1711" s="4">
        <f t="shared" si="105"/>
        <v>15</v>
      </c>
    </row>
    <row r="1712" spans="1:13">
      <c r="A1712" s="4" t="str" cm="1">
        <f t="array" ref="A1712">INDEX(Sheet1!A:A,$F1712)</f>
        <v>F</v>
      </c>
      <c r="B1712" s="4" t="str" cm="1">
        <f t="array" ref="B1712">INDEX(Sheet1!B:B,$F1712)</f>
        <v>Pref SM</v>
      </c>
      <c r="C1712" s="4">
        <f t="shared" si="106"/>
        <v>16</v>
      </c>
      <c r="D1712" s="5" cm="1">
        <f t="array" aca="1" ref="D1712" ca="1">OFFSET(INDIRECT("'["&amp;$H1712&amp;"]"&amp;$I1712&amp;"'!"&amp;$J1712),$L1712,$M1712)*$K1712</f>
        <v>3.1E-4</v>
      </c>
      <c r="F1712" s="4">
        <f t="shared" si="107"/>
        <v>16</v>
      </c>
      <c r="G1712" s="4" cm="1">
        <f t="array" ref="G1712">IF($C1712&gt;=25,F1712,IF($C1712&lt;16,INDEX(Sheet1!C:C,$F1712),$F1712))</f>
        <v>16</v>
      </c>
      <c r="H1712" s="4" t="str" cm="1">
        <f t="array" ref="H1712">INDEX(Sheet1!D:D,$G1712)</f>
        <v>2001-cso-preferred-class-structure-mortality-tables.xls</v>
      </c>
      <c r="I1712" s="4" t="str" cm="1">
        <f t="array" ref="I1712">INDEX(Sheet1!E:E,$G1712)</f>
        <v>A.1.b.iv</v>
      </c>
      <c r="J1712" s="4" t="str" cm="1">
        <f t="array" ref="J1712">IF($C1712&gt;=25,INDEX(Sheet1!G:G,$G1712),INDEX(Sheet1!F:F,$G1712))</f>
        <v>B8</v>
      </c>
      <c r="K1712" s="4" cm="1">
        <f t="array" ref="K1712">INDEX(Sheet1!H:H,$G1712)</f>
        <v>1E-3</v>
      </c>
      <c r="L1712" s="4">
        <f t="shared" si="104"/>
        <v>0</v>
      </c>
      <c r="M1712" s="4">
        <f t="shared" si="105"/>
        <v>16</v>
      </c>
    </row>
    <row r="1713" spans="1:13">
      <c r="A1713" s="4" t="str" cm="1">
        <f t="array" ref="A1713">INDEX(Sheet1!A:A,$F1713)</f>
        <v>F</v>
      </c>
      <c r="B1713" s="4" t="str" cm="1">
        <f t="array" ref="B1713">INDEX(Sheet1!B:B,$F1713)</f>
        <v>Pref SM</v>
      </c>
      <c r="C1713" s="4">
        <f t="shared" si="106"/>
        <v>17</v>
      </c>
      <c r="D1713" s="5" cm="1">
        <f t="array" aca="1" ref="D1713" ca="1">OFFSET(INDIRECT("'["&amp;$H1713&amp;"]"&amp;$I1713&amp;"'!"&amp;$J1713),$L1713,$M1713)*$K1713</f>
        <v>3.4000000000000002E-4</v>
      </c>
      <c r="F1713" s="4">
        <f t="shared" si="107"/>
        <v>16</v>
      </c>
      <c r="G1713" s="4" cm="1">
        <f t="array" ref="G1713">IF($C1713&gt;=25,F1713,IF($C1713&lt;16,INDEX(Sheet1!C:C,$F1713),$F1713))</f>
        <v>16</v>
      </c>
      <c r="H1713" s="4" t="str" cm="1">
        <f t="array" ref="H1713">INDEX(Sheet1!D:D,$G1713)</f>
        <v>2001-cso-preferred-class-structure-mortality-tables.xls</v>
      </c>
      <c r="I1713" s="4" t="str" cm="1">
        <f t="array" ref="I1713">INDEX(Sheet1!E:E,$G1713)</f>
        <v>A.1.b.iv</v>
      </c>
      <c r="J1713" s="4" t="str" cm="1">
        <f t="array" ref="J1713">IF($C1713&gt;=25,INDEX(Sheet1!G:G,$G1713),INDEX(Sheet1!F:F,$G1713))</f>
        <v>B8</v>
      </c>
      <c r="K1713" s="4" cm="1">
        <f t="array" ref="K1713">INDEX(Sheet1!H:H,$G1713)</f>
        <v>1E-3</v>
      </c>
      <c r="L1713" s="4">
        <f t="shared" si="104"/>
        <v>0</v>
      </c>
      <c r="M1713" s="4">
        <f t="shared" si="105"/>
        <v>17</v>
      </c>
    </row>
    <row r="1714" spans="1:13">
      <c r="A1714" s="4" t="str" cm="1">
        <f t="array" ref="A1714">INDEX(Sheet1!A:A,$F1714)</f>
        <v>F</v>
      </c>
      <c r="B1714" s="4" t="str" cm="1">
        <f t="array" ref="B1714">INDEX(Sheet1!B:B,$F1714)</f>
        <v>Pref SM</v>
      </c>
      <c r="C1714" s="4">
        <f t="shared" si="106"/>
        <v>18</v>
      </c>
      <c r="D1714" s="5" cm="1">
        <f t="array" aca="1" ref="D1714" ca="1">OFFSET(INDIRECT("'["&amp;$H1714&amp;"]"&amp;$I1714&amp;"'!"&amp;$J1714),$L1714,$M1714)*$K1714</f>
        <v>3.8000000000000002E-4</v>
      </c>
      <c r="F1714" s="4">
        <f t="shared" si="107"/>
        <v>16</v>
      </c>
      <c r="G1714" s="4" cm="1">
        <f t="array" ref="G1714">IF($C1714&gt;=25,F1714,IF($C1714&lt;16,INDEX(Sheet1!C:C,$F1714),$F1714))</f>
        <v>16</v>
      </c>
      <c r="H1714" s="4" t="str" cm="1">
        <f t="array" ref="H1714">INDEX(Sheet1!D:D,$G1714)</f>
        <v>2001-cso-preferred-class-structure-mortality-tables.xls</v>
      </c>
      <c r="I1714" s="4" t="str" cm="1">
        <f t="array" ref="I1714">INDEX(Sheet1!E:E,$G1714)</f>
        <v>A.1.b.iv</v>
      </c>
      <c r="J1714" s="4" t="str" cm="1">
        <f t="array" ref="J1714">IF($C1714&gt;=25,INDEX(Sheet1!G:G,$G1714),INDEX(Sheet1!F:F,$G1714))</f>
        <v>B8</v>
      </c>
      <c r="K1714" s="4" cm="1">
        <f t="array" ref="K1714">INDEX(Sheet1!H:H,$G1714)</f>
        <v>1E-3</v>
      </c>
      <c r="L1714" s="4">
        <f t="shared" si="104"/>
        <v>0</v>
      </c>
      <c r="M1714" s="4">
        <f t="shared" si="105"/>
        <v>18</v>
      </c>
    </row>
    <row r="1715" spans="1:13">
      <c r="A1715" s="4" t="str" cm="1">
        <f t="array" ref="A1715">INDEX(Sheet1!A:A,$F1715)</f>
        <v>F</v>
      </c>
      <c r="B1715" s="4" t="str" cm="1">
        <f t="array" ref="B1715">INDEX(Sheet1!B:B,$F1715)</f>
        <v>Pref SM</v>
      </c>
      <c r="C1715" s="4">
        <f t="shared" si="106"/>
        <v>19</v>
      </c>
      <c r="D1715" s="5" cm="1">
        <f t="array" aca="1" ref="D1715" ca="1">OFFSET(INDIRECT("'["&amp;$H1715&amp;"]"&amp;$I1715&amp;"'!"&amp;$J1715),$L1715,$M1715)*$K1715</f>
        <v>4.0999999999999999E-4</v>
      </c>
      <c r="F1715" s="4">
        <f t="shared" si="107"/>
        <v>16</v>
      </c>
      <c r="G1715" s="4" cm="1">
        <f t="array" ref="G1715">IF($C1715&gt;=25,F1715,IF($C1715&lt;16,INDEX(Sheet1!C:C,$F1715),$F1715))</f>
        <v>16</v>
      </c>
      <c r="H1715" s="4" t="str" cm="1">
        <f t="array" ref="H1715">INDEX(Sheet1!D:D,$G1715)</f>
        <v>2001-cso-preferred-class-structure-mortality-tables.xls</v>
      </c>
      <c r="I1715" s="4" t="str" cm="1">
        <f t="array" ref="I1715">INDEX(Sheet1!E:E,$G1715)</f>
        <v>A.1.b.iv</v>
      </c>
      <c r="J1715" s="4" t="str" cm="1">
        <f t="array" ref="J1715">IF($C1715&gt;=25,INDEX(Sheet1!G:G,$G1715),INDEX(Sheet1!F:F,$G1715))</f>
        <v>B8</v>
      </c>
      <c r="K1715" s="4" cm="1">
        <f t="array" ref="K1715">INDEX(Sheet1!H:H,$G1715)</f>
        <v>1E-3</v>
      </c>
      <c r="L1715" s="4">
        <f t="shared" si="104"/>
        <v>0</v>
      </c>
      <c r="M1715" s="4">
        <f t="shared" si="105"/>
        <v>19</v>
      </c>
    </row>
    <row r="1716" spans="1:13">
      <c r="A1716" s="4" t="str" cm="1">
        <f t="array" ref="A1716">INDEX(Sheet1!A:A,$F1716)</f>
        <v>F</v>
      </c>
      <c r="B1716" s="4" t="str" cm="1">
        <f t="array" ref="B1716">INDEX(Sheet1!B:B,$F1716)</f>
        <v>Pref SM</v>
      </c>
      <c r="C1716" s="4">
        <f t="shared" si="106"/>
        <v>20</v>
      </c>
      <c r="D1716" s="5" cm="1">
        <f t="array" aca="1" ref="D1716" ca="1">OFFSET(INDIRECT("'["&amp;$H1716&amp;"]"&amp;$I1716&amp;"'!"&amp;$J1716),$L1716,$M1716)*$K1716</f>
        <v>4.2999999999999999E-4</v>
      </c>
      <c r="F1716" s="4">
        <f t="shared" si="107"/>
        <v>16</v>
      </c>
      <c r="G1716" s="4" cm="1">
        <f t="array" ref="G1716">IF($C1716&gt;=25,F1716,IF($C1716&lt;16,INDEX(Sheet1!C:C,$F1716),$F1716))</f>
        <v>16</v>
      </c>
      <c r="H1716" s="4" t="str" cm="1">
        <f t="array" ref="H1716">INDEX(Sheet1!D:D,$G1716)</f>
        <v>2001-cso-preferred-class-structure-mortality-tables.xls</v>
      </c>
      <c r="I1716" s="4" t="str" cm="1">
        <f t="array" ref="I1716">INDEX(Sheet1!E:E,$G1716)</f>
        <v>A.1.b.iv</v>
      </c>
      <c r="J1716" s="4" t="str" cm="1">
        <f t="array" ref="J1716">IF($C1716&gt;=25,INDEX(Sheet1!G:G,$G1716),INDEX(Sheet1!F:F,$G1716))</f>
        <v>B8</v>
      </c>
      <c r="K1716" s="4" cm="1">
        <f t="array" ref="K1716">INDEX(Sheet1!H:H,$G1716)</f>
        <v>1E-3</v>
      </c>
      <c r="L1716" s="4">
        <f t="shared" si="104"/>
        <v>0</v>
      </c>
      <c r="M1716" s="4">
        <f t="shared" si="105"/>
        <v>20</v>
      </c>
    </row>
    <row r="1717" spans="1:13">
      <c r="A1717" s="4" t="str" cm="1">
        <f t="array" ref="A1717">INDEX(Sheet1!A:A,$F1717)</f>
        <v>F</v>
      </c>
      <c r="B1717" s="4" t="str" cm="1">
        <f t="array" ref="B1717">INDEX(Sheet1!B:B,$F1717)</f>
        <v>Pref SM</v>
      </c>
      <c r="C1717" s="4">
        <f t="shared" si="106"/>
        <v>21</v>
      </c>
      <c r="D1717" s="5" cm="1">
        <f t="array" aca="1" ref="D1717" ca="1">OFFSET(INDIRECT("'["&amp;$H1717&amp;"]"&amp;$I1717&amp;"'!"&amp;$J1717),$L1717,$M1717)*$K1717</f>
        <v>4.6000000000000001E-4</v>
      </c>
      <c r="F1717" s="4">
        <f t="shared" si="107"/>
        <v>16</v>
      </c>
      <c r="G1717" s="4" cm="1">
        <f t="array" ref="G1717">IF($C1717&gt;=25,F1717,IF($C1717&lt;16,INDEX(Sheet1!C:C,$F1717),$F1717))</f>
        <v>16</v>
      </c>
      <c r="H1717" s="4" t="str" cm="1">
        <f t="array" ref="H1717">INDEX(Sheet1!D:D,$G1717)</f>
        <v>2001-cso-preferred-class-structure-mortality-tables.xls</v>
      </c>
      <c r="I1717" s="4" t="str" cm="1">
        <f t="array" ref="I1717">INDEX(Sheet1!E:E,$G1717)</f>
        <v>A.1.b.iv</v>
      </c>
      <c r="J1717" s="4" t="str" cm="1">
        <f t="array" ref="J1717">IF($C1717&gt;=25,INDEX(Sheet1!G:G,$G1717),INDEX(Sheet1!F:F,$G1717))</f>
        <v>B8</v>
      </c>
      <c r="K1717" s="4" cm="1">
        <f t="array" ref="K1717">INDEX(Sheet1!H:H,$G1717)</f>
        <v>1E-3</v>
      </c>
      <c r="L1717" s="4">
        <f t="shared" si="104"/>
        <v>0</v>
      </c>
      <c r="M1717" s="4">
        <f t="shared" si="105"/>
        <v>21</v>
      </c>
    </row>
    <row r="1718" spans="1:13">
      <c r="A1718" s="4" t="str" cm="1">
        <f t="array" ref="A1718">INDEX(Sheet1!A:A,$F1718)</f>
        <v>F</v>
      </c>
      <c r="B1718" s="4" t="str" cm="1">
        <f t="array" ref="B1718">INDEX(Sheet1!B:B,$F1718)</f>
        <v>Pref SM</v>
      </c>
      <c r="C1718" s="4">
        <f t="shared" si="106"/>
        <v>22</v>
      </c>
      <c r="D1718" s="5" cm="1">
        <f t="array" aca="1" ref="D1718" ca="1">OFFSET(INDIRECT("'["&amp;$H1718&amp;"]"&amp;$I1718&amp;"'!"&amp;$J1718),$L1718,$M1718)*$K1718</f>
        <v>4.8000000000000001E-4</v>
      </c>
      <c r="F1718" s="4">
        <f t="shared" si="107"/>
        <v>16</v>
      </c>
      <c r="G1718" s="4" cm="1">
        <f t="array" ref="G1718">IF($C1718&gt;=25,F1718,IF($C1718&lt;16,INDEX(Sheet1!C:C,$F1718),$F1718))</f>
        <v>16</v>
      </c>
      <c r="H1718" s="4" t="str" cm="1">
        <f t="array" ref="H1718">INDEX(Sheet1!D:D,$G1718)</f>
        <v>2001-cso-preferred-class-structure-mortality-tables.xls</v>
      </c>
      <c r="I1718" s="4" t="str" cm="1">
        <f t="array" ref="I1718">INDEX(Sheet1!E:E,$G1718)</f>
        <v>A.1.b.iv</v>
      </c>
      <c r="J1718" s="4" t="str" cm="1">
        <f t="array" ref="J1718">IF($C1718&gt;=25,INDEX(Sheet1!G:G,$G1718),INDEX(Sheet1!F:F,$G1718))</f>
        <v>B8</v>
      </c>
      <c r="K1718" s="4" cm="1">
        <f t="array" ref="K1718">INDEX(Sheet1!H:H,$G1718)</f>
        <v>1E-3</v>
      </c>
      <c r="L1718" s="4">
        <f t="shared" si="104"/>
        <v>0</v>
      </c>
      <c r="M1718" s="4">
        <f t="shared" si="105"/>
        <v>22</v>
      </c>
    </row>
    <row r="1719" spans="1:13">
      <c r="A1719" s="4" t="str" cm="1">
        <f t="array" ref="A1719">INDEX(Sheet1!A:A,$F1719)</f>
        <v>F</v>
      </c>
      <c r="B1719" s="4" t="str" cm="1">
        <f t="array" ref="B1719">INDEX(Sheet1!B:B,$F1719)</f>
        <v>Pref SM</v>
      </c>
      <c r="C1719" s="4">
        <f t="shared" si="106"/>
        <v>23</v>
      </c>
      <c r="D1719" s="5" cm="1">
        <f t="array" aca="1" ref="D1719" ca="1">OFFSET(INDIRECT("'["&amp;$H1719&amp;"]"&amp;$I1719&amp;"'!"&amp;$J1719),$L1719,$M1719)*$K1719</f>
        <v>5.0000000000000001E-4</v>
      </c>
      <c r="F1719" s="4">
        <f t="shared" si="107"/>
        <v>16</v>
      </c>
      <c r="G1719" s="4" cm="1">
        <f t="array" ref="G1719">IF($C1719&gt;=25,F1719,IF($C1719&lt;16,INDEX(Sheet1!C:C,$F1719),$F1719))</f>
        <v>16</v>
      </c>
      <c r="H1719" s="4" t="str" cm="1">
        <f t="array" ref="H1719">INDEX(Sheet1!D:D,$G1719)</f>
        <v>2001-cso-preferred-class-structure-mortality-tables.xls</v>
      </c>
      <c r="I1719" s="4" t="str" cm="1">
        <f t="array" ref="I1719">INDEX(Sheet1!E:E,$G1719)</f>
        <v>A.1.b.iv</v>
      </c>
      <c r="J1719" s="4" t="str" cm="1">
        <f t="array" ref="J1719">IF($C1719&gt;=25,INDEX(Sheet1!G:G,$G1719),INDEX(Sheet1!F:F,$G1719))</f>
        <v>B8</v>
      </c>
      <c r="K1719" s="4" cm="1">
        <f t="array" ref="K1719">INDEX(Sheet1!H:H,$G1719)</f>
        <v>1E-3</v>
      </c>
      <c r="L1719" s="4">
        <f t="shared" si="104"/>
        <v>0</v>
      </c>
      <c r="M1719" s="4">
        <f t="shared" si="105"/>
        <v>23</v>
      </c>
    </row>
    <row r="1720" spans="1:13">
      <c r="A1720" s="4" t="str" cm="1">
        <f t="array" ref="A1720">INDEX(Sheet1!A:A,$F1720)</f>
        <v>F</v>
      </c>
      <c r="B1720" s="4" t="str" cm="1">
        <f t="array" ref="B1720">INDEX(Sheet1!B:B,$F1720)</f>
        <v>Pref SM</v>
      </c>
      <c r="C1720" s="4">
        <f t="shared" si="106"/>
        <v>24</v>
      </c>
      <c r="D1720" s="5" cm="1">
        <f t="array" aca="1" ref="D1720" ca="1">OFFSET(INDIRECT("'["&amp;$H1720&amp;"]"&amp;$I1720&amp;"'!"&amp;$J1720),$L1720,$M1720)*$K1720</f>
        <v>5.4000000000000001E-4</v>
      </c>
      <c r="F1720" s="4">
        <f t="shared" si="107"/>
        <v>16</v>
      </c>
      <c r="G1720" s="4" cm="1">
        <f t="array" ref="G1720">IF($C1720&gt;=25,F1720,IF($C1720&lt;16,INDEX(Sheet1!C:C,$F1720),$F1720))</f>
        <v>16</v>
      </c>
      <c r="H1720" s="4" t="str" cm="1">
        <f t="array" ref="H1720">INDEX(Sheet1!D:D,$G1720)</f>
        <v>2001-cso-preferred-class-structure-mortality-tables.xls</v>
      </c>
      <c r="I1720" s="4" t="str" cm="1">
        <f t="array" ref="I1720">INDEX(Sheet1!E:E,$G1720)</f>
        <v>A.1.b.iv</v>
      </c>
      <c r="J1720" s="4" t="str" cm="1">
        <f t="array" ref="J1720">IF($C1720&gt;=25,INDEX(Sheet1!G:G,$G1720),INDEX(Sheet1!F:F,$G1720))</f>
        <v>B8</v>
      </c>
      <c r="K1720" s="4" cm="1">
        <f t="array" ref="K1720">INDEX(Sheet1!H:H,$G1720)</f>
        <v>1E-3</v>
      </c>
      <c r="L1720" s="4">
        <f t="shared" si="104"/>
        <v>0</v>
      </c>
      <c r="M1720" s="4">
        <f t="shared" si="105"/>
        <v>24</v>
      </c>
    </row>
    <row r="1721" spans="1:13">
      <c r="A1721" s="4" t="str" cm="1">
        <f t="array" ref="A1721">INDEX(Sheet1!A:A,$F1721)</f>
        <v>F</v>
      </c>
      <c r="B1721" s="4" t="str" cm="1">
        <f t="array" ref="B1721">INDEX(Sheet1!B:B,$F1721)</f>
        <v>Pref SM</v>
      </c>
      <c r="C1721" s="4">
        <f t="shared" si="106"/>
        <v>25</v>
      </c>
      <c r="D1721" s="5" cm="1">
        <f t="array" aca="1" ref="D1721" ca="1">OFFSET(INDIRECT("'["&amp;$H1721&amp;"]"&amp;$I1721&amp;"'!"&amp;$J1721),$L1721,$M1721)*$K1721</f>
        <v>5.6999999999999998E-4</v>
      </c>
      <c r="F1721" s="4">
        <f t="shared" si="107"/>
        <v>16</v>
      </c>
      <c r="G1721" s="4" cm="1">
        <f t="array" ref="G1721">IF($C1721&gt;=25,F1721,IF($C1721&lt;16,INDEX(Sheet1!C:C,$F1721),$F1721))</f>
        <v>16</v>
      </c>
      <c r="H1721" s="4" t="str" cm="1">
        <f t="array" ref="H1721">INDEX(Sheet1!D:D,$G1721)</f>
        <v>2001-cso-preferred-class-structure-mortality-tables.xls</v>
      </c>
      <c r="I1721" s="4" t="str" cm="1">
        <f t="array" ref="I1721">INDEX(Sheet1!E:E,$G1721)</f>
        <v>A.1.b.iv</v>
      </c>
      <c r="J1721" s="4" t="str" cm="1">
        <f t="array" ref="J1721">IF($C1721&gt;=25,INDEX(Sheet1!G:G,$G1721),INDEX(Sheet1!F:F,$G1721))</f>
        <v>AA8</v>
      </c>
      <c r="K1721" s="4" cm="1">
        <f t="array" ref="K1721">INDEX(Sheet1!H:H,$G1721)</f>
        <v>1E-3</v>
      </c>
      <c r="L1721" s="4">
        <f t="shared" si="104"/>
        <v>0</v>
      </c>
      <c r="M1721" s="4">
        <f t="shared" si="105"/>
        <v>0</v>
      </c>
    </row>
    <row r="1722" spans="1:13">
      <c r="A1722" s="4" t="str" cm="1">
        <f t="array" ref="A1722">INDEX(Sheet1!A:A,$F1722)</f>
        <v>F</v>
      </c>
      <c r="B1722" s="4" t="str" cm="1">
        <f t="array" ref="B1722">INDEX(Sheet1!B:B,$F1722)</f>
        <v>Pref SM</v>
      </c>
      <c r="C1722" s="4">
        <f t="shared" si="106"/>
        <v>26</v>
      </c>
      <c r="D1722" s="5" cm="1">
        <f t="array" aca="1" ref="D1722" ca="1">OFFSET(INDIRECT("'["&amp;$H1722&amp;"]"&amp;$I1722&amp;"'!"&amp;$J1722),$L1722,$M1722)*$K1722</f>
        <v>6.0999999999999997E-4</v>
      </c>
      <c r="F1722" s="4">
        <f t="shared" si="107"/>
        <v>16</v>
      </c>
      <c r="G1722" s="4" cm="1">
        <f t="array" ref="G1722">IF($C1722&gt;=25,F1722,IF($C1722&lt;16,INDEX(Sheet1!C:C,$F1722),$F1722))</f>
        <v>16</v>
      </c>
      <c r="H1722" s="4" t="str" cm="1">
        <f t="array" ref="H1722">INDEX(Sheet1!D:D,$G1722)</f>
        <v>2001-cso-preferred-class-structure-mortality-tables.xls</v>
      </c>
      <c r="I1722" s="4" t="str" cm="1">
        <f t="array" ref="I1722">INDEX(Sheet1!E:E,$G1722)</f>
        <v>A.1.b.iv</v>
      </c>
      <c r="J1722" s="4" t="str" cm="1">
        <f t="array" ref="J1722">IF($C1722&gt;=25,INDEX(Sheet1!G:G,$G1722),INDEX(Sheet1!F:F,$G1722))</f>
        <v>AA8</v>
      </c>
      <c r="K1722" s="4" cm="1">
        <f t="array" ref="K1722">INDEX(Sheet1!H:H,$G1722)</f>
        <v>1E-3</v>
      </c>
      <c r="L1722" s="4">
        <f t="shared" si="104"/>
        <v>1</v>
      </c>
      <c r="M1722" s="4">
        <f t="shared" si="105"/>
        <v>0</v>
      </c>
    </row>
    <row r="1723" spans="1:13">
      <c r="A1723" s="4" t="str" cm="1">
        <f t="array" ref="A1723">INDEX(Sheet1!A:A,$F1723)</f>
        <v>F</v>
      </c>
      <c r="B1723" s="4" t="str" cm="1">
        <f t="array" ref="B1723">INDEX(Sheet1!B:B,$F1723)</f>
        <v>Pref SM</v>
      </c>
      <c r="C1723" s="4">
        <f t="shared" si="106"/>
        <v>27</v>
      </c>
      <c r="D1723" s="5" cm="1">
        <f t="array" aca="1" ref="D1723" ca="1">OFFSET(INDIRECT("'["&amp;$H1723&amp;"]"&amp;$I1723&amp;"'!"&amp;$J1723),$L1723,$M1723)*$K1723</f>
        <v>6.5000000000000008E-4</v>
      </c>
      <c r="F1723" s="4">
        <f t="shared" si="107"/>
        <v>16</v>
      </c>
      <c r="G1723" s="4" cm="1">
        <f t="array" ref="G1723">IF($C1723&gt;=25,F1723,IF($C1723&lt;16,INDEX(Sheet1!C:C,$F1723),$F1723))</f>
        <v>16</v>
      </c>
      <c r="H1723" s="4" t="str" cm="1">
        <f t="array" ref="H1723">INDEX(Sheet1!D:D,$G1723)</f>
        <v>2001-cso-preferred-class-structure-mortality-tables.xls</v>
      </c>
      <c r="I1723" s="4" t="str" cm="1">
        <f t="array" ref="I1723">INDEX(Sheet1!E:E,$G1723)</f>
        <v>A.1.b.iv</v>
      </c>
      <c r="J1723" s="4" t="str" cm="1">
        <f t="array" ref="J1723">IF($C1723&gt;=25,INDEX(Sheet1!G:G,$G1723),INDEX(Sheet1!F:F,$G1723))</f>
        <v>AA8</v>
      </c>
      <c r="K1723" s="4" cm="1">
        <f t="array" ref="K1723">INDEX(Sheet1!H:H,$G1723)</f>
        <v>1E-3</v>
      </c>
      <c r="L1723" s="4">
        <f t="shared" si="104"/>
        <v>2</v>
      </c>
      <c r="M1723" s="4">
        <f t="shared" si="105"/>
        <v>0</v>
      </c>
    </row>
    <row r="1724" spans="1:13">
      <c r="A1724" s="4" t="str" cm="1">
        <f t="array" ref="A1724">INDEX(Sheet1!A:A,$F1724)</f>
        <v>F</v>
      </c>
      <c r="B1724" s="4" t="str" cm="1">
        <f t="array" ref="B1724">INDEX(Sheet1!B:B,$F1724)</f>
        <v>Pref SM</v>
      </c>
      <c r="C1724" s="4">
        <f t="shared" si="106"/>
        <v>28</v>
      </c>
      <c r="D1724" s="5" cm="1">
        <f t="array" aca="1" ref="D1724" ca="1">OFFSET(INDIRECT("'["&amp;$H1724&amp;"]"&amp;$I1724&amp;"'!"&amp;$J1724),$L1724,$M1724)*$K1724</f>
        <v>6.8000000000000005E-4</v>
      </c>
      <c r="F1724" s="4">
        <f t="shared" si="107"/>
        <v>16</v>
      </c>
      <c r="G1724" s="4" cm="1">
        <f t="array" ref="G1724">IF($C1724&gt;=25,F1724,IF($C1724&lt;16,INDEX(Sheet1!C:C,$F1724),$F1724))</f>
        <v>16</v>
      </c>
      <c r="H1724" s="4" t="str" cm="1">
        <f t="array" ref="H1724">INDEX(Sheet1!D:D,$G1724)</f>
        <v>2001-cso-preferred-class-structure-mortality-tables.xls</v>
      </c>
      <c r="I1724" s="4" t="str" cm="1">
        <f t="array" ref="I1724">INDEX(Sheet1!E:E,$G1724)</f>
        <v>A.1.b.iv</v>
      </c>
      <c r="J1724" s="4" t="str" cm="1">
        <f t="array" ref="J1724">IF($C1724&gt;=25,INDEX(Sheet1!G:G,$G1724),INDEX(Sheet1!F:F,$G1724))</f>
        <v>AA8</v>
      </c>
      <c r="K1724" s="4" cm="1">
        <f t="array" ref="K1724">INDEX(Sheet1!H:H,$G1724)</f>
        <v>1E-3</v>
      </c>
      <c r="L1724" s="4">
        <f t="shared" si="104"/>
        <v>3</v>
      </c>
      <c r="M1724" s="4">
        <f t="shared" si="105"/>
        <v>0</v>
      </c>
    </row>
    <row r="1725" spans="1:13">
      <c r="A1725" s="4" t="str" cm="1">
        <f t="array" ref="A1725">INDEX(Sheet1!A:A,$F1725)</f>
        <v>F</v>
      </c>
      <c r="B1725" s="4" t="str" cm="1">
        <f t="array" ref="B1725">INDEX(Sheet1!B:B,$F1725)</f>
        <v>Pref SM</v>
      </c>
      <c r="C1725" s="4">
        <f t="shared" si="106"/>
        <v>29</v>
      </c>
      <c r="D1725" s="5" cm="1">
        <f t="array" aca="1" ref="D1725" ca="1">OFFSET(INDIRECT("'["&amp;$H1725&amp;"]"&amp;$I1725&amp;"'!"&amp;$J1725),$L1725,$M1725)*$K1725</f>
        <v>7.2999999999999996E-4</v>
      </c>
      <c r="F1725" s="4">
        <f t="shared" si="107"/>
        <v>16</v>
      </c>
      <c r="G1725" s="4" cm="1">
        <f t="array" ref="G1725">IF($C1725&gt;=25,F1725,IF($C1725&lt;16,INDEX(Sheet1!C:C,$F1725),$F1725))</f>
        <v>16</v>
      </c>
      <c r="H1725" s="4" t="str" cm="1">
        <f t="array" ref="H1725">INDEX(Sheet1!D:D,$G1725)</f>
        <v>2001-cso-preferred-class-structure-mortality-tables.xls</v>
      </c>
      <c r="I1725" s="4" t="str" cm="1">
        <f t="array" ref="I1725">INDEX(Sheet1!E:E,$G1725)</f>
        <v>A.1.b.iv</v>
      </c>
      <c r="J1725" s="4" t="str" cm="1">
        <f t="array" ref="J1725">IF($C1725&gt;=25,INDEX(Sheet1!G:G,$G1725),INDEX(Sheet1!F:F,$G1725))</f>
        <v>AA8</v>
      </c>
      <c r="K1725" s="4" cm="1">
        <f t="array" ref="K1725">INDEX(Sheet1!H:H,$G1725)</f>
        <v>1E-3</v>
      </c>
      <c r="L1725" s="4">
        <f t="shared" si="104"/>
        <v>4</v>
      </c>
      <c r="M1725" s="4">
        <f t="shared" si="105"/>
        <v>0</v>
      </c>
    </row>
    <row r="1726" spans="1:13">
      <c r="A1726" s="4" t="str" cm="1">
        <f t="array" ref="A1726">INDEX(Sheet1!A:A,$F1726)</f>
        <v>F</v>
      </c>
      <c r="B1726" s="4" t="str" cm="1">
        <f t="array" ref="B1726">INDEX(Sheet1!B:B,$F1726)</f>
        <v>Pref SM</v>
      </c>
      <c r="C1726" s="4">
        <f t="shared" si="106"/>
        <v>30</v>
      </c>
      <c r="D1726" s="5" cm="1">
        <f t="array" aca="1" ref="D1726" ca="1">OFFSET(INDIRECT("'["&amp;$H1726&amp;"]"&amp;$I1726&amp;"'!"&amp;$J1726),$L1726,$M1726)*$K1726</f>
        <v>7.6000000000000004E-4</v>
      </c>
      <c r="F1726" s="4">
        <f t="shared" si="107"/>
        <v>16</v>
      </c>
      <c r="G1726" s="4" cm="1">
        <f t="array" ref="G1726">IF($C1726&gt;=25,F1726,IF($C1726&lt;16,INDEX(Sheet1!C:C,$F1726),$F1726))</f>
        <v>16</v>
      </c>
      <c r="H1726" s="4" t="str" cm="1">
        <f t="array" ref="H1726">INDEX(Sheet1!D:D,$G1726)</f>
        <v>2001-cso-preferred-class-structure-mortality-tables.xls</v>
      </c>
      <c r="I1726" s="4" t="str" cm="1">
        <f t="array" ref="I1726">INDEX(Sheet1!E:E,$G1726)</f>
        <v>A.1.b.iv</v>
      </c>
      <c r="J1726" s="4" t="str" cm="1">
        <f t="array" ref="J1726">IF($C1726&gt;=25,INDEX(Sheet1!G:G,$G1726),INDEX(Sheet1!F:F,$G1726))</f>
        <v>AA8</v>
      </c>
      <c r="K1726" s="4" cm="1">
        <f t="array" ref="K1726">INDEX(Sheet1!H:H,$G1726)</f>
        <v>1E-3</v>
      </c>
      <c r="L1726" s="4">
        <f t="shared" si="104"/>
        <v>5</v>
      </c>
      <c r="M1726" s="4">
        <f t="shared" si="105"/>
        <v>0</v>
      </c>
    </row>
    <row r="1727" spans="1:13">
      <c r="A1727" s="4" t="str" cm="1">
        <f t="array" ref="A1727">INDEX(Sheet1!A:A,$F1727)</f>
        <v>F</v>
      </c>
      <c r="B1727" s="4" t="str" cm="1">
        <f t="array" ref="B1727">INDEX(Sheet1!B:B,$F1727)</f>
        <v>Pref SM</v>
      </c>
      <c r="C1727" s="4">
        <f t="shared" si="106"/>
        <v>31</v>
      </c>
      <c r="D1727" s="5" cm="1">
        <f t="array" aca="1" ref="D1727" ca="1">OFFSET(INDIRECT("'["&amp;$H1727&amp;"]"&amp;$I1727&amp;"'!"&amp;$J1727),$L1727,$M1727)*$K1727</f>
        <v>8.3000000000000001E-4</v>
      </c>
      <c r="F1727" s="4">
        <f t="shared" si="107"/>
        <v>16</v>
      </c>
      <c r="G1727" s="4" cm="1">
        <f t="array" ref="G1727">IF($C1727&gt;=25,F1727,IF($C1727&lt;16,INDEX(Sheet1!C:C,$F1727),$F1727))</f>
        <v>16</v>
      </c>
      <c r="H1727" s="4" t="str" cm="1">
        <f t="array" ref="H1727">INDEX(Sheet1!D:D,$G1727)</f>
        <v>2001-cso-preferred-class-structure-mortality-tables.xls</v>
      </c>
      <c r="I1727" s="4" t="str" cm="1">
        <f t="array" ref="I1727">INDEX(Sheet1!E:E,$G1727)</f>
        <v>A.1.b.iv</v>
      </c>
      <c r="J1727" s="4" t="str" cm="1">
        <f t="array" ref="J1727">IF($C1727&gt;=25,INDEX(Sheet1!G:G,$G1727),INDEX(Sheet1!F:F,$G1727))</f>
        <v>AA8</v>
      </c>
      <c r="K1727" s="4" cm="1">
        <f t="array" ref="K1727">INDEX(Sheet1!H:H,$G1727)</f>
        <v>1E-3</v>
      </c>
      <c r="L1727" s="4">
        <f t="shared" si="104"/>
        <v>6</v>
      </c>
      <c r="M1727" s="4">
        <f t="shared" si="105"/>
        <v>0</v>
      </c>
    </row>
    <row r="1728" spans="1:13">
      <c r="A1728" s="4" t="str" cm="1">
        <f t="array" ref="A1728">INDEX(Sheet1!A:A,$F1728)</f>
        <v>F</v>
      </c>
      <c r="B1728" s="4" t="str" cm="1">
        <f t="array" ref="B1728">INDEX(Sheet1!B:B,$F1728)</f>
        <v>Pref SM</v>
      </c>
      <c r="C1728" s="4">
        <f t="shared" si="106"/>
        <v>32</v>
      </c>
      <c r="D1728" s="5" cm="1">
        <f t="array" aca="1" ref="D1728" ca="1">OFFSET(INDIRECT("'["&amp;$H1728&amp;"]"&amp;$I1728&amp;"'!"&amp;$J1728),$L1728,$M1728)*$K1728</f>
        <v>8.8000000000000003E-4</v>
      </c>
      <c r="F1728" s="4">
        <f t="shared" si="107"/>
        <v>16</v>
      </c>
      <c r="G1728" s="4" cm="1">
        <f t="array" ref="G1728">IF($C1728&gt;=25,F1728,IF($C1728&lt;16,INDEX(Sheet1!C:C,$F1728),$F1728))</f>
        <v>16</v>
      </c>
      <c r="H1728" s="4" t="str" cm="1">
        <f t="array" ref="H1728">INDEX(Sheet1!D:D,$G1728)</f>
        <v>2001-cso-preferred-class-structure-mortality-tables.xls</v>
      </c>
      <c r="I1728" s="4" t="str" cm="1">
        <f t="array" ref="I1728">INDEX(Sheet1!E:E,$G1728)</f>
        <v>A.1.b.iv</v>
      </c>
      <c r="J1728" s="4" t="str" cm="1">
        <f t="array" ref="J1728">IF($C1728&gt;=25,INDEX(Sheet1!G:G,$G1728),INDEX(Sheet1!F:F,$G1728))</f>
        <v>AA8</v>
      </c>
      <c r="K1728" s="4" cm="1">
        <f t="array" ref="K1728">INDEX(Sheet1!H:H,$G1728)</f>
        <v>1E-3</v>
      </c>
      <c r="L1728" s="4">
        <f t="shared" si="104"/>
        <v>7</v>
      </c>
      <c r="M1728" s="4">
        <f t="shared" si="105"/>
        <v>0</v>
      </c>
    </row>
    <row r="1729" spans="1:13">
      <c r="A1729" s="4" t="str" cm="1">
        <f t="array" ref="A1729">INDEX(Sheet1!A:A,$F1729)</f>
        <v>F</v>
      </c>
      <c r="B1729" s="4" t="str" cm="1">
        <f t="array" ref="B1729">INDEX(Sheet1!B:B,$F1729)</f>
        <v>Pref SM</v>
      </c>
      <c r="C1729" s="4">
        <f t="shared" si="106"/>
        <v>33</v>
      </c>
      <c r="D1729" s="5" cm="1">
        <f t="array" aca="1" ref="D1729" ca="1">OFFSET(INDIRECT("'["&amp;$H1729&amp;"]"&amp;$I1729&amp;"'!"&amp;$J1729),$L1729,$M1729)*$K1729</f>
        <v>9.5E-4</v>
      </c>
      <c r="F1729" s="4">
        <f t="shared" si="107"/>
        <v>16</v>
      </c>
      <c r="G1729" s="4" cm="1">
        <f t="array" ref="G1729">IF($C1729&gt;=25,F1729,IF($C1729&lt;16,INDEX(Sheet1!C:C,$F1729),$F1729))</f>
        <v>16</v>
      </c>
      <c r="H1729" s="4" t="str" cm="1">
        <f t="array" ref="H1729">INDEX(Sheet1!D:D,$G1729)</f>
        <v>2001-cso-preferred-class-structure-mortality-tables.xls</v>
      </c>
      <c r="I1729" s="4" t="str" cm="1">
        <f t="array" ref="I1729">INDEX(Sheet1!E:E,$G1729)</f>
        <v>A.1.b.iv</v>
      </c>
      <c r="J1729" s="4" t="str" cm="1">
        <f t="array" ref="J1729">IF($C1729&gt;=25,INDEX(Sheet1!G:G,$G1729),INDEX(Sheet1!F:F,$G1729))</f>
        <v>AA8</v>
      </c>
      <c r="K1729" s="4" cm="1">
        <f t="array" ref="K1729">INDEX(Sheet1!H:H,$G1729)</f>
        <v>1E-3</v>
      </c>
      <c r="L1729" s="4">
        <f t="shared" si="104"/>
        <v>8</v>
      </c>
      <c r="M1729" s="4">
        <f t="shared" si="105"/>
        <v>0</v>
      </c>
    </row>
    <row r="1730" spans="1:13">
      <c r="A1730" s="4" t="str" cm="1">
        <f t="array" ref="A1730">INDEX(Sheet1!A:A,$F1730)</f>
        <v>F</v>
      </c>
      <c r="B1730" s="4" t="str" cm="1">
        <f t="array" ref="B1730">INDEX(Sheet1!B:B,$F1730)</f>
        <v>Pref SM</v>
      </c>
      <c r="C1730" s="4">
        <f t="shared" ref="C1730:C1793" si="108">IF(C1729=120,0,C1729+1)</f>
        <v>34</v>
      </c>
      <c r="D1730" s="5" cm="1">
        <f t="array" aca="1" ref="D1730" ca="1">OFFSET(INDIRECT("'["&amp;$H1730&amp;"]"&amp;$I1730&amp;"'!"&amp;$J1730),$L1730,$M1730)*$K1730</f>
        <v>1.0300000000000001E-3</v>
      </c>
      <c r="F1730" s="4">
        <f t="shared" ref="F1730:F1793" si="109">IF(C1730=0,1,0)+F1729</f>
        <v>16</v>
      </c>
      <c r="G1730" s="4" cm="1">
        <f t="array" ref="G1730">IF($C1730&gt;=25,F1730,IF($C1730&lt;16,INDEX(Sheet1!C:C,$F1730),$F1730))</f>
        <v>16</v>
      </c>
      <c r="H1730" s="4" t="str" cm="1">
        <f t="array" ref="H1730">INDEX(Sheet1!D:D,$G1730)</f>
        <v>2001-cso-preferred-class-structure-mortality-tables.xls</v>
      </c>
      <c r="I1730" s="4" t="str" cm="1">
        <f t="array" ref="I1730">INDEX(Sheet1!E:E,$G1730)</f>
        <v>A.1.b.iv</v>
      </c>
      <c r="J1730" s="4" t="str" cm="1">
        <f t="array" ref="J1730">IF($C1730&gt;=25,INDEX(Sheet1!G:G,$G1730),INDEX(Sheet1!F:F,$G1730))</f>
        <v>AA8</v>
      </c>
      <c r="K1730" s="4" cm="1">
        <f t="array" ref="K1730">INDEX(Sheet1!H:H,$G1730)</f>
        <v>1E-3</v>
      </c>
      <c r="L1730" s="4">
        <f t="shared" si="104"/>
        <v>9</v>
      </c>
      <c r="M1730" s="4">
        <f t="shared" si="105"/>
        <v>0</v>
      </c>
    </row>
    <row r="1731" spans="1:13">
      <c r="A1731" s="4" t="str" cm="1">
        <f t="array" ref="A1731">INDEX(Sheet1!A:A,$F1731)</f>
        <v>F</v>
      </c>
      <c r="B1731" s="4" t="str" cm="1">
        <f t="array" ref="B1731">INDEX(Sheet1!B:B,$F1731)</f>
        <v>Pref SM</v>
      </c>
      <c r="C1731" s="4">
        <f t="shared" si="108"/>
        <v>35</v>
      </c>
      <c r="D1731" s="5" cm="1">
        <f t="array" aca="1" ref="D1731" ca="1">OFFSET(INDIRECT("'["&amp;$H1731&amp;"]"&amp;$I1731&amp;"'!"&amp;$J1731),$L1731,$M1731)*$K1731</f>
        <v>1.1299999999999999E-3</v>
      </c>
      <c r="F1731" s="4">
        <f t="shared" si="109"/>
        <v>16</v>
      </c>
      <c r="G1731" s="4" cm="1">
        <f t="array" ref="G1731">IF($C1731&gt;=25,F1731,IF($C1731&lt;16,INDEX(Sheet1!C:C,$F1731),$F1731))</f>
        <v>16</v>
      </c>
      <c r="H1731" s="4" t="str" cm="1">
        <f t="array" ref="H1731">INDEX(Sheet1!D:D,$G1731)</f>
        <v>2001-cso-preferred-class-structure-mortality-tables.xls</v>
      </c>
      <c r="I1731" s="4" t="str" cm="1">
        <f t="array" ref="I1731">INDEX(Sheet1!E:E,$G1731)</f>
        <v>A.1.b.iv</v>
      </c>
      <c r="J1731" s="4" t="str" cm="1">
        <f t="array" ref="J1731">IF($C1731&gt;=25,INDEX(Sheet1!G:G,$G1731),INDEX(Sheet1!F:F,$G1731))</f>
        <v>AA8</v>
      </c>
      <c r="K1731" s="4" cm="1">
        <f t="array" ref="K1731">INDEX(Sheet1!H:H,$G1731)</f>
        <v>1E-3</v>
      </c>
      <c r="L1731" s="4">
        <f t="shared" si="104"/>
        <v>10</v>
      </c>
      <c r="M1731" s="4">
        <f t="shared" si="105"/>
        <v>0</v>
      </c>
    </row>
    <row r="1732" spans="1:13">
      <c r="A1732" s="4" t="str" cm="1">
        <f t="array" ref="A1732">INDEX(Sheet1!A:A,$F1732)</f>
        <v>F</v>
      </c>
      <c r="B1732" s="4" t="str" cm="1">
        <f t="array" ref="B1732">INDEX(Sheet1!B:B,$F1732)</f>
        <v>Pref SM</v>
      </c>
      <c r="C1732" s="4">
        <f t="shared" si="108"/>
        <v>36</v>
      </c>
      <c r="D1732" s="5" cm="1">
        <f t="array" aca="1" ref="D1732" ca="1">OFFSET(INDIRECT("'["&amp;$H1732&amp;"]"&amp;$I1732&amp;"'!"&amp;$J1732),$L1732,$M1732)*$K1732</f>
        <v>1.2099999999999999E-3</v>
      </c>
      <c r="F1732" s="4">
        <f t="shared" si="109"/>
        <v>16</v>
      </c>
      <c r="G1732" s="4" cm="1">
        <f t="array" ref="G1732">IF($C1732&gt;=25,F1732,IF($C1732&lt;16,INDEX(Sheet1!C:C,$F1732),$F1732))</f>
        <v>16</v>
      </c>
      <c r="H1732" s="4" t="str" cm="1">
        <f t="array" ref="H1732">INDEX(Sheet1!D:D,$G1732)</f>
        <v>2001-cso-preferred-class-structure-mortality-tables.xls</v>
      </c>
      <c r="I1732" s="4" t="str" cm="1">
        <f t="array" ref="I1732">INDEX(Sheet1!E:E,$G1732)</f>
        <v>A.1.b.iv</v>
      </c>
      <c r="J1732" s="4" t="str" cm="1">
        <f t="array" ref="J1732">IF($C1732&gt;=25,INDEX(Sheet1!G:G,$G1732),INDEX(Sheet1!F:F,$G1732))</f>
        <v>AA8</v>
      </c>
      <c r="K1732" s="4" cm="1">
        <f t="array" ref="K1732">INDEX(Sheet1!H:H,$G1732)</f>
        <v>1E-3</v>
      </c>
      <c r="L1732" s="4">
        <f t="shared" si="104"/>
        <v>11</v>
      </c>
      <c r="M1732" s="4">
        <f t="shared" si="105"/>
        <v>0</v>
      </c>
    </row>
    <row r="1733" spans="1:13">
      <c r="A1733" s="4" t="str" cm="1">
        <f t="array" ref="A1733">INDEX(Sheet1!A:A,$F1733)</f>
        <v>F</v>
      </c>
      <c r="B1733" s="4" t="str" cm="1">
        <f t="array" ref="B1733">INDEX(Sheet1!B:B,$F1733)</f>
        <v>Pref SM</v>
      </c>
      <c r="C1733" s="4">
        <f t="shared" si="108"/>
        <v>37</v>
      </c>
      <c r="D1733" s="5" cm="1">
        <f t="array" aca="1" ref="D1733" ca="1">OFFSET(INDIRECT("'["&amp;$H1733&amp;"]"&amp;$I1733&amp;"'!"&amp;$J1733),$L1733,$M1733)*$K1733</f>
        <v>1.32E-3</v>
      </c>
      <c r="F1733" s="4">
        <f t="shared" si="109"/>
        <v>16</v>
      </c>
      <c r="G1733" s="4" cm="1">
        <f t="array" ref="G1733">IF($C1733&gt;=25,F1733,IF($C1733&lt;16,INDEX(Sheet1!C:C,$F1733),$F1733))</f>
        <v>16</v>
      </c>
      <c r="H1733" s="4" t="str" cm="1">
        <f t="array" ref="H1733">INDEX(Sheet1!D:D,$G1733)</f>
        <v>2001-cso-preferred-class-structure-mortality-tables.xls</v>
      </c>
      <c r="I1733" s="4" t="str" cm="1">
        <f t="array" ref="I1733">INDEX(Sheet1!E:E,$G1733)</f>
        <v>A.1.b.iv</v>
      </c>
      <c r="J1733" s="4" t="str" cm="1">
        <f t="array" ref="J1733">IF($C1733&gt;=25,INDEX(Sheet1!G:G,$G1733),INDEX(Sheet1!F:F,$G1733))</f>
        <v>AA8</v>
      </c>
      <c r="K1733" s="4" cm="1">
        <f t="array" ref="K1733">INDEX(Sheet1!H:H,$G1733)</f>
        <v>1E-3</v>
      </c>
      <c r="L1733" s="4">
        <f t="shared" si="104"/>
        <v>12</v>
      </c>
      <c r="M1733" s="4">
        <f t="shared" si="105"/>
        <v>0</v>
      </c>
    </row>
    <row r="1734" spans="1:13">
      <c r="A1734" s="4" t="str" cm="1">
        <f t="array" ref="A1734">INDEX(Sheet1!A:A,$F1734)</f>
        <v>F</v>
      </c>
      <c r="B1734" s="4" t="str" cm="1">
        <f t="array" ref="B1734">INDEX(Sheet1!B:B,$F1734)</f>
        <v>Pref SM</v>
      </c>
      <c r="C1734" s="4">
        <f t="shared" si="108"/>
        <v>38</v>
      </c>
      <c r="D1734" s="5" cm="1">
        <f t="array" aca="1" ref="D1734" ca="1">OFFSET(INDIRECT("'["&amp;$H1734&amp;"]"&amp;$I1734&amp;"'!"&amp;$J1734),$L1734,$M1734)*$K1734</f>
        <v>1.39E-3</v>
      </c>
      <c r="F1734" s="4">
        <f t="shared" si="109"/>
        <v>16</v>
      </c>
      <c r="G1734" s="4" cm="1">
        <f t="array" ref="G1734">IF($C1734&gt;=25,F1734,IF($C1734&lt;16,INDEX(Sheet1!C:C,$F1734),$F1734))</f>
        <v>16</v>
      </c>
      <c r="H1734" s="4" t="str" cm="1">
        <f t="array" ref="H1734">INDEX(Sheet1!D:D,$G1734)</f>
        <v>2001-cso-preferred-class-structure-mortality-tables.xls</v>
      </c>
      <c r="I1734" s="4" t="str" cm="1">
        <f t="array" ref="I1734">INDEX(Sheet1!E:E,$G1734)</f>
        <v>A.1.b.iv</v>
      </c>
      <c r="J1734" s="4" t="str" cm="1">
        <f t="array" ref="J1734">IF($C1734&gt;=25,INDEX(Sheet1!G:G,$G1734),INDEX(Sheet1!F:F,$G1734))</f>
        <v>AA8</v>
      </c>
      <c r="K1734" s="4" cm="1">
        <f t="array" ref="K1734">INDEX(Sheet1!H:H,$G1734)</f>
        <v>1E-3</v>
      </c>
      <c r="L1734" s="4">
        <f t="shared" si="104"/>
        <v>13</v>
      </c>
      <c r="M1734" s="4">
        <f t="shared" si="105"/>
        <v>0</v>
      </c>
    </row>
    <row r="1735" spans="1:13">
      <c r="A1735" s="4" t="str" cm="1">
        <f t="array" ref="A1735">INDEX(Sheet1!A:A,$F1735)</f>
        <v>F</v>
      </c>
      <c r="B1735" s="4" t="str" cm="1">
        <f t="array" ref="B1735">INDEX(Sheet1!B:B,$F1735)</f>
        <v>Pref SM</v>
      </c>
      <c r="C1735" s="4">
        <f t="shared" si="108"/>
        <v>39</v>
      </c>
      <c r="D1735" s="5" cm="1">
        <f t="array" aca="1" ref="D1735" ca="1">OFFSET(INDIRECT("'["&amp;$H1735&amp;"]"&amp;$I1735&amp;"'!"&amp;$J1735),$L1735,$M1735)*$K1735</f>
        <v>1.47E-3</v>
      </c>
      <c r="F1735" s="4">
        <f t="shared" si="109"/>
        <v>16</v>
      </c>
      <c r="G1735" s="4" cm="1">
        <f t="array" ref="G1735">IF($C1735&gt;=25,F1735,IF($C1735&lt;16,INDEX(Sheet1!C:C,$F1735),$F1735))</f>
        <v>16</v>
      </c>
      <c r="H1735" s="4" t="str" cm="1">
        <f t="array" ref="H1735">INDEX(Sheet1!D:D,$G1735)</f>
        <v>2001-cso-preferred-class-structure-mortality-tables.xls</v>
      </c>
      <c r="I1735" s="4" t="str" cm="1">
        <f t="array" ref="I1735">INDEX(Sheet1!E:E,$G1735)</f>
        <v>A.1.b.iv</v>
      </c>
      <c r="J1735" s="4" t="str" cm="1">
        <f t="array" ref="J1735">IF($C1735&gt;=25,INDEX(Sheet1!G:G,$G1735),INDEX(Sheet1!F:F,$G1735))</f>
        <v>AA8</v>
      </c>
      <c r="K1735" s="4" cm="1">
        <f t="array" ref="K1735">INDEX(Sheet1!H:H,$G1735)</f>
        <v>1E-3</v>
      </c>
      <c r="L1735" s="4">
        <f t="shared" si="104"/>
        <v>14</v>
      </c>
      <c r="M1735" s="4">
        <f t="shared" si="105"/>
        <v>0</v>
      </c>
    </row>
    <row r="1736" spans="1:13">
      <c r="A1736" s="4" t="str" cm="1">
        <f t="array" ref="A1736">INDEX(Sheet1!A:A,$F1736)</f>
        <v>F</v>
      </c>
      <c r="B1736" s="4" t="str" cm="1">
        <f t="array" ref="B1736">INDEX(Sheet1!B:B,$F1736)</f>
        <v>Pref SM</v>
      </c>
      <c r="C1736" s="4">
        <f t="shared" si="108"/>
        <v>40</v>
      </c>
      <c r="D1736" s="5" cm="1">
        <f t="array" aca="1" ref="D1736" ca="1">OFFSET(INDIRECT("'["&amp;$H1736&amp;"]"&amp;$I1736&amp;"'!"&amp;$J1736),$L1736,$M1736)*$K1736</f>
        <v>1.5600000000000002E-3</v>
      </c>
      <c r="F1736" s="4">
        <f t="shared" si="109"/>
        <v>16</v>
      </c>
      <c r="G1736" s="4" cm="1">
        <f t="array" ref="G1736">IF($C1736&gt;=25,F1736,IF($C1736&lt;16,INDEX(Sheet1!C:C,$F1736),$F1736))</f>
        <v>16</v>
      </c>
      <c r="H1736" s="4" t="str" cm="1">
        <f t="array" ref="H1736">INDEX(Sheet1!D:D,$G1736)</f>
        <v>2001-cso-preferred-class-structure-mortality-tables.xls</v>
      </c>
      <c r="I1736" s="4" t="str" cm="1">
        <f t="array" ref="I1736">INDEX(Sheet1!E:E,$G1736)</f>
        <v>A.1.b.iv</v>
      </c>
      <c r="J1736" s="4" t="str" cm="1">
        <f t="array" ref="J1736">IF($C1736&gt;=25,INDEX(Sheet1!G:G,$G1736),INDEX(Sheet1!F:F,$G1736))</f>
        <v>AA8</v>
      </c>
      <c r="K1736" s="4" cm="1">
        <f t="array" ref="K1736">INDEX(Sheet1!H:H,$G1736)</f>
        <v>1E-3</v>
      </c>
      <c r="L1736" s="4">
        <f t="shared" si="104"/>
        <v>15</v>
      </c>
      <c r="M1736" s="4">
        <f t="shared" si="105"/>
        <v>0</v>
      </c>
    </row>
    <row r="1737" spans="1:13">
      <c r="A1737" s="4" t="str" cm="1">
        <f t="array" ref="A1737">INDEX(Sheet1!A:A,$F1737)</f>
        <v>F</v>
      </c>
      <c r="B1737" s="4" t="str" cm="1">
        <f t="array" ref="B1737">INDEX(Sheet1!B:B,$F1737)</f>
        <v>Pref SM</v>
      </c>
      <c r="C1737" s="4">
        <f t="shared" si="108"/>
        <v>41</v>
      </c>
      <c r="D1737" s="5" cm="1">
        <f t="array" aca="1" ref="D1737" ca="1">OFFSET(INDIRECT("'["&amp;$H1737&amp;"]"&amp;$I1737&amp;"'!"&amp;$J1737),$L1737,$M1737)*$K1737</f>
        <v>1.66E-3</v>
      </c>
      <c r="F1737" s="4">
        <f t="shared" si="109"/>
        <v>16</v>
      </c>
      <c r="G1737" s="4" cm="1">
        <f t="array" ref="G1737">IF($C1737&gt;=25,F1737,IF($C1737&lt;16,INDEX(Sheet1!C:C,$F1737),$F1737))</f>
        <v>16</v>
      </c>
      <c r="H1737" s="4" t="str" cm="1">
        <f t="array" ref="H1737">INDEX(Sheet1!D:D,$G1737)</f>
        <v>2001-cso-preferred-class-structure-mortality-tables.xls</v>
      </c>
      <c r="I1737" s="4" t="str" cm="1">
        <f t="array" ref="I1737">INDEX(Sheet1!E:E,$G1737)</f>
        <v>A.1.b.iv</v>
      </c>
      <c r="J1737" s="4" t="str" cm="1">
        <f t="array" ref="J1737">IF($C1737&gt;=25,INDEX(Sheet1!G:G,$G1737),INDEX(Sheet1!F:F,$G1737))</f>
        <v>AA8</v>
      </c>
      <c r="K1737" s="4" cm="1">
        <f t="array" ref="K1737">INDEX(Sheet1!H:H,$G1737)</f>
        <v>1E-3</v>
      </c>
      <c r="L1737" s="4">
        <f t="shared" si="104"/>
        <v>16</v>
      </c>
      <c r="M1737" s="4">
        <f t="shared" si="105"/>
        <v>0</v>
      </c>
    </row>
    <row r="1738" spans="1:13">
      <c r="A1738" s="4" t="str" cm="1">
        <f t="array" ref="A1738">INDEX(Sheet1!A:A,$F1738)</f>
        <v>F</v>
      </c>
      <c r="B1738" s="4" t="str" cm="1">
        <f t="array" ref="B1738">INDEX(Sheet1!B:B,$F1738)</f>
        <v>Pref SM</v>
      </c>
      <c r="C1738" s="4">
        <f t="shared" si="108"/>
        <v>42</v>
      </c>
      <c r="D1738" s="5" cm="1">
        <f t="array" aca="1" ref="D1738" ca="1">OFFSET(INDIRECT("'["&amp;$H1738&amp;"]"&amp;$I1738&amp;"'!"&amp;$J1738),$L1738,$M1738)*$K1738</f>
        <v>1.7900000000000001E-3</v>
      </c>
      <c r="F1738" s="4">
        <f t="shared" si="109"/>
        <v>16</v>
      </c>
      <c r="G1738" s="4" cm="1">
        <f t="array" ref="G1738">IF($C1738&gt;=25,F1738,IF($C1738&lt;16,INDEX(Sheet1!C:C,$F1738),$F1738))</f>
        <v>16</v>
      </c>
      <c r="H1738" s="4" t="str" cm="1">
        <f t="array" ref="H1738">INDEX(Sheet1!D:D,$G1738)</f>
        <v>2001-cso-preferred-class-structure-mortality-tables.xls</v>
      </c>
      <c r="I1738" s="4" t="str" cm="1">
        <f t="array" ref="I1738">INDEX(Sheet1!E:E,$G1738)</f>
        <v>A.1.b.iv</v>
      </c>
      <c r="J1738" s="4" t="str" cm="1">
        <f t="array" ref="J1738">IF($C1738&gt;=25,INDEX(Sheet1!G:G,$G1738),INDEX(Sheet1!F:F,$G1738))</f>
        <v>AA8</v>
      </c>
      <c r="K1738" s="4" cm="1">
        <f t="array" ref="K1738">INDEX(Sheet1!H:H,$G1738)</f>
        <v>1E-3</v>
      </c>
      <c r="L1738" s="4">
        <f t="shared" si="104"/>
        <v>17</v>
      </c>
      <c r="M1738" s="4">
        <f t="shared" si="105"/>
        <v>0</v>
      </c>
    </row>
    <row r="1739" spans="1:13">
      <c r="A1739" s="4" t="str" cm="1">
        <f t="array" ref="A1739">INDEX(Sheet1!A:A,$F1739)</f>
        <v>F</v>
      </c>
      <c r="B1739" s="4" t="str" cm="1">
        <f t="array" ref="B1739">INDEX(Sheet1!B:B,$F1739)</f>
        <v>Pref SM</v>
      </c>
      <c r="C1739" s="4">
        <f t="shared" si="108"/>
        <v>43</v>
      </c>
      <c r="D1739" s="5" cm="1">
        <f t="array" aca="1" ref="D1739" ca="1">OFFSET(INDIRECT("'["&amp;$H1739&amp;"]"&amp;$I1739&amp;"'!"&amp;$J1739),$L1739,$M1739)*$K1739</f>
        <v>1.9399999999999999E-3</v>
      </c>
      <c r="F1739" s="4">
        <f t="shared" si="109"/>
        <v>16</v>
      </c>
      <c r="G1739" s="4" cm="1">
        <f t="array" ref="G1739">IF($C1739&gt;=25,F1739,IF($C1739&lt;16,INDEX(Sheet1!C:C,$F1739),$F1739))</f>
        <v>16</v>
      </c>
      <c r="H1739" s="4" t="str" cm="1">
        <f t="array" ref="H1739">INDEX(Sheet1!D:D,$G1739)</f>
        <v>2001-cso-preferred-class-structure-mortality-tables.xls</v>
      </c>
      <c r="I1739" s="4" t="str" cm="1">
        <f t="array" ref="I1739">INDEX(Sheet1!E:E,$G1739)</f>
        <v>A.1.b.iv</v>
      </c>
      <c r="J1739" s="4" t="str" cm="1">
        <f t="array" ref="J1739">IF($C1739&gt;=25,INDEX(Sheet1!G:G,$G1739),INDEX(Sheet1!F:F,$G1739))</f>
        <v>AA8</v>
      </c>
      <c r="K1739" s="4" cm="1">
        <f t="array" ref="K1739">INDEX(Sheet1!H:H,$G1739)</f>
        <v>1E-3</v>
      </c>
      <c r="L1739" s="4">
        <f t="shared" si="104"/>
        <v>18</v>
      </c>
      <c r="M1739" s="4">
        <f t="shared" si="105"/>
        <v>0</v>
      </c>
    </row>
    <row r="1740" spans="1:13">
      <c r="A1740" s="4" t="str" cm="1">
        <f t="array" ref="A1740">INDEX(Sheet1!A:A,$F1740)</f>
        <v>F</v>
      </c>
      <c r="B1740" s="4" t="str" cm="1">
        <f t="array" ref="B1740">INDEX(Sheet1!B:B,$F1740)</f>
        <v>Pref SM</v>
      </c>
      <c r="C1740" s="4">
        <f t="shared" si="108"/>
        <v>44</v>
      </c>
      <c r="D1740" s="5" cm="1">
        <f t="array" aca="1" ref="D1740" ca="1">OFFSET(INDIRECT("'["&amp;$H1740&amp;"]"&amp;$I1740&amp;"'!"&amp;$J1740),$L1740,$M1740)*$K1740</f>
        <v>2.1099999999999999E-3</v>
      </c>
      <c r="F1740" s="4">
        <f t="shared" si="109"/>
        <v>16</v>
      </c>
      <c r="G1740" s="4" cm="1">
        <f t="array" ref="G1740">IF($C1740&gt;=25,F1740,IF($C1740&lt;16,INDEX(Sheet1!C:C,$F1740),$F1740))</f>
        <v>16</v>
      </c>
      <c r="H1740" s="4" t="str" cm="1">
        <f t="array" ref="H1740">INDEX(Sheet1!D:D,$G1740)</f>
        <v>2001-cso-preferred-class-structure-mortality-tables.xls</v>
      </c>
      <c r="I1740" s="4" t="str" cm="1">
        <f t="array" ref="I1740">INDEX(Sheet1!E:E,$G1740)</f>
        <v>A.1.b.iv</v>
      </c>
      <c r="J1740" s="4" t="str" cm="1">
        <f t="array" ref="J1740">IF($C1740&gt;=25,INDEX(Sheet1!G:G,$G1740),INDEX(Sheet1!F:F,$G1740))</f>
        <v>AA8</v>
      </c>
      <c r="K1740" s="4" cm="1">
        <f t="array" ref="K1740">INDEX(Sheet1!H:H,$G1740)</f>
        <v>1E-3</v>
      </c>
      <c r="L1740" s="4">
        <f t="shared" si="104"/>
        <v>19</v>
      </c>
      <c r="M1740" s="4">
        <f t="shared" si="105"/>
        <v>0</v>
      </c>
    </row>
    <row r="1741" spans="1:13">
      <c r="A1741" s="4" t="str" cm="1">
        <f t="array" ref="A1741">INDEX(Sheet1!A:A,$F1741)</f>
        <v>F</v>
      </c>
      <c r="B1741" s="4" t="str" cm="1">
        <f t="array" ref="B1741">INDEX(Sheet1!B:B,$F1741)</f>
        <v>Pref SM</v>
      </c>
      <c r="C1741" s="4">
        <f t="shared" si="108"/>
        <v>45</v>
      </c>
      <c r="D1741" s="5" cm="1">
        <f t="array" aca="1" ref="D1741" ca="1">OFFSET(INDIRECT("'["&amp;$H1741&amp;"]"&amp;$I1741&amp;"'!"&amp;$J1741),$L1741,$M1741)*$K1741</f>
        <v>2.3E-3</v>
      </c>
      <c r="F1741" s="4">
        <f t="shared" si="109"/>
        <v>16</v>
      </c>
      <c r="G1741" s="4" cm="1">
        <f t="array" ref="G1741">IF($C1741&gt;=25,F1741,IF($C1741&lt;16,INDEX(Sheet1!C:C,$F1741),$F1741))</f>
        <v>16</v>
      </c>
      <c r="H1741" s="4" t="str" cm="1">
        <f t="array" ref="H1741">INDEX(Sheet1!D:D,$G1741)</f>
        <v>2001-cso-preferred-class-structure-mortality-tables.xls</v>
      </c>
      <c r="I1741" s="4" t="str" cm="1">
        <f t="array" ref="I1741">INDEX(Sheet1!E:E,$G1741)</f>
        <v>A.1.b.iv</v>
      </c>
      <c r="J1741" s="4" t="str" cm="1">
        <f t="array" ref="J1741">IF($C1741&gt;=25,INDEX(Sheet1!G:G,$G1741),INDEX(Sheet1!F:F,$G1741))</f>
        <v>AA8</v>
      </c>
      <c r="K1741" s="4" cm="1">
        <f t="array" ref="K1741">INDEX(Sheet1!H:H,$G1741)</f>
        <v>1E-3</v>
      </c>
      <c r="L1741" s="4">
        <f t="shared" si="104"/>
        <v>20</v>
      </c>
      <c r="M1741" s="4">
        <f t="shared" si="105"/>
        <v>0</v>
      </c>
    </row>
    <row r="1742" spans="1:13">
      <c r="A1742" s="4" t="str" cm="1">
        <f t="array" ref="A1742">INDEX(Sheet1!A:A,$F1742)</f>
        <v>F</v>
      </c>
      <c r="B1742" s="4" t="str" cm="1">
        <f t="array" ref="B1742">INDEX(Sheet1!B:B,$F1742)</f>
        <v>Pref SM</v>
      </c>
      <c r="C1742" s="4">
        <f t="shared" si="108"/>
        <v>46</v>
      </c>
      <c r="D1742" s="5" cm="1">
        <f t="array" aca="1" ref="D1742" ca="1">OFFSET(INDIRECT("'["&amp;$H1742&amp;"]"&amp;$I1742&amp;"'!"&amp;$J1742),$L1742,$M1742)*$K1742</f>
        <v>2.5099999999999996E-3</v>
      </c>
      <c r="F1742" s="4">
        <f t="shared" si="109"/>
        <v>16</v>
      </c>
      <c r="G1742" s="4" cm="1">
        <f t="array" ref="G1742">IF($C1742&gt;=25,F1742,IF($C1742&lt;16,INDEX(Sheet1!C:C,$F1742),$F1742))</f>
        <v>16</v>
      </c>
      <c r="H1742" s="4" t="str" cm="1">
        <f t="array" ref="H1742">INDEX(Sheet1!D:D,$G1742)</f>
        <v>2001-cso-preferred-class-structure-mortality-tables.xls</v>
      </c>
      <c r="I1742" s="4" t="str" cm="1">
        <f t="array" ref="I1742">INDEX(Sheet1!E:E,$G1742)</f>
        <v>A.1.b.iv</v>
      </c>
      <c r="J1742" s="4" t="str" cm="1">
        <f t="array" ref="J1742">IF($C1742&gt;=25,INDEX(Sheet1!G:G,$G1742),INDEX(Sheet1!F:F,$G1742))</f>
        <v>AA8</v>
      </c>
      <c r="K1742" s="4" cm="1">
        <f t="array" ref="K1742">INDEX(Sheet1!H:H,$G1742)</f>
        <v>1E-3</v>
      </c>
      <c r="L1742" s="4">
        <f t="shared" si="104"/>
        <v>21</v>
      </c>
      <c r="M1742" s="4">
        <f t="shared" si="105"/>
        <v>0</v>
      </c>
    </row>
    <row r="1743" spans="1:13">
      <c r="A1743" s="4" t="str" cm="1">
        <f t="array" ref="A1743">INDEX(Sheet1!A:A,$F1743)</f>
        <v>F</v>
      </c>
      <c r="B1743" s="4" t="str" cm="1">
        <f t="array" ref="B1743">INDEX(Sheet1!B:B,$F1743)</f>
        <v>Pref SM</v>
      </c>
      <c r="C1743" s="4">
        <f t="shared" si="108"/>
        <v>47</v>
      </c>
      <c r="D1743" s="5" cm="1">
        <f t="array" aca="1" ref="D1743" ca="1">OFFSET(INDIRECT("'["&amp;$H1743&amp;"]"&amp;$I1743&amp;"'!"&amp;$J1743),$L1743,$M1743)*$K1743</f>
        <v>2.7799999999999999E-3</v>
      </c>
      <c r="F1743" s="4">
        <f t="shared" si="109"/>
        <v>16</v>
      </c>
      <c r="G1743" s="4" cm="1">
        <f t="array" ref="G1743">IF($C1743&gt;=25,F1743,IF($C1743&lt;16,INDEX(Sheet1!C:C,$F1743),$F1743))</f>
        <v>16</v>
      </c>
      <c r="H1743" s="4" t="str" cm="1">
        <f t="array" ref="H1743">INDEX(Sheet1!D:D,$G1743)</f>
        <v>2001-cso-preferred-class-structure-mortality-tables.xls</v>
      </c>
      <c r="I1743" s="4" t="str" cm="1">
        <f t="array" ref="I1743">INDEX(Sheet1!E:E,$G1743)</f>
        <v>A.1.b.iv</v>
      </c>
      <c r="J1743" s="4" t="str" cm="1">
        <f t="array" ref="J1743">IF($C1743&gt;=25,INDEX(Sheet1!G:G,$G1743),INDEX(Sheet1!F:F,$G1743))</f>
        <v>AA8</v>
      </c>
      <c r="K1743" s="4" cm="1">
        <f t="array" ref="K1743">INDEX(Sheet1!H:H,$G1743)</f>
        <v>1E-3</v>
      </c>
      <c r="L1743" s="4">
        <f t="shared" si="104"/>
        <v>22</v>
      </c>
      <c r="M1743" s="4">
        <f t="shared" si="105"/>
        <v>0</v>
      </c>
    </row>
    <row r="1744" spans="1:13">
      <c r="A1744" s="4" t="str" cm="1">
        <f t="array" ref="A1744">INDEX(Sheet1!A:A,$F1744)</f>
        <v>F</v>
      </c>
      <c r="B1744" s="4" t="str" cm="1">
        <f t="array" ref="B1744">INDEX(Sheet1!B:B,$F1744)</f>
        <v>Pref SM</v>
      </c>
      <c r="C1744" s="4">
        <f t="shared" si="108"/>
        <v>48</v>
      </c>
      <c r="D1744" s="5" cm="1">
        <f t="array" aca="1" ref="D1744" ca="1">OFFSET(INDIRECT("'["&amp;$H1744&amp;"]"&amp;$I1744&amp;"'!"&amp;$J1744),$L1744,$M1744)*$K1744</f>
        <v>3.13E-3</v>
      </c>
      <c r="F1744" s="4">
        <f t="shared" si="109"/>
        <v>16</v>
      </c>
      <c r="G1744" s="4" cm="1">
        <f t="array" ref="G1744">IF($C1744&gt;=25,F1744,IF($C1744&lt;16,INDEX(Sheet1!C:C,$F1744),$F1744))</f>
        <v>16</v>
      </c>
      <c r="H1744" s="4" t="str" cm="1">
        <f t="array" ref="H1744">INDEX(Sheet1!D:D,$G1744)</f>
        <v>2001-cso-preferred-class-structure-mortality-tables.xls</v>
      </c>
      <c r="I1744" s="4" t="str" cm="1">
        <f t="array" ref="I1744">INDEX(Sheet1!E:E,$G1744)</f>
        <v>A.1.b.iv</v>
      </c>
      <c r="J1744" s="4" t="str" cm="1">
        <f t="array" ref="J1744">IF($C1744&gt;=25,INDEX(Sheet1!G:G,$G1744),INDEX(Sheet1!F:F,$G1744))</f>
        <v>AA8</v>
      </c>
      <c r="K1744" s="4" cm="1">
        <f t="array" ref="K1744">INDEX(Sheet1!H:H,$G1744)</f>
        <v>1E-3</v>
      </c>
      <c r="L1744" s="4">
        <f t="shared" si="104"/>
        <v>23</v>
      </c>
      <c r="M1744" s="4">
        <f t="shared" si="105"/>
        <v>0</v>
      </c>
    </row>
    <row r="1745" spans="1:13">
      <c r="A1745" s="4" t="str" cm="1">
        <f t="array" ref="A1745">INDEX(Sheet1!A:A,$F1745)</f>
        <v>F</v>
      </c>
      <c r="B1745" s="4" t="str" cm="1">
        <f t="array" ref="B1745">INDEX(Sheet1!B:B,$F1745)</f>
        <v>Pref SM</v>
      </c>
      <c r="C1745" s="4">
        <f t="shared" si="108"/>
        <v>49</v>
      </c>
      <c r="D1745" s="5" cm="1">
        <f t="array" aca="1" ref="D1745" ca="1">OFFSET(INDIRECT("'["&amp;$H1745&amp;"]"&amp;$I1745&amp;"'!"&amp;$J1745),$L1745,$M1745)*$K1745</f>
        <v>3.5099999999999997E-3</v>
      </c>
      <c r="F1745" s="4">
        <f t="shared" si="109"/>
        <v>16</v>
      </c>
      <c r="G1745" s="4" cm="1">
        <f t="array" ref="G1745">IF($C1745&gt;=25,F1745,IF($C1745&lt;16,INDEX(Sheet1!C:C,$F1745),$F1745))</f>
        <v>16</v>
      </c>
      <c r="H1745" s="4" t="str" cm="1">
        <f t="array" ref="H1745">INDEX(Sheet1!D:D,$G1745)</f>
        <v>2001-cso-preferred-class-structure-mortality-tables.xls</v>
      </c>
      <c r="I1745" s="4" t="str" cm="1">
        <f t="array" ref="I1745">INDEX(Sheet1!E:E,$G1745)</f>
        <v>A.1.b.iv</v>
      </c>
      <c r="J1745" s="4" t="str" cm="1">
        <f t="array" ref="J1745">IF($C1745&gt;=25,INDEX(Sheet1!G:G,$G1745),INDEX(Sheet1!F:F,$G1745))</f>
        <v>AA8</v>
      </c>
      <c r="K1745" s="4" cm="1">
        <f t="array" ref="K1745">INDEX(Sheet1!H:H,$G1745)</f>
        <v>1E-3</v>
      </c>
      <c r="L1745" s="4">
        <f t="shared" si="104"/>
        <v>24</v>
      </c>
      <c r="M1745" s="4">
        <f t="shared" si="105"/>
        <v>0</v>
      </c>
    </row>
    <row r="1746" spans="1:13">
      <c r="A1746" s="4" t="str" cm="1">
        <f t="array" ref="A1746">INDEX(Sheet1!A:A,$F1746)</f>
        <v>F</v>
      </c>
      <c r="B1746" s="4" t="str" cm="1">
        <f t="array" ref="B1746">INDEX(Sheet1!B:B,$F1746)</f>
        <v>Pref SM</v>
      </c>
      <c r="C1746" s="4">
        <f t="shared" si="108"/>
        <v>50</v>
      </c>
      <c r="D1746" s="5" cm="1">
        <f t="array" aca="1" ref="D1746" ca="1">OFFSET(INDIRECT("'["&amp;$H1746&amp;"]"&amp;$I1746&amp;"'!"&amp;$J1746),$L1746,$M1746)*$K1746</f>
        <v>3.9700000000000004E-3</v>
      </c>
      <c r="F1746" s="4">
        <f t="shared" si="109"/>
        <v>16</v>
      </c>
      <c r="G1746" s="4" cm="1">
        <f t="array" ref="G1746">IF($C1746&gt;=25,F1746,IF($C1746&lt;16,INDEX(Sheet1!C:C,$F1746),$F1746))</f>
        <v>16</v>
      </c>
      <c r="H1746" s="4" t="str" cm="1">
        <f t="array" ref="H1746">INDEX(Sheet1!D:D,$G1746)</f>
        <v>2001-cso-preferred-class-structure-mortality-tables.xls</v>
      </c>
      <c r="I1746" s="4" t="str" cm="1">
        <f t="array" ref="I1746">INDEX(Sheet1!E:E,$G1746)</f>
        <v>A.1.b.iv</v>
      </c>
      <c r="J1746" s="4" t="str" cm="1">
        <f t="array" ref="J1746">IF($C1746&gt;=25,INDEX(Sheet1!G:G,$G1746),INDEX(Sheet1!F:F,$G1746))</f>
        <v>AA8</v>
      </c>
      <c r="K1746" s="4" cm="1">
        <f t="array" ref="K1746">INDEX(Sheet1!H:H,$G1746)</f>
        <v>1E-3</v>
      </c>
      <c r="L1746" s="4">
        <f t="shared" si="104"/>
        <v>25</v>
      </c>
      <c r="M1746" s="4">
        <f t="shared" si="105"/>
        <v>0</v>
      </c>
    </row>
    <row r="1747" spans="1:13">
      <c r="A1747" s="4" t="str" cm="1">
        <f t="array" ref="A1747">INDEX(Sheet1!A:A,$F1747)</f>
        <v>F</v>
      </c>
      <c r="B1747" s="4" t="str" cm="1">
        <f t="array" ref="B1747">INDEX(Sheet1!B:B,$F1747)</f>
        <v>Pref SM</v>
      </c>
      <c r="C1747" s="4">
        <f t="shared" si="108"/>
        <v>51</v>
      </c>
      <c r="D1747" s="5" cm="1">
        <f t="array" aca="1" ref="D1747" ca="1">OFFSET(INDIRECT("'["&amp;$H1747&amp;"]"&amp;$I1747&amp;"'!"&amp;$J1747),$L1747,$M1747)*$K1747</f>
        <v>4.4900000000000001E-3</v>
      </c>
      <c r="F1747" s="4">
        <f t="shared" si="109"/>
        <v>16</v>
      </c>
      <c r="G1747" s="4" cm="1">
        <f t="array" ref="G1747">IF($C1747&gt;=25,F1747,IF($C1747&lt;16,INDEX(Sheet1!C:C,$F1747),$F1747))</f>
        <v>16</v>
      </c>
      <c r="H1747" s="4" t="str" cm="1">
        <f t="array" ref="H1747">INDEX(Sheet1!D:D,$G1747)</f>
        <v>2001-cso-preferred-class-structure-mortality-tables.xls</v>
      </c>
      <c r="I1747" s="4" t="str" cm="1">
        <f t="array" ref="I1747">INDEX(Sheet1!E:E,$G1747)</f>
        <v>A.1.b.iv</v>
      </c>
      <c r="J1747" s="4" t="str" cm="1">
        <f t="array" ref="J1747">IF($C1747&gt;=25,INDEX(Sheet1!G:G,$G1747),INDEX(Sheet1!F:F,$G1747))</f>
        <v>AA8</v>
      </c>
      <c r="K1747" s="4" cm="1">
        <f t="array" ref="K1747">INDEX(Sheet1!H:H,$G1747)</f>
        <v>1E-3</v>
      </c>
      <c r="L1747" s="4">
        <f t="shared" si="104"/>
        <v>26</v>
      </c>
      <c r="M1747" s="4">
        <f t="shared" si="105"/>
        <v>0</v>
      </c>
    </row>
    <row r="1748" spans="1:13">
      <c r="A1748" s="4" t="str" cm="1">
        <f t="array" ref="A1748">INDEX(Sheet1!A:A,$F1748)</f>
        <v>F</v>
      </c>
      <c r="B1748" s="4" t="str" cm="1">
        <f t="array" ref="B1748">INDEX(Sheet1!B:B,$F1748)</f>
        <v>Pref SM</v>
      </c>
      <c r="C1748" s="4">
        <f t="shared" si="108"/>
        <v>52</v>
      </c>
      <c r="D1748" s="5" cm="1">
        <f t="array" aca="1" ref="D1748" ca="1">OFFSET(INDIRECT("'["&amp;$H1748&amp;"]"&amp;$I1748&amp;"'!"&amp;$J1748),$L1748,$M1748)*$K1748</f>
        <v>5.0499999999999998E-3</v>
      </c>
      <c r="F1748" s="4">
        <f t="shared" si="109"/>
        <v>16</v>
      </c>
      <c r="G1748" s="4" cm="1">
        <f t="array" ref="G1748">IF($C1748&gt;=25,F1748,IF($C1748&lt;16,INDEX(Sheet1!C:C,$F1748),$F1748))</f>
        <v>16</v>
      </c>
      <c r="H1748" s="4" t="str" cm="1">
        <f t="array" ref="H1748">INDEX(Sheet1!D:D,$G1748)</f>
        <v>2001-cso-preferred-class-structure-mortality-tables.xls</v>
      </c>
      <c r="I1748" s="4" t="str" cm="1">
        <f t="array" ref="I1748">INDEX(Sheet1!E:E,$G1748)</f>
        <v>A.1.b.iv</v>
      </c>
      <c r="J1748" s="4" t="str" cm="1">
        <f t="array" ref="J1748">IF($C1748&gt;=25,INDEX(Sheet1!G:G,$G1748),INDEX(Sheet1!F:F,$G1748))</f>
        <v>AA8</v>
      </c>
      <c r="K1748" s="4" cm="1">
        <f t="array" ref="K1748">INDEX(Sheet1!H:H,$G1748)</f>
        <v>1E-3</v>
      </c>
      <c r="L1748" s="4">
        <f t="shared" si="104"/>
        <v>27</v>
      </c>
      <c r="M1748" s="4">
        <f t="shared" si="105"/>
        <v>0</v>
      </c>
    </row>
    <row r="1749" spans="1:13">
      <c r="A1749" s="4" t="str" cm="1">
        <f t="array" ref="A1749">INDEX(Sheet1!A:A,$F1749)</f>
        <v>F</v>
      </c>
      <c r="B1749" s="4" t="str" cm="1">
        <f t="array" ref="B1749">INDEX(Sheet1!B:B,$F1749)</f>
        <v>Pref SM</v>
      </c>
      <c r="C1749" s="4">
        <f t="shared" si="108"/>
        <v>53</v>
      </c>
      <c r="D1749" s="5" cm="1">
        <f t="array" aca="1" ref="D1749" ca="1">OFFSET(INDIRECT("'["&amp;$H1749&amp;"]"&amp;$I1749&amp;"'!"&amp;$J1749),$L1749,$M1749)*$K1749</f>
        <v>5.6500000000000005E-3</v>
      </c>
      <c r="F1749" s="4">
        <f t="shared" si="109"/>
        <v>16</v>
      </c>
      <c r="G1749" s="4" cm="1">
        <f t="array" ref="G1749">IF($C1749&gt;=25,F1749,IF($C1749&lt;16,INDEX(Sheet1!C:C,$F1749),$F1749))</f>
        <v>16</v>
      </c>
      <c r="H1749" s="4" t="str" cm="1">
        <f t="array" ref="H1749">INDEX(Sheet1!D:D,$G1749)</f>
        <v>2001-cso-preferred-class-structure-mortality-tables.xls</v>
      </c>
      <c r="I1749" s="4" t="str" cm="1">
        <f t="array" ref="I1749">INDEX(Sheet1!E:E,$G1749)</f>
        <v>A.1.b.iv</v>
      </c>
      <c r="J1749" s="4" t="str" cm="1">
        <f t="array" ref="J1749">IF($C1749&gt;=25,INDEX(Sheet1!G:G,$G1749),INDEX(Sheet1!F:F,$G1749))</f>
        <v>AA8</v>
      </c>
      <c r="K1749" s="4" cm="1">
        <f t="array" ref="K1749">INDEX(Sheet1!H:H,$G1749)</f>
        <v>1E-3</v>
      </c>
      <c r="L1749" s="4">
        <f t="shared" si="104"/>
        <v>28</v>
      </c>
      <c r="M1749" s="4">
        <f t="shared" si="105"/>
        <v>0</v>
      </c>
    </row>
    <row r="1750" spans="1:13">
      <c r="A1750" s="4" t="str" cm="1">
        <f t="array" ref="A1750">INDEX(Sheet1!A:A,$F1750)</f>
        <v>F</v>
      </c>
      <c r="B1750" s="4" t="str" cm="1">
        <f t="array" ref="B1750">INDEX(Sheet1!B:B,$F1750)</f>
        <v>Pref SM</v>
      </c>
      <c r="C1750" s="4">
        <f t="shared" si="108"/>
        <v>54</v>
      </c>
      <c r="D1750" s="5" cm="1">
        <f t="array" aca="1" ref="D1750" ca="1">OFFSET(INDIRECT("'["&amp;$H1750&amp;"]"&amp;$I1750&amp;"'!"&amp;$J1750),$L1750,$M1750)*$K1750</f>
        <v>6.3200000000000001E-3</v>
      </c>
      <c r="F1750" s="4">
        <f t="shared" si="109"/>
        <v>16</v>
      </c>
      <c r="G1750" s="4" cm="1">
        <f t="array" ref="G1750">IF($C1750&gt;=25,F1750,IF($C1750&lt;16,INDEX(Sheet1!C:C,$F1750),$F1750))</f>
        <v>16</v>
      </c>
      <c r="H1750" s="4" t="str" cm="1">
        <f t="array" ref="H1750">INDEX(Sheet1!D:D,$G1750)</f>
        <v>2001-cso-preferred-class-structure-mortality-tables.xls</v>
      </c>
      <c r="I1750" s="4" t="str" cm="1">
        <f t="array" ref="I1750">INDEX(Sheet1!E:E,$G1750)</f>
        <v>A.1.b.iv</v>
      </c>
      <c r="J1750" s="4" t="str" cm="1">
        <f t="array" ref="J1750">IF($C1750&gt;=25,INDEX(Sheet1!G:G,$G1750),INDEX(Sheet1!F:F,$G1750))</f>
        <v>AA8</v>
      </c>
      <c r="K1750" s="4" cm="1">
        <f t="array" ref="K1750">INDEX(Sheet1!H:H,$G1750)</f>
        <v>1E-3</v>
      </c>
      <c r="L1750" s="4">
        <f t="shared" si="104"/>
        <v>29</v>
      </c>
      <c r="M1750" s="4">
        <f t="shared" si="105"/>
        <v>0</v>
      </c>
    </row>
    <row r="1751" spans="1:13">
      <c r="A1751" s="4" t="str" cm="1">
        <f t="array" ref="A1751">INDEX(Sheet1!A:A,$F1751)</f>
        <v>F</v>
      </c>
      <c r="B1751" s="4" t="str" cm="1">
        <f t="array" ref="B1751">INDEX(Sheet1!B:B,$F1751)</f>
        <v>Pref SM</v>
      </c>
      <c r="C1751" s="4">
        <f t="shared" si="108"/>
        <v>55</v>
      </c>
      <c r="D1751" s="5" cm="1">
        <f t="array" aca="1" ref="D1751" ca="1">OFFSET(INDIRECT("'["&amp;$H1751&amp;"]"&amp;$I1751&amp;"'!"&amp;$J1751),$L1751,$M1751)*$K1751</f>
        <v>7.0599999999999994E-3</v>
      </c>
      <c r="F1751" s="4">
        <f t="shared" si="109"/>
        <v>16</v>
      </c>
      <c r="G1751" s="4" cm="1">
        <f t="array" ref="G1751">IF($C1751&gt;=25,F1751,IF($C1751&lt;16,INDEX(Sheet1!C:C,$F1751),$F1751))</f>
        <v>16</v>
      </c>
      <c r="H1751" s="4" t="str" cm="1">
        <f t="array" ref="H1751">INDEX(Sheet1!D:D,$G1751)</f>
        <v>2001-cso-preferred-class-structure-mortality-tables.xls</v>
      </c>
      <c r="I1751" s="4" t="str" cm="1">
        <f t="array" ref="I1751">INDEX(Sheet1!E:E,$G1751)</f>
        <v>A.1.b.iv</v>
      </c>
      <c r="J1751" s="4" t="str" cm="1">
        <f t="array" ref="J1751">IF($C1751&gt;=25,INDEX(Sheet1!G:G,$G1751),INDEX(Sheet1!F:F,$G1751))</f>
        <v>AA8</v>
      </c>
      <c r="K1751" s="4" cm="1">
        <f t="array" ref="K1751">INDEX(Sheet1!H:H,$G1751)</f>
        <v>1E-3</v>
      </c>
      <c r="L1751" s="4">
        <f t="shared" si="104"/>
        <v>30</v>
      </c>
      <c r="M1751" s="4">
        <f t="shared" si="105"/>
        <v>0</v>
      </c>
    </row>
    <row r="1752" spans="1:13">
      <c r="A1752" s="4" t="str" cm="1">
        <f t="array" ref="A1752">INDEX(Sheet1!A:A,$F1752)</f>
        <v>F</v>
      </c>
      <c r="B1752" s="4" t="str" cm="1">
        <f t="array" ref="B1752">INDEX(Sheet1!B:B,$F1752)</f>
        <v>Pref SM</v>
      </c>
      <c r="C1752" s="4">
        <f t="shared" si="108"/>
        <v>56</v>
      </c>
      <c r="D1752" s="5" cm="1">
        <f t="array" aca="1" ref="D1752" ca="1">OFFSET(INDIRECT("'["&amp;$H1752&amp;"]"&amp;$I1752&amp;"'!"&amp;$J1752),$L1752,$M1752)*$K1752</f>
        <v>7.8399999999999997E-3</v>
      </c>
      <c r="F1752" s="4">
        <f t="shared" si="109"/>
        <v>16</v>
      </c>
      <c r="G1752" s="4" cm="1">
        <f t="array" ref="G1752">IF($C1752&gt;=25,F1752,IF($C1752&lt;16,INDEX(Sheet1!C:C,$F1752),$F1752))</f>
        <v>16</v>
      </c>
      <c r="H1752" s="4" t="str" cm="1">
        <f t="array" ref="H1752">INDEX(Sheet1!D:D,$G1752)</f>
        <v>2001-cso-preferred-class-structure-mortality-tables.xls</v>
      </c>
      <c r="I1752" s="4" t="str" cm="1">
        <f t="array" ref="I1752">INDEX(Sheet1!E:E,$G1752)</f>
        <v>A.1.b.iv</v>
      </c>
      <c r="J1752" s="4" t="str" cm="1">
        <f t="array" ref="J1752">IF($C1752&gt;=25,INDEX(Sheet1!G:G,$G1752),INDEX(Sheet1!F:F,$G1752))</f>
        <v>AA8</v>
      </c>
      <c r="K1752" s="4" cm="1">
        <f t="array" ref="K1752">INDEX(Sheet1!H:H,$G1752)</f>
        <v>1E-3</v>
      </c>
      <c r="L1752" s="4">
        <f t="shared" si="104"/>
        <v>31</v>
      </c>
      <c r="M1752" s="4">
        <f t="shared" si="105"/>
        <v>0</v>
      </c>
    </row>
    <row r="1753" spans="1:13">
      <c r="A1753" s="4" t="str" cm="1">
        <f t="array" ref="A1753">INDEX(Sheet1!A:A,$F1753)</f>
        <v>F</v>
      </c>
      <c r="B1753" s="4" t="str" cm="1">
        <f t="array" ref="B1753">INDEX(Sheet1!B:B,$F1753)</f>
        <v>Pref SM</v>
      </c>
      <c r="C1753" s="4">
        <f t="shared" si="108"/>
        <v>57</v>
      </c>
      <c r="D1753" s="5" cm="1">
        <f t="array" aca="1" ref="D1753" ca="1">OFFSET(INDIRECT("'["&amp;$H1753&amp;"]"&amp;$I1753&amp;"'!"&amp;$J1753),$L1753,$M1753)*$K1753</f>
        <v>8.6800000000000002E-3</v>
      </c>
      <c r="F1753" s="4">
        <f t="shared" si="109"/>
        <v>16</v>
      </c>
      <c r="G1753" s="4" cm="1">
        <f t="array" ref="G1753">IF($C1753&gt;=25,F1753,IF($C1753&lt;16,INDEX(Sheet1!C:C,$F1753),$F1753))</f>
        <v>16</v>
      </c>
      <c r="H1753" s="4" t="str" cm="1">
        <f t="array" ref="H1753">INDEX(Sheet1!D:D,$G1753)</f>
        <v>2001-cso-preferred-class-structure-mortality-tables.xls</v>
      </c>
      <c r="I1753" s="4" t="str" cm="1">
        <f t="array" ref="I1753">INDEX(Sheet1!E:E,$G1753)</f>
        <v>A.1.b.iv</v>
      </c>
      <c r="J1753" s="4" t="str" cm="1">
        <f t="array" ref="J1753">IF($C1753&gt;=25,INDEX(Sheet1!G:G,$G1753),INDEX(Sheet1!F:F,$G1753))</f>
        <v>AA8</v>
      </c>
      <c r="K1753" s="4" cm="1">
        <f t="array" ref="K1753">INDEX(Sheet1!H:H,$G1753)</f>
        <v>1E-3</v>
      </c>
      <c r="L1753" s="4">
        <f t="shared" si="104"/>
        <v>32</v>
      </c>
      <c r="M1753" s="4">
        <f t="shared" si="105"/>
        <v>0</v>
      </c>
    </row>
    <row r="1754" spans="1:13">
      <c r="A1754" s="4" t="str" cm="1">
        <f t="array" ref="A1754">INDEX(Sheet1!A:A,$F1754)</f>
        <v>F</v>
      </c>
      <c r="B1754" s="4" t="str" cm="1">
        <f t="array" ref="B1754">INDEX(Sheet1!B:B,$F1754)</f>
        <v>Pref SM</v>
      </c>
      <c r="C1754" s="4">
        <f t="shared" si="108"/>
        <v>58</v>
      </c>
      <c r="D1754" s="5" cm="1">
        <f t="array" aca="1" ref="D1754" ca="1">OFFSET(INDIRECT("'["&amp;$H1754&amp;"]"&amp;$I1754&amp;"'!"&amp;$J1754),$L1754,$M1754)*$K1754</f>
        <v>9.5199999999999989E-3</v>
      </c>
      <c r="F1754" s="4">
        <f t="shared" si="109"/>
        <v>16</v>
      </c>
      <c r="G1754" s="4" cm="1">
        <f t="array" ref="G1754">IF($C1754&gt;=25,F1754,IF($C1754&lt;16,INDEX(Sheet1!C:C,$F1754),$F1754))</f>
        <v>16</v>
      </c>
      <c r="H1754" s="4" t="str" cm="1">
        <f t="array" ref="H1754">INDEX(Sheet1!D:D,$G1754)</f>
        <v>2001-cso-preferred-class-structure-mortality-tables.xls</v>
      </c>
      <c r="I1754" s="4" t="str" cm="1">
        <f t="array" ref="I1754">INDEX(Sheet1!E:E,$G1754)</f>
        <v>A.1.b.iv</v>
      </c>
      <c r="J1754" s="4" t="str" cm="1">
        <f t="array" ref="J1754">IF($C1754&gt;=25,INDEX(Sheet1!G:G,$G1754),INDEX(Sheet1!F:F,$G1754))</f>
        <v>AA8</v>
      </c>
      <c r="K1754" s="4" cm="1">
        <f t="array" ref="K1754">INDEX(Sheet1!H:H,$G1754)</f>
        <v>1E-3</v>
      </c>
      <c r="L1754" s="4">
        <f t="shared" si="104"/>
        <v>33</v>
      </c>
      <c r="M1754" s="4">
        <f t="shared" si="105"/>
        <v>0</v>
      </c>
    </row>
    <row r="1755" spans="1:13">
      <c r="A1755" s="4" t="str" cm="1">
        <f t="array" ref="A1755">INDEX(Sheet1!A:A,$F1755)</f>
        <v>F</v>
      </c>
      <c r="B1755" s="4" t="str" cm="1">
        <f t="array" ref="B1755">INDEX(Sheet1!B:B,$F1755)</f>
        <v>Pref SM</v>
      </c>
      <c r="C1755" s="4">
        <f t="shared" si="108"/>
        <v>59</v>
      </c>
      <c r="D1755" s="5" cm="1">
        <f t="array" aca="1" ref="D1755" ca="1">OFFSET(INDIRECT("'["&amp;$H1755&amp;"]"&amp;$I1755&amp;"'!"&amp;$J1755),$L1755,$M1755)*$K1755</f>
        <v>1.047E-2</v>
      </c>
      <c r="F1755" s="4">
        <f t="shared" si="109"/>
        <v>16</v>
      </c>
      <c r="G1755" s="4" cm="1">
        <f t="array" ref="G1755">IF($C1755&gt;=25,F1755,IF($C1755&lt;16,INDEX(Sheet1!C:C,$F1755),$F1755))</f>
        <v>16</v>
      </c>
      <c r="H1755" s="4" t="str" cm="1">
        <f t="array" ref="H1755">INDEX(Sheet1!D:D,$G1755)</f>
        <v>2001-cso-preferred-class-structure-mortality-tables.xls</v>
      </c>
      <c r="I1755" s="4" t="str" cm="1">
        <f t="array" ref="I1755">INDEX(Sheet1!E:E,$G1755)</f>
        <v>A.1.b.iv</v>
      </c>
      <c r="J1755" s="4" t="str" cm="1">
        <f t="array" ref="J1755">IF($C1755&gt;=25,INDEX(Sheet1!G:G,$G1755),INDEX(Sheet1!F:F,$G1755))</f>
        <v>AA8</v>
      </c>
      <c r="K1755" s="4" cm="1">
        <f t="array" ref="K1755">INDEX(Sheet1!H:H,$G1755)</f>
        <v>1E-3</v>
      </c>
      <c r="L1755" s="4">
        <f t="shared" si="104"/>
        <v>34</v>
      </c>
      <c r="M1755" s="4">
        <f t="shared" si="105"/>
        <v>0</v>
      </c>
    </row>
    <row r="1756" spans="1:13">
      <c r="A1756" s="4" t="str" cm="1">
        <f t="array" ref="A1756">INDEX(Sheet1!A:A,$F1756)</f>
        <v>F</v>
      </c>
      <c r="B1756" s="4" t="str" cm="1">
        <f t="array" ref="B1756">INDEX(Sheet1!B:B,$F1756)</f>
        <v>Pref SM</v>
      </c>
      <c r="C1756" s="4">
        <f t="shared" si="108"/>
        <v>60</v>
      </c>
      <c r="D1756" s="5" cm="1">
        <f t="array" aca="1" ref="D1756" ca="1">OFFSET(INDIRECT("'["&amp;$H1756&amp;"]"&amp;$I1756&amp;"'!"&amp;$J1756),$L1756,$M1756)*$K1756</f>
        <v>1.1339999999999999E-2</v>
      </c>
      <c r="F1756" s="4">
        <f t="shared" si="109"/>
        <v>16</v>
      </c>
      <c r="G1756" s="4" cm="1">
        <f t="array" ref="G1756">IF($C1756&gt;=25,F1756,IF($C1756&lt;16,INDEX(Sheet1!C:C,$F1756),$F1756))</f>
        <v>16</v>
      </c>
      <c r="H1756" s="4" t="str" cm="1">
        <f t="array" ref="H1756">INDEX(Sheet1!D:D,$G1756)</f>
        <v>2001-cso-preferred-class-structure-mortality-tables.xls</v>
      </c>
      <c r="I1756" s="4" t="str" cm="1">
        <f t="array" ref="I1756">INDEX(Sheet1!E:E,$G1756)</f>
        <v>A.1.b.iv</v>
      </c>
      <c r="J1756" s="4" t="str" cm="1">
        <f t="array" ref="J1756">IF($C1756&gt;=25,INDEX(Sheet1!G:G,$G1756),INDEX(Sheet1!F:F,$G1756))</f>
        <v>AA8</v>
      </c>
      <c r="K1756" s="4" cm="1">
        <f t="array" ref="K1756">INDEX(Sheet1!H:H,$G1756)</f>
        <v>1E-3</v>
      </c>
      <c r="L1756" s="4">
        <f t="shared" si="104"/>
        <v>35</v>
      </c>
      <c r="M1756" s="4">
        <f t="shared" si="105"/>
        <v>0</v>
      </c>
    </row>
    <row r="1757" spans="1:13">
      <c r="A1757" s="4" t="str" cm="1">
        <f t="array" ref="A1757">INDEX(Sheet1!A:A,$F1757)</f>
        <v>F</v>
      </c>
      <c r="B1757" s="4" t="str" cm="1">
        <f t="array" ref="B1757">INDEX(Sheet1!B:B,$F1757)</f>
        <v>Pref SM</v>
      </c>
      <c r="C1757" s="4">
        <f t="shared" si="108"/>
        <v>61</v>
      </c>
      <c r="D1757" s="5" cm="1">
        <f t="array" aca="1" ref="D1757" ca="1">OFFSET(INDIRECT("'["&amp;$H1757&amp;"]"&amp;$I1757&amp;"'!"&amp;$J1757),$L1757,$M1757)*$K1757</f>
        <v>1.2220000000000002E-2</v>
      </c>
      <c r="F1757" s="4">
        <f t="shared" si="109"/>
        <v>16</v>
      </c>
      <c r="G1757" s="4" cm="1">
        <f t="array" ref="G1757">IF($C1757&gt;=25,F1757,IF($C1757&lt;16,INDEX(Sheet1!C:C,$F1757),$F1757))</f>
        <v>16</v>
      </c>
      <c r="H1757" s="4" t="str" cm="1">
        <f t="array" ref="H1757">INDEX(Sheet1!D:D,$G1757)</f>
        <v>2001-cso-preferred-class-structure-mortality-tables.xls</v>
      </c>
      <c r="I1757" s="4" t="str" cm="1">
        <f t="array" ref="I1757">INDEX(Sheet1!E:E,$G1757)</f>
        <v>A.1.b.iv</v>
      </c>
      <c r="J1757" s="4" t="str" cm="1">
        <f t="array" ref="J1757">IF($C1757&gt;=25,INDEX(Sheet1!G:G,$G1757),INDEX(Sheet1!F:F,$G1757))</f>
        <v>AA8</v>
      </c>
      <c r="K1757" s="4" cm="1">
        <f t="array" ref="K1757">INDEX(Sheet1!H:H,$G1757)</f>
        <v>1E-3</v>
      </c>
      <c r="L1757" s="4">
        <f t="shared" si="104"/>
        <v>36</v>
      </c>
      <c r="M1757" s="4">
        <f t="shared" si="105"/>
        <v>0</v>
      </c>
    </row>
    <row r="1758" spans="1:13">
      <c r="A1758" s="4" t="str" cm="1">
        <f t="array" ref="A1758">INDEX(Sheet1!A:A,$F1758)</f>
        <v>F</v>
      </c>
      <c r="B1758" s="4" t="str" cm="1">
        <f t="array" ref="B1758">INDEX(Sheet1!B:B,$F1758)</f>
        <v>Pref SM</v>
      </c>
      <c r="C1758" s="4">
        <f t="shared" si="108"/>
        <v>62</v>
      </c>
      <c r="D1758" s="5" cm="1">
        <f t="array" aca="1" ref="D1758" ca="1">OFFSET(INDIRECT("'["&amp;$H1758&amp;"]"&amp;$I1758&amp;"'!"&amp;$J1758),$L1758,$M1758)*$K1758</f>
        <v>1.324E-2</v>
      </c>
      <c r="F1758" s="4">
        <f t="shared" si="109"/>
        <v>16</v>
      </c>
      <c r="G1758" s="4" cm="1">
        <f t="array" ref="G1758">IF($C1758&gt;=25,F1758,IF($C1758&lt;16,INDEX(Sheet1!C:C,$F1758),$F1758))</f>
        <v>16</v>
      </c>
      <c r="H1758" s="4" t="str" cm="1">
        <f t="array" ref="H1758">INDEX(Sheet1!D:D,$G1758)</f>
        <v>2001-cso-preferred-class-structure-mortality-tables.xls</v>
      </c>
      <c r="I1758" s="4" t="str" cm="1">
        <f t="array" ref="I1758">INDEX(Sheet1!E:E,$G1758)</f>
        <v>A.1.b.iv</v>
      </c>
      <c r="J1758" s="4" t="str" cm="1">
        <f t="array" ref="J1758">IF($C1758&gt;=25,INDEX(Sheet1!G:G,$G1758),INDEX(Sheet1!F:F,$G1758))</f>
        <v>AA8</v>
      </c>
      <c r="K1758" s="4" cm="1">
        <f t="array" ref="K1758">INDEX(Sheet1!H:H,$G1758)</f>
        <v>1E-3</v>
      </c>
      <c r="L1758" s="4">
        <f t="shared" si="104"/>
        <v>37</v>
      </c>
      <c r="M1758" s="4">
        <f t="shared" si="105"/>
        <v>0</v>
      </c>
    </row>
    <row r="1759" spans="1:13">
      <c r="A1759" s="4" t="str" cm="1">
        <f t="array" ref="A1759">INDEX(Sheet1!A:A,$F1759)</f>
        <v>F</v>
      </c>
      <c r="B1759" s="4" t="str" cm="1">
        <f t="array" ref="B1759">INDEX(Sheet1!B:B,$F1759)</f>
        <v>Pref SM</v>
      </c>
      <c r="C1759" s="4">
        <f t="shared" si="108"/>
        <v>63</v>
      </c>
      <c r="D1759" s="5" cm="1">
        <f t="array" aca="1" ref="D1759" ca="1">OFFSET(INDIRECT("'["&amp;$H1759&amp;"]"&amp;$I1759&amp;"'!"&amp;$J1759),$L1759,$M1759)*$K1759</f>
        <v>1.4250000000000001E-2</v>
      </c>
      <c r="F1759" s="4">
        <f t="shared" si="109"/>
        <v>16</v>
      </c>
      <c r="G1759" s="4" cm="1">
        <f t="array" ref="G1759">IF($C1759&gt;=25,F1759,IF($C1759&lt;16,INDEX(Sheet1!C:C,$F1759),$F1759))</f>
        <v>16</v>
      </c>
      <c r="H1759" s="4" t="str" cm="1">
        <f t="array" ref="H1759">INDEX(Sheet1!D:D,$G1759)</f>
        <v>2001-cso-preferred-class-structure-mortality-tables.xls</v>
      </c>
      <c r="I1759" s="4" t="str" cm="1">
        <f t="array" ref="I1759">INDEX(Sheet1!E:E,$G1759)</f>
        <v>A.1.b.iv</v>
      </c>
      <c r="J1759" s="4" t="str" cm="1">
        <f t="array" ref="J1759">IF($C1759&gt;=25,INDEX(Sheet1!G:G,$G1759),INDEX(Sheet1!F:F,$G1759))</f>
        <v>AA8</v>
      </c>
      <c r="K1759" s="4" cm="1">
        <f t="array" ref="K1759">INDEX(Sheet1!H:H,$G1759)</f>
        <v>1E-3</v>
      </c>
      <c r="L1759" s="4">
        <f t="shared" si="104"/>
        <v>38</v>
      </c>
      <c r="M1759" s="4">
        <f t="shared" si="105"/>
        <v>0</v>
      </c>
    </row>
    <row r="1760" spans="1:13">
      <c r="A1760" s="4" t="str" cm="1">
        <f t="array" ref="A1760">INDEX(Sheet1!A:A,$F1760)</f>
        <v>F</v>
      </c>
      <c r="B1760" s="4" t="str" cm="1">
        <f t="array" ref="B1760">INDEX(Sheet1!B:B,$F1760)</f>
        <v>Pref SM</v>
      </c>
      <c r="C1760" s="4">
        <f t="shared" si="108"/>
        <v>64</v>
      </c>
      <c r="D1760" s="5" cm="1">
        <f t="array" aca="1" ref="D1760" ca="1">OFFSET(INDIRECT("'["&amp;$H1760&amp;"]"&amp;$I1760&amp;"'!"&amp;$J1760),$L1760,$M1760)*$K1760</f>
        <v>1.532E-2</v>
      </c>
      <c r="F1760" s="4">
        <f t="shared" si="109"/>
        <v>16</v>
      </c>
      <c r="G1760" s="4" cm="1">
        <f t="array" ref="G1760">IF($C1760&gt;=25,F1760,IF($C1760&lt;16,INDEX(Sheet1!C:C,$F1760),$F1760))</f>
        <v>16</v>
      </c>
      <c r="H1760" s="4" t="str" cm="1">
        <f t="array" ref="H1760">INDEX(Sheet1!D:D,$G1760)</f>
        <v>2001-cso-preferred-class-structure-mortality-tables.xls</v>
      </c>
      <c r="I1760" s="4" t="str" cm="1">
        <f t="array" ref="I1760">INDEX(Sheet1!E:E,$G1760)</f>
        <v>A.1.b.iv</v>
      </c>
      <c r="J1760" s="4" t="str" cm="1">
        <f t="array" ref="J1760">IF($C1760&gt;=25,INDEX(Sheet1!G:G,$G1760),INDEX(Sheet1!F:F,$G1760))</f>
        <v>AA8</v>
      </c>
      <c r="K1760" s="4" cm="1">
        <f t="array" ref="K1760">INDEX(Sheet1!H:H,$G1760)</f>
        <v>1E-3</v>
      </c>
      <c r="L1760" s="4">
        <f t="shared" si="104"/>
        <v>39</v>
      </c>
      <c r="M1760" s="4">
        <f t="shared" si="105"/>
        <v>0</v>
      </c>
    </row>
    <row r="1761" spans="1:13">
      <c r="A1761" s="4" t="str" cm="1">
        <f t="array" ref="A1761">INDEX(Sheet1!A:A,$F1761)</f>
        <v>F</v>
      </c>
      <c r="B1761" s="4" t="str" cm="1">
        <f t="array" ref="B1761">INDEX(Sheet1!B:B,$F1761)</f>
        <v>Pref SM</v>
      </c>
      <c r="C1761" s="4">
        <f t="shared" si="108"/>
        <v>65</v>
      </c>
      <c r="D1761" s="5" cm="1">
        <f t="array" aca="1" ref="D1761" ca="1">OFFSET(INDIRECT("'["&amp;$H1761&amp;"]"&amp;$I1761&amp;"'!"&amp;$J1761),$L1761,$M1761)*$K1761</f>
        <v>1.6489999999999998E-2</v>
      </c>
      <c r="F1761" s="4">
        <f t="shared" si="109"/>
        <v>16</v>
      </c>
      <c r="G1761" s="4" cm="1">
        <f t="array" ref="G1761">IF($C1761&gt;=25,F1761,IF($C1761&lt;16,INDEX(Sheet1!C:C,$F1761),$F1761))</f>
        <v>16</v>
      </c>
      <c r="H1761" s="4" t="str" cm="1">
        <f t="array" ref="H1761">INDEX(Sheet1!D:D,$G1761)</f>
        <v>2001-cso-preferred-class-structure-mortality-tables.xls</v>
      </c>
      <c r="I1761" s="4" t="str" cm="1">
        <f t="array" ref="I1761">INDEX(Sheet1!E:E,$G1761)</f>
        <v>A.1.b.iv</v>
      </c>
      <c r="J1761" s="4" t="str" cm="1">
        <f t="array" ref="J1761">IF($C1761&gt;=25,INDEX(Sheet1!G:G,$G1761),INDEX(Sheet1!F:F,$G1761))</f>
        <v>AA8</v>
      </c>
      <c r="K1761" s="4" cm="1">
        <f t="array" ref="K1761">INDEX(Sheet1!H:H,$G1761)</f>
        <v>1E-3</v>
      </c>
      <c r="L1761" s="4">
        <f t="shared" si="104"/>
        <v>40</v>
      </c>
      <c r="M1761" s="4">
        <f t="shared" si="105"/>
        <v>0</v>
      </c>
    </row>
    <row r="1762" spans="1:13">
      <c r="A1762" s="4" t="str" cm="1">
        <f t="array" ref="A1762">INDEX(Sheet1!A:A,$F1762)</f>
        <v>F</v>
      </c>
      <c r="B1762" s="4" t="str" cm="1">
        <f t="array" ref="B1762">INDEX(Sheet1!B:B,$F1762)</f>
        <v>Pref SM</v>
      </c>
      <c r="C1762" s="4">
        <f t="shared" si="108"/>
        <v>66</v>
      </c>
      <c r="D1762" s="5" cm="1">
        <f t="array" aca="1" ref="D1762" ca="1">OFFSET(INDIRECT("'["&amp;$H1762&amp;"]"&amp;$I1762&amp;"'!"&amp;$J1762),$L1762,$M1762)*$K1762</f>
        <v>1.772E-2</v>
      </c>
      <c r="F1762" s="4">
        <f t="shared" si="109"/>
        <v>16</v>
      </c>
      <c r="G1762" s="4" cm="1">
        <f t="array" ref="G1762">IF($C1762&gt;=25,F1762,IF($C1762&lt;16,INDEX(Sheet1!C:C,$F1762),$F1762))</f>
        <v>16</v>
      </c>
      <c r="H1762" s="4" t="str" cm="1">
        <f t="array" ref="H1762">INDEX(Sheet1!D:D,$G1762)</f>
        <v>2001-cso-preferred-class-structure-mortality-tables.xls</v>
      </c>
      <c r="I1762" s="4" t="str" cm="1">
        <f t="array" ref="I1762">INDEX(Sheet1!E:E,$G1762)</f>
        <v>A.1.b.iv</v>
      </c>
      <c r="J1762" s="4" t="str" cm="1">
        <f t="array" ref="J1762">IF($C1762&gt;=25,INDEX(Sheet1!G:G,$G1762),INDEX(Sheet1!F:F,$G1762))</f>
        <v>AA8</v>
      </c>
      <c r="K1762" s="4" cm="1">
        <f t="array" ref="K1762">INDEX(Sheet1!H:H,$G1762)</f>
        <v>1E-3</v>
      </c>
      <c r="L1762" s="4">
        <f t="shared" si="104"/>
        <v>41</v>
      </c>
      <c r="M1762" s="4">
        <f t="shared" si="105"/>
        <v>0</v>
      </c>
    </row>
    <row r="1763" spans="1:13">
      <c r="A1763" s="4" t="str" cm="1">
        <f t="array" ref="A1763">INDEX(Sheet1!A:A,$F1763)</f>
        <v>F</v>
      </c>
      <c r="B1763" s="4" t="str" cm="1">
        <f t="array" ref="B1763">INDEX(Sheet1!B:B,$F1763)</f>
        <v>Pref SM</v>
      </c>
      <c r="C1763" s="4">
        <f t="shared" si="108"/>
        <v>67</v>
      </c>
      <c r="D1763" s="5" cm="1">
        <f t="array" aca="1" ref="D1763" ca="1">OFFSET(INDIRECT("'["&amp;$H1763&amp;"]"&amp;$I1763&amp;"'!"&amp;$J1763),$L1763,$M1763)*$K1763</f>
        <v>1.9120000000000002E-2</v>
      </c>
      <c r="F1763" s="4">
        <f t="shared" si="109"/>
        <v>16</v>
      </c>
      <c r="G1763" s="4" cm="1">
        <f t="array" ref="G1763">IF($C1763&gt;=25,F1763,IF($C1763&lt;16,INDEX(Sheet1!C:C,$F1763),$F1763))</f>
        <v>16</v>
      </c>
      <c r="H1763" s="4" t="str" cm="1">
        <f t="array" ref="H1763">INDEX(Sheet1!D:D,$G1763)</f>
        <v>2001-cso-preferred-class-structure-mortality-tables.xls</v>
      </c>
      <c r="I1763" s="4" t="str" cm="1">
        <f t="array" ref="I1763">INDEX(Sheet1!E:E,$G1763)</f>
        <v>A.1.b.iv</v>
      </c>
      <c r="J1763" s="4" t="str" cm="1">
        <f t="array" ref="J1763">IF($C1763&gt;=25,INDEX(Sheet1!G:G,$G1763),INDEX(Sheet1!F:F,$G1763))</f>
        <v>AA8</v>
      </c>
      <c r="K1763" s="4" cm="1">
        <f t="array" ref="K1763">INDEX(Sheet1!H:H,$G1763)</f>
        <v>1E-3</v>
      </c>
      <c r="L1763" s="4">
        <f t="shared" si="104"/>
        <v>42</v>
      </c>
      <c r="M1763" s="4">
        <f t="shared" si="105"/>
        <v>0</v>
      </c>
    </row>
    <row r="1764" spans="1:13">
      <c r="A1764" s="4" t="str" cm="1">
        <f t="array" ref="A1764">INDEX(Sheet1!A:A,$F1764)</f>
        <v>F</v>
      </c>
      <c r="B1764" s="4" t="str" cm="1">
        <f t="array" ref="B1764">INDEX(Sheet1!B:B,$F1764)</f>
        <v>Pref SM</v>
      </c>
      <c r="C1764" s="4">
        <f t="shared" si="108"/>
        <v>68</v>
      </c>
      <c r="D1764" s="5" cm="1">
        <f t="array" aca="1" ref="D1764" ca="1">OFFSET(INDIRECT("'["&amp;$H1764&amp;"]"&amp;$I1764&amp;"'!"&amp;$J1764),$L1764,$M1764)*$K1764</f>
        <v>2.0649999999999998E-2</v>
      </c>
      <c r="F1764" s="4">
        <f t="shared" si="109"/>
        <v>16</v>
      </c>
      <c r="G1764" s="4" cm="1">
        <f t="array" ref="G1764">IF($C1764&gt;=25,F1764,IF($C1764&lt;16,INDEX(Sheet1!C:C,$F1764),$F1764))</f>
        <v>16</v>
      </c>
      <c r="H1764" s="4" t="str" cm="1">
        <f t="array" ref="H1764">INDEX(Sheet1!D:D,$G1764)</f>
        <v>2001-cso-preferred-class-structure-mortality-tables.xls</v>
      </c>
      <c r="I1764" s="4" t="str" cm="1">
        <f t="array" ref="I1764">INDEX(Sheet1!E:E,$G1764)</f>
        <v>A.1.b.iv</v>
      </c>
      <c r="J1764" s="4" t="str" cm="1">
        <f t="array" ref="J1764">IF($C1764&gt;=25,INDEX(Sheet1!G:G,$G1764),INDEX(Sheet1!F:F,$G1764))</f>
        <v>AA8</v>
      </c>
      <c r="K1764" s="4" cm="1">
        <f t="array" ref="K1764">INDEX(Sheet1!H:H,$G1764)</f>
        <v>1E-3</v>
      </c>
      <c r="L1764" s="4">
        <f t="shared" si="104"/>
        <v>43</v>
      </c>
      <c r="M1764" s="4">
        <f t="shared" si="105"/>
        <v>0</v>
      </c>
    </row>
    <row r="1765" spans="1:13">
      <c r="A1765" s="4" t="str" cm="1">
        <f t="array" ref="A1765">INDEX(Sheet1!A:A,$F1765)</f>
        <v>F</v>
      </c>
      <c r="B1765" s="4" t="str" cm="1">
        <f t="array" ref="B1765">INDEX(Sheet1!B:B,$F1765)</f>
        <v>Pref SM</v>
      </c>
      <c r="C1765" s="4">
        <f t="shared" si="108"/>
        <v>69</v>
      </c>
      <c r="D1765" s="5" cm="1">
        <f t="array" aca="1" ref="D1765" ca="1">OFFSET(INDIRECT("'["&amp;$H1765&amp;"]"&amp;$I1765&amp;"'!"&amp;$J1765),$L1765,$M1765)*$K1765</f>
        <v>2.23E-2</v>
      </c>
      <c r="F1765" s="4">
        <f t="shared" si="109"/>
        <v>16</v>
      </c>
      <c r="G1765" s="4" cm="1">
        <f t="array" ref="G1765">IF($C1765&gt;=25,F1765,IF($C1765&lt;16,INDEX(Sheet1!C:C,$F1765),$F1765))</f>
        <v>16</v>
      </c>
      <c r="H1765" s="4" t="str" cm="1">
        <f t="array" ref="H1765">INDEX(Sheet1!D:D,$G1765)</f>
        <v>2001-cso-preferred-class-structure-mortality-tables.xls</v>
      </c>
      <c r="I1765" s="4" t="str" cm="1">
        <f t="array" ref="I1765">INDEX(Sheet1!E:E,$G1765)</f>
        <v>A.1.b.iv</v>
      </c>
      <c r="J1765" s="4" t="str" cm="1">
        <f t="array" ref="J1765">IF($C1765&gt;=25,INDEX(Sheet1!G:G,$G1765),INDEX(Sheet1!F:F,$G1765))</f>
        <v>AA8</v>
      </c>
      <c r="K1765" s="4" cm="1">
        <f t="array" ref="K1765">INDEX(Sheet1!H:H,$G1765)</f>
        <v>1E-3</v>
      </c>
      <c r="L1765" s="4">
        <f t="shared" si="104"/>
        <v>44</v>
      </c>
      <c r="M1765" s="4">
        <f t="shared" si="105"/>
        <v>0</v>
      </c>
    </row>
    <row r="1766" spans="1:13">
      <c r="A1766" s="4" t="str" cm="1">
        <f t="array" ref="A1766">INDEX(Sheet1!A:A,$F1766)</f>
        <v>F</v>
      </c>
      <c r="B1766" s="4" t="str" cm="1">
        <f t="array" ref="B1766">INDEX(Sheet1!B:B,$F1766)</f>
        <v>Pref SM</v>
      </c>
      <c r="C1766" s="4">
        <f t="shared" si="108"/>
        <v>70</v>
      </c>
      <c r="D1766" s="5" cm="1">
        <f t="array" aca="1" ref="D1766" ca="1">OFFSET(INDIRECT("'["&amp;$H1766&amp;"]"&amp;$I1766&amp;"'!"&amp;$J1766),$L1766,$M1766)*$K1766</f>
        <v>2.4160000000000001E-2</v>
      </c>
      <c r="F1766" s="4">
        <f t="shared" si="109"/>
        <v>16</v>
      </c>
      <c r="G1766" s="4" cm="1">
        <f t="array" ref="G1766">IF($C1766&gt;=25,F1766,IF($C1766&lt;16,INDEX(Sheet1!C:C,$F1766),$F1766))</f>
        <v>16</v>
      </c>
      <c r="H1766" s="4" t="str" cm="1">
        <f t="array" ref="H1766">INDEX(Sheet1!D:D,$G1766)</f>
        <v>2001-cso-preferred-class-structure-mortality-tables.xls</v>
      </c>
      <c r="I1766" s="4" t="str" cm="1">
        <f t="array" ref="I1766">INDEX(Sheet1!E:E,$G1766)</f>
        <v>A.1.b.iv</v>
      </c>
      <c r="J1766" s="4" t="str" cm="1">
        <f t="array" ref="J1766">IF($C1766&gt;=25,INDEX(Sheet1!G:G,$G1766),INDEX(Sheet1!F:F,$G1766))</f>
        <v>AA8</v>
      </c>
      <c r="K1766" s="4" cm="1">
        <f t="array" ref="K1766">INDEX(Sheet1!H:H,$G1766)</f>
        <v>1E-3</v>
      </c>
      <c r="L1766" s="4">
        <f t="shared" si="104"/>
        <v>45</v>
      </c>
      <c r="M1766" s="4">
        <f t="shared" si="105"/>
        <v>0</v>
      </c>
    </row>
    <row r="1767" spans="1:13">
      <c r="A1767" s="4" t="str" cm="1">
        <f t="array" ref="A1767">INDEX(Sheet1!A:A,$F1767)</f>
        <v>F</v>
      </c>
      <c r="B1767" s="4" t="str" cm="1">
        <f t="array" ref="B1767">INDEX(Sheet1!B:B,$F1767)</f>
        <v>Pref SM</v>
      </c>
      <c r="C1767" s="4">
        <f t="shared" si="108"/>
        <v>71</v>
      </c>
      <c r="D1767" s="5" cm="1">
        <f t="array" aca="1" ref="D1767" ca="1">OFFSET(INDIRECT("'["&amp;$H1767&amp;"]"&amp;$I1767&amp;"'!"&amp;$J1767),$L1767,$M1767)*$K1767</f>
        <v>2.6270000000000002E-2</v>
      </c>
      <c r="F1767" s="4">
        <f t="shared" si="109"/>
        <v>16</v>
      </c>
      <c r="G1767" s="4" cm="1">
        <f t="array" ref="G1767">IF($C1767&gt;=25,F1767,IF($C1767&lt;16,INDEX(Sheet1!C:C,$F1767),$F1767))</f>
        <v>16</v>
      </c>
      <c r="H1767" s="4" t="str" cm="1">
        <f t="array" ref="H1767">INDEX(Sheet1!D:D,$G1767)</f>
        <v>2001-cso-preferred-class-structure-mortality-tables.xls</v>
      </c>
      <c r="I1767" s="4" t="str" cm="1">
        <f t="array" ref="I1767">INDEX(Sheet1!E:E,$G1767)</f>
        <v>A.1.b.iv</v>
      </c>
      <c r="J1767" s="4" t="str" cm="1">
        <f t="array" ref="J1767">IF($C1767&gt;=25,INDEX(Sheet1!G:G,$G1767),INDEX(Sheet1!F:F,$G1767))</f>
        <v>AA8</v>
      </c>
      <c r="K1767" s="4" cm="1">
        <f t="array" ref="K1767">INDEX(Sheet1!H:H,$G1767)</f>
        <v>1E-3</v>
      </c>
      <c r="L1767" s="4">
        <f t="shared" si="104"/>
        <v>46</v>
      </c>
      <c r="M1767" s="4">
        <f t="shared" si="105"/>
        <v>0</v>
      </c>
    </row>
    <row r="1768" spans="1:13">
      <c r="A1768" s="4" t="str" cm="1">
        <f t="array" ref="A1768">INDEX(Sheet1!A:A,$F1768)</f>
        <v>F</v>
      </c>
      <c r="B1768" s="4" t="str" cm="1">
        <f t="array" ref="B1768">INDEX(Sheet1!B:B,$F1768)</f>
        <v>Pref SM</v>
      </c>
      <c r="C1768" s="4">
        <f t="shared" si="108"/>
        <v>72</v>
      </c>
      <c r="D1768" s="5" cm="1">
        <f t="array" aca="1" ref="D1768" ca="1">OFFSET(INDIRECT("'["&amp;$H1768&amp;"]"&amp;$I1768&amp;"'!"&amp;$J1768),$L1768,$M1768)*$K1768</f>
        <v>2.86E-2</v>
      </c>
      <c r="F1768" s="4">
        <f t="shared" si="109"/>
        <v>16</v>
      </c>
      <c r="G1768" s="4" cm="1">
        <f t="array" ref="G1768">IF($C1768&gt;=25,F1768,IF($C1768&lt;16,INDEX(Sheet1!C:C,$F1768),$F1768))</f>
        <v>16</v>
      </c>
      <c r="H1768" s="4" t="str" cm="1">
        <f t="array" ref="H1768">INDEX(Sheet1!D:D,$G1768)</f>
        <v>2001-cso-preferred-class-structure-mortality-tables.xls</v>
      </c>
      <c r="I1768" s="4" t="str" cm="1">
        <f t="array" ref="I1768">INDEX(Sheet1!E:E,$G1768)</f>
        <v>A.1.b.iv</v>
      </c>
      <c r="J1768" s="4" t="str" cm="1">
        <f t="array" ref="J1768">IF($C1768&gt;=25,INDEX(Sheet1!G:G,$G1768),INDEX(Sheet1!F:F,$G1768))</f>
        <v>AA8</v>
      </c>
      <c r="K1768" s="4" cm="1">
        <f t="array" ref="K1768">INDEX(Sheet1!H:H,$G1768)</f>
        <v>1E-3</v>
      </c>
      <c r="L1768" s="4">
        <f t="shared" si="104"/>
        <v>47</v>
      </c>
      <c r="M1768" s="4">
        <f t="shared" si="105"/>
        <v>0</v>
      </c>
    </row>
    <row r="1769" spans="1:13">
      <c r="A1769" s="4" t="str" cm="1">
        <f t="array" ref="A1769">INDEX(Sheet1!A:A,$F1769)</f>
        <v>F</v>
      </c>
      <c r="B1769" s="4" t="str" cm="1">
        <f t="array" ref="B1769">INDEX(Sheet1!B:B,$F1769)</f>
        <v>Pref SM</v>
      </c>
      <c r="C1769" s="4">
        <f t="shared" si="108"/>
        <v>73</v>
      </c>
      <c r="D1769" s="5" cm="1">
        <f t="array" aca="1" ref="D1769" ca="1">OFFSET(INDIRECT("'["&amp;$H1769&amp;"]"&amp;$I1769&amp;"'!"&amp;$J1769),$L1769,$M1769)*$K1769</f>
        <v>3.1120000000000002E-2</v>
      </c>
      <c r="F1769" s="4">
        <f t="shared" si="109"/>
        <v>16</v>
      </c>
      <c r="G1769" s="4" cm="1">
        <f t="array" ref="G1769">IF($C1769&gt;=25,F1769,IF($C1769&lt;16,INDEX(Sheet1!C:C,$F1769),$F1769))</f>
        <v>16</v>
      </c>
      <c r="H1769" s="4" t="str" cm="1">
        <f t="array" ref="H1769">INDEX(Sheet1!D:D,$G1769)</f>
        <v>2001-cso-preferred-class-structure-mortality-tables.xls</v>
      </c>
      <c r="I1769" s="4" t="str" cm="1">
        <f t="array" ref="I1769">INDEX(Sheet1!E:E,$G1769)</f>
        <v>A.1.b.iv</v>
      </c>
      <c r="J1769" s="4" t="str" cm="1">
        <f t="array" ref="J1769">IF($C1769&gt;=25,INDEX(Sheet1!G:G,$G1769),INDEX(Sheet1!F:F,$G1769))</f>
        <v>AA8</v>
      </c>
      <c r="K1769" s="4" cm="1">
        <f t="array" ref="K1769">INDEX(Sheet1!H:H,$G1769)</f>
        <v>1E-3</v>
      </c>
      <c r="L1769" s="4">
        <f t="shared" si="104"/>
        <v>48</v>
      </c>
      <c r="M1769" s="4">
        <f t="shared" si="105"/>
        <v>0</v>
      </c>
    </row>
    <row r="1770" spans="1:13">
      <c r="A1770" s="4" t="str" cm="1">
        <f t="array" ref="A1770">INDEX(Sheet1!A:A,$F1770)</f>
        <v>F</v>
      </c>
      <c r="B1770" s="4" t="str" cm="1">
        <f t="array" ref="B1770">INDEX(Sheet1!B:B,$F1770)</f>
        <v>Pref SM</v>
      </c>
      <c r="C1770" s="4">
        <f t="shared" si="108"/>
        <v>74</v>
      </c>
      <c r="D1770" s="5" cm="1">
        <f t="array" aca="1" ref="D1770" ca="1">OFFSET(INDIRECT("'["&amp;$H1770&amp;"]"&amp;$I1770&amp;"'!"&amp;$J1770),$L1770,$M1770)*$K1770</f>
        <v>3.3869999999999997E-2</v>
      </c>
      <c r="F1770" s="4">
        <f t="shared" si="109"/>
        <v>16</v>
      </c>
      <c r="G1770" s="4" cm="1">
        <f t="array" ref="G1770">IF($C1770&gt;=25,F1770,IF($C1770&lt;16,INDEX(Sheet1!C:C,$F1770),$F1770))</f>
        <v>16</v>
      </c>
      <c r="H1770" s="4" t="str" cm="1">
        <f t="array" ref="H1770">INDEX(Sheet1!D:D,$G1770)</f>
        <v>2001-cso-preferred-class-structure-mortality-tables.xls</v>
      </c>
      <c r="I1770" s="4" t="str" cm="1">
        <f t="array" ref="I1770">INDEX(Sheet1!E:E,$G1770)</f>
        <v>A.1.b.iv</v>
      </c>
      <c r="J1770" s="4" t="str" cm="1">
        <f t="array" ref="J1770">IF($C1770&gt;=25,INDEX(Sheet1!G:G,$G1770),INDEX(Sheet1!F:F,$G1770))</f>
        <v>AA8</v>
      </c>
      <c r="K1770" s="4" cm="1">
        <f t="array" ref="K1770">INDEX(Sheet1!H:H,$G1770)</f>
        <v>1E-3</v>
      </c>
      <c r="L1770" s="4">
        <f t="shared" si="104"/>
        <v>49</v>
      </c>
      <c r="M1770" s="4">
        <f t="shared" si="105"/>
        <v>0</v>
      </c>
    </row>
    <row r="1771" spans="1:13">
      <c r="A1771" s="4" t="str" cm="1">
        <f t="array" ref="A1771">INDEX(Sheet1!A:A,$F1771)</f>
        <v>F</v>
      </c>
      <c r="B1771" s="4" t="str" cm="1">
        <f t="array" ref="B1771">INDEX(Sheet1!B:B,$F1771)</f>
        <v>Pref SM</v>
      </c>
      <c r="C1771" s="4">
        <f t="shared" si="108"/>
        <v>75</v>
      </c>
      <c r="D1771" s="5" cm="1">
        <f t="array" aca="1" ref="D1771" ca="1">OFFSET(INDIRECT("'["&amp;$H1771&amp;"]"&amp;$I1771&amp;"'!"&amp;$J1771),$L1771,$M1771)*$K1771</f>
        <v>3.6639999999999999E-2</v>
      </c>
      <c r="F1771" s="4">
        <f t="shared" si="109"/>
        <v>16</v>
      </c>
      <c r="G1771" s="4" cm="1">
        <f t="array" ref="G1771">IF($C1771&gt;=25,F1771,IF($C1771&lt;16,INDEX(Sheet1!C:C,$F1771),$F1771))</f>
        <v>16</v>
      </c>
      <c r="H1771" s="4" t="str" cm="1">
        <f t="array" ref="H1771">INDEX(Sheet1!D:D,$G1771)</f>
        <v>2001-cso-preferred-class-structure-mortality-tables.xls</v>
      </c>
      <c r="I1771" s="4" t="str" cm="1">
        <f t="array" ref="I1771">INDEX(Sheet1!E:E,$G1771)</f>
        <v>A.1.b.iv</v>
      </c>
      <c r="J1771" s="4" t="str" cm="1">
        <f t="array" ref="J1771">IF($C1771&gt;=25,INDEX(Sheet1!G:G,$G1771),INDEX(Sheet1!F:F,$G1771))</f>
        <v>AA8</v>
      </c>
      <c r="K1771" s="4" cm="1">
        <f t="array" ref="K1771">INDEX(Sheet1!H:H,$G1771)</f>
        <v>1E-3</v>
      </c>
      <c r="L1771" s="4">
        <f t="shared" si="104"/>
        <v>50</v>
      </c>
      <c r="M1771" s="4">
        <f t="shared" si="105"/>
        <v>0</v>
      </c>
    </row>
    <row r="1772" spans="1:13">
      <c r="A1772" s="4" t="str" cm="1">
        <f t="array" ref="A1772">INDEX(Sheet1!A:A,$F1772)</f>
        <v>F</v>
      </c>
      <c r="B1772" s="4" t="str" cm="1">
        <f t="array" ref="B1772">INDEX(Sheet1!B:B,$F1772)</f>
        <v>Pref SM</v>
      </c>
      <c r="C1772" s="4">
        <f t="shared" si="108"/>
        <v>76</v>
      </c>
      <c r="D1772" s="5" cm="1">
        <f t="array" aca="1" ref="D1772" ca="1">OFFSET(INDIRECT("'["&amp;$H1772&amp;"]"&amp;$I1772&amp;"'!"&amp;$J1772),$L1772,$M1772)*$K1772</f>
        <v>4.0119999999999996E-2</v>
      </c>
      <c r="F1772" s="4">
        <f t="shared" si="109"/>
        <v>16</v>
      </c>
      <c r="G1772" s="4" cm="1">
        <f t="array" ref="G1772">IF($C1772&gt;=25,F1772,IF($C1772&lt;16,INDEX(Sheet1!C:C,$F1772),$F1772))</f>
        <v>16</v>
      </c>
      <c r="H1772" s="4" t="str" cm="1">
        <f t="array" ref="H1772">INDEX(Sheet1!D:D,$G1772)</f>
        <v>2001-cso-preferred-class-structure-mortality-tables.xls</v>
      </c>
      <c r="I1772" s="4" t="str" cm="1">
        <f t="array" ref="I1772">INDEX(Sheet1!E:E,$G1772)</f>
        <v>A.1.b.iv</v>
      </c>
      <c r="J1772" s="4" t="str" cm="1">
        <f t="array" ref="J1772">IF($C1772&gt;=25,INDEX(Sheet1!G:G,$G1772),INDEX(Sheet1!F:F,$G1772))</f>
        <v>AA8</v>
      </c>
      <c r="K1772" s="4" cm="1">
        <f t="array" ref="K1772">INDEX(Sheet1!H:H,$G1772)</f>
        <v>1E-3</v>
      </c>
      <c r="L1772" s="4">
        <f t="shared" si="104"/>
        <v>51</v>
      </c>
      <c r="M1772" s="4">
        <f t="shared" si="105"/>
        <v>0</v>
      </c>
    </row>
    <row r="1773" spans="1:13">
      <c r="A1773" s="4" t="str" cm="1">
        <f t="array" ref="A1773">INDEX(Sheet1!A:A,$F1773)</f>
        <v>F</v>
      </c>
      <c r="B1773" s="4" t="str" cm="1">
        <f t="array" ref="B1773">INDEX(Sheet1!B:B,$F1773)</f>
        <v>Pref SM</v>
      </c>
      <c r="C1773" s="4">
        <f t="shared" si="108"/>
        <v>77</v>
      </c>
      <c r="D1773" s="5" cm="1">
        <f t="array" aca="1" ref="D1773" ca="1">OFFSET(INDIRECT("'["&amp;$H1773&amp;"]"&amp;$I1773&amp;"'!"&amp;$J1773),$L1773,$M1773)*$K1773</f>
        <v>4.3900000000000002E-2</v>
      </c>
      <c r="F1773" s="4">
        <f t="shared" si="109"/>
        <v>16</v>
      </c>
      <c r="G1773" s="4" cm="1">
        <f t="array" ref="G1773">IF($C1773&gt;=25,F1773,IF($C1773&lt;16,INDEX(Sheet1!C:C,$F1773),$F1773))</f>
        <v>16</v>
      </c>
      <c r="H1773" s="4" t="str" cm="1">
        <f t="array" ref="H1773">INDEX(Sheet1!D:D,$G1773)</f>
        <v>2001-cso-preferred-class-structure-mortality-tables.xls</v>
      </c>
      <c r="I1773" s="4" t="str" cm="1">
        <f t="array" ref="I1773">INDEX(Sheet1!E:E,$G1773)</f>
        <v>A.1.b.iv</v>
      </c>
      <c r="J1773" s="4" t="str" cm="1">
        <f t="array" ref="J1773">IF($C1773&gt;=25,INDEX(Sheet1!G:G,$G1773),INDEX(Sheet1!F:F,$G1773))</f>
        <v>AA8</v>
      </c>
      <c r="K1773" s="4" cm="1">
        <f t="array" ref="K1773">INDEX(Sheet1!H:H,$G1773)</f>
        <v>1E-3</v>
      </c>
      <c r="L1773" s="4">
        <f t="shared" si="104"/>
        <v>52</v>
      </c>
      <c r="M1773" s="4">
        <f t="shared" si="105"/>
        <v>0</v>
      </c>
    </row>
    <row r="1774" spans="1:13">
      <c r="A1774" s="4" t="str" cm="1">
        <f t="array" ref="A1774">INDEX(Sheet1!A:A,$F1774)</f>
        <v>F</v>
      </c>
      <c r="B1774" s="4" t="str" cm="1">
        <f t="array" ref="B1774">INDEX(Sheet1!B:B,$F1774)</f>
        <v>Pref SM</v>
      </c>
      <c r="C1774" s="4">
        <f t="shared" si="108"/>
        <v>78</v>
      </c>
      <c r="D1774" s="5" cm="1">
        <f t="array" aca="1" ref="D1774" ca="1">OFFSET(INDIRECT("'["&amp;$H1774&amp;"]"&amp;$I1774&amp;"'!"&amp;$J1774),$L1774,$M1774)*$K1774</f>
        <v>4.8020000000000007E-2</v>
      </c>
      <c r="F1774" s="4">
        <f t="shared" si="109"/>
        <v>16</v>
      </c>
      <c r="G1774" s="4" cm="1">
        <f t="array" ref="G1774">IF($C1774&gt;=25,F1774,IF($C1774&lt;16,INDEX(Sheet1!C:C,$F1774),$F1774))</f>
        <v>16</v>
      </c>
      <c r="H1774" s="4" t="str" cm="1">
        <f t="array" ref="H1774">INDEX(Sheet1!D:D,$G1774)</f>
        <v>2001-cso-preferred-class-structure-mortality-tables.xls</v>
      </c>
      <c r="I1774" s="4" t="str" cm="1">
        <f t="array" ref="I1774">INDEX(Sheet1!E:E,$G1774)</f>
        <v>A.1.b.iv</v>
      </c>
      <c r="J1774" s="4" t="str" cm="1">
        <f t="array" ref="J1774">IF($C1774&gt;=25,INDEX(Sheet1!G:G,$G1774),INDEX(Sheet1!F:F,$G1774))</f>
        <v>AA8</v>
      </c>
      <c r="K1774" s="4" cm="1">
        <f t="array" ref="K1774">INDEX(Sheet1!H:H,$G1774)</f>
        <v>1E-3</v>
      </c>
      <c r="L1774" s="4">
        <f t="shared" si="104"/>
        <v>53</v>
      </c>
      <c r="M1774" s="4">
        <f t="shared" si="105"/>
        <v>0</v>
      </c>
    </row>
    <row r="1775" spans="1:13">
      <c r="A1775" s="4" t="str" cm="1">
        <f t="array" ref="A1775">INDEX(Sheet1!A:A,$F1775)</f>
        <v>F</v>
      </c>
      <c r="B1775" s="4" t="str" cm="1">
        <f t="array" ref="B1775">INDEX(Sheet1!B:B,$F1775)</f>
        <v>Pref SM</v>
      </c>
      <c r="C1775" s="4">
        <f t="shared" si="108"/>
        <v>79</v>
      </c>
      <c r="D1775" s="5" cm="1">
        <f t="array" aca="1" ref="D1775" ca="1">OFFSET(INDIRECT("'["&amp;$H1775&amp;"]"&amp;$I1775&amp;"'!"&amp;$J1775),$L1775,$M1775)*$K1775</f>
        <v>5.2520000000000004E-2</v>
      </c>
      <c r="F1775" s="4">
        <f t="shared" si="109"/>
        <v>16</v>
      </c>
      <c r="G1775" s="4" cm="1">
        <f t="array" ref="G1775">IF($C1775&gt;=25,F1775,IF($C1775&lt;16,INDEX(Sheet1!C:C,$F1775),$F1775))</f>
        <v>16</v>
      </c>
      <c r="H1775" s="4" t="str" cm="1">
        <f t="array" ref="H1775">INDEX(Sheet1!D:D,$G1775)</f>
        <v>2001-cso-preferred-class-structure-mortality-tables.xls</v>
      </c>
      <c r="I1775" s="4" t="str" cm="1">
        <f t="array" ref="I1775">INDEX(Sheet1!E:E,$G1775)</f>
        <v>A.1.b.iv</v>
      </c>
      <c r="J1775" s="4" t="str" cm="1">
        <f t="array" ref="J1775">IF($C1775&gt;=25,INDEX(Sheet1!G:G,$G1775),INDEX(Sheet1!F:F,$G1775))</f>
        <v>AA8</v>
      </c>
      <c r="K1775" s="4" cm="1">
        <f t="array" ref="K1775">INDEX(Sheet1!H:H,$G1775)</f>
        <v>1E-3</v>
      </c>
      <c r="L1775" s="4">
        <f t="shared" si="104"/>
        <v>54</v>
      </c>
      <c r="M1775" s="4">
        <f t="shared" si="105"/>
        <v>0</v>
      </c>
    </row>
    <row r="1776" spans="1:13">
      <c r="A1776" s="4" t="str" cm="1">
        <f t="array" ref="A1776">INDEX(Sheet1!A:A,$F1776)</f>
        <v>F</v>
      </c>
      <c r="B1776" s="4" t="str" cm="1">
        <f t="array" ref="B1776">INDEX(Sheet1!B:B,$F1776)</f>
        <v>Pref SM</v>
      </c>
      <c r="C1776" s="4">
        <f t="shared" si="108"/>
        <v>80</v>
      </c>
      <c r="D1776" s="5" cm="1">
        <f t="array" aca="1" ref="D1776" ca="1">OFFSET(INDIRECT("'["&amp;$H1776&amp;"]"&amp;$I1776&amp;"'!"&amp;$J1776),$L1776,$M1776)*$K1776</f>
        <v>5.7409999999999996E-2</v>
      </c>
      <c r="F1776" s="4">
        <f t="shared" si="109"/>
        <v>16</v>
      </c>
      <c r="G1776" s="4" cm="1">
        <f t="array" ref="G1776">IF($C1776&gt;=25,F1776,IF($C1776&lt;16,INDEX(Sheet1!C:C,$F1776),$F1776))</f>
        <v>16</v>
      </c>
      <c r="H1776" s="4" t="str" cm="1">
        <f t="array" ref="H1776">INDEX(Sheet1!D:D,$G1776)</f>
        <v>2001-cso-preferred-class-structure-mortality-tables.xls</v>
      </c>
      <c r="I1776" s="4" t="str" cm="1">
        <f t="array" ref="I1776">INDEX(Sheet1!E:E,$G1776)</f>
        <v>A.1.b.iv</v>
      </c>
      <c r="J1776" s="4" t="str" cm="1">
        <f t="array" ref="J1776">IF($C1776&gt;=25,INDEX(Sheet1!G:G,$G1776),INDEX(Sheet1!F:F,$G1776))</f>
        <v>AA8</v>
      </c>
      <c r="K1776" s="4" cm="1">
        <f t="array" ref="K1776">INDEX(Sheet1!H:H,$G1776)</f>
        <v>1E-3</v>
      </c>
      <c r="L1776" s="4">
        <f t="shared" si="104"/>
        <v>55</v>
      </c>
      <c r="M1776" s="4">
        <f t="shared" si="105"/>
        <v>0</v>
      </c>
    </row>
    <row r="1777" spans="1:13">
      <c r="A1777" s="4" t="str" cm="1">
        <f t="array" ref="A1777">INDEX(Sheet1!A:A,$F1777)</f>
        <v>F</v>
      </c>
      <c r="B1777" s="4" t="str" cm="1">
        <f t="array" ref="B1777">INDEX(Sheet1!B:B,$F1777)</f>
        <v>Pref SM</v>
      </c>
      <c r="C1777" s="4">
        <f t="shared" si="108"/>
        <v>81</v>
      </c>
      <c r="D1777" s="5" cm="1">
        <f t="array" aca="1" ref="D1777" ca="1">OFFSET(INDIRECT("'["&amp;$H1777&amp;"]"&amp;$I1777&amp;"'!"&amp;$J1777),$L1777,$M1777)*$K1777</f>
        <v>6.4170000000000005E-2</v>
      </c>
      <c r="F1777" s="4">
        <f t="shared" si="109"/>
        <v>16</v>
      </c>
      <c r="G1777" s="4" cm="1">
        <f t="array" ref="G1777">IF($C1777&gt;=25,F1777,IF($C1777&lt;16,INDEX(Sheet1!C:C,$F1777),$F1777))</f>
        <v>16</v>
      </c>
      <c r="H1777" s="4" t="str" cm="1">
        <f t="array" ref="H1777">INDEX(Sheet1!D:D,$G1777)</f>
        <v>2001-cso-preferred-class-structure-mortality-tables.xls</v>
      </c>
      <c r="I1777" s="4" t="str" cm="1">
        <f t="array" ref="I1777">INDEX(Sheet1!E:E,$G1777)</f>
        <v>A.1.b.iv</v>
      </c>
      <c r="J1777" s="4" t="str" cm="1">
        <f t="array" ref="J1777">IF($C1777&gt;=25,INDEX(Sheet1!G:G,$G1777),INDEX(Sheet1!F:F,$G1777))</f>
        <v>AA8</v>
      </c>
      <c r="K1777" s="4" cm="1">
        <f t="array" ref="K1777">INDEX(Sheet1!H:H,$G1777)</f>
        <v>1E-3</v>
      </c>
      <c r="L1777" s="4">
        <f t="shared" si="104"/>
        <v>56</v>
      </c>
      <c r="M1777" s="4">
        <f t="shared" si="105"/>
        <v>0</v>
      </c>
    </row>
    <row r="1778" spans="1:13">
      <c r="A1778" s="4" t="str" cm="1">
        <f t="array" ref="A1778">INDEX(Sheet1!A:A,$F1778)</f>
        <v>F</v>
      </c>
      <c r="B1778" s="4" t="str" cm="1">
        <f t="array" ref="B1778">INDEX(Sheet1!B:B,$F1778)</f>
        <v>Pref SM</v>
      </c>
      <c r="C1778" s="4">
        <f t="shared" si="108"/>
        <v>82</v>
      </c>
      <c r="D1778" s="5" cm="1">
        <f t="array" aca="1" ref="D1778" ca="1">OFFSET(INDIRECT("'["&amp;$H1778&amp;"]"&amp;$I1778&amp;"'!"&amp;$J1778),$L1778,$M1778)*$K1778</f>
        <v>7.1599999999999997E-2</v>
      </c>
      <c r="F1778" s="4">
        <f t="shared" si="109"/>
        <v>16</v>
      </c>
      <c r="G1778" s="4" cm="1">
        <f t="array" ref="G1778">IF($C1778&gt;=25,F1778,IF($C1778&lt;16,INDEX(Sheet1!C:C,$F1778),$F1778))</f>
        <v>16</v>
      </c>
      <c r="H1778" s="4" t="str" cm="1">
        <f t="array" ref="H1778">INDEX(Sheet1!D:D,$G1778)</f>
        <v>2001-cso-preferred-class-structure-mortality-tables.xls</v>
      </c>
      <c r="I1778" s="4" t="str" cm="1">
        <f t="array" ref="I1778">INDEX(Sheet1!E:E,$G1778)</f>
        <v>A.1.b.iv</v>
      </c>
      <c r="J1778" s="4" t="str" cm="1">
        <f t="array" ref="J1778">IF($C1778&gt;=25,INDEX(Sheet1!G:G,$G1778),INDEX(Sheet1!F:F,$G1778))</f>
        <v>AA8</v>
      </c>
      <c r="K1778" s="4" cm="1">
        <f t="array" ref="K1778">INDEX(Sheet1!H:H,$G1778)</f>
        <v>1E-3</v>
      </c>
      <c r="L1778" s="4">
        <f t="shared" si="104"/>
        <v>57</v>
      </c>
      <c r="M1778" s="4">
        <f t="shared" si="105"/>
        <v>0</v>
      </c>
    </row>
    <row r="1779" spans="1:13">
      <c r="A1779" s="4" t="str" cm="1">
        <f t="array" ref="A1779">INDEX(Sheet1!A:A,$F1779)</f>
        <v>F</v>
      </c>
      <c r="B1779" s="4" t="str" cm="1">
        <f t="array" ref="B1779">INDEX(Sheet1!B:B,$F1779)</f>
        <v>Pref SM</v>
      </c>
      <c r="C1779" s="4">
        <f t="shared" si="108"/>
        <v>83</v>
      </c>
      <c r="D1779" s="5" cm="1">
        <f t="array" aca="1" ref="D1779" ca="1">OFFSET(INDIRECT("'["&amp;$H1779&amp;"]"&amp;$I1779&amp;"'!"&amp;$J1779),$L1779,$M1779)*$K1779</f>
        <v>7.9000000000000001E-2</v>
      </c>
      <c r="F1779" s="4">
        <f t="shared" si="109"/>
        <v>16</v>
      </c>
      <c r="G1779" s="4" cm="1">
        <f t="array" ref="G1779">IF($C1779&gt;=25,F1779,IF($C1779&lt;16,INDEX(Sheet1!C:C,$F1779),$F1779))</f>
        <v>16</v>
      </c>
      <c r="H1779" s="4" t="str" cm="1">
        <f t="array" ref="H1779">INDEX(Sheet1!D:D,$G1779)</f>
        <v>2001-cso-preferred-class-structure-mortality-tables.xls</v>
      </c>
      <c r="I1779" s="4" t="str" cm="1">
        <f t="array" ref="I1779">INDEX(Sheet1!E:E,$G1779)</f>
        <v>A.1.b.iv</v>
      </c>
      <c r="J1779" s="4" t="str" cm="1">
        <f t="array" ref="J1779">IF($C1779&gt;=25,INDEX(Sheet1!G:G,$G1779),INDEX(Sheet1!F:F,$G1779))</f>
        <v>AA8</v>
      </c>
      <c r="K1779" s="4" cm="1">
        <f t="array" ref="K1779">INDEX(Sheet1!H:H,$G1779)</f>
        <v>1E-3</v>
      </c>
      <c r="L1779" s="4">
        <f t="shared" si="104"/>
        <v>58</v>
      </c>
      <c r="M1779" s="4">
        <f t="shared" si="105"/>
        <v>0</v>
      </c>
    </row>
    <row r="1780" spans="1:13">
      <c r="A1780" s="4" t="str" cm="1">
        <f t="array" ref="A1780">INDEX(Sheet1!A:A,$F1780)</f>
        <v>F</v>
      </c>
      <c r="B1780" s="4" t="str" cm="1">
        <f t="array" ref="B1780">INDEX(Sheet1!B:B,$F1780)</f>
        <v>Pref SM</v>
      </c>
      <c r="C1780" s="4">
        <f t="shared" si="108"/>
        <v>84</v>
      </c>
      <c r="D1780" s="5" cm="1">
        <f t="array" aca="1" ref="D1780" ca="1">OFFSET(INDIRECT("'["&amp;$H1780&amp;"]"&amp;$I1780&amp;"'!"&amp;$J1780),$L1780,$M1780)*$K1780</f>
        <v>8.7059999999999998E-2</v>
      </c>
      <c r="F1780" s="4">
        <f t="shared" si="109"/>
        <v>16</v>
      </c>
      <c r="G1780" s="4" cm="1">
        <f t="array" ref="G1780">IF($C1780&gt;=25,F1780,IF($C1780&lt;16,INDEX(Sheet1!C:C,$F1780),$F1780))</f>
        <v>16</v>
      </c>
      <c r="H1780" s="4" t="str" cm="1">
        <f t="array" ref="H1780">INDEX(Sheet1!D:D,$G1780)</f>
        <v>2001-cso-preferred-class-structure-mortality-tables.xls</v>
      </c>
      <c r="I1780" s="4" t="str" cm="1">
        <f t="array" ref="I1780">INDEX(Sheet1!E:E,$G1780)</f>
        <v>A.1.b.iv</v>
      </c>
      <c r="J1780" s="4" t="str" cm="1">
        <f t="array" ref="J1780">IF($C1780&gt;=25,INDEX(Sheet1!G:G,$G1780),INDEX(Sheet1!F:F,$G1780))</f>
        <v>AA8</v>
      </c>
      <c r="K1780" s="4" cm="1">
        <f t="array" ref="K1780">INDEX(Sheet1!H:H,$G1780)</f>
        <v>1E-3</v>
      </c>
      <c r="L1780" s="4">
        <f t="shared" si="104"/>
        <v>59</v>
      </c>
      <c r="M1780" s="4">
        <f t="shared" si="105"/>
        <v>0</v>
      </c>
    </row>
    <row r="1781" spans="1:13">
      <c r="A1781" s="4" t="str" cm="1">
        <f t="array" ref="A1781">INDEX(Sheet1!A:A,$F1781)</f>
        <v>F</v>
      </c>
      <c r="B1781" s="4" t="str" cm="1">
        <f t="array" ref="B1781">INDEX(Sheet1!B:B,$F1781)</f>
        <v>Pref SM</v>
      </c>
      <c r="C1781" s="4">
        <f t="shared" si="108"/>
        <v>85</v>
      </c>
      <c r="D1781" s="5" cm="1">
        <f t="array" aca="1" ref="D1781" ca="1">OFFSET(INDIRECT("'["&amp;$H1781&amp;"]"&amp;$I1781&amp;"'!"&amp;$J1781),$L1781,$M1781)*$K1781</f>
        <v>9.5320000000000002E-2</v>
      </c>
      <c r="F1781" s="4">
        <f t="shared" si="109"/>
        <v>16</v>
      </c>
      <c r="G1781" s="4" cm="1">
        <f t="array" ref="G1781">IF($C1781&gt;=25,F1781,IF($C1781&lt;16,INDEX(Sheet1!C:C,$F1781),$F1781))</f>
        <v>16</v>
      </c>
      <c r="H1781" s="4" t="str" cm="1">
        <f t="array" ref="H1781">INDEX(Sheet1!D:D,$G1781)</f>
        <v>2001-cso-preferred-class-structure-mortality-tables.xls</v>
      </c>
      <c r="I1781" s="4" t="str" cm="1">
        <f t="array" ref="I1781">INDEX(Sheet1!E:E,$G1781)</f>
        <v>A.1.b.iv</v>
      </c>
      <c r="J1781" s="4" t="str" cm="1">
        <f t="array" ref="J1781">IF($C1781&gt;=25,INDEX(Sheet1!G:G,$G1781),INDEX(Sheet1!F:F,$G1781))</f>
        <v>AA8</v>
      </c>
      <c r="K1781" s="4" cm="1">
        <f t="array" ref="K1781">INDEX(Sheet1!H:H,$G1781)</f>
        <v>1E-3</v>
      </c>
      <c r="L1781" s="4">
        <f t="shared" si="104"/>
        <v>60</v>
      </c>
      <c r="M1781" s="4">
        <f t="shared" si="105"/>
        <v>0</v>
      </c>
    </row>
    <row r="1782" spans="1:13">
      <c r="A1782" s="4" t="str" cm="1">
        <f t="array" ref="A1782">INDEX(Sheet1!A:A,$F1782)</f>
        <v>F</v>
      </c>
      <c r="B1782" s="4" t="str" cm="1">
        <f t="array" ref="B1782">INDEX(Sheet1!B:B,$F1782)</f>
        <v>Pref SM</v>
      </c>
      <c r="C1782" s="4">
        <f t="shared" si="108"/>
        <v>86</v>
      </c>
      <c r="D1782" s="5" cm="1">
        <f t="array" aca="1" ref="D1782" ca="1">OFFSET(INDIRECT("'["&amp;$H1782&amp;"]"&amp;$I1782&amp;"'!"&amp;$J1782),$L1782,$M1782)*$K1782</f>
        <v>0.10251</v>
      </c>
      <c r="F1782" s="4">
        <f t="shared" si="109"/>
        <v>16</v>
      </c>
      <c r="G1782" s="4" cm="1">
        <f t="array" ref="G1782">IF($C1782&gt;=25,F1782,IF($C1782&lt;16,INDEX(Sheet1!C:C,$F1782),$F1782))</f>
        <v>16</v>
      </c>
      <c r="H1782" s="4" t="str" cm="1">
        <f t="array" ref="H1782">INDEX(Sheet1!D:D,$G1782)</f>
        <v>2001-cso-preferred-class-structure-mortality-tables.xls</v>
      </c>
      <c r="I1782" s="4" t="str" cm="1">
        <f t="array" ref="I1782">INDEX(Sheet1!E:E,$G1782)</f>
        <v>A.1.b.iv</v>
      </c>
      <c r="J1782" s="4" t="str" cm="1">
        <f t="array" ref="J1782">IF($C1782&gt;=25,INDEX(Sheet1!G:G,$G1782),INDEX(Sheet1!F:F,$G1782))</f>
        <v>AA8</v>
      </c>
      <c r="K1782" s="4" cm="1">
        <f t="array" ref="K1782">INDEX(Sheet1!H:H,$G1782)</f>
        <v>1E-3</v>
      </c>
      <c r="L1782" s="4">
        <f t="shared" si="104"/>
        <v>61</v>
      </c>
      <c r="M1782" s="4">
        <f t="shared" si="105"/>
        <v>0</v>
      </c>
    </row>
    <row r="1783" spans="1:13">
      <c r="A1783" s="4" t="str" cm="1">
        <f t="array" ref="A1783">INDEX(Sheet1!A:A,$F1783)</f>
        <v>F</v>
      </c>
      <c r="B1783" s="4" t="str" cm="1">
        <f t="array" ref="B1783">INDEX(Sheet1!B:B,$F1783)</f>
        <v>Pref SM</v>
      </c>
      <c r="C1783" s="4">
        <f t="shared" si="108"/>
        <v>87</v>
      </c>
      <c r="D1783" s="5" cm="1">
        <f t="array" aca="1" ref="D1783" ca="1">OFFSET(INDIRECT("'["&amp;$H1783&amp;"]"&amp;$I1783&amp;"'!"&amp;$J1783),$L1783,$M1783)*$K1783</f>
        <v>0.11348999999999999</v>
      </c>
      <c r="F1783" s="4">
        <f t="shared" si="109"/>
        <v>16</v>
      </c>
      <c r="G1783" s="4" cm="1">
        <f t="array" ref="G1783">IF($C1783&gt;=25,F1783,IF($C1783&lt;16,INDEX(Sheet1!C:C,$F1783),$F1783))</f>
        <v>16</v>
      </c>
      <c r="H1783" s="4" t="str" cm="1">
        <f t="array" ref="H1783">INDEX(Sheet1!D:D,$G1783)</f>
        <v>2001-cso-preferred-class-structure-mortality-tables.xls</v>
      </c>
      <c r="I1783" s="4" t="str" cm="1">
        <f t="array" ref="I1783">INDEX(Sheet1!E:E,$G1783)</f>
        <v>A.1.b.iv</v>
      </c>
      <c r="J1783" s="4" t="str" cm="1">
        <f t="array" ref="J1783">IF($C1783&gt;=25,INDEX(Sheet1!G:G,$G1783),INDEX(Sheet1!F:F,$G1783))</f>
        <v>AA8</v>
      </c>
      <c r="K1783" s="4" cm="1">
        <f t="array" ref="K1783">INDEX(Sheet1!H:H,$G1783)</f>
        <v>1E-3</v>
      </c>
      <c r="L1783" s="4">
        <f t="shared" si="104"/>
        <v>62</v>
      </c>
      <c r="M1783" s="4">
        <f t="shared" si="105"/>
        <v>0</v>
      </c>
    </row>
    <row r="1784" spans="1:13">
      <c r="A1784" s="4" t="str" cm="1">
        <f t="array" ref="A1784">INDEX(Sheet1!A:A,$F1784)</f>
        <v>F</v>
      </c>
      <c r="B1784" s="4" t="str" cm="1">
        <f t="array" ref="B1784">INDEX(Sheet1!B:B,$F1784)</f>
        <v>Pref SM</v>
      </c>
      <c r="C1784" s="4">
        <f t="shared" si="108"/>
        <v>88</v>
      </c>
      <c r="D1784" s="5" cm="1">
        <f t="array" aca="1" ref="D1784" ca="1">OFFSET(INDIRECT("'["&amp;$H1784&amp;"]"&amp;$I1784&amp;"'!"&amp;$J1784),$L1784,$M1784)*$K1784</f>
        <v>0.12465000000000001</v>
      </c>
      <c r="F1784" s="4">
        <f t="shared" si="109"/>
        <v>16</v>
      </c>
      <c r="G1784" s="4" cm="1">
        <f t="array" ref="G1784">IF($C1784&gt;=25,F1784,IF($C1784&lt;16,INDEX(Sheet1!C:C,$F1784),$F1784))</f>
        <v>16</v>
      </c>
      <c r="H1784" s="4" t="str" cm="1">
        <f t="array" ref="H1784">INDEX(Sheet1!D:D,$G1784)</f>
        <v>2001-cso-preferred-class-structure-mortality-tables.xls</v>
      </c>
      <c r="I1784" s="4" t="str" cm="1">
        <f t="array" ref="I1784">INDEX(Sheet1!E:E,$G1784)</f>
        <v>A.1.b.iv</v>
      </c>
      <c r="J1784" s="4" t="str" cm="1">
        <f t="array" ref="J1784">IF($C1784&gt;=25,INDEX(Sheet1!G:G,$G1784),INDEX(Sheet1!F:F,$G1784))</f>
        <v>AA8</v>
      </c>
      <c r="K1784" s="4" cm="1">
        <f t="array" ref="K1784">INDEX(Sheet1!H:H,$G1784)</f>
        <v>1E-3</v>
      </c>
      <c r="L1784" s="4">
        <f t="shared" si="104"/>
        <v>63</v>
      </c>
      <c r="M1784" s="4">
        <f t="shared" si="105"/>
        <v>0</v>
      </c>
    </row>
    <row r="1785" spans="1:13">
      <c r="A1785" s="4" t="str" cm="1">
        <f t="array" ref="A1785">INDEX(Sheet1!A:A,$F1785)</f>
        <v>F</v>
      </c>
      <c r="B1785" s="4" t="str" cm="1">
        <f t="array" ref="B1785">INDEX(Sheet1!B:B,$F1785)</f>
        <v>Pref SM</v>
      </c>
      <c r="C1785" s="4">
        <f t="shared" si="108"/>
        <v>89</v>
      </c>
      <c r="D1785" s="5" cm="1">
        <f t="array" aca="1" ref="D1785" ca="1">OFFSET(INDIRECT("'["&amp;$H1785&amp;"]"&amp;$I1785&amp;"'!"&amp;$J1785),$L1785,$M1785)*$K1785</f>
        <v>0.13609000000000002</v>
      </c>
      <c r="F1785" s="4">
        <f t="shared" si="109"/>
        <v>16</v>
      </c>
      <c r="G1785" s="4" cm="1">
        <f t="array" ref="G1785">IF($C1785&gt;=25,F1785,IF($C1785&lt;16,INDEX(Sheet1!C:C,$F1785),$F1785))</f>
        <v>16</v>
      </c>
      <c r="H1785" s="4" t="str" cm="1">
        <f t="array" ref="H1785">INDEX(Sheet1!D:D,$G1785)</f>
        <v>2001-cso-preferred-class-structure-mortality-tables.xls</v>
      </c>
      <c r="I1785" s="4" t="str" cm="1">
        <f t="array" ref="I1785">INDEX(Sheet1!E:E,$G1785)</f>
        <v>A.1.b.iv</v>
      </c>
      <c r="J1785" s="4" t="str" cm="1">
        <f t="array" ref="J1785">IF($C1785&gt;=25,INDEX(Sheet1!G:G,$G1785),INDEX(Sheet1!F:F,$G1785))</f>
        <v>AA8</v>
      </c>
      <c r="K1785" s="4" cm="1">
        <f t="array" ref="K1785">INDEX(Sheet1!H:H,$G1785)</f>
        <v>1E-3</v>
      </c>
      <c r="L1785" s="4">
        <f t="shared" si="104"/>
        <v>64</v>
      </c>
      <c r="M1785" s="4">
        <f t="shared" si="105"/>
        <v>0</v>
      </c>
    </row>
    <row r="1786" spans="1:13">
      <c r="A1786" s="4" t="str" cm="1">
        <f t="array" ref="A1786">INDEX(Sheet1!A:A,$F1786)</f>
        <v>F</v>
      </c>
      <c r="B1786" s="4" t="str" cm="1">
        <f t="array" ref="B1786">INDEX(Sheet1!B:B,$F1786)</f>
        <v>Pref SM</v>
      </c>
      <c r="C1786" s="4">
        <f t="shared" si="108"/>
        <v>90</v>
      </c>
      <c r="D1786" s="5" cm="1">
        <f t="array" aca="1" ref="D1786" ca="1">OFFSET(INDIRECT("'["&amp;$H1786&amp;"]"&amp;$I1786&amp;"'!"&amp;$J1786),$L1786,$M1786)*$K1786</f>
        <v>0.14577000000000001</v>
      </c>
      <c r="F1786" s="4">
        <f t="shared" si="109"/>
        <v>16</v>
      </c>
      <c r="G1786" s="4" cm="1">
        <f t="array" ref="G1786">IF($C1786&gt;=25,F1786,IF($C1786&lt;16,INDEX(Sheet1!C:C,$F1786),$F1786))</f>
        <v>16</v>
      </c>
      <c r="H1786" s="4" t="str" cm="1">
        <f t="array" ref="H1786">INDEX(Sheet1!D:D,$G1786)</f>
        <v>2001-cso-preferred-class-structure-mortality-tables.xls</v>
      </c>
      <c r="I1786" s="4" t="str" cm="1">
        <f t="array" ref="I1786">INDEX(Sheet1!E:E,$G1786)</f>
        <v>A.1.b.iv</v>
      </c>
      <c r="J1786" s="4" t="str" cm="1">
        <f t="array" ref="J1786">IF($C1786&gt;=25,INDEX(Sheet1!G:G,$G1786),INDEX(Sheet1!F:F,$G1786))</f>
        <v>AA8</v>
      </c>
      <c r="K1786" s="4" cm="1">
        <f t="array" ref="K1786">INDEX(Sheet1!H:H,$G1786)</f>
        <v>1E-3</v>
      </c>
      <c r="L1786" s="4">
        <f t="shared" si="104"/>
        <v>65</v>
      </c>
      <c r="M1786" s="4">
        <f t="shared" si="105"/>
        <v>0</v>
      </c>
    </row>
    <row r="1787" spans="1:13">
      <c r="A1787" s="4" t="str" cm="1">
        <f t="array" ref="A1787">INDEX(Sheet1!A:A,$F1787)</f>
        <v>F</v>
      </c>
      <c r="B1787" s="4" t="str" cm="1">
        <f t="array" ref="B1787">INDEX(Sheet1!B:B,$F1787)</f>
        <v>Pref SM</v>
      </c>
      <c r="C1787" s="4">
        <f t="shared" si="108"/>
        <v>91</v>
      </c>
      <c r="D1787" s="5" cm="1">
        <f t="array" aca="1" ref="D1787" ca="1">OFFSET(INDIRECT("'["&amp;$H1787&amp;"]"&amp;$I1787&amp;"'!"&amp;$J1787),$L1787,$M1787)*$K1787</f>
        <v>0.14909</v>
      </c>
      <c r="F1787" s="4">
        <f t="shared" si="109"/>
        <v>16</v>
      </c>
      <c r="G1787" s="4" cm="1">
        <f t="array" ref="G1787">IF($C1787&gt;=25,F1787,IF($C1787&lt;16,INDEX(Sheet1!C:C,$F1787),$F1787))</f>
        <v>16</v>
      </c>
      <c r="H1787" s="4" t="str" cm="1">
        <f t="array" ref="H1787">INDEX(Sheet1!D:D,$G1787)</f>
        <v>2001-cso-preferred-class-structure-mortality-tables.xls</v>
      </c>
      <c r="I1787" s="4" t="str" cm="1">
        <f t="array" ref="I1787">INDEX(Sheet1!E:E,$G1787)</f>
        <v>A.1.b.iv</v>
      </c>
      <c r="J1787" s="4" t="str" cm="1">
        <f t="array" ref="J1787">IF($C1787&gt;=25,INDEX(Sheet1!G:G,$G1787),INDEX(Sheet1!F:F,$G1787))</f>
        <v>AA8</v>
      </c>
      <c r="K1787" s="4" cm="1">
        <f t="array" ref="K1787">INDEX(Sheet1!H:H,$G1787)</f>
        <v>1E-3</v>
      </c>
      <c r="L1787" s="4">
        <f t="shared" si="104"/>
        <v>66</v>
      </c>
      <c r="M1787" s="4">
        <f t="shared" si="105"/>
        <v>0</v>
      </c>
    </row>
    <row r="1788" spans="1:13">
      <c r="A1788" s="4" t="str" cm="1">
        <f t="array" ref="A1788">INDEX(Sheet1!A:A,$F1788)</f>
        <v>F</v>
      </c>
      <c r="B1788" s="4" t="str" cm="1">
        <f t="array" ref="B1788">INDEX(Sheet1!B:B,$F1788)</f>
        <v>Pref SM</v>
      </c>
      <c r="C1788" s="4">
        <f t="shared" si="108"/>
        <v>92</v>
      </c>
      <c r="D1788" s="5" cm="1">
        <f t="array" aca="1" ref="D1788" ca="1">OFFSET(INDIRECT("'["&amp;$H1788&amp;"]"&amp;$I1788&amp;"'!"&amp;$J1788),$L1788,$M1788)*$K1788</f>
        <v>0.15806999999999999</v>
      </c>
      <c r="F1788" s="4">
        <f t="shared" si="109"/>
        <v>16</v>
      </c>
      <c r="G1788" s="4" cm="1">
        <f t="array" ref="G1788">IF($C1788&gt;=25,F1788,IF($C1788&lt;16,INDEX(Sheet1!C:C,$F1788),$F1788))</f>
        <v>16</v>
      </c>
      <c r="H1788" s="4" t="str" cm="1">
        <f t="array" ref="H1788">INDEX(Sheet1!D:D,$G1788)</f>
        <v>2001-cso-preferred-class-structure-mortality-tables.xls</v>
      </c>
      <c r="I1788" s="4" t="str" cm="1">
        <f t="array" ref="I1788">INDEX(Sheet1!E:E,$G1788)</f>
        <v>A.1.b.iv</v>
      </c>
      <c r="J1788" s="4" t="str" cm="1">
        <f t="array" ref="J1788">IF($C1788&gt;=25,INDEX(Sheet1!G:G,$G1788),INDEX(Sheet1!F:F,$G1788))</f>
        <v>AA8</v>
      </c>
      <c r="K1788" s="4" cm="1">
        <f t="array" ref="K1788">INDEX(Sheet1!H:H,$G1788)</f>
        <v>1E-3</v>
      </c>
      <c r="L1788" s="4">
        <f t="shared" si="104"/>
        <v>67</v>
      </c>
      <c r="M1788" s="4">
        <f t="shared" si="105"/>
        <v>0</v>
      </c>
    </row>
    <row r="1789" spans="1:13">
      <c r="A1789" s="4" t="str" cm="1">
        <f t="array" ref="A1789">INDEX(Sheet1!A:A,$F1789)</f>
        <v>F</v>
      </c>
      <c r="B1789" s="4" t="str" cm="1">
        <f t="array" ref="B1789">INDEX(Sheet1!B:B,$F1789)</f>
        <v>Pref SM</v>
      </c>
      <c r="C1789" s="4">
        <f t="shared" si="108"/>
        <v>93</v>
      </c>
      <c r="D1789" s="5" cm="1">
        <f t="array" aca="1" ref="D1789" ca="1">OFFSET(INDIRECT("'["&amp;$H1789&amp;"]"&amp;$I1789&amp;"'!"&amp;$J1789),$L1789,$M1789)*$K1789</f>
        <v>0.17183000000000001</v>
      </c>
      <c r="F1789" s="4">
        <f t="shared" si="109"/>
        <v>16</v>
      </c>
      <c r="G1789" s="4" cm="1">
        <f t="array" ref="G1789">IF($C1789&gt;=25,F1789,IF($C1789&lt;16,INDEX(Sheet1!C:C,$F1789),$F1789))</f>
        <v>16</v>
      </c>
      <c r="H1789" s="4" t="str" cm="1">
        <f t="array" ref="H1789">INDEX(Sheet1!D:D,$G1789)</f>
        <v>2001-cso-preferred-class-structure-mortality-tables.xls</v>
      </c>
      <c r="I1789" s="4" t="str" cm="1">
        <f t="array" ref="I1789">INDEX(Sheet1!E:E,$G1789)</f>
        <v>A.1.b.iv</v>
      </c>
      <c r="J1789" s="4" t="str" cm="1">
        <f t="array" ref="J1789">IF($C1789&gt;=25,INDEX(Sheet1!G:G,$G1789),INDEX(Sheet1!F:F,$G1789))</f>
        <v>AA8</v>
      </c>
      <c r="K1789" s="4" cm="1">
        <f t="array" ref="K1789">INDEX(Sheet1!H:H,$G1789)</f>
        <v>1E-3</v>
      </c>
      <c r="L1789" s="4">
        <f t="shared" si="104"/>
        <v>68</v>
      </c>
      <c r="M1789" s="4">
        <f t="shared" si="105"/>
        <v>0</v>
      </c>
    </row>
    <row r="1790" spans="1:13">
      <c r="A1790" s="4" t="str" cm="1">
        <f t="array" ref="A1790">INDEX(Sheet1!A:A,$F1790)</f>
        <v>F</v>
      </c>
      <c r="B1790" s="4" t="str" cm="1">
        <f t="array" ref="B1790">INDEX(Sheet1!B:B,$F1790)</f>
        <v>Pref SM</v>
      </c>
      <c r="C1790" s="4">
        <f t="shared" si="108"/>
        <v>94</v>
      </c>
      <c r="D1790" s="5" cm="1">
        <f t="array" aca="1" ref="D1790" ca="1">OFFSET(INDIRECT("'["&amp;$H1790&amp;"]"&amp;$I1790&amp;"'!"&amp;$J1790),$L1790,$M1790)*$K1790</f>
        <v>0.18921000000000002</v>
      </c>
      <c r="F1790" s="4">
        <f t="shared" si="109"/>
        <v>16</v>
      </c>
      <c r="G1790" s="4" cm="1">
        <f t="array" ref="G1790">IF($C1790&gt;=25,F1790,IF($C1790&lt;16,INDEX(Sheet1!C:C,$F1790),$F1790))</f>
        <v>16</v>
      </c>
      <c r="H1790" s="4" t="str" cm="1">
        <f t="array" ref="H1790">INDEX(Sheet1!D:D,$G1790)</f>
        <v>2001-cso-preferred-class-structure-mortality-tables.xls</v>
      </c>
      <c r="I1790" s="4" t="str" cm="1">
        <f t="array" ref="I1790">INDEX(Sheet1!E:E,$G1790)</f>
        <v>A.1.b.iv</v>
      </c>
      <c r="J1790" s="4" t="str" cm="1">
        <f t="array" ref="J1790">IF($C1790&gt;=25,INDEX(Sheet1!G:G,$G1790),INDEX(Sheet1!F:F,$G1790))</f>
        <v>AA8</v>
      </c>
      <c r="K1790" s="4" cm="1">
        <f t="array" ref="K1790">INDEX(Sheet1!H:H,$G1790)</f>
        <v>1E-3</v>
      </c>
      <c r="L1790" s="4">
        <f t="shared" si="104"/>
        <v>69</v>
      </c>
      <c r="M1790" s="4">
        <f t="shared" si="105"/>
        <v>0</v>
      </c>
    </row>
    <row r="1791" spans="1:13">
      <c r="A1791" s="4" t="str" cm="1">
        <f t="array" ref="A1791">INDEX(Sheet1!A:A,$F1791)</f>
        <v>F</v>
      </c>
      <c r="B1791" s="4" t="str" cm="1">
        <f t="array" ref="B1791">INDEX(Sheet1!B:B,$F1791)</f>
        <v>Pref SM</v>
      </c>
      <c r="C1791" s="4">
        <f t="shared" si="108"/>
        <v>95</v>
      </c>
      <c r="D1791" s="5" cm="1">
        <f t="array" aca="1" ref="D1791" ca="1">OFFSET(INDIRECT("'["&amp;$H1791&amp;"]"&amp;$I1791&amp;"'!"&amp;$J1791),$L1791,$M1791)*$K1791</f>
        <v>0.21496999999999999</v>
      </c>
      <c r="F1791" s="4">
        <f t="shared" si="109"/>
        <v>16</v>
      </c>
      <c r="G1791" s="4" cm="1">
        <f t="array" ref="G1791">IF($C1791&gt;=25,F1791,IF($C1791&lt;16,INDEX(Sheet1!C:C,$F1791),$F1791))</f>
        <v>16</v>
      </c>
      <c r="H1791" s="4" t="str" cm="1">
        <f t="array" ref="H1791">INDEX(Sheet1!D:D,$G1791)</f>
        <v>2001-cso-preferred-class-structure-mortality-tables.xls</v>
      </c>
      <c r="I1791" s="4" t="str" cm="1">
        <f t="array" ref="I1791">INDEX(Sheet1!E:E,$G1791)</f>
        <v>A.1.b.iv</v>
      </c>
      <c r="J1791" s="4" t="str" cm="1">
        <f t="array" ref="J1791">IF($C1791&gt;=25,INDEX(Sheet1!G:G,$G1791),INDEX(Sheet1!F:F,$G1791))</f>
        <v>AA8</v>
      </c>
      <c r="K1791" s="4" cm="1">
        <f t="array" ref="K1791">INDEX(Sheet1!H:H,$G1791)</f>
        <v>1E-3</v>
      </c>
      <c r="L1791" s="4">
        <f t="shared" si="104"/>
        <v>70</v>
      </c>
      <c r="M1791" s="4">
        <f t="shared" si="105"/>
        <v>0</v>
      </c>
    </row>
    <row r="1792" spans="1:13">
      <c r="A1792" s="4" t="str" cm="1">
        <f t="array" ref="A1792">INDEX(Sheet1!A:A,$F1792)</f>
        <v>F</v>
      </c>
      <c r="B1792" s="4" t="str" cm="1">
        <f t="array" ref="B1792">INDEX(Sheet1!B:B,$F1792)</f>
        <v>Pref SM</v>
      </c>
      <c r="C1792" s="4">
        <f t="shared" si="108"/>
        <v>96</v>
      </c>
      <c r="D1792" s="5" cm="1">
        <f t="array" aca="1" ref="D1792" ca="1">OFFSET(INDIRECT("'["&amp;$H1792&amp;"]"&amp;$I1792&amp;"'!"&amp;$J1792),$L1792,$M1792)*$K1792</f>
        <v>0.23691000000000001</v>
      </c>
      <c r="F1792" s="4">
        <f t="shared" si="109"/>
        <v>16</v>
      </c>
      <c r="G1792" s="4" cm="1">
        <f t="array" ref="G1792">IF($C1792&gt;=25,F1792,IF($C1792&lt;16,INDEX(Sheet1!C:C,$F1792),$F1792))</f>
        <v>16</v>
      </c>
      <c r="H1792" s="4" t="str" cm="1">
        <f t="array" ref="H1792">INDEX(Sheet1!D:D,$G1792)</f>
        <v>2001-cso-preferred-class-structure-mortality-tables.xls</v>
      </c>
      <c r="I1792" s="4" t="str" cm="1">
        <f t="array" ref="I1792">INDEX(Sheet1!E:E,$G1792)</f>
        <v>A.1.b.iv</v>
      </c>
      <c r="J1792" s="4" t="str" cm="1">
        <f t="array" ref="J1792">IF($C1792&gt;=25,INDEX(Sheet1!G:G,$G1792),INDEX(Sheet1!F:F,$G1792))</f>
        <v>AA8</v>
      </c>
      <c r="K1792" s="4" cm="1">
        <f t="array" ref="K1792">INDEX(Sheet1!H:H,$G1792)</f>
        <v>1E-3</v>
      </c>
      <c r="L1792" s="4">
        <f t="shared" si="104"/>
        <v>71</v>
      </c>
      <c r="M1792" s="4">
        <f t="shared" si="105"/>
        <v>0</v>
      </c>
    </row>
    <row r="1793" spans="1:13">
      <c r="A1793" s="4" t="str" cm="1">
        <f t="array" ref="A1793">INDEX(Sheet1!A:A,$F1793)</f>
        <v>F</v>
      </c>
      <c r="B1793" s="4" t="str" cm="1">
        <f t="array" ref="B1793">INDEX(Sheet1!B:B,$F1793)</f>
        <v>Pref SM</v>
      </c>
      <c r="C1793" s="4">
        <f t="shared" si="108"/>
        <v>97</v>
      </c>
      <c r="D1793" s="5" cm="1">
        <f t="array" aca="1" ref="D1793" ca="1">OFFSET(INDIRECT("'["&amp;$H1793&amp;"]"&amp;$I1793&amp;"'!"&amp;$J1793),$L1793,$M1793)*$K1793</f>
        <v>0.25895000000000001</v>
      </c>
      <c r="F1793" s="4">
        <f t="shared" si="109"/>
        <v>16</v>
      </c>
      <c r="G1793" s="4" cm="1">
        <f t="array" ref="G1793">IF($C1793&gt;=25,F1793,IF($C1793&lt;16,INDEX(Sheet1!C:C,$F1793),$F1793))</f>
        <v>16</v>
      </c>
      <c r="H1793" s="4" t="str" cm="1">
        <f t="array" ref="H1793">INDEX(Sheet1!D:D,$G1793)</f>
        <v>2001-cso-preferred-class-structure-mortality-tables.xls</v>
      </c>
      <c r="I1793" s="4" t="str" cm="1">
        <f t="array" ref="I1793">INDEX(Sheet1!E:E,$G1793)</f>
        <v>A.1.b.iv</v>
      </c>
      <c r="J1793" s="4" t="str" cm="1">
        <f t="array" ref="J1793">IF($C1793&gt;=25,INDEX(Sheet1!G:G,$G1793),INDEX(Sheet1!F:F,$G1793))</f>
        <v>AA8</v>
      </c>
      <c r="K1793" s="4" cm="1">
        <f t="array" ref="K1793">INDEX(Sheet1!H:H,$G1793)</f>
        <v>1E-3</v>
      </c>
      <c r="L1793" s="4">
        <f t="shared" si="104"/>
        <v>72</v>
      </c>
      <c r="M1793" s="4">
        <f t="shared" si="105"/>
        <v>0</v>
      </c>
    </row>
    <row r="1794" spans="1:13">
      <c r="A1794" s="4" t="str" cm="1">
        <f t="array" ref="A1794">INDEX(Sheet1!A:A,$F1794)</f>
        <v>F</v>
      </c>
      <c r="B1794" s="4" t="str" cm="1">
        <f t="array" ref="B1794">INDEX(Sheet1!B:B,$F1794)</f>
        <v>Pref SM</v>
      </c>
      <c r="C1794" s="4">
        <f t="shared" ref="C1794:C1857" si="110">IF(C1793=120,0,C1793+1)</f>
        <v>98</v>
      </c>
      <c r="D1794" s="5" cm="1">
        <f t="array" aca="1" ref="D1794" ca="1">OFFSET(INDIRECT("'["&amp;$H1794&amp;"]"&amp;$I1794&amp;"'!"&amp;$J1794),$L1794,$M1794)*$K1794</f>
        <v>0.26001000000000002</v>
      </c>
      <c r="F1794" s="4">
        <f t="shared" ref="F1794:F1857" si="111">IF(C1794=0,1,0)+F1793</f>
        <v>16</v>
      </c>
      <c r="G1794" s="4" cm="1">
        <f t="array" ref="G1794">IF($C1794&gt;=25,F1794,IF($C1794&lt;16,INDEX(Sheet1!C:C,$F1794),$F1794))</f>
        <v>16</v>
      </c>
      <c r="H1794" s="4" t="str" cm="1">
        <f t="array" ref="H1794">INDEX(Sheet1!D:D,$G1794)</f>
        <v>2001-cso-preferred-class-structure-mortality-tables.xls</v>
      </c>
      <c r="I1794" s="4" t="str" cm="1">
        <f t="array" ref="I1794">INDEX(Sheet1!E:E,$G1794)</f>
        <v>A.1.b.iv</v>
      </c>
      <c r="J1794" s="4" t="str" cm="1">
        <f t="array" ref="J1794">IF($C1794&gt;=25,INDEX(Sheet1!G:G,$G1794),INDEX(Sheet1!F:F,$G1794))</f>
        <v>AA8</v>
      </c>
      <c r="K1794" s="4" cm="1">
        <f t="array" ref="K1794">INDEX(Sheet1!H:H,$G1794)</f>
        <v>1E-3</v>
      </c>
      <c r="L1794" s="4">
        <f t="shared" si="104"/>
        <v>73</v>
      </c>
      <c r="M1794" s="4">
        <f t="shared" si="105"/>
        <v>0</v>
      </c>
    </row>
    <row r="1795" spans="1:13">
      <c r="A1795" s="4" t="str" cm="1">
        <f t="array" ref="A1795">INDEX(Sheet1!A:A,$F1795)</f>
        <v>F</v>
      </c>
      <c r="B1795" s="4" t="str" cm="1">
        <f t="array" ref="B1795">INDEX(Sheet1!B:B,$F1795)</f>
        <v>Pref SM</v>
      </c>
      <c r="C1795" s="4">
        <f t="shared" si="110"/>
        <v>99</v>
      </c>
      <c r="D1795" s="5" cm="1">
        <f t="array" aca="1" ref="D1795" ca="1">OFFSET(INDIRECT("'["&amp;$H1795&amp;"]"&amp;$I1795&amp;"'!"&amp;$J1795),$L1795,$M1795)*$K1795</f>
        <v>0.27077000000000001</v>
      </c>
      <c r="F1795" s="4">
        <f t="shared" si="111"/>
        <v>16</v>
      </c>
      <c r="G1795" s="4" cm="1">
        <f t="array" ref="G1795">IF($C1795&gt;=25,F1795,IF($C1795&lt;16,INDEX(Sheet1!C:C,$F1795),$F1795))</f>
        <v>16</v>
      </c>
      <c r="H1795" s="4" t="str" cm="1">
        <f t="array" ref="H1795">INDEX(Sheet1!D:D,$G1795)</f>
        <v>2001-cso-preferred-class-structure-mortality-tables.xls</v>
      </c>
      <c r="I1795" s="4" t="str" cm="1">
        <f t="array" ref="I1795">INDEX(Sheet1!E:E,$G1795)</f>
        <v>A.1.b.iv</v>
      </c>
      <c r="J1795" s="4" t="str" cm="1">
        <f t="array" ref="J1795">IF($C1795&gt;=25,INDEX(Sheet1!G:G,$G1795),INDEX(Sheet1!F:F,$G1795))</f>
        <v>AA8</v>
      </c>
      <c r="K1795" s="4" cm="1">
        <f t="array" ref="K1795">INDEX(Sheet1!H:H,$G1795)</f>
        <v>1E-3</v>
      </c>
      <c r="L1795" s="4">
        <f t="shared" si="104"/>
        <v>74</v>
      </c>
      <c r="M1795" s="4">
        <f t="shared" si="105"/>
        <v>0</v>
      </c>
    </row>
    <row r="1796" spans="1:13">
      <c r="A1796" s="4" t="str" cm="1">
        <f t="array" ref="A1796">INDEX(Sheet1!A:A,$F1796)</f>
        <v>F</v>
      </c>
      <c r="B1796" s="4" t="str" cm="1">
        <f t="array" ref="B1796">INDEX(Sheet1!B:B,$F1796)</f>
        <v>Pref SM</v>
      </c>
      <c r="C1796" s="4">
        <f t="shared" si="110"/>
        <v>100</v>
      </c>
      <c r="D1796" s="5" cm="1">
        <f t="array" aca="1" ref="D1796" ca="1">OFFSET(INDIRECT("'["&amp;$H1796&amp;"]"&amp;$I1796&amp;"'!"&amp;$J1796),$L1796,$M1796)*$K1796</f>
        <v>0.28926999999999997</v>
      </c>
      <c r="F1796" s="4">
        <f t="shared" si="111"/>
        <v>16</v>
      </c>
      <c r="G1796" s="4" cm="1">
        <f t="array" ref="G1796">IF($C1796&gt;=25,F1796,IF($C1796&lt;16,INDEX(Sheet1!C:C,$F1796),$F1796))</f>
        <v>16</v>
      </c>
      <c r="H1796" s="4" t="str" cm="1">
        <f t="array" ref="H1796">INDEX(Sheet1!D:D,$G1796)</f>
        <v>2001-cso-preferred-class-structure-mortality-tables.xls</v>
      </c>
      <c r="I1796" s="4" t="str" cm="1">
        <f t="array" ref="I1796">INDEX(Sheet1!E:E,$G1796)</f>
        <v>A.1.b.iv</v>
      </c>
      <c r="J1796" s="4" t="str" cm="1">
        <f t="array" ref="J1796">IF($C1796&gt;=25,INDEX(Sheet1!G:G,$G1796),INDEX(Sheet1!F:F,$G1796))</f>
        <v>AA8</v>
      </c>
      <c r="K1796" s="4" cm="1">
        <f t="array" ref="K1796">INDEX(Sheet1!H:H,$G1796)</f>
        <v>1E-3</v>
      </c>
      <c r="L1796" s="4">
        <f t="shared" si="104"/>
        <v>75</v>
      </c>
      <c r="M1796" s="4">
        <f t="shared" si="105"/>
        <v>0</v>
      </c>
    </row>
    <row r="1797" spans="1:13">
      <c r="A1797" s="4" t="str" cm="1">
        <f t="array" ref="A1797">INDEX(Sheet1!A:A,$F1797)</f>
        <v>F</v>
      </c>
      <c r="B1797" s="4" t="str" cm="1">
        <f t="array" ref="B1797">INDEX(Sheet1!B:B,$F1797)</f>
        <v>Pref SM</v>
      </c>
      <c r="C1797" s="4">
        <f t="shared" si="110"/>
        <v>101</v>
      </c>
      <c r="D1797" s="5" cm="1">
        <f t="array" aca="1" ref="D1797" ca="1">OFFSET(INDIRECT("'["&amp;$H1797&amp;"]"&amp;$I1797&amp;"'!"&amp;$J1797),$L1797,$M1797)*$K1797</f>
        <v>0.30902999999999997</v>
      </c>
      <c r="F1797" s="4">
        <f t="shared" si="111"/>
        <v>16</v>
      </c>
      <c r="G1797" s="4" cm="1">
        <f t="array" ref="G1797">IF($C1797&gt;=25,F1797,IF($C1797&lt;16,INDEX(Sheet1!C:C,$F1797),$F1797))</f>
        <v>16</v>
      </c>
      <c r="H1797" s="4" t="str" cm="1">
        <f t="array" ref="H1797">INDEX(Sheet1!D:D,$G1797)</f>
        <v>2001-cso-preferred-class-structure-mortality-tables.xls</v>
      </c>
      <c r="I1797" s="4" t="str" cm="1">
        <f t="array" ref="I1797">INDEX(Sheet1!E:E,$G1797)</f>
        <v>A.1.b.iv</v>
      </c>
      <c r="J1797" s="4" t="str" cm="1">
        <f t="array" ref="J1797">IF($C1797&gt;=25,INDEX(Sheet1!G:G,$G1797),INDEX(Sheet1!F:F,$G1797))</f>
        <v>AA8</v>
      </c>
      <c r="K1797" s="4" cm="1">
        <f t="array" ref="K1797">INDEX(Sheet1!H:H,$G1797)</f>
        <v>1E-3</v>
      </c>
      <c r="L1797" s="4">
        <f t="shared" si="104"/>
        <v>76</v>
      </c>
      <c r="M1797" s="4">
        <f t="shared" si="105"/>
        <v>0</v>
      </c>
    </row>
    <row r="1798" spans="1:13">
      <c r="A1798" s="4" t="str" cm="1">
        <f t="array" ref="A1798">INDEX(Sheet1!A:A,$F1798)</f>
        <v>F</v>
      </c>
      <c r="B1798" s="4" t="str" cm="1">
        <f t="array" ref="B1798">INDEX(Sheet1!B:B,$F1798)</f>
        <v>Pref SM</v>
      </c>
      <c r="C1798" s="4">
        <f t="shared" si="110"/>
        <v>102</v>
      </c>
      <c r="D1798" s="5" cm="1">
        <f t="array" aca="1" ref="D1798" ca="1">OFFSET(INDIRECT("'["&amp;$H1798&amp;"]"&amp;$I1798&amp;"'!"&amp;$J1798),$L1798,$M1798)*$K1798</f>
        <v>0.33077999999999996</v>
      </c>
      <c r="F1798" s="4">
        <f t="shared" si="111"/>
        <v>16</v>
      </c>
      <c r="G1798" s="4" cm="1">
        <f t="array" ref="G1798">IF($C1798&gt;=25,F1798,IF($C1798&lt;16,INDEX(Sheet1!C:C,$F1798),$F1798))</f>
        <v>16</v>
      </c>
      <c r="H1798" s="4" t="str" cm="1">
        <f t="array" ref="H1798">INDEX(Sheet1!D:D,$G1798)</f>
        <v>2001-cso-preferred-class-structure-mortality-tables.xls</v>
      </c>
      <c r="I1798" s="4" t="str" cm="1">
        <f t="array" ref="I1798">INDEX(Sheet1!E:E,$G1798)</f>
        <v>A.1.b.iv</v>
      </c>
      <c r="J1798" s="4" t="str" cm="1">
        <f t="array" ref="J1798">IF($C1798&gt;=25,INDEX(Sheet1!G:G,$G1798),INDEX(Sheet1!F:F,$G1798))</f>
        <v>AA8</v>
      </c>
      <c r="K1798" s="4" cm="1">
        <f t="array" ref="K1798">INDEX(Sheet1!H:H,$G1798)</f>
        <v>1E-3</v>
      </c>
      <c r="L1798" s="4">
        <f t="shared" si="104"/>
        <v>77</v>
      </c>
      <c r="M1798" s="4">
        <f t="shared" si="105"/>
        <v>0</v>
      </c>
    </row>
    <row r="1799" spans="1:13">
      <c r="A1799" s="4" t="str" cm="1">
        <f t="array" ref="A1799">INDEX(Sheet1!A:A,$F1799)</f>
        <v>F</v>
      </c>
      <c r="B1799" s="4" t="str" cm="1">
        <f t="array" ref="B1799">INDEX(Sheet1!B:B,$F1799)</f>
        <v>Pref SM</v>
      </c>
      <c r="C1799" s="4">
        <f t="shared" si="110"/>
        <v>103</v>
      </c>
      <c r="D1799" s="5" cm="1">
        <f t="array" aca="1" ref="D1799" ca="1">OFFSET(INDIRECT("'["&amp;$H1799&amp;"]"&amp;$I1799&amp;"'!"&amp;$J1799),$L1799,$M1799)*$K1799</f>
        <v>0.35411000000000004</v>
      </c>
      <c r="F1799" s="4">
        <f t="shared" si="111"/>
        <v>16</v>
      </c>
      <c r="G1799" s="4" cm="1">
        <f t="array" ref="G1799">IF($C1799&gt;=25,F1799,IF($C1799&lt;16,INDEX(Sheet1!C:C,$F1799),$F1799))</f>
        <v>16</v>
      </c>
      <c r="H1799" s="4" t="str" cm="1">
        <f t="array" ref="H1799">INDEX(Sheet1!D:D,$G1799)</f>
        <v>2001-cso-preferred-class-structure-mortality-tables.xls</v>
      </c>
      <c r="I1799" s="4" t="str" cm="1">
        <f t="array" ref="I1799">INDEX(Sheet1!E:E,$G1799)</f>
        <v>A.1.b.iv</v>
      </c>
      <c r="J1799" s="4" t="str" cm="1">
        <f t="array" ref="J1799">IF($C1799&gt;=25,INDEX(Sheet1!G:G,$G1799),INDEX(Sheet1!F:F,$G1799))</f>
        <v>AA8</v>
      </c>
      <c r="K1799" s="4" cm="1">
        <f t="array" ref="K1799">INDEX(Sheet1!H:H,$G1799)</f>
        <v>1E-3</v>
      </c>
      <c r="L1799" s="4">
        <f t="shared" si="104"/>
        <v>78</v>
      </c>
      <c r="M1799" s="4">
        <f t="shared" si="105"/>
        <v>0</v>
      </c>
    </row>
    <row r="1800" spans="1:13">
      <c r="A1800" s="4" t="str" cm="1">
        <f t="array" ref="A1800">INDEX(Sheet1!A:A,$F1800)</f>
        <v>F</v>
      </c>
      <c r="B1800" s="4" t="str" cm="1">
        <f t="array" ref="B1800">INDEX(Sheet1!B:B,$F1800)</f>
        <v>Pref SM</v>
      </c>
      <c r="C1800" s="4">
        <f t="shared" si="110"/>
        <v>104</v>
      </c>
      <c r="D1800" s="5" cm="1">
        <f t="array" aca="1" ref="D1800" ca="1">OFFSET(INDIRECT("'["&amp;$H1800&amp;"]"&amp;$I1800&amp;"'!"&amp;$J1800),$L1800,$M1800)*$K1800</f>
        <v>0.37941000000000003</v>
      </c>
      <c r="F1800" s="4">
        <f t="shared" si="111"/>
        <v>16</v>
      </c>
      <c r="G1800" s="4" cm="1">
        <f t="array" ref="G1800">IF($C1800&gt;=25,F1800,IF($C1800&lt;16,INDEX(Sheet1!C:C,$F1800),$F1800))</f>
        <v>16</v>
      </c>
      <c r="H1800" s="4" t="str" cm="1">
        <f t="array" ref="H1800">INDEX(Sheet1!D:D,$G1800)</f>
        <v>2001-cso-preferred-class-structure-mortality-tables.xls</v>
      </c>
      <c r="I1800" s="4" t="str" cm="1">
        <f t="array" ref="I1800">INDEX(Sheet1!E:E,$G1800)</f>
        <v>A.1.b.iv</v>
      </c>
      <c r="J1800" s="4" t="str" cm="1">
        <f t="array" ref="J1800">IF($C1800&gt;=25,INDEX(Sheet1!G:G,$G1800),INDEX(Sheet1!F:F,$G1800))</f>
        <v>AA8</v>
      </c>
      <c r="K1800" s="4" cm="1">
        <f t="array" ref="K1800">INDEX(Sheet1!H:H,$G1800)</f>
        <v>1E-3</v>
      </c>
      <c r="L1800" s="4">
        <f t="shared" si="104"/>
        <v>79</v>
      </c>
      <c r="M1800" s="4">
        <f t="shared" si="105"/>
        <v>0</v>
      </c>
    </row>
    <row r="1801" spans="1:13">
      <c r="A1801" s="4" t="str" cm="1">
        <f t="array" ref="A1801">INDEX(Sheet1!A:A,$F1801)</f>
        <v>F</v>
      </c>
      <c r="B1801" s="4" t="str" cm="1">
        <f t="array" ref="B1801">INDEX(Sheet1!B:B,$F1801)</f>
        <v>Pref SM</v>
      </c>
      <c r="C1801" s="4">
        <f t="shared" si="110"/>
        <v>105</v>
      </c>
      <c r="D1801" s="5" cm="1">
        <f t="array" aca="1" ref="D1801" ca="1">OFFSET(INDIRECT("'["&amp;$H1801&amp;"]"&amp;$I1801&amp;"'!"&amp;$J1801),$L1801,$M1801)*$K1801</f>
        <v>0.41132000000000002</v>
      </c>
      <c r="F1801" s="4">
        <f t="shared" si="111"/>
        <v>16</v>
      </c>
      <c r="G1801" s="4" cm="1">
        <f t="array" ref="G1801">IF($C1801&gt;=25,F1801,IF($C1801&lt;16,INDEX(Sheet1!C:C,$F1801),$F1801))</f>
        <v>16</v>
      </c>
      <c r="H1801" s="4" t="str" cm="1">
        <f t="array" ref="H1801">INDEX(Sheet1!D:D,$G1801)</f>
        <v>2001-cso-preferred-class-structure-mortality-tables.xls</v>
      </c>
      <c r="I1801" s="4" t="str" cm="1">
        <f t="array" ref="I1801">INDEX(Sheet1!E:E,$G1801)</f>
        <v>A.1.b.iv</v>
      </c>
      <c r="J1801" s="4" t="str" cm="1">
        <f t="array" ref="J1801">IF($C1801&gt;=25,INDEX(Sheet1!G:G,$G1801),INDEX(Sheet1!F:F,$G1801))</f>
        <v>AA8</v>
      </c>
      <c r="K1801" s="4" cm="1">
        <f t="array" ref="K1801">INDEX(Sheet1!H:H,$G1801)</f>
        <v>1E-3</v>
      </c>
      <c r="L1801" s="4">
        <f t="shared" si="104"/>
        <v>80</v>
      </c>
      <c r="M1801" s="4">
        <f t="shared" si="105"/>
        <v>0</v>
      </c>
    </row>
    <row r="1802" spans="1:13">
      <c r="A1802" s="4" t="str" cm="1">
        <f t="array" ref="A1802">INDEX(Sheet1!A:A,$F1802)</f>
        <v>F</v>
      </c>
      <c r="B1802" s="4" t="str" cm="1">
        <f t="array" ref="B1802">INDEX(Sheet1!B:B,$F1802)</f>
        <v>Pref SM</v>
      </c>
      <c r="C1802" s="4">
        <f t="shared" si="110"/>
        <v>106</v>
      </c>
      <c r="D1802" s="5" cm="1">
        <f t="array" aca="1" ref="D1802" ca="1">OFFSET(INDIRECT("'["&amp;$H1802&amp;"]"&amp;$I1802&amp;"'!"&amp;$J1802),$L1802,$M1802)*$K1802</f>
        <v>0.44401999999999997</v>
      </c>
      <c r="F1802" s="4">
        <f t="shared" si="111"/>
        <v>16</v>
      </c>
      <c r="G1802" s="4" cm="1">
        <f t="array" ref="G1802">IF($C1802&gt;=25,F1802,IF($C1802&lt;16,INDEX(Sheet1!C:C,$F1802),$F1802))</f>
        <v>16</v>
      </c>
      <c r="H1802" s="4" t="str" cm="1">
        <f t="array" ref="H1802">INDEX(Sheet1!D:D,$G1802)</f>
        <v>2001-cso-preferred-class-structure-mortality-tables.xls</v>
      </c>
      <c r="I1802" s="4" t="str" cm="1">
        <f t="array" ref="I1802">INDEX(Sheet1!E:E,$G1802)</f>
        <v>A.1.b.iv</v>
      </c>
      <c r="J1802" s="4" t="str" cm="1">
        <f t="array" ref="J1802">IF($C1802&gt;=25,INDEX(Sheet1!G:G,$G1802),INDEX(Sheet1!F:F,$G1802))</f>
        <v>AA8</v>
      </c>
      <c r="K1802" s="4" cm="1">
        <f t="array" ref="K1802">INDEX(Sheet1!H:H,$G1802)</f>
        <v>1E-3</v>
      </c>
      <c r="L1802" s="4">
        <f t="shared" si="104"/>
        <v>81</v>
      </c>
      <c r="M1802" s="4">
        <f t="shared" si="105"/>
        <v>0</v>
      </c>
    </row>
    <row r="1803" spans="1:13">
      <c r="A1803" s="4" t="str" cm="1">
        <f t="array" ref="A1803">INDEX(Sheet1!A:A,$F1803)</f>
        <v>F</v>
      </c>
      <c r="B1803" s="4" t="str" cm="1">
        <f t="array" ref="B1803">INDEX(Sheet1!B:B,$F1803)</f>
        <v>Pref SM</v>
      </c>
      <c r="C1803" s="4">
        <f t="shared" si="110"/>
        <v>107</v>
      </c>
      <c r="D1803" s="5" cm="1">
        <f t="array" aca="1" ref="D1803" ca="1">OFFSET(INDIRECT("'["&amp;$H1803&amp;"]"&amp;$I1803&amp;"'!"&amp;$J1803),$L1803,$M1803)*$K1803</f>
        <v>0.47753000000000001</v>
      </c>
      <c r="F1803" s="4">
        <f t="shared" si="111"/>
        <v>16</v>
      </c>
      <c r="G1803" s="4" cm="1">
        <f t="array" ref="G1803">IF($C1803&gt;=25,F1803,IF($C1803&lt;16,INDEX(Sheet1!C:C,$F1803),$F1803))</f>
        <v>16</v>
      </c>
      <c r="H1803" s="4" t="str" cm="1">
        <f t="array" ref="H1803">INDEX(Sheet1!D:D,$G1803)</f>
        <v>2001-cso-preferred-class-structure-mortality-tables.xls</v>
      </c>
      <c r="I1803" s="4" t="str" cm="1">
        <f t="array" ref="I1803">INDEX(Sheet1!E:E,$G1803)</f>
        <v>A.1.b.iv</v>
      </c>
      <c r="J1803" s="4" t="str" cm="1">
        <f t="array" ref="J1803">IF($C1803&gt;=25,INDEX(Sheet1!G:G,$G1803),INDEX(Sheet1!F:F,$G1803))</f>
        <v>AA8</v>
      </c>
      <c r="K1803" s="4" cm="1">
        <f t="array" ref="K1803">INDEX(Sheet1!H:H,$G1803)</f>
        <v>1E-3</v>
      </c>
      <c r="L1803" s="4">
        <f t="shared" si="104"/>
        <v>82</v>
      </c>
      <c r="M1803" s="4">
        <f t="shared" si="105"/>
        <v>0</v>
      </c>
    </row>
    <row r="1804" spans="1:13">
      <c r="A1804" s="4" t="str" cm="1">
        <f t="array" ref="A1804">INDEX(Sheet1!A:A,$F1804)</f>
        <v>F</v>
      </c>
      <c r="B1804" s="4" t="str" cm="1">
        <f t="array" ref="B1804">INDEX(Sheet1!B:B,$F1804)</f>
        <v>Pref SM</v>
      </c>
      <c r="C1804" s="4">
        <f t="shared" si="110"/>
        <v>108</v>
      </c>
      <c r="D1804" s="5" cm="1">
        <f t="array" aca="1" ref="D1804" ca="1">OFFSET(INDIRECT("'["&amp;$H1804&amp;"]"&amp;$I1804&amp;"'!"&amp;$J1804),$L1804,$M1804)*$K1804</f>
        <v>0.51124000000000003</v>
      </c>
      <c r="F1804" s="4">
        <f t="shared" si="111"/>
        <v>16</v>
      </c>
      <c r="G1804" s="4" cm="1">
        <f t="array" ref="G1804">IF($C1804&gt;=25,F1804,IF($C1804&lt;16,INDEX(Sheet1!C:C,$F1804),$F1804))</f>
        <v>16</v>
      </c>
      <c r="H1804" s="4" t="str" cm="1">
        <f t="array" ref="H1804">INDEX(Sheet1!D:D,$G1804)</f>
        <v>2001-cso-preferred-class-structure-mortality-tables.xls</v>
      </c>
      <c r="I1804" s="4" t="str" cm="1">
        <f t="array" ref="I1804">INDEX(Sheet1!E:E,$G1804)</f>
        <v>A.1.b.iv</v>
      </c>
      <c r="J1804" s="4" t="str" cm="1">
        <f t="array" ref="J1804">IF($C1804&gt;=25,INDEX(Sheet1!G:G,$G1804),INDEX(Sheet1!F:F,$G1804))</f>
        <v>AA8</v>
      </c>
      <c r="K1804" s="4" cm="1">
        <f t="array" ref="K1804">INDEX(Sheet1!H:H,$G1804)</f>
        <v>1E-3</v>
      </c>
      <c r="L1804" s="4">
        <f t="shared" si="104"/>
        <v>83</v>
      </c>
      <c r="M1804" s="4">
        <f t="shared" si="105"/>
        <v>0</v>
      </c>
    </row>
    <row r="1805" spans="1:13">
      <c r="A1805" s="4" t="str" cm="1">
        <f t="array" ref="A1805">INDEX(Sheet1!A:A,$F1805)</f>
        <v>F</v>
      </c>
      <c r="B1805" s="4" t="str" cm="1">
        <f t="array" ref="B1805">INDEX(Sheet1!B:B,$F1805)</f>
        <v>Pref SM</v>
      </c>
      <c r="C1805" s="4">
        <f t="shared" si="110"/>
        <v>109</v>
      </c>
      <c r="D1805" s="5" cm="1">
        <f t="array" aca="1" ref="D1805" ca="1">OFFSET(INDIRECT("'["&amp;$H1805&amp;"]"&amp;$I1805&amp;"'!"&amp;$J1805),$L1805,$M1805)*$K1805</f>
        <v>0.54635</v>
      </c>
      <c r="F1805" s="4">
        <f t="shared" si="111"/>
        <v>16</v>
      </c>
      <c r="G1805" s="4" cm="1">
        <f t="array" ref="G1805">IF($C1805&gt;=25,F1805,IF($C1805&lt;16,INDEX(Sheet1!C:C,$F1805),$F1805))</f>
        <v>16</v>
      </c>
      <c r="H1805" s="4" t="str" cm="1">
        <f t="array" ref="H1805">INDEX(Sheet1!D:D,$G1805)</f>
        <v>2001-cso-preferred-class-structure-mortality-tables.xls</v>
      </c>
      <c r="I1805" s="4" t="str" cm="1">
        <f t="array" ref="I1805">INDEX(Sheet1!E:E,$G1805)</f>
        <v>A.1.b.iv</v>
      </c>
      <c r="J1805" s="4" t="str" cm="1">
        <f t="array" ref="J1805">IF($C1805&gt;=25,INDEX(Sheet1!G:G,$G1805),INDEX(Sheet1!F:F,$G1805))</f>
        <v>AA8</v>
      </c>
      <c r="K1805" s="4" cm="1">
        <f t="array" ref="K1805">INDEX(Sheet1!H:H,$G1805)</f>
        <v>1E-3</v>
      </c>
      <c r="L1805" s="4">
        <f t="shared" si="104"/>
        <v>84</v>
      </c>
      <c r="M1805" s="4">
        <f t="shared" si="105"/>
        <v>0</v>
      </c>
    </row>
    <row r="1806" spans="1:13">
      <c r="A1806" s="4" t="str" cm="1">
        <f t="array" ref="A1806">INDEX(Sheet1!A:A,$F1806)</f>
        <v>F</v>
      </c>
      <c r="B1806" s="4" t="str" cm="1">
        <f t="array" ref="B1806">INDEX(Sheet1!B:B,$F1806)</f>
        <v>Pref SM</v>
      </c>
      <c r="C1806" s="4">
        <f t="shared" si="110"/>
        <v>110</v>
      </c>
      <c r="D1806" s="5" cm="1">
        <f t="array" aca="1" ref="D1806" ca="1">OFFSET(INDIRECT("'["&amp;$H1806&amp;"]"&amp;$I1806&amp;"'!"&amp;$J1806),$L1806,$M1806)*$K1806</f>
        <v>0.58226</v>
      </c>
      <c r="F1806" s="4">
        <f t="shared" si="111"/>
        <v>16</v>
      </c>
      <c r="G1806" s="4" cm="1">
        <f t="array" ref="G1806">IF($C1806&gt;=25,F1806,IF($C1806&lt;16,INDEX(Sheet1!C:C,$F1806),$F1806))</f>
        <v>16</v>
      </c>
      <c r="H1806" s="4" t="str" cm="1">
        <f t="array" ref="H1806">INDEX(Sheet1!D:D,$G1806)</f>
        <v>2001-cso-preferred-class-structure-mortality-tables.xls</v>
      </c>
      <c r="I1806" s="4" t="str" cm="1">
        <f t="array" ref="I1806">INDEX(Sheet1!E:E,$G1806)</f>
        <v>A.1.b.iv</v>
      </c>
      <c r="J1806" s="4" t="str" cm="1">
        <f t="array" ref="J1806">IF($C1806&gt;=25,INDEX(Sheet1!G:G,$G1806),INDEX(Sheet1!F:F,$G1806))</f>
        <v>AA8</v>
      </c>
      <c r="K1806" s="4" cm="1">
        <f t="array" ref="K1806">INDEX(Sheet1!H:H,$G1806)</f>
        <v>1E-3</v>
      </c>
      <c r="L1806" s="4">
        <f t="shared" si="104"/>
        <v>85</v>
      </c>
      <c r="M1806" s="4">
        <f t="shared" si="105"/>
        <v>0</v>
      </c>
    </row>
    <row r="1807" spans="1:13">
      <c r="A1807" s="4" t="str" cm="1">
        <f t="array" ref="A1807">INDEX(Sheet1!A:A,$F1807)</f>
        <v>F</v>
      </c>
      <c r="B1807" s="4" t="str" cm="1">
        <f t="array" ref="B1807">INDEX(Sheet1!B:B,$F1807)</f>
        <v>Pref SM</v>
      </c>
      <c r="C1807" s="4">
        <f t="shared" si="110"/>
        <v>111</v>
      </c>
      <c r="D1807" s="5" cm="1">
        <f t="array" aca="1" ref="D1807" ca="1">OFFSET(INDIRECT("'["&amp;$H1807&amp;"]"&amp;$I1807&amp;"'!"&amp;$J1807),$L1807,$M1807)*$K1807</f>
        <v>0.61677999999999999</v>
      </c>
      <c r="F1807" s="4">
        <f t="shared" si="111"/>
        <v>16</v>
      </c>
      <c r="G1807" s="4" cm="1">
        <f t="array" ref="G1807">IF($C1807&gt;=25,F1807,IF($C1807&lt;16,INDEX(Sheet1!C:C,$F1807),$F1807))</f>
        <v>16</v>
      </c>
      <c r="H1807" s="4" t="str" cm="1">
        <f t="array" ref="H1807">INDEX(Sheet1!D:D,$G1807)</f>
        <v>2001-cso-preferred-class-structure-mortality-tables.xls</v>
      </c>
      <c r="I1807" s="4" t="str" cm="1">
        <f t="array" ref="I1807">INDEX(Sheet1!E:E,$G1807)</f>
        <v>A.1.b.iv</v>
      </c>
      <c r="J1807" s="4" t="str" cm="1">
        <f t="array" ref="J1807">IF($C1807&gt;=25,INDEX(Sheet1!G:G,$G1807),INDEX(Sheet1!F:F,$G1807))</f>
        <v>AA8</v>
      </c>
      <c r="K1807" s="4" cm="1">
        <f t="array" ref="K1807">INDEX(Sheet1!H:H,$G1807)</f>
        <v>1E-3</v>
      </c>
      <c r="L1807" s="4">
        <f t="shared" si="104"/>
        <v>86</v>
      </c>
      <c r="M1807" s="4">
        <f t="shared" si="105"/>
        <v>0</v>
      </c>
    </row>
    <row r="1808" spans="1:13">
      <c r="A1808" s="4" t="str" cm="1">
        <f t="array" ref="A1808">INDEX(Sheet1!A:A,$F1808)</f>
        <v>F</v>
      </c>
      <c r="B1808" s="4" t="str" cm="1">
        <f t="array" ref="B1808">INDEX(Sheet1!B:B,$F1808)</f>
        <v>Pref SM</v>
      </c>
      <c r="C1808" s="4">
        <f t="shared" si="110"/>
        <v>112</v>
      </c>
      <c r="D1808" s="5" cm="1">
        <f t="array" aca="1" ref="D1808" ca="1">OFFSET(INDIRECT("'["&amp;$H1808&amp;"]"&amp;$I1808&amp;"'!"&amp;$J1808),$L1808,$M1808)*$K1808</f>
        <v>0.65024999999999999</v>
      </c>
      <c r="F1808" s="4">
        <f t="shared" si="111"/>
        <v>16</v>
      </c>
      <c r="G1808" s="4" cm="1">
        <f t="array" ref="G1808">IF($C1808&gt;=25,F1808,IF($C1808&lt;16,INDEX(Sheet1!C:C,$F1808),$F1808))</f>
        <v>16</v>
      </c>
      <c r="H1808" s="4" t="str" cm="1">
        <f t="array" ref="H1808">INDEX(Sheet1!D:D,$G1808)</f>
        <v>2001-cso-preferred-class-structure-mortality-tables.xls</v>
      </c>
      <c r="I1808" s="4" t="str" cm="1">
        <f t="array" ref="I1808">INDEX(Sheet1!E:E,$G1808)</f>
        <v>A.1.b.iv</v>
      </c>
      <c r="J1808" s="4" t="str" cm="1">
        <f t="array" ref="J1808">IF($C1808&gt;=25,INDEX(Sheet1!G:G,$G1808),INDEX(Sheet1!F:F,$G1808))</f>
        <v>AA8</v>
      </c>
      <c r="K1808" s="4" cm="1">
        <f t="array" ref="K1808">INDEX(Sheet1!H:H,$G1808)</f>
        <v>1E-3</v>
      </c>
      <c r="L1808" s="4">
        <f t="shared" si="104"/>
        <v>87</v>
      </c>
      <c r="M1808" s="4">
        <f t="shared" si="105"/>
        <v>0</v>
      </c>
    </row>
    <row r="1809" spans="1:13">
      <c r="A1809" s="4" t="str" cm="1">
        <f t="array" ref="A1809">INDEX(Sheet1!A:A,$F1809)</f>
        <v>F</v>
      </c>
      <c r="B1809" s="4" t="str" cm="1">
        <f t="array" ref="B1809">INDEX(Sheet1!B:B,$F1809)</f>
        <v>Pref SM</v>
      </c>
      <c r="C1809" s="4">
        <f t="shared" si="110"/>
        <v>113</v>
      </c>
      <c r="D1809" s="5" cm="1">
        <f t="array" aca="1" ref="D1809" ca="1">OFFSET(INDIRECT("'["&amp;$H1809&amp;"]"&amp;$I1809&amp;"'!"&amp;$J1809),$L1809,$M1809)*$K1809</f>
        <v>0.68071999999999999</v>
      </c>
      <c r="F1809" s="4">
        <f t="shared" si="111"/>
        <v>16</v>
      </c>
      <c r="G1809" s="4" cm="1">
        <f t="array" ref="G1809">IF($C1809&gt;=25,F1809,IF($C1809&lt;16,INDEX(Sheet1!C:C,$F1809),$F1809))</f>
        <v>16</v>
      </c>
      <c r="H1809" s="4" t="str" cm="1">
        <f t="array" ref="H1809">INDEX(Sheet1!D:D,$G1809)</f>
        <v>2001-cso-preferred-class-structure-mortality-tables.xls</v>
      </c>
      <c r="I1809" s="4" t="str" cm="1">
        <f t="array" ref="I1809">INDEX(Sheet1!E:E,$G1809)</f>
        <v>A.1.b.iv</v>
      </c>
      <c r="J1809" s="4" t="str" cm="1">
        <f t="array" ref="J1809">IF($C1809&gt;=25,INDEX(Sheet1!G:G,$G1809),INDEX(Sheet1!F:F,$G1809))</f>
        <v>AA8</v>
      </c>
      <c r="K1809" s="4" cm="1">
        <f t="array" ref="K1809">INDEX(Sheet1!H:H,$G1809)</f>
        <v>1E-3</v>
      </c>
      <c r="L1809" s="4">
        <f t="shared" si="104"/>
        <v>88</v>
      </c>
      <c r="M1809" s="4">
        <f t="shared" si="105"/>
        <v>0</v>
      </c>
    </row>
    <row r="1810" spans="1:13">
      <c r="A1810" s="4" t="str" cm="1">
        <f t="array" ref="A1810">INDEX(Sheet1!A:A,$F1810)</f>
        <v>F</v>
      </c>
      <c r="B1810" s="4" t="str" cm="1">
        <f t="array" ref="B1810">INDEX(Sheet1!B:B,$F1810)</f>
        <v>Pref SM</v>
      </c>
      <c r="C1810" s="4">
        <f t="shared" si="110"/>
        <v>114</v>
      </c>
      <c r="D1810" s="5" cm="1">
        <f t="array" aca="1" ref="D1810" ca="1">OFFSET(INDIRECT("'["&amp;$H1810&amp;"]"&amp;$I1810&amp;"'!"&amp;$J1810),$L1810,$M1810)*$K1810</f>
        <v>0.72369000000000006</v>
      </c>
      <c r="F1810" s="4">
        <f t="shared" si="111"/>
        <v>16</v>
      </c>
      <c r="G1810" s="4" cm="1">
        <f t="array" ref="G1810">IF($C1810&gt;=25,F1810,IF($C1810&lt;16,INDEX(Sheet1!C:C,$F1810),$F1810))</f>
        <v>16</v>
      </c>
      <c r="H1810" s="4" t="str" cm="1">
        <f t="array" ref="H1810">INDEX(Sheet1!D:D,$G1810)</f>
        <v>2001-cso-preferred-class-structure-mortality-tables.xls</v>
      </c>
      <c r="I1810" s="4" t="str" cm="1">
        <f t="array" ref="I1810">INDEX(Sheet1!E:E,$G1810)</f>
        <v>A.1.b.iv</v>
      </c>
      <c r="J1810" s="4" t="str" cm="1">
        <f t="array" ref="J1810">IF($C1810&gt;=25,INDEX(Sheet1!G:G,$G1810),INDEX(Sheet1!F:F,$G1810))</f>
        <v>AA8</v>
      </c>
      <c r="K1810" s="4" cm="1">
        <f t="array" ref="K1810">INDEX(Sheet1!H:H,$G1810)</f>
        <v>1E-3</v>
      </c>
      <c r="L1810" s="4">
        <f t="shared" si="104"/>
        <v>89</v>
      </c>
      <c r="M1810" s="4">
        <f t="shared" si="105"/>
        <v>0</v>
      </c>
    </row>
    <row r="1811" spans="1:13">
      <c r="A1811" s="4" t="str" cm="1">
        <f t="array" ref="A1811">INDEX(Sheet1!A:A,$F1811)</f>
        <v>F</v>
      </c>
      <c r="B1811" s="4" t="str" cm="1">
        <f t="array" ref="B1811">INDEX(Sheet1!B:B,$F1811)</f>
        <v>Pref SM</v>
      </c>
      <c r="C1811" s="4">
        <f t="shared" si="110"/>
        <v>115</v>
      </c>
      <c r="D1811" s="5" cm="1">
        <f t="array" aca="1" ref="D1811" ca="1">OFFSET(INDIRECT("'["&amp;$H1811&amp;"]"&amp;$I1811&amp;"'!"&amp;$J1811),$L1811,$M1811)*$K1811</f>
        <v>0.76366000000000001</v>
      </c>
      <c r="F1811" s="4">
        <f t="shared" si="111"/>
        <v>16</v>
      </c>
      <c r="G1811" s="4" cm="1">
        <f t="array" ref="G1811">IF($C1811&gt;=25,F1811,IF($C1811&lt;16,INDEX(Sheet1!C:C,$F1811),$F1811))</f>
        <v>16</v>
      </c>
      <c r="H1811" s="4" t="str" cm="1">
        <f t="array" ref="H1811">INDEX(Sheet1!D:D,$G1811)</f>
        <v>2001-cso-preferred-class-structure-mortality-tables.xls</v>
      </c>
      <c r="I1811" s="4" t="str" cm="1">
        <f t="array" ref="I1811">INDEX(Sheet1!E:E,$G1811)</f>
        <v>A.1.b.iv</v>
      </c>
      <c r="J1811" s="4" t="str" cm="1">
        <f t="array" ref="J1811">IF($C1811&gt;=25,INDEX(Sheet1!G:G,$G1811),INDEX(Sheet1!F:F,$G1811))</f>
        <v>AA8</v>
      </c>
      <c r="K1811" s="4" cm="1">
        <f t="array" ref="K1811">INDEX(Sheet1!H:H,$G1811)</f>
        <v>1E-3</v>
      </c>
      <c r="L1811" s="4">
        <f t="shared" si="104"/>
        <v>90</v>
      </c>
      <c r="M1811" s="4">
        <f t="shared" si="105"/>
        <v>0</v>
      </c>
    </row>
    <row r="1812" spans="1:13">
      <c r="A1812" s="4" t="str" cm="1">
        <f t="array" ref="A1812">INDEX(Sheet1!A:A,$F1812)</f>
        <v>F</v>
      </c>
      <c r="B1812" s="4" t="str" cm="1">
        <f t="array" ref="B1812">INDEX(Sheet1!B:B,$F1812)</f>
        <v>Pref SM</v>
      </c>
      <c r="C1812" s="4">
        <f t="shared" si="110"/>
        <v>116</v>
      </c>
      <c r="D1812" s="5" cm="1">
        <f t="array" aca="1" ref="D1812" ca="1">OFFSET(INDIRECT("'["&amp;$H1812&amp;"]"&amp;$I1812&amp;"'!"&amp;$J1812),$L1812,$M1812)*$K1812</f>
        <v>0.80512000000000006</v>
      </c>
      <c r="F1812" s="4">
        <f t="shared" si="111"/>
        <v>16</v>
      </c>
      <c r="G1812" s="4" cm="1">
        <f t="array" ref="G1812">IF($C1812&gt;=25,F1812,IF($C1812&lt;16,INDEX(Sheet1!C:C,$F1812),$F1812))</f>
        <v>16</v>
      </c>
      <c r="H1812" s="4" t="str" cm="1">
        <f t="array" ref="H1812">INDEX(Sheet1!D:D,$G1812)</f>
        <v>2001-cso-preferred-class-structure-mortality-tables.xls</v>
      </c>
      <c r="I1812" s="4" t="str" cm="1">
        <f t="array" ref="I1812">INDEX(Sheet1!E:E,$G1812)</f>
        <v>A.1.b.iv</v>
      </c>
      <c r="J1812" s="4" t="str" cm="1">
        <f t="array" ref="J1812">IF($C1812&gt;=25,INDEX(Sheet1!G:G,$G1812),INDEX(Sheet1!F:F,$G1812))</f>
        <v>AA8</v>
      </c>
      <c r="K1812" s="4" cm="1">
        <f t="array" ref="K1812">INDEX(Sheet1!H:H,$G1812)</f>
        <v>1E-3</v>
      </c>
      <c r="L1812" s="4">
        <f t="shared" si="104"/>
        <v>91</v>
      </c>
      <c r="M1812" s="4">
        <f t="shared" si="105"/>
        <v>0</v>
      </c>
    </row>
    <row r="1813" spans="1:13">
      <c r="A1813" s="4" t="str" cm="1">
        <f t="array" ref="A1813">INDEX(Sheet1!A:A,$F1813)</f>
        <v>F</v>
      </c>
      <c r="B1813" s="4" t="str" cm="1">
        <f t="array" ref="B1813">INDEX(Sheet1!B:B,$F1813)</f>
        <v>Pref SM</v>
      </c>
      <c r="C1813" s="4">
        <f t="shared" si="110"/>
        <v>117</v>
      </c>
      <c r="D1813" s="5" cm="1">
        <f t="array" aca="1" ref="D1813" ca="1">OFFSET(INDIRECT("'["&amp;$H1813&amp;"]"&amp;$I1813&amp;"'!"&amp;$J1813),$L1813,$M1813)*$K1813</f>
        <v>0.85059000000000007</v>
      </c>
      <c r="F1813" s="4">
        <f t="shared" si="111"/>
        <v>16</v>
      </c>
      <c r="G1813" s="4" cm="1">
        <f t="array" ref="G1813">IF($C1813&gt;=25,F1813,IF($C1813&lt;16,INDEX(Sheet1!C:C,$F1813),$F1813))</f>
        <v>16</v>
      </c>
      <c r="H1813" s="4" t="str" cm="1">
        <f t="array" ref="H1813">INDEX(Sheet1!D:D,$G1813)</f>
        <v>2001-cso-preferred-class-structure-mortality-tables.xls</v>
      </c>
      <c r="I1813" s="4" t="str" cm="1">
        <f t="array" ref="I1813">INDEX(Sheet1!E:E,$G1813)</f>
        <v>A.1.b.iv</v>
      </c>
      <c r="J1813" s="4" t="str" cm="1">
        <f t="array" ref="J1813">IF($C1813&gt;=25,INDEX(Sheet1!G:G,$G1813),INDEX(Sheet1!F:F,$G1813))</f>
        <v>AA8</v>
      </c>
      <c r="K1813" s="4" cm="1">
        <f t="array" ref="K1813">INDEX(Sheet1!H:H,$G1813)</f>
        <v>1E-3</v>
      </c>
      <c r="L1813" s="4">
        <f t="shared" si="104"/>
        <v>92</v>
      </c>
      <c r="M1813" s="4">
        <f t="shared" si="105"/>
        <v>0</v>
      </c>
    </row>
    <row r="1814" spans="1:13">
      <c r="A1814" s="4" t="str" cm="1">
        <f t="array" ref="A1814">INDEX(Sheet1!A:A,$F1814)</f>
        <v>F</v>
      </c>
      <c r="B1814" s="4" t="str" cm="1">
        <f t="array" ref="B1814">INDEX(Sheet1!B:B,$F1814)</f>
        <v>Pref SM</v>
      </c>
      <c r="C1814" s="4">
        <f t="shared" si="110"/>
        <v>118</v>
      </c>
      <c r="D1814" s="5" cm="1">
        <f t="array" aca="1" ref="D1814" ca="1">OFFSET(INDIRECT("'["&amp;$H1814&amp;"]"&amp;$I1814&amp;"'!"&amp;$J1814),$L1814,$M1814)*$K1814</f>
        <v>0.89254</v>
      </c>
      <c r="F1814" s="4">
        <f t="shared" si="111"/>
        <v>16</v>
      </c>
      <c r="G1814" s="4" cm="1">
        <f t="array" ref="G1814">IF($C1814&gt;=25,F1814,IF($C1814&lt;16,INDEX(Sheet1!C:C,$F1814),$F1814))</f>
        <v>16</v>
      </c>
      <c r="H1814" s="4" t="str" cm="1">
        <f t="array" ref="H1814">INDEX(Sheet1!D:D,$G1814)</f>
        <v>2001-cso-preferred-class-structure-mortality-tables.xls</v>
      </c>
      <c r="I1814" s="4" t="str" cm="1">
        <f t="array" ref="I1814">INDEX(Sheet1!E:E,$G1814)</f>
        <v>A.1.b.iv</v>
      </c>
      <c r="J1814" s="4" t="str" cm="1">
        <f t="array" ref="J1814">IF($C1814&gt;=25,INDEX(Sheet1!G:G,$G1814),INDEX(Sheet1!F:F,$G1814))</f>
        <v>AA8</v>
      </c>
      <c r="K1814" s="4" cm="1">
        <f t="array" ref="K1814">INDEX(Sheet1!H:H,$G1814)</f>
        <v>1E-3</v>
      </c>
      <c r="L1814" s="4">
        <f t="shared" si="104"/>
        <v>93</v>
      </c>
      <c r="M1814" s="4">
        <f t="shared" si="105"/>
        <v>0</v>
      </c>
    </row>
    <row r="1815" spans="1:13">
      <c r="A1815" s="4" t="str" cm="1">
        <f t="array" ref="A1815">INDEX(Sheet1!A:A,$F1815)</f>
        <v>F</v>
      </c>
      <c r="B1815" s="4" t="str" cm="1">
        <f t="array" ref="B1815">INDEX(Sheet1!B:B,$F1815)</f>
        <v>Pref SM</v>
      </c>
      <c r="C1815" s="4">
        <f t="shared" si="110"/>
        <v>119</v>
      </c>
      <c r="D1815" s="5" cm="1">
        <f t="array" aca="1" ref="D1815" ca="1">OFFSET(INDIRECT("'["&amp;$H1815&amp;"]"&amp;$I1815&amp;"'!"&amp;$J1815),$L1815,$M1815)*$K1815</f>
        <v>0.93515999999999999</v>
      </c>
      <c r="F1815" s="4">
        <f t="shared" si="111"/>
        <v>16</v>
      </c>
      <c r="G1815" s="4" cm="1">
        <f t="array" ref="G1815">IF($C1815&gt;=25,F1815,IF($C1815&lt;16,INDEX(Sheet1!C:C,$F1815),$F1815))</f>
        <v>16</v>
      </c>
      <c r="H1815" s="4" t="str" cm="1">
        <f t="array" ref="H1815">INDEX(Sheet1!D:D,$G1815)</f>
        <v>2001-cso-preferred-class-structure-mortality-tables.xls</v>
      </c>
      <c r="I1815" s="4" t="str" cm="1">
        <f t="array" ref="I1815">INDEX(Sheet1!E:E,$G1815)</f>
        <v>A.1.b.iv</v>
      </c>
      <c r="J1815" s="4" t="str" cm="1">
        <f t="array" ref="J1815">IF($C1815&gt;=25,INDEX(Sheet1!G:G,$G1815),INDEX(Sheet1!F:F,$G1815))</f>
        <v>AA8</v>
      </c>
      <c r="K1815" s="4" cm="1">
        <f t="array" ref="K1815">INDEX(Sheet1!H:H,$G1815)</f>
        <v>1E-3</v>
      </c>
      <c r="L1815" s="4">
        <f t="shared" si="104"/>
        <v>94</v>
      </c>
      <c r="M1815" s="4">
        <f t="shared" si="105"/>
        <v>0</v>
      </c>
    </row>
    <row r="1816" spans="1:13">
      <c r="A1816" s="4" t="str" cm="1">
        <f t="array" ref="A1816">INDEX(Sheet1!A:A,$F1816)</f>
        <v>F</v>
      </c>
      <c r="B1816" s="4" t="str" cm="1">
        <f t="array" ref="B1816">INDEX(Sheet1!B:B,$F1816)</f>
        <v>Pref SM</v>
      </c>
      <c r="C1816" s="4">
        <f t="shared" si="110"/>
        <v>120</v>
      </c>
      <c r="D1816" s="5" cm="1">
        <f t="array" aca="1" ref="D1816" ca="1">OFFSET(INDIRECT("'["&amp;$H1816&amp;"]"&amp;$I1816&amp;"'!"&amp;$J1816),$L1816,$M1816)*$K1816</f>
        <v>1</v>
      </c>
      <c r="F1816" s="4">
        <f t="shared" si="111"/>
        <v>16</v>
      </c>
      <c r="G1816" s="4" cm="1">
        <f t="array" ref="G1816">IF($C1816&gt;=25,F1816,IF($C1816&lt;16,INDEX(Sheet1!C:C,$F1816),$F1816))</f>
        <v>16</v>
      </c>
      <c r="H1816" s="4" t="str" cm="1">
        <f t="array" ref="H1816">INDEX(Sheet1!D:D,$G1816)</f>
        <v>2001-cso-preferred-class-structure-mortality-tables.xls</v>
      </c>
      <c r="I1816" s="4" t="str" cm="1">
        <f t="array" ref="I1816">INDEX(Sheet1!E:E,$G1816)</f>
        <v>A.1.b.iv</v>
      </c>
      <c r="J1816" s="4" t="str" cm="1">
        <f t="array" ref="J1816">IF($C1816&gt;=25,INDEX(Sheet1!G:G,$G1816),INDEX(Sheet1!F:F,$G1816))</f>
        <v>AA8</v>
      </c>
      <c r="K1816" s="4" cm="1">
        <f t="array" ref="K1816">INDEX(Sheet1!H:H,$G1816)</f>
        <v>1E-3</v>
      </c>
      <c r="L1816" s="4">
        <f t="shared" si="104"/>
        <v>95</v>
      </c>
      <c r="M1816" s="4">
        <f t="shared" si="105"/>
        <v>0</v>
      </c>
    </row>
    <row r="1817" spans="1:13">
      <c r="A1817" s="4" t="str" cm="1">
        <f t="array" ref="A1817">INDEX(Sheet1!A:A,$F1817)</f>
        <v>F</v>
      </c>
      <c r="B1817" s="4" t="str" cm="1">
        <f t="array" ref="B1817">INDEX(Sheet1!B:B,$F1817)</f>
        <v>Non-Pref SM</v>
      </c>
      <c r="C1817" s="4">
        <f t="shared" si="110"/>
        <v>0</v>
      </c>
      <c r="D1817" s="5" cm="1">
        <f t="array" aca="1" ref="D1817" ca="1">OFFSET(INDIRECT("'["&amp;$H1817&amp;"]"&amp;$I1817&amp;"'!"&amp;$J1817),$L1817,$M1817)*$K1817</f>
        <v>4.8000000000000001E-4</v>
      </c>
      <c r="F1817" s="4">
        <f t="shared" si="111"/>
        <v>17</v>
      </c>
      <c r="G1817" s="4" cm="1">
        <f t="array" ref="G1817">IF($C1817&gt;=25,F1817,IF($C1817&lt;16,INDEX(Sheet1!C:C,$F1817),$F1817))</f>
        <v>19</v>
      </c>
      <c r="H1817" s="4" t="str" cm="1">
        <f t="array" ref="H1817">INDEX(Sheet1!D:D,$G1817)</f>
        <v>t1139.xlsx</v>
      </c>
      <c r="I1817" s="4" t="str" cm="1">
        <f t="array" ref="I1817">INDEX(Sheet1!E:E,$G1817)</f>
        <v>Sheet1</v>
      </c>
      <c r="J1817" s="4" t="str" cm="1">
        <f t="array" ref="J1817">IF($C1817&gt;=25,INDEX(Sheet1!G:G,$G1817),INDEX(Sheet1!F:F,$G1817))</f>
        <v>B25</v>
      </c>
      <c r="K1817" s="4" cm="1">
        <f t="array" ref="K1817">INDEX(Sheet1!H:H,$G1817)</f>
        <v>1</v>
      </c>
      <c r="L1817" s="4">
        <f t="shared" si="104"/>
        <v>0</v>
      </c>
      <c r="M1817" s="4">
        <f t="shared" si="105"/>
        <v>0</v>
      </c>
    </row>
    <row r="1818" spans="1:13">
      <c r="A1818" s="4" t="str" cm="1">
        <f t="array" ref="A1818">INDEX(Sheet1!A:A,$F1818)</f>
        <v>F</v>
      </c>
      <c r="B1818" s="4" t="str" cm="1">
        <f t="array" ref="B1818">INDEX(Sheet1!B:B,$F1818)</f>
        <v>Non-Pref SM</v>
      </c>
      <c r="C1818" s="4">
        <f t="shared" si="110"/>
        <v>1</v>
      </c>
      <c r="D1818" s="5" cm="1">
        <f t="array" aca="1" ref="D1818" ca="1">OFFSET(INDIRECT("'["&amp;$H1818&amp;"]"&amp;$I1818&amp;"'!"&amp;$J1818),$L1818,$M1818)*$K1818</f>
        <v>3.5E-4</v>
      </c>
      <c r="F1818" s="4">
        <f t="shared" si="111"/>
        <v>17</v>
      </c>
      <c r="G1818" s="4" cm="1">
        <f t="array" ref="G1818">IF($C1818&gt;=25,F1818,IF($C1818&lt;16,INDEX(Sheet1!C:C,$F1818),$F1818))</f>
        <v>19</v>
      </c>
      <c r="H1818" s="4" t="str" cm="1">
        <f t="array" ref="H1818">INDEX(Sheet1!D:D,$G1818)</f>
        <v>t1139.xlsx</v>
      </c>
      <c r="I1818" s="4" t="str" cm="1">
        <f t="array" ref="I1818">INDEX(Sheet1!E:E,$G1818)</f>
        <v>Sheet1</v>
      </c>
      <c r="J1818" s="4" t="str" cm="1">
        <f t="array" ref="J1818">IF($C1818&gt;=25,INDEX(Sheet1!G:G,$G1818),INDEX(Sheet1!F:F,$G1818))</f>
        <v>B25</v>
      </c>
      <c r="K1818" s="4" cm="1">
        <f t="array" ref="K1818">INDEX(Sheet1!H:H,$G1818)</f>
        <v>1</v>
      </c>
      <c r="L1818" s="4">
        <f t="shared" si="104"/>
        <v>0</v>
      </c>
      <c r="M1818" s="4">
        <f t="shared" si="105"/>
        <v>1</v>
      </c>
    </row>
    <row r="1819" spans="1:13">
      <c r="A1819" s="4" t="str" cm="1">
        <f t="array" ref="A1819">INDEX(Sheet1!A:A,$F1819)</f>
        <v>F</v>
      </c>
      <c r="B1819" s="4" t="str" cm="1">
        <f t="array" ref="B1819">INDEX(Sheet1!B:B,$F1819)</f>
        <v>Non-Pref SM</v>
      </c>
      <c r="C1819" s="4">
        <f t="shared" si="110"/>
        <v>2</v>
      </c>
      <c r="D1819" s="5" cm="1">
        <f t="array" aca="1" ref="D1819" ca="1">OFFSET(INDIRECT("'["&amp;$H1819&amp;"]"&amp;$I1819&amp;"'!"&amp;$J1819),$L1819,$M1819)*$K1819</f>
        <v>2.5999999999999998E-4</v>
      </c>
      <c r="F1819" s="4">
        <f t="shared" si="111"/>
        <v>17</v>
      </c>
      <c r="G1819" s="4" cm="1">
        <f t="array" ref="G1819">IF($C1819&gt;=25,F1819,IF($C1819&lt;16,INDEX(Sheet1!C:C,$F1819),$F1819))</f>
        <v>19</v>
      </c>
      <c r="H1819" s="4" t="str" cm="1">
        <f t="array" ref="H1819">INDEX(Sheet1!D:D,$G1819)</f>
        <v>t1139.xlsx</v>
      </c>
      <c r="I1819" s="4" t="str" cm="1">
        <f t="array" ref="I1819">INDEX(Sheet1!E:E,$G1819)</f>
        <v>Sheet1</v>
      </c>
      <c r="J1819" s="4" t="str" cm="1">
        <f t="array" ref="J1819">IF($C1819&gt;=25,INDEX(Sheet1!G:G,$G1819),INDEX(Sheet1!F:F,$G1819))</f>
        <v>B25</v>
      </c>
      <c r="K1819" s="4" cm="1">
        <f t="array" ref="K1819">INDEX(Sheet1!H:H,$G1819)</f>
        <v>1</v>
      </c>
      <c r="L1819" s="4">
        <f t="shared" si="104"/>
        <v>0</v>
      </c>
      <c r="M1819" s="4">
        <f t="shared" si="105"/>
        <v>2</v>
      </c>
    </row>
    <row r="1820" spans="1:13">
      <c r="A1820" s="4" t="str" cm="1">
        <f t="array" ref="A1820">INDEX(Sheet1!A:A,$F1820)</f>
        <v>F</v>
      </c>
      <c r="B1820" s="4" t="str" cm="1">
        <f t="array" ref="B1820">INDEX(Sheet1!B:B,$F1820)</f>
        <v>Non-Pref SM</v>
      </c>
      <c r="C1820" s="4">
        <f t="shared" si="110"/>
        <v>3</v>
      </c>
      <c r="D1820" s="5" cm="1">
        <f t="array" aca="1" ref="D1820" ca="1">OFFSET(INDIRECT("'["&amp;$H1820&amp;"]"&amp;$I1820&amp;"'!"&amp;$J1820),$L1820,$M1820)*$K1820</f>
        <v>2.0000000000000001E-4</v>
      </c>
      <c r="F1820" s="4">
        <f t="shared" si="111"/>
        <v>17</v>
      </c>
      <c r="G1820" s="4" cm="1">
        <f t="array" ref="G1820">IF($C1820&gt;=25,F1820,IF($C1820&lt;16,INDEX(Sheet1!C:C,$F1820),$F1820))</f>
        <v>19</v>
      </c>
      <c r="H1820" s="4" t="str" cm="1">
        <f t="array" ref="H1820">INDEX(Sheet1!D:D,$G1820)</f>
        <v>t1139.xlsx</v>
      </c>
      <c r="I1820" s="4" t="str" cm="1">
        <f t="array" ref="I1820">INDEX(Sheet1!E:E,$G1820)</f>
        <v>Sheet1</v>
      </c>
      <c r="J1820" s="4" t="str" cm="1">
        <f t="array" ref="J1820">IF($C1820&gt;=25,INDEX(Sheet1!G:G,$G1820),INDEX(Sheet1!F:F,$G1820))</f>
        <v>B25</v>
      </c>
      <c r="K1820" s="4" cm="1">
        <f t="array" ref="K1820">INDEX(Sheet1!H:H,$G1820)</f>
        <v>1</v>
      </c>
      <c r="L1820" s="4">
        <f t="shared" si="104"/>
        <v>0</v>
      </c>
      <c r="M1820" s="4">
        <f t="shared" si="105"/>
        <v>3</v>
      </c>
    </row>
    <row r="1821" spans="1:13">
      <c r="A1821" s="4" t="str" cm="1">
        <f t="array" ref="A1821">INDEX(Sheet1!A:A,$F1821)</f>
        <v>F</v>
      </c>
      <c r="B1821" s="4" t="str" cm="1">
        <f t="array" ref="B1821">INDEX(Sheet1!B:B,$F1821)</f>
        <v>Non-Pref SM</v>
      </c>
      <c r="C1821" s="4">
        <f t="shared" si="110"/>
        <v>4</v>
      </c>
      <c r="D1821" s="5" cm="1">
        <f t="array" aca="1" ref="D1821" ca="1">OFFSET(INDIRECT("'["&amp;$H1821&amp;"]"&amp;$I1821&amp;"'!"&amp;$J1821),$L1821,$M1821)*$K1821</f>
        <v>1.9000000000000001E-4</v>
      </c>
      <c r="F1821" s="4">
        <f t="shared" si="111"/>
        <v>17</v>
      </c>
      <c r="G1821" s="4" cm="1">
        <f t="array" ref="G1821">IF($C1821&gt;=25,F1821,IF($C1821&lt;16,INDEX(Sheet1!C:C,$F1821),$F1821))</f>
        <v>19</v>
      </c>
      <c r="H1821" s="4" t="str" cm="1">
        <f t="array" ref="H1821">INDEX(Sheet1!D:D,$G1821)</f>
        <v>t1139.xlsx</v>
      </c>
      <c r="I1821" s="4" t="str" cm="1">
        <f t="array" ref="I1821">INDEX(Sheet1!E:E,$G1821)</f>
        <v>Sheet1</v>
      </c>
      <c r="J1821" s="4" t="str" cm="1">
        <f t="array" ref="J1821">IF($C1821&gt;=25,INDEX(Sheet1!G:G,$G1821),INDEX(Sheet1!F:F,$G1821))</f>
        <v>B25</v>
      </c>
      <c r="K1821" s="4" cm="1">
        <f t="array" ref="K1821">INDEX(Sheet1!H:H,$G1821)</f>
        <v>1</v>
      </c>
      <c r="L1821" s="4">
        <f t="shared" si="104"/>
        <v>0</v>
      </c>
      <c r="M1821" s="4">
        <f t="shared" si="105"/>
        <v>4</v>
      </c>
    </row>
    <row r="1822" spans="1:13">
      <c r="A1822" s="4" t="str" cm="1">
        <f t="array" ref="A1822">INDEX(Sheet1!A:A,$F1822)</f>
        <v>F</v>
      </c>
      <c r="B1822" s="4" t="str" cm="1">
        <f t="array" ref="B1822">INDEX(Sheet1!B:B,$F1822)</f>
        <v>Non-Pref SM</v>
      </c>
      <c r="C1822" s="4">
        <f t="shared" si="110"/>
        <v>5</v>
      </c>
      <c r="D1822" s="5" cm="1">
        <f t="array" aca="1" ref="D1822" ca="1">OFFSET(INDIRECT("'["&amp;$H1822&amp;"]"&amp;$I1822&amp;"'!"&amp;$J1822),$L1822,$M1822)*$K1822</f>
        <v>1.8000000000000001E-4</v>
      </c>
      <c r="F1822" s="4">
        <f t="shared" si="111"/>
        <v>17</v>
      </c>
      <c r="G1822" s="4" cm="1">
        <f t="array" ref="G1822">IF($C1822&gt;=25,F1822,IF($C1822&lt;16,INDEX(Sheet1!C:C,$F1822),$F1822))</f>
        <v>19</v>
      </c>
      <c r="H1822" s="4" t="str" cm="1">
        <f t="array" ref="H1822">INDEX(Sheet1!D:D,$G1822)</f>
        <v>t1139.xlsx</v>
      </c>
      <c r="I1822" s="4" t="str" cm="1">
        <f t="array" ref="I1822">INDEX(Sheet1!E:E,$G1822)</f>
        <v>Sheet1</v>
      </c>
      <c r="J1822" s="4" t="str" cm="1">
        <f t="array" ref="J1822">IF($C1822&gt;=25,INDEX(Sheet1!G:G,$G1822),INDEX(Sheet1!F:F,$G1822))</f>
        <v>B25</v>
      </c>
      <c r="K1822" s="4" cm="1">
        <f t="array" ref="K1822">INDEX(Sheet1!H:H,$G1822)</f>
        <v>1</v>
      </c>
      <c r="L1822" s="4">
        <f t="shared" si="104"/>
        <v>0</v>
      </c>
      <c r="M1822" s="4">
        <f t="shared" si="105"/>
        <v>5</v>
      </c>
    </row>
    <row r="1823" spans="1:13">
      <c r="A1823" s="4" t="str" cm="1">
        <f t="array" ref="A1823">INDEX(Sheet1!A:A,$F1823)</f>
        <v>F</v>
      </c>
      <c r="B1823" s="4" t="str" cm="1">
        <f t="array" ref="B1823">INDEX(Sheet1!B:B,$F1823)</f>
        <v>Non-Pref SM</v>
      </c>
      <c r="C1823" s="4">
        <f t="shared" si="110"/>
        <v>6</v>
      </c>
      <c r="D1823" s="5" cm="1">
        <f t="array" aca="1" ref="D1823" ca="1">OFFSET(INDIRECT("'["&amp;$H1823&amp;"]"&amp;$I1823&amp;"'!"&amp;$J1823),$L1823,$M1823)*$K1823</f>
        <v>1.8000000000000001E-4</v>
      </c>
      <c r="F1823" s="4">
        <f t="shared" si="111"/>
        <v>17</v>
      </c>
      <c r="G1823" s="4" cm="1">
        <f t="array" ref="G1823">IF($C1823&gt;=25,F1823,IF($C1823&lt;16,INDEX(Sheet1!C:C,$F1823),$F1823))</f>
        <v>19</v>
      </c>
      <c r="H1823" s="4" t="str" cm="1">
        <f t="array" ref="H1823">INDEX(Sheet1!D:D,$G1823)</f>
        <v>t1139.xlsx</v>
      </c>
      <c r="I1823" s="4" t="str" cm="1">
        <f t="array" ref="I1823">INDEX(Sheet1!E:E,$G1823)</f>
        <v>Sheet1</v>
      </c>
      <c r="J1823" s="4" t="str" cm="1">
        <f t="array" ref="J1823">IF($C1823&gt;=25,INDEX(Sheet1!G:G,$G1823),INDEX(Sheet1!F:F,$G1823))</f>
        <v>B25</v>
      </c>
      <c r="K1823" s="4" cm="1">
        <f t="array" ref="K1823">INDEX(Sheet1!H:H,$G1823)</f>
        <v>1</v>
      </c>
      <c r="L1823" s="4">
        <f t="shared" si="104"/>
        <v>0</v>
      </c>
      <c r="M1823" s="4">
        <f t="shared" si="105"/>
        <v>6</v>
      </c>
    </row>
    <row r="1824" spans="1:13">
      <c r="A1824" s="4" t="str" cm="1">
        <f t="array" ref="A1824">INDEX(Sheet1!A:A,$F1824)</f>
        <v>F</v>
      </c>
      <c r="B1824" s="4" t="str" cm="1">
        <f t="array" ref="B1824">INDEX(Sheet1!B:B,$F1824)</f>
        <v>Non-Pref SM</v>
      </c>
      <c r="C1824" s="4">
        <f t="shared" si="110"/>
        <v>7</v>
      </c>
      <c r="D1824" s="5" cm="1">
        <f t="array" aca="1" ref="D1824" ca="1">OFFSET(INDIRECT("'["&amp;$H1824&amp;"]"&amp;$I1824&amp;"'!"&amp;$J1824),$L1824,$M1824)*$K1824</f>
        <v>2.1000000000000001E-4</v>
      </c>
      <c r="F1824" s="4">
        <f t="shared" si="111"/>
        <v>17</v>
      </c>
      <c r="G1824" s="4" cm="1">
        <f t="array" ref="G1824">IF($C1824&gt;=25,F1824,IF($C1824&lt;16,INDEX(Sheet1!C:C,$F1824),$F1824))</f>
        <v>19</v>
      </c>
      <c r="H1824" s="4" t="str" cm="1">
        <f t="array" ref="H1824">INDEX(Sheet1!D:D,$G1824)</f>
        <v>t1139.xlsx</v>
      </c>
      <c r="I1824" s="4" t="str" cm="1">
        <f t="array" ref="I1824">INDEX(Sheet1!E:E,$G1824)</f>
        <v>Sheet1</v>
      </c>
      <c r="J1824" s="4" t="str" cm="1">
        <f t="array" ref="J1824">IF($C1824&gt;=25,INDEX(Sheet1!G:G,$G1824),INDEX(Sheet1!F:F,$G1824))</f>
        <v>B25</v>
      </c>
      <c r="K1824" s="4" cm="1">
        <f t="array" ref="K1824">INDEX(Sheet1!H:H,$G1824)</f>
        <v>1</v>
      </c>
      <c r="L1824" s="4">
        <f t="shared" si="104"/>
        <v>0</v>
      </c>
      <c r="M1824" s="4">
        <f t="shared" si="105"/>
        <v>7</v>
      </c>
    </row>
    <row r="1825" spans="1:13">
      <c r="A1825" s="4" t="str" cm="1">
        <f t="array" ref="A1825">INDEX(Sheet1!A:A,$F1825)</f>
        <v>F</v>
      </c>
      <c r="B1825" s="4" t="str" cm="1">
        <f t="array" ref="B1825">INDEX(Sheet1!B:B,$F1825)</f>
        <v>Non-Pref SM</v>
      </c>
      <c r="C1825" s="4">
        <f t="shared" si="110"/>
        <v>8</v>
      </c>
      <c r="D1825" s="5" cm="1">
        <f t="array" aca="1" ref="D1825" ca="1">OFFSET(INDIRECT("'["&amp;$H1825&amp;"]"&amp;$I1825&amp;"'!"&amp;$J1825),$L1825,$M1825)*$K1825</f>
        <v>2.1000000000000001E-4</v>
      </c>
      <c r="F1825" s="4">
        <f t="shared" si="111"/>
        <v>17</v>
      </c>
      <c r="G1825" s="4" cm="1">
        <f t="array" ref="G1825">IF($C1825&gt;=25,F1825,IF($C1825&lt;16,INDEX(Sheet1!C:C,$F1825),$F1825))</f>
        <v>19</v>
      </c>
      <c r="H1825" s="4" t="str" cm="1">
        <f t="array" ref="H1825">INDEX(Sheet1!D:D,$G1825)</f>
        <v>t1139.xlsx</v>
      </c>
      <c r="I1825" s="4" t="str" cm="1">
        <f t="array" ref="I1825">INDEX(Sheet1!E:E,$G1825)</f>
        <v>Sheet1</v>
      </c>
      <c r="J1825" s="4" t="str" cm="1">
        <f t="array" ref="J1825">IF($C1825&gt;=25,INDEX(Sheet1!G:G,$G1825),INDEX(Sheet1!F:F,$G1825))</f>
        <v>B25</v>
      </c>
      <c r="K1825" s="4" cm="1">
        <f t="array" ref="K1825">INDEX(Sheet1!H:H,$G1825)</f>
        <v>1</v>
      </c>
      <c r="L1825" s="4">
        <f t="shared" si="104"/>
        <v>0</v>
      </c>
      <c r="M1825" s="4">
        <f t="shared" si="105"/>
        <v>8</v>
      </c>
    </row>
    <row r="1826" spans="1:13">
      <c r="A1826" s="4" t="str" cm="1">
        <f t="array" ref="A1826">INDEX(Sheet1!A:A,$F1826)</f>
        <v>F</v>
      </c>
      <c r="B1826" s="4" t="str" cm="1">
        <f t="array" ref="B1826">INDEX(Sheet1!B:B,$F1826)</f>
        <v>Non-Pref SM</v>
      </c>
      <c r="C1826" s="4">
        <f t="shared" si="110"/>
        <v>9</v>
      </c>
      <c r="D1826" s="5" cm="1">
        <f t="array" aca="1" ref="D1826" ca="1">OFFSET(INDIRECT("'["&amp;$H1826&amp;"]"&amp;$I1826&amp;"'!"&amp;$J1826),$L1826,$M1826)*$K1826</f>
        <v>2.1000000000000001E-4</v>
      </c>
      <c r="F1826" s="4">
        <f t="shared" si="111"/>
        <v>17</v>
      </c>
      <c r="G1826" s="4" cm="1">
        <f t="array" ref="G1826">IF($C1826&gt;=25,F1826,IF($C1826&lt;16,INDEX(Sheet1!C:C,$F1826),$F1826))</f>
        <v>19</v>
      </c>
      <c r="H1826" s="4" t="str" cm="1">
        <f t="array" ref="H1826">INDEX(Sheet1!D:D,$G1826)</f>
        <v>t1139.xlsx</v>
      </c>
      <c r="I1826" s="4" t="str" cm="1">
        <f t="array" ref="I1826">INDEX(Sheet1!E:E,$G1826)</f>
        <v>Sheet1</v>
      </c>
      <c r="J1826" s="4" t="str" cm="1">
        <f t="array" ref="J1826">IF($C1826&gt;=25,INDEX(Sheet1!G:G,$G1826),INDEX(Sheet1!F:F,$G1826))</f>
        <v>B25</v>
      </c>
      <c r="K1826" s="4" cm="1">
        <f t="array" ref="K1826">INDEX(Sheet1!H:H,$G1826)</f>
        <v>1</v>
      </c>
      <c r="L1826" s="4">
        <f t="shared" si="104"/>
        <v>0</v>
      </c>
      <c r="M1826" s="4">
        <f t="shared" si="105"/>
        <v>9</v>
      </c>
    </row>
    <row r="1827" spans="1:13">
      <c r="A1827" s="4" t="str" cm="1">
        <f t="array" ref="A1827">INDEX(Sheet1!A:A,$F1827)</f>
        <v>F</v>
      </c>
      <c r="B1827" s="4" t="str" cm="1">
        <f t="array" ref="B1827">INDEX(Sheet1!B:B,$F1827)</f>
        <v>Non-Pref SM</v>
      </c>
      <c r="C1827" s="4">
        <f t="shared" si="110"/>
        <v>10</v>
      </c>
      <c r="D1827" s="5" cm="1">
        <f t="array" aca="1" ref="D1827" ca="1">OFFSET(INDIRECT("'["&amp;$H1827&amp;"]"&amp;$I1827&amp;"'!"&amp;$J1827),$L1827,$M1827)*$K1827</f>
        <v>2.2000000000000001E-4</v>
      </c>
      <c r="F1827" s="4">
        <f t="shared" si="111"/>
        <v>17</v>
      </c>
      <c r="G1827" s="4" cm="1">
        <f t="array" ref="G1827">IF($C1827&gt;=25,F1827,IF($C1827&lt;16,INDEX(Sheet1!C:C,$F1827),$F1827))</f>
        <v>19</v>
      </c>
      <c r="H1827" s="4" t="str" cm="1">
        <f t="array" ref="H1827">INDEX(Sheet1!D:D,$G1827)</f>
        <v>t1139.xlsx</v>
      </c>
      <c r="I1827" s="4" t="str" cm="1">
        <f t="array" ref="I1827">INDEX(Sheet1!E:E,$G1827)</f>
        <v>Sheet1</v>
      </c>
      <c r="J1827" s="4" t="str" cm="1">
        <f t="array" ref="J1827">IF($C1827&gt;=25,INDEX(Sheet1!G:G,$G1827),INDEX(Sheet1!F:F,$G1827))</f>
        <v>B25</v>
      </c>
      <c r="K1827" s="4" cm="1">
        <f t="array" ref="K1827">INDEX(Sheet1!H:H,$G1827)</f>
        <v>1</v>
      </c>
      <c r="L1827" s="4">
        <f t="shared" si="104"/>
        <v>0</v>
      </c>
      <c r="M1827" s="4">
        <f t="shared" si="105"/>
        <v>10</v>
      </c>
    </row>
    <row r="1828" spans="1:13">
      <c r="A1828" s="4" t="str" cm="1">
        <f t="array" ref="A1828">INDEX(Sheet1!A:A,$F1828)</f>
        <v>F</v>
      </c>
      <c r="B1828" s="4" t="str" cm="1">
        <f t="array" ref="B1828">INDEX(Sheet1!B:B,$F1828)</f>
        <v>Non-Pref SM</v>
      </c>
      <c r="C1828" s="4">
        <f t="shared" si="110"/>
        <v>11</v>
      </c>
      <c r="D1828" s="5" cm="1">
        <f t="array" aca="1" ref="D1828" ca="1">OFFSET(INDIRECT("'["&amp;$H1828&amp;"]"&amp;$I1828&amp;"'!"&amp;$J1828),$L1828,$M1828)*$K1828</f>
        <v>2.3000000000000001E-4</v>
      </c>
      <c r="F1828" s="4">
        <f t="shared" si="111"/>
        <v>17</v>
      </c>
      <c r="G1828" s="4" cm="1">
        <f t="array" ref="G1828">IF($C1828&gt;=25,F1828,IF($C1828&lt;16,INDEX(Sheet1!C:C,$F1828),$F1828))</f>
        <v>19</v>
      </c>
      <c r="H1828" s="4" t="str" cm="1">
        <f t="array" ref="H1828">INDEX(Sheet1!D:D,$G1828)</f>
        <v>t1139.xlsx</v>
      </c>
      <c r="I1828" s="4" t="str" cm="1">
        <f t="array" ref="I1828">INDEX(Sheet1!E:E,$G1828)</f>
        <v>Sheet1</v>
      </c>
      <c r="J1828" s="4" t="str" cm="1">
        <f t="array" ref="J1828">IF($C1828&gt;=25,INDEX(Sheet1!G:G,$G1828),INDEX(Sheet1!F:F,$G1828))</f>
        <v>B25</v>
      </c>
      <c r="K1828" s="4" cm="1">
        <f t="array" ref="K1828">INDEX(Sheet1!H:H,$G1828)</f>
        <v>1</v>
      </c>
      <c r="L1828" s="4">
        <f t="shared" si="104"/>
        <v>0</v>
      </c>
      <c r="M1828" s="4">
        <f t="shared" si="105"/>
        <v>11</v>
      </c>
    </row>
    <row r="1829" spans="1:13">
      <c r="A1829" s="4" t="str" cm="1">
        <f t="array" ref="A1829">INDEX(Sheet1!A:A,$F1829)</f>
        <v>F</v>
      </c>
      <c r="B1829" s="4" t="str" cm="1">
        <f t="array" ref="B1829">INDEX(Sheet1!B:B,$F1829)</f>
        <v>Non-Pref SM</v>
      </c>
      <c r="C1829" s="4">
        <f t="shared" si="110"/>
        <v>12</v>
      </c>
      <c r="D1829" s="5" cm="1">
        <f t="array" aca="1" ref="D1829" ca="1">OFFSET(INDIRECT("'["&amp;$H1829&amp;"]"&amp;$I1829&amp;"'!"&amp;$J1829),$L1829,$M1829)*$K1829</f>
        <v>2.7E-4</v>
      </c>
      <c r="F1829" s="4">
        <f t="shared" si="111"/>
        <v>17</v>
      </c>
      <c r="G1829" s="4" cm="1">
        <f t="array" ref="G1829">IF($C1829&gt;=25,F1829,IF($C1829&lt;16,INDEX(Sheet1!C:C,$F1829),$F1829))</f>
        <v>19</v>
      </c>
      <c r="H1829" s="4" t="str" cm="1">
        <f t="array" ref="H1829">INDEX(Sheet1!D:D,$G1829)</f>
        <v>t1139.xlsx</v>
      </c>
      <c r="I1829" s="4" t="str" cm="1">
        <f t="array" ref="I1829">INDEX(Sheet1!E:E,$G1829)</f>
        <v>Sheet1</v>
      </c>
      <c r="J1829" s="4" t="str" cm="1">
        <f t="array" ref="J1829">IF($C1829&gt;=25,INDEX(Sheet1!G:G,$G1829),INDEX(Sheet1!F:F,$G1829))</f>
        <v>B25</v>
      </c>
      <c r="K1829" s="4" cm="1">
        <f t="array" ref="K1829">INDEX(Sheet1!H:H,$G1829)</f>
        <v>1</v>
      </c>
      <c r="L1829" s="4">
        <f t="shared" si="104"/>
        <v>0</v>
      </c>
      <c r="M1829" s="4">
        <f t="shared" si="105"/>
        <v>12</v>
      </c>
    </row>
    <row r="1830" spans="1:13">
      <c r="A1830" s="4" t="str" cm="1">
        <f t="array" ref="A1830">INDEX(Sheet1!A:A,$F1830)</f>
        <v>F</v>
      </c>
      <c r="B1830" s="4" t="str" cm="1">
        <f t="array" ref="B1830">INDEX(Sheet1!B:B,$F1830)</f>
        <v>Non-Pref SM</v>
      </c>
      <c r="C1830" s="4">
        <f t="shared" si="110"/>
        <v>13</v>
      </c>
      <c r="D1830" s="5" cm="1">
        <f t="array" aca="1" ref="D1830" ca="1">OFFSET(INDIRECT("'["&amp;$H1830&amp;"]"&amp;$I1830&amp;"'!"&amp;$J1830),$L1830,$M1830)*$K1830</f>
        <v>2.9999999999999997E-4</v>
      </c>
      <c r="F1830" s="4">
        <f t="shared" si="111"/>
        <v>17</v>
      </c>
      <c r="G1830" s="4" cm="1">
        <f t="array" ref="G1830">IF($C1830&gt;=25,F1830,IF($C1830&lt;16,INDEX(Sheet1!C:C,$F1830),$F1830))</f>
        <v>19</v>
      </c>
      <c r="H1830" s="4" t="str" cm="1">
        <f t="array" ref="H1830">INDEX(Sheet1!D:D,$G1830)</f>
        <v>t1139.xlsx</v>
      </c>
      <c r="I1830" s="4" t="str" cm="1">
        <f t="array" ref="I1830">INDEX(Sheet1!E:E,$G1830)</f>
        <v>Sheet1</v>
      </c>
      <c r="J1830" s="4" t="str" cm="1">
        <f t="array" ref="J1830">IF($C1830&gt;=25,INDEX(Sheet1!G:G,$G1830),INDEX(Sheet1!F:F,$G1830))</f>
        <v>B25</v>
      </c>
      <c r="K1830" s="4" cm="1">
        <f t="array" ref="K1830">INDEX(Sheet1!H:H,$G1830)</f>
        <v>1</v>
      </c>
      <c r="L1830" s="4">
        <f t="shared" si="104"/>
        <v>0</v>
      </c>
      <c r="M1830" s="4">
        <f t="shared" si="105"/>
        <v>13</v>
      </c>
    </row>
    <row r="1831" spans="1:13">
      <c r="A1831" s="4" t="str" cm="1">
        <f t="array" ref="A1831">INDEX(Sheet1!A:A,$F1831)</f>
        <v>F</v>
      </c>
      <c r="B1831" s="4" t="str" cm="1">
        <f t="array" ref="B1831">INDEX(Sheet1!B:B,$F1831)</f>
        <v>Non-Pref SM</v>
      </c>
      <c r="C1831" s="4">
        <f t="shared" si="110"/>
        <v>14</v>
      </c>
      <c r="D1831" s="5" cm="1">
        <f t="array" aca="1" ref="D1831" ca="1">OFFSET(INDIRECT("'["&amp;$H1831&amp;"]"&amp;$I1831&amp;"'!"&amp;$J1831),$L1831,$M1831)*$K1831</f>
        <v>3.3E-4</v>
      </c>
      <c r="F1831" s="4">
        <f t="shared" si="111"/>
        <v>17</v>
      </c>
      <c r="G1831" s="4" cm="1">
        <f t="array" ref="G1831">IF($C1831&gt;=25,F1831,IF($C1831&lt;16,INDEX(Sheet1!C:C,$F1831),$F1831))</f>
        <v>19</v>
      </c>
      <c r="H1831" s="4" t="str" cm="1">
        <f t="array" ref="H1831">INDEX(Sheet1!D:D,$G1831)</f>
        <v>t1139.xlsx</v>
      </c>
      <c r="I1831" s="4" t="str" cm="1">
        <f t="array" ref="I1831">INDEX(Sheet1!E:E,$G1831)</f>
        <v>Sheet1</v>
      </c>
      <c r="J1831" s="4" t="str" cm="1">
        <f t="array" ref="J1831">IF($C1831&gt;=25,INDEX(Sheet1!G:G,$G1831),INDEX(Sheet1!F:F,$G1831))</f>
        <v>B25</v>
      </c>
      <c r="K1831" s="4" cm="1">
        <f t="array" ref="K1831">INDEX(Sheet1!H:H,$G1831)</f>
        <v>1</v>
      </c>
      <c r="L1831" s="4">
        <f t="shared" si="104"/>
        <v>0</v>
      </c>
      <c r="M1831" s="4">
        <f t="shared" si="105"/>
        <v>14</v>
      </c>
    </row>
    <row r="1832" spans="1:13">
      <c r="A1832" s="4" t="str" cm="1">
        <f t="array" ref="A1832">INDEX(Sheet1!A:A,$F1832)</f>
        <v>F</v>
      </c>
      <c r="B1832" s="4" t="str" cm="1">
        <f t="array" ref="B1832">INDEX(Sheet1!B:B,$F1832)</f>
        <v>Non-Pref SM</v>
      </c>
      <c r="C1832" s="4">
        <f t="shared" si="110"/>
        <v>15</v>
      </c>
      <c r="D1832" s="5" cm="1">
        <f t="array" aca="1" ref="D1832" ca="1">OFFSET(INDIRECT("'["&amp;$H1832&amp;"]"&amp;$I1832&amp;"'!"&amp;$J1832),$L1832,$M1832)*$K1832</f>
        <v>3.5E-4</v>
      </c>
      <c r="F1832" s="4">
        <f t="shared" si="111"/>
        <v>17</v>
      </c>
      <c r="G1832" s="4" cm="1">
        <f t="array" ref="G1832">IF($C1832&gt;=25,F1832,IF($C1832&lt;16,INDEX(Sheet1!C:C,$F1832),$F1832))</f>
        <v>19</v>
      </c>
      <c r="H1832" s="4" t="str" cm="1">
        <f t="array" ref="H1832">INDEX(Sheet1!D:D,$G1832)</f>
        <v>t1139.xlsx</v>
      </c>
      <c r="I1832" s="4" t="str" cm="1">
        <f t="array" ref="I1832">INDEX(Sheet1!E:E,$G1832)</f>
        <v>Sheet1</v>
      </c>
      <c r="J1832" s="4" t="str" cm="1">
        <f t="array" ref="J1832">IF($C1832&gt;=25,INDEX(Sheet1!G:G,$G1832),INDEX(Sheet1!F:F,$G1832))</f>
        <v>B25</v>
      </c>
      <c r="K1832" s="4" cm="1">
        <f t="array" ref="K1832">INDEX(Sheet1!H:H,$G1832)</f>
        <v>1</v>
      </c>
      <c r="L1832" s="4">
        <f t="shared" si="104"/>
        <v>0</v>
      </c>
      <c r="M1832" s="4">
        <f t="shared" si="105"/>
        <v>15</v>
      </c>
    </row>
    <row r="1833" spans="1:13">
      <c r="A1833" s="4" t="str" cm="1">
        <f t="array" ref="A1833">INDEX(Sheet1!A:A,$F1833)</f>
        <v>F</v>
      </c>
      <c r="B1833" s="4" t="str" cm="1">
        <f t="array" ref="B1833">INDEX(Sheet1!B:B,$F1833)</f>
        <v>Non-Pref SM</v>
      </c>
      <c r="C1833" s="4">
        <f t="shared" si="110"/>
        <v>16</v>
      </c>
      <c r="D1833" s="5" cm="1">
        <f t="array" aca="1" ref="D1833" ca="1">OFFSET(INDIRECT("'["&amp;$H1833&amp;"]"&amp;$I1833&amp;"'!"&amp;$J1833),$L1833,$M1833)*$K1833</f>
        <v>4.6000000000000001E-4</v>
      </c>
      <c r="F1833" s="4">
        <f t="shared" si="111"/>
        <v>17</v>
      </c>
      <c r="G1833" s="4" cm="1">
        <f t="array" ref="G1833">IF($C1833&gt;=25,F1833,IF($C1833&lt;16,INDEX(Sheet1!C:C,$F1833),$F1833))</f>
        <v>17</v>
      </c>
      <c r="H1833" s="4" t="str" cm="1">
        <f t="array" ref="H1833">INDEX(Sheet1!D:D,$G1833)</f>
        <v>2001-cso-preferred-class-structure-mortality-tables.xls</v>
      </c>
      <c r="I1833" s="4" t="str" cm="1">
        <f t="array" ref="I1833">INDEX(Sheet1!E:E,$G1833)</f>
        <v>A.1.b.v</v>
      </c>
      <c r="J1833" s="4" t="str" cm="1">
        <f t="array" ref="J1833">IF($C1833&gt;=25,INDEX(Sheet1!G:G,$G1833),INDEX(Sheet1!F:F,$G1833))</f>
        <v>B8</v>
      </c>
      <c r="K1833" s="4" cm="1">
        <f t="array" ref="K1833">INDEX(Sheet1!H:H,$G1833)</f>
        <v>1E-3</v>
      </c>
      <c r="L1833" s="4">
        <f t="shared" si="104"/>
        <v>0</v>
      </c>
      <c r="M1833" s="4">
        <f t="shared" si="105"/>
        <v>16</v>
      </c>
    </row>
    <row r="1834" spans="1:13">
      <c r="A1834" s="4" t="str" cm="1">
        <f t="array" ref="A1834">INDEX(Sheet1!A:A,$F1834)</f>
        <v>F</v>
      </c>
      <c r="B1834" s="4" t="str" cm="1">
        <f t="array" ref="B1834">INDEX(Sheet1!B:B,$F1834)</f>
        <v>Non-Pref SM</v>
      </c>
      <c r="C1834" s="4">
        <f t="shared" si="110"/>
        <v>17</v>
      </c>
      <c r="D1834" s="5" cm="1">
        <f t="array" aca="1" ref="D1834" ca="1">OFFSET(INDIRECT("'["&amp;$H1834&amp;"]"&amp;$I1834&amp;"'!"&amp;$J1834),$L1834,$M1834)*$K1834</f>
        <v>5.1000000000000004E-4</v>
      </c>
      <c r="F1834" s="4">
        <f t="shared" si="111"/>
        <v>17</v>
      </c>
      <c r="G1834" s="4" cm="1">
        <f t="array" ref="G1834">IF($C1834&gt;=25,F1834,IF($C1834&lt;16,INDEX(Sheet1!C:C,$F1834),$F1834))</f>
        <v>17</v>
      </c>
      <c r="H1834" s="4" t="str" cm="1">
        <f t="array" ref="H1834">INDEX(Sheet1!D:D,$G1834)</f>
        <v>2001-cso-preferred-class-structure-mortality-tables.xls</v>
      </c>
      <c r="I1834" s="4" t="str" cm="1">
        <f t="array" ref="I1834">INDEX(Sheet1!E:E,$G1834)</f>
        <v>A.1.b.v</v>
      </c>
      <c r="J1834" s="4" t="str" cm="1">
        <f t="array" ref="J1834">IF($C1834&gt;=25,INDEX(Sheet1!G:G,$G1834),INDEX(Sheet1!F:F,$G1834))</f>
        <v>B8</v>
      </c>
      <c r="K1834" s="4" cm="1">
        <f t="array" ref="K1834">INDEX(Sheet1!H:H,$G1834)</f>
        <v>1E-3</v>
      </c>
      <c r="L1834" s="4">
        <f t="shared" si="104"/>
        <v>0</v>
      </c>
      <c r="M1834" s="4">
        <f t="shared" si="105"/>
        <v>17</v>
      </c>
    </row>
    <row r="1835" spans="1:13">
      <c r="A1835" s="4" t="str" cm="1">
        <f t="array" ref="A1835">INDEX(Sheet1!A:A,$F1835)</f>
        <v>F</v>
      </c>
      <c r="B1835" s="4" t="str" cm="1">
        <f t="array" ref="B1835">INDEX(Sheet1!B:B,$F1835)</f>
        <v>Non-Pref SM</v>
      </c>
      <c r="C1835" s="4">
        <f t="shared" si="110"/>
        <v>18</v>
      </c>
      <c r="D1835" s="5" cm="1">
        <f t="array" aca="1" ref="D1835" ca="1">OFFSET(INDIRECT("'["&amp;$H1835&amp;"]"&amp;$I1835&amp;"'!"&amp;$J1835),$L1835,$M1835)*$K1835</f>
        <v>5.5000000000000003E-4</v>
      </c>
      <c r="F1835" s="4">
        <f t="shared" si="111"/>
        <v>17</v>
      </c>
      <c r="G1835" s="4" cm="1">
        <f t="array" ref="G1835">IF($C1835&gt;=25,F1835,IF($C1835&lt;16,INDEX(Sheet1!C:C,$F1835),$F1835))</f>
        <v>17</v>
      </c>
      <c r="H1835" s="4" t="str" cm="1">
        <f t="array" ref="H1835">INDEX(Sheet1!D:D,$G1835)</f>
        <v>2001-cso-preferred-class-structure-mortality-tables.xls</v>
      </c>
      <c r="I1835" s="4" t="str" cm="1">
        <f t="array" ref="I1835">INDEX(Sheet1!E:E,$G1835)</f>
        <v>A.1.b.v</v>
      </c>
      <c r="J1835" s="4" t="str" cm="1">
        <f t="array" ref="J1835">IF($C1835&gt;=25,INDEX(Sheet1!G:G,$G1835),INDEX(Sheet1!F:F,$G1835))</f>
        <v>B8</v>
      </c>
      <c r="K1835" s="4" cm="1">
        <f t="array" ref="K1835">INDEX(Sheet1!H:H,$G1835)</f>
        <v>1E-3</v>
      </c>
      <c r="L1835" s="4">
        <f t="shared" si="104"/>
        <v>0</v>
      </c>
      <c r="M1835" s="4">
        <f t="shared" si="105"/>
        <v>18</v>
      </c>
    </row>
    <row r="1836" spans="1:13">
      <c r="A1836" s="4" t="str" cm="1">
        <f t="array" ref="A1836">INDEX(Sheet1!A:A,$F1836)</f>
        <v>F</v>
      </c>
      <c r="B1836" s="4" t="str" cm="1">
        <f t="array" ref="B1836">INDEX(Sheet1!B:B,$F1836)</f>
        <v>Non-Pref SM</v>
      </c>
      <c r="C1836" s="4">
        <f t="shared" si="110"/>
        <v>19</v>
      </c>
      <c r="D1836" s="5" cm="1">
        <f t="array" aca="1" ref="D1836" ca="1">OFFSET(INDIRECT("'["&amp;$H1836&amp;"]"&amp;$I1836&amp;"'!"&amp;$J1836),$L1836,$M1836)*$K1836</f>
        <v>6.0999999999999997E-4</v>
      </c>
      <c r="F1836" s="4">
        <f t="shared" si="111"/>
        <v>17</v>
      </c>
      <c r="G1836" s="4" cm="1">
        <f t="array" ref="G1836">IF($C1836&gt;=25,F1836,IF($C1836&lt;16,INDEX(Sheet1!C:C,$F1836),$F1836))</f>
        <v>17</v>
      </c>
      <c r="H1836" s="4" t="str" cm="1">
        <f t="array" ref="H1836">INDEX(Sheet1!D:D,$G1836)</f>
        <v>2001-cso-preferred-class-structure-mortality-tables.xls</v>
      </c>
      <c r="I1836" s="4" t="str" cm="1">
        <f t="array" ref="I1836">INDEX(Sheet1!E:E,$G1836)</f>
        <v>A.1.b.v</v>
      </c>
      <c r="J1836" s="4" t="str" cm="1">
        <f t="array" ref="J1836">IF($C1836&gt;=25,INDEX(Sheet1!G:G,$G1836),INDEX(Sheet1!F:F,$G1836))</f>
        <v>B8</v>
      </c>
      <c r="K1836" s="4" cm="1">
        <f t="array" ref="K1836">INDEX(Sheet1!H:H,$G1836)</f>
        <v>1E-3</v>
      </c>
      <c r="L1836" s="4">
        <f t="shared" si="104"/>
        <v>0</v>
      </c>
      <c r="M1836" s="4">
        <f t="shared" si="105"/>
        <v>19</v>
      </c>
    </row>
    <row r="1837" spans="1:13">
      <c r="A1837" s="4" t="str" cm="1">
        <f t="array" ref="A1837">INDEX(Sheet1!A:A,$F1837)</f>
        <v>F</v>
      </c>
      <c r="B1837" s="4" t="str" cm="1">
        <f t="array" ref="B1837">INDEX(Sheet1!B:B,$F1837)</f>
        <v>Non-Pref SM</v>
      </c>
      <c r="C1837" s="4">
        <f t="shared" si="110"/>
        <v>20</v>
      </c>
      <c r="D1837" s="5" cm="1">
        <f t="array" aca="1" ref="D1837" ca="1">OFFSET(INDIRECT("'["&amp;$H1837&amp;"]"&amp;$I1837&amp;"'!"&amp;$J1837),$L1837,$M1837)*$K1837</f>
        <v>6.4000000000000005E-4</v>
      </c>
      <c r="F1837" s="4">
        <f t="shared" si="111"/>
        <v>17</v>
      </c>
      <c r="G1837" s="4" cm="1">
        <f t="array" ref="G1837">IF($C1837&gt;=25,F1837,IF($C1837&lt;16,INDEX(Sheet1!C:C,$F1837),$F1837))</f>
        <v>17</v>
      </c>
      <c r="H1837" s="4" t="str" cm="1">
        <f t="array" ref="H1837">INDEX(Sheet1!D:D,$G1837)</f>
        <v>2001-cso-preferred-class-structure-mortality-tables.xls</v>
      </c>
      <c r="I1837" s="4" t="str" cm="1">
        <f t="array" ref="I1837">INDEX(Sheet1!E:E,$G1837)</f>
        <v>A.1.b.v</v>
      </c>
      <c r="J1837" s="4" t="str" cm="1">
        <f t="array" ref="J1837">IF($C1837&gt;=25,INDEX(Sheet1!G:G,$G1837),INDEX(Sheet1!F:F,$G1837))</f>
        <v>B8</v>
      </c>
      <c r="K1837" s="4" cm="1">
        <f t="array" ref="K1837">INDEX(Sheet1!H:H,$G1837)</f>
        <v>1E-3</v>
      </c>
      <c r="L1837" s="4">
        <f t="shared" si="104"/>
        <v>0</v>
      </c>
      <c r="M1837" s="4">
        <f t="shared" si="105"/>
        <v>20</v>
      </c>
    </row>
    <row r="1838" spans="1:13">
      <c r="A1838" s="4" t="str" cm="1">
        <f t="array" ref="A1838">INDEX(Sheet1!A:A,$F1838)</f>
        <v>F</v>
      </c>
      <c r="B1838" s="4" t="str" cm="1">
        <f t="array" ref="B1838">INDEX(Sheet1!B:B,$F1838)</f>
        <v>Non-Pref SM</v>
      </c>
      <c r="C1838" s="4">
        <f t="shared" si="110"/>
        <v>21</v>
      </c>
      <c r="D1838" s="5" cm="1">
        <f t="array" aca="1" ref="D1838" ca="1">OFFSET(INDIRECT("'["&amp;$H1838&amp;"]"&amp;$I1838&amp;"'!"&amp;$J1838),$L1838,$M1838)*$K1838</f>
        <v>6.8999999999999997E-4</v>
      </c>
      <c r="F1838" s="4">
        <f t="shared" si="111"/>
        <v>17</v>
      </c>
      <c r="G1838" s="4" cm="1">
        <f t="array" ref="G1838">IF($C1838&gt;=25,F1838,IF($C1838&lt;16,INDEX(Sheet1!C:C,$F1838),$F1838))</f>
        <v>17</v>
      </c>
      <c r="H1838" s="4" t="str" cm="1">
        <f t="array" ref="H1838">INDEX(Sheet1!D:D,$G1838)</f>
        <v>2001-cso-preferred-class-structure-mortality-tables.xls</v>
      </c>
      <c r="I1838" s="4" t="str" cm="1">
        <f t="array" ref="I1838">INDEX(Sheet1!E:E,$G1838)</f>
        <v>A.1.b.v</v>
      </c>
      <c r="J1838" s="4" t="str" cm="1">
        <f t="array" ref="J1838">IF($C1838&gt;=25,INDEX(Sheet1!G:G,$G1838),INDEX(Sheet1!F:F,$G1838))</f>
        <v>B8</v>
      </c>
      <c r="K1838" s="4" cm="1">
        <f t="array" ref="K1838">INDEX(Sheet1!H:H,$G1838)</f>
        <v>1E-3</v>
      </c>
      <c r="L1838" s="4">
        <f t="shared" si="104"/>
        <v>0</v>
      </c>
      <c r="M1838" s="4">
        <f t="shared" si="105"/>
        <v>21</v>
      </c>
    </row>
    <row r="1839" spans="1:13">
      <c r="A1839" s="4" t="str" cm="1">
        <f t="array" ref="A1839">INDEX(Sheet1!A:A,$F1839)</f>
        <v>F</v>
      </c>
      <c r="B1839" s="4" t="str" cm="1">
        <f t="array" ref="B1839">INDEX(Sheet1!B:B,$F1839)</f>
        <v>Non-Pref SM</v>
      </c>
      <c r="C1839" s="4">
        <f t="shared" si="110"/>
        <v>22</v>
      </c>
      <c r="D1839" s="5" cm="1">
        <f t="array" aca="1" ref="D1839" ca="1">OFFSET(INDIRECT("'["&amp;$H1839&amp;"]"&amp;$I1839&amp;"'!"&amp;$J1839),$L1839,$M1839)*$K1839</f>
        <v>7.1999999999999994E-4</v>
      </c>
      <c r="F1839" s="4">
        <f t="shared" si="111"/>
        <v>17</v>
      </c>
      <c r="G1839" s="4" cm="1">
        <f t="array" ref="G1839">IF($C1839&gt;=25,F1839,IF($C1839&lt;16,INDEX(Sheet1!C:C,$F1839),$F1839))</f>
        <v>17</v>
      </c>
      <c r="H1839" s="4" t="str" cm="1">
        <f t="array" ref="H1839">INDEX(Sheet1!D:D,$G1839)</f>
        <v>2001-cso-preferred-class-structure-mortality-tables.xls</v>
      </c>
      <c r="I1839" s="4" t="str" cm="1">
        <f t="array" ref="I1839">INDEX(Sheet1!E:E,$G1839)</f>
        <v>A.1.b.v</v>
      </c>
      <c r="J1839" s="4" t="str" cm="1">
        <f t="array" ref="J1839">IF($C1839&gt;=25,INDEX(Sheet1!G:G,$G1839),INDEX(Sheet1!F:F,$G1839))</f>
        <v>B8</v>
      </c>
      <c r="K1839" s="4" cm="1">
        <f t="array" ref="K1839">INDEX(Sheet1!H:H,$G1839)</f>
        <v>1E-3</v>
      </c>
      <c r="L1839" s="4">
        <f t="shared" si="104"/>
        <v>0</v>
      </c>
      <c r="M1839" s="4">
        <f t="shared" si="105"/>
        <v>22</v>
      </c>
    </row>
    <row r="1840" spans="1:13">
      <c r="A1840" s="4" t="str" cm="1">
        <f t="array" ref="A1840">INDEX(Sheet1!A:A,$F1840)</f>
        <v>F</v>
      </c>
      <c r="B1840" s="4" t="str" cm="1">
        <f t="array" ref="B1840">INDEX(Sheet1!B:B,$F1840)</f>
        <v>Non-Pref SM</v>
      </c>
      <c r="C1840" s="4">
        <f t="shared" si="110"/>
        <v>23</v>
      </c>
      <c r="D1840" s="5" cm="1">
        <f t="array" aca="1" ref="D1840" ca="1">OFFSET(INDIRECT("'["&amp;$H1840&amp;"]"&amp;$I1840&amp;"'!"&amp;$J1840),$L1840,$M1840)*$K1840</f>
        <v>7.5000000000000002E-4</v>
      </c>
      <c r="F1840" s="4">
        <f t="shared" si="111"/>
        <v>17</v>
      </c>
      <c r="G1840" s="4" cm="1">
        <f t="array" ref="G1840">IF($C1840&gt;=25,F1840,IF($C1840&lt;16,INDEX(Sheet1!C:C,$F1840),$F1840))</f>
        <v>17</v>
      </c>
      <c r="H1840" s="4" t="str" cm="1">
        <f t="array" ref="H1840">INDEX(Sheet1!D:D,$G1840)</f>
        <v>2001-cso-preferred-class-structure-mortality-tables.xls</v>
      </c>
      <c r="I1840" s="4" t="str" cm="1">
        <f t="array" ref="I1840">INDEX(Sheet1!E:E,$G1840)</f>
        <v>A.1.b.v</v>
      </c>
      <c r="J1840" s="4" t="str" cm="1">
        <f t="array" ref="J1840">IF($C1840&gt;=25,INDEX(Sheet1!G:G,$G1840),INDEX(Sheet1!F:F,$G1840))</f>
        <v>B8</v>
      </c>
      <c r="K1840" s="4" cm="1">
        <f t="array" ref="K1840">INDEX(Sheet1!H:H,$G1840)</f>
        <v>1E-3</v>
      </c>
      <c r="L1840" s="4">
        <f t="shared" si="104"/>
        <v>0</v>
      </c>
      <c r="M1840" s="4">
        <f t="shared" si="105"/>
        <v>23</v>
      </c>
    </row>
    <row r="1841" spans="1:13">
      <c r="A1841" s="4" t="str" cm="1">
        <f t="array" ref="A1841">INDEX(Sheet1!A:A,$F1841)</f>
        <v>F</v>
      </c>
      <c r="B1841" s="4" t="str" cm="1">
        <f t="array" ref="B1841">INDEX(Sheet1!B:B,$F1841)</f>
        <v>Non-Pref SM</v>
      </c>
      <c r="C1841" s="4">
        <f t="shared" si="110"/>
        <v>24</v>
      </c>
      <c r="D1841" s="5" cm="1">
        <f t="array" aca="1" ref="D1841" ca="1">OFFSET(INDIRECT("'["&amp;$H1841&amp;"]"&amp;$I1841&amp;"'!"&amp;$J1841),$L1841,$M1841)*$K1841</f>
        <v>8.0000000000000004E-4</v>
      </c>
      <c r="F1841" s="4">
        <f t="shared" si="111"/>
        <v>17</v>
      </c>
      <c r="G1841" s="4" cm="1">
        <f t="array" ref="G1841">IF($C1841&gt;=25,F1841,IF($C1841&lt;16,INDEX(Sheet1!C:C,$F1841),$F1841))</f>
        <v>17</v>
      </c>
      <c r="H1841" s="4" t="str" cm="1">
        <f t="array" ref="H1841">INDEX(Sheet1!D:D,$G1841)</f>
        <v>2001-cso-preferred-class-structure-mortality-tables.xls</v>
      </c>
      <c r="I1841" s="4" t="str" cm="1">
        <f t="array" ref="I1841">INDEX(Sheet1!E:E,$G1841)</f>
        <v>A.1.b.v</v>
      </c>
      <c r="J1841" s="4" t="str" cm="1">
        <f t="array" ref="J1841">IF($C1841&gt;=25,INDEX(Sheet1!G:G,$G1841),INDEX(Sheet1!F:F,$G1841))</f>
        <v>B8</v>
      </c>
      <c r="K1841" s="4" cm="1">
        <f t="array" ref="K1841">INDEX(Sheet1!H:H,$G1841)</f>
        <v>1E-3</v>
      </c>
      <c r="L1841" s="4">
        <f t="shared" si="104"/>
        <v>0</v>
      </c>
      <c r="M1841" s="4">
        <f t="shared" si="105"/>
        <v>24</v>
      </c>
    </row>
    <row r="1842" spans="1:13">
      <c r="A1842" s="4" t="str" cm="1">
        <f t="array" ref="A1842">INDEX(Sheet1!A:A,$F1842)</f>
        <v>F</v>
      </c>
      <c r="B1842" s="4" t="str" cm="1">
        <f t="array" ref="B1842">INDEX(Sheet1!B:B,$F1842)</f>
        <v>Non-Pref SM</v>
      </c>
      <c r="C1842" s="4">
        <f t="shared" si="110"/>
        <v>25</v>
      </c>
      <c r="D1842" s="5" cm="1">
        <f t="array" aca="1" ref="D1842" ca="1">OFFSET(INDIRECT("'["&amp;$H1842&amp;"]"&amp;$I1842&amp;"'!"&amp;$J1842),$L1842,$M1842)*$K1842</f>
        <v>8.4999999999999995E-4</v>
      </c>
      <c r="F1842" s="4">
        <f t="shared" si="111"/>
        <v>17</v>
      </c>
      <c r="G1842" s="4" cm="1">
        <f t="array" ref="G1842">IF($C1842&gt;=25,F1842,IF($C1842&lt;16,INDEX(Sheet1!C:C,$F1842),$F1842))</f>
        <v>17</v>
      </c>
      <c r="H1842" s="4" t="str" cm="1">
        <f t="array" ref="H1842">INDEX(Sheet1!D:D,$G1842)</f>
        <v>2001-cso-preferred-class-structure-mortality-tables.xls</v>
      </c>
      <c r="I1842" s="4" t="str" cm="1">
        <f t="array" ref="I1842">INDEX(Sheet1!E:E,$G1842)</f>
        <v>A.1.b.v</v>
      </c>
      <c r="J1842" s="4" t="str" cm="1">
        <f t="array" ref="J1842">IF($C1842&gt;=25,INDEX(Sheet1!G:G,$G1842),INDEX(Sheet1!F:F,$G1842))</f>
        <v>AA8</v>
      </c>
      <c r="K1842" s="4" cm="1">
        <f t="array" ref="K1842">INDEX(Sheet1!H:H,$G1842)</f>
        <v>1E-3</v>
      </c>
      <c r="L1842" s="4">
        <f t="shared" si="104"/>
        <v>0</v>
      </c>
      <c r="M1842" s="4">
        <f t="shared" si="105"/>
        <v>0</v>
      </c>
    </row>
    <row r="1843" spans="1:13">
      <c r="A1843" s="4" t="str" cm="1">
        <f t="array" ref="A1843">INDEX(Sheet1!A:A,$F1843)</f>
        <v>F</v>
      </c>
      <c r="B1843" s="4" t="str" cm="1">
        <f t="array" ref="B1843">INDEX(Sheet1!B:B,$F1843)</f>
        <v>Non-Pref SM</v>
      </c>
      <c r="C1843" s="4">
        <f t="shared" si="110"/>
        <v>26</v>
      </c>
      <c r="D1843" s="5" cm="1">
        <f t="array" aca="1" ref="D1843" ca="1">OFFSET(INDIRECT("'["&amp;$H1843&amp;"]"&amp;$I1843&amp;"'!"&amp;$J1843),$L1843,$M1843)*$K1843</f>
        <v>9.1E-4</v>
      </c>
      <c r="F1843" s="4">
        <f t="shared" si="111"/>
        <v>17</v>
      </c>
      <c r="G1843" s="4" cm="1">
        <f t="array" ref="G1843">IF($C1843&gt;=25,F1843,IF($C1843&lt;16,INDEX(Sheet1!C:C,$F1843),$F1843))</f>
        <v>17</v>
      </c>
      <c r="H1843" s="4" t="str" cm="1">
        <f t="array" ref="H1843">INDEX(Sheet1!D:D,$G1843)</f>
        <v>2001-cso-preferred-class-structure-mortality-tables.xls</v>
      </c>
      <c r="I1843" s="4" t="str" cm="1">
        <f t="array" ref="I1843">INDEX(Sheet1!E:E,$G1843)</f>
        <v>A.1.b.v</v>
      </c>
      <c r="J1843" s="4" t="str" cm="1">
        <f t="array" ref="J1843">IF($C1843&gt;=25,INDEX(Sheet1!G:G,$G1843),INDEX(Sheet1!F:F,$G1843))</f>
        <v>AA8</v>
      </c>
      <c r="K1843" s="4" cm="1">
        <f t="array" ref="K1843">INDEX(Sheet1!H:H,$G1843)</f>
        <v>1E-3</v>
      </c>
      <c r="L1843" s="4">
        <f t="shared" si="104"/>
        <v>1</v>
      </c>
      <c r="M1843" s="4">
        <f t="shared" si="105"/>
        <v>0</v>
      </c>
    </row>
    <row r="1844" spans="1:13">
      <c r="A1844" s="4" t="str" cm="1">
        <f t="array" ref="A1844">INDEX(Sheet1!A:A,$F1844)</f>
        <v>F</v>
      </c>
      <c r="B1844" s="4" t="str" cm="1">
        <f t="array" ref="B1844">INDEX(Sheet1!B:B,$F1844)</f>
        <v>Non-Pref SM</v>
      </c>
      <c r="C1844" s="4">
        <f t="shared" si="110"/>
        <v>27</v>
      </c>
      <c r="D1844" s="5" cm="1">
        <f t="array" aca="1" ref="D1844" ca="1">OFFSET(INDIRECT("'["&amp;$H1844&amp;"]"&amp;$I1844&amp;"'!"&amp;$J1844),$L1844,$M1844)*$K1844</f>
        <v>9.6999999999999994E-4</v>
      </c>
      <c r="F1844" s="4">
        <f t="shared" si="111"/>
        <v>17</v>
      </c>
      <c r="G1844" s="4" cm="1">
        <f t="array" ref="G1844">IF($C1844&gt;=25,F1844,IF($C1844&lt;16,INDEX(Sheet1!C:C,$F1844),$F1844))</f>
        <v>17</v>
      </c>
      <c r="H1844" s="4" t="str" cm="1">
        <f t="array" ref="H1844">INDEX(Sheet1!D:D,$G1844)</f>
        <v>2001-cso-preferred-class-structure-mortality-tables.xls</v>
      </c>
      <c r="I1844" s="4" t="str" cm="1">
        <f t="array" ref="I1844">INDEX(Sheet1!E:E,$G1844)</f>
        <v>A.1.b.v</v>
      </c>
      <c r="J1844" s="4" t="str" cm="1">
        <f t="array" ref="J1844">IF($C1844&gt;=25,INDEX(Sheet1!G:G,$G1844),INDEX(Sheet1!F:F,$G1844))</f>
        <v>AA8</v>
      </c>
      <c r="K1844" s="4" cm="1">
        <f t="array" ref="K1844">INDEX(Sheet1!H:H,$G1844)</f>
        <v>1E-3</v>
      </c>
      <c r="L1844" s="4">
        <f t="shared" si="104"/>
        <v>2</v>
      </c>
      <c r="M1844" s="4">
        <f t="shared" si="105"/>
        <v>0</v>
      </c>
    </row>
    <row r="1845" spans="1:13">
      <c r="A1845" s="4" t="str" cm="1">
        <f t="array" ref="A1845">INDEX(Sheet1!A:A,$F1845)</f>
        <v>F</v>
      </c>
      <c r="B1845" s="4" t="str" cm="1">
        <f t="array" ref="B1845">INDEX(Sheet1!B:B,$F1845)</f>
        <v>Non-Pref SM</v>
      </c>
      <c r="C1845" s="4">
        <f t="shared" si="110"/>
        <v>28</v>
      </c>
      <c r="D1845" s="5" cm="1">
        <f t="array" aca="1" ref="D1845" ca="1">OFFSET(INDIRECT("'["&amp;$H1845&amp;"]"&amp;$I1845&amp;"'!"&amp;$J1845),$L1845,$M1845)*$K1845</f>
        <v>1.0200000000000001E-3</v>
      </c>
      <c r="F1845" s="4">
        <f t="shared" si="111"/>
        <v>17</v>
      </c>
      <c r="G1845" s="4" cm="1">
        <f t="array" ref="G1845">IF($C1845&gt;=25,F1845,IF($C1845&lt;16,INDEX(Sheet1!C:C,$F1845),$F1845))</f>
        <v>17</v>
      </c>
      <c r="H1845" s="4" t="str" cm="1">
        <f t="array" ref="H1845">INDEX(Sheet1!D:D,$G1845)</f>
        <v>2001-cso-preferred-class-structure-mortality-tables.xls</v>
      </c>
      <c r="I1845" s="4" t="str" cm="1">
        <f t="array" ref="I1845">INDEX(Sheet1!E:E,$G1845)</f>
        <v>A.1.b.v</v>
      </c>
      <c r="J1845" s="4" t="str" cm="1">
        <f t="array" ref="J1845">IF($C1845&gt;=25,INDEX(Sheet1!G:G,$G1845),INDEX(Sheet1!F:F,$G1845))</f>
        <v>AA8</v>
      </c>
      <c r="K1845" s="4" cm="1">
        <f t="array" ref="K1845">INDEX(Sheet1!H:H,$G1845)</f>
        <v>1E-3</v>
      </c>
      <c r="L1845" s="4">
        <f t="shared" si="104"/>
        <v>3</v>
      </c>
      <c r="M1845" s="4">
        <f t="shared" si="105"/>
        <v>0</v>
      </c>
    </row>
    <row r="1846" spans="1:13">
      <c r="A1846" s="4" t="str" cm="1">
        <f t="array" ref="A1846">INDEX(Sheet1!A:A,$F1846)</f>
        <v>F</v>
      </c>
      <c r="B1846" s="4" t="str" cm="1">
        <f t="array" ref="B1846">INDEX(Sheet1!B:B,$F1846)</f>
        <v>Non-Pref SM</v>
      </c>
      <c r="C1846" s="4">
        <f t="shared" si="110"/>
        <v>29</v>
      </c>
      <c r="D1846" s="5" cm="1">
        <f t="array" aca="1" ref="D1846" ca="1">OFFSET(INDIRECT("'["&amp;$H1846&amp;"]"&amp;$I1846&amp;"'!"&amp;$J1846),$L1846,$M1846)*$K1846</f>
        <v>1.1000000000000001E-3</v>
      </c>
      <c r="F1846" s="4">
        <f t="shared" si="111"/>
        <v>17</v>
      </c>
      <c r="G1846" s="4" cm="1">
        <f t="array" ref="G1846">IF($C1846&gt;=25,F1846,IF($C1846&lt;16,INDEX(Sheet1!C:C,$F1846),$F1846))</f>
        <v>17</v>
      </c>
      <c r="H1846" s="4" t="str" cm="1">
        <f t="array" ref="H1846">INDEX(Sheet1!D:D,$G1846)</f>
        <v>2001-cso-preferred-class-structure-mortality-tables.xls</v>
      </c>
      <c r="I1846" s="4" t="str" cm="1">
        <f t="array" ref="I1846">INDEX(Sheet1!E:E,$G1846)</f>
        <v>A.1.b.v</v>
      </c>
      <c r="J1846" s="4" t="str" cm="1">
        <f t="array" ref="J1846">IF($C1846&gt;=25,INDEX(Sheet1!G:G,$G1846),INDEX(Sheet1!F:F,$G1846))</f>
        <v>AA8</v>
      </c>
      <c r="K1846" s="4" cm="1">
        <f t="array" ref="K1846">INDEX(Sheet1!H:H,$G1846)</f>
        <v>1E-3</v>
      </c>
      <c r="L1846" s="4">
        <f t="shared" si="104"/>
        <v>4</v>
      </c>
      <c r="M1846" s="4">
        <f t="shared" si="105"/>
        <v>0</v>
      </c>
    </row>
    <row r="1847" spans="1:13">
      <c r="A1847" s="4" t="str" cm="1">
        <f t="array" ref="A1847">INDEX(Sheet1!A:A,$F1847)</f>
        <v>F</v>
      </c>
      <c r="B1847" s="4" t="str" cm="1">
        <f t="array" ref="B1847">INDEX(Sheet1!B:B,$F1847)</f>
        <v>Non-Pref SM</v>
      </c>
      <c r="C1847" s="4">
        <f t="shared" si="110"/>
        <v>30</v>
      </c>
      <c r="D1847" s="5" cm="1">
        <f t="array" aca="1" ref="D1847" ca="1">OFFSET(INDIRECT("'["&amp;$H1847&amp;"]"&amp;$I1847&amp;"'!"&amp;$J1847),$L1847,$M1847)*$K1847</f>
        <v>1.14E-3</v>
      </c>
      <c r="F1847" s="4">
        <f t="shared" si="111"/>
        <v>17</v>
      </c>
      <c r="G1847" s="4" cm="1">
        <f t="array" ref="G1847">IF($C1847&gt;=25,F1847,IF($C1847&lt;16,INDEX(Sheet1!C:C,$F1847),$F1847))</f>
        <v>17</v>
      </c>
      <c r="H1847" s="4" t="str" cm="1">
        <f t="array" ref="H1847">INDEX(Sheet1!D:D,$G1847)</f>
        <v>2001-cso-preferred-class-structure-mortality-tables.xls</v>
      </c>
      <c r="I1847" s="4" t="str" cm="1">
        <f t="array" ref="I1847">INDEX(Sheet1!E:E,$G1847)</f>
        <v>A.1.b.v</v>
      </c>
      <c r="J1847" s="4" t="str" cm="1">
        <f t="array" ref="J1847">IF($C1847&gt;=25,INDEX(Sheet1!G:G,$G1847),INDEX(Sheet1!F:F,$G1847))</f>
        <v>AA8</v>
      </c>
      <c r="K1847" s="4" cm="1">
        <f t="array" ref="K1847">INDEX(Sheet1!H:H,$G1847)</f>
        <v>1E-3</v>
      </c>
      <c r="L1847" s="4">
        <f t="shared" si="104"/>
        <v>5</v>
      </c>
      <c r="M1847" s="4">
        <f t="shared" si="105"/>
        <v>0</v>
      </c>
    </row>
    <row r="1848" spans="1:13">
      <c r="A1848" s="4" t="str" cm="1">
        <f t="array" ref="A1848">INDEX(Sheet1!A:A,$F1848)</f>
        <v>F</v>
      </c>
      <c r="B1848" s="4" t="str" cm="1">
        <f t="array" ref="B1848">INDEX(Sheet1!B:B,$F1848)</f>
        <v>Non-Pref SM</v>
      </c>
      <c r="C1848" s="4">
        <f t="shared" si="110"/>
        <v>31</v>
      </c>
      <c r="D1848" s="5" cm="1">
        <f t="array" aca="1" ref="D1848" ca="1">OFFSET(INDIRECT("'["&amp;$H1848&amp;"]"&amp;$I1848&amp;"'!"&amp;$J1848),$L1848,$M1848)*$K1848</f>
        <v>1.24E-3</v>
      </c>
      <c r="F1848" s="4">
        <f t="shared" si="111"/>
        <v>17</v>
      </c>
      <c r="G1848" s="4" cm="1">
        <f t="array" ref="G1848">IF($C1848&gt;=25,F1848,IF($C1848&lt;16,INDEX(Sheet1!C:C,$F1848),$F1848))</f>
        <v>17</v>
      </c>
      <c r="H1848" s="4" t="str" cm="1">
        <f t="array" ref="H1848">INDEX(Sheet1!D:D,$G1848)</f>
        <v>2001-cso-preferred-class-structure-mortality-tables.xls</v>
      </c>
      <c r="I1848" s="4" t="str" cm="1">
        <f t="array" ref="I1848">INDEX(Sheet1!E:E,$G1848)</f>
        <v>A.1.b.v</v>
      </c>
      <c r="J1848" s="4" t="str" cm="1">
        <f t="array" ref="J1848">IF($C1848&gt;=25,INDEX(Sheet1!G:G,$G1848),INDEX(Sheet1!F:F,$G1848))</f>
        <v>AA8</v>
      </c>
      <c r="K1848" s="4" cm="1">
        <f t="array" ref="K1848">INDEX(Sheet1!H:H,$G1848)</f>
        <v>1E-3</v>
      </c>
      <c r="L1848" s="4">
        <f t="shared" si="104"/>
        <v>6</v>
      </c>
      <c r="M1848" s="4">
        <f t="shared" si="105"/>
        <v>0</v>
      </c>
    </row>
    <row r="1849" spans="1:13">
      <c r="A1849" s="4" t="str" cm="1">
        <f t="array" ref="A1849">INDEX(Sheet1!A:A,$F1849)</f>
        <v>F</v>
      </c>
      <c r="B1849" s="4" t="str" cm="1">
        <f t="array" ref="B1849">INDEX(Sheet1!B:B,$F1849)</f>
        <v>Non-Pref SM</v>
      </c>
      <c r="C1849" s="4">
        <f t="shared" si="110"/>
        <v>32</v>
      </c>
      <c r="D1849" s="5" cm="1">
        <f t="array" aca="1" ref="D1849" ca="1">OFFSET(INDIRECT("'["&amp;$H1849&amp;"]"&amp;$I1849&amp;"'!"&amp;$J1849),$L1849,$M1849)*$K1849</f>
        <v>1.33E-3</v>
      </c>
      <c r="F1849" s="4">
        <f t="shared" si="111"/>
        <v>17</v>
      </c>
      <c r="G1849" s="4" cm="1">
        <f t="array" ref="G1849">IF($C1849&gt;=25,F1849,IF($C1849&lt;16,INDEX(Sheet1!C:C,$F1849),$F1849))</f>
        <v>17</v>
      </c>
      <c r="H1849" s="4" t="str" cm="1">
        <f t="array" ref="H1849">INDEX(Sheet1!D:D,$G1849)</f>
        <v>2001-cso-preferred-class-structure-mortality-tables.xls</v>
      </c>
      <c r="I1849" s="4" t="str" cm="1">
        <f t="array" ref="I1849">INDEX(Sheet1!E:E,$G1849)</f>
        <v>A.1.b.v</v>
      </c>
      <c r="J1849" s="4" t="str" cm="1">
        <f t="array" ref="J1849">IF($C1849&gt;=25,INDEX(Sheet1!G:G,$G1849),INDEX(Sheet1!F:F,$G1849))</f>
        <v>AA8</v>
      </c>
      <c r="K1849" s="4" cm="1">
        <f t="array" ref="K1849">INDEX(Sheet1!H:H,$G1849)</f>
        <v>1E-3</v>
      </c>
      <c r="L1849" s="4">
        <f t="shared" si="104"/>
        <v>7</v>
      </c>
      <c r="M1849" s="4">
        <f t="shared" si="105"/>
        <v>0</v>
      </c>
    </row>
    <row r="1850" spans="1:13">
      <c r="A1850" s="4" t="str" cm="1">
        <f t="array" ref="A1850">INDEX(Sheet1!A:A,$F1850)</f>
        <v>F</v>
      </c>
      <c r="B1850" s="4" t="str" cm="1">
        <f t="array" ref="B1850">INDEX(Sheet1!B:B,$F1850)</f>
        <v>Non-Pref SM</v>
      </c>
      <c r="C1850" s="4">
        <f t="shared" si="110"/>
        <v>33</v>
      </c>
      <c r="D1850" s="5" cm="1">
        <f t="array" aca="1" ref="D1850" ca="1">OFFSET(INDIRECT("'["&amp;$H1850&amp;"]"&amp;$I1850&amp;"'!"&amp;$J1850),$L1850,$M1850)*$K1850</f>
        <v>1.4300000000000001E-3</v>
      </c>
      <c r="F1850" s="4">
        <f t="shared" si="111"/>
        <v>17</v>
      </c>
      <c r="G1850" s="4" cm="1">
        <f t="array" ref="G1850">IF($C1850&gt;=25,F1850,IF($C1850&lt;16,INDEX(Sheet1!C:C,$F1850),$F1850))</f>
        <v>17</v>
      </c>
      <c r="H1850" s="4" t="str" cm="1">
        <f t="array" ref="H1850">INDEX(Sheet1!D:D,$G1850)</f>
        <v>2001-cso-preferred-class-structure-mortality-tables.xls</v>
      </c>
      <c r="I1850" s="4" t="str" cm="1">
        <f t="array" ref="I1850">INDEX(Sheet1!E:E,$G1850)</f>
        <v>A.1.b.v</v>
      </c>
      <c r="J1850" s="4" t="str" cm="1">
        <f t="array" ref="J1850">IF($C1850&gt;=25,INDEX(Sheet1!G:G,$G1850),INDEX(Sheet1!F:F,$G1850))</f>
        <v>AA8</v>
      </c>
      <c r="K1850" s="4" cm="1">
        <f t="array" ref="K1850">INDEX(Sheet1!H:H,$G1850)</f>
        <v>1E-3</v>
      </c>
      <c r="L1850" s="4">
        <f t="shared" si="104"/>
        <v>8</v>
      </c>
      <c r="M1850" s="4">
        <f t="shared" si="105"/>
        <v>0</v>
      </c>
    </row>
    <row r="1851" spans="1:13">
      <c r="A1851" s="4" t="str" cm="1">
        <f t="array" ref="A1851">INDEX(Sheet1!A:A,$F1851)</f>
        <v>F</v>
      </c>
      <c r="B1851" s="4" t="str" cm="1">
        <f t="array" ref="B1851">INDEX(Sheet1!B:B,$F1851)</f>
        <v>Non-Pref SM</v>
      </c>
      <c r="C1851" s="4">
        <f t="shared" si="110"/>
        <v>34</v>
      </c>
      <c r="D1851" s="5" cm="1">
        <f t="array" aca="1" ref="D1851" ca="1">OFFSET(INDIRECT("'["&amp;$H1851&amp;"]"&amp;$I1851&amp;"'!"&amp;$J1851),$L1851,$M1851)*$K1851</f>
        <v>1.5400000000000001E-3</v>
      </c>
      <c r="F1851" s="4">
        <f t="shared" si="111"/>
        <v>17</v>
      </c>
      <c r="G1851" s="4" cm="1">
        <f t="array" ref="G1851">IF($C1851&gt;=25,F1851,IF($C1851&lt;16,INDEX(Sheet1!C:C,$F1851),$F1851))</f>
        <v>17</v>
      </c>
      <c r="H1851" s="4" t="str" cm="1">
        <f t="array" ref="H1851">INDEX(Sheet1!D:D,$G1851)</f>
        <v>2001-cso-preferred-class-structure-mortality-tables.xls</v>
      </c>
      <c r="I1851" s="4" t="str" cm="1">
        <f t="array" ref="I1851">INDEX(Sheet1!E:E,$G1851)</f>
        <v>A.1.b.v</v>
      </c>
      <c r="J1851" s="4" t="str" cm="1">
        <f t="array" ref="J1851">IF($C1851&gt;=25,INDEX(Sheet1!G:G,$G1851),INDEX(Sheet1!F:F,$G1851))</f>
        <v>AA8</v>
      </c>
      <c r="K1851" s="4" cm="1">
        <f t="array" ref="K1851">INDEX(Sheet1!H:H,$G1851)</f>
        <v>1E-3</v>
      </c>
      <c r="L1851" s="4">
        <f t="shared" si="104"/>
        <v>9</v>
      </c>
      <c r="M1851" s="4">
        <f t="shared" si="105"/>
        <v>0</v>
      </c>
    </row>
    <row r="1852" spans="1:13">
      <c r="A1852" s="4" t="str" cm="1">
        <f t="array" ref="A1852">INDEX(Sheet1!A:A,$F1852)</f>
        <v>F</v>
      </c>
      <c r="B1852" s="4" t="str" cm="1">
        <f t="array" ref="B1852">INDEX(Sheet1!B:B,$F1852)</f>
        <v>Non-Pref SM</v>
      </c>
      <c r="C1852" s="4">
        <f t="shared" si="110"/>
        <v>35</v>
      </c>
      <c r="D1852" s="5" cm="1">
        <f t="array" aca="1" ref="D1852" ca="1">OFFSET(INDIRECT("'["&amp;$H1852&amp;"]"&amp;$I1852&amp;"'!"&amp;$J1852),$L1852,$M1852)*$K1852</f>
        <v>1.7099999999999999E-3</v>
      </c>
      <c r="F1852" s="4">
        <f t="shared" si="111"/>
        <v>17</v>
      </c>
      <c r="G1852" s="4" cm="1">
        <f t="array" ref="G1852">IF($C1852&gt;=25,F1852,IF($C1852&lt;16,INDEX(Sheet1!C:C,$F1852),$F1852))</f>
        <v>17</v>
      </c>
      <c r="H1852" s="4" t="str" cm="1">
        <f t="array" ref="H1852">INDEX(Sheet1!D:D,$G1852)</f>
        <v>2001-cso-preferred-class-structure-mortality-tables.xls</v>
      </c>
      <c r="I1852" s="4" t="str" cm="1">
        <f t="array" ref="I1852">INDEX(Sheet1!E:E,$G1852)</f>
        <v>A.1.b.v</v>
      </c>
      <c r="J1852" s="4" t="str" cm="1">
        <f t="array" ref="J1852">IF($C1852&gt;=25,INDEX(Sheet1!G:G,$G1852),INDEX(Sheet1!F:F,$G1852))</f>
        <v>AA8</v>
      </c>
      <c r="K1852" s="4" cm="1">
        <f t="array" ref="K1852">INDEX(Sheet1!H:H,$G1852)</f>
        <v>1E-3</v>
      </c>
      <c r="L1852" s="4">
        <f t="shared" si="104"/>
        <v>10</v>
      </c>
      <c r="M1852" s="4">
        <f t="shared" si="105"/>
        <v>0</v>
      </c>
    </row>
    <row r="1853" spans="1:13">
      <c r="A1853" s="4" t="str" cm="1">
        <f t="array" ref="A1853">INDEX(Sheet1!A:A,$F1853)</f>
        <v>F</v>
      </c>
      <c r="B1853" s="4" t="str" cm="1">
        <f t="array" ref="B1853">INDEX(Sheet1!B:B,$F1853)</f>
        <v>Non-Pref SM</v>
      </c>
      <c r="C1853" s="4">
        <f t="shared" si="110"/>
        <v>36</v>
      </c>
      <c r="D1853" s="5" cm="1">
        <f t="array" aca="1" ref="D1853" ca="1">OFFSET(INDIRECT("'["&amp;$H1853&amp;"]"&amp;$I1853&amp;"'!"&amp;$J1853),$L1853,$M1853)*$K1853</f>
        <v>1.83E-3</v>
      </c>
      <c r="F1853" s="4">
        <f t="shared" si="111"/>
        <v>17</v>
      </c>
      <c r="G1853" s="4" cm="1">
        <f t="array" ref="G1853">IF($C1853&gt;=25,F1853,IF($C1853&lt;16,INDEX(Sheet1!C:C,$F1853),$F1853))</f>
        <v>17</v>
      </c>
      <c r="H1853" s="4" t="str" cm="1">
        <f t="array" ref="H1853">INDEX(Sheet1!D:D,$G1853)</f>
        <v>2001-cso-preferred-class-structure-mortality-tables.xls</v>
      </c>
      <c r="I1853" s="4" t="str" cm="1">
        <f t="array" ref="I1853">INDEX(Sheet1!E:E,$G1853)</f>
        <v>A.1.b.v</v>
      </c>
      <c r="J1853" s="4" t="str" cm="1">
        <f t="array" ref="J1853">IF($C1853&gt;=25,INDEX(Sheet1!G:G,$G1853),INDEX(Sheet1!F:F,$G1853))</f>
        <v>AA8</v>
      </c>
      <c r="K1853" s="4" cm="1">
        <f t="array" ref="K1853">INDEX(Sheet1!H:H,$G1853)</f>
        <v>1E-3</v>
      </c>
      <c r="L1853" s="4">
        <f t="shared" si="104"/>
        <v>11</v>
      </c>
      <c r="M1853" s="4">
        <f t="shared" si="105"/>
        <v>0</v>
      </c>
    </row>
    <row r="1854" spans="1:13">
      <c r="A1854" s="4" t="str" cm="1">
        <f t="array" ref="A1854">INDEX(Sheet1!A:A,$F1854)</f>
        <v>F</v>
      </c>
      <c r="B1854" s="4" t="str" cm="1">
        <f t="array" ref="B1854">INDEX(Sheet1!B:B,$F1854)</f>
        <v>Non-Pref SM</v>
      </c>
      <c r="C1854" s="4">
        <f t="shared" si="110"/>
        <v>37</v>
      </c>
      <c r="D1854" s="5" cm="1">
        <f t="array" aca="1" ref="D1854" ca="1">OFFSET(INDIRECT("'["&amp;$H1854&amp;"]"&amp;$I1854&amp;"'!"&amp;$J1854),$L1854,$M1854)*$K1854</f>
        <v>2E-3</v>
      </c>
      <c r="F1854" s="4">
        <f t="shared" si="111"/>
        <v>17</v>
      </c>
      <c r="G1854" s="4" cm="1">
        <f t="array" ref="G1854">IF($C1854&gt;=25,F1854,IF($C1854&lt;16,INDEX(Sheet1!C:C,$F1854),$F1854))</f>
        <v>17</v>
      </c>
      <c r="H1854" s="4" t="str" cm="1">
        <f t="array" ref="H1854">INDEX(Sheet1!D:D,$G1854)</f>
        <v>2001-cso-preferred-class-structure-mortality-tables.xls</v>
      </c>
      <c r="I1854" s="4" t="str" cm="1">
        <f t="array" ref="I1854">INDEX(Sheet1!E:E,$G1854)</f>
        <v>A.1.b.v</v>
      </c>
      <c r="J1854" s="4" t="str" cm="1">
        <f t="array" ref="J1854">IF($C1854&gt;=25,INDEX(Sheet1!G:G,$G1854),INDEX(Sheet1!F:F,$G1854))</f>
        <v>AA8</v>
      </c>
      <c r="K1854" s="4" cm="1">
        <f t="array" ref="K1854">INDEX(Sheet1!H:H,$G1854)</f>
        <v>1E-3</v>
      </c>
      <c r="L1854" s="4">
        <f t="shared" si="104"/>
        <v>12</v>
      </c>
      <c r="M1854" s="4">
        <f t="shared" si="105"/>
        <v>0</v>
      </c>
    </row>
    <row r="1855" spans="1:13">
      <c r="A1855" s="4" t="str" cm="1">
        <f t="array" ref="A1855">INDEX(Sheet1!A:A,$F1855)</f>
        <v>F</v>
      </c>
      <c r="B1855" s="4" t="str" cm="1">
        <f t="array" ref="B1855">INDEX(Sheet1!B:B,$F1855)</f>
        <v>Non-Pref SM</v>
      </c>
      <c r="C1855" s="4">
        <f t="shared" si="110"/>
        <v>38</v>
      </c>
      <c r="D1855" s="5" cm="1">
        <f t="array" aca="1" ref="D1855" ca="1">OFFSET(INDIRECT("'["&amp;$H1855&amp;"]"&amp;$I1855&amp;"'!"&amp;$J1855),$L1855,$M1855)*$K1855</f>
        <v>2.1000000000000003E-3</v>
      </c>
      <c r="F1855" s="4">
        <f t="shared" si="111"/>
        <v>17</v>
      </c>
      <c r="G1855" s="4" cm="1">
        <f t="array" ref="G1855">IF($C1855&gt;=25,F1855,IF($C1855&lt;16,INDEX(Sheet1!C:C,$F1855),$F1855))</f>
        <v>17</v>
      </c>
      <c r="H1855" s="4" t="str" cm="1">
        <f t="array" ref="H1855">INDEX(Sheet1!D:D,$G1855)</f>
        <v>2001-cso-preferred-class-structure-mortality-tables.xls</v>
      </c>
      <c r="I1855" s="4" t="str" cm="1">
        <f t="array" ref="I1855">INDEX(Sheet1!E:E,$G1855)</f>
        <v>A.1.b.v</v>
      </c>
      <c r="J1855" s="4" t="str" cm="1">
        <f t="array" ref="J1855">IF($C1855&gt;=25,INDEX(Sheet1!G:G,$G1855),INDEX(Sheet1!F:F,$G1855))</f>
        <v>AA8</v>
      </c>
      <c r="K1855" s="4" cm="1">
        <f t="array" ref="K1855">INDEX(Sheet1!H:H,$G1855)</f>
        <v>1E-3</v>
      </c>
      <c r="L1855" s="4">
        <f t="shared" si="104"/>
        <v>13</v>
      </c>
      <c r="M1855" s="4">
        <f t="shared" si="105"/>
        <v>0</v>
      </c>
    </row>
    <row r="1856" spans="1:13">
      <c r="A1856" s="4" t="str" cm="1">
        <f t="array" ref="A1856">INDEX(Sheet1!A:A,$F1856)</f>
        <v>F</v>
      </c>
      <c r="B1856" s="4" t="str" cm="1">
        <f t="array" ref="B1856">INDEX(Sheet1!B:B,$F1856)</f>
        <v>Non-Pref SM</v>
      </c>
      <c r="C1856" s="4">
        <f t="shared" si="110"/>
        <v>39</v>
      </c>
      <c r="D1856" s="5" cm="1">
        <f t="array" aca="1" ref="D1856" ca="1">OFFSET(INDIRECT("'["&amp;$H1856&amp;"]"&amp;$I1856&amp;"'!"&amp;$J1856),$L1856,$M1856)*$K1856</f>
        <v>2.2300000000000002E-3</v>
      </c>
      <c r="F1856" s="4">
        <f t="shared" si="111"/>
        <v>17</v>
      </c>
      <c r="G1856" s="4" cm="1">
        <f t="array" ref="G1856">IF($C1856&gt;=25,F1856,IF($C1856&lt;16,INDEX(Sheet1!C:C,$F1856),$F1856))</f>
        <v>17</v>
      </c>
      <c r="H1856" s="4" t="str" cm="1">
        <f t="array" ref="H1856">INDEX(Sheet1!D:D,$G1856)</f>
        <v>2001-cso-preferred-class-structure-mortality-tables.xls</v>
      </c>
      <c r="I1856" s="4" t="str" cm="1">
        <f t="array" ref="I1856">INDEX(Sheet1!E:E,$G1856)</f>
        <v>A.1.b.v</v>
      </c>
      <c r="J1856" s="4" t="str" cm="1">
        <f t="array" ref="J1856">IF($C1856&gt;=25,INDEX(Sheet1!G:G,$G1856),INDEX(Sheet1!F:F,$G1856))</f>
        <v>AA8</v>
      </c>
      <c r="K1856" s="4" cm="1">
        <f t="array" ref="K1856">INDEX(Sheet1!H:H,$G1856)</f>
        <v>1E-3</v>
      </c>
      <c r="L1856" s="4">
        <f t="shared" si="104"/>
        <v>14</v>
      </c>
      <c r="M1856" s="4">
        <f t="shared" si="105"/>
        <v>0</v>
      </c>
    </row>
    <row r="1857" spans="1:13">
      <c r="A1857" s="4" t="str" cm="1">
        <f t="array" ref="A1857">INDEX(Sheet1!A:A,$F1857)</f>
        <v>F</v>
      </c>
      <c r="B1857" s="4" t="str" cm="1">
        <f t="array" ref="B1857">INDEX(Sheet1!B:B,$F1857)</f>
        <v>Non-Pref SM</v>
      </c>
      <c r="C1857" s="4">
        <f t="shared" si="110"/>
        <v>40</v>
      </c>
      <c r="D1857" s="5" cm="1">
        <f t="array" aca="1" ref="D1857" ca="1">OFFSET(INDIRECT("'["&amp;$H1857&amp;"]"&amp;$I1857&amp;"'!"&amp;$J1857),$L1857,$M1857)*$K1857</f>
        <v>2.3600000000000001E-3</v>
      </c>
      <c r="F1857" s="4">
        <f t="shared" si="111"/>
        <v>17</v>
      </c>
      <c r="G1857" s="4" cm="1">
        <f t="array" ref="G1857">IF($C1857&gt;=25,F1857,IF($C1857&lt;16,INDEX(Sheet1!C:C,$F1857),$F1857))</f>
        <v>17</v>
      </c>
      <c r="H1857" s="4" t="str" cm="1">
        <f t="array" ref="H1857">INDEX(Sheet1!D:D,$G1857)</f>
        <v>2001-cso-preferred-class-structure-mortality-tables.xls</v>
      </c>
      <c r="I1857" s="4" t="str" cm="1">
        <f t="array" ref="I1857">INDEX(Sheet1!E:E,$G1857)</f>
        <v>A.1.b.v</v>
      </c>
      <c r="J1857" s="4" t="str" cm="1">
        <f t="array" ref="J1857">IF($C1857&gt;=25,INDEX(Sheet1!G:G,$G1857),INDEX(Sheet1!F:F,$G1857))</f>
        <v>AA8</v>
      </c>
      <c r="K1857" s="4" cm="1">
        <f t="array" ref="K1857">INDEX(Sheet1!H:H,$G1857)</f>
        <v>1E-3</v>
      </c>
      <c r="L1857" s="4">
        <f t="shared" si="104"/>
        <v>15</v>
      </c>
      <c r="M1857" s="4">
        <f t="shared" si="105"/>
        <v>0</v>
      </c>
    </row>
    <row r="1858" spans="1:13">
      <c r="A1858" s="4" t="str" cm="1">
        <f t="array" ref="A1858">INDEX(Sheet1!A:A,$F1858)</f>
        <v>F</v>
      </c>
      <c r="B1858" s="4" t="str" cm="1">
        <f t="array" ref="B1858">INDEX(Sheet1!B:B,$F1858)</f>
        <v>Non-Pref SM</v>
      </c>
      <c r="C1858" s="4">
        <f t="shared" ref="C1858:C1921" si="112">IF(C1857=120,0,C1857+1)</f>
        <v>41</v>
      </c>
      <c r="D1858" s="5" cm="1">
        <f t="array" aca="1" ref="D1858" ca="1">OFFSET(INDIRECT("'["&amp;$H1858&amp;"]"&amp;$I1858&amp;"'!"&amp;$J1858),$L1858,$M1858)*$K1858</f>
        <v>2.5200000000000001E-3</v>
      </c>
      <c r="F1858" s="4">
        <f t="shared" ref="F1858:F1921" si="113">IF(C1858=0,1,0)+F1857</f>
        <v>17</v>
      </c>
      <c r="G1858" s="4" cm="1">
        <f t="array" ref="G1858">IF($C1858&gt;=25,F1858,IF($C1858&lt;16,INDEX(Sheet1!C:C,$F1858),$F1858))</f>
        <v>17</v>
      </c>
      <c r="H1858" s="4" t="str" cm="1">
        <f t="array" ref="H1858">INDEX(Sheet1!D:D,$G1858)</f>
        <v>2001-cso-preferred-class-structure-mortality-tables.xls</v>
      </c>
      <c r="I1858" s="4" t="str" cm="1">
        <f t="array" ref="I1858">INDEX(Sheet1!E:E,$G1858)</f>
        <v>A.1.b.v</v>
      </c>
      <c r="J1858" s="4" t="str" cm="1">
        <f t="array" ref="J1858">IF($C1858&gt;=25,INDEX(Sheet1!G:G,$G1858),INDEX(Sheet1!F:F,$G1858))</f>
        <v>AA8</v>
      </c>
      <c r="K1858" s="4" cm="1">
        <f t="array" ref="K1858">INDEX(Sheet1!H:H,$G1858)</f>
        <v>1E-3</v>
      </c>
      <c r="L1858" s="4">
        <f t="shared" si="104"/>
        <v>16</v>
      </c>
      <c r="M1858" s="4">
        <f t="shared" si="105"/>
        <v>0</v>
      </c>
    </row>
    <row r="1859" spans="1:13">
      <c r="A1859" s="4" t="str" cm="1">
        <f t="array" ref="A1859">INDEX(Sheet1!A:A,$F1859)</f>
        <v>F</v>
      </c>
      <c r="B1859" s="4" t="str" cm="1">
        <f t="array" ref="B1859">INDEX(Sheet1!B:B,$F1859)</f>
        <v>Non-Pref SM</v>
      </c>
      <c r="C1859" s="4">
        <f t="shared" si="112"/>
        <v>42</v>
      </c>
      <c r="D1859" s="5" cm="1">
        <f t="array" aca="1" ref="D1859" ca="1">OFFSET(INDIRECT("'["&amp;$H1859&amp;"]"&amp;$I1859&amp;"'!"&amp;$J1859),$L1859,$M1859)*$K1859</f>
        <v>2.7100000000000002E-3</v>
      </c>
      <c r="F1859" s="4">
        <f t="shared" si="113"/>
        <v>17</v>
      </c>
      <c r="G1859" s="4" cm="1">
        <f t="array" ref="G1859">IF($C1859&gt;=25,F1859,IF($C1859&lt;16,INDEX(Sheet1!C:C,$F1859),$F1859))</f>
        <v>17</v>
      </c>
      <c r="H1859" s="4" t="str" cm="1">
        <f t="array" ref="H1859">INDEX(Sheet1!D:D,$G1859)</f>
        <v>2001-cso-preferred-class-structure-mortality-tables.xls</v>
      </c>
      <c r="I1859" s="4" t="str" cm="1">
        <f t="array" ref="I1859">INDEX(Sheet1!E:E,$G1859)</f>
        <v>A.1.b.v</v>
      </c>
      <c r="J1859" s="4" t="str" cm="1">
        <f t="array" ref="J1859">IF($C1859&gt;=25,INDEX(Sheet1!G:G,$G1859),INDEX(Sheet1!F:F,$G1859))</f>
        <v>AA8</v>
      </c>
      <c r="K1859" s="4" cm="1">
        <f t="array" ref="K1859">INDEX(Sheet1!H:H,$G1859)</f>
        <v>1E-3</v>
      </c>
      <c r="L1859" s="4">
        <f t="shared" si="104"/>
        <v>17</v>
      </c>
      <c r="M1859" s="4">
        <f t="shared" si="105"/>
        <v>0</v>
      </c>
    </row>
    <row r="1860" spans="1:13">
      <c r="A1860" s="4" t="str" cm="1">
        <f t="array" ref="A1860">INDEX(Sheet1!A:A,$F1860)</f>
        <v>F</v>
      </c>
      <c r="B1860" s="4" t="str" cm="1">
        <f t="array" ref="B1860">INDEX(Sheet1!B:B,$F1860)</f>
        <v>Non-Pref SM</v>
      </c>
      <c r="C1860" s="4">
        <f t="shared" si="112"/>
        <v>43</v>
      </c>
      <c r="D1860" s="5" cm="1">
        <f t="array" aca="1" ref="D1860" ca="1">OFFSET(INDIRECT("'["&amp;$H1860&amp;"]"&amp;$I1860&amp;"'!"&amp;$J1860),$L1860,$M1860)*$K1860</f>
        <v>2.9300000000000003E-3</v>
      </c>
      <c r="F1860" s="4">
        <f t="shared" si="113"/>
        <v>17</v>
      </c>
      <c r="G1860" s="4" cm="1">
        <f t="array" ref="G1860">IF($C1860&gt;=25,F1860,IF($C1860&lt;16,INDEX(Sheet1!C:C,$F1860),$F1860))</f>
        <v>17</v>
      </c>
      <c r="H1860" s="4" t="str" cm="1">
        <f t="array" ref="H1860">INDEX(Sheet1!D:D,$G1860)</f>
        <v>2001-cso-preferred-class-structure-mortality-tables.xls</v>
      </c>
      <c r="I1860" s="4" t="str" cm="1">
        <f t="array" ref="I1860">INDEX(Sheet1!E:E,$G1860)</f>
        <v>A.1.b.v</v>
      </c>
      <c r="J1860" s="4" t="str" cm="1">
        <f t="array" ref="J1860">IF($C1860&gt;=25,INDEX(Sheet1!G:G,$G1860),INDEX(Sheet1!F:F,$G1860))</f>
        <v>AA8</v>
      </c>
      <c r="K1860" s="4" cm="1">
        <f t="array" ref="K1860">INDEX(Sheet1!H:H,$G1860)</f>
        <v>1E-3</v>
      </c>
      <c r="L1860" s="4">
        <f t="shared" si="104"/>
        <v>18</v>
      </c>
      <c r="M1860" s="4">
        <f t="shared" si="105"/>
        <v>0</v>
      </c>
    </row>
    <row r="1861" spans="1:13">
      <c r="A1861" s="4" t="str" cm="1">
        <f t="array" ref="A1861">INDEX(Sheet1!A:A,$F1861)</f>
        <v>F</v>
      </c>
      <c r="B1861" s="4" t="str" cm="1">
        <f t="array" ref="B1861">INDEX(Sheet1!B:B,$F1861)</f>
        <v>Non-Pref SM</v>
      </c>
      <c r="C1861" s="4">
        <f t="shared" si="112"/>
        <v>44</v>
      </c>
      <c r="D1861" s="5" cm="1">
        <f t="array" aca="1" ref="D1861" ca="1">OFFSET(INDIRECT("'["&amp;$H1861&amp;"]"&amp;$I1861&amp;"'!"&amp;$J1861),$L1861,$M1861)*$K1861</f>
        <v>3.1900000000000001E-3</v>
      </c>
      <c r="F1861" s="4">
        <f t="shared" si="113"/>
        <v>17</v>
      </c>
      <c r="G1861" s="4" cm="1">
        <f t="array" ref="G1861">IF($C1861&gt;=25,F1861,IF($C1861&lt;16,INDEX(Sheet1!C:C,$F1861),$F1861))</f>
        <v>17</v>
      </c>
      <c r="H1861" s="4" t="str" cm="1">
        <f t="array" ref="H1861">INDEX(Sheet1!D:D,$G1861)</f>
        <v>2001-cso-preferred-class-structure-mortality-tables.xls</v>
      </c>
      <c r="I1861" s="4" t="str" cm="1">
        <f t="array" ref="I1861">INDEX(Sheet1!E:E,$G1861)</f>
        <v>A.1.b.v</v>
      </c>
      <c r="J1861" s="4" t="str" cm="1">
        <f t="array" ref="J1861">IF($C1861&gt;=25,INDEX(Sheet1!G:G,$G1861),INDEX(Sheet1!F:F,$G1861))</f>
        <v>AA8</v>
      </c>
      <c r="K1861" s="4" cm="1">
        <f t="array" ref="K1861">INDEX(Sheet1!H:H,$G1861)</f>
        <v>1E-3</v>
      </c>
      <c r="L1861" s="4">
        <f t="shared" si="104"/>
        <v>19</v>
      </c>
      <c r="M1861" s="4">
        <f t="shared" si="105"/>
        <v>0</v>
      </c>
    </row>
    <row r="1862" spans="1:13">
      <c r="A1862" s="4" t="str" cm="1">
        <f t="array" ref="A1862">INDEX(Sheet1!A:A,$F1862)</f>
        <v>F</v>
      </c>
      <c r="B1862" s="4" t="str" cm="1">
        <f t="array" ref="B1862">INDEX(Sheet1!B:B,$F1862)</f>
        <v>Non-Pref SM</v>
      </c>
      <c r="C1862" s="4">
        <f t="shared" si="112"/>
        <v>45</v>
      </c>
      <c r="D1862" s="5" cm="1">
        <f t="array" aca="1" ref="D1862" ca="1">OFFSET(INDIRECT("'["&amp;$H1862&amp;"]"&amp;$I1862&amp;"'!"&amp;$J1862),$L1862,$M1862)*$K1862</f>
        <v>3.4900000000000005E-3</v>
      </c>
      <c r="F1862" s="4">
        <f t="shared" si="113"/>
        <v>17</v>
      </c>
      <c r="G1862" s="4" cm="1">
        <f t="array" ref="G1862">IF($C1862&gt;=25,F1862,IF($C1862&lt;16,INDEX(Sheet1!C:C,$F1862),$F1862))</f>
        <v>17</v>
      </c>
      <c r="H1862" s="4" t="str" cm="1">
        <f t="array" ref="H1862">INDEX(Sheet1!D:D,$G1862)</f>
        <v>2001-cso-preferred-class-structure-mortality-tables.xls</v>
      </c>
      <c r="I1862" s="4" t="str" cm="1">
        <f t="array" ref="I1862">INDEX(Sheet1!E:E,$G1862)</f>
        <v>A.1.b.v</v>
      </c>
      <c r="J1862" s="4" t="str" cm="1">
        <f t="array" ref="J1862">IF($C1862&gt;=25,INDEX(Sheet1!G:G,$G1862),INDEX(Sheet1!F:F,$G1862))</f>
        <v>AA8</v>
      </c>
      <c r="K1862" s="4" cm="1">
        <f t="array" ref="K1862">INDEX(Sheet1!H:H,$G1862)</f>
        <v>1E-3</v>
      </c>
      <c r="L1862" s="4">
        <f t="shared" si="104"/>
        <v>20</v>
      </c>
      <c r="M1862" s="4">
        <f t="shared" si="105"/>
        <v>0</v>
      </c>
    </row>
    <row r="1863" spans="1:13">
      <c r="A1863" s="4" t="str" cm="1">
        <f t="array" ref="A1863">INDEX(Sheet1!A:A,$F1863)</f>
        <v>F</v>
      </c>
      <c r="B1863" s="4" t="str" cm="1">
        <f t="array" ref="B1863">INDEX(Sheet1!B:B,$F1863)</f>
        <v>Non-Pref SM</v>
      </c>
      <c r="C1863" s="4">
        <f t="shared" si="112"/>
        <v>46</v>
      </c>
      <c r="D1863" s="5" cm="1">
        <f t="array" aca="1" ref="D1863" ca="1">OFFSET(INDIRECT("'["&amp;$H1863&amp;"]"&amp;$I1863&amp;"'!"&amp;$J1863),$L1863,$M1863)*$K1863</f>
        <v>3.8300000000000001E-3</v>
      </c>
      <c r="F1863" s="4">
        <f t="shared" si="113"/>
        <v>17</v>
      </c>
      <c r="G1863" s="4" cm="1">
        <f t="array" ref="G1863">IF($C1863&gt;=25,F1863,IF($C1863&lt;16,INDEX(Sheet1!C:C,$F1863),$F1863))</f>
        <v>17</v>
      </c>
      <c r="H1863" s="4" t="str" cm="1">
        <f t="array" ref="H1863">INDEX(Sheet1!D:D,$G1863)</f>
        <v>2001-cso-preferred-class-structure-mortality-tables.xls</v>
      </c>
      <c r="I1863" s="4" t="str" cm="1">
        <f t="array" ref="I1863">INDEX(Sheet1!E:E,$G1863)</f>
        <v>A.1.b.v</v>
      </c>
      <c r="J1863" s="4" t="str" cm="1">
        <f t="array" ref="J1863">IF($C1863&gt;=25,INDEX(Sheet1!G:G,$G1863),INDEX(Sheet1!F:F,$G1863))</f>
        <v>AA8</v>
      </c>
      <c r="K1863" s="4" cm="1">
        <f t="array" ref="K1863">INDEX(Sheet1!H:H,$G1863)</f>
        <v>1E-3</v>
      </c>
      <c r="L1863" s="4">
        <f t="shared" si="104"/>
        <v>21</v>
      </c>
      <c r="M1863" s="4">
        <f t="shared" si="105"/>
        <v>0</v>
      </c>
    </row>
    <row r="1864" spans="1:13">
      <c r="A1864" s="4" t="str" cm="1">
        <f t="array" ref="A1864">INDEX(Sheet1!A:A,$F1864)</f>
        <v>F</v>
      </c>
      <c r="B1864" s="4" t="str" cm="1">
        <f t="array" ref="B1864">INDEX(Sheet1!B:B,$F1864)</f>
        <v>Non-Pref SM</v>
      </c>
      <c r="C1864" s="4">
        <f t="shared" si="112"/>
        <v>47</v>
      </c>
      <c r="D1864" s="5" cm="1">
        <f t="array" aca="1" ref="D1864" ca="1">OFFSET(INDIRECT("'["&amp;$H1864&amp;"]"&amp;$I1864&amp;"'!"&amp;$J1864),$L1864,$M1864)*$K1864</f>
        <v>4.2400000000000007E-3</v>
      </c>
      <c r="F1864" s="4">
        <f t="shared" si="113"/>
        <v>17</v>
      </c>
      <c r="G1864" s="4" cm="1">
        <f t="array" ref="G1864">IF($C1864&gt;=25,F1864,IF($C1864&lt;16,INDEX(Sheet1!C:C,$F1864),$F1864))</f>
        <v>17</v>
      </c>
      <c r="H1864" s="4" t="str" cm="1">
        <f t="array" ref="H1864">INDEX(Sheet1!D:D,$G1864)</f>
        <v>2001-cso-preferred-class-structure-mortality-tables.xls</v>
      </c>
      <c r="I1864" s="4" t="str" cm="1">
        <f t="array" ref="I1864">INDEX(Sheet1!E:E,$G1864)</f>
        <v>A.1.b.v</v>
      </c>
      <c r="J1864" s="4" t="str" cm="1">
        <f t="array" ref="J1864">IF($C1864&gt;=25,INDEX(Sheet1!G:G,$G1864),INDEX(Sheet1!F:F,$G1864))</f>
        <v>AA8</v>
      </c>
      <c r="K1864" s="4" cm="1">
        <f t="array" ref="K1864">INDEX(Sheet1!H:H,$G1864)</f>
        <v>1E-3</v>
      </c>
      <c r="L1864" s="4">
        <f t="shared" si="104"/>
        <v>22</v>
      </c>
      <c r="M1864" s="4">
        <f t="shared" si="105"/>
        <v>0</v>
      </c>
    </row>
    <row r="1865" spans="1:13">
      <c r="A1865" s="4" t="str" cm="1">
        <f t="array" ref="A1865">INDEX(Sheet1!A:A,$F1865)</f>
        <v>F</v>
      </c>
      <c r="B1865" s="4" t="str" cm="1">
        <f t="array" ref="B1865">INDEX(Sheet1!B:B,$F1865)</f>
        <v>Non-Pref SM</v>
      </c>
      <c r="C1865" s="4">
        <f t="shared" si="112"/>
        <v>48</v>
      </c>
      <c r="D1865" s="5" cm="1">
        <f t="array" aca="1" ref="D1865" ca="1">OFFSET(INDIRECT("'["&amp;$H1865&amp;"]"&amp;$I1865&amp;"'!"&amp;$J1865),$L1865,$M1865)*$K1865</f>
        <v>4.7699999999999999E-3</v>
      </c>
      <c r="F1865" s="4">
        <f t="shared" si="113"/>
        <v>17</v>
      </c>
      <c r="G1865" s="4" cm="1">
        <f t="array" ref="G1865">IF($C1865&gt;=25,F1865,IF($C1865&lt;16,INDEX(Sheet1!C:C,$F1865),$F1865))</f>
        <v>17</v>
      </c>
      <c r="H1865" s="4" t="str" cm="1">
        <f t="array" ref="H1865">INDEX(Sheet1!D:D,$G1865)</f>
        <v>2001-cso-preferred-class-structure-mortality-tables.xls</v>
      </c>
      <c r="I1865" s="4" t="str" cm="1">
        <f t="array" ref="I1865">INDEX(Sheet1!E:E,$G1865)</f>
        <v>A.1.b.v</v>
      </c>
      <c r="J1865" s="4" t="str" cm="1">
        <f t="array" ref="J1865">IF($C1865&gt;=25,INDEX(Sheet1!G:G,$G1865),INDEX(Sheet1!F:F,$G1865))</f>
        <v>AA8</v>
      </c>
      <c r="K1865" s="4" cm="1">
        <f t="array" ref="K1865">INDEX(Sheet1!H:H,$G1865)</f>
        <v>1E-3</v>
      </c>
      <c r="L1865" s="4">
        <f t="shared" si="104"/>
        <v>23</v>
      </c>
      <c r="M1865" s="4">
        <f t="shared" si="105"/>
        <v>0</v>
      </c>
    </row>
    <row r="1866" spans="1:13">
      <c r="A1866" s="4" t="str" cm="1">
        <f t="array" ref="A1866">INDEX(Sheet1!A:A,$F1866)</f>
        <v>F</v>
      </c>
      <c r="B1866" s="4" t="str" cm="1">
        <f t="array" ref="B1866">INDEX(Sheet1!B:B,$F1866)</f>
        <v>Non-Pref SM</v>
      </c>
      <c r="C1866" s="4">
        <f t="shared" si="112"/>
        <v>49</v>
      </c>
      <c r="D1866" s="5" cm="1">
        <f t="array" aca="1" ref="D1866" ca="1">OFFSET(INDIRECT("'["&amp;$H1866&amp;"]"&amp;$I1866&amp;"'!"&amp;$J1866),$L1866,$M1866)*$K1866</f>
        <v>5.3600000000000002E-3</v>
      </c>
      <c r="F1866" s="4">
        <f t="shared" si="113"/>
        <v>17</v>
      </c>
      <c r="G1866" s="4" cm="1">
        <f t="array" ref="G1866">IF($C1866&gt;=25,F1866,IF($C1866&lt;16,INDEX(Sheet1!C:C,$F1866),$F1866))</f>
        <v>17</v>
      </c>
      <c r="H1866" s="4" t="str" cm="1">
        <f t="array" ref="H1866">INDEX(Sheet1!D:D,$G1866)</f>
        <v>2001-cso-preferred-class-structure-mortality-tables.xls</v>
      </c>
      <c r="I1866" s="4" t="str" cm="1">
        <f t="array" ref="I1866">INDEX(Sheet1!E:E,$G1866)</f>
        <v>A.1.b.v</v>
      </c>
      <c r="J1866" s="4" t="str" cm="1">
        <f t="array" ref="J1866">IF($C1866&gt;=25,INDEX(Sheet1!G:G,$G1866),INDEX(Sheet1!F:F,$G1866))</f>
        <v>AA8</v>
      </c>
      <c r="K1866" s="4" cm="1">
        <f t="array" ref="K1866">INDEX(Sheet1!H:H,$G1866)</f>
        <v>1E-3</v>
      </c>
      <c r="L1866" s="4">
        <f t="shared" si="104"/>
        <v>24</v>
      </c>
      <c r="M1866" s="4">
        <f t="shared" si="105"/>
        <v>0</v>
      </c>
    </row>
    <row r="1867" spans="1:13">
      <c r="A1867" s="4" t="str" cm="1">
        <f t="array" ref="A1867">INDEX(Sheet1!A:A,$F1867)</f>
        <v>F</v>
      </c>
      <c r="B1867" s="4" t="str" cm="1">
        <f t="array" ref="B1867">INDEX(Sheet1!B:B,$F1867)</f>
        <v>Non-Pref SM</v>
      </c>
      <c r="C1867" s="4">
        <f t="shared" si="112"/>
        <v>50</v>
      </c>
      <c r="D1867" s="5" cm="1">
        <f t="array" aca="1" ref="D1867" ca="1">OFFSET(INDIRECT("'["&amp;$H1867&amp;"]"&amp;$I1867&amp;"'!"&amp;$J1867),$L1867,$M1867)*$K1867</f>
        <v>5.9900000000000005E-3</v>
      </c>
      <c r="F1867" s="4">
        <f t="shared" si="113"/>
        <v>17</v>
      </c>
      <c r="G1867" s="4" cm="1">
        <f t="array" ref="G1867">IF($C1867&gt;=25,F1867,IF($C1867&lt;16,INDEX(Sheet1!C:C,$F1867),$F1867))</f>
        <v>17</v>
      </c>
      <c r="H1867" s="4" t="str" cm="1">
        <f t="array" ref="H1867">INDEX(Sheet1!D:D,$G1867)</f>
        <v>2001-cso-preferred-class-structure-mortality-tables.xls</v>
      </c>
      <c r="I1867" s="4" t="str" cm="1">
        <f t="array" ref="I1867">INDEX(Sheet1!E:E,$G1867)</f>
        <v>A.1.b.v</v>
      </c>
      <c r="J1867" s="4" t="str" cm="1">
        <f t="array" ref="J1867">IF($C1867&gt;=25,INDEX(Sheet1!G:G,$G1867),INDEX(Sheet1!F:F,$G1867))</f>
        <v>AA8</v>
      </c>
      <c r="K1867" s="4" cm="1">
        <f t="array" ref="K1867">INDEX(Sheet1!H:H,$G1867)</f>
        <v>1E-3</v>
      </c>
      <c r="L1867" s="4">
        <f t="shared" si="104"/>
        <v>25</v>
      </c>
      <c r="M1867" s="4">
        <f t="shared" si="105"/>
        <v>0</v>
      </c>
    </row>
    <row r="1868" spans="1:13">
      <c r="A1868" s="4" t="str" cm="1">
        <f t="array" ref="A1868">INDEX(Sheet1!A:A,$F1868)</f>
        <v>F</v>
      </c>
      <c r="B1868" s="4" t="str" cm="1">
        <f t="array" ref="B1868">INDEX(Sheet1!B:B,$F1868)</f>
        <v>Non-Pref SM</v>
      </c>
      <c r="C1868" s="4">
        <f t="shared" si="112"/>
        <v>51</v>
      </c>
      <c r="D1868" s="5" cm="1">
        <f t="array" aca="1" ref="D1868" ca="1">OFFSET(INDIRECT("'["&amp;$H1868&amp;"]"&amp;$I1868&amp;"'!"&amp;$J1868),$L1868,$M1868)*$K1868</f>
        <v>6.6800000000000002E-3</v>
      </c>
      <c r="F1868" s="4">
        <f t="shared" si="113"/>
        <v>17</v>
      </c>
      <c r="G1868" s="4" cm="1">
        <f t="array" ref="G1868">IF($C1868&gt;=25,F1868,IF($C1868&lt;16,INDEX(Sheet1!C:C,$F1868),$F1868))</f>
        <v>17</v>
      </c>
      <c r="H1868" s="4" t="str" cm="1">
        <f t="array" ref="H1868">INDEX(Sheet1!D:D,$G1868)</f>
        <v>2001-cso-preferred-class-structure-mortality-tables.xls</v>
      </c>
      <c r="I1868" s="4" t="str" cm="1">
        <f t="array" ref="I1868">INDEX(Sheet1!E:E,$G1868)</f>
        <v>A.1.b.v</v>
      </c>
      <c r="J1868" s="4" t="str" cm="1">
        <f t="array" ref="J1868">IF($C1868&gt;=25,INDEX(Sheet1!G:G,$G1868),INDEX(Sheet1!F:F,$G1868))</f>
        <v>AA8</v>
      </c>
      <c r="K1868" s="4" cm="1">
        <f t="array" ref="K1868">INDEX(Sheet1!H:H,$G1868)</f>
        <v>1E-3</v>
      </c>
      <c r="L1868" s="4">
        <f t="shared" si="104"/>
        <v>26</v>
      </c>
      <c r="M1868" s="4">
        <f t="shared" si="105"/>
        <v>0</v>
      </c>
    </row>
    <row r="1869" spans="1:13">
      <c r="A1869" s="4" t="str" cm="1">
        <f t="array" ref="A1869">INDEX(Sheet1!A:A,$F1869)</f>
        <v>F</v>
      </c>
      <c r="B1869" s="4" t="str" cm="1">
        <f t="array" ref="B1869">INDEX(Sheet1!B:B,$F1869)</f>
        <v>Non-Pref SM</v>
      </c>
      <c r="C1869" s="4">
        <f t="shared" si="112"/>
        <v>52</v>
      </c>
      <c r="D1869" s="5" cm="1">
        <f t="array" aca="1" ref="D1869" ca="1">OFFSET(INDIRECT("'["&amp;$H1869&amp;"]"&amp;$I1869&amp;"'!"&amp;$J1869),$L1869,$M1869)*$K1869</f>
        <v>7.4200000000000004E-3</v>
      </c>
      <c r="F1869" s="4">
        <f t="shared" si="113"/>
        <v>17</v>
      </c>
      <c r="G1869" s="4" cm="1">
        <f t="array" ref="G1869">IF($C1869&gt;=25,F1869,IF($C1869&lt;16,INDEX(Sheet1!C:C,$F1869),$F1869))</f>
        <v>17</v>
      </c>
      <c r="H1869" s="4" t="str" cm="1">
        <f t="array" ref="H1869">INDEX(Sheet1!D:D,$G1869)</f>
        <v>2001-cso-preferred-class-structure-mortality-tables.xls</v>
      </c>
      <c r="I1869" s="4" t="str" cm="1">
        <f t="array" ref="I1869">INDEX(Sheet1!E:E,$G1869)</f>
        <v>A.1.b.v</v>
      </c>
      <c r="J1869" s="4" t="str" cm="1">
        <f t="array" ref="J1869">IF($C1869&gt;=25,INDEX(Sheet1!G:G,$G1869),INDEX(Sheet1!F:F,$G1869))</f>
        <v>AA8</v>
      </c>
      <c r="K1869" s="4" cm="1">
        <f t="array" ref="K1869">INDEX(Sheet1!H:H,$G1869)</f>
        <v>1E-3</v>
      </c>
      <c r="L1869" s="4">
        <f t="shared" si="104"/>
        <v>27</v>
      </c>
      <c r="M1869" s="4">
        <f t="shared" si="105"/>
        <v>0</v>
      </c>
    </row>
    <row r="1870" spans="1:13">
      <c r="A1870" s="4" t="str" cm="1">
        <f t="array" ref="A1870">INDEX(Sheet1!A:A,$F1870)</f>
        <v>F</v>
      </c>
      <c r="B1870" s="4" t="str" cm="1">
        <f t="array" ref="B1870">INDEX(Sheet1!B:B,$F1870)</f>
        <v>Non-Pref SM</v>
      </c>
      <c r="C1870" s="4">
        <f t="shared" si="112"/>
        <v>53</v>
      </c>
      <c r="D1870" s="5" cm="1">
        <f t="array" aca="1" ref="D1870" ca="1">OFFSET(INDIRECT("'["&amp;$H1870&amp;"]"&amp;$I1870&amp;"'!"&amp;$J1870),$L1870,$M1870)*$K1870</f>
        <v>8.2200000000000016E-3</v>
      </c>
      <c r="F1870" s="4">
        <f t="shared" si="113"/>
        <v>17</v>
      </c>
      <c r="G1870" s="4" cm="1">
        <f t="array" ref="G1870">IF($C1870&gt;=25,F1870,IF($C1870&lt;16,INDEX(Sheet1!C:C,$F1870),$F1870))</f>
        <v>17</v>
      </c>
      <c r="H1870" s="4" t="str" cm="1">
        <f t="array" ref="H1870">INDEX(Sheet1!D:D,$G1870)</f>
        <v>2001-cso-preferred-class-structure-mortality-tables.xls</v>
      </c>
      <c r="I1870" s="4" t="str" cm="1">
        <f t="array" ref="I1870">INDEX(Sheet1!E:E,$G1870)</f>
        <v>A.1.b.v</v>
      </c>
      <c r="J1870" s="4" t="str" cm="1">
        <f t="array" ref="J1870">IF($C1870&gt;=25,INDEX(Sheet1!G:G,$G1870),INDEX(Sheet1!F:F,$G1870))</f>
        <v>AA8</v>
      </c>
      <c r="K1870" s="4" cm="1">
        <f t="array" ref="K1870">INDEX(Sheet1!H:H,$G1870)</f>
        <v>1E-3</v>
      </c>
      <c r="L1870" s="4">
        <f t="shared" si="104"/>
        <v>28</v>
      </c>
      <c r="M1870" s="4">
        <f t="shared" si="105"/>
        <v>0</v>
      </c>
    </row>
    <row r="1871" spans="1:13">
      <c r="A1871" s="4" t="str" cm="1">
        <f t="array" ref="A1871">INDEX(Sheet1!A:A,$F1871)</f>
        <v>F</v>
      </c>
      <c r="B1871" s="4" t="str" cm="1">
        <f t="array" ref="B1871">INDEX(Sheet1!B:B,$F1871)</f>
        <v>Non-Pref SM</v>
      </c>
      <c r="C1871" s="4">
        <f t="shared" si="112"/>
        <v>54</v>
      </c>
      <c r="D1871" s="5" cm="1">
        <f t="array" aca="1" ref="D1871" ca="1">OFFSET(INDIRECT("'["&amp;$H1871&amp;"]"&amp;$I1871&amp;"'!"&amp;$J1871),$L1871,$M1871)*$K1871</f>
        <v>9.0600000000000003E-3</v>
      </c>
      <c r="F1871" s="4">
        <f t="shared" si="113"/>
        <v>17</v>
      </c>
      <c r="G1871" s="4" cm="1">
        <f t="array" ref="G1871">IF($C1871&gt;=25,F1871,IF($C1871&lt;16,INDEX(Sheet1!C:C,$F1871),$F1871))</f>
        <v>17</v>
      </c>
      <c r="H1871" s="4" t="str" cm="1">
        <f t="array" ref="H1871">INDEX(Sheet1!D:D,$G1871)</f>
        <v>2001-cso-preferred-class-structure-mortality-tables.xls</v>
      </c>
      <c r="I1871" s="4" t="str" cm="1">
        <f t="array" ref="I1871">INDEX(Sheet1!E:E,$G1871)</f>
        <v>A.1.b.v</v>
      </c>
      <c r="J1871" s="4" t="str" cm="1">
        <f t="array" ref="J1871">IF($C1871&gt;=25,INDEX(Sheet1!G:G,$G1871),INDEX(Sheet1!F:F,$G1871))</f>
        <v>AA8</v>
      </c>
      <c r="K1871" s="4" cm="1">
        <f t="array" ref="K1871">INDEX(Sheet1!H:H,$G1871)</f>
        <v>1E-3</v>
      </c>
      <c r="L1871" s="4">
        <f t="shared" si="104"/>
        <v>29</v>
      </c>
      <c r="M1871" s="4">
        <f t="shared" si="105"/>
        <v>0</v>
      </c>
    </row>
    <row r="1872" spans="1:13">
      <c r="A1872" s="4" t="str" cm="1">
        <f t="array" ref="A1872">INDEX(Sheet1!A:A,$F1872)</f>
        <v>F</v>
      </c>
      <c r="B1872" s="4" t="str" cm="1">
        <f t="array" ref="B1872">INDEX(Sheet1!B:B,$F1872)</f>
        <v>Non-Pref SM</v>
      </c>
      <c r="C1872" s="4">
        <f t="shared" si="112"/>
        <v>55</v>
      </c>
      <c r="D1872" s="5" cm="1">
        <f t="array" aca="1" ref="D1872" ca="1">OFFSET(INDIRECT("'["&amp;$H1872&amp;"]"&amp;$I1872&amp;"'!"&amp;$J1872),$L1872,$M1872)*$K1872</f>
        <v>9.9600000000000018E-3</v>
      </c>
      <c r="F1872" s="4">
        <f t="shared" si="113"/>
        <v>17</v>
      </c>
      <c r="G1872" s="4" cm="1">
        <f t="array" ref="G1872">IF($C1872&gt;=25,F1872,IF($C1872&lt;16,INDEX(Sheet1!C:C,$F1872),$F1872))</f>
        <v>17</v>
      </c>
      <c r="H1872" s="4" t="str" cm="1">
        <f t="array" ref="H1872">INDEX(Sheet1!D:D,$G1872)</f>
        <v>2001-cso-preferred-class-structure-mortality-tables.xls</v>
      </c>
      <c r="I1872" s="4" t="str" cm="1">
        <f t="array" ref="I1872">INDEX(Sheet1!E:E,$G1872)</f>
        <v>A.1.b.v</v>
      </c>
      <c r="J1872" s="4" t="str" cm="1">
        <f t="array" ref="J1872">IF($C1872&gt;=25,INDEX(Sheet1!G:G,$G1872),INDEX(Sheet1!F:F,$G1872))</f>
        <v>AA8</v>
      </c>
      <c r="K1872" s="4" cm="1">
        <f t="array" ref="K1872">INDEX(Sheet1!H:H,$G1872)</f>
        <v>1E-3</v>
      </c>
      <c r="L1872" s="4">
        <f t="shared" si="104"/>
        <v>30</v>
      </c>
      <c r="M1872" s="4">
        <f t="shared" si="105"/>
        <v>0</v>
      </c>
    </row>
    <row r="1873" spans="1:13">
      <c r="A1873" s="4" t="str" cm="1">
        <f t="array" ref="A1873">INDEX(Sheet1!A:A,$F1873)</f>
        <v>F</v>
      </c>
      <c r="B1873" s="4" t="str" cm="1">
        <f t="array" ref="B1873">INDEX(Sheet1!B:B,$F1873)</f>
        <v>Non-Pref SM</v>
      </c>
      <c r="C1873" s="4">
        <f t="shared" si="112"/>
        <v>56</v>
      </c>
      <c r="D1873" s="5" cm="1">
        <f t="array" aca="1" ref="D1873" ca="1">OFFSET(INDIRECT("'["&amp;$H1873&amp;"]"&amp;$I1873&amp;"'!"&amp;$J1873),$L1873,$M1873)*$K1873</f>
        <v>1.09E-2</v>
      </c>
      <c r="F1873" s="4">
        <f t="shared" si="113"/>
        <v>17</v>
      </c>
      <c r="G1873" s="4" cm="1">
        <f t="array" ref="G1873">IF($C1873&gt;=25,F1873,IF($C1873&lt;16,INDEX(Sheet1!C:C,$F1873),$F1873))</f>
        <v>17</v>
      </c>
      <c r="H1873" s="4" t="str" cm="1">
        <f t="array" ref="H1873">INDEX(Sheet1!D:D,$G1873)</f>
        <v>2001-cso-preferred-class-structure-mortality-tables.xls</v>
      </c>
      <c r="I1873" s="4" t="str" cm="1">
        <f t="array" ref="I1873">INDEX(Sheet1!E:E,$G1873)</f>
        <v>A.1.b.v</v>
      </c>
      <c r="J1873" s="4" t="str" cm="1">
        <f t="array" ref="J1873">IF($C1873&gt;=25,INDEX(Sheet1!G:G,$G1873),INDEX(Sheet1!F:F,$G1873))</f>
        <v>AA8</v>
      </c>
      <c r="K1873" s="4" cm="1">
        <f t="array" ref="K1873">INDEX(Sheet1!H:H,$G1873)</f>
        <v>1E-3</v>
      </c>
      <c r="L1873" s="4">
        <f t="shared" si="104"/>
        <v>31</v>
      </c>
      <c r="M1873" s="4">
        <f t="shared" si="105"/>
        <v>0</v>
      </c>
    </row>
    <row r="1874" spans="1:13">
      <c r="A1874" s="4" t="str" cm="1">
        <f t="array" ref="A1874">INDEX(Sheet1!A:A,$F1874)</f>
        <v>F</v>
      </c>
      <c r="B1874" s="4" t="str" cm="1">
        <f t="array" ref="B1874">INDEX(Sheet1!B:B,$F1874)</f>
        <v>Non-Pref SM</v>
      </c>
      <c r="C1874" s="4">
        <f t="shared" si="112"/>
        <v>57</v>
      </c>
      <c r="D1874" s="5" cm="1">
        <f t="array" aca="1" ref="D1874" ca="1">OFFSET(INDIRECT("'["&amp;$H1874&amp;"]"&amp;$I1874&amp;"'!"&amp;$J1874),$L1874,$M1874)*$K1874</f>
        <v>1.191E-2</v>
      </c>
      <c r="F1874" s="4">
        <f t="shared" si="113"/>
        <v>17</v>
      </c>
      <c r="G1874" s="4" cm="1">
        <f t="array" ref="G1874">IF($C1874&gt;=25,F1874,IF($C1874&lt;16,INDEX(Sheet1!C:C,$F1874),$F1874))</f>
        <v>17</v>
      </c>
      <c r="H1874" s="4" t="str" cm="1">
        <f t="array" ref="H1874">INDEX(Sheet1!D:D,$G1874)</f>
        <v>2001-cso-preferred-class-structure-mortality-tables.xls</v>
      </c>
      <c r="I1874" s="4" t="str" cm="1">
        <f t="array" ref="I1874">INDEX(Sheet1!E:E,$G1874)</f>
        <v>A.1.b.v</v>
      </c>
      <c r="J1874" s="4" t="str" cm="1">
        <f t="array" ref="J1874">IF($C1874&gt;=25,INDEX(Sheet1!G:G,$G1874),INDEX(Sheet1!F:F,$G1874))</f>
        <v>AA8</v>
      </c>
      <c r="K1874" s="4" cm="1">
        <f t="array" ref="K1874">INDEX(Sheet1!H:H,$G1874)</f>
        <v>1E-3</v>
      </c>
      <c r="L1874" s="4">
        <f t="shared" si="104"/>
        <v>32</v>
      </c>
      <c r="M1874" s="4">
        <f t="shared" si="105"/>
        <v>0</v>
      </c>
    </row>
    <row r="1875" spans="1:13">
      <c r="A1875" s="4" t="str" cm="1">
        <f t="array" ref="A1875">INDEX(Sheet1!A:A,$F1875)</f>
        <v>F</v>
      </c>
      <c r="B1875" s="4" t="str" cm="1">
        <f t="array" ref="B1875">INDEX(Sheet1!B:B,$F1875)</f>
        <v>Non-Pref SM</v>
      </c>
      <c r="C1875" s="4">
        <f t="shared" si="112"/>
        <v>58</v>
      </c>
      <c r="D1875" s="5" cm="1">
        <f t="array" aca="1" ref="D1875" ca="1">OFFSET(INDIRECT("'["&amp;$H1875&amp;"]"&amp;$I1875&amp;"'!"&amp;$J1875),$L1875,$M1875)*$K1875</f>
        <v>1.2869999999999999E-2</v>
      </c>
      <c r="F1875" s="4">
        <f t="shared" si="113"/>
        <v>17</v>
      </c>
      <c r="G1875" s="4" cm="1">
        <f t="array" ref="G1875">IF($C1875&gt;=25,F1875,IF($C1875&lt;16,INDEX(Sheet1!C:C,$F1875),$F1875))</f>
        <v>17</v>
      </c>
      <c r="H1875" s="4" t="str" cm="1">
        <f t="array" ref="H1875">INDEX(Sheet1!D:D,$G1875)</f>
        <v>2001-cso-preferred-class-structure-mortality-tables.xls</v>
      </c>
      <c r="I1875" s="4" t="str" cm="1">
        <f t="array" ref="I1875">INDEX(Sheet1!E:E,$G1875)</f>
        <v>A.1.b.v</v>
      </c>
      <c r="J1875" s="4" t="str" cm="1">
        <f t="array" ref="J1875">IF($C1875&gt;=25,INDEX(Sheet1!G:G,$G1875),INDEX(Sheet1!F:F,$G1875))</f>
        <v>AA8</v>
      </c>
      <c r="K1875" s="4" cm="1">
        <f t="array" ref="K1875">INDEX(Sheet1!H:H,$G1875)</f>
        <v>1E-3</v>
      </c>
      <c r="L1875" s="4">
        <f t="shared" si="104"/>
        <v>33</v>
      </c>
      <c r="M1875" s="4">
        <f t="shared" si="105"/>
        <v>0</v>
      </c>
    </row>
    <row r="1876" spans="1:13">
      <c r="A1876" s="4" t="str" cm="1">
        <f t="array" ref="A1876">INDEX(Sheet1!A:A,$F1876)</f>
        <v>F</v>
      </c>
      <c r="B1876" s="4" t="str" cm="1">
        <f t="array" ref="B1876">INDEX(Sheet1!B:B,$F1876)</f>
        <v>Non-Pref SM</v>
      </c>
      <c r="C1876" s="4">
        <f t="shared" si="112"/>
        <v>59</v>
      </c>
      <c r="D1876" s="5" cm="1">
        <f t="array" aca="1" ref="D1876" ca="1">OFFSET(INDIRECT("'["&amp;$H1876&amp;"]"&amp;$I1876&amp;"'!"&amp;$J1876),$L1876,$M1876)*$K1876</f>
        <v>1.3949999999999999E-2</v>
      </c>
      <c r="F1876" s="4">
        <f t="shared" si="113"/>
        <v>17</v>
      </c>
      <c r="G1876" s="4" cm="1">
        <f t="array" ref="G1876">IF($C1876&gt;=25,F1876,IF($C1876&lt;16,INDEX(Sheet1!C:C,$F1876),$F1876))</f>
        <v>17</v>
      </c>
      <c r="H1876" s="4" t="str" cm="1">
        <f t="array" ref="H1876">INDEX(Sheet1!D:D,$G1876)</f>
        <v>2001-cso-preferred-class-structure-mortality-tables.xls</v>
      </c>
      <c r="I1876" s="4" t="str" cm="1">
        <f t="array" ref="I1876">INDEX(Sheet1!E:E,$G1876)</f>
        <v>A.1.b.v</v>
      </c>
      <c r="J1876" s="4" t="str" cm="1">
        <f t="array" ref="J1876">IF($C1876&gt;=25,INDEX(Sheet1!G:G,$G1876),INDEX(Sheet1!F:F,$G1876))</f>
        <v>AA8</v>
      </c>
      <c r="K1876" s="4" cm="1">
        <f t="array" ref="K1876">INDEX(Sheet1!H:H,$G1876)</f>
        <v>1E-3</v>
      </c>
      <c r="L1876" s="4">
        <f t="shared" si="104"/>
        <v>34</v>
      </c>
      <c r="M1876" s="4">
        <f t="shared" si="105"/>
        <v>0</v>
      </c>
    </row>
    <row r="1877" spans="1:13">
      <c r="A1877" s="4" t="str" cm="1">
        <f t="array" ref="A1877">INDEX(Sheet1!A:A,$F1877)</f>
        <v>F</v>
      </c>
      <c r="B1877" s="4" t="str" cm="1">
        <f t="array" ref="B1877">INDEX(Sheet1!B:B,$F1877)</f>
        <v>Non-Pref SM</v>
      </c>
      <c r="C1877" s="4">
        <f t="shared" si="112"/>
        <v>60</v>
      </c>
      <c r="D1877" s="5" cm="1">
        <f t="array" aca="1" ref="D1877" ca="1">OFFSET(INDIRECT("'["&amp;$H1877&amp;"]"&amp;$I1877&amp;"'!"&amp;$J1877),$L1877,$M1877)*$K1877</f>
        <v>1.5100000000000001E-2</v>
      </c>
      <c r="F1877" s="4">
        <f t="shared" si="113"/>
        <v>17</v>
      </c>
      <c r="G1877" s="4" cm="1">
        <f t="array" ref="G1877">IF($C1877&gt;=25,F1877,IF($C1877&lt;16,INDEX(Sheet1!C:C,$F1877),$F1877))</f>
        <v>17</v>
      </c>
      <c r="H1877" s="4" t="str" cm="1">
        <f t="array" ref="H1877">INDEX(Sheet1!D:D,$G1877)</f>
        <v>2001-cso-preferred-class-structure-mortality-tables.xls</v>
      </c>
      <c r="I1877" s="4" t="str" cm="1">
        <f t="array" ref="I1877">INDEX(Sheet1!E:E,$G1877)</f>
        <v>A.1.b.v</v>
      </c>
      <c r="J1877" s="4" t="str" cm="1">
        <f t="array" ref="J1877">IF($C1877&gt;=25,INDEX(Sheet1!G:G,$G1877),INDEX(Sheet1!F:F,$G1877))</f>
        <v>AA8</v>
      </c>
      <c r="K1877" s="4" cm="1">
        <f t="array" ref="K1877">INDEX(Sheet1!H:H,$G1877)</f>
        <v>1E-3</v>
      </c>
      <c r="L1877" s="4">
        <f t="shared" si="104"/>
        <v>35</v>
      </c>
      <c r="M1877" s="4">
        <f t="shared" si="105"/>
        <v>0</v>
      </c>
    </row>
    <row r="1878" spans="1:13">
      <c r="A1878" s="4" t="str" cm="1">
        <f t="array" ref="A1878">INDEX(Sheet1!A:A,$F1878)</f>
        <v>F</v>
      </c>
      <c r="B1878" s="4" t="str" cm="1">
        <f t="array" ref="B1878">INDEX(Sheet1!B:B,$F1878)</f>
        <v>Non-Pref SM</v>
      </c>
      <c r="C1878" s="4">
        <f t="shared" si="112"/>
        <v>61</v>
      </c>
      <c r="D1878" s="5" cm="1">
        <f t="array" aca="1" ref="D1878" ca="1">OFFSET(INDIRECT("'["&amp;$H1878&amp;"]"&amp;$I1878&amp;"'!"&amp;$J1878),$L1878,$M1878)*$K1878</f>
        <v>1.6300000000000002E-2</v>
      </c>
      <c r="F1878" s="4">
        <f t="shared" si="113"/>
        <v>17</v>
      </c>
      <c r="G1878" s="4" cm="1">
        <f t="array" ref="G1878">IF($C1878&gt;=25,F1878,IF($C1878&lt;16,INDEX(Sheet1!C:C,$F1878),$F1878))</f>
        <v>17</v>
      </c>
      <c r="H1878" s="4" t="str" cm="1">
        <f t="array" ref="H1878">INDEX(Sheet1!D:D,$G1878)</f>
        <v>2001-cso-preferred-class-structure-mortality-tables.xls</v>
      </c>
      <c r="I1878" s="4" t="str" cm="1">
        <f t="array" ref="I1878">INDEX(Sheet1!E:E,$G1878)</f>
        <v>A.1.b.v</v>
      </c>
      <c r="J1878" s="4" t="str" cm="1">
        <f t="array" ref="J1878">IF($C1878&gt;=25,INDEX(Sheet1!G:G,$G1878),INDEX(Sheet1!F:F,$G1878))</f>
        <v>AA8</v>
      </c>
      <c r="K1878" s="4" cm="1">
        <f t="array" ref="K1878">INDEX(Sheet1!H:H,$G1878)</f>
        <v>1E-3</v>
      </c>
      <c r="L1878" s="4">
        <f t="shared" si="104"/>
        <v>36</v>
      </c>
      <c r="M1878" s="4">
        <f t="shared" si="105"/>
        <v>0</v>
      </c>
    </row>
    <row r="1879" spans="1:13">
      <c r="A1879" s="4" t="str" cm="1">
        <f t="array" ref="A1879">INDEX(Sheet1!A:A,$F1879)</f>
        <v>F</v>
      </c>
      <c r="B1879" s="4" t="str" cm="1">
        <f t="array" ref="B1879">INDEX(Sheet1!B:B,$F1879)</f>
        <v>Non-Pref SM</v>
      </c>
      <c r="C1879" s="4">
        <f t="shared" si="112"/>
        <v>62</v>
      </c>
      <c r="D1879" s="5" cm="1">
        <f t="array" aca="1" ref="D1879" ca="1">OFFSET(INDIRECT("'["&amp;$H1879&amp;"]"&amp;$I1879&amp;"'!"&amp;$J1879),$L1879,$M1879)*$K1879</f>
        <v>1.7660000000000002E-2</v>
      </c>
      <c r="F1879" s="4">
        <f t="shared" si="113"/>
        <v>17</v>
      </c>
      <c r="G1879" s="4" cm="1">
        <f t="array" ref="G1879">IF($C1879&gt;=25,F1879,IF($C1879&lt;16,INDEX(Sheet1!C:C,$F1879),$F1879))</f>
        <v>17</v>
      </c>
      <c r="H1879" s="4" t="str" cm="1">
        <f t="array" ref="H1879">INDEX(Sheet1!D:D,$G1879)</f>
        <v>2001-cso-preferred-class-structure-mortality-tables.xls</v>
      </c>
      <c r="I1879" s="4" t="str" cm="1">
        <f t="array" ref="I1879">INDEX(Sheet1!E:E,$G1879)</f>
        <v>A.1.b.v</v>
      </c>
      <c r="J1879" s="4" t="str" cm="1">
        <f t="array" ref="J1879">IF($C1879&gt;=25,INDEX(Sheet1!G:G,$G1879),INDEX(Sheet1!F:F,$G1879))</f>
        <v>AA8</v>
      </c>
      <c r="K1879" s="4" cm="1">
        <f t="array" ref="K1879">INDEX(Sheet1!H:H,$G1879)</f>
        <v>1E-3</v>
      </c>
      <c r="L1879" s="4">
        <f t="shared" si="104"/>
        <v>37</v>
      </c>
      <c r="M1879" s="4">
        <f t="shared" si="105"/>
        <v>0</v>
      </c>
    </row>
    <row r="1880" spans="1:13">
      <c r="A1880" s="4" t="str" cm="1">
        <f t="array" ref="A1880">INDEX(Sheet1!A:A,$F1880)</f>
        <v>F</v>
      </c>
      <c r="B1880" s="4" t="str" cm="1">
        <f t="array" ref="B1880">INDEX(Sheet1!B:B,$F1880)</f>
        <v>Non-Pref SM</v>
      </c>
      <c r="C1880" s="4">
        <f t="shared" si="112"/>
        <v>63</v>
      </c>
      <c r="D1880" s="5" cm="1">
        <f t="array" aca="1" ref="D1880" ca="1">OFFSET(INDIRECT("'["&amp;$H1880&amp;"]"&amp;$I1880&amp;"'!"&amp;$J1880),$L1880,$M1880)*$K1880</f>
        <v>1.9010000000000003E-2</v>
      </c>
      <c r="F1880" s="4">
        <f t="shared" si="113"/>
        <v>17</v>
      </c>
      <c r="G1880" s="4" cm="1">
        <f t="array" ref="G1880">IF($C1880&gt;=25,F1880,IF($C1880&lt;16,INDEX(Sheet1!C:C,$F1880),$F1880))</f>
        <v>17</v>
      </c>
      <c r="H1880" s="4" t="str" cm="1">
        <f t="array" ref="H1880">INDEX(Sheet1!D:D,$G1880)</f>
        <v>2001-cso-preferred-class-structure-mortality-tables.xls</v>
      </c>
      <c r="I1880" s="4" t="str" cm="1">
        <f t="array" ref="I1880">INDEX(Sheet1!E:E,$G1880)</f>
        <v>A.1.b.v</v>
      </c>
      <c r="J1880" s="4" t="str" cm="1">
        <f t="array" ref="J1880">IF($C1880&gt;=25,INDEX(Sheet1!G:G,$G1880),INDEX(Sheet1!F:F,$G1880))</f>
        <v>AA8</v>
      </c>
      <c r="K1880" s="4" cm="1">
        <f t="array" ref="K1880">INDEX(Sheet1!H:H,$G1880)</f>
        <v>1E-3</v>
      </c>
      <c r="L1880" s="4">
        <f t="shared" si="104"/>
        <v>38</v>
      </c>
      <c r="M1880" s="4">
        <f t="shared" si="105"/>
        <v>0</v>
      </c>
    </row>
    <row r="1881" spans="1:13">
      <c r="A1881" s="4" t="str" cm="1">
        <f t="array" ref="A1881">INDEX(Sheet1!A:A,$F1881)</f>
        <v>F</v>
      </c>
      <c r="B1881" s="4" t="str" cm="1">
        <f t="array" ref="B1881">INDEX(Sheet1!B:B,$F1881)</f>
        <v>Non-Pref SM</v>
      </c>
      <c r="C1881" s="4">
        <f t="shared" si="112"/>
        <v>64</v>
      </c>
      <c r="D1881" s="5" cm="1">
        <f t="array" aca="1" ref="D1881" ca="1">OFFSET(INDIRECT("'["&amp;$H1881&amp;"]"&amp;$I1881&amp;"'!"&amp;$J1881),$L1881,$M1881)*$K1881</f>
        <v>2.043E-2</v>
      </c>
      <c r="F1881" s="4">
        <f t="shared" si="113"/>
        <v>17</v>
      </c>
      <c r="G1881" s="4" cm="1">
        <f t="array" ref="G1881">IF($C1881&gt;=25,F1881,IF($C1881&lt;16,INDEX(Sheet1!C:C,$F1881),$F1881))</f>
        <v>17</v>
      </c>
      <c r="H1881" s="4" t="str" cm="1">
        <f t="array" ref="H1881">INDEX(Sheet1!D:D,$G1881)</f>
        <v>2001-cso-preferred-class-structure-mortality-tables.xls</v>
      </c>
      <c r="I1881" s="4" t="str" cm="1">
        <f t="array" ref="I1881">INDEX(Sheet1!E:E,$G1881)</f>
        <v>A.1.b.v</v>
      </c>
      <c r="J1881" s="4" t="str" cm="1">
        <f t="array" ref="J1881">IF($C1881&gt;=25,INDEX(Sheet1!G:G,$G1881),INDEX(Sheet1!F:F,$G1881))</f>
        <v>AA8</v>
      </c>
      <c r="K1881" s="4" cm="1">
        <f t="array" ref="K1881">INDEX(Sheet1!H:H,$G1881)</f>
        <v>1E-3</v>
      </c>
      <c r="L1881" s="4">
        <f t="shared" si="104"/>
        <v>39</v>
      </c>
      <c r="M1881" s="4">
        <f t="shared" si="105"/>
        <v>0</v>
      </c>
    </row>
    <row r="1882" spans="1:13">
      <c r="A1882" s="4" t="str" cm="1">
        <f t="array" ref="A1882">INDEX(Sheet1!A:A,$F1882)</f>
        <v>F</v>
      </c>
      <c r="B1882" s="4" t="str" cm="1">
        <f t="array" ref="B1882">INDEX(Sheet1!B:B,$F1882)</f>
        <v>Non-Pref SM</v>
      </c>
      <c r="C1882" s="4">
        <f t="shared" si="112"/>
        <v>65</v>
      </c>
      <c r="D1882" s="5" cm="1">
        <f t="array" aca="1" ref="D1882" ca="1">OFFSET(INDIRECT("'["&amp;$H1882&amp;"]"&amp;$I1882&amp;"'!"&amp;$J1882),$L1882,$M1882)*$K1882</f>
        <v>2.1989999999999999E-2</v>
      </c>
      <c r="F1882" s="4">
        <f t="shared" si="113"/>
        <v>17</v>
      </c>
      <c r="G1882" s="4" cm="1">
        <f t="array" ref="G1882">IF($C1882&gt;=25,F1882,IF($C1882&lt;16,INDEX(Sheet1!C:C,$F1882),$F1882))</f>
        <v>17</v>
      </c>
      <c r="H1882" s="4" t="str" cm="1">
        <f t="array" ref="H1882">INDEX(Sheet1!D:D,$G1882)</f>
        <v>2001-cso-preferred-class-structure-mortality-tables.xls</v>
      </c>
      <c r="I1882" s="4" t="str" cm="1">
        <f t="array" ref="I1882">INDEX(Sheet1!E:E,$G1882)</f>
        <v>A.1.b.v</v>
      </c>
      <c r="J1882" s="4" t="str" cm="1">
        <f t="array" ref="J1882">IF($C1882&gt;=25,INDEX(Sheet1!G:G,$G1882),INDEX(Sheet1!F:F,$G1882))</f>
        <v>AA8</v>
      </c>
      <c r="K1882" s="4" cm="1">
        <f t="array" ref="K1882">INDEX(Sheet1!H:H,$G1882)</f>
        <v>1E-3</v>
      </c>
      <c r="L1882" s="4">
        <f t="shared" si="104"/>
        <v>40</v>
      </c>
      <c r="M1882" s="4">
        <f t="shared" si="105"/>
        <v>0</v>
      </c>
    </row>
    <row r="1883" spans="1:13">
      <c r="A1883" s="4" t="str" cm="1">
        <f t="array" ref="A1883">INDEX(Sheet1!A:A,$F1883)</f>
        <v>F</v>
      </c>
      <c r="B1883" s="4" t="str" cm="1">
        <f t="array" ref="B1883">INDEX(Sheet1!B:B,$F1883)</f>
        <v>Non-Pref SM</v>
      </c>
      <c r="C1883" s="4">
        <f t="shared" si="112"/>
        <v>66</v>
      </c>
      <c r="D1883" s="5" cm="1">
        <f t="array" aca="1" ref="D1883" ca="1">OFFSET(INDIRECT("'["&amp;$H1883&amp;"]"&amp;$I1883&amp;"'!"&amp;$J1883),$L1883,$M1883)*$K1883</f>
        <v>2.3649999999999997E-2</v>
      </c>
      <c r="F1883" s="4">
        <f t="shared" si="113"/>
        <v>17</v>
      </c>
      <c r="G1883" s="4" cm="1">
        <f t="array" ref="G1883">IF($C1883&gt;=25,F1883,IF($C1883&lt;16,INDEX(Sheet1!C:C,$F1883),$F1883))</f>
        <v>17</v>
      </c>
      <c r="H1883" s="4" t="str" cm="1">
        <f t="array" ref="H1883">INDEX(Sheet1!D:D,$G1883)</f>
        <v>2001-cso-preferred-class-structure-mortality-tables.xls</v>
      </c>
      <c r="I1883" s="4" t="str" cm="1">
        <f t="array" ref="I1883">INDEX(Sheet1!E:E,$G1883)</f>
        <v>A.1.b.v</v>
      </c>
      <c r="J1883" s="4" t="str" cm="1">
        <f t="array" ref="J1883">IF($C1883&gt;=25,INDEX(Sheet1!G:G,$G1883),INDEX(Sheet1!F:F,$G1883))</f>
        <v>AA8</v>
      </c>
      <c r="K1883" s="4" cm="1">
        <f t="array" ref="K1883">INDEX(Sheet1!H:H,$G1883)</f>
        <v>1E-3</v>
      </c>
      <c r="L1883" s="4">
        <f t="shared" si="104"/>
        <v>41</v>
      </c>
      <c r="M1883" s="4">
        <f t="shared" si="105"/>
        <v>0</v>
      </c>
    </row>
    <row r="1884" spans="1:13">
      <c r="A1884" s="4" t="str" cm="1">
        <f t="array" ref="A1884">INDEX(Sheet1!A:A,$F1884)</f>
        <v>F</v>
      </c>
      <c r="B1884" s="4" t="str" cm="1">
        <f t="array" ref="B1884">INDEX(Sheet1!B:B,$F1884)</f>
        <v>Non-Pref SM</v>
      </c>
      <c r="C1884" s="4">
        <f t="shared" si="112"/>
        <v>67</v>
      </c>
      <c r="D1884" s="5" cm="1">
        <f t="array" aca="1" ref="D1884" ca="1">OFFSET(INDIRECT("'["&amp;$H1884&amp;"]"&amp;$I1884&amp;"'!"&amp;$J1884),$L1884,$M1884)*$K1884</f>
        <v>2.5510000000000001E-2</v>
      </c>
      <c r="F1884" s="4">
        <f t="shared" si="113"/>
        <v>17</v>
      </c>
      <c r="G1884" s="4" cm="1">
        <f t="array" ref="G1884">IF($C1884&gt;=25,F1884,IF($C1884&lt;16,INDEX(Sheet1!C:C,$F1884),$F1884))</f>
        <v>17</v>
      </c>
      <c r="H1884" s="4" t="str" cm="1">
        <f t="array" ref="H1884">INDEX(Sheet1!D:D,$G1884)</f>
        <v>2001-cso-preferred-class-structure-mortality-tables.xls</v>
      </c>
      <c r="I1884" s="4" t="str" cm="1">
        <f t="array" ref="I1884">INDEX(Sheet1!E:E,$G1884)</f>
        <v>A.1.b.v</v>
      </c>
      <c r="J1884" s="4" t="str" cm="1">
        <f t="array" ref="J1884">IF($C1884&gt;=25,INDEX(Sheet1!G:G,$G1884),INDEX(Sheet1!F:F,$G1884))</f>
        <v>AA8</v>
      </c>
      <c r="K1884" s="4" cm="1">
        <f t="array" ref="K1884">INDEX(Sheet1!H:H,$G1884)</f>
        <v>1E-3</v>
      </c>
      <c r="L1884" s="4">
        <f t="shared" si="104"/>
        <v>42</v>
      </c>
      <c r="M1884" s="4">
        <f t="shared" si="105"/>
        <v>0</v>
      </c>
    </row>
    <row r="1885" spans="1:13">
      <c r="A1885" s="4" t="str" cm="1">
        <f t="array" ref="A1885">INDEX(Sheet1!A:A,$F1885)</f>
        <v>F</v>
      </c>
      <c r="B1885" s="4" t="str" cm="1">
        <f t="array" ref="B1885">INDEX(Sheet1!B:B,$F1885)</f>
        <v>Non-Pref SM</v>
      </c>
      <c r="C1885" s="4">
        <f t="shared" si="112"/>
        <v>68</v>
      </c>
      <c r="D1885" s="5" cm="1">
        <f t="array" aca="1" ref="D1885" ca="1">OFFSET(INDIRECT("'["&amp;$H1885&amp;"]"&amp;$I1885&amp;"'!"&amp;$J1885),$L1885,$M1885)*$K1885</f>
        <v>2.7550000000000002E-2</v>
      </c>
      <c r="F1885" s="4">
        <f t="shared" si="113"/>
        <v>17</v>
      </c>
      <c r="G1885" s="4" cm="1">
        <f t="array" ref="G1885">IF($C1885&gt;=25,F1885,IF($C1885&lt;16,INDEX(Sheet1!C:C,$F1885),$F1885))</f>
        <v>17</v>
      </c>
      <c r="H1885" s="4" t="str" cm="1">
        <f t="array" ref="H1885">INDEX(Sheet1!D:D,$G1885)</f>
        <v>2001-cso-preferred-class-structure-mortality-tables.xls</v>
      </c>
      <c r="I1885" s="4" t="str" cm="1">
        <f t="array" ref="I1885">INDEX(Sheet1!E:E,$G1885)</f>
        <v>A.1.b.v</v>
      </c>
      <c r="J1885" s="4" t="str" cm="1">
        <f t="array" ref="J1885">IF($C1885&gt;=25,INDEX(Sheet1!G:G,$G1885),INDEX(Sheet1!F:F,$G1885))</f>
        <v>AA8</v>
      </c>
      <c r="K1885" s="4" cm="1">
        <f t="array" ref="K1885">INDEX(Sheet1!H:H,$G1885)</f>
        <v>1E-3</v>
      </c>
      <c r="L1885" s="4">
        <f t="shared" si="104"/>
        <v>43</v>
      </c>
      <c r="M1885" s="4">
        <f t="shared" si="105"/>
        <v>0</v>
      </c>
    </row>
    <row r="1886" spans="1:13">
      <c r="A1886" s="4" t="str" cm="1">
        <f t="array" ref="A1886">INDEX(Sheet1!A:A,$F1886)</f>
        <v>F</v>
      </c>
      <c r="B1886" s="4" t="str" cm="1">
        <f t="array" ref="B1886">INDEX(Sheet1!B:B,$F1886)</f>
        <v>Non-Pref SM</v>
      </c>
      <c r="C1886" s="4">
        <f t="shared" si="112"/>
        <v>69</v>
      </c>
      <c r="D1886" s="5" cm="1">
        <f t="array" aca="1" ref="D1886" ca="1">OFFSET(INDIRECT("'["&amp;$H1886&amp;"]"&amp;$I1886&amp;"'!"&amp;$J1886),$L1886,$M1886)*$K1886</f>
        <v>2.9770000000000001E-2</v>
      </c>
      <c r="F1886" s="4">
        <f t="shared" si="113"/>
        <v>17</v>
      </c>
      <c r="G1886" s="4" cm="1">
        <f t="array" ref="G1886">IF($C1886&gt;=25,F1886,IF($C1886&lt;16,INDEX(Sheet1!C:C,$F1886),$F1886))</f>
        <v>17</v>
      </c>
      <c r="H1886" s="4" t="str" cm="1">
        <f t="array" ref="H1886">INDEX(Sheet1!D:D,$G1886)</f>
        <v>2001-cso-preferred-class-structure-mortality-tables.xls</v>
      </c>
      <c r="I1886" s="4" t="str" cm="1">
        <f t="array" ref="I1886">INDEX(Sheet1!E:E,$G1886)</f>
        <v>A.1.b.v</v>
      </c>
      <c r="J1886" s="4" t="str" cm="1">
        <f t="array" ref="J1886">IF($C1886&gt;=25,INDEX(Sheet1!G:G,$G1886),INDEX(Sheet1!F:F,$G1886))</f>
        <v>AA8</v>
      </c>
      <c r="K1886" s="4" cm="1">
        <f t="array" ref="K1886">INDEX(Sheet1!H:H,$G1886)</f>
        <v>1E-3</v>
      </c>
      <c r="L1886" s="4">
        <f t="shared" si="104"/>
        <v>44</v>
      </c>
      <c r="M1886" s="4">
        <f t="shared" si="105"/>
        <v>0</v>
      </c>
    </row>
    <row r="1887" spans="1:13">
      <c r="A1887" s="4" t="str" cm="1">
        <f t="array" ref="A1887">INDEX(Sheet1!A:A,$F1887)</f>
        <v>F</v>
      </c>
      <c r="B1887" s="4" t="str" cm="1">
        <f t="array" ref="B1887">INDEX(Sheet1!B:B,$F1887)</f>
        <v>Non-Pref SM</v>
      </c>
      <c r="C1887" s="4">
        <f t="shared" si="112"/>
        <v>70</v>
      </c>
      <c r="D1887" s="5" cm="1">
        <f t="array" aca="1" ref="D1887" ca="1">OFFSET(INDIRECT("'["&amp;$H1887&amp;"]"&amp;$I1887&amp;"'!"&amp;$J1887),$L1887,$M1887)*$K1887</f>
        <v>3.2240000000000005E-2</v>
      </c>
      <c r="F1887" s="4">
        <f t="shared" si="113"/>
        <v>17</v>
      </c>
      <c r="G1887" s="4" cm="1">
        <f t="array" ref="G1887">IF($C1887&gt;=25,F1887,IF($C1887&lt;16,INDEX(Sheet1!C:C,$F1887),$F1887))</f>
        <v>17</v>
      </c>
      <c r="H1887" s="4" t="str" cm="1">
        <f t="array" ref="H1887">INDEX(Sheet1!D:D,$G1887)</f>
        <v>2001-cso-preferred-class-structure-mortality-tables.xls</v>
      </c>
      <c r="I1887" s="4" t="str" cm="1">
        <f t="array" ref="I1887">INDEX(Sheet1!E:E,$G1887)</f>
        <v>A.1.b.v</v>
      </c>
      <c r="J1887" s="4" t="str" cm="1">
        <f t="array" ref="J1887">IF($C1887&gt;=25,INDEX(Sheet1!G:G,$G1887),INDEX(Sheet1!F:F,$G1887))</f>
        <v>AA8</v>
      </c>
      <c r="K1887" s="4" cm="1">
        <f t="array" ref="K1887">INDEX(Sheet1!H:H,$G1887)</f>
        <v>1E-3</v>
      </c>
      <c r="L1887" s="4">
        <f t="shared" si="104"/>
        <v>45</v>
      </c>
      <c r="M1887" s="4">
        <f t="shared" si="105"/>
        <v>0</v>
      </c>
    </row>
    <row r="1888" spans="1:13">
      <c r="A1888" s="4" t="str" cm="1">
        <f t="array" ref="A1888">INDEX(Sheet1!A:A,$F1888)</f>
        <v>F</v>
      </c>
      <c r="B1888" s="4" t="str" cm="1">
        <f t="array" ref="B1888">INDEX(Sheet1!B:B,$F1888)</f>
        <v>Non-Pref SM</v>
      </c>
      <c r="C1888" s="4">
        <f t="shared" si="112"/>
        <v>71</v>
      </c>
      <c r="D1888" s="5" cm="1">
        <f t="array" aca="1" ref="D1888" ca="1">OFFSET(INDIRECT("'["&amp;$H1888&amp;"]"&amp;$I1888&amp;"'!"&amp;$J1888),$L1888,$M1888)*$K1888</f>
        <v>3.5070000000000004E-2</v>
      </c>
      <c r="F1888" s="4">
        <f t="shared" si="113"/>
        <v>17</v>
      </c>
      <c r="G1888" s="4" cm="1">
        <f t="array" ref="G1888">IF($C1888&gt;=25,F1888,IF($C1888&lt;16,INDEX(Sheet1!C:C,$F1888),$F1888))</f>
        <v>17</v>
      </c>
      <c r="H1888" s="4" t="str" cm="1">
        <f t="array" ref="H1888">INDEX(Sheet1!D:D,$G1888)</f>
        <v>2001-cso-preferred-class-structure-mortality-tables.xls</v>
      </c>
      <c r="I1888" s="4" t="str" cm="1">
        <f t="array" ref="I1888">INDEX(Sheet1!E:E,$G1888)</f>
        <v>A.1.b.v</v>
      </c>
      <c r="J1888" s="4" t="str" cm="1">
        <f t="array" ref="J1888">IF($C1888&gt;=25,INDEX(Sheet1!G:G,$G1888),INDEX(Sheet1!F:F,$G1888))</f>
        <v>AA8</v>
      </c>
      <c r="K1888" s="4" cm="1">
        <f t="array" ref="K1888">INDEX(Sheet1!H:H,$G1888)</f>
        <v>1E-3</v>
      </c>
      <c r="L1888" s="4">
        <f t="shared" si="104"/>
        <v>46</v>
      </c>
      <c r="M1888" s="4">
        <f t="shared" si="105"/>
        <v>0</v>
      </c>
    </row>
    <row r="1889" spans="1:13">
      <c r="A1889" s="4" t="str" cm="1">
        <f t="array" ref="A1889">INDEX(Sheet1!A:A,$F1889)</f>
        <v>F</v>
      </c>
      <c r="B1889" s="4" t="str" cm="1">
        <f t="array" ref="B1889">INDEX(Sheet1!B:B,$F1889)</f>
        <v>Non-Pref SM</v>
      </c>
      <c r="C1889" s="4">
        <f t="shared" si="112"/>
        <v>72</v>
      </c>
      <c r="D1889" s="5" cm="1">
        <f t="array" aca="1" ref="D1889" ca="1">OFFSET(INDIRECT("'["&amp;$H1889&amp;"]"&amp;$I1889&amp;"'!"&amp;$J1889),$L1889,$M1889)*$K1889</f>
        <v>3.8190000000000002E-2</v>
      </c>
      <c r="F1889" s="4">
        <f t="shared" si="113"/>
        <v>17</v>
      </c>
      <c r="G1889" s="4" cm="1">
        <f t="array" ref="G1889">IF($C1889&gt;=25,F1889,IF($C1889&lt;16,INDEX(Sheet1!C:C,$F1889),$F1889))</f>
        <v>17</v>
      </c>
      <c r="H1889" s="4" t="str" cm="1">
        <f t="array" ref="H1889">INDEX(Sheet1!D:D,$G1889)</f>
        <v>2001-cso-preferred-class-structure-mortality-tables.xls</v>
      </c>
      <c r="I1889" s="4" t="str" cm="1">
        <f t="array" ref="I1889">INDEX(Sheet1!E:E,$G1889)</f>
        <v>A.1.b.v</v>
      </c>
      <c r="J1889" s="4" t="str" cm="1">
        <f t="array" ref="J1889">IF($C1889&gt;=25,INDEX(Sheet1!G:G,$G1889),INDEX(Sheet1!F:F,$G1889))</f>
        <v>AA8</v>
      </c>
      <c r="K1889" s="4" cm="1">
        <f t="array" ref="K1889">INDEX(Sheet1!H:H,$G1889)</f>
        <v>1E-3</v>
      </c>
      <c r="L1889" s="4">
        <f t="shared" si="104"/>
        <v>47</v>
      </c>
      <c r="M1889" s="4">
        <f t="shared" si="105"/>
        <v>0</v>
      </c>
    </row>
    <row r="1890" spans="1:13">
      <c r="A1890" s="4" t="str" cm="1">
        <f t="array" ref="A1890">INDEX(Sheet1!A:A,$F1890)</f>
        <v>F</v>
      </c>
      <c r="B1890" s="4" t="str" cm="1">
        <f t="array" ref="B1890">INDEX(Sheet1!B:B,$F1890)</f>
        <v>Non-Pref SM</v>
      </c>
      <c r="C1890" s="4">
        <f t="shared" si="112"/>
        <v>73</v>
      </c>
      <c r="D1890" s="5" cm="1">
        <f t="array" aca="1" ref="D1890" ca="1">OFFSET(INDIRECT("'["&amp;$H1890&amp;"]"&amp;$I1890&amp;"'!"&amp;$J1890),$L1890,$M1890)*$K1890</f>
        <v>4.1549999999999997E-2</v>
      </c>
      <c r="F1890" s="4">
        <f t="shared" si="113"/>
        <v>17</v>
      </c>
      <c r="G1890" s="4" cm="1">
        <f t="array" ref="G1890">IF($C1890&gt;=25,F1890,IF($C1890&lt;16,INDEX(Sheet1!C:C,$F1890),$F1890))</f>
        <v>17</v>
      </c>
      <c r="H1890" s="4" t="str" cm="1">
        <f t="array" ref="H1890">INDEX(Sheet1!D:D,$G1890)</f>
        <v>2001-cso-preferred-class-structure-mortality-tables.xls</v>
      </c>
      <c r="I1890" s="4" t="str" cm="1">
        <f t="array" ref="I1890">INDEX(Sheet1!E:E,$G1890)</f>
        <v>A.1.b.v</v>
      </c>
      <c r="J1890" s="4" t="str" cm="1">
        <f t="array" ref="J1890">IF($C1890&gt;=25,INDEX(Sheet1!G:G,$G1890),INDEX(Sheet1!F:F,$G1890))</f>
        <v>AA8</v>
      </c>
      <c r="K1890" s="4" cm="1">
        <f t="array" ref="K1890">INDEX(Sheet1!H:H,$G1890)</f>
        <v>1E-3</v>
      </c>
      <c r="L1890" s="4">
        <f t="shared" si="104"/>
        <v>48</v>
      </c>
      <c r="M1890" s="4">
        <f t="shared" si="105"/>
        <v>0</v>
      </c>
    </row>
    <row r="1891" spans="1:13">
      <c r="A1891" s="4" t="str" cm="1">
        <f t="array" ref="A1891">INDEX(Sheet1!A:A,$F1891)</f>
        <v>F</v>
      </c>
      <c r="B1891" s="4" t="str" cm="1">
        <f t="array" ref="B1891">INDEX(Sheet1!B:B,$F1891)</f>
        <v>Non-Pref SM</v>
      </c>
      <c r="C1891" s="4">
        <f t="shared" si="112"/>
        <v>74</v>
      </c>
      <c r="D1891" s="5" cm="1">
        <f t="array" aca="1" ref="D1891" ca="1">OFFSET(INDIRECT("'["&amp;$H1891&amp;"]"&amp;$I1891&amp;"'!"&amp;$J1891),$L1891,$M1891)*$K1891</f>
        <v>4.5220000000000003E-2</v>
      </c>
      <c r="F1891" s="4">
        <f t="shared" si="113"/>
        <v>17</v>
      </c>
      <c r="G1891" s="4" cm="1">
        <f t="array" ref="G1891">IF($C1891&gt;=25,F1891,IF($C1891&lt;16,INDEX(Sheet1!C:C,$F1891),$F1891))</f>
        <v>17</v>
      </c>
      <c r="H1891" s="4" t="str" cm="1">
        <f t="array" ref="H1891">INDEX(Sheet1!D:D,$G1891)</f>
        <v>2001-cso-preferred-class-structure-mortality-tables.xls</v>
      </c>
      <c r="I1891" s="4" t="str" cm="1">
        <f t="array" ref="I1891">INDEX(Sheet1!E:E,$G1891)</f>
        <v>A.1.b.v</v>
      </c>
      <c r="J1891" s="4" t="str" cm="1">
        <f t="array" ref="J1891">IF($C1891&gt;=25,INDEX(Sheet1!G:G,$G1891),INDEX(Sheet1!F:F,$G1891))</f>
        <v>AA8</v>
      </c>
      <c r="K1891" s="4" cm="1">
        <f t="array" ref="K1891">INDEX(Sheet1!H:H,$G1891)</f>
        <v>1E-3</v>
      </c>
      <c r="L1891" s="4">
        <f t="shared" si="104"/>
        <v>49</v>
      </c>
      <c r="M1891" s="4">
        <f t="shared" si="105"/>
        <v>0</v>
      </c>
    </row>
    <row r="1892" spans="1:13">
      <c r="A1892" s="4" t="str" cm="1">
        <f t="array" ref="A1892">INDEX(Sheet1!A:A,$F1892)</f>
        <v>F</v>
      </c>
      <c r="B1892" s="4" t="str" cm="1">
        <f t="array" ref="B1892">INDEX(Sheet1!B:B,$F1892)</f>
        <v>Non-Pref SM</v>
      </c>
      <c r="C1892" s="4">
        <f t="shared" si="112"/>
        <v>75</v>
      </c>
      <c r="D1892" s="5" cm="1">
        <f t="array" aca="1" ref="D1892" ca="1">OFFSET(INDIRECT("'["&amp;$H1892&amp;"]"&amp;$I1892&amp;"'!"&amp;$J1892),$L1892,$M1892)*$K1892</f>
        <v>4.8920000000000005E-2</v>
      </c>
      <c r="F1892" s="4">
        <f t="shared" si="113"/>
        <v>17</v>
      </c>
      <c r="G1892" s="4" cm="1">
        <f t="array" ref="G1892">IF($C1892&gt;=25,F1892,IF($C1892&lt;16,INDEX(Sheet1!C:C,$F1892),$F1892))</f>
        <v>17</v>
      </c>
      <c r="H1892" s="4" t="str" cm="1">
        <f t="array" ref="H1892">INDEX(Sheet1!D:D,$G1892)</f>
        <v>2001-cso-preferred-class-structure-mortality-tables.xls</v>
      </c>
      <c r="I1892" s="4" t="str" cm="1">
        <f t="array" ref="I1892">INDEX(Sheet1!E:E,$G1892)</f>
        <v>A.1.b.v</v>
      </c>
      <c r="J1892" s="4" t="str" cm="1">
        <f t="array" ref="J1892">IF($C1892&gt;=25,INDEX(Sheet1!G:G,$G1892),INDEX(Sheet1!F:F,$G1892))</f>
        <v>AA8</v>
      </c>
      <c r="K1892" s="4" cm="1">
        <f t="array" ref="K1892">INDEX(Sheet1!H:H,$G1892)</f>
        <v>1E-3</v>
      </c>
      <c r="L1892" s="4">
        <f t="shared" si="104"/>
        <v>50</v>
      </c>
      <c r="M1892" s="4">
        <f t="shared" si="105"/>
        <v>0</v>
      </c>
    </row>
    <row r="1893" spans="1:13">
      <c r="A1893" s="4" t="str" cm="1">
        <f t="array" ref="A1893">INDEX(Sheet1!A:A,$F1893)</f>
        <v>F</v>
      </c>
      <c r="B1893" s="4" t="str" cm="1">
        <f t="array" ref="B1893">INDEX(Sheet1!B:B,$F1893)</f>
        <v>Non-Pref SM</v>
      </c>
      <c r="C1893" s="4">
        <f t="shared" si="112"/>
        <v>76</v>
      </c>
      <c r="D1893" s="5" cm="1">
        <f t="array" aca="1" ref="D1893" ca="1">OFFSET(INDIRECT("'["&amp;$H1893&amp;"]"&amp;$I1893&amp;"'!"&amp;$J1893),$L1893,$M1893)*$K1893</f>
        <v>5.2760000000000001E-2</v>
      </c>
      <c r="F1893" s="4">
        <f t="shared" si="113"/>
        <v>17</v>
      </c>
      <c r="G1893" s="4" cm="1">
        <f t="array" ref="G1893">IF($C1893&gt;=25,F1893,IF($C1893&lt;16,INDEX(Sheet1!C:C,$F1893),$F1893))</f>
        <v>17</v>
      </c>
      <c r="H1893" s="4" t="str" cm="1">
        <f t="array" ref="H1893">INDEX(Sheet1!D:D,$G1893)</f>
        <v>2001-cso-preferred-class-structure-mortality-tables.xls</v>
      </c>
      <c r="I1893" s="4" t="str" cm="1">
        <f t="array" ref="I1893">INDEX(Sheet1!E:E,$G1893)</f>
        <v>A.1.b.v</v>
      </c>
      <c r="J1893" s="4" t="str" cm="1">
        <f t="array" ref="J1893">IF($C1893&gt;=25,INDEX(Sheet1!G:G,$G1893),INDEX(Sheet1!F:F,$G1893))</f>
        <v>AA8</v>
      </c>
      <c r="K1893" s="4" cm="1">
        <f t="array" ref="K1893">INDEX(Sheet1!H:H,$G1893)</f>
        <v>1E-3</v>
      </c>
      <c r="L1893" s="4">
        <f t="shared" si="104"/>
        <v>51</v>
      </c>
      <c r="M1893" s="4">
        <f t="shared" si="105"/>
        <v>0</v>
      </c>
    </row>
    <row r="1894" spans="1:13">
      <c r="A1894" s="4" t="str" cm="1">
        <f t="array" ref="A1894">INDEX(Sheet1!A:A,$F1894)</f>
        <v>F</v>
      </c>
      <c r="B1894" s="4" t="str" cm="1">
        <f t="array" ref="B1894">INDEX(Sheet1!B:B,$F1894)</f>
        <v>Non-Pref SM</v>
      </c>
      <c r="C1894" s="4">
        <f t="shared" si="112"/>
        <v>77</v>
      </c>
      <c r="D1894" s="5" cm="1">
        <f t="array" aca="1" ref="D1894" ca="1">OFFSET(INDIRECT("'["&amp;$H1894&amp;"]"&amp;$I1894&amp;"'!"&amp;$J1894),$L1894,$M1894)*$K1894</f>
        <v>5.6860000000000001E-2</v>
      </c>
      <c r="F1894" s="4">
        <f t="shared" si="113"/>
        <v>17</v>
      </c>
      <c r="G1894" s="4" cm="1">
        <f t="array" ref="G1894">IF($C1894&gt;=25,F1894,IF($C1894&lt;16,INDEX(Sheet1!C:C,$F1894),$F1894))</f>
        <v>17</v>
      </c>
      <c r="H1894" s="4" t="str" cm="1">
        <f t="array" ref="H1894">INDEX(Sheet1!D:D,$G1894)</f>
        <v>2001-cso-preferred-class-structure-mortality-tables.xls</v>
      </c>
      <c r="I1894" s="4" t="str" cm="1">
        <f t="array" ref="I1894">INDEX(Sheet1!E:E,$G1894)</f>
        <v>A.1.b.v</v>
      </c>
      <c r="J1894" s="4" t="str" cm="1">
        <f t="array" ref="J1894">IF($C1894&gt;=25,INDEX(Sheet1!G:G,$G1894),INDEX(Sheet1!F:F,$G1894))</f>
        <v>AA8</v>
      </c>
      <c r="K1894" s="4" cm="1">
        <f t="array" ref="K1894">INDEX(Sheet1!H:H,$G1894)</f>
        <v>1E-3</v>
      </c>
      <c r="L1894" s="4">
        <f t="shared" si="104"/>
        <v>52</v>
      </c>
      <c r="M1894" s="4">
        <f t="shared" si="105"/>
        <v>0</v>
      </c>
    </row>
    <row r="1895" spans="1:13">
      <c r="A1895" s="4" t="str" cm="1">
        <f t="array" ref="A1895">INDEX(Sheet1!A:A,$F1895)</f>
        <v>F</v>
      </c>
      <c r="B1895" s="4" t="str" cm="1">
        <f t="array" ref="B1895">INDEX(Sheet1!B:B,$F1895)</f>
        <v>Non-Pref SM</v>
      </c>
      <c r="C1895" s="4">
        <f t="shared" si="112"/>
        <v>78</v>
      </c>
      <c r="D1895" s="5" cm="1">
        <f t="array" aca="1" ref="D1895" ca="1">OFFSET(INDIRECT("'["&amp;$H1895&amp;"]"&amp;$I1895&amp;"'!"&amp;$J1895),$L1895,$M1895)*$K1895</f>
        <v>6.1260000000000002E-2</v>
      </c>
      <c r="F1895" s="4">
        <f t="shared" si="113"/>
        <v>17</v>
      </c>
      <c r="G1895" s="4" cm="1">
        <f t="array" ref="G1895">IF($C1895&gt;=25,F1895,IF($C1895&lt;16,INDEX(Sheet1!C:C,$F1895),$F1895))</f>
        <v>17</v>
      </c>
      <c r="H1895" s="4" t="str" cm="1">
        <f t="array" ref="H1895">INDEX(Sheet1!D:D,$G1895)</f>
        <v>2001-cso-preferred-class-structure-mortality-tables.xls</v>
      </c>
      <c r="I1895" s="4" t="str" cm="1">
        <f t="array" ref="I1895">INDEX(Sheet1!E:E,$G1895)</f>
        <v>A.1.b.v</v>
      </c>
      <c r="J1895" s="4" t="str" cm="1">
        <f t="array" ref="J1895">IF($C1895&gt;=25,INDEX(Sheet1!G:G,$G1895),INDEX(Sheet1!F:F,$G1895))</f>
        <v>AA8</v>
      </c>
      <c r="K1895" s="4" cm="1">
        <f t="array" ref="K1895">INDEX(Sheet1!H:H,$G1895)</f>
        <v>1E-3</v>
      </c>
      <c r="L1895" s="4">
        <f t="shared" si="104"/>
        <v>53</v>
      </c>
      <c r="M1895" s="4">
        <f t="shared" si="105"/>
        <v>0</v>
      </c>
    </row>
    <row r="1896" spans="1:13">
      <c r="A1896" s="4" t="str" cm="1">
        <f t="array" ref="A1896">INDEX(Sheet1!A:A,$F1896)</f>
        <v>F</v>
      </c>
      <c r="B1896" s="4" t="str" cm="1">
        <f t="array" ref="B1896">INDEX(Sheet1!B:B,$F1896)</f>
        <v>Non-Pref SM</v>
      </c>
      <c r="C1896" s="4">
        <f t="shared" si="112"/>
        <v>79</v>
      </c>
      <c r="D1896" s="5" cm="1">
        <f t="array" aca="1" ref="D1896" ca="1">OFFSET(INDIRECT("'["&amp;$H1896&amp;"]"&amp;$I1896&amp;"'!"&amp;$J1896),$L1896,$M1896)*$K1896</f>
        <v>6.6019999999999995E-2</v>
      </c>
      <c r="F1896" s="4">
        <f t="shared" si="113"/>
        <v>17</v>
      </c>
      <c r="G1896" s="4" cm="1">
        <f t="array" ref="G1896">IF($C1896&gt;=25,F1896,IF($C1896&lt;16,INDEX(Sheet1!C:C,$F1896),$F1896))</f>
        <v>17</v>
      </c>
      <c r="H1896" s="4" t="str" cm="1">
        <f t="array" ref="H1896">INDEX(Sheet1!D:D,$G1896)</f>
        <v>2001-cso-preferred-class-structure-mortality-tables.xls</v>
      </c>
      <c r="I1896" s="4" t="str" cm="1">
        <f t="array" ref="I1896">INDEX(Sheet1!E:E,$G1896)</f>
        <v>A.1.b.v</v>
      </c>
      <c r="J1896" s="4" t="str" cm="1">
        <f t="array" ref="J1896">IF($C1896&gt;=25,INDEX(Sheet1!G:G,$G1896),INDEX(Sheet1!F:F,$G1896))</f>
        <v>AA8</v>
      </c>
      <c r="K1896" s="4" cm="1">
        <f t="array" ref="K1896">INDEX(Sheet1!H:H,$G1896)</f>
        <v>1E-3</v>
      </c>
      <c r="L1896" s="4">
        <f t="shared" si="104"/>
        <v>54</v>
      </c>
      <c r="M1896" s="4">
        <f t="shared" si="105"/>
        <v>0</v>
      </c>
    </row>
    <row r="1897" spans="1:13">
      <c r="A1897" s="4" t="str" cm="1">
        <f t="array" ref="A1897">INDEX(Sheet1!A:A,$F1897)</f>
        <v>F</v>
      </c>
      <c r="B1897" s="4" t="str" cm="1">
        <f t="array" ref="B1897">INDEX(Sheet1!B:B,$F1897)</f>
        <v>Non-Pref SM</v>
      </c>
      <c r="C1897" s="4">
        <f t="shared" si="112"/>
        <v>80</v>
      </c>
      <c r="D1897" s="5" cm="1">
        <f t="array" aca="1" ref="D1897" ca="1">OFFSET(INDIRECT("'["&amp;$H1897&amp;"]"&amp;$I1897&amp;"'!"&amp;$J1897),$L1897,$M1897)*$K1897</f>
        <v>7.1099999999999997E-2</v>
      </c>
      <c r="F1897" s="4">
        <f t="shared" si="113"/>
        <v>17</v>
      </c>
      <c r="G1897" s="4" cm="1">
        <f t="array" ref="G1897">IF($C1897&gt;=25,F1897,IF($C1897&lt;16,INDEX(Sheet1!C:C,$F1897),$F1897))</f>
        <v>17</v>
      </c>
      <c r="H1897" s="4" t="str" cm="1">
        <f t="array" ref="H1897">INDEX(Sheet1!D:D,$G1897)</f>
        <v>2001-cso-preferred-class-structure-mortality-tables.xls</v>
      </c>
      <c r="I1897" s="4" t="str" cm="1">
        <f t="array" ref="I1897">INDEX(Sheet1!E:E,$G1897)</f>
        <v>A.1.b.v</v>
      </c>
      <c r="J1897" s="4" t="str" cm="1">
        <f t="array" ref="J1897">IF($C1897&gt;=25,INDEX(Sheet1!G:G,$G1897),INDEX(Sheet1!F:F,$G1897))</f>
        <v>AA8</v>
      </c>
      <c r="K1897" s="4" cm="1">
        <f t="array" ref="K1897">INDEX(Sheet1!H:H,$G1897)</f>
        <v>1E-3</v>
      </c>
      <c r="L1897" s="4">
        <f t="shared" si="104"/>
        <v>55</v>
      </c>
      <c r="M1897" s="4">
        <f t="shared" si="105"/>
        <v>0</v>
      </c>
    </row>
    <row r="1898" spans="1:13">
      <c r="A1898" s="4" t="str" cm="1">
        <f t="array" ref="A1898">INDEX(Sheet1!A:A,$F1898)</f>
        <v>F</v>
      </c>
      <c r="B1898" s="4" t="str" cm="1">
        <f t="array" ref="B1898">INDEX(Sheet1!B:B,$F1898)</f>
        <v>Non-Pref SM</v>
      </c>
      <c r="C1898" s="4">
        <f t="shared" si="112"/>
        <v>81</v>
      </c>
      <c r="D1898" s="5" cm="1">
        <f t="array" aca="1" ref="D1898" ca="1">OFFSET(INDIRECT("'["&amp;$H1898&amp;"]"&amp;$I1898&amp;"'!"&amp;$J1898),$L1898,$M1898)*$K1898</f>
        <v>7.8320000000000001E-2</v>
      </c>
      <c r="F1898" s="4">
        <f t="shared" si="113"/>
        <v>17</v>
      </c>
      <c r="G1898" s="4" cm="1">
        <f t="array" ref="G1898">IF($C1898&gt;=25,F1898,IF($C1898&lt;16,INDEX(Sheet1!C:C,$F1898),$F1898))</f>
        <v>17</v>
      </c>
      <c r="H1898" s="4" t="str" cm="1">
        <f t="array" ref="H1898">INDEX(Sheet1!D:D,$G1898)</f>
        <v>2001-cso-preferred-class-structure-mortality-tables.xls</v>
      </c>
      <c r="I1898" s="4" t="str" cm="1">
        <f t="array" ref="I1898">INDEX(Sheet1!E:E,$G1898)</f>
        <v>A.1.b.v</v>
      </c>
      <c r="J1898" s="4" t="str" cm="1">
        <f t="array" ref="J1898">IF($C1898&gt;=25,INDEX(Sheet1!G:G,$G1898),INDEX(Sheet1!F:F,$G1898))</f>
        <v>AA8</v>
      </c>
      <c r="K1898" s="4" cm="1">
        <f t="array" ref="K1898">INDEX(Sheet1!H:H,$G1898)</f>
        <v>1E-3</v>
      </c>
      <c r="L1898" s="4">
        <f t="shared" si="104"/>
        <v>56</v>
      </c>
      <c r="M1898" s="4">
        <f t="shared" si="105"/>
        <v>0</v>
      </c>
    </row>
    <row r="1899" spans="1:13">
      <c r="A1899" s="4" t="str" cm="1">
        <f t="array" ref="A1899">INDEX(Sheet1!A:A,$F1899)</f>
        <v>F</v>
      </c>
      <c r="B1899" s="4" t="str" cm="1">
        <f t="array" ref="B1899">INDEX(Sheet1!B:B,$F1899)</f>
        <v>Non-Pref SM</v>
      </c>
      <c r="C1899" s="4">
        <f t="shared" si="112"/>
        <v>82</v>
      </c>
      <c r="D1899" s="5" cm="1">
        <f t="array" aca="1" ref="D1899" ca="1">OFFSET(INDIRECT("'["&amp;$H1899&amp;"]"&amp;$I1899&amp;"'!"&amp;$J1899),$L1899,$M1899)*$K1899</f>
        <v>8.6120000000000002E-2</v>
      </c>
      <c r="F1899" s="4">
        <f t="shared" si="113"/>
        <v>17</v>
      </c>
      <c r="G1899" s="4" cm="1">
        <f t="array" ref="G1899">IF($C1899&gt;=25,F1899,IF($C1899&lt;16,INDEX(Sheet1!C:C,$F1899),$F1899))</f>
        <v>17</v>
      </c>
      <c r="H1899" s="4" t="str" cm="1">
        <f t="array" ref="H1899">INDEX(Sheet1!D:D,$G1899)</f>
        <v>2001-cso-preferred-class-structure-mortality-tables.xls</v>
      </c>
      <c r="I1899" s="4" t="str" cm="1">
        <f t="array" ref="I1899">INDEX(Sheet1!E:E,$G1899)</f>
        <v>A.1.b.v</v>
      </c>
      <c r="J1899" s="4" t="str" cm="1">
        <f t="array" ref="J1899">IF($C1899&gt;=25,INDEX(Sheet1!G:G,$G1899),INDEX(Sheet1!F:F,$G1899))</f>
        <v>AA8</v>
      </c>
      <c r="K1899" s="4" cm="1">
        <f t="array" ref="K1899">INDEX(Sheet1!H:H,$G1899)</f>
        <v>1E-3</v>
      </c>
      <c r="L1899" s="4">
        <f t="shared" si="104"/>
        <v>57</v>
      </c>
      <c r="M1899" s="4">
        <f t="shared" si="105"/>
        <v>0</v>
      </c>
    </row>
    <row r="1900" spans="1:13">
      <c r="A1900" s="4" t="str" cm="1">
        <f t="array" ref="A1900">INDEX(Sheet1!A:A,$F1900)</f>
        <v>F</v>
      </c>
      <c r="B1900" s="4" t="str" cm="1">
        <f t="array" ref="B1900">INDEX(Sheet1!B:B,$F1900)</f>
        <v>Non-Pref SM</v>
      </c>
      <c r="C1900" s="4">
        <f t="shared" si="112"/>
        <v>83</v>
      </c>
      <c r="D1900" s="5" cm="1">
        <f t="array" aca="1" ref="D1900" ca="1">OFFSET(INDIRECT("'["&amp;$H1900&amp;"]"&amp;$I1900&amp;"'!"&amp;$J1900),$L1900,$M1900)*$K1900</f>
        <v>9.3640000000000001E-2</v>
      </c>
      <c r="F1900" s="4">
        <f t="shared" si="113"/>
        <v>17</v>
      </c>
      <c r="G1900" s="4" cm="1">
        <f t="array" ref="G1900">IF($C1900&gt;=25,F1900,IF($C1900&lt;16,INDEX(Sheet1!C:C,$F1900),$F1900))</f>
        <v>17</v>
      </c>
      <c r="H1900" s="4" t="str" cm="1">
        <f t="array" ref="H1900">INDEX(Sheet1!D:D,$G1900)</f>
        <v>2001-cso-preferred-class-structure-mortality-tables.xls</v>
      </c>
      <c r="I1900" s="4" t="str" cm="1">
        <f t="array" ref="I1900">INDEX(Sheet1!E:E,$G1900)</f>
        <v>A.1.b.v</v>
      </c>
      <c r="J1900" s="4" t="str" cm="1">
        <f t="array" ref="J1900">IF($C1900&gt;=25,INDEX(Sheet1!G:G,$G1900),INDEX(Sheet1!F:F,$G1900))</f>
        <v>AA8</v>
      </c>
      <c r="K1900" s="4" cm="1">
        <f t="array" ref="K1900">INDEX(Sheet1!H:H,$G1900)</f>
        <v>1E-3</v>
      </c>
      <c r="L1900" s="4">
        <f t="shared" si="104"/>
        <v>58</v>
      </c>
      <c r="M1900" s="4">
        <f t="shared" si="105"/>
        <v>0</v>
      </c>
    </row>
    <row r="1901" spans="1:13">
      <c r="A1901" s="4" t="str" cm="1">
        <f t="array" ref="A1901">INDEX(Sheet1!A:A,$F1901)</f>
        <v>F</v>
      </c>
      <c r="B1901" s="4" t="str" cm="1">
        <f t="array" ref="B1901">INDEX(Sheet1!B:B,$F1901)</f>
        <v>Non-Pref SM</v>
      </c>
      <c r="C1901" s="4">
        <f t="shared" si="112"/>
        <v>84</v>
      </c>
      <c r="D1901" s="5" cm="1">
        <f t="array" aca="1" ref="D1901" ca="1">OFFSET(INDIRECT("'["&amp;$H1901&amp;"]"&amp;$I1901&amp;"'!"&amp;$J1901),$L1901,$M1901)*$K1901</f>
        <v>0.1017</v>
      </c>
      <c r="F1901" s="4">
        <f t="shared" si="113"/>
        <v>17</v>
      </c>
      <c r="G1901" s="4" cm="1">
        <f t="array" ref="G1901">IF($C1901&gt;=25,F1901,IF($C1901&lt;16,INDEX(Sheet1!C:C,$F1901),$F1901))</f>
        <v>17</v>
      </c>
      <c r="H1901" s="4" t="str" cm="1">
        <f t="array" ref="H1901">INDEX(Sheet1!D:D,$G1901)</f>
        <v>2001-cso-preferred-class-structure-mortality-tables.xls</v>
      </c>
      <c r="I1901" s="4" t="str" cm="1">
        <f t="array" ref="I1901">INDEX(Sheet1!E:E,$G1901)</f>
        <v>A.1.b.v</v>
      </c>
      <c r="J1901" s="4" t="str" cm="1">
        <f t="array" ref="J1901">IF($C1901&gt;=25,INDEX(Sheet1!G:G,$G1901),INDEX(Sheet1!F:F,$G1901))</f>
        <v>AA8</v>
      </c>
      <c r="K1901" s="4" cm="1">
        <f t="array" ref="K1901">INDEX(Sheet1!H:H,$G1901)</f>
        <v>1E-3</v>
      </c>
      <c r="L1901" s="4">
        <f t="shared" si="104"/>
        <v>59</v>
      </c>
      <c r="M1901" s="4">
        <f t="shared" si="105"/>
        <v>0</v>
      </c>
    </row>
    <row r="1902" spans="1:13">
      <c r="A1902" s="4" t="str" cm="1">
        <f t="array" ref="A1902">INDEX(Sheet1!A:A,$F1902)</f>
        <v>F</v>
      </c>
      <c r="B1902" s="4" t="str" cm="1">
        <f t="array" ref="B1902">INDEX(Sheet1!B:B,$F1902)</f>
        <v>Non-Pref SM</v>
      </c>
      <c r="C1902" s="4">
        <f t="shared" si="112"/>
        <v>85</v>
      </c>
      <c r="D1902" s="5" cm="1">
        <f t="array" aca="1" ref="D1902" ca="1">OFFSET(INDIRECT("'["&amp;$H1902&amp;"]"&amp;$I1902&amp;"'!"&amp;$J1902),$L1902,$M1902)*$K1902</f>
        <v>0.10973999999999999</v>
      </c>
      <c r="F1902" s="4">
        <f t="shared" si="113"/>
        <v>17</v>
      </c>
      <c r="G1902" s="4" cm="1">
        <f t="array" ref="G1902">IF($C1902&gt;=25,F1902,IF($C1902&lt;16,INDEX(Sheet1!C:C,$F1902),$F1902))</f>
        <v>17</v>
      </c>
      <c r="H1902" s="4" t="str" cm="1">
        <f t="array" ref="H1902">INDEX(Sheet1!D:D,$G1902)</f>
        <v>2001-cso-preferred-class-structure-mortality-tables.xls</v>
      </c>
      <c r="I1902" s="4" t="str" cm="1">
        <f t="array" ref="I1902">INDEX(Sheet1!E:E,$G1902)</f>
        <v>A.1.b.v</v>
      </c>
      <c r="J1902" s="4" t="str" cm="1">
        <f t="array" ref="J1902">IF($C1902&gt;=25,INDEX(Sheet1!G:G,$G1902),INDEX(Sheet1!F:F,$G1902))</f>
        <v>AA8</v>
      </c>
      <c r="K1902" s="4" cm="1">
        <f t="array" ref="K1902">INDEX(Sheet1!H:H,$G1902)</f>
        <v>1E-3</v>
      </c>
      <c r="L1902" s="4">
        <f t="shared" si="104"/>
        <v>60</v>
      </c>
      <c r="M1902" s="4">
        <f t="shared" si="105"/>
        <v>0</v>
      </c>
    </row>
    <row r="1903" spans="1:13">
      <c r="A1903" s="4" t="str" cm="1">
        <f t="array" ref="A1903">INDEX(Sheet1!A:A,$F1903)</f>
        <v>F</v>
      </c>
      <c r="B1903" s="4" t="str" cm="1">
        <f t="array" ref="B1903">INDEX(Sheet1!B:B,$F1903)</f>
        <v>Non-Pref SM</v>
      </c>
      <c r="C1903" s="4">
        <f t="shared" si="112"/>
        <v>86</v>
      </c>
      <c r="D1903" s="5" cm="1">
        <f t="array" aca="1" ref="D1903" ca="1">OFFSET(INDIRECT("'["&amp;$H1903&amp;"]"&amp;$I1903&amp;"'!"&amp;$J1903),$L1903,$M1903)*$K1903</f>
        <v>0.11631000000000001</v>
      </c>
      <c r="F1903" s="4">
        <f t="shared" si="113"/>
        <v>17</v>
      </c>
      <c r="G1903" s="4" cm="1">
        <f t="array" ref="G1903">IF($C1903&gt;=25,F1903,IF($C1903&lt;16,INDEX(Sheet1!C:C,$F1903),$F1903))</f>
        <v>17</v>
      </c>
      <c r="H1903" s="4" t="str" cm="1">
        <f t="array" ref="H1903">INDEX(Sheet1!D:D,$G1903)</f>
        <v>2001-cso-preferred-class-structure-mortality-tables.xls</v>
      </c>
      <c r="I1903" s="4" t="str" cm="1">
        <f t="array" ref="I1903">INDEX(Sheet1!E:E,$G1903)</f>
        <v>A.1.b.v</v>
      </c>
      <c r="J1903" s="4" t="str" cm="1">
        <f t="array" ref="J1903">IF($C1903&gt;=25,INDEX(Sheet1!G:G,$G1903),INDEX(Sheet1!F:F,$G1903))</f>
        <v>AA8</v>
      </c>
      <c r="K1903" s="4" cm="1">
        <f t="array" ref="K1903">INDEX(Sheet1!H:H,$G1903)</f>
        <v>1E-3</v>
      </c>
      <c r="L1903" s="4">
        <f t="shared" si="104"/>
        <v>61</v>
      </c>
      <c r="M1903" s="4">
        <f t="shared" si="105"/>
        <v>0</v>
      </c>
    </row>
    <row r="1904" spans="1:13">
      <c r="A1904" s="4" t="str" cm="1">
        <f t="array" ref="A1904">INDEX(Sheet1!A:A,$F1904)</f>
        <v>F</v>
      </c>
      <c r="B1904" s="4" t="str" cm="1">
        <f t="array" ref="B1904">INDEX(Sheet1!B:B,$F1904)</f>
        <v>Non-Pref SM</v>
      </c>
      <c r="C1904" s="4">
        <f t="shared" si="112"/>
        <v>87</v>
      </c>
      <c r="D1904" s="5" cm="1">
        <f t="array" aca="1" ref="D1904" ca="1">OFFSET(INDIRECT("'["&amp;$H1904&amp;"]"&amp;$I1904&amp;"'!"&amp;$J1904),$L1904,$M1904)*$K1904</f>
        <v>0.12692000000000001</v>
      </c>
      <c r="F1904" s="4">
        <f t="shared" si="113"/>
        <v>17</v>
      </c>
      <c r="G1904" s="4" cm="1">
        <f t="array" ref="G1904">IF($C1904&gt;=25,F1904,IF($C1904&lt;16,INDEX(Sheet1!C:C,$F1904),$F1904))</f>
        <v>17</v>
      </c>
      <c r="H1904" s="4" t="str" cm="1">
        <f t="array" ref="H1904">INDEX(Sheet1!D:D,$G1904)</f>
        <v>2001-cso-preferred-class-structure-mortality-tables.xls</v>
      </c>
      <c r="I1904" s="4" t="str" cm="1">
        <f t="array" ref="I1904">INDEX(Sheet1!E:E,$G1904)</f>
        <v>A.1.b.v</v>
      </c>
      <c r="J1904" s="4" t="str" cm="1">
        <f t="array" ref="J1904">IF($C1904&gt;=25,INDEX(Sheet1!G:G,$G1904),INDEX(Sheet1!F:F,$G1904))</f>
        <v>AA8</v>
      </c>
      <c r="K1904" s="4" cm="1">
        <f t="array" ref="K1904">INDEX(Sheet1!H:H,$G1904)</f>
        <v>1E-3</v>
      </c>
      <c r="L1904" s="4">
        <f t="shared" si="104"/>
        <v>62</v>
      </c>
      <c r="M1904" s="4">
        <f t="shared" si="105"/>
        <v>0</v>
      </c>
    </row>
    <row r="1905" spans="1:13">
      <c r="A1905" s="4" t="str" cm="1">
        <f t="array" ref="A1905">INDEX(Sheet1!A:A,$F1905)</f>
        <v>F</v>
      </c>
      <c r="B1905" s="4" t="str" cm="1">
        <f t="array" ref="B1905">INDEX(Sheet1!B:B,$F1905)</f>
        <v>Non-Pref SM</v>
      </c>
      <c r="C1905" s="4">
        <f t="shared" si="112"/>
        <v>88</v>
      </c>
      <c r="D1905" s="5" cm="1">
        <f t="array" aca="1" ref="D1905" ca="1">OFFSET(INDIRECT("'["&amp;$H1905&amp;"]"&amp;$I1905&amp;"'!"&amp;$J1905),$L1905,$M1905)*$K1905</f>
        <v>0.13741</v>
      </c>
      <c r="F1905" s="4">
        <f t="shared" si="113"/>
        <v>17</v>
      </c>
      <c r="G1905" s="4" cm="1">
        <f t="array" ref="G1905">IF($C1905&gt;=25,F1905,IF($C1905&lt;16,INDEX(Sheet1!C:C,$F1905),$F1905))</f>
        <v>17</v>
      </c>
      <c r="H1905" s="4" t="str" cm="1">
        <f t="array" ref="H1905">INDEX(Sheet1!D:D,$G1905)</f>
        <v>2001-cso-preferred-class-structure-mortality-tables.xls</v>
      </c>
      <c r="I1905" s="4" t="str" cm="1">
        <f t="array" ref="I1905">INDEX(Sheet1!E:E,$G1905)</f>
        <v>A.1.b.v</v>
      </c>
      <c r="J1905" s="4" t="str" cm="1">
        <f t="array" ref="J1905">IF($C1905&gt;=25,INDEX(Sheet1!G:G,$G1905),INDEX(Sheet1!F:F,$G1905))</f>
        <v>AA8</v>
      </c>
      <c r="K1905" s="4" cm="1">
        <f t="array" ref="K1905">INDEX(Sheet1!H:H,$G1905)</f>
        <v>1E-3</v>
      </c>
      <c r="L1905" s="4">
        <f t="shared" si="104"/>
        <v>63</v>
      </c>
      <c r="M1905" s="4">
        <f t="shared" si="105"/>
        <v>0</v>
      </c>
    </row>
    <row r="1906" spans="1:13">
      <c r="A1906" s="4" t="str" cm="1">
        <f t="array" ref="A1906">INDEX(Sheet1!A:A,$F1906)</f>
        <v>F</v>
      </c>
      <c r="B1906" s="4" t="str" cm="1">
        <f t="array" ref="B1906">INDEX(Sheet1!B:B,$F1906)</f>
        <v>Non-Pref SM</v>
      </c>
      <c r="C1906" s="4">
        <f t="shared" si="112"/>
        <v>89</v>
      </c>
      <c r="D1906" s="5" cm="1">
        <f t="array" aca="1" ref="D1906" ca="1">OFFSET(INDIRECT("'["&amp;$H1906&amp;"]"&amp;$I1906&amp;"'!"&amp;$J1906),$L1906,$M1906)*$K1906</f>
        <v>0.14788999999999999</v>
      </c>
      <c r="F1906" s="4">
        <f t="shared" si="113"/>
        <v>17</v>
      </c>
      <c r="G1906" s="4" cm="1">
        <f t="array" ref="G1906">IF($C1906&gt;=25,F1906,IF($C1906&lt;16,INDEX(Sheet1!C:C,$F1906),$F1906))</f>
        <v>17</v>
      </c>
      <c r="H1906" s="4" t="str" cm="1">
        <f t="array" ref="H1906">INDEX(Sheet1!D:D,$G1906)</f>
        <v>2001-cso-preferred-class-structure-mortality-tables.xls</v>
      </c>
      <c r="I1906" s="4" t="str" cm="1">
        <f t="array" ref="I1906">INDEX(Sheet1!E:E,$G1906)</f>
        <v>A.1.b.v</v>
      </c>
      <c r="J1906" s="4" t="str" cm="1">
        <f t="array" ref="J1906">IF($C1906&gt;=25,INDEX(Sheet1!G:G,$G1906),INDEX(Sheet1!F:F,$G1906))</f>
        <v>AA8</v>
      </c>
      <c r="K1906" s="4" cm="1">
        <f t="array" ref="K1906">INDEX(Sheet1!H:H,$G1906)</f>
        <v>1E-3</v>
      </c>
      <c r="L1906" s="4">
        <f t="shared" si="104"/>
        <v>64</v>
      </c>
      <c r="M1906" s="4">
        <f t="shared" si="105"/>
        <v>0</v>
      </c>
    </row>
    <row r="1907" spans="1:13">
      <c r="A1907" s="4" t="str" cm="1">
        <f t="array" ref="A1907">INDEX(Sheet1!A:A,$F1907)</f>
        <v>F</v>
      </c>
      <c r="B1907" s="4" t="str" cm="1">
        <f t="array" ref="B1907">INDEX(Sheet1!B:B,$F1907)</f>
        <v>Non-Pref SM</v>
      </c>
      <c r="C1907" s="4">
        <f t="shared" si="112"/>
        <v>90</v>
      </c>
      <c r="D1907" s="5" cm="1">
        <f t="array" aca="1" ref="D1907" ca="1">OFFSET(INDIRECT("'["&amp;$H1907&amp;"]"&amp;$I1907&amp;"'!"&amp;$J1907),$L1907,$M1907)*$K1907</f>
        <v>0.15617</v>
      </c>
      <c r="F1907" s="4">
        <f t="shared" si="113"/>
        <v>17</v>
      </c>
      <c r="G1907" s="4" cm="1">
        <f t="array" ref="G1907">IF($C1907&gt;=25,F1907,IF($C1907&lt;16,INDEX(Sheet1!C:C,$F1907),$F1907))</f>
        <v>17</v>
      </c>
      <c r="H1907" s="4" t="str" cm="1">
        <f t="array" ref="H1907">INDEX(Sheet1!D:D,$G1907)</f>
        <v>2001-cso-preferred-class-structure-mortality-tables.xls</v>
      </c>
      <c r="I1907" s="4" t="str" cm="1">
        <f t="array" ref="I1907">INDEX(Sheet1!E:E,$G1907)</f>
        <v>A.1.b.v</v>
      </c>
      <c r="J1907" s="4" t="str" cm="1">
        <f t="array" ref="J1907">IF($C1907&gt;=25,INDEX(Sheet1!G:G,$G1907),INDEX(Sheet1!F:F,$G1907))</f>
        <v>AA8</v>
      </c>
      <c r="K1907" s="4" cm="1">
        <f t="array" ref="K1907">INDEX(Sheet1!H:H,$G1907)</f>
        <v>1E-3</v>
      </c>
      <c r="L1907" s="4">
        <f t="shared" si="104"/>
        <v>65</v>
      </c>
      <c r="M1907" s="4">
        <f t="shared" si="105"/>
        <v>0</v>
      </c>
    </row>
    <row r="1908" spans="1:13">
      <c r="A1908" s="4" t="str" cm="1">
        <f t="array" ref="A1908">INDEX(Sheet1!A:A,$F1908)</f>
        <v>F</v>
      </c>
      <c r="B1908" s="4" t="str" cm="1">
        <f t="array" ref="B1908">INDEX(Sheet1!B:B,$F1908)</f>
        <v>Non-Pref SM</v>
      </c>
      <c r="C1908" s="4">
        <f t="shared" si="112"/>
        <v>91</v>
      </c>
      <c r="D1908" s="5" cm="1">
        <f t="array" aca="1" ref="D1908" ca="1">OFFSET(INDIRECT("'["&amp;$H1908&amp;"]"&amp;$I1908&amp;"'!"&amp;$J1908),$L1908,$M1908)*$K1908</f>
        <v>0.15744999999999998</v>
      </c>
      <c r="F1908" s="4">
        <f t="shared" si="113"/>
        <v>17</v>
      </c>
      <c r="G1908" s="4" cm="1">
        <f t="array" ref="G1908">IF($C1908&gt;=25,F1908,IF($C1908&lt;16,INDEX(Sheet1!C:C,$F1908),$F1908))</f>
        <v>17</v>
      </c>
      <c r="H1908" s="4" t="str" cm="1">
        <f t="array" ref="H1908">INDEX(Sheet1!D:D,$G1908)</f>
        <v>2001-cso-preferred-class-structure-mortality-tables.xls</v>
      </c>
      <c r="I1908" s="4" t="str" cm="1">
        <f t="array" ref="I1908">INDEX(Sheet1!E:E,$G1908)</f>
        <v>A.1.b.v</v>
      </c>
      <c r="J1908" s="4" t="str" cm="1">
        <f t="array" ref="J1908">IF($C1908&gt;=25,INDEX(Sheet1!G:G,$G1908),INDEX(Sheet1!F:F,$G1908))</f>
        <v>AA8</v>
      </c>
      <c r="K1908" s="4" cm="1">
        <f t="array" ref="K1908">INDEX(Sheet1!H:H,$G1908)</f>
        <v>1E-3</v>
      </c>
      <c r="L1908" s="4">
        <f t="shared" si="104"/>
        <v>66</v>
      </c>
      <c r="M1908" s="4">
        <f t="shared" si="105"/>
        <v>0</v>
      </c>
    </row>
    <row r="1909" spans="1:13">
      <c r="A1909" s="4" t="str" cm="1">
        <f t="array" ref="A1909">INDEX(Sheet1!A:A,$F1909)</f>
        <v>F</v>
      </c>
      <c r="B1909" s="4" t="str" cm="1">
        <f t="array" ref="B1909">INDEX(Sheet1!B:B,$F1909)</f>
        <v>Non-Pref SM</v>
      </c>
      <c r="C1909" s="4">
        <f t="shared" si="112"/>
        <v>92</v>
      </c>
      <c r="D1909" s="5" cm="1">
        <f t="array" aca="1" ref="D1909" ca="1">OFFSET(INDIRECT("'["&amp;$H1909&amp;"]"&amp;$I1909&amp;"'!"&amp;$J1909),$L1909,$M1909)*$K1909</f>
        <v>0.16463</v>
      </c>
      <c r="F1909" s="4">
        <f t="shared" si="113"/>
        <v>17</v>
      </c>
      <c r="G1909" s="4" cm="1">
        <f t="array" ref="G1909">IF($C1909&gt;=25,F1909,IF($C1909&lt;16,INDEX(Sheet1!C:C,$F1909),$F1909))</f>
        <v>17</v>
      </c>
      <c r="H1909" s="4" t="str" cm="1">
        <f t="array" ref="H1909">INDEX(Sheet1!D:D,$G1909)</f>
        <v>2001-cso-preferred-class-structure-mortality-tables.xls</v>
      </c>
      <c r="I1909" s="4" t="str" cm="1">
        <f t="array" ref="I1909">INDEX(Sheet1!E:E,$G1909)</f>
        <v>A.1.b.v</v>
      </c>
      <c r="J1909" s="4" t="str" cm="1">
        <f t="array" ref="J1909">IF($C1909&gt;=25,INDEX(Sheet1!G:G,$G1909),INDEX(Sheet1!F:F,$G1909))</f>
        <v>AA8</v>
      </c>
      <c r="K1909" s="4" cm="1">
        <f t="array" ref="K1909">INDEX(Sheet1!H:H,$G1909)</f>
        <v>1E-3</v>
      </c>
      <c r="L1909" s="4">
        <f t="shared" si="104"/>
        <v>67</v>
      </c>
      <c r="M1909" s="4">
        <f t="shared" si="105"/>
        <v>0</v>
      </c>
    </row>
    <row r="1910" spans="1:13">
      <c r="A1910" s="4" t="str" cm="1">
        <f t="array" ref="A1910">INDEX(Sheet1!A:A,$F1910)</f>
        <v>F</v>
      </c>
      <c r="B1910" s="4" t="str" cm="1">
        <f t="array" ref="B1910">INDEX(Sheet1!B:B,$F1910)</f>
        <v>Non-Pref SM</v>
      </c>
      <c r="C1910" s="4">
        <f t="shared" si="112"/>
        <v>93</v>
      </c>
      <c r="D1910" s="5" cm="1">
        <f t="array" aca="1" ref="D1910" ca="1">OFFSET(INDIRECT("'["&amp;$H1910&amp;"]"&amp;$I1910&amp;"'!"&amp;$J1910),$L1910,$M1910)*$K1910</f>
        <v>0.17649000000000001</v>
      </c>
      <c r="F1910" s="4">
        <f t="shared" si="113"/>
        <v>17</v>
      </c>
      <c r="G1910" s="4" cm="1">
        <f t="array" ref="G1910">IF($C1910&gt;=25,F1910,IF($C1910&lt;16,INDEX(Sheet1!C:C,$F1910),$F1910))</f>
        <v>17</v>
      </c>
      <c r="H1910" s="4" t="str" cm="1">
        <f t="array" ref="H1910">INDEX(Sheet1!D:D,$G1910)</f>
        <v>2001-cso-preferred-class-structure-mortality-tables.xls</v>
      </c>
      <c r="I1910" s="4" t="str" cm="1">
        <f t="array" ref="I1910">INDEX(Sheet1!E:E,$G1910)</f>
        <v>A.1.b.v</v>
      </c>
      <c r="J1910" s="4" t="str" cm="1">
        <f t="array" ref="J1910">IF($C1910&gt;=25,INDEX(Sheet1!G:G,$G1910),INDEX(Sheet1!F:F,$G1910))</f>
        <v>AA8</v>
      </c>
      <c r="K1910" s="4" cm="1">
        <f t="array" ref="K1910">INDEX(Sheet1!H:H,$G1910)</f>
        <v>1E-3</v>
      </c>
      <c r="L1910" s="4">
        <f t="shared" si="104"/>
        <v>68</v>
      </c>
      <c r="M1910" s="4">
        <f t="shared" si="105"/>
        <v>0</v>
      </c>
    </row>
    <row r="1911" spans="1:13">
      <c r="A1911" s="4" t="str" cm="1">
        <f t="array" ref="A1911">INDEX(Sheet1!A:A,$F1911)</f>
        <v>F</v>
      </c>
      <c r="B1911" s="4" t="str" cm="1">
        <f t="array" ref="B1911">INDEX(Sheet1!B:B,$F1911)</f>
        <v>Non-Pref SM</v>
      </c>
      <c r="C1911" s="4">
        <f t="shared" si="112"/>
        <v>94</v>
      </c>
      <c r="D1911" s="5" cm="1">
        <f t="array" aca="1" ref="D1911" ca="1">OFFSET(INDIRECT("'["&amp;$H1911&amp;"]"&amp;$I1911&amp;"'!"&amp;$J1911),$L1911,$M1911)*$K1911</f>
        <v>0.19172999999999998</v>
      </c>
      <c r="F1911" s="4">
        <f t="shared" si="113"/>
        <v>17</v>
      </c>
      <c r="G1911" s="4" cm="1">
        <f t="array" ref="G1911">IF($C1911&gt;=25,F1911,IF($C1911&lt;16,INDEX(Sheet1!C:C,$F1911),$F1911))</f>
        <v>17</v>
      </c>
      <c r="H1911" s="4" t="str" cm="1">
        <f t="array" ref="H1911">INDEX(Sheet1!D:D,$G1911)</f>
        <v>2001-cso-preferred-class-structure-mortality-tables.xls</v>
      </c>
      <c r="I1911" s="4" t="str" cm="1">
        <f t="array" ref="I1911">INDEX(Sheet1!E:E,$G1911)</f>
        <v>A.1.b.v</v>
      </c>
      <c r="J1911" s="4" t="str" cm="1">
        <f t="array" ref="J1911">IF($C1911&gt;=25,INDEX(Sheet1!G:G,$G1911),INDEX(Sheet1!F:F,$G1911))</f>
        <v>AA8</v>
      </c>
      <c r="K1911" s="4" cm="1">
        <f t="array" ref="K1911">INDEX(Sheet1!H:H,$G1911)</f>
        <v>1E-3</v>
      </c>
      <c r="L1911" s="4">
        <f t="shared" si="104"/>
        <v>69</v>
      </c>
      <c r="M1911" s="4">
        <f t="shared" si="105"/>
        <v>0</v>
      </c>
    </row>
    <row r="1912" spans="1:13">
      <c r="A1912" s="4" t="str" cm="1">
        <f t="array" ref="A1912">INDEX(Sheet1!A:A,$F1912)</f>
        <v>F</v>
      </c>
      <c r="B1912" s="4" t="str" cm="1">
        <f t="array" ref="B1912">INDEX(Sheet1!B:B,$F1912)</f>
        <v>Non-Pref SM</v>
      </c>
      <c r="C1912" s="4">
        <f t="shared" si="112"/>
        <v>95</v>
      </c>
      <c r="D1912" s="5" cm="1">
        <f t="array" aca="1" ref="D1912" ca="1">OFFSET(INDIRECT("'["&amp;$H1912&amp;"]"&amp;$I1912&amp;"'!"&amp;$J1912),$L1912,$M1912)*$K1912</f>
        <v>0.21496999999999999</v>
      </c>
      <c r="F1912" s="4">
        <f t="shared" si="113"/>
        <v>17</v>
      </c>
      <c r="G1912" s="4" cm="1">
        <f t="array" ref="G1912">IF($C1912&gt;=25,F1912,IF($C1912&lt;16,INDEX(Sheet1!C:C,$F1912),$F1912))</f>
        <v>17</v>
      </c>
      <c r="H1912" s="4" t="str" cm="1">
        <f t="array" ref="H1912">INDEX(Sheet1!D:D,$G1912)</f>
        <v>2001-cso-preferred-class-structure-mortality-tables.xls</v>
      </c>
      <c r="I1912" s="4" t="str" cm="1">
        <f t="array" ref="I1912">INDEX(Sheet1!E:E,$G1912)</f>
        <v>A.1.b.v</v>
      </c>
      <c r="J1912" s="4" t="str" cm="1">
        <f t="array" ref="J1912">IF($C1912&gt;=25,INDEX(Sheet1!G:G,$G1912),INDEX(Sheet1!F:F,$G1912))</f>
        <v>AA8</v>
      </c>
      <c r="K1912" s="4" cm="1">
        <f t="array" ref="K1912">INDEX(Sheet1!H:H,$G1912)</f>
        <v>1E-3</v>
      </c>
      <c r="L1912" s="4">
        <f t="shared" si="104"/>
        <v>70</v>
      </c>
      <c r="M1912" s="4">
        <f t="shared" si="105"/>
        <v>0</v>
      </c>
    </row>
    <row r="1913" spans="1:13">
      <c r="A1913" s="4" t="str" cm="1">
        <f t="array" ref="A1913">INDEX(Sheet1!A:A,$F1913)</f>
        <v>F</v>
      </c>
      <c r="B1913" s="4" t="str" cm="1">
        <f t="array" ref="B1913">INDEX(Sheet1!B:B,$F1913)</f>
        <v>Non-Pref SM</v>
      </c>
      <c r="C1913" s="4">
        <f t="shared" si="112"/>
        <v>96</v>
      </c>
      <c r="D1913" s="5" cm="1">
        <f t="array" aca="1" ref="D1913" ca="1">OFFSET(INDIRECT("'["&amp;$H1913&amp;"]"&amp;$I1913&amp;"'!"&amp;$J1913),$L1913,$M1913)*$K1913</f>
        <v>0.23691000000000001</v>
      </c>
      <c r="F1913" s="4">
        <f t="shared" si="113"/>
        <v>17</v>
      </c>
      <c r="G1913" s="4" cm="1">
        <f t="array" ref="G1913">IF($C1913&gt;=25,F1913,IF($C1913&lt;16,INDEX(Sheet1!C:C,$F1913),$F1913))</f>
        <v>17</v>
      </c>
      <c r="H1913" s="4" t="str" cm="1">
        <f t="array" ref="H1913">INDEX(Sheet1!D:D,$G1913)</f>
        <v>2001-cso-preferred-class-structure-mortality-tables.xls</v>
      </c>
      <c r="I1913" s="4" t="str" cm="1">
        <f t="array" ref="I1913">INDEX(Sheet1!E:E,$G1913)</f>
        <v>A.1.b.v</v>
      </c>
      <c r="J1913" s="4" t="str" cm="1">
        <f t="array" ref="J1913">IF($C1913&gt;=25,INDEX(Sheet1!G:G,$G1913),INDEX(Sheet1!F:F,$G1913))</f>
        <v>AA8</v>
      </c>
      <c r="K1913" s="4" cm="1">
        <f t="array" ref="K1913">INDEX(Sheet1!H:H,$G1913)</f>
        <v>1E-3</v>
      </c>
      <c r="L1913" s="4">
        <f t="shared" si="104"/>
        <v>71</v>
      </c>
      <c r="M1913" s="4">
        <f t="shared" si="105"/>
        <v>0</v>
      </c>
    </row>
    <row r="1914" spans="1:13">
      <c r="A1914" s="4" t="str" cm="1">
        <f t="array" ref="A1914">INDEX(Sheet1!A:A,$F1914)</f>
        <v>F</v>
      </c>
      <c r="B1914" s="4" t="str" cm="1">
        <f t="array" ref="B1914">INDEX(Sheet1!B:B,$F1914)</f>
        <v>Non-Pref SM</v>
      </c>
      <c r="C1914" s="4">
        <f t="shared" si="112"/>
        <v>97</v>
      </c>
      <c r="D1914" s="5" cm="1">
        <f t="array" aca="1" ref="D1914" ca="1">OFFSET(INDIRECT("'["&amp;$H1914&amp;"]"&amp;$I1914&amp;"'!"&amp;$J1914),$L1914,$M1914)*$K1914</f>
        <v>0.25895000000000001</v>
      </c>
      <c r="F1914" s="4">
        <f t="shared" si="113"/>
        <v>17</v>
      </c>
      <c r="G1914" s="4" cm="1">
        <f t="array" ref="G1914">IF($C1914&gt;=25,F1914,IF($C1914&lt;16,INDEX(Sheet1!C:C,$F1914),$F1914))</f>
        <v>17</v>
      </c>
      <c r="H1914" s="4" t="str" cm="1">
        <f t="array" ref="H1914">INDEX(Sheet1!D:D,$G1914)</f>
        <v>2001-cso-preferred-class-structure-mortality-tables.xls</v>
      </c>
      <c r="I1914" s="4" t="str" cm="1">
        <f t="array" ref="I1914">INDEX(Sheet1!E:E,$G1914)</f>
        <v>A.1.b.v</v>
      </c>
      <c r="J1914" s="4" t="str" cm="1">
        <f t="array" ref="J1914">IF($C1914&gt;=25,INDEX(Sheet1!G:G,$G1914),INDEX(Sheet1!F:F,$G1914))</f>
        <v>AA8</v>
      </c>
      <c r="K1914" s="4" cm="1">
        <f t="array" ref="K1914">INDEX(Sheet1!H:H,$G1914)</f>
        <v>1E-3</v>
      </c>
      <c r="L1914" s="4">
        <f t="shared" si="104"/>
        <v>72</v>
      </c>
      <c r="M1914" s="4">
        <f t="shared" si="105"/>
        <v>0</v>
      </c>
    </row>
    <row r="1915" spans="1:13">
      <c r="A1915" s="4" t="str" cm="1">
        <f t="array" ref="A1915">INDEX(Sheet1!A:A,$F1915)</f>
        <v>F</v>
      </c>
      <c r="B1915" s="4" t="str" cm="1">
        <f t="array" ref="B1915">INDEX(Sheet1!B:B,$F1915)</f>
        <v>Non-Pref SM</v>
      </c>
      <c r="C1915" s="4">
        <f t="shared" si="112"/>
        <v>98</v>
      </c>
      <c r="D1915" s="5" cm="1">
        <f t="array" aca="1" ref="D1915" ca="1">OFFSET(INDIRECT("'["&amp;$H1915&amp;"]"&amp;$I1915&amp;"'!"&amp;$J1915),$L1915,$M1915)*$K1915</f>
        <v>0.26001000000000002</v>
      </c>
      <c r="F1915" s="4">
        <f t="shared" si="113"/>
        <v>17</v>
      </c>
      <c r="G1915" s="4" cm="1">
        <f t="array" ref="G1915">IF($C1915&gt;=25,F1915,IF($C1915&lt;16,INDEX(Sheet1!C:C,$F1915),$F1915))</f>
        <v>17</v>
      </c>
      <c r="H1915" s="4" t="str" cm="1">
        <f t="array" ref="H1915">INDEX(Sheet1!D:D,$G1915)</f>
        <v>2001-cso-preferred-class-structure-mortality-tables.xls</v>
      </c>
      <c r="I1915" s="4" t="str" cm="1">
        <f t="array" ref="I1915">INDEX(Sheet1!E:E,$G1915)</f>
        <v>A.1.b.v</v>
      </c>
      <c r="J1915" s="4" t="str" cm="1">
        <f t="array" ref="J1915">IF($C1915&gt;=25,INDEX(Sheet1!G:G,$G1915),INDEX(Sheet1!F:F,$G1915))</f>
        <v>AA8</v>
      </c>
      <c r="K1915" s="4" cm="1">
        <f t="array" ref="K1915">INDEX(Sheet1!H:H,$G1915)</f>
        <v>1E-3</v>
      </c>
      <c r="L1915" s="4">
        <f t="shared" si="104"/>
        <v>73</v>
      </c>
      <c r="M1915" s="4">
        <f t="shared" si="105"/>
        <v>0</v>
      </c>
    </row>
    <row r="1916" spans="1:13">
      <c r="A1916" s="4" t="str" cm="1">
        <f t="array" ref="A1916">INDEX(Sheet1!A:A,$F1916)</f>
        <v>F</v>
      </c>
      <c r="B1916" s="4" t="str" cm="1">
        <f t="array" ref="B1916">INDEX(Sheet1!B:B,$F1916)</f>
        <v>Non-Pref SM</v>
      </c>
      <c r="C1916" s="4">
        <f t="shared" si="112"/>
        <v>99</v>
      </c>
      <c r="D1916" s="5" cm="1">
        <f t="array" aca="1" ref="D1916" ca="1">OFFSET(INDIRECT("'["&amp;$H1916&amp;"]"&amp;$I1916&amp;"'!"&amp;$J1916),$L1916,$M1916)*$K1916</f>
        <v>0.27077000000000001</v>
      </c>
      <c r="F1916" s="4">
        <f t="shared" si="113"/>
        <v>17</v>
      </c>
      <c r="G1916" s="4" cm="1">
        <f t="array" ref="G1916">IF($C1916&gt;=25,F1916,IF($C1916&lt;16,INDEX(Sheet1!C:C,$F1916),$F1916))</f>
        <v>17</v>
      </c>
      <c r="H1916" s="4" t="str" cm="1">
        <f t="array" ref="H1916">INDEX(Sheet1!D:D,$G1916)</f>
        <v>2001-cso-preferred-class-structure-mortality-tables.xls</v>
      </c>
      <c r="I1916" s="4" t="str" cm="1">
        <f t="array" ref="I1916">INDEX(Sheet1!E:E,$G1916)</f>
        <v>A.1.b.v</v>
      </c>
      <c r="J1916" s="4" t="str" cm="1">
        <f t="array" ref="J1916">IF($C1916&gt;=25,INDEX(Sheet1!G:G,$G1916),INDEX(Sheet1!F:F,$G1916))</f>
        <v>AA8</v>
      </c>
      <c r="K1916" s="4" cm="1">
        <f t="array" ref="K1916">INDEX(Sheet1!H:H,$G1916)</f>
        <v>1E-3</v>
      </c>
      <c r="L1916" s="4">
        <f t="shared" si="104"/>
        <v>74</v>
      </c>
      <c r="M1916" s="4">
        <f t="shared" si="105"/>
        <v>0</v>
      </c>
    </row>
    <row r="1917" spans="1:13">
      <c r="A1917" s="4" t="str" cm="1">
        <f t="array" ref="A1917">INDEX(Sheet1!A:A,$F1917)</f>
        <v>F</v>
      </c>
      <c r="B1917" s="4" t="str" cm="1">
        <f t="array" ref="B1917">INDEX(Sheet1!B:B,$F1917)</f>
        <v>Non-Pref SM</v>
      </c>
      <c r="C1917" s="4">
        <f t="shared" si="112"/>
        <v>100</v>
      </c>
      <c r="D1917" s="5" cm="1">
        <f t="array" aca="1" ref="D1917" ca="1">OFFSET(INDIRECT("'["&amp;$H1917&amp;"]"&amp;$I1917&amp;"'!"&amp;$J1917),$L1917,$M1917)*$K1917</f>
        <v>0.28926999999999997</v>
      </c>
      <c r="F1917" s="4">
        <f t="shared" si="113"/>
        <v>17</v>
      </c>
      <c r="G1917" s="4" cm="1">
        <f t="array" ref="G1917">IF($C1917&gt;=25,F1917,IF($C1917&lt;16,INDEX(Sheet1!C:C,$F1917),$F1917))</f>
        <v>17</v>
      </c>
      <c r="H1917" s="4" t="str" cm="1">
        <f t="array" ref="H1917">INDEX(Sheet1!D:D,$G1917)</f>
        <v>2001-cso-preferred-class-structure-mortality-tables.xls</v>
      </c>
      <c r="I1917" s="4" t="str" cm="1">
        <f t="array" ref="I1917">INDEX(Sheet1!E:E,$G1917)</f>
        <v>A.1.b.v</v>
      </c>
      <c r="J1917" s="4" t="str" cm="1">
        <f t="array" ref="J1917">IF($C1917&gt;=25,INDEX(Sheet1!G:G,$G1917),INDEX(Sheet1!F:F,$G1917))</f>
        <v>AA8</v>
      </c>
      <c r="K1917" s="4" cm="1">
        <f t="array" ref="K1917">INDEX(Sheet1!H:H,$G1917)</f>
        <v>1E-3</v>
      </c>
      <c r="L1917" s="4">
        <f t="shared" si="104"/>
        <v>75</v>
      </c>
      <c r="M1917" s="4">
        <f t="shared" si="105"/>
        <v>0</v>
      </c>
    </row>
    <row r="1918" spans="1:13">
      <c r="A1918" s="4" t="str" cm="1">
        <f t="array" ref="A1918">INDEX(Sheet1!A:A,$F1918)</f>
        <v>F</v>
      </c>
      <c r="B1918" s="4" t="str" cm="1">
        <f t="array" ref="B1918">INDEX(Sheet1!B:B,$F1918)</f>
        <v>Non-Pref SM</v>
      </c>
      <c r="C1918" s="4">
        <f t="shared" si="112"/>
        <v>101</v>
      </c>
      <c r="D1918" s="5" cm="1">
        <f t="array" aca="1" ref="D1918" ca="1">OFFSET(INDIRECT("'["&amp;$H1918&amp;"]"&amp;$I1918&amp;"'!"&amp;$J1918),$L1918,$M1918)*$K1918</f>
        <v>0.30902999999999997</v>
      </c>
      <c r="F1918" s="4">
        <f t="shared" si="113"/>
        <v>17</v>
      </c>
      <c r="G1918" s="4" cm="1">
        <f t="array" ref="G1918">IF($C1918&gt;=25,F1918,IF($C1918&lt;16,INDEX(Sheet1!C:C,$F1918),$F1918))</f>
        <v>17</v>
      </c>
      <c r="H1918" s="4" t="str" cm="1">
        <f t="array" ref="H1918">INDEX(Sheet1!D:D,$G1918)</f>
        <v>2001-cso-preferred-class-structure-mortality-tables.xls</v>
      </c>
      <c r="I1918" s="4" t="str" cm="1">
        <f t="array" ref="I1918">INDEX(Sheet1!E:E,$G1918)</f>
        <v>A.1.b.v</v>
      </c>
      <c r="J1918" s="4" t="str" cm="1">
        <f t="array" ref="J1918">IF($C1918&gt;=25,INDEX(Sheet1!G:G,$G1918),INDEX(Sheet1!F:F,$G1918))</f>
        <v>AA8</v>
      </c>
      <c r="K1918" s="4" cm="1">
        <f t="array" ref="K1918">INDEX(Sheet1!H:H,$G1918)</f>
        <v>1E-3</v>
      </c>
      <c r="L1918" s="4">
        <f t="shared" si="104"/>
        <v>76</v>
      </c>
      <c r="M1918" s="4">
        <f t="shared" si="105"/>
        <v>0</v>
      </c>
    </row>
    <row r="1919" spans="1:13">
      <c r="A1919" s="4" t="str" cm="1">
        <f t="array" ref="A1919">INDEX(Sheet1!A:A,$F1919)</f>
        <v>F</v>
      </c>
      <c r="B1919" s="4" t="str" cm="1">
        <f t="array" ref="B1919">INDEX(Sheet1!B:B,$F1919)</f>
        <v>Non-Pref SM</v>
      </c>
      <c r="C1919" s="4">
        <f t="shared" si="112"/>
        <v>102</v>
      </c>
      <c r="D1919" s="5" cm="1">
        <f t="array" aca="1" ref="D1919" ca="1">OFFSET(INDIRECT("'["&amp;$H1919&amp;"]"&amp;$I1919&amp;"'!"&amp;$J1919),$L1919,$M1919)*$K1919</f>
        <v>0.33077999999999996</v>
      </c>
      <c r="F1919" s="4">
        <f t="shared" si="113"/>
        <v>17</v>
      </c>
      <c r="G1919" s="4" cm="1">
        <f t="array" ref="G1919">IF($C1919&gt;=25,F1919,IF($C1919&lt;16,INDEX(Sheet1!C:C,$F1919),$F1919))</f>
        <v>17</v>
      </c>
      <c r="H1919" s="4" t="str" cm="1">
        <f t="array" ref="H1919">INDEX(Sheet1!D:D,$G1919)</f>
        <v>2001-cso-preferred-class-structure-mortality-tables.xls</v>
      </c>
      <c r="I1919" s="4" t="str" cm="1">
        <f t="array" ref="I1919">INDEX(Sheet1!E:E,$G1919)</f>
        <v>A.1.b.v</v>
      </c>
      <c r="J1919" s="4" t="str" cm="1">
        <f t="array" ref="J1919">IF($C1919&gt;=25,INDEX(Sheet1!G:G,$G1919),INDEX(Sheet1!F:F,$G1919))</f>
        <v>AA8</v>
      </c>
      <c r="K1919" s="4" cm="1">
        <f t="array" ref="K1919">INDEX(Sheet1!H:H,$G1919)</f>
        <v>1E-3</v>
      </c>
      <c r="L1919" s="4">
        <f t="shared" si="104"/>
        <v>77</v>
      </c>
      <c r="M1919" s="4">
        <f t="shared" si="105"/>
        <v>0</v>
      </c>
    </row>
    <row r="1920" spans="1:13">
      <c r="A1920" s="4" t="str" cm="1">
        <f t="array" ref="A1920">INDEX(Sheet1!A:A,$F1920)</f>
        <v>F</v>
      </c>
      <c r="B1920" s="4" t="str" cm="1">
        <f t="array" ref="B1920">INDEX(Sheet1!B:B,$F1920)</f>
        <v>Non-Pref SM</v>
      </c>
      <c r="C1920" s="4">
        <f t="shared" si="112"/>
        <v>103</v>
      </c>
      <c r="D1920" s="5" cm="1">
        <f t="array" aca="1" ref="D1920" ca="1">OFFSET(INDIRECT("'["&amp;$H1920&amp;"]"&amp;$I1920&amp;"'!"&amp;$J1920),$L1920,$M1920)*$K1920</f>
        <v>0.35411000000000004</v>
      </c>
      <c r="F1920" s="4">
        <f t="shared" si="113"/>
        <v>17</v>
      </c>
      <c r="G1920" s="4" cm="1">
        <f t="array" ref="G1920">IF($C1920&gt;=25,F1920,IF($C1920&lt;16,INDEX(Sheet1!C:C,$F1920),$F1920))</f>
        <v>17</v>
      </c>
      <c r="H1920" s="4" t="str" cm="1">
        <f t="array" ref="H1920">INDEX(Sheet1!D:D,$G1920)</f>
        <v>2001-cso-preferred-class-structure-mortality-tables.xls</v>
      </c>
      <c r="I1920" s="4" t="str" cm="1">
        <f t="array" ref="I1920">INDEX(Sheet1!E:E,$G1920)</f>
        <v>A.1.b.v</v>
      </c>
      <c r="J1920" s="4" t="str" cm="1">
        <f t="array" ref="J1920">IF($C1920&gt;=25,INDEX(Sheet1!G:G,$G1920),INDEX(Sheet1!F:F,$G1920))</f>
        <v>AA8</v>
      </c>
      <c r="K1920" s="4" cm="1">
        <f t="array" ref="K1920">INDEX(Sheet1!H:H,$G1920)</f>
        <v>1E-3</v>
      </c>
      <c r="L1920" s="4">
        <f t="shared" si="104"/>
        <v>78</v>
      </c>
      <c r="M1920" s="4">
        <f t="shared" si="105"/>
        <v>0</v>
      </c>
    </row>
    <row r="1921" spans="1:13">
      <c r="A1921" s="4" t="str" cm="1">
        <f t="array" ref="A1921">INDEX(Sheet1!A:A,$F1921)</f>
        <v>F</v>
      </c>
      <c r="B1921" s="4" t="str" cm="1">
        <f t="array" ref="B1921">INDEX(Sheet1!B:B,$F1921)</f>
        <v>Non-Pref SM</v>
      </c>
      <c r="C1921" s="4">
        <f t="shared" si="112"/>
        <v>104</v>
      </c>
      <c r="D1921" s="5" cm="1">
        <f t="array" aca="1" ref="D1921" ca="1">OFFSET(INDIRECT("'["&amp;$H1921&amp;"]"&amp;$I1921&amp;"'!"&amp;$J1921),$L1921,$M1921)*$K1921</f>
        <v>0.37941000000000003</v>
      </c>
      <c r="F1921" s="4">
        <f t="shared" si="113"/>
        <v>17</v>
      </c>
      <c r="G1921" s="4" cm="1">
        <f t="array" ref="G1921">IF($C1921&gt;=25,F1921,IF($C1921&lt;16,INDEX(Sheet1!C:C,$F1921),$F1921))</f>
        <v>17</v>
      </c>
      <c r="H1921" s="4" t="str" cm="1">
        <f t="array" ref="H1921">INDEX(Sheet1!D:D,$G1921)</f>
        <v>2001-cso-preferred-class-structure-mortality-tables.xls</v>
      </c>
      <c r="I1921" s="4" t="str" cm="1">
        <f t="array" ref="I1921">INDEX(Sheet1!E:E,$G1921)</f>
        <v>A.1.b.v</v>
      </c>
      <c r="J1921" s="4" t="str" cm="1">
        <f t="array" ref="J1921">IF($C1921&gt;=25,INDEX(Sheet1!G:G,$G1921),INDEX(Sheet1!F:F,$G1921))</f>
        <v>AA8</v>
      </c>
      <c r="K1921" s="4" cm="1">
        <f t="array" ref="K1921">INDEX(Sheet1!H:H,$G1921)</f>
        <v>1E-3</v>
      </c>
      <c r="L1921" s="4">
        <f t="shared" si="104"/>
        <v>79</v>
      </c>
      <c r="M1921" s="4">
        <f t="shared" si="105"/>
        <v>0</v>
      </c>
    </row>
    <row r="1922" spans="1:13">
      <c r="A1922" s="4" t="str" cm="1">
        <f t="array" ref="A1922">INDEX(Sheet1!A:A,$F1922)</f>
        <v>F</v>
      </c>
      <c r="B1922" s="4" t="str" cm="1">
        <f t="array" ref="B1922">INDEX(Sheet1!B:B,$F1922)</f>
        <v>Non-Pref SM</v>
      </c>
      <c r="C1922" s="4">
        <f t="shared" ref="C1922:C1985" si="114">IF(C1921=120,0,C1921+1)</f>
        <v>105</v>
      </c>
      <c r="D1922" s="5" cm="1">
        <f t="array" aca="1" ref="D1922" ca="1">OFFSET(INDIRECT("'["&amp;$H1922&amp;"]"&amp;$I1922&amp;"'!"&amp;$J1922),$L1922,$M1922)*$K1922</f>
        <v>0.41132000000000002</v>
      </c>
      <c r="F1922" s="4">
        <f t="shared" ref="F1922:F1985" si="115">IF(C1922=0,1,0)+F1921</f>
        <v>17</v>
      </c>
      <c r="G1922" s="4" cm="1">
        <f t="array" ref="G1922">IF($C1922&gt;=25,F1922,IF($C1922&lt;16,INDEX(Sheet1!C:C,$F1922),$F1922))</f>
        <v>17</v>
      </c>
      <c r="H1922" s="4" t="str" cm="1">
        <f t="array" ref="H1922">INDEX(Sheet1!D:D,$G1922)</f>
        <v>2001-cso-preferred-class-structure-mortality-tables.xls</v>
      </c>
      <c r="I1922" s="4" t="str" cm="1">
        <f t="array" ref="I1922">INDEX(Sheet1!E:E,$G1922)</f>
        <v>A.1.b.v</v>
      </c>
      <c r="J1922" s="4" t="str" cm="1">
        <f t="array" ref="J1922">IF($C1922&gt;=25,INDEX(Sheet1!G:G,$G1922),INDEX(Sheet1!F:F,$G1922))</f>
        <v>AA8</v>
      </c>
      <c r="K1922" s="4" cm="1">
        <f t="array" ref="K1922">INDEX(Sheet1!H:H,$G1922)</f>
        <v>1E-3</v>
      </c>
      <c r="L1922" s="4">
        <f t="shared" ref="L1922:L1985" si="116">IF($C1922&gt;=25,$C1922-25,0)</f>
        <v>80</v>
      </c>
      <c r="M1922" s="4">
        <f t="shared" ref="M1922:M1985" si="117">IF($C1922&gt;=25,0,$C1922)</f>
        <v>0</v>
      </c>
    </row>
    <row r="1923" spans="1:13">
      <c r="A1923" s="4" t="str" cm="1">
        <f t="array" ref="A1923">INDEX(Sheet1!A:A,$F1923)</f>
        <v>F</v>
      </c>
      <c r="B1923" s="4" t="str" cm="1">
        <f t="array" ref="B1923">INDEX(Sheet1!B:B,$F1923)</f>
        <v>Non-Pref SM</v>
      </c>
      <c r="C1923" s="4">
        <f t="shared" si="114"/>
        <v>106</v>
      </c>
      <c r="D1923" s="5" cm="1">
        <f t="array" aca="1" ref="D1923" ca="1">OFFSET(INDIRECT("'["&amp;$H1923&amp;"]"&amp;$I1923&amp;"'!"&amp;$J1923),$L1923,$M1923)*$K1923</f>
        <v>0.44402999999999998</v>
      </c>
      <c r="F1923" s="4">
        <f t="shared" si="115"/>
        <v>17</v>
      </c>
      <c r="G1923" s="4" cm="1">
        <f t="array" ref="G1923">IF($C1923&gt;=25,F1923,IF($C1923&lt;16,INDEX(Sheet1!C:C,$F1923),$F1923))</f>
        <v>17</v>
      </c>
      <c r="H1923" s="4" t="str" cm="1">
        <f t="array" ref="H1923">INDEX(Sheet1!D:D,$G1923)</f>
        <v>2001-cso-preferred-class-structure-mortality-tables.xls</v>
      </c>
      <c r="I1923" s="4" t="str" cm="1">
        <f t="array" ref="I1923">INDEX(Sheet1!E:E,$G1923)</f>
        <v>A.1.b.v</v>
      </c>
      <c r="J1923" s="4" t="str" cm="1">
        <f t="array" ref="J1923">IF($C1923&gt;=25,INDEX(Sheet1!G:G,$G1923),INDEX(Sheet1!F:F,$G1923))</f>
        <v>AA8</v>
      </c>
      <c r="K1923" s="4" cm="1">
        <f t="array" ref="K1923">INDEX(Sheet1!H:H,$G1923)</f>
        <v>1E-3</v>
      </c>
      <c r="L1923" s="4">
        <f t="shared" si="116"/>
        <v>81</v>
      </c>
      <c r="M1923" s="4">
        <f t="shared" si="117"/>
        <v>0</v>
      </c>
    </row>
    <row r="1924" spans="1:13">
      <c r="A1924" s="4" t="str" cm="1">
        <f t="array" ref="A1924">INDEX(Sheet1!A:A,$F1924)</f>
        <v>F</v>
      </c>
      <c r="B1924" s="4" t="str" cm="1">
        <f t="array" ref="B1924">INDEX(Sheet1!B:B,$F1924)</f>
        <v>Non-Pref SM</v>
      </c>
      <c r="C1924" s="4">
        <f t="shared" si="114"/>
        <v>107</v>
      </c>
      <c r="D1924" s="5" cm="1">
        <f t="array" aca="1" ref="D1924" ca="1">OFFSET(INDIRECT("'["&amp;$H1924&amp;"]"&amp;$I1924&amp;"'!"&amp;$J1924),$L1924,$M1924)*$K1924</f>
        <v>0.47753000000000001</v>
      </c>
      <c r="F1924" s="4">
        <f t="shared" si="115"/>
        <v>17</v>
      </c>
      <c r="G1924" s="4" cm="1">
        <f t="array" ref="G1924">IF($C1924&gt;=25,F1924,IF($C1924&lt;16,INDEX(Sheet1!C:C,$F1924),$F1924))</f>
        <v>17</v>
      </c>
      <c r="H1924" s="4" t="str" cm="1">
        <f t="array" ref="H1924">INDEX(Sheet1!D:D,$G1924)</f>
        <v>2001-cso-preferred-class-structure-mortality-tables.xls</v>
      </c>
      <c r="I1924" s="4" t="str" cm="1">
        <f t="array" ref="I1924">INDEX(Sheet1!E:E,$G1924)</f>
        <v>A.1.b.v</v>
      </c>
      <c r="J1924" s="4" t="str" cm="1">
        <f t="array" ref="J1924">IF($C1924&gt;=25,INDEX(Sheet1!G:G,$G1924),INDEX(Sheet1!F:F,$G1924))</f>
        <v>AA8</v>
      </c>
      <c r="K1924" s="4" cm="1">
        <f t="array" ref="K1924">INDEX(Sheet1!H:H,$G1924)</f>
        <v>1E-3</v>
      </c>
      <c r="L1924" s="4">
        <f t="shared" si="116"/>
        <v>82</v>
      </c>
      <c r="M1924" s="4">
        <f t="shared" si="117"/>
        <v>0</v>
      </c>
    </row>
    <row r="1925" spans="1:13">
      <c r="A1925" s="4" t="str" cm="1">
        <f t="array" ref="A1925">INDEX(Sheet1!A:A,$F1925)</f>
        <v>F</v>
      </c>
      <c r="B1925" s="4" t="str" cm="1">
        <f t="array" ref="B1925">INDEX(Sheet1!B:B,$F1925)</f>
        <v>Non-Pref SM</v>
      </c>
      <c r="C1925" s="4">
        <f t="shared" si="114"/>
        <v>108</v>
      </c>
      <c r="D1925" s="5" cm="1">
        <f t="array" aca="1" ref="D1925" ca="1">OFFSET(INDIRECT("'["&amp;$H1925&amp;"]"&amp;$I1925&amp;"'!"&amp;$J1925),$L1925,$M1925)*$K1925</f>
        <v>0.51124000000000003</v>
      </c>
      <c r="F1925" s="4">
        <f t="shared" si="115"/>
        <v>17</v>
      </c>
      <c r="G1925" s="4" cm="1">
        <f t="array" ref="G1925">IF($C1925&gt;=25,F1925,IF($C1925&lt;16,INDEX(Sheet1!C:C,$F1925),$F1925))</f>
        <v>17</v>
      </c>
      <c r="H1925" s="4" t="str" cm="1">
        <f t="array" ref="H1925">INDEX(Sheet1!D:D,$G1925)</f>
        <v>2001-cso-preferred-class-structure-mortality-tables.xls</v>
      </c>
      <c r="I1925" s="4" t="str" cm="1">
        <f t="array" ref="I1925">INDEX(Sheet1!E:E,$G1925)</f>
        <v>A.1.b.v</v>
      </c>
      <c r="J1925" s="4" t="str" cm="1">
        <f t="array" ref="J1925">IF($C1925&gt;=25,INDEX(Sheet1!G:G,$G1925),INDEX(Sheet1!F:F,$G1925))</f>
        <v>AA8</v>
      </c>
      <c r="K1925" s="4" cm="1">
        <f t="array" ref="K1925">INDEX(Sheet1!H:H,$G1925)</f>
        <v>1E-3</v>
      </c>
      <c r="L1925" s="4">
        <f t="shared" si="116"/>
        <v>83</v>
      </c>
      <c r="M1925" s="4">
        <f t="shared" si="117"/>
        <v>0</v>
      </c>
    </row>
    <row r="1926" spans="1:13">
      <c r="A1926" s="4" t="str" cm="1">
        <f t="array" ref="A1926">INDEX(Sheet1!A:A,$F1926)</f>
        <v>F</v>
      </c>
      <c r="B1926" s="4" t="str" cm="1">
        <f t="array" ref="B1926">INDEX(Sheet1!B:B,$F1926)</f>
        <v>Non-Pref SM</v>
      </c>
      <c r="C1926" s="4">
        <f t="shared" si="114"/>
        <v>109</v>
      </c>
      <c r="D1926" s="5" cm="1">
        <f t="array" aca="1" ref="D1926" ca="1">OFFSET(INDIRECT("'["&amp;$H1926&amp;"]"&amp;$I1926&amp;"'!"&amp;$J1926),$L1926,$M1926)*$K1926</f>
        <v>0.54635</v>
      </c>
      <c r="F1926" s="4">
        <f t="shared" si="115"/>
        <v>17</v>
      </c>
      <c r="G1926" s="4" cm="1">
        <f t="array" ref="G1926">IF($C1926&gt;=25,F1926,IF($C1926&lt;16,INDEX(Sheet1!C:C,$F1926),$F1926))</f>
        <v>17</v>
      </c>
      <c r="H1926" s="4" t="str" cm="1">
        <f t="array" ref="H1926">INDEX(Sheet1!D:D,$G1926)</f>
        <v>2001-cso-preferred-class-structure-mortality-tables.xls</v>
      </c>
      <c r="I1926" s="4" t="str" cm="1">
        <f t="array" ref="I1926">INDEX(Sheet1!E:E,$G1926)</f>
        <v>A.1.b.v</v>
      </c>
      <c r="J1926" s="4" t="str" cm="1">
        <f t="array" ref="J1926">IF($C1926&gt;=25,INDEX(Sheet1!G:G,$G1926),INDEX(Sheet1!F:F,$G1926))</f>
        <v>AA8</v>
      </c>
      <c r="K1926" s="4" cm="1">
        <f t="array" ref="K1926">INDEX(Sheet1!H:H,$G1926)</f>
        <v>1E-3</v>
      </c>
      <c r="L1926" s="4">
        <f t="shared" si="116"/>
        <v>84</v>
      </c>
      <c r="M1926" s="4">
        <f t="shared" si="117"/>
        <v>0</v>
      </c>
    </row>
    <row r="1927" spans="1:13">
      <c r="A1927" s="4" t="str" cm="1">
        <f t="array" ref="A1927">INDEX(Sheet1!A:A,$F1927)</f>
        <v>F</v>
      </c>
      <c r="B1927" s="4" t="str" cm="1">
        <f t="array" ref="B1927">INDEX(Sheet1!B:B,$F1927)</f>
        <v>Non-Pref SM</v>
      </c>
      <c r="C1927" s="4">
        <f t="shared" si="114"/>
        <v>110</v>
      </c>
      <c r="D1927" s="5" cm="1">
        <f t="array" aca="1" ref="D1927" ca="1">OFFSET(INDIRECT("'["&amp;$H1927&amp;"]"&amp;$I1927&amp;"'!"&amp;$J1927),$L1927,$M1927)*$K1927</f>
        <v>0.58226</v>
      </c>
      <c r="F1927" s="4">
        <f t="shared" si="115"/>
        <v>17</v>
      </c>
      <c r="G1927" s="4" cm="1">
        <f t="array" ref="G1927">IF($C1927&gt;=25,F1927,IF($C1927&lt;16,INDEX(Sheet1!C:C,$F1927),$F1927))</f>
        <v>17</v>
      </c>
      <c r="H1927" s="4" t="str" cm="1">
        <f t="array" ref="H1927">INDEX(Sheet1!D:D,$G1927)</f>
        <v>2001-cso-preferred-class-structure-mortality-tables.xls</v>
      </c>
      <c r="I1927" s="4" t="str" cm="1">
        <f t="array" ref="I1927">INDEX(Sheet1!E:E,$G1927)</f>
        <v>A.1.b.v</v>
      </c>
      <c r="J1927" s="4" t="str" cm="1">
        <f t="array" ref="J1927">IF($C1927&gt;=25,INDEX(Sheet1!G:G,$G1927),INDEX(Sheet1!F:F,$G1927))</f>
        <v>AA8</v>
      </c>
      <c r="K1927" s="4" cm="1">
        <f t="array" ref="K1927">INDEX(Sheet1!H:H,$G1927)</f>
        <v>1E-3</v>
      </c>
      <c r="L1927" s="4">
        <f t="shared" si="116"/>
        <v>85</v>
      </c>
      <c r="M1927" s="4">
        <f t="shared" si="117"/>
        <v>0</v>
      </c>
    </row>
    <row r="1928" spans="1:13">
      <c r="A1928" s="4" t="str" cm="1">
        <f t="array" ref="A1928">INDEX(Sheet1!A:A,$F1928)</f>
        <v>F</v>
      </c>
      <c r="B1928" s="4" t="str" cm="1">
        <f t="array" ref="B1928">INDEX(Sheet1!B:B,$F1928)</f>
        <v>Non-Pref SM</v>
      </c>
      <c r="C1928" s="4">
        <f t="shared" si="114"/>
        <v>111</v>
      </c>
      <c r="D1928" s="5" cm="1">
        <f t="array" aca="1" ref="D1928" ca="1">OFFSET(INDIRECT("'["&amp;$H1928&amp;"]"&amp;$I1928&amp;"'!"&amp;$J1928),$L1928,$M1928)*$K1928</f>
        <v>0.61677999999999999</v>
      </c>
      <c r="F1928" s="4">
        <f t="shared" si="115"/>
        <v>17</v>
      </c>
      <c r="G1928" s="4" cm="1">
        <f t="array" ref="G1928">IF($C1928&gt;=25,F1928,IF($C1928&lt;16,INDEX(Sheet1!C:C,$F1928),$F1928))</f>
        <v>17</v>
      </c>
      <c r="H1928" s="4" t="str" cm="1">
        <f t="array" ref="H1928">INDEX(Sheet1!D:D,$G1928)</f>
        <v>2001-cso-preferred-class-structure-mortality-tables.xls</v>
      </c>
      <c r="I1928" s="4" t="str" cm="1">
        <f t="array" ref="I1928">INDEX(Sheet1!E:E,$G1928)</f>
        <v>A.1.b.v</v>
      </c>
      <c r="J1928" s="4" t="str" cm="1">
        <f t="array" ref="J1928">IF($C1928&gt;=25,INDEX(Sheet1!G:G,$G1928),INDEX(Sheet1!F:F,$G1928))</f>
        <v>AA8</v>
      </c>
      <c r="K1928" s="4" cm="1">
        <f t="array" ref="K1928">INDEX(Sheet1!H:H,$G1928)</f>
        <v>1E-3</v>
      </c>
      <c r="L1928" s="4">
        <f t="shared" si="116"/>
        <v>86</v>
      </c>
      <c r="M1928" s="4">
        <f t="shared" si="117"/>
        <v>0</v>
      </c>
    </row>
    <row r="1929" spans="1:13">
      <c r="A1929" s="4" t="str" cm="1">
        <f t="array" ref="A1929">INDEX(Sheet1!A:A,$F1929)</f>
        <v>F</v>
      </c>
      <c r="B1929" s="4" t="str" cm="1">
        <f t="array" ref="B1929">INDEX(Sheet1!B:B,$F1929)</f>
        <v>Non-Pref SM</v>
      </c>
      <c r="C1929" s="4">
        <f t="shared" si="114"/>
        <v>112</v>
      </c>
      <c r="D1929" s="5" cm="1">
        <f t="array" aca="1" ref="D1929" ca="1">OFFSET(INDIRECT("'["&amp;$H1929&amp;"]"&amp;$I1929&amp;"'!"&amp;$J1929),$L1929,$M1929)*$K1929</f>
        <v>0.65024999999999999</v>
      </c>
      <c r="F1929" s="4">
        <f t="shared" si="115"/>
        <v>17</v>
      </c>
      <c r="G1929" s="4" cm="1">
        <f t="array" ref="G1929">IF($C1929&gt;=25,F1929,IF($C1929&lt;16,INDEX(Sheet1!C:C,$F1929),$F1929))</f>
        <v>17</v>
      </c>
      <c r="H1929" s="4" t="str" cm="1">
        <f t="array" ref="H1929">INDEX(Sheet1!D:D,$G1929)</f>
        <v>2001-cso-preferred-class-structure-mortality-tables.xls</v>
      </c>
      <c r="I1929" s="4" t="str" cm="1">
        <f t="array" ref="I1929">INDEX(Sheet1!E:E,$G1929)</f>
        <v>A.1.b.v</v>
      </c>
      <c r="J1929" s="4" t="str" cm="1">
        <f t="array" ref="J1929">IF($C1929&gt;=25,INDEX(Sheet1!G:G,$G1929),INDEX(Sheet1!F:F,$G1929))</f>
        <v>AA8</v>
      </c>
      <c r="K1929" s="4" cm="1">
        <f t="array" ref="K1929">INDEX(Sheet1!H:H,$G1929)</f>
        <v>1E-3</v>
      </c>
      <c r="L1929" s="4">
        <f t="shared" si="116"/>
        <v>87</v>
      </c>
      <c r="M1929" s="4">
        <f t="shared" si="117"/>
        <v>0</v>
      </c>
    </row>
    <row r="1930" spans="1:13">
      <c r="A1930" s="4" t="str" cm="1">
        <f t="array" ref="A1930">INDEX(Sheet1!A:A,$F1930)</f>
        <v>F</v>
      </c>
      <c r="B1930" s="4" t="str" cm="1">
        <f t="array" ref="B1930">INDEX(Sheet1!B:B,$F1930)</f>
        <v>Non-Pref SM</v>
      </c>
      <c r="C1930" s="4">
        <f t="shared" si="114"/>
        <v>113</v>
      </c>
      <c r="D1930" s="5" cm="1">
        <f t="array" aca="1" ref="D1930" ca="1">OFFSET(INDIRECT("'["&amp;$H1930&amp;"]"&amp;$I1930&amp;"'!"&amp;$J1930),$L1930,$M1930)*$K1930</f>
        <v>0.68071999999999999</v>
      </c>
      <c r="F1930" s="4">
        <f t="shared" si="115"/>
        <v>17</v>
      </c>
      <c r="G1930" s="4" cm="1">
        <f t="array" ref="G1930">IF($C1930&gt;=25,F1930,IF($C1930&lt;16,INDEX(Sheet1!C:C,$F1930),$F1930))</f>
        <v>17</v>
      </c>
      <c r="H1930" s="4" t="str" cm="1">
        <f t="array" ref="H1930">INDEX(Sheet1!D:D,$G1930)</f>
        <v>2001-cso-preferred-class-structure-mortality-tables.xls</v>
      </c>
      <c r="I1930" s="4" t="str" cm="1">
        <f t="array" ref="I1930">INDEX(Sheet1!E:E,$G1930)</f>
        <v>A.1.b.v</v>
      </c>
      <c r="J1930" s="4" t="str" cm="1">
        <f t="array" ref="J1930">IF($C1930&gt;=25,INDEX(Sheet1!G:G,$G1930),INDEX(Sheet1!F:F,$G1930))</f>
        <v>AA8</v>
      </c>
      <c r="K1930" s="4" cm="1">
        <f t="array" ref="K1930">INDEX(Sheet1!H:H,$G1930)</f>
        <v>1E-3</v>
      </c>
      <c r="L1930" s="4">
        <f t="shared" si="116"/>
        <v>88</v>
      </c>
      <c r="M1930" s="4">
        <f t="shared" si="117"/>
        <v>0</v>
      </c>
    </row>
    <row r="1931" spans="1:13">
      <c r="A1931" s="4" t="str" cm="1">
        <f t="array" ref="A1931">INDEX(Sheet1!A:A,$F1931)</f>
        <v>F</v>
      </c>
      <c r="B1931" s="4" t="str" cm="1">
        <f t="array" ref="B1931">INDEX(Sheet1!B:B,$F1931)</f>
        <v>Non-Pref SM</v>
      </c>
      <c r="C1931" s="4">
        <f t="shared" si="114"/>
        <v>114</v>
      </c>
      <c r="D1931" s="5" cm="1">
        <f t="array" aca="1" ref="D1931" ca="1">OFFSET(INDIRECT("'["&amp;$H1931&amp;"]"&amp;$I1931&amp;"'!"&amp;$J1931),$L1931,$M1931)*$K1931</f>
        <v>0.72369000000000006</v>
      </c>
      <c r="F1931" s="4">
        <f t="shared" si="115"/>
        <v>17</v>
      </c>
      <c r="G1931" s="4" cm="1">
        <f t="array" ref="G1931">IF($C1931&gt;=25,F1931,IF($C1931&lt;16,INDEX(Sheet1!C:C,$F1931),$F1931))</f>
        <v>17</v>
      </c>
      <c r="H1931" s="4" t="str" cm="1">
        <f t="array" ref="H1931">INDEX(Sheet1!D:D,$G1931)</f>
        <v>2001-cso-preferred-class-structure-mortality-tables.xls</v>
      </c>
      <c r="I1931" s="4" t="str" cm="1">
        <f t="array" ref="I1931">INDEX(Sheet1!E:E,$G1931)</f>
        <v>A.1.b.v</v>
      </c>
      <c r="J1931" s="4" t="str" cm="1">
        <f t="array" ref="J1931">IF($C1931&gt;=25,INDEX(Sheet1!G:G,$G1931),INDEX(Sheet1!F:F,$G1931))</f>
        <v>AA8</v>
      </c>
      <c r="K1931" s="4" cm="1">
        <f t="array" ref="K1931">INDEX(Sheet1!H:H,$G1931)</f>
        <v>1E-3</v>
      </c>
      <c r="L1931" s="4">
        <f t="shared" si="116"/>
        <v>89</v>
      </c>
      <c r="M1931" s="4">
        <f t="shared" si="117"/>
        <v>0</v>
      </c>
    </row>
    <row r="1932" spans="1:13">
      <c r="A1932" s="4" t="str" cm="1">
        <f t="array" ref="A1932">INDEX(Sheet1!A:A,$F1932)</f>
        <v>F</v>
      </c>
      <c r="B1932" s="4" t="str" cm="1">
        <f t="array" ref="B1932">INDEX(Sheet1!B:B,$F1932)</f>
        <v>Non-Pref SM</v>
      </c>
      <c r="C1932" s="4">
        <f t="shared" si="114"/>
        <v>115</v>
      </c>
      <c r="D1932" s="5" cm="1">
        <f t="array" aca="1" ref="D1932" ca="1">OFFSET(INDIRECT("'["&amp;$H1932&amp;"]"&amp;$I1932&amp;"'!"&amp;$J1932),$L1932,$M1932)*$K1932</f>
        <v>0.76366000000000001</v>
      </c>
      <c r="F1932" s="4">
        <f t="shared" si="115"/>
        <v>17</v>
      </c>
      <c r="G1932" s="4" cm="1">
        <f t="array" ref="G1932">IF($C1932&gt;=25,F1932,IF($C1932&lt;16,INDEX(Sheet1!C:C,$F1932),$F1932))</f>
        <v>17</v>
      </c>
      <c r="H1932" s="4" t="str" cm="1">
        <f t="array" ref="H1932">INDEX(Sheet1!D:D,$G1932)</f>
        <v>2001-cso-preferred-class-structure-mortality-tables.xls</v>
      </c>
      <c r="I1932" s="4" t="str" cm="1">
        <f t="array" ref="I1932">INDEX(Sheet1!E:E,$G1932)</f>
        <v>A.1.b.v</v>
      </c>
      <c r="J1932" s="4" t="str" cm="1">
        <f t="array" ref="J1932">IF($C1932&gt;=25,INDEX(Sheet1!G:G,$G1932),INDEX(Sheet1!F:F,$G1932))</f>
        <v>AA8</v>
      </c>
      <c r="K1932" s="4" cm="1">
        <f t="array" ref="K1932">INDEX(Sheet1!H:H,$G1932)</f>
        <v>1E-3</v>
      </c>
      <c r="L1932" s="4">
        <f t="shared" si="116"/>
        <v>90</v>
      </c>
      <c r="M1932" s="4">
        <f t="shared" si="117"/>
        <v>0</v>
      </c>
    </row>
    <row r="1933" spans="1:13">
      <c r="A1933" s="4" t="str" cm="1">
        <f t="array" ref="A1933">INDEX(Sheet1!A:A,$F1933)</f>
        <v>F</v>
      </c>
      <c r="B1933" s="4" t="str" cm="1">
        <f t="array" ref="B1933">INDEX(Sheet1!B:B,$F1933)</f>
        <v>Non-Pref SM</v>
      </c>
      <c r="C1933" s="4">
        <f t="shared" si="114"/>
        <v>116</v>
      </c>
      <c r="D1933" s="5" cm="1">
        <f t="array" aca="1" ref="D1933" ca="1">OFFSET(INDIRECT("'["&amp;$H1933&amp;"]"&amp;$I1933&amp;"'!"&amp;$J1933),$L1933,$M1933)*$K1933</f>
        <v>0.80512000000000006</v>
      </c>
      <c r="F1933" s="4">
        <f t="shared" si="115"/>
        <v>17</v>
      </c>
      <c r="G1933" s="4" cm="1">
        <f t="array" ref="G1933">IF($C1933&gt;=25,F1933,IF($C1933&lt;16,INDEX(Sheet1!C:C,$F1933),$F1933))</f>
        <v>17</v>
      </c>
      <c r="H1933" s="4" t="str" cm="1">
        <f t="array" ref="H1933">INDEX(Sheet1!D:D,$G1933)</f>
        <v>2001-cso-preferred-class-structure-mortality-tables.xls</v>
      </c>
      <c r="I1933" s="4" t="str" cm="1">
        <f t="array" ref="I1933">INDEX(Sheet1!E:E,$G1933)</f>
        <v>A.1.b.v</v>
      </c>
      <c r="J1933" s="4" t="str" cm="1">
        <f t="array" ref="J1933">IF($C1933&gt;=25,INDEX(Sheet1!G:G,$G1933),INDEX(Sheet1!F:F,$G1933))</f>
        <v>AA8</v>
      </c>
      <c r="K1933" s="4" cm="1">
        <f t="array" ref="K1933">INDEX(Sheet1!H:H,$G1933)</f>
        <v>1E-3</v>
      </c>
      <c r="L1933" s="4">
        <f t="shared" si="116"/>
        <v>91</v>
      </c>
      <c r="M1933" s="4">
        <f t="shared" si="117"/>
        <v>0</v>
      </c>
    </row>
    <row r="1934" spans="1:13">
      <c r="A1934" s="4" t="str" cm="1">
        <f t="array" ref="A1934">INDEX(Sheet1!A:A,$F1934)</f>
        <v>F</v>
      </c>
      <c r="B1934" s="4" t="str" cm="1">
        <f t="array" ref="B1934">INDEX(Sheet1!B:B,$F1934)</f>
        <v>Non-Pref SM</v>
      </c>
      <c r="C1934" s="4">
        <f t="shared" si="114"/>
        <v>117</v>
      </c>
      <c r="D1934" s="5" cm="1">
        <f t="array" aca="1" ref="D1934" ca="1">OFFSET(INDIRECT("'["&amp;$H1934&amp;"]"&amp;$I1934&amp;"'!"&amp;$J1934),$L1934,$M1934)*$K1934</f>
        <v>0.85059000000000007</v>
      </c>
      <c r="F1934" s="4">
        <f t="shared" si="115"/>
        <v>17</v>
      </c>
      <c r="G1934" s="4" cm="1">
        <f t="array" ref="G1934">IF($C1934&gt;=25,F1934,IF($C1934&lt;16,INDEX(Sheet1!C:C,$F1934),$F1934))</f>
        <v>17</v>
      </c>
      <c r="H1934" s="4" t="str" cm="1">
        <f t="array" ref="H1934">INDEX(Sheet1!D:D,$G1934)</f>
        <v>2001-cso-preferred-class-structure-mortality-tables.xls</v>
      </c>
      <c r="I1934" s="4" t="str" cm="1">
        <f t="array" ref="I1934">INDEX(Sheet1!E:E,$G1934)</f>
        <v>A.1.b.v</v>
      </c>
      <c r="J1934" s="4" t="str" cm="1">
        <f t="array" ref="J1934">IF($C1934&gt;=25,INDEX(Sheet1!G:G,$G1934),INDEX(Sheet1!F:F,$G1934))</f>
        <v>AA8</v>
      </c>
      <c r="K1934" s="4" cm="1">
        <f t="array" ref="K1934">INDEX(Sheet1!H:H,$G1934)</f>
        <v>1E-3</v>
      </c>
      <c r="L1934" s="4">
        <f t="shared" si="116"/>
        <v>92</v>
      </c>
      <c r="M1934" s="4">
        <f t="shared" si="117"/>
        <v>0</v>
      </c>
    </row>
    <row r="1935" spans="1:13">
      <c r="A1935" s="4" t="str" cm="1">
        <f t="array" ref="A1935">INDEX(Sheet1!A:A,$F1935)</f>
        <v>F</v>
      </c>
      <c r="B1935" s="4" t="str" cm="1">
        <f t="array" ref="B1935">INDEX(Sheet1!B:B,$F1935)</f>
        <v>Non-Pref SM</v>
      </c>
      <c r="C1935" s="4">
        <f t="shared" si="114"/>
        <v>118</v>
      </c>
      <c r="D1935" s="5" cm="1">
        <f t="array" aca="1" ref="D1935" ca="1">OFFSET(INDIRECT("'["&amp;$H1935&amp;"]"&amp;$I1935&amp;"'!"&amp;$J1935),$L1935,$M1935)*$K1935</f>
        <v>0.89254</v>
      </c>
      <c r="F1935" s="4">
        <f t="shared" si="115"/>
        <v>17</v>
      </c>
      <c r="G1935" s="4" cm="1">
        <f t="array" ref="G1935">IF($C1935&gt;=25,F1935,IF($C1935&lt;16,INDEX(Sheet1!C:C,$F1935),$F1935))</f>
        <v>17</v>
      </c>
      <c r="H1935" s="4" t="str" cm="1">
        <f t="array" ref="H1935">INDEX(Sheet1!D:D,$G1935)</f>
        <v>2001-cso-preferred-class-structure-mortality-tables.xls</v>
      </c>
      <c r="I1935" s="4" t="str" cm="1">
        <f t="array" ref="I1935">INDEX(Sheet1!E:E,$G1935)</f>
        <v>A.1.b.v</v>
      </c>
      <c r="J1935" s="4" t="str" cm="1">
        <f t="array" ref="J1935">IF($C1935&gt;=25,INDEX(Sheet1!G:G,$G1935),INDEX(Sheet1!F:F,$G1935))</f>
        <v>AA8</v>
      </c>
      <c r="K1935" s="4" cm="1">
        <f t="array" ref="K1935">INDEX(Sheet1!H:H,$G1935)</f>
        <v>1E-3</v>
      </c>
      <c r="L1935" s="4">
        <f t="shared" si="116"/>
        <v>93</v>
      </c>
      <c r="M1935" s="4">
        <f t="shared" si="117"/>
        <v>0</v>
      </c>
    </row>
    <row r="1936" spans="1:13">
      <c r="A1936" s="4" t="str" cm="1">
        <f t="array" ref="A1936">INDEX(Sheet1!A:A,$F1936)</f>
        <v>F</v>
      </c>
      <c r="B1936" s="4" t="str" cm="1">
        <f t="array" ref="B1936">INDEX(Sheet1!B:B,$F1936)</f>
        <v>Non-Pref SM</v>
      </c>
      <c r="C1936" s="4">
        <f t="shared" si="114"/>
        <v>119</v>
      </c>
      <c r="D1936" s="5" cm="1">
        <f t="array" aca="1" ref="D1936" ca="1">OFFSET(INDIRECT("'["&amp;$H1936&amp;"]"&amp;$I1936&amp;"'!"&amp;$J1936),$L1936,$M1936)*$K1936</f>
        <v>0.93515999999999999</v>
      </c>
      <c r="F1936" s="4">
        <f t="shared" si="115"/>
        <v>17</v>
      </c>
      <c r="G1936" s="4" cm="1">
        <f t="array" ref="G1936">IF($C1936&gt;=25,F1936,IF($C1936&lt;16,INDEX(Sheet1!C:C,$F1936),$F1936))</f>
        <v>17</v>
      </c>
      <c r="H1936" s="4" t="str" cm="1">
        <f t="array" ref="H1936">INDEX(Sheet1!D:D,$G1936)</f>
        <v>2001-cso-preferred-class-structure-mortality-tables.xls</v>
      </c>
      <c r="I1936" s="4" t="str" cm="1">
        <f t="array" ref="I1936">INDEX(Sheet1!E:E,$G1936)</f>
        <v>A.1.b.v</v>
      </c>
      <c r="J1936" s="4" t="str" cm="1">
        <f t="array" ref="J1936">IF($C1936&gt;=25,INDEX(Sheet1!G:G,$G1936),INDEX(Sheet1!F:F,$G1936))</f>
        <v>AA8</v>
      </c>
      <c r="K1936" s="4" cm="1">
        <f t="array" ref="K1936">INDEX(Sheet1!H:H,$G1936)</f>
        <v>1E-3</v>
      </c>
      <c r="L1936" s="4">
        <f t="shared" si="116"/>
        <v>94</v>
      </c>
      <c r="M1936" s="4">
        <f t="shared" si="117"/>
        <v>0</v>
      </c>
    </row>
    <row r="1937" spans="1:13">
      <c r="A1937" s="4" t="str" cm="1">
        <f t="array" ref="A1937">INDEX(Sheet1!A:A,$F1937)</f>
        <v>F</v>
      </c>
      <c r="B1937" s="4" t="str" cm="1">
        <f t="array" ref="B1937">INDEX(Sheet1!B:B,$F1937)</f>
        <v>Non-Pref SM</v>
      </c>
      <c r="C1937" s="4">
        <f t="shared" si="114"/>
        <v>120</v>
      </c>
      <c r="D1937" s="5" cm="1">
        <f t="array" aca="1" ref="D1937" ca="1">OFFSET(INDIRECT("'["&amp;$H1937&amp;"]"&amp;$I1937&amp;"'!"&amp;$J1937),$L1937,$M1937)*$K1937</f>
        <v>1</v>
      </c>
      <c r="F1937" s="4">
        <f t="shared" si="115"/>
        <v>17</v>
      </c>
      <c r="G1937" s="4" cm="1">
        <f t="array" ref="G1937">IF($C1937&gt;=25,F1937,IF($C1937&lt;16,INDEX(Sheet1!C:C,$F1937),$F1937))</f>
        <v>17</v>
      </c>
      <c r="H1937" s="4" t="str" cm="1">
        <f t="array" ref="H1937">INDEX(Sheet1!D:D,$G1937)</f>
        <v>2001-cso-preferred-class-structure-mortality-tables.xls</v>
      </c>
      <c r="I1937" s="4" t="str" cm="1">
        <f t="array" ref="I1937">INDEX(Sheet1!E:E,$G1937)</f>
        <v>A.1.b.v</v>
      </c>
      <c r="J1937" s="4" t="str" cm="1">
        <f t="array" ref="J1937">IF($C1937&gt;=25,INDEX(Sheet1!G:G,$G1937),INDEX(Sheet1!F:F,$G1937))</f>
        <v>AA8</v>
      </c>
      <c r="K1937" s="4" cm="1">
        <f t="array" ref="K1937">INDEX(Sheet1!H:H,$G1937)</f>
        <v>1E-3</v>
      </c>
      <c r="L1937" s="4">
        <f t="shared" si="116"/>
        <v>95</v>
      </c>
      <c r="M1937" s="4">
        <f t="shared" si="117"/>
        <v>0</v>
      </c>
    </row>
    <row r="1938" spans="1:13">
      <c r="A1938" s="4" t="str" cm="1">
        <f t="array" ref="A1938">INDEX(Sheet1!A:A,$F1938)</f>
        <v>F</v>
      </c>
      <c r="B1938" s="4" t="str" cm="1">
        <f t="array" ref="B1938">INDEX(Sheet1!B:B,$F1938)</f>
        <v>Undiff SM</v>
      </c>
      <c r="C1938" s="4">
        <f t="shared" si="114"/>
        <v>0</v>
      </c>
      <c r="D1938" s="5" cm="1">
        <f t="array" aca="1" ref="D1938" ca="1">OFFSET(INDIRECT("'["&amp;$H1938&amp;"]"&amp;$I1938&amp;"'!"&amp;$J1938),$L1938,$M1938)*$K1938</f>
        <v>4.8000000000000001E-4</v>
      </c>
      <c r="F1938" s="4">
        <f t="shared" si="115"/>
        <v>18</v>
      </c>
      <c r="G1938" s="4" cm="1">
        <f t="array" ref="G1938">IF($C1938&gt;=25,F1938,IF($C1938&lt;16,INDEX(Sheet1!C:C,$F1938),$F1938))</f>
        <v>19</v>
      </c>
      <c r="H1938" s="4" t="str" cm="1">
        <f t="array" ref="H1938">INDEX(Sheet1!D:D,$G1938)</f>
        <v>t1139.xlsx</v>
      </c>
      <c r="I1938" s="4" t="str" cm="1">
        <f t="array" ref="I1938">INDEX(Sheet1!E:E,$G1938)</f>
        <v>Sheet1</v>
      </c>
      <c r="J1938" s="4" t="str" cm="1">
        <f t="array" ref="J1938">IF($C1938&gt;=25,INDEX(Sheet1!G:G,$G1938),INDEX(Sheet1!F:F,$G1938))</f>
        <v>B25</v>
      </c>
      <c r="K1938" s="4" cm="1">
        <f t="array" ref="K1938">INDEX(Sheet1!H:H,$G1938)</f>
        <v>1</v>
      </c>
      <c r="L1938" s="4">
        <f t="shared" si="116"/>
        <v>0</v>
      </c>
      <c r="M1938" s="4">
        <f t="shared" si="117"/>
        <v>0</v>
      </c>
    </row>
    <row r="1939" spans="1:13">
      <c r="A1939" s="4" t="str" cm="1">
        <f t="array" ref="A1939">INDEX(Sheet1!A:A,$F1939)</f>
        <v>F</v>
      </c>
      <c r="B1939" s="4" t="str" cm="1">
        <f t="array" ref="B1939">INDEX(Sheet1!B:B,$F1939)</f>
        <v>Undiff SM</v>
      </c>
      <c r="C1939" s="4">
        <f t="shared" si="114"/>
        <v>1</v>
      </c>
      <c r="D1939" s="5" cm="1">
        <f t="array" aca="1" ref="D1939" ca="1">OFFSET(INDIRECT("'["&amp;$H1939&amp;"]"&amp;$I1939&amp;"'!"&amp;$J1939),$L1939,$M1939)*$K1939</f>
        <v>3.5E-4</v>
      </c>
      <c r="F1939" s="4">
        <f t="shared" si="115"/>
        <v>18</v>
      </c>
      <c r="G1939" s="4" cm="1">
        <f t="array" ref="G1939">IF($C1939&gt;=25,F1939,IF($C1939&lt;16,INDEX(Sheet1!C:C,$F1939),$F1939))</f>
        <v>19</v>
      </c>
      <c r="H1939" s="4" t="str" cm="1">
        <f t="array" ref="H1939">INDEX(Sheet1!D:D,$G1939)</f>
        <v>t1139.xlsx</v>
      </c>
      <c r="I1939" s="4" t="str" cm="1">
        <f t="array" ref="I1939">INDEX(Sheet1!E:E,$G1939)</f>
        <v>Sheet1</v>
      </c>
      <c r="J1939" s="4" t="str" cm="1">
        <f t="array" ref="J1939">IF($C1939&gt;=25,INDEX(Sheet1!G:G,$G1939),INDEX(Sheet1!F:F,$G1939))</f>
        <v>B25</v>
      </c>
      <c r="K1939" s="4" cm="1">
        <f t="array" ref="K1939">INDEX(Sheet1!H:H,$G1939)</f>
        <v>1</v>
      </c>
      <c r="L1939" s="4">
        <f t="shared" si="116"/>
        <v>0</v>
      </c>
      <c r="M1939" s="4">
        <f t="shared" si="117"/>
        <v>1</v>
      </c>
    </row>
    <row r="1940" spans="1:13">
      <c r="A1940" s="4" t="str" cm="1">
        <f t="array" ref="A1940">INDEX(Sheet1!A:A,$F1940)</f>
        <v>F</v>
      </c>
      <c r="B1940" s="4" t="str" cm="1">
        <f t="array" ref="B1940">INDEX(Sheet1!B:B,$F1940)</f>
        <v>Undiff SM</v>
      </c>
      <c r="C1940" s="4">
        <f t="shared" si="114"/>
        <v>2</v>
      </c>
      <c r="D1940" s="5" cm="1">
        <f t="array" aca="1" ref="D1940" ca="1">OFFSET(INDIRECT("'["&amp;$H1940&amp;"]"&amp;$I1940&amp;"'!"&amp;$J1940),$L1940,$M1940)*$K1940</f>
        <v>2.5999999999999998E-4</v>
      </c>
      <c r="F1940" s="4">
        <f t="shared" si="115"/>
        <v>18</v>
      </c>
      <c r="G1940" s="4" cm="1">
        <f t="array" ref="G1940">IF($C1940&gt;=25,F1940,IF($C1940&lt;16,INDEX(Sheet1!C:C,$F1940),$F1940))</f>
        <v>19</v>
      </c>
      <c r="H1940" s="4" t="str" cm="1">
        <f t="array" ref="H1940">INDEX(Sheet1!D:D,$G1940)</f>
        <v>t1139.xlsx</v>
      </c>
      <c r="I1940" s="4" t="str" cm="1">
        <f t="array" ref="I1940">INDEX(Sheet1!E:E,$G1940)</f>
        <v>Sheet1</v>
      </c>
      <c r="J1940" s="4" t="str" cm="1">
        <f t="array" ref="J1940">IF($C1940&gt;=25,INDEX(Sheet1!G:G,$G1940),INDEX(Sheet1!F:F,$G1940))</f>
        <v>B25</v>
      </c>
      <c r="K1940" s="4" cm="1">
        <f t="array" ref="K1940">INDEX(Sheet1!H:H,$G1940)</f>
        <v>1</v>
      </c>
      <c r="L1940" s="4">
        <f t="shared" si="116"/>
        <v>0</v>
      </c>
      <c r="M1940" s="4">
        <f t="shared" si="117"/>
        <v>2</v>
      </c>
    </row>
    <row r="1941" spans="1:13">
      <c r="A1941" s="4" t="str" cm="1">
        <f t="array" ref="A1941">INDEX(Sheet1!A:A,$F1941)</f>
        <v>F</v>
      </c>
      <c r="B1941" s="4" t="str" cm="1">
        <f t="array" ref="B1941">INDEX(Sheet1!B:B,$F1941)</f>
        <v>Undiff SM</v>
      </c>
      <c r="C1941" s="4">
        <f t="shared" si="114"/>
        <v>3</v>
      </c>
      <c r="D1941" s="5" cm="1">
        <f t="array" aca="1" ref="D1941" ca="1">OFFSET(INDIRECT("'["&amp;$H1941&amp;"]"&amp;$I1941&amp;"'!"&amp;$J1941),$L1941,$M1941)*$K1941</f>
        <v>2.0000000000000001E-4</v>
      </c>
      <c r="F1941" s="4">
        <f t="shared" si="115"/>
        <v>18</v>
      </c>
      <c r="G1941" s="4" cm="1">
        <f t="array" ref="G1941">IF($C1941&gt;=25,F1941,IF($C1941&lt;16,INDEX(Sheet1!C:C,$F1941),$F1941))</f>
        <v>19</v>
      </c>
      <c r="H1941" s="4" t="str" cm="1">
        <f t="array" ref="H1941">INDEX(Sheet1!D:D,$G1941)</f>
        <v>t1139.xlsx</v>
      </c>
      <c r="I1941" s="4" t="str" cm="1">
        <f t="array" ref="I1941">INDEX(Sheet1!E:E,$G1941)</f>
        <v>Sheet1</v>
      </c>
      <c r="J1941" s="4" t="str" cm="1">
        <f t="array" ref="J1941">IF($C1941&gt;=25,INDEX(Sheet1!G:G,$G1941),INDEX(Sheet1!F:F,$G1941))</f>
        <v>B25</v>
      </c>
      <c r="K1941" s="4" cm="1">
        <f t="array" ref="K1941">INDEX(Sheet1!H:H,$G1941)</f>
        <v>1</v>
      </c>
      <c r="L1941" s="4">
        <f t="shared" si="116"/>
        <v>0</v>
      </c>
      <c r="M1941" s="4">
        <f t="shared" si="117"/>
        <v>3</v>
      </c>
    </row>
    <row r="1942" spans="1:13">
      <c r="A1942" s="4" t="str" cm="1">
        <f t="array" ref="A1942">INDEX(Sheet1!A:A,$F1942)</f>
        <v>F</v>
      </c>
      <c r="B1942" s="4" t="str" cm="1">
        <f t="array" ref="B1942">INDEX(Sheet1!B:B,$F1942)</f>
        <v>Undiff SM</v>
      </c>
      <c r="C1942" s="4">
        <f t="shared" si="114"/>
        <v>4</v>
      </c>
      <c r="D1942" s="5" cm="1">
        <f t="array" aca="1" ref="D1942" ca="1">OFFSET(INDIRECT("'["&amp;$H1942&amp;"]"&amp;$I1942&amp;"'!"&amp;$J1942),$L1942,$M1942)*$K1942</f>
        <v>1.9000000000000001E-4</v>
      </c>
      <c r="F1942" s="4">
        <f t="shared" si="115"/>
        <v>18</v>
      </c>
      <c r="G1942" s="4" cm="1">
        <f t="array" ref="G1942">IF($C1942&gt;=25,F1942,IF($C1942&lt;16,INDEX(Sheet1!C:C,$F1942),$F1942))</f>
        <v>19</v>
      </c>
      <c r="H1942" s="4" t="str" cm="1">
        <f t="array" ref="H1942">INDEX(Sheet1!D:D,$G1942)</f>
        <v>t1139.xlsx</v>
      </c>
      <c r="I1942" s="4" t="str" cm="1">
        <f t="array" ref="I1942">INDEX(Sheet1!E:E,$G1942)</f>
        <v>Sheet1</v>
      </c>
      <c r="J1942" s="4" t="str" cm="1">
        <f t="array" ref="J1942">IF($C1942&gt;=25,INDEX(Sheet1!G:G,$G1942),INDEX(Sheet1!F:F,$G1942))</f>
        <v>B25</v>
      </c>
      <c r="K1942" s="4" cm="1">
        <f t="array" ref="K1942">INDEX(Sheet1!H:H,$G1942)</f>
        <v>1</v>
      </c>
      <c r="L1942" s="4">
        <f t="shared" si="116"/>
        <v>0</v>
      </c>
      <c r="M1942" s="4">
        <f t="shared" si="117"/>
        <v>4</v>
      </c>
    </row>
    <row r="1943" spans="1:13">
      <c r="A1943" s="4" t="str" cm="1">
        <f t="array" ref="A1943">INDEX(Sheet1!A:A,$F1943)</f>
        <v>F</v>
      </c>
      <c r="B1943" s="4" t="str" cm="1">
        <f t="array" ref="B1943">INDEX(Sheet1!B:B,$F1943)</f>
        <v>Undiff SM</v>
      </c>
      <c r="C1943" s="4">
        <f t="shared" si="114"/>
        <v>5</v>
      </c>
      <c r="D1943" s="5" cm="1">
        <f t="array" aca="1" ref="D1943" ca="1">OFFSET(INDIRECT("'["&amp;$H1943&amp;"]"&amp;$I1943&amp;"'!"&amp;$J1943),$L1943,$M1943)*$K1943</f>
        <v>1.8000000000000001E-4</v>
      </c>
      <c r="F1943" s="4">
        <f t="shared" si="115"/>
        <v>18</v>
      </c>
      <c r="G1943" s="4" cm="1">
        <f t="array" ref="G1943">IF($C1943&gt;=25,F1943,IF($C1943&lt;16,INDEX(Sheet1!C:C,$F1943),$F1943))</f>
        <v>19</v>
      </c>
      <c r="H1943" s="4" t="str" cm="1">
        <f t="array" ref="H1943">INDEX(Sheet1!D:D,$G1943)</f>
        <v>t1139.xlsx</v>
      </c>
      <c r="I1943" s="4" t="str" cm="1">
        <f t="array" ref="I1943">INDEX(Sheet1!E:E,$G1943)</f>
        <v>Sheet1</v>
      </c>
      <c r="J1943" s="4" t="str" cm="1">
        <f t="array" ref="J1943">IF($C1943&gt;=25,INDEX(Sheet1!G:G,$G1943),INDEX(Sheet1!F:F,$G1943))</f>
        <v>B25</v>
      </c>
      <c r="K1943" s="4" cm="1">
        <f t="array" ref="K1943">INDEX(Sheet1!H:H,$G1943)</f>
        <v>1</v>
      </c>
      <c r="L1943" s="4">
        <f t="shared" si="116"/>
        <v>0</v>
      </c>
      <c r="M1943" s="4">
        <f t="shared" si="117"/>
        <v>5</v>
      </c>
    </row>
    <row r="1944" spans="1:13">
      <c r="A1944" s="4" t="str" cm="1">
        <f t="array" ref="A1944">INDEX(Sheet1!A:A,$F1944)</f>
        <v>F</v>
      </c>
      <c r="B1944" s="4" t="str" cm="1">
        <f t="array" ref="B1944">INDEX(Sheet1!B:B,$F1944)</f>
        <v>Undiff SM</v>
      </c>
      <c r="C1944" s="4">
        <f t="shared" si="114"/>
        <v>6</v>
      </c>
      <c r="D1944" s="5" cm="1">
        <f t="array" aca="1" ref="D1944" ca="1">OFFSET(INDIRECT("'["&amp;$H1944&amp;"]"&amp;$I1944&amp;"'!"&amp;$J1944),$L1944,$M1944)*$K1944</f>
        <v>1.8000000000000001E-4</v>
      </c>
      <c r="F1944" s="4">
        <f t="shared" si="115"/>
        <v>18</v>
      </c>
      <c r="G1944" s="4" cm="1">
        <f t="array" ref="G1944">IF($C1944&gt;=25,F1944,IF($C1944&lt;16,INDEX(Sheet1!C:C,$F1944),$F1944))</f>
        <v>19</v>
      </c>
      <c r="H1944" s="4" t="str" cm="1">
        <f t="array" ref="H1944">INDEX(Sheet1!D:D,$G1944)</f>
        <v>t1139.xlsx</v>
      </c>
      <c r="I1944" s="4" t="str" cm="1">
        <f t="array" ref="I1944">INDEX(Sheet1!E:E,$G1944)</f>
        <v>Sheet1</v>
      </c>
      <c r="J1944" s="4" t="str" cm="1">
        <f t="array" ref="J1944">IF($C1944&gt;=25,INDEX(Sheet1!G:G,$G1944),INDEX(Sheet1!F:F,$G1944))</f>
        <v>B25</v>
      </c>
      <c r="K1944" s="4" cm="1">
        <f t="array" ref="K1944">INDEX(Sheet1!H:H,$G1944)</f>
        <v>1</v>
      </c>
      <c r="L1944" s="4">
        <f t="shared" si="116"/>
        <v>0</v>
      </c>
      <c r="M1944" s="4">
        <f t="shared" si="117"/>
        <v>6</v>
      </c>
    </row>
    <row r="1945" spans="1:13">
      <c r="A1945" s="4" t="str" cm="1">
        <f t="array" ref="A1945">INDEX(Sheet1!A:A,$F1945)</f>
        <v>F</v>
      </c>
      <c r="B1945" s="4" t="str" cm="1">
        <f t="array" ref="B1945">INDEX(Sheet1!B:B,$F1945)</f>
        <v>Undiff SM</v>
      </c>
      <c r="C1945" s="4">
        <f t="shared" si="114"/>
        <v>7</v>
      </c>
      <c r="D1945" s="5" cm="1">
        <f t="array" aca="1" ref="D1945" ca="1">OFFSET(INDIRECT("'["&amp;$H1945&amp;"]"&amp;$I1945&amp;"'!"&amp;$J1945),$L1945,$M1945)*$K1945</f>
        <v>2.1000000000000001E-4</v>
      </c>
      <c r="F1945" s="4">
        <f t="shared" si="115"/>
        <v>18</v>
      </c>
      <c r="G1945" s="4" cm="1">
        <f t="array" ref="G1945">IF($C1945&gt;=25,F1945,IF($C1945&lt;16,INDEX(Sheet1!C:C,$F1945),$F1945))</f>
        <v>19</v>
      </c>
      <c r="H1945" s="4" t="str" cm="1">
        <f t="array" ref="H1945">INDEX(Sheet1!D:D,$G1945)</f>
        <v>t1139.xlsx</v>
      </c>
      <c r="I1945" s="4" t="str" cm="1">
        <f t="array" ref="I1945">INDEX(Sheet1!E:E,$G1945)</f>
        <v>Sheet1</v>
      </c>
      <c r="J1945" s="4" t="str" cm="1">
        <f t="array" ref="J1945">IF($C1945&gt;=25,INDEX(Sheet1!G:G,$G1945),INDEX(Sheet1!F:F,$G1945))</f>
        <v>B25</v>
      </c>
      <c r="K1945" s="4" cm="1">
        <f t="array" ref="K1945">INDEX(Sheet1!H:H,$G1945)</f>
        <v>1</v>
      </c>
      <c r="L1945" s="4">
        <f t="shared" si="116"/>
        <v>0</v>
      </c>
      <c r="M1945" s="4">
        <f t="shared" si="117"/>
        <v>7</v>
      </c>
    </row>
    <row r="1946" spans="1:13">
      <c r="A1946" s="4" t="str" cm="1">
        <f t="array" ref="A1946">INDEX(Sheet1!A:A,$F1946)</f>
        <v>F</v>
      </c>
      <c r="B1946" s="4" t="str" cm="1">
        <f t="array" ref="B1946">INDEX(Sheet1!B:B,$F1946)</f>
        <v>Undiff SM</v>
      </c>
      <c r="C1946" s="4">
        <f t="shared" si="114"/>
        <v>8</v>
      </c>
      <c r="D1946" s="5" cm="1">
        <f t="array" aca="1" ref="D1946" ca="1">OFFSET(INDIRECT("'["&amp;$H1946&amp;"]"&amp;$I1946&amp;"'!"&amp;$J1946),$L1946,$M1946)*$K1946</f>
        <v>2.1000000000000001E-4</v>
      </c>
      <c r="F1946" s="4">
        <f t="shared" si="115"/>
        <v>18</v>
      </c>
      <c r="G1946" s="4" cm="1">
        <f t="array" ref="G1946">IF($C1946&gt;=25,F1946,IF($C1946&lt;16,INDEX(Sheet1!C:C,$F1946),$F1946))</f>
        <v>19</v>
      </c>
      <c r="H1946" s="4" t="str" cm="1">
        <f t="array" ref="H1946">INDEX(Sheet1!D:D,$G1946)</f>
        <v>t1139.xlsx</v>
      </c>
      <c r="I1946" s="4" t="str" cm="1">
        <f t="array" ref="I1946">INDEX(Sheet1!E:E,$G1946)</f>
        <v>Sheet1</v>
      </c>
      <c r="J1946" s="4" t="str" cm="1">
        <f t="array" ref="J1946">IF($C1946&gt;=25,INDEX(Sheet1!G:G,$G1946),INDEX(Sheet1!F:F,$G1946))</f>
        <v>B25</v>
      </c>
      <c r="K1946" s="4" cm="1">
        <f t="array" ref="K1946">INDEX(Sheet1!H:H,$G1946)</f>
        <v>1</v>
      </c>
      <c r="L1946" s="4">
        <f t="shared" si="116"/>
        <v>0</v>
      </c>
      <c r="M1946" s="4">
        <f t="shared" si="117"/>
        <v>8</v>
      </c>
    </row>
    <row r="1947" spans="1:13">
      <c r="A1947" s="4" t="str" cm="1">
        <f t="array" ref="A1947">INDEX(Sheet1!A:A,$F1947)</f>
        <v>F</v>
      </c>
      <c r="B1947" s="4" t="str" cm="1">
        <f t="array" ref="B1947">INDEX(Sheet1!B:B,$F1947)</f>
        <v>Undiff SM</v>
      </c>
      <c r="C1947" s="4">
        <f t="shared" si="114"/>
        <v>9</v>
      </c>
      <c r="D1947" s="5" cm="1">
        <f t="array" aca="1" ref="D1947" ca="1">OFFSET(INDIRECT("'["&amp;$H1947&amp;"]"&amp;$I1947&amp;"'!"&amp;$J1947),$L1947,$M1947)*$K1947</f>
        <v>2.1000000000000001E-4</v>
      </c>
      <c r="F1947" s="4">
        <f t="shared" si="115"/>
        <v>18</v>
      </c>
      <c r="G1947" s="4" cm="1">
        <f t="array" ref="G1947">IF($C1947&gt;=25,F1947,IF($C1947&lt;16,INDEX(Sheet1!C:C,$F1947),$F1947))</f>
        <v>19</v>
      </c>
      <c r="H1947" s="4" t="str" cm="1">
        <f t="array" ref="H1947">INDEX(Sheet1!D:D,$G1947)</f>
        <v>t1139.xlsx</v>
      </c>
      <c r="I1947" s="4" t="str" cm="1">
        <f t="array" ref="I1947">INDEX(Sheet1!E:E,$G1947)</f>
        <v>Sheet1</v>
      </c>
      <c r="J1947" s="4" t="str" cm="1">
        <f t="array" ref="J1947">IF($C1947&gt;=25,INDEX(Sheet1!G:G,$G1947),INDEX(Sheet1!F:F,$G1947))</f>
        <v>B25</v>
      </c>
      <c r="K1947" s="4" cm="1">
        <f t="array" ref="K1947">INDEX(Sheet1!H:H,$G1947)</f>
        <v>1</v>
      </c>
      <c r="L1947" s="4">
        <f t="shared" si="116"/>
        <v>0</v>
      </c>
      <c r="M1947" s="4">
        <f t="shared" si="117"/>
        <v>9</v>
      </c>
    </row>
    <row r="1948" spans="1:13">
      <c r="A1948" s="4" t="str" cm="1">
        <f t="array" ref="A1948">INDEX(Sheet1!A:A,$F1948)</f>
        <v>F</v>
      </c>
      <c r="B1948" s="4" t="str" cm="1">
        <f t="array" ref="B1948">INDEX(Sheet1!B:B,$F1948)</f>
        <v>Undiff SM</v>
      </c>
      <c r="C1948" s="4">
        <f t="shared" si="114"/>
        <v>10</v>
      </c>
      <c r="D1948" s="5" cm="1">
        <f t="array" aca="1" ref="D1948" ca="1">OFFSET(INDIRECT("'["&amp;$H1948&amp;"]"&amp;$I1948&amp;"'!"&amp;$J1948),$L1948,$M1948)*$K1948</f>
        <v>2.2000000000000001E-4</v>
      </c>
      <c r="F1948" s="4">
        <f t="shared" si="115"/>
        <v>18</v>
      </c>
      <c r="G1948" s="4" cm="1">
        <f t="array" ref="G1948">IF($C1948&gt;=25,F1948,IF($C1948&lt;16,INDEX(Sheet1!C:C,$F1948),$F1948))</f>
        <v>19</v>
      </c>
      <c r="H1948" s="4" t="str" cm="1">
        <f t="array" ref="H1948">INDEX(Sheet1!D:D,$G1948)</f>
        <v>t1139.xlsx</v>
      </c>
      <c r="I1948" s="4" t="str" cm="1">
        <f t="array" ref="I1948">INDEX(Sheet1!E:E,$G1948)</f>
        <v>Sheet1</v>
      </c>
      <c r="J1948" s="4" t="str" cm="1">
        <f t="array" ref="J1948">IF($C1948&gt;=25,INDEX(Sheet1!G:G,$G1948),INDEX(Sheet1!F:F,$G1948))</f>
        <v>B25</v>
      </c>
      <c r="K1948" s="4" cm="1">
        <f t="array" ref="K1948">INDEX(Sheet1!H:H,$G1948)</f>
        <v>1</v>
      </c>
      <c r="L1948" s="4">
        <f t="shared" si="116"/>
        <v>0</v>
      </c>
      <c r="M1948" s="4">
        <f t="shared" si="117"/>
        <v>10</v>
      </c>
    </row>
    <row r="1949" spans="1:13">
      <c r="A1949" s="4" t="str" cm="1">
        <f t="array" ref="A1949">INDEX(Sheet1!A:A,$F1949)</f>
        <v>F</v>
      </c>
      <c r="B1949" s="4" t="str" cm="1">
        <f t="array" ref="B1949">INDEX(Sheet1!B:B,$F1949)</f>
        <v>Undiff SM</v>
      </c>
      <c r="C1949" s="4">
        <f t="shared" si="114"/>
        <v>11</v>
      </c>
      <c r="D1949" s="5" cm="1">
        <f t="array" aca="1" ref="D1949" ca="1">OFFSET(INDIRECT("'["&amp;$H1949&amp;"]"&amp;$I1949&amp;"'!"&amp;$J1949),$L1949,$M1949)*$K1949</f>
        <v>2.3000000000000001E-4</v>
      </c>
      <c r="F1949" s="4">
        <f t="shared" si="115"/>
        <v>18</v>
      </c>
      <c r="G1949" s="4" cm="1">
        <f t="array" ref="G1949">IF($C1949&gt;=25,F1949,IF($C1949&lt;16,INDEX(Sheet1!C:C,$F1949),$F1949))</f>
        <v>19</v>
      </c>
      <c r="H1949" s="4" t="str" cm="1">
        <f t="array" ref="H1949">INDEX(Sheet1!D:D,$G1949)</f>
        <v>t1139.xlsx</v>
      </c>
      <c r="I1949" s="4" t="str" cm="1">
        <f t="array" ref="I1949">INDEX(Sheet1!E:E,$G1949)</f>
        <v>Sheet1</v>
      </c>
      <c r="J1949" s="4" t="str" cm="1">
        <f t="array" ref="J1949">IF($C1949&gt;=25,INDEX(Sheet1!G:G,$G1949),INDEX(Sheet1!F:F,$G1949))</f>
        <v>B25</v>
      </c>
      <c r="K1949" s="4" cm="1">
        <f t="array" ref="K1949">INDEX(Sheet1!H:H,$G1949)</f>
        <v>1</v>
      </c>
      <c r="L1949" s="4">
        <f t="shared" si="116"/>
        <v>0</v>
      </c>
      <c r="M1949" s="4">
        <f t="shared" si="117"/>
        <v>11</v>
      </c>
    </row>
    <row r="1950" spans="1:13">
      <c r="A1950" s="4" t="str" cm="1">
        <f t="array" ref="A1950">INDEX(Sheet1!A:A,$F1950)</f>
        <v>F</v>
      </c>
      <c r="B1950" s="4" t="str" cm="1">
        <f t="array" ref="B1950">INDEX(Sheet1!B:B,$F1950)</f>
        <v>Undiff SM</v>
      </c>
      <c r="C1950" s="4">
        <f t="shared" si="114"/>
        <v>12</v>
      </c>
      <c r="D1950" s="5" cm="1">
        <f t="array" aca="1" ref="D1950" ca="1">OFFSET(INDIRECT("'["&amp;$H1950&amp;"]"&amp;$I1950&amp;"'!"&amp;$J1950),$L1950,$M1950)*$K1950</f>
        <v>2.7E-4</v>
      </c>
      <c r="F1950" s="4">
        <f t="shared" si="115"/>
        <v>18</v>
      </c>
      <c r="G1950" s="4" cm="1">
        <f t="array" ref="G1950">IF($C1950&gt;=25,F1950,IF($C1950&lt;16,INDEX(Sheet1!C:C,$F1950),$F1950))</f>
        <v>19</v>
      </c>
      <c r="H1950" s="4" t="str" cm="1">
        <f t="array" ref="H1950">INDEX(Sheet1!D:D,$G1950)</f>
        <v>t1139.xlsx</v>
      </c>
      <c r="I1950" s="4" t="str" cm="1">
        <f t="array" ref="I1950">INDEX(Sheet1!E:E,$G1950)</f>
        <v>Sheet1</v>
      </c>
      <c r="J1950" s="4" t="str" cm="1">
        <f t="array" ref="J1950">IF($C1950&gt;=25,INDEX(Sheet1!G:G,$G1950),INDEX(Sheet1!F:F,$G1950))</f>
        <v>B25</v>
      </c>
      <c r="K1950" s="4" cm="1">
        <f t="array" ref="K1950">INDEX(Sheet1!H:H,$G1950)</f>
        <v>1</v>
      </c>
      <c r="L1950" s="4">
        <f t="shared" si="116"/>
        <v>0</v>
      </c>
      <c r="M1950" s="4">
        <f t="shared" si="117"/>
        <v>12</v>
      </c>
    </row>
    <row r="1951" spans="1:13">
      <c r="A1951" s="4" t="str" cm="1">
        <f t="array" ref="A1951">INDEX(Sheet1!A:A,$F1951)</f>
        <v>F</v>
      </c>
      <c r="B1951" s="4" t="str" cm="1">
        <f t="array" ref="B1951">INDEX(Sheet1!B:B,$F1951)</f>
        <v>Undiff SM</v>
      </c>
      <c r="C1951" s="4">
        <f t="shared" si="114"/>
        <v>13</v>
      </c>
      <c r="D1951" s="5" cm="1">
        <f t="array" aca="1" ref="D1951" ca="1">OFFSET(INDIRECT("'["&amp;$H1951&amp;"]"&amp;$I1951&amp;"'!"&amp;$J1951),$L1951,$M1951)*$K1951</f>
        <v>2.9999999999999997E-4</v>
      </c>
      <c r="F1951" s="4">
        <f t="shared" si="115"/>
        <v>18</v>
      </c>
      <c r="G1951" s="4" cm="1">
        <f t="array" ref="G1951">IF($C1951&gt;=25,F1951,IF($C1951&lt;16,INDEX(Sheet1!C:C,$F1951),$F1951))</f>
        <v>19</v>
      </c>
      <c r="H1951" s="4" t="str" cm="1">
        <f t="array" ref="H1951">INDEX(Sheet1!D:D,$G1951)</f>
        <v>t1139.xlsx</v>
      </c>
      <c r="I1951" s="4" t="str" cm="1">
        <f t="array" ref="I1951">INDEX(Sheet1!E:E,$G1951)</f>
        <v>Sheet1</v>
      </c>
      <c r="J1951" s="4" t="str" cm="1">
        <f t="array" ref="J1951">IF($C1951&gt;=25,INDEX(Sheet1!G:G,$G1951),INDEX(Sheet1!F:F,$G1951))</f>
        <v>B25</v>
      </c>
      <c r="K1951" s="4" cm="1">
        <f t="array" ref="K1951">INDEX(Sheet1!H:H,$G1951)</f>
        <v>1</v>
      </c>
      <c r="L1951" s="4">
        <f t="shared" si="116"/>
        <v>0</v>
      </c>
      <c r="M1951" s="4">
        <f t="shared" si="117"/>
        <v>13</v>
      </c>
    </row>
    <row r="1952" spans="1:13">
      <c r="A1952" s="4" t="str" cm="1">
        <f t="array" ref="A1952">INDEX(Sheet1!A:A,$F1952)</f>
        <v>F</v>
      </c>
      <c r="B1952" s="4" t="str" cm="1">
        <f t="array" ref="B1952">INDEX(Sheet1!B:B,$F1952)</f>
        <v>Undiff SM</v>
      </c>
      <c r="C1952" s="4">
        <f t="shared" si="114"/>
        <v>14</v>
      </c>
      <c r="D1952" s="5" cm="1">
        <f t="array" aca="1" ref="D1952" ca="1">OFFSET(INDIRECT("'["&amp;$H1952&amp;"]"&amp;$I1952&amp;"'!"&amp;$J1952),$L1952,$M1952)*$K1952</f>
        <v>3.3E-4</v>
      </c>
      <c r="F1952" s="4">
        <f t="shared" si="115"/>
        <v>18</v>
      </c>
      <c r="G1952" s="4" cm="1">
        <f t="array" ref="G1952">IF($C1952&gt;=25,F1952,IF($C1952&lt;16,INDEX(Sheet1!C:C,$F1952),$F1952))</f>
        <v>19</v>
      </c>
      <c r="H1952" s="4" t="str" cm="1">
        <f t="array" ref="H1952">INDEX(Sheet1!D:D,$G1952)</f>
        <v>t1139.xlsx</v>
      </c>
      <c r="I1952" s="4" t="str" cm="1">
        <f t="array" ref="I1952">INDEX(Sheet1!E:E,$G1952)</f>
        <v>Sheet1</v>
      </c>
      <c r="J1952" s="4" t="str" cm="1">
        <f t="array" ref="J1952">IF($C1952&gt;=25,INDEX(Sheet1!G:G,$G1952),INDEX(Sheet1!F:F,$G1952))</f>
        <v>B25</v>
      </c>
      <c r="K1952" s="4" cm="1">
        <f t="array" ref="K1952">INDEX(Sheet1!H:H,$G1952)</f>
        <v>1</v>
      </c>
      <c r="L1952" s="4">
        <f t="shared" si="116"/>
        <v>0</v>
      </c>
      <c r="M1952" s="4">
        <f t="shared" si="117"/>
        <v>14</v>
      </c>
    </row>
    <row r="1953" spans="1:13">
      <c r="A1953" s="4" t="str" cm="1">
        <f t="array" ref="A1953">INDEX(Sheet1!A:A,$F1953)</f>
        <v>F</v>
      </c>
      <c r="B1953" s="4" t="str" cm="1">
        <f t="array" ref="B1953">INDEX(Sheet1!B:B,$F1953)</f>
        <v>Undiff SM</v>
      </c>
      <c r="C1953" s="4">
        <f t="shared" si="114"/>
        <v>15</v>
      </c>
      <c r="D1953" s="5" cm="1">
        <f t="array" aca="1" ref="D1953" ca="1">OFFSET(INDIRECT("'["&amp;$H1953&amp;"]"&amp;$I1953&amp;"'!"&amp;$J1953),$L1953,$M1953)*$K1953</f>
        <v>3.5E-4</v>
      </c>
      <c r="F1953" s="4">
        <f t="shared" si="115"/>
        <v>18</v>
      </c>
      <c r="G1953" s="4" cm="1">
        <f t="array" ref="G1953">IF($C1953&gt;=25,F1953,IF($C1953&lt;16,INDEX(Sheet1!C:C,$F1953),$F1953))</f>
        <v>19</v>
      </c>
      <c r="H1953" s="4" t="str" cm="1">
        <f t="array" ref="H1953">INDEX(Sheet1!D:D,$G1953)</f>
        <v>t1139.xlsx</v>
      </c>
      <c r="I1953" s="4" t="str" cm="1">
        <f t="array" ref="I1953">INDEX(Sheet1!E:E,$G1953)</f>
        <v>Sheet1</v>
      </c>
      <c r="J1953" s="4" t="str" cm="1">
        <f t="array" ref="J1953">IF($C1953&gt;=25,INDEX(Sheet1!G:G,$G1953),INDEX(Sheet1!F:F,$G1953))</f>
        <v>B25</v>
      </c>
      <c r="K1953" s="4" cm="1">
        <f t="array" ref="K1953">INDEX(Sheet1!H:H,$G1953)</f>
        <v>1</v>
      </c>
      <c r="L1953" s="4">
        <f t="shared" si="116"/>
        <v>0</v>
      </c>
      <c r="M1953" s="4">
        <f t="shared" si="117"/>
        <v>15</v>
      </c>
    </row>
    <row r="1954" spans="1:13">
      <c r="A1954" s="4" t="str" cm="1">
        <f t="array" ref="A1954">INDEX(Sheet1!A:A,$F1954)</f>
        <v>F</v>
      </c>
      <c r="B1954" s="4" t="str" cm="1">
        <f t="array" ref="B1954">INDEX(Sheet1!B:B,$F1954)</f>
        <v>Undiff SM</v>
      </c>
      <c r="C1954" s="4">
        <f t="shared" si="114"/>
        <v>16</v>
      </c>
      <c r="D1954" s="5" cm="1">
        <f t="array" aca="1" ref="D1954" ca="1">OFFSET(INDIRECT("'["&amp;$H1954&amp;"]"&amp;$I1954&amp;"'!"&amp;$J1954),$L1954,$M1954)*$K1954</f>
        <v>4.0999999999999999E-4</v>
      </c>
      <c r="F1954" s="4">
        <f t="shared" si="115"/>
        <v>18</v>
      </c>
      <c r="G1954" s="4" cm="1">
        <f t="array" ref="G1954">IF($C1954&gt;=25,F1954,IF($C1954&lt;16,INDEX(Sheet1!C:C,$F1954),$F1954))</f>
        <v>18</v>
      </c>
      <c r="H1954" s="4" t="str" cm="1">
        <f t="array" ref="H1954">INDEX(Sheet1!D:D,$G1954)</f>
        <v>t1141.xlsx</v>
      </c>
      <c r="I1954" s="4" t="str" cm="1">
        <f t="array" ref="I1954">INDEX(Sheet1!E:E,$G1954)</f>
        <v>Sheet1</v>
      </c>
      <c r="J1954" s="4" t="str" cm="1">
        <f t="array" ref="J1954">IF($C1954&gt;=25,INDEX(Sheet1!G:G,$G1954),INDEX(Sheet1!F:F,$G1954))</f>
        <v>B25</v>
      </c>
      <c r="K1954" s="4" cm="1">
        <f t="array" ref="K1954">INDEX(Sheet1!H:H,$G1954)</f>
        <v>1</v>
      </c>
      <c r="L1954" s="4">
        <f t="shared" si="116"/>
        <v>0</v>
      </c>
      <c r="M1954" s="4">
        <f t="shared" si="117"/>
        <v>16</v>
      </c>
    </row>
    <row r="1955" spans="1:13">
      <c r="A1955" s="4" t="str" cm="1">
        <f t="array" ref="A1955">INDEX(Sheet1!A:A,$F1955)</f>
        <v>F</v>
      </c>
      <c r="B1955" s="4" t="str" cm="1">
        <f t="array" ref="B1955">INDEX(Sheet1!B:B,$F1955)</f>
        <v>Undiff SM</v>
      </c>
      <c r="C1955" s="4">
        <f t="shared" si="114"/>
        <v>17</v>
      </c>
      <c r="D1955" s="5" cm="1">
        <f t="array" aca="1" ref="D1955" ca="1">OFFSET(INDIRECT("'["&amp;$H1955&amp;"]"&amp;$I1955&amp;"'!"&amp;$J1955),$L1955,$M1955)*$K1955</f>
        <v>4.6000000000000001E-4</v>
      </c>
      <c r="F1955" s="4">
        <f t="shared" si="115"/>
        <v>18</v>
      </c>
      <c r="G1955" s="4" cm="1">
        <f t="array" ref="G1955">IF($C1955&gt;=25,F1955,IF($C1955&lt;16,INDEX(Sheet1!C:C,$F1955),$F1955))</f>
        <v>18</v>
      </c>
      <c r="H1955" s="4" t="str" cm="1">
        <f t="array" ref="H1955">INDEX(Sheet1!D:D,$G1955)</f>
        <v>t1141.xlsx</v>
      </c>
      <c r="I1955" s="4" t="str" cm="1">
        <f t="array" ref="I1955">INDEX(Sheet1!E:E,$G1955)</f>
        <v>Sheet1</v>
      </c>
      <c r="J1955" s="4" t="str" cm="1">
        <f t="array" ref="J1955">IF($C1955&gt;=25,INDEX(Sheet1!G:G,$G1955),INDEX(Sheet1!F:F,$G1955))</f>
        <v>B25</v>
      </c>
      <c r="K1955" s="4" cm="1">
        <f t="array" ref="K1955">INDEX(Sheet1!H:H,$G1955)</f>
        <v>1</v>
      </c>
      <c r="L1955" s="4">
        <f t="shared" si="116"/>
        <v>0</v>
      </c>
      <c r="M1955" s="4">
        <f t="shared" si="117"/>
        <v>17</v>
      </c>
    </row>
    <row r="1956" spans="1:13">
      <c r="A1956" s="4" t="str" cm="1">
        <f t="array" ref="A1956">INDEX(Sheet1!A:A,$F1956)</f>
        <v>F</v>
      </c>
      <c r="B1956" s="4" t="str" cm="1">
        <f t="array" ref="B1956">INDEX(Sheet1!B:B,$F1956)</f>
        <v>Undiff SM</v>
      </c>
      <c r="C1956" s="4">
        <f t="shared" si="114"/>
        <v>18</v>
      </c>
      <c r="D1956" s="5" cm="1">
        <f t="array" aca="1" ref="D1956" ca="1">OFFSET(INDIRECT("'["&amp;$H1956&amp;"]"&amp;$I1956&amp;"'!"&amp;$J1956),$L1956,$M1956)*$K1956</f>
        <v>5.0000000000000001E-4</v>
      </c>
      <c r="F1956" s="4">
        <f t="shared" si="115"/>
        <v>18</v>
      </c>
      <c r="G1956" s="4" cm="1">
        <f t="array" ref="G1956">IF($C1956&gt;=25,F1956,IF($C1956&lt;16,INDEX(Sheet1!C:C,$F1956),$F1956))</f>
        <v>18</v>
      </c>
      <c r="H1956" s="4" t="str" cm="1">
        <f t="array" ref="H1956">INDEX(Sheet1!D:D,$G1956)</f>
        <v>t1141.xlsx</v>
      </c>
      <c r="I1956" s="4" t="str" cm="1">
        <f t="array" ref="I1956">INDEX(Sheet1!E:E,$G1956)</f>
        <v>Sheet1</v>
      </c>
      <c r="J1956" s="4" t="str" cm="1">
        <f t="array" ref="J1956">IF($C1956&gt;=25,INDEX(Sheet1!G:G,$G1956),INDEX(Sheet1!F:F,$G1956))</f>
        <v>B25</v>
      </c>
      <c r="K1956" s="4" cm="1">
        <f t="array" ref="K1956">INDEX(Sheet1!H:H,$G1956)</f>
        <v>1</v>
      </c>
      <c r="L1956" s="4">
        <f t="shared" si="116"/>
        <v>0</v>
      </c>
      <c r="M1956" s="4">
        <f t="shared" si="117"/>
        <v>18</v>
      </c>
    </row>
    <row r="1957" spans="1:13">
      <c r="A1957" s="4" t="str" cm="1">
        <f t="array" ref="A1957">INDEX(Sheet1!A:A,$F1957)</f>
        <v>F</v>
      </c>
      <c r="B1957" s="4" t="str" cm="1">
        <f t="array" ref="B1957">INDEX(Sheet1!B:B,$F1957)</f>
        <v>Undiff SM</v>
      </c>
      <c r="C1957" s="4">
        <f t="shared" si="114"/>
        <v>19</v>
      </c>
      <c r="D1957" s="5" cm="1">
        <f t="array" aca="1" ref="D1957" ca="1">OFFSET(INDIRECT("'["&amp;$H1957&amp;"]"&amp;$I1957&amp;"'!"&amp;$J1957),$L1957,$M1957)*$K1957</f>
        <v>5.4000000000000001E-4</v>
      </c>
      <c r="F1957" s="4">
        <f t="shared" si="115"/>
        <v>18</v>
      </c>
      <c r="G1957" s="4" cm="1">
        <f t="array" ref="G1957">IF($C1957&gt;=25,F1957,IF($C1957&lt;16,INDEX(Sheet1!C:C,$F1957),$F1957))</f>
        <v>18</v>
      </c>
      <c r="H1957" s="4" t="str" cm="1">
        <f t="array" ref="H1957">INDEX(Sheet1!D:D,$G1957)</f>
        <v>t1141.xlsx</v>
      </c>
      <c r="I1957" s="4" t="str" cm="1">
        <f t="array" ref="I1957">INDEX(Sheet1!E:E,$G1957)</f>
        <v>Sheet1</v>
      </c>
      <c r="J1957" s="4" t="str" cm="1">
        <f t="array" ref="J1957">IF($C1957&gt;=25,INDEX(Sheet1!G:G,$G1957),INDEX(Sheet1!F:F,$G1957))</f>
        <v>B25</v>
      </c>
      <c r="K1957" s="4" cm="1">
        <f t="array" ref="K1957">INDEX(Sheet1!H:H,$G1957)</f>
        <v>1</v>
      </c>
      <c r="L1957" s="4">
        <f t="shared" si="116"/>
        <v>0</v>
      </c>
      <c r="M1957" s="4">
        <f t="shared" si="117"/>
        <v>19</v>
      </c>
    </row>
    <row r="1958" spans="1:13">
      <c r="A1958" s="4" t="str" cm="1">
        <f t="array" ref="A1958">INDEX(Sheet1!A:A,$F1958)</f>
        <v>F</v>
      </c>
      <c r="B1958" s="4" t="str" cm="1">
        <f t="array" ref="B1958">INDEX(Sheet1!B:B,$F1958)</f>
        <v>Undiff SM</v>
      </c>
      <c r="C1958" s="4">
        <f t="shared" si="114"/>
        <v>20</v>
      </c>
      <c r="D1958" s="5" cm="1">
        <f t="array" aca="1" ref="D1958" ca="1">OFFSET(INDIRECT("'["&amp;$H1958&amp;"]"&amp;$I1958&amp;"'!"&amp;$J1958),$L1958,$M1958)*$K1958</f>
        <v>5.8E-4</v>
      </c>
      <c r="F1958" s="4">
        <f t="shared" si="115"/>
        <v>18</v>
      </c>
      <c r="G1958" s="4" cm="1">
        <f t="array" ref="G1958">IF($C1958&gt;=25,F1958,IF($C1958&lt;16,INDEX(Sheet1!C:C,$F1958),$F1958))</f>
        <v>18</v>
      </c>
      <c r="H1958" s="4" t="str" cm="1">
        <f t="array" ref="H1958">INDEX(Sheet1!D:D,$G1958)</f>
        <v>t1141.xlsx</v>
      </c>
      <c r="I1958" s="4" t="str" cm="1">
        <f t="array" ref="I1958">INDEX(Sheet1!E:E,$G1958)</f>
        <v>Sheet1</v>
      </c>
      <c r="J1958" s="4" t="str" cm="1">
        <f t="array" ref="J1958">IF($C1958&gt;=25,INDEX(Sheet1!G:G,$G1958),INDEX(Sheet1!F:F,$G1958))</f>
        <v>B25</v>
      </c>
      <c r="K1958" s="4" cm="1">
        <f t="array" ref="K1958">INDEX(Sheet1!H:H,$G1958)</f>
        <v>1</v>
      </c>
      <c r="L1958" s="4">
        <f t="shared" si="116"/>
        <v>0</v>
      </c>
      <c r="M1958" s="4">
        <f t="shared" si="117"/>
        <v>20</v>
      </c>
    </row>
    <row r="1959" spans="1:13">
      <c r="A1959" s="4" t="str" cm="1">
        <f t="array" ref="A1959">INDEX(Sheet1!A:A,$F1959)</f>
        <v>F</v>
      </c>
      <c r="B1959" s="4" t="str" cm="1">
        <f t="array" ref="B1959">INDEX(Sheet1!B:B,$F1959)</f>
        <v>Undiff SM</v>
      </c>
      <c r="C1959" s="4">
        <f t="shared" si="114"/>
        <v>21</v>
      </c>
      <c r="D1959" s="5" cm="1">
        <f t="array" aca="1" ref="D1959" ca="1">OFFSET(INDIRECT("'["&amp;$H1959&amp;"]"&amp;$I1959&amp;"'!"&amp;$J1959),$L1959,$M1959)*$K1959</f>
        <v>6.0999999999999997E-4</v>
      </c>
      <c r="F1959" s="4">
        <f t="shared" si="115"/>
        <v>18</v>
      </c>
      <c r="G1959" s="4" cm="1">
        <f t="array" ref="G1959">IF($C1959&gt;=25,F1959,IF($C1959&lt;16,INDEX(Sheet1!C:C,$F1959),$F1959))</f>
        <v>18</v>
      </c>
      <c r="H1959" s="4" t="str" cm="1">
        <f t="array" ref="H1959">INDEX(Sheet1!D:D,$G1959)</f>
        <v>t1141.xlsx</v>
      </c>
      <c r="I1959" s="4" t="str" cm="1">
        <f t="array" ref="I1959">INDEX(Sheet1!E:E,$G1959)</f>
        <v>Sheet1</v>
      </c>
      <c r="J1959" s="4" t="str" cm="1">
        <f t="array" ref="J1959">IF($C1959&gt;=25,INDEX(Sheet1!G:G,$G1959),INDEX(Sheet1!F:F,$G1959))</f>
        <v>B25</v>
      </c>
      <c r="K1959" s="4" cm="1">
        <f t="array" ref="K1959">INDEX(Sheet1!H:H,$G1959)</f>
        <v>1</v>
      </c>
      <c r="L1959" s="4">
        <f t="shared" si="116"/>
        <v>0</v>
      </c>
      <c r="M1959" s="4">
        <f t="shared" si="117"/>
        <v>21</v>
      </c>
    </row>
    <row r="1960" spans="1:13">
      <c r="A1960" s="4" t="str" cm="1">
        <f t="array" ref="A1960">INDEX(Sheet1!A:A,$F1960)</f>
        <v>F</v>
      </c>
      <c r="B1960" s="4" t="str" cm="1">
        <f t="array" ref="B1960">INDEX(Sheet1!B:B,$F1960)</f>
        <v>Undiff SM</v>
      </c>
      <c r="C1960" s="4">
        <f t="shared" si="114"/>
        <v>22</v>
      </c>
      <c r="D1960" s="5" cm="1">
        <f t="array" aca="1" ref="D1960" ca="1">OFFSET(INDIRECT("'["&amp;$H1960&amp;"]"&amp;$I1960&amp;"'!"&amp;$J1960),$L1960,$M1960)*$K1960</f>
        <v>6.4999999999999997E-4</v>
      </c>
      <c r="F1960" s="4">
        <f t="shared" si="115"/>
        <v>18</v>
      </c>
      <c r="G1960" s="4" cm="1">
        <f t="array" ref="G1960">IF($C1960&gt;=25,F1960,IF($C1960&lt;16,INDEX(Sheet1!C:C,$F1960),$F1960))</f>
        <v>18</v>
      </c>
      <c r="H1960" s="4" t="str" cm="1">
        <f t="array" ref="H1960">INDEX(Sheet1!D:D,$G1960)</f>
        <v>t1141.xlsx</v>
      </c>
      <c r="I1960" s="4" t="str" cm="1">
        <f t="array" ref="I1960">INDEX(Sheet1!E:E,$G1960)</f>
        <v>Sheet1</v>
      </c>
      <c r="J1960" s="4" t="str" cm="1">
        <f t="array" ref="J1960">IF($C1960&gt;=25,INDEX(Sheet1!G:G,$G1960),INDEX(Sheet1!F:F,$G1960))</f>
        <v>B25</v>
      </c>
      <c r="K1960" s="4" cm="1">
        <f t="array" ref="K1960">INDEX(Sheet1!H:H,$G1960)</f>
        <v>1</v>
      </c>
      <c r="L1960" s="4">
        <f t="shared" si="116"/>
        <v>0</v>
      </c>
      <c r="M1960" s="4">
        <f t="shared" si="117"/>
        <v>22</v>
      </c>
    </row>
    <row r="1961" spans="1:13">
      <c r="A1961" s="4" t="str" cm="1">
        <f t="array" ref="A1961">INDEX(Sheet1!A:A,$F1961)</f>
        <v>F</v>
      </c>
      <c r="B1961" s="4" t="str" cm="1">
        <f t="array" ref="B1961">INDEX(Sheet1!B:B,$F1961)</f>
        <v>Undiff SM</v>
      </c>
      <c r="C1961" s="4">
        <f t="shared" si="114"/>
        <v>23</v>
      </c>
      <c r="D1961" s="5" cm="1">
        <f t="array" aca="1" ref="D1961" ca="1">OFFSET(INDIRECT("'["&amp;$H1961&amp;"]"&amp;$I1961&amp;"'!"&amp;$J1961),$L1961,$M1961)*$K1961</f>
        <v>6.7000000000000002E-4</v>
      </c>
      <c r="F1961" s="4">
        <f t="shared" si="115"/>
        <v>18</v>
      </c>
      <c r="G1961" s="4" cm="1">
        <f t="array" ref="G1961">IF($C1961&gt;=25,F1961,IF($C1961&lt;16,INDEX(Sheet1!C:C,$F1961),$F1961))</f>
        <v>18</v>
      </c>
      <c r="H1961" s="4" t="str" cm="1">
        <f t="array" ref="H1961">INDEX(Sheet1!D:D,$G1961)</f>
        <v>t1141.xlsx</v>
      </c>
      <c r="I1961" s="4" t="str" cm="1">
        <f t="array" ref="I1961">INDEX(Sheet1!E:E,$G1961)</f>
        <v>Sheet1</v>
      </c>
      <c r="J1961" s="4" t="str" cm="1">
        <f t="array" ref="J1961">IF($C1961&gt;=25,INDEX(Sheet1!G:G,$G1961),INDEX(Sheet1!F:F,$G1961))</f>
        <v>B25</v>
      </c>
      <c r="K1961" s="4" cm="1">
        <f t="array" ref="K1961">INDEX(Sheet1!H:H,$G1961)</f>
        <v>1</v>
      </c>
      <c r="L1961" s="4">
        <f t="shared" si="116"/>
        <v>0</v>
      </c>
      <c r="M1961" s="4">
        <f t="shared" si="117"/>
        <v>23</v>
      </c>
    </row>
    <row r="1962" spans="1:13">
      <c r="A1962" s="4" t="str" cm="1">
        <f t="array" ref="A1962">INDEX(Sheet1!A:A,$F1962)</f>
        <v>F</v>
      </c>
      <c r="B1962" s="4" t="str" cm="1">
        <f t="array" ref="B1962">INDEX(Sheet1!B:B,$F1962)</f>
        <v>Undiff SM</v>
      </c>
      <c r="C1962" s="4">
        <f t="shared" si="114"/>
        <v>24</v>
      </c>
      <c r="D1962" s="5" cm="1">
        <f t="array" aca="1" ref="D1962" ca="1">OFFSET(INDIRECT("'["&amp;$H1962&amp;"]"&amp;$I1962&amp;"'!"&amp;$J1962),$L1962,$M1962)*$K1962</f>
        <v>7.2000000000000005E-4</v>
      </c>
      <c r="F1962" s="4">
        <f t="shared" si="115"/>
        <v>18</v>
      </c>
      <c r="G1962" s="4" cm="1">
        <f t="array" ref="G1962">IF($C1962&gt;=25,F1962,IF($C1962&lt;16,INDEX(Sheet1!C:C,$F1962),$F1962))</f>
        <v>18</v>
      </c>
      <c r="H1962" s="4" t="str" cm="1">
        <f t="array" ref="H1962">INDEX(Sheet1!D:D,$G1962)</f>
        <v>t1141.xlsx</v>
      </c>
      <c r="I1962" s="4" t="str" cm="1">
        <f t="array" ref="I1962">INDEX(Sheet1!E:E,$G1962)</f>
        <v>Sheet1</v>
      </c>
      <c r="J1962" s="4" t="str" cm="1">
        <f t="array" ref="J1962">IF($C1962&gt;=25,INDEX(Sheet1!G:G,$G1962),INDEX(Sheet1!F:F,$G1962))</f>
        <v>B25</v>
      </c>
      <c r="K1962" s="4" cm="1">
        <f t="array" ref="K1962">INDEX(Sheet1!H:H,$G1962)</f>
        <v>1</v>
      </c>
      <c r="L1962" s="4">
        <f t="shared" si="116"/>
        <v>0</v>
      </c>
      <c r="M1962" s="4">
        <f t="shared" si="117"/>
        <v>24</v>
      </c>
    </row>
    <row r="1963" spans="1:13">
      <c r="A1963" s="4" t="str" cm="1">
        <f t="array" ref="A1963">INDEX(Sheet1!A:A,$F1963)</f>
        <v>F</v>
      </c>
      <c r="B1963" s="4" t="str" cm="1">
        <f t="array" ref="B1963">INDEX(Sheet1!B:B,$F1963)</f>
        <v>Undiff SM</v>
      </c>
      <c r="C1963" s="4">
        <f t="shared" si="114"/>
        <v>25</v>
      </c>
      <c r="D1963" s="5" cm="1">
        <f t="array" aca="1" ref="D1963" ca="1">OFFSET(INDIRECT("'["&amp;$H1963&amp;"]"&amp;$I1963&amp;"'!"&amp;$J1963),$L1963,$M1963)*$K1963</f>
        <v>7.6999999999999996E-4</v>
      </c>
      <c r="F1963" s="4">
        <f t="shared" si="115"/>
        <v>18</v>
      </c>
      <c r="G1963" s="4" cm="1">
        <f t="array" ref="G1963">IF($C1963&gt;=25,F1963,IF($C1963&lt;16,INDEX(Sheet1!C:C,$F1963),$F1963))</f>
        <v>18</v>
      </c>
      <c r="H1963" s="4" t="str" cm="1">
        <f t="array" ref="H1963">INDEX(Sheet1!D:D,$G1963)</f>
        <v>t1141.xlsx</v>
      </c>
      <c r="I1963" s="4" t="str" cm="1">
        <f t="array" ref="I1963">INDEX(Sheet1!E:E,$G1963)</f>
        <v>Sheet1</v>
      </c>
      <c r="J1963" s="4" t="str" cm="1">
        <f t="array" ref="J1963">IF($C1963&gt;=25,INDEX(Sheet1!G:G,$G1963),INDEX(Sheet1!F:F,$G1963))</f>
        <v>B139</v>
      </c>
      <c r="K1963" s="4" cm="1">
        <f t="array" ref="K1963">INDEX(Sheet1!H:H,$G1963)</f>
        <v>1</v>
      </c>
      <c r="L1963" s="4">
        <f t="shared" si="116"/>
        <v>0</v>
      </c>
      <c r="M1963" s="4">
        <f t="shared" si="117"/>
        <v>0</v>
      </c>
    </row>
    <row r="1964" spans="1:13">
      <c r="A1964" s="4" t="str" cm="1">
        <f t="array" ref="A1964">INDEX(Sheet1!A:A,$F1964)</f>
        <v>F</v>
      </c>
      <c r="B1964" s="4" t="str" cm="1">
        <f t="array" ref="B1964">INDEX(Sheet1!B:B,$F1964)</f>
        <v>Undiff SM</v>
      </c>
      <c r="C1964" s="4">
        <f t="shared" si="114"/>
        <v>26</v>
      </c>
      <c r="D1964" s="5" cm="1">
        <f t="array" aca="1" ref="D1964" ca="1">OFFSET(INDIRECT("'["&amp;$H1964&amp;"]"&amp;$I1964&amp;"'!"&amp;$J1964),$L1964,$M1964)*$K1964</f>
        <v>8.0999999999999996E-4</v>
      </c>
      <c r="F1964" s="4">
        <f t="shared" si="115"/>
        <v>18</v>
      </c>
      <c r="G1964" s="4" cm="1">
        <f t="array" ref="G1964">IF($C1964&gt;=25,F1964,IF($C1964&lt;16,INDEX(Sheet1!C:C,$F1964),$F1964))</f>
        <v>18</v>
      </c>
      <c r="H1964" s="4" t="str" cm="1">
        <f t="array" ref="H1964">INDEX(Sheet1!D:D,$G1964)</f>
        <v>t1141.xlsx</v>
      </c>
      <c r="I1964" s="4" t="str" cm="1">
        <f t="array" ref="I1964">INDEX(Sheet1!E:E,$G1964)</f>
        <v>Sheet1</v>
      </c>
      <c r="J1964" s="4" t="str" cm="1">
        <f t="array" ref="J1964">IF($C1964&gt;=25,INDEX(Sheet1!G:G,$G1964),INDEX(Sheet1!F:F,$G1964))</f>
        <v>B139</v>
      </c>
      <c r="K1964" s="4" cm="1">
        <f t="array" ref="K1964">INDEX(Sheet1!H:H,$G1964)</f>
        <v>1</v>
      </c>
      <c r="L1964" s="4">
        <f t="shared" si="116"/>
        <v>1</v>
      </c>
      <c r="M1964" s="4">
        <f t="shared" si="117"/>
        <v>0</v>
      </c>
    </row>
    <row r="1965" spans="1:13">
      <c r="A1965" s="4" t="str" cm="1">
        <f t="array" ref="A1965">INDEX(Sheet1!A:A,$F1965)</f>
        <v>F</v>
      </c>
      <c r="B1965" s="4" t="str" cm="1">
        <f t="array" ref="B1965">INDEX(Sheet1!B:B,$F1965)</f>
        <v>Undiff SM</v>
      </c>
      <c r="C1965" s="4">
        <f t="shared" si="114"/>
        <v>27</v>
      </c>
      <c r="D1965" s="5" cm="1">
        <f t="array" aca="1" ref="D1965" ca="1">OFFSET(INDIRECT("'["&amp;$H1965&amp;"]"&amp;$I1965&amp;"'!"&amp;$J1965),$L1965,$M1965)*$K1965</f>
        <v>8.7000000000000001E-4</v>
      </c>
      <c r="F1965" s="4">
        <f t="shared" si="115"/>
        <v>18</v>
      </c>
      <c r="G1965" s="4" cm="1">
        <f t="array" ref="G1965">IF($C1965&gt;=25,F1965,IF($C1965&lt;16,INDEX(Sheet1!C:C,$F1965),$F1965))</f>
        <v>18</v>
      </c>
      <c r="H1965" s="4" t="str" cm="1">
        <f t="array" ref="H1965">INDEX(Sheet1!D:D,$G1965)</f>
        <v>t1141.xlsx</v>
      </c>
      <c r="I1965" s="4" t="str" cm="1">
        <f t="array" ref="I1965">INDEX(Sheet1!E:E,$G1965)</f>
        <v>Sheet1</v>
      </c>
      <c r="J1965" s="4" t="str" cm="1">
        <f t="array" ref="J1965">IF($C1965&gt;=25,INDEX(Sheet1!G:G,$G1965),INDEX(Sheet1!F:F,$G1965))</f>
        <v>B139</v>
      </c>
      <c r="K1965" s="4" cm="1">
        <f t="array" ref="K1965">INDEX(Sheet1!H:H,$G1965)</f>
        <v>1</v>
      </c>
      <c r="L1965" s="4">
        <f t="shared" si="116"/>
        <v>2</v>
      </c>
      <c r="M1965" s="4">
        <f t="shared" si="117"/>
        <v>0</v>
      </c>
    </row>
    <row r="1966" spans="1:13">
      <c r="A1966" s="4" t="str" cm="1">
        <f t="array" ref="A1966">INDEX(Sheet1!A:A,$F1966)</f>
        <v>F</v>
      </c>
      <c r="B1966" s="4" t="str" cm="1">
        <f t="array" ref="B1966">INDEX(Sheet1!B:B,$F1966)</f>
        <v>Undiff SM</v>
      </c>
      <c r="C1966" s="4">
        <f t="shared" si="114"/>
        <v>28</v>
      </c>
      <c r="D1966" s="5" cm="1">
        <f t="array" aca="1" ref="D1966" ca="1">OFFSET(INDIRECT("'["&amp;$H1966&amp;"]"&amp;$I1966&amp;"'!"&amp;$J1966),$L1966,$M1966)*$K1966</f>
        <v>9.2000000000000003E-4</v>
      </c>
      <c r="F1966" s="4">
        <f t="shared" si="115"/>
        <v>18</v>
      </c>
      <c r="G1966" s="4" cm="1">
        <f t="array" ref="G1966">IF($C1966&gt;=25,F1966,IF($C1966&lt;16,INDEX(Sheet1!C:C,$F1966),$F1966))</f>
        <v>18</v>
      </c>
      <c r="H1966" s="4" t="str" cm="1">
        <f t="array" ref="H1966">INDEX(Sheet1!D:D,$G1966)</f>
        <v>t1141.xlsx</v>
      </c>
      <c r="I1966" s="4" t="str" cm="1">
        <f t="array" ref="I1966">INDEX(Sheet1!E:E,$G1966)</f>
        <v>Sheet1</v>
      </c>
      <c r="J1966" s="4" t="str" cm="1">
        <f t="array" ref="J1966">IF($C1966&gt;=25,INDEX(Sheet1!G:G,$G1966),INDEX(Sheet1!F:F,$G1966))</f>
        <v>B139</v>
      </c>
      <c r="K1966" s="4" cm="1">
        <f t="array" ref="K1966">INDEX(Sheet1!H:H,$G1966)</f>
        <v>1</v>
      </c>
      <c r="L1966" s="4">
        <f t="shared" si="116"/>
        <v>3</v>
      </c>
      <c r="M1966" s="4">
        <f t="shared" si="117"/>
        <v>0</v>
      </c>
    </row>
    <row r="1967" spans="1:13">
      <c r="A1967" s="4" t="str" cm="1">
        <f t="array" ref="A1967">INDEX(Sheet1!A:A,$F1967)</f>
        <v>F</v>
      </c>
      <c r="B1967" s="4" t="str" cm="1">
        <f t="array" ref="B1967">INDEX(Sheet1!B:B,$F1967)</f>
        <v>Undiff SM</v>
      </c>
      <c r="C1967" s="4">
        <f t="shared" si="114"/>
        <v>29</v>
      </c>
      <c r="D1967" s="5" cm="1">
        <f t="array" aca="1" ref="D1967" ca="1">OFFSET(INDIRECT("'["&amp;$H1967&amp;"]"&amp;$I1967&amp;"'!"&amp;$J1967),$L1967,$M1967)*$K1967</f>
        <v>9.8999999999999999E-4</v>
      </c>
      <c r="F1967" s="4">
        <f t="shared" si="115"/>
        <v>18</v>
      </c>
      <c r="G1967" s="4" cm="1">
        <f t="array" ref="G1967">IF($C1967&gt;=25,F1967,IF($C1967&lt;16,INDEX(Sheet1!C:C,$F1967),$F1967))</f>
        <v>18</v>
      </c>
      <c r="H1967" s="4" t="str" cm="1">
        <f t="array" ref="H1967">INDEX(Sheet1!D:D,$G1967)</f>
        <v>t1141.xlsx</v>
      </c>
      <c r="I1967" s="4" t="str" cm="1">
        <f t="array" ref="I1967">INDEX(Sheet1!E:E,$G1967)</f>
        <v>Sheet1</v>
      </c>
      <c r="J1967" s="4" t="str" cm="1">
        <f t="array" ref="J1967">IF($C1967&gt;=25,INDEX(Sheet1!G:G,$G1967),INDEX(Sheet1!F:F,$G1967))</f>
        <v>B139</v>
      </c>
      <c r="K1967" s="4" cm="1">
        <f t="array" ref="K1967">INDEX(Sheet1!H:H,$G1967)</f>
        <v>1</v>
      </c>
      <c r="L1967" s="4">
        <f t="shared" si="116"/>
        <v>4</v>
      </c>
      <c r="M1967" s="4">
        <f t="shared" si="117"/>
        <v>0</v>
      </c>
    </row>
    <row r="1968" spans="1:13">
      <c r="A1968" s="4" t="str" cm="1">
        <f t="array" ref="A1968">INDEX(Sheet1!A:A,$F1968)</f>
        <v>F</v>
      </c>
      <c r="B1968" s="4" t="str" cm="1">
        <f t="array" ref="B1968">INDEX(Sheet1!B:B,$F1968)</f>
        <v>Undiff SM</v>
      </c>
      <c r="C1968" s="4">
        <f t="shared" si="114"/>
        <v>30</v>
      </c>
      <c r="D1968" s="5" cm="1">
        <f t="array" aca="1" ref="D1968" ca="1">OFFSET(INDIRECT("'["&amp;$H1968&amp;"]"&amp;$I1968&amp;"'!"&amp;$J1968),$L1968,$M1968)*$K1968</f>
        <v>1.0300000000000001E-3</v>
      </c>
      <c r="F1968" s="4">
        <f t="shared" si="115"/>
        <v>18</v>
      </c>
      <c r="G1968" s="4" cm="1">
        <f t="array" ref="G1968">IF($C1968&gt;=25,F1968,IF($C1968&lt;16,INDEX(Sheet1!C:C,$F1968),$F1968))</f>
        <v>18</v>
      </c>
      <c r="H1968" s="4" t="str" cm="1">
        <f t="array" ref="H1968">INDEX(Sheet1!D:D,$G1968)</f>
        <v>t1141.xlsx</v>
      </c>
      <c r="I1968" s="4" t="str" cm="1">
        <f t="array" ref="I1968">INDEX(Sheet1!E:E,$G1968)</f>
        <v>Sheet1</v>
      </c>
      <c r="J1968" s="4" t="str" cm="1">
        <f t="array" ref="J1968">IF($C1968&gt;=25,INDEX(Sheet1!G:G,$G1968),INDEX(Sheet1!F:F,$G1968))</f>
        <v>B139</v>
      </c>
      <c r="K1968" s="4" cm="1">
        <f t="array" ref="K1968">INDEX(Sheet1!H:H,$G1968)</f>
        <v>1</v>
      </c>
      <c r="L1968" s="4">
        <f t="shared" si="116"/>
        <v>5</v>
      </c>
      <c r="M1968" s="4">
        <f t="shared" si="117"/>
        <v>0</v>
      </c>
    </row>
    <row r="1969" spans="1:13">
      <c r="A1969" s="4" t="str" cm="1">
        <f t="array" ref="A1969">INDEX(Sheet1!A:A,$F1969)</f>
        <v>F</v>
      </c>
      <c r="B1969" s="4" t="str" cm="1">
        <f t="array" ref="B1969">INDEX(Sheet1!B:B,$F1969)</f>
        <v>Undiff SM</v>
      </c>
      <c r="C1969" s="4">
        <f t="shared" si="114"/>
        <v>31</v>
      </c>
      <c r="D1969" s="5" cm="1">
        <f t="array" aca="1" ref="D1969" ca="1">OFFSET(INDIRECT("'["&amp;$H1969&amp;"]"&amp;$I1969&amp;"'!"&amp;$J1969),$L1969,$M1969)*$K1969</f>
        <v>1.1199999999999999E-3</v>
      </c>
      <c r="F1969" s="4">
        <f t="shared" si="115"/>
        <v>18</v>
      </c>
      <c r="G1969" s="4" cm="1">
        <f t="array" ref="G1969">IF($C1969&gt;=25,F1969,IF($C1969&lt;16,INDEX(Sheet1!C:C,$F1969),$F1969))</f>
        <v>18</v>
      </c>
      <c r="H1969" s="4" t="str" cm="1">
        <f t="array" ref="H1969">INDEX(Sheet1!D:D,$G1969)</f>
        <v>t1141.xlsx</v>
      </c>
      <c r="I1969" s="4" t="str" cm="1">
        <f t="array" ref="I1969">INDEX(Sheet1!E:E,$G1969)</f>
        <v>Sheet1</v>
      </c>
      <c r="J1969" s="4" t="str" cm="1">
        <f t="array" ref="J1969">IF($C1969&gt;=25,INDEX(Sheet1!G:G,$G1969),INDEX(Sheet1!F:F,$G1969))</f>
        <v>B139</v>
      </c>
      <c r="K1969" s="4" cm="1">
        <f t="array" ref="K1969">INDEX(Sheet1!H:H,$G1969)</f>
        <v>1</v>
      </c>
      <c r="L1969" s="4">
        <f t="shared" si="116"/>
        <v>6</v>
      </c>
      <c r="M1969" s="4">
        <f t="shared" si="117"/>
        <v>0</v>
      </c>
    </row>
    <row r="1970" spans="1:13">
      <c r="A1970" s="4" t="str" cm="1">
        <f t="array" ref="A1970">INDEX(Sheet1!A:A,$F1970)</f>
        <v>F</v>
      </c>
      <c r="B1970" s="4" t="str" cm="1">
        <f t="array" ref="B1970">INDEX(Sheet1!B:B,$F1970)</f>
        <v>Undiff SM</v>
      </c>
      <c r="C1970" s="4">
        <f t="shared" si="114"/>
        <v>32</v>
      </c>
      <c r="D1970" s="5" cm="1">
        <f t="array" aca="1" ref="D1970" ca="1">OFFSET(INDIRECT("'["&amp;$H1970&amp;"]"&amp;$I1970&amp;"'!"&amp;$J1970),$L1970,$M1970)*$K1970</f>
        <v>1.1900000000000001E-3</v>
      </c>
      <c r="F1970" s="4">
        <f t="shared" si="115"/>
        <v>18</v>
      </c>
      <c r="G1970" s="4" cm="1">
        <f t="array" ref="G1970">IF($C1970&gt;=25,F1970,IF($C1970&lt;16,INDEX(Sheet1!C:C,$F1970),$F1970))</f>
        <v>18</v>
      </c>
      <c r="H1970" s="4" t="str" cm="1">
        <f t="array" ref="H1970">INDEX(Sheet1!D:D,$G1970)</f>
        <v>t1141.xlsx</v>
      </c>
      <c r="I1970" s="4" t="str" cm="1">
        <f t="array" ref="I1970">INDEX(Sheet1!E:E,$G1970)</f>
        <v>Sheet1</v>
      </c>
      <c r="J1970" s="4" t="str" cm="1">
        <f t="array" ref="J1970">IF($C1970&gt;=25,INDEX(Sheet1!G:G,$G1970),INDEX(Sheet1!F:F,$G1970))</f>
        <v>B139</v>
      </c>
      <c r="K1970" s="4" cm="1">
        <f t="array" ref="K1970">INDEX(Sheet1!H:H,$G1970)</f>
        <v>1</v>
      </c>
      <c r="L1970" s="4">
        <f t="shared" si="116"/>
        <v>7</v>
      </c>
      <c r="M1970" s="4">
        <f t="shared" si="117"/>
        <v>0</v>
      </c>
    </row>
    <row r="1971" spans="1:13">
      <c r="A1971" s="4" t="str" cm="1">
        <f t="array" ref="A1971">INDEX(Sheet1!A:A,$F1971)</f>
        <v>F</v>
      </c>
      <c r="B1971" s="4" t="str" cm="1">
        <f t="array" ref="B1971">INDEX(Sheet1!B:B,$F1971)</f>
        <v>Undiff SM</v>
      </c>
      <c r="C1971" s="4">
        <f t="shared" si="114"/>
        <v>33</v>
      </c>
      <c r="D1971" s="5" cm="1">
        <f t="array" aca="1" ref="D1971" ca="1">OFFSET(INDIRECT("'["&amp;$H1971&amp;"]"&amp;$I1971&amp;"'!"&amp;$J1971),$L1971,$M1971)*$K1971</f>
        <v>1.2800000000000001E-3</v>
      </c>
      <c r="F1971" s="4">
        <f t="shared" si="115"/>
        <v>18</v>
      </c>
      <c r="G1971" s="4" cm="1">
        <f t="array" ref="G1971">IF($C1971&gt;=25,F1971,IF($C1971&lt;16,INDEX(Sheet1!C:C,$F1971),$F1971))</f>
        <v>18</v>
      </c>
      <c r="H1971" s="4" t="str" cm="1">
        <f t="array" ref="H1971">INDEX(Sheet1!D:D,$G1971)</f>
        <v>t1141.xlsx</v>
      </c>
      <c r="I1971" s="4" t="str" cm="1">
        <f t="array" ref="I1971">INDEX(Sheet1!E:E,$G1971)</f>
        <v>Sheet1</v>
      </c>
      <c r="J1971" s="4" t="str" cm="1">
        <f t="array" ref="J1971">IF($C1971&gt;=25,INDEX(Sheet1!G:G,$G1971),INDEX(Sheet1!F:F,$G1971))</f>
        <v>B139</v>
      </c>
      <c r="K1971" s="4" cm="1">
        <f t="array" ref="K1971">INDEX(Sheet1!H:H,$G1971)</f>
        <v>1</v>
      </c>
      <c r="L1971" s="4">
        <f t="shared" si="116"/>
        <v>8</v>
      </c>
      <c r="M1971" s="4">
        <f t="shared" si="117"/>
        <v>0</v>
      </c>
    </row>
    <row r="1972" spans="1:13">
      <c r="A1972" s="4" t="str" cm="1">
        <f t="array" ref="A1972">INDEX(Sheet1!A:A,$F1972)</f>
        <v>F</v>
      </c>
      <c r="B1972" s="4" t="str" cm="1">
        <f t="array" ref="B1972">INDEX(Sheet1!B:B,$F1972)</f>
        <v>Undiff SM</v>
      </c>
      <c r="C1972" s="4">
        <f t="shared" si="114"/>
        <v>34</v>
      </c>
      <c r="D1972" s="5" cm="1">
        <f t="array" aca="1" ref="D1972" ca="1">OFFSET(INDIRECT("'["&amp;$H1972&amp;"]"&amp;$I1972&amp;"'!"&amp;$J1972),$L1972,$M1972)*$K1972</f>
        <v>1.39E-3</v>
      </c>
      <c r="F1972" s="4">
        <f t="shared" si="115"/>
        <v>18</v>
      </c>
      <c r="G1972" s="4" cm="1">
        <f t="array" ref="G1972">IF($C1972&gt;=25,F1972,IF($C1972&lt;16,INDEX(Sheet1!C:C,$F1972),$F1972))</f>
        <v>18</v>
      </c>
      <c r="H1972" s="4" t="str" cm="1">
        <f t="array" ref="H1972">INDEX(Sheet1!D:D,$G1972)</f>
        <v>t1141.xlsx</v>
      </c>
      <c r="I1972" s="4" t="str" cm="1">
        <f t="array" ref="I1972">INDEX(Sheet1!E:E,$G1972)</f>
        <v>Sheet1</v>
      </c>
      <c r="J1972" s="4" t="str" cm="1">
        <f t="array" ref="J1972">IF($C1972&gt;=25,INDEX(Sheet1!G:G,$G1972),INDEX(Sheet1!F:F,$G1972))</f>
        <v>B139</v>
      </c>
      <c r="K1972" s="4" cm="1">
        <f t="array" ref="K1972">INDEX(Sheet1!H:H,$G1972)</f>
        <v>1</v>
      </c>
      <c r="L1972" s="4">
        <f t="shared" si="116"/>
        <v>9</v>
      </c>
      <c r="M1972" s="4">
        <f t="shared" si="117"/>
        <v>0</v>
      </c>
    </row>
    <row r="1973" spans="1:13">
      <c r="A1973" s="4" t="str" cm="1">
        <f t="array" ref="A1973">INDEX(Sheet1!A:A,$F1973)</f>
        <v>F</v>
      </c>
      <c r="B1973" s="4" t="str" cm="1">
        <f t="array" ref="B1973">INDEX(Sheet1!B:B,$F1973)</f>
        <v>Undiff SM</v>
      </c>
      <c r="C1973" s="4">
        <f t="shared" si="114"/>
        <v>35</v>
      </c>
      <c r="D1973" s="5" cm="1">
        <f t="array" aca="1" ref="D1973" ca="1">OFFSET(INDIRECT("'["&amp;$H1973&amp;"]"&amp;$I1973&amp;"'!"&amp;$J1973),$L1973,$M1973)*$K1973</f>
        <v>1.5299999999999999E-3</v>
      </c>
      <c r="F1973" s="4">
        <f t="shared" si="115"/>
        <v>18</v>
      </c>
      <c r="G1973" s="4" cm="1">
        <f t="array" ref="G1973">IF($C1973&gt;=25,F1973,IF($C1973&lt;16,INDEX(Sheet1!C:C,$F1973),$F1973))</f>
        <v>18</v>
      </c>
      <c r="H1973" s="4" t="str" cm="1">
        <f t="array" ref="H1973">INDEX(Sheet1!D:D,$G1973)</f>
        <v>t1141.xlsx</v>
      </c>
      <c r="I1973" s="4" t="str" cm="1">
        <f t="array" ref="I1973">INDEX(Sheet1!E:E,$G1973)</f>
        <v>Sheet1</v>
      </c>
      <c r="J1973" s="4" t="str" cm="1">
        <f t="array" ref="J1973">IF($C1973&gt;=25,INDEX(Sheet1!G:G,$G1973),INDEX(Sheet1!F:F,$G1973))</f>
        <v>B139</v>
      </c>
      <c r="K1973" s="4" cm="1">
        <f t="array" ref="K1973">INDEX(Sheet1!H:H,$G1973)</f>
        <v>1</v>
      </c>
      <c r="L1973" s="4">
        <f t="shared" si="116"/>
        <v>10</v>
      </c>
      <c r="M1973" s="4">
        <f t="shared" si="117"/>
        <v>0</v>
      </c>
    </row>
    <row r="1974" spans="1:13">
      <c r="A1974" s="4" t="str" cm="1">
        <f t="array" ref="A1974">INDEX(Sheet1!A:A,$F1974)</f>
        <v>F</v>
      </c>
      <c r="B1974" s="4" t="str" cm="1">
        <f t="array" ref="B1974">INDEX(Sheet1!B:B,$F1974)</f>
        <v>Undiff SM</v>
      </c>
      <c r="C1974" s="4">
        <f t="shared" si="114"/>
        <v>36</v>
      </c>
      <c r="D1974" s="5" cm="1">
        <f t="array" aca="1" ref="D1974" ca="1">OFFSET(INDIRECT("'["&amp;$H1974&amp;"]"&amp;$I1974&amp;"'!"&amp;$J1974),$L1974,$M1974)*$K1974</f>
        <v>1.65E-3</v>
      </c>
      <c r="F1974" s="4">
        <f t="shared" si="115"/>
        <v>18</v>
      </c>
      <c r="G1974" s="4" cm="1">
        <f t="array" ref="G1974">IF($C1974&gt;=25,F1974,IF($C1974&lt;16,INDEX(Sheet1!C:C,$F1974),$F1974))</f>
        <v>18</v>
      </c>
      <c r="H1974" s="4" t="str" cm="1">
        <f t="array" ref="H1974">INDEX(Sheet1!D:D,$G1974)</f>
        <v>t1141.xlsx</v>
      </c>
      <c r="I1974" s="4" t="str" cm="1">
        <f t="array" ref="I1974">INDEX(Sheet1!E:E,$G1974)</f>
        <v>Sheet1</v>
      </c>
      <c r="J1974" s="4" t="str" cm="1">
        <f t="array" ref="J1974">IF($C1974&gt;=25,INDEX(Sheet1!G:G,$G1974),INDEX(Sheet1!F:F,$G1974))</f>
        <v>B139</v>
      </c>
      <c r="K1974" s="4" cm="1">
        <f t="array" ref="K1974">INDEX(Sheet1!H:H,$G1974)</f>
        <v>1</v>
      </c>
      <c r="L1974" s="4">
        <f t="shared" si="116"/>
        <v>11</v>
      </c>
      <c r="M1974" s="4">
        <f t="shared" si="117"/>
        <v>0</v>
      </c>
    </row>
    <row r="1975" spans="1:13">
      <c r="A1975" s="4" t="str" cm="1">
        <f t="array" ref="A1975">INDEX(Sheet1!A:A,$F1975)</f>
        <v>F</v>
      </c>
      <c r="B1975" s="4" t="str" cm="1">
        <f t="array" ref="B1975">INDEX(Sheet1!B:B,$F1975)</f>
        <v>Undiff SM</v>
      </c>
      <c r="C1975" s="4">
        <f t="shared" si="114"/>
        <v>37</v>
      </c>
      <c r="D1975" s="5" cm="1">
        <f t="array" aca="1" ref="D1975" ca="1">OFFSET(INDIRECT("'["&amp;$H1975&amp;"]"&amp;$I1975&amp;"'!"&amp;$J1975),$L1975,$M1975)*$K1975</f>
        <v>1.7899999999999999E-3</v>
      </c>
      <c r="F1975" s="4">
        <f t="shared" si="115"/>
        <v>18</v>
      </c>
      <c r="G1975" s="4" cm="1">
        <f t="array" ref="G1975">IF($C1975&gt;=25,F1975,IF($C1975&lt;16,INDEX(Sheet1!C:C,$F1975),$F1975))</f>
        <v>18</v>
      </c>
      <c r="H1975" s="4" t="str" cm="1">
        <f t="array" ref="H1975">INDEX(Sheet1!D:D,$G1975)</f>
        <v>t1141.xlsx</v>
      </c>
      <c r="I1975" s="4" t="str" cm="1">
        <f t="array" ref="I1975">INDEX(Sheet1!E:E,$G1975)</f>
        <v>Sheet1</v>
      </c>
      <c r="J1975" s="4" t="str" cm="1">
        <f t="array" ref="J1975">IF($C1975&gt;=25,INDEX(Sheet1!G:G,$G1975),INDEX(Sheet1!F:F,$G1975))</f>
        <v>B139</v>
      </c>
      <c r="K1975" s="4" cm="1">
        <f t="array" ref="K1975">INDEX(Sheet1!H:H,$G1975)</f>
        <v>1</v>
      </c>
      <c r="L1975" s="4">
        <f t="shared" si="116"/>
        <v>12</v>
      </c>
      <c r="M1975" s="4">
        <f t="shared" si="117"/>
        <v>0</v>
      </c>
    </row>
    <row r="1976" spans="1:13">
      <c r="A1976" s="4" t="str" cm="1">
        <f t="array" ref="A1976">INDEX(Sheet1!A:A,$F1976)</f>
        <v>F</v>
      </c>
      <c r="B1976" s="4" t="str" cm="1">
        <f t="array" ref="B1976">INDEX(Sheet1!B:B,$F1976)</f>
        <v>Undiff SM</v>
      </c>
      <c r="C1976" s="4">
        <f t="shared" si="114"/>
        <v>38</v>
      </c>
      <c r="D1976" s="5" cm="1">
        <f t="array" aca="1" ref="D1976" ca="1">OFFSET(INDIRECT("'["&amp;$H1976&amp;"]"&amp;$I1976&amp;"'!"&amp;$J1976),$L1976,$M1976)*$K1976</f>
        <v>1.8799999999999999E-3</v>
      </c>
      <c r="F1976" s="4">
        <f t="shared" si="115"/>
        <v>18</v>
      </c>
      <c r="G1976" s="4" cm="1">
        <f t="array" ref="G1976">IF($C1976&gt;=25,F1976,IF($C1976&lt;16,INDEX(Sheet1!C:C,$F1976),$F1976))</f>
        <v>18</v>
      </c>
      <c r="H1976" s="4" t="str" cm="1">
        <f t="array" ref="H1976">INDEX(Sheet1!D:D,$G1976)</f>
        <v>t1141.xlsx</v>
      </c>
      <c r="I1976" s="4" t="str" cm="1">
        <f t="array" ref="I1976">INDEX(Sheet1!E:E,$G1976)</f>
        <v>Sheet1</v>
      </c>
      <c r="J1976" s="4" t="str" cm="1">
        <f t="array" ref="J1976">IF($C1976&gt;=25,INDEX(Sheet1!G:G,$G1976),INDEX(Sheet1!F:F,$G1976))</f>
        <v>B139</v>
      </c>
      <c r="K1976" s="4" cm="1">
        <f t="array" ref="K1976">INDEX(Sheet1!H:H,$G1976)</f>
        <v>1</v>
      </c>
      <c r="L1976" s="4">
        <f t="shared" si="116"/>
        <v>13</v>
      </c>
      <c r="M1976" s="4">
        <f t="shared" si="117"/>
        <v>0</v>
      </c>
    </row>
    <row r="1977" spans="1:13">
      <c r="A1977" s="4" t="str" cm="1">
        <f t="array" ref="A1977">INDEX(Sheet1!A:A,$F1977)</f>
        <v>F</v>
      </c>
      <c r="B1977" s="4" t="str" cm="1">
        <f t="array" ref="B1977">INDEX(Sheet1!B:B,$F1977)</f>
        <v>Undiff SM</v>
      </c>
      <c r="C1977" s="4">
        <f t="shared" si="114"/>
        <v>39</v>
      </c>
      <c r="D1977" s="5" cm="1">
        <f t="array" aca="1" ref="D1977" ca="1">OFFSET(INDIRECT("'["&amp;$H1977&amp;"]"&amp;$I1977&amp;"'!"&amp;$J1977),$L1977,$M1977)*$K1977</f>
        <v>2E-3</v>
      </c>
      <c r="F1977" s="4">
        <f t="shared" si="115"/>
        <v>18</v>
      </c>
      <c r="G1977" s="4" cm="1">
        <f t="array" ref="G1977">IF($C1977&gt;=25,F1977,IF($C1977&lt;16,INDEX(Sheet1!C:C,$F1977),$F1977))</f>
        <v>18</v>
      </c>
      <c r="H1977" s="4" t="str" cm="1">
        <f t="array" ref="H1977">INDEX(Sheet1!D:D,$G1977)</f>
        <v>t1141.xlsx</v>
      </c>
      <c r="I1977" s="4" t="str" cm="1">
        <f t="array" ref="I1977">INDEX(Sheet1!E:E,$G1977)</f>
        <v>Sheet1</v>
      </c>
      <c r="J1977" s="4" t="str" cm="1">
        <f t="array" ref="J1977">IF($C1977&gt;=25,INDEX(Sheet1!G:G,$G1977),INDEX(Sheet1!F:F,$G1977))</f>
        <v>B139</v>
      </c>
      <c r="K1977" s="4" cm="1">
        <f t="array" ref="K1977">INDEX(Sheet1!H:H,$G1977)</f>
        <v>1</v>
      </c>
      <c r="L1977" s="4">
        <f t="shared" si="116"/>
        <v>14</v>
      </c>
      <c r="M1977" s="4">
        <f t="shared" si="117"/>
        <v>0</v>
      </c>
    </row>
    <row r="1978" spans="1:13">
      <c r="A1978" s="4" t="str" cm="1">
        <f t="array" ref="A1978">INDEX(Sheet1!A:A,$F1978)</f>
        <v>F</v>
      </c>
      <c r="B1978" s="4" t="str" cm="1">
        <f t="array" ref="B1978">INDEX(Sheet1!B:B,$F1978)</f>
        <v>Undiff SM</v>
      </c>
      <c r="C1978" s="4">
        <f t="shared" si="114"/>
        <v>40</v>
      </c>
      <c r="D1978" s="5" cm="1">
        <f t="array" aca="1" ref="D1978" ca="1">OFFSET(INDIRECT("'["&amp;$H1978&amp;"]"&amp;$I1978&amp;"'!"&amp;$J1978),$L1978,$M1978)*$K1978</f>
        <v>2.1199999999999999E-3</v>
      </c>
      <c r="F1978" s="4">
        <f t="shared" si="115"/>
        <v>18</v>
      </c>
      <c r="G1978" s="4" cm="1">
        <f t="array" ref="G1978">IF($C1978&gt;=25,F1978,IF($C1978&lt;16,INDEX(Sheet1!C:C,$F1978),$F1978))</f>
        <v>18</v>
      </c>
      <c r="H1978" s="4" t="str" cm="1">
        <f t="array" ref="H1978">INDEX(Sheet1!D:D,$G1978)</f>
        <v>t1141.xlsx</v>
      </c>
      <c r="I1978" s="4" t="str" cm="1">
        <f t="array" ref="I1978">INDEX(Sheet1!E:E,$G1978)</f>
        <v>Sheet1</v>
      </c>
      <c r="J1978" s="4" t="str" cm="1">
        <f t="array" ref="J1978">IF($C1978&gt;=25,INDEX(Sheet1!G:G,$G1978),INDEX(Sheet1!F:F,$G1978))</f>
        <v>B139</v>
      </c>
      <c r="K1978" s="4" cm="1">
        <f t="array" ref="K1978">INDEX(Sheet1!H:H,$G1978)</f>
        <v>1</v>
      </c>
      <c r="L1978" s="4">
        <f t="shared" si="116"/>
        <v>15</v>
      </c>
      <c r="M1978" s="4">
        <f t="shared" si="117"/>
        <v>0</v>
      </c>
    </row>
    <row r="1979" spans="1:13">
      <c r="A1979" s="4" t="str" cm="1">
        <f t="array" ref="A1979">INDEX(Sheet1!A:A,$F1979)</f>
        <v>F</v>
      </c>
      <c r="B1979" s="4" t="str" cm="1">
        <f t="array" ref="B1979">INDEX(Sheet1!B:B,$F1979)</f>
        <v>Undiff SM</v>
      </c>
      <c r="C1979" s="4">
        <f t="shared" si="114"/>
        <v>41</v>
      </c>
      <c r="D1979" s="5" cm="1">
        <f t="array" aca="1" ref="D1979" ca="1">OFFSET(INDIRECT("'["&amp;$H1979&amp;"]"&amp;$I1979&amp;"'!"&amp;$J1979),$L1979,$M1979)*$K1979</f>
        <v>2.2599999999999999E-3</v>
      </c>
      <c r="F1979" s="4">
        <f t="shared" si="115"/>
        <v>18</v>
      </c>
      <c r="G1979" s="4" cm="1">
        <f t="array" ref="G1979">IF($C1979&gt;=25,F1979,IF($C1979&lt;16,INDEX(Sheet1!C:C,$F1979),$F1979))</f>
        <v>18</v>
      </c>
      <c r="H1979" s="4" t="str" cm="1">
        <f t="array" ref="H1979">INDEX(Sheet1!D:D,$G1979)</f>
        <v>t1141.xlsx</v>
      </c>
      <c r="I1979" s="4" t="str" cm="1">
        <f t="array" ref="I1979">INDEX(Sheet1!E:E,$G1979)</f>
        <v>Sheet1</v>
      </c>
      <c r="J1979" s="4" t="str" cm="1">
        <f t="array" ref="J1979">IF($C1979&gt;=25,INDEX(Sheet1!G:G,$G1979),INDEX(Sheet1!F:F,$G1979))</f>
        <v>B139</v>
      </c>
      <c r="K1979" s="4" cm="1">
        <f t="array" ref="K1979">INDEX(Sheet1!H:H,$G1979)</f>
        <v>1</v>
      </c>
      <c r="L1979" s="4">
        <f t="shared" si="116"/>
        <v>16</v>
      </c>
      <c r="M1979" s="4">
        <f t="shared" si="117"/>
        <v>0</v>
      </c>
    </row>
    <row r="1980" spans="1:13">
      <c r="A1980" s="4" t="str" cm="1">
        <f t="array" ref="A1980">INDEX(Sheet1!A:A,$F1980)</f>
        <v>F</v>
      </c>
      <c r="B1980" s="4" t="str" cm="1">
        <f t="array" ref="B1980">INDEX(Sheet1!B:B,$F1980)</f>
        <v>Undiff SM</v>
      </c>
      <c r="C1980" s="4">
        <f t="shared" si="114"/>
        <v>42</v>
      </c>
      <c r="D1980" s="5" cm="1">
        <f t="array" aca="1" ref="D1980" ca="1">OFFSET(INDIRECT("'["&amp;$H1980&amp;"]"&amp;$I1980&amp;"'!"&amp;$J1980),$L1980,$M1980)*$K1980</f>
        <v>2.4299999999999999E-3</v>
      </c>
      <c r="F1980" s="4">
        <f t="shared" si="115"/>
        <v>18</v>
      </c>
      <c r="G1980" s="4" cm="1">
        <f t="array" ref="G1980">IF($C1980&gt;=25,F1980,IF($C1980&lt;16,INDEX(Sheet1!C:C,$F1980),$F1980))</f>
        <v>18</v>
      </c>
      <c r="H1980" s="4" t="str" cm="1">
        <f t="array" ref="H1980">INDEX(Sheet1!D:D,$G1980)</f>
        <v>t1141.xlsx</v>
      </c>
      <c r="I1980" s="4" t="str" cm="1">
        <f t="array" ref="I1980">INDEX(Sheet1!E:E,$G1980)</f>
        <v>Sheet1</v>
      </c>
      <c r="J1980" s="4" t="str" cm="1">
        <f t="array" ref="J1980">IF($C1980&gt;=25,INDEX(Sheet1!G:G,$G1980),INDEX(Sheet1!F:F,$G1980))</f>
        <v>B139</v>
      </c>
      <c r="K1980" s="4" cm="1">
        <f t="array" ref="K1980">INDEX(Sheet1!H:H,$G1980)</f>
        <v>1</v>
      </c>
      <c r="L1980" s="4">
        <f t="shared" si="116"/>
        <v>17</v>
      </c>
      <c r="M1980" s="4">
        <f t="shared" si="117"/>
        <v>0</v>
      </c>
    </row>
    <row r="1981" spans="1:13">
      <c r="A1981" s="4" t="str" cm="1">
        <f t="array" ref="A1981">INDEX(Sheet1!A:A,$F1981)</f>
        <v>F</v>
      </c>
      <c r="B1981" s="4" t="str" cm="1">
        <f t="array" ref="B1981">INDEX(Sheet1!B:B,$F1981)</f>
        <v>Undiff SM</v>
      </c>
      <c r="C1981" s="4">
        <f t="shared" si="114"/>
        <v>43</v>
      </c>
      <c r="D1981" s="5" cm="1">
        <f t="array" aca="1" ref="D1981" ca="1">OFFSET(INDIRECT("'["&amp;$H1981&amp;"]"&amp;$I1981&amp;"'!"&amp;$J1981),$L1981,$M1981)*$K1981</f>
        <v>2.63E-3</v>
      </c>
      <c r="F1981" s="4">
        <f t="shared" si="115"/>
        <v>18</v>
      </c>
      <c r="G1981" s="4" cm="1">
        <f t="array" ref="G1981">IF($C1981&gt;=25,F1981,IF($C1981&lt;16,INDEX(Sheet1!C:C,$F1981),$F1981))</f>
        <v>18</v>
      </c>
      <c r="H1981" s="4" t="str" cm="1">
        <f t="array" ref="H1981">INDEX(Sheet1!D:D,$G1981)</f>
        <v>t1141.xlsx</v>
      </c>
      <c r="I1981" s="4" t="str" cm="1">
        <f t="array" ref="I1981">INDEX(Sheet1!E:E,$G1981)</f>
        <v>Sheet1</v>
      </c>
      <c r="J1981" s="4" t="str" cm="1">
        <f t="array" ref="J1981">IF($C1981&gt;=25,INDEX(Sheet1!G:G,$G1981),INDEX(Sheet1!F:F,$G1981))</f>
        <v>B139</v>
      </c>
      <c r="K1981" s="4" cm="1">
        <f t="array" ref="K1981">INDEX(Sheet1!H:H,$G1981)</f>
        <v>1</v>
      </c>
      <c r="L1981" s="4">
        <f t="shared" si="116"/>
        <v>18</v>
      </c>
      <c r="M1981" s="4">
        <f t="shared" si="117"/>
        <v>0</v>
      </c>
    </row>
    <row r="1982" spans="1:13">
      <c r="A1982" s="4" t="str" cm="1">
        <f t="array" ref="A1982">INDEX(Sheet1!A:A,$F1982)</f>
        <v>F</v>
      </c>
      <c r="B1982" s="4" t="str" cm="1">
        <f t="array" ref="B1982">INDEX(Sheet1!B:B,$F1982)</f>
        <v>Undiff SM</v>
      </c>
      <c r="C1982" s="4">
        <f t="shared" si="114"/>
        <v>44</v>
      </c>
      <c r="D1982" s="5" cm="1">
        <f t="array" aca="1" ref="D1982" ca="1">OFFSET(INDIRECT("'["&amp;$H1982&amp;"]"&amp;$I1982&amp;"'!"&amp;$J1982),$L1982,$M1982)*$K1982</f>
        <v>2.8600000000000001E-3</v>
      </c>
      <c r="F1982" s="4">
        <f t="shared" si="115"/>
        <v>18</v>
      </c>
      <c r="G1982" s="4" cm="1">
        <f t="array" ref="G1982">IF($C1982&gt;=25,F1982,IF($C1982&lt;16,INDEX(Sheet1!C:C,$F1982),$F1982))</f>
        <v>18</v>
      </c>
      <c r="H1982" s="4" t="str" cm="1">
        <f t="array" ref="H1982">INDEX(Sheet1!D:D,$G1982)</f>
        <v>t1141.xlsx</v>
      </c>
      <c r="I1982" s="4" t="str" cm="1">
        <f t="array" ref="I1982">INDEX(Sheet1!E:E,$G1982)</f>
        <v>Sheet1</v>
      </c>
      <c r="J1982" s="4" t="str" cm="1">
        <f t="array" ref="J1982">IF($C1982&gt;=25,INDEX(Sheet1!G:G,$G1982),INDEX(Sheet1!F:F,$G1982))</f>
        <v>B139</v>
      </c>
      <c r="K1982" s="4" cm="1">
        <f t="array" ref="K1982">INDEX(Sheet1!H:H,$G1982)</f>
        <v>1</v>
      </c>
      <c r="L1982" s="4">
        <f t="shared" si="116"/>
        <v>19</v>
      </c>
      <c r="M1982" s="4">
        <f t="shared" si="117"/>
        <v>0</v>
      </c>
    </row>
    <row r="1983" spans="1:13">
      <c r="A1983" s="4" t="str" cm="1">
        <f t="array" ref="A1983">INDEX(Sheet1!A:A,$F1983)</f>
        <v>F</v>
      </c>
      <c r="B1983" s="4" t="str" cm="1">
        <f t="array" ref="B1983">INDEX(Sheet1!B:B,$F1983)</f>
        <v>Undiff SM</v>
      </c>
      <c r="C1983" s="4">
        <f t="shared" si="114"/>
        <v>45</v>
      </c>
      <c r="D1983" s="5" cm="1">
        <f t="array" aca="1" ref="D1983" ca="1">OFFSET(INDIRECT("'["&amp;$H1983&amp;"]"&amp;$I1983&amp;"'!"&amp;$J1983),$L1983,$M1983)*$K1983</f>
        <v>3.13E-3</v>
      </c>
      <c r="F1983" s="4">
        <f t="shared" si="115"/>
        <v>18</v>
      </c>
      <c r="G1983" s="4" cm="1">
        <f t="array" ref="G1983">IF($C1983&gt;=25,F1983,IF($C1983&lt;16,INDEX(Sheet1!C:C,$F1983),$F1983))</f>
        <v>18</v>
      </c>
      <c r="H1983" s="4" t="str" cm="1">
        <f t="array" ref="H1983">INDEX(Sheet1!D:D,$G1983)</f>
        <v>t1141.xlsx</v>
      </c>
      <c r="I1983" s="4" t="str" cm="1">
        <f t="array" ref="I1983">INDEX(Sheet1!E:E,$G1983)</f>
        <v>Sheet1</v>
      </c>
      <c r="J1983" s="4" t="str" cm="1">
        <f t="array" ref="J1983">IF($C1983&gt;=25,INDEX(Sheet1!G:G,$G1983),INDEX(Sheet1!F:F,$G1983))</f>
        <v>B139</v>
      </c>
      <c r="K1983" s="4" cm="1">
        <f t="array" ref="K1983">INDEX(Sheet1!H:H,$G1983)</f>
        <v>1</v>
      </c>
      <c r="L1983" s="4">
        <f t="shared" si="116"/>
        <v>20</v>
      </c>
      <c r="M1983" s="4">
        <f t="shared" si="117"/>
        <v>0</v>
      </c>
    </row>
    <row r="1984" spans="1:13">
      <c r="A1984" s="4" t="str" cm="1">
        <f t="array" ref="A1984">INDEX(Sheet1!A:A,$F1984)</f>
        <v>F</v>
      </c>
      <c r="B1984" s="4" t="str" cm="1">
        <f t="array" ref="B1984">INDEX(Sheet1!B:B,$F1984)</f>
        <v>Undiff SM</v>
      </c>
      <c r="C1984" s="4">
        <f t="shared" si="114"/>
        <v>46</v>
      </c>
      <c r="D1984" s="5" cm="1">
        <f t="array" aca="1" ref="D1984" ca="1">OFFSET(INDIRECT("'["&amp;$H1984&amp;"]"&amp;$I1984&amp;"'!"&amp;$J1984),$L1984,$M1984)*$K1984</f>
        <v>3.4299999999999999E-3</v>
      </c>
      <c r="F1984" s="4">
        <f t="shared" si="115"/>
        <v>18</v>
      </c>
      <c r="G1984" s="4" cm="1">
        <f t="array" ref="G1984">IF($C1984&gt;=25,F1984,IF($C1984&lt;16,INDEX(Sheet1!C:C,$F1984),$F1984))</f>
        <v>18</v>
      </c>
      <c r="H1984" s="4" t="str" cm="1">
        <f t="array" ref="H1984">INDEX(Sheet1!D:D,$G1984)</f>
        <v>t1141.xlsx</v>
      </c>
      <c r="I1984" s="4" t="str" cm="1">
        <f t="array" ref="I1984">INDEX(Sheet1!E:E,$G1984)</f>
        <v>Sheet1</v>
      </c>
      <c r="J1984" s="4" t="str" cm="1">
        <f t="array" ref="J1984">IF($C1984&gt;=25,INDEX(Sheet1!G:G,$G1984),INDEX(Sheet1!F:F,$G1984))</f>
        <v>B139</v>
      </c>
      <c r="K1984" s="4" cm="1">
        <f t="array" ref="K1984">INDEX(Sheet1!H:H,$G1984)</f>
        <v>1</v>
      </c>
      <c r="L1984" s="4">
        <f t="shared" si="116"/>
        <v>21</v>
      </c>
      <c r="M1984" s="4">
        <f t="shared" si="117"/>
        <v>0</v>
      </c>
    </row>
    <row r="1985" spans="1:13">
      <c r="A1985" s="4" t="str" cm="1">
        <f t="array" ref="A1985">INDEX(Sheet1!A:A,$F1985)</f>
        <v>F</v>
      </c>
      <c r="B1985" s="4" t="str" cm="1">
        <f t="array" ref="B1985">INDEX(Sheet1!B:B,$F1985)</f>
        <v>Undiff SM</v>
      </c>
      <c r="C1985" s="4">
        <f t="shared" si="114"/>
        <v>47</v>
      </c>
      <c r="D1985" s="5" cm="1">
        <f t="array" aca="1" ref="D1985" ca="1">OFFSET(INDIRECT("'["&amp;$H1985&amp;"]"&amp;$I1985&amp;"'!"&amp;$J1985),$L1985,$M1985)*$K1985</f>
        <v>3.81E-3</v>
      </c>
      <c r="F1985" s="4">
        <f t="shared" si="115"/>
        <v>18</v>
      </c>
      <c r="G1985" s="4" cm="1">
        <f t="array" ref="G1985">IF($C1985&gt;=25,F1985,IF($C1985&lt;16,INDEX(Sheet1!C:C,$F1985),$F1985))</f>
        <v>18</v>
      </c>
      <c r="H1985" s="4" t="str" cm="1">
        <f t="array" ref="H1985">INDEX(Sheet1!D:D,$G1985)</f>
        <v>t1141.xlsx</v>
      </c>
      <c r="I1985" s="4" t="str" cm="1">
        <f t="array" ref="I1985">INDEX(Sheet1!E:E,$G1985)</f>
        <v>Sheet1</v>
      </c>
      <c r="J1985" s="4" t="str" cm="1">
        <f t="array" ref="J1985">IF($C1985&gt;=25,INDEX(Sheet1!G:G,$G1985),INDEX(Sheet1!F:F,$G1985))</f>
        <v>B139</v>
      </c>
      <c r="K1985" s="4" cm="1">
        <f t="array" ref="K1985">INDEX(Sheet1!H:H,$G1985)</f>
        <v>1</v>
      </c>
      <c r="L1985" s="4">
        <f t="shared" si="116"/>
        <v>22</v>
      </c>
      <c r="M1985" s="4">
        <f t="shared" si="117"/>
        <v>0</v>
      </c>
    </row>
    <row r="1986" spans="1:13">
      <c r="A1986" s="4" t="str" cm="1">
        <f t="array" ref="A1986">INDEX(Sheet1!A:A,$F1986)</f>
        <v>F</v>
      </c>
      <c r="B1986" s="4" t="str" cm="1">
        <f t="array" ref="B1986">INDEX(Sheet1!B:B,$F1986)</f>
        <v>Undiff SM</v>
      </c>
      <c r="C1986" s="4">
        <f t="shared" ref="C1986:C2049" si="118">IF(C1985=120,0,C1985+1)</f>
        <v>48</v>
      </c>
      <c r="D1986" s="5" cm="1">
        <f t="array" aca="1" ref="D1986" ca="1">OFFSET(INDIRECT("'["&amp;$H1986&amp;"]"&amp;$I1986&amp;"'!"&amp;$J1986),$L1986,$M1986)*$K1986</f>
        <v>4.28E-3</v>
      </c>
      <c r="F1986" s="4">
        <f t="shared" ref="F1986:F2049" si="119">IF(C1986=0,1,0)+F1985</f>
        <v>18</v>
      </c>
      <c r="G1986" s="4" cm="1">
        <f t="array" ref="G1986">IF($C1986&gt;=25,F1986,IF($C1986&lt;16,INDEX(Sheet1!C:C,$F1986),$F1986))</f>
        <v>18</v>
      </c>
      <c r="H1986" s="4" t="str" cm="1">
        <f t="array" ref="H1986">INDEX(Sheet1!D:D,$G1986)</f>
        <v>t1141.xlsx</v>
      </c>
      <c r="I1986" s="4" t="str" cm="1">
        <f t="array" ref="I1986">INDEX(Sheet1!E:E,$G1986)</f>
        <v>Sheet1</v>
      </c>
      <c r="J1986" s="4" t="str" cm="1">
        <f t="array" ref="J1986">IF($C1986&gt;=25,INDEX(Sheet1!G:G,$G1986),INDEX(Sheet1!F:F,$G1986))</f>
        <v>B139</v>
      </c>
      <c r="K1986" s="4" cm="1">
        <f t="array" ref="K1986">INDEX(Sheet1!H:H,$G1986)</f>
        <v>1</v>
      </c>
      <c r="L1986" s="4">
        <f t="shared" ref="L1986:L2049" si="120">IF($C1986&gt;=25,$C1986-25,0)</f>
        <v>23</v>
      </c>
      <c r="M1986" s="4">
        <f t="shared" ref="M1986:M2049" si="121">IF($C1986&gt;=25,0,$C1986)</f>
        <v>0</v>
      </c>
    </row>
    <row r="1987" spans="1:13">
      <c r="A1987" s="4" t="str" cm="1">
        <f t="array" ref="A1987">INDEX(Sheet1!A:A,$F1987)</f>
        <v>F</v>
      </c>
      <c r="B1987" s="4" t="str" cm="1">
        <f t="array" ref="B1987">INDEX(Sheet1!B:B,$F1987)</f>
        <v>Undiff SM</v>
      </c>
      <c r="C1987" s="4">
        <f t="shared" si="118"/>
        <v>49</v>
      </c>
      <c r="D1987" s="5" cm="1">
        <f t="array" aca="1" ref="D1987" ca="1">OFFSET(INDIRECT("'["&amp;$H1987&amp;"]"&amp;$I1987&amp;"'!"&amp;$J1987),$L1987,$M1987)*$K1987</f>
        <v>4.81E-3</v>
      </c>
      <c r="F1987" s="4">
        <f t="shared" si="119"/>
        <v>18</v>
      </c>
      <c r="G1987" s="4" cm="1">
        <f t="array" ref="G1987">IF($C1987&gt;=25,F1987,IF($C1987&lt;16,INDEX(Sheet1!C:C,$F1987),$F1987))</f>
        <v>18</v>
      </c>
      <c r="H1987" s="4" t="str" cm="1">
        <f t="array" ref="H1987">INDEX(Sheet1!D:D,$G1987)</f>
        <v>t1141.xlsx</v>
      </c>
      <c r="I1987" s="4" t="str" cm="1">
        <f t="array" ref="I1987">INDEX(Sheet1!E:E,$G1987)</f>
        <v>Sheet1</v>
      </c>
      <c r="J1987" s="4" t="str" cm="1">
        <f t="array" ref="J1987">IF($C1987&gt;=25,INDEX(Sheet1!G:G,$G1987),INDEX(Sheet1!F:F,$G1987))</f>
        <v>B139</v>
      </c>
      <c r="K1987" s="4" cm="1">
        <f t="array" ref="K1987">INDEX(Sheet1!H:H,$G1987)</f>
        <v>1</v>
      </c>
      <c r="L1987" s="4">
        <f t="shared" si="120"/>
        <v>24</v>
      </c>
      <c r="M1987" s="4">
        <f t="shared" si="121"/>
        <v>0</v>
      </c>
    </row>
    <row r="1988" spans="1:13">
      <c r="A1988" s="4" t="str" cm="1">
        <f t="array" ref="A1988">INDEX(Sheet1!A:A,$F1988)</f>
        <v>F</v>
      </c>
      <c r="B1988" s="4" t="str" cm="1">
        <f t="array" ref="B1988">INDEX(Sheet1!B:B,$F1988)</f>
        <v>Undiff SM</v>
      </c>
      <c r="C1988" s="4">
        <f t="shared" si="118"/>
        <v>50</v>
      </c>
      <c r="D1988" s="5" cm="1">
        <f t="array" aca="1" ref="D1988" ca="1">OFFSET(INDIRECT("'["&amp;$H1988&amp;"]"&amp;$I1988&amp;"'!"&amp;$J1988),$L1988,$M1988)*$K1988</f>
        <v>5.3899999999999998E-3</v>
      </c>
      <c r="F1988" s="4">
        <f t="shared" si="119"/>
        <v>18</v>
      </c>
      <c r="G1988" s="4" cm="1">
        <f t="array" ref="G1988">IF($C1988&gt;=25,F1988,IF($C1988&lt;16,INDEX(Sheet1!C:C,$F1988),$F1988))</f>
        <v>18</v>
      </c>
      <c r="H1988" s="4" t="str" cm="1">
        <f t="array" ref="H1988">INDEX(Sheet1!D:D,$G1988)</f>
        <v>t1141.xlsx</v>
      </c>
      <c r="I1988" s="4" t="str" cm="1">
        <f t="array" ref="I1988">INDEX(Sheet1!E:E,$G1988)</f>
        <v>Sheet1</v>
      </c>
      <c r="J1988" s="4" t="str" cm="1">
        <f t="array" ref="J1988">IF($C1988&gt;=25,INDEX(Sheet1!G:G,$G1988),INDEX(Sheet1!F:F,$G1988))</f>
        <v>B139</v>
      </c>
      <c r="K1988" s="4" cm="1">
        <f t="array" ref="K1988">INDEX(Sheet1!H:H,$G1988)</f>
        <v>1</v>
      </c>
      <c r="L1988" s="4">
        <f t="shared" si="120"/>
        <v>25</v>
      </c>
      <c r="M1988" s="4">
        <f t="shared" si="121"/>
        <v>0</v>
      </c>
    </row>
    <row r="1989" spans="1:13">
      <c r="A1989" s="4" t="str" cm="1">
        <f t="array" ref="A1989">INDEX(Sheet1!A:A,$F1989)</f>
        <v>F</v>
      </c>
      <c r="B1989" s="4" t="str" cm="1">
        <f t="array" ref="B1989">INDEX(Sheet1!B:B,$F1989)</f>
        <v>Undiff SM</v>
      </c>
      <c r="C1989" s="4">
        <f t="shared" si="118"/>
        <v>51</v>
      </c>
      <c r="D1989" s="5" cm="1">
        <f t="array" aca="1" ref="D1989" ca="1">OFFSET(INDIRECT("'["&amp;$H1989&amp;"]"&amp;$I1989&amp;"'!"&amp;$J1989),$L1989,$M1989)*$K1989</f>
        <v>6.0200000000000002E-3</v>
      </c>
      <c r="F1989" s="4">
        <f t="shared" si="119"/>
        <v>18</v>
      </c>
      <c r="G1989" s="4" cm="1">
        <f t="array" ref="G1989">IF($C1989&gt;=25,F1989,IF($C1989&lt;16,INDEX(Sheet1!C:C,$F1989),$F1989))</f>
        <v>18</v>
      </c>
      <c r="H1989" s="4" t="str" cm="1">
        <f t="array" ref="H1989">INDEX(Sheet1!D:D,$G1989)</f>
        <v>t1141.xlsx</v>
      </c>
      <c r="I1989" s="4" t="str" cm="1">
        <f t="array" ref="I1989">INDEX(Sheet1!E:E,$G1989)</f>
        <v>Sheet1</v>
      </c>
      <c r="J1989" s="4" t="str" cm="1">
        <f t="array" ref="J1989">IF($C1989&gt;=25,INDEX(Sheet1!G:G,$G1989),INDEX(Sheet1!F:F,$G1989))</f>
        <v>B139</v>
      </c>
      <c r="K1989" s="4" cm="1">
        <f t="array" ref="K1989">INDEX(Sheet1!H:H,$G1989)</f>
        <v>1</v>
      </c>
      <c r="L1989" s="4">
        <f t="shared" si="120"/>
        <v>26</v>
      </c>
      <c r="M1989" s="4">
        <f t="shared" si="121"/>
        <v>0</v>
      </c>
    </row>
    <row r="1990" spans="1:13">
      <c r="A1990" s="4" t="str" cm="1">
        <f t="array" ref="A1990">INDEX(Sheet1!A:A,$F1990)</f>
        <v>F</v>
      </c>
      <c r="B1990" s="4" t="str" cm="1">
        <f t="array" ref="B1990">INDEX(Sheet1!B:B,$F1990)</f>
        <v>Undiff SM</v>
      </c>
      <c r="C1990" s="4">
        <f t="shared" si="118"/>
        <v>52</v>
      </c>
      <c r="D1990" s="5" cm="1">
        <f t="array" aca="1" ref="D1990" ca="1">OFFSET(INDIRECT("'["&amp;$H1990&amp;"]"&amp;$I1990&amp;"'!"&amp;$J1990),$L1990,$M1990)*$K1990</f>
        <v>6.7099999999999998E-3</v>
      </c>
      <c r="F1990" s="4">
        <f t="shared" si="119"/>
        <v>18</v>
      </c>
      <c r="G1990" s="4" cm="1">
        <f t="array" ref="G1990">IF($C1990&gt;=25,F1990,IF($C1990&lt;16,INDEX(Sheet1!C:C,$F1990),$F1990))</f>
        <v>18</v>
      </c>
      <c r="H1990" s="4" t="str" cm="1">
        <f t="array" ref="H1990">INDEX(Sheet1!D:D,$G1990)</f>
        <v>t1141.xlsx</v>
      </c>
      <c r="I1990" s="4" t="str" cm="1">
        <f t="array" ref="I1990">INDEX(Sheet1!E:E,$G1990)</f>
        <v>Sheet1</v>
      </c>
      <c r="J1990" s="4" t="str" cm="1">
        <f t="array" ref="J1990">IF($C1990&gt;=25,INDEX(Sheet1!G:G,$G1990),INDEX(Sheet1!F:F,$G1990))</f>
        <v>B139</v>
      </c>
      <c r="K1990" s="4" cm="1">
        <f t="array" ref="K1990">INDEX(Sheet1!H:H,$G1990)</f>
        <v>1</v>
      </c>
      <c r="L1990" s="4">
        <f t="shared" si="120"/>
        <v>27</v>
      </c>
      <c r="M1990" s="4">
        <f t="shared" si="121"/>
        <v>0</v>
      </c>
    </row>
    <row r="1991" spans="1:13">
      <c r="A1991" s="4" t="str" cm="1">
        <f t="array" ref="A1991">INDEX(Sheet1!A:A,$F1991)</f>
        <v>F</v>
      </c>
      <c r="B1991" s="4" t="str" cm="1">
        <f t="array" ref="B1991">INDEX(Sheet1!B:B,$F1991)</f>
        <v>Undiff SM</v>
      </c>
      <c r="C1991" s="4">
        <f t="shared" si="118"/>
        <v>53</v>
      </c>
      <c r="D1991" s="5" cm="1">
        <f t="array" aca="1" ref="D1991" ca="1">OFFSET(INDIRECT("'["&amp;$H1991&amp;"]"&amp;$I1991&amp;"'!"&amp;$J1991),$L1991,$M1991)*$K1991</f>
        <v>7.4400000000000004E-3</v>
      </c>
      <c r="F1991" s="4">
        <f t="shared" si="119"/>
        <v>18</v>
      </c>
      <c r="G1991" s="4" cm="1">
        <f t="array" ref="G1991">IF($C1991&gt;=25,F1991,IF($C1991&lt;16,INDEX(Sheet1!C:C,$F1991),$F1991))</f>
        <v>18</v>
      </c>
      <c r="H1991" s="4" t="str" cm="1">
        <f t="array" ref="H1991">INDEX(Sheet1!D:D,$G1991)</f>
        <v>t1141.xlsx</v>
      </c>
      <c r="I1991" s="4" t="str" cm="1">
        <f t="array" ref="I1991">INDEX(Sheet1!E:E,$G1991)</f>
        <v>Sheet1</v>
      </c>
      <c r="J1991" s="4" t="str" cm="1">
        <f t="array" ref="J1991">IF($C1991&gt;=25,INDEX(Sheet1!G:G,$G1991),INDEX(Sheet1!F:F,$G1991))</f>
        <v>B139</v>
      </c>
      <c r="K1991" s="4" cm="1">
        <f t="array" ref="K1991">INDEX(Sheet1!H:H,$G1991)</f>
        <v>1</v>
      </c>
      <c r="L1991" s="4">
        <f t="shared" si="120"/>
        <v>28</v>
      </c>
      <c r="M1991" s="4">
        <f t="shared" si="121"/>
        <v>0</v>
      </c>
    </row>
    <row r="1992" spans="1:13">
      <c r="A1992" s="4" t="str" cm="1">
        <f t="array" ref="A1992">INDEX(Sheet1!A:A,$F1992)</f>
        <v>F</v>
      </c>
      <c r="B1992" s="4" t="str" cm="1">
        <f t="array" ref="B1992">INDEX(Sheet1!B:B,$F1992)</f>
        <v>Undiff SM</v>
      </c>
      <c r="C1992" s="4">
        <f t="shared" si="118"/>
        <v>54</v>
      </c>
      <c r="D1992" s="5" cm="1">
        <f t="array" aca="1" ref="D1992" ca="1">OFFSET(INDIRECT("'["&amp;$H1992&amp;"]"&amp;$I1992&amp;"'!"&amp;$J1992),$L1992,$M1992)*$K1992</f>
        <v>8.2400000000000008E-3</v>
      </c>
      <c r="F1992" s="4">
        <f t="shared" si="119"/>
        <v>18</v>
      </c>
      <c r="G1992" s="4" cm="1">
        <f t="array" ref="G1992">IF($C1992&gt;=25,F1992,IF($C1992&lt;16,INDEX(Sheet1!C:C,$F1992),$F1992))</f>
        <v>18</v>
      </c>
      <c r="H1992" s="4" t="str" cm="1">
        <f t="array" ref="H1992">INDEX(Sheet1!D:D,$G1992)</f>
        <v>t1141.xlsx</v>
      </c>
      <c r="I1992" s="4" t="str" cm="1">
        <f t="array" ref="I1992">INDEX(Sheet1!E:E,$G1992)</f>
        <v>Sheet1</v>
      </c>
      <c r="J1992" s="4" t="str" cm="1">
        <f t="array" ref="J1992">IF($C1992&gt;=25,INDEX(Sheet1!G:G,$G1992),INDEX(Sheet1!F:F,$G1992))</f>
        <v>B139</v>
      </c>
      <c r="K1992" s="4" cm="1">
        <f t="array" ref="K1992">INDEX(Sheet1!H:H,$G1992)</f>
        <v>1</v>
      </c>
      <c r="L1992" s="4">
        <f t="shared" si="120"/>
        <v>29</v>
      </c>
      <c r="M1992" s="4">
        <f t="shared" si="121"/>
        <v>0</v>
      </c>
    </row>
    <row r="1993" spans="1:13">
      <c r="A1993" s="4" t="str" cm="1">
        <f t="array" ref="A1993">INDEX(Sheet1!A:A,$F1993)</f>
        <v>F</v>
      </c>
      <c r="B1993" s="4" t="str" cm="1">
        <f t="array" ref="B1993">INDEX(Sheet1!B:B,$F1993)</f>
        <v>Undiff SM</v>
      </c>
      <c r="C1993" s="4">
        <f t="shared" si="118"/>
        <v>55</v>
      </c>
      <c r="D1993" s="5" cm="1">
        <f t="array" aca="1" ref="D1993" ca="1">OFFSET(INDIRECT("'["&amp;$H1993&amp;"]"&amp;$I1993&amp;"'!"&amp;$J1993),$L1993,$M1993)*$K1993</f>
        <v>9.0799999999999995E-3</v>
      </c>
      <c r="F1993" s="4">
        <f t="shared" si="119"/>
        <v>18</v>
      </c>
      <c r="G1993" s="4" cm="1">
        <f t="array" ref="G1993">IF($C1993&gt;=25,F1993,IF($C1993&lt;16,INDEX(Sheet1!C:C,$F1993),$F1993))</f>
        <v>18</v>
      </c>
      <c r="H1993" s="4" t="str" cm="1">
        <f t="array" ref="H1993">INDEX(Sheet1!D:D,$G1993)</f>
        <v>t1141.xlsx</v>
      </c>
      <c r="I1993" s="4" t="str" cm="1">
        <f t="array" ref="I1993">INDEX(Sheet1!E:E,$G1993)</f>
        <v>Sheet1</v>
      </c>
      <c r="J1993" s="4" t="str" cm="1">
        <f t="array" ref="J1993">IF($C1993&gt;=25,INDEX(Sheet1!G:G,$G1993),INDEX(Sheet1!F:F,$G1993))</f>
        <v>B139</v>
      </c>
      <c r="K1993" s="4" cm="1">
        <f t="array" ref="K1993">INDEX(Sheet1!H:H,$G1993)</f>
        <v>1</v>
      </c>
      <c r="L1993" s="4">
        <f t="shared" si="120"/>
        <v>30</v>
      </c>
      <c r="M1993" s="4">
        <f t="shared" si="121"/>
        <v>0</v>
      </c>
    </row>
    <row r="1994" spans="1:13">
      <c r="A1994" s="4" t="str" cm="1">
        <f t="array" ref="A1994">INDEX(Sheet1!A:A,$F1994)</f>
        <v>F</v>
      </c>
      <c r="B1994" s="4" t="str" cm="1">
        <f t="array" ref="B1994">INDEX(Sheet1!B:B,$F1994)</f>
        <v>Undiff SM</v>
      </c>
      <c r="C1994" s="4">
        <f t="shared" si="118"/>
        <v>56</v>
      </c>
      <c r="D1994" s="5" cm="1">
        <f t="array" aca="1" ref="D1994" ca="1">OFFSET(INDIRECT("'["&amp;$H1994&amp;"]"&amp;$I1994&amp;"'!"&amp;$J1994),$L1994,$M1994)*$K1994</f>
        <v>9.9799999999999993E-3</v>
      </c>
      <c r="F1994" s="4">
        <f t="shared" si="119"/>
        <v>18</v>
      </c>
      <c r="G1994" s="4" cm="1">
        <f t="array" ref="G1994">IF($C1994&gt;=25,F1994,IF($C1994&lt;16,INDEX(Sheet1!C:C,$F1994),$F1994))</f>
        <v>18</v>
      </c>
      <c r="H1994" s="4" t="str" cm="1">
        <f t="array" ref="H1994">INDEX(Sheet1!D:D,$G1994)</f>
        <v>t1141.xlsx</v>
      </c>
      <c r="I1994" s="4" t="str" cm="1">
        <f t="array" ref="I1994">INDEX(Sheet1!E:E,$G1994)</f>
        <v>Sheet1</v>
      </c>
      <c r="J1994" s="4" t="str" cm="1">
        <f t="array" ref="J1994">IF($C1994&gt;=25,INDEX(Sheet1!G:G,$G1994),INDEX(Sheet1!F:F,$G1994))</f>
        <v>B139</v>
      </c>
      <c r="K1994" s="4" cm="1">
        <f t="array" ref="K1994">INDEX(Sheet1!H:H,$G1994)</f>
        <v>1</v>
      </c>
      <c r="L1994" s="4">
        <f t="shared" si="120"/>
        <v>31</v>
      </c>
      <c r="M1994" s="4">
        <f t="shared" si="121"/>
        <v>0</v>
      </c>
    </row>
    <row r="1995" spans="1:13">
      <c r="A1995" s="4" t="str" cm="1">
        <f t="array" ref="A1995">INDEX(Sheet1!A:A,$F1995)</f>
        <v>F</v>
      </c>
      <c r="B1995" s="4" t="str" cm="1">
        <f t="array" ref="B1995">INDEX(Sheet1!B:B,$F1995)</f>
        <v>Undiff SM</v>
      </c>
      <c r="C1995" s="4">
        <f t="shared" si="118"/>
        <v>57</v>
      </c>
      <c r="D1995" s="5" cm="1">
        <f t="array" aca="1" ref="D1995" ca="1">OFFSET(INDIRECT("'["&amp;$H1995&amp;"]"&amp;$I1995&amp;"'!"&amp;$J1995),$L1995,$M1995)*$K1995</f>
        <v>1.094E-2</v>
      </c>
      <c r="F1995" s="4">
        <f t="shared" si="119"/>
        <v>18</v>
      </c>
      <c r="G1995" s="4" cm="1">
        <f t="array" ref="G1995">IF($C1995&gt;=25,F1995,IF($C1995&lt;16,INDEX(Sheet1!C:C,$F1995),$F1995))</f>
        <v>18</v>
      </c>
      <c r="H1995" s="4" t="str" cm="1">
        <f t="array" ref="H1995">INDEX(Sheet1!D:D,$G1995)</f>
        <v>t1141.xlsx</v>
      </c>
      <c r="I1995" s="4" t="str" cm="1">
        <f t="array" ref="I1995">INDEX(Sheet1!E:E,$G1995)</f>
        <v>Sheet1</v>
      </c>
      <c r="J1995" s="4" t="str" cm="1">
        <f t="array" ref="J1995">IF($C1995&gt;=25,INDEX(Sheet1!G:G,$G1995),INDEX(Sheet1!F:F,$G1995))</f>
        <v>B139</v>
      </c>
      <c r="K1995" s="4" cm="1">
        <f t="array" ref="K1995">INDEX(Sheet1!H:H,$G1995)</f>
        <v>1</v>
      </c>
      <c r="L1995" s="4">
        <f t="shared" si="120"/>
        <v>32</v>
      </c>
      <c r="M1995" s="4">
        <f t="shared" si="121"/>
        <v>0</v>
      </c>
    </row>
    <row r="1996" spans="1:13">
      <c r="A1996" s="4" t="str" cm="1">
        <f t="array" ref="A1996">INDEX(Sheet1!A:A,$F1996)</f>
        <v>F</v>
      </c>
      <c r="B1996" s="4" t="str" cm="1">
        <f t="array" ref="B1996">INDEX(Sheet1!B:B,$F1996)</f>
        <v>Undiff SM</v>
      </c>
      <c r="C1996" s="4">
        <f t="shared" si="118"/>
        <v>58</v>
      </c>
      <c r="D1996" s="5" cm="1">
        <f t="array" aca="1" ref="D1996" ca="1">OFFSET(INDIRECT("'["&amp;$H1996&amp;"]"&amp;$I1996&amp;"'!"&amp;$J1996),$L1996,$M1996)*$K1996</f>
        <v>1.187E-2</v>
      </c>
      <c r="F1996" s="4">
        <f t="shared" si="119"/>
        <v>18</v>
      </c>
      <c r="G1996" s="4" cm="1">
        <f t="array" ref="G1996">IF($C1996&gt;=25,F1996,IF($C1996&lt;16,INDEX(Sheet1!C:C,$F1996),$F1996))</f>
        <v>18</v>
      </c>
      <c r="H1996" s="4" t="str" cm="1">
        <f t="array" ref="H1996">INDEX(Sheet1!D:D,$G1996)</f>
        <v>t1141.xlsx</v>
      </c>
      <c r="I1996" s="4" t="str" cm="1">
        <f t="array" ref="I1996">INDEX(Sheet1!E:E,$G1996)</f>
        <v>Sheet1</v>
      </c>
      <c r="J1996" s="4" t="str" cm="1">
        <f t="array" ref="J1996">IF($C1996&gt;=25,INDEX(Sheet1!G:G,$G1996),INDEX(Sheet1!F:F,$G1996))</f>
        <v>B139</v>
      </c>
      <c r="K1996" s="4" cm="1">
        <f t="array" ref="K1996">INDEX(Sheet1!H:H,$G1996)</f>
        <v>1</v>
      </c>
      <c r="L1996" s="4">
        <f t="shared" si="120"/>
        <v>33</v>
      </c>
      <c r="M1996" s="4">
        <f t="shared" si="121"/>
        <v>0</v>
      </c>
    </row>
    <row r="1997" spans="1:13">
      <c r="A1997" s="4" t="str" cm="1">
        <f t="array" ref="A1997">INDEX(Sheet1!A:A,$F1997)</f>
        <v>F</v>
      </c>
      <c r="B1997" s="4" t="str" cm="1">
        <f t="array" ref="B1997">INDEX(Sheet1!B:B,$F1997)</f>
        <v>Undiff SM</v>
      </c>
      <c r="C1997" s="4">
        <f t="shared" si="118"/>
        <v>59</v>
      </c>
      <c r="D1997" s="5" cm="1">
        <f t="array" aca="1" ref="D1997" ca="1">OFFSET(INDIRECT("'["&amp;$H1997&amp;"]"&amp;$I1997&amp;"'!"&amp;$J1997),$L1997,$M1997)*$K1997</f>
        <v>1.29E-2</v>
      </c>
      <c r="F1997" s="4">
        <f t="shared" si="119"/>
        <v>18</v>
      </c>
      <c r="G1997" s="4" cm="1">
        <f t="array" ref="G1997">IF($C1997&gt;=25,F1997,IF($C1997&lt;16,INDEX(Sheet1!C:C,$F1997),$F1997))</f>
        <v>18</v>
      </c>
      <c r="H1997" s="4" t="str" cm="1">
        <f t="array" ref="H1997">INDEX(Sheet1!D:D,$G1997)</f>
        <v>t1141.xlsx</v>
      </c>
      <c r="I1997" s="4" t="str" cm="1">
        <f t="array" ref="I1997">INDEX(Sheet1!E:E,$G1997)</f>
        <v>Sheet1</v>
      </c>
      <c r="J1997" s="4" t="str" cm="1">
        <f t="array" ref="J1997">IF($C1997&gt;=25,INDEX(Sheet1!G:G,$G1997),INDEX(Sheet1!F:F,$G1997))</f>
        <v>B139</v>
      </c>
      <c r="K1997" s="4" cm="1">
        <f t="array" ref="K1997">INDEX(Sheet1!H:H,$G1997)</f>
        <v>1</v>
      </c>
      <c r="L1997" s="4">
        <f t="shared" si="120"/>
        <v>34</v>
      </c>
      <c r="M1997" s="4">
        <f t="shared" si="121"/>
        <v>0</v>
      </c>
    </row>
    <row r="1998" spans="1:13">
      <c r="A1998" s="4" t="str" cm="1">
        <f t="array" ref="A1998">INDEX(Sheet1!A:A,$F1998)</f>
        <v>F</v>
      </c>
      <c r="B1998" s="4" t="str" cm="1">
        <f t="array" ref="B1998">INDEX(Sheet1!B:B,$F1998)</f>
        <v>Undiff SM</v>
      </c>
      <c r="C1998" s="4">
        <f t="shared" si="118"/>
        <v>60</v>
      </c>
      <c r="D1998" s="5" cm="1">
        <f t="array" aca="1" ref="D1998" ca="1">OFFSET(INDIRECT("'["&amp;$H1998&amp;"]"&amp;$I1998&amp;"'!"&amp;$J1998),$L1998,$M1998)*$K1998</f>
        <v>1.397E-2</v>
      </c>
      <c r="F1998" s="4">
        <f t="shared" si="119"/>
        <v>18</v>
      </c>
      <c r="G1998" s="4" cm="1">
        <f t="array" ref="G1998">IF($C1998&gt;=25,F1998,IF($C1998&lt;16,INDEX(Sheet1!C:C,$F1998),$F1998))</f>
        <v>18</v>
      </c>
      <c r="H1998" s="4" t="str" cm="1">
        <f t="array" ref="H1998">INDEX(Sheet1!D:D,$G1998)</f>
        <v>t1141.xlsx</v>
      </c>
      <c r="I1998" s="4" t="str" cm="1">
        <f t="array" ref="I1998">INDEX(Sheet1!E:E,$G1998)</f>
        <v>Sheet1</v>
      </c>
      <c r="J1998" s="4" t="str" cm="1">
        <f t="array" ref="J1998">IF($C1998&gt;=25,INDEX(Sheet1!G:G,$G1998),INDEX(Sheet1!F:F,$G1998))</f>
        <v>B139</v>
      </c>
      <c r="K1998" s="4" cm="1">
        <f t="array" ref="K1998">INDEX(Sheet1!H:H,$G1998)</f>
        <v>1</v>
      </c>
      <c r="L1998" s="4">
        <f t="shared" si="120"/>
        <v>35</v>
      </c>
      <c r="M1998" s="4">
        <f t="shared" si="121"/>
        <v>0</v>
      </c>
    </row>
    <row r="1999" spans="1:13">
      <c r="A1999" s="4" t="str" cm="1">
        <f t="array" ref="A1999">INDEX(Sheet1!A:A,$F1999)</f>
        <v>F</v>
      </c>
      <c r="B1999" s="4" t="str" cm="1">
        <f t="array" ref="B1999">INDEX(Sheet1!B:B,$F1999)</f>
        <v>Undiff SM</v>
      </c>
      <c r="C1999" s="4">
        <f t="shared" si="118"/>
        <v>61</v>
      </c>
      <c r="D1999" s="5" cm="1">
        <f t="array" aca="1" ref="D1999" ca="1">OFFSET(INDIRECT("'["&amp;$H1999&amp;"]"&amp;$I1999&amp;"'!"&amp;$J1999),$L1999,$M1999)*$K1999</f>
        <v>1.508E-2</v>
      </c>
      <c r="F1999" s="4">
        <f t="shared" si="119"/>
        <v>18</v>
      </c>
      <c r="G1999" s="4" cm="1">
        <f t="array" ref="G1999">IF($C1999&gt;=25,F1999,IF($C1999&lt;16,INDEX(Sheet1!C:C,$F1999),$F1999))</f>
        <v>18</v>
      </c>
      <c r="H1999" s="4" t="str" cm="1">
        <f t="array" ref="H1999">INDEX(Sheet1!D:D,$G1999)</f>
        <v>t1141.xlsx</v>
      </c>
      <c r="I1999" s="4" t="str" cm="1">
        <f t="array" ref="I1999">INDEX(Sheet1!E:E,$G1999)</f>
        <v>Sheet1</v>
      </c>
      <c r="J1999" s="4" t="str" cm="1">
        <f t="array" ref="J1999">IF($C1999&gt;=25,INDEX(Sheet1!G:G,$G1999),INDEX(Sheet1!F:F,$G1999))</f>
        <v>B139</v>
      </c>
      <c r="K1999" s="4" cm="1">
        <f t="array" ref="K1999">INDEX(Sheet1!H:H,$G1999)</f>
        <v>1</v>
      </c>
      <c r="L1999" s="4">
        <f t="shared" si="120"/>
        <v>36</v>
      </c>
      <c r="M1999" s="4">
        <f t="shared" si="121"/>
        <v>0</v>
      </c>
    </row>
    <row r="2000" spans="1:13">
      <c r="A2000" s="4" t="str" cm="1">
        <f t="array" ref="A2000">INDEX(Sheet1!A:A,$F2000)</f>
        <v>F</v>
      </c>
      <c r="B2000" s="4" t="str" cm="1">
        <f t="array" ref="B2000">INDEX(Sheet1!B:B,$F2000)</f>
        <v>Undiff SM</v>
      </c>
      <c r="C2000" s="4">
        <f t="shared" si="118"/>
        <v>62</v>
      </c>
      <c r="D2000" s="5" cm="1">
        <f t="array" aca="1" ref="D2000" ca="1">OFFSET(INDIRECT("'["&amp;$H2000&amp;"]"&amp;$I2000&amp;"'!"&amp;$J2000),$L2000,$M2000)*$K2000</f>
        <v>1.6330000000000001E-2</v>
      </c>
      <c r="F2000" s="4">
        <f t="shared" si="119"/>
        <v>18</v>
      </c>
      <c r="G2000" s="4" cm="1">
        <f t="array" ref="G2000">IF($C2000&gt;=25,F2000,IF($C2000&lt;16,INDEX(Sheet1!C:C,$F2000),$F2000))</f>
        <v>18</v>
      </c>
      <c r="H2000" s="4" t="str" cm="1">
        <f t="array" ref="H2000">INDEX(Sheet1!D:D,$G2000)</f>
        <v>t1141.xlsx</v>
      </c>
      <c r="I2000" s="4" t="str" cm="1">
        <f t="array" ref="I2000">INDEX(Sheet1!E:E,$G2000)</f>
        <v>Sheet1</v>
      </c>
      <c r="J2000" s="4" t="str" cm="1">
        <f t="array" ref="J2000">IF($C2000&gt;=25,INDEX(Sheet1!G:G,$G2000),INDEX(Sheet1!F:F,$G2000))</f>
        <v>B139</v>
      </c>
      <c r="K2000" s="4" cm="1">
        <f t="array" ref="K2000">INDEX(Sheet1!H:H,$G2000)</f>
        <v>1</v>
      </c>
      <c r="L2000" s="4">
        <f t="shared" si="120"/>
        <v>37</v>
      </c>
      <c r="M2000" s="4">
        <f t="shared" si="121"/>
        <v>0</v>
      </c>
    </row>
    <row r="2001" spans="1:13">
      <c r="A2001" s="4" t="str" cm="1">
        <f t="array" ref="A2001">INDEX(Sheet1!A:A,$F2001)</f>
        <v>F</v>
      </c>
      <c r="B2001" s="4" t="str" cm="1">
        <f t="array" ref="B2001">INDEX(Sheet1!B:B,$F2001)</f>
        <v>Undiff SM</v>
      </c>
      <c r="C2001" s="4">
        <f t="shared" si="118"/>
        <v>63</v>
      </c>
      <c r="D2001" s="5" cm="1">
        <f t="array" aca="1" ref="D2001" ca="1">OFFSET(INDIRECT("'["&amp;$H2001&amp;"]"&amp;$I2001&amp;"'!"&amp;$J2001),$L2001,$M2001)*$K2001</f>
        <v>1.7579999999999998E-2</v>
      </c>
      <c r="F2001" s="4">
        <f t="shared" si="119"/>
        <v>18</v>
      </c>
      <c r="G2001" s="4" cm="1">
        <f t="array" ref="G2001">IF($C2001&gt;=25,F2001,IF($C2001&lt;16,INDEX(Sheet1!C:C,$F2001),$F2001))</f>
        <v>18</v>
      </c>
      <c r="H2001" s="4" t="str" cm="1">
        <f t="array" ref="H2001">INDEX(Sheet1!D:D,$G2001)</f>
        <v>t1141.xlsx</v>
      </c>
      <c r="I2001" s="4" t="str" cm="1">
        <f t="array" ref="I2001">INDEX(Sheet1!E:E,$G2001)</f>
        <v>Sheet1</v>
      </c>
      <c r="J2001" s="4" t="str" cm="1">
        <f t="array" ref="J2001">IF($C2001&gt;=25,INDEX(Sheet1!G:G,$G2001),INDEX(Sheet1!F:F,$G2001))</f>
        <v>B139</v>
      </c>
      <c r="K2001" s="4" cm="1">
        <f t="array" ref="K2001">INDEX(Sheet1!H:H,$G2001)</f>
        <v>1</v>
      </c>
      <c r="L2001" s="4">
        <f t="shared" si="120"/>
        <v>38</v>
      </c>
      <c r="M2001" s="4">
        <f t="shared" si="121"/>
        <v>0</v>
      </c>
    </row>
    <row r="2002" spans="1:13">
      <c r="A2002" s="4" t="str" cm="1">
        <f t="array" ref="A2002">INDEX(Sheet1!A:A,$F2002)</f>
        <v>F</v>
      </c>
      <c r="B2002" s="4" t="str" cm="1">
        <f t="array" ref="B2002">INDEX(Sheet1!B:B,$F2002)</f>
        <v>Undiff SM</v>
      </c>
      <c r="C2002" s="4">
        <f t="shared" si="118"/>
        <v>64</v>
      </c>
      <c r="D2002" s="5" cm="1">
        <f t="array" aca="1" ref="D2002" ca="1">OFFSET(INDIRECT("'["&amp;$H2002&amp;"]"&amp;$I2002&amp;"'!"&amp;$J2002),$L2002,$M2002)*$K2002</f>
        <v>1.89E-2</v>
      </c>
      <c r="F2002" s="4">
        <f t="shared" si="119"/>
        <v>18</v>
      </c>
      <c r="G2002" s="4" cm="1">
        <f t="array" ref="G2002">IF($C2002&gt;=25,F2002,IF($C2002&lt;16,INDEX(Sheet1!C:C,$F2002),$F2002))</f>
        <v>18</v>
      </c>
      <c r="H2002" s="4" t="str" cm="1">
        <f t="array" ref="H2002">INDEX(Sheet1!D:D,$G2002)</f>
        <v>t1141.xlsx</v>
      </c>
      <c r="I2002" s="4" t="str" cm="1">
        <f t="array" ref="I2002">INDEX(Sheet1!E:E,$G2002)</f>
        <v>Sheet1</v>
      </c>
      <c r="J2002" s="4" t="str" cm="1">
        <f t="array" ref="J2002">IF($C2002&gt;=25,INDEX(Sheet1!G:G,$G2002),INDEX(Sheet1!F:F,$G2002))</f>
        <v>B139</v>
      </c>
      <c r="K2002" s="4" cm="1">
        <f t="array" ref="K2002">INDEX(Sheet1!H:H,$G2002)</f>
        <v>1</v>
      </c>
      <c r="L2002" s="4">
        <f t="shared" si="120"/>
        <v>39</v>
      </c>
      <c r="M2002" s="4">
        <f t="shared" si="121"/>
        <v>0</v>
      </c>
    </row>
    <row r="2003" spans="1:13">
      <c r="A2003" s="4" t="str" cm="1">
        <f t="array" ref="A2003">INDEX(Sheet1!A:A,$F2003)</f>
        <v>F</v>
      </c>
      <c r="B2003" s="4" t="str" cm="1">
        <f t="array" ref="B2003">INDEX(Sheet1!B:B,$F2003)</f>
        <v>Undiff SM</v>
      </c>
      <c r="C2003" s="4">
        <f t="shared" si="118"/>
        <v>65</v>
      </c>
      <c r="D2003" s="5" cm="1">
        <f t="array" aca="1" ref="D2003" ca="1">OFFSET(INDIRECT("'["&amp;$H2003&amp;"]"&amp;$I2003&amp;"'!"&amp;$J2003),$L2003,$M2003)*$K2003</f>
        <v>2.034E-2</v>
      </c>
      <c r="F2003" s="4">
        <f t="shared" si="119"/>
        <v>18</v>
      </c>
      <c r="G2003" s="4" cm="1">
        <f t="array" ref="G2003">IF($C2003&gt;=25,F2003,IF($C2003&lt;16,INDEX(Sheet1!C:C,$F2003),$F2003))</f>
        <v>18</v>
      </c>
      <c r="H2003" s="4" t="str" cm="1">
        <f t="array" ref="H2003">INDEX(Sheet1!D:D,$G2003)</f>
        <v>t1141.xlsx</v>
      </c>
      <c r="I2003" s="4" t="str" cm="1">
        <f t="array" ref="I2003">INDEX(Sheet1!E:E,$G2003)</f>
        <v>Sheet1</v>
      </c>
      <c r="J2003" s="4" t="str" cm="1">
        <f t="array" ref="J2003">IF($C2003&gt;=25,INDEX(Sheet1!G:G,$G2003),INDEX(Sheet1!F:F,$G2003))</f>
        <v>B139</v>
      </c>
      <c r="K2003" s="4" cm="1">
        <f t="array" ref="K2003">INDEX(Sheet1!H:H,$G2003)</f>
        <v>1</v>
      </c>
      <c r="L2003" s="4">
        <f t="shared" si="120"/>
        <v>40</v>
      </c>
      <c r="M2003" s="4">
        <f t="shared" si="121"/>
        <v>0</v>
      </c>
    </row>
    <row r="2004" spans="1:13">
      <c r="A2004" s="4" t="str" cm="1">
        <f t="array" ref="A2004">INDEX(Sheet1!A:A,$F2004)</f>
        <v>F</v>
      </c>
      <c r="B2004" s="4" t="str" cm="1">
        <f t="array" ref="B2004">INDEX(Sheet1!B:B,$F2004)</f>
        <v>Undiff SM</v>
      </c>
      <c r="C2004" s="4">
        <f t="shared" si="118"/>
        <v>66</v>
      </c>
      <c r="D2004" s="5" cm="1">
        <f t="array" aca="1" ref="D2004" ca="1">OFFSET(INDIRECT("'["&amp;$H2004&amp;"]"&amp;$I2004&amp;"'!"&amp;$J2004),$L2004,$M2004)*$K2004</f>
        <v>2.1870000000000001E-2</v>
      </c>
      <c r="F2004" s="4">
        <f t="shared" si="119"/>
        <v>18</v>
      </c>
      <c r="G2004" s="4" cm="1">
        <f t="array" ref="G2004">IF($C2004&gt;=25,F2004,IF($C2004&lt;16,INDEX(Sheet1!C:C,$F2004),$F2004))</f>
        <v>18</v>
      </c>
      <c r="H2004" s="4" t="str" cm="1">
        <f t="array" ref="H2004">INDEX(Sheet1!D:D,$G2004)</f>
        <v>t1141.xlsx</v>
      </c>
      <c r="I2004" s="4" t="str" cm="1">
        <f t="array" ref="I2004">INDEX(Sheet1!E:E,$G2004)</f>
        <v>Sheet1</v>
      </c>
      <c r="J2004" s="4" t="str" cm="1">
        <f t="array" ref="J2004">IF($C2004&gt;=25,INDEX(Sheet1!G:G,$G2004),INDEX(Sheet1!F:F,$G2004))</f>
        <v>B139</v>
      </c>
      <c r="K2004" s="4" cm="1">
        <f t="array" ref="K2004">INDEX(Sheet1!H:H,$G2004)</f>
        <v>1</v>
      </c>
      <c r="L2004" s="4">
        <f t="shared" si="120"/>
        <v>41</v>
      </c>
      <c r="M2004" s="4">
        <f t="shared" si="121"/>
        <v>0</v>
      </c>
    </row>
    <row r="2005" spans="1:13">
      <c r="A2005" s="4" t="str" cm="1">
        <f t="array" ref="A2005">INDEX(Sheet1!A:A,$F2005)</f>
        <v>F</v>
      </c>
      <c r="B2005" s="4" t="str" cm="1">
        <f t="array" ref="B2005">INDEX(Sheet1!B:B,$F2005)</f>
        <v>Undiff SM</v>
      </c>
      <c r="C2005" s="4">
        <f t="shared" si="118"/>
        <v>67</v>
      </c>
      <c r="D2005" s="5" cm="1">
        <f t="array" aca="1" ref="D2005" ca="1">OFFSET(INDIRECT("'["&amp;$H2005&amp;"]"&amp;$I2005&amp;"'!"&amp;$J2005),$L2005,$M2005)*$K2005</f>
        <v>2.359E-2</v>
      </c>
      <c r="F2005" s="4">
        <f t="shared" si="119"/>
        <v>18</v>
      </c>
      <c r="G2005" s="4" cm="1">
        <f t="array" ref="G2005">IF($C2005&gt;=25,F2005,IF($C2005&lt;16,INDEX(Sheet1!C:C,$F2005),$F2005))</f>
        <v>18</v>
      </c>
      <c r="H2005" s="4" t="str" cm="1">
        <f t="array" ref="H2005">INDEX(Sheet1!D:D,$G2005)</f>
        <v>t1141.xlsx</v>
      </c>
      <c r="I2005" s="4" t="str" cm="1">
        <f t="array" ref="I2005">INDEX(Sheet1!E:E,$G2005)</f>
        <v>Sheet1</v>
      </c>
      <c r="J2005" s="4" t="str" cm="1">
        <f t="array" ref="J2005">IF($C2005&gt;=25,INDEX(Sheet1!G:G,$G2005),INDEX(Sheet1!F:F,$G2005))</f>
        <v>B139</v>
      </c>
      <c r="K2005" s="4" cm="1">
        <f t="array" ref="K2005">INDEX(Sheet1!H:H,$G2005)</f>
        <v>1</v>
      </c>
      <c r="L2005" s="4">
        <f t="shared" si="120"/>
        <v>42</v>
      </c>
      <c r="M2005" s="4">
        <f t="shared" si="121"/>
        <v>0</v>
      </c>
    </row>
    <row r="2006" spans="1:13">
      <c r="A2006" s="4" t="str" cm="1">
        <f t="array" ref="A2006">INDEX(Sheet1!A:A,$F2006)</f>
        <v>F</v>
      </c>
      <c r="B2006" s="4" t="str" cm="1">
        <f t="array" ref="B2006">INDEX(Sheet1!B:B,$F2006)</f>
        <v>Undiff SM</v>
      </c>
      <c r="C2006" s="4">
        <f t="shared" si="118"/>
        <v>68</v>
      </c>
      <c r="D2006" s="5" cm="1">
        <f t="array" aca="1" ref="D2006" ca="1">OFFSET(INDIRECT("'["&amp;$H2006&amp;"]"&amp;$I2006&amp;"'!"&amp;$J2006),$L2006,$M2006)*$K2006</f>
        <v>2.5479999999999999E-2</v>
      </c>
      <c r="F2006" s="4">
        <f t="shared" si="119"/>
        <v>18</v>
      </c>
      <c r="G2006" s="4" cm="1">
        <f t="array" ref="G2006">IF($C2006&gt;=25,F2006,IF($C2006&lt;16,INDEX(Sheet1!C:C,$F2006),$F2006))</f>
        <v>18</v>
      </c>
      <c r="H2006" s="4" t="str" cm="1">
        <f t="array" ref="H2006">INDEX(Sheet1!D:D,$G2006)</f>
        <v>t1141.xlsx</v>
      </c>
      <c r="I2006" s="4" t="str" cm="1">
        <f t="array" ref="I2006">INDEX(Sheet1!E:E,$G2006)</f>
        <v>Sheet1</v>
      </c>
      <c r="J2006" s="4" t="str" cm="1">
        <f t="array" ref="J2006">IF($C2006&gt;=25,INDEX(Sheet1!G:G,$G2006),INDEX(Sheet1!F:F,$G2006))</f>
        <v>B139</v>
      </c>
      <c r="K2006" s="4" cm="1">
        <f t="array" ref="K2006">INDEX(Sheet1!H:H,$G2006)</f>
        <v>1</v>
      </c>
      <c r="L2006" s="4">
        <f t="shared" si="120"/>
        <v>43</v>
      </c>
      <c r="M2006" s="4">
        <f t="shared" si="121"/>
        <v>0</v>
      </c>
    </row>
    <row r="2007" spans="1:13">
      <c r="A2007" s="4" t="str" cm="1">
        <f t="array" ref="A2007">INDEX(Sheet1!A:A,$F2007)</f>
        <v>F</v>
      </c>
      <c r="B2007" s="4" t="str" cm="1">
        <f t="array" ref="B2007">INDEX(Sheet1!B:B,$F2007)</f>
        <v>Undiff SM</v>
      </c>
      <c r="C2007" s="4">
        <f t="shared" si="118"/>
        <v>69</v>
      </c>
      <c r="D2007" s="5" cm="1">
        <f t="array" aca="1" ref="D2007" ca="1">OFFSET(INDIRECT("'["&amp;$H2007&amp;"]"&amp;$I2007&amp;"'!"&amp;$J2007),$L2007,$M2007)*$K2007</f>
        <v>2.7529999999999999E-2</v>
      </c>
      <c r="F2007" s="4">
        <f t="shared" si="119"/>
        <v>18</v>
      </c>
      <c r="G2007" s="4" cm="1">
        <f t="array" ref="G2007">IF($C2007&gt;=25,F2007,IF($C2007&lt;16,INDEX(Sheet1!C:C,$F2007),$F2007))</f>
        <v>18</v>
      </c>
      <c r="H2007" s="4" t="str" cm="1">
        <f t="array" ref="H2007">INDEX(Sheet1!D:D,$G2007)</f>
        <v>t1141.xlsx</v>
      </c>
      <c r="I2007" s="4" t="str" cm="1">
        <f t="array" ref="I2007">INDEX(Sheet1!E:E,$G2007)</f>
        <v>Sheet1</v>
      </c>
      <c r="J2007" s="4" t="str" cm="1">
        <f t="array" ref="J2007">IF($C2007&gt;=25,INDEX(Sheet1!G:G,$G2007),INDEX(Sheet1!F:F,$G2007))</f>
        <v>B139</v>
      </c>
      <c r="K2007" s="4" cm="1">
        <f t="array" ref="K2007">INDEX(Sheet1!H:H,$G2007)</f>
        <v>1</v>
      </c>
      <c r="L2007" s="4">
        <f t="shared" si="120"/>
        <v>44</v>
      </c>
      <c r="M2007" s="4">
        <f t="shared" si="121"/>
        <v>0</v>
      </c>
    </row>
    <row r="2008" spans="1:13">
      <c r="A2008" s="4" t="str" cm="1">
        <f t="array" ref="A2008">INDEX(Sheet1!A:A,$F2008)</f>
        <v>F</v>
      </c>
      <c r="B2008" s="4" t="str" cm="1">
        <f t="array" ref="B2008">INDEX(Sheet1!B:B,$F2008)</f>
        <v>Undiff SM</v>
      </c>
      <c r="C2008" s="4">
        <f t="shared" si="118"/>
        <v>70</v>
      </c>
      <c r="D2008" s="5" cm="1">
        <f t="array" aca="1" ref="D2008" ca="1">OFFSET(INDIRECT("'["&amp;$H2008&amp;"]"&amp;$I2008&amp;"'!"&amp;$J2008),$L2008,$M2008)*$K2008</f>
        <v>2.9819999999999999E-2</v>
      </c>
      <c r="F2008" s="4">
        <f t="shared" si="119"/>
        <v>18</v>
      </c>
      <c r="G2008" s="4" cm="1">
        <f t="array" ref="G2008">IF($C2008&gt;=25,F2008,IF($C2008&lt;16,INDEX(Sheet1!C:C,$F2008),$F2008))</f>
        <v>18</v>
      </c>
      <c r="H2008" s="4" t="str" cm="1">
        <f t="array" ref="H2008">INDEX(Sheet1!D:D,$G2008)</f>
        <v>t1141.xlsx</v>
      </c>
      <c r="I2008" s="4" t="str" cm="1">
        <f t="array" ref="I2008">INDEX(Sheet1!E:E,$G2008)</f>
        <v>Sheet1</v>
      </c>
      <c r="J2008" s="4" t="str" cm="1">
        <f t="array" ref="J2008">IF($C2008&gt;=25,INDEX(Sheet1!G:G,$G2008),INDEX(Sheet1!F:F,$G2008))</f>
        <v>B139</v>
      </c>
      <c r="K2008" s="4" cm="1">
        <f t="array" ref="K2008">INDEX(Sheet1!H:H,$G2008)</f>
        <v>1</v>
      </c>
      <c r="L2008" s="4">
        <f t="shared" si="120"/>
        <v>45</v>
      </c>
      <c r="M2008" s="4">
        <f t="shared" si="121"/>
        <v>0</v>
      </c>
    </row>
    <row r="2009" spans="1:13">
      <c r="A2009" s="4" t="str" cm="1">
        <f t="array" ref="A2009">INDEX(Sheet1!A:A,$F2009)</f>
        <v>F</v>
      </c>
      <c r="B2009" s="4" t="str" cm="1">
        <f t="array" ref="B2009">INDEX(Sheet1!B:B,$F2009)</f>
        <v>Undiff SM</v>
      </c>
      <c r="C2009" s="4">
        <f t="shared" si="118"/>
        <v>71</v>
      </c>
      <c r="D2009" s="5" cm="1">
        <f t="array" aca="1" ref="D2009" ca="1">OFFSET(INDIRECT("'["&amp;$H2009&amp;"]"&amp;$I2009&amp;"'!"&amp;$J2009),$L2009,$M2009)*$K2009</f>
        <v>3.243E-2</v>
      </c>
      <c r="F2009" s="4">
        <f t="shared" si="119"/>
        <v>18</v>
      </c>
      <c r="G2009" s="4" cm="1">
        <f t="array" ref="G2009">IF($C2009&gt;=25,F2009,IF($C2009&lt;16,INDEX(Sheet1!C:C,$F2009),$F2009))</f>
        <v>18</v>
      </c>
      <c r="H2009" s="4" t="str" cm="1">
        <f t="array" ref="H2009">INDEX(Sheet1!D:D,$G2009)</f>
        <v>t1141.xlsx</v>
      </c>
      <c r="I2009" s="4" t="str" cm="1">
        <f t="array" ref="I2009">INDEX(Sheet1!E:E,$G2009)</f>
        <v>Sheet1</v>
      </c>
      <c r="J2009" s="4" t="str" cm="1">
        <f t="array" ref="J2009">IF($C2009&gt;=25,INDEX(Sheet1!G:G,$G2009),INDEX(Sheet1!F:F,$G2009))</f>
        <v>B139</v>
      </c>
      <c r="K2009" s="4" cm="1">
        <f t="array" ref="K2009">INDEX(Sheet1!H:H,$G2009)</f>
        <v>1</v>
      </c>
      <c r="L2009" s="4">
        <f t="shared" si="120"/>
        <v>46</v>
      </c>
      <c r="M2009" s="4">
        <f t="shared" si="121"/>
        <v>0</v>
      </c>
    </row>
    <row r="2010" spans="1:13">
      <c r="A2010" s="4" t="str" cm="1">
        <f t="array" ref="A2010">INDEX(Sheet1!A:A,$F2010)</f>
        <v>F</v>
      </c>
      <c r="B2010" s="4" t="str" cm="1">
        <f t="array" ref="B2010">INDEX(Sheet1!B:B,$F2010)</f>
        <v>Undiff SM</v>
      </c>
      <c r="C2010" s="4">
        <f t="shared" si="118"/>
        <v>72</v>
      </c>
      <c r="D2010" s="5" cm="1">
        <f t="array" aca="1" ref="D2010" ca="1">OFFSET(INDIRECT("'["&amp;$H2010&amp;"]"&amp;$I2010&amp;"'!"&amp;$J2010),$L2010,$M2010)*$K2010</f>
        <v>3.5310000000000001E-2</v>
      </c>
      <c r="F2010" s="4">
        <f t="shared" si="119"/>
        <v>18</v>
      </c>
      <c r="G2010" s="4" cm="1">
        <f t="array" ref="G2010">IF($C2010&gt;=25,F2010,IF($C2010&lt;16,INDEX(Sheet1!C:C,$F2010),$F2010))</f>
        <v>18</v>
      </c>
      <c r="H2010" s="4" t="str" cm="1">
        <f t="array" ref="H2010">INDEX(Sheet1!D:D,$G2010)</f>
        <v>t1141.xlsx</v>
      </c>
      <c r="I2010" s="4" t="str" cm="1">
        <f t="array" ref="I2010">INDEX(Sheet1!E:E,$G2010)</f>
        <v>Sheet1</v>
      </c>
      <c r="J2010" s="4" t="str" cm="1">
        <f t="array" ref="J2010">IF($C2010&gt;=25,INDEX(Sheet1!G:G,$G2010),INDEX(Sheet1!F:F,$G2010))</f>
        <v>B139</v>
      </c>
      <c r="K2010" s="4" cm="1">
        <f t="array" ref="K2010">INDEX(Sheet1!H:H,$G2010)</f>
        <v>1</v>
      </c>
      <c r="L2010" s="4">
        <f t="shared" si="120"/>
        <v>47</v>
      </c>
      <c r="M2010" s="4">
        <f t="shared" si="121"/>
        <v>0</v>
      </c>
    </row>
    <row r="2011" spans="1:13">
      <c r="A2011" s="4" t="str" cm="1">
        <f t="array" ref="A2011">INDEX(Sheet1!A:A,$F2011)</f>
        <v>F</v>
      </c>
      <c r="B2011" s="4" t="str" cm="1">
        <f t="array" ref="B2011">INDEX(Sheet1!B:B,$F2011)</f>
        <v>Undiff SM</v>
      </c>
      <c r="C2011" s="4">
        <f t="shared" si="118"/>
        <v>73</v>
      </c>
      <c r="D2011" s="5" cm="1">
        <f t="array" aca="1" ref="D2011" ca="1">OFFSET(INDIRECT("'["&amp;$H2011&amp;"]"&amp;$I2011&amp;"'!"&amp;$J2011),$L2011,$M2011)*$K2011</f>
        <v>3.841E-2</v>
      </c>
      <c r="F2011" s="4">
        <f t="shared" si="119"/>
        <v>18</v>
      </c>
      <c r="G2011" s="4" cm="1">
        <f t="array" ref="G2011">IF($C2011&gt;=25,F2011,IF($C2011&lt;16,INDEX(Sheet1!C:C,$F2011),$F2011))</f>
        <v>18</v>
      </c>
      <c r="H2011" s="4" t="str" cm="1">
        <f t="array" ref="H2011">INDEX(Sheet1!D:D,$G2011)</f>
        <v>t1141.xlsx</v>
      </c>
      <c r="I2011" s="4" t="str" cm="1">
        <f t="array" ref="I2011">INDEX(Sheet1!E:E,$G2011)</f>
        <v>Sheet1</v>
      </c>
      <c r="J2011" s="4" t="str" cm="1">
        <f t="array" ref="J2011">IF($C2011&gt;=25,INDEX(Sheet1!G:G,$G2011),INDEX(Sheet1!F:F,$G2011))</f>
        <v>B139</v>
      </c>
      <c r="K2011" s="4" cm="1">
        <f t="array" ref="K2011">INDEX(Sheet1!H:H,$G2011)</f>
        <v>1</v>
      </c>
      <c r="L2011" s="4">
        <f t="shared" si="120"/>
        <v>48</v>
      </c>
      <c r="M2011" s="4">
        <f t="shared" si="121"/>
        <v>0</v>
      </c>
    </row>
    <row r="2012" spans="1:13">
      <c r="A2012" s="4" t="str" cm="1">
        <f t="array" ref="A2012">INDEX(Sheet1!A:A,$F2012)</f>
        <v>F</v>
      </c>
      <c r="B2012" s="4" t="str" cm="1">
        <f t="array" ref="B2012">INDEX(Sheet1!B:B,$F2012)</f>
        <v>Undiff SM</v>
      </c>
      <c r="C2012" s="4">
        <f t="shared" si="118"/>
        <v>74</v>
      </c>
      <c r="D2012" s="5" cm="1">
        <f t="array" aca="1" ref="D2012" ca="1">OFFSET(INDIRECT("'["&amp;$H2012&amp;"]"&amp;$I2012&amp;"'!"&amp;$J2012),$L2012,$M2012)*$K2012</f>
        <v>4.181E-2</v>
      </c>
      <c r="F2012" s="4">
        <f t="shared" si="119"/>
        <v>18</v>
      </c>
      <c r="G2012" s="4" cm="1">
        <f t="array" ref="G2012">IF($C2012&gt;=25,F2012,IF($C2012&lt;16,INDEX(Sheet1!C:C,$F2012),$F2012))</f>
        <v>18</v>
      </c>
      <c r="H2012" s="4" t="str" cm="1">
        <f t="array" ref="H2012">INDEX(Sheet1!D:D,$G2012)</f>
        <v>t1141.xlsx</v>
      </c>
      <c r="I2012" s="4" t="str" cm="1">
        <f t="array" ref="I2012">INDEX(Sheet1!E:E,$G2012)</f>
        <v>Sheet1</v>
      </c>
      <c r="J2012" s="4" t="str" cm="1">
        <f t="array" ref="J2012">IF($C2012&gt;=25,INDEX(Sheet1!G:G,$G2012),INDEX(Sheet1!F:F,$G2012))</f>
        <v>B139</v>
      </c>
      <c r="K2012" s="4" cm="1">
        <f t="array" ref="K2012">INDEX(Sheet1!H:H,$G2012)</f>
        <v>1</v>
      </c>
      <c r="L2012" s="4">
        <f t="shared" si="120"/>
        <v>49</v>
      </c>
      <c r="M2012" s="4">
        <f t="shared" si="121"/>
        <v>0</v>
      </c>
    </row>
    <row r="2013" spans="1:13">
      <c r="A2013" s="4" t="str" cm="1">
        <f t="array" ref="A2013">INDEX(Sheet1!A:A,$F2013)</f>
        <v>F</v>
      </c>
      <c r="B2013" s="4" t="str" cm="1">
        <f t="array" ref="B2013">INDEX(Sheet1!B:B,$F2013)</f>
        <v>Undiff SM</v>
      </c>
      <c r="C2013" s="4">
        <f t="shared" si="118"/>
        <v>75</v>
      </c>
      <c r="D2013" s="5" cm="1">
        <f t="array" aca="1" ref="D2013" ca="1">OFFSET(INDIRECT("'["&amp;$H2013&amp;"]"&amp;$I2013&amp;"'!"&amp;$J2013),$L2013,$M2013)*$K2013</f>
        <v>4.5229999999999999E-2</v>
      </c>
      <c r="F2013" s="4">
        <f t="shared" si="119"/>
        <v>18</v>
      </c>
      <c r="G2013" s="4" cm="1">
        <f t="array" ref="G2013">IF($C2013&gt;=25,F2013,IF($C2013&lt;16,INDEX(Sheet1!C:C,$F2013),$F2013))</f>
        <v>18</v>
      </c>
      <c r="H2013" s="4" t="str" cm="1">
        <f t="array" ref="H2013">INDEX(Sheet1!D:D,$G2013)</f>
        <v>t1141.xlsx</v>
      </c>
      <c r="I2013" s="4" t="str" cm="1">
        <f t="array" ref="I2013">INDEX(Sheet1!E:E,$G2013)</f>
        <v>Sheet1</v>
      </c>
      <c r="J2013" s="4" t="str" cm="1">
        <f t="array" ref="J2013">IF($C2013&gt;=25,INDEX(Sheet1!G:G,$G2013),INDEX(Sheet1!F:F,$G2013))</f>
        <v>B139</v>
      </c>
      <c r="K2013" s="4" cm="1">
        <f t="array" ref="K2013">INDEX(Sheet1!H:H,$G2013)</f>
        <v>1</v>
      </c>
      <c r="L2013" s="4">
        <f t="shared" si="120"/>
        <v>50</v>
      </c>
      <c r="M2013" s="4">
        <f t="shared" si="121"/>
        <v>0</v>
      </c>
    </row>
    <row r="2014" spans="1:13">
      <c r="A2014" s="4" t="str" cm="1">
        <f t="array" ref="A2014">INDEX(Sheet1!A:A,$F2014)</f>
        <v>F</v>
      </c>
      <c r="B2014" s="4" t="str" cm="1">
        <f t="array" ref="B2014">INDEX(Sheet1!B:B,$F2014)</f>
        <v>Undiff SM</v>
      </c>
      <c r="C2014" s="4">
        <f t="shared" si="118"/>
        <v>76</v>
      </c>
      <c r="D2014" s="5" cm="1">
        <f t="array" aca="1" ref="D2014" ca="1">OFFSET(INDIRECT("'["&amp;$H2014&amp;"]"&amp;$I2014&amp;"'!"&amp;$J2014),$L2014,$M2014)*$K2014</f>
        <v>4.8959999999999997E-2</v>
      </c>
      <c r="F2014" s="4">
        <f t="shared" si="119"/>
        <v>18</v>
      </c>
      <c r="G2014" s="4" cm="1">
        <f t="array" ref="G2014">IF($C2014&gt;=25,F2014,IF($C2014&lt;16,INDEX(Sheet1!C:C,$F2014),$F2014))</f>
        <v>18</v>
      </c>
      <c r="H2014" s="4" t="str" cm="1">
        <f t="array" ref="H2014">INDEX(Sheet1!D:D,$G2014)</f>
        <v>t1141.xlsx</v>
      </c>
      <c r="I2014" s="4" t="str" cm="1">
        <f t="array" ref="I2014">INDEX(Sheet1!E:E,$G2014)</f>
        <v>Sheet1</v>
      </c>
      <c r="J2014" s="4" t="str" cm="1">
        <f t="array" ref="J2014">IF($C2014&gt;=25,INDEX(Sheet1!G:G,$G2014),INDEX(Sheet1!F:F,$G2014))</f>
        <v>B139</v>
      </c>
      <c r="K2014" s="4" cm="1">
        <f t="array" ref="K2014">INDEX(Sheet1!H:H,$G2014)</f>
        <v>1</v>
      </c>
      <c r="L2014" s="4">
        <f t="shared" si="120"/>
        <v>51</v>
      </c>
      <c r="M2014" s="4">
        <f t="shared" si="121"/>
        <v>0</v>
      </c>
    </row>
    <row r="2015" spans="1:13">
      <c r="A2015" s="4" t="str" cm="1">
        <f t="array" ref="A2015">INDEX(Sheet1!A:A,$F2015)</f>
        <v>F</v>
      </c>
      <c r="B2015" s="4" t="str" cm="1">
        <f t="array" ref="B2015">INDEX(Sheet1!B:B,$F2015)</f>
        <v>Undiff SM</v>
      </c>
      <c r="C2015" s="4">
        <f t="shared" si="118"/>
        <v>77</v>
      </c>
      <c r="D2015" s="5" cm="1">
        <f t="array" aca="1" ref="D2015" ca="1">OFFSET(INDIRECT("'["&amp;$H2015&amp;"]"&amp;$I2015&amp;"'!"&amp;$J2015),$L2015,$M2015)*$K2015</f>
        <v>5.2970000000000003E-2</v>
      </c>
      <c r="F2015" s="4">
        <f t="shared" si="119"/>
        <v>18</v>
      </c>
      <c r="G2015" s="4" cm="1">
        <f t="array" ref="G2015">IF($C2015&gt;=25,F2015,IF($C2015&lt;16,INDEX(Sheet1!C:C,$F2015),$F2015))</f>
        <v>18</v>
      </c>
      <c r="H2015" s="4" t="str" cm="1">
        <f t="array" ref="H2015">INDEX(Sheet1!D:D,$G2015)</f>
        <v>t1141.xlsx</v>
      </c>
      <c r="I2015" s="4" t="str" cm="1">
        <f t="array" ref="I2015">INDEX(Sheet1!E:E,$G2015)</f>
        <v>Sheet1</v>
      </c>
      <c r="J2015" s="4" t="str" cm="1">
        <f t="array" ref="J2015">IF($C2015&gt;=25,INDEX(Sheet1!G:G,$G2015),INDEX(Sheet1!F:F,$G2015))</f>
        <v>B139</v>
      </c>
      <c r="K2015" s="4" cm="1">
        <f t="array" ref="K2015">INDEX(Sheet1!H:H,$G2015)</f>
        <v>1</v>
      </c>
      <c r="L2015" s="4">
        <f t="shared" si="120"/>
        <v>52</v>
      </c>
      <c r="M2015" s="4">
        <f t="shared" si="121"/>
        <v>0</v>
      </c>
    </row>
    <row r="2016" spans="1:13">
      <c r="A2016" s="4" t="str" cm="1">
        <f t="array" ref="A2016">INDEX(Sheet1!A:A,$F2016)</f>
        <v>F</v>
      </c>
      <c r="B2016" s="4" t="str" cm="1">
        <f t="array" ref="B2016">INDEX(Sheet1!B:B,$F2016)</f>
        <v>Undiff SM</v>
      </c>
      <c r="C2016" s="4">
        <f t="shared" si="118"/>
        <v>78</v>
      </c>
      <c r="D2016" s="5" cm="1">
        <f t="array" aca="1" ref="D2016" ca="1">OFFSET(INDIRECT("'["&amp;$H2016&amp;"]"&amp;$I2016&amp;"'!"&amp;$J2016),$L2016,$M2016)*$K2016</f>
        <v>5.7290000000000001E-2</v>
      </c>
      <c r="F2016" s="4">
        <f t="shared" si="119"/>
        <v>18</v>
      </c>
      <c r="G2016" s="4" cm="1">
        <f t="array" ref="G2016">IF($C2016&gt;=25,F2016,IF($C2016&lt;16,INDEX(Sheet1!C:C,$F2016),$F2016))</f>
        <v>18</v>
      </c>
      <c r="H2016" s="4" t="str" cm="1">
        <f t="array" ref="H2016">INDEX(Sheet1!D:D,$G2016)</f>
        <v>t1141.xlsx</v>
      </c>
      <c r="I2016" s="4" t="str" cm="1">
        <f t="array" ref="I2016">INDEX(Sheet1!E:E,$G2016)</f>
        <v>Sheet1</v>
      </c>
      <c r="J2016" s="4" t="str" cm="1">
        <f t="array" ref="J2016">IF($C2016&gt;=25,INDEX(Sheet1!G:G,$G2016),INDEX(Sheet1!F:F,$G2016))</f>
        <v>B139</v>
      </c>
      <c r="K2016" s="4" cm="1">
        <f t="array" ref="K2016">INDEX(Sheet1!H:H,$G2016)</f>
        <v>1</v>
      </c>
      <c r="L2016" s="4">
        <f t="shared" si="120"/>
        <v>53</v>
      </c>
      <c r="M2016" s="4">
        <f t="shared" si="121"/>
        <v>0</v>
      </c>
    </row>
    <row r="2017" spans="1:13">
      <c r="A2017" s="4" t="str" cm="1">
        <f t="array" ref="A2017">INDEX(Sheet1!A:A,$F2017)</f>
        <v>F</v>
      </c>
      <c r="B2017" s="4" t="str" cm="1">
        <f t="array" ref="B2017">INDEX(Sheet1!B:B,$F2017)</f>
        <v>Undiff SM</v>
      </c>
      <c r="C2017" s="4">
        <f t="shared" si="118"/>
        <v>79</v>
      </c>
      <c r="D2017" s="5" cm="1">
        <f t="array" aca="1" ref="D2017" ca="1">OFFSET(INDIRECT("'["&amp;$H2017&amp;"]"&amp;$I2017&amp;"'!"&amp;$J2017),$L2017,$M2017)*$K2017</f>
        <v>6.1960000000000001E-2</v>
      </c>
      <c r="F2017" s="4">
        <f t="shared" si="119"/>
        <v>18</v>
      </c>
      <c r="G2017" s="4" cm="1">
        <f t="array" ref="G2017">IF($C2017&gt;=25,F2017,IF($C2017&lt;16,INDEX(Sheet1!C:C,$F2017),$F2017))</f>
        <v>18</v>
      </c>
      <c r="H2017" s="4" t="str" cm="1">
        <f t="array" ref="H2017">INDEX(Sheet1!D:D,$G2017)</f>
        <v>t1141.xlsx</v>
      </c>
      <c r="I2017" s="4" t="str" cm="1">
        <f t="array" ref="I2017">INDEX(Sheet1!E:E,$G2017)</f>
        <v>Sheet1</v>
      </c>
      <c r="J2017" s="4" t="str" cm="1">
        <f t="array" ref="J2017">IF($C2017&gt;=25,INDEX(Sheet1!G:G,$G2017),INDEX(Sheet1!F:F,$G2017))</f>
        <v>B139</v>
      </c>
      <c r="K2017" s="4" cm="1">
        <f t="array" ref="K2017">INDEX(Sheet1!H:H,$G2017)</f>
        <v>1</v>
      </c>
      <c r="L2017" s="4">
        <f t="shared" si="120"/>
        <v>54</v>
      </c>
      <c r="M2017" s="4">
        <f t="shared" si="121"/>
        <v>0</v>
      </c>
    </row>
    <row r="2018" spans="1:13">
      <c r="A2018" s="4" t="str" cm="1">
        <f t="array" ref="A2018">INDEX(Sheet1!A:A,$F2018)</f>
        <v>F</v>
      </c>
      <c r="B2018" s="4" t="str" cm="1">
        <f t="array" ref="B2018">INDEX(Sheet1!B:B,$F2018)</f>
        <v>Undiff SM</v>
      </c>
      <c r="C2018" s="4">
        <f t="shared" si="118"/>
        <v>80</v>
      </c>
      <c r="D2018" s="5" cm="1">
        <f t="array" aca="1" ref="D2018" ca="1">OFFSET(INDIRECT("'["&amp;$H2018&amp;"]"&amp;$I2018&amp;"'!"&amp;$J2018),$L2018,$M2018)*$K2018</f>
        <v>6.6989999999999994E-2</v>
      </c>
      <c r="F2018" s="4">
        <f t="shared" si="119"/>
        <v>18</v>
      </c>
      <c r="G2018" s="4" cm="1">
        <f t="array" ref="G2018">IF($C2018&gt;=25,F2018,IF($C2018&lt;16,INDEX(Sheet1!C:C,$F2018),$F2018))</f>
        <v>18</v>
      </c>
      <c r="H2018" s="4" t="str" cm="1">
        <f t="array" ref="H2018">INDEX(Sheet1!D:D,$G2018)</f>
        <v>t1141.xlsx</v>
      </c>
      <c r="I2018" s="4" t="str" cm="1">
        <f t="array" ref="I2018">INDEX(Sheet1!E:E,$G2018)</f>
        <v>Sheet1</v>
      </c>
      <c r="J2018" s="4" t="str" cm="1">
        <f t="array" ref="J2018">IF($C2018&gt;=25,INDEX(Sheet1!G:G,$G2018),INDEX(Sheet1!F:F,$G2018))</f>
        <v>B139</v>
      </c>
      <c r="K2018" s="4" cm="1">
        <f t="array" ref="K2018">INDEX(Sheet1!H:H,$G2018)</f>
        <v>1</v>
      </c>
      <c r="L2018" s="4">
        <f t="shared" si="120"/>
        <v>55</v>
      </c>
      <c r="M2018" s="4">
        <f t="shared" si="121"/>
        <v>0</v>
      </c>
    </row>
    <row r="2019" spans="1:13">
      <c r="A2019" s="4" t="str" cm="1">
        <f t="array" ref="A2019">INDEX(Sheet1!A:A,$F2019)</f>
        <v>F</v>
      </c>
      <c r="B2019" s="4" t="str" cm="1">
        <f t="array" ref="B2019">INDEX(Sheet1!B:B,$F2019)</f>
        <v>Undiff SM</v>
      </c>
      <c r="C2019" s="4">
        <f t="shared" si="118"/>
        <v>81</v>
      </c>
      <c r="D2019" s="5" cm="1">
        <f t="array" aca="1" ref="D2019" ca="1">OFFSET(INDIRECT("'["&amp;$H2019&amp;"]"&amp;$I2019&amp;"'!"&amp;$J2019),$L2019,$M2019)*$K2019</f>
        <v>7.4069999999999997E-2</v>
      </c>
      <c r="F2019" s="4">
        <f t="shared" si="119"/>
        <v>18</v>
      </c>
      <c r="G2019" s="4" cm="1">
        <f t="array" ref="G2019">IF($C2019&gt;=25,F2019,IF($C2019&lt;16,INDEX(Sheet1!C:C,$F2019),$F2019))</f>
        <v>18</v>
      </c>
      <c r="H2019" s="4" t="str" cm="1">
        <f t="array" ref="H2019">INDEX(Sheet1!D:D,$G2019)</f>
        <v>t1141.xlsx</v>
      </c>
      <c r="I2019" s="4" t="str" cm="1">
        <f t="array" ref="I2019">INDEX(Sheet1!E:E,$G2019)</f>
        <v>Sheet1</v>
      </c>
      <c r="J2019" s="4" t="str" cm="1">
        <f t="array" ref="J2019">IF($C2019&gt;=25,INDEX(Sheet1!G:G,$G2019),INDEX(Sheet1!F:F,$G2019))</f>
        <v>B139</v>
      </c>
      <c r="K2019" s="4" cm="1">
        <f t="array" ref="K2019">INDEX(Sheet1!H:H,$G2019)</f>
        <v>1</v>
      </c>
      <c r="L2019" s="4">
        <f t="shared" si="120"/>
        <v>56</v>
      </c>
      <c r="M2019" s="4">
        <f t="shared" si="121"/>
        <v>0</v>
      </c>
    </row>
    <row r="2020" spans="1:13">
      <c r="A2020" s="4" t="str" cm="1">
        <f t="array" ref="A2020">INDEX(Sheet1!A:A,$F2020)</f>
        <v>F</v>
      </c>
      <c r="B2020" s="4" t="str" cm="1">
        <f t="array" ref="B2020">INDEX(Sheet1!B:B,$F2020)</f>
        <v>Undiff SM</v>
      </c>
      <c r="C2020" s="4">
        <f t="shared" si="118"/>
        <v>82</v>
      </c>
      <c r="D2020" s="5" cm="1">
        <f t="array" aca="1" ref="D2020" ca="1">OFFSET(INDIRECT("'["&amp;$H2020&amp;"]"&amp;$I2020&amp;"'!"&amp;$J2020),$L2020,$M2020)*$K2020</f>
        <v>8.1759999999999999E-2</v>
      </c>
      <c r="F2020" s="4">
        <f t="shared" si="119"/>
        <v>18</v>
      </c>
      <c r="G2020" s="4" cm="1">
        <f t="array" ref="G2020">IF($C2020&gt;=25,F2020,IF($C2020&lt;16,INDEX(Sheet1!C:C,$F2020),$F2020))</f>
        <v>18</v>
      </c>
      <c r="H2020" s="4" t="str" cm="1">
        <f t="array" ref="H2020">INDEX(Sheet1!D:D,$G2020)</f>
        <v>t1141.xlsx</v>
      </c>
      <c r="I2020" s="4" t="str" cm="1">
        <f t="array" ref="I2020">INDEX(Sheet1!E:E,$G2020)</f>
        <v>Sheet1</v>
      </c>
      <c r="J2020" s="4" t="str" cm="1">
        <f t="array" ref="J2020">IF($C2020&gt;=25,INDEX(Sheet1!G:G,$G2020),INDEX(Sheet1!F:F,$G2020))</f>
        <v>B139</v>
      </c>
      <c r="K2020" s="4" cm="1">
        <f t="array" ref="K2020">INDEX(Sheet1!H:H,$G2020)</f>
        <v>1</v>
      </c>
      <c r="L2020" s="4">
        <f t="shared" si="120"/>
        <v>57</v>
      </c>
      <c r="M2020" s="4">
        <f t="shared" si="121"/>
        <v>0</v>
      </c>
    </row>
    <row r="2021" spans="1:13">
      <c r="A2021" s="4" t="str" cm="1">
        <f t="array" ref="A2021">INDEX(Sheet1!A:A,$F2021)</f>
        <v>F</v>
      </c>
      <c r="B2021" s="4" t="str" cm="1">
        <f t="array" ref="B2021">INDEX(Sheet1!B:B,$F2021)</f>
        <v>Undiff SM</v>
      </c>
      <c r="C2021" s="4">
        <f t="shared" si="118"/>
        <v>83</v>
      </c>
      <c r="D2021" s="5" cm="1">
        <f t="array" aca="1" ref="D2021" ca="1">OFFSET(INDIRECT("'["&amp;$H2021&amp;"]"&amp;$I2021&amp;"'!"&amp;$J2021),$L2021,$M2021)*$K2021</f>
        <v>8.9249999999999996E-2</v>
      </c>
      <c r="F2021" s="4">
        <f t="shared" si="119"/>
        <v>18</v>
      </c>
      <c r="G2021" s="4" cm="1">
        <f t="array" ref="G2021">IF($C2021&gt;=25,F2021,IF($C2021&lt;16,INDEX(Sheet1!C:C,$F2021),$F2021))</f>
        <v>18</v>
      </c>
      <c r="H2021" s="4" t="str" cm="1">
        <f t="array" ref="H2021">INDEX(Sheet1!D:D,$G2021)</f>
        <v>t1141.xlsx</v>
      </c>
      <c r="I2021" s="4" t="str" cm="1">
        <f t="array" ref="I2021">INDEX(Sheet1!E:E,$G2021)</f>
        <v>Sheet1</v>
      </c>
      <c r="J2021" s="4" t="str" cm="1">
        <f t="array" ref="J2021">IF($C2021&gt;=25,INDEX(Sheet1!G:G,$G2021),INDEX(Sheet1!F:F,$G2021))</f>
        <v>B139</v>
      </c>
      <c r="K2021" s="4" cm="1">
        <f t="array" ref="K2021">INDEX(Sheet1!H:H,$G2021)</f>
        <v>1</v>
      </c>
      <c r="L2021" s="4">
        <f t="shared" si="120"/>
        <v>58</v>
      </c>
      <c r="M2021" s="4">
        <f t="shared" si="121"/>
        <v>0</v>
      </c>
    </row>
    <row r="2022" spans="1:13">
      <c r="A2022" s="4" t="str" cm="1">
        <f t="array" ref="A2022">INDEX(Sheet1!A:A,$F2022)</f>
        <v>F</v>
      </c>
      <c r="B2022" s="4" t="str" cm="1">
        <f t="array" ref="B2022">INDEX(Sheet1!B:B,$F2022)</f>
        <v>Undiff SM</v>
      </c>
      <c r="C2022" s="4">
        <f t="shared" si="118"/>
        <v>84</v>
      </c>
      <c r="D2022" s="5" cm="1">
        <f t="array" aca="1" ref="D2022" ca="1">OFFSET(INDIRECT("'["&amp;$H2022&amp;"]"&amp;$I2022&amp;"'!"&amp;$J2022),$L2022,$M2022)*$K2022</f>
        <v>9.7299999999999998E-2</v>
      </c>
      <c r="F2022" s="4">
        <f t="shared" si="119"/>
        <v>18</v>
      </c>
      <c r="G2022" s="4" cm="1">
        <f t="array" ref="G2022">IF($C2022&gt;=25,F2022,IF($C2022&lt;16,INDEX(Sheet1!C:C,$F2022),$F2022))</f>
        <v>18</v>
      </c>
      <c r="H2022" s="4" t="str" cm="1">
        <f t="array" ref="H2022">INDEX(Sheet1!D:D,$G2022)</f>
        <v>t1141.xlsx</v>
      </c>
      <c r="I2022" s="4" t="str" cm="1">
        <f t="array" ref="I2022">INDEX(Sheet1!E:E,$G2022)</f>
        <v>Sheet1</v>
      </c>
      <c r="J2022" s="4" t="str" cm="1">
        <f t="array" ref="J2022">IF($C2022&gt;=25,INDEX(Sheet1!G:G,$G2022),INDEX(Sheet1!F:F,$G2022))</f>
        <v>B139</v>
      </c>
      <c r="K2022" s="4" cm="1">
        <f t="array" ref="K2022">INDEX(Sheet1!H:H,$G2022)</f>
        <v>1</v>
      </c>
      <c r="L2022" s="4">
        <f t="shared" si="120"/>
        <v>59</v>
      </c>
      <c r="M2022" s="4">
        <f t="shared" si="121"/>
        <v>0</v>
      </c>
    </row>
    <row r="2023" spans="1:13">
      <c r="A2023" s="4" t="str" cm="1">
        <f t="array" ref="A2023">INDEX(Sheet1!A:A,$F2023)</f>
        <v>F</v>
      </c>
      <c r="B2023" s="4" t="str" cm="1">
        <f t="array" ref="B2023">INDEX(Sheet1!B:B,$F2023)</f>
        <v>Undiff SM</v>
      </c>
      <c r="C2023" s="4">
        <f t="shared" si="118"/>
        <v>85</v>
      </c>
      <c r="D2023" s="5" cm="1">
        <f t="array" aca="1" ref="D2023" ca="1">OFFSET(INDIRECT("'["&amp;$H2023&amp;"]"&amp;$I2023&amp;"'!"&amp;$J2023),$L2023,$M2023)*$K2023</f>
        <v>0.10541</v>
      </c>
      <c r="F2023" s="4">
        <f t="shared" si="119"/>
        <v>18</v>
      </c>
      <c r="G2023" s="4" cm="1">
        <f t="array" ref="G2023">IF($C2023&gt;=25,F2023,IF($C2023&lt;16,INDEX(Sheet1!C:C,$F2023),$F2023))</f>
        <v>18</v>
      </c>
      <c r="H2023" s="4" t="str" cm="1">
        <f t="array" ref="H2023">INDEX(Sheet1!D:D,$G2023)</f>
        <v>t1141.xlsx</v>
      </c>
      <c r="I2023" s="4" t="str" cm="1">
        <f t="array" ref="I2023">INDEX(Sheet1!E:E,$G2023)</f>
        <v>Sheet1</v>
      </c>
      <c r="J2023" s="4" t="str" cm="1">
        <f t="array" ref="J2023">IF($C2023&gt;=25,INDEX(Sheet1!G:G,$G2023),INDEX(Sheet1!F:F,$G2023))</f>
        <v>B139</v>
      </c>
      <c r="K2023" s="4" cm="1">
        <f t="array" ref="K2023">INDEX(Sheet1!H:H,$G2023)</f>
        <v>1</v>
      </c>
      <c r="L2023" s="4">
        <f t="shared" si="120"/>
        <v>60</v>
      </c>
      <c r="M2023" s="4">
        <f t="shared" si="121"/>
        <v>0</v>
      </c>
    </row>
    <row r="2024" spans="1:13">
      <c r="A2024" s="4" t="str" cm="1">
        <f t="array" ref="A2024">INDEX(Sheet1!A:A,$F2024)</f>
        <v>F</v>
      </c>
      <c r="B2024" s="4" t="str" cm="1">
        <f t="array" ref="B2024">INDEX(Sheet1!B:B,$F2024)</f>
        <v>Undiff SM</v>
      </c>
      <c r="C2024" s="4">
        <f t="shared" si="118"/>
        <v>86</v>
      </c>
      <c r="D2024" s="5" cm="1">
        <f t="array" aca="1" ref="D2024" ca="1">OFFSET(INDIRECT("'["&amp;$H2024&amp;"]"&amp;$I2024&amp;"'!"&amp;$J2024),$L2024,$M2024)*$K2024</f>
        <v>0.11217000000000001</v>
      </c>
      <c r="F2024" s="4">
        <f t="shared" si="119"/>
        <v>18</v>
      </c>
      <c r="G2024" s="4" cm="1">
        <f t="array" ref="G2024">IF($C2024&gt;=25,F2024,IF($C2024&lt;16,INDEX(Sheet1!C:C,$F2024),$F2024))</f>
        <v>18</v>
      </c>
      <c r="H2024" s="4" t="str" cm="1">
        <f t="array" ref="H2024">INDEX(Sheet1!D:D,$G2024)</f>
        <v>t1141.xlsx</v>
      </c>
      <c r="I2024" s="4" t="str" cm="1">
        <f t="array" ref="I2024">INDEX(Sheet1!E:E,$G2024)</f>
        <v>Sheet1</v>
      </c>
      <c r="J2024" s="4" t="str" cm="1">
        <f t="array" ref="J2024">IF($C2024&gt;=25,INDEX(Sheet1!G:G,$G2024),INDEX(Sheet1!F:F,$G2024))</f>
        <v>B139</v>
      </c>
      <c r="K2024" s="4" cm="1">
        <f t="array" ref="K2024">INDEX(Sheet1!H:H,$G2024)</f>
        <v>1</v>
      </c>
      <c r="L2024" s="4">
        <f t="shared" si="120"/>
        <v>61</v>
      </c>
      <c r="M2024" s="4">
        <f t="shared" si="121"/>
        <v>0</v>
      </c>
    </row>
    <row r="2025" spans="1:13">
      <c r="A2025" s="4" t="str" cm="1">
        <f t="array" ref="A2025">INDEX(Sheet1!A:A,$F2025)</f>
        <v>F</v>
      </c>
      <c r="B2025" s="4" t="str" cm="1">
        <f t="array" ref="B2025">INDEX(Sheet1!B:B,$F2025)</f>
        <v>Undiff SM</v>
      </c>
      <c r="C2025" s="4">
        <f t="shared" si="118"/>
        <v>87</v>
      </c>
      <c r="D2025" s="5" cm="1">
        <f t="array" aca="1" ref="D2025" ca="1">OFFSET(INDIRECT("'["&amp;$H2025&amp;"]"&amp;$I2025&amp;"'!"&amp;$J2025),$L2025,$M2025)*$K2025</f>
        <v>0.12289</v>
      </c>
      <c r="F2025" s="4">
        <f t="shared" si="119"/>
        <v>18</v>
      </c>
      <c r="G2025" s="4" cm="1">
        <f t="array" ref="G2025">IF($C2025&gt;=25,F2025,IF($C2025&lt;16,INDEX(Sheet1!C:C,$F2025),$F2025))</f>
        <v>18</v>
      </c>
      <c r="H2025" s="4" t="str" cm="1">
        <f t="array" ref="H2025">INDEX(Sheet1!D:D,$G2025)</f>
        <v>t1141.xlsx</v>
      </c>
      <c r="I2025" s="4" t="str" cm="1">
        <f t="array" ref="I2025">INDEX(Sheet1!E:E,$G2025)</f>
        <v>Sheet1</v>
      </c>
      <c r="J2025" s="4" t="str" cm="1">
        <f t="array" ref="J2025">IF($C2025&gt;=25,INDEX(Sheet1!G:G,$G2025),INDEX(Sheet1!F:F,$G2025))</f>
        <v>B139</v>
      </c>
      <c r="K2025" s="4" cm="1">
        <f t="array" ref="K2025">INDEX(Sheet1!H:H,$G2025)</f>
        <v>1</v>
      </c>
      <c r="L2025" s="4">
        <f t="shared" si="120"/>
        <v>62</v>
      </c>
      <c r="M2025" s="4">
        <f t="shared" si="121"/>
        <v>0</v>
      </c>
    </row>
    <row r="2026" spans="1:13">
      <c r="A2026" s="4" t="str" cm="1">
        <f t="array" ref="A2026">INDEX(Sheet1!A:A,$F2026)</f>
        <v>F</v>
      </c>
      <c r="B2026" s="4" t="str" cm="1">
        <f t="array" ref="B2026">INDEX(Sheet1!B:B,$F2026)</f>
        <v>Undiff SM</v>
      </c>
      <c r="C2026" s="4">
        <f t="shared" si="118"/>
        <v>88</v>
      </c>
      <c r="D2026" s="5" cm="1">
        <f t="array" aca="1" ref="D2026" ca="1">OFFSET(INDIRECT("'["&amp;$H2026&amp;"]"&amp;$I2026&amp;"'!"&amp;$J2026),$L2026,$M2026)*$K2026</f>
        <v>0.13358999999999999</v>
      </c>
      <c r="F2026" s="4">
        <f t="shared" si="119"/>
        <v>18</v>
      </c>
      <c r="G2026" s="4" cm="1">
        <f t="array" ref="G2026">IF($C2026&gt;=25,F2026,IF($C2026&lt;16,INDEX(Sheet1!C:C,$F2026),$F2026))</f>
        <v>18</v>
      </c>
      <c r="H2026" s="4" t="str" cm="1">
        <f t="array" ref="H2026">INDEX(Sheet1!D:D,$G2026)</f>
        <v>t1141.xlsx</v>
      </c>
      <c r="I2026" s="4" t="str" cm="1">
        <f t="array" ref="I2026">INDEX(Sheet1!E:E,$G2026)</f>
        <v>Sheet1</v>
      </c>
      <c r="J2026" s="4" t="str" cm="1">
        <f t="array" ref="J2026">IF($C2026&gt;=25,INDEX(Sheet1!G:G,$G2026),INDEX(Sheet1!F:F,$G2026))</f>
        <v>B139</v>
      </c>
      <c r="K2026" s="4" cm="1">
        <f t="array" ref="K2026">INDEX(Sheet1!H:H,$G2026)</f>
        <v>1</v>
      </c>
      <c r="L2026" s="4">
        <f t="shared" si="120"/>
        <v>63</v>
      </c>
      <c r="M2026" s="4">
        <f t="shared" si="121"/>
        <v>0</v>
      </c>
    </row>
    <row r="2027" spans="1:13">
      <c r="A2027" s="4" t="str" cm="1">
        <f t="array" ref="A2027">INDEX(Sheet1!A:A,$F2027)</f>
        <v>F</v>
      </c>
      <c r="B2027" s="4" t="str" cm="1">
        <f t="array" ref="B2027">INDEX(Sheet1!B:B,$F2027)</f>
        <v>Undiff SM</v>
      </c>
      <c r="C2027" s="4">
        <f t="shared" si="118"/>
        <v>89</v>
      </c>
      <c r="D2027" s="5" cm="1">
        <f t="array" aca="1" ref="D2027" ca="1">OFFSET(INDIRECT("'["&amp;$H2027&amp;"]"&amp;$I2027&amp;"'!"&amp;$J2027),$L2027,$M2027)*$K2027</f>
        <v>0.14435000000000001</v>
      </c>
      <c r="F2027" s="4">
        <f t="shared" si="119"/>
        <v>18</v>
      </c>
      <c r="G2027" s="4" cm="1">
        <f t="array" ref="G2027">IF($C2027&gt;=25,F2027,IF($C2027&lt;16,INDEX(Sheet1!C:C,$F2027),$F2027))</f>
        <v>18</v>
      </c>
      <c r="H2027" s="4" t="str" cm="1">
        <f t="array" ref="H2027">INDEX(Sheet1!D:D,$G2027)</f>
        <v>t1141.xlsx</v>
      </c>
      <c r="I2027" s="4" t="str" cm="1">
        <f t="array" ref="I2027">INDEX(Sheet1!E:E,$G2027)</f>
        <v>Sheet1</v>
      </c>
      <c r="J2027" s="4" t="str" cm="1">
        <f t="array" ref="J2027">IF($C2027&gt;=25,INDEX(Sheet1!G:G,$G2027),INDEX(Sheet1!F:F,$G2027))</f>
        <v>B139</v>
      </c>
      <c r="K2027" s="4" cm="1">
        <f t="array" ref="K2027">INDEX(Sheet1!H:H,$G2027)</f>
        <v>1</v>
      </c>
      <c r="L2027" s="4">
        <f t="shared" si="120"/>
        <v>64</v>
      </c>
      <c r="M2027" s="4">
        <f t="shared" si="121"/>
        <v>0</v>
      </c>
    </row>
    <row r="2028" spans="1:13">
      <c r="A2028" s="4" t="str" cm="1">
        <f t="array" ref="A2028">INDEX(Sheet1!A:A,$F2028)</f>
        <v>F</v>
      </c>
      <c r="B2028" s="4" t="str" cm="1">
        <f t="array" ref="B2028">INDEX(Sheet1!B:B,$F2028)</f>
        <v>Undiff SM</v>
      </c>
      <c r="C2028" s="4">
        <f t="shared" si="118"/>
        <v>90</v>
      </c>
      <c r="D2028" s="5" cm="1">
        <f t="array" aca="1" ref="D2028" ca="1">OFFSET(INDIRECT("'["&amp;$H2028&amp;"]"&amp;$I2028&amp;"'!"&amp;$J2028),$L2028,$M2028)*$K2028</f>
        <v>0.15304999999999999</v>
      </c>
      <c r="F2028" s="4">
        <f t="shared" si="119"/>
        <v>18</v>
      </c>
      <c r="G2028" s="4" cm="1">
        <f t="array" ref="G2028">IF($C2028&gt;=25,F2028,IF($C2028&lt;16,INDEX(Sheet1!C:C,$F2028),$F2028))</f>
        <v>18</v>
      </c>
      <c r="H2028" s="4" t="str" cm="1">
        <f t="array" ref="H2028">INDEX(Sheet1!D:D,$G2028)</f>
        <v>t1141.xlsx</v>
      </c>
      <c r="I2028" s="4" t="str" cm="1">
        <f t="array" ref="I2028">INDEX(Sheet1!E:E,$G2028)</f>
        <v>Sheet1</v>
      </c>
      <c r="J2028" s="4" t="str" cm="1">
        <f t="array" ref="J2028">IF($C2028&gt;=25,INDEX(Sheet1!G:G,$G2028),INDEX(Sheet1!F:F,$G2028))</f>
        <v>B139</v>
      </c>
      <c r="K2028" s="4" cm="1">
        <f t="array" ref="K2028">INDEX(Sheet1!H:H,$G2028)</f>
        <v>1</v>
      </c>
      <c r="L2028" s="4">
        <f t="shared" si="120"/>
        <v>65</v>
      </c>
      <c r="M2028" s="4">
        <f t="shared" si="121"/>
        <v>0</v>
      </c>
    </row>
    <row r="2029" spans="1:13">
      <c r="A2029" s="4" t="str" cm="1">
        <f t="array" ref="A2029">INDEX(Sheet1!A:A,$F2029)</f>
        <v>F</v>
      </c>
      <c r="B2029" s="4" t="str" cm="1">
        <f t="array" ref="B2029">INDEX(Sheet1!B:B,$F2029)</f>
        <v>Undiff SM</v>
      </c>
      <c r="C2029" s="4">
        <f t="shared" si="118"/>
        <v>91</v>
      </c>
      <c r="D2029" s="5" cm="1">
        <f t="array" aca="1" ref="D2029" ca="1">OFFSET(INDIRECT("'["&amp;$H2029&amp;"]"&amp;$I2029&amp;"'!"&amp;$J2029),$L2029,$M2029)*$K2029</f>
        <v>0.15493999999999999</v>
      </c>
      <c r="F2029" s="4">
        <f t="shared" si="119"/>
        <v>18</v>
      </c>
      <c r="G2029" s="4" cm="1">
        <f t="array" ref="G2029">IF($C2029&gt;=25,F2029,IF($C2029&lt;16,INDEX(Sheet1!C:C,$F2029),$F2029))</f>
        <v>18</v>
      </c>
      <c r="H2029" s="4" t="str" cm="1">
        <f t="array" ref="H2029">INDEX(Sheet1!D:D,$G2029)</f>
        <v>t1141.xlsx</v>
      </c>
      <c r="I2029" s="4" t="str" cm="1">
        <f t="array" ref="I2029">INDEX(Sheet1!E:E,$G2029)</f>
        <v>Sheet1</v>
      </c>
      <c r="J2029" s="4" t="str" cm="1">
        <f t="array" ref="J2029">IF($C2029&gt;=25,INDEX(Sheet1!G:G,$G2029),INDEX(Sheet1!F:F,$G2029))</f>
        <v>B139</v>
      </c>
      <c r="K2029" s="4" cm="1">
        <f t="array" ref="K2029">INDEX(Sheet1!H:H,$G2029)</f>
        <v>1</v>
      </c>
      <c r="L2029" s="4">
        <f t="shared" si="120"/>
        <v>66</v>
      </c>
      <c r="M2029" s="4">
        <f t="shared" si="121"/>
        <v>0</v>
      </c>
    </row>
    <row r="2030" spans="1:13">
      <c r="A2030" s="4" t="str" cm="1">
        <f t="array" ref="A2030">INDEX(Sheet1!A:A,$F2030)</f>
        <v>F</v>
      </c>
      <c r="B2030" s="4" t="str" cm="1">
        <f t="array" ref="B2030">INDEX(Sheet1!B:B,$F2030)</f>
        <v>Undiff SM</v>
      </c>
      <c r="C2030" s="4">
        <f t="shared" si="118"/>
        <v>92</v>
      </c>
      <c r="D2030" s="5" cm="1">
        <f t="array" aca="1" ref="D2030" ca="1">OFFSET(INDIRECT("'["&amp;$H2030&amp;"]"&amp;$I2030&amp;"'!"&amp;$J2030),$L2030,$M2030)*$K2030</f>
        <v>0.16266</v>
      </c>
      <c r="F2030" s="4">
        <f t="shared" si="119"/>
        <v>18</v>
      </c>
      <c r="G2030" s="4" cm="1">
        <f t="array" ref="G2030">IF($C2030&gt;=25,F2030,IF($C2030&lt;16,INDEX(Sheet1!C:C,$F2030),$F2030))</f>
        <v>18</v>
      </c>
      <c r="H2030" s="4" t="str" cm="1">
        <f t="array" ref="H2030">INDEX(Sheet1!D:D,$G2030)</f>
        <v>t1141.xlsx</v>
      </c>
      <c r="I2030" s="4" t="str" cm="1">
        <f t="array" ref="I2030">INDEX(Sheet1!E:E,$G2030)</f>
        <v>Sheet1</v>
      </c>
      <c r="J2030" s="4" t="str" cm="1">
        <f t="array" ref="J2030">IF($C2030&gt;=25,INDEX(Sheet1!G:G,$G2030),INDEX(Sheet1!F:F,$G2030))</f>
        <v>B139</v>
      </c>
      <c r="K2030" s="4" cm="1">
        <f t="array" ref="K2030">INDEX(Sheet1!H:H,$G2030)</f>
        <v>1</v>
      </c>
      <c r="L2030" s="4">
        <f t="shared" si="120"/>
        <v>67</v>
      </c>
      <c r="M2030" s="4">
        <f t="shared" si="121"/>
        <v>0</v>
      </c>
    </row>
    <row r="2031" spans="1:13">
      <c r="A2031" s="4" t="str" cm="1">
        <f t="array" ref="A2031">INDEX(Sheet1!A:A,$F2031)</f>
        <v>F</v>
      </c>
      <c r="B2031" s="4" t="str" cm="1">
        <f t="array" ref="B2031">INDEX(Sheet1!B:B,$F2031)</f>
        <v>Undiff SM</v>
      </c>
      <c r="C2031" s="4">
        <f t="shared" si="118"/>
        <v>93</v>
      </c>
      <c r="D2031" s="5" cm="1">
        <f t="array" aca="1" ref="D2031" ca="1">OFFSET(INDIRECT("'["&amp;$H2031&amp;"]"&amp;$I2031&amp;"'!"&amp;$J2031),$L2031,$M2031)*$K2031</f>
        <v>0.17510000000000001</v>
      </c>
      <c r="F2031" s="4">
        <f t="shared" si="119"/>
        <v>18</v>
      </c>
      <c r="G2031" s="4" cm="1">
        <f t="array" ref="G2031">IF($C2031&gt;=25,F2031,IF($C2031&lt;16,INDEX(Sheet1!C:C,$F2031),$F2031))</f>
        <v>18</v>
      </c>
      <c r="H2031" s="4" t="str" cm="1">
        <f t="array" ref="H2031">INDEX(Sheet1!D:D,$G2031)</f>
        <v>t1141.xlsx</v>
      </c>
      <c r="I2031" s="4" t="str" cm="1">
        <f t="array" ref="I2031">INDEX(Sheet1!E:E,$G2031)</f>
        <v>Sheet1</v>
      </c>
      <c r="J2031" s="4" t="str" cm="1">
        <f t="array" ref="J2031">IF($C2031&gt;=25,INDEX(Sheet1!G:G,$G2031),INDEX(Sheet1!F:F,$G2031))</f>
        <v>B139</v>
      </c>
      <c r="K2031" s="4" cm="1">
        <f t="array" ref="K2031">INDEX(Sheet1!H:H,$G2031)</f>
        <v>1</v>
      </c>
      <c r="L2031" s="4">
        <f t="shared" si="120"/>
        <v>68</v>
      </c>
      <c r="M2031" s="4">
        <f t="shared" si="121"/>
        <v>0</v>
      </c>
    </row>
    <row r="2032" spans="1:13">
      <c r="A2032" s="4" t="str" cm="1">
        <f t="array" ref="A2032">INDEX(Sheet1!A:A,$F2032)</f>
        <v>F</v>
      </c>
      <c r="B2032" s="4" t="str" cm="1">
        <f t="array" ref="B2032">INDEX(Sheet1!B:B,$F2032)</f>
        <v>Undiff SM</v>
      </c>
      <c r="C2032" s="4">
        <f t="shared" si="118"/>
        <v>94</v>
      </c>
      <c r="D2032" s="5" cm="1">
        <f t="array" aca="1" ref="D2032" ca="1">OFFSET(INDIRECT("'["&amp;$H2032&amp;"]"&amp;$I2032&amp;"'!"&amp;$J2032),$L2032,$M2032)*$K2032</f>
        <v>0.19097</v>
      </c>
      <c r="F2032" s="4">
        <f t="shared" si="119"/>
        <v>18</v>
      </c>
      <c r="G2032" s="4" cm="1">
        <f t="array" ref="G2032">IF($C2032&gt;=25,F2032,IF($C2032&lt;16,INDEX(Sheet1!C:C,$F2032),$F2032))</f>
        <v>18</v>
      </c>
      <c r="H2032" s="4" t="str" cm="1">
        <f t="array" ref="H2032">INDEX(Sheet1!D:D,$G2032)</f>
        <v>t1141.xlsx</v>
      </c>
      <c r="I2032" s="4" t="str" cm="1">
        <f t="array" ref="I2032">INDEX(Sheet1!E:E,$G2032)</f>
        <v>Sheet1</v>
      </c>
      <c r="J2032" s="4" t="str" cm="1">
        <f t="array" ref="J2032">IF($C2032&gt;=25,INDEX(Sheet1!G:G,$G2032),INDEX(Sheet1!F:F,$G2032))</f>
        <v>B139</v>
      </c>
      <c r="K2032" s="4" cm="1">
        <f t="array" ref="K2032">INDEX(Sheet1!H:H,$G2032)</f>
        <v>1</v>
      </c>
      <c r="L2032" s="4">
        <f t="shared" si="120"/>
        <v>69</v>
      </c>
      <c r="M2032" s="4">
        <f t="shared" si="121"/>
        <v>0</v>
      </c>
    </row>
    <row r="2033" spans="1:13">
      <c r="A2033" s="4" t="str" cm="1">
        <f t="array" ref="A2033">INDEX(Sheet1!A:A,$F2033)</f>
        <v>F</v>
      </c>
      <c r="B2033" s="4" t="str" cm="1">
        <f t="array" ref="B2033">INDEX(Sheet1!B:B,$F2033)</f>
        <v>Undiff SM</v>
      </c>
      <c r="C2033" s="4">
        <f t="shared" si="118"/>
        <v>95</v>
      </c>
      <c r="D2033" s="5" cm="1">
        <f t="array" aca="1" ref="D2033" ca="1">OFFSET(INDIRECT("'["&amp;$H2033&amp;"]"&amp;$I2033&amp;"'!"&amp;$J2033),$L2033,$M2033)*$K2033</f>
        <v>0.21496999999999999</v>
      </c>
      <c r="F2033" s="4">
        <f t="shared" si="119"/>
        <v>18</v>
      </c>
      <c r="G2033" s="4" cm="1">
        <f t="array" ref="G2033">IF($C2033&gt;=25,F2033,IF($C2033&lt;16,INDEX(Sheet1!C:C,$F2033),$F2033))</f>
        <v>18</v>
      </c>
      <c r="H2033" s="4" t="str" cm="1">
        <f t="array" ref="H2033">INDEX(Sheet1!D:D,$G2033)</f>
        <v>t1141.xlsx</v>
      </c>
      <c r="I2033" s="4" t="str" cm="1">
        <f t="array" ref="I2033">INDEX(Sheet1!E:E,$G2033)</f>
        <v>Sheet1</v>
      </c>
      <c r="J2033" s="4" t="str" cm="1">
        <f t="array" ref="J2033">IF($C2033&gt;=25,INDEX(Sheet1!G:G,$G2033),INDEX(Sheet1!F:F,$G2033))</f>
        <v>B139</v>
      </c>
      <c r="K2033" s="4" cm="1">
        <f t="array" ref="K2033">INDEX(Sheet1!H:H,$G2033)</f>
        <v>1</v>
      </c>
      <c r="L2033" s="4">
        <f t="shared" si="120"/>
        <v>70</v>
      </c>
      <c r="M2033" s="4">
        <f t="shared" si="121"/>
        <v>0</v>
      </c>
    </row>
    <row r="2034" spans="1:13">
      <c r="A2034" s="4" t="str" cm="1">
        <f t="array" ref="A2034">INDEX(Sheet1!A:A,$F2034)</f>
        <v>F</v>
      </c>
      <c r="B2034" s="4" t="str" cm="1">
        <f t="array" ref="B2034">INDEX(Sheet1!B:B,$F2034)</f>
        <v>Undiff SM</v>
      </c>
      <c r="C2034" s="4">
        <f t="shared" si="118"/>
        <v>96</v>
      </c>
      <c r="D2034" s="5" cm="1">
        <f t="array" aca="1" ref="D2034" ca="1">OFFSET(INDIRECT("'["&amp;$H2034&amp;"]"&amp;$I2034&amp;"'!"&amp;$J2034),$L2034,$M2034)*$K2034</f>
        <v>0.23691000000000001</v>
      </c>
      <c r="F2034" s="4">
        <f t="shared" si="119"/>
        <v>18</v>
      </c>
      <c r="G2034" s="4" cm="1">
        <f t="array" ref="G2034">IF($C2034&gt;=25,F2034,IF($C2034&lt;16,INDEX(Sheet1!C:C,$F2034),$F2034))</f>
        <v>18</v>
      </c>
      <c r="H2034" s="4" t="str" cm="1">
        <f t="array" ref="H2034">INDEX(Sheet1!D:D,$G2034)</f>
        <v>t1141.xlsx</v>
      </c>
      <c r="I2034" s="4" t="str" cm="1">
        <f t="array" ref="I2034">INDEX(Sheet1!E:E,$G2034)</f>
        <v>Sheet1</v>
      </c>
      <c r="J2034" s="4" t="str" cm="1">
        <f t="array" ref="J2034">IF($C2034&gt;=25,INDEX(Sheet1!G:G,$G2034),INDEX(Sheet1!F:F,$G2034))</f>
        <v>B139</v>
      </c>
      <c r="K2034" s="4" cm="1">
        <f t="array" ref="K2034">INDEX(Sheet1!H:H,$G2034)</f>
        <v>1</v>
      </c>
      <c r="L2034" s="4">
        <f t="shared" si="120"/>
        <v>71</v>
      </c>
      <c r="M2034" s="4">
        <f t="shared" si="121"/>
        <v>0</v>
      </c>
    </row>
    <row r="2035" spans="1:13">
      <c r="A2035" s="4" t="str" cm="1">
        <f t="array" ref="A2035">INDEX(Sheet1!A:A,$F2035)</f>
        <v>F</v>
      </c>
      <c r="B2035" s="4" t="str" cm="1">
        <f t="array" ref="B2035">INDEX(Sheet1!B:B,$F2035)</f>
        <v>Undiff SM</v>
      </c>
      <c r="C2035" s="4">
        <f t="shared" si="118"/>
        <v>97</v>
      </c>
      <c r="D2035" s="5" cm="1">
        <f t="array" aca="1" ref="D2035" ca="1">OFFSET(INDIRECT("'["&amp;$H2035&amp;"]"&amp;$I2035&amp;"'!"&amp;$J2035),$L2035,$M2035)*$K2035</f>
        <v>0.25895000000000001</v>
      </c>
      <c r="F2035" s="4">
        <f t="shared" si="119"/>
        <v>18</v>
      </c>
      <c r="G2035" s="4" cm="1">
        <f t="array" ref="G2035">IF($C2035&gt;=25,F2035,IF($C2035&lt;16,INDEX(Sheet1!C:C,$F2035),$F2035))</f>
        <v>18</v>
      </c>
      <c r="H2035" s="4" t="str" cm="1">
        <f t="array" ref="H2035">INDEX(Sheet1!D:D,$G2035)</f>
        <v>t1141.xlsx</v>
      </c>
      <c r="I2035" s="4" t="str" cm="1">
        <f t="array" ref="I2035">INDEX(Sheet1!E:E,$G2035)</f>
        <v>Sheet1</v>
      </c>
      <c r="J2035" s="4" t="str" cm="1">
        <f t="array" ref="J2035">IF($C2035&gt;=25,INDEX(Sheet1!G:G,$G2035),INDEX(Sheet1!F:F,$G2035))</f>
        <v>B139</v>
      </c>
      <c r="K2035" s="4" cm="1">
        <f t="array" ref="K2035">INDEX(Sheet1!H:H,$G2035)</f>
        <v>1</v>
      </c>
      <c r="L2035" s="4">
        <f t="shared" si="120"/>
        <v>72</v>
      </c>
      <c r="M2035" s="4">
        <f t="shared" si="121"/>
        <v>0</v>
      </c>
    </row>
    <row r="2036" spans="1:13">
      <c r="A2036" s="4" t="str" cm="1">
        <f t="array" ref="A2036">INDEX(Sheet1!A:A,$F2036)</f>
        <v>F</v>
      </c>
      <c r="B2036" s="4" t="str" cm="1">
        <f t="array" ref="B2036">INDEX(Sheet1!B:B,$F2036)</f>
        <v>Undiff SM</v>
      </c>
      <c r="C2036" s="4">
        <f t="shared" si="118"/>
        <v>98</v>
      </c>
      <c r="D2036" s="5" cm="1">
        <f t="array" aca="1" ref="D2036" ca="1">OFFSET(INDIRECT("'["&amp;$H2036&amp;"]"&amp;$I2036&amp;"'!"&amp;$J2036),$L2036,$M2036)*$K2036</f>
        <v>0.26001000000000002</v>
      </c>
      <c r="F2036" s="4">
        <f t="shared" si="119"/>
        <v>18</v>
      </c>
      <c r="G2036" s="4" cm="1">
        <f t="array" ref="G2036">IF($C2036&gt;=25,F2036,IF($C2036&lt;16,INDEX(Sheet1!C:C,$F2036),$F2036))</f>
        <v>18</v>
      </c>
      <c r="H2036" s="4" t="str" cm="1">
        <f t="array" ref="H2036">INDEX(Sheet1!D:D,$G2036)</f>
        <v>t1141.xlsx</v>
      </c>
      <c r="I2036" s="4" t="str" cm="1">
        <f t="array" ref="I2036">INDEX(Sheet1!E:E,$G2036)</f>
        <v>Sheet1</v>
      </c>
      <c r="J2036" s="4" t="str" cm="1">
        <f t="array" ref="J2036">IF($C2036&gt;=25,INDEX(Sheet1!G:G,$G2036),INDEX(Sheet1!F:F,$G2036))</f>
        <v>B139</v>
      </c>
      <c r="K2036" s="4" cm="1">
        <f t="array" ref="K2036">INDEX(Sheet1!H:H,$G2036)</f>
        <v>1</v>
      </c>
      <c r="L2036" s="4">
        <f t="shared" si="120"/>
        <v>73</v>
      </c>
      <c r="M2036" s="4">
        <f t="shared" si="121"/>
        <v>0</v>
      </c>
    </row>
    <row r="2037" spans="1:13">
      <c r="A2037" s="4" t="str" cm="1">
        <f t="array" ref="A2037">INDEX(Sheet1!A:A,$F2037)</f>
        <v>F</v>
      </c>
      <c r="B2037" s="4" t="str" cm="1">
        <f t="array" ref="B2037">INDEX(Sheet1!B:B,$F2037)</f>
        <v>Undiff SM</v>
      </c>
      <c r="C2037" s="4">
        <f t="shared" si="118"/>
        <v>99</v>
      </c>
      <c r="D2037" s="5" cm="1">
        <f t="array" aca="1" ref="D2037" ca="1">OFFSET(INDIRECT("'["&amp;$H2037&amp;"]"&amp;$I2037&amp;"'!"&amp;$J2037),$L2037,$M2037)*$K2037</f>
        <v>0.27077000000000001</v>
      </c>
      <c r="F2037" s="4">
        <f t="shared" si="119"/>
        <v>18</v>
      </c>
      <c r="G2037" s="4" cm="1">
        <f t="array" ref="G2037">IF($C2037&gt;=25,F2037,IF($C2037&lt;16,INDEX(Sheet1!C:C,$F2037),$F2037))</f>
        <v>18</v>
      </c>
      <c r="H2037" s="4" t="str" cm="1">
        <f t="array" ref="H2037">INDEX(Sheet1!D:D,$G2037)</f>
        <v>t1141.xlsx</v>
      </c>
      <c r="I2037" s="4" t="str" cm="1">
        <f t="array" ref="I2037">INDEX(Sheet1!E:E,$G2037)</f>
        <v>Sheet1</v>
      </c>
      <c r="J2037" s="4" t="str" cm="1">
        <f t="array" ref="J2037">IF($C2037&gt;=25,INDEX(Sheet1!G:G,$G2037),INDEX(Sheet1!F:F,$G2037))</f>
        <v>B139</v>
      </c>
      <c r="K2037" s="4" cm="1">
        <f t="array" ref="K2037">INDEX(Sheet1!H:H,$G2037)</f>
        <v>1</v>
      </c>
      <c r="L2037" s="4">
        <f t="shared" si="120"/>
        <v>74</v>
      </c>
      <c r="M2037" s="4">
        <f t="shared" si="121"/>
        <v>0</v>
      </c>
    </row>
    <row r="2038" spans="1:13">
      <c r="A2038" s="4" t="str" cm="1">
        <f t="array" ref="A2038">INDEX(Sheet1!A:A,$F2038)</f>
        <v>F</v>
      </c>
      <c r="B2038" s="4" t="str" cm="1">
        <f t="array" ref="B2038">INDEX(Sheet1!B:B,$F2038)</f>
        <v>Undiff SM</v>
      </c>
      <c r="C2038" s="4">
        <f t="shared" si="118"/>
        <v>100</v>
      </c>
      <c r="D2038" s="5" cm="1">
        <f t="array" aca="1" ref="D2038" ca="1">OFFSET(INDIRECT("'["&amp;$H2038&amp;"]"&amp;$I2038&amp;"'!"&amp;$J2038),$L2038,$M2038)*$K2038</f>
        <v>0.28927000000000003</v>
      </c>
      <c r="F2038" s="4">
        <f t="shared" si="119"/>
        <v>18</v>
      </c>
      <c r="G2038" s="4" cm="1">
        <f t="array" ref="G2038">IF($C2038&gt;=25,F2038,IF($C2038&lt;16,INDEX(Sheet1!C:C,$F2038),$F2038))</f>
        <v>18</v>
      </c>
      <c r="H2038" s="4" t="str" cm="1">
        <f t="array" ref="H2038">INDEX(Sheet1!D:D,$G2038)</f>
        <v>t1141.xlsx</v>
      </c>
      <c r="I2038" s="4" t="str" cm="1">
        <f t="array" ref="I2038">INDEX(Sheet1!E:E,$G2038)</f>
        <v>Sheet1</v>
      </c>
      <c r="J2038" s="4" t="str" cm="1">
        <f t="array" ref="J2038">IF($C2038&gt;=25,INDEX(Sheet1!G:G,$G2038),INDEX(Sheet1!F:F,$G2038))</f>
        <v>B139</v>
      </c>
      <c r="K2038" s="4" cm="1">
        <f t="array" ref="K2038">INDEX(Sheet1!H:H,$G2038)</f>
        <v>1</v>
      </c>
      <c r="L2038" s="4">
        <f t="shared" si="120"/>
        <v>75</v>
      </c>
      <c r="M2038" s="4">
        <f t="shared" si="121"/>
        <v>0</v>
      </c>
    </row>
    <row r="2039" spans="1:13">
      <c r="A2039" s="4" t="str" cm="1">
        <f t="array" ref="A2039">INDEX(Sheet1!A:A,$F2039)</f>
        <v>F</v>
      </c>
      <c r="B2039" s="4" t="str" cm="1">
        <f t="array" ref="B2039">INDEX(Sheet1!B:B,$F2039)</f>
        <v>Undiff SM</v>
      </c>
      <c r="C2039" s="4">
        <f t="shared" si="118"/>
        <v>101</v>
      </c>
      <c r="D2039" s="5" cm="1">
        <f t="array" aca="1" ref="D2039" ca="1">OFFSET(INDIRECT("'["&amp;$H2039&amp;"]"&amp;$I2039&amp;"'!"&amp;$J2039),$L2039,$M2039)*$K2039</f>
        <v>0.30903000000000003</v>
      </c>
      <c r="F2039" s="4">
        <f t="shared" si="119"/>
        <v>18</v>
      </c>
      <c r="G2039" s="4" cm="1">
        <f t="array" ref="G2039">IF($C2039&gt;=25,F2039,IF($C2039&lt;16,INDEX(Sheet1!C:C,$F2039),$F2039))</f>
        <v>18</v>
      </c>
      <c r="H2039" s="4" t="str" cm="1">
        <f t="array" ref="H2039">INDEX(Sheet1!D:D,$G2039)</f>
        <v>t1141.xlsx</v>
      </c>
      <c r="I2039" s="4" t="str" cm="1">
        <f t="array" ref="I2039">INDEX(Sheet1!E:E,$G2039)</f>
        <v>Sheet1</v>
      </c>
      <c r="J2039" s="4" t="str" cm="1">
        <f t="array" ref="J2039">IF($C2039&gt;=25,INDEX(Sheet1!G:G,$G2039),INDEX(Sheet1!F:F,$G2039))</f>
        <v>B139</v>
      </c>
      <c r="K2039" s="4" cm="1">
        <f t="array" ref="K2039">INDEX(Sheet1!H:H,$G2039)</f>
        <v>1</v>
      </c>
      <c r="L2039" s="4">
        <f t="shared" si="120"/>
        <v>76</v>
      </c>
      <c r="M2039" s="4">
        <f t="shared" si="121"/>
        <v>0</v>
      </c>
    </row>
    <row r="2040" spans="1:13">
      <c r="A2040" s="4" t="str" cm="1">
        <f t="array" ref="A2040">INDEX(Sheet1!A:A,$F2040)</f>
        <v>F</v>
      </c>
      <c r="B2040" s="4" t="str" cm="1">
        <f t="array" ref="B2040">INDEX(Sheet1!B:B,$F2040)</f>
        <v>Undiff SM</v>
      </c>
      <c r="C2040" s="4">
        <f t="shared" si="118"/>
        <v>102</v>
      </c>
      <c r="D2040" s="5" cm="1">
        <f t="array" aca="1" ref="D2040" ca="1">OFFSET(INDIRECT("'["&amp;$H2040&amp;"]"&amp;$I2040&amp;"'!"&amp;$J2040),$L2040,$M2040)*$K2040</f>
        <v>0.33078000000000002</v>
      </c>
      <c r="F2040" s="4">
        <f t="shared" si="119"/>
        <v>18</v>
      </c>
      <c r="G2040" s="4" cm="1">
        <f t="array" ref="G2040">IF($C2040&gt;=25,F2040,IF($C2040&lt;16,INDEX(Sheet1!C:C,$F2040),$F2040))</f>
        <v>18</v>
      </c>
      <c r="H2040" s="4" t="str" cm="1">
        <f t="array" ref="H2040">INDEX(Sheet1!D:D,$G2040)</f>
        <v>t1141.xlsx</v>
      </c>
      <c r="I2040" s="4" t="str" cm="1">
        <f t="array" ref="I2040">INDEX(Sheet1!E:E,$G2040)</f>
        <v>Sheet1</v>
      </c>
      <c r="J2040" s="4" t="str" cm="1">
        <f t="array" ref="J2040">IF($C2040&gt;=25,INDEX(Sheet1!G:G,$G2040),INDEX(Sheet1!F:F,$G2040))</f>
        <v>B139</v>
      </c>
      <c r="K2040" s="4" cm="1">
        <f t="array" ref="K2040">INDEX(Sheet1!H:H,$G2040)</f>
        <v>1</v>
      </c>
      <c r="L2040" s="4">
        <f t="shared" si="120"/>
        <v>77</v>
      </c>
      <c r="M2040" s="4">
        <f t="shared" si="121"/>
        <v>0</v>
      </c>
    </row>
    <row r="2041" spans="1:13">
      <c r="A2041" s="4" t="str" cm="1">
        <f t="array" ref="A2041">INDEX(Sheet1!A:A,$F2041)</f>
        <v>F</v>
      </c>
      <c r="B2041" s="4" t="str" cm="1">
        <f t="array" ref="B2041">INDEX(Sheet1!B:B,$F2041)</f>
        <v>Undiff SM</v>
      </c>
      <c r="C2041" s="4">
        <f t="shared" si="118"/>
        <v>103</v>
      </c>
      <c r="D2041" s="5" cm="1">
        <f t="array" aca="1" ref="D2041" ca="1">OFFSET(INDIRECT("'["&amp;$H2041&amp;"]"&amp;$I2041&amp;"'!"&amp;$J2041),$L2041,$M2041)*$K2041</f>
        <v>0.35410999999999998</v>
      </c>
      <c r="F2041" s="4">
        <f t="shared" si="119"/>
        <v>18</v>
      </c>
      <c r="G2041" s="4" cm="1">
        <f t="array" ref="G2041">IF($C2041&gt;=25,F2041,IF($C2041&lt;16,INDEX(Sheet1!C:C,$F2041),$F2041))</f>
        <v>18</v>
      </c>
      <c r="H2041" s="4" t="str" cm="1">
        <f t="array" ref="H2041">INDEX(Sheet1!D:D,$G2041)</f>
        <v>t1141.xlsx</v>
      </c>
      <c r="I2041" s="4" t="str" cm="1">
        <f t="array" ref="I2041">INDEX(Sheet1!E:E,$G2041)</f>
        <v>Sheet1</v>
      </c>
      <c r="J2041" s="4" t="str" cm="1">
        <f t="array" ref="J2041">IF($C2041&gt;=25,INDEX(Sheet1!G:G,$G2041),INDEX(Sheet1!F:F,$G2041))</f>
        <v>B139</v>
      </c>
      <c r="K2041" s="4" cm="1">
        <f t="array" ref="K2041">INDEX(Sheet1!H:H,$G2041)</f>
        <v>1</v>
      </c>
      <c r="L2041" s="4">
        <f t="shared" si="120"/>
        <v>78</v>
      </c>
      <c r="M2041" s="4">
        <f t="shared" si="121"/>
        <v>0</v>
      </c>
    </row>
    <row r="2042" spans="1:13">
      <c r="A2042" s="4" t="str" cm="1">
        <f t="array" ref="A2042">INDEX(Sheet1!A:A,$F2042)</f>
        <v>F</v>
      </c>
      <c r="B2042" s="4" t="str" cm="1">
        <f t="array" ref="B2042">INDEX(Sheet1!B:B,$F2042)</f>
        <v>Undiff SM</v>
      </c>
      <c r="C2042" s="4">
        <f t="shared" si="118"/>
        <v>104</v>
      </c>
      <c r="D2042" s="5" cm="1">
        <f t="array" aca="1" ref="D2042" ca="1">OFFSET(INDIRECT("'["&amp;$H2042&amp;"]"&amp;$I2042&amp;"'!"&amp;$J2042),$L2042,$M2042)*$K2042</f>
        <v>0.37941000000000003</v>
      </c>
      <c r="F2042" s="4">
        <f t="shared" si="119"/>
        <v>18</v>
      </c>
      <c r="G2042" s="4" cm="1">
        <f t="array" ref="G2042">IF($C2042&gt;=25,F2042,IF($C2042&lt;16,INDEX(Sheet1!C:C,$F2042),$F2042))</f>
        <v>18</v>
      </c>
      <c r="H2042" s="4" t="str" cm="1">
        <f t="array" ref="H2042">INDEX(Sheet1!D:D,$G2042)</f>
        <v>t1141.xlsx</v>
      </c>
      <c r="I2042" s="4" t="str" cm="1">
        <f t="array" ref="I2042">INDEX(Sheet1!E:E,$G2042)</f>
        <v>Sheet1</v>
      </c>
      <c r="J2042" s="4" t="str" cm="1">
        <f t="array" ref="J2042">IF($C2042&gt;=25,INDEX(Sheet1!G:G,$G2042),INDEX(Sheet1!F:F,$G2042))</f>
        <v>B139</v>
      </c>
      <c r="K2042" s="4" cm="1">
        <f t="array" ref="K2042">INDEX(Sheet1!H:H,$G2042)</f>
        <v>1</v>
      </c>
      <c r="L2042" s="4">
        <f t="shared" si="120"/>
        <v>79</v>
      </c>
      <c r="M2042" s="4">
        <f t="shared" si="121"/>
        <v>0</v>
      </c>
    </row>
    <row r="2043" spans="1:13">
      <c r="A2043" s="4" t="str" cm="1">
        <f t="array" ref="A2043">INDEX(Sheet1!A:A,$F2043)</f>
        <v>F</v>
      </c>
      <c r="B2043" s="4" t="str" cm="1">
        <f t="array" ref="B2043">INDEX(Sheet1!B:B,$F2043)</f>
        <v>Undiff SM</v>
      </c>
      <c r="C2043" s="4">
        <f t="shared" si="118"/>
        <v>105</v>
      </c>
      <c r="D2043" s="5" cm="1">
        <f t="array" aca="1" ref="D2043" ca="1">OFFSET(INDIRECT("'["&amp;$H2043&amp;"]"&amp;$I2043&amp;"'!"&amp;$J2043),$L2043,$M2043)*$K2043</f>
        <v>0.41132000000000002</v>
      </c>
      <c r="F2043" s="4">
        <f t="shared" si="119"/>
        <v>18</v>
      </c>
      <c r="G2043" s="4" cm="1">
        <f t="array" ref="G2043">IF($C2043&gt;=25,F2043,IF($C2043&lt;16,INDEX(Sheet1!C:C,$F2043),$F2043))</f>
        <v>18</v>
      </c>
      <c r="H2043" s="4" t="str" cm="1">
        <f t="array" ref="H2043">INDEX(Sheet1!D:D,$G2043)</f>
        <v>t1141.xlsx</v>
      </c>
      <c r="I2043" s="4" t="str" cm="1">
        <f t="array" ref="I2043">INDEX(Sheet1!E:E,$G2043)</f>
        <v>Sheet1</v>
      </c>
      <c r="J2043" s="4" t="str" cm="1">
        <f t="array" ref="J2043">IF($C2043&gt;=25,INDEX(Sheet1!G:G,$G2043),INDEX(Sheet1!F:F,$G2043))</f>
        <v>B139</v>
      </c>
      <c r="K2043" s="4" cm="1">
        <f t="array" ref="K2043">INDEX(Sheet1!H:H,$G2043)</f>
        <v>1</v>
      </c>
      <c r="L2043" s="4">
        <f t="shared" si="120"/>
        <v>80</v>
      </c>
      <c r="M2043" s="4">
        <f t="shared" si="121"/>
        <v>0</v>
      </c>
    </row>
    <row r="2044" spans="1:13">
      <c r="A2044" s="4" t="str" cm="1">
        <f t="array" ref="A2044">INDEX(Sheet1!A:A,$F2044)</f>
        <v>F</v>
      </c>
      <c r="B2044" s="4" t="str" cm="1">
        <f t="array" ref="B2044">INDEX(Sheet1!B:B,$F2044)</f>
        <v>Undiff SM</v>
      </c>
      <c r="C2044" s="4">
        <f t="shared" si="118"/>
        <v>106</v>
      </c>
      <c r="D2044" s="5" cm="1">
        <f t="array" aca="1" ref="D2044" ca="1">OFFSET(INDIRECT("'["&amp;$H2044&amp;"]"&amp;$I2044&amp;"'!"&amp;$J2044),$L2044,$M2044)*$K2044</f>
        <v>0.44402000000000003</v>
      </c>
      <c r="F2044" s="4">
        <f t="shared" si="119"/>
        <v>18</v>
      </c>
      <c r="G2044" s="4" cm="1">
        <f t="array" ref="G2044">IF($C2044&gt;=25,F2044,IF($C2044&lt;16,INDEX(Sheet1!C:C,$F2044),$F2044))</f>
        <v>18</v>
      </c>
      <c r="H2044" s="4" t="str" cm="1">
        <f t="array" ref="H2044">INDEX(Sheet1!D:D,$G2044)</f>
        <v>t1141.xlsx</v>
      </c>
      <c r="I2044" s="4" t="str" cm="1">
        <f t="array" ref="I2044">INDEX(Sheet1!E:E,$G2044)</f>
        <v>Sheet1</v>
      </c>
      <c r="J2044" s="4" t="str" cm="1">
        <f t="array" ref="J2044">IF($C2044&gt;=25,INDEX(Sheet1!G:G,$G2044),INDEX(Sheet1!F:F,$G2044))</f>
        <v>B139</v>
      </c>
      <c r="K2044" s="4" cm="1">
        <f t="array" ref="K2044">INDEX(Sheet1!H:H,$G2044)</f>
        <v>1</v>
      </c>
      <c r="L2044" s="4">
        <f t="shared" si="120"/>
        <v>81</v>
      </c>
      <c r="M2044" s="4">
        <f t="shared" si="121"/>
        <v>0</v>
      </c>
    </row>
    <row r="2045" spans="1:13">
      <c r="A2045" s="4" t="str" cm="1">
        <f t="array" ref="A2045">INDEX(Sheet1!A:A,$F2045)</f>
        <v>F</v>
      </c>
      <c r="B2045" s="4" t="str" cm="1">
        <f t="array" ref="B2045">INDEX(Sheet1!B:B,$F2045)</f>
        <v>Undiff SM</v>
      </c>
      <c r="C2045" s="4">
        <f t="shared" si="118"/>
        <v>107</v>
      </c>
      <c r="D2045" s="5" cm="1">
        <f t="array" aca="1" ref="D2045" ca="1">OFFSET(INDIRECT("'["&amp;$H2045&amp;"]"&amp;$I2045&amp;"'!"&amp;$J2045),$L2045,$M2045)*$K2045</f>
        <v>0.47753000000000001</v>
      </c>
      <c r="F2045" s="4">
        <f t="shared" si="119"/>
        <v>18</v>
      </c>
      <c r="G2045" s="4" cm="1">
        <f t="array" ref="G2045">IF($C2045&gt;=25,F2045,IF($C2045&lt;16,INDEX(Sheet1!C:C,$F2045),$F2045))</f>
        <v>18</v>
      </c>
      <c r="H2045" s="4" t="str" cm="1">
        <f t="array" ref="H2045">INDEX(Sheet1!D:D,$G2045)</f>
        <v>t1141.xlsx</v>
      </c>
      <c r="I2045" s="4" t="str" cm="1">
        <f t="array" ref="I2045">INDEX(Sheet1!E:E,$G2045)</f>
        <v>Sheet1</v>
      </c>
      <c r="J2045" s="4" t="str" cm="1">
        <f t="array" ref="J2045">IF($C2045&gt;=25,INDEX(Sheet1!G:G,$G2045),INDEX(Sheet1!F:F,$G2045))</f>
        <v>B139</v>
      </c>
      <c r="K2045" s="4" cm="1">
        <f t="array" ref="K2045">INDEX(Sheet1!H:H,$G2045)</f>
        <v>1</v>
      </c>
      <c r="L2045" s="4">
        <f t="shared" si="120"/>
        <v>82</v>
      </c>
      <c r="M2045" s="4">
        <f t="shared" si="121"/>
        <v>0</v>
      </c>
    </row>
    <row r="2046" spans="1:13">
      <c r="A2046" s="4" t="str" cm="1">
        <f t="array" ref="A2046">INDEX(Sheet1!A:A,$F2046)</f>
        <v>F</v>
      </c>
      <c r="B2046" s="4" t="str" cm="1">
        <f t="array" ref="B2046">INDEX(Sheet1!B:B,$F2046)</f>
        <v>Undiff SM</v>
      </c>
      <c r="C2046" s="4">
        <f t="shared" si="118"/>
        <v>108</v>
      </c>
      <c r="D2046" s="5" cm="1">
        <f t="array" aca="1" ref="D2046" ca="1">OFFSET(INDIRECT("'["&amp;$H2046&amp;"]"&amp;$I2046&amp;"'!"&amp;$J2046),$L2046,$M2046)*$K2046</f>
        <v>0.51124000000000003</v>
      </c>
      <c r="F2046" s="4">
        <f t="shared" si="119"/>
        <v>18</v>
      </c>
      <c r="G2046" s="4" cm="1">
        <f t="array" ref="G2046">IF($C2046&gt;=25,F2046,IF($C2046&lt;16,INDEX(Sheet1!C:C,$F2046),$F2046))</f>
        <v>18</v>
      </c>
      <c r="H2046" s="4" t="str" cm="1">
        <f t="array" ref="H2046">INDEX(Sheet1!D:D,$G2046)</f>
        <v>t1141.xlsx</v>
      </c>
      <c r="I2046" s="4" t="str" cm="1">
        <f t="array" ref="I2046">INDEX(Sheet1!E:E,$G2046)</f>
        <v>Sheet1</v>
      </c>
      <c r="J2046" s="4" t="str" cm="1">
        <f t="array" ref="J2046">IF($C2046&gt;=25,INDEX(Sheet1!G:G,$G2046),INDEX(Sheet1!F:F,$G2046))</f>
        <v>B139</v>
      </c>
      <c r="K2046" s="4" cm="1">
        <f t="array" ref="K2046">INDEX(Sheet1!H:H,$G2046)</f>
        <v>1</v>
      </c>
      <c r="L2046" s="4">
        <f t="shared" si="120"/>
        <v>83</v>
      </c>
      <c r="M2046" s="4">
        <f t="shared" si="121"/>
        <v>0</v>
      </c>
    </row>
    <row r="2047" spans="1:13">
      <c r="A2047" s="4" t="str" cm="1">
        <f t="array" ref="A2047">INDEX(Sheet1!A:A,$F2047)</f>
        <v>F</v>
      </c>
      <c r="B2047" s="4" t="str" cm="1">
        <f t="array" ref="B2047">INDEX(Sheet1!B:B,$F2047)</f>
        <v>Undiff SM</v>
      </c>
      <c r="C2047" s="4">
        <f t="shared" si="118"/>
        <v>109</v>
      </c>
      <c r="D2047" s="5" cm="1">
        <f t="array" aca="1" ref="D2047" ca="1">OFFSET(INDIRECT("'["&amp;$H2047&amp;"]"&amp;$I2047&amp;"'!"&amp;$J2047),$L2047,$M2047)*$K2047</f>
        <v>0.54635</v>
      </c>
      <c r="F2047" s="4">
        <f t="shared" si="119"/>
        <v>18</v>
      </c>
      <c r="G2047" s="4" cm="1">
        <f t="array" ref="G2047">IF($C2047&gt;=25,F2047,IF($C2047&lt;16,INDEX(Sheet1!C:C,$F2047),$F2047))</f>
        <v>18</v>
      </c>
      <c r="H2047" s="4" t="str" cm="1">
        <f t="array" ref="H2047">INDEX(Sheet1!D:D,$G2047)</f>
        <v>t1141.xlsx</v>
      </c>
      <c r="I2047" s="4" t="str" cm="1">
        <f t="array" ref="I2047">INDEX(Sheet1!E:E,$G2047)</f>
        <v>Sheet1</v>
      </c>
      <c r="J2047" s="4" t="str" cm="1">
        <f t="array" ref="J2047">IF($C2047&gt;=25,INDEX(Sheet1!G:G,$G2047),INDEX(Sheet1!F:F,$G2047))</f>
        <v>B139</v>
      </c>
      <c r="K2047" s="4" cm="1">
        <f t="array" ref="K2047">INDEX(Sheet1!H:H,$G2047)</f>
        <v>1</v>
      </c>
      <c r="L2047" s="4">
        <f t="shared" si="120"/>
        <v>84</v>
      </c>
      <c r="M2047" s="4">
        <f t="shared" si="121"/>
        <v>0</v>
      </c>
    </row>
    <row r="2048" spans="1:13">
      <c r="A2048" s="4" t="str" cm="1">
        <f t="array" ref="A2048">INDEX(Sheet1!A:A,$F2048)</f>
        <v>F</v>
      </c>
      <c r="B2048" s="4" t="str" cm="1">
        <f t="array" ref="B2048">INDEX(Sheet1!B:B,$F2048)</f>
        <v>Undiff SM</v>
      </c>
      <c r="C2048" s="4">
        <f t="shared" si="118"/>
        <v>110</v>
      </c>
      <c r="D2048" s="5" cm="1">
        <f t="array" aca="1" ref="D2048" ca="1">OFFSET(INDIRECT("'["&amp;$H2048&amp;"]"&amp;$I2048&amp;"'!"&amp;$J2048),$L2048,$M2048)*$K2048</f>
        <v>0.58226</v>
      </c>
      <c r="F2048" s="4">
        <f t="shared" si="119"/>
        <v>18</v>
      </c>
      <c r="G2048" s="4" cm="1">
        <f t="array" ref="G2048">IF($C2048&gt;=25,F2048,IF($C2048&lt;16,INDEX(Sheet1!C:C,$F2048),$F2048))</f>
        <v>18</v>
      </c>
      <c r="H2048" s="4" t="str" cm="1">
        <f t="array" ref="H2048">INDEX(Sheet1!D:D,$G2048)</f>
        <v>t1141.xlsx</v>
      </c>
      <c r="I2048" s="4" t="str" cm="1">
        <f t="array" ref="I2048">INDEX(Sheet1!E:E,$G2048)</f>
        <v>Sheet1</v>
      </c>
      <c r="J2048" s="4" t="str" cm="1">
        <f t="array" ref="J2048">IF($C2048&gt;=25,INDEX(Sheet1!G:G,$G2048),INDEX(Sheet1!F:F,$G2048))</f>
        <v>B139</v>
      </c>
      <c r="K2048" s="4" cm="1">
        <f t="array" ref="K2048">INDEX(Sheet1!H:H,$G2048)</f>
        <v>1</v>
      </c>
      <c r="L2048" s="4">
        <f t="shared" si="120"/>
        <v>85</v>
      </c>
      <c r="M2048" s="4">
        <f t="shared" si="121"/>
        <v>0</v>
      </c>
    </row>
    <row r="2049" spans="1:13">
      <c r="A2049" s="4" t="str" cm="1">
        <f t="array" ref="A2049">INDEX(Sheet1!A:A,$F2049)</f>
        <v>F</v>
      </c>
      <c r="B2049" s="4" t="str" cm="1">
        <f t="array" ref="B2049">INDEX(Sheet1!B:B,$F2049)</f>
        <v>Undiff SM</v>
      </c>
      <c r="C2049" s="4">
        <f t="shared" si="118"/>
        <v>111</v>
      </c>
      <c r="D2049" s="5" cm="1">
        <f t="array" aca="1" ref="D2049" ca="1">OFFSET(INDIRECT("'["&amp;$H2049&amp;"]"&amp;$I2049&amp;"'!"&amp;$J2049),$L2049,$M2049)*$K2049</f>
        <v>0.61677999999999999</v>
      </c>
      <c r="F2049" s="4">
        <f t="shared" si="119"/>
        <v>18</v>
      </c>
      <c r="G2049" s="4" cm="1">
        <f t="array" ref="G2049">IF($C2049&gt;=25,F2049,IF($C2049&lt;16,INDEX(Sheet1!C:C,$F2049),$F2049))</f>
        <v>18</v>
      </c>
      <c r="H2049" s="4" t="str" cm="1">
        <f t="array" ref="H2049">INDEX(Sheet1!D:D,$G2049)</f>
        <v>t1141.xlsx</v>
      </c>
      <c r="I2049" s="4" t="str" cm="1">
        <f t="array" ref="I2049">INDEX(Sheet1!E:E,$G2049)</f>
        <v>Sheet1</v>
      </c>
      <c r="J2049" s="4" t="str" cm="1">
        <f t="array" ref="J2049">IF($C2049&gt;=25,INDEX(Sheet1!G:G,$G2049),INDEX(Sheet1!F:F,$G2049))</f>
        <v>B139</v>
      </c>
      <c r="K2049" s="4" cm="1">
        <f t="array" ref="K2049">INDEX(Sheet1!H:H,$G2049)</f>
        <v>1</v>
      </c>
      <c r="L2049" s="4">
        <f t="shared" si="120"/>
        <v>86</v>
      </c>
      <c r="M2049" s="4">
        <f t="shared" si="121"/>
        <v>0</v>
      </c>
    </row>
    <row r="2050" spans="1:13">
      <c r="A2050" s="4" t="str" cm="1">
        <f t="array" ref="A2050">INDEX(Sheet1!A:A,$F2050)</f>
        <v>F</v>
      </c>
      <c r="B2050" s="4" t="str" cm="1">
        <f t="array" ref="B2050">INDEX(Sheet1!B:B,$F2050)</f>
        <v>Undiff SM</v>
      </c>
      <c r="C2050" s="4">
        <f t="shared" ref="C2050:C2113" si="122">IF(C2049=120,0,C2049+1)</f>
        <v>112</v>
      </c>
      <c r="D2050" s="5" cm="1">
        <f t="array" aca="1" ref="D2050" ca="1">OFFSET(INDIRECT("'["&amp;$H2050&amp;"]"&amp;$I2050&amp;"'!"&amp;$J2050),$L2050,$M2050)*$K2050</f>
        <v>0.65024999999999999</v>
      </c>
      <c r="F2050" s="4">
        <f t="shared" ref="F2050:F2113" si="123">IF(C2050=0,1,0)+F2049</f>
        <v>18</v>
      </c>
      <c r="G2050" s="4" cm="1">
        <f t="array" ref="G2050">IF($C2050&gt;=25,F2050,IF($C2050&lt;16,INDEX(Sheet1!C:C,$F2050),$F2050))</f>
        <v>18</v>
      </c>
      <c r="H2050" s="4" t="str" cm="1">
        <f t="array" ref="H2050">INDEX(Sheet1!D:D,$G2050)</f>
        <v>t1141.xlsx</v>
      </c>
      <c r="I2050" s="4" t="str" cm="1">
        <f t="array" ref="I2050">INDEX(Sheet1!E:E,$G2050)</f>
        <v>Sheet1</v>
      </c>
      <c r="J2050" s="4" t="str" cm="1">
        <f t="array" ref="J2050">IF($C2050&gt;=25,INDEX(Sheet1!G:G,$G2050),INDEX(Sheet1!F:F,$G2050))</f>
        <v>B139</v>
      </c>
      <c r="K2050" s="4" cm="1">
        <f t="array" ref="K2050">INDEX(Sheet1!H:H,$G2050)</f>
        <v>1</v>
      </c>
      <c r="L2050" s="4">
        <f t="shared" ref="L2050:L2113" si="124">IF($C2050&gt;=25,$C2050-25,0)</f>
        <v>87</v>
      </c>
      <c r="M2050" s="4">
        <f t="shared" ref="M2050:M2113" si="125">IF($C2050&gt;=25,0,$C2050)</f>
        <v>0</v>
      </c>
    </row>
    <row r="2051" spans="1:13">
      <c r="A2051" s="4" t="str" cm="1">
        <f t="array" ref="A2051">INDEX(Sheet1!A:A,$F2051)</f>
        <v>F</v>
      </c>
      <c r="B2051" s="4" t="str" cm="1">
        <f t="array" ref="B2051">INDEX(Sheet1!B:B,$F2051)</f>
        <v>Undiff SM</v>
      </c>
      <c r="C2051" s="4">
        <f t="shared" si="122"/>
        <v>113</v>
      </c>
      <c r="D2051" s="5" cm="1">
        <f t="array" aca="1" ref="D2051" ca="1">OFFSET(INDIRECT("'["&amp;$H2051&amp;"]"&amp;$I2051&amp;"'!"&amp;$J2051),$L2051,$M2051)*$K2051</f>
        <v>0.68071999999999999</v>
      </c>
      <c r="F2051" s="4">
        <f t="shared" si="123"/>
        <v>18</v>
      </c>
      <c r="G2051" s="4" cm="1">
        <f t="array" ref="G2051">IF($C2051&gt;=25,F2051,IF($C2051&lt;16,INDEX(Sheet1!C:C,$F2051),$F2051))</f>
        <v>18</v>
      </c>
      <c r="H2051" s="4" t="str" cm="1">
        <f t="array" ref="H2051">INDEX(Sheet1!D:D,$G2051)</f>
        <v>t1141.xlsx</v>
      </c>
      <c r="I2051" s="4" t="str" cm="1">
        <f t="array" ref="I2051">INDEX(Sheet1!E:E,$G2051)</f>
        <v>Sheet1</v>
      </c>
      <c r="J2051" s="4" t="str" cm="1">
        <f t="array" ref="J2051">IF($C2051&gt;=25,INDEX(Sheet1!G:G,$G2051),INDEX(Sheet1!F:F,$G2051))</f>
        <v>B139</v>
      </c>
      <c r="K2051" s="4" cm="1">
        <f t="array" ref="K2051">INDEX(Sheet1!H:H,$G2051)</f>
        <v>1</v>
      </c>
      <c r="L2051" s="4">
        <f t="shared" si="124"/>
        <v>88</v>
      </c>
      <c r="M2051" s="4">
        <f t="shared" si="125"/>
        <v>0</v>
      </c>
    </row>
    <row r="2052" spans="1:13">
      <c r="A2052" s="4" t="str" cm="1">
        <f t="array" ref="A2052">INDEX(Sheet1!A:A,$F2052)</f>
        <v>F</v>
      </c>
      <c r="B2052" s="4" t="str" cm="1">
        <f t="array" ref="B2052">INDEX(Sheet1!B:B,$F2052)</f>
        <v>Undiff SM</v>
      </c>
      <c r="C2052" s="4">
        <f t="shared" si="122"/>
        <v>114</v>
      </c>
      <c r="D2052" s="5" cm="1">
        <f t="array" aca="1" ref="D2052" ca="1">OFFSET(INDIRECT("'["&amp;$H2052&amp;"]"&amp;$I2052&amp;"'!"&amp;$J2052),$L2052,$M2052)*$K2052</f>
        <v>0.72369000000000006</v>
      </c>
      <c r="F2052" s="4">
        <f t="shared" si="123"/>
        <v>18</v>
      </c>
      <c r="G2052" s="4" cm="1">
        <f t="array" ref="G2052">IF($C2052&gt;=25,F2052,IF($C2052&lt;16,INDEX(Sheet1!C:C,$F2052),$F2052))</f>
        <v>18</v>
      </c>
      <c r="H2052" s="4" t="str" cm="1">
        <f t="array" ref="H2052">INDEX(Sheet1!D:D,$G2052)</f>
        <v>t1141.xlsx</v>
      </c>
      <c r="I2052" s="4" t="str" cm="1">
        <f t="array" ref="I2052">INDEX(Sheet1!E:E,$G2052)</f>
        <v>Sheet1</v>
      </c>
      <c r="J2052" s="4" t="str" cm="1">
        <f t="array" ref="J2052">IF($C2052&gt;=25,INDEX(Sheet1!G:G,$G2052),INDEX(Sheet1!F:F,$G2052))</f>
        <v>B139</v>
      </c>
      <c r="K2052" s="4" cm="1">
        <f t="array" ref="K2052">INDEX(Sheet1!H:H,$G2052)</f>
        <v>1</v>
      </c>
      <c r="L2052" s="4">
        <f t="shared" si="124"/>
        <v>89</v>
      </c>
      <c r="M2052" s="4">
        <f t="shared" si="125"/>
        <v>0</v>
      </c>
    </row>
    <row r="2053" spans="1:13">
      <c r="A2053" s="4" t="str" cm="1">
        <f t="array" ref="A2053">INDEX(Sheet1!A:A,$F2053)</f>
        <v>F</v>
      </c>
      <c r="B2053" s="4" t="str" cm="1">
        <f t="array" ref="B2053">INDEX(Sheet1!B:B,$F2053)</f>
        <v>Undiff SM</v>
      </c>
      <c r="C2053" s="4">
        <f t="shared" si="122"/>
        <v>115</v>
      </c>
      <c r="D2053" s="5" cm="1">
        <f t="array" aca="1" ref="D2053" ca="1">OFFSET(INDIRECT("'["&amp;$H2053&amp;"]"&amp;$I2053&amp;"'!"&amp;$J2053),$L2053,$M2053)*$K2053</f>
        <v>0.76366000000000001</v>
      </c>
      <c r="F2053" s="4">
        <f t="shared" si="123"/>
        <v>18</v>
      </c>
      <c r="G2053" s="4" cm="1">
        <f t="array" ref="G2053">IF($C2053&gt;=25,F2053,IF($C2053&lt;16,INDEX(Sheet1!C:C,$F2053),$F2053))</f>
        <v>18</v>
      </c>
      <c r="H2053" s="4" t="str" cm="1">
        <f t="array" ref="H2053">INDEX(Sheet1!D:D,$G2053)</f>
        <v>t1141.xlsx</v>
      </c>
      <c r="I2053" s="4" t="str" cm="1">
        <f t="array" ref="I2053">INDEX(Sheet1!E:E,$G2053)</f>
        <v>Sheet1</v>
      </c>
      <c r="J2053" s="4" t="str" cm="1">
        <f t="array" ref="J2053">IF($C2053&gt;=25,INDEX(Sheet1!G:G,$G2053),INDEX(Sheet1!F:F,$G2053))</f>
        <v>B139</v>
      </c>
      <c r="K2053" s="4" cm="1">
        <f t="array" ref="K2053">INDEX(Sheet1!H:H,$G2053)</f>
        <v>1</v>
      </c>
      <c r="L2053" s="4">
        <f t="shared" si="124"/>
        <v>90</v>
      </c>
      <c r="M2053" s="4">
        <f t="shared" si="125"/>
        <v>0</v>
      </c>
    </row>
    <row r="2054" spans="1:13">
      <c r="A2054" s="4" t="str" cm="1">
        <f t="array" ref="A2054">INDEX(Sheet1!A:A,$F2054)</f>
        <v>F</v>
      </c>
      <c r="B2054" s="4" t="str" cm="1">
        <f t="array" ref="B2054">INDEX(Sheet1!B:B,$F2054)</f>
        <v>Undiff SM</v>
      </c>
      <c r="C2054" s="4">
        <f t="shared" si="122"/>
        <v>116</v>
      </c>
      <c r="D2054" s="5" cm="1">
        <f t="array" aca="1" ref="D2054" ca="1">OFFSET(INDIRECT("'["&amp;$H2054&amp;"]"&amp;$I2054&amp;"'!"&amp;$J2054),$L2054,$M2054)*$K2054</f>
        <v>0.80511999999999995</v>
      </c>
      <c r="F2054" s="4">
        <f t="shared" si="123"/>
        <v>18</v>
      </c>
      <c r="G2054" s="4" cm="1">
        <f t="array" ref="G2054">IF($C2054&gt;=25,F2054,IF($C2054&lt;16,INDEX(Sheet1!C:C,$F2054),$F2054))</f>
        <v>18</v>
      </c>
      <c r="H2054" s="4" t="str" cm="1">
        <f t="array" ref="H2054">INDEX(Sheet1!D:D,$G2054)</f>
        <v>t1141.xlsx</v>
      </c>
      <c r="I2054" s="4" t="str" cm="1">
        <f t="array" ref="I2054">INDEX(Sheet1!E:E,$G2054)</f>
        <v>Sheet1</v>
      </c>
      <c r="J2054" s="4" t="str" cm="1">
        <f t="array" ref="J2054">IF($C2054&gt;=25,INDEX(Sheet1!G:G,$G2054),INDEX(Sheet1!F:F,$G2054))</f>
        <v>B139</v>
      </c>
      <c r="K2054" s="4" cm="1">
        <f t="array" ref="K2054">INDEX(Sheet1!H:H,$G2054)</f>
        <v>1</v>
      </c>
      <c r="L2054" s="4">
        <f t="shared" si="124"/>
        <v>91</v>
      </c>
      <c r="M2054" s="4">
        <f t="shared" si="125"/>
        <v>0</v>
      </c>
    </row>
    <row r="2055" spans="1:13">
      <c r="A2055" s="4" t="str" cm="1">
        <f t="array" ref="A2055">INDEX(Sheet1!A:A,$F2055)</f>
        <v>F</v>
      </c>
      <c r="B2055" s="4" t="str" cm="1">
        <f t="array" ref="B2055">INDEX(Sheet1!B:B,$F2055)</f>
        <v>Undiff SM</v>
      </c>
      <c r="C2055" s="4">
        <f t="shared" si="122"/>
        <v>117</v>
      </c>
      <c r="D2055" s="5" cm="1">
        <f t="array" aca="1" ref="D2055" ca="1">OFFSET(INDIRECT("'["&amp;$H2055&amp;"]"&amp;$I2055&amp;"'!"&amp;$J2055),$L2055,$M2055)*$K2055</f>
        <v>0.85058999999999996</v>
      </c>
      <c r="F2055" s="4">
        <f t="shared" si="123"/>
        <v>18</v>
      </c>
      <c r="G2055" s="4" cm="1">
        <f t="array" ref="G2055">IF($C2055&gt;=25,F2055,IF($C2055&lt;16,INDEX(Sheet1!C:C,$F2055),$F2055))</f>
        <v>18</v>
      </c>
      <c r="H2055" s="4" t="str" cm="1">
        <f t="array" ref="H2055">INDEX(Sheet1!D:D,$G2055)</f>
        <v>t1141.xlsx</v>
      </c>
      <c r="I2055" s="4" t="str" cm="1">
        <f t="array" ref="I2055">INDEX(Sheet1!E:E,$G2055)</f>
        <v>Sheet1</v>
      </c>
      <c r="J2055" s="4" t="str" cm="1">
        <f t="array" ref="J2055">IF($C2055&gt;=25,INDEX(Sheet1!G:G,$G2055),INDEX(Sheet1!F:F,$G2055))</f>
        <v>B139</v>
      </c>
      <c r="K2055" s="4" cm="1">
        <f t="array" ref="K2055">INDEX(Sheet1!H:H,$G2055)</f>
        <v>1</v>
      </c>
      <c r="L2055" s="4">
        <f t="shared" si="124"/>
        <v>92</v>
      </c>
      <c r="M2055" s="4">
        <f t="shared" si="125"/>
        <v>0</v>
      </c>
    </row>
    <row r="2056" spans="1:13">
      <c r="A2056" s="4" t="str" cm="1">
        <f t="array" ref="A2056">INDEX(Sheet1!A:A,$F2056)</f>
        <v>F</v>
      </c>
      <c r="B2056" s="4" t="str" cm="1">
        <f t="array" ref="B2056">INDEX(Sheet1!B:B,$F2056)</f>
        <v>Undiff SM</v>
      </c>
      <c r="C2056" s="4">
        <f t="shared" si="122"/>
        <v>118</v>
      </c>
      <c r="D2056" s="5" cm="1">
        <f t="array" aca="1" ref="D2056" ca="1">OFFSET(INDIRECT("'["&amp;$H2056&amp;"]"&amp;$I2056&amp;"'!"&amp;$J2056),$L2056,$M2056)*$K2056</f>
        <v>0.89254</v>
      </c>
      <c r="F2056" s="4">
        <f t="shared" si="123"/>
        <v>18</v>
      </c>
      <c r="G2056" s="4" cm="1">
        <f t="array" ref="G2056">IF($C2056&gt;=25,F2056,IF($C2056&lt;16,INDEX(Sheet1!C:C,$F2056),$F2056))</f>
        <v>18</v>
      </c>
      <c r="H2056" s="4" t="str" cm="1">
        <f t="array" ref="H2056">INDEX(Sheet1!D:D,$G2056)</f>
        <v>t1141.xlsx</v>
      </c>
      <c r="I2056" s="4" t="str" cm="1">
        <f t="array" ref="I2056">INDEX(Sheet1!E:E,$G2056)</f>
        <v>Sheet1</v>
      </c>
      <c r="J2056" s="4" t="str" cm="1">
        <f t="array" ref="J2056">IF($C2056&gt;=25,INDEX(Sheet1!G:G,$G2056),INDEX(Sheet1!F:F,$G2056))</f>
        <v>B139</v>
      </c>
      <c r="K2056" s="4" cm="1">
        <f t="array" ref="K2056">INDEX(Sheet1!H:H,$G2056)</f>
        <v>1</v>
      </c>
      <c r="L2056" s="4">
        <f t="shared" si="124"/>
        <v>93</v>
      </c>
      <c r="M2056" s="4">
        <f t="shared" si="125"/>
        <v>0</v>
      </c>
    </row>
    <row r="2057" spans="1:13">
      <c r="A2057" s="4" t="str" cm="1">
        <f t="array" ref="A2057">INDEX(Sheet1!A:A,$F2057)</f>
        <v>F</v>
      </c>
      <c r="B2057" s="4" t="str" cm="1">
        <f t="array" ref="B2057">INDEX(Sheet1!B:B,$F2057)</f>
        <v>Undiff SM</v>
      </c>
      <c r="C2057" s="4">
        <f t="shared" si="122"/>
        <v>119</v>
      </c>
      <c r="D2057" s="5" cm="1">
        <f t="array" aca="1" ref="D2057" ca="1">OFFSET(INDIRECT("'["&amp;$H2057&amp;"]"&amp;$I2057&amp;"'!"&amp;$J2057),$L2057,$M2057)*$K2057</f>
        <v>0.93515999999999999</v>
      </c>
      <c r="F2057" s="4">
        <f t="shared" si="123"/>
        <v>18</v>
      </c>
      <c r="G2057" s="4" cm="1">
        <f t="array" ref="G2057">IF($C2057&gt;=25,F2057,IF($C2057&lt;16,INDEX(Sheet1!C:C,$F2057),$F2057))</f>
        <v>18</v>
      </c>
      <c r="H2057" s="4" t="str" cm="1">
        <f t="array" ref="H2057">INDEX(Sheet1!D:D,$G2057)</f>
        <v>t1141.xlsx</v>
      </c>
      <c r="I2057" s="4" t="str" cm="1">
        <f t="array" ref="I2057">INDEX(Sheet1!E:E,$G2057)</f>
        <v>Sheet1</v>
      </c>
      <c r="J2057" s="4" t="str" cm="1">
        <f t="array" ref="J2057">IF($C2057&gt;=25,INDEX(Sheet1!G:G,$G2057),INDEX(Sheet1!F:F,$G2057))</f>
        <v>B139</v>
      </c>
      <c r="K2057" s="4" cm="1">
        <f t="array" ref="K2057">INDEX(Sheet1!H:H,$G2057)</f>
        <v>1</v>
      </c>
      <c r="L2057" s="4">
        <f t="shared" si="124"/>
        <v>94</v>
      </c>
      <c r="M2057" s="4">
        <f t="shared" si="125"/>
        <v>0</v>
      </c>
    </row>
    <row r="2058" spans="1:13">
      <c r="A2058" s="4" t="str" cm="1">
        <f t="array" ref="A2058">INDEX(Sheet1!A:A,$F2058)</f>
        <v>F</v>
      </c>
      <c r="B2058" s="4" t="str" cm="1">
        <f t="array" ref="B2058">INDEX(Sheet1!B:B,$F2058)</f>
        <v>Undiff SM</v>
      </c>
      <c r="C2058" s="4">
        <f t="shared" si="122"/>
        <v>120</v>
      </c>
      <c r="D2058" s="5" cm="1">
        <f t="array" aca="1" ref="D2058" ca="1">OFFSET(INDIRECT("'["&amp;$H2058&amp;"]"&amp;$I2058&amp;"'!"&amp;$J2058),$L2058,$M2058)*$K2058</f>
        <v>1</v>
      </c>
      <c r="F2058" s="4">
        <f t="shared" si="123"/>
        <v>18</v>
      </c>
      <c r="G2058" s="4" cm="1">
        <f t="array" ref="G2058">IF($C2058&gt;=25,F2058,IF($C2058&lt;16,INDEX(Sheet1!C:C,$F2058),$F2058))</f>
        <v>18</v>
      </c>
      <c r="H2058" s="4" t="str" cm="1">
        <f t="array" ref="H2058">INDEX(Sheet1!D:D,$G2058)</f>
        <v>t1141.xlsx</v>
      </c>
      <c r="I2058" s="4" t="str" cm="1">
        <f t="array" ref="I2058">INDEX(Sheet1!E:E,$G2058)</f>
        <v>Sheet1</v>
      </c>
      <c r="J2058" s="4" t="str" cm="1">
        <f t="array" ref="J2058">IF($C2058&gt;=25,INDEX(Sheet1!G:G,$G2058),INDEX(Sheet1!F:F,$G2058))</f>
        <v>B139</v>
      </c>
      <c r="K2058" s="4" cm="1">
        <f t="array" ref="K2058">INDEX(Sheet1!H:H,$G2058)</f>
        <v>1</v>
      </c>
      <c r="L2058" s="4">
        <f t="shared" si="124"/>
        <v>95</v>
      </c>
      <c r="M2058" s="4">
        <f t="shared" si="125"/>
        <v>0</v>
      </c>
    </row>
    <row r="2059" spans="1:13">
      <c r="A2059" s="4" t="str" cm="1">
        <f t="array" ref="A2059">INDEX(Sheet1!A:A,$F2059)</f>
        <v>F</v>
      </c>
      <c r="B2059" s="4" t="str" cm="1">
        <f t="array" ref="B2059">INDEX(Sheet1!B:B,$F2059)</f>
        <v>Agg/Unknown</v>
      </c>
      <c r="C2059" s="4">
        <f t="shared" si="122"/>
        <v>0</v>
      </c>
      <c r="D2059" s="5" cm="1">
        <f t="array" aca="1" ref="D2059" ca="1">OFFSET(INDIRECT("'["&amp;$H2059&amp;"]"&amp;$I2059&amp;"'!"&amp;$J2059),$L2059,$M2059)*$K2059</f>
        <v>4.8000000000000001E-4</v>
      </c>
      <c r="F2059" s="4">
        <f t="shared" si="123"/>
        <v>19</v>
      </c>
      <c r="G2059" s="4" cm="1">
        <f t="array" ref="G2059">IF($C2059&gt;=25,F2059,IF($C2059&lt;16,INDEX(Sheet1!C:C,$F2059),$F2059))</f>
        <v>19</v>
      </c>
      <c r="H2059" s="4" t="str" cm="1">
        <f t="array" ref="H2059">INDEX(Sheet1!D:D,$G2059)</f>
        <v>t1139.xlsx</v>
      </c>
      <c r="I2059" s="4" t="str" cm="1">
        <f t="array" ref="I2059">INDEX(Sheet1!E:E,$G2059)</f>
        <v>Sheet1</v>
      </c>
      <c r="J2059" s="4" t="str" cm="1">
        <f t="array" ref="J2059">IF($C2059&gt;=25,INDEX(Sheet1!G:G,$G2059),INDEX(Sheet1!F:F,$G2059))</f>
        <v>B25</v>
      </c>
      <c r="K2059" s="4" cm="1">
        <f t="array" ref="K2059">INDEX(Sheet1!H:H,$G2059)</f>
        <v>1</v>
      </c>
      <c r="L2059" s="4">
        <f t="shared" si="124"/>
        <v>0</v>
      </c>
      <c r="M2059" s="4">
        <f t="shared" si="125"/>
        <v>0</v>
      </c>
    </row>
    <row r="2060" spans="1:13">
      <c r="A2060" s="4" t="str" cm="1">
        <f t="array" ref="A2060">INDEX(Sheet1!A:A,$F2060)</f>
        <v>F</v>
      </c>
      <c r="B2060" s="4" t="str" cm="1">
        <f t="array" ref="B2060">INDEX(Sheet1!B:B,$F2060)</f>
        <v>Agg/Unknown</v>
      </c>
      <c r="C2060" s="4">
        <f t="shared" si="122"/>
        <v>1</v>
      </c>
      <c r="D2060" s="5" cm="1">
        <f t="array" aca="1" ref="D2060" ca="1">OFFSET(INDIRECT("'["&amp;$H2060&amp;"]"&amp;$I2060&amp;"'!"&amp;$J2060),$L2060,$M2060)*$K2060</f>
        <v>3.5E-4</v>
      </c>
      <c r="F2060" s="4">
        <f t="shared" si="123"/>
        <v>19</v>
      </c>
      <c r="G2060" s="4" cm="1">
        <f t="array" ref="G2060">IF($C2060&gt;=25,F2060,IF($C2060&lt;16,INDEX(Sheet1!C:C,$F2060),$F2060))</f>
        <v>19</v>
      </c>
      <c r="H2060" s="4" t="str" cm="1">
        <f t="array" ref="H2060">INDEX(Sheet1!D:D,$G2060)</f>
        <v>t1139.xlsx</v>
      </c>
      <c r="I2060" s="4" t="str" cm="1">
        <f t="array" ref="I2060">INDEX(Sheet1!E:E,$G2060)</f>
        <v>Sheet1</v>
      </c>
      <c r="J2060" s="4" t="str" cm="1">
        <f t="array" ref="J2060">IF($C2060&gt;=25,INDEX(Sheet1!G:G,$G2060),INDEX(Sheet1!F:F,$G2060))</f>
        <v>B25</v>
      </c>
      <c r="K2060" s="4" cm="1">
        <f t="array" ref="K2060">INDEX(Sheet1!H:H,$G2060)</f>
        <v>1</v>
      </c>
      <c r="L2060" s="4">
        <f t="shared" si="124"/>
        <v>0</v>
      </c>
      <c r="M2060" s="4">
        <f t="shared" si="125"/>
        <v>1</v>
      </c>
    </row>
    <row r="2061" spans="1:13">
      <c r="A2061" s="4" t="str" cm="1">
        <f t="array" ref="A2061">INDEX(Sheet1!A:A,$F2061)</f>
        <v>F</v>
      </c>
      <c r="B2061" s="4" t="str" cm="1">
        <f t="array" ref="B2061">INDEX(Sheet1!B:B,$F2061)</f>
        <v>Agg/Unknown</v>
      </c>
      <c r="C2061" s="4">
        <f t="shared" si="122"/>
        <v>2</v>
      </c>
      <c r="D2061" s="5" cm="1">
        <f t="array" aca="1" ref="D2061" ca="1">OFFSET(INDIRECT("'["&amp;$H2061&amp;"]"&amp;$I2061&amp;"'!"&amp;$J2061),$L2061,$M2061)*$K2061</f>
        <v>2.5999999999999998E-4</v>
      </c>
      <c r="F2061" s="4">
        <f t="shared" si="123"/>
        <v>19</v>
      </c>
      <c r="G2061" s="4" cm="1">
        <f t="array" ref="G2061">IF($C2061&gt;=25,F2061,IF($C2061&lt;16,INDEX(Sheet1!C:C,$F2061),$F2061))</f>
        <v>19</v>
      </c>
      <c r="H2061" s="4" t="str" cm="1">
        <f t="array" ref="H2061">INDEX(Sheet1!D:D,$G2061)</f>
        <v>t1139.xlsx</v>
      </c>
      <c r="I2061" s="4" t="str" cm="1">
        <f t="array" ref="I2061">INDEX(Sheet1!E:E,$G2061)</f>
        <v>Sheet1</v>
      </c>
      <c r="J2061" s="4" t="str" cm="1">
        <f t="array" ref="J2061">IF($C2061&gt;=25,INDEX(Sheet1!G:G,$G2061),INDEX(Sheet1!F:F,$G2061))</f>
        <v>B25</v>
      </c>
      <c r="K2061" s="4" cm="1">
        <f t="array" ref="K2061">INDEX(Sheet1!H:H,$G2061)</f>
        <v>1</v>
      </c>
      <c r="L2061" s="4">
        <f t="shared" si="124"/>
        <v>0</v>
      </c>
      <c r="M2061" s="4">
        <f t="shared" si="125"/>
        <v>2</v>
      </c>
    </row>
    <row r="2062" spans="1:13">
      <c r="A2062" s="4" t="str" cm="1">
        <f t="array" ref="A2062">INDEX(Sheet1!A:A,$F2062)</f>
        <v>F</v>
      </c>
      <c r="B2062" s="4" t="str" cm="1">
        <f t="array" ref="B2062">INDEX(Sheet1!B:B,$F2062)</f>
        <v>Agg/Unknown</v>
      </c>
      <c r="C2062" s="4">
        <f t="shared" si="122"/>
        <v>3</v>
      </c>
      <c r="D2062" s="5" cm="1">
        <f t="array" aca="1" ref="D2062" ca="1">OFFSET(INDIRECT("'["&amp;$H2062&amp;"]"&amp;$I2062&amp;"'!"&amp;$J2062),$L2062,$M2062)*$K2062</f>
        <v>2.0000000000000001E-4</v>
      </c>
      <c r="F2062" s="4">
        <f t="shared" si="123"/>
        <v>19</v>
      </c>
      <c r="G2062" s="4" cm="1">
        <f t="array" ref="G2062">IF($C2062&gt;=25,F2062,IF($C2062&lt;16,INDEX(Sheet1!C:C,$F2062),$F2062))</f>
        <v>19</v>
      </c>
      <c r="H2062" s="4" t="str" cm="1">
        <f t="array" ref="H2062">INDEX(Sheet1!D:D,$G2062)</f>
        <v>t1139.xlsx</v>
      </c>
      <c r="I2062" s="4" t="str" cm="1">
        <f t="array" ref="I2062">INDEX(Sheet1!E:E,$G2062)</f>
        <v>Sheet1</v>
      </c>
      <c r="J2062" s="4" t="str" cm="1">
        <f t="array" ref="J2062">IF($C2062&gt;=25,INDEX(Sheet1!G:G,$G2062),INDEX(Sheet1!F:F,$G2062))</f>
        <v>B25</v>
      </c>
      <c r="K2062" s="4" cm="1">
        <f t="array" ref="K2062">INDEX(Sheet1!H:H,$G2062)</f>
        <v>1</v>
      </c>
      <c r="L2062" s="4">
        <f t="shared" si="124"/>
        <v>0</v>
      </c>
      <c r="M2062" s="4">
        <f t="shared" si="125"/>
        <v>3</v>
      </c>
    </row>
    <row r="2063" spans="1:13">
      <c r="A2063" s="4" t="str" cm="1">
        <f t="array" ref="A2063">INDEX(Sheet1!A:A,$F2063)</f>
        <v>F</v>
      </c>
      <c r="B2063" s="4" t="str" cm="1">
        <f t="array" ref="B2063">INDEX(Sheet1!B:B,$F2063)</f>
        <v>Agg/Unknown</v>
      </c>
      <c r="C2063" s="4">
        <f t="shared" si="122"/>
        <v>4</v>
      </c>
      <c r="D2063" s="5" cm="1">
        <f t="array" aca="1" ref="D2063" ca="1">OFFSET(INDIRECT("'["&amp;$H2063&amp;"]"&amp;$I2063&amp;"'!"&amp;$J2063),$L2063,$M2063)*$K2063</f>
        <v>1.9000000000000001E-4</v>
      </c>
      <c r="F2063" s="4">
        <f t="shared" si="123"/>
        <v>19</v>
      </c>
      <c r="G2063" s="4" cm="1">
        <f t="array" ref="G2063">IF($C2063&gt;=25,F2063,IF($C2063&lt;16,INDEX(Sheet1!C:C,$F2063),$F2063))</f>
        <v>19</v>
      </c>
      <c r="H2063" s="4" t="str" cm="1">
        <f t="array" ref="H2063">INDEX(Sheet1!D:D,$G2063)</f>
        <v>t1139.xlsx</v>
      </c>
      <c r="I2063" s="4" t="str" cm="1">
        <f t="array" ref="I2063">INDEX(Sheet1!E:E,$G2063)</f>
        <v>Sheet1</v>
      </c>
      <c r="J2063" s="4" t="str" cm="1">
        <f t="array" ref="J2063">IF($C2063&gt;=25,INDEX(Sheet1!G:G,$G2063),INDEX(Sheet1!F:F,$G2063))</f>
        <v>B25</v>
      </c>
      <c r="K2063" s="4" cm="1">
        <f t="array" ref="K2063">INDEX(Sheet1!H:H,$G2063)</f>
        <v>1</v>
      </c>
      <c r="L2063" s="4">
        <f t="shared" si="124"/>
        <v>0</v>
      </c>
      <c r="M2063" s="4">
        <f t="shared" si="125"/>
        <v>4</v>
      </c>
    </row>
    <row r="2064" spans="1:13">
      <c r="A2064" s="4" t="str" cm="1">
        <f t="array" ref="A2064">INDEX(Sheet1!A:A,$F2064)</f>
        <v>F</v>
      </c>
      <c r="B2064" s="4" t="str" cm="1">
        <f t="array" ref="B2064">INDEX(Sheet1!B:B,$F2064)</f>
        <v>Agg/Unknown</v>
      </c>
      <c r="C2064" s="4">
        <f t="shared" si="122"/>
        <v>5</v>
      </c>
      <c r="D2064" s="5" cm="1">
        <f t="array" aca="1" ref="D2064" ca="1">OFFSET(INDIRECT("'["&amp;$H2064&amp;"]"&amp;$I2064&amp;"'!"&amp;$J2064),$L2064,$M2064)*$K2064</f>
        <v>1.8000000000000001E-4</v>
      </c>
      <c r="F2064" s="4">
        <f t="shared" si="123"/>
        <v>19</v>
      </c>
      <c r="G2064" s="4" cm="1">
        <f t="array" ref="G2064">IF($C2064&gt;=25,F2064,IF($C2064&lt;16,INDEX(Sheet1!C:C,$F2064),$F2064))</f>
        <v>19</v>
      </c>
      <c r="H2064" s="4" t="str" cm="1">
        <f t="array" ref="H2064">INDEX(Sheet1!D:D,$G2064)</f>
        <v>t1139.xlsx</v>
      </c>
      <c r="I2064" s="4" t="str" cm="1">
        <f t="array" ref="I2064">INDEX(Sheet1!E:E,$G2064)</f>
        <v>Sheet1</v>
      </c>
      <c r="J2064" s="4" t="str" cm="1">
        <f t="array" ref="J2064">IF($C2064&gt;=25,INDEX(Sheet1!G:G,$G2064),INDEX(Sheet1!F:F,$G2064))</f>
        <v>B25</v>
      </c>
      <c r="K2064" s="4" cm="1">
        <f t="array" ref="K2064">INDEX(Sheet1!H:H,$G2064)</f>
        <v>1</v>
      </c>
      <c r="L2064" s="4">
        <f t="shared" si="124"/>
        <v>0</v>
      </c>
      <c r="M2064" s="4">
        <f t="shared" si="125"/>
        <v>5</v>
      </c>
    </row>
    <row r="2065" spans="1:13">
      <c r="A2065" s="4" t="str" cm="1">
        <f t="array" ref="A2065">INDEX(Sheet1!A:A,$F2065)</f>
        <v>F</v>
      </c>
      <c r="B2065" s="4" t="str" cm="1">
        <f t="array" ref="B2065">INDEX(Sheet1!B:B,$F2065)</f>
        <v>Agg/Unknown</v>
      </c>
      <c r="C2065" s="4">
        <f t="shared" si="122"/>
        <v>6</v>
      </c>
      <c r="D2065" s="5" cm="1">
        <f t="array" aca="1" ref="D2065" ca="1">OFFSET(INDIRECT("'["&amp;$H2065&amp;"]"&amp;$I2065&amp;"'!"&amp;$J2065),$L2065,$M2065)*$K2065</f>
        <v>1.8000000000000001E-4</v>
      </c>
      <c r="F2065" s="4">
        <f t="shared" si="123"/>
        <v>19</v>
      </c>
      <c r="G2065" s="4" cm="1">
        <f t="array" ref="G2065">IF($C2065&gt;=25,F2065,IF($C2065&lt;16,INDEX(Sheet1!C:C,$F2065),$F2065))</f>
        <v>19</v>
      </c>
      <c r="H2065" s="4" t="str" cm="1">
        <f t="array" ref="H2065">INDEX(Sheet1!D:D,$G2065)</f>
        <v>t1139.xlsx</v>
      </c>
      <c r="I2065" s="4" t="str" cm="1">
        <f t="array" ref="I2065">INDEX(Sheet1!E:E,$G2065)</f>
        <v>Sheet1</v>
      </c>
      <c r="J2065" s="4" t="str" cm="1">
        <f t="array" ref="J2065">IF($C2065&gt;=25,INDEX(Sheet1!G:G,$G2065),INDEX(Sheet1!F:F,$G2065))</f>
        <v>B25</v>
      </c>
      <c r="K2065" s="4" cm="1">
        <f t="array" ref="K2065">INDEX(Sheet1!H:H,$G2065)</f>
        <v>1</v>
      </c>
      <c r="L2065" s="4">
        <f t="shared" si="124"/>
        <v>0</v>
      </c>
      <c r="M2065" s="4">
        <f t="shared" si="125"/>
        <v>6</v>
      </c>
    </row>
    <row r="2066" spans="1:13">
      <c r="A2066" s="4" t="str" cm="1">
        <f t="array" ref="A2066">INDEX(Sheet1!A:A,$F2066)</f>
        <v>F</v>
      </c>
      <c r="B2066" s="4" t="str" cm="1">
        <f t="array" ref="B2066">INDEX(Sheet1!B:B,$F2066)</f>
        <v>Agg/Unknown</v>
      </c>
      <c r="C2066" s="4">
        <f t="shared" si="122"/>
        <v>7</v>
      </c>
      <c r="D2066" s="5" cm="1">
        <f t="array" aca="1" ref="D2066" ca="1">OFFSET(INDIRECT("'["&amp;$H2066&amp;"]"&amp;$I2066&amp;"'!"&amp;$J2066),$L2066,$M2066)*$K2066</f>
        <v>2.1000000000000001E-4</v>
      </c>
      <c r="F2066" s="4">
        <f t="shared" si="123"/>
        <v>19</v>
      </c>
      <c r="G2066" s="4" cm="1">
        <f t="array" ref="G2066">IF($C2066&gt;=25,F2066,IF($C2066&lt;16,INDEX(Sheet1!C:C,$F2066),$F2066))</f>
        <v>19</v>
      </c>
      <c r="H2066" s="4" t="str" cm="1">
        <f t="array" ref="H2066">INDEX(Sheet1!D:D,$G2066)</f>
        <v>t1139.xlsx</v>
      </c>
      <c r="I2066" s="4" t="str" cm="1">
        <f t="array" ref="I2066">INDEX(Sheet1!E:E,$G2066)</f>
        <v>Sheet1</v>
      </c>
      <c r="J2066" s="4" t="str" cm="1">
        <f t="array" ref="J2066">IF($C2066&gt;=25,INDEX(Sheet1!G:G,$G2066),INDEX(Sheet1!F:F,$G2066))</f>
        <v>B25</v>
      </c>
      <c r="K2066" s="4" cm="1">
        <f t="array" ref="K2066">INDEX(Sheet1!H:H,$G2066)</f>
        <v>1</v>
      </c>
      <c r="L2066" s="4">
        <f t="shared" si="124"/>
        <v>0</v>
      </c>
      <c r="M2066" s="4">
        <f t="shared" si="125"/>
        <v>7</v>
      </c>
    </row>
    <row r="2067" spans="1:13">
      <c r="A2067" s="4" t="str" cm="1">
        <f t="array" ref="A2067">INDEX(Sheet1!A:A,$F2067)</f>
        <v>F</v>
      </c>
      <c r="B2067" s="4" t="str" cm="1">
        <f t="array" ref="B2067">INDEX(Sheet1!B:B,$F2067)</f>
        <v>Agg/Unknown</v>
      </c>
      <c r="C2067" s="4">
        <f t="shared" si="122"/>
        <v>8</v>
      </c>
      <c r="D2067" s="5" cm="1">
        <f t="array" aca="1" ref="D2067" ca="1">OFFSET(INDIRECT("'["&amp;$H2067&amp;"]"&amp;$I2067&amp;"'!"&amp;$J2067),$L2067,$M2067)*$K2067</f>
        <v>2.1000000000000001E-4</v>
      </c>
      <c r="F2067" s="4">
        <f t="shared" si="123"/>
        <v>19</v>
      </c>
      <c r="G2067" s="4" cm="1">
        <f t="array" ref="G2067">IF($C2067&gt;=25,F2067,IF($C2067&lt;16,INDEX(Sheet1!C:C,$F2067),$F2067))</f>
        <v>19</v>
      </c>
      <c r="H2067" s="4" t="str" cm="1">
        <f t="array" ref="H2067">INDEX(Sheet1!D:D,$G2067)</f>
        <v>t1139.xlsx</v>
      </c>
      <c r="I2067" s="4" t="str" cm="1">
        <f t="array" ref="I2067">INDEX(Sheet1!E:E,$G2067)</f>
        <v>Sheet1</v>
      </c>
      <c r="J2067" s="4" t="str" cm="1">
        <f t="array" ref="J2067">IF($C2067&gt;=25,INDEX(Sheet1!G:G,$G2067),INDEX(Sheet1!F:F,$G2067))</f>
        <v>B25</v>
      </c>
      <c r="K2067" s="4" cm="1">
        <f t="array" ref="K2067">INDEX(Sheet1!H:H,$G2067)</f>
        <v>1</v>
      </c>
      <c r="L2067" s="4">
        <f t="shared" si="124"/>
        <v>0</v>
      </c>
      <c r="M2067" s="4">
        <f t="shared" si="125"/>
        <v>8</v>
      </c>
    </row>
    <row r="2068" spans="1:13">
      <c r="A2068" s="4" t="str" cm="1">
        <f t="array" ref="A2068">INDEX(Sheet1!A:A,$F2068)</f>
        <v>F</v>
      </c>
      <c r="B2068" s="4" t="str" cm="1">
        <f t="array" ref="B2068">INDEX(Sheet1!B:B,$F2068)</f>
        <v>Agg/Unknown</v>
      </c>
      <c r="C2068" s="4">
        <f t="shared" si="122"/>
        <v>9</v>
      </c>
      <c r="D2068" s="5" cm="1">
        <f t="array" aca="1" ref="D2068" ca="1">OFFSET(INDIRECT("'["&amp;$H2068&amp;"]"&amp;$I2068&amp;"'!"&amp;$J2068),$L2068,$M2068)*$K2068</f>
        <v>2.1000000000000001E-4</v>
      </c>
      <c r="F2068" s="4">
        <f t="shared" si="123"/>
        <v>19</v>
      </c>
      <c r="G2068" s="4" cm="1">
        <f t="array" ref="G2068">IF($C2068&gt;=25,F2068,IF($C2068&lt;16,INDEX(Sheet1!C:C,$F2068),$F2068))</f>
        <v>19</v>
      </c>
      <c r="H2068" s="4" t="str" cm="1">
        <f t="array" ref="H2068">INDEX(Sheet1!D:D,$G2068)</f>
        <v>t1139.xlsx</v>
      </c>
      <c r="I2068" s="4" t="str" cm="1">
        <f t="array" ref="I2068">INDEX(Sheet1!E:E,$G2068)</f>
        <v>Sheet1</v>
      </c>
      <c r="J2068" s="4" t="str" cm="1">
        <f t="array" ref="J2068">IF($C2068&gt;=25,INDEX(Sheet1!G:G,$G2068),INDEX(Sheet1!F:F,$G2068))</f>
        <v>B25</v>
      </c>
      <c r="K2068" s="4" cm="1">
        <f t="array" ref="K2068">INDEX(Sheet1!H:H,$G2068)</f>
        <v>1</v>
      </c>
      <c r="L2068" s="4">
        <f t="shared" si="124"/>
        <v>0</v>
      </c>
      <c r="M2068" s="4">
        <f t="shared" si="125"/>
        <v>9</v>
      </c>
    </row>
    <row r="2069" spans="1:13">
      <c r="A2069" s="4" t="str" cm="1">
        <f t="array" ref="A2069">INDEX(Sheet1!A:A,$F2069)</f>
        <v>F</v>
      </c>
      <c r="B2069" s="4" t="str" cm="1">
        <f t="array" ref="B2069">INDEX(Sheet1!B:B,$F2069)</f>
        <v>Agg/Unknown</v>
      </c>
      <c r="C2069" s="4">
        <f t="shared" si="122"/>
        <v>10</v>
      </c>
      <c r="D2069" s="5" cm="1">
        <f t="array" aca="1" ref="D2069" ca="1">OFFSET(INDIRECT("'["&amp;$H2069&amp;"]"&amp;$I2069&amp;"'!"&amp;$J2069),$L2069,$M2069)*$K2069</f>
        <v>2.2000000000000001E-4</v>
      </c>
      <c r="F2069" s="4">
        <f t="shared" si="123"/>
        <v>19</v>
      </c>
      <c r="G2069" s="4" cm="1">
        <f t="array" ref="G2069">IF($C2069&gt;=25,F2069,IF($C2069&lt;16,INDEX(Sheet1!C:C,$F2069),$F2069))</f>
        <v>19</v>
      </c>
      <c r="H2069" s="4" t="str" cm="1">
        <f t="array" ref="H2069">INDEX(Sheet1!D:D,$G2069)</f>
        <v>t1139.xlsx</v>
      </c>
      <c r="I2069" s="4" t="str" cm="1">
        <f t="array" ref="I2069">INDEX(Sheet1!E:E,$G2069)</f>
        <v>Sheet1</v>
      </c>
      <c r="J2069" s="4" t="str" cm="1">
        <f t="array" ref="J2069">IF($C2069&gt;=25,INDEX(Sheet1!G:G,$G2069),INDEX(Sheet1!F:F,$G2069))</f>
        <v>B25</v>
      </c>
      <c r="K2069" s="4" cm="1">
        <f t="array" ref="K2069">INDEX(Sheet1!H:H,$G2069)</f>
        <v>1</v>
      </c>
      <c r="L2069" s="4">
        <f t="shared" si="124"/>
        <v>0</v>
      </c>
      <c r="M2069" s="4">
        <f t="shared" si="125"/>
        <v>10</v>
      </c>
    </row>
    <row r="2070" spans="1:13">
      <c r="A2070" s="4" t="str" cm="1">
        <f t="array" ref="A2070">INDEX(Sheet1!A:A,$F2070)</f>
        <v>F</v>
      </c>
      <c r="B2070" s="4" t="str" cm="1">
        <f t="array" ref="B2070">INDEX(Sheet1!B:B,$F2070)</f>
        <v>Agg/Unknown</v>
      </c>
      <c r="C2070" s="4">
        <f t="shared" si="122"/>
        <v>11</v>
      </c>
      <c r="D2070" s="5" cm="1">
        <f t="array" aca="1" ref="D2070" ca="1">OFFSET(INDIRECT("'["&amp;$H2070&amp;"]"&amp;$I2070&amp;"'!"&amp;$J2070),$L2070,$M2070)*$K2070</f>
        <v>2.3000000000000001E-4</v>
      </c>
      <c r="F2070" s="4">
        <f t="shared" si="123"/>
        <v>19</v>
      </c>
      <c r="G2070" s="4" cm="1">
        <f t="array" ref="G2070">IF($C2070&gt;=25,F2070,IF($C2070&lt;16,INDEX(Sheet1!C:C,$F2070),$F2070))</f>
        <v>19</v>
      </c>
      <c r="H2070" s="4" t="str" cm="1">
        <f t="array" ref="H2070">INDEX(Sheet1!D:D,$G2070)</f>
        <v>t1139.xlsx</v>
      </c>
      <c r="I2070" s="4" t="str" cm="1">
        <f t="array" ref="I2070">INDEX(Sheet1!E:E,$G2070)</f>
        <v>Sheet1</v>
      </c>
      <c r="J2070" s="4" t="str" cm="1">
        <f t="array" ref="J2070">IF($C2070&gt;=25,INDEX(Sheet1!G:G,$G2070),INDEX(Sheet1!F:F,$G2070))</f>
        <v>B25</v>
      </c>
      <c r="K2070" s="4" cm="1">
        <f t="array" ref="K2070">INDEX(Sheet1!H:H,$G2070)</f>
        <v>1</v>
      </c>
      <c r="L2070" s="4">
        <f t="shared" si="124"/>
        <v>0</v>
      </c>
      <c r="M2070" s="4">
        <f t="shared" si="125"/>
        <v>11</v>
      </c>
    </row>
    <row r="2071" spans="1:13">
      <c r="A2071" s="4" t="str" cm="1">
        <f t="array" ref="A2071">INDEX(Sheet1!A:A,$F2071)</f>
        <v>F</v>
      </c>
      <c r="B2071" s="4" t="str" cm="1">
        <f t="array" ref="B2071">INDEX(Sheet1!B:B,$F2071)</f>
        <v>Agg/Unknown</v>
      </c>
      <c r="C2071" s="4">
        <f t="shared" si="122"/>
        <v>12</v>
      </c>
      <c r="D2071" s="5" cm="1">
        <f t="array" aca="1" ref="D2071" ca="1">OFFSET(INDIRECT("'["&amp;$H2071&amp;"]"&amp;$I2071&amp;"'!"&amp;$J2071),$L2071,$M2071)*$K2071</f>
        <v>2.7E-4</v>
      </c>
      <c r="F2071" s="4">
        <f t="shared" si="123"/>
        <v>19</v>
      </c>
      <c r="G2071" s="4" cm="1">
        <f t="array" ref="G2071">IF($C2071&gt;=25,F2071,IF($C2071&lt;16,INDEX(Sheet1!C:C,$F2071),$F2071))</f>
        <v>19</v>
      </c>
      <c r="H2071" s="4" t="str" cm="1">
        <f t="array" ref="H2071">INDEX(Sheet1!D:D,$G2071)</f>
        <v>t1139.xlsx</v>
      </c>
      <c r="I2071" s="4" t="str" cm="1">
        <f t="array" ref="I2071">INDEX(Sheet1!E:E,$G2071)</f>
        <v>Sheet1</v>
      </c>
      <c r="J2071" s="4" t="str" cm="1">
        <f t="array" ref="J2071">IF($C2071&gt;=25,INDEX(Sheet1!G:G,$G2071),INDEX(Sheet1!F:F,$G2071))</f>
        <v>B25</v>
      </c>
      <c r="K2071" s="4" cm="1">
        <f t="array" ref="K2071">INDEX(Sheet1!H:H,$G2071)</f>
        <v>1</v>
      </c>
      <c r="L2071" s="4">
        <f t="shared" si="124"/>
        <v>0</v>
      </c>
      <c r="M2071" s="4">
        <f t="shared" si="125"/>
        <v>12</v>
      </c>
    </row>
    <row r="2072" spans="1:13">
      <c r="A2072" s="4" t="str" cm="1">
        <f t="array" ref="A2072">INDEX(Sheet1!A:A,$F2072)</f>
        <v>F</v>
      </c>
      <c r="B2072" s="4" t="str" cm="1">
        <f t="array" ref="B2072">INDEX(Sheet1!B:B,$F2072)</f>
        <v>Agg/Unknown</v>
      </c>
      <c r="C2072" s="4">
        <f t="shared" si="122"/>
        <v>13</v>
      </c>
      <c r="D2072" s="5" cm="1">
        <f t="array" aca="1" ref="D2072" ca="1">OFFSET(INDIRECT("'["&amp;$H2072&amp;"]"&amp;$I2072&amp;"'!"&amp;$J2072),$L2072,$M2072)*$K2072</f>
        <v>2.9999999999999997E-4</v>
      </c>
      <c r="F2072" s="4">
        <f t="shared" si="123"/>
        <v>19</v>
      </c>
      <c r="G2072" s="4" cm="1">
        <f t="array" ref="G2072">IF($C2072&gt;=25,F2072,IF($C2072&lt;16,INDEX(Sheet1!C:C,$F2072),$F2072))</f>
        <v>19</v>
      </c>
      <c r="H2072" s="4" t="str" cm="1">
        <f t="array" ref="H2072">INDEX(Sheet1!D:D,$G2072)</f>
        <v>t1139.xlsx</v>
      </c>
      <c r="I2072" s="4" t="str" cm="1">
        <f t="array" ref="I2072">INDEX(Sheet1!E:E,$G2072)</f>
        <v>Sheet1</v>
      </c>
      <c r="J2072" s="4" t="str" cm="1">
        <f t="array" ref="J2072">IF($C2072&gt;=25,INDEX(Sheet1!G:G,$G2072),INDEX(Sheet1!F:F,$G2072))</f>
        <v>B25</v>
      </c>
      <c r="K2072" s="4" cm="1">
        <f t="array" ref="K2072">INDEX(Sheet1!H:H,$G2072)</f>
        <v>1</v>
      </c>
      <c r="L2072" s="4">
        <f t="shared" si="124"/>
        <v>0</v>
      </c>
      <c r="M2072" s="4">
        <f t="shared" si="125"/>
        <v>13</v>
      </c>
    </row>
    <row r="2073" spans="1:13">
      <c r="A2073" s="4" t="str" cm="1">
        <f t="array" ref="A2073">INDEX(Sheet1!A:A,$F2073)</f>
        <v>F</v>
      </c>
      <c r="B2073" s="4" t="str" cm="1">
        <f t="array" ref="B2073">INDEX(Sheet1!B:B,$F2073)</f>
        <v>Agg/Unknown</v>
      </c>
      <c r="C2073" s="4">
        <f t="shared" si="122"/>
        <v>14</v>
      </c>
      <c r="D2073" s="5" cm="1">
        <f t="array" aca="1" ref="D2073" ca="1">OFFSET(INDIRECT("'["&amp;$H2073&amp;"]"&amp;$I2073&amp;"'!"&amp;$J2073),$L2073,$M2073)*$K2073</f>
        <v>3.3E-4</v>
      </c>
      <c r="F2073" s="4">
        <f t="shared" si="123"/>
        <v>19</v>
      </c>
      <c r="G2073" s="4" cm="1">
        <f t="array" ref="G2073">IF($C2073&gt;=25,F2073,IF($C2073&lt;16,INDEX(Sheet1!C:C,$F2073),$F2073))</f>
        <v>19</v>
      </c>
      <c r="H2073" s="4" t="str" cm="1">
        <f t="array" ref="H2073">INDEX(Sheet1!D:D,$G2073)</f>
        <v>t1139.xlsx</v>
      </c>
      <c r="I2073" s="4" t="str" cm="1">
        <f t="array" ref="I2073">INDEX(Sheet1!E:E,$G2073)</f>
        <v>Sheet1</v>
      </c>
      <c r="J2073" s="4" t="str" cm="1">
        <f t="array" ref="J2073">IF($C2073&gt;=25,INDEX(Sheet1!G:G,$G2073),INDEX(Sheet1!F:F,$G2073))</f>
        <v>B25</v>
      </c>
      <c r="K2073" s="4" cm="1">
        <f t="array" ref="K2073">INDEX(Sheet1!H:H,$G2073)</f>
        <v>1</v>
      </c>
      <c r="L2073" s="4">
        <f t="shared" si="124"/>
        <v>0</v>
      </c>
      <c r="M2073" s="4">
        <f t="shared" si="125"/>
        <v>14</v>
      </c>
    </row>
    <row r="2074" spans="1:13">
      <c r="A2074" s="4" t="str" cm="1">
        <f t="array" ref="A2074">INDEX(Sheet1!A:A,$F2074)</f>
        <v>F</v>
      </c>
      <c r="B2074" s="4" t="str" cm="1">
        <f t="array" ref="B2074">INDEX(Sheet1!B:B,$F2074)</f>
        <v>Agg/Unknown</v>
      </c>
      <c r="C2074" s="4">
        <f t="shared" si="122"/>
        <v>15</v>
      </c>
      <c r="D2074" s="5" cm="1">
        <f t="array" aca="1" ref="D2074" ca="1">OFFSET(INDIRECT("'["&amp;$H2074&amp;"]"&amp;$I2074&amp;"'!"&amp;$J2074),$L2074,$M2074)*$K2074</f>
        <v>3.5E-4</v>
      </c>
      <c r="F2074" s="4">
        <f t="shared" si="123"/>
        <v>19</v>
      </c>
      <c r="G2074" s="4" cm="1">
        <f t="array" ref="G2074">IF($C2074&gt;=25,F2074,IF($C2074&lt;16,INDEX(Sheet1!C:C,$F2074),$F2074))</f>
        <v>19</v>
      </c>
      <c r="H2074" s="4" t="str" cm="1">
        <f t="array" ref="H2074">INDEX(Sheet1!D:D,$G2074)</f>
        <v>t1139.xlsx</v>
      </c>
      <c r="I2074" s="4" t="str" cm="1">
        <f t="array" ref="I2074">INDEX(Sheet1!E:E,$G2074)</f>
        <v>Sheet1</v>
      </c>
      <c r="J2074" s="4" t="str" cm="1">
        <f t="array" ref="J2074">IF($C2074&gt;=25,INDEX(Sheet1!G:G,$G2074),INDEX(Sheet1!F:F,$G2074))</f>
        <v>B25</v>
      </c>
      <c r="K2074" s="4" cm="1">
        <f t="array" ref="K2074">INDEX(Sheet1!H:H,$G2074)</f>
        <v>1</v>
      </c>
      <c r="L2074" s="4">
        <f t="shared" si="124"/>
        <v>0</v>
      </c>
      <c r="M2074" s="4">
        <f t="shared" si="125"/>
        <v>15</v>
      </c>
    </row>
    <row r="2075" spans="1:13">
      <c r="A2075" s="4" t="str" cm="1">
        <f t="array" ref="A2075">INDEX(Sheet1!A:A,$F2075)</f>
        <v>F</v>
      </c>
      <c r="B2075" s="4" t="str" cm="1">
        <f t="array" ref="B2075">INDEX(Sheet1!B:B,$F2075)</f>
        <v>Agg/Unknown</v>
      </c>
      <c r="C2075" s="4">
        <f t="shared" si="122"/>
        <v>16</v>
      </c>
      <c r="D2075" s="5" cm="1">
        <f t="array" aca="1" ref="D2075" ca="1">OFFSET(INDIRECT("'["&amp;$H2075&amp;"]"&amp;$I2075&amp;"'!"&amp;$J2075),$L2075,$M2075)*$K2075</f>
        <v>3.8999999999999999E-4</v>
      </c>
      <c r="F2075" s="4">
        <f t="shared" si="123"/>
        <v>19</v>
      </c>
      <c r="G2075" s="4" cm="1">
        <f t="array" ref="G2075">IF($C2075&gt;=25,F2075,IF($C2075&lt;16,INDEX(Sheet1!C:C,$F2075),$F2075))</f>
        <v>19</v>
      </c>
      <c r="H2075" s="4" t="str" cm="1">
        <f t="array" ref="H2075">INDEX(Sheet1!D:D,$G2075)</f>
        <v>t1139.xlsx</v>
      </c>
      <c r="I2075" s="4" t="str" cm="1">
        <f t="array" ref="I2075">INDEX(Sheet1!E:E,$G2075)</f>
        <v>Sheet1</v>
      </c>
      <c r="J2075" s="4" t="str" cm="1">
        <f t="array" ref="J2075">IF($C2075&gt;=25,INDEX(Sheet1!G:G,$G2075),INDEX(Sheet1!F:F,$G2075))</f>
        <v>B25</v>
      </c>
      <c r="K2075" s="4" cm="1">
        <f t="array" ref="K2075">INDEX(Sheet1!H:H,$G2075)</f>
        <v>1</v>
      </c>
      <c r="L2075" s="4">
        <f t="shared" si="124"/>
        <v>0</v>
      </c>
      <c r="M2075" s="4">
        <f t="shared" si="125"/>
        <v>16</v>
      </c>
    </row>
    <row r="2076" spans="1:13">
      <c r="A2076" s="4" t="str" cm="1">
        <f t="array" ref="A2076">INDEX(Sheet1!A:A,$F2076)</f>
        <v>F</v>
      </c>
      <c r="B2076" s="4" t="str" cm="1">
        <f t="array" ref="B2076">INDEX(Sheet1!B:B,$F2076)</f>
        <v>Agg/Unknown</v>
      </c>
      <c r="C2076" s="4">
        <f t="shared" si="122"/>
        <v>17</v>
      </c>
      <c r="D2076" s="5" cm="1">
        <f t="array" aca="1" ref="D2076" ca="1">OFFSET(INDIRECT("'["&amp;$H2076&amp;"]"&amp;$I2076&amp;"'!"&amp;$J2076),$L2076,$M2076)*$K2076</f>
        <v>4.0999999999999999E-4</v>
      </c>
      <c r="F2076" s="4">
        <f t="shared" si="123"/>
        <v>19</v>
      </c>
      <c r="G2076" s="4" cm="1">
        <f t="array" ref="G2076">IF($C2076&gt;=25,F2076,IF($C2076&lt;16,INDEX(Sheet1!C:C,$F2076),$F2076))</f>
        <v>19</v>
      </c>
      <c r="H2076" s="4" t="str" cm="1">
        <f t="array" ref="H2076">INDEX(Sheet1!D:D,$G2076)</f>
        <v>t1139.xlsx</v>
      </c>
      <c r="I2076" s="4" t="str" cm="1">
        <f t="array" ref="I2076">INDEX(Sheet1!E:E,$G2076)</f>
        <v>Sheet1</v>
      </c>
      <c r="J2076" s="4" t="str" cm="1">
        <f t="array" ref="J2076">IF($C2076&gt;=25,INDEX(Sheet1!G:G,$G2076),INDEX(Sheet1!F:F,$G2076))</f>
        <v>B25</v>
      </c>
      <c r="K2076" s="4" cm="1">
        <f t="array" ref="K2076">INDEX(Sheet1!H:H,$G2076)</f>
        <v>1</v>
      </c>
      <c r="L2076" s="4">
        <f t="shared" si="124"/>
        <v>0</v>
      </c>
      <c r="M2076" s="4">
        <f t="shared" si="125"/>
        <v>17</v>
      </c>
    </row>
    <row r="2077" spans="1:13">
      <c r="A2077" s="4" t="str" cm="1">
        <f t="array" ref="A2077">INDEX(Sheet1!A:A,$F2077)</f>
        <v>F</v>
      </c>
      <c r="B2077" s="4" t="str" cm="1">
        <f t="array" ref="B2077">INDEX(Sheet1!B:B,$F2077)</f>
        <v>Agg/Unknown</v>
      </c>
      <c r="C2077" s="4">
        <f t="shared" si="122"/>
        <v>18</v>
      </c>
      <c r="D2077" s="5" cm="1">
        <f t="array" aca="1" ref="D2077" ca="1">OFFSET(INDIRECT("'["&amp;$H2077&amp;"]"&amp;$I2077&amp;"'!"&amp;$J2077),$L2077,$M2077)*$K2077</f>
        <v>4.2999999999999999E-4</v>
      </c>
      <c r="F2077" s="4">
        <f t="shared" si="123"/>
        <v>19</v>
      </c>
      <c r="G2077" s="4" cm="1">
        <f t="array" ref="G2077">IF($C2077&gt;=25,F2077,IF($C2077&lt;16,INDEX(Sheet1!C:C,$F2077),$F2077))</f>
        <v>19</v>
      </c>
      <c r="H2077" s="4" t="str" cm="1">
        <f t="array" ref="H2077">INDEX(Sheet1!D:D,$G2077)</f>
        <v>t1139.xlsx</v>
      </c>
      <c r="I2077" s="4" t="str" cm="1">
        <f t="array" ref="I2077">INDEX(Sheet1!E:E,$G2077)</f>
        <v>Sheet1</v>
      </c>
      <c r="J2077" s="4" t="str" cm="1">
        <f t="array" ref="J2077">IF($C2077&gt;=25,INDEX(Sheet1!G:G,$G2077),INDEX(Sheet1!F:F,$G2077))</f>
        <v>B25</v>
      </c>
      <c r="K2077" s="4" cm="1">
        <f t="array" ref="K2077">INDEX(Sheet1!H:H,$G2077)</f>
        <v>1</v>
      </c>
      <c r="L2077" s="4">
        <f t="shared" si="124"/>
        <v>0</v>
      </c>
      <c r="M2077" s="4">
        <f t="shared" si="125"/>
        <v>18</v>
      </c>
    </row>
    <row r="2078" spans="1:13">
      <c r="A2078" s="4" t="str" cm="1">
        <f t="array" ref="A2078">INDEX(Sheet1!A:A,$F2078)</f>
        <v>F</v>
      </c>
      <c r="B2078" s="4" t="str" cm="1">
        <f t="array" ref="B2078">INDEX(Sheet1!B:B,$F2078)</f>
        <v>Agg/Unknown</v>
      </c>
      <c r="C2078" s="4">
        <f t="shared" si="122"/>
        <v>19</v>
      </c>
      <c r="D2078" s="5" cm="1">
        <f t="array" aca="1" ref="D2078" ca="1">OFFSET(INDIRECT("'["&amp;$H2078&amp;"]"&amp;$I2078&amp;"'!"&amp;$J2078),$L2078,$M2078)*$K2078</f>
        <v>4.6000000000000001E-4</v>
      </c>
      <c r="F2078" s="4">
        <f t="shared" si="123"/>
        <v>19</v>
      </c>
      <c r="G2078" s="4" cm="1">
        <f t="array" ref="G2078">IF($C2078&gt;=25,F2078,IF($C2078&lt;16,INDEX(Sheet1!C:C,$F2078),$F2078))</f>
        <v>19</v>
      </c>
      <c r="H2078" s="4" t="str" cm="1">
        <f t="array" ref="H2078">INDEX(Sheet1!D:D,$G2078)</f>
        <v>t1139.xlsx</v>
      </c>
      <c r="I2078" s="4" t="str" cm="1">
        <f t="array" ref="I2078">INDEX(Sheet1!E:E,$G2078)</f>
        <v>Sheet1</v>
      </c>
      <c r="J2078" s="4" t="str" cm="1">
        <f t="array" ref="J2078">IF($C2078&gt;=25,INDEX(Sheet1!G:G,$G2078),INDEX(Sheet1!F:F,$G2078))</f>
        <v>B25</v>
      </c>
      <c r="K2078" s="4" cm="1">
        <f t="array" ref="K2078">INDEX(Sheet1!H:H,$G2078)</f>
        <v>1</v>
      </c>
      <c r="L2078" s="4">
        <f t="shared" si="124"/>
        <v>0</v>
      </c>
      <c r="M2078" s="4">
        <f t="shared" si="125"/>
        <v>19</v>
      </c>
    </row>
    <row r="2079" spans="1:13">
      <c r="A2079" s="4" t="str" cm="1">
        <f t="array" ref="A2079">INDEX(Sheet1!A:A,$F2079)</f>
        <v>F</v>
      </c>
      <c r="B2079" s="4" t="str" cm="1">
        <f t="array" ref="B2079">INDEX(Sheet1!B:B,$F2079)</f>
        <v>Agg/Unknown</v>
      </c>
      <c r="C2079" s="4">
        <f t="shared" si="122"/>
        <v>20</v>
      </c>
      <c r="D2079" s="5" cm="1">
        <f t="array" aca="1" ref="D2079" ca="1">OFFSET(INDIRECT("'["&amp;$H2079&amp;"]"&amp;$I2079&amp;"'!"&amp;$J2079),$L2079,$M2079)*$K2079</f>
        <v>4.6999999999999999E-4</v>
      </c>
      <c r="F2079" s="4">
        <f t="shared" si="123"/>
        <v>19</v>
      </c>
      <c r="G2079" s="4" cm="1">
        <f t="array" ref="G2079">IF($C2079&gt;=25,F2079,IF($C2079&lt;16,INDEX(Sheet1!C:C,$F2079),$F2079))</f>
        <v>19</v>
      </c>
      <c r="H2079" s="4" t="str" cm="1">
        <f t="array" ref="H2079">INDEX(Sheet1!D:D,$G2079)</f>
        <v>t1139.xlsx</v>
      </c>
      <c r="I2079" s="4" t="str" cm="1">
        <f t="array" ref="I2079">INDEX(Sheet1!E:E,$G2079)</f>
        <v>Sheet1</v>
      </c>
      <c r="J2079" s="4" t="str" cm="1">
        <f t="array" ref="J2079">IF($C2079&gt;=25,INDEX(Sheet1!G:G,$G2079),INDEX(Sheet1!F:F,$G2079))</f>
        <v>B25</v>
      </c>
      <c r="K2079" s="4" cm="1">
        <f t="array" ref="K2079">INDEX(Sheet1!H:H,$G2079)</f>
        <v>1</v>
      </c>
      <c r="L2079" s="4">
        <f t="shared" si="124"/>
        <v>0</v>
      </c>
      <c r="M2079" s="4">
        <f t="shared" si="125"/>
        <v>20</v>
      </c>
    </row>
    <row r="2080" spans="1:13">
      <c r="A2080" s="4" t="str" cm="1">
        <f t="array" ref="A2080">INDEX(Sheet1!A:A,$F2080)</f>
        <v>F</v>
      </c>
      <c r="B2080" s="4" t="str" cm="1">
        <f t="array" ref="B2080">INDEX(Sheet1!B:B,$F2080)</f>
        <v>Agg/Unknown</v>
      </c>
      <c r="C2080" s="4">
        <f t="shared" si="122"/>
        <v>21</v>
      </c>
      <c r="D2080" s="5" cm="1">
        <f t="array" aca="1" ref="D2080" ca="1">OFFSET(INDIRECT("'["&amp;$H2080&amp;"]"&amp;$I2080&amp;"'!"&amp;$J2080),$L2080,$M2080)*$K2080</f>
        <v>4.8000000000000001E-4</v>
      </c>
      <c r="F2080" s="4">
        <f t="shared" si="123"/>
        <v>19</v>
      </c>
      <c r="G2080" s="4" cm="1">
        <f t="array" ref="G2080">IF($C2080&gt;=25,F2080,IF($C2080&lt;16,INDEX(Sheet1!C:C,$F2080),$F2080))</f>
        <v>19</v>
      </c>
      <c r="H2080" s="4" t="str" cm="1">
        <f t="array" ref="H2080">INDEX(Sheet1!D:D,$G2080)</f>
        <v>t1139.xlsx</v>
      </c>
      <c r="I2080" s="4" t="str" cm="1">
        <f t="array" ref="I2080">INDEX(Sheet1!E:E,$G2080)</f>
        <v>Sheet1</v>
      </c>
      <c r="J2080" s="4" t="str" cm="1">
        <f t="array" ref="J2080">IF($C2080&gt;=25,INDEX(Sheet1!G:G,$G2080),INDEX(Sheet1!F:F,$G2080))</f>
        <v>B25</v>
      </c>
      <c r="K2080" s="4" cm="1">
        <f t="array" ref="K2080">INDEX(Sheet1!H:H,$G2080)</f>
        <v>1</v>
      </c>
      <c r="L2080" s="4">
        <f t="shared" si="124"/>
        <v>0</v>
      </c>
      <c r="M2080" s="4">
        <f t="shared" si="125"/>
        <v>21</v>
      </c>
    </row>
    <row r="2081" spans="1:13">
      <c r="A2081" s="4" t="str" cm="1">
        <f t="array" ref="A2081">INDEX(Sheet1!A:A,$F2081)</f>
        <v>F</v>
      </c>
      <c r="B2081" s="4" t="str" cm="1">
        <f t="array" ref="B2081">INDEX(Sheet1!B:B,$F2081)</f>
        <v>Agg/Unknown</v>
      </c>
      <c r="C2081" s="4">
        <f t="shared" si="122"/>
        <v>22</v>
      </c>
      <c r="D2081" s="5" cm="1">
        <f t="array" aca="1" ref="D2081" ca="1">OFFSET(INDIRECT("'["&amp;$H2081&amp;"]"&amp;$I2081&amp;"'!"&amp;$J2081),$L2081,$M2081)*$K2081</f>
        <v>5.0000000000000001E-4</v>
      </c>
      <c r="F2081" s="4">
        <f t="shared" si="123"/>
        <v>19</v>
      </c>
      <c r="G2081" s="4" cm="1">
        <f t="array" ref="G2081">IF($C2081&gt;=25,F2081,IF($C2081&lt;16,INDEX(Sheet1!C:C,$F2081),$F2081))</f>
        <v>19</v>
      </c>
      <c r="H2081" s="4" t="str" cm="1">
        <f t="array" ref="H2081">INDEX(Sheet1!D:D,$G2081)</f>
        <v>t1139.xlsx</v>
      </c>
      <c r="I2081" s="4" t="str" cm="1">
        <f t="array" ref="I2081">INDEX(Sheet1!E:E,$G2081)</f>
        <v>Sheet1</v>
      </c>
      <c r="J2081" s="4" t="str" cm="1">
        <f t="array" ref="J2081">IF($C2081&gt;=25,INDEX(Sheet1!G:G,$G2081),INDEX(Sheet1!F:F,$G2081))</f>
        <v>B25</v>
      </c>
      <c r="K2081" s="4" cm="1">
        <f t="array" ref="K2081">INDEX(Sheet1!H:H,$G2081)</f>
        <v>1</v>
      </c>
      <c r="L2081" s="4">
        <f t="shared" si="124"/>
        <v>0</v>
      </c>
      <c r="M2081" s="4">
        <f t="shared" si="125"/>
        <v>22</v>
      </c>
    </row>
    <row r="2082" spans="1:13">
      <c r="A2082" s="4" t="str" cm="1">
        <f t="array" ref="A2082">INDEX(Sheet1!A:A,$F2082)</f>
        <v>F</v>
      </c>
      <c r="B2082" s="4" t="str" cm="1">
        <f t="array" ref="B2082">INDEX(Sheet1!B:B,$F2082)</f>
        <v>Agg/Unknown</v>
      </c>
      <c r="C2082" s="4">
        <f t="shared" si="122"/>
        <v>23</v>
      </c>
      <c r="D2082" s="5" cm="1">
        <f t="array" aca="1" ref="D2082" ca="1">OFFSET(INDIRECT("'["&amp;$H2082&amp;"]"&amp;$I2082&amp;"'!"&amp;$J2082),$L2082,$M2082)*$K2082</f>
        <v>5.0000000000000001E-4</v>
      </c>
      <c r="F2082" s="4">
        <f t="shared" si="123"/>
        <v>19</v>
      </c>
      <c r="G2082" s="4" cm="1">
        <f t="array" ref="G2082">IF($C2082&gt;=25,F2082,IF($C2082&lt;16,INDEX(Sheet1!C:C,$F2082),$F2082))</f>
        <v>19</v>
      </c>
      <c r="H2082" s="4" t="str" cm="1">
        <f t="array" ref="H2082">INDEX(Sheet1!D:D,$G2082)</f>
        <v>t1139.xlsx</v>
      </c>
      <c r="I2082" s="4" t="str" cm="1">
        <f t="array" ref="I2082">INDEX(Sheet1!E:E,$G2082)</f>
        <v>Sheet1</v>
      </c>
      <c r="J2082" s="4" t="str" cm="1">
        <f t="array" ref="J2082">IF($C2082&gt;=25,INDEX(Sheet1!G:G,$G2082),INDEX(Sheet1!F:F,$G2082))</f>
        <v>B25</v>
      </c>
      <c r="K2082" s="4" cm="1">
        <f t="array" ref="K2082">INDEX(Sheet1!H:H,$G2082)</f>
        <v>1</v>
      </c>
      <c r="L2082" s="4">
        <f t="shared" si="124"/>
        <v>0</v>
      </c>
      <c r="M2082" s="4">
        <f t="shared" si="125"/>
        <v>23</v>
      </c>
    </row>
    <row r="2083" spans="1:13">
      <c r="A2083" s="4" t="str" cm="1">
        <f t="array" ref="A2083">INDEX(Sheet1!A:A,$F2083)</f>
        <v>F</v>
      </c>
      <c r="B2083" s="4" t="str" cm="1">
        <f t="array" ref="B2083">INDEX(Sheet1!B:B,$F2083)</f>
        <v>Agg/Unknown</v>
      </c>
      <c r="C2083" s="4">
        <f t="shared" si="122"/>
        <v>24</v>
      </c>
      <c r="D2083" s="5" cm="1">
        <f t="array" aca="1" ref="D2083" ca="1">OFFSET(INDIRECT("'["&amp;$H2083&amp;"]"&amp;$I2083&amp;"'!"&amp;$J2083),$L2083,$M2083)*$K2083</f>
        <v>5.1999999999999995E-4</v>
      </c>
      <c r="F2083" s="4">
        <f t="shared" si="123"/>
        <v>19</v>
      </c>
      <c r="G2083" s="4" cm="1">
        <f t="array" ref="G2083">IF($C2083&gt;=25,F2083,IF($C2083&lt;16,INDEX(Sheet1!C:C,$F2083),$F2083))</f>
        <v>19</v>
      </c>
      <c r="H2083" s="4" t="str" cm="1">
        <f t="array" ref="H2083">INDEX(Sheet1!D:D,$G2083)</f>
        <v>t1139.xlsx</v>
      </c>
      <c r="I2083" s="4" t="str" cm="1">
        <f t="array" ref="I2083">INDEX(Sheet1!E:E,$G2083)</f>
        <v>Sheet1</v>
      </c>
      <c r="J2083" s="4" t="str" cm="1">
        <f t="array" ref="J2083">IF($C2083&gt;=25,INDEX(Sheet1!G:G,$G2083),INDEX(Sheet1!F:F,$G2083))</f>
        <v>B25</v>
      </c>
      <c r="K2083" s="4" cm="1">
        <f t="array" ref="K2083">INDEX(Sheet1!H:H,$G2083)</f>
        <v>1</v>
      </c>
      <c r="L2083" s="4">
        <f t="shared" si="124"/>
        <v>0</v>
      </c>
      <c r="M2083" s="4">
        <f t="shared" si="125"/>
        <v>24</v>
      </c>
    </row>
    <row r="2084" spans="1:13">
      <c r="A2084" s="4" t="str" cm="1">
        <f t="array" ref="A2084">INDEX(Sheet1!A:A,$F2084)</f>
        <v>F</v>
      </c>
      <c r="B2084" s="4" t="str" cm="1">
        <f t="array" ref="B2084">INDEX(Sheet1!B:B,$F2084)</f>
        <v>Agg/Unknown</v>
      </c>
      <c r="C2084" s="4">
        <f t="shared" si="122"/>
        <v>25</v>
      </c>
      <c r="D2084" s="5" cm="1">
        <f t="array" aca="1" ref="D2084" ca="1">OFFSET(INDIRECT("'["&amp;$H2084&amp;"]"&amp;$I2084&amp;"'!"&amp;$J2084),$L2084,$M2084)*$K2084</f>
        <v>5.4000000000000001E-4</v>
      </c>
      <c r="F2084" s="4">
        <f t="shared" si="123"/>
        <v>19</v>
      </c>
      <c r="G2084" s="4" cm="1">
        <f t="array" ref="G2084">IF($C2084&gt;=25,F2084,IF($C2084&lt;16,INDEX(Sheet1!C:C,$F2084),$F2084))</f>
        <v>19</v>
      </c>
      <c r="H2084" s="4" t="str" cm="1">
        <f t="array" ref="H2084">INDEX(Sheet1!D:D,$G2084)</f>
        <v>t1139.xlsx</v>
      </c>
      <c r="I2084" s="4" t="str" cm="1">
        <f t="array" ref="I2084">INDEX(Sheet1!E:E,$G2084)</f>
        <v>Sheet1</v>
      </c>
      <c r="J2084" s="4" t="str" cm="1">
        <f t="array" ref="J2084">IF($C2084&gt;=25,INDEX(Sheet1!G:G,$G2084),INDEX(Sheet1!F:F,$G2084))</f>
        <v>B139</v>
      </c>
      <c r="K2084" s="4" cm="1">
        <f t="array" ref="K2084">INDEX(Sheet1!H:H,$G2084)</f>
        <v>1</v>
      </c>
      <c r="L2084" s="4">
        <f t="shared" si="124"/>
        <v>0</v>
      </c>
      <c r="M2084" s="4">
        <f t="shared" si="125"/>
        <v>0</v>
      </c>
    </row>
    <row r="2085" spans="1:13">
      <c r="A2085" s="4" t="str" cm="1">
        <f t="array" ref="A2085">INDEX(Sheet1!A:A,$F2085)</f>
        <v>F</v>
      </c>
      <c r="B2085" s="4" t="str" cm="1">
        <f t="array" ref="B2085">INDEX(Sheet1!B:B,$F2085)</f>
        <v>Agg/Unknown</v>
      </c>
      <c r="C2085" s="4">
        <f t="shared" si="122"/>
        <v>26</v>
      </c>
      <c r="D2085" s="5" cm="1">
        <f t="array" aca="1" ref="D2085" ca="1">OFFSET(INDIRECT("'["&amp;$H2085&amp;"]"&amp;$I2085&amp;"'!"&amp;$J2085),$L2085,$M2085)*$K2085</f>
        <v>5.5999999999999995E-4</v>
      </c>
      <c r="F2085" s="4">
        <f t="shared" si="123"/>
        <v>19</v>
      </c>
      <c r="G2085" s="4" cm="1">
        <f t="array" ref="G2085">IF($C2085&gt;=25,F2085,IF($C2085&lt;16,INDEX(Sheet1!C:C,$F2085),$F2085))</f>
        <v>19</v>
      </c>
      <c r="H2085" s="4" t="str" cm="1">
        <f t="array" ref="H2085">INDEX(Sheet1!D:D,$G2085)</f>
        <v>t1139.xlsx</v>
      </c>
      <c r="I2085" s="4" t="str" cm="1">
        <f t="array" ref="I2085">INDEX(Sheet1!E:E,$G2085)</f>
        <v>Sheet1</v>
      </c>
      <c r="J2085" s="4" t="str" cm="1">
        <f t="array" ref="J2085">IF($C2085&gt;=25,INDEX(Sheet1!G:G,$G2085),INDEX(Sheet1!F:F,$G2085))</f>
        <v>B139</v>
      </c>
      <c r="K2085" s="4" cm="1">
        <f t="array" ref="K2085">INDEX(Sheet1!H:H,$G2085)</f>
        <v>1</v>
      </c>
      <c r="L2085" s="4">
        <f t="shared" si="124"/>
        <v>1</v>
      </c>
      <c r="M2085" s="4">
        <f t="shared" si="125"/>
        <v>0</v>
      </c>
    </row>
    <row r="2086" spans="1:13">
      <c r="A2086" s="4" t="str" cm="1">
        <f t="array" ref="A2086">INDEX(Sheet1!A:A,$F2086)</f>
        <v>F</v>
      </c>
      <c r="B2086" s="4" t="str" cm="1">
        <f t="array" ref="B2086">INDEX(Sheet1!B:B,$F2086)</f>
        <v>Agg/Unknown</v>
      </c>
      <c r="C2086" s="4">
        <f t="shared" si="122"/>
        <v>27</v>
      </c>
      <c r="D2086" s="5" cm="1">
        <f t="array" aca="1" ref="D2086" ca="1">OFFSET(INDIRECT("'["&amp;$H2086&amp;"]"&amp;$I2086&amp;"'!"&amp;$J2086),$L2086,$M2086)*$K2086</f>
        <v>5.9999999999999995E-4</v>
      </c>
      <c r="F2086" s="4">
        <f t="shared" si="123"/>
        <v>19</v>
      </c>
      <c r="G2086" s="4" cm="1">
        <f t="array" ref="G2086">IF($C2086&gt;=25,F2086,IF($C2086&lt;16,INDEX(Sheet1!C:C,$F2086),$F2086))</f>
        <v>19</v>
      </c>
      <c r="H2086" s="4" t="str" cm="1">
        <f t="array" ref="H2086">INDEX(Sheet1!D:D,$G2086)</f>
        <v>t1139.xlsx</v>
      </c>
      <c r="I2086" s="4" t="str" cm="1">
        <f t="array" ref="I2086">INDEX(Sheet1!E:E,$G2086)</f>
        <v>Sheet1</v>
      </c>
      <c r="J2086" s="4" t="str" cm="1">
        <f t="array" ref="J2086">IF($C2086&gt;=25,INDEX(Sheet1!G:G,$G2086),INDEX(Sheet1!F:F,$G2086))</f>
        <v>B139</v>
      </c>
      <c r="K2086" s="4" cm="1">
        <f t="array" ref="K2086">INDEX(Sheet1!H:H,$G2086)</f>
        <v>1</v>
      </c>
      <c r="L2086" s="4">
        <f t="shared" si="124"/>
        <v>2</v>
      </c>
      <c r="M2086" s="4">
        <f t="shared" si="125"/>
        <v>0</v>
      </c>
    </row>
    <row r="2087" spans="1:13">
      <c r="A2087" s="4" t="str" cm="1">
        <f t="array" ref="A2087">INDEX(Sheet1!A:A,$F2087)</f>
        <v>F</v>
      </c>
      <c r="B2087" s="4" t="str" cm="1">
        <f t="array" ref="B2087">INDEX(Sheet1!B:B,$F2087)</f>
        <v>Agg/Unknown</v>
      </c>
      <c r="C2087" s="4">
        <f t="shared" si="122"/>
        <v>28</v>
      </c>
      <c r="D2087" s="5" cm="1">
        <f t="array" aca="1" ref="D2087" ca="1">OFFSET(INDIRECT("'["&amp;$H2087&amp;"]"&amp;$I2087&amp;"'!"&amp;$J2087),$L2087,$M2087)*$K2087</f>
        <v>6.3000000000000003E-4</v>
      </c>
      <c r="F2087" s="4">
        <f t="shared" si="123"/>
        <v>19</v>
      </c>
      <c r="G2087" s="4" cm="1">
        <f t="array" ref="G2087">IF($C2087&gt;=25,F2087,IF($C2087&lt;16,INDEX(Sheet1!C:C,$F2087),$F2087))</f>
        <v>19</v>
      </c>
      <c r="H2087" s="4" t="str" cm="1">
        <f t="array" ref="H2087">INDEX(Sheet1!D:D,$G2087)</f>
        <v>t1139.xlsx</v>
      </c>
      <c r="I2087" s="4" t="str" cm="1">
        <f t="array" ref="I2087">INDEX(Sheet1!E:E,$G2087)</f>
        <v>Sheet1</v>
      </c>
      <c r="J2087" s="4" t="str" cm="1">
        <f t="array" ref="J2087">IF($C2087&gt;=25,INDEX(Sheet1!G:G,$G2087),INDEX(Sheet1!F:F,$G2087))</f>
        <v>B139</v>
      </c>
      <c r="K2087" s="4" cm="1">
        <f t="array" ref="K2087">INDEX(Sheet1!H:H,$G2087)</f>
        <v>1</v>
      </c>
      <c r="L2087" s="4">
        <f t="shared" si="124"/>
        <v>3</v>
      </c>
      <c r="M2087" s="4">
        <f t="shared" si="125"/>
        <v>0</v>
      </c>
    </row>
    <row r="2088" spans="1:13">
      <c r="A2088" s="4" t="str" cm="1">
        <f t="array" ref="A2088">INDEX(Sheet1!A:A,$F2088)</f>
        <v>F</v>
      </c>
      <c r="B2088" s="4" t="str" cm="1">
        <f t="array" ref="B2088">INDEX(Sheet1!B:B,$F2088)</f>
        <v>Agg/Unknown</v>
      </c>
      <c r="C2088" s="4">
        <f t="shared" si="122"/>
        <v>29</v>
      </c>
      <c r="D2088" s="5" cm="1">
        <f t="array" aca="1" ref="D2088" ca="1">OFFSET(INDIRECT("'["&amp;$H2088&amp;"]"&amp;$I2088&amp;"'!"&amp;$J2088),$L2088,$M2088)*$K2088</f>
        <v>6.6E-4</v>
      </c>
      <c r="F2088" s="4">
        <f t="shared" si="123"/>
        <v>19</v>
      </c>
      <c r="G2088" s="4" cm="1">
        <f t="array" ref="G2088">IF($C2088&gt;=25,F2088,IF($C2088&lt;16,INDEX(Sheet1!C:C,$F2088),$F2088))</f>
        <v>19</v>
      </c>
      <c r="H2088" s="4" t="str" cm="1">
        <f t="array" ref="H2088">INDEX(Sheet1!D:D,$G2088)</f>
        <v>t1139.xlsx</v>
      </c>
      <c r="I2088" s="4" t="str" cm="1">
        <f t="array" ref="I2088">INDEX(Sheet1!E:E,$G2088)</f>
        <v>Sheet1</v>
      </c>
      <c r="J2088" s="4" t="str" cm="1">
        <f t="array" ref="J2088">IF($C2088&gt;=25,INDEX(Sheet1!G:G,$G2088),INDEX(Sheet1!F:F,$G2088))</f>
        <v>B139</v>
      </c>
      <c r="K2088" s="4" cm="1">
        <f t="array" ref="K2088">INDEX(Sheet1!H:H,$G2088)</f>
        <v>1</v>
      </c>
      <c r="L2088" s="4">
        <f t="shared" si="124"/>
        <v>4</v>
      </c>
      <c r="M2088" s="4">
        <f t="shared" si="125"/>
        <v>0</v>
      </c>
    </row>
    <row r="2089" spans="1:13">
      <c r="A2089" s="4" t="str" cm="1">
        <f t="array" ref="A2089">INDEX(Sheet1!A:A,$F2089)</f>
        <v>F</v>
      </c>
      <c r="B2089" s="4" t="str" cm="1">
        <f t="array" ref="B2089">INDEX(Sheet1!B:B,$F2089)</f>
        <v>Agg/Unknown</v>
      </c>
      <c r="C2089" s="4">
        <f t="shared" si="122"/>
        <v>30</v>
      </c>
      <c r="D2089" s="5" cm="1">
        <f t="array" aca="1" ref="D2089" ca="1">OFFSET(INDIRECT("'["&amp;$H2089&amp;"]"&amp;$I2089&amp;"'!"&amp;$J2089),$L2089,$M2089)*$K2089</f>
        <v>6.8000000000000005E-4</v>
      </c>
      <c r="F2089" s="4">
        <f t="shared" si="123"/>
        <v>19</v>
      </c>
      <c r="G2089" s="4" cm="1">
        <f t="array" ref="G2089">IF($C2089&gt;=25,F2089,IF($C2089&lt;16,INDEX(Sheet1!C:C,$F2089),$F2089))</f>
        <v>19</v>
      </c>
      <c r="H2089" s="4" t="str" cm="1">
        <f t="array" ref="H2089">INDEX(Sheet1!D:D,$G2089)</f>
        <v>t1139.xlsx</v>
      </c>
      <c r="I2089" s="4" t="str" cm="1">
        <f t="array" ref="I2089">INDEX(Sheet1!E:E,$G2089)</f>
        <v>Sheet1</v>
      </c>
      <c r="J2089" s="4" t="str" cm="1">
        <f t="array" ref="J2089">IF($C2089&gt;=25,INDEX(Sheet1!G:G,$G2089),INDEX(Sheet1!F:F,$G2089))</f>
        <v>B139</v>
      </c>
      <c r="K2089" s="4" cm="1">
        <f t="array" ref="K2089">INDEX(Sheet1!H:H,$G2089)</f>
        <v>1</v>
      </c>
      <c r="L2089" s="4">
        <f t="shared" si="124"/>
        <v>5</v>
      </c>
      <c r="M2089" s="4">
        <f t="shared" si="125"/>
        <v>0</v>
      </c>
    </row>
    <row r="2090" spans="1:13">
      <c r="A2090" s="4" t="str" cm="1">
        <f t="array" ref="A2090">INDEX(Sheet1!A:A,$F2090)</f>
        <v>F</v>
      </c>
      <c r="B2090" s="4" t="str" cm="1">
        <f t="array" ref="B2090">INDEX(Sheet1!B:B,$F2090)</f>
        <v>Agg/Unknown</v>
      </c>
      <c r="C2090" s="4">
        <f t="shared" si="122"/>
        <v>31</v>
      </c>
      <c r="D2090" s="5" cm="1">
        <f t="array" aca="1" ref="D2090" ca="1">OFFSET(INDIRECT("'["&amp;$H2090&amp;"]"&amp;$I2090&amp;"'!"&amp;$J2090),$L2090,$M2090)*$K2090</f>
        <v>7.2999999999999996E-4</v>
      </c>
      <c r="F2090" s="4">
        <f t="shared" si="123"/>
        <v>19</v>
      </c>
      <c r="G2090" s="4" cm="1">
        <f t="array" ref="G2090">IF($C2090&gt;=25,F2090,IF($C2090&lt;16,INDEX(Sheet1!C:C,$F2090),$F2090))</f>
        <v>19</v>
      </c>
      <c r="H2090" s="4" t="str" cm="1">
        <f t="array" ref="H2090">INDEX(Sheet1!D:D,$G2090)</f>
        <v>t1139.xlsx</v>
      </c>
      <c r="I2090" s="4" t="str" cm="1">
        <f t="array" ref="I2090">INDEX(Sheet1!E:E,$G2090)</f>
        <v>Sheet1</v>
      </c>
      <c r="J2090" s="4" t="str" cm="1">
        <f t="array" ref="J2090">IF($C2090&gt;=25,INDEX(Sheet1!G:G,$G2090),INDEX(Sheet1!F:F,$G2090))</f>
        <v>B139</v>
      </c>
      <c r="K2090" s="4" cm="1">
        <f t="array" ref="K2090">INDEX(Sheet1!H:H,$G2090)</f>
        <v>1</v>
      </c>
      <c r="L2090" s="4">
        <f t="shared" si="124"/>
        <v>6</v>
      </c>
      <c r="M2090" s="4">
        <f t="shared" si="125"/>
        <v>0</v>
      </c>
    </row>
    <row r="2091" spans="1:13">
      <c r="A2091" s="4" t="str" cm="1">
        <f t="array" ref="A2091">INDEX(Sheet1!A:A,$F2091)</f>
        <v>F</v>
      </c>
      <c r="B2091" s="4" t="str" cm="1">
        <f t="array" ref="B2091">INDEX(Sheet1!B:B,$F2091)</f>
        <v>Agg/Unknown</v>
      </c>
      <c r="C2091" s="4">
        <f t="shared" si="122"/>
        <v>32</v>
      </c>
      <c r="D2091" s="5" cm="1">
        <f t="array" aca="1" ref="D2091" ca="1">OFFSET(INDIRECT("'["&amp;$H2091&amp;"]"&amp;$I2091&amp;"'!"&amp;$J2091),$L2091,$M2091)*$K2091</f>
        <v>7.6999999999999996E-4</v>
      </c>
      <c r="F2091" s="4">
        <f t="shared" si="123"/>
        <v>19</v>
      </c>
      <c r="G2091" s="4" cm="1">
        <f t="array" ref="G2091">IF($C2091&gt;=25,F2091,IF($C2091&lt;16,INDEX(Sheet1!C:C,$F2091),$F2091))</f>
        <v>19</v>
      </c>
      <c r="H2091" s="4" t="str" cm="1">
        <f t="array" ref="H2091">INDEX(Sheet1!D:D,$G2091)</f>
        <v>t1139.xlsx</v>
      </c>
      <c r="I2091" s="4" t="str" cm="1">
        <f t="array" ref="I2091">INDEX(Sheet1!E:E,$G2091)</f>
        <v>Sheet1</v>
      </c>
      <c r="J2091" s="4" t="str" cm="1">
        <f t="array" ref="J2091">IF($C2091&gt;=25,INDEX(Sheet1!G:G,$G2091),INDEX(Sheet1!F:F,$G2091))</f>
        <v>B139</v>
      </c>
      <c r="K2091" s="4" cm="1">
        <f t="array" ref="K2091">INDEX(Sheet1!H:H,$G2091)</f>
        <v>1</v>
      </c>
      <c r="L2091" s="4">
        <f t="shared" si="124"/>
        <v>7</v>
      </c>
      <c r="M2091" s="4">
        <f t="shared" si="125"/>
        <v>0</v>
      </c>
    </row>
    <row r="2092" spans="1:13">
      <c r="A2092" s="4" t="str" cm="1">
        <f t="array" ref="A2092">INDEX(Sheet1!A:A,$F2092)</f>
        <v>F</v>
      </c>
      <c r="B2092" s="4" t="str" cm="1">
        <f t="array" ref="B2092">INDEX(Sheet1!B:B,$F2092)</f>
        <v>Agg/Unknown</v>
      </c>
      <c r="C2092" s="4">
        <f t="shared" si="122"/>
        <v>33</v>
      </c>
      <c r="D2092" s="5" cm="1">
        <f t="array" aca="1" ref="D2092" ca="1">OFFSET(INDIRECT("'["&amp;$H2092&amp;"]"&amp;$I2092&amp;"'!"&amp;$J2092),$L2092,$M2092)*$K2092</f>
        <v>8.1999999999999998E-4</v>
      </c>
      <c r="F2092" s="4">
        <f t="shared" si="123"/>
        <v>19</v>
      </c>
      <c r="G2092" s="4" cm="1">
        <f t="array" ref="G2092">IF($C2092&gt;=25,F2092,IF($C2092&lt;16,INDEX(Sheet1!C:C,$F2092),$F2092))</f>
        <v>19</v>
      </c>
      <c r="H2092" s="4" t="str" cm="1">
        <f t="array" ref="H2092">INDEX(Sheet1!D:D,$G2092)</f>
        <v>t1139.xlsx</v>
      </c>
      <c r="I2092" s="4" t="str" cm="1">
        <f t="array" ref="I2092">INDEX(Sheet1!E:E,$G2092)</f>
        <v>Sheet1</v>
      </c>
      <c r="J2092" s="4" t="str" cm="1">
        <f t="array" ref="J2092">IF($C2092&gt;=25,INDEX(Sheet1!G:G,$G2092),INDEX(Sheet1!F:F,$G2092))</f>
        <v>B139</v>
      </c>
      <c r="K2092" s="4" cm="1">
        <f t="array" ref="K2092">INDEX(Sheet1!H:H,$G2092)</f>
        <v>1</v>
      </c>
      <c r="L2092" s="4">
        <f t="shared" si="124"/>
        <v>8</v>
      </c>
      <c r="M2092" s="4">
        <f t="shared" si="125"/>
        <v>0</v>
      </c>
    </row>
    <row r="2093" spans="1:13">
      <c r="A2093" s="4" t="str" cm="1">
        <f t="array" ref="A2093">INDEX(Sheet1!A:A,$F2093)</f>
        <v>F</v>
      </c>
      <c r="B2093" s="4" t="str" cm="1">
        <f t="array" ref="B2093">INDEX(Sheet1!B:B,$F2093)</f>
        <v>Agg/Unknown</v>
      </c>
      <c r="C2093" s="4">
        <f t="shared" si="122"/>
        <v>34</v>
      </c>
      <c r="D2093" s="5" cm="1">
        <f t="array" aca="1" ref="D2093" ca="1">OFFSET(INDIRECT("'["&amp;$H2093&amp;"]"&amp;$I2093&amp;"'!"&amp;$J2093),$L2093,$M2093)*$K2093</f>
        <v>8.8000000000000003E-4</v>
      </c>
      <c r="F2093" s="4">
        <f t="shared" si="123"/>
        <v>19</v>
      </c>
      <c r="G2093" s="4" cm="1">
        <f t="array" ref="G2093">IF($C2093&gt;=25,F2093,IF($C2093&lt;16,INDEX(Sheet1!C:C,$F2093),$F2093))</f>
        <v>19</v>
      </c>
      <c r="H2093" s="4" t="str" cm="1">
        <f t="array" ref="H2093">INDEX(Sheet1!D:D,$G2093)</f>
        <v>t1139.xlsx</v>
      </c>
      <c r="I2093" s="4" t="str" cm="1">
        <f t="array" ref="I2093">INDEX(Sheet1!E:E,$G2093)</f>
        <v>Sheet1</v>
      </c>
      <c r="J2093" s="4" t="str" cm="1">
        <f t="array" ref="J2093">IF($C2093&gt;=25,INDEX(Sheet1!G:G,$G2093),INDEX(Sheet1!F:F,$G2093))</f>
        <v>B139</v>
      </c>
      <c r="K2093" s="4" cm="1">
        <f t="array" ref="K2093">INDEX(Sheet1!H:H,$G2093)</f>
        <v>1</v>
      </c>
      <c r="L2093" s="4">
        <f t="shared" si="124"/>
        <v>9</v>
      </c>
      <c r="M2093" s="4">
        <f t="shared" si="125"/>
        <v>0</v>
      </c>
    </row>
    <row r="2094" spans="1:13">
      <c r="A2094" s="4" t="str" cm="1">
        <f t="array" ref="A2094">INDEX(Sheet1!A:A,$F2094)</f>
        <v>F</v>
      </c>
      <c r="B2094" s="4" t="str" cm="1">
        <f t="array" ref="B2094">INDEX(Sheet1!B:B,$F2094)</f>
        <v>Agg/Unknown</v>
      </c>
      <c r="C2094" s="4">
        <f t="shared" si="122"/>
        <v>35</v>
      </c>
      <c r="D2094" s="5" cm="1">
        <f t="array" aca="1" ref="D2094" ca="1">OFFSET(INDIRECT("'["&amp;$H2094&amp;"]"&amp;$I2094&amp;"'!"&amp;$J2094),$L2094,$M2094)*$K2094</f>
        <v>9.7000000000000005E-4</v>
      </c>
      <c r="F2094" s="4">
        <f t="shared" si="123"/>
        <v>19</v>
      </c>
      <c r="G2094" s="4" cm="1">
        <f t="array" ref="G2094">IF($C2094&gt;=25,F2094,IF($C2094&lt;16,INDEX(Sheet1!C:C,$F2094),$F2094))</f>
        <v>19</v>
      </c>
      <c r="H2094" s="4" t="str" cm="1">
        <f t="array" ref="H2094">INDEX(Sheet1!D:D,$G2094)</f>
        <v>t1139.xlsx</v>
      </c>
      <c r="I2094" s="4" t="str" cm="1">
        <f t="array" ref="I2094">INDEX(Sheet1!E:E,$G2094)</f>
        <v>Sheet1</v>
      </c>
      <c r="J2094" s="4" t="str" cm="1">
        <f t="array" ref="J2094">IF($C2094&gt;=25,INDEX(Sheet1!G:G,$G2094),INDEX(Sheet1!F:F,$G2094))</f>
        <v>B139</v>
      </c>
      <c r="K2094" s="4" cm="1">
        <f t="array" ref="K2094">INDEX(Sheet1!H:H,$G2094)</f>
        <v>1</v>
      </c>
      <c r="L2094" s="4">
        <f t="shared" si="124"/>
        <v>10</v>
      </c>
      <c r="M2094" s="4">
        <f t="shared" si="125"/>
        <v>0</v>
      </c>
    </row>
    <row r="2095" spans="1:13">
      <c r="A2095" s="4" t="str" cm="1">
        <f t="array" ref="A2095">INDEX(Sheet1!A:A,$F2095)</f>
        <v>F</v>
      </c>
      <c r="B2095" s="4" t="str" cm="1">
        <f t="array" ref="B2095">INDEX(Sheet1!B:B,$F2095)</f>
        <v>Agg/Unknown</v>
      </c>
      <c r="C2095" s="4">
        <f t="shared" si="122"/>
        <v>36</v>
      </c>
      <c r="D2095" s="5" cm="1">
        <f t="array" aca="1" ref="D2095" ca="1">OFFSET(INDIRECT("'["&amp;$H2095&amp;"]"&amp;$I2095&amp;"'!"&amp;$J2095),$L2095,$M2095)*$K2095</f>
        <v>1.0300000000000001E-3</v>
      </c>
      <c r="F2095" s="4">
        <f t="shared" si="123"/>
        <v>19</v>
      </c>
      <c r="G2095" s="4" cm="1">
        <f t="array" ref="G2095">IF($C2095&gt;=25,F2095,IF($C2095&lt;16,INDEX(Sheet1!C:C,$F2095),$F2095))</f>
        <v>19</v>
      </c>
      <c r="H2095" s="4" t="str" cm="1">
        <f t="array" ref="H2095">INDEX(Sheet1!D:D,$G2095)</f>
        <v>t1139.xlsx</v>
      </c>
      <c r="I2095" s="4" t="str" cm="1">
        <f t="array" ref="I2095">INDEX(Sheet1!E:E,$G2095)</f>
        <v>Sheet1</v>
      </c>
      <c r="J2095" s="4" t="str" cm="1">
        <f t="array" ref="J2095">IF($C2095&gt;=25,INDEX(Sheet1!G:G,$G2095),INDEX(Sheet1!F:F,$G2095))</f>
        <v>B139</v>
      </c>
      <c r="K2095" s="4" cm="1">
        <f t="array" ref="K2095">INDEX(Sheet1!H:H,$G2095)</f>
        <v>1</v>
      </c>
      <c r="L2095" s="4">
        <f t="shared" si="124"/>
        <v>11</v>
      </c>
      <c r="M2095" s="4">
        <f t="shared" si="125"/>
        <v>0</v>
      </c>
    </row>
    <row r="2096" spans="1:13">
      <c r="A2096" s="4" t="str" cm="1">
        <f t="array" ref="A2096">INDEX(Sheet1!A:A,$F2096)</f>
        <v>F</v>
      </c>
      <c r="B2096" s="4" t="str" cm="1">
        <f t="array" ref="B2096">INDEX(Sheet1!B:B,$F2096)</f>
        <v>Agg/Unknown</v>
      </c>
      <c r="C2096" s="4">
        <f t="shared" si="122"/>
        <v>37</v>
      </c>
      <c r="D2096" s="5" cm="1">
        <f t="array" aca="1" ref="D2096" ca="1">OFFSET(INDIRECT("'["&amp;$H2096&amp;"]"&amp;$I2096&amp;"'!"&amp;$J2096),$L2096,$M2096)*$K2096</f>
        <v>1.1100000000000001E-3</v>
      </c>
      <c r="F2096" s="4">
        <f t="shared" si="123"/>
        <v>19</v>
      </c>
      <c r="G2096" s="4" cm="1">
        <f t="array" ref="G2096">IF($C2096&gt;=25,F2096,IF($C2096&lt;16,INDEX(Sheet1!C:C,$F2096),$F2096))</f>
        <v>19</v>
      </c>
      <c r="H2096" s="4" t="str" cm="1">
        <f t="array" ref="H2096">INDEX(Sheet1!D:D,$G2096)</f>
        <v>t1139.xlsx</v>
      </c>
      <c r="I2096" s="4" t="str" cm="1">
        <f t="array" ref="I2096">INDEX(Sheet1!E:E,$G2096)</f>
        <v>Sheet1</v>
      </c>
      <c r="J2096" s="4" t="str" cm="1">
        <f t="array" ref="J2096">IF($C2096&gt;=25,INDEX(Sheet1!G:G,$G2096),INDEX(Sheet1!F:F,$G2096))</f>
        <v>B139</v>
      </c>
      <c r="K2096" s="4" cm="1">
        <f t="array" ref="K2096">INDEX(Sheet1!H:H,$G2096)</f>
        <v>1</v>
      </c>
      <c r="L2096" s="4">
        <f t="shared" si="124"/>
        <v>12</v>
      </c>
      <c r="M2096" s="4">
        <f t="shared" si="125"/>
        <v>0</v>
      </c>
    </row>
    <row r="2097" spans="1:13">
      <c r="A2097" s="4" t="str" cm="1">
        <f t="array" ref="A2097">INDEX(Sheet1!A:A,$F2097)</f>
        <v>F</v>
      </c>
      <c r="B2097" s="4" t="str" cm="1">
        <f t="array" ref="B2097">INDEX(Sheet1!B:B,$F2097)</f>
        <v>Agg/Unknown</v>
      </c>
      <c r="C2097" s="4">
        <f t="shared" si="122"/>
        <v>38</v>
      </c>
      <c r="D2097" s="5" cm="1">
        <f t="array" aca="1" ref="D2097" ca="1">OFFSET(INDIRECT("'["&amp;$H2097&amp;"]"&amp;$I2097&amp;"'!"&amp;$J2097),$L2097,$M2097)*$K2097</f>
        <v>1.17E-3</v>
      </c>
      <c r="F2097" s="4">
        <f t="shared" si="123"/>
        <v>19</v>
      </c>
      <c r="G2097" s="4" cm="1">
        <f t="array" ref="G2097">IF($C2097&gt;=25,F2097,IF($C2097&lt;16,INDEX(Sheet1!C:C,$F2097),$F2097))</f>
        <v>19</v>
      </c>
      <c r="H2097" s="4" t="str" cm="1">
        <f t="array" ref="H2097">INDEX(Sheet1!D:D,$G2097)</f>
        <v>t1139.xlsx</v>
      </c>
      <c r="I2097" s="4" t="str" cm="1">
        <f t="array" ref="I2097">INDEX(Sheet1!E:E,$G2097)</f>
        <v>Sheet1</v>
      </c>
      <c r="J2097" s="4" t="str" cm="1">
        <f t="array" ref="J2097">IF($C2097&gt;=25,INDEX(Sheet1!G:G,$G2097),INDEX(Sheet1!F:F,$G2097))</f>
        <v>B139</v>
      </c>
      <c r="K2097" s="4" cm="1">
        <f t="array" ref="K2097">INDEX(Sheet1!H:H,$G2097)</f>
        <v>1</v>
      </c>
      <c r="L2097" s="4">
        <f t="shared" si="124"/>
        <v>13</v>
      </c>
      <c r="M2097" s="4">
        <f t="shared" si="125"/>
        <v>0</v>
      </c>
    </row>
    <row r="2098" spans="1:13">
      <c r="A2098" s="4" t="str" cm="1">
        <f t="array" ref="A2098">INDEX(Sheet1!A:A,$F2098)</f>
        <v>F</v>
      </c>
      <c r="B2098" s="4" t="str" cm="1">
        <f t="array" ref="B2098">INDEX(Sheet1!B:B,$F2098)</f>
        <v>Agg/Unknown</v>
      </c>
      <c r="C2098" s="4">
        <f t="shared" si="122"/>
        <v>39</v>
      </c>
      <c r="D2098" s="5" cm="1">
        <f t="array" aca="1" ref="D2098" ca="1">OFFSET(INDIRECT("'["&amp;$H2098&amp;"]"&amp;$I2098&amp;"'!"&amp;$J2098),$L2098,$M2098)*$K2098</f>
        <v>1.23E-3</v>
      </c>
      <c r="F2098" s="4">
        <f t="shared" si="123"/>
        <v>19</v>
      </c>
      <c r="G2098" s="4" cm="1">
        <f t="array" ref="G2098">IF($C2098&gt;=25,F2098,IF($C2098&lt;16,INDEX(Sheet1!C:C,$F2098),$F2098))</f>
        <v>19</v>
      </c>
      <c r="H2098" s="4" t="str" cm="1">
        <f t="array" ref="H2098">INDEX(Sheet1!D:D,$G2098)</f>
        <v>t1139.xlsx</v>
      </c>
      <c r="I2098" s="4" t="str" cm="1">
        <f t="array" ref="I2098">INDEX(Sheet1!E:E,$G2098)</f>
        <v>Sheet1</v>
      </c>
      <c r="J2098" s="4" t="str" cm="1">
        <f t="array" ref="J2098">IF($C2098&gt;=25,INDEX(Sheet1!G:G,$G2098),INDEX(Sheet1!F:F,$G2098))</f>
        <v>B139</v>
      </c>
      <c r="K2098" s="4" cm="1">
        <f t="array" ref="K2098">INDEX(Sheet1!H:H,$G2098)</f>
        <v>1</v>
      </c>
      <c r="L2098" s="4">
        <f t="shared" si="124"/>
        <v>14</v>
      </c>
      <c r="M2098" s="4">
        <f t="shared" si="125"/>
        <v>0</v>
      </c>
    </row>
    <row r="2099" spans="1:13">
      <c r="A2099" s="4" t="str" cm="1">
        <f t="array" ref="A2099">INDEX(Sheet1!A:A,$F2099)</f>
        <v>F</v>
      </c>
      <c r="B2099" s="4" t="str" cm="1">
        <f t="array" ref="B2099">INDEX(Sheet1!B:B,$F2099)</f>
        <v>Agg/Unknown</v>
      </c>
      <c r="C2099" s="4">
        <f t="shared" si="122"/>
        <v>40</v>
      </c>
      <c r="D2099" s="5" cm="1">
        <f t="array" aca="1" ref="D2099" ca="1">OFFSET(INDIRECT("'["&amp;$H2099&amp;"]"&amp;$I2099&amp;"'!"&amp;$J2099),$L2099,$M2099)*$K2099</f>
        <v>1.2999999999999999E-3</v>
      </c>
      <c r="F2099" s="4">
        <f t="shared" si="123"/>
        <v>19</v>
      </c>
      <c r="G2099" s="4" cm="1">
        <f t="array" ref="G2099">IF($C2099&gt;=25,F2099,IF($C2099&lt;16,INDEX(Sheet1!C:C,$F2099),$F2099))</f>
        <v>19</v>
      </c>
      <c r="H2099" s="4" t="str" cm="1">
        <f t="array" ref="H2099">INDEX(Sheet1!D:D,$G2099)</f>
        <v>t1139.xlsx</v>
      </c>
      <c r="I2099" s="4" t="str" cm="1">
        <f t="array" ref="I2099">INDEX(Sheet1!E:E,$G2099)</f>
        <v>Sheet1</v>
      </c>
      <c r="J2099" s="4" t="str" cm="1">
        <f t="array" ref="J2099">IF($C2099&gt;=25,INDEX(Sheet1!G:G,$G2099),INDEX(Sheet1!F:F,$G2099))</f>
        <v>B139</v>
      </c>
      <c r="K2099" s="4" cm="1">
        <f t="array" ref="K2099">INDEX(Sheet1!H:H,$G2099)</f>
        <v>1</v>
      </c>
      <c r="L2099" s="4">
        <f t="shared" si="124"/>
        <v>15</v>
      </c>
      <c r="M2099" s="4">
        <f t="shared" si="125"/>
        <v>0</v>
      </c>
    </row>
    <row r="2100" spans="1:13">
      <c r="A2100" s="4" t="str" cm="1">
        <f t="array" ref="A2100">INDEX(Sheet1!A:A,$F2100)</f>
        <v>F</v>
      </c>
      <c r="B2100" s="4" t="str" cm="1">
        <f t="array" ref="B2100">INDEX(Sheet1!B:B,$F2100)</f>
        <v>Agg/Unknown</v>
      </c>
      <c r="C2100" s="4">
        <f t="shared" si="122"/>
        <v>41</v>
      </c>
      <c r="D2100" s="5" cm="1">
        <f t="array" aca="1" ref="D2100" ca="1">OFFSET(INDIRECT("'["&amp;$H2100&amp;"]"&amp;$I2100&amp;"'!"&amp;$J2100),$L2100,$M2100)*$K2100</f>
        <v>1.3799999999999999E-3</v>
      </c>
      <c r="F2100" s="4">
        <f t="shared" si="123"/>
        <v>19</v>
      </c>
      <c r="G2100" s="4" cm="1">
        <f t="array" ref="G2100">IF($C2100&gt;=25,F2100,IF($C2100&lt;16,INDEX(Sheet1!C:C,$F2100),$F2100))</f>
        <v>19</v>
      </c>
      <c r="H2100" s="4" t="str" cm="1">
        <f t="array" ref="H2100">INDEX(Sheet1!D:D,$G2100)</f>
        <v>t1139.xlsx</v>
      </c>
      <c r="I2100" s="4" t="str" cm="1">
        <f t="array" ref="I2100">INDEX(Sheet1!E:E,$G2100)</f>
        <v>Sheet1</v>
      </c>
      <c r="J2100" s="4" t="str" cm="1">
        <f t="array" ref="J2100">IF($C2100&gt;=25,INDEX(Sheet1!G:G,$G2100),INDEX(Sheet1!F:F,$G2100))</f>
        <v>B139</v>
      </c>
      <c r="K2100" s="4" cm="1">
        <f t="array" ref="K2100">INDEX(Sheet1!H:H,$G2100)</f>
        <v>1</v>
      </c>
      <c r="L2100" s="4">
        <f t="shared" si="124"/>
        <v>16</v>
      </c>
      <c r="M2100" s="4">
        <f t="shared" si="125"/>
        <v>0</v>
      </c>
    </row>
    <row r="2101" spans="1:13">
      <c r="A2101" s="4" t="str" cm="1">
        <f t="array" ref="A2101">INDEX(Sheet1!A:A,$F2101)</f>
        <v>F</v>
      </c>
      <c r="B2101" s="4" t="str" cm="1">
        <f t="array" ref="B2101">INDEX(Sheet1!B:B,$F2101)</f>
        <v>Agg/Unknown</v>
      </c>
      <c r="C2101" s="4">
        <f t="shared" si="122"/>
        <v>42</v>
      </c>
      <c r="D2101" s="5" cm="1">
        <f t="array" aca="1" ref="D2101" ca="1">OFFSET(INDIRECT("'["&amp;$H2101&amp;"]"&amp;$I2101&amp;"'!"&amp;$J2101),$L2101,$M2101)*$K2101</f>
        <v>1.48E-3</v>
      </c>
      <c r="F2101" s="4">
        <f t="shared" si="123"/>
        <v>19</v>
      </c>
      <c r="G2101" s="4" cm="1">
        <f t="array" ref="G2101">IF($C2101&gt;=25,F2101,IF($C2101&lt;16,INDEX(Sheet1!C:C,$F2101),$F2101))</f>
        <v>19</v>
      </c>
      <c r="H2101" s="4" t="str" cm="1">
        <f t="array" ref="H2101">INDEX(Sheet1!D:D,$G2101)</f>
        <v>t1139.xlsx</v>
      </c>
      <c r="I2101" s="4" t="str" cm="1">
        <f t="array" ref="I2101">INDEX(Sheet1!E:E,$G2101)</f>
        <v>Sheet1</v>
      </c>
      <c r="J2101" s="4" t="str" cm="1">
        <f t="array" ref="J2101">IF($C2101&gt;=25,INDEX(Sheet1!G:G,$G2101),INDEX(Sheet1!F:F,$G2101))</f>
        <v>B139</v>
      </c>
      <c r="K2101" s="4" cm="1">
        <f t="array" ref="K2101">INDEX(Sheet1!H:H,$G2101)</f>
        <v>1</v>
      </c>
      <c r="L2101" s="4">
        <f t="shared" si="124"/>
        <v>17</v>
      </c>
      <c r="M2101" s="4">
        <f t="shared" si="125"/>
        <v>0</v>
      </c>
    </row>
    <row r="2102" spans="1:13">
      <c r="A2102" s="4" t="str" cm="1">
        <f t="array" ref="A2102">INDEX(Sheet1!A:A,$F2102)</f>
        <v>F</v>
      </c>
      <c r="B2102" s="4" t="str" cm="1">
        <f t="array" ref="B2102">INDEX(Sheet1!B:B,$F2102)</f>
        <v>Agg/Unknown</v>
      </c>
      <c r="C2102" s="4">
        <f t="shared" si="122"/>
        <v>43</v>
      </c>
      <c r="D2102" s="5" cm="1">
        <f t="array" aca="1" ref="D2102" ca="1">OFFSET(INDIRECT("'["&amp;$H2102&amp;"]"&amp;$I2102&amp;"'!"&amp;$J2102),$L2102,$M2102)*$K2102</f>
        <v>1.5900000000000001E-3</v>
      </c>
      <c r="F2102" s="4">
        <f t="shared" si="123"/>
        <v>19</v>
      </c>
      <c r="G2102" s="4" cm="1">
        <f t="array" ref="G2102">IF($C2102&gt;=25,F2102,IF($C2102&lt;16,INDEX(Sheet1!C:C,$F2102),$F2102))</f>
        <v>19</v>
      </c>
      <c r="H2102" s="4" t="str" cm="1">
        <f t="array" ref="H2102">INDEX(Sheet1!D:D,$G2102)</f>
        <v>t1139.xlsx</v>
      </c>
      <c r="I2102" s="4" t="str" cm="1">
        <f t="array" ref="I2102">INDEX(Sheet1!E:E,$G2102)</f>
        <v>Sheet1</v>
      </c>
      <c r="J2102" s="4" t="str" cm="1">
        <f t="array" ref="J2102">IF($C2102&gt;=25,INDEX(Sheet1!G:G,$G2102),INDEX(Sheet1!F:F,$G2102))</f>
        <v>B139</v>
      </c>
      <c r="K2102" s="4" cm="1">
        <f t="array" ref="K2102">INDEX(Sheet1!H:H,$G2102)</f>
        <v>1</v>
      </c>
      <c r="L2102" s="4">
        <f t="shared" si="124"/>
        <v>18</v>
      </c>
      <c r="M2102" s="4">
        <f t="shared" si="125"/>
        <v>0</v>
      </c>
    </row>
    <row r="2103" spans="1:13">
      <c r="A2103" s="4" t="str" cm="1">
        <f t="array" ref="A2103">INDEX(Sheet1!A:A,$F2103)</f>
        <v>F</v>
      </c>
      <c r="B2103" s="4" t="str" cm="1">
        <f t="array" ref="B2103">INDEX(Sheet1!B:B,$F2103)</f>
        <v>Agg/Unknown</v>
      </c>
      <c r="C2103" s="4">
        <f t="shared" si="122"/>
        <v>44</v>
      </c>
      <c r="D2103" s="5" cm="1">
        <f t="array" aca="1" ref="D2103" ca="1">OFFSET(INDIRECT("'["&amp;$H2103&amp;"]"&amp;$I2103&amp;"'!"&amp;$J2103),$L2103,$M2103)*$K2103</f>
        <v>1.72E-3</v>
      </c>
      <c r="F2103" s="4">
        <f t="shared" si="123"/>
        <v>19</v>
      </c>
      <c r="G2103" s="4" cm="1">
        <f t="array" ref="G2103">IF($C2103&gt;=25,F2103,IF($C2103&lt;16,INDEX(Sheet1!C:C,$F2103),$F2103))</f>
        <v>19</v>
      </c>
      <c r="H2103" s="4" t="str" cm="1">
        <f t="array" ref="H2103">INDEX(Sheet1!D:D,$G2103)</f>
        <v>t1139.xlsx</v>
      </c>
      <c r="I2103" s="4" t="str" cm="1">
        <f t="array" ref="I2103">INDEX(Sheet1!E:E,$G2103)</f>
        <v>Sheet1</v>
      </c>
      <c r="J2103" s="4" t="str" cm="1">
        <f t="array" ref="J2103">IF($C2103&gt;=25,INDEX(Sheet1!G:G,$G2103),INDEX(Sheet1!F:F,$G2103))</f>
        <v>B139</v>
      </c>
      <c r="K2103" s="4" cm="1">
        <f t="array" ref="K2103">INDEX(Sheet1!H:H,$G2103)</f>
        <v>1</v>
      </c>
      <c r="L2103" s="4">
        <f t="shared" si="124"/>
        <v>19</v>
      </c>
      <c r="M2103" s="4">
        <f t="shared" si="125"/>
        <v>0</v>
      </c>
    </row>
    <row r="2104" spans="1:13">
      <c r="A2104" s="4" t="str" cm="1">
        <f t="array" ref="A2104">INDEX(Sheet1!A:A,$F2104)</f>
        <v>F</v>
      </c>
      <c r="B2104" s="4" t="str" cm="1">
        <f t="array" ref="B2104">INDEX(Sheet1!B:B,$F2104)</f>
        <v>Agg/Unknown</v>
      </c>
      <c r="C2104" s="4">
        <f t="shared" si="122"/>
        <v>45</v>
      </c>
      <c r="D2104" s="5" cm="1">
        <f t="array" aca="1" ref="D2104" ca="1">OFFSET(INDIRECT("'["&amp;$H2104&amp;"]"&amp;$I2104&amp;"'!"&amp;$J2104),$L2104,$M2104)*$K2104</f>
        <v>1.8699999999999999E-3</v>
      </c>
      <c r="F2104" s="4">
        <f t="shared" si="123"/>
        <v>19</v>
      </c>
      <c r="G2104" s="4" cm="1">
        <f t="array" ref="G2104">IF($C2104&gt;=25,F2104,IF($C2104&lt;16,INDEX(Sheet1!C:C,$F2104),$F2104))</f>
        <v>19</v>
      </c>
      <c r="H2104" s="4" t="str" cm="1">
        <f t="array" ref="H2104">INDEX(Sheet1!D:D,$G2104)</f>
        <v>t1139.xlsx</v>
      </c>
      <c r="I2104" s="4" t="str" cm="1">
        <f t="array" ref="I2104">INDEX(Sheet1!E:E,$G2104)</f>
        <v>Sheet1</v>
      </c>
      <c r="J2104" s="4" t="str" cm="1">
        <f t="array" ref="J2104">IF($C2104&gt;=25,INDEX(Sheet1!G:G,$G2104),INDEX(Sheet1!F:F,$G2104))</f>
        <v>B139</v>
      </c>
      <c r="K2104" s="4" cm="1">
        <f t="array" ref="K2104">INDEX(Sheet1!H:H,$G2104)</f>
        <v>1</v>
      </c>
      <c r="L2104" s="4">
        <f t="shared" si="124"/>
        <v>20</v>
      </c>
      <c r="M2104" s="4">
        <f t="shared" si="125"/>
        <v>0</v>
      </c>
    </row>
    <row r="2105" spans="1:13">
      <c r="A2105" s="4" t="str" cm="1">
        <f t="array" ref="A2105">INDEX(Sheet1!A:A,$F2105)</f>
        <v>F</v>
      </c>
      <c r="B2105" s="4" t="str" cm="1">
        <f t="array" ref="B2105">INDEX(Sheet1!B:B,$F2105)</f>
        <v>Agg/Unknown</v>
      </c>
      <c r="C2105" s="4">
        <f t="shared" si="122"/>
        <v>46</v>
      </c>
      <c r="D2105" s="5" cm="1">
        <f t="array" aca="1" ref="D2105" ca="1">OFFSET(INDIRECT("'["&amp;$H2105&amp;"]"&amp;$I2105&amp;"'!"&amp;$J2105),$L2105,$M2105)*$K2105</f>
        <v>2.0500000000000002E-3</v>
      </c>
      <c r="F2105" s="4">
        <f t="shared" si="123"/>
        <v>19</v>
      </c>
      <c r="G2105" s="4" cm="1">
        <f t="array" ref="G2105">IF($C2105&gt;=25,F2105,IF($C2105&lt;16,INDEX(Sheet1!C:C,$F2105),$F2105))</f>
        <v>19</v>
      </c>
      <c r="H2105" s="4" t="str" cm="1">
        <f t="array" ref="H2105">INDEX(Sheet1!D:D,$G2105)</f>
        <v>t1139.xlsx</v>
      </c>
      <c r="I2105" s="4" t="str" cm="1">
        <f t="array" ref="I2105">INDEX(Sheet1!E:E,$G2105)</f>
        <v>Sheet1</v>
      </c>
      <c r="J2105" s="4" t="str" cm="1">
        <f t="array" ref="J2105">IF($C2105&gt;=25,INDEX(Sheet1!G:G,$G2105),INDEX(Sheet1!F:F,$G2105))</f>
        <v>B139</v>
      </c>
      <c r="K2105" s="4" cm="1">
        <f t="array" ref="K2105">INDEX(Sheet1!H:H,$G2105)</f>
        <v>1</v>
      </c>
      <c r="L2105" s="4">
        <f t="shared" si="124"/>
        <v>21</v>
      </c>
      <c r="M2105" s="4">
        <f t="shared" si="125"/>
        <v>0</v>
      </c>
    </row>
    <row r="2106" spans="1:13">
      <c r="A2106" s="4" t="str" cm="1">
        <f t="array" ref="A2106">INDEX(Sheet1!A:A,$F2106)</f>
        <v>F</v>
      </c>
      <c r="B2106" s="4" t="str" cm="1">
        <f t="array" ref="B2106">INDEX(Sheet1!B:B,$F2106)</f>
        <v>Agg/Unknown</v>
      </c>
      <c r="C2106" s="4">
        <f t="shared" si="122"/>
        <v>47</v>
      </c>
      <c r="D2106" s="5" cm="1">
        <f t="array" aca="1" ref="D2106" ca="1">OFFSET(INDIRECT("'["&amp;$H2106&amp;"]"&amp;$I2106&amp;"'!"&amp;$J2106),$L2106,$M2106)*$K2106</f>
        <v>2.2699999999999999E-3</v>
      </c>
      <c r="F2106" s="4">
        <f t="shared" si="123"/>
        <v>19</v>
      </c>
      <c r="G2106" s="4" cm="1">
        <f t="array" ref="G2106">IF($C2106&gt;=25,F2106,IF($C2106&lt;16,INDEX(Sheet1!C:C,$F2106),$F2106))</f>
        <v>19</v>
      </c>
      <c r="H2106" s="4" t="str" cm="1">
        <f t="array" ref="H2106">INDEX(Sheet1!D:D,$G2106)</f>
        <v>t1139.xlsx</v>
      </c>
      <c r="I2106" s="4" t="str" cm="1">
        <f t="array" ref="I2106">INDEX(Sheet1!E:E,$G2106)</f>
        <v>Sheet1</v>
      </c>
      <c r="J2106" s="4" t="str" cm="1">
        <f t="array" ref="J2106">IF($C2106&gt;=25,INDEX(Sheet1!G:G,$G2106),INDEX(Sheet1!F:F,$G2106))</f>
        <v>B139</v>
      </c>
      <c r="K2106" s="4" cm="1">
        <f t="array" ref="K2106">INDEX(Sheet1!H:H,$G2106)</f>
        <v>1</v>
      </c>
      <c r="L2106" s="4">
        <f t="shared" si="124"/>
        <v>22</v>
      </c>
      <c r="M2106" s="4">
        <f t="shared" si="125"/>
        <v>0</v>
      </c>
    </row>
    <row r="2107" spans="1:13">
      <c r="A2107" s="4" t="str" cm="1">
        <f t="array" ref="A2107">INDEX(Sheet1!A:A,$F2107)</f>
        <v>F</v>
      </c>
      <c r="B2107" s="4" t="str" cm="1">
        <f t="array" ref="B2107">INDEX(Sheet1!B:B,$F2107)</f>
        <v>Agg/Unknown</v>
      </c>
      <c r="C2107" s="4">
        <f t="shared" si="122"/>
        <v>48</v>
      </c>
      <c r="D2107" s="5" cm="1">
        <f t="array" aca="1" ref="D2107" ca="1">OFFSET(INDIRECT("'["&amp;$H2107&amp;"]"&amp;$I2107&amp;"'!"&amp;$J2107),$L2107,$M2107)*$K2107</f>
        <v>2.5000000000000001E-3</v>
      </c>
      <c r="F2107" s="4">
        <f t="shared" si="123"/>
        <v>19</v>
      </c>
      <c r="G2107" s="4" cm="1">
        <f t="array" ref="G2107">IF($C2107&gt;=25,F2107,IF($C2107&lt;16,INDEX(Sheet1!C:C,$F2107),$F2107))</f>
        <v>19</v>
      </c>
      <c r="H2107" s="4" t="str" cm="1">
        <f t="array" ref="H2107">INDEX(Sheet1!D:D,$G2107)</f>
        <v>t1139.xlsx</v>
      </c>
      <c r="I2107" s="4" t="str" cm="1">
        <f t="array" ref="I2107">INDEX(Sheet1!E:E,$G2107)</f>
        <v>Sheet1</v>
      </c>
      <c r="J2107" s="4" t="str" cm="1">
        <f t="array" ref="J2107">IF($C2107&gt;=25,INDEX(Sheet1!G:G,$G2107),INDEX(Sheet1!F:F,$G2107))</f>
        <v>B139</v>
      </c>
      <c r="K2107" s="4" cm="1">
        <f t="array" ref="K2107">INDEX(Sheet1!H:H,$G2107)</f>
        <v>1</v>
      </c>
      <c r="L2107" s="4">
        <f t="shared" si="124"/>
        <v>23</v>
      </c>
      <c r="M2107" s="4">
        <f t="shared" si="125"/>
        <v>0</v>
      </c>
    </row>
    <row r="2108" spans="1:13">
      <c r="A2108" s="4" t="str" cm="1">
        <f t="array" ref="A2108">INDEX(Sheet1!A:A,$F2108)</f>
        <v>F</v>
      </c>
      <c r="B2108" s="4" t="str" cm="1">
        <f t="array" ref="B2108">INDEX(Sheet1!B:B,$F2108)</f>
        <v>Agg/Unknown</v>
      </c>
      <c r="C2108" s="4">
        <f t="shared" si="122"/>
        <v>49</v>
      </c>
      <c r="D2108" s="5" cm="1">
        <f t="array" aca="1" ref="D2108" ca="1">OFFSET(INDIRECT("'["&amp;$H2108&amp;"]"&amp;$I2108&amp;"'!"&amp;$J2108),$L2108,$M2108)*$K2108</f>
        <v>2.7799999999999999E-3</v>
      </c>
      <c r="F2108" s="4">
        <f t="shared" si="123"/>
        <v>19</v>
      </c>
      <c r="G2108" s="4" cm="1">
        <f t="array" ref="G2108">IF($C2108&gt;=25,F2108,IF($C2108&lt;16,INDEX(Sheet1!C:C,$F2108),$F2108))</f>
        <v>19</v>
      </c>
      <c r="H2108" s="4" t="str" cm="1">
        <f t="array" ref="H2108">INDEX(Sheet1!D:D,$G2108)</f>
        <v>t1139.xlsx</v>
      </c>
      <c r="I2108" s="4" t="str" cm="1">
        <f t="array" ref="I2108">INDEX(Sheet1!E:E,$G2108)</f>
        <v>Sheet1</v>
      </c>
      <c r="J2108" s="4" t="str" cm="1">
        <f t="array" ref="J2108">IF($C2108&gt;=25,INDEX(Sheet1!G:G,$G2108),INDEX(Sheet1!F:F,$G2108))</f>
        <v>B139</v>
      </c>
      <c r="K2108" s="4" cm="1">
        <f t="array" ref="K2108">INDEX(Sheet1!H:H,$G2108)</f>
        <v>1</v>
      </c>
      <c r="L2108" s="4">
        <f t="shared" si="124"/>
        <v>24</v>
      </c>
      <c r="M2108" s="4">
        <f t="shared" si="125"/>
        <v>0</v>
      </c>
    </row>
    <row r="2109" spans="1:13">
      <c r="A2109" s="4" t="str" cm="1">
        <f t="array" ref="A2109">INDEX(Sheet1!A:A,$F2109)</f>
        <v>F</v>
      </c>
      <c r="B2109" s="4" t="str" cm="1">
        <f t="array" ref="B2109">INDEX(Sheet1!B:B,$F2109)</f>
        <v>Agg/Unknown</v>
      </c>
      <c r="C2109" s="4">
        <f t="shared" si="122"/>
        <v>50</v>
      </c>
      <c r="D2109" s="5" cm="1">
        <f t="array" aca="1" ref="D2109" ca="1">OFFSET(INDIRECT("'["&amp;$H2109&amp;"]"&amp;$I2109&amp;"'!"&amp;$J2109),$L2109,$M2109)*$K2109</f>
        <v>3.0799999999999998E-3</v>
      </c>
      <c r="F2109" s="4">
        <f t="shared" si="123"/>
        <v>19</v>
      </c>
      <c r="G2109" s="4" cm="1">
        <f t="array" ref="G2109">IF($C2109&gt;=25,F2109,IF($C2109&lt;16,INDEX(Sheet1!C:C,$F2109),$F2109))</f>
        <v>19</v>
      </c>
      <c r="H2109" s="4" t="str" cm="1">
        <f t="array" ref="H2109">INDEX(Sheet1!D:D,$G2109)</f>
        <v>t1139.xlsx</v>
      </c>
      <c r="I2109" s="4" t="str" cm="1">
        <f t="array" ref="I2109">INDEX(Sheet1!E:E,$G2109)</f>
        <v>Sheet1</v>
      </c>
      <c r="J2109" s="4" t="str" cm="1">
        <f t="array" ref="J2109">IF($C2109&gt;=25,INDEX(Sheet1!G:G,$G2109),INDEX(Sheet1!F:F,$G2109))</f>
        <v>B139</v>
      </c>
      <c r="K2109" s="4" cm="1">
        <f t="array" ref="K2109">INDEX(Sheet1!H:H,$G2109)</f>
        <v>1</v>
      </c>
      <c r="L2109" s="4">
        <f t="shared" si="124"/>
        <v>25</v>
      </c>
      <c r="M2109" s="4">
        <f t="shared" si="125"/>
        <v>0</v>
      </c>
    </row>
    <row r="2110" spans="1:13">
      <c r="A2110" s="4" t="str" cm="1">
        <f t="array" ref="A2110">INDEX(Sheet1!A:A,$F2110)</f>
        <v>F</v>
      </c>
      <c r="B2110" s="4" t="str" cm="1">
        <f t="array" ref="B2110">INDEX(Sheet1!B:B,$F2110)</f>
        <v>Agg/Unknown</v>
      </c>
      <c r="C2110" s="4">
        <f t="shared" si="122"/>
        <v>51</v>
      </c>
      <c r="D2110" s="5" cm="1">
        <f t="array" aca="1" ref="D2110" ca="1">OFFSET(INDIRECT("'["&amp;$H2110&amp;"]"&amp;$I2110&amp;"'!"&amp;$J2110),$L2110,$M2110)*$K2110</f>
        <v>3.4099999999999998E-3</v>
      </c>
      <c r="F2110" s="4">
        <f t="shared" si="123"/>
        <v>19</v>
      </c>
      <c r="G2110" s="4" cm="1">
        <f t="array" ref="G2110">IF($C2110&gt;=25,F2110,IF($C2110&lt;16,INDEX(Sheet1!C:C,$F2110),$F2110))</f>
        <v>19</v>
      </c>
      <c r="H2110" s="4" t="str" cm="1">
        <f t="array" ref="H2110">INDEX(Sheet1!D:D,$G2110)</f>
        <v>t1139.xlsx</v>
      </c>
      <c r="I2110" s="4" t="str" cm="1">
        <f t="array" ref="I2110">INDEX(Sheet1!E:E,$G2110)</f>
        <v>Sheet1</v>
      </c>
      <c r="J2110" s="4" t="str" cm="1">
        <f t="array" ref="J2110">IF($C2110&gt;=25,INDEX(Sheet1!G:G,$G2110),INDEX(Sheet1!F:F,$G2110))</f>
        <v>B139</v>
      </c>
      <c r="K2110" s="4" cm="1">
        <f t="array" ref="K2110">INDEX(Sheet1!H:H,$G2110)</f>
        <v>1</v>
      </c>
      <c r="L2110" s="4">
        <f t="shared" si="124"/>
        <v>26</v>
      </c>
      <c r="M2110" s="4">
        <f t="shared" si="125"/>
        <v>0</v>
      </c>
    </row>
    <row r="2111" spans="1:13">
      <c r="A2111" s="4" t="str" cm="1">
        <f t="array" ref="A2111">INDEX(Sheet1!A:A,$F2111)</f>
        <v>F</v>
      </c>
      <c r="B2111" s="4" t="str" cm="1">
        <f t="array" ref="B2111">INDEX(Sheet1!B:B,$F2111)</f>
        <v>Agg/Unknown</v>
      </c>
      <c r="C2111" s="4">
        <f t="shared" si="122"/>
        <v>52</v>
      </c>
      <c r="D2111" s="5" cm="1">
        <f t="array" aca="1" ref="D2111" ca="1">OFFSET(INDIRECT("'["&amp;$H2111&amp;"]"&amp;$I2111&amp;"'!"&amp;$J2111),$L2111,$M2111)*$K2111</f>
        <v>3.79E-3</v>
      </c>
      <c r="F2111" s="4">
        <f t="shared" si="123"/>
        <v>19</v>
      </c>
      <c r="G2111" s="4" cm="1">
        <f t="array" ref="G2111">IF($C2111&gt;=25,F2111,IF($C2111&lt;16,INDEX(Sheet1!C:C,$F2111),$F2111))</f>
        <v>19</v>
      </c>
      <c r="H2111" s="4" t="str" cm="1">
        <f t="array" ref="H2111">INDEX(Sheet1!D:D,$G2111)</f>
        <v>t1139.xlsx</v>
      </c>
      <c r="I2111" s="4" t="str" cm="1">
        <f t="array" ref="I2111">INDEX(Sheet1!E:E,$G2111)</f>
        <v>Sheet1</v>
      </c>
      <c r="J2111" s="4" t="str" cm="1">
        <f t="array" ref="J2111">IF($C2111&gt;=25,INDEX(Sheet1!G:G,$G2111),INDEX(Sheet1!F:F,$G2111))</f>
        <v>B139</v>
      </c>
      <c r="K2111" s="4" cm="1">
        <f t="array" ref="K2111">INDEX(Sheet1!H:H,$G2111)</f>
        <v>1</v>
      </c>
      <c r="L2111" s="4">
        <f t="shared" si="124"/>
        <v>27</v>
      </c>
      <c r="M2111" s="4">
        <f t="shared" si="125"/>
        <v>0</v>
      </c>
    </row>
    <row r="2112" spans="1:13">
      <c r="A2112" s="4" t="str" cm="1">
        <f t="array" ref="A2112">INDEX(Sheet1!A:A,$F2112)</f>
        <v>F</v>
      </c>
      <c r="B2112" s="4" t="str" cm="1">
        <f t="array" ref="B2112">INDEX(Sheet1!B:B,$F2112)</f>
        <v>Agg/Unknown</v>
      </c>
      <c r="C2112" s="4">
        <f t="shared" si="122"/>
        <v>53</v>
      </c>
      <c r="D2112" s="5" cm="1">
        <f t="array" aca="1" ref="D2112" ca="1">OFFSET(INDIRECT("'["&amp;$H2112&amp;"]"&amp;$I2112&amp;"'!"&amp;$J2112),$L2112,$M2112)*$K2112</f>
        <v>4.1999999999999997E-3</v>
      </c>
      <c r="F2112" s="4">
        <f t="shared" si="123"/>
        <v>19</v>
      </c>
      <c r="G2112" s="4" cm="1">
        <f t="array" ref="G2112">IF($C2112&gt;=25,F2112,IF($C2112&lt;16,INDEX(Sheet1!C:C,$F2112),$F2112))</f>
        <v>19</v>
      </c>
      <c r="H2112" s="4" t="str" cm="1">
        <f t="array" ref="H2112">INDEX(Sheet1!D:D,$G2112)</f>
        <v>t1139.xlsx</v>
      </c>
      <c r="I2112" s="4" t="str" cm="1">
        <f t="array" ref="I2112">INDEX(Sheet1!E:E,$G2112)</f>
        <v>Sheet1</v>
      </c>
      <c r="J2112" s="4" t="str" cm="1">
        <f t="array" ref="J2112">IF($C2112&gt;=25,INDEX(Sheet1!G:G,$G2112),INDEX(Sheet1!F:F,$G2112))</f>
        <v>B139</v>
      </c>
      <c r="K2112" s="4" cm="1">
        <f t="array" ref="K2112">INDEX(Sheet1!H:H,$G2112)</f>
        <v>1</v>
      </c>
      <c r="L2112" s="4">
        <f t="shared" si="124"/>
        <v>28</v>
      </c>
      <c r="M2112" s="4">
        <f t="shared" si="125"/>
        <v>0</v>
      </c>
    </row>
    <row r="2113" spans="1:13">
      <c r="A2113" s="4" t="str" cm="1">
        <f t="array" ref="A2113">INDEX(Sheet1!A:A,$F2113)</f>
        <v>F</v>
      </c>
      <c r="B2113" s="4" t="str" cm="1">
        <f t="array" ref="B2113">INDEX(Sheet1!B:B,$F2113)</f>
        <v>Agg/Unknown</v>
      </c>
      <c r="C2113" s="4">
        <f t="shared" si="122"/>
        <v>54</v>
      </c>
      <c r="D2113" s="5" cm="1">
        <f t="array" aca="1" ref="D2113" ca="1">OFFSET(INDIRECT("'["&amp;$H2113&amp;"]"&amp;$I2113&amp;"'!"&amp;$J2113),$L2113,$M2113)*$K2113</f>
        <v>4.6299999999999996E-3</v>
      </c>
      <c r="F2113" s="4">
        <f t="shared" si="123"/>
        <v>19</v>
      </c>
      <c r="G2113" s="4" cm="1">
        <f t="array" ref="G2113">IF($C2113&gt;=25,F2113,IF($C2113&lt;16,INDEX(Sheet1!C:C,$F2113),$F2113))</f>
        <v>19</v>
      </c>
      <c r="H2113" s="4" t="str" cm="1">
        <f t="array" ref="H2113">INDEX(Sheet1!D:D,$G2113)</f>
        <v>t1139.xlsx</v>
      </c>
      <c r="I2113" s="4" t="str" cm="1">
        <f t="array" ref="I2113">INDEX(Sheet1!E:E,$G2113)</f>
        <v>Sheet1</v>
      </c>
      <c r="J2113" s="4" t="str" cm="1">
        <f t="array" ref="J2113">IF($C2113&gt;=25,INDEX(Sheet1!G:G,$G2113),INDEX(Sheet1!F:F,$G2113))</f>
        <v>B139</v>
      </c>
      <c r="K2113" s="4" cm="1">
        <f t="array" ref="K2113">INDEX(Sheet1!H:H,$G2113)</f>
        <v>1</v>
      </c>
      <c r="L2113" s="4">
        <f t="shared" si="124"/>
        <v>29</v>
      </c>
      <c r="M2113" s="4">
        <f t="shared" si="125"/>
        <v>0</v>
      </c>
    </row>
    <row r="2114" spans="1:13">
      <c r="A2114" s="4" t="str" cm="1">
        <f t="array" ref="A2114">INDEX(Sheet1!A:A,$F2114)</f>
        <v>F</v>
      </c>
      <c r="B2114" s="4" t="str" cm="1">
        <f t="array" ref="B2114">INDEX(Sheet1!B:B,$F2114)</f>
        <v>Agg/Unknown</v>
      </c>
      <c r="C2114" s="4">
        <f t="shared" ref="C2114:C2177" si="126">IF(C2113=120,0,C2113+1)</f>
        <v>55</v>
      </c>
      <c r="D2114" s="5" cm="1">
        <f t="array" aca="1" ref="D2114" ca="1">OFFSET(INDIRECT("'["&amp;$H2114&amp;"]"&amp;$I2114&amp;"'!"&amp;$J2114),$L2114,$M2114)*$K2114</f>
        <v>5.1000000000000004E-3</v>
      </c>
      <c r="F2114" s="4">
        <f t="shared" ref="F2114:F2177" si="127">IF(C2114=0,1,0)+F2113</f>
        <v>19</v>
      </c>
      <c r="G2114" s="4" cm="1">
        <f t="array" ref="G2114">IF($C2114&gt;=25,F2114,IF($C2114&lt;16,INDEX(Sheet1!C:C,$F2114),$F2114))</f>
        <v>19</v>
      </c>
      <c r="H2114" s="4" t="str" cm="1">
        <f t="array" ref="H2114">INDEX(Sheet1!D:D,$G2114)</f>
        <v>t1139.xlsx</v>
      </c>
      <c r="I2114" s="4" t="str" cm="1">
        <f t="array" ref="I2114">INDEX(Sheet1!E:E,$G2114)</f>
        <v>Sheet1</v>
      </c>
      <c r="J2114" s="4" t="str" cm="1">
        <f t="array" ref="J2114">IF($C2114&gt;=25,INDEX(Sheet1!G:G,$G2114),INDEX(Sheet1!F:F,$G2114))</f>
        <v>B139</v>
      </c>
      <c r="K2114" s="4" cm="1">
        <f t="array" ref="K2114">INDEX(Sheet1!H:H,$G2114)</f>
        <v>1</v>
      </c>
      <c r="L2114" s="4">
        <f t="shared" ref="L2114:L2177" si="128">IF($C2114&gt;=25,$C2114-25,0)</f>
        <v>30</v>
      </c>
      <c r="M2114" s="4">
        <f t="shared" ref="M2114:M2177" si="129">IF($C2114&gt;=25,0,$C2114)</f>
        <v>0</v>
      </c>
    </row>
    <row r="2115" spans="1:13">
      <c r="A2115" s="4" t="str" cm="1">
        <f t="array" ref="A2115">INDEX(Sheet1!A:A,$F2115)</f>
        <v>F</v>
      </c>
      <c r="B2115" s="4" t="str" cm="1">
        <f t="array" ref="B2115">INDEX(Sheet1!B:B,$F2115)</f>
        <v>Agg/Unknown</v>
      </c>
      <c r="C2115" s="4">
        <f t="shared" si="126"/>
        <v>56</v>
      </c>
      <c r="D2115" s="5" cm="1">
        <f t="array" aca="1" ref="D2115" ca="1">OFFSET(INDIRECT("'["&amp;$H2115&amp;"]"&amp;$I2115&amp;"'!"&amp;$J2115),$L2115,$M2115)*$K2115</f>
        <v>5.6299999999999996E-3</v>
      </c>
      <c r="F2115" s="4">
        <f t="shared" si="127"/>
        <v>19</v>
      </c>
      <c r="G2115" s="4" cm="1">
        <f t="array" ref="G2115">IF($C2115&gt;=25,F2115,IF($C2115&lt;16,INDEX(Sheet1!C:C,$F2115),$F2115))</f>
        <v>19</v>
      </c>
      <c r="H2115" s="4" t="str" cm="1">
        <f t="array" ref="H2115">INDEX(Sheet1!D:D,$G2115)</f>
        <v>t1139.xlsx</v>
      </c>
      <c r="I2115" s="4" t="str" cm="1">
        <f t="array" ref="I2115">INDEX(Sheet1!E:E,$G2115)</f>
        <v>Sheet1</v>
      </c>
      <c r="J2115" s="4" t="str" cm="1">
        <f t="array" ref="J2115">IF($C2115&gt;=25,INDEX(Sheet1!G:G,$G2115),INDEX(Sheet1!F:F,$G2115))</f>
        <v>B139</v>
      </c>
      <c r="K2115" s="4" cm="1">
        <f t="array" ref="K2115">INDEX(Sheet1!H:H,$G2115)</f>
        <v>1</v>
      </c>
      <c r="L2115" s="4">
        <f t="shared" si="128"/>
        <v>31</v>
      </c>
      <c r="M2115" s="4">
        <f t="shared" si="129"/>
        <v>0</v>
      </c>
    </row>
    <row r="2116" spans="1:13">
      <c r="A2116" s="4" t="str" cm="1">
        <f t="array" ref="A2116">INDEX(Sheet1!A:A,$F2116)</f>
        <v>F</v>
      </c>
      <c r="B2116" s="4" t="str" cm="1">
        <f t="array" ref="B2116">INDEX(Sheet1!B:B,$F2116)</f>
        <v>Agg/Unknown</v>
      </c>
      <c r="C2116" s="4">
        <f t="shared" si="126"/>
        <v>57</v>
      </c>
      <c r="D2116" s="5" cm="1">
        <f t="array" aca="1" ref="D2116" ca="1">OFFSET(INDIRECT("'["&amp;$H2116&amp;"]"&amp;$I2116&amp;"'!"&amp;$J2116),$L2116,$M2116)*$K2116</f>
        <v>6.1900000000000002E-3</v>
      </c>
      <c r="F2116" s="4">
        <f t="shared" si="127"/>
        <v>19</v>
      </c>
      <c r="G2116" s="4" cm="1">
        <f t="array" ref="G2116">IF($C2116&gt;=25,F2116,IF($C2116&lt;16,INDEX(Sheet1!C:C,$F2116),$F2116))</f>
        <v>19</v>
      </c>
      <c r="H2116" s="4" t="str" cm="1">
        <f t="array" ref="H2116">INDEX(Sheet1!D:D,$G2116)</f>
        <v>t1139.xlsx</v>
      </c>
      <c r="I2116" s="4" t="str" cm="1">
        <f t="array" ref="I2116">INDEX(Sheet1!E:E,$G2116)</f>
        <v>Sheet1</v>
      </c>
      <c r="J2116" s="4" t="str" cm="1">
        <f t="array" ref="J2116">IF($C2116&gt;=25,INDEX(Sheet1!G:G,$G2116),INDEX(Sheet1!F:F,$G2116))</f>
        <v>B139</v>
      </c>
      <c r="K2116" s="4" cm="1">
        <f t="array" ref="K2116">INDEX(Sheet1!H:H,$G2116)</f>
        <v>1</v>
      </c>
      <c r="L2116" s="4">
        <f t="shared" si="128"/>
        <v>32</v>
      </c>
      <c r="M2116" s="4">
        <f t="shared" si="129"/>
        <v>0</v>
      </c>
    </row>
    <row r="2117" spans="1:13">
      <c r="A2117" s="4" t="str" cm="1">
        <f t="array" ref="A2117">INDEX(Sheet1!A:A,$F2117)</f>
        <v>F</v>
      </c>
      <c r="B2117" s="4" t="str" cm="1">
        <f t="array" ref="B2117">INDEX(Sheet1!B:B,$F2117)</f>
        <v>Agg/Unknown</v>
      </c>
      <c r="C2117" s="4">
        <f t="shared" si="126"/>
        <v>58</v>
      </c>
      <c r="D2117" s="5" cm="1">
        <f t="array" aca="1" ref="D2117" ca="1">OFFSET(INDIRECT("'["&amp;$H2117&amp;"]"&amp;$I2117&amp;"'!"&amp;$J2117),$L2117,$M2117)*$K2117</f>
        <v>6.7999999999999996E-3</v>
      </c>
      <c r="F2117" s="4">
        <f t="shared" si="127"/>
        <v>19</v>
      </c>
      <c r="G2117" s="4" cm="1">
        <f t="array" ref="G2117">IF($C2117&gt;=25,F2117,IF($C2117&lt;16,INDEX(Sheet1!C:C,$F2117),$F2117))</f>
        <v>19</v>
      </c>
      <c r="H2117" s="4" t="str" cm="1">
        <f t="array" ref="H2117">INDEX(Sheet1!D:D,$G2117)</f>
        <v>t1139.xlsx</v>
      </c>
      <c r="I2117" s="4" t="str" cm="1">
        <f t="array" ref="I2117">INDEX(Sheet1!E:E,$G2117)</f>
        <v>Sheet1</v>
      </c>
      <c r="J2117" s="4" t="str" cm="1">
        <f t="array" ref="J2117">IF($C2117&gt;=25,INDEX(Sheet1!G:G,$G2117),INDEX(Sheet1!F:F,$G2117))</f>
        <v>B139</v>
      </c>
      <c r="K2117" s="4" cm="1">
        <f t="array" ref="K2117">INDEX(Sheet1!H:H,$G2117)</f>
        <v>1</v>
      </c>
      <c r="L2117" s="4">
        <f t="shared" si="128"/>
        <v>33</v>
      </c>
      <c r="M2117" s="4">
        <f t="shared" si="129"/>
        <v>0</v>
      </c>
    </row>
    <row r="2118" spans="1:13">
      <c r="A2118" s="4" t="str" cm="1">
        <f t="array" ref="A2118">INDEX(Sheet1!A:A,$F2118)</f>
        <v>F</v>
      </c>
      <c r="B2118" s="4" t="str" cm="1">
        <f t="array" ref="B2118">INDEX(Sheet1!B:B,$F2118)</f>
        <v>Agg/Unknown</v>
      </c>
      <c r="C2118" s="4">
        <f t="shared" si="126"/>
        <v>59</v>
      </c>
      <c r="D2118" s="5" cm="1">
        <f t="array" aca="1" ref="D2118" ca="1">OFFSET(INDIRECT("'["&amp;$H2118&amp;"]"&amp;$I2118&amp;"'!"&amp;$J2118),$L2118,$M2118)*$K2118</f>
        <v>7.3899999999999999E-3</v>
      </c>
      <c r="F2118" s="4">
        <f t="shared" si="127"/>
        <v>19</v>
      </c>
      <c r="G2118" s="4" cm="1">
        <f t="array" ref="G2118">IF($C2118&gt;=25,F2118,IF($C2118&lt;16,INDEX(Sheet1!C:C,$F2118),$F2118))</f>
        <v>19</v>
      </c>
      <c r="H2118" s="4" t="str" cm="1">
        <f t="array" ref="H2118">INDEX(Sheet1!D:D,$G2118)</f>
        <v>t1139.xlsx</v>
      </c>
      <c r="I2118" s="4" t="str" cm="1">
        <f t="array" ref="I2118">INDEX(Sheet1!E:E,$G2118)</f>
        <v>Sheet1</v>
      </c>
      <c r="J2118" s="4" t="str" cm="1">
        <f t="array" ref="J2118">IF($C2118&gt;=25,INDEX(Sheet1!G:G,$G2118),INDEX(Sheet1!F:F,$G2118))</f>
        <v>B139</v>
      </c>
      <c r="K2118" s="4" cm="1">
        <f t="array" ref="K2118">INDEX(Sheet1!H:H,$G2118)</f>
        <v>1</v>
      </c>
      <c r="L2118" s="4">
        <f t="shared" si="128"/>
        <v>34</v>
      </c>
      <c r="M2118" s="4">
        <f t="shared" si="129"/>
        <v>0</v>
      </c>
    </row>
    <row r="2119" spans="1:13">
      <c r="A2119" s="4" t="str" cm="1">
        <f t="array" ref="A2119">INDEX(Sheet1!A:A,$F2119)</f>
        <v>F</v>
      </c>
      <c r="B2119" s="4" t="str" cm="1">
        <f t="array" ref="B2119">INDEX(Sheet1!B:B,$F2119)</f>
        <v>Agg/Unknown</v>
      </c>
      <c r="C2119" s="4">
        <f t="shared" si="126"/>
        <v>60</v>
      </c>
      <c r="D2119" s="5" cm="1">
        <f t="array" aca="1" ref="D2119" ca="1">OFFSET(INDIRECT("'["&amp;$H2119&amp;"]"&amp;$I2119&amp;"'!"&amp;$J2119),$L2119,$M2119)*$K2119</f>
        <v>8.0099999999999998E-3</v>
      </c>
      <c r="F2119" s="4">
        <f t="shared" si="127"/>
        <v>19</v>
      </c>
      <c r="G2119" s="4" cm="1">
        <f t="array" ref="G2119">IF($C2119&gt;=25,F2119,IF($C2119&lt;16,INDEX(Sheet1!C:C,$F2119),$F2119))</f>
        <v>19</v>
      </c>
      <c r="H2119" s="4" t="str" cm="1">
        <f t="array" ref="H2119">INDEX(Sheet1!D:D,$G2119)</f>
        <v>t1139.xlsx</v>
      </c>
      <c r="I2119" s="4" t="str" cm="1">
        <f t="array" ref="I2119">INDEX(Sheet1!E:E,$G2119)</f>
        <v>Sheet1</v>
      </c>
      <c r="J2119" s="4" t="str" cm="1">
        <f t="array" ref="J2119">IF($C2119&gt;=25,INDEX(Sheet1!G:G,$G2119),INDEX(Sheet1!F:F,$G2119))</f>
        <v>B139</v>
      </c>
      <c r="K2119" s="4" cm="1">
        <f t="array" ref="K2119">INDEX(Sheet1!H:H,$G2119)</f>
        <v>1</v>
      </c>
      <c r="L2119" s="4">
        <f t="shared" si="128"/>
        <v>35</v>
      </c>
      <c r="M2119" s="4">
        <f t="shared" si="129"/>
        <v>0</v>
      </c>
    </row>
    <row r="2120" spans="1:13">
      <c r="A2120" s="4" t="str" cm="1">
        <f t="array" ref="A2120">INDEX(Sheet1!A:A,$F2120)</f>
        <v>F</v>
      </c>
      <c r="B2120" s="4" t="str" cm="1">
        <f t="array" ref="B2120">INDEX(Sheet1!B:B,$F2120)</f>
        <v>Agg/Unknown</v>
      </c>
      <c r="C2120" s="4">
        <f t="shared" si="126"/>
        <v>61</v>
      </c>
      <c r="D2120" s="5" cm="1">
        <f t="array" aca="1" ref="D2120" ca="1">OFFSET(INDIRECT("'["&amp;$H2120&amp;"]"&amp;$I2120&amp;"'!"&amp;$J2120),$L2120,$M2120)*$K2120</f>
        <v>8.6800000000000002E-3</v>
      </c>
      <c r="F2120" s="4">
        <f t="shared" si="127"/>
        <v>19</v>
      </c>
      <c r="G2120" s="4" cm="1">
        <f t="array" ref="G2120">IF($C2120&gt;=25,F2120,IF($C2120&lt;16,INDEX(Sheet1!C:C,$F2120),$F2120))</f>
        <v>19</v>
      </c>
      <c r="H2120" s="4" t="str" cm="1">
        <f t="array" ref="H2120">INDEX(Sheet1!D:D,$G2120)</f>
        <v>t1139.xlsx</v>
      </c>
      <c r="I2120" s="4" t="str" cm="1">
        <f t="array" ref="I2120">INDEX(Sheet1!E:E,$G2120)</f>
        <v>Sheet1</v>
      </c>
      <c r="J2120" s="4" t="str" cm="1">
        <f t="array" ref="J2120">IF($C2120&gt;=25,INDEX(Sheet1!G:G,$G2120),INDEX(Sheet1!F:F,$G2120))</f>
        <v>B139</v>
      </c>
      <c r="K2120" s="4" cm="1">
        <f t="array" ref="K2120">INDEX(Sheet1!H:H,$G2120)</f>
        <v>1</v>
      </c>
      <c r="L2120" s="4">
        <f t="shared" si="128"/>
        <v>36</v>
      </c>
      <c r="M2120" s="4">
        <f t="shared" si="129"/>
        <v>0</v>
      </c>
    </row>
    <row r="2121" spans="1:13">
      <c r="A2121" s="4" t="str" cm="1">
        <f t="array" ref="A2121">INDEX(Sheet1!A:A,$F2121)</f>
        <v>F</v>
      </c>
      <c r="B2121" s="4" t="str" cm="1">
        <f t="array" ref="B2121">INDEX(Sheet1!B:B,$F2121)</f>
        <v>Agg/Unknown</v>
      </c>
      <c r="C2121" s="4">
        <f t="shared" si="126"/>
        <v>62</v>
      </c>
      <c r="D2121" s="5" cm="1">
        <f t="array" aca="1" ref="D2121" ca="1">OFFSET(INDIRECT("'["&amp;$H2121&amp;"]"&amp;$I2121&amp;"'!"&amp;$J2121),$L2121,$M2121)*$K2121</f>
        <v>9.3900000000000008E-3</v>
      </c>
      <c r="F2121" s="4">
        <f t="shared" si="127"/>
        <v>19</v>
      </c>
      <c r="G2121" s="4" cm="1">
        <f t="array" ref="G2121">IF($C2121&gt;=25,F2121,IF($C2121&lt;16,INDEX(Sheet1!C:C,$F2121),$F2121))</f>
        <v>19</v>
      </c>
      <c r="H2121" s="4" t="str" cm="1">
        <f t="array" ref="H2121">INDEX(Sheet1!D:D,$G2121)</f>
        <v>t1139.xlsx</v>
      </c>
      <c r="I2121" s="4" t="str" cm="1">
        <f t="array" ref="I2121">INDEX(Sheet1!E:E,$G2121)</f>
        <v>Sheet1</v>
      </c>
      <c r="J2121" s="4" t="str" cm="1">
        <f t="array" ref="J2121">IF($C2121&gt;=25,INDEX(Sheet1!G:G,$G2121),INDEX(Sheet1!F:F,$G2121))</f>
        <v>B139</v>
      </c>
      <c r="K2121" s="4" cm="1">
        <f t="array" ref="K2121">INDEX(Sheet1!H:H,$G2121)</f>
        <v>1</v>
      </c>
      <c r="L2121" s="4">
        <f t="shared" si="128"/>
        <v>37</v>
      </c>
      <c r="M2121" s="4">
        <f t="shared" si="129"/>
        <v>0</v>
      </c>
    </row>
    <row r="2122" spans="1:13">
      <c r="A2122" s="4" t="str" cm="1">
        <f t="array" ref="A2122">INDEX(Sheet1!A:A,$F2122)</f>
        <v>F</v>
      </c>
      <c r="B2122" s="4" t="str" cm="1">
        <f t="array" ref="B2122">INDEX(Sheet1!B:B,$F2122)</f>
        <v>Agg/Unknown</v>
      </c>
      <c r="C2122" s="4">
        <f t="shared" si="126"/>
        <v>63</v>
      </c>
      <c r="D2122" s="5" cm="1">
        <f t="array" aca="1" ref="D2122" ca="1">OFFSET(INDIRECT("'["&amp;$H2122&amp;"]"&amp;$I2122&amp;"'!"&amp;$J2122),$L2122,$M2122)*$K2122</f>
        <v>1.014E-2</v>
      </c>
      <c r="F2122" s="4">
        <f t="shared" si="127"/>
        <v>19</v>
      </c>
      <c r="G2122" s="4" cm="1">
        <f t="array" ref="G2122">IF($C2122&gt;=25,F2122,IF($C2122&lt;16,INDEX(Sheet1!C:C,$F2122),$F2122))</f>
        <v>19</v>
      </c>
      <c r="H2122" s="4" t="str" cm="1">
        <f t="array" ref="H2122">INDEX(Sheet1!D:D,$G2122)</f>
        <v>t1139.xlsx</v>
      </c>
      <c r="I2122" s="4" t="str" cm="1">
        <f t="array" ref="I2122">INDEX(Sheet1!E:E,$G2122)</f>
        <v>Sheet1</v>
      </c>
      <c r="J2122" s="4" t="str" cm="1">
        <f t="array" ref="J2122">IF($C2122&gt;=25,INDEX(Sheet1!G:G,$G2122),INDEX(Sheet1!F:F,$G2122))</f>
        <v>B139</v>
      </c>
      <c r="K2122" s="4" cm="1">
        <f t="array" ref="K2122">INDEX(Sheet1!H:H,$G2122)</f>
        <v>1</v>
      </c>
      <c r="L2122" s="4">
        <f t="shared" si="128"/>
        <v>38</v>
      </c>
      <c r="M2122" s="4">
        <f t="shared" si="129"/>
        <v>0</v>
      </c>
    </row>
    <row r="2123" spans="1:13">
      <c r="A2123" s="4" t="str" cm="1">
        <f t="array" ref="A2123">INDEX(Sheet1!A:A,$F2123)</f>
        <v>F</v>
      </c>
      <c r="B2123" s="4" t="str" cm="1">
        <f t="array" ref="B2123">INDEX(Sheet1!B:B,$F2123)</f>
        <v>Agg/Unknown</v>
      </c>
      <c r="C2123" s="4">
        <f t="shared" si="126"/>
        <v>64</v>
      </c>
      <c r="D2123" s="5" cm="1">
        <f t="array" aca="1" ref="D2123" ca="1">OFFSET(INDIRECT("'["&amp;$H2123&amp;"]"&amp;$I2123&amp;"'!"&amp;$J2123),$L2123,$M2123)*$K2123</f>
        <v>1.0959999999999999E-2</v>
      </c>
      <c r="F2123" s="4">
        <f t="shared" si="127"/>
        <v>19</v>
      </c>
      <c r="G2123" s="4" cm="1">
        <f t="array" ref="G2123">IF($C2123&gt;=25,F2123,IF($C2123&lt;16,INDEX(Sheet1!C:C,$F2123),$F2123))</f>
        <v>19</v>
      </c>
      <c r="H2123" s="4" t="str" cm="1">
        <f t="array" ref="H2123">INDEX(Sheet1!D:D,$G2123)</f>
        <v>t1139.xlsx</v>
      </c>
      <c r="I2123" s="4" t="str" cm="1">
        <f t="array" ref="I2123">INDEX(Sheet1!E:E,$G2123)</f>
        <v>Sheet1</v>
      </c>
      <c r="J2123" s="4" t="str" cm="1">
        <f t="array" ref="J2123">IF($C2123&gt;=25,INDEX(Sheet1!G:G,$G2123),INDEX(Sheet1!F:F,$G2123))</f>
        <v>B139</v>
      </c>
      <c r="K2123" s="4" cm="1">
        <f t="array" ref="K2123">INDEX(Sheet1!H:H,$G2123)</f>
        <v>1</v>
      </c>
      <c r="L2123" s="4">
        <f t="shared" si="128"/>
        <v>39</v>
      </c>
      <c r="M2123" s="4">
        <f t="shared" si="129"/>
        <v>0</v>
      </c>
    </row>
    <row r="2124" spans="1:13">
      <c r="A2124" s="4" t="str" cm="1">
        <f t="array" ref="A2124">INDEX(Sheet1!A:A,$F2124)</f>
        <v>F</v>
      </c>
      <c r="B2124" s="4" t="str" cm="1">
        <f t="array" ref="B2124">INDEX(Sheet1!B:B,$F2124)</f>
        <v>Agg/Unknown</v>
      </c>
      <c r="C2124" s="4">
        <f t="shared" si="126"/>
        <v>65</v>
      </c>
      <c r="D2124" s="5" cm="1">
        <f t="array" aca="1" ref="D2124" ca="1">OFFSET(INDIRECT("'["&amp;$H2124&amp;"]"&amp;$I2124&amp;"'!"&amp;$J2124),$L2124,$M2124)*$K2124</f>
        <v>1.1849999999999999E-2</v>
      </c>
      <c r="F2124" s="4">
        <f t="shared" si="127"/>
        <v>19</v>
      </c>
      <c r="G2124" s="4" cm="1">
        <f t="array" ref="G2124">IF($C2124&gt;=25,F2124,IF($C2124&lt;16,INDEX(Sheet1!C:C,$F2124),$F2124))</f>
        <v>19</v>
      </c>
      <c r="H2124" s="4" t="str" cm="1">
        <f t="array" ref="H2124">INDEX(Sheet1!D:D,$G2124)</f>
        <v>t1139.xlsx</v>
      </c>
      <c r="I2124" s="4" t="str" cm="1">
        <f t="array" ref="I2124">INDEX(Sheet1!E:E,$G2124)</f>
        <v>Sheet1</v>
      </c>
      <c r="J2124" s="4" t="str" cm="1">
        <f t="array" ref="J2124">IF($C2124&gt;=25,INDEX(Sheet1!G:G,$G2124),INDEX(Sheet1!F:F,$G2124))</f>
        <v>B139</v>
      </c>
      <c r="K2124" s="4" cm="1">
        <f t="array" ref="K2124">INDEX(Sheet1!H:H,$G2124)</f>
        <v>1</v>
      </c>
      <c r="L2124" s="4">
        <f t="shared" si="128"/>
        <v>40</v>
      </c>
      <c r="M2124" s="4">
        <f t="shared" si="129"/>
        <v>0</v>
      </c>
    </row>
    <row r="2125" spans="1:13">
      <c r="A2125" s="4" t="str" cm="1">
        <f t="array" ref="A2125">INDEX(Sheet1!A:A,$F2125)</f>
        <v>F</v>
      </c>
      <c r="B2125" s="4" t="str" cm="1">
        <f t="array" ref="B2125">INDEX(Sheet1!B:B,$F2125)</f>
        <v>Agg/Unknown</v>
      </c>
      <c r="C2125" s="4">
        <f t="shared" si="126"/>
        <v>66</v>
      </c>
      <c r="D2125" s="5" cm="1">
        <f t="array" aca="1" ref="D2125" ca="1">OFFSET(INDIRECT("'["&amp;$H2125&amp;"]"&amp;$I2125&amp;"'!"&amp;$J2125),$L2125,$M2125)*$K2125</f>
        <v>1.282E-2</v>
      </c>
      <c r="F2125" s="4">
        <f t="shared" si="127"/>
        <v>19</v>
      </c>
      <c r="G2125" s="4" cm="1">
        <f t="array" ref="G2125">IF($C2125&gt;=25,F2125,IF($C2125&lt;16,INDEX(Sheet1!C:C,$F2125),$F2125))</f>
        <v>19</v>
      </c>
      <c r="H2125" s="4" t="str" cm="1">
        <f t="array" ref="H2125">INDEX(Sheet1!D:D,$G2125)</f>
        <v>t1139.xlsx</v>
      </c>
      <c r="I2125" s="4" t="str" cm="1">
        <f t="array" ref="I2125">INDEX(Sheet1!E:E,$G2125)</f>
        <v>Sheet1</v>
      </c>
      <c r="J2125" s="4" t="str" cm="1">
        <f t="array" ref="J2125">IF($C2125&gt;=25,INDEX(Sheet1!G:G,$G2125),INDEX(Sheet1!F:F,$G2125))</f>
        <v>B139</v>
      </c>
      <c r="K2125" s="4" cm="1">
        <f t="array" ref="K2125">INDEX(Sheet1!H:H,$G2125)</f>
        <v>1</v>
      </c>
      <c r="L2125" s="4">
        <f t="shared" si="128"/>
        <v>41</v>
      </c>
      <c r="M2125" s="4">
        <f t="shared" si="129"/>
        <v>0</v>
      </c>
    </row>
    <row r="2126" spans="1:13">
      <c r="A2126" s="4" t="str" cm="1">
        <f t="array" ref="A2126">INDEX(Sheet1!A:A,$F2126)</f>
        <v>F</v>
      </c>
      <c r="B2126" s="4" t="str" cm="1">
        <f t="array" ref="B2126">INDEX(Sheet1!B:B,$F2126)</f>
        <v>Agg/Unknown</v>
      </c>
      <c r="C2126" s="4">
        <f t="shared" si="126"/>
        <v>67</v>
      </c>
      <c r="D2126" s="5" cm="1">
        <f t="array" aca="1" ref="D2126" ca="1">OFFSET(INDIRECT("'["&amp;$H2126&amp;"]"&amp;$I2126&amp;"'!"&amp;$J2126),$L2126,$M2126)*$K2126</f>
        <v>1.389E-2</v>
      </c>
      <c r="F2126" s="4">
        <f t="shared" si="127"/>
        <v>19</v>
      </c>
      <c r="G2126" s="4" cm="1">
        <f t="array" ref="G2126">IF($C2126&gt;=25,F2126,IF($C2126&lt;16,INDEX(Sheet1!C:C,$F2126),$F2126))</f>
        <v>19</v>
      </c>
      <c r="H2126" s="4" t="str" cm="1">
        <f t="array" ref="H2126">INDEX(Sheet1!D:D,$G2126)</f>
        <v>t1139.xlsx</v>
      </c>
      <c r="I2126" s="4" t="str" cm="1">
        <f t="array" ref="I2126">INDEX(Sheet1!E:E,$G2126)</f>
        <v>Sheet1</v>
      </c>
      <c r="J2126" s="4" t="str" cm="1">
        <f t="array" ref="J2126">IF($C2126&gt;=25,INDEX(Sheet1!G:G,$G2126),INDEX(Sheet1!F:F,$G2126))</f>
        <v>B139</v>
      </c>
      <c r="K2126" s="4" cm="1">
        <f t="array" ref="K2126">INDEX(Sheet1!H:H,$G2126)</f>
        <v>1</v>
      </c>
      <c r="L2126" s="4">
        <f t="shared" si="128"/>
        <v>42</v>
      </c>
      <c r="M2126" s="4">
        <f t="shared" si="129"/>
        <v>0</v>
      </c>
    </row>
    <row r="2127" spans="1:13">
      <c r="A2127" s="4" t="str" cm="1">
        <f t="array" ref="A2127">INDEX(Sheet1!A:A,$F2127)</f>
        <v>F</v>
      </c>
      <c r="B2127" s="4" t="str" cm="1">
        <f t="array" ref="B2127">INDEX(Sheet1!B:B,$F2127)</f>
        <v>Agg/Unknown</v>
      </c>
      <c r="C2127" s="4">
        <f t="shared" si="126"/>
        <v>68</v>
      </c>
      <c r="D2127" s="5" cm="1">
        <f t="array" aca="1" ref="D2127" ca="1">OFFSET(INDIRECT("'["&amp;$H2127&amp;"]"&amp;$I2127&amp;"'!"&amp;$J2127),$L2127,$M2127)*$K2127</f>
        <v>1.507E-2</v>
      </c>
      <c r="F2127" s="4">
        <f t="shared" si="127"/>
        <v>19</v>
      </c>
      <c r="G2127" s="4" cm="1">
        <f t="array" ref="G2127">IF($C2127&gt;=25,F2127,IF($C2127&lt;16,INDEX(Sheet1!C:C,$F2127),$F2127))</f>
        <v>19</v>
      </c>
      <c r="H2127" s="4" t="str" cm="1">
        <f t="array" ref="H2127">INDEX(Sheet1!D:D,$G2127)</f>
        <v>t1139.xlsx</v>
      </c>
      <c r="I2127" s="4" t="str" cm="1">
        <f t="array" ref="I2127">INDEX(Sheet1!E:E,$G2127)</f>
        <v>Sheet1</v>
      </c>
      <c r="J2127" s="4" t="str" cm="1">
        <f t="array" ref="J2127">IF($C2127&gt;=25,INDEX(Sheet1!G:G,$G2127),INDEX(Sheet1!F:F,$G2127))</f>
        <v>B139</v>
      </c>
      <c r="K2127" s="4" cm="1">
        <f t="array" ref="K2127">INDEX(Sheet1!H:H,$G2127)</f>
        <v>1</v>
      </c>
      <c r="L2127" s="4">
        <f t="shared" si="128"/>
        <v>43</v>
      </c>
      <c r="M2127" s="4">
        <f t="shared" si="129"/>
        <v>0</v>
      </c>
    </row>
    <row r="2128" spans="1:13">
      <c r="A2128" s="4" t="str" cm="1">
        <f t="array" ref="A2128">INDEX(Sheet1!A:A,$F2128)</f>
        <v>F</v>
      </c>
      <c r="B2128" s="4" t="str" cm="1">
        <f t="array" ref="B2128">INDEX(Sheet1!B:B,$F2128)</f>
        <v>Agg/Unknown</v>
      </c>
      <c r="C2128" s="4">
        <f t="shared" si="126"/>
        <v>69</v>
      </c>
      <c r="D2128" s="5" cm="1">
        <f t="array" aca="1" ref="D2128" ca="1">OFFSET(INDIRECT("'["&amp;$H2128&amp;"]"&amp;$I2128&amp;"'!"&amp;$J2128),$L2128,$M2128)*$K2128</f>
        <v>1.636E-2</v>
      </c>
      <c r="F2128" s="4">
        <f t="shared" si="127"/>
        <v>19</v>
      </c>
      <c r="G2128" s="4" cm="1">
        <f t="array" ref="G2128">IF($C2128&gt;=25,F2128,IF($C2128&lt;16,INDEX(Sheet1!C:C,$F2128),$F2128))</f>
        <v>19</v>
      </c>
      <c r="H2128" s="4" t="str" cm="1">
        <f t="array" ref="H2128">INDEX(Sheet1!D:D,$G2128)</f>
        <v>t1139.xlsx</v>
      </c>
      <c r="I2128" s="4" t="str" cm="1">
        <f t="array" ref="I2128">INDEX(Sheet1!E:E,$G2128)</f>
        <v>Sheet1</v>
      </c>
      <c r="J2128" s="4" t="str" cm="1">
        <f t="array" ref="J2128">IF($C2128&gt;=25,INDEX(Sheet1!G:G,$G2128),INDEX(Sheet1!F:F,$G2128))</f>
        <v>B139</v>
      </c>
      <c r="K2128" s="4" cm="1">
        <f t="array" ref="K2128">INDEX(Sheet1!H:H,$G2128)</f>
        <v>1</v>
      </c>
      <c r="L2128" s="4">
        <f t="shared" si="128"/>
        <v>44</v>
      </c>
      <c r="M2128" s="4">
        <f t="shared" si="129"/>
        <v>0</v>
      </c>
    </row>
    <row r="2129" spans="1:13">
      <c r="A2129" s="4" t="str" cm="1">
        <f t="array" ref="A2129">INDEX(Sheet1!A:A,$F2129)</f>
        <v>F</v>
      </c>
      <c r="B2129" s="4" t="str" cm="1">
        <f t="array" ref="B2129">INDEX(Sheet1!B:B,$F2129)</f>
        <v>Agg/Unknown</v>
      </c>
      <c r="C2129" s="4">
        <f t="shared" si="126"/>
        <v>70</v>
      </c>
      <c r="D2129" s="5" cm="1">
        <f t="array" aca="1" ref="D2129" ca="1">OFFSET(INDIRECT("'["&amp;$H2129&amp;"]"&amp;$I2129&amp;"'!"&amp;$J2129),$L2129,$M2129)*$K2129</f>
        <v>1.7809999999999999E-2</v>
      </c>
      <c r="F2129" s="4">
        <f t="shared" si="127"/>
        <v>19</v>
      </c>
      <c r="G2129" s="4" cm="1">
        <f t="array" ref="G2129">IF($C2129&gt;=25,F2129,IF($C2129&lt;16,INDEX(Sheet1!C:C,$F2129),$F2129))</f>
        <v>19</v>
      </c>
      <c r="H2129" s="4" t="str" cm="1">
        <f t="array" ref="H2129">INDEX(Sheet1!D:D,$G2129)</f>
        <v>t1139.xlsx</v>
      </c>
      <c r="I2129" s="4" t="str" cm="1">
        <f t="array" ref="I2129">INDEX(Sheet1!E:E,$G2129)</f>
        <v>Sheet1</v>
      </c>
      <c r="J2129" s="4" t="str" cm="1">
        <f t="array" ref="J2129">IF($C2129&gt;=25,INDEX(Sheet1!G:G,$G2129),INDEX(Sheet1!F:F,$G2129))</f>
        <v>B139</v>
      </c>
      <c r="K2129" s="4" cm="1">
        <f t="array" ref="K2129">INDEX(Sheet1!H:H,$G2129)</f>
        <v>1</v>
      </c>
      <c r="L2129" s="4">
        <f t="shared" si="128"/>
        <v>45</v>
      </c>
      <c r="M2129" s="4">
        <f t="shared" si="129"/>
        <v>0</v>
      </c>
    </row>
    <row r="2130" spans="1:13">
      <c r="A2130" s="4" t="str" cm="1">
        <f t="array" ref="A2130">INDEX(Sheet1!A:A,$F2130)</f>
        <v>F</v>
      </c>
      <c r="B2130" s="4" t="str" cm="1">
        <f t="array" ref="B2130">INDEX(Sheet1!B:B,$F2130)</f>
        <v>Agg/Unknown</v>
      </c>
      <c r="C2130" s="4">
        <f t="shared" si="126"/>
        <v>71</v>
      </c>
      <c r="D2130" s="5" cm="1">
        <f t="array" aca="1" ref="D2130" ca="1">OFFSET(INDIRECT("'["&amp;$H2130&amp;"]"&amp;$I2130&amp;"'!"&amp;$J2130),$L2130,$M2130)*$K2130</f>
        <v>1.9470000000000001E-2</v>
      </c>
      <c r="F2130" s="4">
        <f t="shared" si="127"/>
        <v>19</v>
      </c>
      <c r="G2130" s="4" cm="1">
        <f t="array" ref="G2130">IF($C2130&gt;=25,F2130,IF($C2130&lt;16,INDEX(Sheet1!C:C,$F2130),$F2130))</f>
        <v>19</v>
      </c>
      <c r="H2130" s="4" t="str" cm="1">
        <f t="array" ref="H2130">INDEX(Sheet1!D:D,$G2130)</f>
        <v>t1139.xlsx</v>
      </c>
      <c r="I2130" s="4" t="str" cm="1">
        <f t="array" ref="I2130">INDEX(Sheet1!E:E,$G2130)</f>
        <v>Sheet1</v>
      </c>
      <c r="J2130" s="4" t="str" cm="1">
        <f t="array" ref="J2130">IF($C2130&gt;=25,INDEX(Sheet1!G:G,$G2130),INDEX(Sheet1!F:F,$G2130))</f>
        <v>B139</v>
      </c>
      <c r="K2130" s="4" cm="1">
        <f t="array" ref="K2130">INDEX(Sheet1!H:H,$G2130)</f>
        <v>1</v>
      </c>
      <c r="L2130" s="4">
        <f t="shared" si="128"/>
        <v>46</v>
      </c>
      <c r="M2130" s="4">
        <f t="shared" si="129"/>
        <v>0</v>
      </c>
    </row>
    <row r="2131" spans="1:13">
      <c r="A2131" s="4" t="str" cm="1">
        <f t="array" ref="A2131">INDEX(Sheet1!A:A,$F2131)</f>
        <v>F</v>
      </c>
      <c r="B2131" s="4" t="str" cm="1">
        <f t="array" ref="B2131">INDEX(Sheet1!B:B,$F2131)</f>
        <v>Agg/Unknown</v>
      </c>
      <c r="C2131" s="4">
        <f t="shared" si="126"/>
        <v>72</v>
      </c>
      <c r="D2131" s="5" cm="1">
        <f t="array" aca="1" ref="D2131" ca="1">OFFSET(INDIRECT("'["&amp;$H2131&amp;"]"&amp;$I2131&amp;"'!"&amp;$J2131),$L2131,$M2131)*$K2131</f>
        <v>2.1299999999999999E-2</v>
      </c>
      <c r="F2131" s="4">
        <f t="shared" si="127"/>
        <v>19</v>
      </c>
      <c r="G2131" s="4" cm="1">
        <f t="array" ref="G2131">IF($C2131&gt;=25,F2131,IF($C2131&lt;16,INDEX(Sheet1!C:C,$F2131),$F2131))</f>
        <v>19</v>
      </c>
      <c r="H2131" s="4" t="str" cm="1">
        <f t="array" ref="H2131">INDEX(Sheet1!D:D,$G2131)</f>
        <v>t1139.xlsx</v>
      </c>
      <c r="I2131" s="4" t="str" cm="1">
        <f t="array" ref="I2131">INDEX(Sheet1!E:E,$G2131)</f>
        <v>Sheet1</v>
      </c>
      <c r="J2131" s="4" t="str" cm="1">
        <f t="array" ref="J2131">IF($C2131&gt;=25,INDEX(Sheet1!G:G,$G2131),INDEX(Sheet1!F:F,$G2131))</f>
        <v>B139</v>
      </c>
      <c r="K2131" s="4" cm="1">
        <f t="array" ref="K2131">INDEX(Sheet1!H:H,$G2131)</f>
        <v>1</v>
      </c>
      <c r="L2131" s="4">
        <f t="shared" si="128"/>
        <v>47</v>
      </c>
      <c r="M2131" s="4">
        <f t="shared" si="129"/>
        <v>0</v>
      </c>
    </row>
    <row r="2132" spans="1:13">
      <c r="A2132" s="4" t="str" cm="1">
        <f t="array" ref="A2132">INDEX(Sheet1!A:A,$F2132)</f>
        <v>F</v>
      </c>
      <c r="B2132" s="4" t="str" cm="1">
        <f t="array" ref="B2132">INDEX(Sheet1!B:B,$F2132)</f>
        <v>Agg/Unknown</v>
      </c>
      <c r="C2132" s="4">
        <f t="shared" si="126"/>
        <v>73</v>
      </c>
      <c r="D2132" s="5" cm="1">
        <f t="array" aca="1" ref="D2132" ca="1">OFFSET(INDIRECT("'["&amp;$H2132&amp;"]"&amp;$I2132&amp;"'!"&amp;$J2132),$L2132,$M2132)*$K2132</f>
        <v>2.3300000000000001E-2</v>
      </c>
      <c r="F2132" s="4">
        <f t="shared" si="127"/>
        <v>19</v>
      </c>
      <c r="G2132" s="4" cm="1">
        <f t="array" ref="G2132">IF($C2132&gt;=25,F2132,IF($C2132&lt;16,INDEX(Sheet1!C:C,$F2132),$F2132))</f>
        <v>19</v>
      </c>
      <c r="H2132" s="4" t="str" cm="1">
        <f t="array" ref="H2132">INDEX(Sheet1!D:D,$G2132)</f>
        <v>t1139.xlsx</v>
      </c>
      <c r="I2132" s="4" t="str" cm="1">
        <f t="array" ref="I2132">INDEX(Sheet1!E:E,$G2132)</f>
        <v>Sheet1</v>
      </c>
      <c r="J2132" s="4" t="str" cm="1">
        <f t="array" ref="J2132">IF($C2132&gt;=25,INDEX(Sheet1!G:G,$G2132),INDEX(Sheet1!F:F,$G2132))</f>
        <v>B139</v>
      </c>
      <c r="K2132" s="4" cm="1">
        <f t="array" ref="K2132">INDEX(Sheet1!H:H,$G2132)</f>
        <v>1</v>
      </c>
      <c r="L2132" s="4">
        <f t="shared" si="128"/>
        <v>48</v>
      </c>
      <c r="M2132" s="4">
        <f t="shared" si="129"/>
        <v>0</v>
      </c>
    </row>
    <row r="2133" spans="1:13">
      <c r="A2133" s="4" t="str" cm="1">
        <f t="array" ref="A2133">INDEX(Sheet1!A:A,$F2133)</f>
        <v>F</v>
      </c>
      <c r="B2133" s="4" t="str" cm="1">
        <f t="array" ref="B2133">INDEX(Sheet1!B:B,$F2133)</f>
        <v>Agg/Unknown</v>
      </c>
      <c r="C2133" s="4">
        <f t="shared" si="126"/>
        <v>74</v>
      </c>
      <c r="D2133" s="5" cm="1">
        <f t="array" aca="1" ref="D2133" ca="1">OFFSET(INDIRECT("'["&amp;$H2133&amp;"]"&amp;$I2133&amp;"'!"&amp;$J2133),$L2133,$M2133)*$K2133</f>
        <v>2.5499999999999998E-2</v>
      </c>
      <c r="F2133" s="4">
        <f t="shared" si="127"/>
        <v>19</v>
      </c>
      <c r="G2133" s="4" cm="1">
        <f t="array" ref="G2133">IF($C2133&gt;=25,F2133,IF($C2133&lt;16,INDEX(Sheet1!C:C,$F2133),$F2133))</f>
        <v>19</v>
      </c>
      <c r="H2133" s="4" t="str" cm="1">
        <f t="array" ref="H2133">INDEX(Sheet1!D:D,$G2133)</f>
        <v>t1139.xlsx</v>
      </c>
      <c r="I2133" s="4" t="str" cm="1">
        <f t="array" ref="I2133">INDEX(Sheet1!E:E,$G2133)</f>
        <v>Sheet1</v>
      </c>
      <c r="J2133" s="4" t="str" cm="1">
        <f t="array" ref="J2133">IF($C2133&gt;=25,INDEX(Sheet1!G:G,$G2133),INDEX(Sheet1!F:F,$G2133))</f>
        <v>B139</v>
      </c>
      <c r="K2133" s="4" cm="1">
        <f t="array" ref="K2133">INDEX(Sheet1!H:H,$G2133)</f>
        <v>1</v>
      </c>
      <c r="L2133" s="4">
        <f t="shared" si="128"/>
        <v>49</v>
      </c>
      <c r="M2133" s="4">
        <f t="shared" si="129"/>
        <v>0</v>
      </c>
    </row>
    <row r="2134" spans="1:13">
      <c r="A2134" s="4" t="str" cm="1">
        <f t="array" ref="A2134">INDEX(Sheet1!A:A,$F2134)</f>
        <v>F</v>
      </c>
      <c r="B2134" s="4" t="str" cm="1">
        <f t="array" ref="B2134">INDEX(Sheet1!B:B,$F2134)</f>
        <v>Agg/Unknown</v>
      </c>
      <c r="C2134" s="4">
        <f t="shared" si="126"/>
        <v>75</v>
      </c>
      <c r="D2134" s="5" cm="1">
        <f t="array" aca="1" ref="D2134" ca="1">OFFSET(INDIRECT("'["&amp;$H2134&amp;"]"&amp;$I2134&amp;"'!"&amp;$J2134),$L2134,$M2134)*$K2134</f>
        <v>2.7900000000000001E-2</v>
      </c>
      <c r="F2134" s="4">
        <f t="shared" si="127"/>
        <v>19</v>
      </c>
      <c r="G2134" s="4" cm="1">
        <f t="array" ref="G2134">IF($C2134&gt;=25,F2134,IF($C2134&lt;16,INDEX(Sheet1!C:C,$F2134),$F2134))</f>
        <v>19</v>
      </c>
      <c r="H2134" s="4" t="str" cm="1">
        <f t="array" ref="H2134">INDEX(Sheet1!D:D,$G2134)</f>
        <v>t1139.xlsx</v>
      </c>
      <c r="I2134" s="4" t="str" cm="1">
        <f t="array" ref="I2134">INDEX(Sheet1!E:E,$G2134)</f>
        <v>Sheet1</v>
      </c>
      <c r="J2134" s="4" t="str" cm="1">
        <f t="array" ref="J2134">IF($C2134&gt;=25,INDEX(Sheet1!G:G,$G2134),INDEX(Sheet1!F:F,$G2134))</f>
        <v>B139</v>
      </c>
      <c r="K2134" s="4" cm="1">
        <f t="array" ref="K2134">INDEX(Sheet1!H:H,$G2134)</f>
        <v>1</v>
      </c>
      <c r="L2134" s="4">
        <f t="shared" si="128"/>
        <v>50</v>
      </c>
      <c r="M2134" s="4">
        <f t="shared" si="129"/>
        <v>0</v>
      </c>
    </row>
    <row r="2135" spans="1:13">
      <c r="A2135" s="4" t="str" cm="1">
        <f t="array" ref="A2135">INDEX(Sheet1!A:A,$F2135)</f>
        <v>F</v>
      </c>
      <c r="B2135" s="4" t="str" cm="1">
        <f t="array" ref="B2135">INDEX(Sheet1!B:B,$F2135)</f>
        <v>Agg/Unknown</v>
      </c>
      <c r="C2135" s="4">
        <f t="shared" si="126"/>
        <v>76</v>
      </c>
      <c r="D2135" s="5" cm="1">
        <f t="array" aca="1" ref="D2135" ca="1">OFFSET(INDIRECT("'["&amp;$H2135&amp;"]"&amp;$I2135&amp;"'!"&amp;$J2135),$L2135,$M2135)*$K2135</f>
        <v>3.0530000000000002E-2</v>
      </c>
      <c r="F2135" s="4">
        <f t="shared" si="127"/>
        <v>19</v>
      </c>
      <c r="G2135" s="4" cm="1">
        <f t="array" ref="G2135">IF($C2135&gt;=25,F2135,IF($C2135&lt;16,INDEX(Sheet1!C:C,$F2135),$F2135))</f>
        <v>19</v>
      </c>
      <c r="H2135" s="4" t="str" cm="1">
        <f t="array" ref="H2135">INDEX(Sheet1!D:D,$G2135)</f>
        <v>t1139.xlsx</v>
      </c>
      <c r="I2135" s="4" t="str" cm="1">
        <f t="array" ref="I2135">INDEX(Sheet1!E:E,$G2135)</f>
        <v>Sheet1</v>
      </c>
      <c r="J2135" s="4" t="str" cm="1">
        <f t="array" ref="J2135">IF($C2135&gt;=25,INDEX(Sheet1!G:G,$G2135),INDEX(Sheet1!F:F,$G2135))</f>
        <v>B139</v>
      </c>
      <c r="K2135" s="4" cm="1">
        <f t="array" ref="K2135">INDEX(Sheet1!H:H,$G2135)</f>
        <v>1</v>
      </c>
      <c r="L2135" s="4">
        <f t="shared" si="128"/>
        <v>51</v>
      </c>
      <c r="M2135" s="4">
        <f t="shared" si="129"/>
        <v>0</v>
      </c>
    </row>
    <row r="2136" spans="1:13">
      <c r="A2136" s="4" t="str" cm="1">
        <f t="array" ref="A2136">INDEX(Sheet1!A:A,$F2136)</f>
        <v>F</v>
      </c>
      <c r="B2136" s="4" t="str" cm="1">
        <f t="array" ref="B2136">INDEX(Sheet1!B:B,$F2136)</f>
        <v>Agg/Unknown</v>
      </c>
      <c r="C2136" s="4">
        <f t="shared" si="126"/>
        <v>77</v>
      </c>
      <c r="D2136" s="5" cm="1">
        <f t="array" aca="1" ref="D2136" ca="1">OFFSET(INDIRECT("'["&amp;$H2136&amp;"]"&amp;$I2136&amp;"'!"&amp;$J2136),$L2136,$M2136)*$K2136</f>
        <v>3.3410000000000002E-2</v>
      </c>
      <c r="F2136" s="4">
        <f t="shared" si="127"/>
        <v>19</v>
      </c>
      <c r="G2136" s="4" cm="1">
        <f t="array" ref="G2136">IF($C2136&gt;=25,F2136,IF($C2136&lt;16,INDEX(Sheet1!C:C,$F2136),$F2136))</f>
        <v>19</v>
      </c>
      <c r="H2136" s="4" t="str" cm="1">
        <f t="array" ref="H2136">INDEX(Sheet1!D:D,$G2136)</f>
        <v>t1139.xlsx</v>
      </c>
      <c r="I2136" s="4" t="str" cm="1">
        <f t="array" ref="I2136">INDEX(Sheet1!E:E,$G2136)</f>
        <v>Sheet1</v>
      </c>
      <c r="J2136" s="4" t="str" cm="1">
        <f t="array" ref="J2136">IF($C2136&gt;=25,INDEX(Sheet1!G:G,$G2136),INDEX(Sheet1!F:F,$G2136))</f>
        <v>B139</v>
      </c>
      <c r="K2136" s="4" cm="1">
        <f t="array" ref="K2136">INDEX(Sheet1!H:H,$G2136)</f>
        <v>1</v>
      </c>
      <c r="L2136" s="4">
        <f t="shared" si="128"/>
        <v>52</v>
      </c>
      <c r="M2136" s="4">
        <f t="shared" si="129"/>
        <v>0</v>
      </c>
    </row>
    <row r="2137" spans="1:13">
      <c r="A2137" s="4" t="str" cm="1">
        <f t="array" ref="A2137">INDEX(Sheet1!A:A,$F2137)</f>
        <v>F</v>
      </c>
      <c r="B2137" s="4" t="str" cm="1">
        <f t="array" ref="B2137">INDEX(Sheet1!B:B,$F2137)</f>
        <v>Agg/Unknown</v>
      </c>
      <c r="C2137" s="4">
        <f t="shared" si="126"/>
        <v>78</v>
      </c>
      <c r="D2137" s="5" cm="1">
        <f t="array" aca="1" ref="D2137" ca="1">OFFSET(INDIRECT("'["&amp;$H2137&amp;"]"&amp;$I2137&amp;"'!"&amp;$J2137),$L2137,$M2137)*$K2137</f>
        <v>3.6580000000000001E-2</v>
      </c>
      <c r="F2137" s="4">
        <f t="shared" si="127"/>
        <v>19</v>
      </c>
      <c r="G2137" s="4" cm="1">
        <f t="array" ref="G2137">IF($C2137&gt;=25,F2137,IF($C2137&lt;16,INDEX(Sheet1!C:C,$F2137),$F2137))</f>
        <v>19</v>
      </c>
      <c r="H2137" s="4" t="str" cm="1">
        <f t="array" ref="H2137">INDEX(Sheet1!D:D,$G2137)</f>
        <v>t1139.xlsx</v>
      </c>
      <c r="I2137" s="4" t="str" cm="1">
        <f t="array" ref="I2137">INDEX(Sheet1!E:E,$G2137)</f>
        <v>Sheet1</v>
      </c>
      <c r="J2137" s="4" t="str" cm="1">
        <f t="array" ref="J2137">IF($C2137&gt;=25,INDEX(Sheet1!G:G,$G2137),INDEX(Sheet1!F:F,$G2137))</f>
        <v>B139</v>
      </c>
      <c r="K2137" s="4" cm="1">
        <f t="array" ref="K2137">INDEX(Sheet1!H:H,$G2137)</f>
        <v>1</v>
      </c>
      <c r="L2137" s="4">
        <f t="shared" si="128"/>
        <v>53</v>
      </c>
      <c r="M2137" s="4">
        <f t="shared" si="129"/>
        <v>0</v>
      </c>
    </row>
    <row r="2138" spans="1:13">
      <c r="A2138" s="4" t="str" cm="1">
        <f t="array" ref="A2138">INDEX(Sheet1!A:A,$F2138)</f>
        <v>F</v>
      </c>
      <c r="B2138" s="4" t="str" cm="1">
        <f t="array" ref="B2138">INDEX(Sheet1!B:B,$F2138)</f>
        <v>Agg/Unknown</v>
      </c>
      <c r="C2138" s="4">
        <f t="shared" si="126"/>
        <v>79</v>
      </c>
      <c r="D2138" s="5" cm="1">
        <f t="array" aca="1" ref="D2138" ca="1">OFFSET(INDIRECT("'["&amp;$H2138&amp;"]"&amp;$I2138&amp;"'!"&amp;$J2138),$L2138,$M2138)*$K2138</f>
        <v>4.0050000000000002E-2</v>
      </c>
      <c r="F2138" s="4">
        <f t="shared" si="127"/>
        <v>19</v>
      </c>
      <c r="G2138" s="4" cm="1">
        <f t="array" ref="G2138">IF($C2138&gt;=25,F2138,IF($C2138&lt;16,INDEX(Sheet1!C:C,$F2138),$F2138))</f>
        <v>19</v>
      </c>
      <c r="H2138" s="4" t="str" cm="1">
        <f t="array" ref="H2138">INDEX(Sheet1!D:D,$G2138)</f>
        <v>t1139.xlsx</v>
      </c>
      <c r="I2138" s="4" t="str" cm="1">
        <f t="array" ref="I2138">INDEX(Sheet1!E:E,$G2138)</f>
        <v>Sheet1</v>
      </c>
      <c r="J2138" s="4" t="str" cm="1">
        <f t="array" ref="J2138">IF($C2138&gt;=25,INDEX(Sheet1!G:G,$G2138),INDEX(Sheet1!F:F,$G2138))</f>
        <v>B139</v>
      </c>
      <c r="K2138" s="4" cm="1">
        <f t="array" ref="K2138">INDEX(Sheet1!H:H,$G2138)</f>
        <v>1</v>
      </c>
      <c r="L2138" s="4">
        <f t="shared" si="128"/>
        <v>54</v>
      </c>
      <c r="M2138" s="4">
        <f t="shared" si="129"/>
        <v>0</v>
      </c>
    </row>
    <row r="2139" spans="1:13">
      <c r="A2139" s="4" t="str" cm="1">
        <f t="array" ref="A2139">INDEX(Sheet1!A:A,$F2139)</f>
        <v>F</v>
      </c>
      <c r="B2139" s="4" t="str" cm="1">
        <f t="array" ref="B2139">INDEX(Sheet1!B:B,$F2139)</f>
        <v>Agg/Unknown</v>
      </c>
      <c r="C2139" s="4">
        <f t="shared" si="126"/>
        <v>80</v>
      </c>
      <c r="D2139" s="5" cm="1">
        <f t="array" aca="1" ref="D2139" ca="1">OFFSET(INDIRECT("'["&amp;$H2139&amp;"]"&amp;$I2139&amp;"'!"&amp;$J2139),$L2139,$M2139)*$K2139</f>
        <v>4.3860000000000003E-2</v>
      </c>
      <c r="F2139" s="4">
        <f t="shared" si="127"/>
        <v>19</v>
      </c>
      <c r="G2139" s="4" cm="1">
        <f t="array" ref="G2139">IF($C2139&gt;=25,F2139,IF($C2139&lt;16,INDEX(Sheet1!C:C,$F2139),$F2139))</f>
        <v>19</v>
      </c>
      <c r="H2139" s="4" t="str" cm="1">
        <f t="array" ref="H2139">INDEX(Sheet1!D:D,$G2139)</f>
        <v>t1139.xlsx</v>
      </c>
      <c r="I2139" s="4" t="str" cm="1">
        <f t="array" ref="I2139">INDEX(Sheet1!E:E,$G2139)</f>
        <v>Sheet1</v>
      </c>
      <c r="J2139" s="4" t="str" cm="1">
        <f t="array" ref="J2139">IF($C2139&gt;=25,INDEX(Sheet1!G:G,$G2139),INDEX(Sheet1!F:F,$G2139))</f>
        <v>B139</v>
      </c>
      <c r="K2139" s="4" cm="1">
        <f t="array" ref="K2139">INDEX(Sheet1!H:H,$G2139)</f>
        <v>1</v>
      </c>
      <c r="L2139" s="4">
        <f t="shared" si="128"/>
        <v>55</v>
      </c>
      <c r="M2139" s="4">
        <f t="shared" si="129"/>
        <v>0</v>
      </c>
    </row>
    <row r="2140" spans="1:13">
      <c r="A2140" s="4" t="str" cm="1">
        <f t="array" ref="A2140">INDEX(Sheet1!A:A,$F2140)</f>
        <v>F</v>
      </c>
      <c r="B2140" s="4" t="str" cm="1">
        <f t="array" ref="B2140">INDEX(Sheet1!B:B,$F2140)</f>
        <v>Agg/Unknown</v>
      </c>
      <c r="C2140" s="4">
        <f t="shared" si="126"/>
        <v>81</v>
      </c>
      <c r="D2140" s="5" cm="1">
        <f t="array" aca="1" ref="D2140" ca="1">OFFSET(INDIRECT("'["&amp;$H2140&amp;"]"&amp;$I2140&amp;"'!"&amp;$J2140),$L2140,$M2140)*$K2140</f>
        <v>4.9110000000000001E-2</v>
      </c>
      <c r="F2140" s="4">
        <f t="shared" si="127"/>
        <v>19</v>
      </c>
      <c r="G2140" s="4" cm="1">
        <f t="array" ref="G2140">IF($C2140&gt;=25,F2140,IF($C2140&lt;16,INDEX(Sheet1!C:C,$F2140),$F2140))</f>
        <v>19</v>
      </c>
      <c r="H2140" s="4" t="str" cm="1">
        <f t="array" ref="H2140">INDEX(Sheet1!D:D,$G2140)</f>
        <v>t1139.xlsx</v>
      </c>
      <c r="I2140" s="4" t="str" cm="1">
        <f t="array" ref="I2140">INDEX(Sheet1!E:E,$G2140)</f>
        <v>Sheet1</v>
      </c>
      <c r="J2140" s="4" t="str" cm="1">
        <f t="array" ref="J2140">IF($C2140&gt;=25,INDEX(Sheet1!G:G,$G2140),INDEX(Sheet1!F:F,$G2140))</f>
        <v>B139</v>
      </c>
      <c r="K2140" s="4" cm="1">
        <f t="array" ref="K2140">INDEX(Sheet1!H:H,$G2140)</f>
        <v>1</v>
      </c>
      <c r="L2140" s="4">
        <f t="shared" si="128"/>
        <v>56</v>
      </c>
      <c r="M2140" s="4">
        <f t="shared" si="129"/>
        <v>0</v>
      </c>
    </row>
    <row r="2141" spans="1:13">
      <c r="A2141" s="4" t="str" cm="1">
        <f t="array" ref="A2141">INDEX(Sheet1!A:A,$F2141)</f>
        <v>F</v>
      </c>
      <c r="B2141" s="4" t="str" cm="1">
        <f t="array" ref="B2141">INDEX(Sheet1!B:B,$F2141)</f>
        <v>Agg/Unknown</v>
      </c>
      <c r="C2141" s="4">
        <f t="shared" si="126"/>
        <v>82</v>
      </c>
      <c r="D2141" s="5" cm="1">
        <f t="array" aca="1" ref="D2141" ca="1">OFFSET(INDIRECT("'["&amp;$H2141&amp;"]"&amp;$I2141&amp;"'!"&amp;$J2141),$L2141,$M2141)*$K2141</f>
        <v>5.4949999999999999E-2</v>
      </c>
      <c r="F2141" s="4">
        <f t="shared" si="127"/>
        <v>19</v>
      </c>
      <c r="G2141" s="4" cm="1">
        <f t="array" ref="G2141">IF($C2141&gt;=25,F2141,IF($C2141&lt;16,INDEX(Sheet1!C:C,$F2141),$F2141))</f>
        <v>19</v>
      </c>
      <c r="H2141" s="4" t="str" cm="1">
        <f t="array" ref="H2141">INDEX(Sheet1!D:D,$G2141)</f>
        <v>t1139.xlsx</v>
      </c>
      <c r="I2141" s="4" t="str" cm="1">
        <f t="array" ref="I2141">INDEX(Sheet1!E:E,$G2141)</f>
        <v>Sheet1</v>
      </c>
      <c r="J2141" s="4" t="str" cm="1">
        <f t="array" ref="J2141">IF($C2141&gt;=25,INDEX(Sheet1!G:G,$G2141),INDEX(Sheet1!F:F,$G2141))</f>
        <v>B139</v>
      </c>
      <c r="K2141" s="4" cm="1">
        <f t="array" ref="K2141">INDEX(Sheet1!H:H,$G2141)</f>
        <v>1</v>
      </c>
      <c r="L2141" s="4">
        <f t="shared" si="128"/>
        <v>57</v>
      </c>
      <c r="M2141" s="4">
        <f t="shared" si="129"/>
        <v>0</v>
      </c>
    </row>
    <row r="2142" spans="1:13">
      <c r="A2142" s="4" t="str" cm="1">
        <f t="array" ref="A2142">INDEX(Sheet1!A:A,$F2142)</f>
        <v>F</v>
      </c>
      <c r="B2142" s="4" t="str" cm="1">
        <f t="array" ref="B2142">INDEX(Sheet1!B:B,$F2142)</f>
        <v>Agg/Unknown</v>
      </c>
      <c r="C2142" s="4">
        <f t="shared" si="126"/>
        <v>83</v>
      </c>
      <c r="D2142" s="5" cm="1">
        <f t="array" aca="1" ref="D2142" ca="1">OFFSET(INDIRECT("'["&amp;$H2142&amp;"]"&amp;$I2142&amp;"'!"&amp;$J2142),$L2142,$M2142)*$K2142</f>
        <v>6.0810000000000003E-2</v>
      </c>
      <c r="F2142" s="4">
        <f t="shared" si="127"/>
        <v>19</v>
      </c>
      <c r="G2142" s="4" cm="1">
        <f t="array" ref="G2142">IF($C2142&gt;=25,F2142,IF($C2142&lt;16,INDEX(Sheet1!C:C,$F2142),$F2142))</f>
        <v>19</v>
      </c>
      <c r="H2142" s="4" t="str" cm="1">
        <f t="array" ref="H2142">INDEX(Sheet1!D:D,$G2142)</f>
        <v>t1139.xlsx</v>
      </c>
      <c r="I2142" s="4" t="str" cm="1">
        <f t="array" ref="I2142">INDEX(Sheet1!E:E,$G2142)</f>
        <v>Sheet1</v>
      </c>
      <c r="J2142" s="4" t="str" cm="1">
        <f t="array" ref="J2142">IF($C2142&gt;=25,INDEX(Sheet1!G:G,$G2142),INDEX(Sheet1!F:F,$G2142))</f>
        <v>B139</v>
      </c>
      <c r="K2142" s="4" cm="1">
        <f t="array" ref="K2142">INDEX(Sheet1!H:H,$G2142)</f>
        <v>1</v>
      </c>
      <c r="L2142" s="4">
        <f t="shared" si="128"/>
        <v>58</v>
      </c>
      <c r="M2142" s="4">
        <f t="shared" si="129"/>
        <v>0</v>
      </c>
    </row>
    <row r="2143" spans="1:13">
      <c r="A2143" s="4" t="str" cm="1">
        <f t="array" ref="A2143">INDEX(Sheet1!A:A,$F2143)</f>
        <v>F</v>
      </c>
      <c r="B2143" s="4" t="str" cm="1">
        <f t="array" ref="B2143">INDEX(Sheet1!B:B,$F2143)</f>
        <v>Agg/Unknown</v>
      </c>
      <c r="C2143" s="4">
        <f t="shared" si="126"/>
        <v>84</v>
      </c>
      <c r="D2143" s="5" cm="1">
        <f t="array" aca="1" ref="D2143" ca="1">OFFSET(INDIRECT("'["&amp;$H2143&amp;"]"&amp;$I2143&amp;"'!"&amp;$J2143),$L2143,$M2143)*$K2143</f>
        <v>6.7269999999999996E-2</v>
      </c>
      <c r="F2143" s="4">
        <f t="shared" si="127"/>
        <v>19</v>
      </c>
      <c r="G2143" s="4" cm="1">
        <f t="array" ref="G2143">IF($C2143&gt;=25,F2143,IF($C2143&lt;16,INDEX(Sheet1!C:C,$F2143),$F2143))</f>
        <v>19</v>
      </c>
      <c r="H2143" s="4" t="str" cm="1">
        <f t="array" ref="H2143">INDEX(Sheet1!D:D,$G2143)</f>
        <v>t1139.xlsx</v>
      </c>
      <c r="I2143" s="4" t="str" cm="1">
        <f t="array" ref="I2143">INDEX(Sheet1!E:E,$G2143)</f>
        <v>Sheet1</v>
      </c>
      <c r="J2143" s="4" t="str" cm="1">
        <f t="array" ref="J2143">IF($C2143&gt;=25,INDEX(Sheet1!G:G,$G2143),INDEX(Sheet1!F:F,$G2143))</f>
        <v>B139</v>
      </c>
      <c r="K2143" s="4" cm="1">
        <f t="array" ref="K2143">INDEX(Sheet1!H:H,$G2143)</f>
        <v>1</v>
      </c>
      <c r="L2143" s="4">
        <f t="shared" si="128"/>
        <v>59</v>
      </c>
      <c r="M2143" s="4">
        <f t="shared" si="129"/>
        <v>0</v>
      </c>
    </row>
    <row r="2144" spans="1:13">
      <c r="A2144" s="4" t="str" cm="1">
        <f t="array" ref="A2144">INDEX(Sheet1!A:A,$F2144)</f>
        <v>F</v>
      </c>
      <c r="B2144" s="4" t="str" cm="1">
        <f t="array" ref="B2144">INDEX(Sheet1!B:B,$F2144)</f>
        <v>Agg/Unknown</v>
      </c>
      <c r="C2144" s="4">
        <f t="shared" si="126"/>
        <v>85</v>
      </c>
      <c r="D2144" s="5" cm="1">
        <f t="array" aca="1" ref="D2144" ca="1">OFFSET(INDIRECT("'["&amp;$H2144&amp;"]"&amp;$I2144&amp;"'!"&amp;$J2144),$L2144,$M2144)*$K2144</f>
        <v>7.4450000000000002E-2</v>
      </c>
      <c r="F2144" s="4">
        <f t="shared" si="127"/>
        <v>19</v>
      </c>
      <c r="G2144" s="4" cm="1">
        <f t="array" ref="G2144">IF($C2144&gt;=25,F2144,IF($C2144&lt;16,INDEX(Sheet1!C:C,$F2144),$F2144))</f>
        <v>19</v>
      </c>
      <c r="H2144" s="4" t="str" cm="1">
        <f t="array" ref="H2144">INDEX(Sheet1!D:D,$G2144)</f>
        <v>t1139.xlsx</v>
      </c>
      <c r="I2144" s="4" t="str" cm="1">
        <f t="array" ref="I2144">INDEX(Sheet1!E:E,$G2144)</f>
        <v>Sheet1</v>
      </c>
      <c r="J2144" s="4" t="str" cm="1">
        <f t="array" ref="J2144">IF($C2144&gt;=25,INDEX(Sheet1!G:G,$G2144),INDEX(Sheet1!F:F,$G2144))</f>
        <v>B139</v>
      </c>
      <c r="K2144" s="4" cm="1">
        <f t="array" ref="K2144">INDEX(Sheet1!H:H,$G2144)</f>
        <v>1</v>
      </c>
      <c r="L2144" s="4">
        <f t="shared" si="128"/>
        <v>60</v>
      </c>
      <c r="M2144" s="4">
        <f t="shared" si="129"/>
        <v>0</v>
      </c>
    </row>
    <row r="2145" spans="1:13">
      <c r="A2145" s="4" t="str" cm="1">
        <f t="array" ref="A2145">INDEX(Sheet1!A:A,$F2145)</f>
        <v>F</v>
      </c>
      <c r="B2145" s="4" t="str" cm="1">
        <f t="array" ref="B2145">INDEX(Sheet1!B:B,$F2145)</f>
        <v>Agg/Unknown</v>
      </c>
      <c r="C2145" s="4">
        <f t="shared" si="126"/>
        <v>86</v>
      </c>
      <c r="D2145" s="5" cm="1">
        <f t="array" aca="1" ref="D2145" ca="1">OFFSET(INDIRECT("'["&amp;$H2145&amp;"]"&amp;$I2145&amp;"'!"&amp;$J2145),$L2145,$M2145)*$K2145</f>
        <v>8.0990000000000006E-2</v>
      </c>
      <c r="F2145" s="4">
        <f t="shared" si="127"/>
        <v>19</v>
      </c>
      <c r="G2145" s="4" cm="1">
        <f t="array" ref="G2145">IF($C2145&gt;=25,F2145,IF($C2145&lt;16,INDEX(Sheet1!C:C,$F2145),$F2145))</f>
        <v>19</v>
      </c>
      <c r="H2145" s="4" t="str" cm="1">
        <f t="array" ref="H2145">INDEX(Sheet1!D:D,$G2145)</f>
        <v>t1139.xlsx</v>
      </c>
      <c r="I2145" s="4" t="str" cm="1">
        <f t="array" ref="I2145">INDEX(Sheet1!E:E,$G2145)</f>
        <v>Sheet1</v>
      </c>
      <c r="J2145" s="4" t="str" cm="1">
        <f t="array" ref="J2145">IF($C2145&gt;=25,INDEX(Sheet1!G:G,$G2145),INDEX(Sheet1!F:F,$G2145))</f>
        <v>B139</v>
      </c>
      <c r="K2145" s="4" cm="1">
        <f t="array" ref="K2145">INDEX(Sheet1!H:H,$G2145)</f>
        <v>1</v>
      </c>
      <c r="L2145" s="4">
        <f t="shared" si="128"/>
        <v>61</v>
      </c>
      <c r="M2145" s="4">
        <f t="shared" si="129"/>
        <v>0</v>
      </c>
    </row>
    <row r="2146" spans="1:13">
      <c r="A2146" s="4" t="str" cm="1">
        <f t="array" ref="A2146">INDEX(Sheet1!A:A,$F2146)</f>
        <v>F</v>
      </c>
      <c r="B2146" s="4" t="str" cm="1">
        <f t="array" ref="B2146">INDEX(Sheet1!B:B,$F2146)</f>
        <v>Agg/Unknown</v>
      </c>
      <c r="C2146" s="4">
        <f t="shared" si="126"/>
        <v>87</v>
      </c>
      <c r="D2146" s="5" cm="1">
        <f t="array" aca="1" ref="D2146" ca="1">OFFSET(INDIRECT("'["&amp;$H2146&amp;"]"&amp;$I2146&amp;"'!"&amp;$J2146),$L2146,$M2146)*$K2146</f>
        <v>9.0789999999999996E-2</v>
      </c>
      <c r="F2146" s="4">
        <f t="shared" si="127"/>
        <v>19</v>
      </c>
      <c r="G2146" s="4" cm="1">
        <f t="array" ref="G2146">IF($C2146&gt;=25,F2146,IF($C2146&lt;16,INDEX(Sheet1!C:C,$F2146),$F2146))</f>
        <v>19</v>
      </c>
      <c r="H2146" s="4" t="str" cm="1">
        <f t="array" ref="H2146">INDEX(Sheet1!D:D,$G2146)</f>
        <v>t1139.xlsx</v>
      </c>
      <c r="I2146" s="4" t="str" cm="1">
        <f t="array" ref="I2146">INDEX(Sheet1!E:E,$G2146)</f>
        <v>Sheet1</v>
      </c>
      <c r="J2146" s="4" t="str" cm="1">
        <f t="array" ref="J2146">IF($C2146&gt;=25,INDEX(Sheet1!G:G,$G2146),INDEX(Sheet1!F:F,$G2146))</f>
        <v>B139</v>
      </c>
      <c r="K2146" s="4" cm="1">
        <f t="array" ref="K2146">INDEX(Sheet1!H:H,$G2146)</f>
        <v>1</v>
      </c>
      <c r="L2146" s="4">
        <f t="shared" si="128"/>
        <v>62</v>
      </c>
      <c r="M2146" s="4">
        <f t="shared" si="129"/>
        <v>0</v>
      </c>
    </row>
    <row r="2147" spans="1:13">
      <c r="A2147" s="4" t="str" cm="1">
        <f t="array" ref="A2147">INDEX(Sheet1!A:A,$F2147)</f>
        <v>F</v>
      </c>
      <c r="B2147" s="4" t="str" cm="1">
        <f t="array" ref="B2147">INDEX(Sheet1!B:B,$F2147)</f>
        <v>Agg/Unknown</v>
      </c>
      <c r="C2147" s="4">
        <f t="shared" si="126"/>
        <v>88</v>
      </c>
      <c r="D2147" s="5" cm="1">
        <f t="array" aca="1" ref="D2147" ca="1">OFFSET(INDIRECT("'["&amp;$H2147&amp;"]"&amp;$I2147&amp;"'!"&amp;$J2147),$L2147,$M2147)*$K2147</f>
        <v>0.10106999999999999</v>
      </c>
      <c r="F2147" s="4">
        <f t="shared" si="127"/>
        <v>19</v>
      </c>
      <c r="G2147" s="4" cm="1">
        <f t="array" ref="G2147">IF($C2147&gt;=25,F2147,IF($C2147&lt;16,INDEX(Sheet1!C:C,$F2147),$F2147))</f>
        <v>19</v>
      </c>
      <c r="H2147" s="4" t="str" cm="1">
        <f t="array" ref="H2147">INDEX(Sheet1!D:D,$G2147)</f>
        <v>t1139.xlsx</v>
      </c>
      <c r="I2147" s="4" t="str" cm="1">
        <f t="array" ref="I2147">INDEX(Sheet1!E:E,$G2147)</f>
        <v>Sheet1</v>
      </c>
      <c r="J2147" s="4" t="str" cm="1">
        <f t="array" ref="J2147">IF($C2147&gt;=25,INDEX(Sheet1!G:G,$G2147),INDEX(Sheet1!F:F,$G2147))</f>
        <v>B139</v>
      </c>
      <c r="K2147" s="4" cm="1">
        <f t="array" ref="K2147">INDEX(Sheet1!H:H,$G2147)</f>
        <v>1</v>
      </c>
      <c r="L2147" s="4">
        <f t="shared" si="128"/>
        <v>63</v>
      </c>
      <c r="M2147" s="4">
        <f t="shared" si="129"/>
        <v>0</v>
      </c>
    </row>
    <row r="2148" spans="1:13">
      <c r="A2148" s="4" t="str" cm="1">
        <f t="array" ref="A2148">INDEX(Sheet1!A:A,$F2148)</f>
        <v>F</v>
      </c>
      <c r="B2148" s="4" t="str" cm="1">
        <f t="array" ref="B2148">INDEX(Sheet1!B:B,$F2148)</f>
        <v>Agg/Unknown</v>
      </c>
      <c r="C2148" s="4">
        <f t="shared" si="126"/>
        <v>89</v>
      </c>
      <c r="D2148" s="5" cm="1">
        <f t="array" aca="1" ref="D2148" ca="1">OFFSET(INDIRECT("'["&amp;$H2148&amp;"]"&amp;$I2148&amp;"'!"&amp;$J2148),$L2148,$M2148)*$K2148</f>
        <v>0.11201999999999999</v>
      </c>
      <c r="F2148" s="4">
        <f t="shared" si="127"/>
        <v>19</v>
      </c>
      <c r="G2148" s="4" cm="1">
        <f t="array" ref="G2148">IF($C2148&gt;=25,F2148,IF($C2148&lt;16,INDEX(Sheet1!C:C,$F2148),$F2148))</f>
        <v>19</v>
      </c>
      <c r="H2148" s="4" t="str" cm="1">
        <f t="array" ref="H2148">INDEX(Sheet1!D:D,$G2148)</f>
        <v>t1139.xlsx</v>
      </c>
      <c r="I2148" s="4" t="str" cm="1">
        <f t="array" ref="I2148">INDEX(Sheet1!E:E,$G2148)</f>
        <v>Sheet1</v>
      </c>
      <c r="J2148" s="4" t="str" cm="1">
        <f t="array" ref="J2148">IF($C2148&gt;=25,INDEX(Sheet1!G:G,$G2148),INDEX(Sheet1!F:F,$G2148))</f>
        <v>B139</v>
      </c>
      <c r="K2148" s="4" cm="1">
        <f t="array" ref="K2148">INDEX(Sheet1!H:H,$G2148)</f>
        <v>1</v>
      </c>
      <c r="L2148" s="4">
        <f t="shared" si="128"/>
        <v>64</v>
      </c>
      <c r="M2148" s="4">
        <f t="shared" si="129"/>
        <v>0</v>
      </c>
    </row>
    <row r="2149" spans="1:13">
      <c r="A2149" s="4" t="str" cm="1">
        <f t="array" ref="A2149">INDEX(Sheet1!A:A,$F2149)</f>
        <v>F</v>
      </c>
      <c r="B2149" s="4" t="str" cm="1">
        <f t="array" ref="B2149">INDEX(Sheet1!B:B,$F2149)</f>
        <v>Agg/Unknown</v>
      </c>
      <c r="C2149" s="4">
        <f t="shared" si="126"/>
        <v>90</v>
      </c>
      <c r="D2149" s="5" cm="1">
        <f t="array" aca="1" ref="D2149" ca="1">OFFSET(INDIRECT("'["&amp;$H2149&amp;"]"&amp;$I2149&amp;"'!"&amp;$J2149),$L2149,$M2149)*$K2149</f>
        <v>0.12192</v>
      </c>
      <c r="F2149" s="4">
        <f t="shared" si="127"/>
        <v>19</v>
      </c>
      <c r="G2149" s="4" cm="1">
        <f t="array" ref="G2149">IF($C2149&gt;=25,F2149,IF($C2149&lt;16,INDEX(Sheet1!C:C,$F2149),$F2149))</f>
        <v>19</v>
      </c>
      <c r="H2149" s="4" t="str" cm="1">
        <f t="array" ref="H2149">INDEX(Sheet1!D:D,$G2149)</f>
        <v>t1139.xlsx</v>
      </c>
      <c r="I2149" s="4" t="str" cm="1">
        <f t="array" ref="I2149">INDEX(Sheet1!E:E,$G2149)</f>
        <v>Sheet1</v>
      </c>
      <c r="J2149" s="4" t="str" cm="1">
        <f t="array" ref="J2149">IF($C2149&gt;=25,INDEX(Sheet1!G:G,$G2149),INDEX(Sheet1!F:F,$G2149))</f>
        <v>B139</v>
      </c>
      <c r="K2149" s="4" cm="1">
        <f t="array" ref="K2149">INDEX(Sheet1!H:H,$G2149)</f>
        <v>1</v>
      </c>
      <c r="L2149" s="4">
        <f t="shared" si="128"/>
        <v>65</v>
      </c>
      <c r="M2149" s="4">
        <f t="shared" si="129"/>
        <v>0</v>
      </c>
    </row>
    <row r="2150" spans="1:13">
      <c r="A2150" s="4" t="str" cm="1">
        <f t="array" ref="A2150">INDEX(Sheet1!A:A,$F2150)</f>
        <v>F</v>
      </c>
      <c r="B2150" s="4" t="str" cm="1">
        <f t="array" ref="B2150">INDEX(Sheet1!B:B,$F2150)</f>
        <v>Agg/Unknown</v>
      </c>
      <c r="C2150" s="4">
        <f t="shared" si="126"/>
        <v>91</v>
      </c>
      <c r="D2150" s="5" cm="1">
        <f t="array" aca="1" ref="D2150" ca="1">OFFSET(INDIRECT("'["&amp;$H2150&amp;"]"&amp;$I2150&amp;"'!"&amp;$J2150),$L2150,$M2150)*$K2150</f>
        <v>0.12684999999999999</v>
      </c>
      <c r="F2150" s="4">
        <f t="shared" si="127"/>
        <v>19</v>
      </c>
      <c r="G2150" s="4" cm="1">
        <f t="array" ref="G2150">IF($C2150&gt;=25,F2150,IF($C2150&lt;16,INDEX(Sheet1!C:C,$F2150),$F2150))</f>
        <v>19</v>
      </c>
      <c r="H2150" s="4" t="str" cm="1">
        <f t="array" ref="H2150">INDEX(Sheet1!D:D,$G2150)</f>
        <v>t1139.xlsx</v>
      </c>
      <c r="I2150" s="4" t="str" cm="1">
        <f t="array" ref="I2150">INDEX(Sheet1!E:E,$G2150)</f>
        <v>Sheet1</v>
      </c>
      <c r="J2150" s="4" t="str" cm="1">
        <f t="array" ref="J2150">IF($C2150&gt;=25,INDEX(Sheet1!G:G,$G2150),INDEX(Sheet1!F:F,$G2150))</f>
        <v>B139</v>
      </c>
      <c r="K2150" s="4" cm="1">
        <f t="array" ref="K2150">INDEX(Sheet1!H:H,$G2150)</f>
        <v>1</v>
      </c>
      <c r="L2150" s="4">
        <f t="shared" si="128"/>
        <v>66</v>
      </c>
      <c r="M2150" s="4">
        <f t="shared" si="129"/>
        <v>0</v>
      </c>
    </row>
    <row r="2151" spans="1:13">
      <c r="A2151" s="4" t="str" cm="1">
        <f t="array" ref="A2151">INDEX(Sheet1!A:A,$F2151)</f>
        <v>F</v>
      </c>
      <c r="B2151" s="4" t="str" cm="1">
        <f t="array" ref="B2151">INDEX(Sheet1!B:B,$F2151)</f>
        <v>Agg/Unknown</v>
      </c>
      <c r="C2151" s="4">
        <f t="shared" si="126"/>
        <v>92</v>
      </c>
      <c r="D2151" s="5" cm="1">
        <f t="array" aca="1" ref="D2151" ca="1">OFFSET(INDIRECT("'["&amp;$H2151&amp;"]"&amp;$I2151&amp;"'!"&amp;$J2151),$L2151,$M2151)*$K2151</f>
        <v>0.13688</v>
      </c>
      <c r="F2151" s="4">
        <f t="shared" si="127"/>
        <v>19</v>
      </c>
      <c r="G2151" s="4" cm="1">
        <f t="array" ref="G2151">IF($C2151&gt;=25,F2151,IF($C2151&lt;16,INDEX(Sheet1!C:C,$F2151),$F2151))</f>
        <v>19</v>
      </c>
      <c r="H2151" s="4" t="str" cm="1">
        <f t="array" ref="H2151">INDEX(Sheet1!D:D,$G2151)</f>
        <v>t1139.xlsx</v>
      </c>
      <c r="I2151" s="4" t="str" cm="1">
        <f t="array" ref="I2151">INDEX(Sheet1!E:E,$G2151)</f>
        <v>Sheet1</v>
      </c>
      <c r="J2151" s="4" t="str" cm="1">
        <f t="array" ref="J2151">IF($C2151&gt;=25,INDEX(Sheet1!G:G,$G2151),INDEX(Sheet1!F:F,$G2151))</f>
        <v>B139</v>
      </c>
      <c r="K2151" s="4" cm="1">
        <f t="array" ref="K2151">INDEX(Sheet1!H:H,$G2151)</f>
        <v>1</v>
      </c>
      <c r="L2151" s="4">
        <f t="shared" si="128"/>
        <v>67</v>
      </c>
      <c r="M2151" s="4">
        <f t="shared" si="129"/>
        <v>0</v>
      </c>
    </row>
    <row r="2152" spans="1:13">
      <c r="A2152" s="4" t="str" cm="1">
        <f t="array" ref="A2152">INDEX(Sheet1!A:A,$F2152)</f>
        <v>F</v>
      </c>
      <c r="B2152" s="4" t="str" cm="1">
        <f t="array" ref="B2152">INDEX(Sheet1!B:B,$F2152)</f>
        <v>Agg/Unknown</v>
      </c>
      <c r="C2152" s="4">
        <f t="shared" si="126"/>
        <v>93</v>
      </c>
      <c r="D2152" s="5" cm="1">
        <f t="array" aca="1" ref="D2152" ca="1">OFFSET(INDIRECT("'["&amp;$H2152&amp;"]"&amp;$I2152&amp;"'!"&amp;$J2152),$L2152,$M2152)*$K2152</f>
        <v>0.15164</v>
      </c>
      <c r="F2152" s="4">
        <f t="shared" si="127"/>
        <v>19</v>
      </c>
      <c r="G2152" s="4" cm="1">
        <f t="array" ref="G2152">IF($C2152&gt;=25,F2152,IF($C2152&lt;16,INDEX(Sheet1!C:C,$F2152),$F2152))</f>
        <v>19</v>
      </c>
      <c r="H2152" s="4" t="str" cm="1">
        <f t="array" ref="H2152">INDEX(Sheet1!D:D,$G2152)</f>
        <v>t1139.xlsx</v>
      </c>
      <c r="I2152" s="4" t="str" cm="1">
        <f t="array" ref="I2152">INDEX(Sheet1!E:E,$G2152)</f>
        <v>Sheet1</v>
      </c>
      <c r="J2152" s="4" t="str" cm="1">
        <f t="array" ref="J2152">IF($C2152&gt;=25,INDEX(Sheet1!G:G,$G2152),INDEX(Sheet1!F:F,$G2152))</f>
        <v>B139</v>
      </c>
      <c r="K2152" s="4" cm="1">
        <f t="array" ref="K2152">INDEX(Sheet1!H:H,$G2152)</f>
        <v>1</v>
      </c>
      <c r="L2152" s="4">
        <f t="shared" si="128"/>
        <v>68</v>
      </c>
      <c r="M2152" s="4">
        <f t="shared" si="129"/>
        <v>0</v>
      </c>
    </row>
    <row r="2153" spans="1:13">
      <c r="A2153" s="4" t="str" cm="1">
        <f t="array" ref="A2153">INDEX(Sheet1!A:A,$F2153)</f>
        <v>F</v>
      </c>
      <c r="B2153" s="4" t="str" cm="1">
        <f t="array" ref="B2153">INDEX(Sheet1!B:B,$F2153)</f>
        <v>Agg/Unknown</v>
      </c>
      <c r="C2153" s="4">
        <f t="shared" si="126"/>
        <v>94</v>
      </c>
      <c r="D2153" s="5" cm="1">
        <f t="array" aca="1" ref="D2153" ca="1">OFFSET(INDIRECT("'["&amp;$H2153&amp;"]"&amp;$I2153&amp;"'!"&amp;$J2153),$L2153,$M2153)*$K2153</f>
        <v>0.17030999999999999</v>
      </c>
      <c r="F2153" s="4">
        <f t="shared" si="127"/>
        <v>19</v>
      </c>
      <c r="G2153" s="4" cm="1">
        <f t="array" ref="G2153">IF($C2153&gt;=25,F2153,IF($C2153&lt;16,INDEX(Sheet1!C:C,$F2153),$F2153))</f>
        <v>19</v>
      </c>
      <c r="H2153" s="4" t="str" cm="1">
        <f t="array" ref="H2153">INDEX(Sheet1!D:D,$G2153)</f>
        <v>t1139.xlsx</v>
      </c>
      <c r="I2153" s="4" t="str" cm="1">
        <f t="array" ref="I2153">INDEX(Sheet1!E:E,$G2153)</f>
        <v>Sheet1</v>
      </c>
      <c r="J2153" s="4" t="str" cm="1">
        <f t="array" ref="J2153">IF($C2153&gt;=25,INDEX(Sheet1!G:G,$G2153),INDEX(Sheet1!F:F,$G2153))</f>
        <v>B139</v>
      </c>
      <c r="K2153" s="4" cm="1">
        <f t="array" ref="K2153">INDEX(Sheet1!H:H,$G2153)</f>
        <v>1</v>
      </c>
      <c r="L2153" s="4">
        <f t="shared" si="128"/>
        <v>69</v>
      </c>
      <c r="M2153" s="4">
        <f t="shared" si="129"/>
        <v>0</v>
      </c>
    </row>
    <row r="2154" spans="1:13">
      <c r="A2154" s="4" t="str" cm="1">
        <f t="array" ref="A2154">INDEX(Sheet1!A:A,$F2154)</f>
        <v>F</v>
      </c>
      <c r="B2154" s="4" t="str" cm="1">
        <f t="array" ref="B2154">INDEX(Sheet1!B:B,$F2154)</f>
        <v>Agg/Unknown</v>
      </c>
      <c r="C2154" s="4">
        <f t="shared" si="126"/>
        <v>95</v>
      </c>
      <c r="D2154" s="5" cm="1">
        <f t="array" aca="1" ref="D2154" ca="1">OFFSET(INDIRECT("'["&amp;$H2154&amp;"]"&amp;$I2154&amp;"'!"&amp;$J2154),$L2154,$M2154)*$K2154</f>
        <v>0.19366</v>
      </c>
      <c r="F2154" s="4">
        <f t="shared" si="127"/>
        <v>19</v>
      </c>
      <c r="G2154" s="4" cm="1">
        <f t="array" ref="G2154">IF($C2154&gt;=25,F2154,IF($C2154&lt;16,INDEX(Sheet1!C:C,$F2154),$F2154))</f>
        <v>19</v>
      </c>
      <c r="H2154" s="4" t="str" cm="1">
        <f t="array" ref="H2154">INDEX(Sheet1!D:D,$G2154)</f>
        <v>t1139.xlsx</v>
      </c>
      <c r="I2154" s="4" t="str" cm="1">
        <f t="array" ref="I2154">INDEX(Sheet1!E:E,$G2154)</f>
        <v>Sheet1</v>
      </c>
      <c r="J2154" s="4" t="str" cm="1">
        <f t="array" ref="J2154">IF($C2154&gt;=25,INDEX(Sheet1!G:G,$G2154),INDEX(Sheet1!F:F,$G2154))</f>
        <v>B139</v>
      </c>
      <c r="K2154" s="4" cm="1">
        <f t="array" ref="K2154">INDEX(Sheet1!H:H,$G2154)</f>
        <v>1</v>
      </c>
      <c r="L2154" s="4">
        <f t="shared" si="128"/>
        <v>70</v>
      </c>
      <c r="M2154" s="4">
        <f t="shared" si="129"/>
        <v>0</v>
      </c>
    </row>
    <row r="2155" spans="1:13">
      <c r="A2155" s="4" t="str" cm="1">
        <f t="array" ref="A2155">INDEX(Sheet1!A:A,$F2155)</f>
        <v>F</v>
      </c>
      <c r="B2155" s="4" t="str" cm="1">
        <f t="array" ref="B2155">INDEX(Sheet1!B:B,$F2155)</f>
        <v>Agg/Unknown</v>
      </c>
      <c r="C2155" s="4">
        <f t="shared" si="126"/>
        <v>96</v>
      </c>
      <c r="D2155" s="5" cm="1">
        <f t="array" aca="1" ref="D2155" ca="1">OFFSET(INDIRECT("'["&amp;$H2155&amp;"]"&amp;$I2155&amp;"'!"&amp;$J2155),$L2155,$M2155)*$K2155</f>
        <v>0.21565999999999999</v>
      </c>
      <c r="F2155" s="4">
        <f t="shared" si="127"/>
        <v>19</v>
      </c>
      <c r="G2155" s="4" cm="1">
        <f t="array" ref="G2155">IF($C2155&gt;=25,F2155,IF($C2155&lt;16,INDEX(Sheet1!C:C,$F2155),$F2155))</f>
        <v>19</v>
      </c>
      <c r="H2155" s="4" t="str" cm="1">
        <f t="array" ref="H2155">INDEX(Sheet1!D:D,$G2155)</f>
        <v>t1139.xlsx</v>
      </c>
      <c r="I2155" s="4" t="str" cm="1">
        <f t="array" ref="I2155">INDEX(Sheet1!E:E,$G2155)</f>
        <v>Sheet1</v>
      </c>
      <c r="J2155" s="4" t="str" cm="1">
        <f t="array" ref="J2155">IF($C2155&gt;=25,INDEX(Sheet1!G:G,$G2155),INDEX(Sheet1!F:F,$G2155))</f>
        <v>B139</v>
      </c>
      <c r="K2155" s="4" cm="1">
        <f t="array" ref="K2155">INDEX(Sheet1!H:H,$G2155)</f>
        <v>1</v>
      </c>
      <c r="L2155" s="4">
        <f t="shared" si="128"/>
        <v>71</v>
      </c>
      <c r="M2155" s="4">
        <f t="shared" si="129"/>
        <v>0</v>
      </c>
    </row>
    <row r="2156" spans="1:13">
      <c r="A2156" s="4" t="str" cm="1">
        <f t="array" ref="A2156">INDEX(Sheet1!A:A,$F2156)</f>
        <v>F</v>
      </c>
      <c r="B2156" s="4" t="str" cm="1">
        <f t="array" ref="B2156">INDEX(Sheet1!B:B,$F2156)</f>
        <v>Agg/Unknown</v>
      </c>
      <c r="C2156" s="4">
        <f t="shared" si="126"/>
        <v>97</v>
      </c>
      <c r="D2156" s="5" cm="1">
        <f t="array" aca="1" ref="D2156" ca="1">OFFSET(INDIRECT("'["&amp;$H2156&amp;"]"&amp;$I2156&amp;"'!"&amp;$J2156),$L2156,$M2156)*$K2156</f>
        <v>0.23848</v>
      </c>
      <c r="F2156" s="4">
        <f t="shared" si="127"/>
        <v>19</v>
      </c>
      <c r="G2156" s="4" cm="1">
        <f t="array" ref="G2156">IF($C2156&gt;=25,F2156,IF($C2156&lt;16,INDEX(Sheet1!C:C,$F2156),$F2156))</f>
        <v>19</v>
      </c>
      <c r="H2156" s="4" t="str" cm="1">
        <f t="array" ref="H2156">INDEX(Sheet1!D:D,$G2156)</f>
        <v>t1139.xlsx</v>
      </c>
      <c r="I2156" s="4" t="str" cm="1">
        <f t="array" ref="I2156">INDEX(Sheet1!E:E,$G2156)</f>
        <v>Sheet1</v>
      </c>
      <c r="J2156" s="4" t="str" cm="1">
        <f t="array" ref="J2156">IF($C2156&gt;=25,INDEX(Sheet1!G:G,$G2156),INDEX(Sheet1!F:F,$G2156))</f>
        <v>B139</v>
      </c>
      <c r="K2156" s="4" cm="1">
        <f t="array" ref="K2156">INDEX(Sheet1!H:H,$G2156)</f>
        <v>1</v>
      </c>
      <c r="L2156" s="4">
        <f t="shared" si="128"/>
        <v>72</v>
      </c>
      <c r="M2156" s="4">
        <f t="shared" si="129"/>
        <v>0</v>
      </c>
    </row>
    <row r="2157" spans="1:13">
      <c r="A2157" s="4" t="str" cm="1">
        <f t="array" ref="A2157">INDEX(Sheet1!A:A,$F2157)</f>
        <v>F</v>
      </c>
      <c r="B2157" s="4" t="str" cm="1">
        <f t="array" ref="B2157">INDEX(Sheet1!B:B,$F2157)</f>
        <v>Agg/Unknown</v>
      </c>
      <c r="C2157" s="4">
        <f t="shared" si="126"/>
        <v>98</v>
      </c>
      <c r="D2157" s="5" cm="1">
        <f t="array" aca="1" ref="D2157" ca="1">OFFSET(INDIRECT("'["&amp;$H2157&amp;"]"&amp;$I2157&amp;"'!"&amp;$J2157),$L2157,$M2157)*$K2157</f>
        <v>0.24215999999999999</v>
      </c>
      <c r="F2157" s="4">
        <f t="shared" si="127"/>
        <v>19</v>
      </c>
      <c r="G2157" s="4" cm="1">
        <f t="array" ref="G2157">IF($C2157&gt;=25,F2157,IF($C2157&lt;16,INDEX(Sheet1!C:C,$F2157),$F2157))</f>
        <v>19</v>
      </c>
      <c r="H2157" s="4" t="str" cm="1">
        <f t="array" ref="H2157">INDEX(Sheet1!D:D,$G2157)</f>
        <v>t1139.xlsx</v>
      </c>
      <c r="I2157" s="4" t="str" cm="1">
        <f t="array" ref="I2157">INDEX(Sheet1!E:E,$G2157)</f>
        <v>Sheet1</v>
      </c>
      <c r="J2157" s="4" t="str" cm="1">
        <f t="array" ref="J2157">IF($C2157&gt;=25,INDEX(Sheet1!G:G,$G2157),INDEX(Sheet1!F:F,$G2157))</f>
        <v>B139</v>
      </c>
      <c r="K2157" s="4" cm="1">
        <f t="array" ref="K2157">INDEX(Sheet1!H:H,$G2157)</f>
        <v>1</v>
      </c>
      <c r="L2157" s="4">
        <f t="shared" si="128"/>
        <v>73</v>
      </c>
      <c r="M2157" s="4">
        <f t="shared" si="129"/>
        <v>0</v>
      </c>
    </row>
    <row r="2158" spans="1:13">
      <c r="A2158" s="4" t="str" cm="1">
        <f t="array" ref="A2158">INDEX(Sheet1!A:A,$F2158)</f>
        <v>F</v>
      </c>
      <c r="B2158" s="4" t="str" cm="1">
        <f t="array" ref="B2158">INDEX(Sheet1!B:B,$F2158)</f>
        <v>Agg/Unknown</v>
      </c>
      <c r="C2158" s="4">
        <f t="shared" si="126"/>
        <v>99</v>
      </c>
      <c r="D2158" s="5" cm="1">
        <f t="array" aca="1" ref="D2158" ca="1">OFFSET(INDIRECT("'["&amp;$H2158&amp;"]"&amp;$I2158&amp;"'!"&amp;$J2158),$L2158,$M2158)*$K2158</f>
        <v>0.25523000000000001</v>
      </c>
      <c r="F2158" s="4">
        <f t="shared" si="127"/>
        <v>19</v>
      </c>
      <c r="G2158" s="4" cm="1">
        <f t="array" ref="G2158">IF($C2158&gt;=25,F2158,IF($C2158&lt;16,INDEX(Sheet1!C:C,$F2158),$F2158))</f>
        <v>19</v>
      </c>
      <c r="H2158" s="4" t="str" cm="1">
        <f t="array" ref="H2158">INDEX(Sheet1!D:D,$G2158)</f>
        <v>t1139.xlsx</v>
      </c>
      <c r="I2158" s="4" t="str" cm="1">
        <f t="array" ref="I2158">INDEX(Sheet1!E:E,$G2158)</f>
        <v>Sheet1</v>
      </c>
      <c r="J2158" s="4" t="str" cm="1">
        <f t="array" ref="J2158">IF($C2158&gt;=25,INDEX(Sheet1!G:G,$G2158),INDEX(Sheet1!F:F,$G2158))</f>
        <v>B139</v>
      </c>
      <c r="K2158" s="4" cm="1">
        <f t="array" ref="K2158">INDEX(Sheet1!H:H,$G2158)</f>
        <v>1</v>
      </c>
      <c r="L2158" s="4">
        <f t="shared" si="128"/>
        <v>74</v>
      </c>
      <c r="M2158" s="4">
        <f t="shared" si="129"/>
        <v>0</v>
      </c>
    </row>
    <row r="2159" spans="1:13">
      <c r="A2159" s="4" t="str" cm="1">
        <f t="array" ref="A2159">INDEX(Sheet1!A:A,$F2159)</f>
        <v>F</v>
      </c>
      <c r="B2159" s="4" t="str" cm="1">
        <f t="array" ref="B2159">INDEX(Sheet1!B:B,$F2159)</f>
        <v>Agg/Unknown</v>
      </c>
      <c r="C2159" s="4">
        <f t="shared" si="126"/>
        <v>100</v>
      </c>
      <c r="D2159" s="5" cm="1">
        <f t="array" aca="1" ref="D2159" ca="1">OFFSET(INDIRECT("'["&amp;$H2159&amp;"]"&amp;$I2159&amp;"'!"&amp;$J2159),$L2159,$M2159)*$K2159</f>
        <v>0.27572999999999998</v>
      </c>
      <c r="F2159" s="4">
        <f t="shared" si="127"/>
        <v>19</v>
      </c>
      <c r="G2159" s="4" cm="1">
        <f t="array" ref="G2159">IF($C2159&gt;=25,F2159,IF($C2159&lt;16,INDEX(Sheet1!C:C,$F2159),$F2159))</f>
        <v>19</v>
      </c>
      <c r="H2159" s="4" t="str" cm="1">
        <f t="array" ref="H2159">INDEX(Sheet1!D:D,$G2159)</f>
        <v>t1139.xlsx</v>
      </c>
      <c r="I2159" s="4" t="str" cm="1">
        <f t="array" ref="I2159">INDEX(Sheet1!E:E,$G2159)</f>
        <v>Sheet1</v>
      </c>
      <c r="J2159" s="4" t="str" cm="1">
        <f t="array" ref="J2159">IF($C2159&gt;=25,INDEX(Sheet1!G:G,$G2159),INDEX(Sheet1!F:F,$G2159))</f>
        <v>B139</v>
      </c>
      <c r="K2159" s="4" cm="1">
        <f t="array" ref="K2159">INDEX(Sheet1!H:H,$G2159)</f>
        <v>1</v>
      </c>
      <c r="L2159" s="4">
        <f t="shared" si="128"/>
        <v>75</v>
      </c>
      <c r="M2159" s="4">
        <f t="shared" si="129"/>
        <v>0</v>
      </c>
    </row>
    <row r="2160" spans="1:13">
      <c r="A2160" s="4" t="str" cm="1">
        <f t="array" ref="A2160">INDEX(Sheet1!A:A,$F2160)</f>
        <v>F</v>
      </c>
      <c r="B2160" s="4" t="str" cm="1">
        <f t="array" ref="B2160">INDEX(Sheet1!B:B,$F2160)</f>
        <v>Agg/Unknown</v>
      </c>
      <c r="C2160" s="4">
        <f t="shared" si="126"/>
        <v>101</v>
      </c>
      <c r="D2160" s="5" cm="1">
        <f t="array" aca="1" ref="D2160" ca="1">OFFSET(INDIRECT("'["&amp;$H2160&amp;"]"&amp;$I2160&amp;"'!"&amp;$J2160),$L2160,$M2160)*$K2160</f>
        <v>0.29783999999999999</v>
      </c>
      <c r="F2160" s="4">
        <f t="shared" si="127"/>
        <v>19</v>
      </c>
      <c r="G2160" s="4" cm="1">
        <f t="array" ref="G2160">IF($C2160&gt;=25,F2160,IF($C2160&lt;16,INDEX(Sheet1!C:C,$F2160),$F2160))</f>
        <v>19</v>
      </c>
      <c r="H2160" s="4" t="str" cm="1">
        <f t="array" ref="H2160">INDEX(Sheet1!D:D,$G2160)</f>
        <v>t1139.xlsx</v>
      </c>
      <c r="I2160" s="4" t="str" cm="1">
        <f t="array" ref="I2160">INDEX(Sheet1!E:E,$G2160)</f>
        <v>Sheet1</v>
      </c>
      <c r="J2160" s="4" t="str" cm="1">
        <f t="array" ref="J2160">IF($C2160&gt;=25,INDEX(Sheet1!G:G,$G2160),INDEX(Sheet1!F:F,$G2160))</f>
        <v>B139</v>
      </c>
      <c r="K2160" s="4" cm="1">
        <f t="array" ref="K2160">INDEX(Sheet1!H:H,$G2160)</f>
        <v>1</v>
      </c>
      <c r="L2160" s="4">
        <f t="shared" si="128"/>
        <v>76</v>
      </c>
      <c r="M2160" s="4">
        <f t="shared" si="129"/>
        <v>0</v>
      </c>
    </row>
    <row r="2161" spans="1:13">
      <c r="A2161" s="4" t="str" cm="1">
        <f t="array" ref="A2161">INDEX(Sheet1!A:A,$F2161)</f>
        <v>F</v>
      </c>
      <c r="B2161" s="4" t="str" cm="1">
        <f t="array" ref="B2161">INDEX(Sheet1!B:B,$F2161)</f>
        <v>Agg/Unknown</v>
      </c>
      <c r="C2161" s="4">
        <f t="shared" si="126"/>
        <v>102</v>
      </c>
      <c r="D2161" s="5" cm="1">
        <f t="array" aca="1" ref="D2161" ca="1">OFFSET(INDIRECT("'["&amp;$H2161&amp;"]"&amp;$I2161&amp;"'!"&amp;$J2161),$L2161,$M2161)*$K2161</f>
        <v>0.32221</v>
      </c>
      <c r="F2161" s="4">
        <f t="shared" si="127"/>
        <v>19</v>
      </c>
      <c r="G2161" s="4" cm="1">
        <f t="array" ref="G2161">IF($C2161&gt;=25,F2161,IF($C2161&lt;16,INDEX(Sheet1!C:C,$F2161),$F2161))</f>
        <v>19</v>
      </c>
      <c r="H2161" s="4" t="str" cm="1">
        <f t="array" ref="H2161">INDEX(Sheet1!D:D,$G2161)</f>
        <v>t1139.xlsx</v>
      </c>
      <c r="I2161" s="4" t="str" cm="1">
        <f t="array" ref="I2161">INDEX(Sheet1!E:E,$G2161)</f>
        <v>Sheet1</v>
      </c>
      <c r="J2161" s="4" t="str" cm="1">
        <f t="array" ref="J2161">IF($C2161&gt;=25,INDEX(Sheet1!G:G,$G2161),INDEX(Sheet1!F:F,$G2161))</f>
        <v>B139</v>
      </c>
      <c r="K2161" s="4" cm="1">
        <f t="array" ref="K2161">INDEX(Sheet1!H:H,$G2161)</f>
        <v>1</v>
      </c>
      <c r="L2161" s="4">
        <f t="shared" si="128"/>
        <v>77</v>
      </c>
      <c r="M2161" s="4">
        <f t="shared" si="129"/>
        <v>0</v>
      </c>
    </row>
    <row r="2162" spans="1:13">
      <c r="A2162" s="4" t="str" cm="1">
        <f t="array" ref="A2162">INDEX(Sheet1!A:A,$F2162)</f>
        <v>F</v>
      </c>
      <c r="B2162" s="4" t="str" cm="1">
        <f t="array" ref="B2162">INDEX(Sheet1!B:B,$F2162)</f>
        <v>Agg/Unknown</v>
      </c>
      <c r="C2162" s="4">
        <f t="shared" si="126"/>
        <v>103</v>
      </c>
      <c r="D2162" s="5" cm="1">
        <f t="array" aca="1" ref="D2162" ca="1">OFFSET(INDIRECT("'["&amp;$H2162&amp;"]"&amp;$I2162&amp;"'!"&amp;$J2162),$L2162,$M2162)*$K2162</f>
        <v>0.34905999999999998</v>
      </c>
      <c r="F2162" s="4">
        <f t="shared" si="127"/>
        <v>19</v>
      </c>
      <c r="G2162" s="4" cm="1">
        <f t="array" ref="G2162">IF($C2162&gt;=25,F2162,IF($C2162&lt;16,INDEX(Sheet1!C:C,$F2162),$F2162))</f>
        <v>19</v>
      </c>
      <c r="H2162" s="4" t="str" cm="1">
        <f t="array" ref="H2162">INDEX(Sheet1!D:D,$G2162)</f>
        <v>t1139.xlsx</v>
      </c>
      <c r="I2162" s="4" t="str" cm="1">
        <f t="array" ref="I2162">INDEX(Sheet1!E:E,$G2162)</f>
        <v>Sheet1</v>
      </c>
      <c r="J2162" s="4" t="str" cm="1">
        <f t="array" ref="J2162">IF($C2162&gt;=25,INDEX(Sheet1!G:G,$G2162),INDEX(Sheet1!F:F,$G2162))</f>
        <v>B139</v>
      </c>
      <c r="K2162" s="4" cm="1">
        <f t="array" ref="K2162">INDEX(Sheet1!H:H,$G2162)</f>
        <v>1</v>
      </c>
      <c r="L2162" s="4">
        <f t="shared" si="128"/>
        <v>78</v>
      </c>
      <c r="M2162" s="4">
        <f t="shared" si="129"/>
        <v>0</v>
      </c>
    </row>
    <row r="2163" spans="1:13">
      <c r="A2163" s="4" t="str" cm="1">
        <f t="array" ref="A2163">INDEX(Sheet1!A:A,$F2163)</f>
        <v>F</v>
      </c>
      <c r="B2163" s="4" t="str" cm="1">
        <f t="array" ref="B2163">INDEX(Sheet1!B:B,$F2163)</f>
        <v>Agg/Unknown</v>
      </c>
      <c r="C2163" s="4">
        <f t="shared" si="126"/>
        <v>104</v>
      </c>
      <c r="D2163" s="5" cm="1">
        <f t="array" aca="1" ref="D2163" ca="1">OFFSET(INDIRECT("'["&amp;$H2163&amp;"]"&amp;$I2163&amp;"'!"&amp;$J2163),$L2163,$M2163)*$K2163</f>
        <v>0.37861</v>
      </c>
      <c r="F2163" s="4">
        <f t="shared" si="127"/>
        <v>19</v>
      </c>
      <c r="G2163" s="4" cm="1">
        <f t="array" ref="G2163">IF($C2163&gt;=25,F2163,IF($C2163&lt;16,INDEX(Sheet1!C:C,$F2163),$F2163))</f>
        <v>19</v>
      </c>
      <c r="H2163" s="4" t="str" cm="1">
        <f t="array" ref="H2163">INDEX(Sheet1!D:D,$G2163)</f>
        <v>t1139.xlsx</v>
      </c>
      <c r="I2163" s="4" t="str" cm="1">
        <f t="array" ref="I2163">INDEX(Sheet1!E:E,$G2163)</f>
        <v>Sheet1</v>
      </c>
      <c r="J2163" s="4" t="str" cm="1">
        <f t="array" ref="J2163">IF($C2163&gt;=25,INDEX(Sheet1!G:G,$G2163),INDEX(Sheet1!F:F,$G2163))</f>
        <v>B139</v>
      </c>
      <c r="K2163" s="4" cm="1">
        <f t="array" ref="K2163">INDEX(Sheet1!H:H,$G2163)</f>
        <v>1</v>
      </c>
      <c r="L2163" s="4">
        <f t="shared" si="128"/>
        <v>79</v>
      </c>
      <c r="M2163" s="4">
        <f t="shared" si="129"/>
        <v>0</v>
      </c>
    </row>
    <row r="2164" spans="1:13">
      <c r="A2164" s="4" t="str" cm="1">
        <f t="array" ref="A2164">INDEX(Sheet1!A:A,$F2164)</f>
        <v>F</v>
      </c>
      <c r="B2164" s="4" t="str" cm="1">
        <f t="array" ref="B2164">INDEX(Sheet1!B:B,$F2164)</f>
        <v>Agg/Unknown</v>
      </c>
      <c r="C2164" s="4">
        <f t="shared" si="126"/>
        <v>105</v>
      </c>
      <c r="D2164" s="5" cm="1">
        <f t="array" aca="1" ref="D2164" ca="1">OFFSET(INDIRECT("'["&amp;$H2164&amp;"]"&amp;$I2164&amp;"'!"&amp;$J2164),$L2164,$M2164)*$K2164</f>
        <v>0.41056999999999999</v>
      </c>
      <c r="F2164" s="4">
        <f t="shared" si="127"/>
        <v>19</v>
      </c>
      <c r="G2164" s="4" cm="1">
        <f t="array" ref="G2164">IF($C2164&gt;=25,F2164,IF($C2164&lt;16,INDEX(Sheet1!C:C,$F2164),$F2164))</f>
        <v>19</v>
      </c>
      <c r="H2164" s="4" t="str" cm="1">
        <f t="array" ref="H2164">INDEX(Sheet1!D:D,$G2164)</f>
        <v>t1139.xlsx</v>
      </c>
      <c r="I2164" s="4" t="str" cm="1">
        <f t="array" ref="I2164">INDEX(Sheet1!E:E,$G2164)</f>
        <v>Sheet1</v>
      </c>
      <c r="J2164" s="4" t="str" cm="1">
        <f t="array" ref="J2164">IF($C2164&gt;=25,INDEX(Sheet1!G:G,$G2164),INDEX(Sheet1!F:F,$G2164))</f>
        <v>B139</v>
      </c>
      <c r="K2164" s="4" cm="1">
        <f t="array" ref="K2164">INDEX(Sheet1!H:H,$G2164)</f>
        <v>1</v>
      </c>
      <c r="L2164" s="4">
        <f t="shared" si="128"/>
        <v>80</v>
      </c>
      <c r="M2164" s="4">
        <f t="shared" si="129"/>
        <v>0</v>
      </c>
    </row>
    <row r="2165" spans="1:13">
      <c r="A2165" s="4" t="str" cm="1">
        <f t="array" ref="A2165">INDEX(Sheet1!A:A,$F2165)</f>
        <v>F</v>
      </c>
      <c r="B2165" s="4" t="str" cm="1">
        <f t="array" ref="B2165">INDEX(Sheet1!B:B,$F2165)</f>
        <v>Agg/Unknown</v>
      </c>
      <c r="C2165" s="4">
        <f t="shared" si="126"/>
        <v>106</v>
      </c>
      <c r="D2165" s="5" cm="1">
        <f t="array" aca="1" ref="D2165" ca="1">OFFSET(INDIRECT("'["&amp;$H2165&amp;"]"&amp;$I2165&amp;"'!"&amp;$J2165),$L2165,$M2165)*$K2165</f>
        <v>0.44333</v>
      </c>
      <c r="F2165" s="4">
        <f t="shared" si="127"/>
        <v>19</v>
      </c>
      <c r="G2165" s="4" cm="1">
        <f t="array" ref="G2165">IF($C2165&gt;=25,F2165,IF($C2165&lt;16,INDEX(Sheet1!C:C,$F2165),$F2165))</f>
        <v>19</v>
      </c>
      <c r="H2165" s="4" t="str" cm="1">
        <f t="array" ref="H2165">INDEX(Sheet1!D:D,$G2165)</f>
        <v>t1139.xlsx</v>
      </c>
      <c r="I2165" s="4" t="str" cm="1">
        <f t="array" ref="I2165">INDEX(Sheet1!E:E,$G2165)</f>
        <v>Sheet1</v>
      </c>
      <c r="J2165" s="4" t="str" cm="1">
        <f t="array" ref="J2165">IF($C2165&gt;=25,INDEX(Sheet1!G:G,$G2165),INDEX(Sheet1!F:F,$G2165))</f>
        <v>B139</v>
      </c>
      <c r="K2165" s="4" cm="1">
        <f t="array" ref="K2165">INDEX(Sheet1!H:H,$G2165)</f>
        <v>1</v>
      </c>
      <c r="L2165" s="4">
        <f t="shared" si="128"/>
        <v>81</v>
      </c>
      <c r="M2165" s="4">
        <f t="shared" si="129"/>
        <v>0</v>
      </c>
    </row>
    <row r="2166" spans="1:13">
      <c r="A2166" s="4" t="str" cm="1">
        <f t="array" ref="A2166">INDEX(Sheet1!A:A,$F2166)</f>
        <v>F</v>
      </c>
      <c r="B2166" s="4" t="str" cm="1">
        <f t="array" ref="B2166">INDEX(Sheet1!B:B,$F2166)</f>
        <v>Agg/Unknown</v>
      </c>
      <c r="C2166" s="4">
        <f t="shared" si="126"/>
        <v>107</v>
      </c>
      <c r="D2166" s="5" cm="1">
        <f t="array" aca="1" ref="D2166" ca="1">OFFSET(INDIRECT("'["&amp;$H2166&amp;"]"&amp;$I2166&amp;"'!"&amp;$J2166),$L2166,$M2166)*$K2166</f>
        <v>0.47688999999999998</v>
      </c>
      <c r="F2166" s="4">
        <f t="shared" si="127"/>
        <v>19</v>
      </c>
      <c r="G2166" s="4" cm="1">
        <f t="array" ref="G2166">IF($C2166&gt;=25,F2166,IF($C2166&lt;16,INDEX(Sheet1!C:C,$F2166),$F2166))</f>
        <v>19</v>
      </c>
      <c r="H2166" s="4" t="str" cm="1">
        <f t="array" ref="H2166">INDEX(Sheet1!D:D,$G2166)</f>
        <v>t1139.xlsx</v>
      </c>
      <c r="I2166" s="4" t="str" cm="1">
        <f t="array" ref="I2166">INDEX(Sheet1!E:E,$G2166)</f>
        <v>Sheet1</v>
      </c>
      <c r="J2166" s="4" t="str" cm="1">
        <f t="array" ref="J2166">IF($C2166&gt;=25,INDEX(Sheet1!G:G,$G2166),INDEX(Sheet1!F:F,$G2166))</f>
        <v>B139</v>
      </c>
      <c r="K2166" s="4" cm="1">
        <f t="array" ref="K2166">INDEX(Sheet1!H:H,$G2166)</f>
        <v>1</v>
      </c>
      <c r="L2166" s="4">
        <f t="shared" si="128"/>
        <v>82</v>
      </c>
      <c r="M2166" s="4">
        <f t="shared" si="129"/>
        <v>0</v>
      </c>
    </row>
    <row r="2167" spans="1:13">
      <c r="A2167" s="4" t="str" cm="1">
        <f t="array" ref="A2167">INDEX(Sheet1!A:A,$F2167)</f>
        <v>F</v>
      </c>
      <c r="B2167" s="4" t="str" cm="1">
        <f t="array" ref="B2167">INDEX(Sheet1!B:B,$F2167)</f>
        <v>Agg/Unknown</v>
      </c>
      <c r="C2167" s="4">
        <f t="shared" si="126"/>
        <v>108</v>
      </c>
      <c r="D2167" s="5" cm="1">
        <f t="array" aca="1" ref="D2167" ca="1">OFFSET(INDIRECT("'["&amp;$H2167&amp;"]"&amp;$I2167&amp;"'!"&amp;$J2167),$L2167,$M2167)*$K2167</f>
        <v>0.51065000000000005</v>
      </c>
      <c r="F2167" s="4">
        <f t="shared" si="127"/>
        <v>19</v>
      </c>
      <c r="G2167" s="4" cm="1">
        <f t="array" ref="G2167">IF($C2167&gt;=25,F2167,IF($C2167&lt;16,INDEX(Sheet1!C:C,$F2167),$F2167))</f>
        <v>19</v>
      </c>
      <c r="H2167" s="4" t="str" cm="1">
        <f t="array" ref="H2167">INDEX(Sheet1!D:D,$G2167)</f>
        <v>t1139.xlsx</v>
      </c>
      <c r="I2167" s="4" t="str" cm="1">
        <f t="array" ref="I2167">INDEX(Sheet1!E:E,$G2167)</f>
        <v>Sheet1</v>
      </c>
      <c r="J2167" s="4" t="str" cm="1">
        <f t="array" ref="J2167">IF($C2167&gt;=25,INDEX(Sheet1!G:G,$G2167),INDEX(Sheet1!F:F,$G2167))</f>
        <v>B139</v>
      </c>
      <c r="K2167" s="4" cm="1">
        <f t="array" ref="K2167">INDEX(Sheet1!H:H,$G2167)</f>
        <v>1</v>
      </c>
      <c r="L2167" s="4">
        <f t="shared" si="128"/>
        <v>83</v>
      </c>
      <c r="M2167" s="4">
        <f t="shared" si="129"/>
        <v>0</v>
      </c>
    </row>
    <row r="2168" spans="1:13">
      <c r="A2168" s="4" t="str" cm="1">
        <f t="array" ref="A2168">INDEX(Sheet1!A:A,$F2168)</f>
        <v>F</v>
      </c>
      <c r="B2168" s="4" t="str" cm="1">
        <f t="array" ref="B2168">INDEX(Sheet1!B:B,$F2168)</f>
        <v>Agg/Unknown</v>
      </c>
      <c r="C2168" s="4">
        <f t="shared" si="126"/>
        <v>109</v>
      </c>
      <c r="D2168" s="5" cm="1">
        <f t="array" aca="1" ref="D2168" ca="1">OFFSET(INDIRECT("'["&amp;$H2168&amp;"]"&amp;$I2168&amp;"'!"&amp;$J2168),$L2168,$M2168)*$K2168</f>
        <v>0.54581000000000002</v>
      </c>
      <c r="F2168" s="4">
        <f t="shared" si="127"/>
        <v>19</v>
      </c>
      <c r="G2168" s="4" cm="1">
        <f t="array" ref="G2168">IF($C2168&gt;=25,F2168,IF($C2168&lt;16,INDEX(Sheet1!C:C,$F2168),$F2168))</f>
        <v>19</v>
      </c>
      <c r="H2168" s="4" t="str" cm="1">
        <f t="array" ref="H2168">INDEX(Sheet1!D:D,$G2168)</f>
        <v>t1139.xlsx</v>
      </c>
      <c r="I2168" s="4" t="str" cm="1">
        <f t="array" ref="I2168">INDEX(Sheet1!E:E,$G2168)</f>
        <v>Sheet1</v>
      </c>
      <c r="J2168" s="4" t="str" cm="1">
        <f t="array" ref="J2168">IF($C2168&gt;=25,INDEX(Sheet1!G:G,$G2168),INDEX(Sheet1!F:F,$G2168))</f>
        <v>B139</v>
      </c>
      <c r="K2168" s="4" cm="1">
        <f t="array" ref="K2168">INDEX(Sheet1!H:H,$G2168)</f>
        <v>1</v>
      </c>
      <c r="L2168" s="4">
        <f t="shared" si="128"/>
        <v>84</v>
      </c>
      <c r="M2168" s="4">
        <f t="shared" si="129"/>
        <v>0</v>
      </c>
    </row>
    <row r="2169" spans="1:13">
      <c r="A2169" s="4" t="str" cm="1">
        <f t="array" ref="A2169">INDEX(Sheet1!A:A,$F2169)</f>
        <v>F</v>
      </c>
      <c r="B2169" s="4" t="str" cm="1">
        <f t="array" ref="B2169">INDEX(Sheet1!B:B,$F2169)</f>
        <v>Agg/Unknown</v>
      </c>
      <c r="C2169" s="4">
        <f t="shared" si="126"/>
        <v>110</v>
      </c>
      <c r="D2169" s="5" cm="1">
        <f t="array" aca="1" ref="D2169" ca="1">OFFSET(INDIRECT("'["&amp;$H2169&amp;"]"&amp;$I2169&amp;"'!"&amp;$J2169),$L2169,$M2169)*$K2169</f>
        <v>0.58177000000000001</v>
      </c>
      <c r="F2169" s="4">
        <f t="shared" si="127"/>
        <v>19</v>
      </c>
      <c r="G2169" s="4" cm="1">
        <f t="array" ref="G2169">IF($C2169&gt;=25,F2169,IF($C2169&lt;16,INDEX(Sheet1!C:C,$F2169),$F2169))</f>
        <v>19</v>
      </c>
      <c r="H2169" s="4" t="str" cm="1">
        <f t="array" ref="H2169">INDEX(Sheet1!D:D,$G2169)</f>
        <v>t1139.xlsx</v>
      </c>
      <c r="I2169" s="4" t="str" cm="1">
        <f t="array" ref="I2169">INDEX(Sheet1!E:E,$G2169)</f>
        <v>Sheet1</v>
      </c>
      <c r="J2169" s="4" t="str" cm="1">
        <f t="array" ref="J2169">IF($C2169&gt;=25,INDEX(Sheet1!G:G,$G2169),INDEX(Sheet1!F:F,$G2169))</f>
        <v>B139</v>
      </c>
      <c r="K2169" s="4" cm="1">
        <f t="array" ref="K2169">INDEX(Sheet1!H:H,$G2169)</f>
        <v>1</v>
      </c>
      <c r="L2169" s="4">
        <f t="shared" si="128"/>
        <v>85</v>
      </c>
      <c r="M2169" s="4">
        <f t="shared" si="129"/>
        <v>0</v>
      </c>
    </row>
    <row r="2170" spans="1:13">
      <c r="A2170" s="4" t="str" cm="1">
        <f t="array" ref="A2170">INDEX(Sheet1!A:A,$F2170)</f>
        <v>F</v>
      </c>
      <c r="B2170" s="4" t="str" cm="1">
        <f t="array" ref="B2170">INDEX(Sheet1!B:B,$F2170)</f>
        <v>Agg/Unknown</v>
      </c>
      <c r="C2170" s="4">
        <f t="shared" si="126"/>
        <v>111</v>
      </c>
      <c r="D2170" s="5" cm="1">
        <f t="array" aca="1" ref="D2170" ca="1">OFFSET(INDIRECT("'["&amp;$H2170&amp;"]"&amp;$I2170&amp;"'!"&amp;$J2170),$L2170,$M2170)*$K2170</f>
        <v>0.61633000000000004</v>
      </c>
      <c r="F2170" s="4">
        <f t="shared" si="127"/>
        <v>19</v>
      </c>
      <c r="G2170" s="4" cm="1">
        <f t="array" ref="G2170">IF($C2170&gt;=25,F2170,IF($C2170&lt;16,INDEX(Sheet1!C:C,$F2170),$F2170))</f>
        <v>19</v>
      </c>
      <c r="H2170" s="4" t="str" cm="1">
        <f t="array" ref="H2170">INDEX(Sheet1!D:D,$G2170)</f>
        <v>t1139.xlsx</v>
      </c>
      <c r="I2170" s="4" t="str" cm="1">
        <f t="array" ref="I2170">INDEX(Sheet1!E:E,$G2170)</f>
        <v>Sheet1</v>
      </c>
      <c r="J2170" s="4" t="str" cm="1">
        <f t="array" ref="J2170">IF($C2170&gt;=25,INDEX(Sheet1!G:G,$G2170),INDEX(Sheet1!F:F,$G2170))</f>
        <v>B139</v>
      </c>
      <c r="K2170" s="4" cm="1">
        <f t="array" ref="K2170">INDEX(Sheet1!H:H,$G2170)</f>
        <v>1</v>
      </c>
      <c r="L2170" s="4">
        <f t="shared" si="128"/>
        <v>86</v>
      </c>
      <c r="M2170" s="4">
        <f t="shared" si="129"/>
        <v>0</v>
      </c>
    </row>
    <row r="2171" spans="1:13">
      <c r="A2171" s="4" t="str" cm="1">
        <f t="array" ref="A2171">INDEX(Sheet1!A:A,$F2171)</f>
        <v>F</v>
      </c>
      <c r="B2171" s="4" t="str" cm="1">
        <f t="array" ref="B2171">INDEX(Sheet1!B:B,$F2171)</f>
        <v>Agg/Unknown</v>
      </c>
      <c r="C2171" s="4">
        <f t="shared" si="126"/>
        <v>112</v>
      </c>
      <c r="D2171" s="5" cm="1">
        <f t="array" aca="1" ref="D2171" ca="1">OFFSET(INDIRECT("'["&amp;$H2171&amp;"]"&amp;$I2171&amp;"'!"&amp;$J2171),$L2171,$M2171)*$K2171</f>
        <v>0.64985000000000004</v>
      </c>
      <c r="F2171" s="4">
        <f t="shared" si="127"/>
        <v>19</v>
      </c>
      <c r="G2171" s="4" cm="1">
        <f t="array" ref="G2171">IF($C2171&gt;=25,F2171,IF($C2171&lt;16,INDEX(Sheet1!C:C,$F2171),$F2171))</f>
        <v>19</v>
      </c>
      <c r="H2171" s="4" t="str" cm="1">
        <f t="array" ref="H2171">INDEX(Sheet1!D:D,$G2171)</f>
        <v>t1139.xlsx</v>
      </c>
      <c r="I2171" s="4" t="str" cm="1">
        <f t="array" ref="I2171">INDEX(Sheet1!E:E,$G2171)</f>
        <v>Sheet1</v>
      </c>
      <c r="J2171" s="4" t="str" cm="1">
        <f t="array" ref="J2171">IF($C2171&gt;=25,INDEX(Sheet1!G:G,$G2171),INDEX(Sheet1!F:F,$G2171))</f>
        <v>B139</v>
      </c>
      <c r="K2171" s="4" cm="1">
        <f t="array" ref="K2171">INDEX(Sheet1!H:H,$G2171)</f>
        <v>1</v>
      </c>
      <c r="L2171" s="4">
        <f t="shared" si="128"/>
        <v>87</v>
      </c>
      <c r="M2171" s="4">
        <f t="shared" si="129"/>
        <v>0</v>
      </c>
    </row>
    <row r="2172" spans="1:13">
      <c r="A2172" s="4" t="str" cm="1">
        <f t="array" ref="A2172">INDEX(Sheet1!A:A,$F2172)</f>
        <v>F</v>
      </c>
      <c r="B2172" s="4" t="str" cm="1">
        <f t="array" ref="B2172">INDEX(Sheet1!B:B,$F2172)</f>
        <v>Agg/Unknown</v>
      </c>
      <c r="C2172" s="4">
        <f t="shared" si="126"/>
        <v>113</v>
      </c>
      <c r="D2172" s="5" cm="1">
        <f t="array" aca="1" ref="D2172" ca="1">OFFSET(INDIRECT("'["&amp;$H2172&amp;"]"&amp;$I2172&amp;"'!"&amp;$J2172),$L2172,$M2172)*$K2172</f>
        <v>0.68037000000000003</v>
      </c>
      <c r="F2172" s="4">
        <f t="shared" si="127"/>
        <v>19</v>
      </c>
      <c r="G2172" s="4" cm="1">
        <f t="array" ref="G2172">IF($C2172&gt;=25,F2172,IF($C2172&lt;16,INDEX(Sheet1!C:C,$F2172),$F2172))</f>
        <v>19</v>
      </c>
      <c r="H2172" s="4" t="str" cm="1">
        <f t="array" ref="H2172">INDEX(Sheet1!D:D,$G2172)</f>
        <v>t1139.xlsx</v>
      </c>
      <c r="I2172" s="4" t="str" cm="1">
        <f t="array" ref="I2172">INDEX(Sheet1!E:E,$G2172)</f>
        <v>Sheet1</v>
      </c>
      <c r="J2172" s="4" t="str" cm="1">
        <f t="array" ref="J2172">IF($C2172&gt;=25,INDEX(Sheet1!G:G,$G2172),INDEX(Sheet1!F:F,$G2172))</f>
        <v>B139</v>
      </c>
      <c r="K2172" s="4" cm="1">
        <f t="array" ref="K2172">INDEX(Sheet1!H:H,$G2172)</f>
        <v>1</v>
      </c>
      <c r="L2172" s="4">
        <f t="shared" si="128"/>
        <v>88</v>
      </c>
      <c r="M2172" s="4">
        <f t="shared" si="129"/>
        <v>0</v>
      </c>
    </row>
    <row r="2173" spans="1:13">
      <c r="A2173" s="4" t="str" cm="1">
        <f t="array" ref="A2173">INDEX(Sheet1!A:A,$F2173)</f>
        <v>F</v>
      </c>
      <c r="B2173" s="4" t="str" cm="1">
        <f t="array" ref="B2173">INDEX(Sheet1!B:B,$F2173)</f>
        <v>Agg/Unknown</v>
      </c>
      <c r="C2173" s="4">
        <f t="shared" si="126"/>
        <v>114</v>
      </c>
      <c r="D2173" s="5" cm="1">
        <f t="array" aca="1" ref="D2173" ca="1">OFFSET(INDIRECT("'["&amp;$H2173&amp;"]"&amp;$I2173&amp;"'!"&amp;$J2173),$L2173,$M2173)*$K2173</f>
        <v>0.72338999999999998</v>
      </c>
      <c r="F2173" s="4">
        <f t="shared" si="127"/>
        <v>19</v>
      </c>
      <c r="G2173" s="4" cm="1">
        <f t="array" ref="G2173">IF($C2173&gt;=25,F2173,IF($C2173&lt;16,INDEX(Sheet1!C:C,$F2173),$F2173))</f>
        <v>19</v>
      </c>
      <c r="H2173" s="4" t="str" cm="1">
        <f t="array" ref="H2173">INDEX(Sheet1!D:D,$G2173)</f>
        <v>t1139.xlsx</v>
      </c>
      <c r="I2173" s="4" t="str" cm="1">
        <f t="array" ref="I2173">INDEX(Sheet1!E:E,$G2173)</f>
        <v>Sheet1</v>
      </c>
      <c r="J2173" s="4" t="str" cm="1">
        <f t="array" ref="J2173">IF($C2173&gt;=25,INDEX(Sheet1!G:G,$G2173),INDEX(Sheet1!F:F,$G2173))</f>
        <v>B139</v>
      </c>
      <c r="K2173" s="4" cm="1">
        <f t="array" ref="K2173">INDEX(Sheet1!H:H,$G2173)</f>
        <v>1</v>
      </c>
      <c r="L2173" s="4">
        <f t="shared" si="128"/>
        <v>89</v>
      </c>
      <c r="M2173" s="4">
        <f t="shared" si="129"/>
        <v>0</v>
      </c>
    </row>
    <row r="2174" spans="1:13">
      <c r="A2174" s="4" t="str" cm="1">
        <f t="array" ref="A2174">INDEX(Sheet1!A:A,$F2174)</f>
        <v>F</v>
      </c>
      <c r="B2174" s="4" t="str" cm="1">
        <f t="array" ref="B2174">INDEX(Sheet1!B:B,$F2174)</f>
        <v>Agg/Unknown</v>
      </c>
      <c r="C2174" s="4">
        <f t="shared" si="126"/>
        <v>115</v>
      </c>
      <c r="D2174" s="5" cm="1">
        <f t="array" aca="1" ref="D2174" ca="1">OFFSET(INDIRECT("'["&amp;$H2174&amp;"]"&amp;$I2174&amp;"'!"&amp;$J2174),$L2174,$M2174)*$K2174</f>
        <v>0.76341000000000003</v>
      </c>
      <c r="F2174" s="4">
        <f t="shared" si="127"/>
        <v>19</v>
      </c>
      <c r="G2174" s="4" cm="1">
        <f t="array" ref="G2174">IF($C2174&gt;=25,F2174,IF($C2174&lt;16,INDEX(Sheet1!C:C,$F2174),$F2174))</f>
        <v>19</v>
      </c>
      <c r="H2174" s="4" t="str" cm="1">
        <f t="array" ref="H2174">INDEX(Sheet1!D:D,$G2174)</f>
        <v>t1139.xlsx</v>
      </c>
      <c r="I2174" s="4" t="str" cm="1">
        <f t="array" ref="I2174">INDEX(Sheet1!E:E,$G2174)</f>
        <v>Sheet1</v>
      </c>
      <c r="J2174" s="4" t="str" cm="1">
        <f t="array" ref="J2174">IF($C2174&gt;=25,INDEX(Sheet1!G:G,$G2174),INDEX(Sheet1!F:F,$G2174))</f>
        <v>B139</v>
      </c>
      <c r="K2174" s="4" cm="1">
        <f t="array" ref="K2174">INDEX(Sheet1!H:H,$G2174)</f>
        <v>1</v>
      </c>
      <c r="L2174" s="4">
        <f t="shared" si="128"/>
        <v>90</v>
      </c>
      <c r="M2174" s="4">
        <f t="shared" si="129"/>
        <v>0</v>
      </c>
    </row>
    <row r="2175" spans="1:13">
      <c r="A2175" s="4" t="str" cm="1">
        <f t="array" ref="A2175">INDEX(Sheet1!A:A,$F2175)</f>
        <v>F</v>
      </c>
      <c r="B2175" s="4" t="str" cm="1">
        <f t="array" ref="B2175">INDEX(Sheet1!B:B,$F2175)</f>
        <v>Agg/Unknown</v>
      </c>
      <c r="C2175" s="4">
        <f t="shared" si="126"/>
        <v>116</v>
      </c>
      <c r="D2175" s="5" cm="1">
        <f t="array" aca="1" ref="D2175" ca="1">OFFSET(INDIRECT("'["&amp;$H2175&amp;"]"&amp;$I2175&amp;"'!"&amp;$J2175),$L2175,$M2175)*$K2175</f>
        <v>0.80493000000000003</v>
      </c>
      <c r="F2175" s="4">
        <f t="shared" si="127"/>
        <v>19</v>
      </c>
      <c r="G2175" s="4" cm="1">
        <f t="array" ref="G2175">IF($C2175&gt;=25,F2175,IF($C2175&lt;16,INDEX(Sheet1!C:C,$F2175),$F2175))</f>
        <v>19</v>
      </c>
      <c r="H2175" s="4" t="str" cm="1">
        <f t="array" ref="H2175">INDEX(Sheet1!D:D,$G2175)</f>
        <v>t1139.xlsx</v>
      </c>
      <c r="I2175" s="4" t="str" cm="1">
        <f t="array" ref="I2175">INDEX(Sheet1!E:E,$G2175)</f>
        <v>Sheet1</v>
      </c>
      <c r="J2175" s="4" t="str" cm="1">
        <f t="array" ref="J2175">IF($C2175&gt;=25,INDEX(Sheet1!G:G,$G2175),INDEX(Sheet1!F:F,$G2175))</f>
        <v>B139</v>
      </c>
      <c r="K2175" s="4" cm="1">
        <f t="array" ref="K2175">INDEX(Sheet1!H:H,$G2175)</f>
        <v>1</v>
      </c>
      <c r="L2175" s="4">
        <f t="shared" si="128"/>
        <v>91</v>
      </c>
      <c r="M2175" s="4">
        <f t="shared" si="129"/>
        <v>0</v>
      </c>
    </row>
    <row r="2176" spans="1:13">
      <c r="A2176" s="4" t="str" cm="1">
        <f t="array" ref="A2176">INDEX(Sheet1!A:A,$F2176)</f>
        <v>F</v>
      </c>
      <c r="B2176" s="4" t="str" cm="1">
        <f t="array" ref="B2176">INDEX(Sheet1!B:B,$F2176)</f>
        <v>Agg/Unknown</v>
      </c>
      <c r="C2176" s="4">
        <f t="shared" si="126"/>
        <v>117</v>
      </c>
      <c r="D2176" s="5" cm="1">
        <f t="array" aca="1" ref="D2176" ca="1">OFFSET(INDIRECT("'["&amp;$H2176&amp;"]"&amp;$I2176&amp;"'!"&amp;$J2176),$L2176,$M2176)*$K2176</f>
        <v>0.85043999999999997</v>
      </c>
      <c r="F2176" s="4">
        <f t="shared" si="127"/>
        <v>19</v>
      </c>
      <c r="G2176" s="4" cm="1">
        <f t="array" ref="G2176">IF($C2176&gt;=25,F2176,IF($C2176&lt;16,INDEX(Sheet1!C:C,$F2176),$F2176))</f>
        <v>19</v>
      </c>
      <c r="H2176" s="4" t="str" cm="1">
        <f t="array" ref="H2176">INDEX(Sheet1!D:D,$G2176)</f>
        <v>t1139.xlsx</v>
      </c>
      <c r="I2176" s="4" t="str" cm="1">
        <f t="array" ref="I2176">INDEX(Sheet1!E:E,$G2176)</f>
        <v>Sheet1</v>
      </c>
      <c r="J2176" s="4" t="str" cm="1">
        <f t="array" ref="J2176">IF($C2176&gt;=25,INDEX(Sheet1!G:G,$G2176),INDEX(Sheet1!F:F,$G2176))</f>
        <v>B139</v>
      </c>
      <c r="K2176" s="4" cm="1">
        <f t="array" ref="K2176">INDEX(Sheet1!H:H,$G2176)</f>
        <v>1</v>
      </c>
      <c r="L2176" s="4">
        <f t="shared" si="128"/>
        <v>92</v>
      </c>
      <c r="M2176" s="4">
        <f t="shared" si="129"/>
        <v>0</v>
      </c>
    </row>
    <row r="2177" spans="1:13">
      <c r="A2177" s="4" t="str" cm="1">
        <f t="array" ref="A2177">INDEX(Sheet1!A:A,$F2177)</f>
        <v>F</v>
      </c>
      <c r="B2177" s="4" t="str" cm="1">
        <f t="array" ref="B2177">INDEX(Sheet1!B:B,$F2177)</f>
        <v>Agg/Unknown</v>
      </c>
      <c r="C2177" s="4">
        <f t="shared" si="126"/>
        <v>118</v>
      </c>
      <c r="D2177" s="5" cm="1">
        <f t="array" aca="1" ref="D2177" ca="1">OFFSET(INDIRECT("'["&amp;$H2177&amp;"]"&amp;$I2177&amp;"'!"&amp;$J2177),$L2177,$M2177)*$K2177</f>
        <v>0.89244000000000001</v>
      </c>
      <c r="F2177" s="4">
        <f t="shared" si="127"/>
        <v>19</v>
      </c>
      <c r="G2177" s="4" cm="1">
        <f t="array" ref="G2177">IF($C2177&gt;=25,F2177,IF($C2177&lt;16,INDEX(Sheet1!C:C,$F2177),$F2177))</f>
        <v>19</v>
      </c>
      <c r="H2177" s="4" t="str" cm="1">
        <f t="array" ref="H2177">INDEX(Sheet1!D:D,$G2177)</f>
        <v>t1139.xlsx</v>
      </c>
      <c r="I2177" s="4" t="str" cm="1">
        <f t="array" ref="I2177">INDEX(Sheet1!E:E,$G2177)</f>
        <v>Sheet1</v>
      </c>
      <c r="J2177" s="4" t="str" cm="1">
        <f t="array" ref="J2177">IF($C2177&gt;=25,INDEX(Sheet1!G:G,$G2177),INDEX(Sheet1!F:F,$G2177))</f>
        <v>B139</v>
      </c>
      <c r="K2177" s="4" cm="1">
        <f t="array" ref="K2177">INDEX(Sheet1!H:H,$G2177)</f>
        <v>1</v>
      </c>
      <c r="L2177" s="4">
        <f t="shared" si="128"/>
        <v>93</v>
      </c>
      <c r="M2177" s="4">
        <f t="shared" si="129"/>
        <v>0</v>
      </c>
    </row>
    <row r="2178" spans="1:13">
      <c r="A2178" s="4" t="str" cm="1">
        <f t="array" ref="A2178">INDEX(Sheet1!A:A,$F2178)</f>
        <v>F</v>
      </c>
      <c r="B2178" s="4" t="str" cm="1">
        <f t="array" ref="B2178">INDEX(Sheet1!B:B,$F2178)</f>
        <v>Agg/Unknown</v>
      </c>
      <c r="C2178" s="4">
        <f t="shared" ref="C2178:C2179" si="130">IF(C2177=120,0,C2177+1)</f>
        <v>119</v>
      </c>
      <c r="D2178" s="5" cm="1">
        <f t="array" aca="1" ref="D2178" ca="1">OFFSET(INDIRECT("'["&amp;$H2178&amp;"]"&amp;$I2178&amp;"'!"&amp;$J2178),$L2178,$M2178)*$K2178</f>
        <v>0.93511</v>
      </c>
      <c r="F2178" s="4">
        <f t="shared" ref="F2178:F2179" si="131">IF(C2178=0,1,0)+F2177</f>
        <v>19</v>
      </c>
      <c r="G2178" s="4" cm="1">
        <f t="array" ref="G2178">IF($C2178&gt;=25,F2178,IF($C2178&lt;16,INDEX(Sheet1!C:C,$F2178),$F2178))</f>
        <v>19</v>
      </c>
      <c r="H2178" s="4" t="str" cm="1">
        <f t="array" ref="H2178">INDEX(Sheet1!D:D,$G2178)</f>
        <v>t1139.xlsx</v>
      </c>
      <c r="I2178" s="4" t="str" cm="1">
        <f t="array" ref="I2178">INDEX(Sheet1!E:E,$G2178)</f>
        <v>Sheet1</v>
      </c>
      <c r="J2178" s="4" t="str" cm="1">
        <f t="array" ref="J2178">IF($C2178&gt;=25,INDEX(Sheet1!G:G,$G2178),INDEX(Sheet1!F:F,$G2178))</f>
        <v>B139</v>
      </c>
      <c r="K2178" s="4" cm="1">
        <f t="array" ref="K2178">INDEX(Sheet1!H:H,$G2178)</f>
        <v>1</v>
      </c>
      <c r="L2178" s="4">
        <f t="shared" ref="L2178:L2179" si="132">IF($C2178&gt;=25,$C2178-25,0)</f>
        <v>94</v>
      </c>
      <c r="M2178" s="4">
        <f t="shared" ref="M2178:M2179" si="133">IF($C2178&gt;=25,0,$C2178)</f>
        <v>0</v>
      </c>
    </row>
    <row r="2179" spans="1:13">
      <c r="A2179" s="4" t="str" cm="1">
        <f t="array" ref="A2179">INDEX(Sheet1!A:A,$F2179)</f>
        <v>F</v>
      </c>
      <c r="B2179" s="4" t="str" cm="1">
        <f t="array" ref="B2179">INDEX(Sheet1!B:B,$F2179)</f>
        <v>Agg/Unknown</v>
      </c>
      <c r="C2179" s="4">
        <f t="shared" si="130"/>
        <v>120</v>
      </c>
      <c r="D2179" s="5" cm="1">
        <f t="array" aca="1" ref="D2179" ca="1">OFFSET(INDIRECT("'["&amp;$H2179&amp;"]"&amp;$I2179&amp;"'!"&amp;$J2179),$L2179,$M2179)*$K2179</f>
        <v>1</v>
      </c>
      <c r="F2179" s="4">
        <f t="shared" si="131"/>
        <v>19</v>
      </c>
      <c r="G2179" s="4" cm="1">
        <f t="array" ref="G2179">IF($C2179&gt;=25,F2179,IF($C2179&lt;16,INDEX(Sheet1!C:C,$F2179),$F2179))</f>
        <v>19</v>
      </c>
      <c r="H2179" s="4" t="str" cm="1">
        <f t="array" ref="H2179">INDEX(Sheet1!D:D,$G2179)</f>
        <v>t1139.xlsx</v>
      </c>
      <c r="I2179" s="4" t="str" cm="1">
        <f t="array" ref="I2179">INDEX(Sheet1!E:E,$G2179)</f>
        <v>Sheet1</v>
      </c>
      <c r="J2179" s="4" t="str" cm="1">
        <f t="array" ref="J2179">IF($C2179&gt;=25,INDEX(Sheet1!G:G,$G2179),INDEX(Sheet1!F:F,$G2179))</f>
        <v>B139</v>
      </c>
      <c r="K2179" s="4" cm="1">
        <f t="array" ref="K2179">INDEX(Sheet1!H:H,$G2179)</f>
        <v>1</v>
      </c>
      <c r="L2179" s="4">
        <f t="shared" si="132"/>
        <v>95</v>
      </c>
      <c r="M2179" s="4">
        <f t="shared" si="133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Dur6</vt:lpstr>
      <vt:lpstr>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ｋ ｒ</dc:creator>
  <cp:lastModifiedBy>ｋ ｒ</cp:lastModifiedBy>
  <dcterms:created xsi:type="dcterms:W3CDTF">2025-05-17T16:55:17Z</dcterms:created>
  <dcterms:modified xsi:type="dcterms:W3CDTF">2025-05-18T14:31:38Z</dcterms:modified>
</cp:coreProperties>
</file>